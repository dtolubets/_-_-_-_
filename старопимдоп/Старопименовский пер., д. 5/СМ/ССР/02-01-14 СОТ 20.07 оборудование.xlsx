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DC149321-5216-42BA-A834-BA8BB6310C0B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доп.67'!$A$1:$K$291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290" i="7"/>
  <c r="H287" i="7"/>
  <c r="C290" i="7"/>
  <c r="C287" i="7"/>
  <c r="J29" i="7"/>
  <c r="J26" i="7"/>
  <c r="J25" i="7"/>
  <c r="J24" i="7"/>
  <c r="J23" i="7"/>
  <c r="J22" i="7"/>
  <c r="J21" i="7" s="1"/>
  <c r="I29" i="7"/>
  <c r="I27" i="7"/>
  <c r="I26" i="7"/>
  <c r="I25" i="7"/>
  <c r="I24" i="7"/>
  <c r="I21" i="7" s="1"/>
  <c r="I23" i="7"/>
  <c r="I22" i="7"/>
  <c r="I284" i="7"/>
  <c r="J284" i="7"/>
  <c r="I283" i="7"/>
  <c r="J283" i="7"/>
  <c r="A282" i="7"/>
  <c r="I280" i="7"/>
  <c r="J280" i="7"/>
  <c r="I279" i="7"/>
  <c r="J279" i="7"/>
  <c r="A278" i="7"/>
  <c r="I276" i="7"/>
  <c r="J276" i="7"/>
  <c r="I275" i="7"/>
  <c r="J275" i="7"/>
  <c r="A274" i="7"/>
  <c r="K270" i="7"/>
  <c r="P271" i="7" s="1"/>
  <c r="J270" i="7"/>
  <c r="I270" i="7"/>
  <c r="O271" i="7" s="1"/>
  <c r="H270" i="7"/>
  <c r="F270" i="7"/>
  <c r="V270" i="7"/>
  <c r="T270" i="7"/>
  <c r="R270" i="7"/>
  <c r="U270" i="7"/>
  <c r="S270" i="7"/>
  <c r="Q270" i="7"/>
  <c r="E270" i="7"/>
  <c r="D270" i="7"/>
  <c r="B270" i="7"/>
  <c r="H268" i="7"/>
  <c r="K267" i="7"/>
  <c r="P268" i="7" s="1"/>
  <c r="J267" i="7"/>
  <c r="I267" i="7"/>
  <c r="O268" i="7" s="1"/>
  <c r="H267" i="7"/>
  <c r="F267" i="7"/>
  <c r="V267" i="7"/>
  <c r="T267" i="7"/>
  <c r="R267" i="7"/>
  <c r="U267" i="7"/>
  <c r="S267" i="7"/>
  <c r="Q267" i="7"/>
  <c r="E267" i="7"/>
  <c r="D267" i="7"/>
  <c r="B267" i="7"/>
  <c r="H264" i="7"/>
  <c r="J264" i="7"/>
  <c r="I262" i="7"/>
  <c r="H262" i="7"/>
  <c r="E262" i="7"/>
  <c r="K261" i="7"/>
  <c r="J261" i="7"/>
  <c r="E261" i="7"/>
  <c r="J260" i="7"/>
  <c r="I260" i="7"/>
  <c r="E260" i="7"/>
  <c r="K259" i="7"/>
  <c r="J259" i="7"/>
  <c r="I259" i="7"/>
  <c r="H259" i="7"/>
  <c r="F259" i="7"/>
  <c r="K258" i="7"/>
  <c r="J258" i="7"/>
  <c r="I258" i="7"/>
  <c r="H258" i="7"/>
  <c r="F258" i="7"/>
  <c r="K257" i="7"/>
  <c r="J257" i="7"/>
  <c r="I257" i="7"/>
  <c r="H257" i="7"/>
  <c r="F257" i="7"/>
  <c r="K256" i="7"/>
  <c r="J256" i="7"/>
  <c r="I256" i="7"/>
  <c r="H256" i="7"/>
  <c r="F256" i="7"/>
  <c r="C255" i="7"/>
  <c r="V254" i="7"/>
  <c r="T254" i="7"/>
  <c r="R254" i="7"/>
  <c r="K260" i="7" s="1"/>
  <c r="U254" i="7"/>
  <c r="S254" i="7"/>
  <c r="I261" i="7" s="1"/>
  <c r="Q254" i="7"/>
  <c r="E254" i="7"/>
  <c r="D254" i="7"/>
  <c r="B254" i="7"/>
  <c r="J251" i="7"/>
  <c r="I249" i="7"/>
  <c r="H249" i="7"/>
  <c r="E249" i="7"/>
  <c r="J248" i="7"/>
  <c r="E248" i="7"/>
  <c r="K247" i="7"/>
  <c r="J247" i="7"/>
  <c r="E247" i="7"/>
  <c r="K246" i="7"/>
  <c r="J246" i="7"/>
  <c r="H246" i="7"/>
  <c r="I246" i="7"/>
  <c r="H251" i="7" s="1"/>
  <c r="F246" i="7"/>
  <c r="V246" i="7"/>
  <c r="T246" i="7"/>
  <c r="R246" i="7"/>
  <c r="U246" i="7"/>
  <c r="S246" i="7"/>
  <c r="Q246" i="7"/>
  <c r="E246" i="7"/>
  <c r="D246" i="7"/>
  <c r="B246" i="7"/>
  <c r="K245" i="7"/>
  <c r="J245" i="7"/>
  <c r="I245" i="7"/>
  <c r="H245" i="7"/>
  <c r="F245" i="7"/>
  <c r="K244" i="7"/>
  <c r="J244" i="7"/>
  <c r="I244" i="7"/>
  <c r="H244" i="7"/>
  <c r="F244" i="7"/>
  <c r="K243" i="7"/>
  <c r="J243" i="7"/>
  <c r="I243" i="7"/>
  <c r="H243" i="7"/>
  <c r="F243" i="7"/>
  <c r="K242" i="7"/>
  <c r="J252" i="7" s="1"/>
  <c r="J242" i="7"/>
  <c r="I242" i="7"/>
  <c r="O252" i="7" s="1"/>
  <c r="H242" i="7"/>
  <c r="F242" i="7"/>
  <c r="C241" i="7"/>
  <c r="V240" i="7"/>
  <c r="T240" i="7"/>
  <c r="K248" i="7" s="1"/>
  <c r="P252" i="7" s="1"/>
  <c r="R240" i="7"/>
  <c r="U240" i="7"/>
  <c r="S240" i="7"/>
  <c r="I248" i="7" s="1"/>
  <c r="Q240" i="7"/>
  <c r="I247" i="7" s="1"/>
  <c r="H250" i="7" s="1"/>
  <c r="E240" i="7"/>
  <c r="D240" i="7"/>
  <c r="B240" i="7"/>
  <c r="A239" i="7"/>
  <c r="I237" i="7"/>
  <c r="J237" i="7"/>
  <c r="I236" i="7"/>
  <c r="J236" i="7"/>
  <c r="A235" i="7"/>
  <c r="I229" i="7"/>
  <c r="H229" i="7"/>
  <c r="E229" i="7"/>
  <c r="K228" i="7"/>
  <c r="J228" i="7"/>
  <c r="E228" i="7"/>
  <c r="J227" i="7"/>
  <c r="E227" i="7"/>
  <c r="K226" i="7"/>
  <c r="J231" i="7" s="1"/>
  <c r="J226" i="7"/>
  <c r="H226" i="7"/>
  <c r="I226" i="7"/>
  <c r="H231" i="7" s="1"/>
  <c r="F226" i="7"/>
  <c r="V226" i="7"/>
  <c r="T226" i="7"/>
  <c r="R226" i="7"/>
  <c r="K227" i="7" s="1"/>
  <c r="U226" i="7"/>
  <c r="S226" i="7"/>
  <c r="Q226" i="7"/>
  <c r="I227" i="7" s="1"/>
  <c r="E226" i="7"/>
  <c r="D226" i="7"/>
  <c r="B226" i="7"/>
  <c r="K225" i="7"/>
  <c r="J225" i="7"/>
  <c r="I225" i="7"/>
  <c r="H225" i="7"/>
  <c r="F225" i="7"/>
  <c r="K224" i="7"/>
  <c r="J224" i="7"/>
  <c r="I224" i="7"/>
  <c r="H224" i="7"/>
  <c r="F224" i="7"/>
  <c r="V223" i="7"/>
  <c r="T223" i="7"/>
  <c r="R223" i="7"/>
  <c r="U223" i="7"/>
  <c r="S223" i="7"/>
  <c r="I228" i="7" s="1"/>
  <c r="Q223" i="7"/>
  <c r="E223" i="7"/>
  <c r="D223" i="7"/>
  <c r="B223" i="7"/>
  <c r="O221" i="7"/>
  <c r="H221" i="7"/>
  <c r="P221" i="7"/>
  <c r="J221" i="7"/>
  <c r="K220" i="7"/>
  <c r="J220" i="7"/>
  <c r="I220" i="7"/>
  <c r="H220" i="7"/>
  <c r="F220" i="7"/>
  <c r="V220" i="7"/>
  <c r="T220" i="7"/>
  <c r="R220" i="7"/>
  <c r="U220" i="7"/>
  <c r="S220" i="7"/>
  <c r="Q220" i="7"/>
  <c r="E220" i="7"/>
  <c r="D220" i="7"/>
  <c r="B220" i="7"/>
  <c r="H217" i="7"/>
  <c r="J217" i="7"/>
  <c r="I215" i="7"/>
  <c r="H215" i="7"/>
  <c r="E215" i="7"/>
  <c r="J214" i="7"/>
  <c r="I214" i="7"/>
  <c r="H218" i="7" s="1"/>
  <c r="E214" i="7"/>
  <c r="J213" i="7"/>
  <c r="I213" i="7"/>
  <c r="E213" i="7"/>
  <c r="K212" i="7"/>
  <c r="J212" i="7"/>
  <c r="I212" i="7"/>
  <c r="H212" i="7"/>
  <c r="F212" i="7"/>
  <c r="K211" i="7"/>
  <c r="J211" i="7"/>
  <c r="I211" i="7"/>
  <c r="H211" i="7"/>
  <c r="F211" i="7"/>
  <c r="K210" i="7"/>
  <c r="J210" i="7"/>
  <c r="I210" i="7"/>
  <c r="O218" i="7" s="1"/>
  <c r="H210" i="7"/>
  <c r="F210" i="7"/>
  <c r="V209" i="7"/>
  <c r="T209" i="7"/>
  <c r="K214" i="7" s="1"/>
  <c r="R209" i="7"/>
  <c r="K213" i="7" s="1"/>
  <c r="U209" i="7"/>
  <c r="S209" i="7"/>
  <c r="Q209" i="7"/>
  <c r="E209" i="7"/>
  <c r="D209" i="7"/>
  <c r="B209" i="7"/>
  <c r="A208" i="7"/>
  <c r="I206" i="7"/>
  <c r="J206" i="7"/>
  <c r="I205" i="7"/>
  <c r="J205" i="7"/>
  <c r="A204" i="7"/>
  <c r="P201" i="7"/>
  <c r="J200" i="7"/>
  <c r="I198" i="7"/>
  <c r="H198" i="7"/>
  <c r="E198" i="7"/>
  <c r="K197" i="7"/>
  <c r="J197" i="7"/>
  <c r="E197" i="7"/>
  <c r="K196" i="7"/>
  <c r="J196" i="7"/>
  <c r="E196" i="7"/>
  <c r="K195" i="7"/>
  <c r="J195" i="7"/>
  <c r="H195" i="7"/>
  <c r="I195" i="7"/>
  <c r="H200" i="7" s="1"/>
  <c r="F195" i="7"/>
  <c r="V195" i="7"/>
  <c r="T195" i="7"/>
  <c r="R195" i="7"/>
  <c r="U195" i="7"/>
  <c r="S195" i="7"/>
  <c r="Q195" i="7"/>
  <c r="I196" i="7" s="1"/>
  <c r="E195" i="7"/>
  <c r="D195" i="7"/>
  <c r="B195" i="7"/>
  <c r="K194" i="7"/>
  <c r="J199" i="7" s="1"/>
  <c r="J194" i="7"/>
  <c r="I194" i="7"/>
  <c r="H194" i="7"/>
  <c r="F194" i="7"/>
  <c r="K193" i="7"/>
  <c r="J193" i="7"/>
  <c r="I193" i="7"/>
  <c r="H193" i="7"/>
  <c r="F193" i="7"/>
  <c r="V192" i="7"/>
  <c r="T192" i="7"/>
  <c r="R192" i="7"/>
  <c r="U192" i="7"/>
  <c r="S192" i="7"/>
  <c r="I197" i="7" s="1"/>
  <c r="Q192" i="7"/>
  <c r="E192" i="7"/>
  <c r="D192" i="7"/>
  <c r="B192" i="7"/>
  <c r="P190" i="7"/>
  <c r="J190" i="7"/>
  <c r="K189" i="7"/>
  <c r="J189" i="7"/>
  <c r="I189" i="7"/>
  <c r="O190" i="7" s="1"/>
  <c r="H189" i="7"/>
  <c r="F189" i="7"/>
  <c r="V189" i="7"/>
  <c r="T189" i="7"/>
  <c r="R189" i="7"/>
  <c r="U189" i="7"/>
  <c r="S189" i="7"/>
  <c r="Q189" i="7"/>
  <c r="E189" i="7"/>
  <c r="D189" i="7"/>
  <c r="B189" i="7"/>
  <c r="H186" i="7"/>
  <c r="J186" i="7"/>
  <c r="I184" i="7"/>
  <c r="H184" i="7"/>
  <c r="E184" i="7"/>
  <c r="J183" i="7"/>
  <c r="E183" i="7"/>
  <c r="J182" i="7"/>
  <c r="I182" i="7"/>
  <c r="E182" i="7"/>
  <c r="K181" i="7"/>
  <c r="J181" i="7"/>
  <c r="I181" i="7"/>
  <c r="H181" i="7"/>
  <c r="F181" i="7"/>
  <c r="K180" i="7"/>
  <c r="J180" i="7"/>
  <c r="I180" i="7"/>
  <c r="H180" i="7"/>
  <c r="F180" i="7"/>
  <c r="V179" i="7"/>
  <c r="T179" i="7"/>
  <c r="K183" i="7" s="1"/>
  <c r="R179" i="7"/>
  <c r="K182" i="7" s="1"/>
  <c r="U179" i="7"/>
  <c r="S179" i="7"/>
  <c r="I183" i="7" s="1"/>
  <c r="O187" i="7" s="1"/>
  <c r="Q179" i="7"/>
  <c r="E179" i="7"/>
  <c r="D179" i="7"/>
  <c r="B179" i="7"/>
  <c r="J176" i="7"/>
  <c r="I174" i="7"/>
  <c r="H174" i="7"/>
  <c r="E174" i="7"/>
  <c r="J173" i="7"/>
  <c r="E173" i="7"/>
  <c r="K172" i="7"/>
  <c r="J172" i="7"/>
  <c r="E172" i="7"/>
  <c r="K171" i="7"/>
  <c r="J171" i="7"/>
  <c r="H171" i="7"/>
  <c r="I171" i="7"/>
  <c r="H176" i="7" s="1"/>
  <c r="F171" i="7"/>
  <c r="V171" i="7"/>
  <c r="T171" i="7"/>
  <c r="R171" i="7"/>
  <c r="U171" i="7"/>
  <c r="S171" i="7"/>
  <c r="Q171" i="7"/>
  <c r="E171" i="7"/>
  <c r="D171" i="7"/>
  <c r="B171" i="7"/>
  <c r="K170" i="7"/>
  <c r="J170" i="7"/>
  <c r="I170" i="7"/>
  <c r="H170" i="7"/>
  <c r="F170" i="7"/>
  <c r="K169" i="7"/>
  <c r="J169" i="7"/>
  <c r="I169" i="7"/>
  <c r="H169" i="7"/>
  <c r="F169" i="7"/>
  <c r="K168" i="7"/>
  <c r="J175" i="7" s="1"/>
  <c r="J168" i="7"/>
  <c r="I168" i="7"/>
  <c r="H168" i="7"/>
  <c r="F168" i="7"/>
  <c r="K167" i="7"/>
  <c r="J167" i="7"/>
  <c r="I167" i="7"/>
  <c r="H167" i="7"/>
  <c r="F167" i="7"/>
  <c r="V166" i="7"/>
  <c r="T166" i="7"/>
  <c r="K173" i="7" s="1"/>
  <c r="P177" i="7" s="1"/>
  <c r="R166" i="7"/>
  <c r="U166" i="7"/>
  <c r="S166" i="7"/>
  <c r="I173" i="7" s="1"/>
  <c r="Q166" i="7"/>
  <c r="I172" i="7" s="1"/>
  <c r="E166" i="7"/>
  <c r="D166" i="7"/>
  <c r="B166" i="7"/>
  <c r="H163" i="7"/>
  <c r="I161" i="7"/>
  <c r="H161" i="7"/>
  <c r="E161" i="7"/>
  <c r="J160" i="7"/>
  <c r="E160" i="7"/>
  <c r="J159" i="7"/>
  <c r="E159" i="7"/>
  <c r="K158" i="7"/>
  <c r="J163" i="7" s="1"/>
  <c r="J158" i="7"/>
  <c r="H158" i="7"/>
  <c r="I158" i="7"/>
  <c r="F158" i="7"/>
  <c r="V158" i="7"/>
  <c r="T158" i="7"/>
  <c r="K160" i="7" s="1"/>
  <c r="R158" i="7"/>
  <c r="U158" i="7"/>
  <c r="S158" i="7"/>
  <c r="I160" i="7" s="1"/>
  <c r="Q158" i="7"/>
  <c r="I159" i="7" s="1"/>
  <c r="E158" i="7"/>
  <c r="D158" i="7"/>
  <c r="B158" i="7"/>
  <c r="K157" i="7"/>
  <c r="J157" i="7"/>
  <c r="I157" i="7"/>
  <c r="H157" i="7"/>
  <c r="F157" i="7"/>
  <c r="K156" i="7"/>
  <c r="J156" i="7"/>
  <c r="I156" i="7"/>
  <c r="H156" i="7"/>
  <c r="F156" i="7"/>
  <c r="K155" i="7"/>
  <c r="J155" i="7"/>
  <c r="I155" i="7"/>
  <c r="H155" i="7"/>
  <c r="F155" i="7"/>
  <c r="K154" i="7"/>
  <c r="J154" i="7"/>
  <c r="I154" i="7"/>
  <c r="H154" i="7"/>
  <c r="F154" i="7"/>
  <c r="V153" i="7"/>
  <c r="T153" i="7"/>
  <c r="R153" i="7"/>
  <c r="K159" i="7" s="1"/>
  <c r="P164" i="7" s="1"/>
  <c r="U153" i="7"/>
  <c r="S153" i="7"/>
  <c r="Q153" i="7"/>
  <c r="E153" i="7"/>
  <c r="D153" i="7"/>
  <c r="B153" i="7"/>
  <c r="P151" i="7"/>
  <c r="J151" i="7"/>
  <c r="K150" i="7"/>
  <c r="J150" i="7"/>
  <c r="I150" i="7"/>
  <c r="O151" i="7" s="1"/>
  <c r="H150" i="7"/>
  <c r="F150" i="7"/>
  <c r="V150" i="7"/>
  <c r="T150" i="7"/>
  <c r="R150" i="7"/>
  <c r="U150" i="7"/>
  <c r="S150" i="7"/>
  <c r="Q150" i="7"/>
  <c r="E150" i="7"/>
  <c r="D150" i="7"/>
  <c r="B149" i="7"/>
  <c r="H146" i="7"/>
  <c r="J146" i="7"/>
  <c r="I144" i="7"/>
  <c r="H144" i="7"/>
  <c r="E144" i="7"/>
  <c r="J143" i="7"/>
  <c r="E143" i="7"/>
  <c r="J142" i="7"/>
  <c r="I142" i="7"/>
  <c r="E142" i="7"/>
  <c r="K141" i="7"/>
  <c r="J141" i="7"/>
  <c r="I141" i="7"/>
  <c r="H141" i="7"/>
  <c r="F141" i="7"/>
  <c r="K140" i="7"/>
  <c r="J140" i="7"/>
  <c r="I140" i="7"/>
  <c r="H140" i="7"/>
  <c r="F140" i="7"/>
  <c r="V139" i="7"/>
  <c r="T139" i="7"/>
  <c r="K143" i="7" s="1"/>
  <c r="R139" i="7"/>
  <c r="K142" i="7" s="1"/>
  <c r="U139" i="7"/>
  <c r="S139" i="7"/>
  <c r="I143" i="7" s="1"/>
  <c r="O147" i="7" s="1"/>
  <c r="Q139" i="7"/>
  <c r="E139" i="7"/>
  <c r="D139" i="7"/>
  <c r="B139" i="7"/>
  <c r="J136" i="7"/>
  <c r="I134" i="7"/>
  <c r="H134" i="7"/>
  <c r="E134" i="7"/>
  <c r="J133" i="7"/>
  <c r="E133" i="7"/>
  <c r="K132" i="7"/>
  <c r="J132" i="7"/>
  <c r="E132" i="7"/>
  <c r="K131" i="7"/>
  <c r="J131" i="7"/>
  <c r="H131" i="7"/>
  <c r="I131" i="7"/>
  <c r="H136" i="7" s="1"/>
  <c r="F131" i="7"/>
  <c r="V131" i="7"/>
  <c r="T131" i="7"/>
  <c r="R131" i="7"/>
  <c r="U131" i="7"/>
  <c r="S131" i="7"/>
  <c r="Q131" i="7"/>
  <c r="E131" i="7"/>
  <c r="D131" i="7"/>
  <c r="B131" i="7"/>
  <c r="K130" i="7"/>
  <c r="J130" i="7"/>
  <c r="I130" i="7"/>
  <c r="H130" i="7"/>
  <c r="F130" i="7"/>
  <c r="K129" i="7"/>
  <c r="J129" i="7"/>
  <c r="I129" i="7"/>
  <c r="H129" i="7"/>
  <c r="F129" i="7"/>
  <c r="K128" i="7"/>
  <c r="J128" i="7"/>
  <c r="I128" i="7"/>
  <c r="H128" i="7"/>
  <c r="F128" i="7"/>
  <c r="K127" i="7"/>
  <c r="J127" i="7"/>
  <c r="I127" i="7"/>
  <c r="O137" i="7" s="1"/>
  <c r="H127" i="7"/>
  <c r="F127" i="7"/>
  <c r="V126" i="7"/>
  <c r="T126" i="7"/>
  <c r="K133" i="7" s="1"/>
  <c r="P137" i="7" s="1"/>
  <c r="R126" i="7"/>
  <c r="U126" i="7"/>
  <c r="S126" i="7"/>
  <c r="I133" i="7" s="1"/>
  <c r="Q126" i="7"/>
  <c r="I132" i="7" s="1"/>
  <c r="H135" i="7" s="1"/>
  <c r="E126" i="7"/>
  <c r="D126" i="7"/>
  <c r="B126" i="7"/>
  <c r="A125" i="7"/>
  <c r="I123" i="7"/>
  <c r="J123" i="7"/>
  <c r="I122" i="7"/>
  <c r="J122" i="7"/>
  <c r="AQ121" i="7"/>
  <c r="A121" i="7"/>
  <c r="H117" i="7"/>
  <c r="J117" i="7"/>
  <c r="I115" i="7"/>
  <c r="H115" i="7"/>
  <c r="E115" i="7"/>
  <c r="K114" i="7"/>
  <c r="J114" i="7"/>
  <c r="E114" i="7"/>
  <c r="K113" i="7"/>
  <c r="J113" i="7"/>
  <c r="I113" i="7"/>
  <c r="E113" i="7"/>
  <c r="K112" i="7"/>
  <c r="J112" i="7"/>
  <c r="I112" i="7"/>
  <c r="H112" i="7"/>
  <c r="F112" i="7"/>
  <c r="K111" i="7"/>
  <c r="J111" i="7"/>
  <c r="I111" i="7"/>
  <c r="H111" i="7"/>
  <c r="F111" i="7"/>
  <c r="K110" i="7"/>
  <c r="P118" i="7" s="1"/>
  <c r="J110" i="7"/>
  <c r="I110" i="7"/>
  <c r="H110" i="7"/>
  <c r="F110" i="7"/>
  <c r="C109" i="7"/>
  <c r="V108" i="7"/>
  <c r="T108" i="7"/>
  <c r="R108" i="7"/>
  <c r="U108" i="7"/>
  <c r="S108" i="7"/>
  <c r="I114" i="7" s="1"/>
  <c r="Q108" i="7"/>
  <c r="E108" i="7"/>
  <c r="D108" i="7"/>
  <c r="B108" i="7"/>
  <c r="H105" i="7"/>
  <c r="J105" i="7"/>
  <c r="I103" i="7"/>
  <c r="H103" i="7"/>
  <c r="E103" i="7"/>
  <c r="K102" i="7"/>
  <c r="J102" i="7"/>
  <c r="E102" i="7"/>
  <c r="K101" i="7"/>
  <c r="J101" i="7"/>
  <c r="E101" i="7"/>
  <c r="K100" i="7"/>
  <c r="J100" i="7"/>
  <c r="I100" i="7"/>
  <c r="H100" i="7"/>
  <c r="F100" i="7"/>
  <c r="K99" i="7"/>
  <c r="P106" i="7" s="1"/>
  <c r="J99" i="7"/>
  <c r="I99" i="7"/>
  <c r="H99" i="7"/>
  <c r="F99" i="7"/>
  <c r="K98" i="7"/>
  <c r="J106" i="7" s="1"/>
  <c r="J98" i="7"/>
  <c r="I98" i="7"/>
  <c r="H98" i="7"/>
  <c r="F98" i="7"/>
  <c r="C97" i="7"/>
  <c r="V96" i="7"/>
  <c r="T96" i="7"/>
  <c r="R96" i="7"/>
  <c r="U96" i="7"/>
  <c r="S96" i="7"/>
  <c r="I102" i="7" s="1"/>
  <c r="Q96" i="7"/>
  <c r="I101" i="7" s="1"/>
  <c r="H104" i="7" s="1"/>
  <c r="E96" i="7"/>
  <c r="D96" i="7"/>
  <c r="B96" i="7"/>
  <c r="H93" i="7"/>
  <c r="J93" i="7"/>
  <c r="I91" i="7"/>
  <c r="H91" i="7"/>
  <c r="E91" i="7"/>
  <c r="J90" i="7"/>
  <c r="I90" i="7"/>
  <c r="E90" i="7"/>
  <c r="K89" i="7"/>
  <c r="J89" i="7"/>
  <c r="E89" i="7"/>
  <c r="K88" i="7"/>
  <c r="J88" i="7"/>
  <c r="I88" i="7"/>
  <c r="H88" i="7"/>
  <c r="F88" i="7"/>
  <c r="V87" i="7"/>
  <c r="T87" i="7"/>
  <c r="K90" i="7" s="1"/>
  <c r="J92" i="7" s="1"/>
  <c r="R87" i="7"/>
  <c r="U87" i="7"/>
  <c r="S87" i="7"/>
  <c r="Q87" i="7"/>
  <c r="I89" i="7" s="1"/>
  <c r="E87" i="7"/>
  <c r="D87" i="7"/>
  <c r="B87" i="7"/>
  <c r="H84" i="7"/>
  <c r="J84" i="7"/>
  <c r="I82" i="7"/>
  <c r="H82" i="7"/>
  <c r="E82" i="7"/>
  <c r="J81" i="7"/>
  <c r="E81" i="7"/>
  <c r="K80" i="7"/>
  <c r="J80" i="7"/>
  <c r="E80" i="7"/>
  <c r="K79" i="7"/>
  <c r="J79" i="7"/>
  <c r="I79" i="7"/>
  <c r="H79" i="7"/>
  <c r="F79" i="7"/>
  <c r="V78" i="7"/>
  <c r="T78" i="7"/>
  <c r="K81" i="7" s="1"/>
  <c r="P85" i="7" s="1"/>
  <c r="R78" i="7"/>
  <c r="U78" i="7"/>
  <c r="S78" i="7"/>
  <c r="I81" i="7" s="1"/>
  <c r="Q78" i="7"/>
  <c r="I80" i="7" s="1"/>
  <c r="E78" i="7"/>
  <c r="D78" i="7"/>
  <c r="B78" i="7"/>
  <c r="H75" i="7"/>
  <c r="J75" i="7"/>
  <c r="I73" i="7"/>
  <c r="H73" i="7"/>
  <c r="E73" i="7"/>
  <c r="J72" i="7"/>
  <c r="I72" i="7"/>
  <c r="E72" i="7"/>
  <c r="J71" i="7"/>
  <c r="E71" i="7"/>
  <c r="K70" i="7"/>
  <c r="J70" i="7"/>
  <c r="I70" i="7"/>
  <c r="O76" i="7" s="1"/>
  <c r="H70" i="7"/>
  <c r="F70" i="7"/>
  <c r="V69" i="7"/>
  <c r="T69" i="7"/>
  <c r="K72" i="7" s="1"/>
  <c r="R69" i="7"/>
  <c r="K71" i="7" s="1"/>
  <c r="U69" i="7"/>
  <c r="S69" i="7"/>
  <c r="Q69" i="7"/>
  <c r="I71" i="7" s="1"/>
  <c r="H76" i="7" s="1"/>
  <c r="E69" i="7"/>
  <c r="D69" i="7"/>
  <c r="B69" i="7"/>
  <c r="H66" i="7"/>
  <c r="P67" i="7"/>
  <c r="J66" i="7"/>
  <c r="I64" i="7"/>
  <c r="H64" i="7"/>
  <c r="E64" i="7"/>
  <c r="K63" i="7"/>
  <c r="J63" i="7"/>
  <c r="E63" i="7"/>
  <c r="K62" i="7"/>
  <c r="J67" i="7" s="1"/>
  <c r="J62" i="7"/>
  <c r="E62" i="7"/>
  <c r="K61" i="7"/>
  <c r="J65" i="7" s="1"/>
  <c r="J61" i="7"/>
  <c r="I61" i="7"/>
  <c r="H61" i="7"/>
  <c r="F61" i="7"/>
  <c r="V60" i="7"/>
  <c r="T60" i="7"/>
  <c r="R60" i="7"/>
  <c r="U60" i="7"/>
  <c r="S60" i="7"/>
  <c r="I63" i="7" s="1"/>
  <c r="Q60" i="7"/>
  <c r="I62" i="7" s="1"/>
  <c r="E60" i="7"/>
  <c r="D60" i="7"/>
  <c r="B60" i="7"/>
  <c r="H57" i="7"/>
  <c r="J57" i="7"/>
  <c r="I55" i="7"/>
  <c r="H55" i="7"/>
  <c r="E55" i="7"/>
  <c r="J54" i="7"/>
  <c r="I54" i="7"/>
  <c r="E54" i="7"/>
  <c r="K53" i="7"/>
  <c r="J53" i="7"/>
  <c r="E53" i="7"/>
  <c r="K52" i="7"/>
  <c r="J52" i="7"/>
  <c r="I52" i="7"/>
  <c r="H52" i="7"/>
  <c r="F52" i="7"/>
  <c r="V51" i="7"/>
  <c r="T51" i="7"/>
  <c r="K54" i="7" s="1"/>
  <c r="R51" i="7"/>
  <c r="U51" i="7"/>
  <c r="S51" i="7"/>
  <c r="Q51" i="7"/>
  <c r="I53" i="7" s="1"/>
  <c r="E51" i="7"/>
  <c r="D51" i="7"/>
  <c r="B51" i="7"/>
  <c r="H48" i="7"/>
  <c r="J48" i="7"/>
  <c r="I46" i="7"/>
  <c r="H46" i="7"/>
  <c r="E46" i="7"/>
  <c r="J45" i="7"/>
  <c r="E45" i="7"/>
  <c r="K44" i="7"/>
  <c r="J44" i="7"/>
  <c r="E44" i="7"/>
  <c r="K43" i="7"/>
  <c r="J43" i="7"/>
  <c r="I43" i="7"/>
  <c r="H43" i="7"/>
  <c r="F43" i="7"/>
  <c r="K42" i="7"/>
  <c r="J42" i="7"/>
  <c r="I42" i="7"/>
  <c r="H42" i="7"/>
  <c r="F42" i="7"/>
  <c r="K41" i="7"/>
  <c r="J41" i="7"/>
  <c r="I41" i="7"/>
  <c r="H41" i="7"/>
  <c r="F41" i="7"/>
  <c r="C40" i="7"/>
  <c r="V39" i="7"/>
  <c r="T39" i="7"/>
  <c r="K45" i="7" s="1"/>
  <c r="P49" i="7" s="1"/>
  <c r="R39" i="7"/>
  <c r="U39" i="7"/>
  <c r="S39" i="7"/>
  <c r="I45" i="7" s="1"/>
  <c r="Q39" i="7"/>
  <c r="I44" i="7" s="1"/>
  <c r="E39" i="7"/>
  <c r="D39" i="7"/>
  <c r="B39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1" i="3"/>
  <c r="Y1" i="3"/>
  <c r="CY1" i="3"/>
  <c r="CZ1" i="3"/>
  <c r="DA1" i="3"/>
  <c r="DB1" i="3"/>
  <c r="DC1" i="3"/>
  <c r="A2" i="3"/>
  <c r="Y2" i="3"/>
  <c r="CY2" i="3"/>
  <c r="CZ2" i="3"/>
  <c r="DB2" i="3" s="1"/>
  <c r="DA2" i="3"/>
  <c r="DC2" i="3"/>
  <c r="A3" i="3"/>
  <c r="Y3" i="3"/>
  <c r="CY3" i="3"/>
  <c r="CZ3" i="3"/>
  <c r="DB3" i="3" s="1"/>
  <c r="DA3" i="3"/>
  <c r="DC3" i="3"/>
  <c r="A4" i="3"/>
  <c r="Y4" i="3"/>
  <c r="CY4" i="3"/>
  <c r="CZ4" i="3"/>
  <c r="DA4" i="3"/>
  <c r="DB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V9" i="3" s="1"/>
  <c r="CU9" i="3"/>
  <c r="CX9" i="3"/>
  <c r="DH9" i="3" s="1"/>
  <c r="CY9" i="3"/>
  <c r="CZ9" i="3"/>
  <c r="DB9" i="3" s="1"/>
  <c r="DA9" i="3"/>
  <c r="DC9" i="3"/>
  <c r="A10" i="3"/>
  <c r="Y10" i="3"/>
  <c r="CX10" i="3"/>
  <c r="CY10" i="3"/>
  <c r="CZ10" i="3"/>
  <c r="DB10" i="3" s="1"/>
  <c r="DA10" i="3"/>
  <c r="DC10" i="3"/>
  <c r="A11" i="3"/>
  <c r="Y11" i="3"/>
  <c r="CX11" i="3" s="1"/>
  <c r="CY11" i="3"/>
  <c r="CZ11" i="3"/>
  <c r="DA11" i="3"/>
  <c r="DB11" i="3"/>
  <c r="DC11" i="3"/>
  <c r="DF11" i="3"/>
  <c r="DJ11" i="3" s="1"/>
  <c r="A12" i="3"/>
  <c r="Y12" i="3"/>
  <c r="CX12" i="3"/>
  <c r="CY12" i="3"/>
  <c r="CZ12" i="3"/>
  <c r="DB12" i="3" s="1"/>
  <c r="DA12" i="3"/>
  <c r="DC12" i="3"/>
  <c r="DI12" i="3"/>
  <c r="A13" i="3"/>
  <c r="Y13" i="3"/>
  <c r="CX13" i="3" s="1"/>
  <c r="CY13" i="3"/>
  <c r="CZ13" i="3"/>
  <c r="DA13" i="3"/>
  <c r="DB13" i="3"/>
  <c r="DC13" i="3"/>
  <c r="A14" i="3"/>
  <c r="Y14" i="3"/>
  <c r="CU14" i="3"/>
  <c r="CV14" i="3"/>
  <c r="CX14" i="3"/>
  <c r="DI14" i="3" s="1"/>
  <c r="CY14" i="3"/>
  <c r="CZ14" i="3"/>
  <c r="DB14" i="3" s="1"/>
  <c r="DA14" i="3"/>
  <c r="DC14" i="3"/>
  <c r="DF14" i="3"/>
  <c r="DG14" i="3"/>
  <c r="DH14" i="3"/>
  <c r="DJ14" i="3"/>
  <c r="A15" i="3"/>
  <c r="Y15" i="3"/>
  <c r="CX15" i="3"/>
  <c r="CY15" i="3"/>
  <c r="CZ15" i="3"/>
  <c r="DA15" i="3"/>
  <c r="DB15" i="3"/>
  <c r="DC15" i="3"/>
  <c r="A16" i="3"/>
  <c r="Y16" i="3"/>
  <c r="CX16" i="3" s="1"/>
  <c r="DG16" i="3" s="1"/>
  <c r="CY16" i="3"/>
  <c r="CZ16" i="3"/>
  <c r="DA16" i="3"/>
  <c r="DB16" i="3"/>
  <c r="DC16" i="3"/>
  <c r="A17" i="3"/>
  <c r="Y17" i="3"/>
  <c r="CX17" i="3" s="1"/>
  <c r="CY17" i="3"/>
  <c r="CZ17" i="3"/>
  <c r="DA17" i="3"/>
  <c r="DB17" i="3"/>
  <c r="DC17" i="3"/>
  <c r="DG17" i="3"/>
  <c r="A18" i="3"/>
  <c r="Y18" i="3"/>
  <c r="CX18" i="3" s="1"/>
  <c r="DH18" i="3" s="1"/>
  <c r="CY18" i="3"/>
  <c r="CZ18" i="3"/>
  <c r="DA18" i="3"/>
  <c r="DB18" i="3"/>
  <c r="DC18" i="3"/>
  <c r="DF18" i="3"/>
  <c r="DJ18" i="3" s="1"/>
  <c r="DG18" i="3"/>
  <c r="DI18" i="3"/>
  <c r="A19" i="3"/>
  <c r="Y19" i="3"/>
  <c r="CU19" i="3"/>
  <c r="CV19" i="3"/>
  <c r="CX19" i="3"/>
  <c r="CY19" i="3"/>
  <c r="CZ19" i="3"/>
  <c r="DA19" i="3"/>
  <c r="DB19" i="3"/>
  <c r="DC19" i="3"/>
  <c r="DF19" i="3"/>
  <c r="A20" i="3"/>
  <c r="Y20" i="3"/>
  <c r="CX20" i="3" s="1"/>
  <c r="CY20" i="3"/>
  <c r="CZ20" i="3"/>
  <c r="DB20" i="3" s="1"/>
  <c r="DA20" i="3"/>
  <c r="DC20" i="3"/>
  <c r="A21" i="3"/>
  <c r="Y21" i="3"/>
  <c r="CX21" i="3" s="1"/>
  <c r="DH21" i="3" s="1"/>
  <c r="CY21" i="3"/>
  <c r="CZ21" i="3"/>
  <c r="DA21" i="3"/>
  <c r="DB21" i="3"/>
  <c r="DC21" i="3"/>
  <c r="A22" i="3"/>
  <c r="Y22" i="3"/>
  <c r="CX22" i="3"/>
  <c r="CY22" i="3"/>
  <c r="CZ22" i="3"/>
  <c r="DA22" i="3"/>
  <c r="DB22" i="3"/>
  <c r="DC22" i="3"/>
  <c r="A23" i="3"/>
  <c r="Y23" i="3"/>
  <c r="CX23" i="3"/>
  <c r="CY23" i="3"/>
  <c r="CZ23" i="3"/>
  <c r="DB23" i="3" s="1"/>
  <c r="DA23" i="3"/>
  <c r="DC23" i="3"/>
  <c r="A24" i="3"/>
  <c r="Y24" i="3"/>
  <c r="CX24" i="3" s="1"/>
  <c r="DG24" i="3" s="1"/>
  <c r="CU24" i="3"/>
  <c r="CV24" i="3"/>
  <c r="CY24" i="3"/>
  <c r="CZ24" i="3"/>
  <c r="DA24" i="3"/>
  <c r="DB24" i="3"/>
  <c r="DC24" i="3"/>
  <c r="DH24" i="3"/>
  <c r="A25" i="3"/>
  <c r="Y25" i="3"/>
  <c r="CX25" i="3" s="1"/>
  <c r="CY25" i="3"/>
  <c r="CZ25" i="3"/>
  <c r="DB25" i="3" s="1"/>
  <c r="DA25" i="3"/>
  <c r="DC25" i="3"/>
  <c r="A26" i="3"/>
  <c r="Y26" i="3"/>
  <c r="CX26" i="3" s="1"/>
  <c r="DH26" i="3" s="1"/>
  <c r="CY26" i="3"/>
  <c r="CZ26" i="3"/>
  <c r="DA26" i="3"/>
  <c r="DB26" i="3"/>
  <c r="DC26" i="3"/>
  <c r="DF26" i="3"/>
  <c r="DJ26" i="3" s="1"/>
  <c r="DI26" i="3"/>
  <c r="A27" i="3"/>
  <c r="Y27" i="3"/>
  <c r="CX27" i="3"/>
  <c r="CY27" i="3"/>
  <c r="CZ27" i="3"/>
  <c r="DB27" i="3" s="1"/>
  <c r="DA27" i="3"/>
  <c r="DC27" i="3"/>
  <c r="DF27" i="3"/>
  <c r="DJ27" i="3" s="1"/>
  <c r="A28" i="3"/>
  <c r="Y28" i="3"/>
  <c r="CX28" i="3"/>
  <c r="CY28" i="3"/>
  <c r="CZ28" i="3"/>
  <c r="DB28" i="3" s="1"/>
  <c r="DA28" i="3"/>
  <c r="DC28" i="3"/>
  <c r="DG28" i="3"/>
  <c r="A29" i="3"/>
  <c r="Y29" i="3"/>
  <c r="CU29" i="3"/>
  <c r="CY29" i="3"/>
  <c r="CZ29" i="3"/>
  <c r="DB29" i="3" s="1"/>
  <c r="DA29" i="3"/>
  <c r="DC29" i="3"/>
  <c r="A30" i="3"/>
  <c r="Y30" i="3"/>
  <c r="CX30" i="3"/>
  <c r="DF30" i="3" s="1"/>
  <c r="CY30" i="3"/>
  <c r="CZ30" i="3"/>
  <c r="DA30" i="3"/>
  <c r="DB30" i="3"/>
  <c r="DC30" i="3"/>
  <c r="DG30" i="3"/>
  <c r="DI30" i="3"/>
  <c r="DJ30" i="3"/>
  <c r="A31" i="3"/>
  <c r="Y31" i="3"/>
  <c r="CX31" i="3" s="1"/>
  <c r="CY31" i="3"/>
  <c r="CZ31" i="3"/>
  <c r="DB31" i="3" s="1"/>
  <c r="DA31" i="3"/>
  <c r="DC31" i="3"/>
  <c r="DG31" i="3"/>
  <c r="A32" i="3"/>
  <c r="Y32" i="3"/>
  <c r="CX32" i="3" s="1"/>
  <c r="DI32" i="3" s="1"/>
  <c r="CY32" i="3"/>
  <c r="CZ32" i="3"/>
  <c r="DB32" i="3" s="1"/>
  <c r="DA32" i="3"/>
  <c r="DC32" i="3"/>
  <c r="A33" i="3"/>
  <c r="Y33" i="3"/>
  <c r="CX33" i="3"/>
  <c r="DH33" i="3" s="1"/>
  <c r="CY33" i="3"/>
  <c r="CZ33" i="3"/>
  <c r="DA33" i="3"/>
  <c r="DB33" i="3"/>
  <c r="DC33" i="3"/>
  <c r="A34" i="3"/>
  <c r="Y34" i="3"/>
  <c r="CU34" i="3"/>
  <c r="CY34" i="3"/>
  <c r="CZ34" i="3"/>
  <c r="DB34" i="3" s="1"/>
  <c r="DA34" i="3"/>
  <c r="DC34" i="3"/>
  <c r="A35" i="3"/>
  <c r="Y35" i="3"/>
  <c r="CX35" i="3"/>
  <c r="CY35" i="3"/>
  <c r="CZ35" i="3"/>
  <c r="DB35" i="3" s="1"/>
  <c r="DA35" i="3"/>
  <c r="DC35" i="3"/>
  <c r="A36" i="3"/>
  <c r="Y36" i="3"/>
  <c r="CX36" i="3" s="1"/>
  <c r="CY36" i="3"/>
  <c r="CZ36" i="3"/>
  <c r="DA36" i="3"/>
  <c r="DB36" i="3"/>
  <c r="DC36" i="3"/>
  <c r="DG36" i="3"/>
  <c r="A37" i="3"/>
  <c r="Y37" i="3"/>
  <c r="CX37" i="3" s="1"/>
  <c r="CY37" i="3"/>
  <c r="CZ37" i="3"/>
  <c r="DA37" i="3"/>
  <c r="DB37" i="3"/>
  <c r="DC37" i="3"/>
  <c r="A38" i="3"/>
  <c r="Y38" i="3"/>
  <c r="CX38" i="3" s="1"/>
  <c r="CY38" i="3"/>
  <c r="CZ38" i="3"/>
  <c r="DB38" i="3" s="1"/>
  <c r="DA38" i="3"/>
  <c r="DC38" i="3"/>
  <c r="A39" i="3"/>
  <c r="Y39" i="3"/>
  <c r="CU39" i="3"/>
  <c r="CV39" i="3"/>
  <c r="CX39" i="3"/>
  <c r="CY39" i="3"/>
  <c r="CZ39" i="3"/>
  <c r="DB39" i="3" s="1"/>
  <c r="DA39" i="3"/>
  <c r="DC39" i="3"/>
  <c r="DH39" i="3"/>
  <c r="A40" i="3"/>
  <c r="Y40" i="3"/>
  <c r="CX40" i="3" s="1"/>
  <c r="DI40" i="3" s="1"/>
  <c r="CY40" i="3"/>
  <c r="CZ40" i="3"/>
  <c r="DB40" i="3" s="1"/>
  <c r="DA40" i="3"/>
  <c r="DC40" i="3"/>
  <c r="A41" i="3"/>
  <c r="Y41" i="3"/>
  <c r="CX41" i="3"/>
  <c r="DH41" i="3" s="1"/>
  <c r="CY41" i="3"/>
  <c r="CZ41" i="3"/>
  <c r="DA41" i="3"/>
  <c r="DB41" i="3"/>
  <c r="DC41" i="3"/>
  <c r="A42" i="3"/>
  <c r="Y42" i="3"/>
  <c r="CX42" i="3" s="1"/>
  <c r="DG42" i="3" s="1"/>
  <c r="CY42" i="3"/>
  <c r="CZ42" i="3"/>
  <c r="DA42" i="3"/>
  <c r="DB42" i="3"/>
  <c r="DC42" i="3"/>
  <c r="DF42" i="3"/>
  <c r="DJ42" i="3" s="1"/>
  <c r="DI42" i="3"/>
  <c r="A43" i="3"/>
  <c r="Y43" i="3"/>
  <c r="CX43" i="3" s="1"/>
  <c r="CY43" i="3"/>
  <c r="CZ43" i="3"/>
  <c r="DA43" i="3"/>
  <c r="DB43" i="3"/>
  <c r="DC43" i="3"/>
  <c r="DG43" i="3"/>
  <c r="DH43" i="3"/>
  <c r="A44" i="3"/>
  <c r="Y44" i="3"/>
  <c r="CX44" i="3"/>
  <c r="CY44" i="3"/>
  <c r="CZ44" i="3"/>
  <c r="DB44" i="3" s="1"/>
  <c r="DA44" i="3"/>
  <c r="DC44" i="3"/>
  <c r="DF44" i="3"/>
  <c r="DJ44" i="3" s="1"/>
  <c r="DG44" i="3"/>
  <c r="DH44" i="3"/>
  <c r="DI44" i="3"/>
  <c r="A45" i="3"/>
  <c r="Y45" i="3"/>
  <c r="CX45" i="3"/>
  <c r="CY45" i="3"/>
  <c r="CZ45" i="3"/>
  <c r="DB45" i="3" s="1"/>
  <c r="DA45" i="3"/>
  <c r="DC45" i="3"/>
  <c r="DF45" i="3"/>
  <c r="DJ45" i="3" s="1"/>
  <c r="DH45" i="3"/>
  <c r="A46" i="3"/>
  <c r="Y46" i="3"/>
  <c r="CX46" i="3" s="1"/>
  <c r="CY46" i="3"/>
  <c r="CZ46" i="3"/>
  <c r="DB46" i="3" s="1"/>
  <c r="DA46" i="3"/>
  <c r="DC46" i="3"/>
  <c r="A47" i="3"/>
  <c r="Y47" i="3"/>
  <c r="CX47" i="3" s="1"/>
  <c r="CY47" i="3"/>
  <c r="CZ47" i="3"/>
  <c r="DA47" i="3"/>
  <c r="DB47" i="3"/>
  <c r="DC47" i="3"/>
  <c r="A48" i="3"/>
  <c r="Y48" i="3"/>
  <c r="CX48" i="3"/>
  <c r="CY48" i="3"/>
  <c r="CZ48" i="3"/>
  <c r="DB48" i="3" s="1"/>
  <c r="DA48" i="3"/>
  <c r="DC48" i="3"/>
  <c r="A49" i="3"/>
  <c r="Y49" i="3"/>
  <c r="CX49" i="3" s="1"/>
  <c r="CY49" i="3"/>
  <c r="CZ49" i="3"/>
  <c r="DB49" i="3" s="1"/>
  <c r="DA49" i="3"/>
  <c r="DC49" i="3"/>
  <c r="DH49" i="3"/>
  <c r="DI49" i="3"/>
  <c r="A50" i="3"/>
  <c r="Y50" i="3"/>
  <c r="CX50" i="3"/>
  <c r="DF50" i="3" s="1"/>
  <c r="CY50" i="3"/>
  <c r="CZ50" i="3"/>
  <c r="DA50" i="3"/>
  <c r="DB50" i="3"/>
  <c r="DC50" i="3"/>
  <c r="DG50" i="3"/>
  <c r="DH50" i="3"/>
  <c r="DI50" i="3"/>
  <c r="DJ50" i="3"/>
  <c r="A51" i="3"/>
  <c r="Y51" i="3"/>
  <c r="CX51" i="3"/>
  <c r="CY51" i="3"/>
  <c r="CZ51" i="3"/>
  <c r="DB51" i="3" s="1"/>
  <c r="DA51" i="3"/>
  <c r="DC51" i="3"/>
  <c r="DF51" i="3"/>
  <c r="DJ51" i="3" s="1"/>
  <c r="DG51" i="3"/>
  <c r="DH51" i="3"/>
  <c r="DI51" i="3"/>
  <c r="A52" i="3"/>
  <c r="Y52" i="3"/>
  <c r="CX52" i="3" s="1"/>
  <c r="DI52" i="3" s="1"/>
  <c r="CY52" i="3"/>
  <c r="CZ52" i="3"/>
  <c r="DB52" i="3" s="1"/>
  <c r="DA52" i="3"/>
  <c r="DC52" i="3"/>
  <c r="DF52" i="3"/>
  <c r="DH52" i="3"/>
  <c r="DJ52" i="3"/>
  <c r="A53" i="3"/>
  <c r="Y53" i="3"/>
  <c r="CX53" i="3"/>
  <c r="DH53" i="3" s="1"/>
  <c r="CY53" i="3"/>
  <c r="CZ53" i="3"/>
  <c r="DA53" i="3"/>
  <c r="DB53" i="3"/>
  <c r="DC53" i="3"/>
  <c r="DF53" i="3"/>
  <c r="DJ53" i="3" s="1"/>
  <c r="DI53" i="3"/>
  <c r="A54" i="3"/>
  <c r="Y54" i="3"/>
  <c r="CU54" i="3"/>
  <c r="CY54" i="3"/>
  <c r="CZ54" i="3"/>
  <c r="DA54" i="3"/>
  <c r="DB54" i="3"/>
  <c r="DC54" i="3"/>
  <c r="A55" i="3"/>
  <c r="Y55" i="3"/>
  <c r="CX55" i="3"/>
  <c r="CY55" i="3"/>
  <c r="CZ55" i="3"/>
  <c r="DB55" i="3" s="1"/>
  <c r="DA55" i="3"/>
  <c r="DC55" i="3"/>
  <c r="A56" i="3"/>
  <c r="Y56" i="3"/>
  <c r="CX56" i="3"/>
  <c r="CY56" i="3"/>
  <c r="CZ56" i="3"/>
  <c r="DB56" i="3" s="1"/>
  <c r="DA56" i="3"/>
  <c r="DC56" i="3"/>
  <c r="A57" i="3"/>
  <c r="Y57" i="3"/>
  <c r="CX57" i="3" s="1"/>
  <c r="CY57" i="3"/>
  <c r="CZ57" i="3"/>
  <c r="DA57" i="3"/>
  <c r="DB57" i="3"/>
  <c r="DC57" i="3"/>
  <c r="DF57" i="3"/>
  <c r="DJ57" i="3" s="1"/>
  <c r="A58" i="3"/>
  <c r="Y58" i="3"/>
  <c r="CX58" i="3"/>
  <c r="CY58" i="3"/>
  <c r="CZ58" i="3"/>
  <c r="DB58" i="3" s="1"/>
  <c r="DA58" i="3"/>
  <c r="DC58" i="3"/>
  <c r="DI58" i="3"/>
  <c r="A59" i="3"/>
  <c r="Y59" i="3"/>
  <c r="CX59" i="3" s="1"/>
  <c r="CY59" i="3"/>
  <c r="CZ59" i="3"/>
  <c r="DA59" i="3"/>
  <c r="DB59" i="3"/>
  <c r="DC59" i="3"/>
  <c r="A60" i="3"/>
  <c r="Y60" i="3"/>
  <c r="CX60" i="3"/>
  <c r="CY60" i="3"/>
  <c r="CZ60" i="3"/>
  <c r="DA60" i="3"/>
  <c r="DB60" i="3"/>
  <c r="DC60" i="3"/>
  <c r="DI60" i="3"/>
  <c r="A61" i="3"/>
  <c r="Y61" i="3"/>
  <c r="CX61" i="3"/>
  <c r="CY61" i="3"/>
  <c r="CZ61" i="3"/>
  <c r="DB61" i="3" s="1"/>
  <c r="DA61" i="3"/>
  <c r="DC61" i="3"/>
  <c r="DI61" i="3"/>
  <c r="A62" i="3"/>
  <c r="Y62" i="3"/>
  <c r="CX62" i="3" s="1"/>
  <c r="DI62" i="3" s="1"/>
  <c r="CY62" i="3"/>
  <c r="CZ62" i="3"/>
  <c r="DB62" i="3" s="1"/>
  <c r="DA62" i="3"/>
  <c r="DC62" i="3"/>
  <c r="A63" i="3"/>
  <c r="Y63" i="3"/>
  <c r="CX63" i="3"/>
  <c r="DH63" i="3" s="1"/>
  <c r="CY63" i="3"/>
  <c r="CZ63" i="3"/>
  <c r="DA63" i="3"/>
  <c r="DB63" i="3"/>
  <c r="DC63" i="3"/>
  <c r="DF63" i="3"/>
  <c r="DJ63" i="3" s="1"/>
  <c r="DI63" i="3"/>
  <c r="A64" i="3"/>
  <c r="Y64" i="3"/>
  <c r="CX64" i="3" s="1"/>
  <c r="CY64" i="3"/>
  <c r="CZ64" i="3"/>
  <c r="DA64" i="3"/>
  <c r="DB64" i="3"/>
  <c r="DC64" i="3"/>
  <c r="A65" i="3"/>
  <c r="Y65" i="3"/>
  <c r="CX65" i="3" s="1"/>
  <c r="CY65" i="3"/>
  <c r="CZ65" i="3"/>
  <c r="DA65" i="3"/>
  <c r="DB65" i="3"/>
  <c r="DC65" i="3"/>
  <c r="DG65" i="3"/>
  <c r="DH65" i="3"/>
  <c r="A66" i="3"/>
  <c r="Y66" i="3"/>
  <c r="CX66" i="3"/>
  <c r="CY66" i="3"/>
  <c r="CZ66" i="3"/>
  <c r="DB66" i="3" s="1"/>
  <c r="DA66" i="3"/>
  <c r="DC66" i="3"/>
  <c r="DF66" i="3"/>
  <c r="DJ66" i="3" s="1"/>
  <c r="DG66" i="3"/>
  <c r="DH66" i="3"/>
  <c r="DI66" i="3"/>
  <c r="A67" i="3"/>
  <c r="Y67" i="3"/>
  <c r="CX67" i="3"/>
  <c r="DG67" i="3" s="1"/>
  <c r="CY67" i="3"/>
  <c r="CZ67" i="3"/>
  <c r="DB67" i="3" s="1"/>
  <c r="DA67" i="3"/>
  <c r="DC67" i="3"/>
  <c r="DF67" i="3"/>
  <c r="DJ67" i="3" s="1"/>
  <c r="DH67" i="3"/>
  <c r="DI67" i="3"/>
  <c r="A68" i="3"/>
  <c r="Y68" i="3"/>
  <c r="CX68" i="3"/>
  <c r="CY68" i="3"/>
  <c r="CZ68" i="3"/>
  <c r="DB68" i="3" s="1"/>
  <c r="DA68" i="3"/>
  <c r="DC68" i="3"/>
  <c r="DG68" i="3"/>
  <c r="DH68" i="3"/>
  <c r="A69" i="3"/>
  <c r="Y69" i="3"/>
  <c r="CX69" i="3" s="1"/>
  <c r="CU69" i="3"/>
  <c r="CY69" i="3"/>
  <c r="CZ69" i="3"/>
  <c r="DA69" i="3"/>
  <c r="DB69" i="3"/>
  <c r="DC69" i="3"/>
  <c r="DH69" i="3"/>
  <c r="DI69" i="3"/>
  <c r="DJ69" i="3"/>
  <c r="A70" i="3"/>
  <c r="Y70" i="3"/>
  <c r="CX70" i="3"/>
  <c r="DF70" i="3" s="1"/>
  <c r="CY70" i="3"/>
  <c r="CZ70" i="3"/>
  <c r="DA70" i="3"/>
  <c r="DB70" i="3"/>
  <c r="DC70" i="3"/>
  <c r="DH70" i="3"/>
  <c r="DI70" i="3"/>
  <c r="DJ70" i="3"/>
  <c r="A71" i="3"/>
  <c r="Y71" i="3"/>
  <c r="CX71" i="3" s="1"/>
  <c r="DG71" i="3" s="1"/>
  <c r="CY71" i="3"/>
  <c r="CZ71" i="3"/>
  <c r="DB71" i="3" s="1"/>
  <c r="DA71" i="3"/>
  <c r="DC71" i="3"/>
  <c r="A72" i="3"/>
  <c r="Y72" i="3"/>
  <c r="CX72" i="3" s="1"/>
  <c r="CY72" i="3"/>
  <c r="CZ72" i="3"/>
  <c r="DB72" i="3" s="1"/>
  <c r="DA72" i="3"/>
  <c r="DC72" i="3"/>
  <c r="DH72" i="3"/>
  <c r="A73" i="3"/>
  <c r="Y73" i="3"/>
  <c r="CX73" i="3"/>
  <c r="CY73" i="3"/>
  <c r="CZ73" i="3"/>
  <c r="DA73" i="3"/>
  <c r="DB73" i="3"/>
  <c r="DC73" i="3"/>
  <c r="DI73" i="3"/>
  <c r="A74" i="3"/>
  <c r="Y74" i="3"/>
  <c r="CX74" i="3" s="1"/>
  <c r="CY74" i="3"/>
  <c r="CZ74" i="3"/>
  <c r="DA74" i="3"/>
  <c r="DB74" i="3"/>
  <c r="DC74" i="3"/>
  <c r="A75" i="3"/>
  <c r="Y75" i="3"/>
  <c r="CX75" i="3" s="1"/>
  <c r="CY75" i="3"/>
  <c r="CZ75" i="3"/>
  <c r="DB75" i="3" s="1"/>
  <c r="DA75" i="3"/>
  <c r="DC75" i="3"/>
  <c r="A76" i="3"/>
  <c r="Y76" i="3"/>
  <c r="CX76" i="3"/>
  <c r="CY76" i="3"/>
  <c r="CZ76" i="3"/>
  <c r="DB76" i="3" s="1"/>
  <c r="DA76" i="3"/>
  <c r="DC76" i="3"/>
  <c r="DF76" i="3"/>
  <c r="DJ76" i="3" s="1"/>
  <c r="DG76" i="3"/>
  <c r="DH76" i="3"/>
  <c r="DI76" i="3"/>
  <c r="A77" i="3"/>
  <c r="Y77" i="3"/>
  <c r="CX77" i="3"/>
  <c r="CY77" i="3"/>
  <c r="CZ77" i="3"/>
  <c r="DB77" i="3" s="1"/>
  <c r="DA77" i="3"/>
  <c r="DC77" i="3"/>
  <c r="DI77" i="3"/>
  <c r="A78" i="3"/>
  <c r="Y78" i="3"/>
  <c r="CX78" i="3"/>
  <c r="CY78" i="3"/>
  <c r="CZ78" i="3"/>
  <c r="DB78" i="3" s="1"/>
  <c r="DA78" i="3"/>
  <c r="DC78" i="3"/>
  <c r="A79" i="3"/>
  <c r="Y79" i="3"/>
  <c r="CX79" i="3"/>
  <c r="CY79" i="3"/>
  <c r="CZ79" i="3"/>
  <c r="DA79" i="3"/>
  <c r="DB79" i="3"/>
  <c r="DC79" i="3"/>
  <c r="A80" i="3"/>
  <c r="Y80" i="3"/>
  <c r="CX80" i="3" s="1"/>
  <c r="CY80" i="3"/>
  <c r="CZ80" i="3"/>
  <c r="DA80" i="3"/>
  <c r="DB80" i="3"/>
  <c r="DC80" i="3"/>
  <c r="A81" i="3"/>
  <c r="Y81" i="3"/>
  <c r="CX81" i="3" s="1"/>
  <c r="CY81" i="3"/>
  <c r="CZ81" i="3"/>
  <c r="DA81" i="3"/>
  <c r="DB81" i="3"/>
  <c r="DC81" i="3"/>
  <c r="DH81" i="3"/>
  <c r="DI81" i="3"/>
  <c r="A82" i="3"/>
  <c r="Y82" i="3"/>
  <c r="CX82" i="3"/>
  <c r="DF82" i="3" s="1"/>
  <c r="CY82" i="3"/>
  <c r="CZ82" i="3"/>
  <c r="DA82" i="3"/>
  <c r="DB82" i="3"/>
  <c r="DC82" i="3"/>
  <c r="DG82" i="3"/>
  <c r="DH82" i="3"/>
  <c r="DI82" i="3"/>
  <c r="DJ82" i="3"/>
  <c r="A83" i="3"/>
  <c r="Y83" i="3"/>
  <c r="CX83" i="3" s="1"/>
  <c r="DI83" i="3" s="1"/>
  <c r="CY83" i="3"/>
  <c r="CZ83" i="3"/>
  <c r="DB83" i="3" s="1"/>
  <c r="DA83" i="3"/>
  <c r="DC83" i="3"/>
  <c r="DF83" i="3"/>
  <c r="DJ83" i="3" s="1"/>
  <c r="DG83" i="3"/>
  <c r="DH83" i="3"/>
  <c r="A84" i="3"/>
  <c r="Y84" i="3"/>
  <c r="CU84" i="3"/>
  <c r="CV84" i="3"/>
  <c r="CX84" i="3"/>
  <c r="DG84" i="3" s="1"/>
  <c r="CY84" i="3"/>
  <c r="CZ84" i="3"/>
  <c r="DA84" i="3"/>
  <c r="DB84" i="3"/>
  <c r="DC84" i="3"/>
  <c r="DF84" i="3"/>
  <c r="DH84" i="3"/>
  <c r="DI84" i="3"/>
  <c r="DJ84" i="3" s="1"/>
  <c r="A85" i="3"/>
  <c r="Y85" i="3"/>
  <c r="CX85" i="3" s="1"/>
  <c r="DF85" i="3" s="1"/>
  <c r="CY85" i="3"/>
  <c r="CZ85" i="3"/>
  <c r="DA85" i="3"/>
  <c r="DB85" i="3"/>
  <c r="DC85" i="3"/>
  <c r="DG85" i="3"/>
  <c r="DH85" i="3"/>
  <c r="DI85" i="3"/>
  <c r="DJ85" i="3"/>
  <c r="A86" i="3"/>
  <c r="Y86" i="3"/>
  <c r="CX86" i="3"/>
  <c r="CY86" i="3"/>
  <c r="CZ86" i="3"/>
  <c r="DA86" i="3"/>
  <c r="DB86" i="3"/>
  <c r="DC86" i="3"/>
  <c r="DF86" i="3"/>
  <c r="DJ86" i="3" s="1"/>
  <c r="DG86" i="3"/>
  <c r="DH86" i="3"/>
  <c r="DI86" i="3"/>
  <c r="A87" i="3"/>
  <c r="Y87" i="3"/>
  <c r="CX87" i="3"/>
  <c r="CY87" i="3"/>
  <c r="CZ87" i="3"/>
  <c r="DB87" i="3" s="1"/>
  <c r="DA87" i="3"/>
  <c r="DC87" i="3"/>
  <c r="DF87" i="3"/>
  <c r="DJ87" i="3" s="1"/>
  <c r="DG87" i="3"/>
  <c r="DH87" i="3"/>
  <c r="DI87" i="3"/>
  <c r="A88" i="3"/>
  <c r="Y88" i="3"/>
  <c r="CX88" i="3" s="1"/>
  <c r="CY88" i="3"/>
  <c r="CZ88" i="3"/>
  <c r="DA88" i="3"/>
  <c r="DB88" i="3"/>
  <c r="DC88" i="3"/>
  <c r="A89" i="3"/>
  <c r="Y89" i="3"/>
  <c r="CX89" i="3"/>
  <c r="CY89" i="3"/>
  <c r="CZ89" i="3"/>
  <c r="DA89" i="3"/>
  <c r="DB89" i="3"/>
  <c r="DC89" i="3"/>
  <c r="DF89" i="3"/>
  <c r="DG89" i="3"/>
  <c r="DJ89" i="3"/>
  <c r="A90" i="3"/>
  <c r="Y90" i="3"/>
  <c r="CX90" i="3" s="1"/>
  <c r="CY90" i="3"/>
  <c r="CZ90" i="3"/>
  <c r="DA90" i="3"/>
  <c r="DB90" i="3"/>
  <c r="DC90" i="3"/>
  <c r="A91" i="3"/>
  <c r="Y91" i="3"/>
  <c r="CX91" i="3" s="1"/>
  <c r="DI91" i="3" s="1"/>
  <c r="CY91" i="3"/>
  <c r="CZ91" i="3"/>
  <c r="DA91" i="3"/>
  <c r="DB91" i="3"/>
  <c r="DC91" i="3"/>
  <c r="DH91" i="3"/>
  <c r="A92" i="3"/>
  <c r="Y92" i="3"/>
  <c r="CX92" i="3"/>
  <c r="CY92" i="3"/>
  <c r="CZ92" i="3"/>
  <c r="DA92" i="3"/>
  <c r="DB92" i="3"/>
  <c r="DC92" i="3"/>
  <c r="DH92" i="3"/>
  <c r="A93" i="3"/>
  <c r="Y93" i="3"/>
  <c r="CX93" i="3"/>
  <c r="CY93" i="3"/>
  <c r="CZ93" i="3"/>
  <c r="DB93" i="3" s="1"/>
  <c r="DA93" i="3"/>
  <c r="DC93" i="3"/>
  <c r="DH93" i="3"/>
  <c r="A94" i="3"/>
  <c r="Y94" i="3"/>
  <c r="CX94" i="3"/>
  <c r="CY94" i="3"/>
  <c r="CZ94" i="3"/>
  <c r="DB94" i="3" s="1"/>
  <c r="DA94" i="3"/>
  <c r="DC94" i="3"/>
  <c r="A95" i="3"/>
  <c r="Y95" i="3"/>
  <c r="CX95" i="3" s="1"/>
  <c r="CY95" i="3"/>
  <c r="CZ95" i="3"/>
  <c r="DA95" i="3"/>
  <c r="DB95" i="3"/>
  <c r="DC95" i="3"/>
  <c r="A96" i="3"/>
  <c r="Y96" i="3"/>
  <c r="CX96" i="3"/>
  <c r="CY96" i="3"/>
  <c r="CZ96" i="3"/>
  <c r="DA96" i="3"/>
  <c r="DB96" i="3"/>
  <c r="DC96" i="3"/>
  <c r="A97" i="3"/>
  <c r="Y97" i="3"/>
  <c r="CX97" i="3" s="1"/>
  <c r="CY97" i="3"/>
  <c r="CZ97" i="3"/>
  <c r="DB97" i="3" s="1"/>
  <c r="DA97" i="3"/>
  <c r="DC97" i="3"/>
  <c r="A98" i="3"/>
  <c r="Y98" i="3"/>
  <c r="CX98" i="3"/>
  <c r="CY98" i="3"/>
  <c r="CZ98" i="3"/>
  <c r="DB98" i="3" s="1"/>
  <c r="DA98" i="3"/>
  <c r="DC98" i="3"/>
  <c r="DF98" i="3"/>
  <c r="DG98" i="3"/>
  <c r="DH98" i="3"/>
  <c r="DI98" i="3"/>
  <c r="DJ98" i="3"/>
  <c r="A99" i="3"/>
  <c r="Y99" i="3"/>
  <c r="CY99" i="3"/>
  <c r="CZ99" i="3"/>
  <c r="DA99" i="3"/>
  <c r="DB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X107" i="3" s="1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X109" i="3" s="1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X123" i="3" s="1"/>
  <c r="DF123" i="3" s="1"/>
  <c r="CU123" i="3"/>
  <c r="CV123" i="3"/>
  <c r="CY123" i="3"/>
  <c r="CZ123" i="3"/>
  <c r="DB123" i="3" s="1"/>
  <c r="DA123" i="3"/>
  <c r="DC123" i="3"/>
  <c r="DG123" i="3"/>
  <c r="DH123" i="3"/>
  <c r="A124" i="3"/>
  <c r="Y124" i="3"/>
  <c r="CW124" i="3"/>
  <c r="CX124" i="3"/>
  <c r="DH124" i="3" s="1"/>
  <c r="CY124" i="3"/>
  <c r="CZ124" i="3"/>
  <c r="DB124" i="3" s="1"/>
  <c r="DA124" i="3"/>
  <c r="DC124" i="3"/>
  <c r="DF124" i="3"/>
  <c r="DG124" i="3"/>
  <c r="DJ124" i="3" s="1"/>
  <c r="DI124" i="3"/>
  <c r="A125" i="3"/>
  <c r="Y125" i="3"/>
  <c r="CX125" i="3"/>
  <c r="CY125" i="3"/>
  <c r="CZ125" i="3"/>
  <c r="DA125" i="3"/>
  <c r="DB125" i="3"/>
  <c r="DC125" i="3"/>
  <c r="A126" i="3"/>
  <c r="Y126" i="3"/>
  <c r="CX126" i="3" s="1"/>
  <c r="CY126" i="3"/>
  <c r="CZ126" i="3"/>
  <c r="DA126" i="3"/>
  <c r="DB126" i="3"/>
  <c r="DC126" i="3"/>
  <c r="DF126" i="3"/>
  <c r="DJ126" i="3" s="1"/>
  <c r="DG126" i="3"/>
  <c r="A127" i="3"/>
  <c r="Y127" i="3"/>
  <c r="CX127" i="3" s="1"/>
  <c r="CY127" i="3"/>
  <c r="CZ127" i="3"/>
  <c r="DB127" i="3" s="1"/>
  <c r="DA127" i="3"/>
  <c r="DC127" i="3"/>
  <c r="A128" i="3"/>
  <c r="Y128" i="3"/>
  <c r="CV128" i="3" s="1"/>
  <c r="CU128" i="3"/>
  <c r="CX128" i="3"/>
  <c r="CY128" i="3"/>
  <c r="CZ128" i="3"/>
  <c r="DB128" i="3" s="1"/>
  <c r="DA128" i="3"/>
  <c r="DC128" i="3"/>
  <c r="A129" i="3"/>
  <c r="Y129" i="3"/>
  <c r="CW129" i="3" s="1"/>
  <c r="CX129" i="3"/>
  <c r="CY129" i="3"/>
  <c r="CZ129" i="3"/>
  <c r="DA129" i="3"/>
  <c r="DB129" i="3"/>
  <c r="DC129" i="3"/>
  <c r="A130" i="3"/>
  <c r="Y130" i="3"/>
  <c r="CX130" i="3"/>
  <c r="CY130" i="3"/>
  <c r="CZ130" i="3"/>
  <c r="DA130" i="3"/>
  <c r="DB130" i="3"/>
  <c r="DC130" i="3"/>
  <c r="DF130" i="3"/>
  <c r="DJ130" i="3"/>
  <c r="A131" i="3"/>
  <c r="Y131" i="3"/>
  <c r="CX131" i="3" s="1"/>
  <c r="DF131" i="3" s="1"/>
  <c r="DJ131" i="3" s="1"/>
  <c r="CY131" i="3"/>
  <c r="CZ131" i="3"/>
  <c r="DA131" i="3"/>
  <c r="DB131" i="3"/>
  <c r="DC131" i="3"/>
  <c r="DG131" i="3"/>
  <c r="DH131" i="3"/>
  <c r="DI131" i="3"/>
  <c r="A132" i="3"/>
  <c r="Y132" i="3"/>
  <c r="CX132" i="3"/>
  <c r="DI132" i="3" s="1"/>
  <c r="CY132" i="3"/>
  <c r="CZ132" i="3"/>
  <c r="DA132" i="3"/>
  <c r="DB132" i="3"/>
  <c r="DC132" i="3"/>
  <c r="DF132" i="3"/>
  <c r="DG132" i="3"/>
  <c r="DH132" i="3"/>
  <c r="DJ132" i="3"/>
  <c r="A133" i="3"/>
  <c r="Y133" i="3"/>
  <c r="CV133" i="3" s="1"/>
  <c r="CU133" i="3"/>
  <c r="CX133" i="3"/>
  <c r="CY133" i="3"/>
  <c r="CZ133" i="3"/>
  <c r="DA133" i="3"/>
  <c r="DB133" i="3"/>
  <c r="DC133" i="3"/>
  <c r="DG133" i="3"/>
  <c r="A134" i="3"/>
  <c r="Y134" i="3"/>
  <c r="CV134" i="3" s="1"/>
  <c r="CU134" i="3"/>
  <c r="CX134" i="3"/>
  <c r="CY134" i="3"/>
  <c r="CZ134" i="3"/>
  <c r="DA134" i="3"/>
  <c r="DB134" i="3"/>
  <c r="DC134" i="3"/>
  <c r="A135" i="3"/>
  <c r="Y135" i="3"/>
  <c r="CV135" i="3" s="1"/>
  <c r="CU135" i="3"/>
  <c r="CX135" i="3"/>
  <c r="CY135" i="3"/>
  <c r="CZ135" i="3"/>
  <c r="DA135" i="3"/>
  <c r="DB135" i="3"/>
  <c r="DC135" i="3"/>
  <c r="A136" i="3"/>
  <c r="Y136" i="3"/>
  <c r="CX136" i="3" s="1"/>
  <c r="CY136" i="3"/>
  <c r="CZ136" i="3"/>
  <c r="DA136" i="3"/>
  <c r="DB136" i="3"/>
  <c r="DC136" i="3"/>
  <c r="A137" i="3"/>
  <c r="Y137" i="3"/>
  <c r="CX137" i="3" s="1"/>
  <c r="CY137" i="3"/>
  <c r="CZ137" i="3"/>
  <c r="DB137" i="3" s="1"/>
  <c r="DA137" i="3"/>
  <c r="DC137" i="3"/>
  <c r="A138" i="3"/>
  <c r="Y138" i="3"/>
  <c r="CX138" i="3"/>
  <c r="CY138" i="3"/>
  <c r="CZ138" i="3"/>
  <c r="DB138" i="3" s="1"/>
  <c r="DA138" i="3"/>
  <c r="DC138" i="3"/>
  <c r="A139" i="3"/>
  <c r="Y139" i="3"/>
  <c r="CX139" i="3"/>
  <c r="DG139" i="3" s="1"/>
  <c r="CY139" i="3"/>
  <c r="CZ139" i="3"/>
  <c r="DA139" i="3"/>
  <c r="DB139" i="3"/>
  <c r="DC139" i="3"/>
  <c r="DF139" i="3"/>
  <c r="DJ139" i="3" s="1"/>
  <c r="A140" i="3"/>
  <c r="Y140" i="3"/>
  <c r="CV140" i="3" s="1"/>
  <c r="CU140" i="3"/>
  <c r="CX140" i="3"/>
  <c r="DG140" i="3" s="1"/>
  <c r="CY140" i="3"/>
  <c r="CZ140" i="3"/>
  <c r="DB140" i="3" s="1"/>
  <c r="DA140" i="3"/>
  <c r="DC140" i="3"/>
  <c r="DF140" i="3"/>
  <c r="A141" i="3"/>
  <c r="Y141" i="3"/>
  <c r="CX141" i="3" s="1"/>
  <c r="DG141" i="3" s="1"/>
  <c r="CY141" i="3"/>
  <c r="CZ141" i="3"/>
  <c r="DA141" i="3"/>
  <c r="DB141" i="3"/>
  <c r="DC141" i="3"/>
  <c r="DF141" i="3"/>
  <c r="DJ141" i="3" s="1"/>
  <c r="A142" i="3"/>
  <c r="Y142" i="3"/>
  <c r="CX142" i="3"/>
  <c r="DI142" i="3" s="1"/>
  <c r="CY142" i="3"/>
  <c r="CZ142" i="3"/>
  <c r="DA142" i="3"/>
  <c r="DB142" i="3"/>
  <c r="DC142" i="3"/>
  <c r="DF142" i="3"/>
  <c r="DJ142" i="3" s="1"/>
  <c r="DG142" i="3"/>
  <c r="DH142" i="3"/>
  <c r="A143" i="3"/>
  <c r="Y143" i="3"/>
  <c r="CX143" i="3"/>
  <c r="DH143" i="3" s="1"/>
  <c r="CY143" i="3"/>
  <c r="CZ143" i="3"/>
  <c r="DA143" i="3"/>
  <c r="DB143" i="3"/>
  <c r="DC143" i="3"/>
  <c r="DF143" i="3"/>
  <c r="DJ143" i="3" s="1"/>
  <c r="A144" i="3"/>
  <c r="Y144" i="3"/>
  <c r="CX144" i="3" s="1"/>
  <c r="CY144" i="3"/>
  <c r="CZ144" i="3"/>
  <c r="DA144" i="3"/>
  <c r="DB144" i="3"/>
  <c r="DC144" i="3"/>
  <c r="DF144" i="3"/>
  <c r="DJ144" i="3" s="1"/>
  <c r="DH144" i="3"/>
  <c r="A145" i="3"/>
  <c r="Y145" i="3"/>
  <c r="CU145" i="3"/>
  <c r="CV145" i="3"/>
  <c r="CX145" i="3"/>
  <c r="CY145" i="3"/>
  <c r="CZ145" i="3"/>
  <c r="DB145" i="3" s="1"/>
  <c r="DA145" i="3"/>
  <c r="DC145" i="3"/>
  <c r="DH145" i="3"/>
  <c r="A146" i="3"/>
  <c r="Y146" i="3"/>
  <c r="CY146" i="3"/>
  <c r="CZ146" i="3"/>
  <c r="DA146" i="3"/>
  <c r="DB146" i="3"/>
  <c r="DC146" i="3"/>
  <c r="A147" i="3"/>
  <c r="Y147" i="3"/>
  <c r="CX147" i="3"/>
  <c r="DF147" i="3" s="1"/>
  <c r="CY147" i="3"/>
  <c r="CZ147" i="3"/>
  <c r="DB147" i="3" s="1"/>
  <c r="DA147" i="3"/>
  <c r="DC147" i="3"/>
  <c r="DG147" i="3"/>
  <c r="DH147" i="3"/>
  <c r="DI147" i="3"/>
  <c r="DJ147" i="3"/>
  <c r="A148" i="3"/>
  <c r="Y148" i="3"/>
  <c r="CX148" i="3" s="1"/>
  <c r="CY148" i="3"/>
  <c r="CZ148" i="3"/>
  <c r="DA148" i="3"/>
  <c r="DB148" i="3"/>
  <c r="DC148" i="3"/>
  <c r="A149" i="3"/>
  <c r="Y149" i="3"/>
  <c r="CX149" i="3"/>
  <c r="CY149" i="3"/>
  <c r="CZ149" i="3"/>
  <c r="DB149" i="3" s="1"/>
  <c r="DA149" i="3"/>
  <c r="DC149" i="3"/>
  <c r="DF149" i="3"/>
  <c r="DG149" i="3"/>
  <c r="DH149" i="3"/>
  <c r="DI149" i="3"/>
  <c r="DJ149" i="3"/>
  <c r="A150" i="3"/>
  <c r="Y150" i="3"/>
  <c r="CU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X152" i="3" s="1"/>
  <c r="CY152" i="3"/>
  <c r="CZ152" i="3"/>
  <c r="DA152" i="3"/>
  <c r="DB152" i="3"/>
  <c r="DC152" i="3"/>
  <c r="A153" i="3"/>
  <c r="Y153" i="3"/>
  <c r="CX153" i="3" s="1"/>
  <c r="CY153" i="3"/>
  <c r="CZ153" i="3"/>
  <c r="DB153" i="3" s="1"/>
  <c r="DA153" i="3"/>
  <c r="DC153" i="3"/>
  <c r="A154" i="3"/>
  <c r="Y154" i="3"/>
  <c r="CX154" i="3"/>
  <c r="CY154" i="3"/>
  <c r="CZ154" i="3"/>
  <c r="DA154" i="3"/>
  <c r="DB154" i="3"/>
  <c r="DC154" i="3"/>
  <c r="DG154" i="3"/>
  <c r="A155" i="3"/>
  <c r="Y155" i="3"/>
  <c r="CX155" i="3" s="1"/>
  <c r="DG155" i="3" s="1"/>
  <c r="CU155" i="3"/>
  <c r="CV155" i="3"/>
  <c r="CY155" i="3"/>
  <c r="CZ155" i="3"/>
  <c r="DA155" i="3"/>
  <c r="DB155" i="3"/>
  <c r="DC155" i="3"/>
  <c r="DF155" i="3"/>
  <c r="A156" i="3"/>
  <c r="Y156" i="3"/>
  <c r="CW156" i="3"/>
  <c r="CX156" i="3"/>
  <c r="CY156" i="3"/>
  <c r="CZ156" i="3"/>
  <c r="DA156" i="3"/>
  <c r="DB156" i="3"/>
  <c r="DC156" i="3"/>
  <c r="DF156" i="3"/>
  <c r="DG156" i="3"/>
  <c r="DJ156" i="3" s="1"/>
  <c r="DH156" i="3"/>
  <c r="DI156" i="3"/>
  <c r="A157" i="3"/>
  <c r="Y157" i="3"/>
  <c r="CX157" i="3" s="1"/>
  <c r="DI157" i="3" s="1"/>
  <c r="CY157" i="3"/>
  <c r="CZ157" i="3"/>
  <c r="DA157" i="3"/>
  <c r="DB157" i="3"/>
  <c r="DC157" i="3"/>
  <c r="A158" i="3"/>
  <c r="Y158" i="3"/>
  <c r="CX158" i="3"/>
  <c r="DH158" i="3" s="1"/>
  <c r="CY158" i="3"/>
  <c r="CZ158" i="3"/>
  <c r="DB158" i="3" s="1"/>
  <c r="DA158" i="3"/>
  <c r="DC158" i="3"/>
  <c r="A159" i="3"/>
  <c r="Y159" i="3"/>
  <c r="CX159" i="3" s="1"/>
  <c r="CY159" i="3"/>
  <c r="CZ159" i="3"/>
  <c r="DA159" i="3"/>
  <c r="DB159" i="3"/>
  <c r="DC159" i="3"/>
  <c r="DF159" i="3"/>
  <c r="DJ159" i="3" s="1"/>
  <c r="DH159" i="3"/>
  <c r="A160" i="3"/>
  <c r="Y160" i="3"/>
  <c r="CU160" i="3"/>
  <c r="CV160" i="3"/>
  <c r="CX160" i="3"/>
  <c r="CY160" i="3"/>
  <c r="CZ160" i="3"/>
  <c r="DB160" i="3" s="1"/>
  <c r="DA160" i="3"/>
  <c r="DC160" i="3"/>
  <c r="DH160" i="3"/>
  <c r="A161" i="3"/>
  <c r="Y161" i="3"/>
  <c r="CW161" i="3"/>
  <c r="CX161" i="3"/>
  <c r="DG161" i="3" s="1"/>
  <c r="CY161" i="3"/>
  <c r="CZ161" i="3"/>
  <c r="DA161" i="3"/>
  <c r="DB161" i="3"/>
  <c r="DC161" i="3"/>
  <c r="DF161" i="3"/>
  <c r="DH161" i="3"/>
  <c r="DI161" i="3"/>
  <c r="DJ161" i="3"/>
  <c r="A162" i="3"/>
  <c r="Y162" i="3"/>
  <c r="CX162" i="3"/>
  <c r="DF162" i="3" s="1"/>
  <c r="CY162" i="3"/>
  <c r="CZ162" i="3"/>
  <c r="DB162" i="3" s="1"/>
  <c r="DA162" i="3"/>
  <c r="DC162" i="3"/>
  <c r="DG162" i="3"/>
  <c r="DH162" i="3"/>
  <c r="DI162" i="3"/>
  <c r="DJ162" i="3"/>
  <c r="A163" i="3"/>
  <c r="Y163" i="3"/>
  <c r="CX163" i="3" s="1"/>
  <c r="CY163" i="3"/>
  <c r="CZ163" i="3"/>
  <c r="DA163" i="3"/>
  <c r="DB163" i="3"/>
  <c r="DC163" i="3"/>
  <c r="DF163" i="3"/>
  <c r="DG163" i="3"/>
  <c r="DH163" i="3"/>
  <c r="DI163" i="3"/>
  <c r="DJ163" i="3"/>
  <c r="A164" i="3"/>
  <c r="Y164" i="3"/>
  <c r="CX164" i="3"/>
  <c r="CY164" i="3"/>
  <c r="CZ164" i="3"/>
  <c r="DB164" i="3" s="1"/>
  <c r="DA164" i="3"/>
  <c r="DC164" i="3"/>
  <c r="DF164" i="3"/>
  <c r="DG164" i="3"/>
  <c r="DH164" i="3"/>
  <c r="DI164" i="3"/>
  <c r="DJ164" i="3"/>
  <c r="A165" i="3"/>
  <c r="Y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V167" i="3" s="1"/>
  <c r="CU167" i="3"/>
  <c r="CY167" i="3"/>
  <c r="CZ167" i="3"/>
  <c r="DA167" i="3"/>
  <c r="DB167" i="3"/>
  <c r="DC167" i="3"/>
  <c r="A168" i="3"/>
  <c r="Y168" i="3"/>
  <c r="CX168" i="3"/>
  <c r="DF168" i="3" s="1"/>
  <c r="CY168" i="3"/>
  <c r="CZ168" i="3"/>
  <c r="DB168" i="3" s="1"/>
  <c r="DA168" i="3"/>
  <c r="DC168" i="3"/>
  <c r="DG168" i="3"/>
  <c r="DH168" i="3"/>
  <c r="DI168" i="3"/>
  <c r="DJ168" i="3"/>
  <c r="A169" i="3"/>
  <c r="Y169" i="3"/>
  <c r="CX169" i="3" s="1"/>
  <c r="CY169" i="3"/>
  <c r="CZ169" i="3"/>
  <c r="DA169" i="3"/>
  <c r="DB169" i="3"/>
  <c r="DC169" i="3"/>
  <c r="A170" i="3"/>
  <c r="Y170" i="3"/>
  <c r="CX170" i="3"/>
  <c r="CY170" i="3"/>
  <c r="CZ170" i="3"/>
  <c r="DB170" i="3" s="1"/>
  <c r="DA170" i="3"/>
  <c r="DC170" i="3"/>
  <c r="DF170" i="3"/>
  <c r="DG170" i="3"/>
  <c r="DH170" i="3"/>
  <c r="DI170" i="3"/>
  <c r="DJ170" i="3"/>
  <c r="A171" i="3"/>
  <c r="Y171" i="3"/>
  <c r="CX171" i="3" s="1"/>
  <c r="CY171" i="3"/>
  <c r="CZ171" i="3"/>
  <c r="DA171" i="3"/>
  <c r="DB171" i="3"/>
  <c r="DC171" i="3"/>
  <c r="A172" i="3"/>
  <c r="Y172" i="3"/>
  <c r="CX172" i="3" s="1"/>
  <c r="CU172" i="3"/>
  <c r="CV172" i="3"/>
  <c r="CY172" i="3"/>
  <c r="CZ172" i="3"/>
  <c r="DA172" i="3"/>
  <c r="DB172" i="3"/>
  <c r="DC172" i="3"/>
  <c r="DH172" i="3"/>
  <c r="A173" i="3"/>
  <c r="Y173" i="3"/>
  <c r="CX173" i="3"/>
  <c r="CY173" i="3"/>
  <c r="CZ173" i="3"/>
  <c r="DA173" i="3"/>
  <c r="DB173" i="3"/>
  <c r="DC173" i="3"/>
  <c r="A174" i="3"/>
  <c r="Y174" i="3"/>
  <c r="CX174" i="3"/>
  <c r="CY174" i="3"/>
  <c r="CZ174" i="3"/>
  <c r="DB174" i="3" s="1"/>
  <c r="DA174" i="3"/>
  <c r="DC174" i="3"/>
  <c r="A175" i="3"/>
  <c r="Y175" i="3"/>
  <c r="CX175" i="3" s="1"/>
  <c r="CY175" i="3"/>
  <c r="CZ175" i="3"/>
  <c r="DB175" i="3" s="1"/>
  <c r="DA175" i="3"/>
  <c r="DC175" i="3"/>
  <c r="DH175" i="3"/>
  <c r="A176" i="3"/>
  <c r="Y176" i="3"/>
  <c r="CX176" i="3"/>
  <c r="CY176" i="3"/>
  <c r="CZ176" i="3"/>
  <c r="DA176" i="3"/>
  <c r="DB176" i="3"/>
  <c r="DC176" i="3"/>
  <c r="DG176" i="3"/>
  <c r="DI176" i="3"/>
  <c r="A177" i="3"/>
  <c r="Y177" i="3"/>
  <c r="CX177" i="3" s="1"/>
  <c r="DI177" i="3" s="1"/>
  <c r="DJ177" i="3" s="1"/>
  <c r="CU177" i="3"/>
  <c r="CV177" i="3"/>
  <c r="CY177" i="3"/>
  <c r="CZ177" i="3"/>
  <c r="DA177" i="3"/>
  <c r="DB177" i="3"/>
  <c r="DC177" i="3"/>
  <c r="DF177" i="3"/>
  <c r="DG177" i="3"/>
  <c r="DH177" i="3"/>
  <c r="A178" i="3"/>
  <c r="Y178" i="3"/>
  <c r="CX178" i="3"/>
  <c r="DH178" i="3" s="1"/>
  <c r="CY178" i="3"/>
  <c r="CZ178" i="3"/>
  <c r="DA178" i="3"/>
  <c r="DB178" i="3"/>
  <c r="DC178" i="3"/>
  <c r="DF178" i="3"/>
  <c r="DJ178" i="3" s="1"/>
  <c r="DG178" i="3"/>
  <c r="A179" i="3"/>
  <c r="Y179" i="3"/>
  <c r="CX179" i="3" s="1"/>
  <c r="DH179" i="3" s="1"/>
  <c r="CY179" i="3"/>
  <c r="CZ179" i="3"/>
  <c r="DA179" i="3"/>
  <c r="DB179" i="3"/>
  <c r="DC179" i="3"/>
  <c r="DF179" i="3"/>
  <c r="DJ179" i="3" s="1"/>
  <c r="DG179" i="3"/>
  <c r="A180" i="3"/>
  <c r="Y180" i="3"/>
  <c r="CX180" i="3" s="1"/>
  <c r="DI180" i="3" s="1"/>
  <c r="CY180" i="3"/>
  <c r="CZ180" i="3"/>
  <c r="DA180" i="3"/>
  <c r="DB180" i="3"/>
  <c r="DC180" i="3"/>
  <c r="DF180" i="3"/>
  <c r="DJ180" i="3" s="1"/>
  <c r="DG180" i="3"/>
  <c r="DH180" i="3"/>
  <c r="A181" i="3"/>
  <c r="Y181" i="3"/>
  <c r="CX181" i="3"/>
  <c r="DH181" i="3" s="1"/>
  <c r="CY181" i="3"/>
  <c r="CZ181" i="3"/>
  <c r="DA181" i="3"/>
  <c r="DB181" i="3"/>
  <c r="DC181" i="3"/>
  <c r="DF181" i="3"/>
  <c r="DJ181" i="3" s="1"/>
  <c r="DG181" i="3"/>
  <c r="DI181" i="3"/>
  <c r="A182" i="3"/>
  <c r="Y182" i="3"/>
  <c r="CX182" i="3" s="1"/>
  <c r="CY182" i="3"/>
  <c r="CZ182" i="3"/>
  <c r="DA182" i="3"/>
  <c r="DB182" i="3"/>
  <c r="DC182" i="3"/>
  <c r="DF182" i="3"/>
  <c r="DJ182" i="3" s="1"/>
  <c r="DH182" i="3"/>
  <c r="A183" i="3"/>
  <c r="Y183" i="3"/>
  <c r="CV183" i="3" s="1"/>
  <c r="CU183" i="3"/>
  <c r="CY183" i="3"/>
  <c r="CZ183" i="3"/>
  <c r="DB183" i="3" s="1"/>
  <c r="DA183" i="3"/>
  <c r="DC183" i="3"/>
  <c r="A184" i="3"/>
  <c r="Y184" i="3"/>
  <c r="CX184" i="3"/>
  <c r="CY184" i="3"/>
  <c r="CZ184" i="3"/>
  <c r="DA184" i="3"/>
  <c r="DB184" i="3"/>
  <c r="DC184" i="3"/>
  <c r="A185" i="3"/>
  <c r="Y185" i="3"/>
  <c r="CX185" i="3"/>
  <c r="CY185" i="3"/>
  <c r="CZ185" i="3"/>
  <c r="DA185" i="3"/>
  <c r="DB185" i="3"/>
  <c r="DC185" i="3"/>
  <c r="A186" i="3"/>
  <c r="Y186" i="3"/>
  <c r="CX186" i="3" s="1"/>
  <c r="CY186" i="3"/>
  <c r="CZ186" i="3"/>
  <c r="DA186" i="3"/>
  <c r="DB186" i="3"/>
  <c r="DC186" i="3"/>
  <c r="A187" i="3"/>
  <c r="Y187" i="3"/>
  <c r="CX187" i="3" s="1"/>
  <c r="CY187" i="3"/>
  <c r="CZ187" i="3"/>
  <c r="DA187" i="3"/>
  <c r="DB187" i="3"/>
  <c r="DC187" i="3"/>
  <c r="DF187" i="3"/>
  <c r="DG187" i="3"/>
  <c r="DH187" i="3"/>
  <c r="DI187" i="3"/>
  <c r="DJ187" i="3"/>
  <c r="A188" i="3"/>
  <c r="Y188" i="3"/>
  <c r="CX188" i="3"/>
  <c r="CY188" i="3"/>
  <c r="CZ188" i="3"/>
  <c r="DA188" i="3"/>
  <c r="DB188" i="3"/>
  <c r="DC188" i="3"/>
  <c r="DF188" i="3"/>
  <c r="DG188" i="3"/>
  <c r="DH188" i="3"/>
  <c r="DI188" i="3"/>
  <c r="DJ188" i="3"/>
  <c r="A189" i="3"/>
  <c r="Y189" i="3"/>
  <c r="CU189" i="3"/>
  <c r="CV189" i="3"/>
  <c r="CX189" i="3"/>
  <c r="DH189" i="3" s="1"/>
  <c r="CY189" i="3"/>
  <c r="CZ189" i="3"/>
  <c r="DA189" i="3"/>
  <c r="DB189" i="3"/>
  <c r="DC189" i="3"/>
  <c r="DF189" i="3"/>
  <c r="DG189" i="3"/>
  <c r="A190" i="3"/>
  <c r="Y190" i="3"/>
  <c r="CW190" i="3"/>
  <c r="CX190" i="3"/>
  <c r="DF190" i="3" s="1"/>
  <c r="CY190" i="3"/>
  <c r="CZ190" i="3"/>
  <c r="DA190" i="3"/>
  <c r="DB190" i="3"/>
  <c r="DC190" i="3"/>
  <c r="DG190" i="3"/>
  <c r="DJ190" i="3" s="1"/>
  <c r="A191" i="3"/>
  <c r="Y191" i="3"/>
  <c r="CV191" i="3" s="1"/>
  <c r="CU191" i="3"/>
  <c r="CX191" i="3"/>
  <c r="DF191" i="3" s="1"/>
  <c r="CY191" i="3"/>
  <c r="CZ191" i="3"/>
  <c r="DA191" i="3"/>
  <c r="DB191" i="3"/>
  <c r="DC191" i="3"/>
  <c r="A192" i="3"/>
  <c r="Y192" i="3"/>
  <c r="CW192" i="3" s="1"/>
  <c r="CX192" i="3"/>
  <c r="CY192" i="3"/>
  <c r="CZ192" i="3"/>
  <c r="DB192" i="3" s="1"/>
  <c r="DA192" i="3"/>
  <c r="DC192" i="3"/>
  <c r="A193" i="3"/>
  <c r="Y193" i="3"/>
  <c r="CX193" i="3" s="1"/>
  <c r="CU193" i="3"/>
  <c r="CV193" i="3"/>
  <c r="CY193" i="3"/>
  <c r="CZ193" i="3"/>
  <c r="DA193" i="3"/>
  <c r="DB193" i="3"/>
  <c r="DC193" i="3"/>
  <c r="A194" i="3"/>
  <c r="Y194" i="3"/>
  <c r="CX194" i="3"/>
  <c r="CY194" i="3"/>
  <c r="CZ194" i="3"/>
  <c r="DA194" i="3"/>
  <c r="DB194" i="3"/>
  <c r="DC194" i="3"/>
  <c r="DF194" i="3"/>
  <c r="DG194" i="3"/>
  <c r="DH194" i="3"/>
  <c r="DI194" i="3"/>
  <c r="DJ194" i="3"/>
  <c r="A195" i="3"/>
  <c r="Y195" i="3"/>
  <c r="CX195" i="3"/>
  <c r="CY195" i="3"/>
  <c r="CZ195" i="3"/>
  <c r="DB195" i="3" s="1"/>
  <c r="DA195" i="3"/>
  <c r="DC195" i="3"/>
  <c r="DF195" i="3"/>
  <c r="DJ195" i="3" s="1"/>
  <c r="DG195" i="3"/>
  <c r="DH195" i="3"/>
  <c r="DI195" i="3"/>
  <c r="A196" i="3"/>
  <c r="Y196" i="3"/>
  <c r="CX196" i="3"/>
  <c r="DI196" i="3" s="1"/>
  <c r="CY196" i="3"/>
  <c r="CZ196" i="3"/>
  <c r="DA196" i="3"/>
  <c r="DB196" i="3"/>
  <c r="DC196" i="3"/>
  <c r="DF196" i="3"/>
  <c r="DJ196" i="3" s="1"/>
  <c r="DG196" i="3"/>
  <c r="DH196" i="3"/>
  <c r="A197" i="3"/>
  <c r="Y197" i="3"/>
  <c r="CX197" i="3"/>
  <c r="DH197" i="3" s="1"/>
  <c r="CY197" i="3"/>
  <c r="CZ197" i="3"/>
  <c r="DA197" i="3"/>
  <c r="DB197" i="3"/>
  <c r="DC197" i="3"/>
  <c r="DF197" i="3"/>
  <c r="DJ197" i="3" s="1"/>
  <c r="DG197" i="3"/>
  <c r="A198" i="3"/>
  <c r="Y198" i="3"/>
  <c r="CX198" i="3"/>
  <c r="DG198" i="3" s="1"/>
  <c r="CY198" i="3"/>
  <c r="CZ198" i="3"/>
  <c r="DA198" i="3"/>
  <c r="DB198" i="3"/>
  <c r="DC198" i="3"/>
  <c r="DF198" i="3"/>
  <c r="DJ198" i="3" s="1"/>
  <c r="A199" i="3"/>
  <c r="Y199" i="3"/>
  <c r="CX199" i="3" s="1"/>
  <c r="CY199" i="3"/>
  <c r="CZ199" i="3"/>
  <c r="DB199" i="3" s="1"/>
  <c r="DA199" i="3"/>
  <c r="DC199" i="3"/>
  <c r="A200" i="3"/>
  <c r="Y200" i="3"/>
  <c r="CX200" i="3"/>
  <c r="DF200" i="3" s="1"/>
  <c r="DJ200" i="3" s="1"/>
  <c r="CY200" i="3"/>
  <c r="CZ200" i="3"/>
  <c r="DA200" i="3"/>
  <c r="DB200" i="3"/>
  <c r="DC200" i="3"/>
  <c r="A201" i="3"/>
  <c r="Y201" i="3"/>
  <c r="CX201" i="3" s="1"/>
  <c r="CY201" i="3"/>
  <c r="CZ201" i="3"/>
  <c r="DB201" i="3" s="1"/>
  <c r="DA201" i="3"/>
  <c r="DC201" i="3"/>
  <c r="A202" i="3"/>
  <c r="Y202" i="3"/>
  <c r="CX202" i="3"/>
  <c r="CY202" i="3"/>
  <c r="CZ202" i="3"/>
  <c r="DB202" i="3" s="1"/>
  <c r="DA202" i="3"/>
  <c r="DC202" i="3"/>
  <c r="A203" i="3"/>
  <c r="Y203" i="3"/>
  <c r="CX203" i="3" s="1"/>
  <c r="CY203" i="3"/>
  <c r="CZ203" i="3"/>
  <c r="DA203" i="3"/>
  <c r="DB203" i="3"/>
  <c r="DC203" i="3"/>
  <c r="A204" i="3"/>
  <c r="Y204" i="3"/>
  <c r="CX204" i="3"/>
  <c r="CY204" i="3"/>
  <c r="CZ204" i="3"/>
  <c r="DA204" i="3"/>
  <c r="DB204" i="3"/>
  <c r="DC204" i="3"/>
  <c r="A205" i="3"/>
  <c r="Y205" i="3"/>
  <c r="CX205" i="3" s="1"/>
  <c r="CY205" i="3"/>
  <c r="CZ205" i="3"/>
  <c r="DA205" i="3"/>
  <c r="DB205" i="3"/>
  <c r="DC205" i="3"/>
  <c r="DI205" i="3"/>
  <c r="A206" i="3"/>
  <c r="Y206" i="3"/>
  <c r="CX206" i="3"/>
  <c r="CY206" i="3"/>
  <c r="CZ206" i="3"/>
  <c r="DA206" i="3"/>
  <c r="DB206" i="3"/>
  <c r="DC206" i="3"/>
  <c r="DF206" i="3"/>
  <c r="DG206" i="3"/>
  <c r="DH206" i="3"/>
  <c r="DI206" i="3"/>
  <c r="DJ206" i="3"/>
  <c r="A207" i="3"/>
  <c r="Y207" i="3"/>
  <c r="CX207" i="3"/>
  <c r="CY207" i="3"/>
  <c r="CZ207" i="3"/>
  <c r="DB207" i="3" s="1"/>
  <c r="DA207" i="3"/>
  <c r="DC207" i="3"/>
  <c r="DF207" i="3"/>
  <c r="DJ207" i="3" s="1"/>
  <c r="DG207" i="3"/>
  <c r="DH207" i="3"/>
  <c r="DI207" i="3"/>
  <c r="A208" i="3"/>
  <c r="Y208" i="3"/>
  <c r="CX208" i="3"/>
  <c r="DI208" i="3" s="1"/>
  <c r="CY208" i="3"/>
  <c r="CZ208" i="3"/>
  <c r="DA208" i="3"/>
  <c r="DB208" i="3"/>
  <c r="DC208" i="3"/>
  <c r="DF208" i="3"/>
  <c r="DJ208" i="3" s="1"/>
  <c r="DG208" i="3"/>
  <c r="DH208" i="3"/>
  <c r="A209" i="3"/>
  <c r="Y209" i="3"/>
  <c r="CU209" i="3"/>
  <c r="CV209" i="3"/>
  <c r="CX209" i="3"/>
  <c r="DF209" i="3" s="1"/>
  <c r="CY209" i="3"/>
  <c r="CZ209" i="3"/>
  <c r="DB209" i="3" s="1"/>
  <c r="DA209" i="3"/>
  <c r="DC209" i="3"/>
  <c r="A210" i="3"/>
  <c r="Y210" i="3"/>
  <c r="CX210" i="3"/>
  <c r="CY210" i="3"/>
  <c r="CZ210" i="3"/>
  <c r="DA210" i="3"/>
  <c r="DB210" i="3"/>
  <c r="DC210" i="3"/>
  <c r="A211" i="3"/>
  <c r="Y211" i="3"/>
  <c r="CX211" i="3"/>
  <c r="CY211" i="3"/>
  <c r="CZ211" i="3"/>
  <c r="DB211" i="3" s="1"/>
  <c r="DA211" i="3"/>
  <c r="DC211" i="3"/>
  <c r="A212" i="3"/>
  <c r="Y212" i="3"/>
  <c r="CX212" i="3" s="1"/>
  <c r="CY212" i="3"/>
  <c r="CZ212" i="3"/>
  <c r="DB212" i="3" s="1"/>
  <c r="DA212" i="3"/>
  <c r="DC212" i="3"/>
  <c r="A213" i="3"/>
  <c r="Y213" i="3"/>
  <c r="CX213" i="3" s="1"/>
  <c r="CY213" i="3"/>
  <c r="CZ213" i="3"/>
  <c r="DA213" i="3"/>
  <c r="DB213" i="3"/>
  <c r="DC213" i="3"/>
  <c r="A214" i="3"/>
  <c r="Y214" i="3"/>
  <c r="CX214" i="3"/>
  <c r="CY214" i="3"/>
  <c r="CZ214" i="3"/>
  <c r="DA214" i="3"/>
  <c r="DB214" i="3"/>
  <c r="DC214" i="3"/>
  <c r="A215" i="3"/>
  <c r="Y215" i="3"/>
  <c r="CX215" i="3" s="1"/>
  <c r="DF215" i="3" s="1"/>
  <c r="DJ215" i="3" s="1"/>
  <c r="CY215" i="3"/>
  <c r="CZ215" i="3"/>
  <c r="DA215" i="3"/>
  <c r="DB215" i="3"/>
  <c r="DC215" i="3"/>
  <c r="DG215" i="3"/>
  <c r="DH215" i="3"/>
  <c r="DI215" i="3"/>
  <c r="A216" i="3"/>
  <c r="Y216" i="3"/>
  <c r="CX216" i="3"/>
  <c r="CY216" i="3"/>
  <c r="CZ216" i="3"/>
  <c r="DA216" i="3"/>
  <c r="DB216" i="3"/>
  <c r="DC216" i="3"/>
  <c r="DF216" i="3"/>
  <c r="DJ216" i="3" s="1"/>
  <c r="DG216" i="3"/>
  <c r="DH216" i="3"/>
  <c r="DI216" i="3"/>
  <c r="A217" i="3"/>
  <c r="Y217" i="3"/>
  <c r="CX217" i="3"/>
  <c r="CY217" i="3"/>
  <c r="CZ217" i="3"/>
  <c r="DB217" i="3" s="1"/>
  <c r="DA217" i="3"/>
  <c r="DC217" i="3"/>
  <c r="DF217" i="3"/>
  <c r="DJ217" i="3" s="1"/>
  <c r="DG217" i="3"/>
  <c r="DH217" i="3"/>
  <c r="DI217" i="3"/>
  <c r="A218" i="3"/>
  <c r="Y218" i="3"/>
  <c r="CX218" i="3"/>
  <c r="DI218" i="3" s="1"/>
  <c r="CY218" i="3"/>
  <c r="CZ218" i="3"/>
  <c r="DA218" i="3"/>
  <c r="DB218" i="3"/>
  <c r="DC218" i="3"/>
  <c r="DF218" i="3"/>
  <c r="DJ218" i="3" s="1"/>
  <c r="DG218" i="3"/>
  <c r="DH218" i="3"/>
  <c r="A219" i="3"/>
  <c r="Y219" i="3"/>
  <c r="CX219" i="3"/>
  <c r="DH219" i="3" s="1"/>
  <c r="CY219" i="3"/>
  <c r="CZ219" i="3"/>
  <c r="DA219" i="3"/>
  <c r="DB219" i="3"/>
  <c r="DC219" i="3"/>
  <c r="DF219" i="3"/>
  <c r="DJ219" i="3" s="1"/>
  <c r="DG219" i="3"/>
  <c r="A220" i="3"/>
  <c r="Y220" i="3"/>
  <c r="CX220" i="3"/>
  <c r="DG220" i="3" s="1"/>
  <c r="CY220" i="3"/>
  <c r="CZ220" i="3"/>
  <c r="DB220" i="3" s="1"/>
  <c r="DA220" i="3"/>
  <c r="DC220" i="3"/>
  <c r="DF220" i="3"/>
  <c r="DJ220" i="3" s="1"/>
  <c r="A221" i="3"/>
  <c r="Y221" i="3"/>
  <c r="CX221" i="3" s="1"/>
  <c r="CY221" i="3"/>
  <c r="CZ221" i="3"/>
  <c r="DB221" i="3" s="1"/>
  <c r="DA221" i="3"/>
  <c r="DC221" i="3"/>
  <c r="A222" i="3"/>
  <c r="Y222" i="3"/>
  <c r="CX222" i="3"/>
  <c r="CY222" i="3"/>
  <c r="CZ222" i="3"/>
  <c r="DA222" i="3"/>
  <c r="DB222" i="3"/>
  <c r="DC222" i="3"/>
  <c r="A223" i="3"/>
  <c r="Y223" i="3"/>
  <c r="CX223" i="3"/>
  <c r="CY223" i="3"/>
  <c r="CZ223" i="3"/>
  <c r="DB223" i="3" s="1"/>
  <c r="DA223" i="3"/>
  <c r="DC223" i="3"/>
  <c r="A224" i="3"/>
  <c r="Y224" i="3"/>
  <c r="CX224" i="3"/>
  <c r="CY224" i="3"/>
  <c r="CZ224" i="3"/>
  <c r="DB224" i="3" s="1"/>
  <c r="DA224" i="3"/>
  <c r="DC224" i="3"/>
  <c r="A225" i="3"/>
  <c r="Y225" i="3"/>
  <c r="CX225" i="3" s="1"/>
  <c r="DF225" i="3" s="1"/>
  <c r="CU225" i="3"/>
  <c r="CV225" i="3"/>
  <c r="CY225" i="3"/>
  <c r="CZ225" i="3"/>
  <c r="DA225" i="3"/>
  <c r="DB225" i="3"/>
  <c r="DC225" i="3"/>
  <c r="DG225" i="3"/>
  <c r="DH225" i="3"/>
  <c r="DI225" i="3"/>
  <c r="DJ225" i="3" s="1"/>
  <c r="A226" i="3"/>
  <c r="Y226" i="3"/>
  <c r="CX226" i="3"/>
  <c r="CY226" i="3"/>
  <c r="CZ226" i="3"/>
  <c r="DA226" i="3"/>
  <c r="DB226" i="3"/>
  <c r="DC226" i="3"/>
  <c r="DF226" i="3"/>
  <c r="DJ226" i="3" s="1"/>
  <c r="DG226" i="3"/>
  <c r="DH226" i="3"/>
  <c r="DI226" i="3"/>
  <c r="A227" i="3"/>
  <c r="Y227" i="3"/>
  <c r="CX227" i="3"/>
  <c r="CY227" i="3"/>
  <c r="CZ227" i="3"/>
  <c r="DB227" i="3" s="1"/>
  <c r="DA227" i="3"/>
  <c r="DC227" i="3"/>
  <c r="DF227" i="3"/>
  <c r="DJ227" i="3" s="1"/>
  <c r="DG227" i="3"/>
  <c r="DH227" i="3"/>
  <c r="DI227" i="3"/>
  <c r="A228" i="3"/>
  <c r="Y228" i="3"/>
  <c r="CX228" i="3"/>
  <c r="DI228" i="3" s="1"/>
  <c r="CY228" i="3"/>
  <c r="CZ228" i="3"/>
  <c r="DA228" i="3"/>
  <c r="DB228" i="3"/>
  <c r="DC228" i="3"/>
  <c r="DF228" i="3"/>
  <c r="DJ228" i="3" s="1"/>
  <c r="DG228" i="3"/>
  <c r="DH228" i="3"/>
  <c r="A229" i="3"/>
  <c r="Y229" i="3"/>
  <c r="CX229" i="3"/>
  <c r="DH229" i="3" s="1"/>
  <c r="CY229" i="3"/>
  <c r="CZ229" i="3"/>
  <c r="DA229" i="3"/>
  <c r="DB229" i="3"/>
  <c r="DC229" i="3"/>
  <c r="DF229" i="3"/>
  <c r="DJ229" i="3" s="1"/>
  <c r="DG229" i="3"/>
  <c r="A230" i="3"/>
  <c r="Y230" i="3"/>
  <c r="CX230" i="3"/>
  <c r="DG230" i="3" s="1"/>
  <c r="CY230" i="3"/>
  <c r="CZ230" i="3"/>
  <c r="DB230" i="3" s="1"/>
  <c r="DA230" i="3"/>
  <c r="DC230" i="3"/>
  <c r="DF230" i="3"/>
  <c r="DJ230" i="3" s="1"/>
  <c r="A231" i="3"/>
  <c r="Y231" i="3"/>
  <c r="CX231" i="3" s="1"/>
  <c r="CY231" i="3"/>
  <c r="CZ231" i="3"/>
  <c r="DB231" i="3" s="1"/>
  <c r="DA231" i="3"/>
  <c r="DC231" i="3"/>
  <c r="A232" i="3"/>
  <c r="Y232" i="3"/>
  <c r="CX232" i="3"/>
  <c r="CY232" i="3"/>
  <c r="CZ232" i="3"/>
  <c r="DA232" i="3"/>
  <c r="DB232" i="3"/>
  <c r="DC232" i="3"/>
  <c r="A233" i="3"/>
  <c r="Y233" i="3"/>
  <c r="CX233" i="3" s="1"/>
  <c r="CY233" i="3"/>
  <c r="CZ233" i="3"/>
  <c r="DB233" i="3" s="1"/>
  <c r="DA233" i="3"/>
  <c r="DC233" i="3"/>
  <c r="A234" i="3"/>
  <c r="Y234" i="3"/>
  <c r="CX234" i="3"/>
  <c r="CY234" i="3"/>
  <c r="CZ234" i="3"/>
  <c r="DB234" i="3" s="1"/>
  <c r="DA234" i="3"/>
  <c r="DC234" i="3"/>
  <c r="A235" i="3"/>
  <c r="Y235" i="3"/>
  <c r="CX235" i="3" s="1"/>
  <c r="CY235" i="3"/>
  <c r="CZ235" i="3"/>
  <c r="DA235" i="3"/>
  <c r="DB235" i="3"/>
  <c r="DC235" i="3"/>
  <c r="A236" i="3"/>
  <c r="Y236" i="3"/>
  <c r="CX236" i="3"/>
  <c r="CY236" i="3"/>
  <c r="CZ236" i="3"/>
  <c r="DA236" i="3"/>
  <c r="DB236" i="3"/>
  <c r="DC236" i="3"/>
  <c r="A237" i="3"/>
  <c r="Y237" i="3"/>
  <c r="CX237" i="3" s="1"/>
  <c r="DF237" i="3" s="1"/>
  <c r="DJ237" i="3" s="1"/>
  <c r="CY237" i="3"/>
  <c r="CZ237" i="3"/>
  <c r="DA237" i="3"/>
  <c r="DB237" i="3"/>
  <c r="DC237" i="3"/>
  <c r="A238" i="3"/>
  <c r="Y238" i="3"/>
  <c r="CX238" i="3"/>
  <c r="CY238" i="3"/>
  <c r="CZ238" i="3"/>
  <c r="DA238" i="3"/>
  <c r="DB238" i="3"/>
  <c r="DC238" i="3"/>
  <c r="DF238" i="3"/>
  <c r="DG238" i="3"/>
  <c r="DH238" i="3"/>
  <c r="DI238" i="3"/>
  <c r="DJ238" i="3"/>
  <c r="A239" i="3"/>
  <c r="Y239" i="3"/>
  <c r="CX239" i="3"/>
  <c r="CY239" i="3"/>
  <c r="CZ239" i="3"/>
  <c r="DB239" i="3" s="1"/>
  <c r="DA239" i="3"/>
  <c r="DC239" i="3"/>
  <c r="DF239" i="3"/>
  <c r="DJ239" i="3" s="1"/>
  <c r="DG239" i="3"/>
  <c r="DH239" i="3"/>
  <c r="DI239" i="3"/>
  <c r="A240" i="3"/>
  <c r="Y240" i="3"/>
  <c r="CX240" i="3"/>
  <c r="DI240" i="3" s="1"/>
  <c r="CY240" i="3"/>
  <c r="CZ240" i="3"/>
  <c r="DB240" i="3" s="1"/>
  <c r="DA240" i="3"/>
  <c r="DC240" i="3"/>
  <c r="DF240" i="3"/>
  <c r="DJ240" i="3" s="1"/>
  <c r="DG240" i="3"/>
  <c r="DH240" i="3"/>
  <c r="A241" i="3"/>
  <c r="Y241" i="3"/>
  <c r="CU241" i="3"/>
  <c r="CV241" i="3"/>
  <c r="CX241" i="3"/>
  <c r="DF241" i="3" s="1"/>
  <c r="CY241" i="3"/>
  <c r="CZ241" i="3"/>
  <c r="DB241" i="3" s="1"/>
  <c r="DA241" i="3"/>
  <c r="DC241" i="3"/>
  <c r="A242" i="3"/>
  <c r="Y242" i="3"/>
  <c r="CX242" i="3"/>
  <c r="CY242" i="3"/>
  <c r="CZ242" i="3"/>
  <c r="DB242" i="3" s="1"/>
  <c r="DA242" i="3"/>
  <c r="DC242" i="3"/>
  <c r="A243" i="3"/>
  <c r="Y243" i="3"/>
  <c r="CX243" i="3" s="1"/>
  <c r="CY243" i="3"/>
  <c r="CZ243" i="3"/>
  <c r="DB243" i="3" s="1"/>
  <c r="DA243" i="3"/>
  <c r="DC243" i="3"/>
  <c r="A244" i="3"/>
  <c r="Y244" i="3"/>
  <c r="CX244" i="3"/>
  <c r="CY244" i="3"/>
  <c r="CZ244" i="3"/>
  <c r="DB244" i="3" s="1"/>
  <c r="DA244" i="3"/>
  <c r="DC244" i="3"/>
  <c r="A245" i="3"/>
  <c r="Y245" i="3"/>
  <c r="CX245" i="3"/>
  <c r="CY245" i="3"/>
  <c r="CZ245" i="3"/>
  <c r="DA245" i="3"/>
  <c r="DB245" i="3"/>
  <c r="DC245" i="3"/>
  <c r="A246" i="3"/>
  <c r="Y246" i="3"/>
  <c r="CX246" i="3"/>
  <c r="DG246" i="3" s="1"/>
  <c r="CY246" i="3"/>
  <c r="CZ246" i="3"/>
  <c r="DA246" i="3"/>
  <c r="DB246" i="3"/>
  <c r="DC246" i="3"/>
  <c r="A247" i="3"/>
  <c r="Y247" i="3"/>
  <c r="CX247" i="3" s="1"/>
  <c r="DF247" i="3" s="1"/>
  <c r="DJ247" i="3" s="1"/>
  <c r="CY247" i="3"/>
  <c r="CZ247" i="3"/>
  <c r="DA247" i="3"/>
  <c r="DB247" i="3"/>
  <c r="DC247" i="3"/>
  <c r="A248" i="3"/>
  <c r="Y248" i="3"/>
  <c r="CX248" i="3"/>
  <c r="CY248" i="3"/>
  <c r="CZ248" i="3"/>
  <c r="DA248" i="3"/>
  <c r="DB248" i="3"/>
  <c r="DC248" i="3"/>
  <c r="DF248" i="3"/>
  <c r="DJ248" i="3" s="1"/>
  <c r="DG248" i="3"/>
  <c r="DH248" i="3"/>
  <c r="DI248" i="3"/>
  <c r="A249" i="3"/>
  <c r="Y249" i="3"/>
  <c r="CX249" i="3"/>
  <c r="CY249" i="3"/>
  <c r="CZ249" i="3"/>
  <c r="DB249" i="3" s="1"/>
  <c r="DA249" i="3"/>
  <c r="DC249" i="3"/>
  <c r="DF249" i="3"/>
  <c r="DJ249" i="3" s="1"/>
  <c r="DG249" i="3"/>
  <c r="DH249" i="3"/>
  <c r="DI249" i="3"/>
  <c r="A250" i="3"/>
  <c r="Y250" i="3"/>
  <c r="CX250" i="3"/>
  <c r="DI250" i="3" s="1"/>
  <c r="CY250" i="3"/>
  <c r="CZ250" i="3"/>
  <c r="DB250" i="3" s="1"/>
  <c r="DA250" i="3"/>
  <c r="DC250" i="3"/>
  <c r="DF250" i="3"/>
  <c r="DJ250" i="3" s="1"/>
  <c r="DG250" i="3"/>
  <c r="DH250" i="3"/>
  <c r="A251" i="3"/>
  <c r="Y251" i="3"/>
  <c r="CX251" i="3"/>
  <c r="CY251" i="3"/>
  <c r="CZ251" i="3"/>
  <c r="DA251" i="3"/>
  <c r="DB251" i="3"/>
  <c r="DC251" i="3"/>
  <c r="DF251" i="3"/>
  <c r="DJ251" i="3" s="1"/>
  <c r="DG251" i="3"/>
  <c r="A252" i="3"/>
  <c r="Y252" i="3"/>
  <c r="CX252" i="3" s="1"/>
  <c r="CY252" i="3"/>
  <c r="CZ252" i="3"/>
  <c r="DA252" i="3"/>
  <c r="DB252" i="3"/>
  <c r="DC252" i="3"/>
  <c r="A253" i="3"/>
  <c r="Y253" i="3"/>
  <c r="CX253" i="3" s="1"/>
  <c r="CY253" i="3"/>
  <c r="CZ253" i="3"/>
  <c r="DA253" i="3"/>
  <c r="DB253" i="3"/>
  <c r="DC253" i="3"/>
  <c r="A254" i="3"/>
  <c r="Y254" i="3"/>
  <c r="CX254" i="3"/>
  <c r="CY254" i="3"/>
  <c r="CZ254" i="3"/>
  <c r="DB254" i="3" s="1"/>
  <c r="DA254" i="3"/>
  <c r="DC254" i="3"/>
  <c r="A255" i="3"/>
  <c r="Y255" i="3"/>
  <c r="CX255" i="3"/>
  <c r="CY255" i="3"/>
  <c r="CZ255" i="3"/>
  <c r="DB255" i="3" s="1"/>
  <c r="DA255" i="3"/>
  <c r="DC255" i="3"/>
  <c r="DH255" i="3"/>
  <c r="A256" i="3"/>
  <c r="Y256" i="3"/>
  <c r="CX256" i="3" s="1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G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P28" i="1"/>
  <c r="R28" i="1"/>
  <c r="S28" i="1"/>
  <c r="X28" i="1" s="1"/>
  <c r="V28" i="1"/>
  <c r="AC28" i="1"/>
  <c r="CQ28" i="1" s="1"/>
  <c r="AE28" i="1"/>
  <c r="CR28" i="1" s="1"/>
  <c r="AF28" i="1"/>
  <c r="CT28" i="1" s="1"/>
  <c r="AG28" i="1"/>
  <c r="CU28" i="1" s="1"/>
  <c r="T28" i="1" s="1"/>
  <c r="AH28" i="1"/>
  <c r="CV28" i="1" s="1"/>
  <c r="U28" i="1" s="1"/>
  <c r="AI28" i="1"/>
  <c r="AJ28" i="1"/>
  <c r="CX28" i="1" s="1"/>
  <c r="W28" i="1" s="1"/>
  <c r="CW28" i="1"/>
  <c r="CY28" i="1"/>
  <c r="GL28" i="1"/>
  <c r="GN28" i="1"/>
  <c r="GP28" i="1"/>
  <c r="GV28" i="1"/>
  <c r="HC28" i="1"/>
  <c r="GX28" i="1" s="1"/>
  <c r="C29" i="1"/>
  <c r="D29" i="1"/>
  <c r="I29" i="1"/>
  <c r="K29" i="1"/>
  <c r="AC29" i="1"/>
  <c r="P29" i="1" s="1"/>
  <c r="AE29" i="1"/>
  <c r="AD29" i="1" s="1"/>
  <c r="AF29" i="1"/>
  <c r="AG29" i="1"/>
  <c r="CU29" i="1" s="1"/>
  <c r="T29" i="1" s="1"/>
  <c r="AH29" i="1"/>
  <c r="AI29" i="1"/>
  <c r="AJ29" i="1"/>
  <c r="CX29" i="1" s="1"/>
  <c r="W29" i="1" s="1"/>
  <c r="EB45" i="1" s="1"/>
  <c r="CR29" i="1"/>
  <c r="CT29" i="1"/>
  <c r="CV29" i="1"/>
  <c r="U29" i="1" s="1"/>
  <c r="CW29" i="1"/>
  <c r="GL29" i="1"/>
  <c r="GN29" i="1"/>
  <c r="GP29" i="1"/>
  <c r="GV29" i="1"/>
  <c r="HC29" i="1" s="1"/>
  <c r="GX29" i="1" s="1"/>
  <c r="C30" i="1"/>
  <c r="D30" i="1"/>
  <c r="P30" i="1"/>
  <c r="R30" i="1"/>
  <c r="S30" i="1"/>
  <c r="X30" i="1" s="1"/>
  <c r="V30" i="1"/>
  <c r="AC30" i="1"/>
  <c r="AE30" i="1"/>
  <c r="CR30" i="1" s="1"/>
  <c r="AF30" i="1"/>
  <c r="CT30" i="1" s="1"/>
  <c r="AG30" i="1"/>
  <c r="CU30" i="1" s="1"/>
  <c r="T30" i="1" s="1"/>
  <c r="AH30" i="1"/>
  <c r="CV30" i="1" s="1"/>
  <c r="U30" i="1" s="1"/>
  <c r="AI30" i="1"/>
  <c r="AJ30" i="1"/>
  <c r="CX30" i="1" s="1"/>
  <c r="W30" i="1" s="1"/>
  <c r="CQ30" i="1"/>
  <c r="CW30" i="1"/>
  <c r="CY30" i="1"/>
  <c r="GL30" i="1"/>
  <c r="GN30" i="1"/>
  <c r="GP30" i="1"/>
  <c r="GV30" i="1"/>
  <c r="HC30" i="1"/>
  <c r="GX30" i="1" s="1"/>
  <c r="C31" i="1"/>
  <c r="D31" i="1"/>
  <c r="S31" i="1"/>
  <c r="CY31" i="1" s="1"/>
  <c r="AC31" i="1"/>
  <c r="CQ31" i="1" s="1"/>
  <c r="AE31" i="1"/>
  <c r="R31" i="1" s="1"/>
  <c r="AF31" i="1"/>
  <c r="AG31" i="1"/>
  <c r="CU31" i="1" s="1"/>
  <c r="T31" i="1" s="1"/>
  <c r="DY45" i="1" s="1"/>
  <c r="AH31" i="1"/>
  <c r="AI31" i="1"/>
  <c r="CW31" i="1" s="1"/>
  <c r="V31" i="1" s="1"/>
  <c r="AJ31" i="1"/>
  <c r="CT31" i="1"/>
  <c r="CV31" i="1"/>
  <c r="U31" i="1" s="1"/>
  <c r="CX31" i="1"/>
  <c r="W31" i="1" s="1"/>
  <c r="GL31" i="1"/>
  <c r="GN31" i="1"/>
  <c r="GP31" i="1"/>
  <c r="GV31" i="1"/>
  <c r="HC31" i="1" s="1"/>
  <c r="GX31" i="1" s="1"/>
  <c r="C32" i="1"/>
  <c r="D32" i="1"/>
  <c r="P32" i="1"/>
  <c r="S32" i="1"/>
  <c r="Y32" i="1" s="1"/>
  <c r="X32" i="1"/>
  <c r="AC32" i="1"/>
  <c r="AE32" i="1"/>
  <c r="CR32" i="1" s="1"/>
  <c r="AF32" i="1"/>
  <c r="CT32" i="1" s="1"/>
  <c r="AG32" i="1"/>
  <c r="CU32" i="1" s="1"/>
  <c r="T32" i="1" s="1"/>
  <c r="AH32" i="1"/>
  <c r="CV32" i="1" s="1"/>
  <c r="U32" i="1" s="1"/>
  <c r="AI32" i="1"/>
  <c r="CW32" i="1" s="1"/>
  <c r="V32" i="1" s="1"/>
  <c r="AJ32" i="1"/>
  <c r="CX32" i="1" s="1"/>
  <c r="W32" i="1" s="1"/>
  <c r="CQ32" i="1"/>
  <c r="CS32" i="1"/>
  <c r="CY32" i="1"/>
  <c r="CZ32" i="1"/>
  <c r="GL32" i="1"/>
  <c r="GN32" i="1"/>
  <c r="GP32" i="1"/>
  <c r="GV32" i="1"/>
  <c r="HC32" i="1"/>
  <c r="GX32" i="1" s="1"/>
  <c r="C33" i="1"/>
  <c r="D33" i="1"/>
  <c r="P33" i="1"/>
  <c r="S33" i="1"/>
  <c r="CY33" i="1" s="1"/>
  <c r="AC33" i="1"/>
  <c r="CQ33" i="1" s="1"/>
  <c r="AE33" i="1"/>
  <c r="CR33" i="1" s="1"/>
  <c r="AF33" i="1"/>
  <c r="AG33" i="1"/>
  <c r="CU33" i="1" s="1"/>
  <c r="T33" i="1" s="1"/>
  <c r="AH33" i="1"/>
  <c r="AI33" i="1"/>
  <c r="CW33" i="1" s="1"/>
  <c r="V33" i="1" s="1"/>
  <c r="AJ33" i="1"/>
  <c r="CT33" i="1"/>
  <c r="CV33" i="1"/>
  <c r="U33" i="1" s="1"/>
  <c r="CX33" i="1"/>
  <c r="W33" i="1" s="1"/>
  <c r="GL33" i="1"/>
  <c r="GN33" i="1"/>
  <c r="GP33" i="1"/>
  <c r="GV33" i="1"/>
  <c r="HC33" i="1"/>
  <c r="GX33" i="1" s="1"/>
  <c r="GB45" i="1" s="1"/>
  <c r="GB26" i="1" s="1"/>
  <c r="C34" i="1"/>
  <c r="D34" i="1"/>
  <c r="P34" i="1"/>
  <c r="S34" i="1"/>
  <c r="CY34" i="1" s="1"/>
  <c r="U34" i="1"/>
  <c r="X34" i="1"/>
  <c r="AB34" i="1"/>
  <c r="AC34" i="1"/>
  <c r="AD34" i="1"/>
  <c r="AE34" i="1"/>
  <c r="Q34" i="1" s="1"/>
  <c r="CP34" i="1" s="1"/>
  <c r="O34" i="1" s="1"/>
  <c r="AF34" i="1"/>
  <c r="CT34" i="1" s="1"/>
  <c r="AG34" i="1"/>
  <c r="AH34" i="1"/>
  <c r="AI34" i="1"/>
  <c r="CW34" i="1" s="1"/>
  <c r="V34" i="1" s="1"/>
  <c r="AJ34" i="1"/>
  <c r="CX34" i="1" s="1"/>
  <c r="W34" i="1" s="1"/>
  <c r="CQ34" i="1"/>
  <c r="CS34" i="1"/>
  <c r="CU34" i="1"/>
  <c r="T34" i="1" s="1"/>
  <c r="CV34" i="1"/>
  <c r="CZ34" i="1"/>
  <c r="GL34" i="1"/>
  <c r="GN34" i="1"/>
  <c r="GP34" i="1"/>
  <c r="GV34" i="1"/>
  <c r="GX34" i="1"/>
  <c r="HC34" i="1"/>
  <c r="C35" i="1"/>
  <c r="D35" i="1"/>
  <c r="P35" i="1"/>
  <c r="R35" i="1"/>
  <c r="S35" i="1"/>
  <c r="X35" i="1" s="1"/>
  <c r="U35" i="1"/>
  <c r="AC35" i="1"/>
  <c r="AE35" i="1"/>
  <c r="CR35" i="1" s="1"/>
  <c r="AF35" i="1"/>
  <c r="CT35" i="1" s="1"/>
  <c r="AG35" i="1"/>
  <c r="CU35" i="1" s="1"/>
  <c r="T35" i="1" s="1"/>
  <c r="AH35" i="1"/>
  <c r="AI35" i="1"/>
  <c r="CW35" i="1" s="1"/>
  <c r="V35" i="1" s="1"/>
  <c r="AJ35" i="1"/>
  <c r="CQ35" i="1"/>
  <c r="CV35" i="1"/>
  <c r="CX35" i="1"/>
  <c r="W35" i="1" s="1"/>
  <c r="GL35" i="1"/>
  <c r="GN35" i="1"/>
  <c r="GP35" i="1"/>
  <c r="GV35" i="1"/>
  <c r="HC35" i="1"/>
  <c r="GX35" i="1" s="1"/>
  <c r="C36" i="1"/>
  <c r="D36" i="1"/>
  <c r="P36" i="1"/>
  <c r="R36" i="1"/>
  <c r="U36" i="1"/>
  <c r="W36" i="1"/>
  <c r="AB36" i="1"/>
  <c r="AC36" i="1"/>
  <c r="AD36" i="1"/>
  <c r="AE36" i="1"/>
  <c r="Q36" i="1" s="1"/>
  <c r="AF36" i="1"/>
  <c r="S36" i="1" s="1"/>
  <c r="AG36" i="1"/>
  <c r="AH36" i="1"/>
  <c r="AI36" i="1"/>
  <c r="AJ36" i="1"/>
  <c r="CQ36" i="1"/>
  <c r="CR36" i="1"/>
  <c r="CS36" i="1"/>
  <c r="CU36" i="1"/>
  <c r="T36" i="1" s="1"/>
  <c r="CV36" i="1"/>
  <c r="CW36" i="1"/>
  <c r="V36" i="1" s="1"/>
  <c r="CX36" i="1"/>
  <c r="GL36" i="1"/>
  <c r="GN36" i="1"/>
  <c r="GP36" i="1"/>
  <c r="GV36" i="1"/>
  <c r="HC36" i="1" s="1"/>
  <c r="GX36" i="1" s="1"/>
  <c r="C37" i="1"/>
  <c r="D37" i="1"/>
  <c r="P37" i="1"/>
  <c r="R37" i="1"/>
  <c r="S37" i="1"/>
  <c r="X37" i="1" s="1"/>
  <c r="W37" i="1"/>
  <c r="AC37" i="1"/>
  <c r="AD37" i="1"/>
  <c r="AB37" i="1" s="1"/>
  <c r="AE37" i="1"/>
  <c r="Q37" i="1" s="1"/>
  <c r="CP37" i="1" s="1"/>
  <c r="O37" i="1" s="1"/>
  <c r="AF37" i="1"/>
  <c r="CT37" i="1" s="1"/>
  <c r="AG37" i="1"/>
  <c r="CU37" i="1" s="1"/>
  <c r="T37" i="1" s="1"/>
  <c r="AH37" i="1"/>
  <c r="CV37" i="1" s="1"/>
  <c r="U37" i="1" s="1"/>
  <c r="AI37" i="1"/>
  <c r="CW37" i="1" s="1"/>
  <c r="V37" i="1" s="1"/>
  <c r="AJ37" i="1"/>
  <c r="CQ37" i="1"/>
  <c r="CR37" i="1"/>
  <c r="CS37" i="1"/>
  <c r="CX37" i="1"/>
  <c r="CY37" i="1"/>
  <c r="CZ37" i="1"/>
  <c r="GL37" i="1"/>
  <c r="GN37" i="1"/>
  <c r="GP37" i="1"/>
  <c r="GV37" i="1"/>
  <c r="HC37" i="1" s="1"/>
  <c r="GX37" i="1" s="1"/>
  <c r="C38" i="1"/>
  <c r="D38" i="1"/>
  <c r="P38" i="1"/>
  <c r="R38" i="1"/>
  <c r="W38" i="1"/>
  <c r="AC38" i="1"/>
  <c r="CQ38" i="1" s="1"/>
  <c r="AD38" i="1"/>
  <c r="AE38" i="1"/>
  <c r="Q38" i="1" s="1"/>
  <c r="AF38" i="1"/>
  <c r="S38" i="1" s="1"/>
  <c r="AG38" i="1"/>
  <c r="AH38" i="1"/>
  <c r="CV38" i="1" s="1"/>
  <c r="U38" i="1" s="1"/>
  <c r="AI38" i="1"/>
  <c r="AJ38" i="1"/>
  <c r="CR38" i="1"/>
  <c r="CS38" i="1"/>
  <c r="CU38" i="1"/>
  <c r="T38" i="1" s="1"/>
  <c r="CW38" i="1"/>
  <c r="V38" i="1" s="1"/>
  <c r="CX38" i="1"/>
  <c r="GL38" i="1"/>
  <c r="GN38" i="1"/>
  <c r="GP38" i="1"/>
  <c r="GV38" i="1"/>
  <c r="HC38" i="1" s="1"/>
  <c r="GX38" i="1" s="1"/>
  <c r="C39" i="1"/>
  <c r="D39" i="1"/>
  <c r="R39" i="1"/>
  <c r="T39" i="1"/>
  <c r="AC39" i="1"/>
  <c r="AB39" i="1" s="1"/>
  <c r="AD39" i="1"/>
  <c r="AE39" i="1"/>
  <c r="CS39" i="1" s="1"/>
  <c r="AF39" i="1"/>
  <c r="S39" i="1" s="1"/>
  <c r="AG39" i="1"/>
  <c r="AH39" i="1"/>
  <c r="CV39" i="1" s="1"/>
  <c r="U39" i="1" s="1"/>
  <c r="DZ45" i="1" s="1"/>
  <c r="AI39" i="1"/>
  <c r="CW39" i="1" s="1"/>
  <c r="V39" i="1" s="1"/>
  <c r="AJ39" i="1"/>
  <c r="CX39" i="1" s="1"/>
  <c r="W39" i="1" s="1"/>
  <c r="CR39" i="1"/>
  <c r="CT39" i="1"/>
  <c r="CU39" i="1"/>
  <c r="GL39" i="1"/>
  <c r="GN39" i="1"/>
  <c r="GP39" i="1"/>
  <c r="GV39" i="1"/>
  <c r="HC39" i="1" s="1"/>
  <c r="GX39" i="1" s="1"/>
  <c r="C40" i="1"/>
  <c r="D40" i="1"/>
  <c r="I40" i="1"/>
  <c r="Q40" i="1" s="1"/>
  <c r="K40" i="1"/>
  <c r="P40" i="1"/>
  <c r="R40" i="1"/>
  <c r="AC40" i="1"/>
  <c r="CQ40" i="1" s="1"/>
  <c r="AD40" i="1"/>
  <c r="AE40" i="1"/>
  <c r="AF40" i="1"/>
  <c r="S40" i="1" s="1"/>
  <c r="AG40" i="1"/>
  <c r="AH40" i="1"/>
  <c r="CV40" i="1" s="1"/>
  <c r="U40" i="1" s="1"/>
  <c r="AI40" i="1"/>
  <c r="AJ40" i="1"/>
  <c r="CR40" i="1"/>
  <c r="CS40" i="1"/>
  <c r="CU40" i="1"/>
  <c r="T40" i="1" s="1"/>
  <c r="CW40" i="1"/>
  <c r="V40" i="1" s="1"/>
  <c r="CX40" i="1"/>
  <c r="GL40" i="1"/>
  <c r="GN40" i="1"/>
  <c r="GP40" i="1"/>
  <c r="GV40" i="1"/>
  <c r="HC40" i="1" s="1"/>
  <c r="GX40" i="1" s="1"/>
  <c r="C41" i="1"/>
  <c r="D41" i="1"/>
  <c r="I41" i="1"/>
  <c r="P41" i="1" s="1"/>
  <c r="K41" i="1"/>
  <c r="R41" i="1"/>
  <c r="S41" i="1"/>
  <c r="X41" i="1" s="1"/>
  <c r="W41" i="1"/>
  <c r="AC41" i="1"/>
  <c r="CQ41" i="1" s="1"/>
  <c r="AD41" i="1"/>
  <c r="AB41" i="1" s="1"/>
  <c r="AE41" i="1"/>
  <c r="AF41" i="1"/>
  <c r="CT41" i="1" s="1"/>
  <c r="AG41" i="1"/>
  <c r="CU41" i="1" s="1"/>
  <c r="T41" i="1" s="1"/>
  <c r="AH41" i="1"/>
  <c r="CV41" i="1" s="1"/>
  <c r="U41" i="1" s="1"/>
  <c r="AI41" i="1"/>
  <c r="CW41" i="1" s="1"/>
  <c r="V41" i="1" s="1"/>
  <c r="AJ41" i="1"/>
  <c r="CR41" i="1"/>
  <c r="CS41" i="1"/>
  <c r="CX41" i="1"/>
  <c r="CY41" i="1"/>
  <c r="CZ41" i="1"/>
  <c r="GL41" i="1"/>
  <c r="GN41" i="1"/>
  <c r="GP41" i="1"/>
  <c r="GV41" i="1"/>
  <c r="HC41" i="1" s="1"/>
  <c r="GX41" i="1" s="1"/>
  <c r="C42" i="1"/>
  <c r="D42" i="1"/>
  <c r="I42" i="1"/>
  <c r="K42" i="1"/>
  <c r="P42" i="1"/>
  <c r="AB42" i="1"/>
  <c r="AC42" i="1"/>
  <c r="AD42" i="1"/>
  <c r="AE42" i="1"/>
  <c r="AF42" i="1"/>
  <c r="S42" i="1" s="1"/>
  <c r="AG42" i="1"/>
  <c r="AH42" i="1"/>
  <c r="AI42" i="1"/>
  <c r="AJ42" i="1"/>
  <c r="CQ42" i="1"/>
  <c r="CR42" i="1"/>
  <c r="CS42" i="1"/>
  <c r="CU42" i="1"/>
  <c r="T42" i="1" s="1"/>
  <c r="CV42" i="1"/>
  <c r="CW42" i="1"/>
  <c r="V42" i="1" s="1"/>
  <c r="CX42" i="1"/>
  <c r="GL42" i="1"/>
  <c r="GN42" i="1"/>
  <c r="GP42" i="1"/>
  <c r="GV42" i="1"/>
  <c r="HC42" i="1" s="1"/>
  <c r="GX42" i="1" s="1"/>
  <c r="C43" i="1"/>
  <c r="D43" i="1"/>
  <c r="I43" i="1"/>
  <c r="K43" i="1"/>
  <c r="P43" i="1"/>
  <c r="R43" i="1"/>
  <c r="S43" i="1"/>
  <c r="U43" i="1"/>
  <c r="AC43" i="1"/>
  <c r="AE43" i="1"/>
  <c r="CR43" i="1" s="1"/>
  <c r="AF43" i="1"/>
  <c r="CT43" i="1" s="1"/>
  <c r="AG43" i="1"/>
  <c r="CU43" i="1" s="1"/>
  <c r="T43" i="1" s="1"/>
  <c r="AH43" i="1"/>
  <c r="AI43" i="1"/>
  <c r="CW43" i="1" s="1"/>
  <c r="V43" i="1" s="1"/>
  <c r="AJ43" i="1"/>
  <c r="CQ43" i="1"/>
  <c r="CV43" i="1"/>
  <c r="CX43" i="1"/>
  <c r="W43" i="1" s="1"/>
  <c r="GL43" i="1"/>
  <c r="GN43" i="1"/>
  <c r="GP43" i="1"/>
  <c r="GV43" i="1"/>
  <c r="HC43" i="1"/>
  <c r="GX43" i="1" s="1"/>
  <c r="B45" i="1"/>
  <c r="B26" i="1" s="1"/>
  <c r="C45" i="1"/>
  <c r="C26" i="1" s="1"/>
  <c r="D45" i="1"/>
  <c r="D26" i="1" s="1"/>
  <c r="F45" i="1"/>
  <c r="F26" i="1" s="1"/>
  <c r="G45" i="1"/>
  <c r="AC45" i="1"/>
  <c r="AC26" i="1" s="1"/>
  <c r="AP45" i="1"/>
  <c r="AP26" i="1" s="1"/>
  <c r="AS45" i="1"/>
  <c r="AS26" i="1" s="1"/>
  <c r="AU45" i="1"/>
  <c r="AU26" i="1" s="1"/>
  <c r="AY45" i="1"/>
  <c r="BX45" i="1"/>
  <c r="BX26" i="1" s="1"/>
  <c r="BY45" i="1"/>
  <c r="BZ45" i="1"/>
  <c r="BZ26" i="1" s="1"/>
  <c r="CB45" i="1"/>
  <c r="CB26" i="1" s="1"/>
  <c r="CD45" i="1"/>
  <c r="CD26" i="1" s="1"/>
  <c r="CF45" i="1"/>
  <c r="CG45" i="1"/>
  <c r="CG26" i="1" s="1"/>
  <c r="CH45" i="1"/>
  <c r="CH26" i="1" s="1"/>
  <c r="CJ45" i="1"/>
  <c r="CJ26" i="1" s="1"/>
  <c r="CK45" i="1"/>
  <c r="CK26" i="1" s="1"/>
  <c r="CL45" i="1"/>
  <c r="CL26" i="1" s="1"/>
  <c r="CM45" i="1"/>
  <c r="EG45" i="1"/>
  <c r="FP45" i="1"/>
  <c r="FP26" i="1" s="1"/>
  <c r="FQ45" i="1"/>
  <c r="FQ26" i="1" s="1"/>
  <c r="FR45" i="1"/>
  <c r="FR26" i="1" s="1"/>
  <c r="FT45" i="1"/>
  <c r="FT26" i="1" s="1"/>
  <c r="FV45" i="1"/>
  <c r="GC45" i="1"/>
  <c r="GC26" i="1" s="1"/>
  <c r="GD45" i="1"/>
  <c r="GD26" i="1" s="1"/>
  <c r="GE45" i="1"/>
  <c r="GE26" i="1" s="1"/>
  <c r="F54" i="1"/>
  <c r="F62" i="1"/>
  <c r="D75" i="1"/>
  <c r="E77" i="1"/>
  <c r="Z77" i="1"/>
  <c r="AA77" i="1"/>
  <c r="AM77" i="1"/>
  <c r="AN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R77" i="1"/>
  <c r="DS77" i="1"/>
  <c r="EE77" i="1"/>
  <c r="EF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C79" i="1"/>
  <c r="D79" i="1"/>
  <c r="P79" i="1"/>
  <c r="R79" i="1"/>
  <c r="AB79" i="1"/>
  <c r="AC79" i="1"/>
  <c r="AD79" i="1"/>
  <c r="AE79" i="1"/>
  <c r="Q79" i="1" s="1"/>
  <c r="AF79" i="1"/>
  <c r="S79" i="1" s="1"/>
  <c r="AG79" i="1"/>
  <c r="AH79" i="1"/>
  <c r="CV79" i="1" s="1"/>
  <c r="U79" i="1" s="1"/>
  <c r="AI79" i="1"/>
  <c r="CW79" i="1" s="1"/>
  <c r="V79" i="1" s="1"/>
  <c r="AJ79" i="1"/>
  <c r="CX79" i="1" s="1"/>
  <c r="W79" i="1" s="1"/>
  <c r="CQ79" i="1"/>
  <c r="CR79" i="1"/>
  <c r="CS79" i="1"/>
  <c r="CT79" i="1"/>
  <c r="CU79" i="1"/>
  <c r="T79" i="1" s="1"/>
  <c r="GL79" i="1"/>
  <c r="GN79" i="1"/>
  <c r="GP79" i="1"/>
  <c r="GV79" i="1"/>
  <c r="HC79" i="1" s="1"/>
  <c r="GX79" i="1"/>
  <c r="C80" i="1"/>
  <c r="D80" i="1"/>
  <c r="S80" i="1"/>
  <c r="X80" i="1" s="1"/>
  <c r="U80" i="1"/>
  <c r="W80" i="1"/>
  <c r="AC80" i="1"/>
  <c r="CQ80" i="1" s="1"/>
  <c r="AD80" i="1"/>
  <c r="AE80" i="1"/>
  <c r="CS80" i="1" s="1"/>
  <c r="AF80" i="1"/>
  <c r="AG80" i="1"/>
  <c r="CU80" i="1" s="1"/>
  <c r="T80" i="1" s="1"/>
  <c r="AH80" i="1"/>
  <c r="CV80" i="1" s="1"/>
  <c r="AI80" i="1"/>
  <c r="CW80" i="1" s="1"/>
  <c r="V80" i="1" s="1"/>
  <c r="AJ80" i="1"/>
  <c r="CR80" i="1"/>
  <c r="CT80" i="1"/>
  <c r="CX80" i="1"/>
  <c r="CY80" i="1"/>
  <c r="CZ80" i="1"/>
  <c r="GL80" i="1"/>
  <c r="GN80" i="1"/>
  <c r="GP80" i="1"/>
  <c r="GV80" i="1"/>
  <c r="HC80" i="1" s="1"/>
  <c r="GX80" i="1" s="1"/>
  <c r="I81" i="1"/>
  <c r="P81" i="1"/>
  <c r="FR81" i="1" s="1"/>
  <c r="Q81" i="1"/>
  <c r="S81" i="1"/>
  <c r="AC81" i="1"/>
  <c r="CQ81" i="1" s="1"/>
  <c r="AE81" i="1"/>
  <c r="AF81" i="1"/>
  <c r="AG81" i="1"/>
  <c r="CU81" i="1" s="1"/>
  <c r="T81" i="1" s="1"/>
  <c r="AH81" i="1"/>
  <c r="AI81" i="1"/>
  <c r="AJ81" i="1"/>
  <c r="CT81" i="1"/>
  <c r="CV81" i="1"/>
  <c r="U81" i="1" s="1"/>
  <c r="CW81" i="1"/>
  <c r="V81" i="1" s="1"/>
  <c r="CX81" i="1"/>
  <c r="W81" i="1" s="1"/>
  <c r="GL81" i="1"/>
  <c r="GN81" i="1"/>
  <c r="GO81" i="1"/>
  <c r="GP81" i="1"/>
  <c r="GV81" i="1"/>
  <c r="HC81" i="1" s="1"/>
  <c r="GX81" i="1"/>
  <c r="I82" i="1"/>
  <c r="AB82" i="1"/>
  <c r="AC82" i="1"/>
  <c r="AD82" i="1"/>
  <c r="AE82" i="1"/>
  <c r="AF82" i="1"/>
  <c r="CT82" i="1" s="1"/>
  <c r="AG82" i="1"/>
  <c r="CU82" i="1" s="1"/>
  <c r="T82" i="1" s="1"/>
  <c r="AH82" i="1"/>
  <c r="CV82" i="1" s="1"/>
  <c r="U82" i="1" s="1"/>
  <c r="AI82" i="1"/>
  <c r="AJ82" i="1"/>
  <c r="CX82" i="1" s="1"/>
  <c r="CQ82" i="1"/>
  <c r="CR82" i="1"/>
  <c r="CS82" i="1"/>
  <c r="CW82" i="1"/>
  <c r="GL82" i="1"/>
  <c r="GN82" i="1"/>
  <c r="GO82" i="1"/>
  <c r="GP82" i="1"/>
  <c r="GV82" i="1"/>
  <c r="HC82" i="1"/>
  <c r="C83" i="1"/>
  <c r="D83" i="1"/>
  <c r="P83" i="1"/>
  <c r="R83" i="1"/>
  <c r="T83" i="1"/>
  <c r="AC83" i="1"/>
  <c r="AE83" i="1"/>
  <c r="CR83" i="1" s="1"/>
  <c r="AF83" i="1"/>
  <c r="AG83" i="1"/>
  <c r="AH83" i="1"/>
  <c r="CV83" i="1" s="1"/>
  <c r="U83" i="1" s="1"/>
  <c r="AI83" i="1"/>
  <c r="AJ83" i="1"/>
  <c r="CQ83" i="1"/>
  <c r="CU83" i="1"/>
  <c r="CW83" i="1"/>
  <c r="V83" i="1" s="1"/>
  <c r="CX83" i="1"/>
  <c r="W83" i="1" s="1"/>
  <c r="GL83" i="1"/>
  <c r="GN83" i="1"/>
  <c r="GP83" i="1"/>
  <c r="GV83" i="1"/>
  <c r="HC83" i="1"/>
  <c r="GX83" i="1" s="1"/>
  <c r="C84" i="1"/>
  <c r="D84" i="1"/>
  <c r="S84" i="1"/>
  <c r="CY84" i="1" s="1"/>
  <c r="W84" i="1"/>
  <c r="X84" i="1"/>
  <c r="Y84" i="1"/>
  <c r="AC84" i="1"/>
  <c r="AE84" i="1"/>
  <c r="AD84" i="1" s="1"/>
  <c r="AF84" i="1"/>
  <c r="AG84" i="1"/>
  <c r="CU84" i="1" s="1"/>
  <c r="T84" i="1" s="1"/>
  <c r="AH84" i="1"/>
  <c r="CV84" i="1" s="1"/>
  <c r="U84" i="1" s="1"/>
  <c r="AI84" i="1"/>
  <c r="CW84" i="1" s="1"/>
  <c r="V84" i="1" s="1"/>
  <c r="AJ84" i="1"/>
  <c r="CR84" i="1"/>
  <c r="CS84" i="1"/>
  <c r="CT84" i="1"/>
  <c r="CX84" i="1"/>
  <c r="GL84" i="1"/>
  <c r="GN84" i="1"/>
  <c r="GP84" i="1"/>
  <c r="GV84" i="1"/>
  <c r="HC84" i="1" s="1"/>
  <c r="GX84" i="1" s="1"/>
  <c r="C85" i="1"/>
  <c r="D85" i="1"/>
  <c r="R85" i="1"/>
  <c r="S85" i="1"/>
  <c r="X85" i="1" s="1"/>
  <c r="V85" i="1"/>
  <c r="AC85" i="1"/>
  <c r="CQ85" i="1" s="1"/>
  <c r="AE85" i="1"/>
  <c r="CR85" i="1" s="1"/>
  <c r="AF85" i="1"/>
  <c r="CT85" i="1" s="1"/>
  <c r="AG85" i="1"/>
  <c r="CU85" i="1" s="1"/>
  <c r="T85" i="1" s="1"/>
  <c r="AH85" i="1"/>
  <c r="CV85" i="1" s="1"/>
  <c r="U85" i="1" s="1"/>
  <c r="AI85" i="1"/>
  <c r="AJ85" i="1"/>
  <c r="CX85" i="1" s="1"/>
  <c r="W85" i="1" s="1"/>
  <c r="CS85" i="1"/>
  <c r="CW85" i="1"/>
  <c r="CY85" i="1"/>
  <c r="GL85" i="1"/>
  <c r="GN85" i="1"/>
  <c r="GP85" i="1"/>
  <c r="GV85" i="1"/>
  <c r="HC85" i="1" s="1"/>
  <c r="GX85" i="1" s="1"/>
  <c r="C86" i="1"/>
  <c r="D86" i="1"/>
  <c r="Q86" i="1"/>
  <c r="S86" i="1"/>
  <c r="CY86" i="1" s="1"/>
  <c r="AC86" i="1"/>
  <c r="AE86" i="1"/>
  <c r="AF86" i="1"/>
  <c r="AG86" i="1"/>
  <c r="AH86" i="1"/>
  <c r="AI86" i="1"/>
  <c r="CW86" i="1" s="1"/>
  <c r="V86" i="1" s="1"/>
  <c r="AJ86" i="1"/>
  <c r="CT86" i="1"/>
  <c r="CU86" i="1"/>
  <c r="T86" i="1" s="1"/>
  <c r="CV86" i="1"/>
  <c r="U86" i="1" s="1"/>
  <c r="CX86" i="1"/>
  <c r="W86" i="1" s="1"/>
  <c r="GL86" i="1"/>
  <c r="GN86" i="1"/>
  <c r="GP86" i="1"/>
  <c r="GV86" i="1"/>
  <c r="HC86" i="1"/>
  <c r="GX86" i="1" s="1"/>
  <c r="P87" i="1"/>
  <c r="R87" i="1"/>
  <c r="V87" i="1"/>
  <c r="AB87" i="1"/>
  <c r="AC87" i="1"/>
  <c r="AD87" i="1"/>
  <c r="AE87" i="1"/>
  <c r="Q87" i="1" s="1"/>
  <c r="AF87" i="1"/>
  <c r="CT87" i="1" s="1"/>
  <c r="AG87" i="1"/>
  <c r="AH87" i="1"/>
  <c r="CV87" i="1" s="1"/>
  <c r="U87" i="1" s="1"/>
  <c r="AI87" i="1"/>
  <c r="AJ87" i="1"/>
  <c r="CX87" i="1" s="1"/>
  <c r="W87" i="1" s="1"/>
  <c r="CQ87" i="1"/>
  <c r="CR87" i="1"/>
  <c r="CS87" i="1"/>
  <c r="CU87" i="1"/>
  <c r="T87" i="1" s="1"/>
  <c r="CW87" i="1"/>
  <c r="FR87" i="1"/>
  <c r="GL87" i="1"/>
  <c r="GN87" i="1"/>
  <c r="GO87" i="1"/>
  <c r="GP87" i="1"/>
  <c r="GV87" i="1"/>
  <c r="HC87" i="1"/>
  <c r="GX87" i="1" s="1"/>
  <c r="R88" i="1"/>
  <c r="S88" i="1"/>
  <c r="X88" i="1" s="1"/>
  <c r="T88" i="1"/>
  <c r="V88" i="1"/>
  <c r="AC88" i="1"/>
  <c r="P88" i="1" s="1"/>
  <c r="AE88" i="1"/>
  <c r="CR88" i="1" s="1"/>
  <c r="AF88" i="1"/>
  <c r="CT88" i="1" s="1"/>
  <c r="AG88" i="1"/>
  <c r="CU88" i="1" s="1"/>
  <c r="AH88" i="1"/>
  <c r="CV88" i="1" s="1"/>
  <c r="U88" i="1" s="1"/>
  <c r="AI88" i="1"/>
  <c r="AJ88" i="1"/>
  <c r="CX88" i="1" s="1"/>
  <c r="W88" i="1" s="1"/>
  <c r="CQ88" i="1"/>
  <c r="CS88" i="1"/>
  <c r="CW88" i="1"/>
  <c r="CY88" i="1"/>
  <c r="GL88" i="1"/>
  <c r="GN88" i="1"/>
  <c r="GO88" i="1"/>
  <c r="GP88" i="1"/>
  <c r="GV88" i="1"/>
  <c r="HC88" i="1"/>
  <c r="GX88" i="1" s="1"/>
  <c r="P89" i="1"/>
  <c r="R89" i="1"/>
  <c r="AC89" i="1"/>
  <c r="CQ89" i="1" s="1"/>
  <c r="AD89" i="1"/>
  <c r="AE89" i="1"/>
  <c r="CR89" i="1" s="1"/>
  <c r="AF89" i="1"/>
  <c r="AG89" i="1"/>
  <c r="AH89" i="1"/>
  <c r="AI89" i="1"/>
  <c r="AJ89" i="1"/>
  <c r="CX89" i="1" s="1"/>
  <c r="W89" i="1" s="1"/>
  <c r="CS89" i="1"/>
  <c r="CU89" i="1"/>
  <c r="T89" i="1" s="1"/>
  <c r="CV89" i="1"/>
  <c r="U89" i="1" s="1"/>
  <c r="CW89" i="1"/>
  <c r="V89" i="1" s="1"/>
  <c r="GL89" i="1"/>
  <c r="GN89" i="1"/>
  <c r="GO89" i="1"/>
  <c r="GP89" i="1"/>
  <c r="GV89" i="1"/>
  <c r="HC89" i="1" s="1"/>
  <c r="GX89" i="1" s="1"/>
  <c r="P90" i="1"/>
  <c r="R90" i="1"/>
  <c r="V90" i="1"/>
  <c r="AB90" i="1"/>
  <c r="AC90" i="1"/>
  <c r="AD90" i="1"/>
  <c r="AE90" i="1"/>
  <c r="Q90" i="1" s="1"/>
  <c r="AF90" i="1"/>
  <c r="CT90" i="1" s="1"/>
  <c r="AG90" i="1"/>
  <c r="AH90" i="1"/>
  <c r="CV90" i="1" s="1"/>
  <c r="U90" i="1" s="1"/>
  <c r="AI90" i="1"/>
  <c r="AJ90" i="1"/>
  <c r="CX90" i="1" s="1"/>
  <c r="W90" i="1" s="1"/>
  <c r="CQ90" i="1"/>
  <c r="CR90" i="1"/>
  <c r="CS90" i="1"/>
  <c r="CU90" i="1"/>
  <c r="T90" i="1" s="1"/>
  <c r="CW90" i="1"/>
  <c r="FR90" i="1"/>
  <c r="GL90" i="1"/>
  <c r="GN90" i="1"/>
  <c r="GO90" i="1"/>
  <c r="GP90" i="1"/>
  <c r="GV90" i="1"/>
  <c r="HC90" i="1"/>
  <c r="GX90" i="1" s="1"/>
  <c r="C91" i="1"/>
  <c r="D91" i="1"/>
  <c r="P91" i="1"/>
  <c r="T91" i="1"/>
  <c r="AC91" i="1"/>
  <c r="AE91" i="1"/>
  <c r="AF91" i="1"/>
  <c r="AG91" i="1"/>
  <c r="AH91" i="1"/>
  <c r="CV91" i="1" s="1"/>
  <c r="U91" i="1" s="1"/>
  <c r="AI91" i="1"/>
  <c r="AJ91" i="1"/>
  <c r="CQ91" i="1"/>
  <c r="CU91" i="1"/>
  <c r="CW91" i="1"/>
  <c r="V91" i="1" s="1"/>
  <c r="CX91" i="1"/>
  <c r="W91" i="1" s="1"/>
  <c r="GL91" i="1"/>
  <c r="GN91" i="1"/>
  <c r="GP91" i="1"/>
  <c r="GV91" i="1"/>
  <c r="HC91" i="1"/>
  <c r="GX91" i="1" s="1"/>
  <c r="C92" i="1"/>
  <c r="D92" i="1"/>
  <c r="S92" i="1"/>
  <c r="CY92" i="1" s="1"/>
  <c r="V92" i="1"/>
  <c r="W92" i="1"/>
  <c r="X92" i="1"/>
  <c r="Y92" i="1"/>
  <c r="AC92" i="1"/>
  <c r="AE92" i="1"/>
  <c r="AD92" i="1" s="1"/>
  <c r="AF92" i="1"/>
  <c r="AG92" i="1"/>
  <c r="CU92" i="1" s="1"/>
  <c r="T92" i="1" s="1"/>
  <c r="AH92" i="1"/>
  <c r="AI92" i="1"/>
  <c r="AJ92" i="1"/>
  <c r="CR92" i="1"/>
  <c r="CS92" i="1"/>
  <c r="CT92" i="1"/>
  <c r="CV92" i="1"/>
  <c r="U92" i="1" s="1"/>
  <c r="CW92" i="1"/>
  <c r="CX92" i="1"/>
  <c r="GL92" i="1"/>
  <c r="GN92" i="1"/>
  <c r="GP92" i="1"/>
  <c r="GV92" i="1"/>
  <c r="HC92" i="1" s="1"/>
  <c r="GX92" i="1" s="1"/>
  <c r="I93" i="1"/>
  <c r="Q93" i="1" s="1"/>
  <c r="R93" i="1"/>
  <c r="S93" i="1"/>
  <c r="X93" i="1" s="1"/>
  <c r="T93" i="1"/>
  <c r="U93" i="1"/>
  <c r="W93" i="1"/>
  <c r="AC93" i="1"/>
  <c r="CQ93" i="1" s="1"/>
  <c r="AD93" i="1"/>
  <c r="AE93" i="1"/>
  <c r="AF93" i="1"/>
  <c r="AG93" i="1"/>
  <c r="CU93" i="1" s="1"/>
  <c r="AH93" i="1"/>
  <c r="CV93" i="1" s="1"/>
  <c r="AI93" i="1"/>
  <c r="CW93" i="1" s="1"/>
  <c r="V93" i="1" s="1"/>
  <c r="AJ93" i="1"/>
  <c r="CR93" i="1"/>
  <c r="CS93" i="1"/>
  <c r="CT93" i="1"/>
  <c r="CX93" i="1"/>
  <c r="CY93" i="1"/>
  <c r="CZ93" i="1"/>
  <c r="GL93" i="1"/>
  <c r="GN93" i="1"/>
  <c r="GO93" i="1"/>
  <c r="GP93" i="1"/>
  <c r="GV93" i="1"/>
  <c r="HC93" i="1" s="1"/>
  <c r="GX93" i="1" s="1"/>
  <c r="I94" i="1"/>
  <c r="Q94" i="1" s="1"/>
  <c r="P94" i="1"/>
  <c r="R94" i="1"/>
  <c r="AC94" i="1"/>
  <c r="CQ94" i="1" s="1"/>
  <c r="AD94" i="1"/>
  <c r="AE94" i="1"/>
  <c r="CR94" i="1" s="1"/>
  <c r="AF94" i="1"/>
  <c r="S94" i="1" s="1"/>
  <c r="AG94" i="1"/>
  <c r="AH94" i="1"/>
  <c r="AI94" i="1"/>
  <c r="AJ94" i="1"/>
  <c r="CX94" i="1" s="1"/>
  <c r="W94" i="1" s="1"/>
  <c r="CS94" i="1"/>
  <c r="CT94" i="1"/>
  <c r="CU94" i="1"/>
  <c r="T94" i="1" s="1"/>
  <c r="CV94" i="1"/>
  <c r="U94" i="1" s="1"/>
  <c r="CW94" i="1"/>
  <c r="V94" i="1" s="1"/>
  <c r="GL94" i="1"/>
  <c r="GN94" i="1"/>
  <c r="GO94" i="1"/>
  <c r="GP94" i="1"/>
  <c r="GV94" i="1"/>
  <c r="HC94" i="1"/>
  <c r="GX94" i="1" s="1"/>
  <c r="C95" i="1"/>
  <c r="D95" i="1"/>
  <c r="P95" i="1"/>
  <c r="S95" i="1"/>
  <c r="Y95" i="1" s="1"/>
  <c r="T95" i="1"/>
  <c r="X95" i="1"/>
  <c r="AC95" i="1"/>
  <c r="AD95" i="1"/>
  <c r="AB95" i="1" s="1"/>
  <c r="AE95" i="1"/>
  <c r="CR95" i="1" s="1"/>
  <c r="AF95" i="1"/>
  <c r="AG95" i="1"/>
  <c r="AH95" i="1"/>
  <c r="CV95" i="1" s="1"/>
  <c r="U95" i="1" s="1"/>
  <c r="AI95" i="1"/>
  <c r="CW95" i="1" s="1"/>
  <c r="V95" i="1" s="1"/>
  <c r="AJ95" i="1"/>
  <c r="CX95" i="1" s="1"/>
  <c r="W95" i="1" s="1"/>
  <c r="CQ95" i="1"/>
  <c r="CS95" i="1"/>
  <c r="CT95" i="1"/>
  <c r="CU95" i="1"/>
  <c r="CY95" i="1"/>
  <c r="CZ95" i="1"/>
  <c r="GL95" i="1"/>
  <c r="GN95" i="1"/>
  <c r="GP95" i="1"/>
  <c r="GV95" i="1"/>
  <c r="GX95" i="1"/>
  <c r="HC95" i="1"/>
  <c r="C96" i="1"/>
  <c r="D96" i="1"/>
  <c r="Q96" i="1"/>
  <c r="S96" i="1"/>
  <c r="AC96" i="1"/>
  <c r="AD96" i="1"/>
  <c r="AE96" i="1"/>
  <c r="AF96" i="1"/>
  <c r="AG96" i="1"/>
  <c r="CU96" i="1" s="1"/>
  <c r="T96" i="1" s="1"/>
  <c r="AH96" i="1"/>
  <c r="AI96" i="1"/>
  <c r="AJ96" i="1"/>
  <c r="CT96" i="1"/>
  <c r="CV96" i="1"/>
  <c r="U96" i="1" s="1"/>
  <c r="CW96" i="1"/>
  <c r="V96" i="1" s="1"/>
  <c r="CX96" i="1"/>
  <c r="W96" i="1" s="1"/>
  <c r="GL96" i="1"/>
  <c r="GN96" i="1"/>
  <c r="GP96" i="1"/>
  <c r="GV96" i="1"/>
  <c r="HC96" i="1" s="1"/>
  <c r="GX96" i="1" s="1"/>
  <c r="I97" i="1"/>
  <c r="Q97" i="1" s="1"/>
  <c r="W97" i="1"/>
  <c r="AC97" i="1"/>
  <c r="AE97" i="1"/>
  <c r="AD97" i="1" s="1"/>
  <c r="AF97" i="1"/>
  <c r="AG97" i="1"/>
  <c r="CU97" i="1" s="1"/>
  <c r="T97" i="1" s="1"/>
  <c r="AH97" i="1"/>
  <c r="AI97" i="1"/>
  <c r="AJ97" i="1"/>
  <c r="CR97" i="1"/>
  <c r="CS97" i="1"/>
  <c r="CT97" i="1"/>
  <c r="CV97" i="1"/>
  <c r="U97" i="1" s="1"/>
  <c r="CW97" i="1"/>
  <c r="CX97" i="1"/>
  <c r="GL97" i="1"/>
  <c r="BZ110" i="1" s="1"/>
  <c r="GN97" i="1"/>
  <c r="CB110" i="1" s="1"/>
  <c r="GO97" i="1"/>
  <c r="GP97" i="1"/>
  <c r="GV97" i="1"/>
  <c r="HC97" i="1"/>
  <c r="I98" i="1"/>
  <c r="Q98" i="1" s="1"/>
  <c r="R98" i="1"/>
  <c r="T98" i="1"/>
  <c r="AC98" i="1"/>
  <c r="P98" i="1" s="1"/>
  <c r="AE98" i="1"/>
  <c r="CR98" i="1" s="1"/>
  <c r="AF98" i="1"/>
  <c r="AG98" i="1"/>
  <c r="CU98" i="1" s="1"/>
  <c r="AH98" i="1"/>
  <c r="CV98" i="1" s="1"/>
  <c r="U98" i="1" s="1"/>
  <c r="AI98" i="1"/>
  <c r="AJ98" i="1"/>
  <c r="CQ98" i="1"/>
  <c r="CS98" i="1"/>
  <c r="CW98" i="1"/>
  <c r="V98" i="1" s="1"/>
  <c r="CX98" i="1"/>
  <c r="W98" i="1" s="1"/>
  <c r="FR98" i="1"/>
  <c r="GL98" i="1"/>
  <c r="GN98" i="1"/>
  <c r="GO98" i="1"/>
  <c r="GP98" i="1"/>
  <c r="GV98" i="1"/>
  <c r="HC98" i="1"/>
  <c r="GX98" i="1" s="1"/>
  <c r="C99" i="1"/>
  <c r="D99" i="1"/>
  <c r="I99" i="1"/>
  <c r="K99" i="1"/>
  <c r="V99" i="1"/>
  <c r="W99" i="1"/>
  <c r="AB99" i="1"/>
  <c r="AC99" i="1"/>
  <c r="AD99" i="1"/>
  <c r="AE99" i="1"/>
  <c r="AF99" i="1"/>
  <c r="CT99" i="1" s="1"/>
  <c r="AG99" i="1"/>
  <c r="AH99" i="1"/>
  <c r="AI99" i="1"/>
  <c r="AJ99" i="1"/>
  <c r="CX99" i="1" s="1"/>
  <c r="CQ99" i="1"/>
  <c r="CR99" i="1"/>
  <c r="CS99" i="1"/>
  <c r="CU99" i="1"/>
  <c r="T99" i="1" s="1"/>
  <c r="CV99" i="1"/>
  <c r="U99" i="1" s="1"/>
  <c r="CW99" i="1"/>
  <c r="GL99" i="1"/>
  <c r="GN99" i="1"/>
  <c r="GP99" i="1"/>
  <c r="GV99" i="1"/>
  <c r="HC99" i="1"/>
  <c r="C100" i="1"/>
  <c r="D100" i="1"/>
  <c r="I100" i="1"/>
  <c r="CU166" i="3" s="1"/>
  <c r="K100" i="1"/>
  <c r="AC100" i="1"/>
  <c r="AE100" i="1"/>
  <c r="AF100" i="1"/>
  <c r="CT100" i="1" s="1"/>
  <c r="AG100" i="1"/>
  <c r="CU100" i="1" s="1"/>
  <c r="T100" i="1" s="1"/>
  <c r="AH100" i="1"/>
  <c r="AI100" i="1"/>
  <c r="AJ100" i="1"/>
  <c r="CV100" i="1"/>
  <c r="U100" i="1" s="1"/>
  <c r="CW100" i="1"/>
  <c r="V100" i="1" s="1"/>
  <c r="CX100" i="1"/>
  <c r="W100" i="1" s="1"/>
  <c r="GL100" i="1"/>
  <c r="GN100" i="1"/>
  <c r="GP100" i="1"/>
  <c r="GV100" i="1"/>
  <c r="HC100" i="1" s="1"/>
  <c r="GX100" i="1" s="1"/>
  <c r="C101" i="1"/>
  <c r="D101" i="1"/>
  <c r="P101" i="1"/>
  <c r="R101" i="1"/>
  <c r="V101" i="1"/>
  <c r="W101" i="1"/>
  <c r="AB101" i="1"/>
  <c r="AC101" i="1"/>
  <c r="AD101" i="1"/>
  <c r="AE101" i="1"/>
  <c r="Q101" i="1" s="1"/>
  <c r="AF101" i="1"/>
  <c r="CT101" i="1" s="1"/>
  <c r="AG101" i="1"/>
  <c r="AH101" i="1"/>
  <c r="AI101" i="1"/>
  <c r="AJ101" i="1"/>
  <c r="CX101" i="1" s="1"/>
  <c r="CQ101" i="1"/>
  <c r="CR101" i="1"/>
  <c r="CS101" i="1"/>
  <c r="CU101" i="1"/>
  <c r="T101" i="1" s="1"/>
  <c r="CV101" i="1"/>
  <c r="U101" i="1" s="1"/>
  <c r="CW101" i="1"/>
  <c r="GL101" i="1"/>
  <c r="GN101" i="1"/>
  <c r="GP101" i="1"/>
  <c r="GV101" i="1"/>
  <c r="GX101" i="1"/>
  <c r="HC101" i="1"/>
  <c r="C102" i="1"/>
  <c r="D102" i="1"/>
  <c r="R102" i="1"/>
  <c r="T102" i="1"/>
  <c r="AC102" i="1"/>
  <c r="P102" i="1" s="1"/>
  <c r="AE102" i="1"/>
  <c r="Q102" i="1" s="1"/>
  <c r="AF102" i="1"/>
  <c r="CT102" i="1" s="1"/>
  <c r="AG102" i="1"/>
  <c r="CU102" i="1" s="1"/>
  <c r="AH102" i="1"/>
  <c r="CV102" i="1" s="1"/>
  <c r="U102" i="1" s="1"/>
  <c r="AI102" i="1"/>
  <c r="CW102" i="1" s="1"/>
  <c r="V102" i="1" s="1"/>
  <c r="AJ102" i="1"/>
  <c r="CQ102" i="1"/>
  <c r="CX102" i="1"/>
  <c r="W102" i="1" s="1"/>
  <c r="GL102" i="1"/>
  <c r="GN102" i="1"/>
  <c r="GP102" i="1"/>
  <c r="GV102" i="1"/>
  <c r="HC102" i="1"/>
  <c r="GX102" i="1" s="1"/>
  <c r="Q103" i="1"/>
  <c r="AC103" i="1"/>
  <c r="CQ103" i="1" s="1"/>
  <c r="AD103" i="1"/>
  <c r="AE103" i="1"/>
  <c r="CR103" i="1" s="1"/>
  <c r="AF103" i="1"/>
  <c r="S103" i="1" s="1"/>
  <c r="AG103" i="1"/>
  <c r="AH103" i="1"/>
  <c r="AI103" i="1"/>
  <c r="AJ103" i="1"/>
  <c r="CX103" i="1" s="1"/>
  <c r="W103" i="1" s="1"/>
  <c r="CT103" i="1"/>
  <c r="CU103" i="1"/>
  <c r="T103" i="1" s="1"/>
  <c r="CV103" i="1"/>
  <c r="U103" i="1" s="1"/>
  <c r="CW103" i="1"/>
  <c r="V103" i="1" s="1"/>
  <c r="GL103" i="1"/>
  <c r="GN103" i="1"/>
  <c r="GO103" i="1"/>
  <c r="GP103" i="1"/>
  <c r="GV103" i="1"/>
  <c r="HC103" i="1"/>
  <c r="GX103" i="1" s="1"/>
  <c r="P104" i="1"/>
  <c r="R104" i="1"/>
  <c r="W104" i="1"/>
  <c r="AC104" i="1"/>
  <c r="AD104" i="1"/>
  <c r="AE104" i="1"/>
  <c r="Q104" i="1" s="1"/>
  <c r="AF104" i="1"/>
  <c r="AG104" i="1"/>
  <c r="AH104" i="1"/>
  <c r="AI104" i="1"/>
  <c r="AJ104" i="1"/>
  <c r="CX104" i="1" s="1"/>
  <c r="CQ104" i="1"/>
  <c r="CR104" i="1"/>
  <c r="CS104" i="1"/>
  <c r="CU104" i="1"/>
  <c r="T104" i="1" s="1"/>
  <c r="CV104" i="1"/>
  <c r="U104" i="1" s="1"/>
  <c r="CW104" i="1"/>
  <c r="V104" i="1" s="1"/>
  <c r="FR104" i="1"/>
  <c r="GL104" i="1"/>
  <c r="FR110" i="1" s="1"/>
  <c r="GN104" i="1"/>
  <c r="GO104" i="1"/>
  <c r="GP104" i="1"/>
  <c r="GV104" i="1"/>
  <c r="HC104" i="1" s="1"/>
  <c r="GX104" i="1" s="1"/>
  <c r="C105" i="1"/>
  <c r="D105" i="1"/>
  <c r="P105" i="1"/>
  <c r="Q105" i="1"/>
  <c r="R105" i="1"/>
  <c r="S105" i="1"/>
  <c r="V105" i="1"/>
  <c r="AC105" i="1"/>
  <c r="AD105" i="1"/>
  <c r="AE105" i="1"/>
  <c r="AF105" i="1"/>
  <c r="CT105" i="1" s="1"/>
  <c r="AG105" i="1"/>
  <c r="CU105" i="1" s="1"/>
  <c r="T105" i="1" s="1"/>
  <c r="AH105" i="1"/>
  <c r="AI105" i="1"/>
  <c r="AJ105" i="1"/>
  <c r="CX105" i="1" s="1"/>
  <c r="W105" i="1" s="1"/>
  <c r="CQ105" i="1"/>
  <c r="CV105" i="1"/>
  <c r="U105" i="1" s="1"/>
  <c r="CW105" i="1"/>
  <c r="GL105" i="1"/>
  <c r="GN105" i="1"/>
  <c r="GP105" i="1"/>
  <c r="GV105" i="1"/>
  <c r="HC105" i="1"/>
  <c r="GX105" i="1" s="1"/>
  <c r="C106" i="1"/>
  <c r="D106" i="1"/>
  <c r="S106" i="1"/>
  <c r="Y106" i="1" s="1"/>
  <c r="AC106" i="1"/>
  <c r="P106" i="1" s="1"/>
  <c r="AE106" i="1"/>
  <c r="AF106" i="1"/>
  <c r="AG106" i="1"/>
  <c r="CU106" i="1" s="1"/>
  <c r="T106" i="1" s="1"/>
  <c r="AH106" i="1"/>
  <c r="AI106" i="1"/>
  <c r="AJ106" i="1"/>
  <c r="CQ106" i="1"/>
  <c r="CT106" i="1"/>
  <c r="CV106" i="1"/>
  <c r="U106" i="1" s="1"/>
  <c r="CW106" i="1"/>
  <c r="V106" i="1" s="1"/>
  <c r="CX106" i="1"/>
  <c r="W106" i="1" s="1"/>
  <c r="GL106" i="1"/>
  <c r="GN106" i="1"/>
  <c r="FT110" i="1" s="1"/>
  <c r="GP106" i="1"/>
  <c r="GV106" i="1"/>
  <c r="HC106" i="1" s="1"/>
  <c r="GX106" i="1" s="1"/>
  <c r="I107" i="1"/>
  <c r="Q107" i="1" s="1"/>
  <c r="S107" i="1"/>
  <c r="X107" i="1" s="1"/>
  <c r="T107" i="1"/>
  <c r="U107" i="1"/>
  <c r="V107" i="1"/>
  <c r="Y107" i="1"/>
  <c r="AC107" i="1"/>
  <c r="AD107" i="1"/>
  <c r="AE107" i="1"/>
  <c r="AF107" i="1"/>
  <c r="AG107" i="1"/>
  <c r="CU107" i="1" s="1"/>
  <c r="AH107" i="1"/>
  <c r="CV107" i="1" s="1"/>
  <c r="AI107" i="1"/>
  <c r="CW107" i="1" s="1"/>
  <c r="AJ107" i="1"/>
  <c r="CX107" i="1" s="1"/>
  <c r="W107" i="1" s="1"/>
  <c r="CR107" i="1"/>
  <c r="CS107" i="1"/>
  <c r="CT107" i="1"/>
  <c r="CY107" i="1"/>
  <c r="CZ107" i="1"/>
  <c r="GL107" i="1"/>
  <c r="GN107" i="1"/>
  <c r="GO107" i="1"/>
  <c r="GP107" i="1"/>
  <c r="CD110" i="1" s="1"/>
  <c r="GV107" i="1"/>
  <c r="HC107" i="1" s="1"/>
  <c r="GX107" i="1" s="1"/>
  <c r="I108" i="1"/>
  <c r="AC108" i="1"/>
  <c r="CQ108" i="1" s="1"/>
  <c r="AE108" i="1"/>
  <c r="CR108" i="1" s="1"/>
  <c r="AF108" i="1"/>
  <c r="AG108" i="1"/>
  <c r="AH108" i="1"/>
  <c r="AI108" i="1"/>
  <c r="AJ108" i="1"/>
  <c r="CX108" i="1" s="1"/>
  <c r="CU108" i="1"/>
  <c r="CV108" i="1"/>
  <c r="CW108" i="1"/>
  <c r="GL108" i="1"/>
  <c r="GN108" i="1"/>
  <c r="GO108" i="1"/>
  <c r="GP108" i="1"/>
  <c r="FV110" i="1" s="1"/>
  <c r="GV108" i="1"/>
  <c r="HC108" i="1"/>
  <c r="GX108" i="1" s="1"/>
  <c r="B110" i="1"/>
  <c r="B77" i="1" s="1"/>
  <c r="C110" i="1"/>
  <c r="C77" i="1" s="1"/>
  <c r="D110" i="1"/>
  <c r="D77" i="1" s="1"/>
  <c r="F110" i="1"/>
  <c r="F77" i="1" s="1"/>
  <c r="G110" i="1"/>
  <c r="G77" i="1" s="1"/>
  <c r="BD110" i="1"/>
  <c r="BX110" i="1"/>
  <c r="BX77" i="1" s="1"/>
  <c r="CK110" i="1"/>
  <c r="CL110" i="1"/>
  <c r="BC110" i="1" s="1"/>
  <c r="BC77" i="1" s="1"/>
  <c r="CM110" i="1"/>
  <c r="CM77" i="1" s="1"/>
  <c r="EU110" i="1"/>
  <c r="EV110" i="1"/>
  <c r="FP110" i="1"/>
  <c r="EG110" i="1" s="1"/>
  <c r="GC110" i="1"/>
  <c r="GC77" i="1" s="1"/>
  <c r="GD110" i="1"/>
  <c r="GD77" i="1" s="1"/>
  <c r="GE110" i="1"/>
  <c r="GE77" i="1" s="1"/>
  <c r="F126" i="1"/>
  <c r="D140" i="1"/>
  <c r="B142" i="1"/>
  <c r="E142" i="1"/>
  <c r="Z142" i="1"/>
  <c r="AA142" i="1"/>
  <c r="AM142" i="1"/>
  <c r="AN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R142" i="1"/>
  <c r="DS142" i="1"/>
  <c r="EE142" i="1"/>
  <c r="EF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C144" i="1"/>
  <c r="D144" i="1"/>
  <c r="R144" i="1"/>
  <c r="S144" i="1"/>
  <c r="U144" i="1"/>
  <c r="AC144" i="1"/>
  <c r="AE144" i="1"/>
  <c r="CR144" i="1" s="1"/>
  <c r="AF144" i="1"/>
  <c r="CT144" i="1" s="1"/>
  <c r="AG144" i="1"/>
  <c r="CU144" i="1" s="1"/>
  <c r="T144" i="1" s="1"/>
  <c r="AH144" i="1"/>
  <c r="AI144" i="1"/>
  <c r="AJ144" i="1"/>
  <c r="CQ144" i="1"/>
  <c r="CV144" i="1"/>
  <c r="CW144" i="1"/>
  <c r="V144" i="1" s="1"/>
  <c r="CX144" i="1"/>
  <c r="W144" i="1" s="1"/>
  <c r="GL144" i="1"/>
  <c r="GN144" i="1"/>
  <c r="GP144" i="1"/>
  <c r="GV144" i="1"/>
  <c r="HC144" i="1"/>
  <c r="GX144" i="1" s="1"/>
  <c r="C145" i="1"/>
  <c r="D145" i="1"/>
  <c r="P145" i="1"/>
  <c r="R145" i="1"/>
  <c r="S145" i="1"/>
  <c r="CY145" i="1" s="1"/>
  <c r="X145" i="1"/>
  <c r="Y145" i="1"/>
  <c r="AC145" i="1"/>
  <c r="AD145" i="1"/>
  <c r="AB145" i="1" s="1"/>
  <c r="AE145" i="1"/>
  <c r="Q145" i="1" s="1"/>
  <c r="AF145" i="1"/>
  <c r="CT145" i="1" s="1"/>
  <c r="AG145" i="1"/>
  <c r="AH145" i="1"/>
  <c r="CV145" i="1" s="1"/>
  <c r="U145" i="1" s="1"/>
  <c r="AI145" i="1"/>
  <c r="AJ145" i="1"/>
  <c r="CQ145" i="1"/>
  <c r="CR145" i="1"/>
  <c r="CS145" i="1"/>
  <c r="CU145" i="1"/>
  <c r="T145" i="1" s="1"/>
  <c r="CW145" i="1"/>
  <c r="V145" i="1" s="1"/>
  <c r="EA157" i="1" s="1"/>
  <c r="EA142" i="1" s="1"/>
  <c r="CX145" i="1"/>
  <c r="W145" i="1" s="1"/>
  <c r="GL145" i="1"/>
  <c r="GN145" i="1"/>
  <c r="GP145" i="1"/>
  <c r="GV145" i="1"/>
  <c r="GX145" i="1"/>
  <c r="HC145" i="1"/>
  <c r="P146" i="1"/>
  <c r="S146" i="1"/>
  <c r="CY146" i="1" s="1"/>
  <c r="U146" i="1"/>
  <c r="W146" i="1"/>
  <c r="Y146" i="1"/>
  <c r="AC146" i="1"/>
  <c r="AB146" i="1" s="1"/>
  <c r="AD146" i="1"/>
  <c r="AE146" i="1"/>
  <c r="CS146" i="1" s="1"/>
  <c r="AF146" i="1"/>
  <c r="AG146" i="1"/>
  <c r="AH146" i="1"/>
  <c r="AI146" i="1"/>
  <c r="CW146" i="1" s="1"/>
  <c r="V146" i="1" s="1"/>
  <c r="AJ146" i="1"/>
  <c r="CX146" i="1" s="1"/>
  <c r="CR146" i="1"/>
  <c r="CT146" i="1"/>
  <c r="CU146" i="1"/>
  <c r="T146" i="1" s="1"/>
  <c r="CV146" i="1"/>
  <c r="CZ146" i="1"/>
  <c r="FR146" i="1"/>
  <c r="GL146" i="1"/>
  <c r="BZ157" i="1" s="1"/>
  <c r="GN146" i="1"/>
  <c r="GO146" i="1"/>
  <c r="GP146" i="1"/>
  <c r="GV146" i="1"/>
  <c r="HC146" i="1" s="1"/>
  <c r="GX146" i="1" s="1"/>
  <c r="Q147" i="1"/>
  <c r="R147" i="1"/>
  <c r="S147" i="1"/>
  <c r="AC147" i="1"/>
  <c r="AE147" i="1"/>
  <c r="AF147" i="1"/>
  <c r="CT147" i="1" s="1"/>
  <c r="AG147" i="1"/>
  <c r="CU147" i="1" s="1"/>
  <c r="T147" i="1" s="1"/>
  <c r="AH147" i="1"/>
  <c r="AI147" i="1"/>
  <c r="AJ147" i="1"/>
  <c r="CQ147" i="1"/>
  <c r="CV147" i="1"/>
  <c r="U147" i="1" s="1"/>
  <c r="CW147" i="1"/>
  <c r="V147" i="1" s="1"/>
  <c r="CX147" i="1"/>
  <c r="W147" i="1" s="1"/>
  <c r="GL147" i="1"/>
  <c r="GN147" i="1"/>
  <c r="GO147" i="1"/>
  <c r="GP147" i="1"/>
  <c r="GV147" i="1"/>
  <c r="HC147" i="1"/>
  <c r="GX147" i="1" s="1"/>
  <c r="GB157" i="1" s="1"/>
  <c r="C148" i="1"/>
  <c r="D148" i="1"/>
  <c r="R148" i="1"/>
  <c r="W148" i="1"/>
  <c r="X148" i="1"/>
  <c r="AC148" i="1"/>
  <c r="AE148" i="1"/>
  <c r="AD148" i="1" s="1"/>
  <c r="AF148" i="1"/>
  <c r="S148" i="1" s="1"/>
  <c r="AG148" i="1"/>
  <c r="CU148" i="1" s="1"/>
  <c r="T148" i="1" s="1"/>
  <c r="AH148" i="1"/>
  <c r="AI148" i="1"/>
  <c r="AJ148" i="1"/>
  <c r="CQ148" i="1"/>
  <c r="CR148" i="1"/>
  <c r="CT148" i="1"/>
  <c r="CV148" i="1"/>
  <c r="U148" i="1" s="1"/>
  <c r="CW148" i="1"/>
  <c r="V148" i="1" s="1"/>
  <c r="CX148" i="1"/>
  <c r="GL148" i="1"/>
  <c r="GN148" i="1"/>
  <c r="GP148" i="1"/>
  <c r="GV148" i="1"/>
  <c r="HC148" i="1" s="1"/>
  <c r="GX148" i="1" s="1"/>
  <c r="C149" i="1"/>
  <c r="D149" i="1"/>
  <c r="P149" i="1"/>
  <c r="R149" i="1"/>
  <c r="AC149" i="1"/>
  <c r="AD149" i="1"/>
  <c r="AE149" i="1"/>
  <c r="Q149" i="1" s="1"/>
  <c r="AF149" i="1"/>
  <c r="AG149" i="1"/>
  <c r="CU149" i="1" s="1"/>
  <c r="T149" i="1" s="1"/>
  <c r="AH149" i="1"/>
  <c r="CV149" i="1" s="1"/>
  <c r="U149" i="1" s="1"/>
  <c r="AI149" i="1"/>
  <c r="AJ149" i="1"/>
  <c r="CQ149" i="1"/>
  <c r="CR149" i="1"/>
  <c r="CS149" i="1"/>
  <c r="CW149" i="1"/>
  <c r="V149" i="1" s="1"/>
  <c r="CX149" i="1"/>
  <c r="W149" i="1" s="1"/>
  <c r="GL149" i="1"/>
  <c r="GN149" i="1"/>
  <c r="GP149" i="1"/>
  <c r="GV149" i="1"/>
  <c r="GX149" i="1"/>
  <c r="HC149" i="1"/>
  <c r="I150" i="1"/>
  <c r="Q150" i="1" s="1"/>
  <c r="R150" i="1"/>
  <c r="AB150" i="1"/>
  <c r="AC150" i="1"/>
  <c r="AD150" i="1"/>
  <c r="AE150" i="1"/>
  <c r="AF150" i="1"/>
  <c r="AG150" i="1"/>
  <c r="AH150" i="1"/>
  <c r="CV150" i="1" s="1"/>
  <c r="U150" i="1" s="1"/>
  <c r="AI150" i="1"/>
  <c r="AJ150" i="1"/>
  <c r="CX150" i="1" s="1"/>
  <c r="W150" i="1" s="1"/>
  <c r="CR150" i="1"/>
  <c r="CS150" i="1"/>
  <c r="CU150" i="1"/>
  <c r="T150" i="1" s="1"/>
  <c r="CW150" i="1"/>
  <c r="V150" i="1" s="1"/>
  <c r="GL150" i="1"/>
  <c r="GN150" i="1"/>
  <c r="GO150" i="1"/>
  <c r="GP150" i="1"/>
  <c r="GV150" i="1"/>
  <c r="HC150" i="1"/>
  <c r="GX150" i="1" s="1"/>
  <c r="I151" i="1"/>
  <c r="R151" i="1" s="1"/>
  <c r="P151" i="1"/>
  <c r="S151" i="1"/>
  <c r="CY151" i="1" s="1"/>
  <c r="U151" i="1"/>
  <c r="V151" i="1"/>
  <c r="W151" i="1"/>
  <c r="Y151" i="1"/>
  <c r="AC151" i="1"/>
  <c r="AB151" i="1" s="1"/>
  <c r="AD151" i="1"/>
  <c r="AE151" i="1"/>
  <c r="CS151" i="1" s="1"/>
  <c r="AF151" i="1"/>
  <c r="AG151" i="1"/>
  <c r="AH151" i="1"/>
  <c r="AI151" i="1"/>
  <c r="CW151" i="1" s="1"/>
  <c r="AJ151" i="1"/>
  <c r="CX151" i="1" s="1"/>
  <c r="CR151" i="1"/>
  <c r="CT151" i="1"/>
  <c r="CU151" i="1"/>
  <c r="T151" i="1" s="1"/>
  <c r="CV151" i="1"/>
  <c r="CZ151" i="1"/>
  <c r="FR151" i="1"/>
  <c r="GL151" i="1"/>
  <c r="GN151" i="1"/>
  <c r="GO151" i="1"/>
  <c r="GP151" i="1"/>
  <c r="GV151" i="1"/>
  <c r="HC151" i="1" s="1"/>
  <c r="GX151" i="1" s="1"/>
  <c r="C152" i="1"/>
  <c r="D152" i="1"/>
  <c r="P152" i="1"/>
  <c r="Q152" i="1"/>
  <c r="S152" i="1"/>
  <c r="AC152" i="1"/>
  <c r="AE152" i="1"/>
  <c r="AF152" i="1"/>
  <c r="AG152" i="1"/>
  <c r="AH152" i="1"/>
  <c r="AI152" i="1"/>
  <c r="CW152" i="1" s="1"/>
  <c r="V152" i="1" s="1"/>
  <c r="AJ152" i="1"/>
  <c r="CT152" i="1"/>
  <c r="CU152" i="1"/>
  <c r="T152" i="1" s="1"/>
  <c r="CV152" i="1"/>
  <c r="U152" i="1" s="1"/>
  <c r="AH157" i="1" s="1"/>
  <c r="CX152" i="1"/>
  <c r="W152" i="1" s="1"/>
  <c r="GL152" i="1"/>
  <c r="GN152" i="1"/>
  <c r="GP152" i="1"/>
  <c r="GV152" i="1"/>
  <c r="GX152" i="1"/>
  <c r="HC152" i="1"/>
  <c r="C153" i="1"/>
  <c r="D153" i="1"/>
  <c r="P153" i="1"/>
  <c r="Q153" i="1"/>
  <c r="V153" i="1"/>
  <c r="W153" i="1"/>
  <c r="AC153" i="1"/>
  <c r="AE153" i="1"/>
  <c r="AF153" i="1"/>
  <c r="CT153" i="1" s="1"/>
  <c r="AG153" i="1"/>
  <c r="AH153" i="1"/>
  <c r="AI153" i="1"/>
  <c r="AJ153" i="1"/>
  <c r="CX153" i="1" s="1"/>
  <c r="CQ153" i="1"/>
  <c r="CS153" i="1"/>
  <c r="CU153" i="1"/>
  <c r="T153" i="1" s="1"/>
  <c r="CV153" i="1"/>
  <c r="U153" i="1" s="1"/>
  <c r="CW153" i="1"/>
  <c r="GL153" i="1"/>
  <c r="FR157" i="1" s="1"/>
  <c r="GN153" i="1"/>
  <c r="GP153" i="1"/>
  <c r="GV153" i="1"/>
  <c r="HC153" i="1"/>
  <c r="GX153" i="1" s="1"/>
  <c r="I154" i="1"/>
  <c r="P154" i="1" s="1"/>
  <c r="R154" i="1"/>
  <c r="S154" i="1"/>
  <c r="Y154" i="1" s="1"/>
  <c r="T154" i="1"/>
  <c r="AC154" i="1"/>
  <c r="AD154" i="1"/>
  <c r="AE154" i="1"/>
  <c r="AF154" i="1"/>
  <c r="AG154" i="1"/>
  <c r="CU154" i="1" s="1"/>
  <c r="AH154" i="1"/>
  <c r="CV154" i="1" s="1"/>
  <c r="U154" i="1" s="1"/>
  <c r="AI154" i="1"/>
  <c r="AJ154" i="1"/>
  <c r="CX154" i="1" s="1"/>
  <c r="W154" i="1" s="1"/>
  <c r="CQ154" i="1"/>
  <c r="CR154" i="1"/>
  <c r="CS154" i="1"/>
  <c r="CW154" i="1"/>
  <c r="V154" i="1" s="1"/>
  <c r="GL154" i="1"/>
  <c r="GN154" i="1"/>
  <c r="GO154" i="1"/>
  <c r="GP154" i="1"/>
  <c r="GV154" i="1"/>
  <c r="HC154" i="1"/>
  <c r="GX154" i="1" s="1"/>
  <c r="I155" i="1"/>
  <c r="AC155" i="1"/>
  <c r="AE155" i="1"/>
  <c r="AF155" i="1"/>
  <c r="AG155" i="1"/>
  <c r="CU155" i="1" s="1"/>
  <c r="T155" i="1" s="1"/>
  <c r="AH155" i="1"/>
  <c r="CV155" i="1" s="1"/>
  <c r="U155" i="1" s="1"/>
  <c r="AI155" i="1"/>
  <c r="CW155" i="1" s="1"/>
  <c r="V155" i="1" s="1"/>
  <c r="AJ155" i="1"/>
  <c r="CT155" i="1"/>
  <c r="CX155" i="1"/>
  <c r="GL155" i="1"/>
  <c r="GN155" i="1"/>
  <c r="GO155" i="1"/>
  <c r="GP155" i="1"/>
  <c r="GV155" i="1"/>
  <c r="GX155" i="1"/>
  <c r="HC155" i="1"/>
  <c r="B157" i="1"/>
  <c r="C157" i="1"/>
  <c r="C142" i="1" s="1"/>
  <c r="D157" i="1"/>
  <c r="D142" i="1" s="1"/>
  <c r="F157" i="1"/>
  <c r="F142" i="1" s="1"/>
  <c r="G157" i="1"/>
  <c r="G142" i="1" s="1"/>
  <c r="AF157" i="1"/>
  <c r="BX157" i="1"/>
  <c r="CD157" i="1"/>
  <c r="CK157" i="1"/>
  <c r="CL157" i="1"/>
  <c r="CL142" i="1" s="1"/>
  <c r="CM157" i="1"/>
  <c r="CM142" i="1" s="1"/>
  <c r="EP157" i="1"/>
  <c r="EP142" i="1" s="1"/>
  <c r="FP157" i="1"/>
  <c r="FV157" i="1"/>
  <c r="FY157" i="1"/>
  <c r="FY142" i="1" s="1"/>
  <c r="GC157" i="1"/>
  <c r="GD157" i="1"/>
  <c r="EU157" i="1" s="1"/>
  <c r="EU142" i="1" s="1"/>
  <c r="GE157" i="1"/>
  <c r="EV157" i="1" s="1"/>
  <c r="EV142" i="1" s="1"/>
  <c r="P164" i="1"/>
  <c r="P173" i="1"/>
  <c r="D187" i="1"/>
  <c r="E189" i="1"/>
  <c r="Z189" i="1"/>
  <c r="AA189" i="1"/>
  <c r="AM189" i="1"/>
  <c r="AN189" i="1"/>
  <c r="BC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CK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R189" i="1"/>
  <c r="DS189" i="1"/>
  <c r="EE189" i="1"/>
  <c r="EF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FJ189" i="1"/>
  <c r="FK189" i="1"/>
  <c r="FL189" i="1"/>
  <c r="FM189" i="1"/>
  <c r="FN189" i="1"/>
  <c r="FO189" i="1"/>
  <c r="GF189" i="1"/>
  <c r="GG189" i="1"/>
  <c r="GH189" i="1"/>
  <c r="GI189" i="1"/>
  <c r="GJ189" i="1"/>
  <c r="GK189" i="1"/>
  <c r="GL189" i="1"/>
  <c r="GM189" i="1"/>
  <c r="GN189" i="1"/>
  <c r="GO189" i="1"/>
  <c r="GP189" i="1"/>
  <c r="GQ189" i="1"/>
  <c r="GR189" i="1"/>
  <c r="GS189" i="1"/>
  <c r="GT189" i="1"/>
  <c r="GU189" i="1"/>
  <c r="GV189" i="1"/>
  <c r="GW189" i="1"/>
  <c r="GX189" i="1"/>
  <c r="C191" i="1"/>
  <c r="D191" i="1"/>
  <c r="I191" i="1"/>
  <c r="K191" i="1"/>
  <c r="AC191" i="1"/>
  <c r="AE191" i="1"/>
  <c r="AF191" i="1"/>
  <c r="S191" i="1" s="1"/>
  <c r="AG191" i="1"/>
  <c r="CU191" i="1" s="1"/>
  <c r="T191" i="1" s="1"/>
  <c r="AH191" i="1"/>
  <c r="CV191" i="1" s="1"/>
  <c r="U191" i="1" s="1"/>
  <c r="AI191" i="1"/>
  <c r="AJ191" i="1"/>
  <c r="CW191" i="1"/>
  <c r="V191" i="1" s="1"/>
  <c r="CX191" i="1"/>
  <c r="W191" i="1" s="1"/>
  <c r="GL191" i="1"/>
  <c r="GN191" i="1"/>
  <c r="GP191" i="1"/>
  <c r="GV191" i="1"/>
  <c r="HC191" i="1" s="1"/>
  <c r="GX191" i="1" s="1"/>
  <c r="C192" i="1"/>
  <c r="D192" i="1"/>
  <c r="I192" i="1"/>
  <c r="K192" i="1"/>
  <c r="R192" i="1"/>
  <c r="W192" i="1"/>
  <c r="X192" i="1"/>
  <c r="Y192" i="1"/>
  <c r="AB192" i="1"/>
  <c r="AC192" i="1"/>
  <c r="P192" i="1" s="1"/>
  <c r="AD192" i="1"/>
  <c r="AE192" i="1"/>
  <c r="AF192" i="1"/>
  <c r="S192" i="1" s="1"/>
  <c r="CZ192" i="1" s="1"/>
  <c r="AG192" i="1"/>
  <c r="AH192" i="1"/>
  <c r="CV192" i="1" s="1"/>
  <c r="U192" i="1" s="1"/>
  <c r="AI192" i="1"/>
  <c r="AJ192" i="1"/>
  <c r="CQ192" i="1"/>
  <c r="CR192" i="1"/>
  <c r="CS192" i="1"/>
  <c r="CU192" i="1"/>
  <c r="T192" i="1" s="1"/>
  <c r="CW192" i="1"/>
  <c r="V192" i="1" s="1"/>
  <c r="CX192" i="1"/>
  <c r="GL192" i="1"/>
  <c r="GN192" i="1"/>
  <c r="GP192" i="1"/>
  <c r="FV202" i="1" s="1"/>
  <c r="GV192" i="1"/>
  <c r="HC192" i="1" s="1"/>
  <c r="GX192" i="1"/>
  <c r="I193" i="1"/>
  <c r="P193" i="1" s="1"/>
  <c r="AB193" i="1"/>
  <c r="AC193" i="1"/>
  <c r="AD193" i="1"/>
  <c r="AE193" i="1"/>
  <c r="AF193" i="1"/>
  <c r="CT193" i="1" s="1"/>
  <c r="AG193" i="1"/>
  <c r="AH193" i="1"/>
  <c r="CV193" i="1" s="1"/>
  <c r="U193" i="1" s="1"/>
  <c r="AI193" i="1"/>
  <c r="CW193" i="1" s="1"/>
  <c r="V193" i="1" s="1"/>
  <c r="AJ193" i="1"/>
  <c r="CQ193" i="1"/>
  <c r="CR193" i="1"/>
  <c r="CS193" i="1"/>
  <c r="CU193" i="1"/>
  <c r="T193" i="1" s="1"/>
  <c r="CX193" i="1"/>
  <c r="W193" i="1" s="1"/>
  <c r="GL193" i="1"/>
  <c r="GN193" i="1"/>
  <c r="GO193" i="1"/>
  <c r="GP193" i="1"/>
  <c r="GV193" i="1"/>
  <c r="HC193" i="1" s="1"/>
  <c r="GX193" i="1" s="1"/>
  <c r="I194" i="1"/>
  <c r="P194" i="1" s="1"/>
  <c r="Q194" i="1"/>
  <c r="AC194" i="1"/>
  <c r="AB194" i="1" s="1"/>
  <c r="AD194" i="1"/>
  <c r="AE194" i="1"/>
  <c r="CR194" i="1" s="1"/>
  <c r="AF194" i="1"/>
  <c r="CT194" i="1" s="1"/>
  <c r="AG194" i="1"/>
  <c r="CU194" i="1" s="1"/>
  <c r="T194" i="1" s="1"/>
  <c r="AH194" i="1"/>
  <c r="CV194" i="1" s="1"/>
  <c r="U194" i="1" s="1"/>
  <c r="AI194" i="1"/>
  <c r="AJ194" i="1"/>
  <c r="CQ194" i="1"/>
  <c r="CW194" i="1"/>
  <c r="V194" i="1" s="1"/>
  <c r="CX194" i="1"/>
  <c r="W194" i="1" s="1"/>
  <c r="EB202" i="1" s="1"/>
  <c r="GL194" i="1"/>
  <c r="GN194" i="1"/>
  <c r="GO194" i="1"/>
  <c r="GP194" i="1"/>
  <c r="GV194" i="1"/>
  <c r="HC194" i="1"/>
  <c r="GX194" i="1" s="1"/>
  <c r="C195" i="1"/>
  <c r="D195" i="1"/>
  <c r="I195" i="1"/>
  <c r="K195" i="1"/>
  <c r="W195" i="1"/>
  <c r="AC195" i="1"/>
  <c r="P195" i="1" s="1"/>
  <c r="AD195" i="1"/>
  <c r="AE195" i="1"/>
  <c r="CS195" i="1" s="1"/>
  <c r="AF195" i="1"/>
  <c r="AG195" i="1"/>
  <c r="AH195" i="1"/>
  <c r="CV195" i="1" s="1"/>
  <c r="U195" i="1" s="1"/>
  <c r="AI195" i="1"/>
  <c r="AJ195" i="1"/>
  <c r="CQ195" i="1"/>
  <c r="CR195" i="1"/>
  <c r="CT195" i="1"/>
  <c r="CU195" i="1"/>
  <c r="T195" i="1" s="1"/>
  <c r="CW195" i="1"/>
  <c r="V195" i="1" s="1"/>
  <c r="CX195" i="1"/>
  <c r="GL195" i="1"/>
  <c r="GN195" i="1"/>
  <c r="GP195" i="1"/>
  <c r="GV195" i="1"/>
  <c r="HC195" i="1" s="1"/>
  <c r="GX195" i="1" s="1"/>
  <c r="C196" i="1"/>
  <c r="D196" i="1"/>
  <c r="I196" i="1"/>
  <c r="K196" i="1"/>
  <c r="P196" i="1"/>
  <c r="U196" i="1"/>
  <c r="W196" i="1"/>
  <c r="X196" i="1"/>
  <c r="AC196" i="1"/>
  <c r="AE196" i="1"/>
  <c r="AD196" i="1" s="1"/>
  <c r="AB196" i="1" s="1"/>
  <c r="AF196" i="1"/>
  <c r="S196" i="1" s="1"/>
  <c r="CY196" i="1" s="1"/>
  <c r="AG196" i="1"/>
  <c r="AH196" i="1"/>
  <c r="AI196" i="1"/>
  <c r="AJ196" i="1"/>
  <c r="CQ196" i="1"/>
  <c r="CR196" i="1"/>
  <c r="CS196" i="1"/>
  <c r="CU196" i="1"/>
  <c r="CV196" i="1"/>
  <c r="CW196" i="1"/>
  <c r="V196" i="1" s="1"/>
  <c r="CX196" i="1"/>
  <c r="GL196" i="1"/>
  <c r="GN196" i="1"/>
  <c r="GP196" i="1"/>
  <c r="GV196" i="1"/>
  <c r="HC196" i="1" s="1"/>
  <c r="GX196" i="1" s="1"/>
  <c r="T197" i="1"/>
  <c r="U197" i="1"/>
  <c r="V197" i="1"/>
  <c r="Y197" i="1"/>
  <c r="AC197" i="1"/>
  <c r="P197" i="1" s="1"/>
  <c r="FR197" i="1" s="1"/>
  <c r="AE197" i="1"/>
  <c r="AD197" i="1" s="1"/>
  <c r="AF197" i="1"/>
  <c r="S197" i="1" s="1"/>
  <c r="CZ197" i="1" s="1"/>
  <c r="AG197" i="1"/>
  <c r="CU197" i="1" s="1"/>
  <c r="AH197" i="1"/>
  <c r="AI197" i="1"/>
  <c r="AJ197" i="1"/>
  <c r="CX197" i="1" s="1"/>
  <c r="W197" i="1" s="1"/>
  <c r="CQ197" i="1"/>
  <c r="CR197" i="1"/>
  <c r="CS197" i="1"/>
  <c r="CV197" i="1"/>
  <c r="CW197" i="1"/>
  <c r="CY197" i="1"/>
  <c r="GL197" i="1"/>
  <c r="GN197" i="1"/>
  <c r="CB202" i="1" s="1"/>
  <c r="GO197" i="1"/>
  <c r="GP197" i="1"/>
  <c r="CD202" i="1" s="1"/>
  <c r="GV197" i="1"/>
  <c r="GX197" i="1"/>
  <c r="HC197" i="1"/>
  <c r="P198" i="1"/>
  <c r="FR198" i="1" s="1"/>
  <c r="Q198" i="1"/>
  <c r="U198" i="1"/>
  <c r="AC198" i="1"/>
  <c r="CQ198" i="1" s="1"/>
  <c r="AE198" i="1"/>
  <c r="R198" i="1" s="1"/>
  <c r="AF198" i="1"/>
  <c r="CT198" i="1" s="1"/>
  <c r="AG198" i="1"/>
  <c r="AH198" i="1"/>
  <c r="AI198" i="1"/>
  <c r="CW198" i="1" s="1"/>
  <c r="V198" i="1" s="1"/>
  <c r="EA202" i="1" s="1"/>
  <c r="AJ198" i="1"/>
  <c r="CX198" i="1" s="1"/>
  <c r="W198" i="1" s="1"/>
  <c r="CR198" i="1"/>
  <c r="CS198" i="1"/>
  <c r="CU198" i="1"/>
  <c r="T198" i="1" s="1"/>
  <c r="CV198" i="1"/>
  <c r="GL198" i="1"/>
  <c r="GN198" i="1"/>
  <c r="GO198" i="1"/>
  <c r="GP198" i="1"/>
  <c r="GV198" i="1"/>
  <c r="HC198" i="1" s="1"/>
  <c r="GX198" i="1" s="1"/>
  <c r="Q199" i="1"/>
  <c r="V199" i="1"/>
  <c r="AC199" i="1"/>
  <c r="P199" i="1" s="1"/>
  <c r="AD199" i="1"/>
  <c r="AE199" i="1"/>
  <c r="R199" i="1" s="1"/>
  <c r="AF199" i="1"/>
  <c r="S199" i="1" s="1"/>
  <c r="AG199" i="1"/>
  <c r="AH199" i="1"/>
  <c r="AI199" i="1"/>
  <c r="AJ199" i="1"/>
  <c r="CR199" i="1"/>
  <c r="CS199" i="1"/>
  <c r="CT199" i="1"/>
  <c r="CU199" i="1"/>
  <c r="T199" i="1" s="1"/>
  <c r="CV199" i="1"/>
  <c r="U199" i="1" s="1"/>
  <c r="CW199" i="1"/>
  <c r="CX199" i="1"/>
  <c r="W199" i="1" s="1"/>
  <c r="GL199" i="1"/>
  <c r="GN199" i="1"/>
  <c r="GO199" i="1"/>
  <c r="GP199" i="1"/>
  <c r="GV199" i="1"/>
  <c r="HC199" i="1" s="1"/>
  <c r="GX199" i="1" s="1"/>
  <c r="R200" i="1"/>
  <c r="T200" i="1"/>
  <c r="V200" i="1"/>
  <c r="W200" i="1"/>
  <c r="X200" i="1"/>
  <c r="Y200" i="1"/>
  <c r="AC200" i="1"/>
  <c r="P200" i="1" s="1"/>
  <c r="FR200" i="1" s="1"/>
  <c r="AE200" i="1"/>
  <c r="AD200" i="1" s="1"/>
  <c r="AF200" i="1"/>
  <c r="S200" i="1" s="1"/>
  <c r="AG200" i="1"/>
  <c r="AH200" i="1"/>
  <c r="CV200" i="1" s="1"/>
  <c r="U200" i="1" s="1"/>
  <c r="AI200" i="1"/>
  <c r="AJ200" i="1"/>
  <c r="CX200" i="1" s="1"/>
  <c r="CR200" i="1"/>
  <c r="CS200" i="1"/>
  <c r="CT200" i="1"/>
  <c r="CU200" i="1"/>
  <c r="CW200" i="1"/>
  <c r="CZ200" i="1"/>
  <c r="GL200" i="1"/>
  <c r="GN200" i="1"/>
  <c r="FT202" i="1" s="1"/>
  <c r="GO200" i="1"/>
  <c r="GP200" i="1"/>
  <c r="GV200" i="1"/>
  <c r="GX200" i="1"/>
  <c r="HC200" i="1"/>
  <c r="B202" i="1"/>
  <c r="B189" i="1" s="1"/>
  <c r="C202" i="1"/>
  <c r="C189" i="1" s="1"/>
  <c r="D202" i="1"/>
  <c r="D189" i="1" s="1"/>
  <c r="F202" i="1"/>
  <c r="F189" i="1" s="1"/>
  <c r="G202" i="1"/>
  <c r="G189" i="1" s="1"/>
  <c r="AO202" i="1"/>
  <c r="F206" i="1" s="1"/>
  <c r="BB202" i="1"/>
  <c r="BB189" i="1" s="1"/>
  <c r="BC202" i="1"/>
  <c r="F218" i="1" s="1"/>
  <c r="BX202" i="1"/>
  <c r="CK202" i="1"/>
  <c r="CL202" i="1"/>
  <c r="CL189" i="1" s="1"/>
  <c r="CM202" i="1"/>
  <c r="CM189" i="1" s="1"/>
  <c r="EI202" i="1"/>
  <c r="EI189" i="1" s="1"/>
  <c r="ET202" i="1"/>
  <c r="ET189" i="1" s="1"/>
  <c r="FP202" i="1"/>
  <c r="FR202" i="1"/>
  <c r="FR189" i="1" s="1"/>
  <c r="GC202" i="1"/>
  <c r="GC189" i="1" s="1"/>
  <c r="GD202" i="1"/>
  <c r="GD189" i="1" s="1"/>
  <c r="GE202" i="1"/>
  <c r="P212" i="1"/>
  <c r="B232" i="1"/>
  <c r="B22" i="1" s="1"/>
  <c r="C232" i="1"/>
  <c r="C22" i="1" s="1"/>
  <c r="D232" i="1"/>
  <c r="D22" i="1" s="1"/>
  <c r="F232" i="1"/>
  <c r="F22" i="1" s="1"/>
  <c r="G232" i="1"/>
  <c r="G22" i="1" s="1"/>
  <c r="B262" i="1"/>
  <c r="B18" i="1" s="1"/>
  <c r="C262" i="1"/>
  <c r="C18" i="1" s="1"/>
  <c r="D262" i="1"/>
  <c r="D18" i="1" s="1"/>
  <c r="F262" i="1"/>
  <c r="F18" i="1" s="1"/>
  <c r="G262" i="1"/>
  <c r="G18" i="1" s="1"/>
  <c r="F12" i="6"/>
  <c r="G12" i="6"/>
  <c r="H204" i="7" l="1"/>
  <c r="O232" i="7"/>
  <c r="H274" i="7"/>
  <c r="P265" i="7"/>
  <c r="H67" i="7"/>
  <c r="O164" i="7"/>
  <c r="H187" i="7"/>
  <c r="O49" i="7"/>
  <c r="P58" i="7"/>
  <c r="J282" i="7" s="1"/>
  <c r="J216" i="7"/>
  <c r="P218" i="7"/>
  <c r="P232" i="7"/>
  <c r="J232" i="7"/>
  <c r="J230" i="7"/>
  <c r="O85" i="7"/>
  <c r="J47" i="7"/>
  <c r="O58" i="7"/>
  <c r="H58" i="7"/>
  <c r="H56" i="7"/>
  <c r="O177" i="7"/>
  <c r="H47" i="7"/>
  <c r="O67" i="7"/>
  <c r="P76" i="7"/>
  <c r="J83" i="7"/>
  <c r="P94" i="7"/>
  <c r="J278" i="7" s="1"/>
  <c r="H106" i="7"/>
  <c r="O118" i="7"/>
  <c r="H137" i="7"/>
  <c r="J137" i="7"/>
  <c r="O201" i="7"/>
  <c r="H252" i="7"/>
  <c r="O265" i="7"/>
  <c r="P147" i="7"/>
  <c r="J204" i="7" s="1"/>
  <c r="H83" i="7"/>
  <c r="O94" i="7"/>
  <c r="H94" i="7"/>
  <c r="H92" i="7"/>
  <c r="J135" i="7"/>
  <c r="H235" i="7"/>
  <c r="J274" i="7"/>
  <c r="J250" i="7"/>
  <c r="J85" i="7"/>
  <c r="J164" i="7"/>
  <c r="H175" i="7"/>
  <c r="H147" i="7"/>
  <c r="H177" i="7"/>
  <c r="J177" i="7"/>
  <c r="J218" i="7"/>
  <c r="O106" i="7"/>
  <c r="P187" i="7"/>
  <c r="J116" i="7"/>
  <c r="J263" i="7"/>
  <c r="J49" i="7"/>
  <c r="J145" i="7"/>
  <c r="H151" i="7"/>
  <c r="H162" i="7"/>
  <c r="J185" i="7"/>
  <c r="H190" i="7"/>
  <c r="J201" i="7"/>
  <c r="J74" i="7"/>
  <c r="J118" i="7"/>
  <c r="J265" i="7"/>
  <c r="J56" i="7"/>
  <c r="J147" i="7"/>
  <c r="H164" i="7"/>
  <c r="J187" i="7"/>
  <c r="H199" i="7"/>
  <c r="J76" i="7"/>
  <c r="J104" i="7"/>
  <c r="H116" i="7"/>
  <c r="H230" i="7"/>
  <c r="H263" i="7"/>
  <c r="J271" i="7"/>
  <c r="H49" i="7"/>
  <c r="H85" i="7"/>
  <c r="H145" i="7"/>
  <c r="H185" i="7"/>
  <c r="H201" i="7"/>
  <c r="H74" i="7"/>
  <c r="H118" i="7"/>
  <c r="H216" i="7"/>
  <c r="H232" i="7"/>
  <c r="H265" i="7"/>
  <c r="H271" i="7"/>
  <c r="H65" i="7"/>
  <c r="J162" i="7"/>
  <c r="J58" i="7"/>
  <c r="J94" i="7"/>
  <c r="J268" i="7"/>
  <c r="CB189" i="1"/>
  <c r="AS202" i="1"/>
  <c r="EB189" i="1"/>
  <c r="DO202" i="1"/>
  <c r="FR194" i="1"/>
  <c r="FQ202" i="1" s="1"/>
  <c r="AI202" i="1"/>
  <c r="CJ202" i="1"/>
  <c r="FT189" i="1"/>
  <c r="EK202" i="1"/>
  <c r="DU202" i="1"/>
  <c r="GB142" i="1"/>
  <c r="ES157" i="1"/>
  <c r="CY199" i="1"/>
  <c r="X199" i="1"/>
  <c r="Y199" i="1"/>
  <c r="CZ199" i="1"/>
  <c r="DZ202" i="1"/>
  <c r="AJ202" i="1"/>
  <c r="CP199" i="1"/>
  <c r="O199" i="1" s="1"/>
  <c r="GM199" i="1" s="1"/>
  <c r="FR199" i="1"/>
  <c r="CD189" i="1"/>
  <c r="AU202" i="1"/>
  <c r="FR193" i="1"/>
  <c r="EA189" i="1"/>
  <c r="DN202" i="1"/>
  <c r="GB202" i="1"/>
  <c r="AH202" i="1"/>
  <c r="EM202" i="1"/>
  <c r="FV189" i="1"/>
  <c r="CZ191" i="1"/>
  <c r="AF202" i="1"/>
  <c r="X191" i="1"/>
  <c r="Y191" i="1"/>
  <c r="CY191" i="1"/>
  <c r="AG202" i="1"/>
  <c r="BD202" i="1"/>
  <c r="AD198" i="1"/>
  <c r="AB198" i="1" s="1"/>
  <c r="S194" i="1"/>
  <c r="CW258" i="3"/>
  <c r="CX258" i="3"/>
  <c r="CW259" i="3"/>
  <c r="CX259" i="3"/>
  <c r="CU257" i="3"/>
  <c r="CX263" i="3"/>
  <c r="CX262" i="3"/>
  <c r="CX261" i="3"/>
  <c r="CX260" i="3"/>
  <c r="R191" i="1"/>
  <c r="DN157" i="1"/>
  <c r="CR152" i="1"/>
  <c r="CS152" i="1"/>
  <c r="R152" i="1"/>
  <c r="AD152" i="1"/>
  <c r="S150" i="1"/>
  <c r="CT150" i="1"/>
  <c r="P215" i="1"/>
  <c r="GE189" i="1"/>
  <c r="EV202" i="1"/>
  <c r="CT197" i="1"/>
  <c r="AB197" i="1"/>
  <c r="CT196" i="1"/>
  <c r="CW280" i="3"/>
  <c r="CX280" i="3"/>
  <c r="CX282" i="3"/>
  <c r="CU277" i="3"/>
  <c r="R194" i="1"/>
  <c r="DW202" i="1" s="1"/>
  <c r="Q193" i="1"/>
  <c r="CP193" i="1" s="1"/>
  <c r="O193" i="1" s="1"/>
  <c r="R193" i="1"/>
  <c r="CT192" i="1"/>
  <c r="CQ152" i="1"/>
  <c r="AB152" i="1"/>
  <c r="BD77" i="1"/>
  <c r="F135" i="1"/>
  <c r="S157" i="1"/>
  <c r="AF142" i="1"/>
  <c r="X147" i="1"/>
  <c r="Y147" i="1"/>
  <c r="CY147" i="1"/>
  <c r="CZ147" i="1"/>
  <c r="EM157" i="1"/>
  <c r="FV142" i="1"/>
  <c r="CY152" i="1"/>
  <c r="CZ152" i="1"/>
  <c r="X152" i="1"/>
  <c r="Y152" i="1"/>
  <c r="EU202" i="1"/>
  <c r="AB200" i="1"/>
  <c r="AB199" i="1"/>
  <c r="X197" i="1"/>
  <c r="Y196" i="1"/>
  <c r="AB195" i="1"/>
  <c r="CW272" i="3"/>
  <c r="CX272" i="3"/>
  <c r="CW273" i="3"/>
  <c r="CX273" i="3"/>
  <c r="CU271" i="3"/>
  <c r="CW274" i="3"/>
  <c r="Q195" i="1"/>
  <c r="CP195" i="1" s="1"/>
  <c r="O195" i="1" s="1"/>
  <c r="CQ150" i="1"/>
  <c r="P150" i="1"/>
  <c r="DY157" i="1"/>
  <c r="AD191" i="1"/>
  <c r="CS191" i="1"/>
  <c r="U157" i="1"/>
  <c r="AH142" i="1"/>
  <c r="CP152" i="1"/>
  <c r="O152" i="1" s="1"/>
  <c r="CP79" i="1"/>
  <c r="O79" i="1" s="1"/>
  <c r="P191" i="1"/>
  <c r="AB191" i="1"/>
  <c r="CQ191" i="1"/>
  <c r="CK142" i="1"/>
  <c r="BB157" i="1"/>
  <c r="AD155" i="1"/>
  <c r="AB155" i="1" s="1"/>
  <c r="CR155" i="1"/>
  <c r="X154" i="1"/>
  <c r="CZ154" i="1"/>
  <c r="CY154" i="1"/>
  <c r="AI157" i="1"/>
  <c r="DY110" i="1"/>
  <c r="CB77" i="1"/>
  <c r="AS110" i="1"/>
  <c r="FP189" i="1"/>
  <c r="EG202" i="1"/>
  <c r="F215" i="1"/>
  <c r="FY202" i="1"/>
  <c r="CQ200" i="1"/>
  <c r="CQ199" i="1"/>
  <c r="CP200" i="1"/>
  <c r="O200" i="1" s="1"/>
  <c r="GM200" i="1" s="1"/>
  <c r="CZ196" i="1"/>
  <c r="T196" i="1"/>
  <c r="DY202" i="1" s="1"/>
  <c r="Q155" i="1"/>
  <c r="FR154" i="1"/>
  <c r="BY157" i="1" s="1"/>
  <c r="AQ110" i="1"/>
  <c r="BZ77" i="1"/>
  <c r="CG110" i="1"/>
  <c r="S198" i="1"/>
  <c r="R197" i="1"/>
  <c r="R196" i="1"/>
  <c r="AO189" i="1"/>
  <c r="BX142" i="1"/>
  <c r="AO157" i="1"/>
  <c r="CG157" i="1"/>
  <c r="R155" i="1"/>
  <c r="S155" i="1"/>
  <c r="Q197" i="1"/>
  <c r="CP197" i="1" s="1"/>
  <c r="O197" i="1" s="1"/>
  <c r="GM197" i="1" s="1"/>
  <c r="Q196" i="1"/>
  <c r="CP196" i="1" s="1"/>
  <c r="O196" i="1" s="1"/>
  <c r="GM196" i="1" s="1"/>
  <c r="GO196" i="1" s="1"/>
  <c r="CS194" i="1"/>
  <c r="CY192" i="1"/>
  <c r="CW265" i="3"/>
  <c r="CX265" i="3"/>
  <c r="CW266" i="3"/>
  <c r="CW267" i="3"/>
  <c r="CU264" i="3"/>
  <c r="CX267" i="3"/>
  <c r="CX266" i="3"/>
  <c r="CX270" i="3"/>
  <c r="Q192" i="1"/>
  <c r="CT191" i="1"/>
  <c r="BD157" i="1"/>
  <c r="S195" i="1"/>
  <c r="CR191" i="1"/>
  <c r="Q191" i="1"/>
  <c r="GC142" i="1"/>
  <c r="ET157" i="1"/>
  <c r="FY110" i="1"/>
  <c r="FR77" i="1"/>
  <c r="EI110" i="1"/>
  <c r="CY200" i="1"/>
  <c r="Q200" i="1"/>
  <c r="R195" i="1"/>
  <c r="BZ202" i="1"/>
  <c r="S193" i="1"/>
  <c r="CS155" i="1"/>
  <c r="AB149" i="1"/>
  <c r="CT149" i="1"/>
  <c r="S149" i="1"/>
  <c r="CJ157" i="1"/>
  <c r="Q108" i="1"/>
  <c r="R108" i="1"/>
  <c r="T108" i="1"/>
  <c r="P108" i="1"/>
  <c r="CY81" i="1"/>
  <c r="CZ81" i="1"/>
  <c r="X81" i="1"/>
  <c r="Y81" i="1"/>
  <c r="CP42" i="1"/>
  <c r="O42" i="1" s="1"/>
  <c r="GM42" i="1" s="1"/>
  <c r="GO42" i="1" s="1"/>
  <c r="CY38" i="1"/>
  <c r="CZ38" i="1"/>
  <c r="X38" i="1"/>
  <c r="Y38" i="1"/>
  <c r="CY36" i="1"/>
  <c r="CZ36" i="1"/>
  <c r="AF45" i="1"/>
  <c r="X36" i="1"/>
  <c r="Y36" i="1"/>
  <c r="DY26" i="1"/>
  <c r="DL45" i="1"/>
  <c r="EB26" i="1"/>
  <c r="DO45" i="1"/>
  <c r="AJ157" i="1"/>
  <c r="X144" i="1"/>
  <c r="Y144" i="1"/>
  <c r="AL157" i="1" s="1"/>
  <c r="CY144" i="1"/>
  <c r="CZ144" i="1"/>
  <c r="CK77" i="1"/>
  <c r="BB110" i="1"/>
  <c r="FV77" i="1"/>
  <c r="EM110" i="1"/>
  <c r="CT98" i="1"/>
  <c r="S98" i="1"/>
  <c r="AH110" i="1"/>
  <c r="CT91" i="1"/>
  <c r="S91" i="1"/>
  <c r="CQ155" i="1"/>
  <c r="P155" i="1"/>
  <c r="AB154" i="1"/>
  <c r="CT154" i="1"/>
  <c r="CY148" i="1"/>
  <c r="CZ148" i="1"/>
  <c r="CB157" i="1"/>
  <c r="EG77" i="1"/>
  <c r="P114" i="1"/>
  <c r="CZ105" i="1"/>
  <c r="Y105" i="1"/>
  <c r="X105" i="1"/>
  <c r="CY105" i="1"/>
  <c r="P182" i="1"/>
  <c r="W155" i="1"/>
  <c r="EB157" i="1" s="1"/>
  <c r="BZ142" i="1"/>
  <c r="AQ157" i="1"/>
  <c r="CP145" i="1"/>
  <c r="O145" i="1" s="1"/>
  <c r="EV77" i="1"/>
  <c r="P135" i="1"/>
  <c r="V108" i="1"/>
  <c r="CD77" i="1"/>
  <c r="AU110" i="1"/>
  <c r="P148" i="1"/>
  <c r="AB148" i="1"/>
  <c r="DZ157" i="1"/>
  <c r="EU77" i="1"/>
  <c r="P126" i="1"/>
  <c r="FT77" i="1"/>
  <c r="EK110" i="1"/>
  <c r="P92" i="1"/>
  <c r="AB92" i="1"/>
  <c r="CQ92" i="1"/>
  <c r="FP142" i="1"/>
  <c r="EG157" i="1"/>
  <c r="CD142" i="1"/>
  <c r="AU157" i="1"/>
  <c r="EI157" i="1"/>
  <c r="FR142" i="1"/>
  <c r="AD153" i="1"/>
  <c r="AB153" i="1" s="1"/>
  <c r="R153" i="1"/>
  <c r="DW157" i="1" s="1"/>
  <c r="CR153" i="1"/>
  <c r="Y148" i="1"/>
  <c r="CR147" i="1"/>
  <c r="CS147" i="1"/>
  <c r="AD147" i="1"/>
  <c r="AB147" i="1" s="1"/>
  <c r="FT157" i="1"/>
  <c r="AG157" i="1"/>
  <c r="AG110" i="1"/>
  <c r="DV157" i="1"/>
  <c r="CP88" i="1"/>
  <c r="O88" i="1" s="1"/>
  <c r="GM88" i="1" s="1"/>
  <c r="FR88" i="1"/>
  <c r="CQ86" i="1"/>
  <c r="P86" i="1"/>
  <c r="CP86" i="1" s="1"/>
  <c r="O86" i="1" s="1"/>
  <c r="CR81" i="1"/>
  <c r="CS81" i="1"/>
  <c r="AD81" i="1"/>
  <c r="R81" i="1"/>
  <c r="DF256" i="3"/>
  <c r="DJ256" i="3" s="1"/>
  <c r="DI256" i="3"/>
  <c r="DG256" i="3"/>
  <c r="DH256" i="3"/>
  <c r="DF243" i="3"/>
  <c r="DJ243" i="3" s="1"/>
  <c r="DG243" i="3"/>
  <c r="DH243" i="3"/>
  <c r="DI243" i="3"/>
  <c r="DF235" i="3"/>
  <c r="DJ235" i="3" s="1"/>
  <c r="DG235" i="3"/>
  <c r="DH235" i="3"/>
  <c r="DI235" i="3"/>
  <c r="CQ151" i="1"/>
  <c r="X151" i="1"/>
  <c r="CS148" i="1"/>
  <c r="CQ146" i="1"/>
  <c r="X146" i="1"/>
  <c r="AO110" i="1"/>
  <c r="CS103" i="1"/>
  <c r="P103" i="1"/>
  <c r="AB94" i="1"/>
  <c r="ES45" i="1"/>
  <c r="S108" i="1"/>
  <c r="CT104" i="1"/>
  <c r="S104" i="1"/>
  <c r="FR94" i="1"/>
  <c r="CP94" i="1"/>
  <c r="O94" i="1" s="1"/>
  <c r="GM94" i="1" s="1"/>
  <c r="CR91" i="1"/>
  <c r="CS91" i="1"/>
  <c r="AD91" i="1"/>
  <c r="S89" i="1"/>
  <c r="CT89" i="1"/>
  <c r="CT83" i="1"/>
  <c r="S83" i="1"/>
  <c r="EG26" i="1"/>
  <c r="P49" i="1"/>
  <c r="DZ26" i="1"/>
  <c r="DM45" i="1"/>
  <c r="Q144" i="1"/>
  <c r="AD157" i="1" s="1"/>
  <c r="GE142" i="1"/>
  <c r="ET110" i="1"/>
  <c r="AD106" i="1"/>
  <c r="AB106" i="1" s="1"/>
  <c r="R106" i="1"/>
  <c r="CR100" i="1"/>
  <c r="CS100" i="1"/>
  <c r="CP98" i="1"/>
  <c r="O98" i="1" s="1"/>
  <c r="AB91" i="1"/>
  <c r="AJ110" i="1"/>
  <c r="BC157" i="1"/>
  <c r="Q154" i="1"/>
  <c r="CP154" i="1" s="1"/>
  <c r="O154" i="1" s="1"/>
  <c r="GM154" i="1" s="1"/>
  <c r="P147" i="1"/>
  <c r="AD144" i="1"/>
  <c r="AB144" i="1" s="1"/>
  <c r="P144" i="1"/>
  <c r="GD142" i="1"/>
  <c r="AD108" i="1"/>
  <c r="CP105" i="1"/>
  <c r="O105" i="1" s="1"/>
  <c r="GM105" i="1" s="1"/>
  <c r="GO105" i="1" s="1"/>
  <c r="AD100" i="1"/>
  <c r="CR96" i="1"/>
  <c r="CS96" i="1"/>
  <c r="R96" i="1"/>
  <c r="P84" i="1"/>
  <c r="CP84" i="1" s="1"/>
  <c r="O84" i="1" s="1"/>
  <c r="GM84" i="1" s="1"/>
  <c r="GO84" i="1" s="1"/>
  <c r="CQ84" i="1"/>
  <c r="AB84" i="1"/>
  <c r="CL77" i="1"/>
  <c r="CY103" i="1"/>
  <c r="CZ103" i="1"/>
  <c r="X103" i="1"/>
  <c r="Y103" i="1"/>
  <c r="CQ100" i="1"/>
  <c r="AB100" i="1"/>
  <c r="R91" i="1"/>
  <c r="S153" i="1"/>
  <c r="R146" i="1"/>
  <c r="AE157" i="1" s="1"/>
  <c r="CZ145" i="1"/>
  <c r="CS144" i="1"/>
  <c r="U108" i="1"/>
  <c r="DZ110" i="1" s="1"/>
  <c r="AB108" i="1"/>
  <c r="CS106" i="1"/>
  <c r="AB104" i="1"/>
  <c r="CR102" i="1"/>
  <c r="CS102" i="1"/>
  <c r="AD102" i="1"/>
  <c r="AB102" i="1" s="1"/>
  <c r="S100" i="1"/>
  <c r="P97" i="1"/>
  <c r="AB97" i="1"/>
  <c r="CQ96" i="1"/>
  <c r="AB96" i="1"/>
  <c r="Q91" i="1"/>
  <c r="BB45" i="1"/>
  <c r="Q151" i="1"/>
  <c r="CP151" i="1" s="1"/>
  <c r="O151" i="1" s="1"/>
  <c r="Q146" i="1"/>
  <c r="CP146" i="1" s="1"/>
  <c r="O146" i="1" s="1"/>
  <c r="CR106" i="1"/>
  <c r="X106" i="1"/>
  <c r="CR105" i="1"/>
  <c r="CS105" i="1"/>
  <c r="CP102" i="1"/>
  <c r="O102" i="1" s="1"/>
  <c r="R100" i="1"/>
  <c r="CY96" i="1"/>
  <c r="CZ96" i="1"/>
  <c r="X96" i="1"/>
  <c r="Y96" i="1"/>
  <c r="CP91" i="1"/>
  <c r="O91" i="1" s="1"/>
  <c r="FR89" i="1"/>
  <c r="CP89" i="1"/>
  <c r="O89" i="1" s="1"/>
  <c r="P82" i="1"/>
  <c r="Q82" i="1"/>
  <c r="R82" i="1"/>
  <c r="V82" i="1"/>
  <c r="EA110" i="1" s="1"/>
  <c r="CY79" i="1"/>
  <c r="CZ79" i="1"/>
  <c r="X79" i="1"/>
  <c r="Y79" i="1"/>
  <c r="FV26" i="1"/>
  <c r="EM45" i="1"/>
  <c r="AY26" i="1"/>
  <c r="F53" i="1"/>
  <c r="CT108" i="1"/>
  <c r="Q100" i="1"/>
  <c r="CY94" i="1"/>
  <c r="CZ94" i="1"/>
  <c r="X94" i="1"/>
  <c r="Y94" i="1"/>
  <c r="Q148" i="1"/>
  <c r="CS108" i="1"/>
  <c r="CY106" i="1"/>
  <c r="CZ106" i="1"/>
  <c r="AB105" i="1"/>
  <c r="AB103" i="1"/>
  <c r="P100" i="1"/>
  <c r="CP100" i="1" s="1"/>
  <c r="O100" i="1" s="1"/>
  <c r="P96" i="1"/>
  <c r="CP96" i="1" s="1"/>
  <c r="O96" i="1" s="1"/>
  <c r="GM96" i="1" s="1"/>
  <c r="GO96" i="1" s="1"/>
  <c r="W82" i="1"/>
  <c r="EB110" i="1" s="1"/>
  <c r="W108" i="1"/>
  <c r="CQ107" i="1"/>
  <c r="AB107" i="1"/>
  <c r="P107" i="1"/>
  <c r="Q106" i="1"/>
  <c r="CP106" i="1" s="1"/>
  <c r="O106" i="1" s="1"/>
  <c r="R103" i="1"/>
  <c r="S102" i="1"/>
  <c r="CQ97" i="1"/>
  <c r="R86" i="1"/>
  <c r="CZ86" i="1"/>
  <c r="Y86" i="1"/>
  <c r="CR86" i="1"/>
  <c r="CS86" i="1"/>
  <c r="AD86" i="1"/>
  <c r="AB86" i="1" s="1"/>
  <c r="GX82" i="1"/>
  <c r="GB110" i="1" s="1"/>
  <c r="CU165" i="3"/>
  <c r="CX165" i="3"/>
  <c r="Q89" i="1"/>
  <c r="CZ88" i="1"/>
  <c r="CZ85" i="1"/>
  <c r="BA45" i="1"/>
  <c r="CP40" i="1"/>
  <c r="O40" i="1" s="1"/>
  <c r="CP32" i="1"/>
  <c r="O32" i="1" s="1"/>
  <c r="GM32" i="1" s="1"/>
  <c r="GO32" i="1" s="1"/>
  <c r="DF233" i="3"/>
  <c r="DJ233" i="3" s="1"/>
  <c r="DG233" i="3"/>
  <c r="DH233" i="3"/>
  <c r="DI233" i="3"/>
  <c r="Q83" i="1"/>
  <c r="CP83" i="1" s="1"/>
  <c r="O83" i="1" s="1"/>
  <c r="AX45" i="1"/>
  <c r="CX276" i="3"/>
  <c r="CX274" i="3"/>
  <c r="AB89" i="1"/>
  <c r="AD83" i="1"/>
  <c r="AB83" i="1" s="1"/>
  <c r="AW45" i="1"/>
  <c r="CF26" i="1"/>
  <c r="R107" i="1"/>
  <c r="V97" i="1"/>
  <c r="AI110" i="1" s="1"/>
  <c r="Q88" i="1"/>
  <c r="X86" i="1"/>
  <c r="Q85" i="1"/>
  <c r="AD110" i="1" s="1"/>
  <c r="AB81" i="1"/>
  <c r="R80" i="1"/>
  <c r="CY39" i="1"/>
  <c r="CZ39" i="1"/>
  <c r="X39" i="1"/>
  <c r="Y39" i="1"/>
  <c r="AI45" i="1"/>
  <c r="DG252" i="3"/>
  <c r="DH252" i="3"/>
  <c r="DI252" i="3"/>
  <c r="DF252" i="3"/>
  <c r="DJ252" i="3" s="1"/>
  <c r="AD98" i="1"/>
  <c r="AB98" i="1" s="1"/>
  <c r="R95" i="1"/>
  <c r="CZ92" i="1"/>
  <c r="AD88" i="1"/>
  <c r="AB88" i="1" s="1"/>
  <c r="AD85" i="1"/>
  <c r="AB85" i="1" s="1"/>
  <c r="P85" i="1"/>
  <c r="CP85" i="1" s="1"/>
  <c r="O85" i="1" s="1"/>
  <c r="GM85" i="1" s="1"/>
  <c r="GO85" i="1" s="1"/>
  <c r="CZ84" i="1"/>
  <c r="CS83" i="1"/>
  <c r="Q80" i="1"/>
  <c r="F64" i="1"/>
  <c r="CX281" i="3"/>
  <c r="CX268" i="3"/>
  <c r="CV257" i="3"/>
  <c r="S101" i="1"/>
  <c r="S99" i="1"/>
  <c r="Q95" i="1"/>
  <c r="CP95" i="1" s="1"/>
  <c r="O95" i="1" s="1"/>
  <c r="GM95" i="1" s="1"/>
  <c r="GO95" i="1" s="1"/>
  <c r="P93" i="1"/>
  <c r="S90" i="1"/>
  <c r="CP90" i="1" s="1"/>
  <c r="O90" i="1" s="1"/>
  <c r="S87" i="1"/>
  <c r="CP87" i="1" s="1"/>
  <c r="O87" i="1" s="1"/>
  <c r="S82" i="1"/>
  <c r="P80" i="1"/>
  <c r="AQ45" i="1"/>
  <c r="R99" i="1"/>
  <c r="S97" i="1"/>
  <c r="CP81" i="1"/>
  <c r="O81" i="1" s="1"/>
  <c r="GM81" i="1" s="1"/>
  <c r="EK45" i="1"/>
  <c r="CY40" i="1"/>
  <c r="CZ40" i="1"/>
  <c r="X40" i="1"/>
  <c r="AK45" i="1" s="1"/>
  <c r="Y40" i="1"/>
  <c r="CP38" i="1"/>
  <c r="O38" i="1" s="1"/>
  <c r="GM38" i="1" s="1"/>
  <c r="GO38" i="1" s="1"/>
  <c r="CW279" i="3"/>
  <c r="Q99" i="1"/>
  <c r="R97" i="1"/>
  <c r="AB93" i="1"/>
  <c r="R92" i="1"/>
  <c r="Y88" i="1"/>
  <c r="Y85" i="1"/>
  <c r="R84" i="1"/>
  <c r="AB80" i="1"/>
  <c r="GA45" i="1"/>
  <c r="EV45" i="1"/>
  <c r="BY26" i="1"/>
  <c r="CI45" i="1"/>
  <c r="AO45" i="1"/>
  <c r="CY42" i="1"/>
  <c r="CZ42" i="1"/>
  <c r="X42" i="1"/>
  <c r="Y42" i="1"/>
  <c r="CX277" i="3"/>
  <c r="CX275" i="3"/>
  <c r="GX99" i="1"/>
  <c r="P99" i="1"/>
  <c r="GX97" i="1"/>
  <c r="CJ110" i="1" s="1"/>
  <c r="Y93" i="1"/>
  <c r="Q92" i="1"/>
  <c r="Q84" i="1"/>
  <c r="Y80" i="1"/>
  <c r="EU45" i="1"/>
  <c r="EI45" i="1"/>
  <c r="BD45" i="1"/>
  <c r="CM26" i="1"/>
  <c r="CP36" i="1"/>
  <c r="O36" i="1" s="1"/>
  <c r="GM36" i="1" s="1"/>
  <c r="GO36" i="1" s="1"/>
  <c r="AH45" i="1"/>
  <c r="CV264" i="3"/>
  <c r="DF212" i="3"/>
  <c r="DJ212" i="3" s="1"/>
  <c r="DG212" i="3"/>
  <c r="DH212" i="3"/>
  <c r="DI212" i="3"/>
  <c r="FY45" i="1"/>
  <c r="ET45" i="1"/>
  <c r="EH45" i="1"/>
  <c r="BC45" i="1"/>
  <c r="X43" i="1"/>
  <c r="Y43" i="1"/>
  <c r="CY43" i="1"/>
  <c r="CZ43" i="1"/>
  <c r="AG45" i="1"/>
  <c r="CX269" i="3"/>
  <c r="CW260" i="3"/>
  <c r="CZ35" i="1"/>
  <c r="Q31" i="1"/>
  <c r="CV277" i="3"/>
  <c r="DF253" i="3"/>
  <c r="DJ253" i="3" s="1"/>
  <c r="DG253" i="3"/>
  <c r="DH253" i="3"/>
  <c r="DI253" i="3"/>
  <c r="DF244" i="3"/>
  <c r="DJ244" i="3" s="1"/>
  <c r="DG244" i="3"/>
  <c r="DI244" i="3"/>
  <c r="DF236" i="3"/>
  <c r="DJ236" i="3" s="1"/>
  <c r="DG236" i="3"/>
  <c r="DF223" i="3"/>
  <c r="DJ223" i="3" s="1"/>
  <c r="DG223" i="3"/>
  <c r="DH223" i="3"/>
  <c r="DI223" i="3"/>
  <c r="DF185" i="3"/>
  <c r="DJ185" i="3" s="1"/>
  <c r="DG185" i="3"/>
  <c r="DH185" i="3"/>
  <c r="DI185" i="3"/>
  <c r="CV150" i="3"/>
  <c r="CX150" i="3"/>
  <c r="DH135" i="3"/>
  <c r="DG135" i="3"/>
  <c r="DF135" i="3"/>
  <c r="DI135" i="3"/>
  <c r="DJ135" i="3" s="1"/>
  <c r="CW120" i="3"/>
  <c r="CX120" i="3"/>
  <c r="DH109" i="3"/>
  <c r="DF109" i="3"/>
  <c r="DJ109" i="3" s="1"/>
  <c r="DG109" i="3"/>
  <c r="DI109" i="3"/>
  <c r="DF107" i="3"/>
  <c r="DG107" i="3"/>
  <c r="DJ107" i="3" s="1"/>
  <c r="DH107" i="3"/>
  <c r="DI107" i="3"/>
  <c r="CE45" i="1"/>
  <c r="CT42" i="1"/>
  <c r="CQ39" i="1"/>
  <c r="CT36" i="1"/>
  <c r="CY35" i="1"/>
  <c r="CR34" i="1"/>
  <c r="Y34" i="1"/>
  <c r="GM34" i="1" s="1"/>
  <c r="GO34" i="1" s="1"/>
  <c r="R33" i="1"/>
  <c r="AD31" i="1"/>
  <c r="P31" i="1"/>
  <c r="CZ30" i="1"/>
  <c r="CS29" i="1"/>
  <c r="AB29" i="1"/>
  <c r="CZ28" i="1"/>
  <c r="CX271" i="3"/>
  <c r="DF210" i="3"/>
  <c r="DJ210" i="3" s="1"/>
  <c r="DG210" i="3"/>
  <c r="DH210" i="3"/>
  <c r="DI210" i="3"/>
  <c r="DF199" i="3"/>
  <c r="DJ199" i="3" s="1"/>
  <c r="DG199" i="3"/>
  <c r="DH199" i="3"/>
  <c r="DI199" i="3"/>
  <c r="DF153" i="3"/>
  <c r="DJ153" i="3" s="1"/>
  <c r="DG153" i="3"/>
  <c r="DI153" i="3"/>
  <c r="DH153" i="3"/>
  <c r="CV105" i="3"/>
  <c r="Q33" i="1"/>
  <c r="CP33" i="1" s="1"/>
  <c r="O33" i="1" s="1"/>
  <c r="GM33" i="1" s="1"/>
  <c r="GO33" i="1" s="1"/>
  <c r="CX7" i="3"/>
  <c r="CU5" i="3"/>
  <c r="DF204" i="3"/>
  <c r="DJ204" i="3" s="1"/>
  <c r="DG204" i="3"/>
  <c r="DH204" i="3"/>
  <c r="DI204" i="3"/>
  <c r="DI88" i="3"/>
  <c r="DH88" i="3"/>
  <c r="DF88" i="3"/>
  <c r="DJ88" i="3" s="1"/>
  <c r="DG88" i="3"/>
  <c r="DG80" i="3"/>
  <c r="DH80" i="3"/>
  <c r="DF80" i="3"/>
  <c r="DJ80" i="3" s="1"/>
  <c r="DI80" i="3"/>
  <c r="DG74" i="3"/>
  <c r="DF74" i="3"/>
  <c r="DJ74" i="3" s="1"/>
  <c r="DH74" i="3"/>
  <c r="DI74" i="3"/>
  <c r="CU111" i="3"/>
  <c r="CW114" i="3"/>
  <c r="CX112" i="3"/>
  <c r="CX114" i="3"/>
  <c r="CX111" i="3"/>
  <c r="CX116" i="3"/>
  <c r="CW113" i="3"/>
  <c r="CT40" i="1"/>
  <c r="CT38" i="1"/>
  <c r="AD33" i="1"/>
  <c r="CS31" i="1"/>
  <c r="AB31" i="1"/>
  <c r="CQ29" i="1"/>
  <c r="DF254" i="3"/>
  <c r="DJ254" i="3" s="1"/>
  <c r="DG254" i="3"/>
  <c r="DH254" i="3"/>
  <c r="DF245" i="3"/>
  <c r="DJ245" i="3" s="1"/>
  <c r="DH245" i="3"/>
  <c r="DF221" i="3"/>
  <c r="DJ221" i="3" s="1"/>
  <c r="DG221" i="3"/>
  <c r="DH221" i="3"/>
  <c r="DI221" i="3"/>
  <c r="DF213" i="3"/>
  <c r="DJ213" i="3" s="1"/>
  <c r="DG213" i="3"/>
  <c r="DH213" i="3"/>
  <c r="DF169" i="3"/>
  <c r="DJ169" i="3" s="1"/>
  <c r="DG169" i="3"/>
  <c r="DH169" i="3"/>
  <c r="DI169" i="3"/>
  <c r="CW151" i="3"/>
  <c r="CX151" i="3"/>
  <c r="CW146" i="3"/>
  <c r="CX146" i="3"/>
  <c r="DG127" i="3"/>
  <c r="DF127" i="3"/>
  <c r="DJ127" i="3" s="1"/>
  <c r="DH127" i="3"/>
  <c r="DI127" i="3"/>
  <c r="CW112" i="3"/>
  <c r="DF20" i="3"/>
  <c r="DJ20" i="3" s="1"/>
  <c r="DG20" i="3"/>
  <c r="DH20" i="3"/>
  <c r="DI20" i="3"/>
  <c r="Q43" i="1"/>
  <c r="CP43" i="1" s="1"/>
  <c r="O43" i="1" s="1"/>
  <c r="GM43" i="1" s="1"/>
  <c r="GO43" i="1" s="1"/>
  <c r="AB40" i="1"/>
  <c r="AB38" i="1"/>
  <c r="Q35" i="1"/>
  <c r="CP35" i="1" s="1"/>
  <c r="O35" i="1" s="1"/>
  <c r="CR31" i="1"/>
  <c r="Y31" i="1"/>
  <c r="DF231" i="3"/>
  <c r="DJ231" i="3" s="1"/>
  <c r="DG231" i="3"/>
  <c r="DH231" i="3"/>
  <c r="DI231" i="3"/>
  <c r="DF202" i="3"/>
  <c r="DJ202" i="3" s="1"/>
  <c r="DG202" i="3"/>
  <c r="DH202" i="3"/>
  <c r="DI202" i="3"/>
  <c r="DF186" i="3"/>
  <c r="DJ186" i="3" s="1"/>
  <c r="DG186" i="3"/>
  <c r="DH186" i="3"/>
  <c r="DI78" i="3"/>
  <c r="DF78" i="3"/>
  <c r="DJ78" i="3" s="1"/>
  <c r="DG78" i="3"/>
  <c r="DH78" i="3"/>
  <c r="DG37" i="3"/>
  <c r="DH37" i="3"/>
  <c r="DI37" i="3"/>
  <c r="DF37" i="3"/>
  <c r="DJ37" i="3" s="1"/>
  <c r="AD43" i="1"/>
  <c r="AB43" i="1" s="1"/>
  <c r="W42" i="1"/>
  <c r="CW101" i="3"/>
  <c r="CX101" i="3"/>
  <c r="CW100" i="3"/>
  <c r="CU99" i="3"/>
  <c r="CV99" i="3"/>
  <c r="CX99" i="3"/>
  <c r="CX103" i="3"/>
  <c r="AD35" i="1"/>
  <c r="AB35" i="1" s="1"/>
  <c r="CS33" i="1"/>
  <c r="AB33" i="1"/>
  <c r="X31" i="1"/>
  <c r="Q30" i="1"/>
  <c r="CP30" i="1" s="1"/>
  <c r="O30" i="1" s="1"/>
  <c r="GM30" i="1" s="1"/>
  <c r="GO30" i="1" s="1"/>
  <c r="V29" i="1"/>
  <c r="EA45" i="1" s="1"/>
  <c r="Q28" i="1"/>
  <c r="DF255" i="3"/>
  <c r="DJ255" i="3" s="1"/>
  <c r="DG255" i="3"/>
  <c r="DF242" i="3"/>
  <c r="DJ242" i="3" s="1"/>
  <c r="DG242" i="3"/>
  <c r="DH242" i="3"/>
  <c r="DI242" i="3"/>
  <c r="DI236" i="3"/>
  <c r="DF224" i="3"/>
  <c r="DJ224" i="3" s="1"/>
  <c r="DG224" i="3"/>
  <c r="DH224" i="3"/>
  <c r="DI224" i="3"/>
  <c r="DF214" i="3"/>
  <c r="DJ214" i="3" s="1"/>
  <c r="DG214" i="3"/>
  <c r="DF211" i="3"/>
  <c r="DJ211" i="3" s="1"/>
  <c r="DG211" i="3"/>
  <c r="DH211" i="3"/>
  <c r="DI211" i="3"/>
  <c r="DF193" i="3"/>
  <c r="DG193" i="3"/>
  <c r="DH193" i="3"/>
  <c r="DG136" i="3"/>
  <c r="DH136" i="3"/>
  <c r="DF136" i="3"/>
  <c r="DJ136" i="3" s="1"/>
  <c r="DI136" i="3"/>
  <c r="DH95" i="3"/>
  <c r="DF95" i="3"/>
  <c r="DJ95" i="3" s="1"/>
  <c r="DG95" i="3"/>
  <c r="DI95" i="3"/>
  <c r="DF23" i="3"/>
  <c r="DJ23" i="3" s="1"/>
  <c r="DG23" i="3"/>
  <c r="DH23" i="3"/>
  <c r="DI23" i="3"/>
  <c r="Q41" i="1"/>
  <c r="CP41" i="1" s="1"/>
  <c r="O41" i="1" s="1"/>
  <c r="GM41" i="1" s="1"/>
  <c r="GO41" i="1" s="1"/>
  <c r="Y33" i="1"/>
  <c r="R32" i="1"/>
  <c r="AD30" i="1"/>
  <c r="AB30" i="1" s="1"/>
  <c r="AD28" i="1"/>
  <c r="DH251" i="3"/>
  <c r="DI251" i="3"/>
  <c r="DI237" i="3"/>
  <c r="DH236" i="3"/>
  <c r="DF234" i="3"/>
  <c r="DJ234" i="3" s="1"/>
  <c r="DG234" i="3"/>
  <c r="DH234" i="3"/>
  <c r="DI234" i="3"/>
  <c r="DF205" i="3"/>
  <c r="DJ205" i="3" s="1"/>
  <c r="DG205" i="3"/>
  <c r="DH205" i="3"/>
  <c r="CV166" i="3"/>
  <c r="CX166" i="3"/>
  <c r="CX106" i="3"/>
  <c r="DG47" i="3"/>
  <c r="DH47" i="3"/>
  <c r="DI47" i="3"/>
  <c r="DF47" i="3"/>
  <c r="DJ47" i="3" s="1"/>
  <c r="CS43" i="1"/>
  <c r="U42" i="1"/>
  <c r="W40" i="1"/>
  <c r="AJ45" i="1" s="1"/>
  <c r="CS35" i="1"/>
  <c r="X33" i="1"/>
  <c r="Q32" i="1"/>
  <c r="DH244" i="3"/>
  <c r="DH237" i="3"/>
  <c r="DF171" i="3"/>
  <c r="DJ171" i="3" s="1"/>
  <c r="DG171" i="3"/>
  <c r="DH171" i="3"/>
  <c r="DI171" i="3"/>
  <c r="DH128" i="3"/>
  <c r="DI128" i="3"/>
  <c r="DJ128" i="3" s="1"/>
  <c r="DF128" i="3"/>
  <c r="DG128" i="3"/>
  <c r="CW106" i="3"/>
  <c r="CW118" i="3"/>
  <c r="CU117" i="3"/>
  <c r="CX119" i="3"/>
  <c r="CX118" i="3"/>
  <c r="Q39" i="1"/>
  <c r="Y35" i="1"/>
  <c r="R34" i="1"/>
  <c r="AD32" i="1"/>
  <c r="AB32" i="1" s="1"/>
  <c r="CZ31" i="1"/>
  <c r="CS30" i="1"/>
  <c r="S29" i="1"/>
  <c r="CS28" i="1"/>
  <c r="AB28" i="1"/>
  <c r="DI246" i="3"/>
  <c r="DI245" i="3"/>
  <c r="DG237" i="3"/>
  <c r="DF222" i="3"/>
  <c r="DJ222" i="3" s="1"/>
  <c r="DG222" i="3"/>
  <c r="DH222" i="3"/>
  <c r="DI222" i="3"/>
  <c r="DF184" i="3"/>
  <c r="DJ184" i="3" s="1"/>
  <c r="DG184" i="3"/>
  <c r="DH184" i="3"/>
  <c r="DI184" i="3"/>
  <c r="DG152" i="3"/>
  <c r="DH152" i="3"/>
  <c r="DF152" i="3"/>
  <c r="DJ152" i="3" s="1"/>
  <c r="DI152" i="3"/>
  <c r="DF148" i="3"/>
  <c r="DJ148" i="3" s="1"/>
  <c r="DG148" i="3"/>
  <c r="DH148" i="3"/>
  <c r="DI148" i="3"/>
  <c r="CX115" i="3"/>
  <c r="P45" i="1"/>
  <c r="P39" i="1"/>
  <c r="CP39" i="1" s="1"/>
  <c r="O39" i="1" s="1"/>
  <c r="Y30" i="1"/>
  <c r="R29" i="1"/>
  <c r="Y28" i="1"/>
  <c r="CV1" i="3"/>
  <c r="CX2" i="3"/>
  <c r="CU1" i="3"/>
  <c r="CX4" i="3"/>
  <c r="CX3" i="3"/>
  <c r="CX279" i="3"/>
  <c r="CX264" i="3"/>
  <c r="DI254" i="3"/>
  <c r="DI247" i="3"/>
  <c r="DH246" i="3"/>
  <c r="DG245" i="3"/>
  <c r="DF232" i="3"/>
  <c r="DJ232" i="3" s="1"/>
  <c r="DG232" i="3"/>
  <c r="DH232" i="3"/>
  <c r="DI232" i="3"/>
  <c r="DI213" i="3"/>
  <c r="DI193" i="3"/>
  <c r="DJ193" i="3" s="1"/>
  <c r="DG134" i="3"/>
  <c r="DH134" i="3"/>
  <c r="DF134" i="3"/>
  <c r="DI134" i="3"/>
  <c r="DJ134" i="3" s="1"/>
  <c r="R42" i="1"/>
  <c r="Y41" i="1"/>
  <c r="CU105" i="3"/>
  <c r="CX105" i="3"/>
  <c r="CW108" i="3"/>
  <c r="CX108" i="3"/>
  <c r="CX110" i="3"/>
  <c r="Y37" i="1"/>
  <c r="GM37" i="1" s="1"/>
  <c r="GO37" i="1" s="1"/>
  <c r="CZ33" i="1"/>
  <c r="Q29" i="1"/>
  <c r="DV45" i="1" s="1"/>
  <c r="DH247" i="3"/>
  <c r="DF246" i="3"/>
  <c r="DJ246" i="3" s="1"/>
  <c r="DI214" i="3"/>
  <c r="DF203" i="3"/>
  <c r="DJ203" i="3" s="1"/>
  <c r="DG203" i="3"/>
  <c r="DH203" i="3"/>
  <c r="DI203" i="3"/>
  <c r="DI186" i="3"/>
  <c r="CW102" i="3"/>
  <c r="Q42" i="1"/>
  <c r="CW278" i="3"/>
  <c r="CX278" i="3"/>
  <c r="CV271" i="3"/>
  <c r="CX257" i="3"/>
  <c r="DI255" i="3"/>
  <c r="DG247" i="3"/>
  <c r="DH214" i="3"/>
  <c r="DF201" i="3"/>
  <c r="DJ201" i="3" s="1"/>
  <c r="DG201" i="3"/>
  <c r="DH201" i="3"/>
  <c r="DI201" i="3"/>
  <c r="DF192" i="3"/>
  <c r="DG192" i="3"/>
  <c r="DJ192" i="3" s="1"/>
  <c r="DH192" i="3"/>
  <c r="DI192" i="3"/>
  <c r="DF175" i="3"/>
  <c r="DJ175" i="3" s="1"/>
  <c r="DG175" i="3"/>
  <c r="DI175" i="3"/>
  <c r="CX122" i="3"/>
  <c r="CX102" i="3"/>
  <c r="DI94" i="3"/>
  <c r="DF94" i="3"/>
  <c r="DJ94" i="3" s="1"/>
  <c r="DG94" i="3"/>
  <c r="DH94" i="3"/>
  <c r="DF173" i="3"/>
  <c r="DJ173" i="3" s="1"/>
  <c r="DH173" i="3"/>
  <c r="DI173" i="3"/>
  <c r="DG172" i="3"/>
  <c r="DI172" i="3"/>
  <c r="DJ172" i="3" s="1"/>
  <c r="DF97" i="3"/>
  <c r="DJ97" i="3" s="1"/>
  <c r="DG97" i="3"/>
  <c r="DH97" i="3"/>
  <c r="DI97" i="3"/>
  <c r="DG174" i="3"/>
  <c r="DH174" i="3"/>
  <c r="DF137" i="3"/>
  <c r="DJ137" i="3" s="1"/>
  <c r="DG137" i="3"/>
  <c r="DI137" i="3"/>
  <c r="CX29" i="3"/>
  <c r="CV29" i="3"/>
  <c r="DG90" i="3"/>
  <c r="DH90" i="3"/>
  <c r="DF59" i="3"/>
  <c r="DJ59" i="3" s="1"/>
  <c r="DG59" i="3"/>
  <c r="DH59" i="3"/>
  <c r="DF13" i="3"/>
  <c r="DJ13" i="3" s="1"/>
  <c r="DG13" i="3"/>
  <c r="DH13" i="3"/>
  <c r="DI13" i="3"/>
  <c r="DF172" i="3"/>
  <c r="DF138" i="3"/>
  <c r="DJ138" i="3" s="1"/>
  <c r="DH138" i="3"/>
  <c r="DH129" i="3"/>
  <c r="DG129" i="3"/>
  <c r="DJ129" i="3" s="1"/>
  <c r="DI129" i="3"/>
  <c r="DF75" i="3"/>
  <c r="DJ75" i="3" s="1"/>
  <c r="DG75" i="3"/>
  <c r="DH75" i="3"/>
  <c r="DI75" i="3"/>
  <c r="DF38" i="3"/>
  <c r="DJ38" i="3" s="1"/>
  <c r="DG38" i="3"/>
  <c r="DH38" i="3"/>
  <c r="DI38" i="3"/>
  <c r="CX5" i="3"/>
  <c r="DF154" i="3"/>
  <c r="DJ154" i="3" s="1"/>
  <c r="DH154" i="3"/>
  <c r="DI125" i="3"/>
  <c r="DF125" i="3"/>
  <c r="DJ125" i="3" s="1"/>
  <c r="DG125" i="3"/>
  <c r="DH125" i="3"/>
  <c r="DI72" i="3"/>
  <c r="DF72" i="3"/>
  <c r="DJ72" i="3" s="1"/>
  <c r="DG72" i="3"/>
  <c r="DG27" i="3"/>
  <c r="DI27" i="3"/>
  <c r="DH27" i="3"/>
  <c r="DI200" i="3"/>
  <c r="DI191" i="3"/>
  <c r="DJ191" i="3" s="1"/>
  <c r="DG173" i="3"/>
  <c r="DF160" i="3"/>
  <c r="DG160" i="3"/>
  <c r="DI160" i="3"/>
  <c r="DJ160" i="3" s="1"/>
  <c r="DG159" i="3"/>
  <c r="DI159" i="3"/>
  <c r="DG130" i="3"/>
  <c r="DH130" i="3"/>
  <c r="DI130" i="3"/>
  <c r="CX121" i="3"/>
  <c r="CW107" i="3"/>
  <c r="DH79" i="3"/>
  <c r="DI79" i="3"/>
  <c r="DF79" i="3"/>
  <c r="DJ79" i="3" s="1"/>
  <c r="DG79" i="3"/>
  <c r="DF60" i="3"/>
  <c r="DJ60" i="3" s="1"/>
  <c r="DG60" i="3"/>
  <c r="DH60" i="3"/>
  <c r="DF39" i="3"/>
  <c r="DG39" i="3"/>
  <c r="DI39" i="3"/>
  <c r="DJ39" i="3" s="1"/>
  <c r="DH15" i="3"/>
  <c r="DF15" i="3"/>
  <c r="DJ15" i="3" s="1"/>
  <c r="DG15" i="3"/>
  <c r="DI15" i="3"/>
  <c r="DI241" i="3"/>
  <c r="DJ241" i="3" s="1"/>
  <c r="DI209" i="3"/>
  <c r="DJ209" i="3" s="1"/>
  <c r="DH200" i="3"/>
  <c r="DH191" i="3"/>
  <c r="DF176" i="3"/>
  <c r="DJ176" i="3" s="1"/>
  <c r="DH176" i="3"/>
  <c r="DI174" i="3"/>
  <c r="DF145" i="3"/>
  <c r="DG145" i="3"/>
  <c r="DI145" i="3"/>
  <c r="DJ145" i="3" s="1"/>
  <c r="DG144" i="3"/>
  <c r="DI144" i="3"/>
  <c r="CV111" i="3"/>
  <c r="CX104" i="3"/>
  <c r="CX100" i="3"/>
  <c r="DF92" i="3"/>
  <c r="DJ92" i="3" s="1"/>
  <c r="DG92" i="3"/>
  <c r="DI92" i="3"/>
  <c r="DI71" i="3"/>
  <c r="CV54" i="3"/>
  <c r="CX54" i="3"/>
  <c r="DF46" i="3"/>
  <c r="DJ46" i="3" s="1"/>
  <c r="DH46" i="3"/>
  <c r="DI46" i="3"/>
  <c r="DG46" i="3"/>
  <c r="DF36" i="3"/>
  <c r="DJ36" i="3" s="1"/>
  <c r="DH36" i="3"/>
  <c r="DI36" i="3"/>
  <c r="DG11" i="3"/>
  <c r="DH11" i="3"/>
  <c r="DI11" i="3"/>
  <c r="DH241" i="3"/>
  <c r="DI230" i="3"/>
  <c r="DI220" i="3"/>
  <c r="DH209" i="3"/>
  <c r="DG200" i="3"/>
  <c r="DI198" i="3"/>
  <c r="DG191" i="3"/>
  <c r="DF174" i="3"/>
  <c r="DJ174" i="3" s="1"/>
  <c r="DI158" i="3"/>
  <c r="DH157" i="3"/>
  <c r="DI155" i="3"/>
  <c r="DJ155" i="3" s="1"/>
  <c r="DI141" i="3"/>
  <c r="DI140" i="3"/>
  <c r="DJ140" i="3" s="1"/>
  <c r="DH137" i="3"/>
  <c r="CW119" i="3"/>
  <c r="DG96" i="3"/>
  <c r="DF96" i="3"/>
  <c r="DJ96" i="3" s="1"/>
  <c r="DH96" i="3"/>
  <c r="DI96" i="3"/>
  <c r="DI90" i="3"/>
  <c r="DH71" i="3"/>
  <c r="DG57" i="3"/>
  <c r="DH57" i="3"/>
  <c r="DI57" i="3"/>
  <c r="DF31" i="3"/>
  <c r="DJ31" i="3" s="1"/>
  <c r="DH31" i="3"/>
  <c r="DI31" i="3"/>
  <c r="DG241" i="3"/>
  <c r="DH230" i="3"/>
  <c r="DI229" i="3"/>
  <c r="DH220" i="3"/>
  <c r="DI219" i="3"/>
  <c r="DG209" i="3"/>
  <c r="DH198" i="3"/>
  <c r="DI197" i="3"/>
  <c r="DI190" i="3"/>
  <c r="CX183" i="3"/>
  <c r="DG182" i="3"/>
  <c r="DI182" i="3"/>
  <c r="DI179" i="3"/>
  <c r="DI178" i="3"/>
  <c r="CX167" i="3"/>
  <c r="DG158" i="3"/>
  <c r="DG157" i="3"/>
  <c r="DH155" i="3"/>
  <c r="DI143" i="3"/>
  <c r="DH141" i="3"/>
  <c r="DH140" i="3"/>
  <c r="DI139" i="3"/>
  <c r="DI138" i="3"/>
  <c r="DH133" i="3"/>
  <c r="DF133" i="3"/>
  <c r="DI133" i="3"/>
  <c r="DJ133" i="3" s="1"/>
  <c r="DF93" i="3"/>
  <c r="DJ93" i="3" s="1"/>
  <c r="DG93" i="3"/>
  <c r="DI93" i="3"/>
  <c r="DF90" i="3"/>
  <c r="DJ90" i="3" s="1"/>
  <c r="DF77" i="3"/>
  <c r="DJ77" i="3" s="1"/>
  <c r="DG77" i="3"/>
  <c r="DH77" i="3"/>
  <c r="DH73" i="3"/>
  <c r="DF73" i="3"/>
  <c r="DJ73" i="3" s="1"/>
  <c r="DG73" i="3"/>
  <c r="DF71" i="3"/>
  <c r="DJ71" i="3" s="1"/>
  <c r="DF61" i="3"/>
  <c r="DJ61" i="3" s="1"/>
  <c r="DG61" i="3"/>
  <c r="DH61" i="3"/>
  <c r="DI59" i="3"/>
  <c r="DG55" i="3"/>
  <c r="DI55" i="3"/>
  <c r="DF55" i="3"/>
  <c r="DJ55" i="3" s="1"/>
  <c r="DH55" i="3"/>
  <c r="DF22" i="3"/>
  <c r="DJ22" i="3" s="1"/>
  <c r="DG22" i="3"/>
  <c r="DH22" i="3"/>
  <c r="DI22" i="3"/>
  <c r="DH190" i="3"/>
  <c r="DI189" i="3"/>
  <c r="DJ189" i="3" s="1"/>
  <c r="CV165" i="3"/>
  <c r="DF158" i="3"/>
  <c r="DJ158" i="3" s="1"/>
  <c r="DF157" i="3"/>
  <c r="DJ157" i="3" s="1"/>
  <c r="DI154" i="3"/>
  <c r="DG143" i="3"/>
  <c r="DH139" i="3"/>
  <c r="DG138" i="3"/>
  <c r="DF129" i="3"/>
  <c r="DH126" i="3"/>
  <c r="DI126" i="3"/>
  <c r="DG64" i="3"/>
  <c r="DF64" i="3"/>
  <c r="DJ64" i="3" s="1"/>
  <c r="DH64" i="3"/>
  <c r="DI64" i="3"/>
  <c r="DF25" i="3"/>
  <c r="DJ25" i="3" s="1"/>
  <c r="DI25" i="3"/>
  <c r="DF56" i="3"/>
  <c r="DJ56" i="3" s="1"/>
  <c r="DH56" i="3"/>
  <c r="DI56" i="3"/>
  <c r="DF48" i="3"/>
  <c r="DJ48" i="3" s="1"/>
  <c r="DG48" i="3"/>
  <c r="DH48" i="3"/>
  <c r="DG35" i="3"/>
  <c r="DI35" i="3"/>
  <c r="CV34" i="3"/>
  <c r="CX34" i="3"/>
  <c r="DF10" i="3"/>
  <c r="DJ10" i="3" s="1"/>
  <c r="DH10" i="3"/>
  <c r="DI10" i="3"/>
  <c r="CX113" i="3"/>
  <c r="DG70" i="3"/>
  <c r="DG53" i="3"/>
  <c r="DG52" i="3"/>
  <c r="DH30" i="3"/>
  <c r="DI24" i="3"/>
  <c r="DJ24" i="3" s="1"/>
  <c r="DI21" i="3"/>
  <c r="DF17" i="3"/>
  <c r="DJ17" i="3" s="1"/>
  <c r="DI17" i="3"/>
  <c r="DG19" i="3"/>
  <c r="DH19" i="3"/>
  <c r="DI19" i="3"/>
  <c r="DJ19" i="3" s="1"/>
  <c r="CV117" i="3"/>
  <c r="CX117" i="3"/>
  <c r="DF81" i="3"/>
  <c r="DJ81" i="3" s="1"/>
  <c r="DG81" i="3"/>
  <c r="DF65" i="3"/>
  <c r="DJ65" i="3" s="1"/>
  <c r="DI65" i="3"/>
  <c r="DF43" i="3"/>
  <c r="DJ43" i="3" s="1"/>
  <c r="DI43" i="3"/>
  <c r="DI33" i="3"/>
  <c r="DH32" i="3"/>
  <c r="DF24" i="3"/>
  <c r="DI16" i="3"/>
  <c r="DF49" i="3"/>
  <c r="DJ49" i="3" s="1"/>
  <c r="DG49" i="3"/>
  <c r="DG45" i="3"/>
  <c r="DI45" i="3"/>
  <c r="DI41" i="3"/>
  <c r="DH40" i="3"/>
  <c r="DG33" i="3"/>
  <c r="DG32" i="3"/>
  <c r="DH25" i="3"/>
  <c r="DH16" i="3"/>
  <c r="CW6" i="3"/>
  <c r="CX6" i="3"/>
  <c r="DH89" i="3"/>
  <c r="DI89" i="3"/>
  <c r="DF68" i="3"/>
  <c r="DJ68" i="3" s="1"/>
  <c r="DI68" i="3"/>
  <c r="DH62" i="3"/>
  <c r="DF58" i="3"/>
  <c r="DJ58" i="3" s="1"/>
  <c r="DG58" i="3"/>
  <c r="DH58" i="3"/>
  <c r="DG41" i="3"/>
  <c r="DG40" i="3"/>
  <c r="DF33" i="3"/>
  <c r="DJ33" i="3" s="1"/>
  <c r="DF32" i="3"/>
  <c r="DJ32" i="3" s="1"/>
  <c r="DF28" i="3"/>
  <c r="DJ28" i="3" s="1"/>
  <c r="DH28" i="3"/>
  <c r="DI28" i="3"/>
  <c r="DG25" i="3"/>
  <c r="DF16" i="3"/>
  <c r="DJ16" i="3" s="1"/>
  <c r="DF12" i="3"/>
  <c r="DJ12" i="3" s="1"/>
  <c r="DG12" i="3"/>
  <c r="DH12" i="3"/>
  <c r="CV5" i="3"/>
  <c r="CX1" i="3"/>
  <c r="DI123" i="3"/>
  <c r="DJ123" i="3" s="1"/>
  <c r="CV69" i="3"/>
  <c r="DG63" i="3"/>
  <c r="DG62" i="3"/>
  <c r="DG56" i="3"/>
  <c r="DH42" i="3"/>
  <c r="DF41" i="3"/>
  <c r="DJ41" i="3" s="1"/>
  <c r="DF40" i="3"/>
  <c r="DJ40" i="3" s="1"/>
  <c r="DH35" i="3"/>
  <c r="DG26" i="3"/>
  <c r="DH17" i="3"/>
  <c r="DG10" i="3"/>
  <c r="DF62" i="3"/>
  <c r="DJ62" i="3" s="1"/>
  <c r="DI48" i="3"/>
  <c r="DF35" i="3"/>
  <c r="DJ35" i="3" s="1"/>
  <c r="CX8" i="3"/>
  <c r="CW2" i="3"/>
  <c r="DF91" i="3"/>
  <c r="DJ91" i="3" s="1"/>
  <c r="DG91" i="3"/>
  <c r="DF69" i="3"/>
  <c r="DG69" i="3"/>
  <c r="DF21" i="3"/>
  <c r="DJ21" i="3" s="1"/>
  <c r="DG21" i="3"/>
  <c r="DF9" i="3"/>
  <c r="DG9" i="3"/>
  <c r="DI9" i="3"/>
  <c r="DJ9" i="3" s="1"/>
  <c r="J121" i="7" l="1"/>
  <c r="J235" i="7"/>
  <c r="H121" i="7"/>
  <c r="H278" i="7"/>
  <c r="H282" i="7"/>
  <c r="DZ77" i="1"/>
  <c r="DM110" i="1"/>
  <c r="AD77" i="1"/>
  <c r="Q110" i="1"/>
  <c r="DY189" i="1"/>
  <c r="DL202" i="1"/>
  <c r="EB142" i="1"/>
  <c r="DO157" i="1"/>
  <c r="AE142" i="1"/>
  <c r="R157" i="1"/>
  <c r="EA77" i="1"/>
  <c r="DN110" i="1"/>
  <c r="V110" i="1"/>
  <c r="AI77" i="1"/>
  <c r="AK26" i="1"/>
  <c r="X45" i="1"/>
  <c r="DW142" i="1"/>
  <c r="DJ157" i="1"/>
  <c r="AJ26" i="1"/>
  <c r="W45" i="1"/>
  <c r="FR150" i="1"/>
  <c r="CP150" i="1"/>
  <c r="O150" i="1" s="1"/>
  <c r="DF113" i="3"/>
  <c r="DG113" i="3"/>
  <c r="DJ113" i="3" s="1"/>
  <c r="DH113" i="3"/>
  <c r="DI113" i="3"/>
  <c r="AH26" i="1"/>
  <c r="U45" i="1"/>
  <c r="AO142" i="1"/>
  <c r="F161" i="1"/>
  <c r="DH264" i="3"/>
  <c r="DI264" i="3"/>
  <c r="DJ264" i="3" s="1"/>
  <c r="DF264" i="3"/>
  <c r="DG264" i="3"/>
  <c r="FR93" i="1"/>
  <c r="CP93" i="1"/>
  <c r="O93" i="1" s="1"/>
  <c r="GM93" i="1" s="1"/>
  <c r="AW26" i="1"/>
  <c r="F51" i="1"/>
  <c r="AQ142" i="1"/>
  <c r="F167" i="1"/>
  <c r="P219" i="1"/>
  <c r="EK189" i="1"/>
  <c r="DI6" i="3"/>
  <c r="DF6" i="3"/>
  <c r="DG6" i="3"/>
  <c r="DJ6" i="3" s="1"/>
  <c r="DH6" i="3"/>
  <c r="DI279" i="3"/>
  <c r="DF279" i="3"/>
  <c r="DG279" i="3"/>
  <c r="DJ279" i="3" s="1"/>
  <c r="DH279" i="3"/>
  <c r="DF151" i="3"/>
  <c r="DH151" i="3"/>
  <c r="DI151" i="3"/>
  <c r="DG151" i="3"/>
  <c r="DJ151" i="3" s="1"/>
  <c r="DH7" i="3"/>
  <c r="DF7" i="3"/>
  <c r="DJ7" i="3" s="1"/>
  <c r="DG7" i="3"/>
  <c r="DI7" i="3"/>
  <c r="DF277" i="3"/>
  <c r="DG277" i="3"/>
  <c r="DH277" i="3"/>
  <c r="DI277" i="3"/>
  <c r="DJ277" i="3" s="1"/>
  <c r="GM100" i="1"/>
  <c r="GO100" i="1" s="1"/>
  <c r="CY100" i="1"/>
  <c r="CZ100" i="1"/>
  <c r="X100" i="1"/>
  <c r="Y100" i="1"/>
  <c r="BC142" i="1"/>
  <c r="F173" i="1"/>
  <c r="DM26" i="1"/>
  <c r="P67" i="1"/>
  <c r="DV142" i="1"/>
  <c r="DI157" i="1"/>
  <c r="AF110" i="1"/>
  <c r="AD202" i="1"/>
  <c r="DH265" i="3"/>
  <c r="DI265" i="3"/>
  <c r="DF265" i="3"/>
  <c r="DG265" i="3"/>
  <c r="DJ265" i="3" s="1"/>
  <c r="V157" i="1"/>
  <c r="AI142" i="1"/>
  <c r="AC110" i="1"/>
  <c r="EU189" i="1"/>
  <c r="P218" i="1"/>
  <c r="DY77" i="1"/>
  <c r="DL110" i="1"/>
  <c r="DV26" i="1"/>
  <c r="DI45" i="1"/>
  <c r="GM79" i="1"/>
  <c r="BC26" i="1"/>
  <c r="F61" i="1"/>
  <c r="BC232" i="1"/>
  <c r="BD26" i="1"/>
  <c r="F70" i="1"/>
  <c r="BD232" i="1"/>
  <c r="CY99" i="1"/>
  <c r="CZ99" i="1"/>
  <c r="Y99" i="1"/>
  <c r="X99" i="1"/>
  <c r="DW110" i="1"/>
  <c r="BA26" i="1"/>
  <c r="F65" i="1"/>
  <c r="FR82" i="1"/>
  <c r="CP82" i="1"/>
  <c r="O82" i="1" s="1"/>
  <c r="CY104" i="1"/>
  <c r="CZ104" i="1"/>
  <c r="X104" i="1"/>
  <c r="Y104" i="1"/>
  <c r="AG77" i="1"/>
  <c r="T110" i="1"/>
  <c r="EI142" i="1"/>
  <c r="P167" i="1"/>
  <c r="DM157" i="1"/>
  <c r="DM232" i="1" s="1"/>
  <c r="DZ142" i="1"/>
  <c r="F123" i="1"/>
  <c r="BB77" i="1"/>
  <c r="DH282" i="3"/>
  <c r="DI282" i="3"/>
  <c r="DF282" i="3"/>
  <c r="DJ282" i="3" s="1"/>
  <c r="DG282" i="3"/>
  <c r="DF258" i="3"/>
  <c r="DG258" i="3"/>
  <c r="DJ258" i="3" s="1"/>
  <c r="DH258" i="3"/>
  <c r="DI258" i="3"/>
  <c r="EM189" i="1"/>
  <c r="P221" i="1"/>
  <c r="AJ189" i="1"/>
  <c r="W202" i="1"/>
  <c r="FR147" i="1"/>
  <c r="CP147" i="1"/>
  <c r="O147" i="1" s="1"/>
  <c r="GM147" i="1" s="1"/>
  <c r="X149" i="1"/>
  <c r="Y149" i="1"/>
  <c r="CZ149" i="1"/>
  <c r="CY149" i="1"/>
  <c r="EM77" i="1"/>
  <c r="P129" i="1"/>
  <c r="DF1" i="3"/>
  <c r="DH1" i="3"/>
  <c r="DI1" i="3"/>
  <c r="DJ1" i="3" s="1"/>
  <c r="DG1" i="3"/>
  <c r="DG110" i="3"/>
  <c r="DF110" i="3"/>
  <c r="DJ110" i="3" s="1"/>
  <c r="DH110" i="3"/>
  <c r="DI110" i="3"/>
  <c r="DG4" i="3"/>
  <c r="DH4" i="3"/>
  <c r="DI4" i="3"/>
  <c r="DF4" i="3"/>
  <c r="DJ4" i="3" s="1"/>
  <c r="DF111" i="3"/>
  <c r="DG111" i="3"/>
  <c r="DH111" i="3"/>
  <c r="DI111" i="3"/>
  <c r="DJ111" i="3" s="1"/>
  <c r="DF120" i="3"/>
  <c r="DG120" i="3"/>
  <c r="DJ120" i="3" s="1"/>
  <c r="DH120" i="3"/>
  <c r="DI120" i="3"/>
  <c r="EH26" i="1"/>
  <c r="P54" i="1"/>
  <c r="EI26" i="1"/>
  <c r="P55" i="1"/>
  <c r="EI232" i="1"/>
  <c r="EK26" i="1"/>
  <c r="P62" i="1"/>
  <c r="EK232" i="1"/>
  <c r="CY101" i="1"/>
  <c r="CZ101" i="1"/>
  <c r="X101" i="1"/>
  <c r="Y101" i="1"/>
  <c r="DF274" i="3"/>
  <c r="DG274" i="3"/>
  <c r="DJ274" i="3" s="1"/>
  <c r="DH274" i="3"/>
  <c r="DI274" i="3"/>
  <c r="AJ77" i="1"/>
  <c r="W110" i="1"/>
  <c r="AG142" i="1"/>
  <c r="T157" i="1"/>
  <c r="F176" i="1"/>
  <c r="AU142" i="1"/>
  <c r="Y193" i="1"/>
  <c r="X193" i="1"/>
  <c r="AK202" i="1" s="1"/>
  <c r="CZ193" i="1"/>
  <c r="CY193" i="1"/>
  <c r="CZ195" i="1"/>
  <c r="X195" i="1"/>
  <c r="GM195" i="1" s="1"/>
  <c r="GO195" i="1" s="1"/>
  <c r="Y195" i="1"/>
  <c r="CY195" i="1"/>
  <c r="CP149" i="1"/>
  <c r="O149" i="1" s="1"/>
  <c r="S142" i="1"/>
  <c r="F172" i="1"/>
  <c r="DG280" i="3"/>
  <c r="DJ280" i="3" s="1"/>
  <c r="DF280" i="3"/>
  <c r="DH280" i="3"/>
  <c r="DI280" i="3"/>
  <c r="AH189" i="1"/>
  <c r="U202" i="1"/>
  <c r="DZ189" i="1"/>
  <c r="DM202" i="1"/>
  <c r="CJ189" i="1"/>
  <c r="BA202" i="1"/>
  <c r="AF189" i="1"/>
  <c r="S202" i="1"/>
  <c r="DF100" i="3"/>
  <c r="DG100" i="3"/>
  <c r="DJ100" i="3" s="1"/>
  <c r="DH100" i="3"/>
  <c r="DI100" i="3"/>
  <c r="DI108" i="3"/>
  <c r="DF108" i="3"/>
  <c r="DG108" i="3"/>
  <c r="DJ108" i="3" s="1"/>
  <c r="DH108" i="3"/>
  <c r="DG103" i="3"/>
  <c r="DF103" i="3"/>
  <c r="DJ103" i="3" s="1"/>
  <c r="DH103" i="3"/>
  <c r="DI103" i="3"/>
  <c r="DF114" i="3"/>
  <c r="DG114" i="3"/>
  <c r="DJ114" i="3" s="1"/>
  <c r="DH114" i="3"/>
  <c r="DI114" i="3"/>
  <c r="DF271" i="3"/>
  <c r="DG271" i="3"/>
  <c r="DH271" i="3"/>
  <c r="DI271" i="3"/>
  <c r="DJ271" i="3" s="1"/>
  <c r="ET26" i="1"/>
  <c r="P58" i="1"/>
  <c r="ET232" i="1"/>
  <c r="EU26" i="1"/>
  <c r="P61" i="1"/>
  <c r="EU232" i="1"/>
  <c r="DF276" i="3"/>
  <c r="DJ276" i="3" s="1"/>
  <c r="DG276" i="3"/>
  <c r="DH276" i="3"/>
  <c r="DI276" i="3"/>
  <c r="X102" i="1"/>
  <c r="GM102" i="1" s="1"/>
  <c r="GO102" i="1" s="1"/>
  <c r="Y102" i="1"/>
  <c r="CY102" i="1"/>
  <c r="CZ102" i="1"/>
  <c r="CZ108" i="1"/>
  <c r="X108" i="1"/>
  <c r="Y108" i="1"/>
  <c r="CY108" i="1"/>
  <c r="AE110" i="1"/>
  <c r="FT142" i="1"/>
  <c r="EK157" i="1"/>
  <c r="CP148" i="1"/>
  <c r="O148" i="1" s="1"/>
  <c r="GM148" i="1" s="1"/>
  <c r="GO148" i="1" s="1"/>
  <c r="CP101" i="1"/>
  <c r="O101" i="1" s="1"/>
  <c r="FR155" i="1"/>
  <c r="CP155" i="1"/>
  <c r="O155" i="1" s="1"/>
  <c r="AF26" i="1"/>
  <c r="S45" i="1"/>
  <c r="BZ189" i="1"/>
  <c r="AQ202" i="1"/>
  <c r="CG202" i="1"/>
  <c r="F182" i="1"/>
  <c r="BD142" i="1"/>
  <c r="X198" i="1"/>
  <c r="CY198" i="1"/>
  <c r="CZ198" i="1"/>
  <c r="CP198" i="1"/>
  <c r="O198" i="1" s="1"/>
  <c r="GM198" i="1" s="1"/>
  <c r="Y198" i="1"/>
  <c r="EP202" i="1"/>
  <c r="FY189" i="1"/>
  <c r="GM152" i="1"/>
  <c r="GO152" i="1" s="1"/>
  <c r="DH273" i="3"/>
  <c r="DI273" i="3"/>
  <c r="DF273" i="3"/>
  <c r="DG273" i="3"/>
  <c r="DJ273" i="3" s="1"/>
  <c r="X194" i="1"/>
  <c r="EC202" i="1" s="1"/>
  <c r="Y194" i="1"/>
  <c r="ED202" i="1" s="1"/>
  <c r="DX202" i="1"/>
  <c r="CZ194" i="1"/>
  <c r="CY194" i="1"/>
  <c r="ES202" i="1"/>
  <c r="GB189" i="1"/>
  <c r="V202" i="1"/>
  <c r="AI189" i="1"/>
  <c r="CY90" i="1"/>
  <c r="CZ90" i="1"/>
  <c r="Y90" i="1"/>
  <c r="X90" i="1"/>
  <c r="GM90" i="1" s="1"/>
  <c r="DU157" i="1"/>
  <c r="ET142" i="1"/>
  <c r="P170" i="1"/>
  <c r="CY153" i="1"/>
  <c r="CZ153" i="1"/>
  <c r="Y153" i="1"/>
  <c r="CP153" i="1"/>
  <c r="O153" i="1" s="1"/>
  <c r="X153" i="1"/>
  <c r="EC157" i="1" s="1"/>
  <c r="DW189" i="1"/>
  <c r="DJ202" i="1"/>
  <c r="DH34" i="3"/>
  <c r="DF34" i="3"/>
  <c r="DG34" i="3"/>
  <c r="DI34" i="3"/>
  <c r="DJ34" i="3" s="1"/>
  <c r="DF104" i="3"/>
  <c r="DJ104" i="3" s="1"/>
  <c r="DG104" i="3"/>
  <c r="DH104" i="3"/>
  <c r="DI104" i="3"/>
  <c r="DF2" i="3"/>
  <c r="DG2" i="3"/>
  <c r="DJ2" i="3" s="1"/>
  <c r="DI2" i="3"/>
  <c r="DH2" i="3"/>
  <c r="DI118" i="3"/>
  <c r="DF118" i="3"/>
  <c r="DG118" i="3"/>
  <c r="DJ118" i="3" s="1"/>
  <c r="DH118" i="3"/>
  <c r="DH99" i="3"/>
  <c r="DI99" i="3"/>
  <c r="DJ99" i="3" s="1"/>
  <c r="DF99" i="3"/>
  <c r="DG99" i="3"/>
  <c r="DH112" i="3"/>
  <c r="DI112" i="3"/>
  <c r="DF112" i="3"/>
  <c r="DG112" i="3"/>
  <c r="DJ112" i="3" s="1"/>
  <c r="FY26" i="1"/>
  <c r="EP45" i="1"/>
  <c r="CY97" i="1"/>
  <c r="CZ97" i="1"/>
  <c r="X97" i="1"/>
  <c r="Y97" i="1"/>
  <c r="DF268" i="3"/>
  <c r="DJ268" i="3" s="1"/>
  <c r="DG268" i="3"/>
  <c r="DH268" i="3"/>
  <c r="DI268" i="3"/>
  <c r="AX26" i="1"/>
  <c r="F52" i="1"/>
  <c r="EM26" i="1"/>
  <c r="P64" i="1"/>
  <c r="EM232" i="1"/>
  <c r="GM146" i="1"/>
  <c r="CZ83" i="1"/>
  <c r="X83" i="1"/>
  <c r="GM83" i="1" s="1"/>
  <c r="GO83" i="1" s="1"/>
  <c r="Y83" i="1"/>
  <c r="CY83" i="1"/>
  <c r="ES26" i="1"/>
  <c r="P65" i="1"/>
  <c r="EG142" i="1"/>
  <c r="P161" i="1"/>
  <c r="EG232" i="1"/>
  <c r="AU77" i="1"/>
  <c r="F129" i="1"/>
  <c r="AU232" i="1"/>
  <c r="AX110" i="1"/>
  <c r="CG77" i="1"/>
  <c r="P180" i="1"/>
  <c r="DN142" i="1"/>
  <c r="P225" i="1"/>
  <c r="DN189" i="1"/>
  <c r="CP194" i="1"/>
  <c r="O194" i="1" s="1"/>
  <c r="GM194" i="1" s="1"/>
  <c r="DG8" i="3"/>
  <c r="DI8" i="3"/>
  <c r="DF8" i="3"/>
  <c r="DJ8" i="3" s="1"/>
  <c r="DH8" i="3"/>
  <c r="DF183" i="3"/>
  <c r="DG183" i="3"/>
  <c r="DH183" i="3"/>
  <c r="DI183" i="3"/>
  <c r="DJ183" i="3" s="1"/>
  <c r="DF29" i="3"/>
  <c r="DG29" i="3"/>
  <c r="DH29" i="3"/>
  <c r="DI29" i="3"/>
  <c r="DJ29" i="3" s="1"/>
  <c r="DU189" i="1"/>
  <c r="FX202" i="1"/>
  <c r="DH202" i="1"/>
  <c r="FZ202" i="1"/>
  <c r="FW202" i="1"/>
  <c r="FR97" i="1"/>
  <c r="CP97" i="1"/>
  <c r="O97" i="1" s="1"/>
  <c r="GM97" i="1" s="1"/>
  <c r="ED157" i="1"/>
  <c r="DF3" i="3"/>
  <c r="DJ3" i="3" s="1"/>
  <c r="DH3" i="3"/>
  <c r="DI3" i="3"/>
  <c r="DG3" i="3"/>
  <c r="DH116" i="3"/>
  <c r="DF116" i="3"/>
  <c r="DJ116" i="3" s="1"/>
  <c r="DG116" i="3"/>
  <c r="DI116" i="3"/>
  <c r="DG167" i="3"/>
  <c r="DF167" i="3"/>
  <c r="DH167" i="3"/>
  <c r="DI167" i="3"/>
  <c r="DJ167" i="3" s="1"/>
  <c r="DH102" i="3"/>
  <c r="DF102" i="3"/>
  <c r="DG102" i="3"/>
  <c r="DJ102" i="3" s="1"/>
  <c r="DI102" i="3"/>
  <c r="DI105" i="3"/>
  <c r="DJ105" i="3" s="1"/>
  <c r="DF105" i="3"/>
  <c r="DG105" i="3"/>
  <c r="DH105" i="3"/>
  <c r="DG119" i="3"/>
  <c r="DJ119" i="3" s="1"/>
  <c r="DH119" i="3"/>
  <c r="DF119" i="3"/>
  <c r="DI119" i="3"/>
  <c r="DG106" i="3"/>
  <c r="DJ106" i="3" s="1"/>
  <c r="DH106" i="3"/>
  <c r="DF106" i="3"/>
  <c r="DI106" i="3"/>
  <c r="AV45" i="1"/>
  <c r="CE26" i="1"/>
  <c r="AO26" i="1"/>
  <c r="F49" i="1"/>
  <c r="AO232" i="1"/>
  <c r="DI281" i="3"/>
  <c r="DF281" i="3"/>
  <c r="DJ281" i="3" s="1"/>
  <c r="DG281" i="3"/>
  <c r="DH281" i="3"/>
  <c r="DH165" i="3"/>
  <c r="DF165" i="3"/>
  <c r="DG165" i="3"/>
  <c r="DI165" i="3"/>
  <c r="DJ165" i="3" s="1"/>
  <c r="GM106" i="1"/>
  <c r="GO106" i="1" s="1"/>
  <c r="GM151" i="1"/>
  <c r="CZ91" i="1"/>
  <c r="X91" i="1"/>
  <c r="GM91" i="1" s="1"/>
  <c r="GO91" i="1" s="1"/>
  <c r="Y91" i="1"/>
  <c r="CY91" i="1"/>
  <c r="AL142" i="1"/>
  <c r="Y157" i="1"/>
  <c r="CP108" i="1"/>
  <c r="O108" i="1" s="1"/>
  <c r="GM108" i="1" s="1"/>
  <c r="FR108" i="1"/>
  <c r="DV202" i="1"/>
  <c r="P206" i="1"/>
  <c r="EG189" i="1"/>
  <c r="F179" i="1"/>
  <c r="U142" i="1"/>
  <c r="DF272" i="3"/>
  <c r="DG272" i="3"/>
  <c r="DJ272" i="3" s="1"/>
  <c r="DH272" i="3"/>
  <c r="DI272" i="3"/>
  <c r="AE202" i="1"/>
  <c r="BD189" i="1"/>
  <c r="F227" i="1"/>
  <c r="GA202" i="1"/>
  <c r="EH202" i="1"/>
  <c r="FQ189" i="1"/>
  <c r="CP191" i="1"/>
  <c r="O191" i="1" s="1"/>
  <c r="AC202" i="1"/>
  <c r="AL45" i="1"/>
  <c r="DG166" i="3"/>
  <c r="DH166" i="3"/>
  <c r="DF166" i="3"/>
  <c r="DI166" i="3"/>
  <c r="DJ166" i="3" s="1"/>
  <c r="CI26" i="1"/>
  <c r="AZ45" i="1"/>
  <c r="AQ26" i="1"/>
  <c r="F55" i="1"/>
  <c r="FR107" i="1"/>
  <c r="CP107" i="1"/>
  <c r="O107" i="1" s="1"/>
  <c r="GM107" i="1" s="1"/>
  <c r="BB26" i="1"/>
  <c r="F58" i="1"/>
  <c r="BB232" i="1"/>
  <c r="AK157" i="1"/>
  <c r="DF270" i="3"/>
  <c r="DJ270" i="3" s="1"/>
  <c r="DG270" i="3"/>
  <c r="DH270" i="3"/>
  <c r="DI270" i="3"/>
  <c r="AQ77" i="1"/>
  <c r="F120" i="1"/>
  <c r="F170" i="1"/>
  <c r="BB142" i="1"/>
  <c r="EM142" i="1"/>
  <c r="P176" i="1"/>
  <c r="DF260" i="3"/>
  <c r="DG260" i="3"/>
  <c r="DJ260" i="3" s="1"/>
  <c r="DH260" i="3"/>
  <c r="DI260" i="3"/>
  <c r="AG189" i="1"/>
  <c r="T202" i="1"/>
  <c r="BY202" i="1"/>
  <c r="P226" i="1"/>
  <c r="DO189" i="1"/>
  <c r="DG146" i="3"/>
  <c r="DJ146" i="3" s="1"/>
  <c r="DF146" i="3"/>
  <c r="DH146" i="3"/>
  <c r="DI146" i="3"/>
  <c r="EB77" i="1"/>
  <c r="DO110" i="1"/>
  <c r="CB142" i="1"/>
  <c r="AS157" i="1"/>
  <c r="DF275" i="3"/>
  <c r="DJ275" i="3" s="1"/>
  <c r="DG275" i="3"/>
  <c r="DH275" i="3"/>
  <c r="DI275" i="3"/>
  <c r="GM40" i="1"/>
  <c r="GO40" i="1" s="1"/>
  <c r="CY150" i="1"/>
  <c r="CZ150" i="1"/>
  <c r="X150" i="1"/>
  <c r="Y150" i="1"/>
  <c r="DW45" i="1"/>
  <c r="DF269" i="3"/>
  <c r="DJ269" i="3" s="1"/>
  <c r="DG269" i="3"/>
  <c r="DH269" i="3"/>
  <c r="DI269" i="3"/>
  <c r="CP80" i="1"/>
  <c r="O80" i="1" s="1"/>
  <c r="DU110" i="1"/>
  <c r="DV110" i="1"/>
  <c r="ES110" i="1"/>
  <c r="GB77" i="1"/>
  <c r="CY89" i="1"/>
  <c r="CZ89" i="1"/>
  <c r="X89" i="1"/>
  <c r="GM89" i="1" s="1"/>
  <c r="Y89" i="1"/>
  <c r="FR103" i="1"/>
  <c r="CP103" i="1"/>
  <c r="O103" i="1" s="1"/>
  <c r="GM103" i="1" s="1"/>
  <c r="GM86" i="1"/>
  <c r="GO86" i="1" s="1"/>
  <c r="CP104" i="1"/>
  <c r="O104" i="1" s="1"/>
  <c r="GM104" i="1" s="1"/>
  <c r="AJ142" i="1"/>
  <c r="W157" i="1"/>
  <c r="EI77" i="1"/>
  <c r="P120" i="1"/>
  <c r="DH266" i="3"/>
  <c r="DI266" i="3"/>
  <c r="DF266" i="3"/>
  <c r="DG266" i="3"/>
  <c r="DJ266" i="3" s="1"/>
  <c r="CZ155" i="1"/>
  <c r="X155" i="1"/>
  <c r="Y155" i="1"/>
  <c r="CY155" i="1"/>
  <c r="BY142" i="1"/>
  <c r="AP157" i="1"/>
  <c r="CI157" i="1"/>
  <c r="AS77" i="1"/>
  <c r="F127" i="1"/>
  <c r="AS232" i="1"/>
  <c r="EV189" i="1"/>
  <c r="P227" i="1"/>
  <c r="DF261" i="3"/>
  <c r="DJ261" i="3" s="1"/>
  <c r="DG261" i="3"/>
  <c r="DH261" i="3"/>
  <c r="DI261" i="3"/>
  <c r="ES142" i="1"/>
  <c r="P177" i="1"/>
  <c r="P26" i="1"/>
  <c r="F48" i="1"/>
  <c r="DI115" i="3"/>
  <c r="DF115" i="3"/>
  <c r="DJ115" i="3" s="1"/>
  <c r="DG115" i="3"/>
  <c r="DH115" i="3"/>
  <c r="CP28" i="1"/>
  <c r="O28" i="1" s="1"/>
  <c r="AD45" i="1"/>
  <c r="DF101" i="3"/>
  <c r="DG101" i="3"/>
  <c r="DJ101" i="3" s="1"/>
  <c r="DH101" i="3"/>
  <c r="DI101" i="3"/>
  <c r="CP31" i="1"/>
  <c r="O31" i="1" s="1"/>
  <c r="GM31" i="1" s="1"/>
  <c r="GO31" i="1" s="1"/>
  <c r="DU45" i="1"/>
  <c r="DH150" i="3"/>
  <c r="DF150" i="3"/>
  <c r="DG150" i="3"/>
  <c r="DI150" i="3"/>
  <c r="DJ150" i="3" s="1"/>
  <c r="AG26" i="1"/>
  <c r="T45" i="1"/>
  <c r="CJ77" i="1"/>
  <c r="BA110" i="1"/>
  <c r="EV26" i="1"/>
  <c r="P70" i="1"/>
  <c r="EV232" i="1"/>
  <c r="CP29" i="1"/>
  <c r="O29" i="1" s="1"/>
  <c r="CY82" i="1"/>
  <c r="CZ82" i="1"/>
  <c r="Y82" i="1"/>
  <c r="ED110" i="1" s="1"/>
  <c r="DX110" i="1"/>
  <c r="X82" i="1"/>
  <c r="AI26" i="1"/>
  <c r="V45" i="1"/>
  <c r="CP144" i="1"/>
  <c r="O144" i="1" s="1"/>
  <c r="AC157" i="1"/>
  <c r="CP92" i="1"/>
  <c r="O92" i="1" s="1"/>
  <c r="GM92" i="1" s="1"/>
  <c r="GO92" i="1" s="1"/>
  <c r="AH77" i="1"/>
  <c r="U110" i="1"/>
  <c r="DO26" i="1"/>
  <c r="P69" i="1"/>
  <c r="DO232" i="1"/>
  <c r="DF267" i="3"/>
  <c r="DG267" i="3"/>
  <c r="DJ267" i="3" s="1"/>
  <c r="DH267" i="3"/>
  <c r="DI267" i="3"/>
  <c r="DL157" i="1"/>
  <c r="DY142" i="1"/>
  <c r="DX157" i="1"/>
  <c r="DF262" i="3"/>
  <c r="DJ262" i="3" s="1"/>
  <c r="DG262" i="3"/>
  <c r="DI262" i="3"/>
  <c r="DH262" i="3"/>
  <c r="AL202" i="1"/>
  <c r="F221" i="1"/>
  <c r="AU189" i="1"/>
  <c r="AS189" i="1"/>
  <c r="F219" i="1"/>
  <c r="DF117" i="3"/>
  <c r="DG117" i="3"/>
  <c r="DH117" i="3"/>
  <c r="DI117" i="3"/>
  <c r="DJ117" i="3" s="1"/>
  <c r="DL26" i="1"/>
  <c r="P66" i="1"/>
  <c r="DF278" i="3"/>
  <c r="DG278" i="3"/>
  <c r="DJ278" i="3" s="1"/>
  <c r="DH278" i="3"/>
  <c r="DI278" i="3"/>
  <c r="AD142" i="1"/>
  <c r="Q157" i="1"/>
  <c r="DH259" i="3"/>
  <c r="DI259" i="3"/>
  <c r="DF259" i="3"/>
  <c r="DG259" i="3"/>
  <c r="DJ259" i="3" s="1"/>
  <c r="DI122" i="3"/>
  <c r="DG122" i="3"/>
  <c r="DH122" i="3"/>
  <c r="DF122" i="3"/>
  <c r="DJ122" i="3" s="1"/>
  <c r="DH54" i="3"/>
  <c r="DG54" i="3"/>
  <c r="DI54" i="3"/>
  <c r="DJ54" i="3" s="1"/>
  <c r="DF54" i="3"/>
  <c r="DF121" i="3"/>
  <c r="DJ121" i="3" s="1"/>
  <c r="DG121" i="3"/>
  <c r="DH121" i="3"/>
  <c r="DI121" i="3"/>
  <c r="DF5" i="3"/>
  <c r="DH5" i="3"/>
  <c r="DI5" i="3"/>
  <c r="DJ5" i="3" s="1"/>
  <c r="DG5" i="3"/>
  <c r="DF257" i="3"/>
  <c r="DG257" i="3"/>
  <c r="DH257" i="3"/>
  <c r="DI257" i="3"/>
  <c r="DJ257" i="3" s="1"/>
  <c r="GM39" i="1"/>
  <c r="GO39" i="1" s="1"/>
  <c r="CY29" i="1"/>
  <c r="CZ29" i="1"/>
  <c r="X29" i="1"/>
  <c r="EC45" i="1" s="1"/>
  <c r="Y29" i="1"/>
  <c r="ED45" i="1" s="1"/>
  <c r="DX45" i="1"/>
  <c r="AE45" i="1"/>
  <c r="EA26" i="1"/>
  <c r="DN45" i="1"/>
  <c r="GM35" i="1"/>
  <c r="GO35" i="1" s="1"/>
  <c r="CP99" i="1"/>
  <c r="O99" i="1" s="1"/>
  <c r="GA26" i="1"/>
  <c r="ER45" i="1"/>
  <c r="CY87" i="1"/>
  <c r="CZ87" i="1"/>
  <c r="Y87" i="1"/>
  <c r="AL110" i="1" s="1"/>
  <c r="X87" i="1"/>
  <c r="AK110" i="1" s="1"/>
  <c r="ET77" i="1"/>
  <c r="P123" i="1"/>
  <c r="AO77" i="1"/>
  <c r="F114" i="1"/>
  <c r="EK77" i="1"/>
  <c r="P127" i="1"/>
  <c r="GM145" i="1"/>
  <c r="DT157" i="1"/>
  <c r="X98" i="1"/>
  <c r="GM98" i="1" s="1"/>
  <c r="Y98" i="1"/>
  <c r="CZ98" i="1"/>
  <c r="CY98" i="1"/>
  <c r="CJ142" i="1"/>
  <c r="BA157" i="1"/>
  <c r="FY77" i="1"/>
  <c r="EP110" i="1"/>
  <c r="CG142" i="1"/>
  <c r="AX157" i="1"/>
  <c r="DF263" i="3"/>
  <c r="DJ263" i="3" s="1"/>
  <c r="DG263" i="3"/>
  <c r="DH263" i="3"/>
  <c r="DI263" i="3"/>
  <c r="CP192" i="1"/>
  <c r="O192" i="1" s="1"/>
  <c r="EC142" i="1" l="1"/>
  <c r="DP157" i="1"/>
  <c r="ED77" i="1"/>
  <c r="DQ110" i="1"/>
  <c r="AK189" i="1"/>
  <c r="X202" i="1"/>
  <c r="DM22" i="1"/>
  <c r="DM262" i="1"/>
  <c r="P254" i="1"/>
  <c r="AL77" i="1"/>
  <c r="Y110" i="1"/>
  <c r="X110" i="1"/>
  <c r="X232" i="1" s="1"/>
  <c r="AK77" i="1"/>
  <c r="CF157" i="1"/>
  <c r="AC142" i="1"/>
  <c r="CH157" i="1"/>
  <c r="CE157" i="1"/>
  <c r="P157" i="1"/>
  <c r="AP142" i="1"/>
  <c r="F166" i="1"/>
  <c r="W142" i="1"/>
  <c r="F181" i="1"/>
  <c r="ES77" i="1"/>
  <c r="P130" i="1"/>
  <c r="F212" i="1"/>
  <c r="AQ189" i="1"/>
  <c r="EU22" i="1"/>
  <c r="P248" i="1"/>
  <c r="EU262" i="1"/>
  <c r="DL77" i="1"/>
  <c r="P131" i="1"/>
  <c r="AD189" i="1"/>
  <c r="Q202" i="1"/>
  <c r="R142" i="1"/>
  <c r="F171" i="1"/>
  <c r="BA77" i="1"/>
  <c r="F130" i="1"/>
  <c r="DI110" i="1"/>
  <c r="DV77" i="1"/>
  <c r="AL26" i="1"/>
  <c r="Y45" i="1"/>
  <c r="AX77" i="1"/>
  <c r="F117" i="1"/>
  <c r="GM153" i="1"/>
  <c r="GO153" i="1" s="1"/>
  <c r="V189" i="1"/>
  <c r="F225" i="1"/>
  <c r="AF77" i="1"/>
  <c r="S110" i="1"/>
  <c r="DJ142" i="1"/>
  <c r="P171" i="1"/>
  <c r="CI142" i="1"/>
  <c r="AZ157" i="1"/>
  <c r="GM144" i="1"/>
  <c r="AB157" i="1"/>
  <c r="V26" i="1"/>
  <c r="F68" i="1"/>
  <c r="V232" i="1"/>
  <c r="DH110" i="1"/>
  <c r="DU77" i="1"/>
  <c r="FW110" i="1"/>
  <c r="AC189" i="1"/>
  <c r="P202" i="1"/>
  <c r="CE202" i="1"/>
  <c r="CF202" i="1"/>
  <c r="CH202" i="1"/>
  <c r="AO22" i="1"/>
  <c r="F236" i="1"/>
  <c r="AO262" i="1"/>
  <c r="EN202" i="1"/>
  <c r="FW189" i="1"/>
  <c r="AU22" i="1"/>
  <c r="F251" i="1"/>
  <c r="AU262" i="1"/>
  <c r="S26" i="1"/>
  <c r="F60" i="1"/>
  <c r="S189" i="1"/>
  <c r="F217" i="1"/>
  <c r="BD22" i="1"/>
  <c r="F257" i="1"/>
  <c r="BD262" i="1"/>
  <c r="DI142" i="1"/>
  <c r="P169" i="1"/>
  <c r="U26" i="1"/>
  <c r="F67" i="1"/>
  <c r="U232" i="1"/>
  <c r="DO142" i="1"/>
  <c r="P181" i="1"/>
  <c r="CG189" i="1"/>
  <c r="AX202" i="1"/>
  <c r="GO145" i="1"/>
  <c r="FU157" i="1" s="1"/>
  <c r="GM99" i="1"/>
  <c r="GO99" i="1" s="1"/>
  <c r="AD26" i="1"/>
  <c r="Q45" i="1"/>
  <c r="GM80" i="1"/>
  <c r="DT110" i="1"/>
  <c r="GM191" i="1"/>
  <c r="AB202" i="1"/>
  <c r="FZ189" i="1"/>
  <c r="EQ202" i="1"/>
  <c r="ES189" i="1"/>
  <c r="P222" i="1"/>
  <c r="EP189" i="1"/>
  <c r="P209" i="1"/>
  <c r="ET22" i="1"/>
  <c r="P245" i="1"/>
  <c r="ET262" i="1"/>
  <c r="F178" i="1"/>
  <c r="T142" i="1"/>
  <c r="EK22" i="1"/>
  <c r="P249" i="1"/>
  <c r="T16" i="2" s="1"/>
  <c r="EK262" i="1"/>
  <c r="FQ157" i="1"/>
  <c r="X26" i="1"/>
  <c r="F71" i="1"/>
  <c r="DK157" i="1"/>
  <c r="DX142" i="1"/>
  <c r="P178" i="1"/>
  <c r="DL142" i="1"/>
  <c r="T26" i="1"/>
  <c r="F66" i="1"/>
  <c r="T232" i="1"/>
  <c r="EP77" i="1"/>
  <c r="P117" i="1"/>
  <c r="DN26" i="1"/>
  <c r="P68" i="1"/>
  <c r="DN232" i="1"/>
  <c r="EC110" i="1"/>
  <c r="GM28" i="1"/>
  <c r="AB45" i="1"/>
  <c r="BY189" i="1"/>
  <c r="CI202" i="1"/>
  <c r="AP202" i="1"/>
  <c r="AQ232" i="1"/>
  <c r="DH189" i="1"/>
  <c r="P205" i="1"/>
  <c r="GM155" i="1"/>
  <c r="FS157" i="1" s="1"/>
  <c r="BA189" i="1"/>
  <c r="F222" i="1"/>
  <c r="GM149" i="1"/>
  <c r="GO149" i="1" s="1"/>
  <c r="W189" i="1"/>
  <c r="F226" i="1"/>
  <c r="GM82" i="1"/>
  <c r="DL189" i="1"/>
  <c r="P223" i="1"/>
  <c r="ER26" i="1"/>
  <c r="P56" i="1"/>
  <c r="DX77" i="1"/>
  <c r="DK110" i="1"/>
  <c r="T189" i="1"/>
  <c r="F223" i="1"/>
  <c r="EH189" i="1"/>
  <c r="P211" i="1"/>
  <c r="FX189" i="1"/>
  <c r="EO202" i="1"/>
  <c r="EG22" i="1"/>
  <c r="P236" i="1"/>
  <c r="EG262" i="1"/>
  <c r="EM22" i="1"/>
  <c r="P251" i="1"/>
  <c r="EM262" i="1"/>
  <c r="W77" i="1"/>
  <c r="F134" i="1"/>
  <c r="FQ110" i="1"/>
  <c r="FZ110" i="1" s="1"/>
  <c r="BC22" i="1"/>
  <c r="F248" i="1"/>
  <c r="BC262" i="1"/>
  <c r="P110" i="1"/>
  <c r="AC77" i="1"/>
  <c r="CE110" i="1"/>
  <c r="AX142" i="1"/>
  <c r="F164" i="1"/>
  <c r="BA142" i="1"/>
  <c r="F177" i="1"/>
  <c r="AE26" i="1"/>
  <c r="R45" i="1"/>
  <c r="AL189" i="1"/>
  <c r="Y202" i="1"/>
  <c r="DO22" i="1"/>
  <c r="P256" i="1"/>
  <c r="DO262" i="1"/>
  <c r="F174" i="1"/>
  <c r="AS142" i="1"/>
  <c r="ER202" i="1"/>
  <c r="GA189" i="1"/>
  <c r="DV189" i="1"/>
  <c r="DI202" i="1"/>
  <c r="AV26" i="1"/>
  <c r="F50" i="1"/>
  <c r="DX189" i="1"/>
  <c r="DK202" i="1"/>
  <c r="GM101" i="1"/>
  <c r="GO101" i="1" s="1"/>
  <c r="DM189" i="1"/>
  <c r="P224" i="1"/>
  <c r="EI22" i="1"/>
  <c r="P242" i="1"/>
  <c r="EI262" i="1"/>
  <c r="BA232" i="1"/>
  <c r="GM87" i="1"/>
  <c r="Q142" i="1"/>
  <c r="F169" i="1"/>
  <c r="DX26" i="1"/>
  <c r="DK45" i="1"/>
  <c r="DL232" i="1"/>
  <c r="AZ26" i="1"/>
  <c r="F56" i="1"/>
  <c r="FZ157" i="1"/>
  <c r="DH157" i="1"/>
  <c r="DU142" i="1"/>
  <c r="FW157" i="1"/>
  <c r="ED189" i="1"/>
  <c r="DQ202" i="1"/>
  <c r="DM142" i="1"/>
  <c r="P179" i="1"/>
  <c r="F180" i="1"/>
  <c r="V142" i="1"/>
  <c r="BY110" i="1"/>
  <c r="Q77" i="1"/>
  <c r="F122" i="1"/>
  <c r="DG157" i="1"/>
  <c r="DT142" i="1"/>
  <c r="ED26" i="1"/>
  <c r="DQ45" i="1"/>
  <c r="AS22" i="1"/>
  <c r="AS262" i="1"/>
  <c r="F249" i="1"/>
  <c r="E16" i="2" s="1"/>
  <c r="DW26" i="1"/>
  <c r="DJ45" i="1"/>
  <c r="DO77" i="1"/>
  <c r="P134" i="1"/>
  <c r="ES232" i="1"/>
  <c r="AX232" i="1"/>
  <c r="EP26" i="1"/>
  <c r="P52" i="1"/>
  <c r="EP232" i="1"/>
  <c r="EC189" i="1"/>
  <c r="DP202" i="1"/>
  <c r="P174" i="1"/>
  <c r="EK142" i="1"/>
  <c r="U189" i="1"/>
  <c r="F224" i="1"/>
  <c r="AB110" i="1"/>
  <c r="GM150" i="1"/>
  <c r="V77" i="1"/>
  <c r="F133" i="1"/>
  <c r="GM192" i="1"/>
  <c r="DT202" i="1"/>
  <c r="EC26" i="1"/>
  <c r="DP45" i="1"/>
  <c r="U77" i="1"/>
  <c r="F132" i="1"/>
  <c r="GM29" i="1"/>
  <c r="DT45" i="1"/>
  <c r="DU26" i="1"/>
  <c r="FZ45" i="1"/>
  <c r="DH45" i="1"/>
  <c r="FW45" i="1"/>
  <c r="FX45" i="1"/>
  <c r="AK142" i="1"/>
  <c r="X157" i="1"/>
  <c r="R202" i="1"/>
  <c r="AE189" i="1"/>
  <c r="Y142" i="1"/>
  <c r="F184" i="1"/>
  <c r="DW77" i="1"/>
  <c r="DJ110" i="1"/>
  <c r="GO79" i="1"/>
  <c r="GM193" i="1"/>
  <c r="DM77" i="1"/>
  <c r="P132" i="1"/>
  <c r="ED142" i="1"/>
  <c r="DQ157" i="1"/>
  <c r="EV22" i="1"/>
  <c r="P257" i="1"/>
  <c r="EV262" i="1"/>
  <c r="BB22" i="1"/>
  <c r="BB262" i="1"/>
  <c r="F245" i="1"/>
  <c r="DJ189" i="1"/>
  <c r="P216" i="1"/>
  <c r="AE77" i="1"/>
  <c r="R110" i="1"/>
  <c r="T77" i="1"/>
  <c r="F131" i="1"/>
  <c r="DI26" i="1"/>
  <c r="P57" i="1"/>
  <c r="DI232" i="1"/>
  <c r="W26" i="1"/>
  <c r="F69" i="1"/>
  <c r="W232" i="1"/>
  <c r="DN77" i="1"/>
  <c r="P133" i="1"/>
  <c r="X22" i="1" l="1"/>
  <c r="F258" i="1"/>
  <c r="X262" i="1"/>
  <c r="EJ157" i="1"/>
  <c r="FS142" i="1"/>
  <c r="FZ77" i="1"/>
  <c r="EQ110" i="1"/>
  <c r="FZ142" i="1"/>
  <c r="EQ157" i="1"/>
  <c r="DK142" i="1"/>
  <c r="P172" i="1"/>
  <c r="DN22" i="1"/>
  <c r="DN262" i="1"/>
  <c r="P255" i="1"/>
  <c r="BD18" i="1"/>
  <c r="F287" i="1"/>
  <c r="GO29" i="1"/>
  <c r="FU45" i="1" s="1"/>
  <c r="FS45" i="1"/>
  <c r="DJ26" i="1"/>
  <c r="P59" i="1"/>
  <c r="DJ232" i="1"/>
  <c r="EM18" i="1"/>
  <c r="P281" i="1"/>
  <c r="DK77" i="1"/>
  <c r="P125" i="1"/>
  <c r="EL157" i="1"/>
  <c r="FU142" i="1"/>
  <c r="AO18" i="1"/>
  <c r="F266" i="1"/>
  <c r="DH77" i="1"/>
  <c r="P113" i="1"/>
  <c r="FW77" i="1"/>
  <c r="EN110" i="1"/>
  <c r="W16" i="2"/>
  <c r="V22" i="1"/>
  <c r="F255" i="1"/>
  <c r="V262" i="1"/>
  <c r="Q189" i="1"/>
  <c r="F214" i="1"/>
  <c r="DT26" i="1"/>
  <c r="DG45" i="1"/>
  <c r="EN189" i="1"/>
  <c r="P207" i="1"/>
  <c r="GA157" i="1"/>
  <c r="FQ142" i="1"/>
  <c r="EH157" i="1"/>
  <c r="AX189" i="1"/>
  <c r="F209" i="1"/>
  <c r="DM18" i="1"/>
  <c r="P284" i="1"/>
  <c r="BY77" i="1"/>
  <c r="CI110" i="1"/>
  <c r="AP110" i="1"/>
  <c r="EV18" i="1"/>
  <c r="P287" i="1"/>
  <c r="DQ142" i="1"/>
  <c r="P184" i="1"/>
  <c r="R189" i="1"/>
  <c r="F216" i="1"/>
  <c r="DP26" i="1"/>
  <c r="P71" i="1"/>
  <c r="DP189" i="1"/>
  <c r="P228" i="1"/>
  <c r="AS18" i="1"/>
  <c r="F279" i="1"/>
  <c r="DK26" i="1"/>
  <c r="P60" i="1"/>
  <c r="DK232" i="1"/>
  <c r="DK189" i="1"/>
  <c r="P217" i="1"/>
  <c r="EG18" i="1"/>
  <c r="P266" i="1"/>
  <c r="EK18" i="1"/>
  <c r="P279" i="1"/>
  <c r="EQ189" i="1"/>
  <c r="P210" i="1"/>
  <c r="CH189" i="1"/>
  <c r="AY202" i="1"/>
  <c r="O110" i="1"/>
  <c r="AB77" i="1"/>
  <c r="S77" i="1"/>
  <c r="F125" i="1"/>
  <c r="X142" i="1"/>
  <c r="F183" i="1"/>
  <c r="P229" i="1"/>
  <c r="DQ189" i="1"/>
  <c r="F113" i="1"/>
  <c r="P77" i="1"/>
  <c r="P232" i="1"/>
  <c r="AQ22" i="1"/>
  <c r="AQ262" i="1"/>
  <c r="F242" i="1"/>
  <c r="T22" i="1"/>
  <c r="F253" i="1"/>
  <c r="T262" i="1"/>
  <c r="S232" i="1"/>
  <c r="CF189" i="1"/>
  <c r="AW202" i="1"/>
  <c r="AB142" i="1"/>
  <c r="O157" i="1"/>
  <c r="P142" i="1"/>
  <c r="F160" i="1"/>
  <c r="X189" i="1"/>
  <c r="F228" i="1"/>
  <c r="BB18" i="1"/>
  <c r="F275" i="1"/>
  <c r="ER189" i="1"/>
  <c r="P213" i="1"/>
  <c r="DI22" i="1"/>
  <c r="P244" i="1"/>
  <c r="DI262" i="1"/>
  <c r="DO18" i="1"/>
  <c r="P286" i="1"/>
  <c r="DT189" i="1"/>
  <c r="DG202" i="1"/>
  <c r="EP22" i="1"/>
  <c r="P239" i="1"/>
  <c r="EP262" i="1"/>
  <c r="DQ26" i="1"/>
  <c r="P72" i="1"/>
  <c r="DQ232" i="1"/>
  <c r="Y189" i="1"/>
  <c r="F229" i="1"/>
  <c r="CH110" i="1"/>
  <c r="AP189" i="1"/>
  <c r="F211" i="1"/>
  <c r="O202" i="1"/>
  <c r="AB189" i="1"/>
  <c r="AV202" i="1"/>
  <c r="CE189" i="1"/>
  <c r="GO144" i="1"/>
  <c r="CC157" i="1" s="1"/>
  <c r="CA157" i="1"/>
  <c r="Y26" i="1"/>
  <c r="F72" i="1"/>
  <c r="Y232" i="1"/>
  <c r="EU18" i="1"/>
  <c r="P278" i="1"/>
  <c r="CE142" i="1"/>
  <c r="AV157" i="1"/>
  <c r="DJ77" i="1"/>
  <c r="P124" i="1"/>
  <c r="CE77" i="1"/>
  <c r="AV110" i="1"/>
  <c r="F124" i="1"/>
  <c r="R77" i="1"/>
  <c r="FX26" i="1"/>
  <c r="EO45" i="1"/>
  <c r="FS202" i="1"/>
  <c r="GO192" i="1"/>
  <c r="FU202" i="1" s="1"/>
  <c r="EN157" i="1"/>
  <c r="FW142" i="1"/>
  <c r="BC18" i="1"/>
  <c r="F278" i="1"/>
  <c r="EO189" i="1"/>
  <c r="P208" i="1"/>
  <c r="CI189" i="1"/>
  <c r="AZ202" i="1"/>
  <c r="GO191" i="1"/>
  <c r="CC202" i="1" s="1"/>
  <c r="CA202" i="1"/>
  <c r="U22" i="1"/>
  <c r="U262" i="1"/>
  <c r="F254" i="1"/>
  <c r="F205" i="1"/>
  <c r="P189" i="1"/>
  <c r="F168" i="1"/>
  <c r="AZ142" i="1"/>
  <c r="CH142" i="1"/>
  <c r="AY157" i="1"/>
  <c r="DQ77" i="1"/>
  <c r="P137" i="1"/>
  <c r="X77" i="1"/>
  <c r="F136" i="1"/>
  <c r="DL22" i="1"/>
  <c r="DL262" i="1"/>
  <c r="P253" i="1"/>
  <c r="FW26" i="1"/>
  <c r="EN45" i="1"/>
  <c r="FX157" i="1"/>
  <c r="R26" i="1"/>
  <c r="F59" i="1"/>
  <c r="R232" i="1"/>
  <c r="DG110" i="1"/>
  <c r="DT77" i="1"/>
  <c r="AU18" i="1"/>
  <c r="F281" i="1"/>
  <c r="EC77" i="1"/>
  <c r="DP110" i="1"/>
  <c r="Y77" i="1"/>
  <c r="F137" i="1"/>
  <c r="CF110" i="1"/>
  <c r="CA110" i="1"/>
  <c r="DH26" i="1"/>
  <c r="P48" i="1"/>
  <c r="DH232" i="1"/>
  <c r="AX22" i="1"/>
  <c r="AX262" i="1"/>
  <c r="F239" i="1"/>
  <c r="DG142" i="1"/>
  <c r="P159" i="1"/>
  <c r="BA22" i="1"/>
  <c r="F252" i="1"/>
  <c r="BA262" i="1"/>
  <c r="P214" i="1"/>
  <c r="DI189" i="1"/>
  <c r="AB26" i="1"/>
  <c r="O45" i="1"/>
  <c r="ET18" i="1"/>
  <c r="P275" i="1"/>
  <c r="GO80" i="1"/>
  <c r="FU110" i="1" s="1"/>
  <c r="FS110" i="1"/>
  <c r="H16" i="2"/>
  <c r="DI77" i="1"/>
  <c r="P122" i="1"/>
  <c r="CF142" i="1"/>
  <c r="AW157" i="1"/>
  <c r="DP142" i="1"/>
  <c r="P183" i="1"/>
  <c r="W22" i="1"/>
  <c r="W262" i="1"/>
  <c r="F256" i="1"/>
  <c r="CC110" i="1"/>
  <c r="FZ26" i="1"/>
  <c r="EQ45" i="1"/>
  <c r="ES22" i="1"/>
  <c r="ES262" i="1"/>
  <c r="P252" i="1"/>
  <c r="DH142" i="1"/>
  <c r="P160" i="1"/>
  <c r="EI18" i="1"/>
  <c r="P272" i="1"/>
  <c r="FQ77" i="1"/>
  <c r="EH110" i="1"/>
  <c r="GA110" i="1"/>
  <c r="GO28" i="1"/>
  <c r="CC45" i="1" s="1"/>
  <c r="CA45" i="1"/>
  <c r="Q26" i="1"/>
  <c r="F57" i="1"/>
  <c r="Q232" i="1"/>
  <c r="FX110" i="1"/>
  <c r="DP77" i="1" l="1"/>
  <c r="P136" i="1"/>
  <c r="ES18" i="1"/>
  <c r="P282" i="1"/>
  <c r="EN26" i="1"/>
  <c r="P50" i="1"/>
  <c r="EN232" i="1"/>
  <c r="AV189" i="1"/>
  <c r="F207" i="1"/>
  <c r="O189" i="1"/>
  <c r="F204" i="1"/>
  <c r="EH142" i="1"/>
  <c r="P166" i="1"/>
  <c r="DL18" i="1"/>
  <c r="P283" i="1"/>
  <c r="AQ18" i="1"/>
  <c r="F272" i="1"/>
  <c r="DK22" i="1"/>
  <c r="P247" i="1"/>
  <c r="Y16" i="2" s="1"/>
  <c r="DK262" i="1"/>
  <c r="EN77" i="1"/>
  <c r="P115" i="1"/>
  <c r="DJ22" i="1"/>
  <c r="DJ262" i="1"/>
  <c r="P246" i="1"/>
  <c r="EQ142" i="1"/>
  <c r="P165" i="1"/>
  <c r="DG189" i="1"/>
  <c r="P204" i="1"/>
  <c r="GA77" i="1"/>
  <c r="ER110" i="1"/>
  <c r="FS189" i="1"/>
  <c r="EJ202" i="1"/>
  <c r="CH77" i="1"/>
  <c r="AY110" i="1"/>
  <c r="O142" i="1"/>
  <c r="F159" i="1"/>
  <c r="P22" i="1"/>
  <c r="F235" i="1"/>
  <c r="P262" i="1"/>
  <c r="AY189" i="1"/>
  <c r="F210" i="1"/>
  <c r="EQ77" i="1"/>
  <c r="P118" i="1"/>
  <c r="EQ26" i="1"/>
  <c r="P53" i="1"/>
  <c r="EQ232" i="1"/>
  <c r="EN142" i="1"/>
  <c r="P162" i="1"/>
  <c r="FU189" i="1"/>
  <c r="EL202" i="1"/>
  <c r="GA142" i="1"/>
  <c r="ER157" i="1"/>
  <c r="W18" i="1"/>
  <c r="F286" i="1"/>
  <c r="AR202" i="1"/>
  <c r="CA189" i="1"/>
  <c r="EO26" i="1"/>
  <c r="P51" i="1"/>
  <c r="EO232" i="1"/>
  <c r="Y22" i="1"/>
  <c r="F259" i="1"/>
  <c r="Y262" i="1"/>
  <c r="DI18" i="1"/>
  <c r="P274" i="1"/>
  <c r="FS26" i="1"/>
  <c r="EJ45" i="1"/>
  <c r="AV142" i="1"/>
  <c r="F162" i="1"/>
  <c r="FU77" i="1"/>
  <c r="EL110" i="1"/>
  <c r="U18" i="1"/>
  <c r="F284" i="1"/>
  <c r="O77" i="1"/>
  <c r="F112" i="1"/>
  <c r="O26" i="1"/>
  <c r="F47" i="1"/>
  <c r="O232" i="1"/>
  <c r="CC189" i="1"/>
  <c r="AT202" i="1"/>
  <c r="F208" i="1"/>
  <c r="AW189" i="1"/>
  <c r="F119" i="1"/>
  <c r="AP77" i="1"/>
  <c r="AP232" i="1"/>
  <c r="DG26" i="1"/>
  <c r="P47" i="1"/>
  <c r="DG232" i="1"/>
  <c r="FU26" i="1"/>
  <c r="EL45" i="1"/>
  <c r="CC77" i="1"/>
  <c r="AT110" i="1"/>
  <c r="P119" i="1"/>
  <c r="EH77" i="1"/>
  <c r="EH232" i="1"/>
  <c r="AX18" i="1"/>
  <c r="F269" i="1"/>
  <c r="DH22" i="1"/>
  <c r="P235" i="1"/>
  <c r="DH262" i="1"/>
  <c r="DG77" i="1"/>
  <c r="P112" i="1"/>
  <c r="R22" i="1"/>
  <c r="R262" i="1"/>
  <c r="F246" i="1"/>
  <c r="F213" i="1"/>
  <c r="AZ189" i="1"/>
  <c r="DQ22" i="1"/>
  <c r="P259" i="1"/>
  <c r="DQ262" i="1"/>
  <c r="CI77" i="1"/>
  <c r="AZ110" i="1"/>
  <c r="P185" i="1"/>
  <c r="EJ142" i="1"/>
  <c r="FS77" i="1"/>
  <c r="EJ110" i="1"/>
  <c r="AY142" i="1"/>
  <c r="F165" i="1"/>
  <c r="X18" i="1"/>
  <c r="F288" i="1"/>
  <c r="FX77" i="1"/>
  <c r="EO110" i="1"/>
  <c r="AW142" i="1"/>
  <c r="F163" i="1"/>
  <c r="CC142" i="1"/>
  <c r="AT157" i="1"/>
  <c r="DP232" i="1"/>
  <c r="EL142" i="1"/>
  <c r="P175" i="1"/>
  <c r="AR45" i="1"/>
  <c r="CA26" i="1"/>
  <c r="CC26" i="1"/>
  <c r="AT45" i="1"/>
  <c r="CA142" i="1"/>
  <c r="AR157" i="1"/>
  <c r="S22" i="1"/>
  <c r="F247" i="1"/>
  <c r="S262" i="1"/>
  <c r="CA77" i="1"/>
  <c r="AR110" i="1"/>
  <c r="AV77" i="1"/>
  <c r="F115" i="1"/>
  <c r="AV232" i="1"/>
  <c r="Q22" i="1"/>
  <c r="Q262" i="1"/>
  <c r="F244" i="1"/>
  <c r="BA18" i="1"/>
  <c r="F282" i="1"/>
  <c r="CF77" i="1"/>
  <c r="AW110" i="1"/>
  <c r="FX142" i="1"/>
  <c r="EO157" i="1"/>
  <c r="EP18" i="1"/>
  <c r="P269" i="1"/>
  <c r="T18" i="1"/>
  <c r="F283" i="1"/>
  <c r="V18" i="1"/>
  <c r="F285" i="1"/>
  <c r="DN18" i="1"/>
  <c r="P285" i="1"/>
  <c r="EH22" i="1" l="1"/>
  <c r="EH262" i="1"/>
  <c r="P241" i="1"/>
  <c r="V16" i="2" s="1"/>
  <c r="EL77" i="1"/>
  <c r="P128" i="1"/>
  <c r="EJ189" i="1"/>
  <c r="P230" i="1"/>
  <c r="EJ77" i="1"/>
  <c r="P138" i="1"/>
  <c r="F220" i="1"/>
  <c r="AT189" i="1"/>
  <c r="AR189" i="1"/>
  <c r="F230" i="1"/>
  <c r="DK18" i="1"/>
  <c r="P277" i="1"/>
  <c r="EO22" i="1"/>
  <c r="EO262" i="1"/>
  <c r="P238" i="1"/>
  <c r="AR26" i="1"/>
  <c r="F73" i="1"/>
  <c r="AR232" i="1"/>
  <c r="EN22" i="1"/>
  <c r="EN262" i="1"/>
  <c r="P237" i="1"/>
  <c r="EQ22" i="1"/>
  <c r="EQ262" i="1"/>
  <c r="P240" i="1"/>
  <c r="EO142" i="1"/>
  <c r="P163" i="1"/>
  <c r="AW77" i="1"/>
  <c r="F116" i="1"/>
  <c r="AW232" i="1"/>
  <c r="AT142" i="1"/>
  <c r="F175" i="1"/>
  <c r="EL26" i="1"/>
  <c r="P63" i="1"/>
  <c r="EL232" i="1"/>
  <c r="O22" i="1"/>
  <c r="O262" i="1"/>
  <c r="F234" i="1"/>
  <c r="DJ18" i="1"/>
  <c r="P276" i="1"/>
  <c r="AY77" i="1"/>
  <c r="F118" i="1"/>
  <c r="AY232" i="1"/>
  <c r="ER77" i="1"/>
  <c r="P121" i="1"/>
  <c r="ER232" i="1"/>
  <c r="S18" i="1"/>
  <c r="F277" i="1"/>
  <c r="J16" i="2"/>
  <c r="P168" i="1"/>
  <c r="ER142" i="1"/>
  <c r="AT77" i="1"/>
  <c r="F128" i="1"/>
  <c r="DG22" i="1"/>
  <c r="DG262" i="1"/>
  <c r="P234" i="1"/>
  <c r="P18" i="1"/>
  <c r="F265" i="1"/>
  <c r="AR77" i="1"/>
  <c r="F138" i="1"/>
  <c r="EJ26" i="1"/>
  <c r="P73" i="1"/>
  <c r="EJ232" i="1"/>
  <c r="AZ77" i="1"/>
  <c r="F121" i="1"/>
  <c r="AZ232" i="1"/>
  <c r="Y18" i="1"/>
  <c r="F289" i="1"/>
  <c r="EL189" i="1"/>
  <c r="P220" i="1"/>
  <c r="R18" i="1"/>
  <c r="F276" i="1"/>
  <c r="F185" i="1"/>
  <c r="AR142" i="1"/>
  <c r="EO77" i="1"/>
  <c r="P116" i="1"/>
  <c r="DQ18" i="1"/>
  <c r="P289" i="1"/>
  <c r="AV22" i="1"/>
  <c r="AV262" i="1"/>
  <c r="F237" i="1"/>
  <c r="DP22" i="1"/>
  <c r="DP262" i="1"/>
  <c r="P258" i="1"/>
  <c r="DH18" i="1"/>
  <c r="P265" i="1"/>
  <c r="Q18" i="1"/>
  <c r="F274" i="1"/>
  <c r="AT26" i="1"/>
  <c r="F63" i="1"/>
  <c r="AT232" i="1"/>
  <c r="AP22" i="1"/>
  <c r="AP262" i="1"/>
  <c r="F241" i="1"/>
  <c r="G16" i="2" s="1"/>
  <c r="DP18" i="1" l="1"/>
  <c r="P288" i="1"/>
  <c r="ER22" i="1"/>
  <c r="P243" i="1"/>
  <c r="ER262" i="1"/>
  <c r="AP18" i="1"/>
  <c r="F271" i="1"/>
  <c r="EN18" i="1"/>
  <c r="P267" i="1"/>
  <c r="AT22" i="1"/>
  <c r="AT262" i="1"/>
  <c r="F250" i="1"/>
  <c r="F16" i="2" s="1"/>
  <c r="I16" i="2" s="1"/>
  <c r="N16" i="2" s="1"/>
  <c r="DG18" i="1"/>
  <c r="P264" i="1"/>
  <c r="AZ22" i="1"/>
  <c r="AZ262" i="1"/>
  <c r="F243" i="1"/>
  <c r="AW22" i="1"/>
  <c r="AW262" i="1"/>
  <c r="F238" i="1"/>
  <c r="AV18" i="1"/>
  <c r="F267" i="1"/>
  <c r="EJ22" i="1"/>
  <c r="EJ262" i="1"/>
  <c r="P260" i="1"/>
  <c r="EO18" i="1"/>
  <c r="P268" i="1"/>
  <c r="EL22" i="1"/>
  <c r="P250" i="1"/>
  <c r="U16" i="2" s="1"/>
  <c r="X16" i="2" s="1"/>
  <c r="AC16" i="2" s="1"/>
  <c r="EL262" i="1"/>
  <c r="AY22" i="1"/>
  <c r="F240" i="1"/>
  <c r="AY262" i="1"/>
  <c r="O18" i="1"/>
  <c r="F264" i="1"/>
  <c r="AR22" i="1"/>
  <c r="F260" i="1"/>
  <c r="AR262" i="1"/>
  <c r="EQ18" i="1"/>
  <c r="P270" i="1"/>
  <c r="EH18" i="1"/>
  <c r="P271" i="1"/>
  <c r="AR18" i="1" l="1"/>
  <c r="F290" i="1"/>
  <c r="AW18" i="1"/>
  <c r="F268" i="1"/>
  <c r="EJ18" i="1"/>
  <c r="P290" i="1"/>
  <c r="EL18" i="1"/>
  <c r="P280" i="1"/>
  <c r="ER18" i="1"/>
  <c r="P273" i="1"/>
  <c r="AZ18" i="1"/>
  <c r="F273" i="1"/>
  <c r="AT18" i="1"/>
  <c r="F280" i="1"/>
  <c r="AY18" i="1"/>
  <c r="F270" i="1"/>
</calcChain>
</file>

<file path=xl/sharedStrings.xml><?xml version="1.0" encoding="utf-8"?>
<sst xmlns="http://schemas.openxmlformats.org/spreadsheetml/2006/main" count="11121" uniqueCount="485">
  <si>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</si>
  <si>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</si>
  <si>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</si>
  <si>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</si>
  <si>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</si>
  <si>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02-01-14</t>
  </si>
  <si>
    <t>02-01-14 СОТ 20.07</t>
  </si>
  <si>
    <t>2024-00375-00-ИОС5.7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</si>
  <si>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</si>
  <si>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</si>
  <si>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</si>
  <si>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</si>
  <si>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</si>
  <si>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</si>
  <si>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</si>
  <si>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</si>
  <si>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</si>
  <si>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</si>
  <si>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</si>
  <si>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</si>
  <si>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охранного телевидения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</si>
  <si>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</si>
  <si>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</si>
  <si>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</si>
  <si>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4.10-34-5</t>
  </si>
  <si>
    <t>Монтаж коммутатора служебной связи / демонтаж Управляемого коммутатора</t>
  </si>
  <si>
    <t>1  ШТ.</t>
  </si>
  <si>
    <t>ТСН-2001.4 Доп. 80, Сб. 10, т. 34,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</si>
  <si>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</si>
  <si>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</si>
  <si>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</si>
  <si>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</si>
  <si>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</si>
  <si>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</si>
  <si>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</si>
  <si>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4.10-72-14</t>
  </si>
  <si>
    <t>Монтаж устройства цифровой регистрации / демонтаж сервера объектового контроля</t>
  </si>
  <si>
    <t>1 устройство</t>
  </si>
  <si>
    <t>ТСН-2001.4 Доп. 67, Сб. 10, т. 72, поз. 14</t>
  </si>
  <si>
    <t>ТСН-2001.4-10. Монтаж радиотелевизионного и электронного оборудования</t>
  </si>
  <si>
    <t>ТСН-2001.4-10-2</t>
  </si>
  <si>
    <t>3</t>
  </si>
  <si>
    <t>Монтаж устройства цифровой регистрации / демонтаж специализированной рабочей станции</t>
  </si>
  <si>
    <t>4</t>
  </si>
  <si>
    <t>4.10-75-6</t>
  </si>
  <si>
    <t>Монтаж аппаратуры настольной массой до 20 кг / демонтаж монитора</t>
  </si>
  <si>
    <t>ТСН-2001.4 Доп. 79, Сб. 10, т. 75, поз. 6</t>
  </si>
  <si>
    <t>5</t>
  </si>
  <si>
    <t>4.10-21-5</t>
  </si>
  <si>
    <t>Грозозащита для воздушных абонентских линий / демонтаж грозозащиты локальной вычислительной сети</t>
  </si>
  <si>
    <t>1 комплект</t>
  </si>
  <si>
    <t>ТСН-2001.4 Доп. 79, Сб. 10, т. 21, поз. 5</t>
  </si>
  <si>
    <t>6</t>
  </si>
  <si>
    <t>Грозозащита для воздушных абонентских линий / демонтаж уличной грозозащиты локальной вычислительной сети</t>
  </si>
  <si>
    <t>7</t>
  </si>
  <si>
    <t>4.10-174-1</t>
  </si>
  <si>
    <t>Монтаж внутренней камеры видеонаблюдения / демонтаж видеокамер</t>
  </si>
  <si>
    <t>10 шт.</t>
  </si>
  <si>
    <t>ТСН-2001.4 Доп. 68, Сб. 10, т. 174, поз. 1</t>
  </si>
  <si>
    <t>8</t>
  </si>
  <si>
    <t>4.10-174-2</t>
  </si>
  <si>
    <t>Монтаж наружной камеры видеонаблюдения / демонтаж видеокамер</t>
  </si>
  <si>
    <t>ТСН-2001.4 Доп. 68, Сб. 10, т. 174, поз. 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</si>
  <si>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</si>
  <si>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</si>
  <si>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</si>
  <si>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</si>
  <si>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</si>
  <si>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</si>
  <si>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</si>
  <si>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</si>
  <si>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</si>
  <si>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</si>
  <si>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</si>
  <si>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</si>
  <si>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</si>
  <si>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</si>
  <si>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</si>
  <si>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</si>
  <si>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</si>
  <si>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</si>
  <si>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</si>
  <si>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</si>
  <si>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</si>
  <si>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</si>
  <si>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</si>
  <si>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</si>
  <si>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</si>
  <si>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</si>
  <si>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</si>
  <si>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</si>
  <si>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</si>
  <si>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</si>
  <si>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</si>
  <si>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</si>
  <si>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</si>
  <si>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</si>
  <si>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</si>
  <si>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</si>
  <si>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</si>
  <si>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</si>
  <si>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</si>
  <si>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</si>
  <si>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</si>
  <si>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</si>
  <si>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</si>
  <si>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</si>
  <si>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</si>
  <si>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</si>
  <si>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</si>
  <si>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</si>
  <si>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</si>
  <si>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</si>
  <si>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</si>
  <si>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</si>
  <si>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</si>
  <si>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</si>
  <si>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Сетевые приборы СОТ</t>
  </si>
  <si>
    <t>9</t>
  </si>
  <si>
    <t>Монтаж коммутатора служебной связи</t>
  </si>
  <si>
    <t>*1</t>
  </si>
  <si>
    <t>*1,2</t>
  </si>
  <si>
    <t>Поправка: Гл.12.Прил.8.п.8. 3_12.00.01.11.001</t>
  </si>
  <si>
    <t>9,1</t>
  </si>
  <si>
    <t>КА, п.1</t>
  </si>
  <si>
    <t>Управляемый коммутатор уровня L3:48х10/100/1000BASE-T (RJ-45) PoE/PoE+; 4х10G BASE-X(SFP) MES2348P</t>
  </si>
  <si>
    <t>ШТ</t>
  </si>
  <si>
    <t>Оборудование, отсутствующие в СНБ</t>
  </si>
  <si>
    <t>Оборуд. КА</t>
  </si>
  <si>
    <t>[448 348 / 1,22 /  7,57] +  3% Трансп +  1,2% Заг.скл</t>
  </si>
  <si>
    <t>1,2</t>
  </si>
  <si>
    <t>4.10-35-2</t>
  </si>
  <si>
    <t>Электрическая проверка и настройка коммутатора всех назначений, кроме междугородного</t>
  </si>
  <si>
    <t>1 рабочее место</t>
  </si>
  <si>
    <t>ТСН-2001.4 Доп. 67, Сб. 10, т. 35, поз. 2</t>
  </si>
  <si>
    <t>ТСН-2001.4-10-5</t>
  </si>
  <si>
    <t>10</t>
  </si>
  <si>
    <t>Монтаж устройства цифровой регистрации</t>
  </si>
  <si>
    <t>11</t>
  </si>
  <si>
    <t>КА, п.2</t>
  </si>
  <si>
    <t>[4 120 222 / 1,22 /  7,57] +  3% Трансп +  1,2% Заг.скл</t>
  </si>
  <si>
    <t>13.1-2-668</t>
  </si>
  <si>
    <t>КОМПЛЕКТ</t>
  </si>
  <si>
    <t>ТСН-2001.13-2. Доп. 47, Р. 1, о. 2, поз. 668</t>
  </si>
  <si>
    <t>Сметная стоимость оборудования</t>
  </si>
  <si>
    <t>ТСН-2001.13. Сметная стоимость оборудования</t>
  </si>
  <si>
    <t>ТСН-2001.13</t>
  </si>
  <si>
    <t>12</t>
  </si>
  <si>
    <t>12,1</t>
  </si>
  <si>
    <t>КА, п.3</t>
  </si>
  <si>
    <t>Управляемый коммутатор уровня L3: 8х10/100/1000BASET  (RJ-45) PoE/PoE+, 2х10/100/1000BASE-T (RJ-45),  2х1000BASE-X (SFP), RS-232/RJ-45 MES2308P</t>
  </si>
  <si>
    <t>[212 043 / 1,22 /  7,57] +  3% Трансп +  1,2% Заг.скл</t>
  </si>
  <si>
    <t>13</t>
  </si>
  <si>
    <t>13,1</t>
  </si>
  <si>
    <t>КА, п.4</t>
  </si>
  <si>
    <t>Управляемый коммутатор уровня L3:24х10/100/1000BASE-T (RJ-45) PoE/PoE+; 4х10G BASE-X(SFP) MES2324P</t>
  </si>
  <si>
    <t>[187 408 / 1,22 /  7,57] +  3% Трансп +  1,2% Заг.скл</t>
  </si>
  <si>
    <t>14</t>
  </si>
  <si>
    <t>15</t>
  </si>
  <si>
    <t>КА, п.5</t>
  </si>
  <si>
    <t>Специализированная рабочая станция для отображения  камер высокого разрешения. Подключение до 2-х мониторов  (DP+HDMI). Настольное исполнение. Потребляемая  мощность300Вт.В комплекте поставки: клавиатура +  оптический манипулятор ("мышь") SecurOS-IVS-WSN</t>
  </si>
  <si>
    <t>[220 000 / 1,22 /  7,57] +  3% Трансп +  1,2% Заг.скл</t>
  </si>
  <si>
    <t>16</t>
  </si>
  <si>
    <t>Монтаж аппаратуры настольной массой до 20 кг</t>
  </si>
  <si>
    <t>16,1</t>
  </si>
  <si>
    <t>КА, п.6</t>
  </si>
  <si>
    <t>Монитор 31.5", белый, экран: 32 ", 3840x2160, 16:9, IPS, 60 Гц, 350 NOBLEVIEW INW32UIDL IRBIS</t>
  </si>
  <si>
    <t>[31 600 / 1,22 /  7,57] +  3% Трансп +  1,2% Заг.скл</t>
  </si>
  <si>
    <t>Разное</t>
  </si>
  <si>
    <t>17</t>
  </si>
  <si>
    <t>4.11-12-1</t>
  </si>
  <si>
    <t>Установка съемных и выдвижных блоков (модулей, ячеек, ТЭЗ) массой до 5 кг</t>
  </si>
  <si>
    <t>ТСН-2001.4 Доп. 68, Сб. 11, т. 12, поз. 1</t>
  </si>
  <si>
    <t>ТСН-2001.4-11. Приборы и средства автоматизации и вычислительной техники</t>
  </si>
  <si>
    <t>ТСН-2001.4-11-1</t>
  </si>
  <si>
    <t>18</t>
  </si>
  <si>
    <t>КА, п.7</t>
  </si>
  <si>
    <t>1U устройство грозозащиты для локальной вычислительной сети SP-IP24/1000PR</t>
  </si>
  <si>
    <t>[76 294,02 / 1,22 /  7,57] +  3% Трансп +  1,2% Заг.скл</t>
  </si>
  <si>
    <t>Грозозащита для воздушных абонентских линий</t>
  </si>
  <si>
    <t>19</t>
  </si>
  <si>
    <t>19,1</t>
  </si>
  <si>
    <t>КА, п.8</t>
  </si>
  <si>
    <t>Уличное устройство грозозащиты для локальной вычислительной сети SP-IP/1000PW (ver.2)</t>
  </si>
  <si>
    <t>[5 757 / 1,22 /  7,57] +  3% Трансп +  1,2% Заг.скл</t>
  </si>
  <si>
    <t>Видеокамеры</t>
  </si>
  <si>
    <t>20</t>
  </si>
  <si>
    <t>Монтаж внутренней камеры видеонаблюдения</t>
  </si>
  <si>
    <t>20,1</t>
  </si>
  <si>
    <t>КА, п.9</t>
  </si>
  <si>
    <t>Мп купольная IP-видеокамера с моторизованным объективом SV2010DBZ</t>
  </si>
  <si>
    <t>[31 900 / 1,22 /  7,57] +  3% Трансп +  1,2% Заг.скл</t>
  </si>
  <si>
    <t>21</t>
  </si>
  <si>
    <t>Монтаж наружной камеры видеонаблюдения</t>
  </si>
  <si>
    <t>22</t>
  </si>
  <si>
    <t>КА, п.10</t>
  </si>
  <si>
    <t>Мп IP-видеокамера с моторизованным объективом уличного исполнения SV2018RZ</t>
  </si>
  <si>
    <t>[33 900 / 1,22 /  7,57] +  3% Трансп +  1,2% Заг.скл</t>
  </si>
  <si>
    <t>23</t>
  </si>
  <si>
    <t>КА, п.11</t>
  </si>
  <si>
    <t>Купольная антивандальная IP-камера с максимальным разрешением 4 Мп и моторизированным объективом 2.7-12мм RVI-CFG72/R (2.7-12мм)</t>
  </si>
  <si>
    <t>[54 650 / 1,22 /  7,57]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</si>
  <si>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</si>
  <si>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</si>
  <si>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</si>
  <si>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</si>
  <si>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</si>
  <si>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</si>
  <si>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</si>
  <si>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</si>
  <si>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</si>
  <si>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</si>
  <si>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</si>
  <si>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</si>
  <si>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</si>
  <si>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0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</si>
  <si>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</si>
  <si>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</si>
  <si>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</si>
  <si>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</si>
  <si>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</si>
  <si>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</si>
  <si>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</si>
  <si>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</si>
  <si>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2.1-4-12</t>
  </si>
  <si>
    <t>ТСН-2001.2. Доп. 68. п.1-4-12 (040205)</t>
  </si>
  <si>
    <t>Автопогрузчики вилочные, грузоподъемность до 5 т</t>
  </si>
  <si>
    <t>маш.-ч</t>
  </si>
  <si>
    <t>9999990009</t>
  </si>
  <si>
    <t>1.1-1-3607</t>
  </si>
  <si>
    <t>ТСН-2001.1 Доп. 79, Р. 1, о. 1, поз. 3607</t>
  </si>
  <si>
    <t>Шурупы с полукруглой головкой, диаметр 4 мм, длина 40 мм</t>
  </si>
  <si>
    <t>т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</si>
  <si>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</si>
  <si>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</si>
  <si>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</si>
  <si>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</si>
  <si>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</si>
  <si>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</si>
  <si>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1.1-2-63</t>
  </si>
  <si>
    <t>ТСН-2001.1. Доп. 1-42. Р. 1, о. 2, поз. 63</t>
  </si>
  <si>
    <t>Нитки суровые</t>
  </si>
  <si>
    <t>г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</si>
  <si>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</si>
  <si>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</si>
  <si>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</si>
  <si>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</si>
  <si>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9999990002</t>
  </si>
  <si>
    <t>Масса оборудования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</si>
  <si>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</si>
  <si>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</si>
  <si>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</si>
  <si>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кг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</si>
  <si>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</si>
  <si>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</si>
  <si>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</si>
  <si>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</si>
  <si>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1.1-1-1079</t>
  </si>
  <si>
    <t>ТСН-2001.1 Доп. 79, Р. 1, о. 1, поз. 1079</t>
  </si>
  <si>
    <t>Лист стальной, оцинкованный, толщина 0,5 мм</t>
  </si>
  <si>
    <t>1.1-1-146</t>
  </si>
  <si>
    <t>ТСН-2001.1 Доп. 79, Р. 1, о. 1, поз. 146</t>
  </si>
  <si>
    <t>Гипс строительный</t>
  </si>
  <si>
    <t>1.1-1-1600</t>
  </si>
  <si>
    <t>ТСН-2001.1 Доп. 73, Р. 1, о. 1, поз. 1600</t>
  </si>
  <si>
    <t>Лента полиэтиленовая с липким слоем, ширина 30 мм</t>
  </si>
  <si>
    <t>м</t>
  </si>
  <si>
    <t>1.1-1-207</t>
  </si>
  <si>
    <t>ТСН-2001.1 Доп. 79, Р. 1, о. 1, поз. 207</t>
  </si>
  <si>
    <t>Пиломатериал (доска) необрезной хвойных пород естественной влажности, сорт III, толщина 50 мм, ширина от 100 до 200 мм</t>
  </si>
  <si>
    <t>м3</t>
  </si>
  <si>
    <t>1.1-1-2911</t>
  </si>
  <si>
    <t>ТСН-2001.1 Доп. 67, Р. 1, о. 1, поз. 2911</t>
  </si>
  <si>
    <t>Лак электроизоляционный меламиноалкидный, типа МЛ-92</t>
  </si>
  <si>
    <t>1.1-1-330</t>
  </si>
  <si>
    <t>ТСН-2001.1 Доп. 79, Р. 1, о. 1, поз. 330</t>
  </si>
  <si>
    <t>Канифоль</t>
  </si>
  <si>
    <t>1.1-1-8007</t>
  </si>
  <si>
    <t>ТСН-2001.1 Доп. 80, Р. 1, о. 1, поз. 8007</t>
  </si>
  <si>
    <t>Дюбель пластмассовый с шурупом, диаметр 12 мм, длина 70 мм, диаметр шурупа 8 мм, длина шурупа 70 мм</t>
  </si>
  <si>
    <t>100 шт.</t>
  </si>
  <si>
    <t>1.1-1-962</t>
  </si>
  <si>
    <t>ТСН-2001.1 Доп. 79, Р. 1, о. 1, поз. 962</t>
  </si>
  <si>
    <t>Проволока стальная низкоуглеродистая общего назначения, диаметр 1,1 мм</t>
  </si>
  <si>
    <t>1.21-5-1141</t>
  </si>
  <si>
    <t>ТСН-2001.1 Доп. 67, Р. 21, о. 5, поз. 1141</t>
  </si>
  <si>
    <t>Трубка (кембрик) изоляционная из ПВХ пластиката, диаметр 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</si>
  <si>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</si>
  <si>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</si>
  <si>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</si>
  <si>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1.21-5-194</t>
  </si>
  <si>
    <t>ТСН-2001.1 Доп. 73, Р. 21, о. 5, поз. 194</t>
  </si>
  <si>
    <t>Коробка для установки выключателей, переключателей, штепсельных розеток в сборных гипсовых перегородках</t>
  </si>
  <si>
    <t>шт.</t>
  </si>
  <si>
    <t>2.1-18-7</t>
  </si>
  <si>
    <t>ТСН-2001.2. Доп. 68. п.1-18-7 (183001)</t>
  </si>
  <si>
    <t>Автомобили грузовые бортовые, грузоподъемность до 5 т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</si>
  <si>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</si>
  <si>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</si>
  <si>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</si>
  <si>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</si>
  <si>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</si>
  <si>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</si>
  <si>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1.1-1-238</t>
  </si>
  <si>
    <t>ТСН-2001.1 Доп. 80, Р. 1, о. 1, поз. 238</t>
  </si>
  <si>
    <t>Дюбель пластмассовый</t>
  </si>
  <si>
    <t>1.1-1-3256</t>
  </si>
  <si>
    <t>ТСН-2001.1 Доп. 73, Р. 1, о. 1, поз. 3256</t>
  </si>
  <si>
    <t>Шуруп-саморез с потайной головкой, наконечник сверло, оцинкованный, диаметр 4,2 мм, длина 60 мм</t>
  </si>
  <si>
    <t>26.30.11.110, п.1</t>
  </si>
  <si>
    <t>26.30.11.110, п.3</t>
  </si>
  <si>
    <t>26.30.11.110, п.4</t>
  </si>
  <si>
    <t>26.20.17.140, п.6</t>
  </si>
  <si>
    <t>27.12.10.190, п.7</t>
  </si>
  <si>
    <t>27.12.10.190, п.8</t>
  </si>
  <si>
    <t>26.40.33.111, п.9</t>
  </si>
  <si>
    <t>2 Мп купольная IP-видеокамера с моторизованным объективом SV2010DBZ</t>
  </si>
  <si>
    <t>5295150000</t>
  </si>
  <si>
    <t>Коммутаторы служебной связи</t>
  </si>
  <si>
    <t>3449820000</t>
  </si>
  <si>
    <t>Наконечники кабельные медные</t>
  </si>
  <si>
    <t>6571100000</t>
  </si>
  <si>
    <t>Устройства цифровой регистрации</t>
  </si>
  <si>
    <t>устройство</t>
  </si>
  <si>
    <t>5291000000</t>
  </si>
  <si>
    <t>Крепежные изделия</t>
  </si>
  <si>
    <t>5295300000</t>
  </si>
  <si>
    <t>Столы аппаратные</t>
  </si>
  <si>
    <t>1297020000</t>
  </si>
  <si>
    <t>Болты строительные с гайками и шайбами (1297030000, 1610000000, 1620000000, 1680000000)</t>
  </si>
  <si>
    <t>6677000000</t>
  </si>
  <si>
    <t>Комплекты грозозащиты для воздушных абонентских линий</t>
  </si>
  <si>
    <t>4442400000</t>
  </si>
  <si>
    <t>Камеры видеонаблюдения внутренней установки</t>
  </si>
  <si>
    <t>Камеры видеонаблюдения наружной установки с термокожухом</t>
  </si>
  <si>
    <t>4200000000</t>
  </si>
  <si>
    <t>Съемные и выдвижные блоки, ячейки, модули, типовые элементы замены (4300000000)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</si>
  <si>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</si>
  <si>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</si>
  <si>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</si>
  <si>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</si>
  <si>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</si>
  <si>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</si>
  <si>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</si>
  <si>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</si>
  <si>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</si>
  <si>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</si>
  <si>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"ЭЛТЕКС КОММУНИКАЦИИ"</t>
  </si>
  <si>
    <t>7714966730</t>
  </si>
  <si>
    <t>стр. п.</t>
  </si>
  <si>
    <t>1.2</t>
  </si>
  <si>
    <t>ООО "Борн СПб"</t>
  </si>
  <si>
    <t>7841406851</t>
  </si>
  <si>
    <t>1.3</t>
  </si>
  <si>
    <t>ООО "ТЕЛЕСИН ГРУПП"</t>
  </si>
  <si>
    <t>7733894672</t>
  </si>
  <si>
    <t>2.1</t>
  </si>
  <si>
    <t>ООО "ЭГ Интеграция"</t>
  </si>
  <si>
    <t>9719081735</t>
  </si>
  <si>
    <t>2.2</t>
  </si>
  <si>
    <t>ООО "МПА-СБ"</t>
  </si>
  <si>
    <t>7730718132</t>
  </si>
  <si>
    <t>2.3</t>
  </si>
  <si>
    <t>ООО "Айдис"</t>
  </si>
  <si>
    <t>7724472191</t>
  </si>
  <si>
    <t>3.1</t>
  </si>
  <si>
    <t>3.2</t>
  </si>
  <si>
    <t>3.3</t>
  </si>
  <si>
    <t>ООО «Видеотехнология»</t>
  </si>
  <si>
    <t>7709191608</t>
  </si>
  <si>
    <t>4.1</t>
  </si>
  <si>
    <t>4.2</t>
  </si>
  <si>
    <t>4.3</t>
  </si>
  <si>
    <t>ИП Митрохин В.С.</t>
  </si>
  <si>
    <t>502801546695</t>
  </si>
  <si>
    <t>5.1</t>
  </si>
  <si>
    <t>5.2</t>
  </si>
  <si>
    <t>5.3</t>
  </si>
  <si>
    <t>6.1</t>
  </si>
  <si>
    <t>ООО «Интер АйДи – Системный Интегратор»</t>
  </si>
  <si>
    <t>7714854353</t>
  </si>
  <si>
    <t>6.2</t>
  </si>
  <si>
    <t>ООО «РИТМ-ИТ»</t>
  </si>
  <si>
    <t>7707576480</t>
  </si>
  <si>
    <t>6.3</t>
  </si>
  <si>
    <t>АО "ЧИП и ДИП"</t>
  </si>
  <si>
    <t>7729108750</t>
  </si>
  <si>
    <t>7.1</t>
  </si>
  <si>
    <t>7.2</t>
  </si>
  <si>
    <t>ООО "Тантос"</t>
  </si>
  <si>
    <t>9721058155</t>
  </si>
  <si>
    <t>7.3</t>
  </si>
  <si>
    <t>ООО "ТД Тинко"</t>
  </si>
  <si>
    <t>7702680818</t>
  </si>
  <si>
    <t>8.1</t>
  </si>
  <si>
    <t>АО «ТД ЭЛЕКТРОТЕХМОНТАЖ»</t>
  </si>
  <si>
    <t>7842224734</t>
  </si>
  <si>
    <t>8.2</t>
  </si>
  <si>
    <t>ООО «ВИДЕОГЛАЗ ЦЕНТР»</t>
  </si>
  <si>
    <t>7719840097</t>
  </si>
  <si>
    <t>8.3</t>
  </si>
  <si>
    <t>9.1</t>
  </si>
  <si>
    <t>9.2</t>
  </si>
  <si>
    <t>ООО "ТД Твоя безопасность"</t>
  </si>
  <si>
    <t>9715308907</t>
  </si>
  <si>
    <t>9.3</t>
  </si>
  <si>
    <t>10.1</t>
  </si>
  <si>
    <t>10.2</t>
  </si>
  <si>
    <t>ТД «Видос Групп»</t>
  </si>
  <si>
    <t>7733740136</t>
  </si>
  <si>
    <t>10.3</t>
  </si>
  <si>
    <t>11.1</t>
  </si>
  <si>
    <t>ООО "Пинтоп"</t>
  </si>
  <si>
    <t>7743474444</t>
  </si>
  <si>
    <t>11.2</t>
  </si>
  <si>
    <t>ООО «ТехноЛайт»,</t>
  </si>
  <si>
    <t>6454107010</t>
  </si>
  <si>
    <t>11.3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</si>
  <si>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</si>
  <si>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</si>
  <si>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</si>
  <si>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SecurOS-IVS-NVRIndustrial(  H.712)-AO.ASC7SP4HPX-99/1000-  180000R6-W Специализированный 99 канальный сервер объектового контроля / суммарный входящий видеопоток до 1000 Мбит/с / MJPEG, H.264, H.265 / удаленная работа с системой через LAN 4x1Gbit Ethernet / накопители под ОС SSD 480GB х 2 (Raid 1) / хранение видеоархива в течение 31 суток, поток ~ 5Мбит/с на канал, постоянная запись / отказоустойчивый  дисковый массив объемом 180Тб HDD RAID6 в базовой  комплектации/аппаратный RAID контроллер SAS/SATA,  горячая замена дисков, вентиляторов и резервирование  блоков питания, система самодиагностики / установка в  19"" стойку (рельсы/ручки в комплекте, высота не более 4U)  / 220В, 50Гц / размещение в телекоммуникационных шкафах  (стойках) глубиной не менее 1000мм / Максимальная  потребляемая мощность 600Вт; USB-Ключ аппаратной  защиты ""Guardant"" - 1шт / Предустановленная  операционная система / В комплекте поставки: клавиатура  + оптический манипулятор (""мышь"").  Комплект предустановленного программного обеспечения, в  составе:  - SecurOS H.712 Premium - Ядро видеосервера версия 11.x -  1экз.;  - SecurOS H.712 Premium - Подключение видеоканала - 95экз.;  - SecurOS H.712 Premium - Трансляции видеоканала в ЕЦХД - 95экз.; - SecurOS H.712 Premium - Пользователь системы - 5экз.;  - SecurOS H.712 Premium - Модуль интеграции ПО "FireSec" от компании ""RUBEZH" 1экз.;"</t>
  </si>
  <si>
    <t>Сервер видеонаблюдения для записи и хранения данных с IP камер, поддержка до 128 каналов. Установка до 8 жестких дисков, монтаж на стойку 19’ 2U,  возможность горячей замены аппаратных компонентов, напряжение 220 В, мощность 560 Вт, ПО, в комплекте: салазки для крепления в стойку, мышь, клавиатура, кабель питания, диапазон рабочих температур от +5 °C до 45 °C, габаритные размеры 437х89х647 мм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</si>
  <si>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</si>
  <si>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</si>
  <si>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</si>
  <si>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</si>
  <si>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</si>
  <si>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</si>
  <si>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</si>
  <si>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</si>
  <si>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</si>
  <si>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</si>
  <si>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</si>
  <si>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</si>
  <si>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</si>
  <si>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</si>
  <si>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</si>
  <si>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</si>
  <si>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</si>
  <si>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</si>
  <si>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</si>
  <si>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</si>
  <si>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</si>
  <si>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</si>
  <si>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</si>
  <si>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</si>
  <si>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</si>
  <si>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</si>
  <si>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02-01-14 СОТ 20.07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</si>
  <si>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</si>
  <si>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</si>
  <si>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</si>
  <si>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</si>
  <si>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</si>
  <si>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</si>
  <si>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</si>
  <si>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</si>
  <si>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</si>
  <si>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</si>
  <si>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</si>
  <si>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</si>
  <si>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</si>
  <si>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</si>
  <si>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</si>
  <si>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</si>
  <si>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</si>
  <si>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>МР</t>
  </si>
  <si>
    <r>
      <t>ОБОРУДОВАНИЕ:_x000D_
Управляемый коммутатор уровня L3:48х10/100/1000BASE-T (RJ-45) PoE/PoE+; 4х10G BASE-X(SFP) MES2348P</t>
    </r>
    <r>
      <rPr>
        <i/>
        <sz val="10"/>
        <color rgb="FF821E82"/>
        <rFont val="Arial"/>
        <family val="2"/>
        <charset val="204"/>
      </rPr>
      <t xml:space="preserve">
50 603,12 = [448 348 / 1,22 /  7,57] +  3% Трансп +  1,2% Заг.скл</t>
    </r>
  </si>
  <si>
    <t xml:space="preserve">ОБОРУДОВАНИЕ:_x000D_
SecurOS-IVS-NVRIndustrial(  H.712)-AO.ASC7SP4HPX-99/1000-  180000R6-W Специализированный 99 канальный сервер объектового контроля / суммарный входящий видеопоток до 1000 Мбит/с / MJPEG, H.264, H.265 / удаленная работа с системой через LAN 4x1Gbit Ethernet / накопители под ОС SSD 480GB х 2 (Raid 1) / хранение видеоархива в течение 31 суток, поток ~ 5Мбит/с на канал, постоянная запись / отказоустойчивый  дисковый массив объемом 180Тб HDD RAID6 в базовой  комплектации/аппаратный RAID контроллер SAS/SATA,  горячая замена дисков, вентиляторов и резервирование  блоков питания, система самодиагностики / установка в  19"" стойку (рельсы/ручки в комплекте, высота не более 4U)  / 220В, 50Гц / размещение в телекоммуникационных шкафах  (стойках) глубиной не менее 1000мм / Максимальная </t>
  </si>
  <si>
    <r>
      <t>потребляемая мощность 600Вт; USB-Ключ аппаратной  защиты ""Guardant"" - 1шт / Предустановленная  операционная система / В комплекте поставки: клавиатура  + оптический манипулятор (""мышь"").  Комплект предустановленного программного обеспечения, в  составе:  - SecurOS H.712 Premium - Ядро видеосервера версия 11.x -  1экз.;  - SecurOS H.712 Premium - Подключение видеоканала - 95экз.;  - SecurOS H.712 Premium - Трансляции видеоканала в ЕЦХД - 95экз.; - SecurOS H.712 Premium - Пользователь системы - 5экз.;  - SecurOS H.712 Premium - Модуль интеграции ПО "FireSec" от компании ""RUBEZH" 1экз.;</t>
    </r>
    <r>
      <rPr>
        <i/>
        <sz val="10"/>
        <color rgb="FF821E82"/>
        <rFont val="Arial"/>
        <family val="2"/>
        <charset val="204"/>
      </rPr>
      <t xml:space="preserve">
465 031,79 = [4 120 222 / 1,22 /  7,57] +  3% Трансп +  1,2% Заг.скл</t>
    </r>
  </si>
  <si>
    <r>
      <t>ОБОРУДОВАНИЕ:_x000D_
Управляемый коммутатор уровня L3: 8х10/100/1000BASET  (RJ-45) PoE/PoE+, 2х10/100/1000BASE-T (RJ-45),  2х1000BASE-X (SFP), RS-232/RJ-45 MES2308P</t>
    </r>
    <r>
      <rPr>
        <i/>
        <sz val="10"/>
        <color rgb="FF821E82"/>
        <rFont val="Arial"/>
        <family val="2"/>
        <charset val="204"/>
      </rPr>
      <t xml:space="preserve">
23 932,38 = [212 043 / 1,22 /  7,57] +  3% Трансп +  1,2% Заг.скл</t>
    </r>
  </si>
  <si>
    <r>
      <t>ОБОРУДОВАНИЕ:_x000D_
Управляемый коммутатор уровня L3:24х10/100/1000BASE-T (RJ-45) PoE/PoE+; 4х10G BASE-X(SFP) MES2324P</t>
    </r>
    <r>
      <rPr>
        <i/>
        <sz val="10"/>
        <color rgb="FF821E82"/>
        <rFont val="Arial"/>
        <family val="2"/>
        <charset val="204"/>
      </rPr>
      <t xml:space="preserve">
21 151,93 = [187 408 / 1,22 /  7,57] +  3% Трансп +  1,2% Заг.скл</t>
    </r>
  </si>
  <si>
    <r>
      <t>ОБОРУДОВАНИЕ:_x000D_
Специализированная рабочая станция для отображения  камер высокого разрешения. Подключение до 2-х мониторов  (DP+HDMI). Настольное исполнение. Потребляемая  мощность300Вт.В комплекте поставки: клавиатура +  оптический манипулятор ("мышь") SecurOS-IVS-WSN</t>
    </r>
    <r>
      <rPr>
        <i/>
        <sz val="10"/>
        <color rgb="FF821E82"/>
        <rFont val="Arial"/>
        <family val="2"/>
        <charset val="204"/>
      </rPr>
      <t xml:space="preserve">
24 830,45 = [220 000 / 1,22 /  7,57] +  3% Трансп +  1,2% Заг.скл</t>
    </r>
  </si>
  <si>
    <r>
      <t>ОБОРУДОВАНИЕ:_x000D_
Монитор 31.5", белый, экран: 32 ", 3840x2160, 16:9, IPS, 60 Гц, 350 NOBLEVIEW INW32UIDL IRBIS</t>
    </r>
    <r>
      <rPr>
        <i/>
        <sz val="10"/>
        <color rgb="FF821E82"/>
        <rFont val="Arial"/>
        <family val="2"/>
        <charset val="204"/>
      </rPr>
      <t xml:space="preserve">
3 566,56 = [31 600 / 1,22 /  7,57] +  3% Трансп +  1,2% Заг.скл</t>
    </r>
  </si>
  <si>
    <r>
      <t>ОБОРУДОВАНИЕ:_x000D_
1U устройство грозозащиты для локальной вычислительной сети SP-IP24/1000PR</t>
    </r>
    <r>
      <rPr>
        <i/>
        <sz val="10"/>
        <color rgb="FF821E82"/>
        <rFont val="Arial"/>
        <family val="2"/>
        <charset val="204"/>
      </rPr>
      <t xml:space="preserve">
8 610,98 = [76 294,02 / 1,22 /  7,57] +  3% Трансп +  1,2% Заг.скл</t>
    </r>
  </si>
  <si>
    <r>
      <t>ОБОРУДОВАНИЕ:_x000D_
Уличное устройство грозозащиты для локальной вычислительной сети SP-IP/1000PW (ver.2)</t>
    </r>
    <r>
      <rPr>
        <i/>
        <sz val="10"/>
        <color rgb="FF821E82"/>
        <rFont val="Arial"/>
        <family val="2"/>
        <charset val="204"/>
      </rPr>
      <t xml:space="preserve">
649,76 = [5 757 / 1,22 /  7,57] +  3% Трансп +  1,2% Заг.скл</t>
    </r>
  </si>
  <si>
    <r>
      <t>ОБОРУДОВАНИЕ:_x000D_
Мп купольная IP-видеокамера с моторизованным объективом SV2010DBZ</t>
    </r>
    <r>
      <rPr>
        <i/>
        <sz val="10"/>
        <color rgb="FF821E82"/>
        <rFont val="Arial"/>
        <family val="2"/>
        <charset val="204"/>
      </rPr>
      <t xml:space="preserve">
3 600,41 = [31 900 / 1,22 /  7,57] +  3% Трансп +  1,2% Заг.скл</t>
    </r>
  </si>
  <si>
    <r>
      <t>ОБОРУДОВАНИЕ:_x000D_
Мп IP-видеокамера с моторизованным объективом уличного исполнения SV2018RZ</t>
    </r>
    <r>
      <rPr>
        <i/>
        <sz val="10"/>
        <color rgb="FF821E82"/>
        <rFont val="Arial"/>
        <family val="2"/>
        <charset val="204"/>
      </rPr>
      <t xml:space="preserve">
3 826,15 = [33 900 / 1,22 /  7,57] +  3% Трансп +  1,2% Заг.скл</t>
    </r>
  </si>
  <si>
    <r>
      <t>ОБОРУДОВАНИЕ:_x000D_
Купольная антивандальная IP-камера с максимальным разрешением 4 Мп и моторизированным объективом 2.7-12мм RVI-CFG72/R (2.7-12мм)</t>
    </r>
    <r>
      <rPr>
        <i/>
        <sz val="10"/>
        <color rgb="FF821E82"/>
        <rFont val="Arial"/>
        <family val="2"/>
        <charset val="204"/>
      </rPr>
      <t xml:space="preserve">
6 168,11 = [54 650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</si>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</sst>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4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applyFont="1" applyAlignment="1">
      <alignment horizontal="right" vertical="top" wrapText="1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75B0FF07-8F9F-4C71-B631-BE6C8D257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BABC-C08B-475D-B1C9-D10E31B23EEB}">
  <sheetPr>
    <pageSetUpPr fitToPage="1"/>
  </sheetPr>
  <dimension ref="A1:AQ291"/>
  <sheetViews>
    <sheetView tabSelected="1" view="pageBreakPreview" topLeftCell="A253" zoomScaleNormal="100" zoomScaleSheetLayoutView="100" workbookViewId="0">
      <selection activeCell="C209" sqref="C209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10.7265625" bestFit="1" customWidth="1"/>
    <col min="7" max="7" width="8.453125" bestFit="1" customWidth="1"/>
    <col min="9" max="9" width="10.7265625" bestFit="1" customWidth="1"/>
    <col min="10" max="10" width="9.81640625" bestFit="1" customWidth="1"/>
    <col min="11" max="11" width="12.5429687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3" t="str">
        <f>Source!B1</f>
        <v>Smeta.RU  (495) 974-1589</v>
      </c>
    </row>
    <row r="2" spans="1:42" ht="14" x14ac:dyDescent="0.3">
      <c r="A2" s="14"/>
      <c r="B2" s="14"/>
      <c r="C2" s="14"/>
      <c r="D2" s="14"/>
      <c r="E2" s="14"/>
      <c r="F2" s="14"/>
      <c r="G2" s="14"/>
      <c r="H2" s="14"/>
      <c r="I2" s="14"/>
      <c r="J2" s="22" t="s">
        <v>425</v>
      </c>
      <c r="K2" s="22"/>
    </row>
    <row r="3" spans="1:42" ht="16.5" hidden="1" x14ac:dyDescent="0.35">
      <c r="A3" s="16"/>
      <c r="B3" s="17" t="s">
        <v>423</v>
      </c>
      <c r="C3" s="17"/>
      <c r="D3" s="17"/>
      <c r="E3" s="17"/>
      <c r="F3" s="15"/>
      <c r="G3" s="17" t="s">
        <v>424</v>
      </c>
      <c r="H3" s="17"/>
      <c r="I3" s="17"/>
      <c r="J3" s="17"/>
      <c r="K3" s="17"/>
    </row>
    <row r="4" spans="1:42" ht="14" hidden="1" x14ac:dyDescent="0.3">
      <c r="A4" s="15"/>
      <c r="B4" s="18"/>
      <c r="C4" s="18"/>
      <c r="D4" s="18"/>
      <c r="E4" s="18"/>
      <c r="F4" s="15"/>
      <c r="G4" s="18"/>
      <c r="H4" s="18"/>
      <c r="I4" s="18"/>
      <c r="J4" s="18"/>
      <c r="K4" s="18"/>
    </row>
    <row r="5" spans="1:42" ht="14" hidden="1" x14ac:dyDescent="0.3">
      <c r="A5" s="15"/>
      <c r="B5" s="15"/>
      <c r="C5" s="19"/>
      <c r="D5" s="19"/>
      <c r="E5" s="19"/>
      <c r="F5" s="15"/>
      <c r="G5" s="19"/>
      <c r="H5" s="19"/>
      <c r="I5" s="19"/>
      <c r="J5" s="19"/>
      <c r="K5" s="19"/>
    </row>
    <row r="6" spans="1:42" ht="14" hidden="1" x14ac:dyDescent="0.3">
      <c r="A6" s="19"/>
      <c r="B6" s="18" t="str">
        <f>CONCATENATE("______________________ ", IF(Source!AL12&lt;&gt;"", Source!AL12, ""))</f>
        <v xml:space="preserve">______________________ </v>
      </c>
      <c r="C6" s="18"/>
      <c r="D6" s="18"/>
      <c r="E6" s="18"/>
      <c r="F6" s="15"/>
      <c r="G6" s="18" t="str">
        <f>CONCATENATE("______________________ ", IF(Source!AH12&lt;&gt;"", Source!AH12, ""))</f>
        <v xml:space="preserve">______________________ </v>
      </c>
      <c r="H6" s="18"/>
      <c r="I6" s="18"/>
      <c r="J6" s="18"/>
      <c r="K6" s="18"/>
    </row>
    <row r="7" spans="1:42" ht="14" hidden="1" x14ac:dyDescent="0.3">
      <c r="A7" s="20"/>
      <c r="B7" s="21" t="s">
        <v>426</v>
      </c>
      <c r="C7" s="21"/>
      <c r="D7" s="21"/>
      <c r="E7" s="21"/>
      <c r="F7" s="15"/>
      <c r="G7" s="21" t="s">
        <v>426</v>
      </c>
      <c r="H7" s="21"/>
      <c r="I7" s="21"/>
      <c r="J7" s="21"/>
      <c r="K7" s="21"/>
    </row>
    <row r="9" spans="1:42" ht="14" hidden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42" ht="46.5" x14ac:dyDescent="0.35">
      <c r="A10" s="23" t="s">
        <v>484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AP10" s="38" t="s">
        <v>449</v>
      </c>
    </row>
    <row r="11" spans="1:42" x14ac:dyDescent="0.25">
      <c r="A11" s="24" t="s">
        <v>427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42" ht="1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42" ht="15.5" x14ac:dyDescent="0.35">
      <c r="A13" s="23" t="str">
        <f>CONCATENATE( "ЛОКАЛЬНАЯ СМЕТА № ",IF(Source!F12&lt;&gt;"Новый объект", Source!F12, ""))</f>
        <v>ЛОКАЛЬНАЯ СМЕТА № 02-01-14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42" ht="14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42" ht="18" x14ac:dyDescent="0.4">
      <c r="A15" s="26" t="str">
        <f>Source!G20</f>
        <v>Система охранного телевидения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42" x14ac:dyDescent="0.25">
      <c r="A16" s="27" t="s">
        <v>428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1:42" ht="1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42" ht="14" x14ac:dyDescent="0.3">
      <c r="A18" s="29" t="str">
        <f>CONCATENATE( "Основание: чертежи № ", Source!J12)</f>
        <v>Основание: чертежи № 2024-00375-00-ИОС5.7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42" ht="14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42" ht="56" x14ac:dyDescent="0.3">
      <c r="A20" s="15"/>
      <c r="B20" s="15"/>
      <c r="C20" s="15"/>
      <c r="D20" s="15"/>
      <c r="E20" s="15"/>
      <c r="F20" s="15"/>
      <c r="G20" s="15"/>
      <c r="H20" s="15"/>
      <c r="I20" s="78" t="s">
        <v>429</v>
      </c>
      <c r="J20" s="78" t="s">
        <v>430</v>
      </c>
      <c r="K20" s="15"/>
    </row>
    <row r="21" spans="1:42" ht="14" x14ac:dyDescent="0.3">
      <c r="A21" s="15"/>
      <c r="B21" s="15"/>
      <c r="C21" s="15"/>
      <c r="D21" s="15"/>
      <c r="E21" s="31" t="s">
        <v>431</v>
      </c>
      <c r="F21" s="31"/>
      <c r="G21" s="31"/>
      <c r="H21" s="31"/>
      <c r="I21" s="32">
        <f>I22+I23+I24+I25</f>
        <v>1061.1600000000001</v>
      </c>
      <c r="J21" s="32">
        <f>J22+J23+J24+J25</f>
        <v>8811.08</v>
      </c>
      <c r="K21" s="33" t="s">
        <v>480</v>
      </c>
    </row>
    <row r="22" spans="1:42" ht="14" x14ac:dyDescent="0.3">
      <c r="A22" s="15"/>
      <c r="B22" s="15"/>
      <c r="C22" s="15"/>
      <c r="D22" s="15"/>
      <c r="E22" s="18" t="s">
        <v>432</v>
      </c>
      <c r="F22" s="18"/>
      <c r="G22" s="18"/>
      <c r="H22" s="18"/>
      <c r="I22" s="34">
        <f>ROUND((Source!F279)/1000, 2)</f>
        <v>0</v>
      </c>
      <c r="J22" s="34">
        <f>ROUND((Source!P279)/1000, 2)</f>
        <v>0</v>
      </c>
      <c r="K22" s="15" t="s">
        <v>480</v>
      </c>
    </row>
    <row r="23" spans="1:42" ht="14" x14ac:dyDescent="0.3">
      <c r="A23" s="15"/>
      <c r="B23" s="15"/>
      <c r="C23" s="15"/>
      <c r="D23" s="15"/>
      <c r="E23" s="18" t="s">
        <v>433</v>
      </c>
      <c r="F23" s="18"/>
      <c r="G23" s="18"/>
      <c r="H23" s="18"/>
      <c r="I23" s="34">
        <f>ROUND((Source!F280)/1000, 2)</f>
        <v>17.440000000000001</v>
      </c>
      <c r="J23" s="34">
        <f>ROUND((Source!P280)/1000, 2)</f>
        <v>910.14</v>
      </c>
      <c r="K23" s="15" t="s">
        <v>480</v>
      </c>
    </row>
    <row r="24" spans="1:42" ht="14" x14ac:dyDescent="0.3">
      <c r="A24" s="15"/>
      <c r="B24" s="15"/>
      <c r="C24" s="15"/>
      <c r="D24" s="15"/>
      <c r="E24" s="18" t="s">
        <v>434</v>
      </c>
      <c r="F24" s="18"/>
      <c r="G24" s="18"/>
      <c r="H24" s="18"/>
      <c r="I24" s="34">
        <f>ROUND((Source!F271)/1000, 2)</f>
        <v>1043.72</v>
      </c>
      <c r="J24" s="34">
        <f>ROUND((Source!P271)/1000, 2)</f>
        <v>7900.94</v>
      </c>
      <c r="K24" s="15" t="s">
        <v>480</v>
      </c>
    </row>
    <row r="25" spans="1:42" ht="14" x14ac:dyDescent="0.3">
      <c r="A25" s="15"/>
      <c r="B25" s="15"/>
      <c r="C25" s="15"/>
      <c r="D25" s="15"/>
      <c r="E25" s="18" t="s">
        <v>435</v>
      </c>
      <c r="F25" s="18"/>
      <c r="G25" s="18"/>
      <c r="H25" s="18"/>
      <c r="I25" s="34">
        <f>ROUND((Source!F281+Source!F282)/1000, 2)</f>
        <v>0</v>
      </c>
      <c r="J25" s="34">
        <f>ROUND((Source!P281+Source!P282)/1000, 2)</f>
        <v>0</v>
      </c>
      <c r="K25" s="15" t="s">
        <v>480</v>
      </c>
    </row>
    <row r="26" spans="1:42" ht="14" x14ac:dyDescent="0.3">
      <c r="A26" s="15"/>
      <c r="B26" s="15"/>
      <c r="C26" s="15"/>
      <c r="D26" s="15"/>
      <c r="E26" s="18" t="s">
        <v>436</v>
      </c>
      <c r="F26" s="18"/>
      <c r="G26" s="18"/>
      <c r="H26" s="18"/>
      <c r="I26" s="34">
        <f>(Source!F277+ Source!F276)/1000</f>
        <v>6.7468900000000005</v>
      </c>
      <c r="J26" s="34">
        <f>((Source!P277 + Source!P276)/1000)</f>
        <v>380.18726000000004</v>
      </c>
      <c r="K26" s="15" t="s">
        <v>480</v>
      </c>
    </row>
    <row r="27" spans="1:42" ht="14" x14ac:dyDescent="0.3">
      <c r="A27" s="15"/>
      <c r="B27" s="15"/>
      <c r="C27" s="15"/>
      <c r="D27" s="15"/>
      <c r="E27" s="18" t="s">
        <v>437</v>
      </c>
      <c r="F27" s="18"/>
      <c r="G27" s="18"/>
      <c r="H27" s="18"/>
      <c r="I27" s="34">
        <f>Source!F284</f>
        <v>460.84550975999991</v>
      </c>
      <c r="J27" s="34"/>
      <c r="K27" s="15" t="s">
        <v>223</v>
      </c>
    </row>
    <row r="28" spans="1:42" ht="14" hidden="1" x14ac:dyDescent="0.3">
      <c r="A28" s="15"/>
      <c r="B28" s="15"/>
      <c r="C28" s="15"/>
      <c r="D28" s="15"/>
      <c r="E28" s="18" t="s">
        <v>438</v>
      </c>
      <c r="F28" s="18"/>
      <c r="G28" s="18"/>
      <c r="H28" s="18"/>
      <c r="I28" s="34"/>
      <c r="J28" s="34"/>
      <c r="K28" s="15"/>
    </row>
    <row r="29" spans="1:42" ht="14" hidden="1" x14ac:dyDescent="0.3">
      <c r="A29" s="15"/>
      <c r="B29" s="15"/>
      <c r="C29" s="15"/>
      <c r="D29" s="15"/>
      <c r="E29" s="35" t="s">
        <v>102</v>
      </c>
      <c r="F29" s="35"/>
      <c r="G29" s="35"/>
      <c r="H29" s="35"/>
      <c r="I29" s="34">
        <f>SUM(Y1:Y284)/1000</f>
        <v>0</v>
      </c>
      <c r="J29" s="34">
        <f>SUM(Z1:Z284)/1000</f>
        <v>0</v>
      </c>
      <c r="K29" s="15" t="s">
        <v>480</v>
      </c>
    </row>
    <row r="30" spans="1:42" ht="14" x14ac:dyDescent="0.3">
      <c r="A30" s="15"/>
      <c r="B30" s="15"/>
      <c r="C30" s="15"/>
      <c r="D30" s="15"/>
      <c r="E30" s="15"/>
      <c r="F30" s="19"/>
      <c r="G30" s="19"/>
      <c r="H30" s="19"/>
      <c r="I30" s="34"/>
      <c r="J30" s="34"/>
      <c r="K30" s="15"/>
    </row>
    <row r="31" spans="1:42" ht="14" x14ac:dyDescent="0.3">
      <c r="A31" s="15" t="s">
        <v>450</v>
      </c>
      <c r="B31" s="15"/>
      <c r="C31" s="15"/>
      <c r="D31" s="15"/>
      <c r="E31" s="15"/>
      <c r="F31" s="19"/>
      <c r="G31" s="19"/>
      <c r="H31" s="19"/>
      <c r="I31" s="34"/>
      <c r="J31" s="34"/>
      <c r="K31" s="15"/>
    </row>
    <row r="32" spans="1:42" ht="28" x14ac:dyDescent="0.3">
      <c r="A32" s="29" t="s">
        <v>451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AP32" s="39" t="s">
        <v>451</v>
      </c>
    </row>
    <row r="33" spans="1:42" ht="98" x14ac:dyDescent="0.25">
      <c r="A33" s="36" t="s">
        <v>439</v>
      </c>
      <c r="B33" s="36" t="s">
        <v>440</v>
      </c>
      <c r="C33" s="36" t="s">
        <v>441</v>
      </c>
      <c r="D33" s="36" t="s">
        <v>442</v>
      </c>
      <c r="E33" s="36" t="s">
        <v>443</v>
      </c>
      <c r="F33" s="36" t="s">
        <v>444</v>
      </c>
      <c r="G33" s="37" t="s">
        <v>445</v>
      </c>
      <c r="H33" s="37" t="s">
        <v>446</v>
      </c>
      <c r="I33" s="36" t="s">
        <v>452</v>
      </c>
      <c r="J33" s="79" t="s">
        <v>447</v>
      </c>
      <c r="K33" s="36" t="s">
        <v>448</v>
      </c>
    </row>
    <row r="34" spans="1:42" ht="14" x14ac:dyDescent="0.25">
      <c r="A34" s="36">
        <v>1</v>
      </c>
      <c r="B34" s="36">
        <v>2</v>
      </c>
      <c r="C34" s="36">
        <v>3</v>
      </c>
      <c r="D34" s="36">
        <v>4</v>
      </c>
      <c r="E34" s="36">
        <v>5</v>
      </c>
      <c r="F34" s="36">
        <v>6</v>
      </c>
      <c r="G34" s="36">
        <v>7</v>
      </c>
      <c r="H34" s="36">
        <v>8</v>
      </c>
      <c r="I34" s="36">
        <v>9</v>
      </c>
      <c r="J34" s="36">
        <v>10</v>
      </c>
      <c r="K34" s="36">
        <v>11</v>
      </c>
    </row>
    <row r="36" spans="1:42" ht="16.5" x14ac:dyDescent="0.25">
      <c r="A36" s="40" t="str">
        <f>CONCATENATE("Локальная смета: ",IF(Source!G20&lt;&gt;"Новая локальная смета", Source!G20, ""))</f>
        <v>Локальная смета: Система охранного телевидения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</row>
    <row r="38" spans="1:42" ht="16.5" x14ac:dyDescent="0.25">
      <c r="A38" s="40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AP38" s="41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2" ht="28" x14ac:dyDescent="0.25">
      <c r="A39" s="42">
        <v>1</v>
      </c>
      <c r="B39" s="42" t="str">
        <f>Source!F28</f>
        <v>4.10-34-5</v>
      </c>
      <c r="C39" s="42" t="s">
        <v>25</v>
      </c>
      <c r="D39" s="44" t="str">
        <f>Source!H28</f>
        <v>1  ШТ.</v>
      </c>
      <c r="E39" s="43">
        <f>Source!I28</f>
        <v>6</v>
      </c>
      <c r="F39" s="46"/>
      <c r="G39" s="45"/>
      <c r="H39" s="43"/>
      <c r="I39" s="46"/>
      <c r="J39" s="43"/>
      <c r="K39" s="46"/>
      <c r="Q39">
        <f>Source!X28</f>
        <v>165.68</v>
      </c>
      <c r="R39">
        <f>Source!X29</f>
        <v>9336.1200000000008</v>
      </c>
      <c r="S39">
        <f>Source!Y28</f>
        <v>84.68</v>
      </c>
      <c r="T39">
        <f>Source!Y29</f>
        <v>4771.8</v>
      </c>
      <c r="U39">
        <f>ROUND((175/100)*ROUND(Source!R28, 2), 2)</f>
        <v>12.51</v>
      </c>
      <c r="V39">
        <f>ROUND((0/100)*ROUND(Source!R29, 2), 2)</f>
        <v>0</v>
      </c>
      <c r="AC39">
        <v>0</v>
      </c>
    </row>
    <row r="40" spans="1:42" x14ac:dyDescent="0.25">
      <c r="C40" s="47" t="str">
        <f>"Объем: "&amp;Source!I28&amp;"=1+"&amp;"1+"&amp;"4"</f>
        <v>Объем: 6=1+1+4</v>
      </c>
    </row>
    <row r="41" spans="1:42" ht="14.5" x14ac:dyDescent="0.25">
      <c r="A41" s="42"/>
      <c r="B41" s="42"/>
      <c r="C41" s="42" t="s">
        <v>453</v>
      </c>
      <c r="D41" s="44"/>
      <c r="E41" s="43"/>
      <c r="F41" s="46">
        <f>Source!AO28</f>
        <v>78.239999999999995</v>
      </c>
      <c r="G41" s="48" t="s">
        <v>454</v>
      </c>
      <c r="H41" s="43">
        <f>Source!AV29</f>
        <v>1.0469999999999999</v>
      </c>
      <c r="I41" s="46">
        <f>Source!S28</f>
        <v>176.94</v>
      </c>
      <c r="J41" s="43">
        <f>IF(Source!BA29&lt;&gt; 0, Source!BA29, 1)</f>
        <v>56.35</v>
      </c>
      <c r="K41" s="46">
        <f>Source!S29</f>
        <v>9970.57</v>
      </c>
    </row>
    <row r="42" spans="1:42" ht="14.5" x14ac:dyDescent="0.25">
      <c r="A42" s="42"/>
      <c r="B42" s="42"/>
      <c r="C42" s="42" t="s">
        <v>455</v>
      </c>
      <c r="D42" s="44"/>
      <c r="E42" s="43"/>
      <c r="F42" s="46">
        <f>Source!AM28</f>
        <v>28.71</v>
      </c>
      <c r="G42" s="48" t="s">
        <v>454</v>
      </c>
      <c r="H42" s="43">
        <f>Source!AV29</f>
        <v>1.0469999999999999</v>
      </c>
      <c r="I42" s="46">
        <f>Source!Q28</f>
        <v>64.930000000000007</v>
      </c>
      <c r="J42" s="43">
        <f>IF(Source!BB29&lt;&gt; 0, Source!BB29, 1)</f>
        <v>16.16</v>
      </c>
      <c r="K42" s="46">
        <f>Source!Q29</f>
        <v>1049.27</v>
      </c>
    </row>
    <row r="43" spans="1:42" ht="14.5" x14ac:dyDescent="0.25">
      <c r="A43" s="42"/>
      <c r="B43" s="42"/>
      <c r="C43" s="42" t="s">
        <v>456</v>
      </c>
      <c r="D43" s="44"/>
      <c r="E43" s="43"/>
      <c r="F43" s="46">
        <f>Source!AN28</f>
        <v>3.16</v>
      </c>
      <c r="G43" s="48" t="s">
        <v>454</v>
      </c>
      <c r="H43" s="43">
        <f>Source!AV29</f>
        <v>1.0469999999999999</v>
      </c>
      <c r="I43" s="49">
        <f>Source!R28</f>
        <v>7.15</v>
      </c>
      <c r="J43" s="43">
        <f>IF(Source!BS29&lt;&gt; 0, Source!BS29, 1)</f>
        <v>56.35</v>
      </c>
      <c r="K43" s="49">
        <f>Source!R29</f>
        <v>402.9</v>
      </c>
    </row>
    <row r="44" spans="1:42" ht="14.5" x14ac:dyDescent="0.25">
      <c r="A44" s="42"/>
      <c r="B44" s="42"/>
      <c r="C44" s="42" t="s">
        <v>457</v>
      </c>
      <c r="D44" s="44" t="s">
        <v>458</v>
      </c>
      <c r="E44" s="43">
        <f>Source!BZ29</f>
        <v>90</v>
      </c>
      <c r="F44" s="46"/>
      <c r="G44" s="45"/>
      <c r="H44" s="43"/>
      <c r="I44" s="46">
        <f>SUM(Q39:Q43)</f>
        <v>165.68</v>
      </c>
      <c r="J44" s="43">
        <f>Source!AT29</f>
        <v>90</v>
      </c>
      <c r="K44" s="46">
        <f>SUM(R39:R43)</f>
        <v>9336.1200000000008</v>
      </c>
    </row>
    <row r="45" spans="1:42" ht="14.5" x14ac:dyDescent="0.25">
      <c r="A45" s="42"/>
      <c r="B45" s="42"/>
      <c r="C45" s="42" t="s">
        <v>459</v>
      </c>
      <c r="D45" s="44" t="s">
        <v>458</v>
      </c>
      <c r="E45" s="43">
        <f>Source!CA29</f>
        <v>46</v>
      </c>
      <c r="F45" s="46"/>
      <c r="G45" s="45"/>
      <c r="H45" s="43"/>
      <c r="I45" s="46">
        <f>SUM(S39:S44)</f>
        <v>84.68</v>
      </c>
      <c r="J45" s="43">
        <f>Source!AU29</f>
        <v>46</v>
      </c>
      <c r="K45" s="46">
        <f>SUM(T39:T44)</f>
        <v>4771.8</v>
      </c>
    </row>
    <row r="46" spans="1:42" ht="14.5" x14ac:dyDescent="0.25">
      <c r="A46" s="50"/>
      <c r="B46" s="50"/>
      <c r="C46" s="50" t="s">
        <v>460</v>
      </c>
      <c r="D46" s="51" t="s">
        <v>461</v>
      </c>
      <c r="E46" s="52">
        <f>Source!AQ28</f>
        <v>6.2</v>
      </c>
      <c r="F46" s="53"/>
      <c r="G46" s="54" t="s">
        <v>454</v>
      </c>
      <c r="H46" s="52">
        <f>Source!AV29</f>
        <v>1.0469999999999999</v>
      </c>
      <c r="I46" s="53">
        <f>Source!U28</f>
        <v>14.021423999999998</v>
      </c>
      <c r="J46" s="52"/>
      <c r="K46" s="53"/>
    </row>
    <row r="47" spans="1:42" ht="14" x14ac:dyDescent="0.25">
      <c r="C47" s="55" t="s">
        <v>462</v>
      </c>
      <c r="H47" s="56">
        <f>I41+I42+I44+I45+0-0-0</f>
        <v>492.23</v>
      </c>
      <c r="I47" s="56"/>
      <c r="J47" s="56">
        <f>K41+K42+K44+K45+0-0-0</f>
        <v>25127.759999999998</v>
      </c>
      <c r="K47" s="56"/>
    </row>
    <row r="48" spans="1:42" ht="14" hidden="1" x14ac:dyDescent="0.25">
      <c r="C48" s="55" t="s">
        <v>463</v>
      </c>
      <c r="H48" s="58">
        <f>0+0</f>
        <v>0</v>
      </c>
      <c r="I48" s="58"/>
      <c r="J48" s="58">
        <f>0+0</f>
        <v>0</v>
      </c>
      <c r="K48" s="58"/>
    </row>
    <row r="49" spans="1:29" ht="14" x14ac:dyDescent="0.25">
      <c r="C49" s="55" t="s">
        <v>464</v>
      </c>
      <c r="H49" s="58">
        <f>I41+I42+I44+I45+0</f>
        <v>492.23</v>
      </c>
      <c r="I49" s="58"/>
      <c r="J49" s="58">
        <f>K41+K42+K44+K45+0</f>
        <v>25127.759999999998</v>
      </c>
      <c r="K49" s="58"/>
      <c r="O49" s="59">
        <f>I41+I42+I44+I45+0</f>
        <v>492.23</v>
      </c>
      <c r="P49" s="59">
        <f>K41+K42+K44+K45+0</f>
        <v>25127.759999999998</v>
      </c>
    </row>
    <row r="51" spans="1:29" ht="43.5" x14ac:dyDescent="0.25">
      <c r="A51" s="42">
        <v>2</v>
      </c>
      <c r="B51" s="42" t="str">
        <f>Source!F30</f>
        <v>4.10-72-14</v>
      </c>
      <c r="C51" s="42" t="s">
        <v>36</v>
      </c>
      <c r="D51" s="44" t="str">
        <f>Source!H30</f>
        <v>1 устройство</v>
      </c>
      <c r="E51" s="43">
        <f>Source!I30</f>
        <v>1</v>
      </c>
      <c r="F51" s="46"/>
      <c r="G51" s="45"/>
      <c r="H51" s="43"/>
      <c r="I51" s="46"/>
      <c r="J51" s="43"/>
      <c r="K51" s="46"/>
      <c r="Q51">
        <f>Source!X30</f>
        <v>34.06</v>
      </c>
      <c r="R51">
        <f>Source!X31</f>
        <v>1919.14</v>
      </c>
      <c r="S51">
        <f>Source!Y30</f>
        <v>19</v>
      </c>
      <c r="T51">
        <f>Source!Y31</f>
        <v>1070.68</v>
      </c>
      <c r="U51">
        <f>ROUND((175/100)*ROUND(Source!R30, 2), 2)</f>
        <v>0</v>
      </c>
      <c r="V51">
        <f>ROUND((0/100)*ROUND(Source!R31, 2), 2)</f>
        <v>0</v>
      </c>
      <c r="AC51">
        <v>0</v>
      </c>
    </row>
    <row r="52" spans="1:29" ht="14.5" x14ac:dyDescent="0.25">
      <c r="A52" s="42"/>
      <c r="B52" s="42"/>
      <c r="C52" s="42" t="s">
        <v>453</v>
      </c>
      <c r="D52" s="44"/>
      <c r="E52" s="43"/>
      <c r="F52" s="46">
        <f>Source!AO30</f>
        <v>95.12</v>
      </c>
      <c r="G52" s="48" t="s">
        <v>454</v>
      </c>
      <c r="H52" s="43">
        <f>Source!AV31</f>
        <v>1.0469999999999999</v>
      </c>
      <c r="I52" s="46">
        <f>Source!S30</f>
        <v>35.85</v>
      </c>
      <c r="J52" s="43">
        <f>IF(Source!BA31&lt;&gt; 0, Source!BA31, 1)</f>
        <v>56.35</v>
      </c>
      <c r="K52" s="46">
        <f>Source!S31</f>
        <v>2020.15</v>
      </c>
    </row>
    <row r="53" spans="1:29" ht="14.5" x14ac:dyDescent="0.25">
      <c r="A53" s="42"/>
      <c r="B53" s="42"/>
      <c r="C53" s="42" t="s">
        <v>457</v>
      </c>
      <c r="D53" s="44" t="s">
        <v>458</v>
      </c>
      <c r="E53" s="43">
        <f>Source!BZ31</f>
        <v>95</v>
      </c>
      <c r="F53" s="46"/>
      <c r="G53" s="45"/>
      <c r="H53" s="43"/>
      <c r="I53" s="46">
        <f>SUM(Q51:Q52)</f>
        <v>34.06</v>
      </c>
      <c r="J53" s="43">
        <f>Source!AT31</f>
        <v>95</v>
      </c>
      <c r="K53" s="46">
        <f>SUM(R51:R52)</f>
        <v>1919.14</v>
      </c>
    </row>
    <row r="54" spans="1:29" ht="14.5" x14ac:dyDescent="0.25">
      <c r="A54" s="42"/>
      <c r="B54" s="42"/>
      <c r="C54" s="42" t="s">
        <v>459</v>
      </c>
      <c r="D54" s="44" t="s">
        <v>458</v>
      </c>
      <c r="E54" s="43">
        <f>Source!CA31</f>
        <v>53</v>
      </c>
      <c r="F54" s="46"/>
      <c r="G54" s="45"/>
      <c r="H54" s="43"/>
      <c r="I54" s="46">
        <f>SUM(S51:S53)</f>
        <v>19</v>
      </c>
      <c r="J54" s="43">
        <f>Source!AU31</f>
        <v>53</v>
      </c>
      <c r="K54" s="46">
        <f>SUM(T51:T53)</f>
        <v>1070.68</v>
      </c>
    </row>
    <row r="55" spans="1:29" ht="14.5" x14ac:dyDescent="0.25">
      <c r="A55" s="50"/>
      <c r="B55" s="50"/>
      <c r="C55" s="50" t="s">
        <v>460</v>
      </c>
      <c r="D55" s="51" t="s">
        <v>461</v>
      </c>
      <c r="E55" s="52">
        <f>Source!AQ30</f>
        <v>8</v>
      </c>
      <c r="F55" s="53"/>
      <c r="G55" s="54" t="s">
        <v>454</v>
      </c>
      <c r="H55" s="52">
        <f>Source!AV31</f>
        <v>1.0469999999999999</v>
      </c>
      <c r="I55" s="53">
        <f>Source!U30</f>
        <v>3.0153599999999998</v>
      </c>
      <c r="J55" s="52"/>
      <c r="K55" s="53"/>
    </row>
    <row r="56" spans="1:29" ht="14" x14ac:dyDescent="0.25">
      <c r="C56" s="55" t="s">
        <v>462</v>
      </c>
      <c r="H56" s="56">
        <f>I52+I53+I54+0-0-0</f>
        <v>88.91</v>
      </c>
      <c r="I56" s="56"/>
      <c r="J56" s="56">
        <f>K52+K53+K54+0-0-0</f>
        <v>5009.97</v>
      </c>
      <c r="K56" s="56"/>
    </row>
    <row r="57" spans="1:29" ht="14" hidden="1" x14ac:dyDescent="0.25">
      <c r="C57" s="55" t="s">
        <v>463</v>
      </c>
      <c r="H57" s="58">
        <f>0+0</f>
        <v>0</v>
      </c>
      <c r="I57" s="58"/>
      <c r="J57" s="58">
        <f>0+0</f>
        <v>0</v>
      </c>
      <c r="K57" s="58"/>
    </row>
    <row r="58" spans="1:29" ht="14" x14ac:dyDescent="0.25">
      <c r="C58" s="55" t="s">
        <v>464</v>
      </c>
      <c r="H58" s="58">
        <f>I52+I53+I54+0</f>
        <v>88.91</v>
      </c>
      <c r="I58" s="58"/>
      <c r="J58" s="58">
        <f>K52+K53+K54+0</f>
        <v>5009.97</v>
      </c>
      <c r="K58" s="58"/>
      <c r="O58" s="59">
        <f>I52+I53+I54+0</f>
        <v>88.91</v>
      </c>
      <c r="P58" s="59">
        <f>K52+K53+K54+0</f>
        <v>5009.97</v>
      </c>
    </row>
    <row r="60" spans="1:29" ht="43.5" x14ac:dyDescent="0.25">
      <c r="A60" s="42">
        <v>3</v>
      </c>
      <c r="B60" s="42" t="str">
        <f>Source!F32</f>
        <v>4.10-72-14</v>
      </c>
      <c r="C60" s="42" t="s">
        <v>42</v>
      </c>
      <c r="D60" s="44" t="str">
        <f>Source!H32</f>
        <v>1 устройство</v>
      </c>
      <c r="E60" s="43">
        <f>Source!I32</f>
        <v>1</v>
      </c>
      <c r="F60" s="46"/>
      <c r="G60" s="45"/>
      <c r="H60" s="43"/>
      <c r="I60" s="46"/>
      <c r="J60" s="43"/>
      <c r="K60" s="46"/>
      <c r="Q60">
        <f>Source!X32</f>
        <v>34.06</v>
      </c>
      <c r="R60">
        <f>Source!X33</f>
        <v>1919.14</v>
      </c>
      <c r="S60">
        <f>Source!Y32</f>
        <v>19</v>
      </c>
      <c r="T60">
        <f>Source!Y33</f>
        <v>1070.68</v>
      </c>
      <c r="U60">
        <f>ROUND((175/100)*ROUND(Source!R32, 2), 2)</f>
        <v>0</v>
      </c>
      <c r="V60">
        <f>ROUND((0/100)*ROUND(Source!R33, 2), 2)</f>
        <v>0</v>
      </c>
      <c r="AC60">
        <v>0</v>
      </c>
    </row>
    <row r="61" spans="1:29" ht="14.5" x14ac:dyDescent="0.25">
      <c r="A61" s="42"/>
      <c r="B61" s="42"/>
      <c r="C61" s="42" t="s">
        <v>453</v>
      </c>
      <c r="D61" s="44"/>
      <c r="E61" s="43"/>
      <c r="F61" s="46">
        <f>Source!AO32</f>
        <v>95.12</v>
      </c>
      <c r="G61" s="48" t="s">
        <v>454</v>
      </c>
      <c r="H61" s="43">
        <f>Source!AV33</f>
        <v>1.0469999999999999</v>
      </c>
      <c r="I61" s="46">
        <f>Source!S32</f>
        <v>35.85</v>
      </c>
      <c r="J61" s="43">
        <f>IF(Source!BA33&lt;&gt; 0, Source!BA33, 1)</f>
        <v>56.35</v>
      </c>
      <c r="K61" s="46">
        <f>Source!S33</f>
        <v>2020.15</v>
      </c>
    </row>
    <row r="62" spans="1:29" ht="14.5" x14ac:dyDescent="0.25">
      <c r="A62" s="42"/>
      <c r="B62" s="42"/>
      <c r="C62" s="42" t="s">
        <v>457</v>
      </c>
      <c r="D62" s="44" t="s">
        <v>458</v>
      </c>
      <c r="E62" s="43">
        <f>Source!BZ33</f>
        <v>95</v>
      </c>
      <c r="F62" s="46"/>
      <c r="G62" s="45"/>
      <c r="H62" s="43"/>
      <c r="I62" s="46">
        <f>SUM(Q60:Q61)</f>
        <v>34.06</v>
      </c>
      <c r="J62" s="43">
        <f>Source!AT33</f>
        <v>95</v>
      </c>
      <c r="K62" s="46">
        <f>SUM(R60:R61)</f>
        <v>1919.14</v>
      </c>
    </row>
    <row r="63" spans="1:29" ht="14.5" x14ac:dyDescent="0.25">
      <c r="A63" s="42"/>
      <c r="B63" s="42"/>
      <c r="C63" s="42" t="s">
        <v>459</v>
      </c>
      <c r="D63" s="44" t="s">
        <v>458</v>
      </c>
      <c r="E63" s="43">
        <f>Source!CA33</f>
        <v>53</v>
      </c>
      <c r="F63" s="46"/>
      <c r="G63" s="45"/>
      <c r="H63" s="43"/>
      <c r="I63" s="46">
        <f>SUM(S60:S62)</f>
        <v>19</v>
      </c>
      <c r="J63" s="43">
        <f>Source!AU33</f>
        <v>53</v>
      </c>
      <c r="K63" s="46">
        <f>SUM(T60:T62)</f>
        <v>1070.68</v>
      </c>
    </row>
    <row r="64" spans="1:29" ht="14.5" x14ac:dyDescent="0.25">
      <c r="A64" s="50"/>
      <c r="B64" s="50"/>
      <c r="C64" s="50" t="s">
        <v>460</v>
      </c>
      <c r="D64" s="51" t="s">
        <v>461</v>
      </c>
      <c r="E64" s="52">
        <f>Source!AQ32</f>
        <v>8</v>
      </c>
      <c r="F64" s="53"/>
      <c r="G64" s="54" t="s">
        <v>454</v>
      </c>
      <c r="H64" s="52">
        <f>Source!AV33</f>
        <v>1.0469999999999999</v>
      </c>
      <c r="I64" s="53">
        <f>Source!U32</f>
        <v>3.0153599999999998</v>
      </c>
      <c r="J64" s="52"/>
      <c r="K64" s="53"/>
    </row>
    <row r="65" spans="1:29" ht="14" x14ac:dyDescent="0.25">
      <c r="C65" s="55" t="s">
        <v>462</v>
      </c>
      <c r="H65" s="56">
        <f>I61+I62+I63+0-0-0</f>
        <v>88.91</v>
      </c>
      <c r="I65" s="56"/>
      <c r="J65" s="56">
        <f>K61+K62+K63+0-0-0</f>
        <v>5009.97</v>
      </c>
      <c r="K65" s="56"/>
    </row>
    <row r="66" spans="1:29" ht="14" hidden="1" x14ac:dyDescent="0.25">
      <c r="C66" s="55" t="s">
        <v>463</v>
      </c>
      <c r="H66" s="58">
        <f>0+0</f>
        <v>0</v>
      </c>
      <c r="I66" s="58"/>
      <c r="J66" s="58">
        <f>0+0</f>
        <v>0</v>
      </c>
      <c r="K66" s="58"/>
    </row>
    <row r="67" spans="1:29" ht="14" x14ac:dyDescent="0.25">
      <c r="C67" s="55" t="s">
        <v>464</v>
      </c>
      <c r="H67" s="58">
        <f>I61+I62+I63+0</f>
        <v>88.91</v>
      </c>
      <c r="I67" s="58"/>
      <c r="J67" s="58">
        <f>K61+K62+K63+0</f>
        <v>5009.97</v>
      </c>
      <c r="K67" s="58"/>
      <c r="O67" s="59">
        <f>I61+I62+I63+0</f>
        <v>88.91</v>
      </c>
      <c r="P67" s="59">
        <f>K61+K62+K63+0</f>
        <v>5009.97</v>
      </c>
    </row>
    <row r="69" spans="1:29" ht="28" x14ac:dyDescent="0.25">
      <c r="A69" s="42">
        <v>4</v>
      </c>
      <c r="B69" s="42" t="str">
        <f>Source!F34</f>
        <v>4.10-75-6</v>
      </c>
      <c r="C69" s="42" t="s">
        <v>45</v>
      </c>
      <c r="D69" s="44" t="str">
        <f>Source!H34</f>
        <v>1  ШТ.</v>
      </c>
      <c r="E69" s="43">
        <f>Source!I34</f>
        <v>2</v>
      </c>
      <c r="F69" s="46"/>
      <c r="G69" s="45"/>
      <c r="H69" s="43"/>
      <c r="I69" s="46"/>
      <c r="J69" s="43"/>
      <c r="K69" s="46"/>
      <c r="Q69">
        <f>Source!X34</f>
        <v>63.26</v>
      </c>
      <c r="R69">
        <f>Source!X35</f>
        <v>3564.73</v>
      </c>
      <c r="S69">
        <f>Source!Y34</f>
        <v>35.29</v>
      </c>
      <c r="T69">
        <f>Source!Y35</f>
        <v>1988.75</v>
      </c>
      <c r="U69">
        <f>ROUND((175/100)*ROUND(Source!R34, 2), 2)</f>
        <v>0</v>
      </c>
      <c r="V69">
        <f>ROUND((0/100)*ROUND(Source!R35, 2), 2)</f>
        <v>0</v>
      </c>
      <c r="AC69">
        <v>0</v>
      </c>
    </row>
    <row r="70" spans="1:29" ht="14.5" x14ac:dyDescent="0.25">
      <c r="A70" s="42"/>
      <c r="B70" s="42"/>
      <c r="C70" s="42" t="s">
        <v>453</v>
      </c>
      <c r="D70" s="44"/>
      <c r="E70" s="43"/>
      <c r="F70" s="46">
        <f>Source!AO34</f>
        <v>88.34</v>
      </c>
      <c r="G70" s="48" t="s">
        <v>454</v>
      </c>
      <c r="H70" s="43">
        <f>Source!AV35</f>
        <v>1.0469999999999999</v>
      </c>
      <c r="I70" s="46">
        <f>Source!S34</f>
        <v>66.59</v>
      </c>
      <c r="J70" s="43">
        <f>IF(Source!BA35&lt;&gt; 0, Source!BA35, 1)</f>
        <v>56.35</v>
      </c>
      <c r="K70" s="46">
        <f>Source!S35</f>
        <v>3752.35</v>
      </c>
    </row>
    <row r="71" spans="1:29" ht="14.5" x14ac:dyDescent="0.25">
      <c r="A71" s="42"/>
      <c r="B71" s="42"/>
      <c r="C71" s="42" t="s">
        <v>457</v>
      </c>
      <c r="D71" s="44" t="s">
        <v>458</v>
      </c>
      <c r="E71" s="43">
        <f>Source!BZ35</f>
        <v>95</v>
      </c>
      <c r="F71" s="46"/>
      <c r="G71" s="45"/>
      <c r="H71" s="43"/>
      <c r="I71" s="46">
        <f>SUM(Q69:Q70)</f>
        <v>63.26</v>
      </c>
      <c r="J71" s="43">
        <f>Source!AT35</f>
        <v>95</v>
      </c>
      <c r="K71" s="46">
        <f>SUM(R69:R70)</f>
        <v>3564.73</v>
      </c>
    </row>
    <row r="72" spans="1:29" ht="14.5" x14ac:dyDescent="0.25">
      <c r="A72" s="42"/>
      <c r="B72" s="42"/>
      <c r="C72" s="42" t="s">
        <v>459</v>
      </c>
      <c r="D72" s="44" t="s">
        <v>458</v>
      </c>
      <c r="E72" s="43">
        <f>Source!CA35</f>
        <v>53</v>
      </c>
      <c r="F72" s="46"/>
      <c r="G72" s="45"/>
      <c r="H72" s="43"/>
      <c r="I72" s="46">
        <f>SUM(S69:S71)</f>
        <v>35.29</v>
      </c>
      <c r="J72" s="43">
        <f>Source!AU35</f>
        <v>53</v>
      </c>
      <c r="K72" s="46">
        <f>SUM(T69:T71)</f>
        <v>1988.75</v>
      </c>
    </row>
    <row r="73" spans="1:29" ht="14.5" x14ac:dyDescent="0.25">
      <c r="A73" s="50"/>
      <c r="B73" s="50"/>
      <c r="C73" s="50" t="s">
        <v>460</v>
      </c>
      <c r="D73" s="51" t="s">
        <v>461</v>
      </c>
      <c r="E73" s="52">
        <f>Source!AQ34</f>
        <v>7</v>
      </c>
      <c r="F73" s="53"/>
      <c r="G73" s="54" t="s">
        <v>454</v>
      </c>
      <c r="H73" s="52">
        <f>Source!AV35</f>
        <v>1.0469999999999999</v>
      </c>
      <c r="I73" s="53">
        <f>Source!U34</f>
        <v>5.2768799999999993</v>
      </c>
      <c r="J73" s="52"/>
      <c r="K73" s="53"/>
    </row>
    <row r="74" spans="1:29" ht="14" x14ac:dyDescent="0.25">
      <c r="C74" s="55" t="s">
        <v>462</v>
      </c>
      <c r="H74" s="56">
        <f>I70+I71+I72+0-0-0</f>
        <v>165.14</v>
      </c>
      <c r="I74" s="56"/>
      <c r="J74" s="56">
        <f>K70+K71+K72+0-0-0</f>
        <v>9305.83</v>
      </c>
      <c r="K74" s="56"/>
    </row>
    <row r="75" spans="1:29" ht="14" hidden="1" x14ac:dyDescent="0.25">
      <c r="C75" s="55" t="s">
        <v>463</v>
      </c>
      <c r="H75" s="58">
        <f>0+0</f>
        <v>0</v>
      </c>
      <c r="I75" s="58"/>
      <c r="J75" s="58">
        <f>0+0</f>
        <v>0</v>
      </c>
      <c r="K75" s="58"/>
    </row>
    <row r="76" spans="1:29" ht="14" x14ac:dyDescent="0.25">
      <c r="C76" s="55" t="s">
        <v>464</v>
      </c>
      <c r="H76" s="58">
        <f>I70+I71+I72+0</f>
        <v>165.14</v>
      </c>
      <c r="I76" s="58"/>
      <c r="J76" s="58">
        <f>K70+K71+K72+0</f>
        <v>9305.83</v>
      </c>
      <c r="K76" s="58"/>
      <c r="O76" s="59">
        <f>I70+I71+I72+0</f>
        <v>165.14</v>
      </c>
      <c r="P76" s="59">
        <f>K70+K71+K72+0</f>
        <v>9305.83</v>
      </c>
    </row>
    <row r="78" spans="1:29" ht="44.5" customHeight="1" x14ac:dyDescent="0.25">
      <c r="A78" s="42">
        <v>5</v>
      </c>
      <c r="B78" s="42" t="str">
        <f>Source!F36</f>
        <v>4.10-21-5</v>
      </c>
      <c r="C78" s="42" t="s">
        <v>49</v>
      </c>
      <c r="D78" s="44" t="str">
        <f>Source!H36</f>
        <v>1 комплект</v>
      </c>
      <c r="E78" s="43">
        <f>Source!I36</f>
        <v>1</v>
      </c>
      <c r="F78" s="46"/>
      <c r="G78" s="45"/>
      <c r="H78" s="43"/>
      <c r="I78" s="46"/>
      <c r="J78" s="43"/>
      <c r="K78" s="46"/>
      <c r="Q78">
        <f>Source!X36</f>
        <v>12.84</v>
      </c>
      <c r="R78">
        <f>Source!X37</f>
        <v>723.7</v>
      </c>
      <c r="S78">
        <f>Source!Y36</f>
        <v>6.56</v>
      </c>
      <c r="T78">
        <f>Source!Y37</f>
        <v>369.89</v>
      </c>
      <c r="U78">
        <f>ROUND((175/100)*ROUND(Source!R36, 2), 2)</f>
        <v>0</v>
      </c>
      <c r="V78">
        <f>ROUND((0/100)*ROUND(Source!R37, 2), 2)</f>
        <v>0</v>
      </c>
      <c r="AC78">
        <v>0</v>
      </c>
    </row>
    <row r="79" spans="1:29" ht="14.5" x14ac:dyDescent="0.25">
      <c r="A79" s="42"/>
      <c r="B79" s="42"/>
      <c r="C79" s="42" t="s">
        <v>453</v>
      </c>
      <c r="D79" s="44"/>
      <c r="E79" s="43"/>
      <c r="F79" s="46">
        <f>Source!AO36</f>
        <v>37.86</v>
      </c>
      <c r="G79" s="48" t="s">
        <v>454</v>
      </c>
      <c r="H79" s="43">
        <f>Source!AV37</f>
        <v>1.0469999999999999</v>
      </c>
      <c r="I79" s="46">
        <f>Source!S36</f>
        <v>14.27</v>
      </c>
      <c r="J79" s="43">
        <f>IF(Source!BA37&lt;&gt; 0, Source!BA37, 1)</f>
        <v>56.35</v>
      </c>
      <c r="K79" s="46">
        <f>Source!S37</f>
        <v>804.11</v>
      </c>
    </row>
    <row r="80" spans="1:29" ht="14.5" x14ac:dyDescent="0.25">
      <c r="A80" s="42"/>
      <c r="B80" s="42"/>
      <c r="C80" s="42" t="s">
        <v>457</v>
      </c>
      <c r="D80" s="44" t="s">
        <v>458</v>
      </c>
      <c r="E80" s="43">
        <f>Source!BZ37</f>
        <v>90</v>
      </c>
      <c r="F80" s="46"/>
      <c r="G80" s="45"/>
      <c r="H80" s="43"/>
      <c r="I80" s="46">
        <f>SUM(Q78:Q79)</f>
        <v>12.84</v>
      </c>
      <c r="J80" s="43">
        <f>Source!AT37</f>
        <v>90</v>
      </c>
      <c r="K80" s="46">
        <f>SUM(R78:R79)</f>
        <v>723.7</v>
      </c>
    </row>
    <row r="81" spans="1:29" ht="14.5" x14ac:dyDescent="0.25">
      <c r="A81" s="42"/>
      <c r="B81" s="42"/>
      <c r="C81" s="42" t="s">
        <v>459</v>
      </c>
      <c r="D81" s="44" t="s">
        <v>458</v>
      </c>
      <c r="E81" s="43">
        <f>Source!CA37</f>
        <v>46</v>
      </c>
      <c r="F81" s="46"/>
      <c r="G81" s="45"/>
      <c r="H81" s="43"/>
      <c r="I81" s="46">
        <f>SUM(S78:S80)</f>
        <v>6.56</v>
      </c>
      <c r="J81" s="43">
        <f>Source!AU37</f>
        <v>46</v>
      </c>
      <c r="K81" s="46">
        <f>SUM(T78:T80)</f>
        <v>369.89</v>
      </c>
    </row>
    <row r="82" spans="1:29" ht="14.5" x14ac:dyDescent="0.25">
      <c r="A82" s="50"/>
      <c r="B82" s="50"/>
      <c r="C82" s="50" t="s">
        <v>460</v>
      </c>
      <c r="D82" s="51" t="s">
        <v>461</v>
      </c>
      <c r="E82" s="52">
        <f>Source!AQ36</f>
        <v>3</v>
      </c>
      <c r="F82" s="53"/>
      <c r="G82" s="54" t="s">
        <v>454</v>
      </c>
      <c r="H82" s="52">
        <f>Source!AV37</f>
        <v>1.0469999999999999</v>
      </c>
      <c r="I82" s="53">
        <f>Source!U36</f>
        <v>1.1307599999999998</v>
      </c>
      <c r="J82" s="52"/>
      <c r="K82" s="53"/>
    </row>
    <row r="83" spans="1:29" ht="14" x14ac:dyDescent="0.25">
      <c r="C83" s="55" t="s">
        <v>462</v>
      </c>
      <c r="H83" s="56">
        <f>I79+I80+I81+0-0-0</f>
        <v>33.67</v>
      </c>
      <c r="I83" s="56"/>
      <c r="J83" s="56">
        <f>K79+K80+K81+0-0-0</f>
        <v>1897.6999999999998</v>
      </c>
      <c r="K83" s="56"/>
    </row>
    <row r="84" spans="1:29" ht="14" hidden="1" x14ac:dyDescent="0.25">
      <c r="C84" s="55" t="s">
        <v>463</v>
      </c>
      <c r="H84" s="58">
        <f>0+0</f>
        <v>0</v>
      </c>
      <c r="I84" s="58"/>
      <c r="J84" s="58">
        <f>0+0</f>
        <v>0</v>
      </c>
      <c r="K84" s="58"/>
    </row>
    <row r="85" spans="1:29" ht="14" x14ac:dyDescent="0.25">
      <c r="C85" s="55" t="s">
        <v>464</v>
      </c>
      <c r="H85" s="58">
        <f>I79+I80+I81+0</f>
        <v>33.67</v>
      </c>
      <c r="I85" s="58"/>
      <c r="J85" s="58">
        <f>K79+K80+K81+0</f>
        <v>1897.6999999999998</v>
      </c>
      <c r="K85" s="58"/>
      <c r="O85" s="59">
        <f>I79+I80+I81+0</f>
        <v>33.67</v>
      </c>
      <c r="P85" s="59">
        <f>K79+K80+K81+0</f>
        <v>1897.6999999999998</v>
      </c>
    </row>
    <row r="87" spans="1:29" ht="45.5" customHeight="1" x14ac:dyDescent="0.25">
      <c r="A87" s="42">
        <v>6</v>
      </c>
      <c r="B87" s="42" t="str">
        <f>Source!F38</f>
        <v>4.10-21-5</v>
      </c>
      <c r="C87" s="42" t="s">
        <v>53</v>
      </c>
      <c r="D87" s="44" t="str">
        <f>Source!H38</f>
        <v>1 комплект</v>
      </c>
      <c r="E87" s="43">
        <f>Source!I38</f>
        <v>14</v>
      </c>
      <c r="F87" s="46"/>
      <c r="G87" s="45"/>
      <c r="H87" s="43"/>
      <c r="I87" s="46"/>
      <c r="J87" s="43"/>
      <c r="K87" s="46"/>
      <c r="Q87">
        <f>Source!X38</f>
        <v>179.8</v>
      </c>
      <c r="R87">
        <f>Source!X39</f>
        <v>10131.84</v>
      </c>
      <c r="S87">
        <f>Source!Y38</f>
        <v>91.9</v>
      </c>
      <c r="T87">
        <f>Source!Y39</f>
        <v>5178.5</v>
      </c>
      <c r="U87">
        <f>ROUND((175/100)*ROUND(Source!R38, 2), 2)</f>
        <v>0</v>
      </c>
      <c r="V87">
        <f>ROUND((0/100)*ROUND(Source!R39, 2), 2)</f>
        <v>0</v>
      </c>
      <c r="AC87">
        <v>0</v>
      </c>
    </row>
    <row r="88" spans="1:29" ht="14.5" x14ac:dyDescent="0.25">
      <c r="A88" s="42"/>
      <c r="B88" s="42"/>
      <c r="C88" s="42" t="s">
        <v>453</v>
      </c>
      <c r="D88" s="44"/>
      <c r="E88" s="43"/>
      <c r="F88" s="46">
        <f>Source!AO38</f>
        <v>37.86</v>
      </c>
      <c r="G88" s="48" t="s">
        <v>454</v>
      </c>
      <c r="H88" s="43">
        <f>Source!AV39</f>
        <v>1.0469999999999999</v>
      </c>
      <c r="I88" s="46">
        <f>Source!S38</f>
        <v>199.78</v>
      </c>
      <c r="J88" s="43">
        <f>IF(Source!BA39&lt;&gt; 0, Source!BA39, 1)</f>
        <v>56.35</v>
      </c>
      <c r="K88" s="46">
        <f>Source!S39</f>
        <v>11257.6</v>
      </c>
    </row>
    <row r="89" spans="1:29" ht="14.5" x14ac:dyDescent="0.25">
      <c r="A89" s="42"/>
      <c r="B89" s="42"/>
      <c r="C89" s="42" t="s">
        <v>457</v>
      </c>
      <c r="D89" s="44" t="s">
        <v>458</v>
      </c>
      <c r="E89" s="43">
        <f>Source!BZ39</f>
        <v>90</v>
      </c>
      <c r="F89" s="46"/>
      <c r="G89" s="45"/>
      <c r="H89" s="43"/>
      <c r="I89" s="46">
        <f>SUM(Q87:Q88)</f>
        <v>179.8</v>
      </c>
      <c r="J89" s="43">
        <f>Source!AT39</f>
        <v>90</v>
      </c>
      <c r="K89" s="46">
        <f>SUM(R87:R88)</f>
        <v>10131.84</v>
      </c>
    </row>
    <row r="90" spans="1:29" ht="14.5" x14ac:dyDescent="0.25">
      <c r="A90" s="42"/>
      <c r="B90" s="42"/>
      <c r="C90" s="42" t="s">
        <v>459</v>
      </c>
      <c r="D90" s="44" t="s">
        <v>458</v>
      </c>
      <c r="E90" s="43">
        <f>Source!CA39</f>
        <v>46</v>
      </c>
      <c r="F90" s="46"/>
      <c r="G90" s="45"/>
      <c r="H90" s="43"/>
      <c r="I90" s="46">
        <f>SUM(S87:S89)</f>
        <v>91.9</v>
      </c>
      <c r="J90" s="43">
        <f>Source!AU39</f>
        <v>46</v>
      </c>
      <c r="K90" s="46">
        <f>SUM(T87:T89)</f>
        <v>5178.5</v>
      </c>
    </row>
    <row r="91" spans="1:29" ht="14.5" x14ac:dyDescent="0.25">
      <c r="A91" s="50"/>
      <c r="B91" s="50"/>
      <c r="C91" s="50" t="s">
        <v>460</v>
      </c>
      <c r="D91" s="51" t="s">
        <v>461</v>
      </c>
      <c r="E91" s="52">
        <f>Source!AQ38</f>
        <v>3</v>
      </c>
      <c r="F91" s="53"/>
      <c r="G91" s="54" t="s">
        <v>454</v>
      </c>
      <c r="H91" s="52">
        <f>Source!AV39</f>
        <v>1.0469999999999999</v>
      </c>
      <c r="I91" s="53">
        <f>Source!U38</f>
        <v>15.830639999999997</v>
      </c>
      <c r="J91" s="52"/>
      <c r="K91" s="53"/>
    </row>
    <row r="92" spans="1:29" ht="14" x14ac:dyDescent="0.25">
      <c r="C92" s="55" t="s">
        <v>462</v>
      </c>
      <c r="H92" s="56">
        <f>I88+I89+I90+0-0-0</f>
        <v>471.48</v>
      </c>
      <c r="I92" s="56"/>
      <c r="J92" s="56">
        <f>K88+K89+K90+0-0-0</f>
        <v>26567.940000000002</v>
      </c>
      <c r="K92" s="56"/>
    </row>
    <row r="93" spans="1:29" ht="14" hidden="1" x14ac:dyDescent="0.25">
      <c r="C93" s="55" t="s">
        <v>463</v>
      </c>
      <c r="H93" s="58">
        <f>0+0</f>
        <v>0</v>
      </c>
      <c r="I93" s="58"/>
      <c r="J93" s="58">
        <f>0+0</f>
        <v>0</v>
      </c>
      <c r="K93" s="58"/>
    </row>
    <row r="94" spans="1:29" ht="14" x14ac:dyDescent="0.25">
      <c r="C94" s="55" t="s">
        <v>464</v>
      </c>
      <c r="H94" s="58">
        <f>I88+I89+I90+0</f>
        <v>471.48</v>
      </c>
      <c r="I94" s="58"/>
      <c r="J94" s="58">
        <f>K88+K89+K90+0</f>
        <v>26567.940000000002</v>
      </c>
      <c r="K94" s="58"/>
      <c r="O94" s="59">
        <f>I88+I89+I90+0</f>
        <v>471.48</v>
      </c>
      <c r="P94" s="59">
        <f>K88+K89+K90+0</f>
        <v>26567.940000000002</v>
      </c>
    </row>
    <row r="96" spans="1:29" ht="33" customHeight="1" x14ac:dyDescent="0.25">
      <c r="A96" s="42">
        <v>7</v>
      </c>
      <c r="B96" s="42" t="str">
        <f>Source!F40</f>
        <v>4.10-174-1</v>
      </c>
      <c r="C96" s="42" t="s">
        <v>56</v>
      </c>
      <c r="D96" s="44" t="str">
        <f>Source!H40</f>
        <v>10 шт.</v>
      </c>
      <c r="E96" s="43">
        <f>Source!I40</f>
        <v>8.1</v>
      </c>
      <c r="F96" s="46"/>
      <c r="G96" s="45"/>
      <c r="H96" s="43"/>
      <c r="I96" s="46"/>
      <c r="J96" s="43"/>
      <c r="K96" s="46"/>
      <c r="Q96">
        <f>Source!X40</f>
        <v>680.21</v>
      </c>
      <c r="R96">
        <f>Source!X41</f>
        <v>38329.89</v>
      </c>
      <c r="S96">
        <f>Source!Y40</f>
        <v>347.66</v>
      </c>
      <c r="T96">
        <f>Source!Y41</f>
        <v>19590.830000000002</v>
      </c>
      <c r="U96">
        <f>ROUND((175/100)*ROUND(Source!R40, 2), 2)</f>
        <v>0.7</v>
      </c>
      <c r="V96">
        <f>ROUND((0/100)*ROUND(Source!R41, 2), 2)</f>
        <v>0</v>
      </c>
      <c r="AC96">
        <v>0</v>
      </c>
    </row>
    <row r="97" spans="1:29" x14ac:dyDescent="0.25">
      <c r="C97" s="47" t="str">
        <f>"Объем: "&amp;Source!I40&amp;"=81/"&amp;"10"</f>
        <v>Объем: 8,1=81/10</v>
      </c>
    </row>
    <row r="98" spans="1:29" ht="14.5" x14ac:dyDescent="0.25">
      <c r="A98" s="42"/>
      <c r="B98" s="42"/>
      <c r="C98" s="42" t="s">
        <v>453</v>
      </c>
      <c r="D98" s="44"/>
      <c r="E98" s="43"/>
      <c r="F98" s="46">
        <f>Source!AO40</f>
        <v>247.42</v>
      </c>
      <c r="G98" s="48" t="s">
        <v>454</v>
      </c>
      <c r="H98" s="43">
        <f>Source!AV41</f>
        <v>1.0469999999999999</v>
      </c>
      <c r="I98" s="46">
        <f>Source!S40</f>
        <v>755.39</v>
      </c>
      <c r="J98" s="43">
        <f>IF(Source!BA41&lt;&gt; 0, Source!BA41, 1)</f>
        <v>56.35</v>
      </c>
      <c r="K98" s="46">
        <f>Source!S41</f>
        <v>42566.23</v>
      </c>
    </row>
    <row r="99" spans="1:29" ht="14.5" x14ac:dyDescent="0.25">
      <c r="A99" s="42"/>
      <c r="B99" s="42"/>
      <c r="C99" s="42" t="s">
        <v>455</v>
      </c>
      <c r="D99" s="44"/>
      <c r="E99" s="43"/>
      <c r="F99" s="46">
        <f>Source!AM40</f>
        <v>2.36</v>
      </c>
      <c r="G99" s="48" t="s">
        <v>454</v>
      </c>
      <c r="H99" s="43">
        <f>Source!AV41</f>
        <v>1.0469999999999999</v>
      </c>
      <c r="I99" s="46">
        <f>Source!Q40</f>
        <v>7.21</v>
      </c>
      <c r="J99" s="43">
        <f>IF(Source!BB41&lt;&gt; 0, Source!BB41, 1)</f>
        <v>12.21</v>
      </c>
      <c r="K99" s="46">
        <f>Source!Q41</f>
        <v>88.03</v>
      </c>
    </row>
    <row r="100" spans="1:29" ht="14.5" x14ac:dyDescent="0.25">
      <c r="A100" s="42"/>
      <c r="B100" s="42"/>
      <c r="C100" s="42" t="s">
        <v>456</v>
      </c>
      <c r="D100" s="44"/>
      <c r="E100" s="43"/>
      <c r="F100" s="46">
        <f>Source!AN40</f>
        <v>0.13</v>
      </c>
      <c r="G100" s="48" t="s">
        <v>454</v>
      </c>
      <c r="H100" s="43">
        <f>Source!AV41</f>
        <v>1.0469999999999999</v>
      </c>
      <c r="I100" s="49">
        <f>Source!R40</f>
        <v>0.4</v>
      </c>
      <c r="J100" s="43">
        <f>IF(Source!BS41&lt;&gt; 0, Source!BS41, 1)</f>
        <v>56.35</v>
      </c>
      <c r="K100" s="49">
        <f>Source!R41</f>
        <v>22.54</v>
      </c>
    </row>
    <row r="101" spans="1:29" ht="14.5" x14ac:dyDescent="0.25">
      <c r="A101" s="42"/>
      <c r="B101" s="42"/>
      <c r="C101" s="42" t="s">
        <v>457</v>
      </c>
      <c r="D101" s="44" t="s">
        <v>458</v>
      </c>
      <c r="E101" s="43">
        <f>Source!BZ41</f>
        <v>90</v>
      </c>
      <c r="F101" s="46"/>
      <c r="G101" s="45"/>
      <c r="H101" s="43"/>
      <c r="I101" s="46">
        <f>SUM(Q96:Q100)</f>
        <v>680.21</v>
      </c>
      <c r="J101" s="43">
        <f>Source!AT41</f>
        <v>90</v>
      </c>
      <c r="K101" s="46">
        <f>SUM(R96:R100)</f>
        <v>38329.89</v>
      </c>
    </row>
    <row r="102" spans="1:29" ht="14.5" x14ac:dyDescent="0.25">
      <c r="A102" s="42"/>
      <c r="B102" s="42"/>
      <c r="C102" s="42" t="s">
        <v>459</v>
      </c>
      <c r="D102" s="44" t="s">
        <v>458</v>
      </c>
      <c r="E102" s="43">
        <f>Source!CA41</f>
        <v>46</v>
      </c>
      <c r="F102" s="46"/>
      <c r="G102" s="45"/>
      <c r="H102" s="43"/>
      <c r="I102" s="46">
        <f>SUM(S96:S101)</f>
        <v>347.66</v>
      </c>
      <c r="J102" s="43">
        <f>Source!AU41</f>
        <v>46</v>
      </c>
      <c r="K102" s="46">
        <f>SUM(T96:T101)</f>
        <v>19590.830000000002</v>
      </c>
    </row>
    <row r="103" spans="1:29" ht="14.5" x14ac:dyDescent="0.25">
      <c r="A103" s="50"/>
      <c r="B103" s="50"/>
      <c r="C103" s="50" t="s">
        <v>460</v>
      </c>
      <c r="D103" s="51" t="s">
        <v>461</v>
      </c>
      <c r="E103" s="52">
        <f>Source!AQ40</f>
        <v>15.54</v>
      </c>
      <c r="F103" s="53"/>
      <c r="G103" s="54" t="s">
        <v>454</v>
      </c>
      <c r="H103" s="52">
        <f>Source!AV41</f>
        <v>1.0469999999999999</v>
      </c>
      <c r="I103" s="53">
        <f>Source!U40</f>
        <v>47.444428079999987</v>
      </c>
      <c r="J103" s="52"/>
      <c r="K103" s="53"/>
    </row>
    <row r="104" spans="1:29" ht="14" x14ac:dyDescent="0.25">
      <c r="C104" s="55" t="s">
        <v>462</v>
      </c>
      <c r="H104" s="56">
        <f>I98+I99+I101+I102+0-0-0</f>
        <v>1790.47</v>
      </c>
      <c r="I104" s="56"/>
      <c r="J104" s="56">
        <f>K98+K99+K101+K102+0-0-0</f>
        <v>100574.98</v>
      </c>
      <c r="K104" s="56"/>
    </row>
    <row r="105" spans="1:29" ht="14" hidden="1" x14ac:dyDescent="0.25">
      <c r="C105" s="55" t="s">
        <v>463</v>
      </c>
      <c r="H105" s="58">
        <f>0+0</f>
        <v>0</v>
      </c>
      <c r="I105" s="58"/>
      <c r="J105" s="58">
        <f>0+0</f>
        <v>0</v>
      </c>
      <c r="K105" s="58"/>
    </row>
    <row r="106" spans="1:29" ht="14" x14ac:dyDescent="0.25">
      <c r="C106" s="55" t="s">
        <v>464</v>
      </c>
      <c r="H106" s="58">
        <f>I98+I99+I101+I102+0</f>
        <v>1790.47</v>
      </c>
      <c r="I106" s="58"/>
      <c r="J106" s="58">
        <f>K98+K99+K101+K102+0</f>
        <v>100574.98</v>
      </c>
      <c r="K106" s="58"/>
      <c r="O106" s="59">
        <f>I98+I99+I101+I102+0</f>
        <v>1790.47</v>
      </c>
      <c r="P106" s="59">
        <f>K98+K99+K101+K102+0</f>
        <v>100574.98</v>
      </c>
    </row>
    <row r="108" spans="1:29" ht="33" customHeight="1" x14ac:dyDescent="0.25">
      <c r="A108" s="42">
        <v>8</v>
      </c>
      <c r="B108" s="42" t="str">
        <f>Source!F42</f>
        <v>4.10-174-2</v>
      </c>
      <c r="C108" s="42" t="s">
        <v>61</v>
      </c>
      <c r="D108" s="44" t="str">
        <f>Source!H42</f>
        <v>10 шт.</v>
      </c>
      <c r="E108" s="43">
        <f>Source!I42</f>
        <v>1.8</v>
      </c>
      <c r="F108" s="46"/>
      <c r="G108" s="45"/>
      <c r="H108" s="43"/>
      <c r="I108" s="46"/>
      <c r="J108" s="43"/>
      <c r="K108" s="46"/>
      <c r="Q108">
        <f>Source!X42</f>
        <v>245.1</v>
      </c>
      <c r="R108">
        <f>Source!X43</f>
        <v>13811.21</v>
      </c>
      <c r="S108">
        <f>Source!Y42</f>
        <v>125.27</v>
      </c>
      <c r="T108">
        <f>Source!Y43</f>
        <v>7059.06</v>
      </c>
      <c r="U108">
        <f>ROUND((175/100)*ROUND(Source!R42, 2), 2)</f>
        <v>0.16</v>
      </c>
      <c r="V108">
        <f>ROUND((0/100)*ROUND(Source!R43, 2), 2)</f>
        <v>0</v>
      </c>
      <c r="AC108">
        <v>0</v>
      </c>
    </row>
    <row r="109" spans="1:29" x14ac:dyDescent="0.25">
      <c r="C109" s="47" t="str">
        <f>"Объем: "&amp;Source!I42&amp;"=(14+"&amp;"4)/"&amp;"10"</f>
        <v>Объем: 1,8=(14+4)/10</v>
      </c>
    </row>
    <row r="110" spans="1:29" ht="14.5" x14ac:dyDescent="0.25">
      <c r="A110" s="42"/>
      <c r="B110" s="42"/>
      <c r="C110" s="42" t="s">
        <v>453</v>
      </c>
      <c r="D110" s="44"/>
      <c r="E110" s="43"/>
      <c r="F110" s="46">
        <f>Source!AO42</f>
        <v>401.27</v>
      </c>
      <c r="G110" s="48" t="s">
        <v>454</v>
      </c>
      <c r="H110" s="43">
        <f>Source!AV43</f>
        <v>1.0469999999999999</v>
      </c>
      <c r="I110" s="46">
        <f>Source!S42</f>
        <v>272.24</v>
      </c>
      <c r="J110" s="43">
        <f>IF(Source!BA43&lt;&gt; 0, Source!BA43, 1)</f>
        <v>56.35</v>
      </c>
      <c r="K110" s="46">
        <f>Source!S43</f>
        <v>15340.72</v>
      </c>
    </row>
    <row r="111" spans="1:29" ht="14.5" x14ac:dyDescent="0.25">
      <c r="A111" s="42"/>
      <c r="B111" s="42"/>
      <c r="C111" s="42" t="s">
        <v>455</v>
      </c>
      <c r="D111" s="44"/>
      <c r="E111" s="43"/>
      <c r="F111" s="46">
        <f>Source!AM42</f>
        <v>2.36</v>
      </c>
      <c r="G111" s="48" t="s">
        <v>454</v>
      </c>
      <c r="H111" s="43">
        <f>Source!AV43</f>
        <v>1.0469999999999999</v>
      </c>
      <c r="I111" s="46">
        <f>Source!Q42</f>
        <v>1.6</v>
      </c>
      <c r="J111" s="43">
        <f>IF(Source!BB43&lt;&gt; 0, Source!BB43, 1)</f>
        <v>12.21</v>
      </c>
      <c r="K111" s="46">
        <f>Source!Q43</f>
        <v>19.54</v>
      </c>
    </row>
    <row r="112" spans="1:29" ht="14.5" x14ac:dyDescent="0.25">
      <c r="A112" s="42"/>
      <c r="B112" s="42"/>
      <c r="C112" s="42" t="s">
        <v>456</v>
      </c>
      <c r="D112" s="44"/>
      <c r="E112" s="43"/>
      <c r="F112" s="46">
        <f>Source!AN42</f>
        <v>0.13</v>
      </c>
      <c r="G112" s="48" t="s">
        <v>454</v>
      </c>
      <c r="H112" s="43">
        <f>Source!AV43</f>
        <v>1.0469999999999999</v>
      </c>
      <c r="I112" s="49">
        <f>Source!R42</f>
        <v>0.09</v>
      </c>
      <c r="J112" s="43">
        <f>IF(Source!BS43&lt;&gt; 0, Source!BS43, 1)</f>
        <v>56.35</v>
      </c>
      <c r="K112" s="49">
        <f>Source!R43</f>
        <v>5.07</v>
      </c>
    </row>
    <row r="113" spans="1:43" ht="14.5" x14ac:dyDescent="0.25">
      <c r="A113" s="42"/>
      <c r="B113" s="42"/>
      <c r="C113" s="42" t="s">
        <v>457</v>
      </c>
      <c r="D113" s="44" t="s">
        <v>458</v>
      </c>
      <c r="E113" s="43">
        <f>Source!BZ43</f>
        <v>90</v>
      </c>
      <c r="F113" s="46"/>
      <c r="G113" s="45"/>
      <c r="H113" s="43"/>
      <c r="I113" s="46">
        <f>SUM(Q108:Q112)</f>
        <v>245.1</v>
      </c>
      <c r="J113" s="43">
        <f>Source!AT43</f>
        <v>90</v>
      </c>
      <c r="K113" s="46">
        <f>SUM(R108:R112)</f>
        <v>13811.21</v>
      </c>
    </row>
    <row r="114" spans="1:43" ht="14.5" x14ac:dyDescent="0.25">
      <c r="A114" s="42"/>
      <c r="B114" s="42"/>
      <c r="C114" s="42" t="s">
        <v>459</v>
      </c>
      <c r="D114" s="44" t="s">
        <v>458</v>
      </c>
      <c r="E114" s="43">
        <f>Source!CA43</f>
        <v>46</v>
      </c>
      <c r="F114" s="46"/>
      <c r="G114" s="45"/>
      <c r="H114" s="43"/>
      <c r="I114" s="46">
        <f>SUM(S108:S113)</f>
        <v>125.27</v>
      </c>
      <c r="J114" s="43">
        <f>Source!AU43</f>
        <v>46</v>
      </c>
      <c r="K114" s="46">
        <f>SUM(T108:T113)</f>
        <v>7059.06</v>
      </c>
    </row>
    <row r="115" spans="1:43" ht="14.5" x14ac:dyDescent="0.25">
      <c r="A115" s="50"/>
      <c r="B115" s="50"/>
      <c r="C115" s="50" t="s">
        <v>460</v>
      </c>
      <c r="D115" s="51" t="s">
        <v>461</v>
      </c>
      <c r="E115" s="52">
        <f>Source!AQ42</f>
        <v>25.33</v>
      </c>
      <c r="F115" s="53"/>
      <c r="G115" s="54" t="s">
        <v>454</v>
      </c>
      <c r="H115" s="52">
        <f>Source!AV43</f>
        <v>1.0469999999999999</v>
      </c>
      <c r="I115" s="53">
        <f>Source!U42</f>
        <v>17.185290479999995</v>
      </c>
      <c r="J115" s="52"/>
      <c r="K115" s="53"/>
    </row>
    <row r="116" spans="1:43" ht="14" x14ac:dyDescent="0.25">
      <c r="C116" s="55" t="s">
        <v>462</v>
      </c>
      <c r="H116" s="56">
        <f>I110+I111+I113+I114+0-0-0</f>
        <v>644.21</v>
      </c>
      <c r="I116" s="56"/>
      <c r="J116" s="56">
        <f>K110+K111+K113+K114+0-0-0</f>
        <v>36230.53</v>
      </c>
      <c r="K116" s="56"/>
    </row>
    <row r="117" spans="1:43" ht="14" hidden="1" x14ac:dyDescent="0.25">
      <c r="C117" s="55" t="s">
        <v>463</v>
      </c>
      <c r="H117" s="58">
        <f>0+0</f>
        <v>0</v>
      </c>
      <c r="I117" s="58"/>
      <c r="J117" s="58">
        <f>0+0</f>
        <v>0</v>
      </c>
      <c r="K117" s="58"/>
    </row>
    <row r="118" spans="1:43" ht="14" x14ac:dyDescent="0.25">
      <c r="C118" s="55" t="s">
        <v>464</v>
      </c>
      <c r="H118" s="58">
        <f>I110+I111+I113+I114+0</f>
        <v>644.21</v>
      </c>
      <c r="I118" s="58"/>
      <c r="J118" s="58">
        <f>K110+K111+K113+K114+0</f>
        <v>36230.53</v>
      </c>
      <c r="K118" s="58"/>
      <c r="O118" s="59">
        <f>I110+I111+I113+I114+0</f>
        <v>644.21</v>
      </c>
      <c r="P118" s="59">
        <f>K110+K111+K113+K114+0</f>
        <v>36230.53</v>
      </c>
    </row>
    <row r="120" spans="1:43" hidden="1" x14ac:dyDescent="0.25"/>
    <row r="121" spans="1:43" ht="28" x14ac:dyDescent="0.3">
      <c r="A121" s="60" t="str">
        <f>CONCATENATE("Итого по разделу: ",IF(Source!G45&lt;&gt;"Новый раздел", Source!G45, ""))</f>
        <v>Итого по разделу: Демонтажные работы (Письмо от АНО «РГТ» об утверждении объёмов демонтажных работ)</v>
      </c>
      <c r="B121" s="60"/>
      <c r="C121" s="60"/>
      <c r="D121" s="60"/>
      <c r="E121" s="60"/>
      <c r="F121" s="60"/>
      <c r="G121" s="60"/>
      <c r="H121" s="58">
        <f>SUM(O38:O120)</f>
        <v>3775.02</v>
      </c>
      <c r="I121" s="57"/>
      <c r="J121" s="58">
        <f>SUM(P38:P120)</f>
        <v>209724.68</v>
      </c>
      <c r="K121" s="57"/>
      <c r="AQ121" s="61" t="str">
        <f>CONCATENATE("Итого по разделу: ",IF(Source!G45&lt;&gt;"Новый раздел", Source!G45, ""))</f>
        <v>Итого по разделу: Демонтажные работы (Письмо от АНО «РГТ» об утверждении объёмов демонтажных работ)</v>
      </c>
    </row>
    <row r="122" spans="1:43" hidden="1" x14ac:dyDescent="0.25">
      <c r="A122" t="s">
        <v>465</v>
      </c>
      <c r="I122">
        <f>SUM(W38:W121)</f>
        <v>0</v>
      </c>
      <c r="J122">
        <f>SUM(X38:X121)</f>
        <v>0</v>
      </c>
    </row>
    <row r="123" spans="1:43" hidden="1" x14ac:dyDescent="0.25">
      <c r="A123" t="s">
        <v>466</v>
      </c>
      <c r="I123">
        <f>SUM(Y38:Y122)</f>
        <v>0</v>
      </c>
      <c r="J123">
        <f>SUM(Z38:Z122)</f>
        <v>0</v>
      </c>
    </row>
    <row r="125" spans="1:43" ht="16.5" x14ac:dyDescent="0.25">
      <c r="A125" s="40" t="str">
        <f>CONCATENATE("Раздел: ",IF(Source!G75&lt;&gt;"Новый раздел", Source!G75, ""))</f>
        <v>Раздел: Сетевые приборы СОТ</v>
      </c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 spans="1:43" ht="14.5" x14ac:dyDescent="0.25">
      <c r="A126" s="42">
        <v>9</v>
      </c>
      <c r="B126" s="42" t="str">
        <f>Source!F79</f>
        <v>4.10-34-5</v>
      </c>
      <c r="C126" s="42" t="s">
        <v>119</v>
      </c>
      <c r="D126" s="44" t="str">
        <f>Source!H79</f>
        <v>1  ШТ.</v>
      </c>
      <c r="E126" s="43">
        <f>Source!I79</f>
        <v>1</v>
      </c>
      <c r="F126" s="46"/>
      <c r="G126" s="45"/>
      <c r="H126" s="43"/>
      <c r="I126" s="46"/>
      <c r="J126" s="43"/>
      <c r="K126" s="46"/>
      <c r="Q126">
        <f>Source!X79</f>
        <v>92.04</v>
      </c>
      <c r="R126">
        <f>Source!X80</f>
        <v>5186.63</v>
      </c>
      <c r="S126">
        <f>Source!Y79</f>
        <v>47.04</v>
      </c>
      <c r="T126">
        <f>Source!Y80</f>
        <v>2650.94</v>
      </c>
      <c r="U126">
        <f>ROUND((175/100)*ROUND(Source!R79, 2), 2)</f>
        <v>6.95</v>
      </c>
      <c r="V126">
        <f>ROUND((0/100)*ROUND(Source!R80, 2), 2)</f>
        <v>0</v>
      </c>
      <c r="AC126">
        <v>0</v>
      </c>
    </row>
    <row r="127" spans="1:43" ht="14.5" x14ac:dyDescent="0.25">
      <c r="A127" s="42"/>
      <c r="B127" s="42"/>
      <c r="C127" s="42" t="s">
        <v>453</v>
      </c>
      <c r="D127" s="44"/>
      <c r="E127" s="43"/>
      <c r="F127" s="46">
        <f>Source!AO79</f>
        <v>78.239999999999995</v>
      </c>
      <c r="G127" s="48" t="s">
        <v>130</v>
      </c>
      <c r="H127" s="43">
        <f>Source!AV80</f>
        <v>1.0469999999999999</v>
      </c>
      <c r="I127" s="46">
        <f>Source!S79</f>
        <v>98.3</v>
      </c>
      <c r="J127" s="43">
        <f>IF(Source!BA80&lt;&gt; 0, Source!BA80, 1)</f>
        <v>56.35</v>
      </c>
      <c r="K127" s="46">
        <f>Source!S80</f>
        <v>5539.21</v>
      </c>
    </row>
    <row r="128" spans="1:43" ht="14.5" x14ac:dyDescent="0.25">
      <c r="A128" s="42"/>
      <c r="B128" s="42"/>
      <c r="C128" s="42" t="s">
        <v>455</v>
      </c>
      <c r="D128" s="44"/>
      <c r="E128" s="43"/>
      <c r="F128" s="46">
        <f>Source!AM79</f>
        <v>28.71</v>
      </c>
      <c r="G128" s="48" t="s">
        <v>130</v>
      </c>
      <c r="H128" s="43">
        <f>Source!AV80</f>
        <v>1.0469999999999999</v>
      </c>
      <c r="I128" s="46">
        <f>Source!Q79</f>
        <v>36.07</v>
      </c>
      <c r="J128" s="43">
        <f>IF(Source!BB80&lt;&gt; 0, Source!BB80, 1)</f>
        <v>16.16</v>
      </c>
      <c r="K128" s="46">
        <f>Source!Q80</f>
        <v>582.89</v>
      </c>
    </row>
    <row r="129" spans="1:29" ht="14.5" x14ac:dyDescent="0.25">
      <c r="A129" s="42"/>
      <c r="B129" s="42"/>
      <c r="C129" s="42" t="s">
        <v>456</v>
      </c>
      <c r="D129" s="44"/>
      <c r="E129" s="43"/>
      <c r="F129" s="46">
        <f>Source!AN79</f>
        <v>3.16</v>
      </c>
      <c r="G129" s="48" t="s">
        <v>130</v>
      </c>
      <c r="H129" s="43">
        <f>Source!AV80</f>
        <v>1.0469999999999999</v>
      </c>
      <c r="I129" s="49">
        <f>Source!R79</f>
        <v>3.97</v>
      </c>
      <c r="J129" s="43">
        <f>IF(Source!BS80&lt;&gt; 0, Source!BS80, 1)</f>
        <v>56.35</v>
      </c>
      <c r="K129" s="49">
        <f>Source!R80</f>
        <v>223.71</v>
      </c>
    </row>
    <row r="130" spans="1:29" ht="14.5" x14ac:dyDescent="0.25">
      <c r="A130" s="42"/>
      <c r="B130" s="42"/>
      <c r="C130" s="42" t="s">
        <v>467</v>
      </c>
      <c r="D130" s="44"/>
      <c r="E130" s="43"/>
      <c r="F130" s="46">
        <f>Source!AL79</f>
        <v>12.35</v>
      </c>
      <c r="G130" s="48" t="s">
        <v>3</v>
      </c>
      <c r="H130" s="43">
        <f>Source!AW80</f>
        <v>1</v>
      </c>
      <c r="I130" s="46">
        <f>Source!P79</f>
        <v>12.35</v>
      </c>
      <c r="J130" s="43">
        <f>IF(Source!BC80&lt;&gt; 0, Source!BC80, 1)</f>
        <v>14.7</v>
      </c>
      <c r="K130" s="46">
        <f>Source!P80</f>
        <v>181.55</v>
      </c>
    </row>
    <row r="131" spans="1:29" ht="96" x14ac:dyDescent="0.25">
      <c r="A131" s="62" t="s">
        <v>123</v>
      </c>
      <c r="B131" s="62" t="str">
        <f>Source!F81</f>
        <v>КА, п.1</v>
      </c>
      <c r="C131" s="62" t="s">
        <v>468</v>
      </c>
      <c r="D131" s="63" t="str">
        <f>Source!H81</f>
        <v>ШТ</v>
      </c>
      <c r="E131" s="64">
        <f>Source!I81</f>
        <v>1</v>
      </c>
      <c r="F131" s="65">
        <f>Source!AK81</f>
        <v>50603.12</v>
      </c>
      <c r="G131" s="67" t="s">
        <v>3</v>
      </c>
      <c r="H131" s="64">
        <f>Source!AW82</f>
        <v>1</v>
      </c>
      <c r="I131" s="65">
        <f>Source!O81</f>
        <v>50603.12</v>
      </c>
      <c r="J131" s="64">
        <f>IF(Source!BC82&lt;&gt; 0, Source!BC82, 1)</f>
        <v>7.57</v>
      </c>
      <c r="K131" s="65">
        <f>Source!O82</f>
        <v>383065.62</v>
      </c>
      <c r="Q131">
        <f>Source!X81</f>
        <v>0</v>
      </c>
      <c r="R131">
        <f>Source!X82</f>
        <v>0</v>
      </c>
      <c r="S131">
        <f>Source!Y81</f>
        <v>0</v>
      </c>
      <c r="T131">
        <f>Source!Y82</f>
        <v>0</v>
      </c>
      <c r="U131">
        <f>ROUND((175/100)*ROUND(Source!R81, 2), 2)</f>
        <v>0</v>
      </c>
      <c r="V131">
        <f>ROUND((0/100)*ROUND(Source!R82, 2), 2)</f>
        <v>0</v>
      </c>
      <c r="AC131">
        <v>5</v>
      </c>
    </row>
    <row r="132" spans="1:29" ht="14.5" x14ac:dyDescent="0.25">
      <c r="A132" s="42"/>
      <c r="B132" s="42"/>
      <c r="C132" s="42" t="s">
        <v>457</v>
      </c>
      <c r="D132" s="44" t="s">
        <v>458</v>
      </c>
      <c r="E132" s="43">
        <f>Source!BZ80</f>
        <v>90</v>
      </c>
      <c r="F132" s="46"/>
      <c r="G132" s="45"/>
      <c r="H132" s="43"/>
      <c r="I132" s="46">
        <f>SUM(Q126:Q131)</f>
        <v>92.04</v>
      </c>
      <c r="J132" s="43">
        <f>Source!AT80</f>
        <v>90</v>
      </c>
      <c r="K132" s="46">
        <f>SUM(R126:R131)</f>
        <v>5186.63</v>
      </c>
    </row>
    <row r="133" spans="1:29" ht="14.5" x14ac:dyDescent="0.25">
      <c r="A133" s="42"/>
      <c r="B133" s="42"/>
      <c r="C133" s="42" t="s">
        <v>459</v>
      </c>
      <c r="D133" s="44" t="s">
        <v>458</v>
      </c>
      <c r="E133" s="43">
        <f>Source!CA80</f>
        <v>46</v>
      </c>
      <c r="F133" s="46"/>
      <c r="G133" s="45"/>
      <c r="H133" s="43"/>
      <c r="I133" s="46">
        <f>SUM(S126:S132)</f>
        <v>47.04</v>
      </c>
      <c r="J133" s="43">
        <f>Source!AU80</f>
        <v>46</v>
      </c>
      <c r="K133" s="46">
        <f>SUM(T126:T132)</f>
        <v>2650.94</v>
      </c>
    </row>
    <row r="134" spans="1:29" ht="14.5" x14ac:dyDescent="0.25">
      <c r="A134" s="50"/>
      <c r="B134" s="50"/>
      <c r="C134" s="50" t="s">
        <v>460</v>
      </c>
      <c r="D134" s="51" t="s">
        <v>461</v>
      </c>
      <c r="E134" s="52">
        <f>Source!AQ79</f>
        <v>6.2</v>
      </c>
      <c r="F134" s="53"/>
      <c r="G134" s="54" t="s">
        <v>130</v>
      </c>
      <c r="H134" s="52">
        <f>Source!AV80</f>
        <v>1.0469999999999999</v>
      </c>
      <c r="I134" s="53">
        <f>Source!U79</f>
        <v>7.7896799999999988</v>
      </c>
      <c r="J134" s="52"/>
      <c r="K134" s="53"/>
    </row>
    <row r="135" spans="1:29" ht="14" x14ac:dyDescent="0.25">
      <c r="C135" s="55" t="s">
        <v>462</v>
      </c>
      <c r="H135" s="56">
        <f>I127+I128+I130+I132+I133+SUM(I131:I131)-SUMIF(AC131:AC131, 5, I131:I131)-SUMIF(AC131:AC131, 6, I131:I131)</f>
        <v>285.80000000000291</v>
      </c>
      <c r="I135" s="56"/>
      <c r="J135" s="56">
        <f>K127+K128+K130+K132+K133+SUM(K131:K131)-SUMIF(AC131:AC131, 5, K131:K131)-SUMIF(AC131:AC131, 6, K131:K131)</f>
        <v>14141.219999999972</v>
      </c>
      <c r="K135" s="56"/>
    </row>
    <row r="136" spans="1:29" ht="14" x14ac:dyDescent="0.25">
      <c r="C136" s="55" t="s">
        <v>463</v>
      </c>
      <c r="H136" s="58">
        <f>SUMIF(AC131:AC131, 5, I131:I131)+SUMIF(AC131:AC131, 6, I131:I131)</f>
        <v>50603.12</v>
      </c>
      <c r="I136" s="58"/>
      <c r="J136" s="58">
        <f>SUMIF(AC131:AC131, 5, K131:K131)+SUMIF(AC131:AC131, 6, K131:K131)</f>
        <v>383065.62</v>
      </c>
      <c r="K136" s="58"/>
    </row>
    <row r="137" spans="1:29" ht="14" x14ac:dyDescent="0.25">
      <c r="C137" s="55" t="s">
        <v>464</v>
      </c>
      <c r="H137" s="58">
        <f>I127+I128+I130+I132+I133+SUM(I131:I131)</f>
        <v>50888.920000000006</v>
      </c>
      <c r="I137" s="58"/>
      <c r="J137" s="58">
        <f>K127+K128+K130+K132+K133+SUM(K131:K131)</f>
        <v>397206.83999999997</v>
      </c>
      <c r="K137" s="58"/>
      <c r="O137" s="59">
        <f>I127+I128+I130+I132+I133+SUM(I131:I131)</f>
        <v>50888.920000000006</v>
      </c>
      <c r="P137" s="59">
        <f>K127+K128+K130+K132+K133+SUM(K131:K131)</f>
        <v>397206.83999999997</v>
      </c>
    </row>
    <row r="139" spans="1:29" ht="43.5" x14ac:dyDescent="0.25">
      <c r="A139" s="42">
        <v>10</v>
      </c>
      <c r="B139" s="42" t="str">
        <f>Source!F85</f>
        <v>4.10-72-14</v>
      </c>
      <c r="C139" s="42" t="s">
        <v>137</v>
      </c>
      <c r="D139" s="44" t="str">
        <f>Source!H85</f>
        <v>1 устройство</v>
      </c>
      <c r="E139" s="43">
        <f>Source!I85</f>
        <v>1</v>
      </c>
      <c r="F139" s="46"/>
      <c r="G139" s="45"/>
      <c r="H139" s="43"/>
      <c r="I139" s="46"/>
      <c r="J139" s="43"/>
      <c r="K139" s="46"/>
      <c r="Q139">
        <f>Source!X85</f>
        <v>113.53</v>
      </c>
      <c r="R139">
        <f>Source!X86</f>
        <v>6397.67</v>
      </c>
      <c r="S139">
        <f>Source!Y85</f>
        <v>63.34</v>
      </c>
      <c r="T139">
        <f>Source!Y86</f>
        <v>3569.23</v>
      </c>
      <c r="U139">
        <f>ROUND((175/100)*ROUND(Source!R85, 2), 2)</f>
        <v>0</v>
      </c>
      <c r="V139">
        <f>ROUND((0/100)*ROUND(Source!R86, 2), 2)</f>
        <v>0</v>
      </c>
      <c r="AC139">
        <v>0</v>
      </c>
    </row>
    <row r="140" spans="1:29" ht="14.5" x14ac:dyDescent="0.25">
      <c r="A140" s="42"/>
      <c r="B140" s="42"/>
      <c r="C140" s="42" t="s">
        <v>453</v>
      </c>
      <c r="D140" s="44"/>
      <c r="E140" s="43"/>
      <c r="F140" s="46">
        <f>Source!AO85</f>
        <v>95.12</v>
      </c>
      <c r="G140" s="48" t="s">
        <v>130</v>
      </c>
      <c r="H140" s="43">
        <f>Source!AV86</f>
        <v>1.0469999999999999</v>
      </c>
      <c r="I140" s="46">
        <f>Source!S85</f>
        <v>119.51</v>
      </c>
      <c r="J140" s="43">
        <f>IF(Source!BA86&lt;&gt; 0, Source!BA86, 1)</f>
        <v>56.35</v>
      </c>
      <c r="K140" s="46">
        <f>Source!S86</f>
        <v>6734.39</v>
      </c>
    </row>
    <row r="141" spans="1:29" ht="14.5" x14ac:dyDescent="0.25">
      <c r="A141" s="42"/>
      <c r="B141" s="42"/>
      <c r="C141" s="42" t="s">
        <v>467</v>
      </c>
      <c r="D141" s="44"/>
      <c r="E141" s="43"/>
      <c r="F141" s="46">
        <f>Source!AL85</f>
        <v>1.1000000000000001</v>
      </c>
      <c r="G141" s="48" t="s">
        <v>3</v>
      </c>
      <c r="H141" s="43">
        <f>Source!AW86</f>
        <v>1</v>
      </c>
      <c r="I141" s="46">
        <f>Source!P85</f>
        <v>1.1000000000000001</v>
      </c>
      <c r="J141" s="43">
        <f>IF(Source!BC86&lt;&gt; 0, Source!BC86, 1)</f>
        <v>16.59</v>
      </c>
      <c r="K141" s="46">
        <f>Source!P86</f>
        <v>18.25</v>
      </c>
    </row>
    <row r="142" spans="1:29" ht="14.5" x14ac:dyDescent="0.25">
      <c r="A142" s="42"/>
      <c r="B142" s="42"/>
      <c r="C142" s="42" t="s">
        <v>457</v>
      </c>
      <c r="D142" s="44" t="s">
        <v>458</v>
      </c>
      <c r="E142" s="43">
        <f>Source!BZ86</f>
        <v>95</v>
      </c>
      <c r="F142" s="46"/>
      <c r="G142" s="45"/>
      <c r="H142" s="43"/>
      <c r="I142" s="46">
        <f>SUM(Q139:Q141)</f>
        <v>113.53</v>
      </c>
      <c r="J142" s="43">
        <f>Source!AT86</f>
        <v>95</v>
      </c>
      <c r="K142" s="46">
        <f>SUM(R139:R141)</f>
        <v>6397.67</v>
      </c>
    </row>
    <row r="143" spans="1:29" ht="14.5" x14ac:dyDescent="0.25">
      <c r="A143" s="42"/>
      <c r="B143" s="42"/>
      <c r="C143" s="42" t="s">
        <v>459</v>
      </c>
      <c r="D143" s="44" t="s">
        <v>458</v>
      </c>
      <c r="E143" s="43">
        <f>Source!CA86</f>
        <v>53</v>
      </c>
      <c r="F143" s="46"/>
      <c r="G143" s="45"/>
      <c r="H143" s="43"/>
      <c r="I143" s="46">
        <f>SUM(S139:S142)</f>
        <v>63.34</v>
      </c>
      <c r="J143" s="43">
        <f>Source!AU86</f>
        <v>53</v>
      </c>
      <c r="K143" s="46">
        <f>SUM(T139:T142)</f>
        <v>3569.23</v>
      </c>
    </row>
    <row r="144" spans="1:29" ht="14.5" x14ac:dyDescent="0.25">
      <c r="A144" s="50"/>
      <c r="B144" s="50"/>
      <c r="C144" s="50" t="s">
        <v>460</v>
      </c>
      <c r="D144" s="51" t="s">
        <v>461</v>
      </c>
      <c r="E144" s="52">
        <f>Source!AQ85</f>
        <v>8</v>
      </c>
      <c r="F144" s="53"/>
      <c r="G144" s="54" t="s">
        <v>130</v>
      </c>
      <c r="H144" s="52">
        <f>Source!AV86</f>
        <v>1.0469999999999999</v>
      </c>
      <c r="I144" s="53">
        <f>Source!U85</f>
        <v>10.0512</v>
      </c>
      <c r="J144" s="52"/>
      <c r="K144" s="53"/>
    </row>
    <row r="145" spans="1:29" ht="14" x14ac:dyDescent="0.25">
      <c r="C145" s="55" t="s">
        <v>462</v>
      </c>
      <c r="H145" s="56">
        <f>I140+I141+I142+I143+0-0-0</f>
        <v>297.48</v>
      </c>
      <c r="I145" s="56"/>
      <c r="J145" s="56">
        <f>K140+K141+K142+K143+0-0-0</f>
        <v>16719.54</v>
      </c>
      <c r="K145" s="56"/>
    </row>
    <row r="146" spans="1:29" ht="14" hidden="1" x14ac:dyDescent="0.25">
      <c r="C146" s="55" t="s">
        <v>463</v>
      </c>
      <c r="H146" s="58">
        <f>0+0</f>
        <v>0</v>
      </c>
      <c r="I146" s="58"/>
      <c r="J146" s="58">
        <f>0+0</f>
        <v>0</v>
      </c>
      <c r="K146" s="58"/>
    </row>
    <row r="147" spans="1:29" ht="14" x14ac:dyDescent="0.25">
      <c r="C147" s="55" t="s">
        <v>464</v>
      </c>
      <c r="H147" s="58">
        <f>I140+I141+I142+I143+0</f>
        <v>297.48</v>
      </c>
      <c r="I147" s="58"/>
      <c r="J147" s="58">
        <f>K140+K141+K142+K143+0</f>
        <v>16719.54</v>
      </c>
      <c r="K147" s="58"/>
      <c r="O147" s="59">
        <f>I140+I141+I142+I143+0</f>
        <v>297.48</v>
      </c>
      <c r="P147" s="59">
        <f>K140+K141+K142+K143+0</f>
        <v>16719.54</v>
      </c>
    </row>
    <row r="149" spans="1:29" ht="344.5" customHeight="1" x14ac:dyDescent="0.25">
      <c r="A149" s="62">
        <v>11</v>
      </c>
      <c r="B149" s="62" t="str">
        <f>Source!F87</f>
        <v>КА, п.2</v>
      </c>
      <c r="C149" s="62" t="s">
        <v>469</v>
      </c>
      <c r="D149" s="63"/>
      <c r="E149" s="64"/>
      <c r="F149" s="65"/>
      <c r="G149" s="66"/>
      <c r="H149" s="64"/>
      <c r="I149" s="65"/>
      <c r="J149" s="64"/>
      <c r="K149" s="65"/>
    </row>
    <row r="150" spans="1:29" ht="255.5" customHeight="1" x14ac:dyDescent="0.25">
      <c r="A150" s="68"/>
      <c r="B150" s="68"/>
      <c r="C150" s="68" t="s">
        <v>470</v>
      </c>
      <c r="D150" s="69" t="str">
        <f>Source!H87</f>
        <v>ШТ</v>
      </c>
      <c r="E150" s="70">
        <f>Source!I87</f>
        <v>1</v>
      </c>
      <c r="F150" s="71">
        <f>Source!AL87</f>
        <v>465031.79000000004</v>
      </c>
      <c r="G150" s="72" t="s">
        <v>3</v>
      </c>
      <c r="H150" s="70">
        <f>Source!AW88</f>
        <v>1</v>
      </c>
      <c r="I150" s="71">
        <f>Source!P87</f>
        <v>465031.79</v>
      </c>
      <c r="J150" s="70">
        <f>IF(Source!BC88&lt;&gt; 0, Source!BC88, 1)</f>
        <v>7.57</v>
      </c>
      <c r="K150" s="71">
        <f>Source!P88</f>
        <v>3520290.65</v>
      </c>
      <c r="Q150">
        <f>Source!X87</f>
        <v>0</v>
      </c>
      <c r="R150">
        <f>Source!X88</f>
        <v>0</v>
      </c>
      <c r="S150">
        <f>Source!Y87</f>
        <v>0</v>
      </c>
      <c r="T150">
        <f>Source!Y88</f>
        <v>0</v>
      </c>
      <c r="U150">
        <f>ROUND((175/100)*ROUND(Source!R87, 2), 2)</f>
        <v>0</v>
      </c>
      <c r="V150">
        <f>ROUND((0/100)*ROUND(Source!R88, 2), 2)</f>
        <v>0</v>
      </c>
      <c r="AC150">
        <v>5</v>
      </c>
    </row>
    <row r="151" spans="1:29" ht="14" x14ac:dyDescent="0.25">
      <c r="A151" s="73"/>
      <c r="B151" s="73"/>
      <c r="C151" s="74" t="s">
        <v>464</v>
      </c>
      <c r="D151" s="73"/>
      <c r="E151" s="73"/>
      <c r="F151" s="73"/>
      <c r="G151" s="73"/>
      <c r="H151" s="75">
        <f>I150+0</f>
        <v>465031.79</v>
      </c>
      <c r="I151" s="75"/>
      <c r="J151" s="75">
        <f>K150+0</f>
        <v>3520290.65</v>
      </c>
      <c r="K151" s="75"/>
      <c r="O151" s="59">
        <f>I150+0</f>
        <v>465031.79</v>
      </c>
      <c r="P151" s="59">
        <f>K150+0</f>
        <v>3520290.65</v>
      </c>
    </row>
    <row r="153" spans="1:29" ht="14.5" x14ac:dyDescent="0.25">
      <c r="A153" s="42">
        <v>12</v>
      </c>
      <c r="B153" s="42" t="str">
        <f>Source!F91</f>
        <v>4.10-34-5</v>
      </c>
      <c r="C153" s="42" t="s">
        <v>119</v>
      </c>
      <c r="D153" s="44" t="str">
        <f>Source!H91</f>
        <v>1  ШТ.</v>
      </c>
      <c r="E153" s="43">
        <f>Source!I91</f>
        <v>1</v>
      </c>
      <c r="F153" s="46"/>
      <c r="G153" s="45"/>
      <c r="H153" s="43"/>
      <c r="I153" s="46"/>
      <c r="J153" s="43"/>
      <c r="K153" s="46"/>
      <c r="Q153">
        <f>Source!X91</f>
        <v>92.04</v>
      </c>
      <c r="R153">
        <f>Source!X92</f>
        <v>5186.63</v>
      </c>
      <c r="S153">
        <f>Source!Y91</f>
        <v>47.04</v>
      </c>
      <c r="T153">
        <f>Source!Y92</f>
        <v>2650.94</v>
      </c>
      <c r="U153">
        <f>ROUND((175/100)*ROUND(Source!R91, 2), 2)</f>
        <v>6.95</v>
      </c>
      <c r="V153">
        <f>ROUND((0/100)*ROUND(Source!R92, 2), 2)</f>
        <v>0</v>
      </c>
      <c r="AC153">
        <v>0</v>
      </c>
    </row>
    <row r="154" spans="1:29" ht="14.5" x14ac:dyDescent="0.25">
      <c r="A154" s="42"/>
      <c r="B154" s="42"/>
      <c r="C154" s="42" t="s">
        <v>453</v>
      </c>
      <c r="D154" s="44"/>
      <c r="E154" s="43"/>
      <c r="F154" s="46">
        <f>Source!AO91</f>
        <v>78.239999999999995</v>
      </c>
      <c r="G154" s="48" t="s">
        <v>130</v>
      </c>
      <c r="H154" s="43">
        <f>Source!AV92</f>
        <v>1.0469999999999999</v>
      </c>
      <c r="I154" s="46">
        <f>Source!S91</f>
        <v>98.3</v>
      </c>
      <c r="J154" s="43">
        <f>IF(Source!BA92&lt;&gt; 0, Source!BA92, 1)</f>
        <v>56.35</v>
      </c>
      <c r="K154" s="46">
        <f>Source!S92</f>
        <v>5539.21</v>
      </c>
    </row>
    <row r="155" spans="1:29" ht="14.5" x14ac:dyDescent="0.25">
      <c r="A155" s="42"/>
      <c r="B155" s="42"/>
      <c r="C155" s="42" t="s">
        <v>455</v>
      </c>
      <c r="D155" s="44"/>
      <c r="E155" s="43"/>
      <c r="F155" s="46">
        <f>Source!AM91</f>
        <v>28.71</v>
      </c>
      <c r="G155" s="48" t="s">
        <v>130</v>
      </c>
      <c r="H155" s="43">
        <f>Source!AV92</f>
        <v>1.0469999999999999</v>
      </c>
      <c r="I155" s="46">
        <f>Source!Q91</f>
        <v>36.07</v>
      </c>
      <c r="J155" s="43">
        <f>IF(Source!BB92&lt;&gt; 0, Source!BB92, 1)</f>
        <v>16.16</v>
      </c>
      <c r="K155" s="46">
        <f>Source!Q92</f>
        <v>582.89</v>
      </c>
    </row>
    <row r="156" spans="1:29" ht="14.5" x14ac:dyDescent="0.25">
      <c r="A156" s="42"/>
      <c r="B156" s="42"/>
      <c r="C156" s="42" t="s">
        <v>456</v>
      </c>
      <c r="D156" s="44"/>
      <c r="E156" s="43"/>
      <c r="F156" s="46">
        <f>Source!AN91</f>
        <v>3.16</v>
      </c>
      <c r="G156" s="48" t="s">
        <v>130</v>
      </c>
      <c r="H156" s="43">
        <f>Source!AV92</f>
        <v>1.0469999999999999</v>
      </c>
      <c r="I156" s="49">
        <f>Source!R91</f>
        <v>3.97</v>
      </c>
      <c r="J156" s="43">
        <f>IF(Source!BS92&lt;&gt; 0, Source!BS92, 1)</f>
        <v>56.35</v>
      </c>
      <c r="K156" s="49">
        <f>Source!R92</f>
        <v>223.71</v>
      </c>
    </row>
    <row r="157" spans="1:29" ht="14.5" x14ac:dyDescent="0.25">
      <c r="A157" s="42"/>
      <c r="B157" s="42"/>
      <c r="C157" s="42" t="s">
        <v>467</v>
      </c>
      <c r="D157" s="44"/>
      <c r="E157" s="43"/>
      <c r="F157" s="46">
        <f>Source!AL91</f>
        <v>12.35</v>
      </c>
      <c r="G157" s="48" t="s">
        <v>3</v>
      </c>
      <c r="H157" s="43">
        <f>Source!AW92</f>
        <v>1</v>
      </c>
      <c r="I157" s="46">
        <f>Source!P91</f>
        <v>12.35</v>
      </c>
      <c r="J157" s="43">
        <f>IF(Source!BC92&lt;&gt; 0, Source!BC92, 1)</f>
        <v>14.7</v>
      </c>
      <c r="K157" s="46">
        <f>Source!P92</f>
        <v>181.55</v>
      </c>
    </row>
    <row r="158" spans="1:29" ht="110" x14ac:dyDescent="0.25">
      <c r="A158" s="62" t="s">
        <v>148</v>
      </c>
      <c r="B158" s="62" t="str">
        <f>Source!F93</f>
        <v>КА, п.3</v>
      </c>
      <c r="C158" s="62" t="s">
        <v>471</v>
      </c>
      <c r="D158" s="63" t="str">
        <f>Source!H93</f>
        <v>ШТ</v>
      </c>
      <c r="E158" s="64">
        <f>Source!I93</f>
        <v>1</v>
      </c>
      <c r="F158" s="65">
        <f>Source!AK93</f>
        <v>23932.38</v>
      </c>
      <c r="G158" s="67" t="s">
        <v>3</v>
      </c>
      <c r="H158" s="64">
        <f>Source!AW94</f>
        <v>1</v>
      </c>
      <c r="I158" s="65">
        <f>Source!O93</f>
        <v>23932.38</v>
      </c>
      <c r="J158" s="64">
        <f>IF(Source!BC94&lt;&gt; 0, Source!BC94, 1)</f>
        <v>7.57</v>
      </c>
      <c r="K158" s="65">
        <f>Source!O94</f>
        <v>181168.12</v>
      </c>
      <c r="Q158">
        <f>Source!X93</f>
        <v>0</v>
      </c>
      <c r="R158">
        <f>Source!X94</f>
        <v>0</v>
      </c>
      <c r="S158">
        <f>Source!Y93</f>
        <v>0</v>
      </c>
      <c r="T158">
        <f>Source!Y94</f>
        <v>0</v>
      </c>
      <c r="U158">
        <f>ROUND((175/100)*ROUND(Source!R93, 2), 2)</f>
        <v>0</v>
      </c>
      <c r="V158">
        <f>ROUND((0/100)*ROUND(Source!R94, 2), 2)</f>
        <v>0</v>
      </c>
      <c r="AC158">
        <v>5</v>
      </c>
    </row>
    <row r="159" spans="1:29" ht="14.5" x14ac:dyDescent="0.25">
      <c r="A159" s="42"/>
      <c r="B159" s="42"/>
      <c r="C159" s="42" t="s">
        <v>457</v>
      </c>
      <c r="D159" s="44" t="s">
        <v>458</v>
      </c>
      <c r="E159" s="43">
        <f>Source!BZ92</f>
        <v>90</v>
      </c>
      <c r="F159" s="46"/>
      <c r="G159" s="45"/>
      <c r="H159" s="43"/>
      <c r="I159" s="46">
        <f>SUM(Q153:Q158)</f>
        <v>92.04</v>
      </c>
      <c r="J159" s="43">
        <f>Source!AT92</f>
        <v>90</v>
      </c>
      <c r="K159" s="46">
        <f>SUM(R153:R158)</f>
        <v>5186.63</v>
      </c>
    </row>
    <row r="160" spans="1:29" ht="14.5" x14ac:dyDescent="0.25">
      <c r="A160" s="42"/>
      <c r="B160" s="42"/>
      <c r="C160" s="42" t="s">
        <v>459</v>
      </c>
      <c r="D160" s="44" t="s">
        <v>458</v>
      </c>
      <c r="E160" s="43">
        <f>Source!CA92</f>
        <v>46</v>
      </c>
      <c r="F160" s="46"/>
      <c r="G160" s="45"/>
      <c r="H160" s="43"/>
      <c r="I160" s="46">
        <f>SUM(S153:S159)</f>
        <v>47.04</v>
      </c>
      <c r="J160" s="43">
        <f>Source!AU92</f>
        <v>46</v>
      </c>
      <c r="K160" s="46">
        <f>SUM(T153:T159)</f>
        <v>2650.94</v>
      </c>
    </row>
    <row r="161" spans="1:29" ht="14.5" x14ac:dyDescent="0.25">
      <c r="A161" s="50"/>
      <c r="B161" s="50"/>
      <c r="C161" s="50" t="s">
        <v>460</v>
      </c>
      <c r="D161" s="51" t="s">
        <v>461</v>
      </c>
      <c r="E161" s="52">
        <f>Source!AQ91</f>
        <v>6.2</v>
      </c>
      <c r="F161" s="53"/>
      <c r="G161" s="54" t="s">
        <v>130</v>
      </c>
      <c r="H161" s="52">
        <f>Source!AV92</f>
        <v>1.0469999999999999</v>
      </c>
      <c r="I161" s="53">
        <f>Source!U91</f>
        <v>7.7896799999999988</v>
      </c>
      <c r="J161" s="52"/>
      <c r="K161" s="53"/>
    </row>
    <row r="162" spans="1:29" ht="14" x14ac:dyDescent="0.25">
      <c r="C162" s="55" t="s">
        <v>462</v>
      </c>
      <c r="H162" s="56">
        <f>I154+I155+I157+I159+I160+SUM(I158:I158)-SUMIF(AC158:AC158, 5, I158:I158)-SUMIF(AC158:AC158, 6, I158:I158)</f>
        <v>285.79999999999927</v>
      </c>
      <c r="I162" s="56"/>
      <c r="J162" s="56">
        <f>K154+K155+K157+K159+K160+SUM(K158:K158)-SUMIF(AC158:AC158, 5, K158:K158)-SUMIF(AC158:AC158, 6, K158:K158)</f>
        <v>14141.220000000001</v>
      </c>
      <c r="K162" s="56"/>
    </row>
    <row r="163" spans="1:29" ht="14" x14ac:dyDescent="0.25">
      <c r="C163" s="55" t="s">
        <v>463</v>
      </c>
      <c r="H163" s="58">
        <f>SUMIF(AC158:AC158, 5, I158:I158)+SUMIF(AC158:AC158, 6, I158:I158)</f>
        <v>23932.38</v>
      </c>
      <c r="I163" s="58"/>
      <c r="J163" s="58">
        <f>SUMIF(AC158:AC158, 5, K158:K158)+SUMIF(AC158:AC158, 6, K158:K158)</f>
        <v>181168.12</v>
      </c>
      <c r="K163" s="58"/>
    </row>
    <row r="164" spans="1:29" ht="14" x14ac:dyDescent="0.25">
      <c r="C164" s="55" t="s">
        <v>464</v>
      </c>
      <c r="H164" s="58">
        <f>I154+I155+I157+I159+I160+SUM(I158:I158)</f>
        <v>24218.18</v>
      </c>
      <c r="I164" s="58"/>
      <c r="J164" s="58">
        <f>K154+K155+K157+K159+K160+SUM(K158:K158)</f>
        <v>195309.34</v>
      </c>
      <c r="K164" s="58"/>
      <c r="O164" s="59">
        <f>I154+I155+I157+I159+I160+SUM(I158:I158)</f>
        <v>24218.18</v>
      </c>
      <c r="P164" s="59">
        <f>K154+K155+K157+K159+K160+SUM(K158:K158)</f>
        <v>195309.34</v>
      </c>
    </row>
    <row r="166" spans="1:29" ht="14.5" x14ac:dyDescent="0.25">
      <c r="A166" s="42">
        <v>13</v>
      </c>
      <c r="B166" s="42" t="str">
        <f>Source!F95</f>
        <v>4.10-34-5</v>
      </c>
      <c r="C166" s="42" t="s">
        <v>119</v>
      </c>
      <c r="D166" s="44" t="str">
        <f>Source!H95</f>
        <v>1  ШТ.</v>
      </c>
      <c r="E166" s="43">
        <f>Source!I95</f>
        <v>4</v>
      </c>
      <c r="F166" s="46"/>
      <c r="G166" s="45"/>
      <c r="H166" s="43"/>
      <c r="I166" s="46"/>
      <c r="J166" s="43"/>
      <c r="K166" s="46"/>
      <c r="Q166">
        <f>Source!X95</f>
        <v>368.17</v>
      </c>
      <c r="R166">
        <f>Source!X96</f>
        <v>20746.490000000002</v>
      </c>
      <c r="S166">
        <f>Source!Y95</f>
        <v>188.18</v>
      </c>
      <c r="T166">
        <f>Source!Y96</f>
        <v>10603.76</v>
      </c>
      <c r="U166">
        <f>ROUND((175/100)*ROUND(Source!R95, 2), 2)</f>
        <v>27.79</v>
      </c>
      <c r="V166">
        <f>ROUND((0/100)*ROUND(Source!R96, 2), 2)</f>
        <v>0</v>
      </c>
      <c r="AC166">
        <v>0</v>
      </c>
    </row>
    <row r="167" spans="1:29" ht="14.5" x14ac:dyDescent="0.25">
      <c r="A167" s="42"/>
      <c r="B167" s="42"/>
      <c r="C167" s="42" t="s">
        <v>453</v>
      </c>
      <c r="D167" s="44"/>
      <c r="E167" s="43"/>
      <c r="F167" s="46">
        <f>Source!AO95</f>
        <v>78.239999999999995</v>
      </c>
      <c r="G167" s="48" t="s">
        <v>130</v>
      </c>
      <c r="H167" s="43">
        <f>Source!AV96</f>
        <v>1.0469999999999999</v>
      </c>
      <c r="I167" s="46">
        <f>Source!S95</f>
        <v>393.2</v>
      </c>
      <c r="J167" s="43">
        <f>IF(Source!BA96&lt;&gt; 0, Source!BA96, 1)</f>
        <v>56.35</v>
      </c>
      <c r="K167" s="46">
        <f>Source!S96</f>
        <v>22156.82</v>
      </c>
    </row>
    <row r="168" spans="1:29" ht="14.5" x14ac:dyDescent="0.25">
      <c r="A168" s="42"/>
      <c r="B168" s="42"/>
      <c r="C168" s="42" t="s">
        <v>455</v>
      </c>
      <c r="D168" s="44"/>
      <c r="E168" s="43"/>
      <c r="F168" s="46">
        <f>Source!AM95</f>
        <v>28.71</v>
      </c>
      <c r="G168" s="48" t="s">
        <v>130</v>
      </c>
      <c r="H168" s="43">
        <f>Source!AV96</f>
        <v>1.0469999999999999</v>
      </c>
      <c r="I168" s="46">
        <f>Source!Q95</f>
        <v>144.28</v>
      </c>
      <c r="J168" s="43">
        <f>IF(Source!BB96&lt;&gt; 0, Source!BB96, 1)</f>
        <v>16.16</v>
      </c>
      <c r="K168" s="46">
        <f>Source!Q96</f>
        <v>2331.56</v>
      </c>
    </row>
    <row r="169" spans="1:29" ht="14.5" x14ac:dyDescent="0.25">
      <c r="A169" s="42"/>
      <c r="B169" s="42"/>
      <c r="C169" s="42" t="s">
        <v>456</v>
      </c>
      <c r="D169" s="44"/>
      <c r="E169" s="43"/>
      <c r="F169" s="46">
        <f>Source!AN95</f>
        <v>3.16</v>
      </c>
      <c r="G169" s="48" t="s">
        <v>130</v>
      </c>
      <c r="H169" s="43">
        <f>Source!AV96</f>
        <v>1.0469999999999999</v>
      </c>
      <c r="I169" s="49">
        <f>Source!R95</f>
        <v>15.88</v>
      </c>
      <c r="J169" s="43">
        <f>IF(Source!BS96&lt;&gt; 0, Source!BS96, 1)</f>
        <v>56.35</v>
      </c>
      <c r="K169" s="49">
        <f>Source!R96</f>
        <v>894.84</v>
      </c>
    </row>
    <row r="170" spans="1:29" ht="14.5" x14ac:dyDescent="0.25">
      <c r="A170" s="42"/>
      <c r="B170" s="42"/>
      <c r="C170" s="42" t="s">
        <v>467</v>
      </c>
      <c r="D170" s="44"/>
      <c r="E170" s="43"/>
      <c r="F170" s="46">
        <f>Source!AL95</f>
        <v>12.35</v>
      </c>
      <c r="G170" s="48" t="s">
        <v>3</v>
      </c>
      <c r="H170" s="43">
        <f>Source!AW96</f>
        <v>1</v>
      </c>
      <c r="I170" s="46">
        <f>Source!P95</f>
        <v>49.4</v>
      </c>
      <c r="J170" s="43">
        <f>IF(Source!BC96&lt;&gt; 0, Source!BC96, 1)</f>
        <v>14.7</v>
      </c>
      <c r="K170" s="46">
        <f>Source!P96</f>
        <v>726.18</v>
      </c>
    </row>
    <row r="171" spans="1:29" ht="96" x14ac:dyDescent="0.25">
      <c r="A171" s="62" t="s">
        <v>153</v>
      </c>
      <c r="B171" s="62" t="str">
        <f>Source!F97</f>
        <v>КА, п.4</v>
      </c>
      <c r="C171" s="62" t="s">
        <v>472</v>
      </c>
      <c r="D171" s="63" t="str">
        <f>Source!H97</f>
        <v>ШТ</v>
      </c>
      <c r="E171" s="64">
        <f>Source!I97</f>
        <v>4</v>
      </c>
      <c r="F171" s="65">
        <f>Source!AK97</f>
        <v>21151.93</v>
      </c>
      <c r="G171" s="67" t="s">
        <v>3</v>
      </c>
      <c r="H171" s="64">
        <f>Source!AW98</f>
        <v>1</v>
      </c>
      <c r="I171" s="65">
        <f>Source!O97</f>
        <v>84607.72</v>
      </c>
      <c r="J171" s="64">
        <f>IF(Source!BC98&lt;&gt; 0, Source!BC98, 1)</f>
        <v>7.57</v>
      </c>
      <c r="K171" s="65">
        <f>Source!O98</f>
        <v>640480.43999999994</v>
      </c>
      <c r="Q171">
        <f>Source!X97</f>
        <v>0</v>
      </c>
      <c r="R171">
        <f>Source!X98</f>
        <v>0</v>
      </c>
      <c r="S171">
        <f>Source!Y97</f>
        <v>0</v>
      </c>
      <c r="T171">
        <f>Source!Y98</f>
        <v>0</v>
      </c>
      <c r="U171">
        <f>ROUND((175/100)*ROUND(Source!R97, 2), 2)</f>
        <v>0</v>
      </c>
      <c r="V171">
        <f>ROUND((0/100)*ROUND(Source!R98, 2), 2)</f>
        <v>0</v>
      </c>
      <c r="AC171">
        <v>5</v>
      </c>
    </row>
    <row r="172" spans="1:29" ht="14.5" x14ac:dyDescent="0.25">
      <c r="A172" s="42"/>
      <c r="B172" s="42"/>
      <c r="C172" s="42" t="s">
        <v>457</v>
      </c>
      <c r="D172" s="44" t="s">
        <v>458</v>
      </c>
      <c r="E172" s="43">
        <f>Source!BZ96</f>
        <v>90</v>
      </c>
      <c r="F172" s="46"/>
      <c r="G172" s="45"/>
      <c r="H172" s="43"/>
      <c r="I172" s="46">
        <f>SUM(Q166:Q171)</f>
        <v>368.17</v>
      </c>
      <c r="J172" s="43">
        <f>Source!AT96</f>
        <v>90</v>
      </c>
      <c r="K172" s="46">
        <f>SUM(R166:R171)</f>
        <v>20746.490000000002</v>
      </c>
    </row>
    <row r="173" spans="1:29" ht="14.5" x14ac:dyDescent="0.25">
      <c r="A173" s="42"/>
      <c r="B173" s="42"/>
      <c r="C173" s="42" t="s">
        <v>459</v>
      </c>
      <c r="D173" s="44" t="s">
        <v>458</v>
      </c>
      <c r="E173" s="43">
        <f>Source!CA96</f>
        <v>46</v>
      </c>
      <c r="F173" s="46"/>
      <c r="G173" s="45"/>
      <c r="H173" s="43"/>
      <c r="I173" s="46">
        <f>SUM(S166:S172)</f>
        <v>188.18</v>
      </c>
      <c r="J173" s="43">
        <f>Source!AU96</f>
        <v>46</v>
      </c>
      <c r="K173" s="46">
        <f>SUM(T166:T172)</f>
        <v>10603.76</v>
      </c>
    </row>
    <row r="174" spans="1:29" ht="14.5" x14ac:dyDescent="0.25">
      <c r="A174" s="50"/>
      <c r="B174" s="50"/>
      <c r="C174" s="50" t="s">
        <v>460</v>
      </c>
      <c r="D174" s="51" t="s">
        <v>461</v>
      </c>
      <c r="E174" s="52">
        <f>Source!AQ95</f>
        <v>6.2</v>
      </c>
      <c r="F174" s="53"/>
      <c r="G174" s="54" t="s">
        <v>130</v>
      </c>
      <c r="H174" s="52">
        <f>Source!AV96</f>
        <v>1.0469999999999999</v>
      </c>
      <c r="I174" s="53">
        <f>Source!U95</f>
        <v>31.158719999999995</v>
      </c>
      <c r="J174" s="52"/>
      <c r="K174" s="53"/>
    </row>
    <row r="175" spans="1:29" ht="14" x14ac:dyDescent="0.25">
      <c r="C175" s="55" t="s">
        <v>462</v>
      </c>
      <c r="H175" s="56">
        <f>I167+I168+I170+I172+I173+SUM(I171:I171)-SUMIF(AC171:AC171, 5, I171:I171)-SUMIF(AC171:AC171, 6, I171:I171)</f>
        <v>1143.2299999999959</v>
      </c>
      <c r="I175" s="56"/>
      <c r="J175" s="56">
        <f>K167+K168+K170+K172+K173+SUM(K171:K171)-SUMIF(AC171:AC171, 5, K171:K171)-SUMIF(AC171:AC171, 6, K171:K171)</f>
        <v>56564.810000000056</v>
      </c>
      <c r="K175" s="56"/>
    </row>
    <row r="176" spans="1:29" ht="14" x14ac:dyDescent="0.25">
      <c r="C176" s="55" t="s">
        <v>463</v>
      </c>
      <c r="H176" s="58">
        <f>SUMIF(AC171:AC171, 5, I171:I171)+SUMIF(AC171:AC171, 6, I171:I171)</f>
        <v>84607.72</v>
      </c>
      <c r="I176" s="58"/>
      <c r="J176" s="58">
        <f>SUMIF(AC171:AC171, 5, K171:K171)+SUMIF(AC171:AC171, 6, K171:K171)</f>
        <v>640480.43999999994</v>
      </c>
      <c r="K176" s="58"/>
    </row>
    <row r="177" spans="1:29" ht="14" x14ac:dyDescent="0.25">
      <c r="C177" s="55" t="s">
        <v>464</v>
      </c>
      <c r="H177" s="58">
        <f>I167+I168+I170+I172+I173+SUM(I171:I171)</f>
        <v>85750.95</v>
      </c>
      <c r="I177" s="58"/>
      <c r="J177" s="58">
        <f>K167+K168+K170+K172+K173+SUM(K171:K171)</f>
        <v>697045.25</v>
      </c>
      <c r="K177" s="58"/>
      <c r="O177" s="59">
        <f>I167+I168+I170+I172+I173+SUM(I171:I171)</f>
        <v>85750.95</v>
      </c>
      <c r="P177" s="59">
        <f>K167+K168+K170+K172+K173+SUM(K171:K171)</f>
        <v>697045.25</v>
      </c>
    </row>
    <row r="179" spans="1:29" ht="43.5" x14ac:dyDescent="0.25">
      <c r="A179" s="42">
        <v>14</v>
      </c>
      <c r="B179" s="42" t="str">
        <f>Source!F101</f>
        <v>4.10-72-14</v>
      </c>
      <c r="C179" s="42" t="s">
        <v>137</v>
      </c>
      <c r="D179" s="44" t="str">
        <f>Source!H101</f>
        <v>1 устройство</v>
      </c>
      <c r="E179" s="43">
        <f>Source!I101</f>
        <v>1</v>
      </c>
      <c r="F179" s="46"/>
      <c r="G179" s="45"/>
      <c r="H179" s="43"/>
      <c r="I179" s="46"/>
      <c r="J179" s="43"/>
      <c r="K179" s="46"/>
      <c r="Q179">
        <f>Source!X101</f>
        <v>113.53</v>
      </c>
      <c r="R179">
        <f>Source!X102</f>
        <v>6397.67</v>
      </c>
      <c r="S179">
        <f>Source!Y101</f>
        <v>63.34</v>
      </c>
      <c r="T179">
        <f>Source!Y102</f>
        <v>3569.23</v>
      </c>
      <c r="U179">
        <f>ROUND((175/100)*ROUND(Source!R101, 2), 2)</f>
        <v>0</v>
      </c>
      <c r="V179">
        <f>ROUND((0/100)*ROUND(Source!R102, 2), 2)</f>
        <v>0</v>
      </c>
      <c r="AC179">
        <v>0</v>
      </c>
    </row>
    <row r="180" spans="1:29" ht="14.5" x14ac:dyDescent="0.25">
      <c r="A180" s="42"/>
      <c r="B180" s="42"/>
      <c r="C180" s="42" t="s">
        <v>453</v>
      </c>
      <c r="D180" s="44"/>
      <c r="E180" s="43"/>
      <c r="F180" s="46">
        <f>Source!AO101</f>
        <v>95.12</v>
      </c>
      <c r="G180" s="48" t="s">
        <v>130</v>
      </c>
      <c r="H180" s="43">
        <f>Source!AV102</f>
        <v>1.0469999999999999</v>
      </c>
      <c r="I180" s="46">
        <f>Source!S101</f>
        <v>119.51</v>
      </c>
      <c r="J180" s="43">
        <f>IF(Source!BA102&lt;&gt; 0, Source!BA102, 1)</f>
        <v>56.35</v>
      </c>
      <c r="K180" s="46">
        <f>Source!S102</f>
        <v>6734.39</v>
      </c>
    </row>
    <row r="181" spans="1:29" ht="14.5" x14ac:dyDescent="0.25">
      <c r="A181" s="42"/>
      <c r="B181" s="42"/>
      <c r="C181" s="42" t="s">
        <v>467</v>
      </c>
      <c r="D181" s="44"/>
      <c r="E181" s="43"/>
      <c r="F181" s="46">
        <f>Source!AL101</f>
        <v>1.1000000000000001</v>
      </c>
      <c r="G181" s="48" t="s">
        <v>3</v>
      </c>
      <c r="H181" s="43">
        <f>Source!AW102</f>
        <v>1</v>
      </c>
      <c r="I181" s="46">
        <f>Source!P101</f>
        <v>1.1000000000000001</v>
      </c>
      <c r="J181" s="43">
        <f>IF(Source!BC102&lt;&gt; 0, Source!BC102, 1)</f>
        <v>16.59</v>
      </c>
      <c r="K181" s="46">
        <f>Source!P102</f>
        <v>18.25</v>
      </c>
    </row>
    <row r="182" spans="1:29" ht="14.5" x14ac:dyDescent="0.25">
      <c r="A182" s="42"/>
      <c r="B182" s="42"/>
      <c r="C182" s="42" t="s">
        <v>457</v>
      </c>
      <c r="D182" s="44" t="s">
        <v>458</v>
      </c>
      <c r="E182" s="43">
        <f>Source!BZ102</f>
        <v>95</v>
      </c>
      <c r="F182" s="46"/>
      <c r="G182" s="45"/>
      <c r="H182" s="43"/>
      <c r="I182" s="46">
        <f>SUM(Q179:Q181)</f>
        <v>113.53</v>
      </c>
      <c r="J182" s="43">
        <f>Source!AT102</f>
        <v>95</v>
      </c>
      <c r="K182" s="46">
        <f>SUM(R179:R181)</f>
        <v>6397.67</v>
      </c>
    </row>
    <row r="183" spans="1:29" ht="14.5" x14ac:dyDescent="0.25">
      <c r="A183" s="42"/>
      <c r="B183" s="42"/>
      <c r="C183" s="42" t="s">
        <v>459</v>
      </c>
      <c r="D183" s="44" t="s">
        <v>458</v>
      </c>
      <c r="E183" s="43">
        <f>Source!CA102</f>
        <v>53</v>
      </c>
      <c r="F183" s="46"/>
      <c r="G183" s="45"/>
      <c r="H183" s="43"/>
      <c r="I183" s="46">
        <f>SUM(S179:S182)</f>
        <v>63.34</v>
      </c>
      <c r="J183" s="43">
        <f>Source!AU102</f>
        <v>53</v>
      </c>
      <c r="K183" s="46">
        <f>SUM(T179:T182)</f>
        <v>3569.23</v>
      </c>
    </row>
    <row r="184" spans="1:29" ht="14.5" x14ac:dyDescent="0.25">
      <c r="A184" s="50"/>
      <c r="B184" s="50"/>
      <c r="C184" s="50" t="s">
        <v>460</v>
      </c>
      <c r="D184" s="51" t="s">
        <v>461</v>
      </c>
      <c r="E184" s="52">
        <f>Source!AQ101</f>
        <v>8</v>
      </c>
      <c r="F184" s="53"/>
      <c r="G184" s="54" t="s">
        <v>130</v>
      </c>
      <c r="H184" s="52">
        <f>Source!AV102</f>
        <v>1.0469999999999999</v>
      </c>
      <c r="I184" s="53">
        <f>Source!U101</f>
        <v>10.0512</v>
      </c>
      <c r="J184" s="52"/>
      <c r="K184" s="53"/>
    </row>
    <row r="185" spans="1:29" ht="14" x14ac:dyDescent="0.25">
      <c r="C185" s="55" t="s">
        <v>462</v>
      </c>
      <c r="H185" s="56">
        <f>I180+I181+I182+I183+0-0-0</f>
        <v>297.48</v>
      </c>
      <c r="I185" s="56"/>
      <c r="J185" s="56">
        <f>K180+K181+K182+K183+0-0-0</f>
        <v>16719.54</v>
      </c>
      <c r="K185" s="56"/>
    </row>
    <row r="186" spans="1:29" ht="14" hidden="1" x14ac:dyDescent="0.25">
      <c r="C186" s="55" t="s">
        <v>463</v>
      </c>
      <c r="H186" s="58">
        <f>0+0</f>
        <v>0</v>
      </c>
      <c r="I186" s="58"/>
      <c r="J186" s="58">
        <f>0+0</f>
        <v>0</v>
      </c>
      <c r="K186" s="58"/>
    </row>
    <row r="187" spans="1:29" ht="14" x14ac:dyDescent="0.25">
      <c r="C187" s="55" t="s">
        <v>464</v>
      </c>
      <c r="H187" s="58">
        <f>I180+I181+I182+I183+0</f>
        <v>297.48</v>
      </c>
      <c r="I187" s="58"/>
      <c r="J187" s="58">
        <f>K180+K181+K182+K183+0</f>
        <v>16719.54</v>
      </c>
      <c r="K187" s="58"/>
      <c r="O187" s="59">
        <f>I180+I181+I182+I183+0</f>
        <v>297.48</v>
      </c>
      <c r="P187" s="59">
        <f>K180+K181+K182+K183+0</f>
        <v>16719.54</v>
      </c>
    </row>
    <row r="189" spans="1:29" ht="152" x14ac:dyDescent="0.25">
      <c r="A189" s="68">
        <v>15</v>
      </c>
      <c r="B189" s="68" t="str">
        <f>Source!F103</f>
        <v>КА, п.5</v>
      </c>
      <c r="C189" s="68" t="s">
        <v>473</v>
      </c>
      <c r="D189" s="69" t="str">
        <f>Source!H103</f>
        <v>ШТ</v>
      </c>
      <c r="E189" s="70">
        <f>Source!I103</f>
        <v>1</v>
      </c>
      <c r="F189" s="71">
        <f>Source!AL103</f>
        <v>24830.45</v>
      </c>
      <c r="G189" s="72" t="s">
        <v>3</v>
      </c>
      <c r="H189" s="70">
        <f>Source!AW104</f>
        <v>1</v>
      </c>
      <c r="I189" s="71">
        <f>Source!P103</f>
        <v>24830.45</v>
      </c>
      <c r="J189" s="70">
        <f>IF(Source!BC104&lt;&gt; 0, Source!BC104, 1)</f>
        <v>7.57</v>
      </c>
      <c r="K189" s="71">
        <f>Source!P104</f>
        <v>187966.51</v>
      </c>
      <c r="Q189">
        <f>Source!X103</f>
        <v>0</v>
      </c>
      <c r="R189">
        <f>Source!X104</f>
        <v>0</v>
      </c>
      <c r="S189">
        <f>Source!Y103</f>
        <v>0</v>
      </c>
      <c r="T189">
        <f>Source!Y104</f>
        <v>0</v>
      </c>
      <c r="U189">
        <f>ROUND((175/100)*ROUND(Source!R103, 2), 2)</f>
        <v>0</v>
      </c>
      <c r="V189">
        <f>ROUND((0/100)*ROUND(Source!R104, 2), 2)</f>
        <v>0</v>
      </c>
      <c r="AC189">
        <v>5</v>
      </c>
    </row>
    <row r="190" spans="1:29" ht="14" x14ac:dyDescent="0.25">
      <c r="A190" s="73"/>
      <c r="B190" s="73"/>
      <c r="C190" s="74" t="s">
        <v>464</v>
      </c>
      <c r="D190" s="73"/>
      <c r="E190" s="73"/>
      <c r="F190" s="73"/>
      <c r="G190" s="73"/>
      <c r="H190" s="75">
        <f>I189+0</f>
        <v>24830.45</v>
      </c>
      <c r="I190" s="75"/>
      <c r="J190" s="75">
        <f>K189+0</f>
        <v>187966.51</v>
      </c>
      <c r="K190" s="75"/>
      <c r="O190" s="59">
        <f>I189+0</f>
        <v>24830.45</v>
      </c>
      <c r="P190" s="59">
        <f>K189+0</f>
        <v>187966.51</v>
      </c>
    </row>
    <row r="192" spans="1:29" ht="28" x14ac:dyDescent="0.25">
      <c r="A192" s="42">
        <v>16</v>
      </c>
      <c r="B192" s="42" t="str">
        <f>Source!F105</f>
        <v>4.10-75-6</v>
      </c>
      <c r="C192" s="42" t="s">
        <v>163</v>
      </c>
      <c r="D192" s="44" t="str">
        <f>Source!H105</f>
        <v>1  ШТ.</v>
      </c>
      <c r="E192" s="43">
        <f>Source!I105</f>
        <v>2</v>
      </c>
      <c r="F192" s="46"/>
      <c r="G192" s="45"/>
      <c r="H192" s="43"/>
      <c r="I192" s="46"/>
      <c r="J192" s="43"/>
      <c r="K192" s="46"/>
      <c r="Q192">
        <f>Source!X105</f>
        <v>210.88</v>
      </c>
      <c r="R192">
        <f>Source!X106</f>
        <v>11883.14</v>
      </c>
      <c r="S192">
        <f>Source!Y105</f>
        <v>117.65</v>
      </c>
      <c r="T192">
        <f>Source!Y106</f>
        <v>6629.54</v>
      </c>
      <c r="U192">
        <f>ROUND((175/100)*ROUND(Source!R105, 2), 2)</f>
        <v>0</v>
      </c>
      <c r="V192">
        <f>ROUND((0/100)*ROUND(Source!R106, 2), 2)</f>
        <v>0</v>
      </c>
      <c r="AC192">
        <v>0</v>
      </c>
    </row>
    <row r="193" spans="1:29" ht="14.5" x14ac:dyDescent="0.25">
      <c r="A193" s="42"/>
      <c r="B193" s="42"/>
      <c r="C193" s="42" t="s">
        <v>453</v>
      </c>
      <c r="D193" s="44"/>
      <c r="E193" s="43"/>
      <c r="F193" s="46">
        <f>Source!AO105</f>
        <v>88.34</v>
      </c>
      <c r="G193" s="48" t="s">
        <v>130</v>
      </c>
      <c r="H193" s="43">
        <f>Source!AV106</f>
        <v>1.0469999999999999</v>
      </c>
      <c r="I193" s="46">
        <f>Source!S105</f>
        <v>221.98</v>
      </c>
      <c r="J193" s="43">
        <f>IF(Source!BA106&lt;&gt; 0, Source!BA106, 1)</f>
        <v>56.35</v>
      </c>
      <c r="K193" s="46">
        <f>Source!S106</f>
        <v>12508.57</v>
      </c>
    </row>
    <row r="194" spans="1:29" ht="14.5" x14ac:dyDescent="0.25">
      <c r="A194" s="42"/>
      <c r="B194" s="42"/>
      <c r="C194" s="42" t="s">
        <v>467</v>
      </c>
      <c r="D194" s="44"/>
      <c r="E194" s="43"/>
      <c r="F194" s="46">
        <f>Source!AL105</f>
        <v>34.869999999999997</v>
      </c>
      <c r="G194" s="48" t="s">
        <v>3</v>
      </c>
      <c r="H194" s="43">
        <f>Source!AW106</f>
        <v>1</v>
      </c>
      <c r="I194" s="46">
        <f>Source!P105</f>
        <v>69.739999999999995</v>
      </c>
      <c r="J194" s="43">
        <f>IF(Source!BC106&lt;&gt; 0, Source!BC106, 1)</f>
        <v>10.28</v>
      </c>
      <c r="K194" s="46">
        <f>Source!P106</f>
        <v>716.93</v>
      </c>
    </row>
    <row r="195" spans="1:29" ht="82" x14ac:dyDescent="0.25">
      <c r="A195" s="62" t="s">
        <v>164</v>
      </c>
      <c r="B195" s="62" t="str">
        <f>Source!F107</f>
        <v>КА, п.6</v>
      </c>
      <c r="C195" s="62" t="s">
        <v>474</v>
      </c>
      <c r="D195" s="63" t="str">
        <f>Source!H107</f>
        <v>ШТ</v>
      </c>
      <c r="E195" s="64">
        <f>Source!I107</f>
        <v>2</v>
      </c>
      <c r="F195" s="65">
        <f>Source!AK107</f>
        <v>3566.56</v>
      </c>
      <c r="G195" s="67" t="s">
        <v>3</v>
      </c>
      <c r="H195" s="64">
        <f>Source!AW108</f>
        <v>1</v>
      </c>
      <c r="I195" s="65">
        <f>Source!O107</f>
        <v>7133.12</v>
      </c>
      <c r="J195" s="64">
        <f>IF(Source!BC108&lt;&gt; 0, Source!BC108, 1)</f>
        <v>7.57</v>
      </c>
      <c r="K195" s="65">
        <f>Source!O108</f>
        <v>53997.72</v>
      </c>
      <c r="Q195">
        <f>Source!X107</f>
        <v>0</v>
      </c>
      <c r="R195">
        <f>Source!X108</f>
        <v>0</v>
      </c>
      <c r="S195">
        <f>Source!Y107</f>
        <v>0</v>
      </c>
      <c r="T195">
        <f>Source!Y108</f>
        <v>0</v>
      </c>
      <c r="U195">
        <f>ROUND((175/100)*ROUND(Source!R107, 2), 2)</f>
        <v>0</v>
      </c>
      <c r="V195">
        <f>ROUND((0/100)*ROUND(Source!R108, 2), 2)</f>
        <v>0</v>
      </c>
      <c r="AC195">
        <v>5</v>
      </c>
    </row>
    <row r="196" spans="1:29" ht="14.5" x14ac:dyDescent="0.25">
      <c r="A196" s="42"/>
      <c r="B196" s="42"/>
      <c r="C196" s="42" t="s">
        <v>457</v>
      </c>
      <c r="D196" s="44" t="s">
        <v>458</v>
      </c>
      <c r="E196" s="43">
        <f>Source!BZ106</f>
        <v>95</v>
      </c>
      <c r="F196" s="46"/>
      <c r="G196" s="45"/>
      <c r="H196" s="43"/>
      <c r="I196" s="46">
        <f>SUM(Q192:Q195)</f>
        <v>210.88</v>
      </c>
      <c r="J196" s="43">
        <f>Source!AT106</f>
        <v>95</v>
      </c>
      <c r="K196" s="46">
        <f>SUM(R192:R195)</f>
        <v>11883.14</v>
      </c>
    </row>
    <row r="197" spans="1:29" ht="14.5" x14ac:dyDescent="0.25">
      <c r="A197" s="42"/>
      <c r="B197" s="42"/>
      <c r="C197" s="42" t="s">
        <v>459</v>
      </c>
      <c r="D197" s="44" t="s">
        <v>458</v>
      </c>
      <c r="E197" s="43">
        <f>Source!CA106</f>
        <v>53</v>
      </c>
      <c r="F197" s="46"/>
      <c r="G197" s="45"/>
      <c r="H197" s="43"/>
      <c r="I197" s="46">
        <f>SUM(S192:S196)</f>
        <v>117.65</v>
      </c>
      <c r="J197" s="43">
        <f>Source!AU106</f>
        <v>53</v>
      </c>
      <c r="K197" s="46">
        <f>SUM(T192:T196)</f>
        <v>6629.54</v>
      </c>
    </row>
    <row r="198" spans="1:29" ht="14.5" x14ac:dyDescent="0.25">
      <c r="A198" s="50"/>
      <c r="B198" s="50"/>
      <c r="C198" s="50" t="s">
        <v>460</v>
      </c>
      <c r="D198" s="51" t="s">
        <v>461</v>
      </c>
      <c r="E198" s="52">
        <f>Source!AQ105</f>
        <v>7</v>
      </c>
      <c r="F198" s="53"/>
      <c r="G198" s="54" t="s">
        <v>130</v>
      </c>
      <c r="H198" s="52">
        <f>Source!AV106</f>
        <v>1.0469999999999999</v>
      </c>
      <c r="I198" s="53">
        <f>Source!U105</f>
        <v>17.589600000000001</v>
      </c>
      <c r="J198" s="52"/>
      <c r="K198" s="53"/>
    </row>
    <row r="199" spans="1:29" ht="14" x14ac:dyDescent="0.25">
      <c r="C199" s="55" t="s">
        <v>462</v>
      </c>
      <c r="H199" s="56">
        <f>I193+I194+I196+I197+SUM(I195:I195)-SUMIF(AC195:AC195, 5, I195:I195)-SUMIF(AC195:AC195, 6, I195:I195)</f>
        <v>620.25</v>
      </c>
      <c r="I199" s="56"/>
      <c r="J199" s="56">
        <f>K193+K194+K196+K197+SUM(K195:K195)-SUMIF(AC195:AC195, 5, K195:K195)-SUMIF(AC195:AC195, 6, K195:K195)</f>
        <v>31738.179999999993</v>
      </c>
      <c r="K199" s="56"/>
    </row>
    <row r="200" spans="1:29" ht="14" x14ac:dyDescent="0.25">
      <c r="C200" s="55" t="s">
        <v>463</v>
      </c>
      <c r="H200" s="58">
        <f>SUMIF(AC195:AC195, 5, I195:I195)+SUMIF(AC195:AC195, 6, I195:I195)</f>
        <v>7133.12</v>
      </c>
      <c r="I200" s="58"/>
      <c r="J200" s="58">
        <f>SUMIF(AC195:AC195, 5, K195:K195)+SUMIF(AC195:AC195, 6, K195:K195)</f>
        <v>53997.72</v>
      </c>
      <c r="K200" s="58"/>
    </row>
    <row r="201" spans="1:29" ht="14" x14ac:dyDescent="0.25">
      <c r="C201" s="55" t="s">
        <v>464</v>
      </c>
      <c r="H201" s="58">
        <f>I193+I194+I196+I197+SUM(I195:I195)</f>
        <v>7753.37</v>
      </c>
      <c r="I201" s="58"/>
      <c r="J201" s="58">
        <f>K193+K194+K196+K197+SUM(K195:K195)</f>
        <v>85735.9</v>
      </c>
      <c r="K201" s="58"/>
      <c r="O201" s="59">
        <f>I193+I194+I196+I197+SUM(I195:I195)</f>
        <v>7753.37</v>
      </c>
      <c r="P201" s="59">
        <f>K193+K194+K196+K197+SUM(K195:K195)</f>
        <v>85735.9</v>
      </c>
    </row>
    <row r="203" spans="1:29" hidden="1" x14ac:dyDescent="0.25"/>
    <row r="204" spans="1:29" ht="14" x14ac:dyDescent="0.3">
      <c r="A204" s="60" t="str">
        <f>CONCATENATE("Итого по разделу: ",IF(Source!G110&lt;&gt;"Новый раздел", Source!G110, ""))</f>
        <v>Итого по разделу: Сетевые приборы СОТ</v>
      </c>
      <c r="B204" s="60"/>
      <c r="C204" s="60"/>
      <c r="D204" s="60"/>
      <c r="E204" s="60"/>
      <c r="F204" s="60"/>
      <c r="G204" s="60"/>
      <c r="H204" s="58">
        <f>SUM(O125:O203)</f>
        <v>659068.61999999988</v>
      </c>
      <c r="I204" s="57"/>
      <c r="J204" s="58">
        <f>SUM(P125:P203)</f>
        <v>5116993.5699999994</v>
      </c>
      <c r="K204" s="57"/>
    </row>
    <row r="205" spans="1:29" hidden="1" x14ac:dyDescent="0.25">
      <c r="A205" t="s">
        <v>465</v>
      </c>
      <c r="I205">
        <f>SUM(W125:W204)</f>
        <v>0</v>
      </c>
      <c r="J205">
        <f>SUM(X125:X204)</f>
        <v>0</v>
      </c>
    </row>
    <row r="206" spans="1:29" hidden="1" x14ac:dyDescent="0.25">
      <c r="A206" t="s">
        <v>466</v>
      </c>
      <c r="I206">
        <f>SUM(Y125:Y205)</f>
        <v>0</v>
      </c>
      <c r="J206">
        <f>SUM(Z125:Z205)</f>
        <v>0</v>
      </c>
    </row>
    <row r="208" spans="1:29" ht="16.5" x14ac:dyDescent="0.25">
      <c r="A208" s="40" t="str">
        <f>CONCATENATE("Раздел: ",IF(Source!G140&lt;&gt;"Новый раздел", Source!G140, ""))</f>
        <v>Раздел: Разное</v>
      </c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 spans="1:29" ht="30" customHeight="1" x14ac:dyDescent="0.25">
      <c r="A209" s="42">
        <v>17</v>
      </c>
      <c r="B209" s="42" t="str">
        <f>Source!F144</f>
        <v>4.11-12-1</v>
      </c>
      <c r="C209" s="42" t="s">
        <v>171</v>
      </c>
      <c r="D209" s="44" t="str">
        <f>Source!H144</f>
        <v>1  ШТ.</v>
      </c>
      <c r="E209" s="43">
        <f>Source!I144</f>
        <v>1</v>
      </c>
      <c r="F209" s="46"/>
      <c r="G209" s="45"/>
      <c r="H209" s="43"/>
      <c r="I209" s="46"/>
      <c r="J209" s="43"/>
      <c r="K209" s="46"/>
      <c r="Q209">
        <f>Source!X144</f>
        <v>13.27</v>
      </c>
      <c r="R209">
        <f>Source!X145</f>
        <v>747.54</v>
      </c>
      <c r="S209">
        <f>Source!Y144</f>
        <v>6.78</v>
      </c>
      <c r="T209">
        <f>Source!Y145</f>
        <v>382.08</v>
      </c>
      <c r="U209">
        <f>ROUND((175/100)*ROUND(Source!R144, 2), 2)</f>
        <v>0.18</v>
      </c>
      <c r="V209">
        <f>ROUND((0/100)*ROUND(Source!R145, 2), 2)</f>
        <v>0</v>
      </c>
      <c r="AC209">
        <v>0</v>
      </c>
    </row>
    <row r="210" spans="1:29" ht="14.5" x14ac:dyDescent="0.25">
      <c r="A210" s="42"/>
      <c r="B210" s="42"/>
      <c r="C210" s="42" t="s">
        <v>453</v>
      </c>
      <c r="D210" s="44"/>
      <c r="E210" s="43"/>
      <c r="F210" s="46">
        <f>Source!AO144</f>
        <v>11.65</v>
      </c>
      <c r="G210" s="48" t="s">
        <v>130</v>
      </c>
      <c r="H210" s="43">
        <f>Source!AV145</f>
        <v>1.0469999999999999</v>
      </c>
      <c r="I210" s="46">
        <f>Source!S144</f>
        <v>14.64</v>
      </c>
      <c r="J210" s="43">
        <f>IF(Source!BA145&lt;&gt; 0, Source!BA145, 1)</f>
        <v>56.35</v>
      </c>
      <c r="K210" s="46">
        <f>Source!S145</f>
        <v>824.96</v>
      </c>
    </row>
    <row r="211" spans="1:29" ht="14.5" x14ac:dyDescent="0.25">
      <c r="A211" s="42"/>
      <c r="B211" s="42"/>
      <c r="C211" s="42" t="s">
        <v>455</v>
      </c>
      <c r="D211" s="44"/>
      <c r="E211" s="43"/>
      <c r="F211" s="46">
        <f>Source!AM144</f>
        <v>0.5</v>
      </c>
      <c r="G211" s="48" t="s">
        <v>130</v>
      </c>
      <c r="H211" s="43">
        <f>Source!AV145</f>
        <v>1.0469999999999999</v>
      </c>
      <c r="I211" s="46">
        <f>Source!Q144</f>
        <v>0.63</v>
      </c>
      <c r="J211" s="43">
        <f>IF(Source!BB145&lt;&gt; 0, Source!BB145, 1)</f>
        <v>17.02</v>
      </c>
      <c r="K211" s="46">
        <f>Source!Q145</f>
        <v>10.72</v>
      </c>
    </row>
    <row r="212" spans="1:29" ht="14.5" x14ac:dyDescent="0.25">
      <c r="A212" s="42"/>
      <c r="B212" s="42"/>
      <c r="C212" s="42" t="s">
        <v>456</v>
      </c>
      <c r="D212" s="44"/>
      <c r="E212" s="43"/>
      <c r="F212" s="46">
        <f>Source!AN144</f>
        <v>0.08</v>
      </c>
      <c r="G212" s="48" t="s">
        <v>130</v>
      </c>
      <c r="H212" s="43">
        <f>Source!AV145</f>
        <v>1.0469999999999999</v>
      </c>
      <c r="I212" s="49">
        <f>Source!R144</f>
        <v>0.1</v>
      </c>
      <c r="J212" s="43">
        <f>IF(Source!BS145&lt;&gt; 0, Source!BS145, 1)</f>
        <v>56.35</v>
      </c>
      <c r="K212" s="49">
        <f>Source!R145</f>
        <v>5.64</v>
      </c>
    </row>
    <row r="213" spans="1:29" ht="14.5" x14ac:dyDescent="0.25">
      <c r="A213" s="42"/>
      <c r="B213" s="42"/>
      <c r="C213" s="42" t="s">
        <v>457</v>
      </c>
      <c r="D213" s="44" t="s">
        <v>458</v>
      </c>
      <c r="E213" s="43">
        <f>Source!BZ145</f>
        <v>90</v>
      </c>
      <c r="F213" s="46"/>
      <c r="G213" s="45"/>
      <c r="H213" s="43"/>
      <c r="I213" s="46">
        <f>SUM(Q209:Q212)</f>
        <v>13.27</v>
      </c>
      <c r="J213" s="43">
        <f>Source!AT145</f>
        <v>90</v>
      </c>
      <c r="K213" s="46">
        <f>SUM(R209:R212)</f>
        <v>747.54</v>
      </c>
    </row>
    <row r="214" spans="1:29" ht="14.5" x14ac:dyDescent="0.25">
      <c r="A214" s="42"/>
      <c r="B214" s="42"/>
      <c r="C214" s="42" t="s">
        <v>459</v>
      </c>
      <c r="D214" s="44" t="s">
        <v>458</v>
      </c>
      <c r="E214" s="43">
        <f>Source!CA145</f>
        <v>46</v>
      </c>
      <c r="F214" s="46"/>
      <c r="G214" s="45"/>
      <c r="H214" s="43"/>
      <c r="I214" s="46">
        <f>SUM(S209:S213)</f>
        <v>6.78</v>
      </c>
      <c r="J214" s="43">
        <f>Source!AU145</f>
        <v>46</v>
      </c>
      <c r="K214" s="46">
        <f>SUM(T209:T213)</f>
        <v>382.08</v>
      </c>
    </row>
    <row r="215" spans="1:29" ht="14.5" x14ac:dyDescent="0.25">
      <c r="A215" s="50"/>
      <c r="B215" s="50"/>
      <c r="C215" s="50" t="s">
        <v>460</v>
      </c>
      <c r="D215" s="51" t="s">
        <v>461</v>
      </c>
      <c r="E215" s="52">
        <f>Source!AQ144</f>
        <v>1.03</v>
      </c>
      <c r="F215" s="53"/>
      <c r="G215" s="54" t="s">
        <v>130</v>
      </c>
      <c r="H215" s="52">
        <f>Source!AV145</f>
        <v>1.0469999999999999</v>
      </c>
      <c r="I215" s="53">
        <f>Source!U144</f>
        <v>1.2940919999999998</v>
      </c>
      <c r="J215" s="52"/>
      <c r="K215" s="53"/>
    </row>
    <row r="216" spans="1:29" ht="14" x14ac:dyDescent="0.25">
      <c r="C216" s="55" t="s">
        <v>462</v>
      </c>
      <c r="H216" s="56">
        <f>I210+I211+I213+I214+0-0-0</f>
        <v>35.32</v>
      </c>
      <c r="I216" s="56"/>
      <c r="J216" s="56">
        <f>K210+K211+K213+K214+0-0-0</f>
        <v>1965.3</v>
      </c>
      <c r="K216" s="56"/>
    </row>
    <row r="217" spans="1:29" ht="14" hidden="1" x14ac:dyDescent="0.25">
      <c r="C217" s="55" t="s">
        <v>463</v>
      </c>
      <c r="H217" s="58">
        <f>0+0</f>
        <v>0</v>
      </c>
      <c r="I217" s="58"/>
      <c r="J217" s="58">
        <f>0+0</f>
        <v>0</v>
      </c>
      <c r="K217" s="58"/>
    </row>
    <row r="218" spans="1:29" ht="14" x14ac:dyDescent="0.25">
      <c r="C218" s="55" t="s">
        <v>464</v>
      </c>
      <c r="H218" s="58">
        <f>I210+I211+I213+I214+0</f>
        <v>35.32</v>
      </c>
      <c r="I218" s="58"/>
      <c r="J218" s="58">
        <f>K210+K211+K213+K214+0</f>
        <v>1965.3</v>
      </c>
      <c r="K218" s="58"/>
      <c r="O218" s="59">
        <f>I210+I211+I213+I214+0</f>
        <v>35.32</v>
      </c>
      <c r="P218" s="59">
        <f>K210+K211+K213+K214+0</f>
        <v>1965.3</v>
      </c>
    </row>
    <row r="220" spans="1:29" ht="82" x14ac:dyDescent="0.25">
      <c r="A220" s="68">
        <v>18</v>
      </c>
      <c r="B220" s="68" t="str">
        <f>Source!F146</f>
        <v>КА, п.7</v>
      </c>
      <c r="C220" s="68" t="s">
        <v>475</v>
      </c>
      <c r="D220" s="69" t="str">
        <f>Source!H146</f>
        <v>ШТ</v>
      </c>
      <c r="E220" s="70">
        <f>Source!I146</f>
        <v>1</v>
      </c>
      <c r="F220" s="71">
        <f>Source!AL146</f>
        <v>8610.9800000000014</v>
      </c>
      <c r="G220" s="72" t="s">
        <v>3</v>
      </c>
      <c r="H220" s="70">
        <f>Source!AW147</f>
        <v>1</v>
      </c>
      <c r="I220" s="71">
        <f>Source!P146</f>
        <v>8610.98</v>
      </c>
      <c r="J220" s="70">
        <f>IF(Source!BC147&lt;&gt; 0, Source!BC147, 1)</f>
        <v>7.57</v>
      </c>
      <c r="K220" s="71">
        <f>Source!P147</f>
        <v>65185.120000000003</v>
      </c>
      <c r="Q220">
        <f>Source!X146</f>
        <v>0</v>
      </c>
      <c r="R220">
        <f>Source!X147</f>
        <v>0</v>
      </c>
      <c r="S220">
        <f>Source!Y146</f>
        <v>0</v>
      </c>
      <c r="T220">
        <f>Source!Y147</f>
        <v>0</v>
      </c>
      <c r="U220">
        <f>ROUND((175/100)*ROUND(Source!R146, 2), 2)</f>
        <v>0</v>
      </c>
      <c r="V220">
        <f>ROUND((0/100)*ROUND(Source!R147, 2), 2)</f>
        <v>0</v>
      </c>
      <c r="AC220">
        <v>5</v>
      </c>
    </row>
    <row r="221" spans="1:29" ht="14" x14ac:dyDescent="0.25">
      <c r="A221" s="73"/>
      <c r="B221" s="73"/>
      <c r="C221" s="74" t="s">
        <v>464</v>
      </c>
      <c r="D221" s="73"/>
      <c r="E221" s="73"/>
      <c r="F221" s="73"/>
      <c r="G221" s="73"/>
      <c r="H221" s="75">
        <f>I220+0</f>
        <v>8610.98</v>
      </c>
      <c r="I221" s="75"/>
      <c r="J221" s="75">
        <f>K220+0</f>
        <v>65185.120000000003</v>
      </c>
      <c r="K221" s="75"/>
      <c r="O221" s="59">
        <f>I220+0</f>
        <v>8610.98</v>
      </c>
      <c r="P221" s="59">
        <f>K220+0</f>
        <v>65185.120000000003</v>
      </c>
    </row>
    <row r="223" spans="1:29" ht="29" x14ac:dyDescent="0.25">
      <c r="A223" s="42">
        <v>19</v>
      </c>
      <c r="B223" s="42" t="str">
        <f>Source!F152</f>
        <v>4.10-21-5</v>
      </c>
      <c r="C223" s="42" t="s">
        <v>179</v>
      </c>
      <c r="D223" s="44" t="str">
        <f>Source!H152</f>
        <v>1 комплект</v>
      </c>
      <c r="E223" s="43">
        <f>Source!I152</f>
        <v>14</v>
      </c>
      <c r="F223" s="46"/>
      <c r="G223" s="45"/>
      <c r="H223" s="43"/>
      <c r="I223" s="46"/>
      <c r="J223" s="43"/>
      <c r="K223" s="46"/>
      <c r="Q223">
        <f>Source!X152</f>
        <v>599.35</v>
      </c>
      <c r="R223">
        <f>Source!X153</f>
        <v>33773.15</v>
      </c>
      <c r="S223">
        <f>Source!Y152</f>
        <v>306.33</v>
      </c>
      <c r="T223">
        <f>Source!Y153</f>
        <v>17261.830000000002</v>
      </c>
      <c r="U223">
        <f>ROUND((175/100)*ROUND(Source!R152, 2), 2)</f>
        <v>0</v>
      </c>
      <c r="V223">
        <f>ROUND((0/100)*ROUND(Source!R153, 2), 2)</f>
        <v>0</v>
      </c>
      <c r="AC223">
        <v>0</v>
      </c>
    </row>
    <row r="224" spans="1:29" ht="14.5" x14ac:dyDescent="0.25">
      <c r="A224" s="42"/>
      <c r="B224" s="42"/>
      <c r="C224" s="42" t="s">
        <v>453</v>
      </c>
      <c r="D224" s="44"/>
      <c r="E224" s="43"/>
      <c r="F224" s="46">
        <f>Source!AO152</f>
        <v>37.86</v>
      </c>
      <c r="G224" s="48" t="s">
        <v>130</v>
      </c>
      <c r="H224" s="43">
        <f>Source!AV153</f>
        <v>1.0469999999999999</v>
      </c>
      <c r="I224" s="46">
        <f>Source!S152</f>
        <v>665.94</v>
      </c>
      <c r="J224" s="43">
        <f>IF(Source!BA153&lt;&gt; 0, Source!BA153, 1)</f>
        <v>56.35</v>
      </c>
      <c r="K224" s="46">
        <f>Source!S153</f>
        <v>37525.72</v>
      </c>
    </row>
    <row r="225" spans="1:29" ht="14.5" x14ac:dyDescent="0.25">
      <c r="A225" s="42"/>
      <c r="B225" s="42"/>
      <c r="C225" s="42" t="s">
        <v>467</v>
      </c>
      <c r="D225" s="44"/>
      <c r="E225" s="43"/>
      <c r="F225" s="46">
        <f>Source!AL152</f>
        <v>42.61</v>
      </c>
      <c r="G225" s="48" t="s">
        <v>3</v>
      </c>
      <c r="H225" s="43">
        <f>Source!AW153</f>
        <v>1</v>
      </c>
      <c r="I225" s="46">
        <f>Source!P152</f>
        <v>596.54</v>
      </c>
      <c r="J225" s="43">
        <f>IF(Source!BC153&lt;&gt; 0, Source!BC153, 1)</f>
        <v>5.15</v>
      </c>
      <c r="K225" s="46">
        <f>Source!P153</f>
        <v>3072.18</v>
      </c>
    </row>
    <row r="226" spans="1:29" ht="82" x14ac:dyDescent="0.25">
      <c r="A226" s="62" t="s">
        <v>181</v>
      </c>
      <c r="B226" s="62" t="str">
        <f>Source!F154</f>
        <v>КА, п.8</v>
      </c>
      <c r="C226" s="62" t="s">
        <v>476</v>
      </c>
      <c r="D226" s="63" t="str">
        <f>Source!H154</f>
        <v>ШТ</v>
      </c>
      <c r="E226" s="64">
        <f>Source!I154</f>
        <v>14</v>
      </c>
      <c r="F226" s="65">
        <f>Source!AK154</f>
        <v>649.7600000000001</v>
      </c>
      <c r="G226" s="67" t="s">
        <v>3</v>
      </c>
      <c r="H226" s="64">
        <f>Source!AW155</f>
        <v>1</v>
      </c>
      <c r="I226" s="65">
        <f>Source!O154</f>
        <v>9096.64</v>
      </c>
      <c r="J226" s="64">
        <f>IF(Source!BC155&lt;&gt; 0, Source!BC155, 1)</f>
        <v>7.57</v>
      </c>
      <c r="K226" s="65">
        <f>Source!O155</f>
        <v>68861.56</v>
      </c>
      <c r="Q226">
        <f>Source!X154</f>
        <v>0</v>
      </c>
      <c r="R226">
        <f>Source!X155</f>
        <v>0</v>
      </c>
      <c r="S226">
        <f>Source!Y154</f>
        <v>0</v>
      </c>
      <c r="T226">
        <f>Source!Y155</f>
        <v>0</v>
      </c>
      <c r="U226">
        <f>ROUND((175/100)*ROUND(Source!R154, 2), 2)</f>
        <v>0</v>
      </c>
      <c r="V226">
        <f>ROUND((0/100)*ROUND(Source!R155, 2), 2)</f>
        <v>0</v>
      </c>
      <c r="AC226">
        <v>5</v>
      </c>
    </row>
    <row r="227" spans="1:29" ht="14.5" x14ac:dyDescent="0.25">
      <c r="A227" s="42"/>
      <c r="B227" s="42"/>
      <c r="C227" s="42" t="s">
        <v>457</v>
      </c>
      <c r="D227" s="44" t="s">
        <v>458</v>
      </c>
      <c r="E227" s="43">
        <f>Source!BZ153</f>
        <v>90</v>
      </c>
      <c r="F227" s="46"/>
      <c r="G227" s="45"/>
      <c r="H227" s="43"/>
      <c r="I227" s="46">
        <f>SUM(Q223:Q226)</f>
        <v>599.35</v>
      </c>
      <c r="J227" s="43">
        <f>Source!AT153</f>
        <v>90</v>
      </c>
      <c r="K227" s="46">
        <f>SUM(R223:R226)</f>
        <v>33773.15</v>
      </c>
    </row>
    <row r="228" spans="1:29" ht="14.5" x14ac:dyDescent="0.25">
      <c r="A228" s="42"/>
      <c r="B228" s="42"/>
      <c r="C228" s="42" t="s">
        <v>459</v>
      </c>
      <c r="D228" s="44" t="s">
        <v>458</v>
      </c>
      <c r="E228" s="43">
        <f>Source!CA153</f>
        <v>46</v>
      </c>
      <c r="F228" s="46"/>
      <c r="G228" s="45"/>
      <c r="H228" s="43"/>
      <c r="I228" s="46">
        <f>SUM(S223:S227)</f>
        <v>306.33</v>
      </c>
      <c r="J228" s="43">
        <f>Source!AU153</f>
        <v>46</v>
      </c>
      <c r="K228" s="46">
        <f>SUM(T223:T227)</f>
        <v>17261.830000000002</v>
      </c>
    </row>
    <row r="229" spans="1:29" ht="14.5" x14ac:dyDescent="0.25">
      <c r="A229" s="50"/>
      <c r="B229" s="50"/>
      <c r="C229" s="50" t="s">
        <v>460</v>
      </c>
      <c r="D229" s="51" t="s">
        <v>461</v>
      </c>
      <c r="E229" s="52">
        <f>Source!AQ152</f>
        <v>3</v>
      </c>
      <c r="F229" s="53"/>
      <c r="G229" s="54" t="s">
        <v>130</v>
      </c>
      <c r="H229" s="52">
        <f>Source!AV153</f>
        <v>1.0469999999999999</v>
      </c>
      <c r="I229" s="53">
        <f>Source!U152</f>
        <v>52.768799999999992</v>
      </c>
      <c r="J229" s="52"/>
      <c r="K229" s="53"/>
    </row>
    <row r="230" spans="1:29" ht="14" x14ac:dyDescent="0.25">
      <c r="C230" s="55" t="s">
        <v>462</v>
      </c>
      <c r="H230" s="56">
        <f>I224+I225+I227+I228+SUM(I226:I226)-SUMIF(AC226:AC226, 5, I226:I226)-SUMIF(AC226:AC226, 6, I226:I226)</f>
        <v>2168.16</v>
      </c>
      <c r="I230" s="56"/>
      <c r="J230" s="56">
        <f>K224+K225+K227+K228+SUM(K226:K226)-SUMIF(AC226:AC226, 5, K226:K226)-SUMIF(AC226:AC226, 6, K226:K226)</f>
        <v>91632.88</v>
      </c>
      <c r="K230" s="56"/>
    </row>
    <row r="231" spans="1:29" ht="14" x14ac:dyDescent="0.25">
      <c r="C231" s="55" t="s">
        <v>463</v>
      </c>
      <c r="H231" s="58">
        <f>SUMIF(AC226:AC226, 5, I226:I226)+SUMIF(AC226:AC226, 6, I226:I226)</f>
        <v>9096.64</v>
      </c>
      <c r="I231" s="58"/>
      <c r="J231" s="58">
        <f>SUMIF(AC226:AC226, 5, K226:K226)+SUMIF(AC226:AC226, 6, K226:K226)</f>
        <v>68861.56</v>
      </c>
      <c r="K231" s="58"/>
    </row>
    <row r="232" spans="1:29" ht="14" x14ac:dyDescent="0.25">
      <c r="C232" s="55" t="s">
        <v>464</v>
      </c>
      <c r="H232" s="58">
        <f>I224+I225+I227+I228+SUM(I226:I226)</f>
        <v>11264.8</v>
      </c>
      <c r="I232" s="58"/>
      <c r="J232" s="58">
        <f>K224+K225+K227+K228+SUM(K226:K226)</f>
        <v>160494.44</v>
      </c>
      <c r="K232" s="58"/>
      <c r="O232" s="59">
        <f>I224+I225+I227+I228+SUM(I226:I226)</f>
        <v>11264.8</v>
      </c>
      <c r="P232" s="59">
        <f>K224+K225+K227+K228+SUM(K226:K226)</f>
        <v>160494.44</v>
      </c>
    </row>
    <row r="234" spans="1:29" hidden="1" x14ac:dyDescent="0.25"/>
    <row r="235" spans="1:29" ht="14" x14ac:dyDescent="0.3">
      <c r="A235" s="60" t="str">
        <f>CONCATENATE("Итого по разделу: ",IF(Source!G157&lt;&gt;"Новый раздел", Source!G157, ""))</f>
        <v>Итого по разделу: Разное</v>
      </c>
      <c r="B235" s="60"/>
      <c r="C235" s="60"/>
      <c r="D235" s="60"/>
      <c r="E235" s="60"/>
      <c r="F235" s="60"/>
      <c r="G235" s="60"/>
      <c r="H235" s="58">
        <f>SUM(O208:O234)</f>
        <v>19911.099999999999</v>
      </c>
      <c r="I235" s="57"/>
      <c r="J235" s="58">
        <f>SUM(P208:P234)</f>
        <v>227644.86</v>
      </c>
      <c r="K235" s="57"/>
    </row>
    <row r="236" spans="1:29" hidden="1" x14ac:dyDescent="0.25">
      <c r="A236" t="s">
        <v>465</v>
      </c>
      <c r="I236">
        <f>SUM(W208:W235)</f>
        <v>0</v>
      </c>
      <c r="J236">
        <f>SUM(X208:X235)</f>
        <v>0</v>
      </c>
    </row>
    <row r="237" spans="1:29" hidden="1" x14ac:dyDescent="0.25">
      <c r="A237" t="s">
        <v>466</v>
      </c>
      <c r="I237">
        <f>SUM(Y208:Y236)</f>
        <v>0</v>
      </c>
      <c r="J237">
        <f>SUM(Z208:Z236)</f>
        <v>0</v>
      </c>
    </row>
    <row r="239" spans="1:29" ht="16.5" x14ac:dyDescent="0.25">
      <c r="A239" s="40" t="str">
        <f>CONCATENATE("Раздел: ",IF(Source!G187&lt;&gt;"Новый раздел", Source!G187, ""))</f>
        <v>Раздел: Видеокамеры</v>
      </c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spans="1:29" ht="28" x14ac:dyDescent="0.25">
      <c r="A240" s="42">
        <v>20</v>
      </c>
      <c r="B240" s="42" t="str">
        <f>Source!F191</f>
        <v>4.10-174-1</v>
      </c>
      <c r="C240" s="42" t="s">
        <v>187</v>
      </c>
      <c r="D240" s="44" t="str">
        <f>Source!H191</f>
        <v>10 шт.</v>
      </c>
      <c r="E240" s="43">
        <f>Source!I191</f>
        <v>8.1</v>
      </c>
      <c r="F240" s="46"/>
      <c r="G240" s="45"/>
      <c r="H240" s="43"/>
      <c r="I240" s="46"/>
      <c r="J240" s="43"/>
      <c r="K240" s="46"/>
      <c r="Q240">
        <f>Source!X191</f>
        <v>2267.34</v>
      </c>
      <c r="R240">
        <f>Source!X192</f>
        <v>127764.77</v>
      </c>
      <c r="S240">
        <f>Source!Y191</f>
        <v>1158.8599999999999</v>
      </c>
      <c r="T240">
        <f>Source!Y192</f>
        <v>65302</v>
      </c>
      <c r="U240">
        <f>ROUND((175/100)*ROUND(Source!R191, 2), 2)</f>
        <v>2.31</v>
      </c>
      <c r="V240">
        <f>ROUND((0/100)*ROUND(Source!R192, 2), 2)</f>
        <v>0</v>
      </c>
      <c r="AC240">
        <v>0</v>
      </c>
    </row>
    <row r="241" spans="1:29" x14ac:dyDescent="0.25">
      <c r="C241" s="47" t="str">
        <f>"Объем: "&amp;Source!I191&amp;"=81/"&amp;"10"</f>
        <v>Объем: 8,1=81/10</v>
      </c>
    </row>
    <row r="242" spans="1:29" ht="14.5" x14ac:dyDescent="0.25">
      <c r="A242" s="42"/>
      <c r="B242" s="42"/>
      <c r="C242" s="42" t="s">
        <v>453</v>
      </c>
      <c r="D242" s="44"/>
      <c r="E242" s="43"/>
      <c r="F242" s="46">
        <f>Source!AO191</f>
        <v>247.42</v>
      </c>
      <c r="G242" s="48" t="s">
        <v>130</v>
      </c>
      <c r="H242" s="43">
        <f>Source!AV192</f>
        <v>1.0469999999999999</v>
      </c>
      <c r="I242" s="46">
        <f>Source!S191</f>
        <v>2517.9499999999998</v>
      </c>
      <c r="J242" s="43">
        <f>IF(Source!BA192&lt;&gt; 0, Source!BA192, 1)</f>
        <v>56.35</v>
      </c>
      <c r="K242" s="46">
        <f>Source!S192</f>
        <v>141886.48000000001</v>
      </c>
    </row>
    <row r="243" spans="1:29" ht="14.5" x14ac:dyDescent="0.25">
      <c r="A243" s="42"/>
      <c r="B243" s="42"/>
      <c r="C243" s="42" t="s">
        <v>455</v>
      </c>
      <c r="D243" s="44"/>
      <c r="E243" s="43"/>
      <c r="F243" s="46">
        <f>Source!AM191</f>
        <v>2.36</v>
      </c>
      <c r="G243" s="48" t="s">
        <v>130</v>
      </c>
      <c r="H243" s="43">
        <f>Source!AV192</f>
        <v>1.0469999999999999</v>
      </c>
      <c r="I243" s="46">
        <f>Source!Q191</f>
        <v>24.02</v>
      </c>
      <c r="J243" s="43">
        <f>IF(Source!BB192&lt;&gt; 0, Source!BB192, 1)</f>
        <v>12.21</v>
      </c>
      <c r="K243" s="46">
        <f>Source!Q192</f>
        <v>293.27999999999997</v>
      </c>
    </row>
    <row r="244" spans="1:29" ht="14.5" x14ac:dyDescent="0.25">
      <c r="A244" s="42"/>
      <c r="B244" s="42"/>
      <c r="C244" s="42" t="s">
        <v>456</v>
      </c>
      <c r="D244" s="44"/>
      <c r="E244" s="43"/>
      <c r="F244" s="46">
        <f>Source!AN191</f>
        <v>0.13</v>
      </c>
      <c r="G244" s="48" t="s">
        <v>130</v>
      </c>
      <c r="H244" s="43">
        <f>Source!AV192</f>
        <v>1.0469999999999999</v>
      </c>
      <c r="I244" s="49">
        <f>Source!R191</f>
        <v>1.32</v>
      </c>
      <c r="J244" s="43">
        <f>IF(Source!BS192&lt;&gt; 0, Source!BS192, 1)</f>
        <v>56.35</v>
      </c>
      <c r="K244" s="49">
        <f>Source!R192</f>
        <v>74.38</v>
      </c>
    </row>
    <row r="245" spans="1:29" ht="14.5" x14ac:dyDescent="0.25">
      <c r="A245" s="42"/>
      <c r="B245" s="42"/>
      <c r="C245" s="42" t="s">
        <v>467</v>
      </c>
      <c r="D245" s="44"/>
      <c r="E245" s="43"/>
      <c r="F245" s="46">
        <f>Source!AL191</f>
        <v>42.51</v>
      </c>
      <c r="G245" s="48" t="s">
        <v>3</v>
      </c>
      <c r="H245" s="43">
        <f>Source!AW192</f>
        <v>1</v>
      </c>
      <c r="I245" s="46">
        <f>Source!P191</f>
        <v>344.33</v>
      </c>
      <c r="J245" s="43">
        <f>IF(Source!BC192&lt;&gt; 0, Source!BC192, 1)</f>
        <v>1.84</v>
      </c>
      <c r="K245" s="46">
        <f>Source!P192</f>
        <v>633.57000000000005</v>
      </c>
    </row>
    <row r="246" spans="1:29" ht="70" customHeight="1" x14ac:dyDescent="0.25">
      <c r="A246" s="62" t="s">
        <v>188</v>
      </c>
      <c r="B246" s="62" t="str">
        <f>Source!F193</f>
        <v>КА, п.9</v>
      </c>
      <c r="C246" s="62" t="s">
        <v>477</v>
      </c>
      <c r="D246" s="63" t="str">
        <f>Source!H193</f>
        <v>ШТ</v>
      </c>
      <c r="E246" s="64">
        <f>Source!I193</f>
        <v>81</v>
      </c>
      <c r="F246" s="65">
        <f>Source!AK193</f>
        <v>3600.41</v>
      </c>
      <c r="G246" s="67" t="s">
        <v>3</v>
      </c>
      <c r="H246" s="64">
        <f>Source!AW194</f>
        <v>1</v>
      </c>
      <c r="I246" s="65">
        <f>Source!O193</f>
        <v>291633.21000000002</v>
      </c>
      <c r="J246" s="64">
        <f>IF(Source!BC194&lt;&gt; 0, Source!BC194, 1)</f>
        <v>7.57</v>
      </c>
      <c r="K246" s="65">
        <f>Source!O194</f>
        <v>2207663.4</v>
      </c>
      <c r="Q246">
        <f>Source!X193</f>
        <v>0</v>
      </c>
      <c r="R246">
        <f>Source!X194</f>
        <v>0</v>
      </c>
      <c r="S246">
        <f>Source!Y193</f>
        <v>0</v>
      </c>
      <c r="T246">
        <f>Source!Y194</f>
        <v>0</v>
      </c>
      <c r="U246">
        <f>ROUND((175/100)*ROUND(Source!R193, 2), 2)</f>
        <v>0</v>
      </c>
      <c r="V246">
        <f>ROUND((0/100)*ROUND(Source!R194, 2), 2)</f>
        <v>0</v>
      </c>
      <c r="AC246">
        <v>5</v>
      </c>
    </row>
    <row r="247" spans="1:29" ht="14.5" x14ac:dyDescent="0.25">
      <c r="A247" s="42"/>
      <c r="B247" s="42"/>
      <c r="C247" s="42" t="s">
        <v>457</v>
      </c>
      <c r="D247" s="44" t="s">
        <v>458</v>
      </c>
      <c r="E247" s="43">
        <f>Source!BZ192</f>
        <v>90</v>
      </c>
      <c r="F247" s="46"/>
      <c r="G247" s="45"/>
      <c r="H247" s="43"/>
      <c r="I247" s="46">
        <f>SUM(Q240:Q246)</f>
        <v>2267.34</v>
      </c>
      <c r="J247" s="43">
        <f>Source!AT192</f>
        <v>90</v>
      </c>
      <c r="K247" s="46">
        <f>SUM(R240:R246)</f>
        <v>127764.77</v>
      </c>
    </row>
    <row r="248" spans="1:29" ht="14.5" x14ac:dyDescent="0.25">
      <c r="A248" s="42"/>
      <c r="B248" s="42"/>
      <c r="C248" s="42" t="s">
        <v>459</v>
      </c>
      <c r="D248" s="44" t="s">
        <v>458</v>
      </c>
      <c r="E248" s="43">
        <f>Source!CA192</f>
        <v>46</v>
      </c>
      <c r="F248" s="46"/>
      <c r="G248" s="45"/>
      <c r="H248" s="43"/>
      <c r="I248" s="46">
        <f>SUM(S240:S247)</f>
        <v>1158.8599999999999</v>
      </c>
      <c r="J248" s="43">
        <f>Source!AU192</f>
        <v>46</v>
      </c>
      <c r="K248" s="46">
        <f>SUM(T240:T247)</f>
        <v>65302</v>
      </c>
    </row>
    <row r="249" spans="1:29" ht="14.5" x14ac:dyDescent="0.25">
      <c r="A249" s="50"/>
      <c r="B249" s="50"/>
      <c r="C249" s="50" t="s">
        <v>460</v>
      </c>
      <c r="D249" s="51" t="s">
        <v>461</v>
      </c>
      <c r="E249" s="52">
        <f>Source!AQ191</f>
        <v>15.54</v>
      </c>
      <c r="F249" s="53"/>
      <c r="G249" s="54" t="s">
        <v>130</v>
      </c>
      <c r="H249" s="52">
        <f>Source!AV192</f>
        <v>1.0469999999999999</v>
      </c>
      <c r="I249" s="53">
        <f>Source!U191</f>
        <v>158.14809359999998</v>
      </c>
      <c r="J249" s="52"/>
      <c r="K249" s="53"/>
    </row>
    <row r="250" spans="1:29" ht="14" x14ac:dyDescent="0.25">
      <c r="C250" s="55" t="s">
        <v>462</v>
      </c>
      <c r="H250" s="56">
        <f>I242+I243+I245+I247+I248+SUM(I246:I246)-SUMIF(AC246:AC246, 5, I246:I246)-SUMIF(AC246:AC246, 6, I246:I246)</f>
        <v>6312.5</v>
      </c>
      <c r="I250" s="56"/>
      <c r="J250" s="56">
        <f>K242+K243+K245+K247+K248+SUM(K246:K246)-SUMIF(AC246:AC246, 5, K246:K246)-SUMIF(AC246:AC246, 6, K246:K246)</f>
        <v>335880.10000000009</v>
      </c>
      <c r="K250" s="56"/>
    </row>
    <row r="251" spans="1:29" ht="14" x14ac:dyDescent="0.25">
      <c r="C251" s="55" t="s">
        <v>463</v>
      </c>
      <c r="H251" s="58">
        <f>SUMIF(AC246:AC246, 5, I246:I246)+SUMIF(AC246:AC246, 6, I246:I246)</f>
        <v>291633.21000000002</v>
      </c>
      <c r="I251" s="58"/>
      <c r="J251" s="58">
        <f>SUMIF(AC246:AC246, 5, K246:K246)+SUMIF(AC246:AC246, 6, K246:K246)</f>
        <v>2207663.4</v>
      </c>
      <c r="K251" s="58"/>
    </row>
    <row r="252" spans="1:29" ht="14" x14ac:dyDescent="0.25">
      <c r="C252" s="55" t="s">
        <v>464</v>
      </c>
      <c r="H252" s="58">
        <f>I242+I243+I245+I247+I248+SUM(I246:I246)</f>
        <v>297945.71000000002</v>
      </c>
      <c r="I252" s="58"/>
      <c r="J252" s="58">
        <f>K242+K243+K245+K247+K248+SUM(K246:K246)</f>
        <v>2543543.5</v>
      </c>
      <c r="K252" s="58"/>
      <c r="O252" s="59">
        <f>I242+I243+I245+I247+I248+SUM(I246:I246)</f>
        <v>297945.71000000002</v>
      </c>
      <c r="P252" s="59">
        <f>K242+K243+K245+K247+K248+SUM(K246:K246)</f>
        <v>2543543.5</v>
      </c>
    </row>
    <row r="254" spans="1:29" ht="28" x14ac:dyDescent="0.25">
      <c r="A254" s="42">
        <v>21</v>
      </c>
      <c r="B254" s="42" t="str">
        <f>Source!F195</f>
        <v>4.10-174-2</v>
      </c>
      <c r="C254" s="42" t="s">
        <v>193</v>
      </c>
      <c r="D254" s="44" t="str">
        <f>Source!H195</f>
        <v>10 шт.</v>
      </c>
      <c r="E254" s="43">
        <f>Source!I195</f>
        <v>1.8</v>
      </c>
      <c r="F254" s="46"/>
      <c r="G254" s="45"/>
      <c r="H254" s="43"/>
      <c r="I254" s="46"/>
      <c r="J254" s="43"/>
      <c r="K254" s="46"/>
      <c r="Q254">
        <f>Source!X195</f>
        <v>816.99</v>
      </c>
      <c r="R254">
        <f>Source!X196</f>
        <v>46037.56</v>
      </c>
      <c r="S254">
        <f>Source!Y195</f>
        <v>417.57</v>
      </c>
      <c r="T254">
        <f>Source!Y196</f>
        <v>23530.31</v>
      </c>
      <c r="U254">
        <f>ROUND((175/100)*ROUND(Source!R195, 2), 2)</f>
        <v>0.51</v>
      </c>
      <c r="V254">
        <f>ROUND((0/100)*ROUND(Source!R196, 2), 2)</f>
        <v>0</v>
      </c>
      <c r="AC254">
        <v>0</v>
      </c>
    </row>
    <row r="255" spans="1:29" x14ac:dyDescent="0.25">
      <c r="C255" s="47" t="str">
        <f>"Объем: "&amp;Source!I195&amp;"=(14+"&amp;"4)/"&amp;"10"</f>
        <v>Объем: 1,8=(14+4)/10</v>
      </c>
    </row>
    <row r="256" spans="1:29" ht="14.5" x14ac:dyDescent="0.25">
      <c r="A256" s="42"/>
      <c r="B256" s="42"/>
      <c r="C256" s="42" t="s">
        <v>453</v>
      </c>
      <c r="D256" s="44"/>
      <c r="E256" s="43"/>
      <c r="F256" s="46">
        <f>Source!AO195</f>
        <v>401.27</v>
      </c>
      <c r="G256" s="48" t="s">
        <v>130</v>
      </c>
      <c r="H256" s="43">
        <f>Source!AV196</f>
        <v>1.0469999999999999</v>
      </c>
      <c r="I256" s="46">
        <f>Source!S195</f>
        <v>907.48</v>
      </c>
      <c r="J256" s="43">
        <f>IF(Source!BA196&lt;&gt; 0, Source!BA196, 1)</f>
        <v>56.35</v>
      </c>
      <c r="K256" s="46">
        <f>Source!S196</f>
        <v>51136.5</v>
      </c>
    </row>
    <row r="257" spans="1:29" ht="14.5" x14ac:dyDescent="0.25">
      <c r="A257" s="42"/>
      <c r="B257" s="42"/>
      <c r="C257" s="42" t="s">
        <v>455</v>
      </c>
      <c r="D257" s="44"/>
      <c r="E257" s="43"/>
      <c r="F257" s="46">
        <f>Source!AM195</f>
        <v>2.36</v>
      </c>
      <c r="G257" s="48" t="s">
        <v>130</v>
      </c>
      <c r="H257" s="43">
        <f>Source!AV196</f>
        <v>1.0469999999999999</v>
      </c>
      <c r="I257" s="46">
        <f>Source!Q195</f>
        <v>5.34</v>
      </c>
      <c r="J257" s="43">
        <f>IF(Source!BB196&lt;&gt; 0, Source!BB196, 1)</f>
        <v>12.21</v>
      </c>
      <c r="K257" s="46">
        <f>Source!Q196</f>
        <v>65.2</v>
      </c>
    </row>
    <row r="258" spans="1:29" ht="14.5" x14ac:dyDescent="0.25">
      <c r="A258" s="42"/>
      <c r="B258" s="42"/>
      <c r="C258" s="42" t="s">
        <v>456</v>
      </c>
      <c r="D258" s="44"/>
      <c r="E258" s="43"/>
      <c r="F258" s="46">
        <f>Source!AN195</f>
        <v>0.13</v>
      </c>
      <c r="G258" s="48" t="s">
        <v>130</v>
      </c>
      <c r="H258" s="43">
        <f>Source!AV196</f>
        <v>1.0469999999999999</v>
      </c>
      <c r="I258" s="49">
        <f>Source!R195</f>
        <v>0.28999999999999998</v>
      </c>
      <c r="J258" s="43">
        <f>IF(Source!BS196&lt;&gt; 0, Source!BS196, 1)</f>
        <v>56.35</v>
      </c>
      <c r="K258" s="49">
        <f>Source!R196</f>
        <v>16.34</v>
      </c>
    </row>
    <row r="259" spans="1:29" ht="14.5" x14ac:dyDescent="0.25">
      <c r="A259" s="42"/>
      <c r="B259" s="42"/>
      <c r="C259" s="42" t="s">
        <v>467</v>
      </c>
      <c r="D259" s="44"/>
      <c r="E259" s="43"/>
      <c r="F259" s="46">
        <f>Source!AL195</f>
        <v>42.51</v>
      </c>
      <c r="G259" s="48" t="s">
        <v>3</v>
      </c>
      <c r="H259" s="43">
        <f>Source!AW196</f>
        <v>1</v>
      </c>
      <c r="I259" s="46">
        <f>Source!P195</f>
        <v>76.52</v>
      </c>
      <c r="J259" s="43">
        <f>IF(Source!BC196&lt;&gt; 0, Source!BC196, 1)</f>
        <v>1.84</v>
      </c>
      <c r="K259" s="46">
        <f>Source!P196</f>
        <v>140.80000000000001</v>
      </c>
    </row>
    <row r="260" spans="1:29" ht="14.5" x14ac:dyDescent="0.25">
      <c r="A260" s="42"/>
      <c r="B260" s="42"/>
      <c r="C260" s="42" t="s">
        <v>457</v>
      </c>
      <c r="D260" s="44" t="s">
        <v>458</v>
      </c>
      <c r="E260" s="43">
        <f>Source!BZ196</f>
        <v>90</v>
      </c>
      <c r="F260" s="46"/>
      <c r="G260" s="45"/>
      <c r="H260" s="43"/>
      <c r="I260" s="46">
        <f>SUM(Q254:Q259)</f>
        <v>816.99</v>
      </c>
      <c r="J260" s="43">
        <f>Source!AT196</f>
        <v>90</v>
      </c>
      <c r="K260" s="46">
        <f>SUM(R254:R259)</f>
        <v>46037.56</v>
      </c>
    </row>
    <row r="261" spans="1:29" ht="14.5" x14ac:dyDescent="0.25">
      <c r="A261" s="42"/>
      <c r="B261" s="42"/>
      <c r="C261" s="42" t="s">
        <v>459</v>
      </c>
      <c r="D261" s="44" t="s">
        <v>458</v>
      </c>
      <c r="E261" s="43">
        <f>Source!CA196</f>
        <v>46</v>
      </c>
      <c r="F261" s="46"/>
      <c r="G261" s="45"/>
      <c r="H261" s="43"/>
      <c r="I261" s="46">
        <f>SUM(S254:S260)</f>
        <v>417.57</v>
      </c>
      <c r="J261" s="43">
        <f>Source!AU196</f>
        <v>46</v>
      </c>
      <c r="K261" s="46">
        <f>SUM(T254:T260)</f>
        <v>23530.31</v>
      </c>
    </row>
    <row r="262" spans="1:29" ht="14.5" x14ac:dyDescent="0.25">
      <c r="A262" s="50"/>
      <c r="B262" s="50"/>
      <c r="C262" s="50" t="s">
        <v>460</v>
      </c>
      <c r="D262" s="51" t="s">
        <v>461</v>
      </c>
      <c r="E262" s="52">
        <f>Source!AQ195</f>
        <v>25.33</v>
      </c>
      <c r="F262" s="53"/>
      <c r="G262" s="54" t="s">
        <v>130</v>
      </c>
      <c r="H262" s="52">
        <f>Source!AV196</f>
        <v>1.0469999999999999</v>
      </c>
      <c r="I262" s="53">
        <f>Source!U195</f>
        <v>57.284301599999992</v>
      </c>
      <c r="J262" s="52"/>
      <c r="K262" s="53"/>
    </row>
    <row r="263" spans="1:29" ht="14" x14ac:dyDescent="0.25">
      <c r="C263" s="55" t="s">
        <v>462</v>
      </c>
      <c r="H263" s="56">
        <f>I256+I257+I259+I260+I261+0-0-0</f>
        <v>2223.9</v>
      </c>
      <c r="I263" s="56"/>
      <c r="J263" s="56">
        <f>K256+K257+K259+K260+K261+0-0-0</f>
        <v>120910.37</v>
      </c>
      <c r="K263" s="56"/>
    </row>
    <row r="264" spans="1:29" ht="14" hidden="1" x14ac:dyDescent="0.25">
      <c r="C264" s="55" t="s">
        <v>463</v>
      </c>
      <c r="H264" s="58">
        <f>0+0</f>
        <v>0</v>
      </c>
      <c r="I264" s="58"/>
      <c r="J264" s="58">
        <f>0+0</f>
        <v>0</v>
      </c>
      <c r="K264" s="58"/>
    </row>
    <row r="265" spans="1:29" ht="14" x14ac:dyDescent="0.25">
      <c r="C265" s="55" t="s">
        <v>464</v>
      </c>
      <c r="H265" s="58">
        <f>I256+I257+I259+I260+I261+0</f>
        <v>2223.9</v>
      </c>
      <c r="I265" s="58"/>
      <c r="J265" s="58">
        <f>K256+K257+K259+K260+K261+0</f>
        <v>120910.37</v>
      </c>
      <c r="K265" s="58"/>
      <c r="O265" s="59">
        <f>I256+I257+I259+I260+I261+0</f>
        <v>2223.9</v>
      </c>
      <c r="P265" s="59">
        <f>K256+K257+K259+K260+K261+0</f>
        <v>120910.37</v>
      </c>
    </row>
    <row r="267" spans="1:29" ht="82" x14ac:dyDescent="0.25">
      <c r="A267" s="68">
        <v>22</v>
      </c>
      <c r="B267" s="68" t="str">
        <f>Source!F197</f>
        <v>КА, п.10</v>
      </c>
      <c r="C267" s="68" t="s">
        <v>478</v>
      </c>
      <c r="D267" s="69" t="str">
        <f>Source!H197</f>
        <v>ШТ</v>
      </c>
      <c r="E267" s="70">
        <f>Source!I197</f>
        <v>14</v>
      </c>
      <c r="F267" s="71">
        <f>Source!AL197</f>
        <v>3826.1499999999996</v>
      </c>
      <c r="G267" s="72" t="s">
        <v>3</v>
      </c>
      <c r="H267" s="70">
        <f>Source!AW198</f>
        <v>1</v>
      </c>
      <c r="I267" s="71">
        <f>Source!P197</f>
        <v>53566.1</v>
      </c>
      <c r="J267" s="70">
        <f>IF(Source!BC198&lt;&gt; 0, Source!BC198, 1)</f>
        <v>7.57</v>
      </c>
      <c r="K267" s="71">
        <f>Source!P198</f>
        <v>405495.38</v>
      </c>
      <c r="Q267">
        <f>Source!X197</f>
        <v>0</v>
      </c>
      <c r="R267">
        <f>Source!X198</f>
        <v>0</v>
      </c>
      <c r="S267">
        <f>Source!Y197</f>
        <v>0</v>
      </c>
      <c r="T267">
        <f>Source!Y198</f>
        <v>0</v>
      </c>
      <c r="U267">
        <f>ROUND((175/100)*ROUND(Source!R197, 2), 2)</f>
        <v>0</v>
      </c>
      <c r="V267">
        <f>ROUND((0/100)*ROUND(Source!R198, 2), 2)</f>
        <v>0</v>
      </c>
      <c r="AC267">
        <v>5</v>
      </c>
    </row>
    <row r="268" spans="1:29" ht="14" x14ac:dyDescent="0.25">
      <c r="A268" s="73"/>
      <c r="B268" s="73"/>
      <c r="C268" s="74" t="s">
        <v>464</v>
      </c>
      <c r="D268" s="73"/>
      <c r="E268" s="73"/>
      <c r="F268" s="73"/>
      <c r="G268" s="73"/>
      <c r="H268" s="75">
        <f>I267+0</f>
        <v>53566.1</v>
      </c>
      <c r="I268" s="75"/>
      <c r="J268" s="75">
        <f>K267+0</f>
        <v>405495.38</v>
      </c>
      <c r="K268" s="75"/>
      <c r="O268" s="59">
        <f>I267+0</f>
        <v>53566.1</v>
      </c>
      <c r="P268" s="59">
        <f>K267+0</f>
        <v>405495.38</v>
      </c>
    </row>
    <row r="270" spans="1:29" ht="96" x14ac:dyDescent="0.25">
      <c r="A270" s="68">
        <v>23</v>
      </c>
      <c r="B270" s="68" t="str">
        <f>Source!F199</f>
        <v>КА, п.11</v>
      </c>
      <c r="C270" s="68" t="s">
        <v>479</v>
      </c>
      <c r="D270" s="69" t="str">
        <f>Source!H199</f>
        <v>ШТ</v>
      </c>
      <c r="E270" s="70">
        <f>Source!I199</f>
        <v>4</v>
      </c>
      <c r="F270" s="71">
        <f>Source!AL199</f>
        <v>6168.1100000000006</v>
      </c>
      <c r="G270" s="72" t="s">
        <v>3</v>
      </c>
      <c r="H270" s="70">
        <f>Source!AW200</f>
        <v>1</v>
      </c>
      <c r="I270" s="71">
        <f>Source!P199</f>
        <v>24672.44</v>
      </c>
      <c r="J270" s="70">
        <f>IF(Source!BC200&lt;&gt; 0, Source!BC200, 1)</f>
        <v>7.57</v>
      </c>
      <c r="K270" s="71">
        <f>Source!P200</f>
        <v>186770.37</v>
      </c>
      <c r="Q270">
        <f>Source!X199</f>
        <v>0</v>
      </c>
      <c r="R270">
        <f>Source!X200</f>
        <v>0</v>
      </c>
      <c r="S270">
        <f>Source!Y199</f>
        <v>0</v>
      </c>
      <c r="T270">
        <f>Source!Y200</f>
        <v>0</v>
      </c>
      <c r="U270">
        <f>ROUND((175/100)*ROUND(Source!R199, 2), 2)</f>
        <v>0</v>
      </c>
      <c r="V270">
        <f>ROUND((0/100)*ROUND(Source!R200, 2), 2)</f>
        <v>0</v>
      </c>
      <c r="AC270">
        <v>5</v>
      </c>
    </row>
    <row r="271" spans="1:29" ht="14" x14ac:dyDescent="0.25">
      <c r="A271" s="73"/>
      <c r="B271" s="73"/>
      <c r="C271" s="74" t="s">
        <v>464</v>
      </c>
      <c r="D271" s="73"/>
      <c r="E271" s="73"/>
      <c r="F271" s="73"/>
      <c r="G271" s="73"/>
      <c r="H271" s="75">
        <f>I270+0</f>
        <v>24672.44</v>
      </c>
      <c r="I271" s="75"/>
      <c r="J271" s="75">
        <f>K270+0</f>
        <v>186770.37</v>
      </c>
      <c r="K271" s="75"/>
      <c r="O271" s="59">
        <f>I270+0</f>
        <v>24672.44</v>
      </c>
      <c r="P271" s="59">
        <f>K270+0</f>
        <v>186770.37</v>
      </c>
    </row>
    <row r="273" spans="1:11" hidden="1" x14ac:dyDescent="0.25"/>
    <row r="274" spans="1:11" ht="14" x14ac:dyDescent="0.3">
      <c r="A274" s="60" t="str">
        <f>CONCATENATE("Итого по разделу: ",IF(Source!G202&lt;&gt;"Новый раздел", Source!G202, ""))</f>
        <v>Итого по разделу: Видеокамеры</v>
      </c>
      <c r="B274" s="60"/>
      <c r="C274" s="60"/>
      <c r="D274" s="60"/>
      <c r="E274" s="60"/>
      <c r="F274" s="60"/>
      <c r="G274" s="60"/>
      <c r="H274" s="58">
        <f>SUM(O239:O273)</f>
        <v>378408.15</v>
      </c>
      <c r="I274" s="57"/>
      <c r="J274" s="58">
        <f>SUM(P239:P273)</f>
        <v>3256719.62</v>
      </c>
      <c r="K274" s="57"/>
    </row>
    <row r="275" spans="1:11" hidden="1" x14ac:dyDescent="0.25">
      <c r="A275" t="s">
        <v>465</v>
      </c>
      <c r="I275">
        <f>SUM(W239:W274)</f>
        <v>0</v>
      </c>
      <c r="J275">
        <f>SUM(X239:X274)</f>
        <v>0</v>
      </c>
    </row>
    <row r="276" spans="1:11" hidden="1" x14ac:dyDescent="0.25">
      <c r="A276" t="s">
        <v>466</v>
      </c>
      <c r="I276">
        <f>SUM(Y239:Y275)</f>
        <v>0</v>
      </c>
      <c r="J276">
        <f>SUM(Z239:Z275)</f>
        <v>0</v>
      </c>
    </row>
    <row r="278" spans="1:11" ht="14" x14ac:dyDescent="0.3">
      <c r="A278" s="60" t="str">
        <f>CONCATENATE("Итого по локальной смете: ",IF(Source!G232&lt;&gt;"Новая локальная смета", Source!G232, ""))</f>
        <v>Итого по локальной смете: Система охранного телевидения</v>
      </c>
      <c r="B278" s="60"/>
      <c r="C278" s="60"/>
      <c r="D278" s="60"/>
      <c r="E278" s="60"/>
      <c r="F278" s="60"/>
      <c r="G278" s="60"/>
      <c r="H278" s="58">
        <f>SUM(O36:O277)</f>
        <v>1061162.8899999999</v>
      </c>
      <c r="I278" s="57"/>
      <c r="J278" s="58">
        <f>SUM(P36:P277)</f>
        <v>8811082.7300000004</v>
      </c>
      <c r="K278" s="57"/>
    </row>
    <row r="279" spans="1:11" hidden="1" x14ac:dyDescent="0.25">
      <c r="A279" t="s">
        <v>465</v>
      </c>
      <c r="I279">
        <f>SUM(W36:W278)</f>
        <v>0</v>
      </c>
      <c r="J279">
        <f>SUM(X36:X278)</f>
        <v>0</v>
      </c>
    </row>
    <row r="280" spans="1:11" hidden="1" x14ac:dyDescent="0.25">
      <c r="A280" t="s">
        <v>466</v>
      </c>
      <c r="I280">
        <f>SUM(Y36:Y279)</f>
        <v>0</v>
      </c>
      <c r="J280">
        <f>SUM(Z36:Z279)</f>
        <v>0</v>
      </c>
    </row>
    <row r="282" spans="1:11" ht="14" hidden="1" x14ac:dyDescent="0.3">
      <c r="A282" s="60" t="str">
        <f>CONCATENATE("Итого по смете: ",IF(Source!G262&lt;&gt;"Новый объект", Source!G262, ""))</f>
        <v>Итого по смете: 02-01-14 СОТ 20.07</v>
      </c>
      <c r="B282" s="60"/>
      <c r="C282" s="60"/>
      <c r="D282" s="60"/>
      <c r="E282" s="60"/>
      <c r="F282" s="60"/>
      <c r="G282" s="60"/>
      <c r="H282" s="58">
        <f>SUM(O1:O281)</f>
        <v>1061162.8899999999</v>
      </c>
      <c r="I282" s="57"/>
      <c r="J282" s="58">
        <f>SUM(P1:P281)</f>
        <v>8811082.7300000004</v>
      </c>
      <c r="K282" s="57"/>
    </row>
    <row r="283" spans="1:11" hidden="1" x14ac:dyDescent="0.25">
      <c r="A283" t="s">
        <v>465</v>
      </c>
      <c r="I283">
        <f>SUM(W1:W282)</f>
        <v>0</v>
      </c>
      <c r="J283">
        <f>SUM(X1:X282)</f>
        <v>0</v>
      </c>
    </row>
    <row r="284" spans="1:11" hidden="1" x14ac:dyDescent="0.25">
      <c r="A284" t="s">
        <v>466</v>
      </c>
      <c r="I284">
        <f>SUM(Y1:Y283)</f>
        <v>0</v>
      </c>
      <c r="J284">
        <f>SUM(Z1:Z283)</f>
        <v>0</v>
      </c>
    </row>
    <row r="287" spans="1:11" ht="14" x14ac:dyDescent="0.3">
      <c r="A287" s="76" t="s">
        <v>481</v>
      </c>
      <c r="B287" s="76"/>
      <c r="C287" s="77" t="str">
        <f>IF(Source!AC12&lt;&gt;"", Source!AC12," ")</f>
        <v>Ведущий инженер-сметчик</v>
      </c>
      <c r="D287" s="77"/>
      <c r="E287" s="77"/>
      <c r="F287" s="77"/>
      <c r="G287" s="77"/>
      <c r="H287" s="18" t="str">
        <f>IF(Source!AB12&lt;&gt;"", Source!AB12," ")</f>
        <v>О.А.Гришечкина</v>
      </c>
      <c r="I287" s="18"/>
      <c r="J287" s="18"/>
      <c r="K287" s="18"/>
    </row>
    <row r="288" spans="1:11" ht="14" x14ac:dyDescent="0.3">
      <c r="A288" s="15"/>
      <c r="B288" s="15"/>
      <c r="C288" s="24" t="s">
        <v>482</v>
      </c>
      <c r="D288" s="24"/>
      <c r="E288" s="24"/>
      <c r="F288" s="24"/>
      <c r="G288" s="24"/>
      <c r="H288" s="15"/>
      <c r="I288" s="15"/>
      <c r="J288" s="15"/>
      <c r="K288" s="15"/>
    </row>
    <row r="289" spans="1:11" ht="14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</row>
    <row r="290" spans="1:11" ht="14" x14ac:dyDescent="0.3">
      <c r="A290" s="76" t="s">
        <v>483</v>
      </c>
      <c r="B290" s="76"/>
      <c r="C290" s="77" t="str">
        <f>IF(Source!AE12&lt;&gt;"", Source!AE12," ")</f>
        <v>Начальник отдела</v>
      </c>
      <c r="D290" s="77"/>
      <c r="E290" s="77"/>
      <c r="F290" s="77"/>
      <c r="G290" s="77"/>
      <c r="H290" s="18" t="str">
        <f>IF(Source!AD12&lt;&gt;"", Source!AD12," ")</f>
        <v>И.В.Феденко</v>
      </c>
      <c r="I290" s="18"/>
      <c r="J290" s="18"/>
      <c r="K290" s="18"/>
    </row>
    <row r="291" spans="1:11" ht="14" x14ac:dyDescent="0.3">
      <c r="A291" s="15"/>
      <c r="B291" s="15"/>
      <c r="C291" s="24" t="s">
        <v>482</v>
      </c>
      <c r="D291" s="24"/>
      <c r="E291" s="24"/>
      <c r="F291" s="24"/>
      <c r="G291" s="24"/>
      <c r="H291" s="15"/>
      <c r="I291" s="15"/>
      <c r="J291" s="15"/>
      <c r="K291" s="15"/>
    </row>
  </sheetData>
  <mergeCells count="172">
    <mergeCell ref="A290:B290"/>
    <mergeCell ref="H290:K290"/>
    <mergeCell ref="C291:G291"/>
    <mergeCell ref="J282:K282"/>
    <mergeCell ref="H282:I282"/>
    <mergeCell ref="A282:G282"/>
    <mergeCell ref="A287:B287"/>
    <mergeCell ref="H287:K287"/>
    <mergeCell ref="C288:G288"/>
    <mergeCell ref="J274:K274"/>
    <mergeCell ref="H274:I274"/>
    <mergeCell ref="A274:G274"/>
    <mergeCell ref="J278:K278"/>
    <mergeCell ref="H278:I278"/>
    <mergeCell ref="A278:G278"/>
    <mergeCell ref="H265:I265"/>
    <mergeCell ref="J265:K265"/>
    <mergeCell ref="H268:I268"/>
    <mergeCell ref="J268:K268"/>
    <mergeCell ref="H271:I271"/>
    <mergeCell ref="J271:K271"/>
    <mergeCell ref="H252:I252"/>
    <mergeCell ref="J252:K252"/>
    <mergeCell ref="H263:I263"/>
    <mergeCell ref="J263:K263"/>
    <mergeCell ref="H264:I264"/>
    <mergeCell ref="J264:K264"/>
    <mergeCell ref="A235:G235"/>
    <mergeCell ref="A239:K239"/>
    <mergeCell ref="H250:I250"/>
    <mergeCell ref="J250:K250"/>
    <mergeCell ref="H251:I251"/>
    <mergeCell ref="J251:K251"/>
    <mergeCell ref="H231:I231"/>
    <mergeCell ref="J231:K231"/>
    <mergeCell ref="H232:I232"/>
    <mergeCell ref="J232:K232"/>
    <mergeCell ref="J235:K235"/>
    <mergeCell ref="H235:I235"/>
    <mergeCell ref="H218:I218"/>
    <mergeCell ref="J218:K218"/>
    <mergeCell ref="H221:I221"/>
    <mergeCell ref="J221:K221"/>
    <mergeCell ref="H230:I230"/>
    <mergeCell ref="J230:K230"/>
    <mergeCell ref="A204:G204"/>
    <mergeCell ref="A208:K208"/>
    <mergeCell ref="H216:I216"/>
    <mergeCell ref="J216:K216"/>
    <mergeCell ref="H217:I217"/>
    <mergeCell ref="J217:K217"/>
    <mergeCell ref="H200:I200"/>
    <mergeCell ref="J200:K200"/>
    <mergeCell ref="H201:I201"/>
    <mergeCell ref="J201:K201"/>
    <mergeCell ref="J204:K204"/>
    <mergeCell ref="H204:I204"/>
    <mergeCell ref="H187:I187"/>
    <mergeCell ref="J187:K187"/>
    <mergeCell ref="H190:I190"/>
    <mergeCell ref="J190:K190"/>
    <mergeCell ref="H199:I199"/>
    <mergeCell ref="J199:K199"/>
    <mergeCell ref="H177:I177"/>
    <mergeCell ref="J177:K177"/>
    <mergeCell ref="H185:I185"/>
    <mergeCell ref="J185:K185"/>
    <mergeCell ref="H186:I186"/>
    <mergeCell ref="J186:K186"/>
    <mergeCell ref="H164:I164"/>
    <mergeCell ref="J164:K164"/>
    <mergeCell ref="H175:I175"/>
    <mergeCell ref="J175:K175"/>
    <mergeCell ref="H176:I176"/>
    <mergeCell ref="J176:K176"/>
    <mergeCell ref="H151:I151"/>
    <mergeCell ref="J151:K151"/>
    <mergeCell ref="H162:I162"/>
    <mergeCell ref="J162:K162"/>
    <mergeCell ref="H163:I163"/>
    <mergeCell ref="J163:K163"/>
    <mergeCell ref="H145:I145"/>
    <mergeCell ref="J145:K145"/>
    <mergeCell ref="H146:I146"/>
    <mergeCell ref="J146:K146"/>
    <mergeCell ref="H147:I147"/>
    <mergeCell ref="J147:K147"/>
    <mergeCell ref="H135:I135"/>
    <mergeCell ref="J135:K135"/>
    <mergeCell ref="H136:I136"/>
    <mergeCell ref="J136:K136"/>
    <mergeCell ref="H137:I137"/>
    <mergeCell ref="J137:K137"/>
    <mergeCell ref="H118:I118"/>
    <mergeCell ref="J118:K118"/>
    <mergeCell ref="J121:K121"/>
    <mergeCell ref="H121:I121"/>
    <mergeCell ref="A121:G121"/>
    <mergeCell ref="A125:K125"/>
    <mergeCell ref="H106:I106"/>
    <mergeCell ref="J106:K106"/>
    <mergeCell ref="H116:I116"/>
    <mergeCell ref="J116:K116"/>
    <mergeCell ref="H117:I117"/>
    <mergeCell ref="J117:K117"/>
    <mergeCell ref="H94:I94"/>
    <mergeCell ref="J94:K94"/>
    <mergeCell ref="H104:I104"/>
    <mergeCell ref="J104:K104"/>
    <mergeCell ref="H105:I105"/>
    <mergeCell ref="J105:K105"/>
    <mergeCell ref="H85:I85"/>
    <mergeCell ref="J85:K85"/>
    <mergeCell ref="H92:I92"/>
    <mergeCell ref="J92:K92"/>
    <mergeCell ref="H93:I93"/>
    <mergeCell ref="J93:K93"/>
    <mergeCell ref="H76:I76"/>
    <mergeCell ref="J76:K76"/>
    <mergeCell ref="H83:I83"/>
    <mergeCell ref="J83:K83"/>
    <mergeCell ref="H84:I84"/>
    <mergeCell ref="J84:K84"/>
    <mergeCell ref="H67:I67"/>
    <mergeCell ref="J67:K67"/>
    <mergeCell ref="H74:I74"/>
    <mergeCell ref="J74:K74"/>
    <mergeCell ref="H75:I75"/>
    <mergeCell ref="J75:K75"/>
    <mergeCell ref="H58:I58"/>
    <mergeCell ref="J58:K58"/>
    <mergeCell ref="H65:I65"/>
    <mergeCell ref="J65:K65"/>
    <mergeCell ref="H66:I66"/>
    <mergeCell ref="J66:K66"/>
    <mergeCell ref="H49:I49"/>
    <mergeCell ref="J49:K49"/>
    <mergeCell ref="H56:I56"/>
    <mergeCell ref="J56:K56"/>
    <mergeCell ref="H57:I57"/>
    <mergeCell ref="J57:K57"/>
    <mergeCell ref="A32:K32"/>
    <mergeCell ref="A36:K36"/>
    <mergeCell ref="A38:K38"/>
    <mergeCell ref="H47:I47"/>
    <mergeCell ref="J47:K47"/>
    <mergeCell ref="H48:I48"/>
    <mergeCell ref="J48:K48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09"/>
  <sheetViews>
    <sheetView workbookViewId="0">
      <selection activeCell="A305" sqref="A305:AX305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301</v>
      </c>
      <c r="C12" s="1">
        <v>0</v>
      </c>
      <c r="D12" s="1">
        <f>ROW(A262)</f>
        <v>262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4">
        <v>52</v>
      </c>
      <c r="B18" s="4">
        <f t="shared" ref="B18:G18" si="0">B262</f>
        <v>301</v>
      </c>
      <c r="C18" s="4">
        <f t="shared" si="0"/>
        <v>1</v>
      </c>
      <c r="D18" s="4">
        <f t="shared" si="0"/>
        <v>12</v>
      </c>
      <c r="E18" s="4">
        <f t="shared" si="0"/>
        <v>0</v>
      </c>
      <c r="F18" s="4" t="str">
        <f t="shared" si="0"/>
        <v>02-01-14</v>
      </c>
      <c r="G18" s="4" t="str">
        <f t="shared" si="0"/>
        <v>02-01-14 СОТ 20.07</v>
      </c>
      <c r="H18" s="4"/>
      <c r="I18" s="4"/>
      <c r="J18" s="4"/>
      <c r="K18" s="4"/>
      <c r="L18" s="4"/>
      <c r="M18" s="4"/>
      <c r="N18" s="4"/>
      <c r="O18" s="4">
        <f t="shared" ref="O18:AT18" si="1">O262</f>
        <v>1051915.25</v>
      </c>
      <c r="P18" s="4">
        <f t="shared" si="1"/>
        <v>1044881.38</v>
      </c>
      <c r="Q18" s="4">
        <f t="shared" si="1"/>
        <v>320.14999999999998</v>
      </c>
      <c r="R18" s="4">
        <f t="shared" si="1"/>
        <v>33.17</v>
      </c>
      <c r="S18" s="4">
        <f t="shared" si="1"/>
        <v>6713.72</v>
      </c>
      <c r="T18" s="4">
        <f t="shared" si="1"/>
        <v>0</v>
      </c>
      <c r="U18" s="4">
        <f t="shared" si="1"/>
        <v>460.84550975999991</v>
      </c>
      <c r="V18" s="4">
        <f t="shared" si="1"/>
        <v>0</v>
      </c>
      <c r="W18" s="4">
        <f t="shared" si="1"/>
        <v>0</v>
      </c>
      <c r="X18" s="4">
        <f t="shared" si="1"/>
        <v>6102.15</v>
      </c>
      <c r="Y18" s="4">
        <f t="shared" si="1"/>
        <v>3145.49</v>
      </c>
      <c r="Z18" s="4">
        <f t="shared" si="1"/>
        <v>0</v>
      </c>
      <c r="AA18" s="4">
        <f t="shared" si="1"/>
        <v>0</v>
      </c>
      <c r="AB18" s="4">
        <f t="shared" si="1"/>
        <v>0</v>
      </c>
      <c r="AC18" s="4">
        <f t="shared" si="1"/>
        <v>0</v>
      </c>
      <c r="AD18" s="4">
        <f t="shared" si="1"/>
        <v>0</v>
      </c>
      <c r="AE18" s="4">
        <f t="shared" si="1"/>
        <v>0</v>
      </c>
      <c r="AF18" s="4">
        <f t="shared" si="1"/>
        <v>0</v>
      </c>
      <c r="AG18" s="4">
        <f t="shared" si="1"/>
        <v>0</v>
      </c>
      <c r="AH18" s="4">
        <f t="shared" si="1"/>
        <v>0</v>
      </c>
      <c r="AI18" s="4">
        <f t="shared" si="1"/>
        <v>0</v>
      </c>
      <c r="AJ18" s="4">
        <f t="shared" si="1"/>
        <v>0</v>
      </c>
      <c r="AK18" s="4">
        <f t="shared" si="1"/>
        <v>0</v>
      </c>
      <c r="AL18" s="4">
        <f t="shared" si="1"/>
        <v>0</v>
      </c>
      <c r="AM18" s="4">
        <f t="shared" si="1"/>
        <v>0</v>
      </c>
      <c r="AN18" s="4">
        <f t="shared" si="1"/>
        <v>0</v>
      </c>
      <c r="AO18" s="4">
        <f t="shared" si="1"/>
        <v>0</v>
      </c>
      <c r="AP18" s="4">
        <f t="shared" si="1"/>
        <v>1043717.95</v>
      </c>
      <c r="AQ18" s="4">
        <f t="shared" si="1"/>
        <v>0</v>
      </c>
      <c r="AR18" s="4">
        <f t="shared" si="1"/>
        <v>1061162.8899999999</v>
      </c>
      <c r="AS18" s="4">
        <f t="shared" si="1"/>
        <v>0</v>
      </c>
      <c r="AT18" s="4">
        <f t="shared" si="1"/>
        <v>17444.939999999999</v>
      </c>
      <c r="AU18" s="4">
        <f t="shared" ref="AU18:BZ18" si="2">AU262</f>
        <v>0</v>
      </c>
      <c r="AV18" s="4">
        <f t="shared" si="2"/>
        <v>1044881.38</v>
      </c>
      <c r="AW18" s="4">
        <f t="shared" si="2"/>
        <v>1163.43</v>
      </c>
      <c r="AX18" s="4">
        <f t="shared" si="2"/>
        <v>0</v>
      </c>
      <c r="AY18" s="4">
        <f t="shared" si="2"/>
        <v>1163.43</v>
      </c>
      <c r="AZ18" s="4">
        <f t="shared" si="2"/>
        <v>1043717.95</v>
      </c>
      <c r="BA18" s="4">
        <f t="shared" si="2"/>
        <v>0</v>
      </c>
      <c r="BB18" s="4">
        <f t="shared" si="2"/>
        <v>0</v>
      </c>
      <c r="BC18" s="4">
        <f t="shared" si="2"/>
        <v>0</v>
      </c>
      <c r="BD18" s="4">
        <f t="shared" si="2"/>
        <v>0</v>
      </c>
      <c r="BE18" s="4">
        <f t="shared" si="2"/>
        <v>0</v>
      </c>
      <c r="BF18" s="4">
        <f t="shared" si="2"/>
        <v>0</v>
      </c>
      <c r="BG18" s="4">
        <f t="shared" si="2"/>
        <v>0</v>
      </c>
      <c r="BH18" s="4">
        <f t="shared" si="2"/>
        <v>0</v>
      </c>
      <c r="BI18" s="4">
        <f t="shared" si="2"/>
        <v>0</v>
      </c>
      <c r="BJ18" s="4">
        <f t="shared" si="2"/>
        <v>0</v>
      </c>
      <c r="BK18" s="4">
        <f t="shared" si="2"/>
        <v>0</v>
      </c>
      <c r="BL18" s="4">
        <f t="shared" si="2"/>
        <v>0</v>
      </c>
      <c r="BM18" s="4">
        <f t="shared" si="2"/>
        <v>0</v>
      </c>
      <c r="BN18" s="4">
        <f t="shared" si="2"/>
        <v>0</v>
      </c>
      <c r="BO18" s="4">
        <f t="shared" si="2"/>
        <v>0</v>
      </c>
      <c r="BP18" s="4">
        <f t="shared" si="2"/>
        <v>0</v>
      </c>
      <c r="BQ18" s="4">
        <f t="shared" si="2"/>
        <v>0</v>
      </c>
      <c r="BR18" s="4">
        <f t="shared" si="2"/>
        <v>0</v>
      </c>
      <c r="BS18" s="4">
        <f t="shared" si="2"/>
        <v>0</v>
      </c>
      <c r="BT18" s="4">
        <f t="shared" si="2"/>
        <v>0</v>
      </c>
      <c r="BU18" s="4">
        <f t="shared" si="2"/>
        <v>0</v>
      </c>
      <c r="BV18" s="4">
        <f t="shared" si="2"/>
        <v>0</v>
      </c>
      <c r="BW18" s="4">
        <f t="shared" si="2"/>
        <v>0</v>
      </c>
      <c r="BX18" s="4">
        <f t="shared" si="2"/>
        <v>0</v>
      </c>
      <c r="BY18" s="4">
        <f t="shared" si="2"/>
        <v>0</v>
      </c>
      <c r="BZ18" s="4">
        <f t="shared" si="2"/>
        <v>0</v>
      </c>
      <c r="CA18" s="4">
        <f t="shared" ref="CA18:DF18" si="3">CA262</f>
        <v>0</v>
      </c>
      <c r="CB18" s="4">
        <f t="shared" si="3"/>
        <v>0</v>
      </c>
      <c r="CC18" s="4">
        <f t="shared" si="3"/>
        <v>0</v>
      </c>
      <c r="CD18" s="4">
        <f t="shared" si="3"/>
        <v>0</v>
      </c>
      <c r="CE18" s="4">
        <f t="shared" si="3"/>
        <v>0</v>
      </c>
      <c r="CF18" s="4">
        <f t="shared" si="3"/>
        <v>0</v>
      </c>
      <c r="CG18" s="4">
        <f t="shared" si="3"/>
        <v>0</v>
      </c>
      <c r="CH18" s="4">
        <f t="shared" si="3"/>
        <v>0</v>
      </c>
      <c r="CI18" s="4">
        <f t="shared" si="3"/>
        <v>0</v>
      </c>
      <c r="CJ18" s="4">
        <f t="shared" si="3"/>
        <v>0</v>
      </c>
      <c r="CK18" s="4">
        <f t="shared" si="3"/>
        <v>0</v>
      </c>
      <c r="CL18" s="4">
        <f t="shared" si="3"/>
        <v>0</v>
      </c>
      <c r="CM18" s="4">
        <f t="shared" si="3"/>
        <v>0</v>
      </c>
      <c r="CN18" s="4">
        <f t="shared" si="3"/>
        <v>0</v>
      </c>
      <c r="CO18" s="4">
        <f t="shared" si="3"/>
        <v>0</v>
      </c>
      <c r="CP18" s="4">
        <f t="shared" si="3"/>
        <v>0</v>
      </c>
      <c r="CQ18" s="4">
        <f t="shared" si="3"/>
        <v>0</v>
      </c>
      <c r="CR18" s="4">
        <f t="shared" si="3"/>
        <v>0</v>
      </c>
      <c r="CS18" s="4">
        <f t="shared" si="3"/>
        <v>0</v>
      </c>
      <c r="CT18" s="4">
        <f t="shared" si="3"/>
        <v>0</v>
      </c>
      <c r="CU18" s="4">
        <f t="shared" si="3"/>
        <v>0</v>
      </c>
      <c r="CV18" s="4">
        <f t="shared" si="3"/>
        <v>0</v>
      </c>
      <c r="CW18" s="4">
        <f t="shared" si="3"/>
        <v>0</v>
      </c>
      <c r="CX18" s="4">
        <f t="shared" si="3"/>
        <v>0</v>
      </c>
      <c r="CY18" s="4">
        <f t="shared" si="3"/>
        <v>0</v>
      </c>
      <c r="CZ18" s="4">
        <f t="shared" si="3"/>
        <v>0</v>
      </c>
      <c r="DA18" s="4">
        <f t="shared" si="3"/>
        <v>0</v>
      </c>
      <c r="DB18" s="4">
        <f t="shared" si="3"/>
        <v>0</v>
      </c>
      <c r="DC18" s="4">
        <f t="shared" si="3"/>
        <v>0</v>
      </c>
      <c r="DD18" s="4">
        <f t="shared" si="3"/>
        <v>0</v>
      </c>
      <c r="DE18" s="4">
        <f t="shared" si="3"/>
        <v>0</v>
      </c>
      <c r="DF18" s="4">
        <f t="shared" si="3"/>
        <v>0</v>
      </c>
      <c r="DG18" s="5">
        <f t="shared" ref="DG18:EL18" si="4">DG262</f>
        <v>8289975.6600000001</v>
      </c>
      <c r="DH18" s="5">
        <f t="shared" si="4"/>
        <v>7906634.1500000004</v>
      </c>
      <c r="DI18" s="5">
        <f t="shared" si="4"/>
        <v>5023.38</v>
      </c>
      <c r="DJ18" s="5">
        <f t="shared" si="4"/>
        <v>1869.13</v>
      </c>
      <c r="DK18" s="5">
        <f t="shared" si="4"/>
        <v>378318.13</v>
      </c>
      <c r="DL18" s="5">
        <f t="shared" si="4"/>
        <v>0</v>
      </c>
      <c r="DM18" s="5">
        <f t="shared" si="4"/>
        <v>460.84550975999991</v>
      </c>
      <c r="DN18" s="5">
        <f t="shared" si="4"/>
        <v>0</v>
      </c>
      <c r="DO18" s="5">
        <f t="shared" si="4"/>
        <v>0</v>
      </c>
      <c r="DP18" s="5">
        <f t="shared" si="4"/>
        <v>343857.02</v>
      </c>
      <c r="DQ18" s="5">
        <f t="shared" si="4"/>
        <v>177250.05</v>
      </c>
      <c r="DR18" s="5">
        <f t="shared" si="4"/>
        <v>0</v>
      </c>
      <c r="DS18" s="5">
        <f t="shared" si="4"/>
        <v>0</v>
      </c>
      <c r="DT18" s="5">
        <f t="shared" si="4"/>
        <v>0</v>
      </c>
      <c r="DU18" s="5">
        <f t="shared" si="4"/>
        <v>0</v>
      </c>
      <c r="DV18" s="5">
        <f t="shared" si="4"/>
        <v>0</v>
      </c>
      <c r="DW18" s="5">
        <f t="shared" si="4"/>
        <v>0</v>
      </c>
      <c r="DX18" s="5">
        <f t="shared" si="4"/>
        <v>0</v>
      </c>
      <c r="DY18" s="5">
        <f t="shared" si="4"/>
        <v>0</v>
      </c>
      <c r="DZ18" s="5">
        <f t="shared" si="4"/>
        <v>0</v>
      </c>
      <c r="EA18" s="5">
        <f t="shared" si="4"/>
        <v>0</v>
      </c>
      <c r="EB18" s="5">
        <f t="shared" si="4"/>
        <v>0</v>
      </c>
      <c r="EC18" s="5">
        <f t="shared" si="4"/>
        <v>0</v>
      </c>
      <c r="ED18" s="5">
        <f t="shared" si="4"/>
        <v>0</v>
      </c>
      <c r="EE18" s="5">
        <f t="shared" si="4"/>
        <v>0</v>
      </c>
      <c r="EF18" s="5">
        <f t="shared" si="4"/>
        <v>0</v>
      </c>
      <c r="EG18" s="5">
        <f t="shared" si="4"/>
        <v>0</v>
      </c>
      <c r="EH18" s="5">
        <f t="shared" si="4"/>
        <v>7900944.8899999997</v>
      </c>
      <c r="EI18" s="5">
        <f t="shared" si="4"/>
        <v>0</v>
      </c>
      <c r="EJ18" s="5">
        <f t="shared" si="4"/>
        <v>8811082.7300000004</v>
      </c>
      <c r="EK18" s="5">
        <f t="shared" si="4"/>
        <v>0</v>
      </c>
      <c r="EL18" s="5">
        <f t="shared" si="4"/>
        <v>910137.84</v>
      </c>
      <c r="EM18" s="5">
        <f t="shared" ref="EM18:FR18" si="5">EM262</f>
        <v>0</v>
      </c>
      <c r="EN18" s="5">
        <f t="shared" si="5"/>
        <v>7906634.1500000004</v>
      </c>
      <c r="EO18" s="5">
        <f t="shared" si="5"/>
        <v>5689.26</v>
      </c>
      <c r="EP18" s="5">
        <f t="shared" si="5"/>
        <v>0</v>
      </c>
      <c r="EQ18" s="5">
        <f t="shared" si="5"/>
        <v>5689.26</v>
      </c>
      <c r="ER18" s="5">
        <f t="shared" si="5"/>
        <v>7900944.8899999997</v>
      </c>
      <c r="ES18" s="5">
        <f t="shared" si="5"/>
        <v>0</v>
      </c>
      <c r="ET18" s="5">
        <f t="shared" si="5"/>
        <v>0</v>
      </c>
      <c r="EU18" s="5">
        <f t="shared" si="5"/>
        <v>0</v>
      </c>
      <c r="EV18" s="5">
        <f t="shared" si="5"/>
        <v>0</v>
      </c>
      <c r="EW18" s="5">
        <f t="shared" si="5"/>
        <v>0</v>
      </c>
      <c r="EX18" s="5">
        <f t="shared" si="5"/>
        <v>0</v>
      </c>
      <c r="EY18" s="5">
        <f t="shared" si="5"/>
        <v>0</v>
      </c>
      <c r="EZ18" s="5">
        <f t="shared" si="5"/>
        <v>0</v>
      </c>
      <c r="FA18" s="5">
        <f t="shared" si="5"/>
        <v>0</v>
      </c>
      <c r="FB18" s="5">
        <f t="shared" si="5"/>
        <v>0</v>
      </c>
      <c r="FC18" s="5">
        <f t="shared" si="5"/>
        <v>0</v>
      </c>
      <c r="FD18" s="5">
        <f t="shared" si="5"/>
        <v>0</v>
      </c>
      <c r="FE18" s="5">
        <f t="shared" si="5"/>
        <v>0</v>
      </c>
      <c r="FF18" s="5">
        <f t="shared" si="5"/>
        <v>0</v>
      </c>
      <c r="FG18" s="5">
        <f t="shared" si="5"/>
        <v>0</v>
      </c>
      <c r="FH18" s="5">
        <f t="shared" si="5"/>
        <v>0</v>
      </c>
      <c r="FI18" s="5">
        <f t="shared" si="5"/>
        <v>0</v>
      </c>
      <c r="FJ18" s="5">
        <f t="shared" si="5"/>
        <v>0</v>
      </c>
      <c r="FK18" s="5">
        <f t="shared" si="5"/>
        <v>0</v>
      </c>
      <c r="FL18" s="5">
        <f t="shared" si="5"/>
        <v>0</v>
      </c>
      <c r="FM18" s="5">
        <f t="shared" si="5"/>
        <v>0</v>
      </c>
      <c r="FN18" s="5">
        <f t="shared" si="5"/>
        <v>0</v>
      </c>
      <c r="FO18" s="5">
        <f t="shared" si="5"/>
        <v>0</v>
      </c>
      <c r="FP18" s="5">
        <f t="shared" si="5"/>
        <v>0</v>
      </c>
      <c r="FQ18" s="5">
        <f t="shared" si="5"/>
        <v>0</v>
      </c>
      <c r="FR18" s="5">
        <f t="shared" si="5"/>
        <v>0</v>
      </c>
      <c r="FS18" s="5">
        <f t="shared" ref="FS18:GX18" si="6">FS262</f>
        <v>0</v>
      </c>
      <c r="FT18" s="5">
        <f t="shared" si="6"/>
        <v>0</v>
      </c>
      <c r="FU18" s="5">
        <f t="shared" si="6"/>
        <v>0</v>
      </c>
      <c r="FV18" s="5">
        <f t="shared" si="6"/>
        <v>0</v>
      </c>
      <c r="FW18" s="5">
        <f t="shared" si="6"/>
        <v>0</v>
      </c>
      <c r="FX18" s="5">
        <f t="shared" si="6"/>
        <v>0</v>
      </c>
      <c r="FY18" s="5">
        <f t="shared" si="6"/>
        <v>0</v>
      </c>
      <c r="FZ18" s="5">
        <f t="shared" si="6"/>
        <v>0</v>
      </c>
      <c r="GA18" s="5">
        <f t="shared" si="6"/>
        <v>0</v>
      </c>
      <c r="GB18" s="5">
        <f t="shared" si="6"/>
        <v>0</v>
      </c>
      <c r="GC18" s="5">
        <f t="shared" si="6"/>
        <v>0</v>
      </c>
      <c r="GD18" s="5">
        <f t="shared" si="6"/>
        <v>0</v>
      </c>
      <c r="GE18" s="5">
        <f t="shared" si="6"/>
        <v>0</v>
      </c>
      <c r="GF18" s="5">
        <f t="shared" si="6"/>
        <v>0</v>
      </c>
      <c r="GG18" s="5">
        <f t="shared" si="6"/>
        <v>0</v>
      </c>
      <c r="GH18" s="5">
        <f t="shared" si="6"/>
        <v>0</v>
      </c>
      <c r="GI18" s="5">
        <f t="shared" si="6"/>
        <v>0</v>
      </c>
      <c r="GJ18" s="5">
        <f t="shared" si="6"/>
        <v>0</v>
      </c>
      <c r="GK18" s="5">
        <f t="shared" si="6"/>
        <v>0</v>
      </c>
      <c r="GL18" s="5">
        <f t="shared" si="6"/>
        <v>0</v>
      </c>
      <c r="GM18" s="5">
        <f t="shared" si="6"/>
        <v>0</v>
      </c>
      <c r="GN18" s="5">
        <f t="shared" si="6"/>
        <v>0</v>
      </c>
      <c r="GO18" s="5">
        <f t="shared" si="6"/>
        <v>0</v>
      </c>
      <c r="GP18" s="5">
        <f t="shared" si="6"/>
        <v>0</v>
      </c>
      <c r="GQ18" s="5">
        <f t="shared" si="6"/>
        <v>0</v>
      </c>
      <c r="GR18" s="5">
        <f t="shared" si="6"/>
        <v>0</v>
      </c>
      <c r="GS18" s="5">
        <f t="shared" si="6"/>
        <v>0</v>
      </c>
      <c r="GT18" s="5">
        <f t="shared" si="6"/>
        <v>0</v>
      </c>
      <c r="GU18" s="5">
        <f t="shared" si="6"/>
        <v>0</v>
      </c>
      <c r="GV18" s="5">
        <f t="shared" si="6"/>
        <v>0</v>
      </c>
      <c r="GW18" s="5">
        <f t="shared" si="6"/>
        <v>0</v>
      </c>
      <c r="GX18" s="5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ROW(A232)</f>
        <v>232</v>
      </c>
      <c r="E20" s="1"/>
      <c r="F20" s="1" t="s">
        <v>5</v>
      </c>
      <c r="G20" s="1" t="s">
        <v>20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4">
        <v>52</v>
      </c>
      <c r="B22" s="4">
        <f t="shared" ref="B22:G22" si="7">B232</f>
        <v>1</v>
      </c>
      <c r="C22" s="4">
        <f t="shared" si="7"/>
        <v>3</v>
      </c>
      <c r="D22" s="4">
        <f t="shared" si="7"/>
        <v>20</v>
      </c>
      <c r="E22" s="4">
        <f t="shared" si="7"/>
        <v>0</v>
      </c>
      <c r="F22" s="4" t="str">
        <f t="shared" si="7"/>
        <v>02-01-14</v>
      </c>
      <c r="G22" s="4" t="str">
        <f t="shared" si="7"/>
        <v>Система охранного телевидения</v>
      </c>
      <c r="H22" s="4"/>
      <c r="I22" s="4"/>
      <c r="J22" s="4"/>
      <c r="K22" s="4"/>
      <c r="L22" s="4"/>
      <c r="M22" s="4"/>
      <c r="N22" s="4"/>
      <c r="O22" s="4">
        <f t="shared" ref="O22:AT22" si="8">O232</f>
        <v>1051915.25</v>
      </c>
      <c r="P22" s="4">
        <f t="shared" si="8"/>
        <v>1044881.38</v>
      </c>
      <c r="Q22" s="4">
        <f t="shared" si="8"/>
        <v>320.14999999999998</v>
      </c>
      <c r="R22" s="4">
        <f t="shared" si="8"/>
        <v>33.17</v>
      </c>
      <c r="S22" s="4">
        <f t="shared" si="8"/>
        <v>6713.72</v>
      </c>
      <c r="T22" s="4">
        <f t="shared" si="8"/>
        <v>0</v>
      </c>
      <c r="U22" s="4">
        <f t="shared" si="8"/>
        <v>460.84550975999991</v>
      </c>
      <c r="V22" s="4">
        <f t="shared" si="8"/>
        <v>0</v>
      </c>
      <c r="W22" s="4">
        <f t="shared" si="8"/>
        <v>0</v>
      </c>
      <c r="X22" s="4">
        <f t="shared" si="8"/>
        <v>6102.15</v>
      </c>
      <c r="Y22" s="4">
        <f t="shared" si="8"/>
        <v>3145.49</v>
      </c>
      <c r="Z22" s="4">
        <f t="shared" si="8"/>
        <v>0</v>
      </c>
      <c r="AA22" s="4">
        <f t="shared" si="8"/>
        <v>0</v>
      </c>
      <c r="AB22" s="4">
        <f t="shared" si="8"/>
        <v>0</v>
      </c>
      <c r="AC22" s="4">
        <f t="shared" si="8"/>
        <v>0</v>
      </c>
      <c r="AD22" s="4">
        <f t="shared" si="8"/>
        <v>0</v>
      </c>
      <c r="AE22" s="4">
        <f t="shared" si="8"/>
        <v>0</v>
      </c>
      <c r="AF22" s="4">
        <f t="shared" si="8"/>
        <v>0</v>
      </c>
      <c r="AG22" s="4">
        <f t="shared" si="8"/>
        <v>0</v>
      </c>
      <c r="AH22" s="4">
        <f t="shared" si="8"/>
        <v>0</v>
      </c>
      <c r="AI22" s="4">
        <f t="shared" si="8"/>
        <v>0</v>
      </c>
      <c r="AJ22" s="4">
        <f t="shared" si="8"/>
        <v>0</v>
      </c>
      <c r="AK22" s="4">
        <f t="shared" si="8"/>
        <v>0</v>
      </c>
      <c r="AL22" s="4">
        <f t="shared" si="8"/>
        <v>0</v>
      </c>
      <c r="AM22" s="4">
        <f t="shared" si="8"/>
        <v>0</v>
      </c>
      <c r="AN22" s="4">
        <f t="shared" si="8"/>
        <v>0</v>
      </c>
      <c r="AO22" s="4">
        <f t="shared" si="8"/>
        <v>0</v>
      </c>
      <c r="AP22" s="4">
        <f t="shared" si="8"/>
        <v>1043717.95</v>
      </c>
      <c r="AQ22" s="4">
        <f t="shared" si="8"/>
        <v>0</v>
      </c>
      <c r="AR22" s="4">
        <f t="shared" si="8"/>
        <v>1061162.8899999999</v>
      </c>
      <c r="AS22" s="4">
        <f t="shared" si="8"/>
        <v>0</v>
      </c>
      <c r="AT22" s="4">
        <f t="shared" si="8"/>
        <v>17444.939999999999</v>
      </c>
      <c r="AU22" s="4">
        <f t="shared" ref="AU22:BZ22" si="9">AU232</f>
        <v>0</v>
      </c>
      <c r="AV22" s="4">
        <f t="shared" si="9"/>
        <v>1044881.38</v>
      </c>
      <c r="AW22" s="4">
        <f t="shared" si="9"/>
        <v>1163.43</v>
      </c>
      <c r="AX22" s="4">
        <f t="shared" si="9"/>
        <v>0</v>
      </c>
      <c r="AY22" s="4">
        <f t="shared" si="9"/>
        <v>1163.43</v>
      </c>
      <c r="AZ22" s="4">
        <f t="shared" si="9"/>
        <v>1043717.95</v>
      </c>
      <c r="BA22" s="4">
        <f t="shared" si="9"/>
        <v>0</v>
      </c>
      <c r="BB22" s="4">
        <f t="shared" si="9"/>
        <v>0</v>
      </c>
      <c r="BC22" s="4">
        <f t="shared" si="9"/>
        <v>0</v>
      </c>
      <c r="BD22" s="4">
        <f t="shared" si="9"/>
        <v>0</v>
      </c>
      <c r="BE22" s="4">
        <f t="shared" si="9"/>
        <v>0</v>
      </c>
      <c r="BF22" s="4">
        <f t="shared" si="9"/>
        <v>0</v>
      </c>
      <c r="BG22" s="4">
        <f t="shared" si="9"/>
        <v>0</v>
      </c>
      <c r="BH22" s="4">
        <f t="shared" si="9"/>
        <v>0</v>
      </c>
      <c r="BI22" s="4">
        <f t="shared" si="9"/>
        <v>0</v>
      </c>
      <c r="BJ22" s="4">
        <f t="shared" si="9"/>
        <v>0</v>
      </c>
      <c r="BK22" s="4">
        <f t="shared" si="9"/>
        <v>0</v>
      </c>
      <c r="BL22" s="4">
        <f t="shared" si="9"/>
        <v>0</v>
      </c>
      <c r="BM22" s="4">
        <f t="shared" si="9"/>
        <v>0</v>
      </c>
      <c r="BN22" s="4">
        <f t="shared" si="9"/>
        <v>0</v>
      </c>
      <c r="BO22" s="4">
        <f t="shared" si="9"/>
        <v>0</v>
      </c>
      <c r="BP22" s="4">
        <f t="shared" si="9"/>
        <v>0</v>
      </c>
      <c r="BQ22" s="4">
        <f t="shared" si="9"/>
        <v>0</v>
      </c>
      <c r="BR22" s="4">
        <f t="shared" si="9"/>
        <v>0</v>
      </c>
      <c r="BS22" s="4">
        <f t="shared" si="9"/>
        <v>0</v>
      </c>
      <c r="BT22" s="4">
        <f t="shared" si="9"/>
        <v>0</v>
      </c>
      <c r="BU22" s="4">
        <f t="shared" si="9"/>
        <v>0</v>
      </c>
      <c r="BV22" s="4">
        <f t="shared" si="9"/>
        <v>0</v>
      </c>
      <c r="BW22" s="4">
        <f t="shared" si="9"/>
        <v>0</v>
      </c>
      <c r="BX22" s="4">
        <f t="shared" si="9"/>
        <v>0</v>
      </c>
      <c r="BY22" s="4">
        <f t="shared" si="9"/>
        <v>0</v>
      </c>
      <c r="BZ22" s="4">
        <f t="shared" si="9"/>
        <v>0</v>
      </c>
      <c r="CA22" s="4">
        <f t="shared" ref="CA22:DF22" si="10">CA232</f>
        <v>0</v>
      </c>
      <c r="CB22" s="4">
        <f t="shared" si="10"/>
        <v>0</v>
      </c>
      <c r="CC22" s="4">
        <f t="shared" si="10"/>
        <v>0</v>
      </c>
      <c r="CD22" s="4">
        <f t="shared" si="10"/>
        <v>0</v>
      </c>
      <c r="CE22" s="4">
        <f t="shared" si="10"/>
        <v>0</v>
      </c>
      <c r="CF22" s="4">
        <f t="shared" si="10"/>
        <v>0</v>
      </c>
      <c r="CG22" s="4">
        <f t="shared" si="10"/>
        <v>0</v>
      </c>
      <c r="CH22" s="4">
        <f t="shared" si="10"/>
        <v>0</v>
      </c>
      <c r="CI22" s="4">
        <f t="shared" si="10"/>
        <v>0</v>
      </c>
      <c r="CJ22" s="4">
        <f t="shared" si="10"/>
        <v>0</v>
      </c>
      <c r="CK22" s="4">
        <f t="shared" si="10"/>
        <v>0</v>
      </c>
      <c r="CL22" s="4">
        <f t="shared" si="10"/>
        <v>0</v>
      </c>
      <c r="CM22" s="4">
        <f t="shared" si="10"/>
        <v>0</v>
      </c>
      <c r="CN22" s="4">
        <f t="shared" si="10"/>
        <v>0</v>
      </c>
      <c r="CO22" s="4">
        <f t="shared" si="10"/>
        <v>0</v>
      </c>
      <c r="CP22" s="4">
        <f t="shared" si="10"/>
        <v>0</v>
      </c>
      <c r="CQ22" s="4">
        <f t="shared" si="10"/>
        <v>0</v>
      </c>
      <c r="CR22" s="4">
        <f t="shared" si="10"/>
        <v>0</v>
      </c>
      <c r="CS22" s="4">
        <f t="shared" si="10"/>
        <v>0</v>
      </c>
      <c r="CT22" s="4">
        <f t="shared" si="10"/>
        <v>0</v>
      </c>
      <c r="CU22" s="4">
        <f t="shared" si="10"/>
        <v>0</v>
      </c>
      <c r="CV22" s="4">
        <f t="shared" si="10"/>
        <v>0</v>
      </c>
      <c r="CW22" s="4">
        <f t="shared" si="10"/>
        <v>0</v>
      </c>
      <c r="CX22" s="4">
        <f t="shared" si="10"/>
        <v>0</v>
      </c>
      <c r="CY22" s="4">
        <f t="shared" si="10"/>
        <v>0</v>
      </c>
      <c r="CZ22" s="4">
        <f t="shared" si="10"/>
        <v>0</v>
      </c>
      <c r="DA22" s="4">
        <f t="shared" si="10"/>
        <v>0</v>
      </c>
      <c r="DB22" s="4">
        <f t="shared" si="10"/>
        <v>0</v>
      </c>
      <c r="DC22" s="4">
        <f t="shared" si="10"/>
        <v>0</v>
      </c>
      <c r="DD22" s="4">
        <f t="shared" si="10"/>
        <v>0</v>
      </c>
      <c r="DE22" s="4">
        <f t="shared" si="10"/>
        <v>0</v>
      </c>
      <c r="DF22" s="4">
        <f t="shared" si="10"/>
        <v>0</v>
      </c>
      <c r="DG22" s="5">
        <f t="shared" ref="DG22:EL22" si="11">DG232</f>
        <v>8289975.6600000001</v>
      </c>
      <c r="DH22" s="5">
        <f t="shared" si="11"/>
        <v>7906634.1500000004</v>
      </c>
      <c r="DI22" s="5">
        <f t="shared" si="11"/>
        <v>5023.38</v>
      </c>
      <c r="DJ22" s="5">
        <f t="shared" si="11"/>
        <v>1869.13</v>
      </c>
      <c r="DK22" s="5">
        <f t="shared" si="11"/>
        <v>378318.13</v>
      </c>
      <c r="DL22" s="5">
        <f t="shared" si="11"/>
        <v>0</v>
      </c>
      <c r="DM22" s="5">
        <f t="shared" si="11"/>
        <v>460.84550975999991</v>
      </c>
      <c r="DN22" s="5">
        <f t="shared" si="11"/>
        <v>0</v>
      </c>
      <c r="DO22" s="5">
        <f t="shared" si="11"/>
        <v>0</v>
      </c>
      <c r="DP22" s="5">
        <f t="shared" si="11"/>
        <v>343857.02</v>
      </c>
      <c r="DQ22" s="5">
        <f t="shared" si="11"/>
        <v>177250.05</v>
      </c>
      <c r="DR22" s="5">
        <f t="shared" si="11"/>
        <v>0</v>
      </c>
      <c r="DS22" s="5">
        <f t="shared" si="11"/>
        <v>0</v>
      </c>
      <c r="DT22" s="5">
        <f t="shared" si="11"/>
        <v>0</v>
      </c>
      <c r="DU22" s="5">
        <f t="shared" si="11"/>
        <v>0</v>
      </c>
      <c r="DV22" s="5">
        <f t="shared" si="11"/>
        <v>0</v>
      </c>
      <c r="DW22" s="5">
        <f t="shared" si="11"/>
        <v>0</v>
      </c>
      <c r="DX22" s="5">
        <f t="shared" si="11"/>
        <v>0</v>
      </c>
      <c r="DY22" s="5">
        <f t="shared" si="11"/>
        <v>0</v>
      </c>
      <c r="DZ22" s="5">
        <f t="shared" si="11"/>
        <v>0</v>
      </c>
      <c r="EA22" s="5">
        <f t="shared" si="11"/>
        <v>0</v>
      </c>
      <c r="EB22" s="5">
        <f t="shared" si="11"/>
        <v>0</v>
      </c>
      <c r="EC22" s="5">
        <f t="shared" si="11"/>
        <v>0</v>
      </c>
      <c r="ED22" s="5">
        <f t="shared" si="11"/>
        <v>0</v>
      </c>
      <c r="EE22" s="5">
        <f t="shared" si="11"/>
        <v>0</v>
      </c>
      <c r="EF22" s="5">
        <f t="shared" si="11"/>
        <v>0</v>
      </c>
      <c r="EG22" s="5">
        <f t="shared" si="11"/>
        <v>0</v>
      </c>
      <c r="EH22" s="5">
        <f t="shared" si="11"/>
        <v>7900944.8899999997</v>
      </c>
      <c r="EI22" s="5">
        <f t="shared" si="11"/>
        <v>0</v>
      </c>
      <c r="EJ22" s="5">
        <f t="shared" si="11"/>
        <v>8811082.7300000004</v>
      </c>
      <c r="EK22" s="5">
        <f t="shared" si="11"/>
        <v>0</v>
      </c>
      <c r="EL22" s="5">
        <f t="shared" si="11"/>
        <v>910137.84</v>
      </c>
      <c r="EM22" s="5">
        <f t="shared" ref="EM22:FR22" si="12">EM232</f>
        <v>0</v>
      </c>
      <c r="EN22" s="5">
        <f t="shared" si="12"/>
        <v>7906634.1500000004</v>
      </c>
      <c r="EO22" s="5">
        <f t="shared" si="12"/>
        <v>5689.26</v>
      </c>
      <c r="EP22" s="5">
        <f t="shared" si="12"/>
        <v>0</v>
      </c>
      <c r="EQ22" s="5">
        <f t="shared" si="12"/>
        <v>5689.26</v>
      </c>
      <c r="ER22" s="5">
        <f t="shared" si="12"/>
        <v>7900944.8899999997</v>
      </c>
      <c r="ES22" s="5">
        <f t="shared" si="12"/>
        <v>0</v>
      </c>
      <c r="ET22" s="5">
        <f t="shared" si="12"/>
        <v>0</v>
      </c>
      <c r="EU22" s="5">
        <f t="shared" si="12"/>
        <v>0</v>
      </c>
      <c r="EV22" s="5">
        <f t="shared" si="12"/>
        <v>0</v>
      </c>
      <c r="EW22" s="5">
        <f t="shared" si="12"/>
        <v>0</v>
      </c>
      <c r="EX22" s="5">
        <f t="shared" si="12"/>
        <v>0</v>
      </c>
      <c r="EY22" s="5">
        <f t="shared" si="12"/>
        <v>0</v>
      </c>
      <c r="EZ22" s="5">
        <f t="shared" si="12"/>
        <v>0</v>
      </c>
      <c r="FA22" s="5">
        <f t="shared" si="12"/>
        <v>0</v>
      </c>
      <c r="FB22" s="5">
        <f t="shared" si="12"/>
        <v>0</v>
      </c>
      <c r="FC22" s="5">
        <f t="shared" si="12"/>
        <v>0</v>
      </c>
      <c r="FD22" s="5">
        <f t="shared" si="12"/>
        <v>0</v>
      </c>
      <c r="FE22" s="5">
        <f t="shared" si="12"/>
        <v>0</v>
      </c>
      <c r="FF22" s="5">
        <f t="shared" si="12"/>
        <v>0</v>
      </c>
      <c r="FG22" s="5">
        <f t="shared" si="12"/>
        <v>0</v>
      </c>
      <c r="FH22" s="5">
        <f t="shared" si="12"/>
        <v>0</v>
      </c>
      <c r="FI22" s="5">
        <f t="shared" si="12"/>
        <v>0</v>
      </c>
      <c r="FJ22" s="5">
        <f t="shared" si="12"/>
        <v>0</v>
      </c>
      <c r="FK22" s="5">
        <f t="shared" si="12"/>
        <v>0</v>
      </c>
      <c r="FL22" s="5">
        <f t="shared" si="12"/>
        <v>0</v>
      </c>
      <c r="FM22" s="5">
        <f t="shared" si="12"/>
        <v>0</v>
      </c>
      <c r="FN22" s="5">
        <f t="shared" si="12"/>
        <v>0</v>
      </c>
      <c r="FO22" s="5">
        <f t="shared" si="12"/>
        <v>0</v>
      </c>
      <c r="FP22" s="5">
        <f t="shared" si="12"/>
        <v>0</v>
      </c>
      <c r="FQ22" s="5">
        <f t="shared" si="12"/>
        <v>0</v>
      </c>
      <c r="FR22" s="5">
        <f t="shared" si="12"/>
        <v>0</v>
      </c>
      <c r="FS22" s="5">
        <f t="shared" ref="FS22:GX22" si="13">FS232</f>
        <v>0</v>
      </c>
      <c r="FT22" s="5">
        <f t="shared" si="13"/>
        <v>0</v>
      </c>
      <c r="FU22" s="5">
        <f t="shared" si="13"/>
        <v>0</v>
      </c>
      <c r="FV22" s="5">
        <f t="shared" si="13"/>
        <v>0</v>
      </c>
      <c r="FW22" s="5">
        <f t="shared" si="13"/>
        <v>0</v>
      </c>
      <c r="FX22" s="5">
        <f t="shared" si="13"/>
        <v>0</v>
      </c>
      <c r="FY22" s="5">
        <f t="shared" si="13"/>
        <v>0</v>
      </c>
      <c r="FZ22" s="5">
        <f t="shared" si="13"/>
        <v>0</v>
      </c>
      <c r="GA22" s="5">
        <f t="shared" si="13"/>
        <v>0</v>
      </c>
      <c r="GB22" s="5">
        <f t="shared" si="13"/>
        <v>0</v>
      </c>
      <c r="GC22" s="5">
        <f t="shared" si="13"/>
        <v>0</v>
      </c>
      <c r="GD22" s="5">
        <f t="shared" si="13"/>
        <v>0</v>
      </c>
      <c r="GE22" s="5">
        <f t="shared" si="13"/>
        <v>0</v>
      </c>
      <c r="GF22" s="5">
        <f t="shared" si="13"/>
        <v>0</v>
      </c>
      <c r="GG22" s="5">
        <f t="shared" si="13"/>
        <v>0</v>
      </c>
      <c r="GH22" s="5">
        <f t="shared" si="13"/>
        <v>0</v>
      </c>
      <c r="GI22" s="5">
        <f t="shared" si="13"/>
        <v>0</v>
      </c>
      <c r="GJ22" s="5">
        <f t="shared" si="13"/>
        <v>0</v>
      </c>
      <c r="GK22" s="5">
        <f t="shared" si="13"/>
        <v>0</v>
      </c>
      <c r="GL22" s="5">
        <f t="shared" si="13"/>
        <v>0</v>
      </c>
      <c r="GM22" s="5">
        <f t="shared" si="13"/>
        <v>0</v>
      </c>
      <c r="GN22" s="5">
        <f t="shared" si="13"/>
        <v>0</v>
      </c>
      <c r="GO22" s="5">
        <f t="shared" si="13"/>
        <v>0</v>
      </c>
      <c r="GP22" s="5">
        <f t="shared" si="13"/>
        <v>0</v>
      </c>
      <c r="GQ22" s="5">
        <f t="shared" si="13"/>
        <v>0</v>
      </c>
      <c r="GR22" s="5">
        <f t="shared" si="13"/>
        <v>0</v>
      </c>
      <c r="GS22" s="5">
        <f t="shared" si="13"/>
        <v>0</v>
      </c>
      <c r="GT22" s="5">
        <f t="shared" si="13"/>
        <v>0</v>
      </c>
      <c r="GU22" s="5">
        <f t="shared" si="13"/>
        <v>0</v>
      </c>
      <c r="GV22" s="5">
        <f t="shared" si="13"/>
        <v>0</v>
      </c>
      <c r="GW22" s="5">
        <f t="shared" si="13"/>
        <v>0</v>
      </c>
      <c r="GX22" s="5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ROW(A45)</f>
        <v>45</v>
      </c>
      <c r="E24" s="1"/>
      <c r="F24" s="1" t="s">
        <v>21</v>
      </c>
      <c r="G24" s="1" t="s">
        <v>22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4">
        <v>52</v>
      </c>
      <c r="B26" s="4">
        <f t="shared" ref="B26:G26" si="14">B45</f>
        <v>1</v>
      </c>
      <c r="C26" s="4">
        <f t="shared" si="14"/>
        <v>4</v>
      </c>
      <c r="D26" s="4">
        <f t="shared" si="14"/>
        <v>24</v>
      </c>
      <c r="E26" s="4">
        <f t="shared" si="14"/>
        <v>0</v>
      </c>
      <c r="F26" s="4" t="str">
        <f t="shared" si="14"/>
        <v>Новый раздел</v>
      </c>
      <c r="G26" s="4" t="str">
        <f t="shared" si="14"/>
        <v>Демонтажные работы (Письмо от АНО «РГТ» об утверждении объёмов демонтажных работ)</v>
      </c>
      <c r="H26" s="4"/>
      <c r="I26" s="4"/>
      <c r="J26" s="4"/>
      <c r="K26" s="4"/>
      <c r="L26" s="4"/>
      <c r="M26" s="4"/>
      <c r="N26" s="4"/>
      <c r="O26" s="4">
        <f t="shared" ref="O26:AT26" si="15">O45</f>
        <v>1630.65</v>
      </c>
      <c r="P26" s="4">
        <f t="shared" si="15"/>
        <v>0</v>
      </c>
      <c r="Q26" s="4">
        <f t="shared" si="15"/>
        <v>73.739999999999995</v>
      </c>
      <c r="R26" s="4">
        <f t="shared" si="15"/>
        <v>7.64</v>
      </c>
      <c r="S26" s="4">
        <f t="shared" si="15"/>
        <v>1556.91</v>
      </c>
      <c r="T26" s="4">
        <f t="shared" si="15"/>
        <v>0</v>
      </c>
      <c r="U26" s="4">
        <f t="shared" si="15"/>
        <v>106.92014255999997</v>
      </c>
      <c r="V26" s="4">
        <f t="shared" si="15"/>
        <v>0</v>
      </c>
      <c r="W26" s="4">
        <f t="shared" si="15"/>
        <v>0</v>
      </c>
      <c r="X26" s="4">
        <f t="shared" si="15"/>
        <v>1415.01</v>
      </c>
      <c r="Y26" s="4">
        <f t="shared" si="15"/>
        <v>729.36</v>
      </c>
      <c r="Z26" s="4">
        <f t="shared" si="15"/>
        <v>0</v>
      </c>
      <c r="AA26" s="4">
        <f t="shared" si="15"/>
        <v>0</v>
      </c>
      <c r="AB26" s="4">
        <f t="shared" si="15"/>
        <v>1630.65</v>
      </c>
      <c r="AC26" s="4">
        <f t="shared" si="15"/>
        <v>0</v>
      </c>
      <c r="AD26" s="4">
        <f t="shared" si="15"/>
        <v>73.739999999999995</v>
      </c>
      <c r="AE26" s="4">
        <f t="shared" si="15"/>
        <v>7.64</v>
      </c>
      <c r="AF26" s="4">
        <f t="shared" si="15"/>
        <v>1556.91</v>
      </c>
      <c r="AG26" s="4">
        <f t="shared" si="15"/>
        <v>0</v>
      </c>
      <c r="AH26" s="4">
        <f t="shared" si="15"/>
        <v>106.92014255999997</v>
      </c>
      <c r="AI26" s="4">
        <f t="shared" si="15"/>
        <v>0</v>
      </c>
      <c r="AJ26" s="4">
        <f t="shared" si="15"/>
        <v>0</v>
      </c>
      <c r="AK26" s="4">
        <f t="shared" si="15"/>
        <v>1415.01</v>
      </c>
      <c r="AL26" s="4">
        <f t="shared" si="15"/>
        <v>729.36</v>
      </c>
      <c r="AM26" s="4">
        <f t="shared" si="15"/>
        <v>0</v>
      </c>
      <c r="AN26" s="4">
        <f t="shared" si="15"/>
        <v>0</v>
      </c>
      <c r="AO26" s="4">
        <f t="shared" si="15"/>
        <v>0</v>
      </c>
      <c r="AP26" s="4">
        <f t="shared" si="15"/>
        <v>0</v>
      </c>
      <c r="AQ26" s="4">
        <f t="shared" si="15"/>
        <v>0</v>
      </c>
      <c r="AR26" s="4">
        <f t="shared" si="15"/>
        <v>3775.02</v>
      </c>
      <c r="AS26" s="4">
        <f t="shared" si="15"/>
        <v>0</v>
      </c>
      <c r="AT26" s="4">
        <f t="shared" si="15"/>
        <v>3775.02</v>
      </c>
      <c r="AU26" s="4">
        <f t="shared" ref="AU26:BZ26" si="16">AU45</f>
        <v>0</v>
      </c>
      <c r="AV26" s="4">
        <f t="shared" si="16"/>
        <v>0</v>
      </c>
      <c r="AW26" s="4">
        <f t="shared" si="16"/>
        <v>0</v>
      </c>
      <c r="AX26" s="4">
        <f t="shared" si="16"/>
        <v>0</v>
      </c>
      <c r="AY26" s="4">
        <f t="shared" si="16"/>
        <v>0</v>
      </c>
      <c r="AZ26" s="4">
        <f t="shared" si="16"/>
        <v>0</v>
      </c>
      <c r="BA26" s="4">
        <f t="shared" si="16"/>
        <v>0</v>
      </c>
      <c r="BB26" s="4">
        <f t="shared" si="16"/>
        <v>0</v>
      </c>
      <c r="BC26" s="4">
        <f t="shared" si="16"/>
        <v>0</v>
      </c>
      <c r="BD26" s="4">
        <f t="shared" si="16"/>
        <v>0</v>
      </c>
      <c r="BE26" s="4">
        <f t="shared" si="16"/>
        <v>0</v>
      </c>
      <c r="BF26" s="4">
        <f t="shared" si="16"/>
        <v>0</v>
      </c>
      <c r="BG26" s="4">
        <f t="shared" si="16"/>
        <v>0</v>
      </c>
      <c r="BH26" s="4">
        <f t="shared" si="16"/>
        <v>0</v>
      </c>
      <c r="BI26" s="4">
        <f t="shared" si="16"/>
        <v>0</v>
      </c>
      <c r="BJ26" s="4">
        <f t="shared" si="16"/>
        <v>0</v>
      </c>
      <c r="BK26" s="4">
        <f t="shared" si="16"/>
        <v>0</v>
      </c>
      <c r="BL26" s="4">
        <f t="shared" si="16"/>
        <v>0</v>
      </c>
      <c r="BM26" s="4">
        <f t="shared" si="16"/>
        <v>0</v>
      </c>
      <c r="BN26" s="4">
        <f t="shared" si="16"/>
        <v>0</v>
      </c>
      <c r="BO26" s="4">
        <f t="shared" si="16"/>
        <v>0</v>
      </c>
      <c r="BP26" s="4">
        <f t="shared" si="16"/>
        <v>0</v>
      </c>
      <c r="BQ26" s="4">
        <f t="shared" si="16"/>
        <v>0</v>
      </c>
      <c r="BR26" s="4">
        <f t="shared" si="16"/>
        <v>0</v>
      </c>
      <c r="BS26" s="4">
        <f t="shared" si="16"/>
        <v>0</v>
      </c>
      <c r="BT26" s="4">
        <f t="shared" si="16"/>
        <v>0</v>
      </c>
      <c r="BU26" s="4">
        <f t="shared" si="16"/>
        <v>0</v>
      </c>
      <c r="BV26" s="4">
        <f t="shared" si="16"/>
        <v>0</v>
      </c>
      <c r="BW26" s="4">
        <f t="shared" si="16"/>
        <v>0</v>
      </c>
      <c r="BX26" s="4">
        <f t="shared" si="16"/>
        <v>0</v>
      </c>
      <c r="BY26" s="4">
        <f t="shared" si="16"/>
        <v>0</v>
      </c>
      <c r="BZ26" s="4">
        <f t="shared" si="16"/>
        <v>0</v>
      </c>
      <c r="CA26" s="4">
        <f t="shared" ref="CA26:DF26" si="17">CA45</f>
        <v>3775.02</v>
      </c>
      <c r="CB26" s="4">
        <f t="shared" si="17"/>
        <v>0</v>
      </c>
      <c r="CC26" s="4">
        <f t="shared" si="17"/>
        <v>3775.02</v>
      </c>
      <c r="CD26" s="4">
        <f t="shared" si="17"/>
        <v>0</v>
      </c>
      <c r="CE26" s="4">
        <f t="shared" si="17"/>
        <v>0</v>
      </c>
      <c r="CF26" s="4">
        <f t="shared" si="17"/>
        <v>0</v>
      </c>
      <c r="CG26" s="4">
        <f t="shared" si="17"/>
        <v>0</v>
      </c>
      <c r="CH26" s="4">
        <f t="shared" si="17"/>
        <v>0</v>
      </c>
      <c r="CI26" s="4">
        <f t="shared" si="17"/>
        <v>0</v>
      </c>
      <c r="CJ26" s="4">
        <f t="shared" si="17"/>
        <v>0</v>
      </c>
      <c r="CK26" s="4">
        <f t="shared" si="17"/>
        <v>0</v>
      </c>
      <c r="CL26" s="4">
        <f t="shared" si="17"/>
        <v>0</v>
      </c>
      <c r="CM26" s="4">
        <f t="shared" si="17"/>
        <v>0</v>
      </c>
      <c r="CN26" s="4">
        <f t="shared" si="17"/>
        <v>0</v>
      </c>
      <c r="CO26" s="4">
        <f t="shared" si="17"/>
        <v>0</v>
      </c>
      <c r="CP26" s="4">
        <f t="shared" si="17"/>
        <v>0</v>
      </c>
      <c r="CQ26" s="4">
        <f t="shared" si="17"/>
        <v>0</v>
      </c>
      <c r="CR26" s="4">
        <f t="shared" si="17"/>
        <v>0</v>
      </c>
      <c r="CS26" s="4">
        <f t="shared" si="17"/>
        <v>0</v>
      </c>
      <c r="CT26" s="4">
        <f t="shared" si="17"/>
        <v>0</v>
      </c>
      <c r="CU26" s="4">
        <f t="shared" si="17"/>
        <v>0</v>
      </c>
      <c r="CV26" s="4">
        <f t="shared" si="17"/>
        <v>0</v>
      </c>
      <c r="CW26" s="4">
        <f t="shared" si="17"/>
        <v>0</v>
      </c>
      <c r="CX26" s="4">
        <f t="shared" si="17"/>
        <v>0</v>
      </c>
      <c r="CY26" s="4">
        <f t="shared" si="17"/>
        <v>0</v>
      </c>
      <c r="CZ26" s="4">
        <f t="shared" si="17"/>
        <v>0</v>
      </c>
      <c r="DA26" s="4">
        <f t="shared" si="17"/>
        <v>0</v>
      </c>
      <c r="DB26" s="4">
        <f t="shared" si="17"/>
        <v>0</v>
      </c>
      <c r="DC26" s="4">
        <f t="shared" si="17"/>
        <v>0</v>
      </c>
      <c r="DD26" s="4">
        <f t="shared" si="17"/>
        <v>0</v>
      </c>
      <c r="DE26" s="4">
        <f t="shared" si="17"/>
        <v>0</v>
      </c>
      <c r="DF26" s="4">
        <f t="shared" si="17"/>
        <v>0</v>
      </c>
      <c r="DG26" s="5">
        <f t="shared" ref="DG26:EL26" si="18">DG45</f>
        <v>88888.72</v>
      </c>
      <c r="DH26" s="5">
        <f t="shared" si="18"/>
        <v>0</v>
      </c>
      <c r="DI26" s="5">
        <f t="shared" si="18"/>
        <v>1156.8399999999999</v>
      </c>
      <c r="DJ26" s="5">
        <f t="shared" si="18"/>
        <v>430.51</v>
      </c>
      <c r="DK26" s="5">
        <f t="shared" si="18"/>
        <v>87731.88</v>
      </c>
      <c r="DL26" s="5">
        <f t="shared" si="18"/>
        <v>0</v>
      </c>
      <c r="DM26" s="5">
        <f t="shared" si="18"/>
        <v>106.92014255999997</v>
      </c>
      <c r="DN26" s="5">
        <f t="shared" si="18"/>
        <v>0</v>
      </c>
      <c r="DO26" s="5">
        <f t="shared" si="18"/>
        <v>0</v>
      </c>
      <c r="DP26" s="5">
        <f t="shared" si="18"/>
        <v>79735.77</v>
      </c>
      <c r="DQ26" s="5">
        <f t="shared" si="18"/>
        <v>41100.19</v>
      </c>
      <c r="DR26" s="5">
        <f t="shared" si="18"/>
        <v>0</v>
      </c>
      <c r="DS26" s="5">
        <f t="shared" si="18"/>
        <v>0</v>
      </c>
      <c r="DT26" s="5">
        <f t="shared" si="18"/>
        <v>88888.72</v>
      </c>
      <c r="DU26" s="5">
        <f t="shared" si="18"/>
        <v>0</v>
      </c>
      <c r="DV26" s="5">
        <f t="shared" si="18"/>
        <v>1156.8399999999999</v>
      </c>
      <c r="DW26" s="5">
        <f t="shared" si="18"/>
        <v>430.51</v>
      </c>
      <c r="DX26" s="5">
        <f t="shared" si="18"/>
        <v>87731.88</v>
      </c>
      <c r="DY26" s="5">
        <f t="shared" si="18"/>
        <v>0</v>
      </c>
      <c r="DZ26" s="5">
        <f t="shared" si="18"/>
        <v>106.92014255999997</v>
      </c>
      <c r="EA26" s="5">
        <f t="shared" si="18"/>
        <v>0</v>
      </c>
      <c r="EB26" s="5">
        <f t="shared" si="18"/>
        <v>0</v>
      </c>
      <c r="EC26" s="5">
        <f t="shared" si="18"/>
        <v>79735.77</v>
      </c>
      <c r="ED26" s="5">
        <f t="shared" si="18"/>
        <v>41100.19</v>
      </c>
      <c r="EE26" s="5">
        <f t="shared" si="18"/>
        <v>0</v>
      </c>
      <c r="EF26" s="5">
        <f t="shared" si="18"/>
        <v>0</v>
      </c>
      <c r="EG26" s="5">
        <f t="shared" si="18"/>
        <v>0</v>
      </c>
      <c r="EH26" s="5">
        <f t="shared" si="18"/>
        <v>0</v>
      </c>
      <c r="EI26" s="5">
        <f t="shared" si="18"/>
        <v>0</v>
      </c>
      <c r="EJ26" s="5">
        <f t="shared" si="18"/>
        <v>209724.68</v>
      </c>
      <c r="EK26" s="5">
        <f t="shared" si="18"/>
        <v>0</v>
      </c>
      <c r="EL26" s="5">
        <f t="shared" si="18"/>
        <v>209724.68</v>
      </c>
      <c r="EM26" s="5">
        <f t="shared" ref="EM26:FR26" si="19">EM45</f>
        <v>0</v>
      </c>
      <c r="EN26" s="5">
        <f t="shared" si="19"/>
        <v>0</v>
      </c>
      <c r="EO26" s="5">
        <f t="shared" si="19"/>
        <v>0</v>
      </c>
      <c r="EP26" s="5">
        <f t="shared" si="19"/>
        <v>0</v>
      </c>
      <c r="EQ26" s="5">
        <f t="shared" si="19"/>
        <v>0</v>
      </c>
      <c r="ER26" s="5">
        <f t="shared" si="19"/>
        <v>0</v>
      </c>
      <c r="ES26" s="5">
        <f t="shared" si="19"/>
        <v>0</v>
      </c>
      <c r="ET26" s="5">
        <f t="shared" si="19"/>
        <v>0</v>
      </c>
      <c r="EU26" s="5">
        <f t="shared" si="19"/>
        <v>0</v>
      </c>
      <c r="EV26" s="5">
        <f t="shared" si="19"/>
        <v>0</v>
      </c>
      <c r="EW26" s="5">
        <f t="shared" si="19"/>
        <v>0</v>
      </c>
      <c r="EX26" s="5">
        <f t="shared" si="19"/>
        <v>0</v>
      </c>
      <c r="EY26" s="5">
        <f t="shared" si="19"/>
        <v>0</v>
      </c>
      <c r="EZ26" s="5">
        <f t="shared" si="19"/>
        <v>0</v>
      </c>
      <c r="FA26" s="5">
        <f t="shared" si="19"/>
        <v>0</v>
      </c>
      <c r="FB26" s="5">
        <f t="shared" si="19"/>
        <v>0</v>
      </c>
      <c r="FC26" s="5">
        <f t="shared" si="19"/>
        <v>0</v>
      </c>
      <c r="FD26" s="5">
        <f t="shared" si="19"/>
        <v>0</v>
      </c>
      <c r="FE26" s="5">
        <f t="shared" si="19"/>
        <v>0</v>
      </c>
      <c r="FF26" s="5">
        <f t="shared" si="19"/>
        <v>0</v>
      </c>
      <c r="FG26" s="5">
        <f t="shared" si="19"/>
        <v>0</v>
      </c>
      <c r="FH26" s="5">
        <f t="shared" si="19"/>
        <v>0</v>
      </c>
      <c r="FI26" s="5">
        <f t="shared" si="19"/>
        <v>0</v>
      </c>
      <c r="FJ26" s="5">
        <f t="shared" si="19"/>
        <v>0</v>
      </c>
      <c r="FK26" s="5">
        <f t="shared" si="19"/>
        <v>0</v>
      </c>
      <c r="FL26" s="5">
        <f t="shared" si="19"/>
        <v>0</v>
      </c>
      <c r="FM26" s="5">
        <f t="shared" si="19"/>
        <v>0</v>
      </c>
      <c r="FN26" s="5">
        <f t="shared" si="19"/>
        <v>0</v>
      </c>
      <c r="FO26" s="5">
        <f t="shared" si="19"/>
        <v>0</v>
      </c>
      <c r="FP26" s="5">
        <f t="shared" si="19"/>
        <v>0</v>
      </c>
      <c r="FQ26" s="5">
        <f t="shared" si="19"/>
        <v>0</v>
      </c>
      <c r="FR26" s="5">
        <f t="shared" si="19"/>
        <v>0</v>
      </c>
      <c r="FS26" s="5">
        <f t="shared" ref="FS26:GX26" si="20">FS45</f>
        <v>209724.68</v>
      </c>
      <c r="FT26" s="5">
        <f t="shared" si="20"/>
        <v>0</v>
      </c>
      <c r="FU26" s="5">
        <f t="shared" si="20"/>
        <v>209724.68</v>
      </c>
      <c r="FV26" s="5">
        <f t="shared" si="20"/>
        <v>0</v>
      </c>
      <c r="FW26" s="5">
        <f t="shared" si="20"/>
        <v>0</v>
      </c>
      <c r="FX26" s="5">
        <f t="shared" si="20"/>
        <v>0</v>
      </c>
      <c r="FY26" s="5">
        <f t="shared" si="20"/>
        <v>0</v>
      </c>
      <c r="FZ26" s="5">
        <f t="shared" si="20"/>
        <v>0</v>
      </c>
      <c r="GA26" s="5">
        <f t="shared" si="20"/>
        <v>0</v>
      </c>
      <c r="GB26" s="5">
        <f t="shared" si="20"/>
        <v>0</v>
      </c>
      <c r="GC26" s="5">
        <f t="shared" si="20"/>
        <v>0</v>
      </c>
      <c r="GD26" s="5">
        <f t="shared" si="20"/>
        <v>0</v>
      </c>
      <c r="GE26" s="5">
        <f t="shared" si="20"/>
        <v>0</v>
      </c>
      <c r="GF26" s="5">
        <f t="shared" si="20"/>
        <v>0</v>
      </c>
      <c r="GG26" s="5">
        <f t="shared" si="20"/>
        <v>0</v>
      </c>
      <c r="GH26" s="5">
        <f t="shared" si="20"/>
        <v>0</v>
      </c>
      <c r="GI26" s="5">
        <f t="shared" si="20"/>
        <v>0</v>
      </c>
      <c r="GJ26" s="5">
        <f t="shared" si="20"/>
        <v>0</v>
      </c>
      <c r="GK26" s="5">
        <f t="shared" si="20"/>
        <v>0</v>
      </c>
      <c r="GL26" s="5">
        <f t="shared" si="20"/>
        <v>0</v>
      </c>
      <c r="GM26" s="5">
        <f t="shared" si="20"/>
        <v>0</v>
      </c>
      <c r="GN26" s="5">
        <f t="shared" si="20"/>
        <v>0</v>
      </c>
      <c r="GO26" s="5">
        <f t="shared" si="20"/>
        <v>0</v>
      </c>
      <c r="GP26" s="5">
        <f t="shared" si="20"/>
        <v>0</v>
      </c>
      <c r="GQ26" s="5">
        <f t="shared" si="20"/>
        <v>0</v>
      </c>
      <c r="GR26" s="5">
        <f t="shared" si="20"/>
        <v>0</v>
      </c>
      <c r="GS26" s="5">
        <f t="shared" si="20"/>
        <v>0</v>
      </c>
      <c r="GT26" s="5">
        <f t="shared" si="20"/>
        <v>0</v>
      </c>
      <c r="GU26" s="5">
        <f t="shared" si="20"/>
        <v>0</v>
      </c>
      <c r="GV26" s="5">
        <f t="shared" si="20"/>
        <v>0</v>
      </c>
      <c r="GW26" s="5">
        <f t="shared" si="20"/>
        <v>0</v>
      </c>
      <c r="GX26" s="5">
        <f t="shared" si="20"/>
        <v>0</v>
      </c>
    </row>
    <row r="28" spans="1:255" ht="409.5" x14ac:dyDescent="0.25">
      <c r="A28" s="2">
        <v>17</v>
      </c>
      <c r="B28" s="2">
        <v>1</v>
      </c>
      <c r="C28" s="2">
        <f>ROW(SmtRes!A4)</f>
        <v>4</v>
      </c>
      <c r="D28" s="2">
        <f>ROW(EtalonRes!A5)</f>
        <v>5</v>
      </c>
      <c r="E28" s="2" t="s">
        <v>23</v>
      </c>
      <c r="F28" s="2" t="s">
        <v>24</v>
      </c>
      <c r="G28" s="2" t="s">
        <v>25</v>
      </c>
      <c r="H28" s="2" t="s">
        <v>26</v>
      </c>
      <c r="I28" s="2">
        <f>ROUND(1+1+4,9)</f>
        <v>6</v>
      </c>
      <c r="J28" s="2">
        <v>0</v>
      </c>
      <c r="K28" s="2">
        <f>ROUND(1+1+4,9)</f>
        <v>6</v>
      </c>
      <c r="L28" s="2"/>
      <c r="M28" s="2"/>
      <c r="N28" s="2"/>
      <c r="O28" s="2">
        <f t="shared" ref="O28:O43" si="21">ROUND(CP28,2)</f>
        <v>241.87</v>
      </c>
      <c r="P28" s="2">
        <f t="shared" ref="P28:P43" si="22">ROUND((ROUND((AC28*AW28*I28),2)*BC28),2)</f>
        <v>0</v>
      </c>
      <c r="Q28" s="2">
        <f t="shared" ref="Q28:Q43" si="23">(ROUND((ROUND(((((ET28*1.2)*0.3))*AV28*I28),2)*BB28),2)+ROUND((ROUND(((AE28-(((EU28*1.2)*0.3)))*AV28*I28),2)*BS28),2))</f>
        <v>64.930000000000007</v>
      </c>
      <c r="R28" s="2">
        <f t="shared" ref="R28:R43" si="24">(ROUND((ROUND(((((EU28*1.2)*0.3))*AV28*I28),2)*BS28),2)+ROUND((ROUND(((AE28-(((EU28*1.2)*0.3)))*AV28*I28),2)*BS28),2))</f>
        <v>7.15</v>
      </c>
      <c r="S28" s="2">
        <f t="shared" ref="S28:S43" si="25">ROUND((ROUND((AF28*AV28*I28),2)*BA28),2)</f>
        <v>176.94</v>
      </c>
      <c r="T28" s="2">
        <f t="shared" ref="T28:T43" si="26">ROUND(CU28*I28,2)</f>
        <v>0</v>
      </c>
      <c r="U28" s="2">
        <f t="shared" ref="U28:U43" si="27">CV28*I28</f>
        <v>14.021423999999998</v>
      </c>
      <c r="V28" s="2">
        <f t="shared" ref="V28:V43" si="28">CW28*I28</f>
        <v>0</v>
      </c>
      <c r="W28" s="2">
        <f t="shared" ref="W28:W43" si="29">ROUND(CX28*I28,2)</f>
        <v>0</v>
      </c>
      <c r="X28" s="2">
        <f t="shared" ref="X28:X43" si="30">(ROUND((((S28+ROUND((ROUND(((((EU28*1.2)*0.3))*AV28*I28),2)*BS28),2))*AT28)/100),2)+ROUND(((ROUND((ROUND(((AE28-(((EU28*1.2)*0.3)))*AV28*I28),2)*BS28),2)*AT28)/100),2))</f>
        <v>165.68</v>
      </c>
      <c r="Y28" s="2">
        <f t="shared" ref="Y28:Y43" si="31">(ROUND((((S28+ROUND((ROUND(((((EU28*1.2)*0.3))*AV28*I28),2)*BS28),2))*AU28)/100),2)+ROUND(((ROUND((ROUND(((AE28-(((EU28*1.2)*0.3)))*AV28*I28),2)*BS28),2)*AU28)/100),2))</f>
        <v>84.68</v>
      </c>
      <c r="Z28" s="2"/>
      <c r="AA28" s="2">
        <v>55934355</v>
      </c>
      <c r="AB28" s="2">
        <f t="shared" ref="AB28:AB43" si="32">ROUND((AC28+AD28+AF28),6)</f>
        <v>38.502000000000002</v>
      </c>
      <c r="AC28" s="2">
        <f t="shared" ref="AC28:AC43" si="33">ROUND((((ES28*1)*0)),6)</f>
        <v>0</v>
      </c>
      <c r="AD28" s="2">
        <f t="shared" ref="AD28:AD43" si="34">ROUND((((((ET28*1.2)*0.3))-(((EU28*1.2)*0.3)))+AE28),6)</f>
        <v>10.335599999999999</v>
      </c>
      <c r="AE28" s="2">
        <f t="shared" ref="AE28:AE43" si="35">ROUND((((EU28*1.2)*0.3)),6)</f>
        <v>1.1375999999999999</v>
      </c>
      <c r="AF28" s="2">
        <f t="shared" ref="AF28:AF43" si="36">ROUND((((EV28*1.2)*0.3)),6)</f>
        <v>28.166399999999999</v>
      </c>
      <c r="AG28" s="2">
        <f t="shared" ref="AG28:AG43" si="37">ROUND((AP28),6)</f>
        <v>0</v>
      </c>
      <c r="AH28" s="2">
        <f t="shared" ref="AH28:AH43" si="38">(((EW28*1.2)*0.3))</f>
        <v>2.2319999999999998</v>
      </c>
      <c r="AI28" s="2">
        <f t="shared" ref="AI28:AI43" si="39">(((EX28*1.2)*0.3))</f>
        <v>0</v>
      </c>
      <c r="AJ28" s="2">
        <f t="shared" ref="AJ28:AJ43" si="40">(AS28)</f>
        <v>0</v>
      </c>
      <c r="AK28" s="2">
        <v>119.3</v>
      </c>
      <c r="AL28" s="2">
        <v>12.35</v>
      </c>
      <c r="AM28" s="2">
        <v>28.71</v>
      </c>
      <c r="AN28" s="2">
        <v>3.16</v>
      </c>
      <c r="AO28" s="2">
        <v>78.239999999999995</v>
      </c>
      <c r="AP28" s="2">
        <v>0</v>
      </c>
      <c r="AQ28" s="2">
        <v>6.2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27</v>
      </c>
      <c r="BK28" s="2"/>
      <c r="BL28" s="2"/>
      <c r="BM28" s="2">
        <v>68</v>
      </c>
      <c r="BN28" s="2">
        <v>0</v>
      </c>
      <c r="BO28" s="2" t="s">
        <v>24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11" t="s">
        <v>418</v>
      </c>
      <c r="CO28" s="2">
        <v>0</v>
      </c>
      <c r="CP28" s="2">
        <f t="shared" ref="CP28:CP43" si="41">(P28+Q28+S28)</f>
        <v>241.87</v>
      </c>
      <c r="CQ28" s="2">
        <f t="shared" ref="CQ28:CQ43" si="42">ROUND((ROUND((AC28*AW28*1),2)*BC28),2)</f>
        <v>0</v>
      </c>
      <c r="CR28" s="2">
        <f t="shared" ref="CR28:CR43" si="43">(ROUND((ROUND(((((ET28*1.2)*0.3))*AV28*1),2)*BB28),2)+ROUND((ROUND(((AE28-(((EU28*1.2)*0.3)))*AV28*1),2)*BS28),2))</f>
        <v>10.82</v>
      </c>
      <c r="CS28" s="2">
        <f t="shared" ref="CS28:CS43" si="44">(ROUND((ROUND(((((EU28*1.2)*0.3))*AV28*1),2)*BS28),2)+ROUND((ROUND(((AE28-(((EU28*1.2)*0.3)))*AV28*1),2)*BS28),2))</f>
        <v>1.19</v>
      </c>
      <c r="CT28" s="2">
        <f t="shared" ref="CT28:CT43" si="45">ROUND((ROUND((AF28*AV28*1),2)*BA28),2)</f>
        <v>29.49</v>
      </c>
      <c r="CU28" s="2">
        <f t="shared" ref="CU28:CU43" si="46">AG28</f>
        <v>0</v>
      </c>
      <c r="CV28" s="2">
        <f t="shared" ref="CV28:CV43" si="47">(AH28*AV28)</f>
        <v>2.3369039999999996</v>
      </c>
      <c r="CW28" s="2">
        <f t="shared" ref="CW28:CW43" si="48">AI28</f>
        <v>0</v>
      </c>
      <c r="CX28" s="2">
        <f t="shared" ref="CX28:CX43" si="49">AJ28</f>
        <v>0</v>
      </c>
      <c r="CY28" s="2">
        <f t="shared" ref="CY28:CY43" si="50">(ROUND((((S28+ROUND((ROUND(((((EU28*1.2)*0.3))*AV28*1),2)*BS28),2))*AT28)/100),2)+ROUND(((ROUND((ROUND(((AE28-(((EU28*1.2)*0.3)))*AV28*1),2)*BS28),2)*AT28)/100),2))</f>
        <v>160.32</v>
      </c>
      <c r="CZ28" s="2">
        <f t="shared" ref="CZ28:CZ43" si="51">(ROUND((((S28+ROUND((ROUND(((((EU28*1.2)*0.3))*AV28*1),2)*BS28),2))*AU28)/100),2)+ROUND(((ROUND((ROUND(((AE28-(((EU28*1.2)*0.3)))*AV28*1),2)*BS28),2)*AU28)/100),2))</f>
        <v>81.94</v>
      </c>
      <c r="DA28" s="2"/>
      <c r="DB28" s="2">
        <v>1</v>
      </c>
      <c r="DC28" s="2" t="s">
        <v>3</v>
      </c>
      <c r="DD28" s="2" t="s">
        <v>28</v>
      </c>
      <c r="DE28" s="2" t="s">
        <v>29</v>
      </c>
      <c r="DF28" s="2" t="s">
        <v>29</v>
      </c>
      <c r="DG28" s="2" t="s">
        <v>29</v>
      </c>
      <c r="DH28" s="2" t="s">
        <v>3</v>
      </c>
      <c r="DI28" s="2" t="s">
        <v>29</v>
      </c>
      <c r="DJ28" s="2" t="s">
        <v>29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26</v>
      </c>
      <c r="DW28" s="2" t="s">
        <v>26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57042958</v>
      </c>
      <c r="EF28" s="2">
        <v>40</v>
      </c>
      <c r="EG28" s="2" t="s">
        <v>30</v>
      </c>
      <c r="EH28" s="2">
        <v>0</v>
      </c>
      <c r="EI28" s="2" t="s">
        <v>3</v>
      </c>
      <c r="EJ28" s="2">
        <v>2</v>
      </c>
      <c r="EK28" s="2">
        <v>68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0</v>
      </c>
      <c r="ER28" s="2">
        <v>119.3</v>
      </c>
      <c r="ES28" s="2">
        <v>12.35</v>
      </c>
      <c r="ET28" s="2">
        <v>28.71</v>
      </c>
      <c r="EU28" s="2">
        <v>3.16</v>
      </c>
      <c r="EV28" s="2">
        <v>78.239999999999995</v>
      </c>
      <c r="EW28" s="2">
        <v>6.2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-523956322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3" si="52">ROUND(IF(AND(BH28=3,BI28=3,FS28&lt;&gt;0),P28,0),2)</f>
        <v>0</v>
      </c>
      <c r="GM28" s="2">
        <f t="shared" ref="GM28:GM43" si="53">ROUND(O28+X28+Y28,2)+GX28</f>
        <v>492.23</v>
      </c>
      <c r="GN28" s="2">
        <f t="shared" ref="GN28:GN43" si="54">IF(OR(BI28=0,BI28=1),GM28-GX28,0)</f>
        <v>0</v>
      </c>
      <c r="GO28" s="2">
        <f t="shared" ref="GO28:GO43" si="55">IF(BI28=2,GM28-GX28,0)</f>
        <v>492.23</v>
      </c>
      <c r="GP28" s="2">
        <f t="shared" ref="GP28:GP43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3" si="57">ROUND((GT28),6)</f>
        <v>0</v>
      </c>
      <c r="GW28" s="2">
        <v>1</v>
      </c>
      <c r="GX28" s="2">
        <f t="shared" ref="GX28:GX43" si="58">ROUND(HC28*I28,2)</f>
        <v>0</v>
      </c>
      <c r="GY28" s="2"/>
      <c r="GZ28" s="2"/>
      <c r="HA28" s="2">
        <v>0</v>
      </c>
      <c r="HB28" s="2">
        <v>0</v>
      </c>
      <c r="HC28" s="2">
        <f t="shared" ref="HC28:HC4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ht="409.5" x14ac:dyDescent="0.25">
      <c r="A29" s="3">
        <v>17</v>
      </c>
      <c r="B29" s="3">
        <v>1</v>
      </c>
      <c r="C29" s="3">
        <f>ROW(SmtRes!A8)</f>
        <v>8</v>
      </c>
      <c r="D29" s="3">
        <f>ROW(EtalonRes!A10)</f>
        <v>10</v>
      </c>
      <c r="E29" s="3" t="s">
        <v>23</v>
      </c>
      <c r="F29" s="3" t="s">
        <v>24</v>
      </c>
      <c r="G29" s="3" t="s">
        <v>25</v>
      </c>
      <c r="H29" s="3" t="s">
        <v>26</v>
      </c>
      <c r="I29" s="3">
        <f>ROUND(1+1+4,9)</f>
        <v>6</v>
      </c>
      <c r="J29" s="3">
        <v>0</v>
      </c>
      <c r="K29" s="3">
        <f>ROUND(1+1+4,9)</f>
        <v>6</v>
      </c>
      <c r="L29" s="3"/>
      <c r="M29" s="3"/>
      <c r="N29" s="3"/>
      <c r="O29" s="3">
        <f t="shared" si="21"/>
        <v>11019.84</v>
      </c>
      <c r="P29" s="3">
        <f t="shared" si="22"/>
        <v>0</v>
      </c>
      <c r="Q29" s="3">
        <f t="shared" si="23"/>
        <v>1049.27</v>
      </c>
      <c r="R29" s="3">
        <f t="shared" si="24"/>
        <v>402.9</v>
      </c>
      <c r="S29" s="3">
        <f t="shared" si="25"/>
        <v>9970.57</v>
      </c>
      <c r="T29" s="3">
        <f t="shared" si="26"/>
        <v>0</v>
      </c>
      <c r="U29" s="3">
        <f t="shared" si="27"/>
        <v>14.021423999999998</v>
      </c>
      <c r="V29" s="3">
        <f t="shared" si="28"/>
        <v>0</v>
      </c>
      <c r="W29" s="3">
        <f t="shared" si="29"/>
        <v>0</v>
      </c>
      <c r="X29" s="3">
        <f t="shared" si="30"/>
        <v>9336.1200000000008</v>
      </c>
      <c r="Y29" s="3">
        <f t="shared" si="31"/>
        <v>4771.8</v>
      </c>
      <c r="Z29" s="3"/>
      <c r="AA29" s="3">
        <v>55934357</v>
      </c>
      <c r="AB29" s="3">
        <f t="shared" si="32"/>
        <v>38.502000000000002</v>
      </c>
      <c r="AC29" s="3">
        <f t="shared" si="33"/>
        <v>0</v>
      </c>
      <c r="AD29" s="3">
        <f t="shared" si="34"/>
        <v>10.335599999999999</v>
      </c>
      <c r="AE29" s="3">
        <f t="shared" si="35"/>
        <v>1.1375999999999999</v>
      </c>
      <c r="AF29" s="3">
        <f t="shared" si="36"/>
        <v>28.166399999999999</v>
      </c>
      <c r="AG29" s="3">
        <f t="shared" si="37"/>
        <v>0</v>
      </c>
      <c r="AH29" s="3">
        <f t="shared" si="38"/>
        <v>2.2319999999999998</v>
      </c>
      <c r="AI29" s="3">
        <f t="shared" si="39"/>
        <v>0</v>
      </c>
      <c r="AJ29" s="3">
        <f t="shared" si="40"/>
        <v>0</v>
      </c>
      <c r="AK29" s="3">
        <v>119.3</v>
      </c>
      <c r="AL29" s="3">
        <v>12.35</v>
      </c>
      <c r="AM29" s="3">
        <v>28.71</v>
      </c>
      <c r="AN29" s="3">
        <v>3.16</v>
      </c>
      <c r="AO29" s="3">
        <v>78.239999999999995</v>
      </c>
      <c r="AP29" s="3">
        <v>0</v>
      </c>
      <c r="AQ29" s="3">
        <v>6.2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X29" s="3"/>
      <c r="AY29" s="3"/>
      <c r="AZ29" s="3">
        <v>1</v>
      </c>
      <c r="BA29" s="3">
        <v>56.35</v>
      </c>
      <c r="BB29" s="3">
        <v>16.16</v>
      </c>
      <c r="BC29" s="3">
        <v>14.7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27</v>
      </c>
      <c r="BK29" s="3"/>
      <c r="BL29" s="3"/>
      <c r="BM29" s="3">
        <v>68</v>
      </c>
      <c r="BN29" s="3">
        <v>0</v>
      </c>
      <c r="BO29" s="3" t="s">
        <v>24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C29" s="3"/>
      <c r="CD29" s="3"/>
      <c r="CE29" s="3">
        <v>1566</v>
      </c>
      <c r="CF29" s="3">
        <v>0</v>
      </c>
      <c r="CG29" s="3">
        <v>0</v>
      </c>
      <c r="CH29" s="3"/>
      <c r="CI29" s="3"/>
      <c r="CJ29" s="3"/>
      <c r="CK29" s="3"/>
      <c r="CL29" s="3"/>
      <c r="CM29" s="3">
        <v>0</v>
      </c>
      <c r="CN29" s="12" t="s">
        <v>418</v>
      </c>
      <c r="CO29" s="3">
        <v>0</v>
      </c>
      <c r="CP29" s="3">
        <f t="shared" si="41"/>
        <v>11019.84</v>
      </c>
      <c r="CQ29" s="3">
        <f t="shared" si="42"/>
        <v>0</v>
      </c>
      <c r="CR29" s="3">
        <f t="shared" si="43"/>
        <v>174.85</v>
      </c>
      <c r="CS29" s="3">
        <f t="shared" si="44"/>
        <v>67.06</v>
      </c>
      <c r="CT29" s="3">
        <f t="shared" si="45"/>
        <v>1661.76</v>
      </c>
      <c r="CU29" s="3">
        <f t="shared" si="46"/>
        <v>0</v>
      </c>
      <c r="CV29" s="3">
        <f t="shared" si="47"/>
        <v>2.3369039999999996</v>
      </c>
      <c r="CW29" s="3">
        <f t="shared" si="48"/>
        <v>0</v>
      </c>
      <c r="CX29" s="3">
        <f t="shared" si="49"/>
        <v>0</v>
      </c>
      <c r="CY29" s="3">
        <f t="shared" si="50"/>
        <v>9033.8700000000008</v>
      </c>
      <c r="CZ29" s="3">
        <f t="shared" si="51"/>
        <v>4617.3100000000004</v>
      </c>
      <c r="DA29" s="3"/>
      <c r="DB29" s="3">
        <v>3</v>
      </c>
      <c r="DC29" s="3" t="s">
        <v>3</v>
      </c>
      <c r="DD29" s="3" t="s">
        <v>28</v>
      </c>
      <c r="DE29" s="3" t="s">
        <v>29</v>
      </c>
      <c r="DF29" s="3" t="s">
        <v>29</v>
      </c>
      <c r="DG29" s="3" t="s">
        <v>29</v>
      </c>
      <c r="DH29" s="3" t="s">
        <v>3</v>
      </c>
      <c r="DI29" s="3" t="s">
        <v>29</v>
      </c>
      <c r="DJ29" s="3" t="s">
        <v>29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R29" s="3"/>
      <c r="DS29" s="3"/>
      <c r="DT29" s="3"/>
      <c r="DU29" s="3">
        <v>1013</v>
      </c>
      <c r="DV29" s="3" t="s">
        <v>26</v>
      </c>
      <c r="DW29" s="3" t="s">
        <v>26</v>
      </c>
      <c r="DX29" s="3">
        <v>1</v>
      </c>
      <c r="DY29" s="3"/>
      <c r="DZ29" s="3" t="s">
        <v>3</v>
      </c>
      <c r="EA29" s="3" t="s">
        <v>3</v>
      </c>
      <c r="EB29" s="3" t="s">
        <v>3</v>
      </c>
      <c r="EC29" s="3" t="s">
        <v>3</v>
      </c>
      <c r="ED29" s="3"/>
      <c r="EE29" s="3">
        <v>57042958</v>
      </c>
      <c r="EF29" s="3">
        <v>40</v>
      </c>
      <c r="EG29" s="3" t="s">
        <v>30</v>
      </c>
      <c r="EH29" s="3">
        <v>0</v>
      </c>
      <c r="EI29" s="3" t="s">
        <v>3</v>
      </c>
      <c r="EJ29" s="3">
        <v>2</v>
      </c>
      <c r="EK29" s="3">
        <v>68</v>
      </c>
      <c r="EL29" s="3" t="s">
        <v>31</v>
      </c>
      <c r="EM29" s="3" t="s">
        <v>32</v>
      </c>
      <c r="EN29" s="3"/>
      <c r="EO29" s="3" t="s">
        <v>33</v>
      </c>
      <c r="EP29" s="3"/>
      <c r="EQ29" s="3">
        <v>0</v>
      </c>
      <c r="ER29" s="3">
        <v>119.3</v>
      </c>
      <c r="ES29" s="3">
        <v>12.35</v>
      </c>
      <c r="ET29" s="3">
        <v>28.71</v>
      </c>
      <c r="EU29" s="3">
        <v>3.16</v>
      </c>
      <c r="EV29" s="3">
        <v>78.239999999999995</v>
      </c>
      <c r="EW29" s="3">
        <v>6.2</v>
      </c>
      <c r="EX29" s="3">
        <v>0</v>
      </c>
      <c r="EY29" s="3">
        <v>0</v>
      </c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>
        <v>0</v>
      </c>
      <c r="FR29" s="3">
        <v>0</v>
      </c>
      <c r="FS29" s="3">
        <v>0</v>
      </c>
      <c r="FT29" s="3"/>
      <c r="FU29" s="3"/>
      <c r="FV29" s="3"/>
      <c r="FW29" s="3"/>
      <c r="FX29" s="3">
        <v>90</v>
      </c>
      <c r="FY29" s="3">
        <v>46</v>
      </c>
      <c r="FZ29" s="3"/>
      <c r="GA29" s="3" t="s">
        <v>3</v>
      </c>
      <c r="GB29" s="3"/>
      <c r="GC29" s="3"/>
      <c r="GD29" s="3">
        <v>1</v>
      </c>
      <c r="GE29" s="3"/>
      <c r="GF29" s="3">
        <v>-523956322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25127.759999999998</v>
      </c>
      <c r="GN29" s="3">
        <f t="shared" si="54"/>
        <v>0</v>
      </c>
      <c r="GO29" s="3">
        <f t="shared" si="55"/>
        <v>25127.759999999998</v>
      </c>
      <c r="GP29" s="3">
        <f t="shared" si="56"/>
        <v>0</v>
      </c>
      <c r="GQ29" s="3"/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GY29" s="3"/>
      <c r="GZ29" s="3"/>
      <c r="HA29" s="3">
        <v>0</v>
      </c>
      <c r="HB29" s="3">
        <v>0</v>
      </c>
      <c r="HC29" s="3">
        <f t="shared" si="59"/>
        <v>0</v>
      </c>
      <c r="HD29" s="3"/>
      <c r="HE29" s="3" t="s">
        <v>3</v>
      </c>
      <c r="HF29" s="3" t="s">
        <v>3</v>
      </c>
      <c r="HG29" s="3"/>
      <c r="HH29" s="3"/>
      <c r="HI29" s="3"/>
      <c r="HJ29" s="3"/>
      <c r="HK29" s="3"/>
      <c r="HL29" s="3"/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R29" s="3"/>
      <c r="HS29" s="3">
        <v>0</v>
      </c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>
        <v>0</v>
      </c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ht="409.5" x14ac:dyDescent="0.25">
      <c r="A30" s="2">
        <v>17</v>
      </c>
      <c r="B30" s="2">
        <v>1</v>
      </c>
      <c r="C30" s="2">
        <f>ROW(SmtRes!A13)</f>
        <v>13</v>
      </c>
      <c r="D30" s="2">
        <f>ROW(EtalonRes!A17)</f>
        <v>17</v>
      </c>
      <c r="E30" s="2" t="s">
        <v>34</v>
      </c>
      <c r="F30" s="2" t="s">
        <v>35</v>
      </c>
      <c r="G30" s="2" t="s">
        <v>36</v>
      </c>
      <c r="H30" s="2" t="s">
        <v>37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35.85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35.85</v>
      </c>
      <c r="T30" s="2">
        <f t="shared" si="26"/>
        <v>0</v>
      </c>
      <c r="U30" s="2">
        <f t="shared" si="27"/>
        <v>3.0153599999999998</v>
      </c>
      <c r="V30" s="2">
        <f t="shared" si="28"/>
        <v>0</v>
      </c>
      <c r="W30" s="2">
        <f t="shared" si="29"/>
        <v>0</v>
      </c>
      <c r="X30" s="2">
        <f t="shared" si="30"/>
        <v>34.06</v>
      </c>
      <c r="Y30" s="2">
        <f t="shared" si="31"/>
        <v>19</v>
      </c>
      <c r="Z30" s="2"/>
      <c r="AA30" s="2">
        <v>55934355</v>
      </c>
      <c r="AB30" s="2">
        <f t="shared" si="32"/>
        <v>34.243200000000002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34.243200000000002</v>
      </c>
      <c r="AG30" s="2">
        <f t="shared" si="37"/>
        <v>0</v>
      </c>
      <c r="AH30" s="2">
        <f t="shared" si="38"/>
        <v>2.88</v>
      </c>
      <c r="AI30" s="2">
        <f t="shared" si="39"/>
        <v>0</v>
      </c>
      <c r="AJ30" s="2">
        <f t="shared" si="40"/>
        <v>0</v>
      </c>
      <c r="AK30" s="2">
        <v>96.22</v>
      </c>
      <c r="AL30" s="2">
        <v>1.1000000000000001</v>
      </c>
      <c r="AM30" s="2">
        <v>0</v>
      </c>
      <c r="AN30" s="2">
        <v>0</v>
      </c>
      <c r="AO30" s="2">
        <v>95.12</v>
      </c>
      <c r="AP30" s="2">
        <v>0</v>
      </c>
      <c r="AQ30" s="2">
        <v>8</v>
      </c>
      <c r="AR30" s="2">
        <v>0</v>
      </c>
      <c r="AS30" s="2">
        <v>0</v>
      </c>
      <c r="AT30" s="2">
        <v>95</v>
      </c>
      <c r="AU30" s="2">
        <v>53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38</v>
      </c>
      <c r="BK30" s="2"/>
      <c r="BL30" s="2"/>
      <c r="BM30" s="2">
        <v>69</v>
      </c>
      <c r="BN30" s="2">
        <v>0</v>
      </c>
      <c r="BO30" s="2" t="s">
        <v>35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95</v>
      </c>
      <c r="CA30" s="2">
        <v>53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11" t="s">
        <v>418</v>
      </c>
      <c r="CO30" s="2">
        <v>0</v>
      </c>
      <c r="CP30" s="2">
        <f t="shared" si="41"/>
        <v>35.85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35.85</v>
      </c>
      <c r="CU30" s="2">
        <f t="shared" si="46"/>
        <v>0</v>
      </c>
      <c r="CV30" s="2">
        <f t="shared" si="47"/>
        <v>3.0153599999999998</v>
      </c>
      <c r="CW30" s="2">
        <f t="shared" si="48"/>
        <v>0</v>
      </c>
      <c r="CX30" s="2">
        <f t="shared" si="49"/>
        <v>0</v>
      </c>
      <c r="CY30" s="2">
        <f t="shared" si="50"/>
        <v>34.06</v>
      </c>
      <c r="CZ30" s="2">
        <f t="shared" si="51"/>
        <v>19</v>
      </c>
      <c r="DA30" s="2"/>
      <c r="DB30" s="2">
        <v>5</v>
      </c>
      <c r="DC30" s="2" t="s">
        <v>3</v>
      </c>
      <c r="DD30" s="2" t="s">
        <v>28</v>
      </c>
      <c r="DE30" s="2" t="s">
        <v>29</v>
      </c>
      <c r="DF30" s="2" t="s">
        <v>29</v>
      </c>
      <c r="DG30" s="2" t="s">
        <v>29</v>
      </c>
      <c r="DH30" s="2" t="s">
        <v>3</v>
      </c>
      <c r="DI30" s="2" t="s">
        <v>29</v>
      </c>
      <c r="DJ30" s="2" t="s">
        <v>29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37</v>
      </c>
      <c r="DW30" s="2" t="s">
        <v>37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57042959</v>
      </c>
      <c r="EF30" s="2">
        <v>40</v>
      </c>
      <c r="EG30" s="2" t="s">
        <v>30</v>
      </c>
      <c r="EH30" s="2">
        <v>0</v>
      </c>
      <c r="EI30" s="2" t="s">
        <v>3</v>
      </c>
      <c r="EJ30" s="2">
        <v>2</v>
      </c>
      <c r="EK30" s="2">
        <v>69</v>
      </c>
      <c r="EL30" s="2" t="s">
        <v>39</v>
      </c>
      <c r="EM30" s="2" t="s">
        <v>40</v>
      </c>
      <c r="EN30" s="2"/>
      <c r="EO30" s="2" t="s">
        <v>33</v>
      </c>
      <c r="EP30" s="2"/>
      <c r="EQ30" s="2">
        <v>0</v>
      </c>
      <c r="ER30" s="2">
        <v>96.22</v>
      </c>
      <c r="ES30" s="2">
        <v>1.1000000000000001</v>
      </c>
      <c r="ET30" s="2">
        <v>0</v>
      </c>
      <c r="EU30" s="2">
        <v>0</v>
      </c>
      <c r="EV30" s="2">
        <v>95.12</v>
      </c>
      <c r="EW30" s="2">
        <v>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95</v>
      </c>
      <c r="FY30" s="2">
        <v>53</v>
      </c>
      <c r="FZ30" s="2"/>
      <c r="GA30" s="2" t="s">
        <v>3</v>
      </c>
      <c r="GB30" s="2"/>
      <c r="GC30" s="2"/>
      <c r="GD30" s="2">
        <v>1</v>
      </c>
      <c r="GE30" s="2"/>
      <c r="GF30" s="2">
        <v>275144487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88.91</v>
      </c>
      <c r="GN30" s="2">
        <f t="shared" si="54"/>
        <v>0</v>
      </c>
      <c r="GO30" s="2">
        <f t="shared" si="55"/>
        <v>88.91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ht="409.5" x14ac:dyDescent="0.25">
      <c r="A31" s="3">
        <v>17</v>
      </c>
      <c r="B31" s="3">
        <v>1</v>
      </c>
      <c r="C31" s="3">
        <f>ROW(SmtRes!A18)</f>
        <v>18</v>
      </c>
      <c r="D31" s="3">
        <f>ROW(EtalonRes!A24)</f>
        <v>24</v>
      </c>
      <c r="E31" s="3" t="s">
        <v>34</v>
      </c>
      <c r="F31" s="3" t="s">
        <v>35</v>
      </c>
      <c r="G31" s="3" t="s">
        <v>36</v>
      </c>
      <c r="H31" s="3" t="s">
        <v>37</v>
      </c>
      <c r="I31" s="3">
        <v>1</v>
      </c>
      <c r="J31" s="3">
        <v>0</v>
      </c>
      <c r="K31" s="3">
        <v>1</v>
      </c>
      <c r="L31" s="3"/>
      <c r="M31" s="3"/>
      <c r="N31" s="3"/>
      <c r="O31" s="3">
        <f t="shared" si="21"/>
        <v>2020.15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2020.15</v>
      </c>
      <c r="T31" s="3">
        <f t="shared" si="26"/>
        <v>0</v>
      </c>
      <c r="U31" s="3">
        <f t="shared" si="27"/>
        <v>3.0153599999999998</v>
      </c>
      <c r="V31" s="3">
        <f t="shared" si="28"/>
        <v>0</v>
      </c>
      <c r="W31" s="3">
        <f t="shared" si="29"/>
        <v>0</v>
      </c>
      <c r="X31" s="3">
        <f t="shared" si="30"/>
        <v>1919.14</v>
      </c>
      <c r="Y31" s="3">
        <f t="shared" si="31"/>
        <v>1070.68</v>
      </c>
      <c r="Z31" s="3"/>
      <c r="AA31" s="3">
        <v>55934357</v>
      </c>
      <c r="AB31" s="3">
        <f t="shared" si="32"/>
        <v>34.243200000000002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34.243200000000002</v>
      </c>
      <c r="AG31" s="3">
        <f t="shared" si="37"/>
        <v>0</v>
      </c>
      <c r="AH31" s="3">
        <f t="shared" si="38"/>
        <v>2.88</v>
      </c>
      <c r="AI31" s="3">
        <f t="shared" si="39"/>
        <v>0</v>
      </c>
      <c r="AJ31" s="3">
        <f t="shared" si="40"/>
        <v>0</v>
      </c>
      <c r="AK31" s="3">
        <v>96.22</v>
      </c>
      <c r="AL31" s="3">
        <v>1.1000000000000001</v>
      </c>
      <c r="AM31" s="3">
        <v>0</v>
      </c>
      <c r="AN31" s="3">
        <v>0</v>
      </c>
      <c r="AO31" s="3">
        <v>95.12</v>
      </c>
      <c r="AP31" s="3">
        <v>0</v>
      </c>
      <c r="AQ31" s="3">
        <v>8</v>
      </c>
      <c r="AR31" s="3">
        <v>0</v>
      </c>
      <c r="AS31" s="3">
        <v>0</v>
      </c>
      <c r="AT31" s="3">
        <v>95</v>
      </c>
      <c r="AU31" s="3">
        <v>53</v>
      </c>
      <c r="AV31" s="3">
        <v>1.0469999999999999</v>
      </c>
      <c r="AW31" s="3">
        <v>1</v>
      </c>
      <c r="AX31" s="3"/>
      <c r="AY31" s="3"/>
      <c r="AZ31" s="3">
        <v>1</v>
      </c>
      <c r="BA31" s="3">
        <v>56.35</v>
      </c>
      <c r="BB31" s="3">
        <v>1</v>
      </c>
      <c r="BC31" s="3">
        <v>16.59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38</v>
      </c>
      <c r="BK31" s="3"/>
      <c r="BL31" s="3"/>
      <c r="BM31" s="3">
        <v>69</v>
      </c>
      <c r="BN31" s="3">
        <v>0</v>
      </c>
      <c r="BO31" s="3" t="s">
        <v>35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95</v>
      </c>
      <c r="CA31" s="3">
        <v>53</v>
      </c>
      <c r="CB31" s="3" t="s">
        <v>3</v>
      </c>
      <c r="CC31" s="3"/>
      <c r="CD31" s="3"/>
      <c r="CE31" s="3">
        <v>1566</v>
      </c>
      <c r="CF31" s="3">
        <v>0</v>
      </c>
      <c r="CG31" s="3">
        <v>0</v>
      </c>
      <c r="CH31" s="3"/>
      <c r="CI31" s="3"/>
      <c r="CJ31" s="3"/>
      <c r="CK31" s="3"/>
      <c r="CL31" s="3"/>
      <c r="CM31" s="3">
        <v>0</v>
      </c>
      <c r="CN31" s="12" t="s">
        <v>418</v>
      </c>
      <c r="CO31" s="3">
        <v>0</v>
      </c>
      <c r="CP31" s="3">
        <f t="shared" si="41"/>
        <v>2020.15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2020.15</v>
      </c>
      <c r="CU31" s="3">
        <f t="shared" si="46"/>
        <v>0</v>
      </c>
      <c r="CV31" s="3">
        <f t="shared" si="47"/>
        <v>3.0153599999999998</v>
      </c>
      <c r="CW31" s="3">
        <f t="shared" si="48"/>
        <v>0</v>
      </c>
      <c r="CX31" s="3">
        <f t="shared" si="49"/>
        <v>0</v>
      </c>
      <c r="CY31" s="3">
        <f t="shared" si="50"/>
        <v>1919.14</v>
      </c>
      <c r="CZ31" s="3">
        <f t="shared" si="51"/>
        <v>1070.68</v>
      </c>
      <c r="DA31" s="3"/>
      <c r="DB31" s="3">
        <v>7</v>
      </c>
      <c r="DC31" s="3" t="s">
        <v>3</v>
      </c>
      <c r="DD31" s="3" t="s">
        <v>28</v>
      </c>
      <c r="DE31" s="3" t="s">
        <v>29</v>
      </c>
      <c r="DF31" s="3" t="s">
        <v>29</v>
      </c>
      <c r="DG31" s="3" t="s">
        <v>29</v>
      </c>
      <c r="DH31" s="3" t="s">
        <v>3</v>
      </c>
      <c r="DI31" s="3" t="s">
        <v>29</v>
      </c>
      <c r="DJ31" s="3" t="s">
        <v>29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R31" s="3"/>
      <c r="DS31" s="3"/>
      <c r="DT31" s="3"/>
      <c r="DU31" s="3">
        <v>1013</v>
      </c>
      <c r="DV31" s="3" t="s">
        <v>37</v>
      </c>
      <c r="DW31" s="3" t="s">
        <v>37</v>
      </c>
      <c r="DX31" s="3">
        <v>1</v>
      </c>
      <c r="DY31" s="3"/>
      <c r="DZ31" s="3" t="s">
        <v>3</v>
      </c>
      <c r="EA31" s="3" t="s">
        <v>3</v>
      </c>
      <c r="EB31" s="3" t="s">
        <v>3</v>
      </c>
      <c r="EC31" s="3" t="s">
        <v>3</v>
      </c>
      <c r="ED31" s="3"/>
      <c r="EE31" s="3">
        <v>57042959</v>
      </c>
      <c r="EF31" s="3">
        <v>40</v>
      </c>
      <c r="EG31" s="3" t="s">
        <v>30</v>
      </c>
      <c r="EH31" s="3">
        <v>0</v>
      </c>
      <c r="EI31" s="3" t="s">
        <v>3</v>
      </c>
      <c r="EJ31" s="3">
        <v>2</v>
      </c>
      <c r="EK31" s="3">
        <v>69</v>
      </c>
      <c r="EL31" s="3" t="s">
        <v>39</v>
      </c>
      <c r="EM31" s="3" t="s">
        <v>40</v>
      </c>
      <c r="EN31" s="3"/>
      <c r="EO31" s="3" t="s">
        <v>33</v>
      </c>
      <c r="EP31" s="3"/>
      <c r="EQ31" s="3">
        <v>0</v>
      </c>
      <c r="ER31" s="3">
        <v>96.22</v>
      </c>
      <c r="ES31" s="3">
        <v>1.1000000000000001</v>
      </c>
      <c r="ET31" s="3">
        <v>0</v>
      </c>
      <c r="EU31" s="3">
        <v>0</v>
      </c>
      <c r="EV31" s="3">
        <v>95.12</v>
      </c>
      <c r="EW31" s="3">
        <v>8</v>
      </c>
      <c r="EX31" s="3">
        <v>0</v>
      </c>
      <c r="EY31" s="3">
        <v>0</v>
      </c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>
        <v>0</v>
      </c>
      <c r="FR31" s="3">
        <v>0</v>
      </c>
      <c r="FS31" s="3">
        <v>0</v>
      </c>
      <c r="FT31" s="3"/>
      <c r="FU31" s="3"/>
      <c r="FV31" s="3"/>
      <c r="FW31" s="3"/>
      <c r="FX31" s="3">
        <v>95</v>
      </c>
      <c r="FY31" s="3">
        <v>53</v>
      </c>
      <c r="FZ31" s="3"/>
      <c r="GA31" s="3" t="s">
        <v>3</v>
      </c>
      <c r="GB31" s="3"/>
      <c r="GC31" s="3"/>
      <c r="GD31" s="3">
        <v>1</v>
      </c>
      <c r="GE31" s="3"/>
      <c r="GF31" s="3">
        <v>275144487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5009.97</v>
      </c>
      <c r="GN31" s="3">
        <f t="shared" si="54"/>
        <v>0</v>
      </c>
      <c r="GO31" s="3">
        <f t="shared" si="55"/>
        <v>5009.97</v>
      </c>
      <c r="GP31" s="3">
        <f t="shared" si="56"/>
        <v>0</v>
      </c>
      <c r="GQ31" s="3"/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GY31" s="3"/>
      <c r="GZ31" s="3"/>
      <c r="HA31" s="3">
        <v>0</v>
      </c>
      <c r="HB31" s="3">
        <v>0</v>
      </c>
      <c r="HC31" s="3">
        <f t="shared" si="59"/>
        <v>0</v>
      </c>
      <c r="HD31" s="3"/>
      <c r="HE31" s="3" t="s">
        <v>3</v>
      </c>
      <c r="HF31" s="3" t="s">
        <v>3</v>
      </c>
      <c r="HG31" s="3"/>
      <c r="HH31" s="3"/>
      <c r="HI31" s="3"/>
      <c r="HJ31" s="3"/>
      <c r="HK31" s="3"/>
      <c r="HL31" s="3"/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R31" s="3"/>
      <c r="HS31" s="3">
        <v>0</v>
      </c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>
        <v>0</v>
      </c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ht="409.5" x14ac:dyDescent="0.25">
      <c r="A32" s="2">
        <v>17</v>
      </c>
      <c r="B32" s="2">
        <v>1</v>
      </c>
      <c r="C32" s="2">
        <f>ROW(SmtRes!A23)</f>
        <v>23</v>
      </c>
      <c r="D32" s="2">
        <f>ROW(EtalonRes!A31)</f>
        <v>31</v>
      </c>
      <c r="E32" s="2" t="s">
        <v>41</v>
      </c>
      <c r="F32" s="2" t="s">
        <v>35</v>
      </c>
      <c r="G32" s="2" t="s">
        <v>42</v>
      </c>
      <c r="H32" s="2" t="s">
        <v>37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35.85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35.85</v>
      </c>
      <c r="T32" s="2">
        <f t="shared" si="26"/>
        <v>0</v>
      </c>
      <c r="U32" s="2">
        <f t="shared" si="27"/>
        <v>3.0153599999999998</v>
      </c>
      <c r="V32" s="2">
        <f t="shared" si="28"/>
        <v>0</v>
      </c>
      <c r="W32" s="2">
        <f t="shared" si="29"/>
        <v>0</v>
      </c>
      <c r="X32" s="2">
        <f t="shared" si="30"/>
        <v>34.06</v>
      </c>
      <c r="Y32" s="2">
        <f t="shared" si="31"/>
        <v>19</v>
      </c>
      <c r="Z32" s="2"/>
      <c r="AA32" s="2">
        <v>55934355</v>
      </c>
      <c r="AB32" s="2">
        <f t="shared" si="32"/>
        <v>34.243200000000002</v>
      </c>
      <c r="AC32" s="2">
        <f t="shared" si="33"/>
        <v>0</v>
      </c>
      <c r="AD32" s="2">
        <f t="shared" si="34"/>
        <v>0</v>
      </c>
      <c r="AE32" s="2">
        <f t="shared" si="35"/>
        <v>0</v>
      </c>
      <c r="AF32" s="2">
        <f t="shared" si="36"/>
        <v>34.243200000000002</v>
      </c>
      <c r="AG32" s="2">
        <f t="shared" si="37"/>
        <v>0</v>
      </c>
      <c r="AH32" s="2">
        <f t="shared" si="38"/>
        <v>2.88</v>
      </c>
      <c r="AI32" s="2">
        <f t="shared" si="39"/>
        <v>0</v>
      </c>
      <c r="AJ32" s="2">
        <f t="shared" si="40"/>
        <v>0</v>
      </c>
      <c r="AK32" s="2">
        <v>96.22</v>
      </c>
      <c r="AL32" s="2">
        <v>1.1000000000000001</v>
      </c>
      <c r="AM32" s="2">
        <v>0</v>
      </c>
      <c r="AN32" s="2">
        <v>0</v>
      </c>
      <c r="AO32" s="2">
        <v>95.12</v>
      </c>
      <c r="AP32" s="2">
        <v>0</v>
      </c>
      <c r="AQ32" s="2">
        <v>8</v>
      </c>
      <c r="AR32" s="2">
        <v>0</v>
      </c>
      <c r="AS32" s="2">
        <v>0</v>
      </c>
      <c r="AT32" s="2">
        <v>95</v>
      </c>
      <c r="AU32" s="2">
        <v>53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69</v>
      </c>
      <c r="BN32" s="2">
        <v>0</v>
      </c>
      <c r="BO32" s="2" t="s">
        <v>35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95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11" t="s">
        <v>418</v>
      </c>
      <c r="CO32" s="2">
        <v>0</v>
      </c>
      <c r="CP32" s="2">
        <f t="shared" si="41"/>
        <v>35.85</v>
      </c>
      <c r="CQ32" s="2">
        <f t="shared" si="42"/>
        <v>0</v>
      </c>
      <c r="CR32" s="2">
        <f t="shared" si="43"/>
        <v>0</v>
      </c>
      <c r="CS32" s="2">
        <f t="shared" si="44"/>
        <v>0</v>
      </c>
      <c r="CT32" s="2">
        <f t="shared" si="45"/>
        <v>35.85</v>
      </c>
      <c r="CU32" s="2">
        <f t="shared" si="46"/>
        <v>0</v>
      </c>
      <c r="CV32" s="2">
        <f t="shared" si="47"/>
        <v>3.0153599999999998</v>
      </c>
      <c r="CW32" s="2">
        <f t="shared" si="48"/>
        <v>0</v>
      </c>
      <c r="CX32" s="2">
        <f t="shared" si="49"/>
        <v>0</v>
      </c>
      <c r="CY32" s="2">
        <f t="shared" si="50"/>
        <v>34.06</v>
      </c>
      <c r="CZ32" s="2">
        <f t="shared" si="51"/>
        <v>19</v>
      </c>
      <c r="DA32" s="2"/>
      <c r="DB32" s="2">
        <v>9</v>
      </c>
      <c r="DC32" s="2" t="s">
        <v>3</v>
      </c>
      <c r="DD32" s="2" t="s">
        <v>28</v>
      </c>
      <c r="DE32" s="2" t="s">
        <v>29</v>
      </c>
      <c r="DF32" s="2" t="s">
        <v>29</v>
      </c>
      <c r="DG32" s="2" t="s">
        <v>29</v>
      </c>
      <c r="DH32" s="2" t="s">
        <v>3</v>
      </c>
      <c r="DI32" s="2" t="s">
        <v>29</v>
      </c>
      <c r="DJ32" s="2" t="s">
        <v>29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37</v>
      </c>
      <c r="DW32" s="2" t="s">
        <v>37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57042959</v>
      </c>
      <c r="EF32" s="2">
        <v>40</v>
      </c>
      <c r="EG32" s="2" t="s">
        <v>30</v>
      </c>
      <c r="EH32" s="2">
        <v>0</v>
      </c>
      <c r="EI32" s="2" t="s">
        <v>3</v>
      </c>
      <c r="EJ32" s="2">
        <v>2</v>
      </c>
      <c r="EK32" s="2">
        <v>69</v>
      </c>
      <c r="EL32" s="2" t="s">
        <v>39</v>
      </c>
      <c r="EM32" s="2" t="s">
        <v>40</v>
      </c>
      <c r="EN32" s="2"/>
      <c r="EO32" s="2" t="s">
        <v>33</v>
      </c>
      <c r="EP32" s="2"/>
      <c r="EQ32" s="2">
        <v>0</v>
      </c>
      <c r="ER32" s="2">
        <v>96.22</v>
      </c>
      <c r="ES32" s="2">
        <v>1.1000000000000001</v>
      </c>
      <c r="ET32" s="2">
        <v>0</v>
      </c>
      <c r="EU32" s="2">
        <v>0</v>
      </c>
      <c r="EV32" s="2">
        <v>95.12</v>
      </c>
      <c r="EW32" s="2">
        <v>8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95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-2098133405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88.91</v>
      </c>
      <c r="GN32" s="2">
        <f t="shared" si="54"/>
        <v>0</v>
      </c>
      <c r="GO32" s="2">
        <f t="shared" si="55"/>
        <v>88.91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ht="409.5" x14ac:dyDescent="0.25">
      <c r="A33" s="3">
        <v>17</v>
      </c>
      <c r="B33" s="3">
        <v>1</v>
      </c>
      <c r="C33" s="3">
        <f>ROW(SmtRes!A28)</f>
        <v>28</v>
      </c>
      <c r="D33" s="3">
        <f>ROW(EtalonRes!A38)</f>
        <v>38</v>
      </c>
      <c r="E33" s="3" t="s">
        <v>41</v>
      </c>
      <c r="F33" s="3" t="s">
        <v>35</v>
      </c>
      <c r="G33" s="3" t="s">
        <v>42</v>
      </c>
      <c r="H33" s="3" t="s">
        <v>37</v>
      </c>
      <c r="I33" s="3">
        <v>1</v>
      </c>
      <c r="J33" s="3">
        <v>0</v>
      </c>
      <c r="K33" s="3">
        <v>1</v>
      </c>
      <c r="L33" s="3"/>
      <c r="M33" s="3"/>
      <c r="N33" s="3"/>
      <c r="O33" s="3">
        <f t="shared" si="21"/>
        <v>2020.15</v>
      </c>
      <c r="P33" s="3">
        <f t="shared" si="22"/>
        <v>0</v>
      </c>
      <c r="Q33" s="3">
        <f t="shared" si="23"/>
        <v>0</v>
      </c>
      <c r="R33" s="3">
        <f t="shared" si="24"/>
        <v>0</v>
      </c>
      <c r="S33" s="3">
        <f t="shared" si="25"/>
        <v>2020.15</v>
      </c>
      <c r="T33" s="3">
        <f t="shared" si="26"/>
        <v>0</v>
      </c>
      <c r="U33" s="3">
        <f t="shared" si="27"/>
        <v>3.0153599999999998</v>
      </c>
      <c r="V33" s="3">
        <f t="shared" si="28"/>
        <v>0</v>
      </c>
      <c r="W33" s="3">
        <f t="shared" si="29"/>
        <v>0</v>
      </c>
      <c r="X33" s="3">
        <f t="shared" si="30"/>
        <v>1919.14</v>
      </c>
      <c r="Y33" s="3">
        <f t="shared" si="31"/>
        <v>1070.68</v>
      </c>
      <c r="Z33" s="3"/>
      <c r="AA33" s="3">
        <v>55934357</v>
      </c>
      <c r="AB33" s="3">
        <f t="shared" si="32"/>
        <v>34.243200000000002</v>
      </c>
      <c r="AC33" s="3">
        <f t="shared" si="33"/>
        <v>0</v>
      </c>
      <c r="AD33" s="3">
        <f t="shared" si="34"/>
        <v>0</v>
      </c>
      <c r="AE33" s="3">
        <f t="shared" si="35"/>
        <v>0</v>
      </c>
      <c r="AF33" s="3">
        <f t="shared" si="36"/>
        <v>34.243200000000002</v>
      </c>
      <c r="AG33" s="3">
        <f t="shared" si="37"/>
        <v>0</v>
      </c>
      <c r="AH33" s="3">
        <f t="shared" si="38"/>
        <v>2.88</v>
      </c>
      <c r="AI33" s="3">
        <f t="shared" si="39"/>
        <v>0</v>
      </c>
      <c r="AJ33" s="3">
        <f t="shared" si="40"/>
        <v>0</v>
      </c>
      <c r="AK33" s="3">
        <v>96.22</v>
      </c>
      <c r="AL33" s="3">
        <v>1.1000000000000001</v>
      </c>
      <c r="AM33" s="3">
        <v>0</v>
      </c>
      <c r="AN33" s="3">
        <v>0</v>
      </c>
      <c r="AO33" s="3">
        <v>95.12</v>
      </c>
      <c r="AP33" s="3">
        <v>0</v>
      </c>
      <c r="AQ33" s="3">
        <v>8</v>
      </c>
      <c r="AR33" s="3">
        <v>0</v>
      </c>
      <c r="AS33" s="3">
        <v>0</v>
      </c>
      <c r="AT33" s="3">
        <v>95</v>
      </c>
      <c r="AU33" s="3">
        <v>53</v>
      </c>
      <c r="AV33" s="3">
        <v>1.0469999999999999</v>
      </c>
      <c r="AW33" s="3">
        <v>1</v>
      </c>
      <c r="AX33" s="3"/>
      <c r="AY33" s="3"/>
      <c r="AZ33" s="3">
        <v>1</v>
      </c>
      <c r="BA33" s="3">
        <v>56.35</v>
      </c>
      <c r="BB33" s="3">
        <v>1</v>
      </c>
      <c r="BC33" s="3">
        <v>16.59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K33" s="3"/>
      <c r="BL33" s="3"/>
      <c r="BM33" s="3">
        <v>69</v>
      </c>
      <c r="BN33" s="3">
        <v>0</v>
      </c>
      <c r="BO33" s="3" t="s">
        <v>35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95</v>
      </c>
      <c r="CA33" s="3">
        <v>53</v>
      </c>
      <c r="CB33" s="3" t="s">
        <v>3</v>
      </c>
      <c r="CC33" s="3"/>
      <c r="CD33" s="3"/>
      <c r="CE33" s="3">
        <v>1566</v>
      </c>
      <c r="CF33" s="3">
        <v>0</v>
      </c>
      <c r="CG33" s="3">
        <v>0</v>
      </c>
      <c r="CH33" s="3"/>
      <c r="CI33" s="3"/>
      <c r="CJ33" s="3"/>
      <c r="CK33" s="3"/>
      <c r="CL33" s="3"/>
      <c r="CM33" s="3">
        <v>0</v>
      </c>
      <c r="CN33" s="12" t="s">
        <v>418</v>
      </c>
      <c r="CO33" s="3">
        <v>0</v>
      </c>
      <c r="CP33" s="3">
        <f t="shared" si="41"/>
        <v>2020.15</v>
      </c>
      <c r="CQ33" s="3">
        <f t="shared" si="42"/>
        <v>0</v>
      </c>
      <c r="CR33" s="3">
        <f t="shared" si="43"/>
        <v>0</v>
      </c>
      <c r="CS33" s="3">
        <f t="shared" si="44"/>
        <v>0</v>
      </c>
      <c r="CT33" s="3">
        <f t="shared" si="45"/>
        <v>2020.15</v>
      </c>
      <c r="CU33" s="3">
        <f t="shared" si="46"/>
        <v>0</v>
      </c>
      <c r="CV33" s="3">
        <f t="shared" si="47"/>
        <v>3.0153599999999998</v>
      </c>
      <c r="CW33" s="3">
        <f t="shared" si="48"/>
        <v>0</v>
      </c>
      <c r="CX33" s="3">
        <f t="shared" si="49"/>
        <v>0</v>
      </c>
      <c r="CY33" s="3">
        <f t="shared" si="50"/>
        <v>1919.14</v>
      </c>
      <c r="CZ33" s="3">
        <f t="shared" si="51"/>
        <v>1070.68</v>
      </c>
      <c r="DA33" s="3"/>
      <c r="DB33" s="3">
        <v>11</v>
      </c>
      <c r="DC33" s="3" t="s">
        <v>3</v>
      </c>
      <c r="DD33" s="3" t="s">
        <v>28</v>
      </c>
      <c r="DE33" s="3" t="s">
        <v>29</v>
      </c>
      <c r="DF33" s="3" t="s">
        <v>29</v>
      </c>
      <c r="DG33" s="3" t="s">
        <v>29</v>
      </c>
      <c r="DH33" s="3" t="s">
        <v>3</v>
      </c>
      <c r="DI33" s="3" t="s">
        <v>29</v>
      </c>
      <c r="DJ33" s="3" t="s">
        <v>29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R33" s="3"/>
      <c r="DS33" s="3"/>
      <c r="DT33" s="3"/>
      <c r="DU33" s="3">
        <v>1013</v>
      </c>
      <c r="DV33" s="3" t="s">
        <v>37</v>
      </c>
      <c r="DW33" s="3" t="s">
        <v>37</v>
      </c>
      <c r="DX33" s="3">
        <v>1</v>
      </c>
      <c r="DY33" s="3"/>
      <c r="DZ33" s="3" t="s">
        <v>3</v>
      </c>
      <c r="EA33" s="3" t="s">
        <v>3</v>
      </c>
      <c r="EB33" s="3" t="s">
        <v>3</v>
      </c>
      <c r="EC33" s="3" t="s">
        <v>3</v>
      </c>
      <c r="ED33" s="3"/>
      <c r="EE33" s="3">
        <v>57042959</v>
      </c>
      <c r="EF33" s="3">
        <v>40</v>
      </c>
      <c r="EG33" s="3" t="s">
        <v>30</v>
      </c>
      <c r="EH33" s="3">
        <v>0</v>
      </c>
      <c r="EI33" s="3" t="s">
        <v>3</v>
      </c>
      <c r="EJ33" s="3">
        <v>2</v>
      </c>
      <c r="EK33" s="3">
        <v>69</v>
      </c>
      <c r="EL33" s="3" t="s">
        <v>39</v>
      </c>
      <c r="EM33" s="3" t="s">
        <v>40</v>
      </c>
      <c r="EN33" s="3"/>
      <c r="EO33" s="3" t="s">
        <v>33</v>
      </c>
      <c r="EP33" s="3"/>
      <c r="EQ33" s="3">
        <v>0</v>
      </c>
      <c r="ER33" s="3">
        <v>96.22</v>
      </c>
      <c r="ES33" s="3">
        <v>1.1000000000000001</v>
      </c>
      <c r="ET33" s="3">
        <v>0</v>
      </c>
      <c r="EU33" s="3">
        <v>0</v>
      </c>
      <c r="EV33" s="3">
        <v>95.12</v>
      </c>
      <c r="EW33" s="3">
        <v>8</v>
      </c>
      <c r="EX33" s="3">
        <v>0</v>
      </c>
      <c r="EY33" s="3">
        <v>0</v>
      </c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>
        <v>0</v>
      </c>
      <c r="FR33" s="3">
        <v>0</v>
      </c>
      <c r="FS33" s="3">
        <v>0</v>
      </c>
      <c r="FT33" s="3"/>
      <c r="FU33" s="3"/>
      <c r="FV33" s="3"/>
      <c r="FW33" s="3"/>
      <c r="FX33" s="3">
        <v>95</v>
      </c>
      <c r="FY33" s="3">
        <v>53</v>
      </c>
      <c r="FZ33" s="3"/>
      <c r="GA33" s="3" t="s">
        <v>3</v>
      </c>
      <c r="GB33" s="3"/>
      <c r="GC33" s="3"/>
      <c r="GD33" s="3">
        <v>1</v>
      </c>
      <c r="GE33" s="3"/>
      <c r="GF33" s="3">
        <v>-2098133405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5009.97</v>
      </c>
      <c r="GN33" s="3">
        <f t="shared" si="54"/>
        <v>0</v>
      </c>
      <c r="GO33" s="3">
        <f t="shared" si="55"/>
        <v>5009.97</v>
      </c>
      <c r="GP33" s="3">
        <f t="shared" si="56"/>
        <v>0</v>
      </c>
      <c r="GQ33" s="3"/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GY33" s="3"/>
      <c r="GZ33" s="3"/>
      <c r="HA33" s="3">
        <v>0</v>
      </c>
      <c r="HB33" s="3">
        <v>0</v>
      </c>
      <c r="HC33" s="3">
        <f t="shared" si="59"/>
        <v>0</v>
      </c>
      <c r="HD33" s="3"/>
      <c r="HE33" s="3" t="s">
        <v>3</v>
      </c>
      <c r="HF33" s="3" t="s">
        <v>3</v>
      </c>
      <c r="HG33" s="3"/>
      <c r="HH33" s="3"/>
      <c r="HI33" s="3"/>
      <c r="HJ33" s="3"/>
      <c r="HK33" s="3"/>
      <c r="HL33" s="3"/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R33" s="3"/>
      <c r="HS33" s="3">
        <v>0</v>
      </c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>
        <v>0</v>
      </c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ht="409.5" x14ac:dyDescent="0.25">
      <c r="A34" s="2">
        <v>17</v>
      </c>
      <c r="B34" s="2">
        <v>1</v>
      </c>
      <c r="C34" s="2">
        <f>ROW(SmtRes!A33)</f>
        <v>33</v>
      </c>
      <c r="D34" s="2">
        <f>ROW(EtalonRes!A45)</f>
        <v>45</v>
      </c>
      <c r="E34" s="2" t="s">
        <v>43</v>
      </c>
      <c r="F34" s="2" t="s">
        <v>44</v>
      </c>
      <c r="G34" s="2" t="s">
        <v>45</v>
      </c>
      <c r="H34" s="2" t="s">
        <v>26</v>
      </c>
      <c r="I34" s="2">
        <v>2</v>
      </c>
      <c r="J34" s="2">
        <v>0</v>
      </c>
      <c r="K34" s="2">
        <v>2</v>
      </c>
      <c r="L34" s="2"/>
      <c r="M34" s="2"/>
      <c r="N34" s="2"/>
      <c r="O34" s="2">
        <f t="shared" si="21"/>
        <v>66.59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66.59</v>
      </c>
      <c r="T34" s="2">
        <f t="shared" si="26"/>
        <v>0</v>
      </c>
      <c r="U34" s="2">
        <f t="shared" si="27"/>
        <v>5.2768799999999993</v>
      </c>
      <c r="V34" s="2">
        <f t="shared" si="28"/>
        <v>0</v>
      </c>
      <c r="W34" s="2">
        <f t="shared" si="29"/>
        <v>0</v>
      </c>
      <c r="X34" s="2">
        <f t="shared" si="30"/>
        <v>63.26</v>
      </c>
      <c r="Y34" s="2">
        <f t="shared" si="31"/>
        <v>35.29</v>
      </c>
      <c r="Z34" s="2"/>
      <c r="AA34" s="2">
        <v>55934355</v>
      </c>
      <c r="AB34" s="2">
        <f t="shared" si="32"/>
        <v>31.802399999999999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31.802399999999999</v>
      </c>
      <c r="AG34" s="2">
        <f t="shared" si="37"/>
        <v>0</v>
      </c>
      <c r="AH34" s="2">
        <f t="shared" si="38"/>
        <v>2.52</v>
      </c>
      <c r="AI34" s="2">
        <f t="shared" si="39"/>
        <v>0</v>
      </c>
      <c r="AJ34" s="2">
        <f t="shared" si="40"/>
        <v>0</v>
      </c>
      <c r="AK34" s="2">
        <v>123.21</v>
      </c>
      <c r="AL34" s="2">
        <v>34.869999999999997</v>
      </c>
      <c r="AM34" s="2">
        <v>0</v>
      </c>
      <c r="AN34" s="2">
        <v>0</v>
      </c>
      <c r="AO34" s="2">
        <v>88.34</v>
      </c>
      <c r="AP34" s="2">
        <v>0</v>
      </c>
      <c r="AQ34" s="2">
        <v>7</v>
      </c>
      <c r="AR34" s="2">
        <v>0</v>
      </c>
      <c r="AS34" s="2">
        <v>0</v>
      </c>
      <c r="AT34" s="2">
        <v>95</v>
      </c>
      <c r="AU34" s="2">
        <v>53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46</v>
      </c>
      <c r="BK34" s="2"/>
      <c r="BL34" s="2"/>
      <c r="BM34" s="2">
        <v>69</v>
      </c>
      <c r="BN34" s="2">
        <v>0</v>
      </c>
      <c r="BO34" s="2" t="s">
        <v>44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95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11" t="s">
        <v>418</v>
      </c>
      <c r="CO34" s="2">
        <v>0</v>
      </c>
      <c r="CP34" s="2">
        <f t="shared" si="41"/>
        <v>66.59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33.299999999999997</v>
      </c>
      <c r="CU34" s="2">
        <f t="shared" si="46"/>
        <v>0</v>
      </c>
      <c r="CV34" s="2">
        <f t="shared" si="47"/>
        <v>2.6384399999999997</v>
      </c>
      <c r="CW34" s="2">
        <f t="shared" si="48"/>
        <v>0</v>
      </c>
      <c r="CX34" s="2">
        <f t="shared" si="49"/>
        <v>0</v>
      </c>
      <c r="CY34" s="2">
        <f t="shared" si="50"/>
        <v>63.26</v>
      </c>
      <c r="CZ34" s="2">
        <f t="shared" si="51"/>
        <v>35.29</v>
      </c>
      <c r="DA34" s="2"/>
      <c r="DB34" s="2">
        <v>13</v>
      </c>
      <c r="DC34" s="2" t="s">
        <v>3</v>
      </c>
      <c r="DD34" s="2" t="s">
        <v>28</v>
      </c>
      <c r="DE34" s="2" t="s">
        <v>29</v>
      </c>
      <c r="DF34" s="2" t="s">
        <v>29</v>
      </c>
      <c r="DG34" s="2" t="s">
        <v>29</v>
      </c>
      <c r="DH34" s="2" t="s">
        <v>3</v>
      </c>
      <c r="DI34" s="2" t="s">
        <v>29</v>
      </c>
      <c r="DJ34" s="2" t="s">
        <v>29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26</v>
      </c>
      <c r="DW34" s="2" t="s">
        <v>26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57042959</v>
      </c>
      <c r="EF34" s="2">
        <v>40</v>
      </c>
      <c r="EG34" s="2" t="s">
        <v>30</v>
      </c>
      <c r="EH34" s="2">
        <v>0</v>
      </c>
      <c r="EI34" s="2" t="s">
        <v>3</v>
      </c>
      <c r="EJ34" s="2">
        <v>2</v>
      </c>
      <c r="EK34" s="2">
        <v>69</v>
      </c>
      <c r="EL34" s="2" t="s">
        <v>39</v>
      </c>
      <c r="EM34" s="2" t="s">
        <v>40</v>
      </c>
      <c r="EN34" s="2"/>
      <c r="EO34" s="2" t="s">
        <v>33</v>
      </c>
      <c r="EP34" s="2"/>
      <c r="EQ34" s="2">
        <v>0</v>
      </c>
      <c r="ER34" s="2">
        <v>123.21</v>
      </c>
      <c r="ES34" s="2">
        <v>34.869999999999997</v>
      </c>
      <c r="ET34" s="2">
        <v>0</v>
      </c>
      <c r="EU34" s="2">
        <v>0</v>
      </c>
      <c r="EV34" s="2">
        <v>88.34</v>
      </c>
      <c r="EW34" s="2">
        <v>7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95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-876220620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165.14</v>
      </c>
      <c r="GN34" s="2">
        <f t="shared" si="54"/>
        <v>0</v>
      </c>
      <c r="GO34" s="2">
        <f t="shared" si="55"/>
        <v>165.14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ht="409.5" x14ac:dyDescent="0.25">
      <c r="A35" s="3">
        <v>17</v>
      </c>
      <c r="B35" s="3">
        <v>1</v>
      </c>
      <c r="C35" s="3">
        <f>ROW(SmtRes!A38)</f>
        <v>38</v>
      </c>
      <c r="D35" s="3">
        <f>ROW(EtalonRes!A52)</f>
        <v>52</v>
      </c>
      <c r="E35" s="3" t="s">
        <v>43</v>
      </c>
      <c r="F35" s="3" t="s">
        <v>44</v>
      </c>
      <c r="G35" s="3" t="s">
        <v>45</v>
      </c>
      <c r="H35" s="3" t="s">
        <v>26</v>
      </c>
      <c r="I35" s="3">
        <v>2</v>
      </c>
      <c r="J35" s="3">
        <v>0</v>
      </c>
      <c r="K35" s="3">
        <v>2</v>
      </c>
      <c r="L35" s="3"/>
      <c r="M35" s="3"/>
      <c r="N35" s="3"/>
      <c r="O35" s="3">
        <f t="shared" si="21"/>
        <v>3752.35</v>
      </c>
      <c r="P35" s="3">
        <f t="shared" si="22"/>
        <v>0</v>
      </c>
      <c r="Q35" s="3">
        <f t="shared" si="23"/>
        <v>0</v>
      </c>
      <c r="R35" s="3">
        <f t="shared" si="24"/>
        <v>0</v>
      </c>
      <c r="S35" s="3">
        <f t="shared" si="25"/>
        <v>3752.35</v>
      </c>
      <c r="T35" s="3">
        <f t="shared" si="26"/>
        <v>0</v>
      </c>
      <c r="U35" s="3">
        <f t="shared" si="27"/>
        <v>5.2768799999999993</v>
      </c>
      <c r="V35" s="3">
        <f t="shared" si="28"/>
        <v>0</v>
      </c>
      <c r="W35" s="3">
        <f t="shared" si="29"/>
        <v>0</v>
      </c>
      <c r="X35" s="3">
        <f t="shared" si="30"/>
        <v>3564.73</v>
      </c>
      <c r="Y35" s="3">
        <f t="shared" si="31"/>
        <v>1988.75</v>
      </c>
      <c r="Z35" s="3"/>
      <c r="AA35" s="3">
        <v>55934357</v>
      </c>
      <c r="AB35" s="3">
        <f t="shared" si="32"/>
        <v>31.802399999999999</v>
      </c>
      <c r="AC35" s="3">
        <f t="shared" si="33"/>
        <v>0</v>
      </c>
      <c r="AD35" s="3">
        <f t="shared" si="34"/>
        <v>0</v>
      </c>
      <c r="AE35" s="3">
        <f t="shared" si="35"/>
        <v>0</v>
      </c>
      <c r="AF35" s="3">
        <f t="shared" si="36"/>
        <v>31.802399999999999</v>
      </c>
      <c r="AG35" s="3">
        <f t="shared" si="37"/>
        <v>0</v>
      </c>
      <c r="AH35" s="3">
        <f t="shared" si="38"/>
        <v>2.52</v>
      </c>
      <c r="AI35" s="3">
        <f t="shared" si="39"/>
        <v>0</v>
      </c>
      <c r="AJ35" s="3">
        <f t="shared" si="40"/>
        <v>0</v>
      </c>
      <c r="AK35" s="3">
        <v>123.21</v>
      </c>
      <c r="AL35" s="3">
        <v>34.869999999999997</v>
      </c>
      <c r="AM35" s="3">
        <v>0</v>
      </c>
      <c r="AN35" s="3">
        <v>0</v>
      </c>
      <c r="AO35" s="3">
        <v>88.34</v>
      </c>
      <c r="AP35" s="3">
        <v>0</v>
      </c>
      <c r="AQ35" s="3">
        <v>7</v>
      </c>
      <c r="AR35" s="3">
        <v>0</v>
      </c>
      <c r="AS35" s="3">
        <v>0</v>
      </c>
      <c r="AT35" s="3">
        <v>95</v>
      </c>
      <c r="AU35" s="3">
        <v>53</v>
      </c>
      <c r="AV35" s="3">
        <v>1.0469999999999999</v>
      </c>
      <c r="AW35" s="3">
        <v>1</v>
      </c>
      <c r="AX35" s="3"/>
      <c r="AY35" s="3"/>
      <c r="AZ35" s="3">
        <v>1</v>
      </c>
      <c r="BA35" s="3">
        <v>56.35</v>
      </c>
      <c r="BB35" s="3">
        <v>1</v>
      </c>
      <c r="BC35" s="3">
        <v>10.28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46</v>
      </c>
      <c r="BK35" s="3"/>
      <c r="BL35" s="3"/>
      <c r="BM35" s="3">
        <v>69</v>
      </c>
      <c r="BN35" s="3">
        <v>0</v>
      </c>
      <c r="BO35" s="3" t="s">
        <v>44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95</v>
      </c>
      <c r="CA35" s="3">
        <v>53</v>
      </c>
      <c r="CB35" s="3" t="s">
        <v>3</v>
      </c>
      <c r="CC35" s="3"/>
      <c r="CD35" s="3"/>
      <c r="CE35" s="3">
        <v>1566</v>
      </c>
      <c r="CF35" s="3">
        <v>0</v>
      </c>
      <c r="CG35" s="3">
        <v>0</v>
      </c>
      <c r="CH35" s="3"/>
      <c r="CI35" s="3"/>
      <c r="CJ35" s="3"/>
      <c r="CK35" s="3"/>
      <c r="CL35" s="3"/>
      <c r="CM35" s="3">
        <v>0</v>
      </c>
      <c r="CN35" s="12" t="s">
        <v>418</v>
      </c>
      <c r="CO35" s="3">
        <v>0</v>
      </c>
      <c r="CP35" s="3">
        <f t="shared" si="41"/>
        <v>3752.35</v>
      </c>
      <c r="CQ35" s="3">
        <f t="shared" si="42"/>
        <v>0</v>
      </c>
      <c r="CR35" s="3">
        <f t="shared" si="43"/>
        <v>0</v>
      </c>
      <c r="CS35" s="3">
        <f t="shared" si="44"/>
        <v>0</v>
      </c>
      <c r="CT35" s="3">
        <f t="shared" si="45"/>
        <v>1876.46</v>
      </c>
      <c r="CU35" s="3">
        <f t="shared" si="46"/>
        <v>0</v>
      </c>
      <c r="CV35" s="3">
        <f t="shared" si="47"/>
        <v>2.6384399999999997</v>
      </c>
      <c r="CW35" s="3">
        <f t="shared" si="48"/>
        <v>0</v>
      </c>
      <c r="CX35" s="3">
        <f t="shared" si="49"/>
        <v>0</v>
      </c>
      <c r="CY35" s="3">
        <f t="shared" si="50"/>
        <v>3564.73</v>
      </c>
      <c r="CZ35" s="3">
        <f t="shared" si="51"/>
        <v>1988.75</v>
      </c>
      <c r="DA35" s="3"/>
      <c r="DB35" s="3">
        <v>15</v>
      </c>
      <c r="DC35" s="3" t="s">
        <v>3</v>
      </c>
      <c r="DD35" s="3" t="s">
        <v>28</v>
      </c>
      <c r="DE35" s="3" t="s">
        <v>29</v>
      </c>
      <c r="DF35" s="3" t="s">
        <v>29</v>
      </c>
      <c r="DG35" s="3" t="s">
        <v>29</v>
      </c>
      <c r="DH35" s="3" t="s">
        <v>3</v>
      </c>
      <c r="DI35" s="3" t="s">
        <v>29</v>
      </c>
      <c r="DJ35" s="3" t="s">
        <v>29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R35" s="3"/>
      <c r="DS35" s="3"/>
      <c r="DT35" s="3"/>
      <c r="DU35" s="3">
        <v>1013</v>
      </c>
      <c r="DV35" s="3" t="s">
        <v>26</v>
      </c>
      <c r="DW35" s="3" t="s">
        <v>26</v>
      </c>
      <c r="DX35" s="3">
        <v>1</v>
      </c>
      <c r="DY35" s="3"/>
      <c r="DZ35" s="3" t="s">
        <v>3</v>
      </c>
      <c r="EA35" s="3" t="s">
        <v>3</v>
      </c>
      <c r="EB35" s="3" t="s">
        <v>3</v>
      </c>
      <c r="EC35" s="3" t="s">
        <v>3</v>
      </c>
      <c r="ED35" s="3"/>
      <c r="EE35" s="3">
        <v>57042959</v>
      </c>
      <c r="EF35" s="3">
        <v>40</v>
      </c>
      <c r="EG35" s="3" t="s">
        <v>30</v>
      </c>
      <c r="EH35" s="3">
        <v>0</v>
      </c>
      <c r="EI35" s="3" t="s">
        <v>3</v>
      </c>
      <c r="EJ35" s="3">
        <v>2</v>
      </c>
      <c r="EK35" s="3">
        <v>69</v>
      </c>
      <c r="EL35" s="3" t="s">
        <v>39</v>
      </c>
      <c r="EM35" s="3" t="s">
        <v>40</v>
      </c>
      <c r="EN35" s="3"/>
      <c r="EO35" s="3" t="s">
        <v>33</v>
      </c>
      <c r="EP35" s="3"/>
      <c r="EQ35" s="3">
        <v>0</v>
      </c>
      <c r="ER35" s="3">
        <v>123.21</v>
      </c>
      <c r="ES35" s="3">
        <v>34.869999999999997</v>
      </c>
      <c r="ET35" s="3">
        <v>0</v>
      </c>
      <c r="EU35" s="3">
        <v>0</v>
      </c>
      <c r="EV35" s="3">
        <v>88.34</v>
      </c>
      <c r="EW35" s="3">
        <v>7</v>
      </c>
      <c r="EX35" s="3">
        <v>0</v>
      </c>
      <c r="EY35" s="3">
        <v>0</v>
      </c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>
        <v>0</v>
      </c>
      <c r="FR35" s="3">
        <v>0</v>
      </c>
      <c r="FS35" s="3">
        <v>0</v>
      </c>
      <c r="FT35" s="3"/>
      <c r="FU35" s="3"/>
      <c r="FV35" s="3"/>
      <c r="FW35" s="3"/>
      <c r="FX35" s="3">
        <v>95</v>
      </c>
      <c r="FY35" s="3">
        <v>53</v>
      </c>
      <c r="FZ35" s="3"/>
      <c r="GA35" s="3" t="s">
        <v>3</v>
      </c>
      <c r="GB35" s="3"/>
      <c r="GC35" s="3"/>
      <c r="GD35" s="3">
        <v>1</v>
      </c>
      <c r="GE35" s="3"/>
      <c r="GF35" s="3">
        <v>-876220620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9305.83</v>
      </c>
      <c r="GN35" s="3">
        <f t="shared" si="54"/>
        <v>0</v>
      </c>
      <c r="GO35" s="3">
        <f t="shared" si="55"/>
        <v>9305.83</v>
      </c>
      <c r="GP35" s="3">
        <f t="shared" si="56"/>
        <v>0</v>
      </c>
      <c r="GQ35" s="3"/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GY35" s="3"/>
      <c r="GZ35" s="3"/>
      <c r="HA35" s="3">
        <v>0</v>
      </c>
      <c r="HB35" s="3">
        <v>0</v>
      </c>
      <c r="HC35" s="3">
        <f t="shared" si="59"/>
        <v>0</v>
      </c>
      <c r="HD35" s="3"/>
      <c r="HE35" s="3" t="s">
        <v>3</v>
      </c>
      <c r="HF35" s="3" t="s">
        <v>3</v>
      </c>
      <c r="HG35" s="3"/>
      <c r="HH35" s="3"/>
      <c r="HI35" s="3"/>
      <c r="HJ35" s="3"/>
      <c r="HK35" s="3"/>
      <c r="HL35" s="3"/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R35" s="3"/>
      <c r="HS35" s="3">
        <v>0</v>
      </c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>
        <v>0</v>
      </c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ht="409.5" x14ac:dyDescent="0.25">
      <c r="A36" s="2">
        <v>17</v>
      </c>
      <c r="B36" s="2">
        <v>1</v>
      </c>
      <c r="C36" s="2">
        <f>ROW(SmtRes!A53)</f>
        <v>53</v>
      </c>
      <c r="D36" s="2">
        <f>ROW(EtalonRes!A69)</f>
        <v>69</v>
      </c>
      <c r="E36" s="2" t="s">
        <v>47</v>
      </c>
      <c r="F36" s="2" t="s">
        <v>48</v>
      </c>
      <c r="G36" s="2" t="s">
        <v>49</v>
      </c>
      <c r="H36" s="2" t="s">
        <v>50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14.27</v>
      </c>
      <c r="P36" s="2">
        <f t="shared" si="22"/>
        <v>0</v>
      </c>
      <c r="Q36" s="2">
        <f t="shared" si="23"/>
        <v>0</v>
      </c>
      <c r="R36" s="2">
        <f t="shared" si="24"/>
        <v>0</v>
      </c>
      <c r="S36" s="2">
        <f t="shared" si="25"/>
        <v>14.27</v>
      </c>
      <c r="T36" s="2">
        <f t="shared" si="26"/>
        <v>0</v>
      </c>
      <c r="U36" s="2">
        <f t="shared" si="27"/>
        <v>1.1307599999999998</v>
      </c>
      <c r="V36" s="2">
        <f t="shared" si="28"/>
        <v>0</v>
      </c>
      <c r="W36" s="2">
        <f t="shared" si="29"/>
        <v>0</v>
      </c>
      <c r="X36" s="2">
        <f t="shared" si="30"/>
        <v>12.84</v>
      </c>
      <c r="Y36" s="2">
        <f t="shared" si="31"/>
        <v>6.56</v>
      </c>
      <c r="Z36" s="2"/>
      <c r="AA36" s="2">
        <v>55934355</v>
      </c>
      <c r="AB36" s="2">
        <f t="shared" si="32"/>
        <v>13.6296</v>
      </c>
      <c r="AC36" s="2">
        <f t="shared" si="33"/>
        <v>0</v>
      </c>
      <c r="AD36" s="2">
        <f t="shared" si="34"/>
        <v>0</v>
      </c>
      <c r="AE36" s="2">
        <f t="shared" si="35"/>
        <v>0</v>
      </c>
      <c r="AF36" s="2">
        <f t="shared" si="36"/>
        <v>13.6296</v>
      </c>
      <c r="AG36" s="2">
        <f t="shared" si="37"/>
        <v>0</v>
      </c>
      <c r="AH36" s="2">
        <f t="shared" si="38"/>
        <v>1.0799999999999998</v>
      </c>
      <c r="AI36" s="2">
        <f t="shared" si="39"/>
        <v>0</v>
      </c>
      <c r="AJ36" s="2">
        <f t="shared" si="40"/>
        <v>0</v>
      </c>
      <c r="AK36" s="2">
        <v>80.47</v>
      </c>
      <c r="AL36" s="2">
        <v>42.61</v>
      </c>
      <c r="AM36" s="2">
        <v>0</v>
      </c>
      <c r="AN36" s="2">
        <v>0</v>
      </c>
      <c r="AO36" s="2">
        <v>37.86</v>
      </c>
      <c r="AP36" s="2">
        <v>0</v>
      </c>
      <c r="AQ36" s="2">
        <v>3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51</v>
      </c>
      <c r="BK36" s="2"/>
      <c r="BL36" s="2"/>
      <c r="BM36" s="2">
        <v>68</v>
      </c>
      <c r="BN36" s="2">
        <v>0</v>
      </c>
      <c r="BO36" s="2" t="s">
        <v>48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11" t="s">
        <v>418</v>
      </c>
      <c r="CO36" s="2">
        <v>0</v>
      </c>
      <c r="CP36" s="2">
        <f t="shared" si="41"/>
        <v>14.27</v>
      </c>
      <c r="CQ36" s="2">
        <f t="shared" si="42"/>
        <v>0</v>
      </c>
      <c r="CR36" s="2">
        <f t="shared" si="43"/>
        <v>0</v>
      </c>
      <c r="CS36" s="2">
        <f t="shared" si="44"/>
        <v>0</v>
      </c>
      <c r="CT36" s="2">
        <f t="shared" si="45"/>
        <v>14.27</v>
      </c>
      <c r="CU36" s="2">
        <f t="shared" si="46"/>
        <v>0</v>
      </c>
      <c r="CV36" s="2">
        <f t="shared" si="47"/>
        <v>1.1307599999999998</v>
      </c>
      <c r="CW36" s="2">
        <f t="shared" si="48"/>
        <v>0</v>
      </c>
      <c r="CX36" s="2">
        <f t="shared" si="49"/>
        <v>0</v>
      </c>
      <c r="CY36" s="2">
        <f t="shared" si="50"/>
        <v>12.84</v>
      </c>
      <c r="CZ36" s="2">
        <f t="shared" si="51"/>
        <v>6.56</v>
      </c>
      <c r="DA36" s="2"/>
      <c r="DB36" s="2">
        <v>17</v>
      </c>
      <c r="DC36" s="2" t="s">
        <v>3</v>
      </c>
      <c r="DD36" s="2" t="s">
        <v>28</v>
      </c>
      <c r="DE36" s="2" t="s">
        <v>29</v>
      </c>
      <c r="DF36" s="2" t="s">
        <v>29</v>
      </c>
      <c r="DG36" s="2" t="s">
        <v>29</v>
      </c>
      <c r="DH36" s="2" t="s">
        <v>3</v>
      </c>
      <c r="DI36" s="2" t="s">
        <v>29</v>
      </c>
      <c r="DJ36" s="2" t="s">
        <v>29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50</v>
      </c>
      <c r="DW36" s="2" t="s">
        <v>50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57042958</v>
      </c>
      <c r="EF36" s="2">
        <v>40</v>
      </c>
      <c r="EG36" s="2" t="s">
        <v>30</v>
      </c>
      <c r="EH36" s="2">
        <v>0</v>
      </c>
      <c r="EI36" s="2" t="s">
        <v>3</v>
      </c>
      <c r="EJ36" s="2">
        <v>2</v>
      </c>
      <c r="EK36" s="2">
        <v>68</v>
      </c>
      <c r="EL36" s="2" t="s">
        <v>31</v>
      </c>
      <c r="EM36" s="2" t="s">
        <v>32</v>
      </c>
      <c r="EN36" s="2"/>
      <c r="EO36" s="2" t="s">
        <v>33</v>
      </c>
      <c r="EP36" s="2"/>
      <c r="EQ36" s="2">
        <v>0</v>
      </c>
      <c r="ER36" s="2">
        <v>80.47</v>
      </c>
      <c r="ES36" s="2">
        <v>42.61</v>
      </c>
      <c r="ET36" s="2">
        <v>0</v>
      </c>
      <c r="EU36" s="2">
        <v>0</v>
      </c>
      <c r="EV36" s="2">
        <v>37.86</v>
      </c>
      <c r="EW36" s="2">
        <v>3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1049768892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33.67</v>
      </c>
      <c r="GN36" s="2">
        <f t="shared" si="54"/>
        <v>0</v>
      </c>
      <c r="GO36" s="2">
        <f t="shared" si="55"/>
        <v>33.67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ht="409.5" x14ac:dyDescent="0.25">
      <c r="A37" s="3">
        <v>17</v>
      </c>
      <c r="B37" s="3">
        <v>1</v>
      </c>
      <c r="C37" s="3">
        <f>ROW(SmtRes!A68)</f>
        <v>68</v>
      </c>
      <c r="D37" s="3">
        <f>ROW(EtalonRes!A86)</f>
        <v>86</v>
      </c>
      <c r="E37" s="3" t="s">
        <v>47</v>
      </c>
      <c r="F37" s="3" t="s">
        <v>48</v>
      </c>
      <c r="G37" s="3" t="s">
        <v>49</v>
      </c>
      <c r="H37" s="3" t="s">
        <v>50</v>
      </c>
      <c r="I37" s="3">
        <v>1</v>
      </c>
      <c r="J37" s="3">
        <v>0</v>
      </c>
      <c r="K37" s="3">
        <v>1</v>
      </c>
      <c r="L37" s="3"/>
      <c r="M37" s="3"/>
      <c r="N37" s="3"/>
      <c r="O37" s="3">
        <f t="shared" si="21"/>
        <v>804.11</v>
      </c>
      <c r="P37" s="3">
        <f t="shared" si="22"/>
        <v>0</v>
      </c>
      <c r="Q37" s="3">
        <f t="shared" si="23"/>
        <v>0</v>
      </c>
      <c r="R37" s="3">
        <f t="shared" si="24"/>
        <v>0</v>
      </c>
      <c r="S37" s="3">
        <f t="shared" si="25"/>
        <v>804.11</v>
      </c>
      <c r="T37" s="3">
        <f t="shared" si="26"/>
        <v>0</v>
      </c>
      <c r="U37" s="3">
        <f t="shared" si="27"/>
        <v>1.1307599999999998</v>
      </c>
      <c r="V37" s="3">
        <f t="shared" si="28"/>
        <v>0</v>
      </c>
      <c r="W37" s="3">
        <f t="shared" si="29"/>
        <v>0</v>
      </c>
      <c r="X37" s="3">
        <f t="shared" si="30"/>
        <v>723.7</v>
      </c>
      <c r="Y37" s="3">
        <f t="shared" si="31"/>
        <v>369.89</v>
      </c>
      <c r="Z37" s="3"/>
      <c r="AA37" s="3">
        <v>55934357</v>
      </c>
      <c r="AB37" s="3">
        <f t="shared" si="32"/>
        <v>13.6296</v>
      </c>
      <c r="AC37" s="3">
        <f t="shared" si="33"/>
        <v>0</v>
      </c>
      <c r="AD37" s="3">
        <f t="shared" si="34"/>
        <v>0</v>
      </c>
      <c r="AE37" s="3">
        <f t="shared" si="35"/>
        <v>0</v>
      </c>
      <c r="AF37" s="3">
        <f t="shared" si="36"/>
        <v>13.6296</v>
      </c>
      <c r="AG37" s="3">
        <f t="shared" si="37"/>
        <v>0</v>
      </c>
      <c r="AH37" s="3">
        <f t="shared" si="38"/>
        <v>1.0799999999999998</v>
      </c>
      <c r="AI37" s="3">
        <f t="shared" si="39"/>
        <v>0</v>
      </c>
      <c r="AJ37" s="3">
        <f t="shared" si="40"/>
        <v>0</v>
      </c>
      <c r="AK37" s="3">
        <v>80.47</v>
      </c>
      <c r="AL37" s="3">
        <v>42.61</v>
      </c>
      <c r="AM37" s="3">
        <v>0</v>
      </c>
      <c r="AN37" s="3">
        <v>0</v>
      </c>
      <c r="AO37" s="3">
        <v>37.86</v>
      </c>
      <c r="AP37" s="3">
        <v>0</v>
      </c>
      <c r="AQ37" s="3">
        <v>3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X37" s="3"/>
      <c r="AY37" s="3"/>
      <c r="AZ37" s="3">
        <v>1</v>
      </c>
      <c r="BA37" s="3">
        <v>56.35</v>
      </c>
      <c r="BB37" s="3">
        <v>1</v>
      </c>
      <c r="BC37" s="3">
        <v>5.15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51</v>
      </c>
      <c r="BK37" s="3"/>
      <c r="BL37" s="3"/>
      <c r="BM37" s="3">
        <v>68</v>
      </c>
      <c r="BN37" s="3">
        <v>0</v>
      </c>
      <c r="BO37" s="3" t="s">
        <v>48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C37" s="3"/>
      <c r="CD37" s="3"/>
      <c r="CE37" s="3">
        <v>1566</v>
      </c>
      <c r="CF37" s="3">
        <v>0</v>
      </c>
      <c r="CG37" s="3">
        <v>0</v>
      </c>
      <c r="CH37" s="3"/>
      <c r="CI37" s="3"/>
      <c r="CJ37" s="3"/>
      <c r="CK37" s="3"/>
      <c r="CL37" s="3"/>
      <c r="CM37" s="3">
        <v>0</v>
      </c>
      <c r="CN37" s="12" t="s">
        <v>418</v>
      </c>
      <c r="CO37" s="3">
        <v>0</v>
      </c>
      <c r="CP37" s="3">
        <f t="shared" si="41"/>
        <v>804.11</v>
      </c>
      <c r="CQ37" s="3">
        <f t="shared" si="42"/>
        <v>0</v>
      </c>
      <c r="CR37" s="3">
        <f t="shared" si="43"/>
        <v>0</v>
      </c>
      <c r="CS37" s="3">
        <f t="shared" si="44"/>
        <v>0</v>
      </c>
      <c r="CT37" s="3">
        <f t="shared" si="45"/>
        <v>804.11</v>
      </c>
      <c r="CU37" s="3">
        <f t="shared" si="46"/>
        <v>0</v>
      </c>
      <c r="CV37" s="3">
        <f t="shared" si="47"/>
        <v>1.1307599999999998</v>
      </c>
      <c r="CW37" s="3">
        <f t="shared" si="48"/>
        <v>0</v>
      </c>
      <c r="CX37" s="3">
        <f t="shared" si="49"/>
        <v>0</v>
      </c>
      <c r="CY37" s="3">
        <f t="shared" si="50"/>
        <v>723.7</v>
      </c>
      <c r="CZ37" s="3">
        <f t="shared" si="51"/>
        <v>369.89</v>
      </c>
      <c r="DA37" s="3"/>
      <c r="DB37" s="3">
        <v>19</v>
      </c>
      <c r="DC37" s="3" t="s">
        <v>3</v>
      </c>
      <c r="DD37" s="3" t="s">
        <v>28</v>
      </c>
      <c r="DE37" s="3" t="s">
        <v>29</v>
      </c>
      <c r="DF37" s="3" t="s">
        <v>29</v>
      </c>
      <c r="DG37" s="3" t="s">
        <v>29</v>
      </c>
      <c r="DH37" s="3" t="s">
        <v>3</v>
      </c>
      <c r="DI37" s="3" t="s">
        <v>29</v>
      </c>
      <c r="DJ37" s="3" t="s">
        <v>29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R37" s="3"/>
      <c r="DS37" s="3"/>
      <c r="DT37" s="3"/>
      <c r="DU37" s="3">
        <v>1013</v>
      </c>
      <c r="DV37" s="3" t="s">
        <v>50</v>
      </c>
      <c r="DW37" s="3" t="s">
        <v>50</v>
      </c>
      <c r="DX37" s="3">
        <v>1</v>
      </c>
      <c r="DY37" s="3"/>
      <c r="DZ37" s="3" t="s">
        <v>3</v>
      </c>
      <c r="EA37" s="3" t="s">
        <v>3</v>
      </c>
      <c r="EB37" s="3" t="s">
        <v>3</v>
      </c>
      <c r="EC37" s="3" t="s">
        <v>3</v>
      </c>
      <c r="ED37" s="3"/>
      <c r="EE37" s="3">
        <v>57042958</v>
      </c>
      <c r="EF37" s="3">
        <v>40</v>
      </c>
      <c r="EG37" s="3" t="s">
        <v>30</v>
      </c>
      <c r="EH37" s="3">
        <v>0</v>
      </c>
      <c r="EI37" s="3" t="s">
        <v>3</v>
      </c>
      <c r="EJ37" s="3">
        <v>2</v>
      </c>
      <c r="EK37" s="3">
        <v>68</v>
      </c>
      <c r="EL37" s="3" t="s">
        <v>31</v>
      </c>
      <c r="EM37" s="3" t="s">
        <v>32</v>
      </c>
      <c r="EN37" s="3"/>
      <c r="EO37" s="3" t="s">
        <v>33</v>
      </c>
      <c r="EP37" s="3"/>
      <c r="EQ37" s="3">
        <v>0</v>
      </c>
      <c r="ER37" s="3">
        <v>80.47</v>
      </c>
      <c r="ES37" s="3">
        <v>42.61</v>
      </c>
      <c r="ET37" s="3">
        <v>0</v>
      </c>
      <c r="EU37" s="3">
        <v>0</v>
      </c>
      <c r="EV37" s="3">
        <v>37.86</v>
      </c>
      <c r="EW37" s="3">
        <v>3</v>
      </c>
      <c r="EX37" s="3">
        <v>0</v>
      </c>
      <c r="EY37" s="3">
        <v>0</v>
      </c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>
        <v>0</v>
      </c>
      <c r="FR37" s="3">
        <v>0</v>
      </c>
      <c r="FS37" s="3">
        <v>0</v>
      </c>
      <c r="FT37" s="3"/>
      <c r="FU37" s="3"/>
      <c r="FV37" s="3"/>
      <c r="FW37" s="3"/>
      <c r="FX37" s="3">
        <v>90</v>
      </c>
      <c r="FY37" s="3">
        <v>46</v>
      </c>
      <c r="FZ37" s="3"/>
      <c r="GA37" s="3" t="s">
        <v>3</v>
      </c>
      <c r="GB37" s="3"/>
      <c r="GC37" s="3"/>
      <c r="GD37" s="3">
        <v>1</v>
      </c>
      <c r="GE37" s="3"/>
      <c r="GF37" s="3">
        <v>1049768892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1897.7</v>
      </c>
      <c r="GN37" s="3">
        <f t="shared" si="54"/>
        <v>0</v>
      </c>
      <c r="GO37" s="3">
        <f t="shared" si="55"/>
        <v>1897.7</v>
      </c>
      <c r="GP37" s="3">
        <f t="shared" si="56"/>
        <v>0</v>
      </c>
      <c r="GQ37" s="3"/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GY37" s="3"/>
      <c r="GZ37" s="3"/>
      <c r="HA37" s="3">
        <v>0</v>
      </c>
      <c r="HB37" s="3">
        <v>0</v>
      </c>
      <c r="HC37" s="3">
        <f t="shared" si="59"/>
        <v>0</v>
      </c>
      <c r="HD37" s="3"/>
      <c r="HE37" s="3" t="s">
        <v>3</v>
      </c>
      <c r="HF37" s="3" t="s">
        <v>3</v>
      </c>
      <c r="HG37" s="3"/>
      <c r="HH37" s="3"/>
      <c r="HI37" s="3"/>
      <c r="HJ37" s="3"/>
      <c r="HK37" s="3"/>
      <c r="HL37" s="3"/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R37" s="3"/>
      <c r="HS37" s="3">
        <v>0</v>
      </c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>
        <v>0</v>
      </c>
      <c r="IL37" s="3"/>
      <c r="IM37" s="3"/>
      <c r="IN37" s="3"/>
      <c r="IO37" s="3"/>
      <c r="IP37" s="3"/>
      <c r="IQ37" s="3"/>
      <c r="IR37" s="3"/>
      <c r="IS37" s="3"/>
      <c r="IT37" s="3"/>
      <c r="IU37" s="3"/>
    </row>
    <row r="38" spans="1:255" ht="409.5" x14ac:dyDescent="0.25">
      <c r="A38" s="2">
        <v>17</v>
      </c>
      <c r="B38" s="2">
        <v>1</v>
      </c>
      <c r="C38" s="2">
        <f>ROW(SmtRes!A83)</f>
        <v>83</v>
      </c>
      <c r="D38" s="2">
        <f>ROW(EtalonRes!A103)</f>
        <v>103</v>
      </c>
      <c r="E38" s="2" t="s">
        <v>52</v>
      </c>
      <c r="F38" s="2" t="s">
        <v>48</v>
      </c>
      <c r="G38" s="2" t="s">
        <v>53</v>
      </c>
      <c r="H38" s="2" t="s">
        <v>50</v>
      </c>
      <c r="I38" s="2">
        <v>14</v>
      </c>
      <c r="J38" s="2">
        <v>0</v>
      </c>
      <c r="K38" s="2">
        <v>14</v>
      </c>
      <c r="L38" s="2"/>
      <c r="M38" s="2"/>
      <c r="N38" s="2"/>
      <c r="O38" s="2">
        <f t="shared" si="21"/>
        <v>199.78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199.78</v>
      </c>
      <c r="T38" s="2">
        <f t="shared" si="26"/>
        <v>0</v>
      </c>
      <c r="U38" s="2">
        <f t="shared" si="27"/>
        <v>15.830639999999997</v>
      </c>
      <c r="V38" s="2">
        <f t="shared" si="28"/>
        <v>0</v>
      </c>
      <c r="W38" s="2">
        <f t="shared" si="29"/>
        <v>0</v>
      </c>
      <c r="X38" s="2">
        <f t="shared" si="30"/>
        <v>179.8</v>
      </c>
      <c r="Y38" s="2">
        <f t="shared" si="31"/>
        <v>91.9</v>
      </c>
      <c r="Z38" s="2"/>
      <c r="AA38" s="2">
        <v>55934355</v>
      </c>
      <c r="AB38" s="2">
        <f t="shared" si="32"/>
        <v>13.6296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13.6296</v>
      </c>
      <c r="AG38" s="2">
        <f t="shared" si="37"/>
        <v>0</v>
      </c>
      <c r="AH38" s="2">
        <f t="shared" si="38"/>
        <v>1.0799999999999998</v>
      </c>
      <c r="AI38" s="2">
        <f t="shared" si="39"/>
        <v>0</v>
      </c>
      <c r="AJ38" s="2">
        <f t="shared" si="40"/>
        <v>0</v>
      </c>
      <c r="AK38" s="2">
        <v>80.47</v>
      </c>
      <c r="AL38" s="2">
        <v>42.61</v>
      </c>
      <c r="AM38" s="2">
        <v>0</v>
      </c>
      <c r="AN38" s="2">
        <v>0</v>
      </c>
      <c r="AO38" s="2">
        <v>37.86</v>
      </c>
      <c r="AP38" s="2">
        <v>0</v>
      </c>
      <c r="AQ38" s="2">
        <v>3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51</v>
      </c>
      <c r="BK38" s="2"/>
      <c r="BL38" s="2"/>
      <c r="BM38" s="2">
        <v>68</v>
      </c>
      <c r="BN38" s="2">
        <v>0</v>
      </c>
      <c r="BO38" s="2" t="s">
        <v>48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11" t="s">
        <v>418</v>
      </c>
      <c r="CO38" s="2">
        <v>0</v>
      </c>
      <c r="CP38" s="2">
        <f t="shared" si="41"/>
        <v>199.78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14.27</v>
      </c>
      <c r="CU38" s="2">
        <f t="shared" si="46"/>
        <v>0</v>
      </c>
      <c r="CV38" s="2">
        <f t="shared" si="47"/>
        <v>1.1307599999999998</v>
      </c>
      <c r="CW38" s="2">
        <f t="shared" si="48"/>
        <v>0</v>
      </c>
      <c r="CX38" s="2">
        <f t="shared" si="49"/>
        <v>0</v>
      </c>
      <c r="CY38" s="2">
        <f t="shared" si="50"/>
        <v>179.8</v>
      </c>
      <c r="CZ38" s="2">
        <f t="shared" si="51"/>
        <v>91.9</v>
      </c>
      <c r="DA38" s="2"/>
      <c r="DB38" s="2">
        <v>21</v>
      </c>
      <c r="DC38" s="2" t="s">
        <v>3</v>
      </c>
      <c r="DD38" s="2" t="s">
        <v>28</v>
      </c>
      <c r="DE38" s="2" t="s">
        <v>29</v>
      </c>
      <c r="DF38" s="2" t="s">
        <v>29</v>
      </c>
      <c r="DG38" s="2" t="s">
        <v>29</v>
      </c>
      <c r="DH38" s="2" t="s">
        <v>3</v>
      </c>
      <c r="DI38" s="2" t="s">
        <v>29</v>
      </c>
      <c r="DJ38" s="2" t="s">
        <v>29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50</v>
      </c>
      <c r="DW38" s="2" t="s">
        <v>50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57042958</v>
      </c>
      <c r="EF38" s="2">
        <v>40</v>
      </c>
      <c r="EG38" s="2" t="s">
        <v>30</v>
      </c>
      <c r="EH38" s="2">
        <v>0</v>
      </c>
      <c r="EI38" s="2" t="s">
        <v>3</v>
      </c>
      <c r="EJ38" s="2">
        <v>2</v>
      </c>
      <c r="EK38" s="2">
        <v>68</v>
      </c>
      <c r="EL38" s="2" t="s">
        <v>31</v>
      </c>
      <c r="EM38" s="2" t="s">
        <v>32</v>
      </c>
      <c r="EN38" s="2"/>
      <c r="EO38" s="2" t="s">
        <v>33</v>
      </c>
      <c r="EP38" s="2"/>
      <c r="EQ38" s="2">
        <v>0</v>
      </c>
      <c r="ER38" s="2">
        <v>80.47</v>
      </c>
      <c r="ES38" s="2">
        <v>42.61</v>
      </c>
      <c r="ET38" s="2">
        <v>0</v>
      </c>
      <c r="EU38" s="2">
        <v>0</v>
      </c>
      <c r="EV38" s="2">
        <v>37.86</v>
      </c>
      <c r="EW38" s="2">
        <v>3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-303373422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471.48</v>
      </c>
      <c r="GN38" s="2">
        <f t="shared" si="54"/>
        <v>0</v>
      </c>
      <c r="GO38" s="2">
        <f t="shared" si="55"/>
        <v>471.48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ht="409.5" x14ac:dyDescent="0.25">
      <c r="A39" s="3">
        <v>17</v>
      </c>
      <c r="B39" s="3">
        <v>1</v>
      </c>
      <c r="C39" s="3">
        <f>ROW(SmtRes!A98)</f>
        <v>98</v>
      </c>
      <c r="D39" s="3">
        <f>ROW(EtalonRes!A120)</f>
        <v>120</v>
      </c>
      <c r="E39" s="3" t="s">
        <v>52</v>
      </c>
      <c r="F39" s="3" t="s">
        <v>48</v>
      </c>
      <c r="G39" s="3" t="s">
        <v>53</v>
      </c>
      <c r="H39" s="3" t="s">
        <v>50</v>
      </c>
      <c r="I39" s="3">
        <v>14</v>
      </c>
      <c r="J39" s="3">
        <v>0</v>
      </c>
      <c r="K39" s="3">
        <v>14</v>
      </c>
      <c r="L39" s="3"/>
      <c r="M39" s="3"/>
      <c r="N39" s="3"/>
      <c r="O39" s="3">
        <f t="shared" si="21"/>
        <v>11257.6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11257.6</v>
      </c>
      <c r="T39" s="3">
        <f t="shared" si="26"/>
        <v>0</v>
      </c>
      <c r="U39" s="3">
        <f t="shared" si="27"/>
        <v>15.830639999999997</v>
      </c>
      <c r="V39" s="3">
        <f t="shared" si="28"/>
        <v>0</v>
      </c>
      <c r="W39" s="3">
        <f t="shared" si="29"/>
        <v>0</v>
      </c>
      <c r="X39" s="3">
        <f t="shared" si="30"/>
        <v>10131.84</v>
      </c>
      <c r="Y39" s="3">
        <f t="shared" si="31"/>
        <v>5178.5</v>
      </c>
      <c r="Z39" s="3"/>
      <c r="AA39" s="3">
        <v>55934357</v>
      </c>
      <c r="AB39" s="3">
        <f t="shared" si="32"/>
        <v>13.6296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13.6296</v>
      </c>
      <c r="AG39" s="3">
        <f t="shared" si="37"/>
        <v>0</v>
      </c>
      <c r="AH39" s="3">
        <f t="shared" si="38"/>
        <v>1.0799999999999998</v>
      </c>
      <c r="AI39" s="3">
        <f t="shared" si="39"/>
        <v>0</v>
      </c>
      <c r="AJ39" s="3">
        <f t="shared" si="40"/>
        <v>0</v>
      </c>
      <c r="AK39" s="3">
        <v>80.47</v>
      </c>
      <c r="AL39" s="3">
        <v>42.61</v>
      </c>
      <c r="AM39" s="3">
        <v>0</v>
      </c>
      <c r="AN39" s="3">
        <v>0</v>
      </c>
      <c r="AO39" s="3">
        <v>37.86</v>
      </c>
      <c r="AP39" s="3">
        <v>0</v>
      </c>
      <c r="AQ39" s="3">
        <v>3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X39" s="3"/>
      <c r="AY39" s="3"/>
      <c r="AZ39" s="3">
        <v>1</v>
      </c>
      <c r="BA39" s="3">
        <v>56.35</v>
      </c>
      <c r="BB39" s="3">
        <v>1</v>
      </c>
      <c r="BC39" s="3">
        <v>5.15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51</v>
      </c>
      <c r="BK39" s="3"/>
      <c r="BL39" s="3"/>
      <c r="BM39" s="3">
        <v>68</v>
      </c>
      <c r="BN39" s="3">
        <v>0</v>
      </c>
      <c r="BO39" s="3" t="s">
        <v>48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C39" s="3"/>
      <c r="CD39" s="3"/>
      <c r="CE39" s="3">
        <v>1566</v>
      </c>
      <c r="CF39" s="3">
        <v>0</v>
      </c>
      <c r="CG39" s="3">
        <v>0</v>
      </c>
      <c r="CH39" s="3"/>
      <c r="CI39" s="3"/>
      <c r="CJ39" s="3"/>
      <c r="CK39" s="3"/>
      <c r="CL39" s="3"/>
      <c r="CM39" s="3">
        <v>0</v>
      </c>
      <c r="CN39" s="12" t="s">
        <v>418</v>
      </c>
      <c r="CO39" s="3">
        <v>0</v>
      </c>
      <c r="CP39" s="3">
        <f t="shared" si="41"/>
        <v>11257.6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804.11</v>
      </c>
      <c r="CU39" s="3">
        <f t="shared" si="46"/>
        <v>0</v>
      </c>
      <c r="CV39" s="3">
        <f t="shared" si="47"/>
        <v>1.1307599999999998</v>
      </c>
      <c r="CW39" s="3">
        <f t="shared" si="48"/>
        <v>0</v>
      </c>
      <c r="CX39" s="3">
        <f t="shared" si="49"/>
        <v>0</v>
      </c>
      <c r="CY39" s="3">
        <f t="shared" si="50"/>
        <v>10131.84</v>
      </c>
      <c r="CZ39" s="3">
        <f t="shared" si="51"/>
        <v>5178.5</v>
      </c>
      <c r="DA39" s="3"/>
      <c r="DB39" s="3">
        <v>23</v>
      </c>
      <c r="DC39" s="3" t="s">
        <v>3</v>
      </c>
      <c r="DD39" s="3" t="s">
        <v>28</v>
      </c>
      <c r="DE39" s="3" t="s">
        <v>29</v>
      </c>
      <c r="DF39" s="3" t="s">
        <v>29</v>
      </c>
      <c r="DG39" s="3" t="s">
        <v>29</v>
      </c>
      <c r="DH39" s="3" t="s">
        <v>3</v>
      </c>
      <c r="DI39" s="3" t="s">
        <v>29</v>
      </c>
      <c r="DJ39" s="3" t="s">
        <v>29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R39" s="3"/>
      <c r="DS39" s="3"/>
      <c r="DT39" s="3"/>
      <c r="DU39" s="3">
        <v>1013</v>
      </c>
      <c r="DV39" s="3" t="s">
        <v>50</v>
      </c>
      <c r="DW39" s="3" t="s">
        <v>50</v>
      </c>
      <c r="DX39" s="3">
        <v>1</v>
      </c>
      <c r="DY39" s="3"/>
      <c r="DZ39" s="3" t="s">
        <v>3</v>
      </c>
      <c r="EA39" s="3" t="s">
        <v>3</v>
      </c>
      <c r="EB39" s="3" t="s">
        <v>3</v>
      </c>
      <c r="EC39" s="3" t="s">
        <v>3</v>
      </c>
      <c r="ED39" s="3"/>
      <c r="EE39" s="3">
        <v>57042958</v>
      </c>
      <c r="EF39" s="3">
        <v>40</v>
      </c>
      <c r="EG39" s="3" t="s">
        <v>30</v>
      </c>
      <c r="EH39" s="3">
        <v>0</v>
      </c>
      <c r="EI39" s="3" t="s">
        <v>3</v>
      </c>
      <c r="EJ39" s="3">
        <v>2</v>
      </c>
      <c r="EK39" s="3">
        <v>68</v>
      </c>
      <c r="EL39" s="3" t="s">
        <v>31</v>
      </c>
      <c r="EM39" s="3" t="s">
        <v>32</v>
      </c>
      <c r="EN39" s="3"/>
      <c r="EO39" s="3" t="s">
        <v>33</v>
      </c>
      <c r="EP39" s="3"/>
      <c r="EQ39" s="3">
        <v>0</v>
      </c>
      <c r="ER39" s="3">
        <v>80.47</v>
      </c>
      <c r="ES39" s="3">
        <v>42.61</v>
      </c>
      <c r="ET39" s="3">
        <v>0</v>
      </c>
      <c r="EU39" s="3">
        <v>0</v>
      </c>
      <c r="EV39" s="3">
        <v>37.86</v>
      </c>
      <c r="EW39" s="3">
        <v>3</v>
      </c>
      <c r="EX39" s="3">
        <v>0</v>
      </c>
      <c r="EY39" s="3">
        <v>0</v>
      </c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>
        <v>0</v>
      </c>
      <c r="FR39" s="3">
        <v>0</v>
      </c>
      <c r="FS39" s="3">
        <v>0</v>
      </c>
      <c r="FT39" s="3"/>
      <c r="FU39" s="3"/>
      <c r="FV39" s="3"/>
      <c r="FW39" s="3"/>
      <c r="FX39" s="3">
        <v>90</v>
      </c>
      <c r="FY39" s="3">
        <v>46</v>
      </c>
      <c r="FZ39" s="3"/>
      <c r="GA39" s="3" t="s">
        <v>3</v>
      </c>
      <c r="GB39" s="3"/>
      <c r="GC39" s="3"/>
      <c r="GD39" s="3">
        <v>1</v>
      </c>
      <c r="GE39" s="3"/>
      <c r="GF39" s="3">
        <v>-303373422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26567.94</v>
      </c>
      <c r="GN39" s="3">
        <f t="shared" si="54"/>
        <v>0</v>
      </c>
      <c r="GO39" s="3">
        <f t="shared" si="55"/>
        <v>26567.94</v>
      </c>
      <c r="GP39" s="3">
        <f t="shared" si="56"/>
        <v>0</v>
      </c>
      <c r="GQ39" s="3"/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GY39" s="3"/>
      <c r="GZ39" s="3"/>
      <c r="HA39" s="3">
        <v>0</v>
      </c>
      <c r="HB39" s="3">
        <v>0</v>
      </c>
      <c r="HC39" s="3">
        <f t="shared" si="59"/>
        <v>0</v>
      </c>
      <c r="HD39" s="3"/>
      <c r="HE39" s="3" t="s">
        <v>3</v>
      </c>
      <c r="HF39" s="3" t="s">
        <v>3</v>
      </c>
      <c r="HG39" s="3"/>
      <c r="HH39" s="3"/>
      <c r="HI39" s="3"/>
      <c r="HJ39" s="3"/>
      <c r="HK39" s="3"/>
      <c r="HL39" s="3"/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R39" s="3"/>
      <c r="HS39" s="3">
        <v>0</v>
      </c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>
        <v>0</v>
      </c>
      <c r="IL39" s="3"/>
      <c r="IM39" s="3"/>
      <c r="IN39" s="3"/>
      <c r="IO39" s="3"/>
      <c r="IP39" s="3"/>
      <c r="IQ39" s="3"/>
      <c r="IR39" s="3"/>
      <c r="IS39" s="3"/>
      <c r="IT39" s="3"/>
      <c r="IU39" s="3"/>
    </row>
    <row r="40" spans="1:255" ht="409.5" x14ac:dyDescent="0.25">
      <c r="A40" s="2">
        <v>17</v>
      </c>
      <c r="B40" s="2">
        <v>1</v>
      </c>
      <c r="C40" s="2">
        <f>ROW(SmtRes!A104)</f>
        <v>104</v>
      </c>
      <c r="D40" s="2">
        <f>ROW(EtalonRes!A127)</f>
        <v>127</v>
      </c>
      <c r="E40" s="2" t="s">
        <v>54</v>
      </c>
      <c r="F40" s="2" t="s">
        <v>55</v>
      </c>
      <c r="G40" s="2" t="s">
        <v>56</v>
      </c>
      <c r="H40" s="2" t="s">
        <v>57</v>
      </c>
      <c r="I40" s="2">
        <f>ROUND(81/10,9)</f>
        <v>8.1</v>
      </c>
      <c r="J40" s="2">
        <v>0</v>
      </c>
      <c r="K40" s="2">
        <f>ROUND(81/10,9)</f>
        <v>8.1</v>
      </c>
      <c r="L40" s="2"/>
      <c r="M40" s="2"/>
      <c r="N40" s="2"/>
      <c r="O40" s="2">
        <f t="shared" si="21"/>
        <v>762.6</v>
      </c>
      <c r="P40" s="2">
        <f t="shared" si="22"/>
        <v>0</v>
      </c>
      <c r="Q40" s="2">
        <f t="shared" si="23"/>
        <v>7.21</v>
      </c>
      <c r="R40" s="2">
        <f t="shared" si="24"/>
        <v>0.4</v>
      </c>
      <c r="S40" s="2">
        <f t="shared" si="25"/>
        <v>755.39</v>
      </c>
      <c r="T40" s="2">
        <f t="shared" si="26"/>
        <v>0</v>
      </c>
      <c r="U40" s="2">
        <f t="shared" si="27"/>
        <v>47.444428079999987</v>
      </c>
      <c r="V40" s="2">
        <f t="shared" si="28"/>
        <v>0</v>
      </c>
      <c r="W40" s="2">
        <f t="shared" si="29"/>
        <v>0</v>
      </c>
      <c r="X40" s="2">
        <f t="shared" si="30"/>
        <v>680.21</v>
      </c>
      <c r="Y40" s="2">
        <f t="shared" si="31"/>
        <v>347.66</v>
      </c>
      <c r="Z40" s="2"/>
      <c r="AA40" s="2">
        <v>55934355</v>
      </c>
      <c r="AB40" s="2">
        <f t="shared" si="32"/>
        <v>89.9208</v>
      </c>
      <c r="AC40" s="2">
        <f t="shared" si="33"/>
        <v>0</v>
      </c>
      <c r="AD40" s="2">
        <f t="shared" si="34"/>
        <v>0.84960000000000002</v>
      </c>
      <c r="AE40" s="2">
        <f t="shared" si="35"/>
        <v>4.6800000000000001E-2</v>
      </c>
      <c r="AF40" s="2">
        <f t="shared" si="36"/>
        <v>89.071200000000005</v>
      </c>
      <c r="AG40" s="2">
        <f t="shared" si="37"/>
        <v>0</v>
      </c>
      <c r="AH40" s="2">
        <f t="shared" si="38"/>
        <v>5.5943999999999994</v>
      </c>
      <c r="AI40" s="2">
        <f t="shared" si="39"/>
        <v>0</v>
      </c>
      <c r="AJ40" s="2">
        <f t="shared" si="40"/>
        <v>0</v>
      </c>
      <c r="AK40" s="2">
        <v>292.29000000000002</v>
      </c>
      <c r="AL40" s="2">
        <v>42.51</v>
      </c>
      <c r="AM40" s="2">
        <v>2.36</v>
      </c>
      <c r="AN40" s="2">
        <v>0.13</v>
      </c>
      <c r="AO40" s="2">
        <v>247.42</v>
      </c>
      <c r="AP40" s="2">
        <v>0</v>
      </c>
      <c r="AQ40" s="2">
        <v>15.54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58</v>
      </c>
      <c r="BK40" s="2"/>
      <c r="BL40" s="2"/>
      <c r="BM40" s="2">
        <v>68</v>
      </c>
      <c r="BN40" s="2">
        <v>0</v>
      </c>
      <c r="BO40" s="2" t="s">
        <v>55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11" t="s">
        <v>418</v>
      </c>
      <c r="CO40" s="2">
        <v>0</v>
      </c>
      <c r="CP40" s="2">
        <f t="shared" si="41"/>
        <v>762.6</v>
      </c>
      <c r="CQ40" s="2">
        <f t="shared" si="42"/>
        <v>0</v>
      </c>
      <c r="CR40" s="2">
        <f t="shared" si="43"/>
        <v>0.89</v>
      </c>
      <c r="CS40" s="2">
        <f t="shared" si="44"/>
        <v>0.05</v>
      </c>
      <c r="CT40" s="2">
        <f t="shared" si="45"/>
        <v>93.26</v>
      </c>
      <c r="CU40" s="2">
        <f t="shared" si="46"/>
        <v>0</v>
      </c>
      <c r="CV40" s="2">
        <f t="shared" si="47"/>
        <v>5.8573367999999988</v>
      </c>
      <c r="CW40" s="2">
        <f t="shared" si="48"/>
        <v>0</v>
      </c>
      <c r="CX40" s="2">
        <f t="shared" si="49"/>
        <v>0</v>
      </c>
      <c r="CY40" s="2">
        <f t="shared" si="50"/>
        <v>679.9</v>
      </c>
      <c r="CZ40" s="2">
        <f t="shared" si="51"/>
        <v>347.5</v>
      </c>
      <c r="DA40" s="2"/>
      <c r="DB40" s="2">
        <v>25</v>
      </c>
      <c r="DC40" s="2" t="s">
        <v>3</v>
      </c>
      <c r="DD40" s="2" t="s">
        <v>28</v>
      </c>
      <c r="DE40" s="2" t="s">
        <v>29</v>
      </c>
      <c r="DF40" s="2" t="s">
        <v>29</v>
      </c>
      <c r="DG40" s="2" t="s">
        <v>29</v>
      </c>
      <c r="DH40" s="2" t="s">
        <v>3</v>
      </c>
      <c r="DI40" s="2" t="s">
        <v>29</v>
      </c>
      <c r="DJ40" s="2" t="s">
        <v>29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1010</v>
      </c>
      <c r="DV40" s="2" t="s">
        <v>57</v>
      </c>
      <c r="DW40" s="2" t="s">
        <v>57</v>
      </c>
      <c r="DX40" s="2">
        <v>10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57042958</v>
      </c>
      <c r="EF40" s="2">
        <v>40</v>
      </c>
      <c r="EG40" s="2" t="s">
        <v>30</v>
      </c>
      <c r="EH40" s="2">
        <v>0</v>
      </c>
      <c r="EI40" s="2" t="s">
        <v>3</v>
      </c>
      <c r="EJ40" s="2">
        <v>2</v>
      </c>
      <c r="EK40" s="2">
        <v>68</v>
      </c>
      <c r="EL40" s="2" t="s">
        <v>31</v>
      </c>
      <c r="EM40" s="2" t="s">
        <v>32</v>
      </c>
      <c r="EN40" s="2"/>
      <c r="EO40" s="2" t="s">
        <v>33</v>
      </c>
      <c r="EP40" s="2"/>
      <c r="EQ40" s="2">
        <v>0</v>
      </c>
      <c r="ER40" s="2">
        <v>292.29000000000002</v>
      </c>
      <c r="ES40" s="2">
        <v>42.51</v>
      </c>
      <c r="ET40" s="2">
        <v>2.36</v>
      </c>
      <c r="EU40" s="2">
        <v>0.13</v>
      </c>
      <c r="EV40" s="2">
        <v>247.42</v>
      </c>
      <c r="EW40" s="2">
        <v>15.54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1565221849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1790.47</v>
      </c>
      <c r="GN40" s="2">
        <f t="shared" si="54"/>
        <v>0</v>
      </c>
      <c r="GO40" s="2">
        <f t="shared" si="55"/>
        <v>1790.47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ht="409.5" x14ac:dyDescent="0.25">
      <c r="A41" s="3">
        <v>17</v>
      </c>
      <c r="B41" s="3">
        <v>1</v>
      </c>
      <c r="C41" s="3">
        <f>ROW(SmtRes!A110)</f>
        <v>110</v>
      </c>
      <c r="D41" s="3">
        <f>ROW(EtalonRes!A134)</f>
        <v>134</v>
      </c>
      <c r="E41" s="3" t="s">
        <v>54</v>
      </c>
      <c r="F41" s="3" t="s">
        <v>55</v>
      </c>
      <c r="G41" s="3" t="s">
        <v>56</v>
      </c>
      <c r="H41" s="3" t="s">
        <v>57</v>
      </c>
      <c r="I41" s="3">
        <f>ROUND(81/10,9)</f>
        <v>8.1</v>
      </c>
      <c r="J41" s="3">
        <v>0</v>
      </c>
      <c r="K41" s="3">
        <f>ROUND(81/10,9)</f>
        <v>8.1</v>
      </c>
      <c r="L41" s="3"/>
      <c r="M41" s="3"/>
      <c r="N41" s="3"/>
      <c r="O41" s="3">
        <f t="shared" si="21"/>
        <v>42654.26</v>
      </c>
      <c r="P41" s="3">
        <f t="shared" si="22"/>
        <v>0</v>
      </c>
      <c r="Q41" s="3">
        <f t="shared" si="23"/>
        <v>88.03</v>
      </c>
      <c r="R41" s="3">
        <f t="shared" si="24"/>
        <v>22.54</v>
      </c>
      <c r="S41" s="3">
        <f t="shared" si="25"/>
        <v>42566.23</v>
      </c>
      <c r="T41" s="3">
        <f t="shared" si="26"/>
        <v>0</v>
      </c>
      <c r="U41" s="3">
        <f t="shared" si="27"/>
        <v>47.444428079999987</v>
      </c>
      <c r="V41" s="3">
        <f t="shared" si="28"/>
        <v>0</v>
      </c>
      <c r="W41" s="3">
        <f t="shared" si="29"/>
        <v>0</v>
      </c>
      <c r="X41" s="3">
        <f t="shared" si="30"/>
        <v>38329.89</v>
      </c>
      <c r="Y41" s="3">
        <f t="shared" si="31"/>
        <v>19590.830000000002</v>
      </c>
      <c r="Z41" s="3"/>
      <c r="AA41" s="3">
        <v>55934357</v>
      </c>
      <c r="AB41" s="3">
        <f t="shared" si="32"/>
        <v>89.9208</v>
      </c>
      <c r="AC41" s="3">
        <f t="shared" si="33"/>
        <v>0</v>
      </c>
      <c r="AD41" s="3">
        <f t="shared" si="34"/>
        <v>0.84960000000000002</v>
      </c>
      <c r="AE41" s="3">
        <f t="shared" si="35"/>
        <v>4.6800000000000001E-2</v>
      </c>
      <c r="AF41" s="3">
        <f t="shared" si="36"/>
        <v>89.071200000000005</v>
      </c>
      <c r="AG41" s="3">
        <f t="shared" si="37"/>
        <v>0</v>
      </c>
      <c r="AH41" s="3">
        <f t="shared" si="38"/>
        <v>5.5943999999999994</v>
      </c>
      <c r="AI41" s="3">
        <f t="shared" si="39"/>
        <v>0</v>
      </c>
      <c r="AJ41" s="3">
        <f t="shared" si="40"/>
        <v>0</v>
      </c>
      <c r="AK41" s="3">
        <v>292.29000000000002</v>
      </c>
      <c r="AL41" s="3">
        <v>42.51</v>
      </c>
      <c r="AM41" s="3">
        <v>2.36</v>
      </c>
      <c r="AN41" s="3">
        <v>0.13</v>
      </c>
      <c r="AO41" s="3">
        <v>247.42</v>
      </c>
      <c r="AP41" s="3">
        <v>0</v>
      </c>
      <c r="AQ41" s="3">
        <v>15.54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X41" s="3"/>
      <c r="AY41" s="3"/>
      <c r="AZ41" s="3">
        <v>1</v>
      </c>
      <c r="BA41" s="3">
        <v>56.35</v>
      </c>
      <c r="BB41" s="3">
        <v>12.21</v>
      </c>
      <c r="BC41" s="3">
        <v>1.84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58</v>
      </c>
      <c r="BK41" s="3"/>
      <c r="BL41" s="3"/>
      <c r="BM41" s="3">
        <v>68</v>
      </c>
      <c r="BN41" s="3">
        <v>0</v>
      </c>
      <c r="BO41" s="3" t="s">
        <v>55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C41" s="3"/>
      <c r="CD41" s="3"/>
      <c r="CE41" s="3">
        <v>1566</v>
      </c>
      <c r="CF41" s="3">
        <v>0</v>
      </c>
      <c r="CG41" s="3">
        <v>0</v>
      </c>
      <c r="CH41" s="3"/>
      <c r="CI41" s="3"/>
      <c r="CJ41" s="3"/>
      <c r="CK41" s="3"/>
      <c r="CL41" s="3"/>
      <c r="CM41" s="3">
        <v>0</v>
      </c>
      <c r="CN41" s="12" t="s">
        <v>418</v>
      </c>
      <c r="CO41" s="3">
        <v>0</v>
      </c>
      <c r="CP41" s="3">
        <f t="shared" si="41"/>
        <v>42654.26</v>
      </c>
      <c r="CQ41" s="3">
        <f t="shared" si="42"/>
        <v>0</v>
      </c>
      <c r="CR41" s="3">
        <f t="shared" si="43"/>
        <v>10.87</v>
      </c>
      <c r="CS41" s="3">
        <f t="shared" si="44"/>
        <v>2.82</v>
      </c>
      <c r="CT41" s="3">
        <f t="shared" si="45"/>
        <v>5255.2</v>
      </c>
      <c r="CU41" s="3">
        <f t="shared" si="46"/>
        <v>0</v>
      </c>
      <c r="CV41" s="3">
        <f t="shared" si="47"/>
        <v>5.8573367999999988</v>
      </c>
      <c r="CW41" s="3">
        <f t="shared" si="48"/>
        <v>0</v>
      </c>
      <c r="CX41" s="3">
        <f t="shared" si="49"/>
        <v>0</v>
      </c>
      <c r="CY41" s="3">
        <f t="shared" si="50"/>
        <v>38312.15</v>
      </c>
      <c r="CZ41" s="3">
        <f t="shared" si="51"/>
        <v>19581.759999999998</v>
      </c>
      <c r="DA41" s="3"/>
      <c r="DB41" s="3">
        <v>27</v>
      </c>
      <c r="DC41" s="3" t="s">
        <v>3</v>
      </c>
      <c r="DD41" s="3" t="s">
        <v>28</v>
      </c>
      <c r="DE41" s="3" t="s">
        <v>29</v>
      </c>
      <c r="DF41" s="3" t="s">
        <v>29</v>
      </c>
      <c r="DG41" s="3" t="s">
        <v>29</v>
      </c>
      <c r="DH41" s="3" t="s">
        <v>3</v>
      </c>
      <c r="DI41" s="3" t="s">
        <v>29</v>
      </c>
      <c r="DJ41" s="3" t="s">
        <v>29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R41" s="3"/>
      <c r="DS41" s="3"/>
      <c r="DT41" s="3"/>
      <c r="DU41" s="3">
        <v>1010</v>
      </c>
      <c r="DV41" s="3" t="s">
        <v>57</v>
      </c>
      <c r="DW41" s="3" t="s">
        <v>57</v>
      </c>
      <c r="DX41" s="3">
        <v>10</v>
      </c>
      <c r="DY41" s="3"/>
      <c r="DZ41" s="3" t="s">
        <v>3</v>
      </c>
      <c r="EA41" s="3" t="s">
        <v>3</v>
      </c>
      <c r="EB41" s="3" t="s">
        <v>3</v>
      </c>
      <c r="EC41" s="3" t="s">
        <v>3</v>
      </c>
      <c r="ED41" s="3"/>
      <c r="EE41" s="3">
        <v>57042958</v>
      </c>
      <c r="EF41" s="3">
        <v>40</v>
      </c>
      <c r="EG41" s="3" t="s">
        <v>30</v>
      </c>
      <c r="EH41" s="3">
        <v>0</v>
      </c>
      <c r="EI41" s="3" t="s">
        <v>3</v>
      </c>
      <c r="EJ41" s="3">
        <v>2</v>
      </c>
      <c r="EK41" s="3">
        <v>68</v>
      </c>
      <c r="EL41" s="3" t="s">
        <v>31</v>
      </c>
      <c r="EM41" s="3" t="s">
        <v>32</v>
      </c>
      <c r="EN41" s="3"/>
      <c r="EO41" s="3" t="s">
        <v>33</v>
      </c>
      <c r="EP41" s="3"/>
      <c r="EQ41" s="3">
        <v>0</v>
      </c>
      <c r="ER41" s="3">
        <v>292.29000000000002</v>
      </c>
      <c r="ES41" s="3">
        <v>42.51</v>
      </c>
      <c r="ET41" s="3">
        <v>2.36</v>
      </c>
      <c r="EU41" s="3">
        <v>0.13</v>
      </c>
      <c r="EV41" s="3">
        <v>247.42</v>
      </c>
      <c r="EW41" s="3">
        <v>15.54</v>
      </c>
      <c r="EX41" s="3">
        <v>0</v>
      </c>
      <c r="EY41" s="3">
        <v>0</v>
      </c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>
        <v>0</v>
      </c>
      <c r="FR41" s="3">
        <v>0</v>
      </c>
      <c r="FS41" s="3">
        <v>0</v>
      </c>
      <c r="FT41" s="3"/>
      <c r="FU41" s="3"/>
      <c r="FV41" s="3"/>
      <c r="FW41" s="3"/>
      <c r="FX41" s="3">
        <v>90</v>
      </c>
      <c r="FY41" s="3">
        <v>46</v>
      </c>
      <c r="FZ41" s="3"/>
      <c r="GA41" s="3" t="s">
        <v>3</v>
      </c>
      <c r="GB41" s="3"/>
      <c r="GC41" s="3"/>
      <c r="GD41" s="3">
        <v>1</v>
      </c>
      <c r="GE41" s="3"/>
      <c r="GF41" s="3">
        <v>1565221849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100574.98</v>
      </c>
      <c r="GN41" s="3">
        <f t="shared" si="54"/>
        <v>0</v>
      </c>
      <c r="GO41" s="3">
        <f t="shared" si="55"/>
        <v>100574.98</v>
      </c>
      <c r="GP41" s="3">
        <f t="shared" si="56"/>
        <v>0</v>
      </c>
      <c r="GQ41" s="3"/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GY41" s="3"/>
      <c r="GZ41" s="3"/>
      <c r="HA41" s="3">
        <v>0</v>
      </c>
      <c r="HB41" s="3">
        <v>0</v>
      </c>
      <c r="HC41" s="3">
        <f t="shared" si="59"/>
        <v>0</v>
      </c>
      <c r="HD41" s="3"/>
      <c r="HE41" s="3" t="s">
        <v>3</v>
      </c>
      <c r="HF41" s="3" t="s">
        <v>3</v>
      </c>
      <c r="HG41" s="3"/>
      <c r="HH41" s="3"/>
      <c r="HI41" s="3"/>
      <c r="HJ41" s="3"/>
      <c r="HK41" s="3"/>
      <c r="HL41" s="3"/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R41" s="3"/>
      <c r="HS41" s="3">
        <v>0</v>
      </c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>
        <v>0</v>
      </c>
      <c r="IL41" s="3"/>
      <c r="IM41" s="3"/>
      <c r="IN41" s="3"/>
      <c r="IO41" s="3"/>
      <c r="IP41" s="3"/>
      <c r="IQ41" s="3"/>
      <c r="IR41" s="3"/>
      <c r="IS41" s="3"/>
      <c r="IT41" s="3"/>
      <c r="IU41" s="3"/>
    </row>
    <row r="42" spans="1:255" ht="409.5" x14ac:dyDescent="0.25">
      <c r="A42" s="2">
        <v>17</v>
      </c>
      <c r="B42" s="2">
        <v>1</v>
      </c>
      <c r="C42" s="2">
        <f>ROW(SmtRes!A116)</f>
        <v>116</v>
      </c>
      <c r="D42" s="2">
        <f>ROW(EtalonRes!A141)</f>
        <v>141</v>
      </c>
      <c r="E42" s="2" t="s">
        <v>59</v>
      </c>
      <c r="F42" s="2" t="s">
        <v>60</v>
      </c>
      <c r="G42" s="2" t="s">
        <v>61</v>
      </c>
      <c r="H42" s="2" t="s">
        <v>57</v>
      </c>
      <c r="I42" s="2">
        <f>ROUND((14+4)/10,9)</f>
        <v>1.8</v>
      </c>
      <c r="J42" s="2">
        <v>0</v>
      </c>
      <c r="K42" s="2">
        <f>ROUND((14+4)/10,9)</f>
        <v>1.8</v>
      </c>
      <c r="L42" s="2"/>
      <c r="M42" s="2"/>
      <c r="N42" s="2"/>
      <c r="O42" s="2">
        <f t="shared" si="21"/>
        <v>273.83999999999997</v>
      </c>
      <c r="P42" s="2">
        <f t="shared" si="22"/>
        <v>0</v>
      </c>
      <c r="Q42" s="2">
        <f t="shared" si="23"/>
        <v>1.6</v>
      </c>
      <c r="R42" s="2">
        <f t="shared" si="24"/>
        <v>0.09</v>
      </c>
      <c r="S42" s="2">
        <f t="shared" si="25"/>
        <v>272.24</v>
      </c>
      <c r="T42" s="2">
        <f t="shared" si="26"/>
        <v>0</v>
      </c>
      <c r="U42" s="2">
        <f t="shared" si="27"/>
        <v>17.185290479999995</v>
      </c>
      <c r="V42" s="2">
        <f t="shared" si="28"/>
        <v>0</v>
      </c>
      <c r="W42" s="2">
        <f t="shared" si="29"/>
        <v>0</v>
      </c>
      <c r="X42" s="2">
        <f t="shared" si="30"/>
        <v>245.1</v>
      </c>
      <c r="Y42" s="2">
        <f t="shared" si="31"/>
        <v>125.27</v>
      </c>
      <c r="Z42" s="2"/>
      <c r="AA42" s="2">
        <v>55934355</v>
      </c>
      <c r="AB42" s="2">
        <f t="shared" si="32"/>
        <v>145.30680000000001</v>
      </c>
      <c r="AC42" s="2">
        <f t="shared" si="33"/>
        <v>0</v>
      </c>
      <c r="AD42" s="2">
        <f t="shared" si="34"/>
        <v>0.84960000000000002</v>
      </c>
      <c r="AE42" s="2">
        <f t="shared" si="35"/>
        <v>4.6800000000000001E-2</v>
      </c>
      <c r="AF42" s="2">
        <f t="shared" si="36"/>
        <v>144.4572</v>
      </c>
      <c r="AG42" s="2">
        <f t="shared" si="37"/>
        <v>0</v>
      </c>
      <c r="AH42" s="2">
        <f t="shared" si="38"/>
        <v>9.1187999999999985</v>
      </c>
      <c r="AI42" s="2">
        <f t="shared" si="39"/>
        <v>0</v>
      </c>
      <c r="AJ42" s="2">
        <f t="shared" si="40"/>
        <v>0</v>
      </c>
      <c r="AK42" s="2">
        <v>446.14</v>
      </c>
      <c r="AL42" s="2">
        <v>42.51</v>
      </c>
      <c r="AM42" s="2">
        <v>2.36</v>
      </c>
      <c r="AN42" s="2">
        <v>0.13</v>
      </c>
      <c r="AO42" s="2">
        <v>401.27</v>
      </c>
      <c r="AP42" s="2">
        <v>0</v>
      </c>
      <c r="AQ42" s="2">
        <v>25.33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62</v>
      </c>
      <c r="BK42" s="2"/>
      <c r="BL42" s="2"/>
      <c r="BM42" s="2">
        <v>68</v>
      </c>
      <c r="BN42" s="2">
        <v>0</v>
      </c>
      <c r="BO42" s="2" t="s">
        <v>60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11" t="s">
        <v>418</v>
      </c>
      <c r="CO42" s="2">
        <v>0</v>
      </c>
      <c r="CP42" s="2">
        <f t="shared" si="41"/>
        <v>273.84000000000003</v>
      </c>
      <c r="CQ42" s="2">
        <f t="shared" si="42"/>
        <v>0</v>
      </c>
      <c r="CR42" s="2">
        <f t="shared" si="43"/>
        <v>0.89</v>
      </c>
      <c r="CS42" s="2">
        <f t="shared" si="44"/>
        <v>0.05</v>
      </c>
      <c r="CT42" s="2">
        <f t="shared" si="45"/>
        <v>151.25</v>
      </c>
      <c r="CU42" s="2">
        <f t="shared" si="46"/>
        <v>0</v>
      </c>
      <c r="CV42" s="2">
        <f t="shared" si="47"/>
        <v>9.5473835999999981</v>
      </c>
      <c r="CW42" s="2">
        <f t="shared" si="48"/>
        <v>0</v>
      </c>
      <c r="CX42" s="2">
        <f t="shared" si="49"/>
        <v>0</v>
      </c>
      <c r="CY42" s="2">
        <f t="shared" si="50"/>
        <v>245.06</v>
      </c>
      <c r="CZ42" s="2">
        <f t="shared" si="51"/>
        <v>125.25</v>
      </c>
      <c r="DA42" s="2"/>
      <c r="DB42" s="2">
        <v>29</v>
      </c>
      <c r="DC42" s="2" t="s">
        <v>3</v>
      </c>
      <c r="DD42" s="2" t="s">
        <v>28</v>
      </c>
      <c r="DE42" s="2" t="s">
        <v>29</v>
      </c>
      <c r="DF42" s="2" t="s">
        <v>29</v>
      </c>
      <c r="DG42" s="2" t="s">
        <v>29</v>
      </c>
      <c r="DH42" s="2" t="s">
        <v>3</v>
      </c>
      <c r="DI42" s="2" t="s">
        <v>29</v>
      </c>
      <c r="DJ42" s="2" t="s">
        <v>29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57</v>
      </c>
      <c r="DW42" s="2" t="s">
        <v>57</v>
      </c>
      <c r="DX42" s="2">
        <v>10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57042958</v>
      </c>
      <c r="EF42" s="2">
        <v>40</v>
      </c>
      <c r="EG42" s="2" t="s">
        <v>30</v>
      </c>
      <c r="EH42" s="2">
        <v>0</v>
      </c>
      <c r="EI42" s="2" t="s">
        <v>3</v>
      </c>
      <c r="EJ42" s="2">
        <v>2</v>
      </c>
      <c r="EK42" s="2">
        <v>68</v>
      </c>
      <c r="EL42" s="2" t="s">
        <v>31</v>
      </c>
      <c r="EM42" s="2" t="s">
        <v>32</v>
      </c>
      <c r="EN42" s="2"/>
      <c r="EO42" s="2" t="s">
        <v>33</v>
      </c>
      <c r="EP42" s="2"/>
      <c r="EQ42" s="2">
        <v>0</v>
      </c>
      <c r="ER42" s="2">
        <v>446.14</v>
      </c>
      <c r="ES42" s="2">
        <v>42.51</v>
      </c>
      <c r="ET42" s="2">
        <v>2.36</v>
      </c>
      <c r="EU42" s="2">
        <v>0.13</v>
      </c>
      <c r="EV42" s="2">
        <v>401.27</v>
      </c>
      <c r="EW42" s="2">
        <v>25.33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-1633559257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644.21</v>
      </c>
      <c r="GN42" s="2">
        <f t="shared" si="54"/>
        <v>0</v>
      </c>
      <c r="GO42" s="2">
        <f t="shared" si="55"/>
        <v>644.21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ht="409.5" x14ac:dyDescent="0.25">
      <c r="A43" s="3">
        <v>17</v>
      </c>
      <c r="B43" s="3">
        <v>1</v>
      </c>
      <c r="C43" s="3">
        <f>ROW(SmtRes!A122)</f>
        <v>122</v>
      </c>
      <c r="D43" s="3">
        <f>ROW(EtalonRes!A148)</f>
        <v>148</v>
      </c>
      <c r="E43" s="3" t="s">
        <v>59</v>
      </c>
      <c r="F43" s="3" t="s">
        <v>60</v>
      </c>
      <c r="G43" s="3" t="s">
        <v>61</v>
      </c>
      <c r="H43" s="3" t="s">
        <v>57</v>
      </c>
      <c r="I43" s="3">
        <f>ROUND((14+4)/10,9)</f>
        <v>1.8</v>
      </c>
      <c r="J43" s="3">
        <v>0</v>
      </c>
      <c r="K43" s="3">
        <f>ROUND((14+4)/10,9)</f>
        <v>1.8</v>
      </c>
      <c r="L43" s="3"/>
      <c r="M43" s="3"/>
      <c r="N43" s="3"/>
      <c r="O43" s="3">
        <f t="shared" si="21"/>
        <v>15360.26</v>
      </c>
      <c r="P43" s="3">
        <f t="shared" si="22"/>
        <v>0</v>
      </c>
      <c r="Q43" s="3">
        <f t="shared" si="23"/>
        <v>19.54</v>
      </c>
      <c r="R43" s="3">
        <f t="shared" si="24"/>
        <v>5.07</v>
      </c>
      <c r="S43" s="3">
        <f t="shared" si="25"/>
        <v>15340.72</v>
      </c>
      <c r="T43" s="3">
        <f t="shared" si="26"/>
        <v>0</v>
      </c>
      <c r="U43" s="3">
        <f t="shared" si="27"/>
        <v>17.185290479999995</v>
      </c>
      <c r="V43" s="3">
        <f t="shared" si="28"/>
        <v>0</v>
      </c>
      <c r="W43" s="3">
        <f t="shared" si="29"/>
        <v>0</v>
      </c>
      <c r="X43" s="3">
        <f t="shared" si="30"/>
        <v>13811.21</v>
      </c>
      <c r="Y43" s="3">
        <f t="shared" si="31"/>
        <v>7059.06</v>
      </c>
      <c r="Z43" s="3"/>
      <c r="AA43" s="3">
        <v>55934357</v>
      </c>
      <c r="AB43" s="3">
        <f t="shared" si="32"/>
        <v>145.30680000000001</v>
      </c>
      <c r="AC43" s="3">
        <f t="shared" si="33"/>
        <v>0</v>
      </c>
      <c r="AD43" s="3">
        <f t="shared" si="34"/>
        <v>0.84960000000000002</v>
      </c>
      <c r="AE43" s="3">
        <f t="shared" si="35"/>
        <v>4.6800000000000001E-2</v>
      </c>
      <c r="AF43" s="3">
        <f t="shared" si="36"/>
        <v>144.4572</v>
      </c>
      <c r="AG43" s="3">
        <f t="shared" si="37"/>
        <v>0</v>
      </c>
      <c r="AH43" s="3">
        <f t="shared" si="38"/>
        <v>9.1187999999999985</v>
      </c>
      <c r="AI43" s="3">
        <f t="shared" si="39"/>
        <v>0</v>
      </c>
      <c r="AJ43" s="3">
        <f t="shared" si="40"/>
        <v>0</v>
      </c>
      <c r="AK43" s="3">
        <v>446.14</v>
      </c>
      <c r="AL43" s="3">
        <v>42.51</v>
      </c>
      <c r="AM43" s="3">
        <v>2.36</v>
      </c>
      <c r="AN43" s="3">
        <v>0.13</v>
      </c>
      <c r="AO43" s="3">
        <v>401.27</v>
      </c>
      <c r="AP43" s="3">
        <v>0</v>
      </c>
      <c r="AQ43" s="3">
        <v>25.33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X43" s="3"/>
      <c r="AY43" s="3"/>
      <c r="AZ43" s="3">
        <v>1</v>
      </c>
      <c r="BA43" s="3">
        <v>56.35</v>
      </c>
      <c r="BB43" s="3">
        <v>12.21</v>
      </c>
      <c r="BC43" s="3">
        <v>1.84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62</v>
      </c>
      <c r="BK43" s="3"/>
      <c r="BL43" s="3"/>
      <c r="BM43" s="3">
        <v>68</v>
      </c>
      <c r="BN43" s="3">
        <v>0</v>
      </c>
      <c r="BO43" s="3" t="s">
        <v>60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C43" s="3"/>
      <c r="CD43" s="3"/>
      <c r="CE43" s="3">
        <v>1566</v>
      </c>
      <c r="CF43" s="3">
        <v>0</v>
      </c>
      <c r="CG43" s="3">
        <v>0</v>
      </c>
      <c r="CH43" s="3"/>
      <c r="CI43" s="3"/>
      <c r="CJ43" s="3"/>
      <c r="CK43" s="3"/>
      <c r="CL43" s="3"/>
      <c r="CM43" s="3">
        <v>0</v>
      </c>
      <c r="CN43" s="12" t="s">
        <v>418</v>
      </c>
      <c r="CO43" s="3">
        <v>0</v>
      </c>
      <c r="CP43" s="3">
        <f t="shared" si="41"/>
        <v>15360.26</v>
      </c>
      <c r="CQ43" s="3">
        <f t="shared" si="42"/>
        <v>0</v>
      </c>
      <c r="CR43" s="3">
        <f t="shared" si="43"/>
        <v>10.87</v>
      </c>
      <c r="CS43" s="3">
        <f t="shared" si="44"/>
        <v>2.82</v>
      </c>
      <c r="CT43" s="3">
        <f t="shared" si="45"/>
        <v>8522.94</v>
      </c>
      <c r="CU43" s="3">
        <f t="shared" si="46"/>
        <v>0</v>
      </c>
      <c r="CV43" s="3">
        <f t="shared" si="47"/>
        <v>9.5473835999999981</v>
      </c>
      <c r="CW43" s="3">
        <f t="shared" si="48"/>
        <v>0</v>
      </c>
      <c r="CX43" s="3">
        <f t="shared" si="49"/>
        <v>0</v>
      </c>
      <c r="CY43" s="3">
        <f t="shared" si="50"/>
        <v>13809.19</v>
      </c>
      <c r="CZ43" s="3">
        <f t="shared" si="51"/>
        <v>7058.03</v>
      </c>
      <c r="DA43" s="3"/>
      <c r="DB43" s="3">
        <v>31</v>
      </c>
      <c r="DC43" s="3" t="s">
        <v>3</v>
      </c>
      <c r="DD43" s="3" t="s">
        <v>28</v>
      </c>
      <c r="DE43" s="3" t="s">
        <v>29</v>
      </c>
      <c r="DF43" s="3" t="s">
        <v>29</v>
      </c>
      <c r="DG43" s="3" t="s">
        <v>29</v>
      </c>
      <c r="DH43" s="3" t="s">
        <v>3</v>
      </c>
      <c r="DI43" s="3" t="s">
        <v>29</v>
      </c>
      <c r="DJ43" s="3" t="s">
        <v>29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R43" s="3"/>
      <c r="DS43" s="3"/>
      <c r="DT43" s="3"/>
      <c r="DU43" s="3">
        <v>1010</v>
      </c>
      <c r="DV43" s="3" t="s">
        <v>57</v>
      </c>
      <c r="DW43" s="3" t="s">
        <v>57</v>
      </c>
      <c r="DX43" s="3">
        <v>10</v>
      </c>
      <c r="DY43" s="3"/>
      <c r="DZ43" s="3" t="s">
        <v>3</v>
      </c>
      <c r="EA43" s="3" t="s">
        <v>3</v>
      </c>
      <c r="EB43" s="3" t="s">
        <v>3</v>
      </c>
      <c r="EC43" s="3" t="s">
        <v>3</v>
      </c>
      <c r="ED43" s="3"/>
      <c r="EE43" s="3">
        <v>57042958</v>
      </c>
      <c r="EF43" s="3">
        <v>40</v>
      </c>
      <c r="EG43" s="3" t="s">
        <v>30</v>
      </c>
      <c r="EH43" s="3">
        <v>0</v>
      </c>
      <c r="EI43" s="3" t="s">
        <v>3</v>
      </c>
      <c r="EJ43" s="3">
        <v>2</v>
      </c>
      <c r="EK43" s="3">
        <v>68</v>
      </c>
      <c r="EL43" s="3" t="s">
        <v>31</v>
      </c>
      <c r="EM43" s="3" t="s">
        <v>32</v>
      </c>
      <c r="EN43" s="3"/>
      <c r="EO43" s="3" t="s">
        <v>33</v>
      </c>
      <c r="EP43" s="3"/>
      <c r="EQ43" s="3">
        <v>0</v>
      </c>
      <c r="ER43" s="3">
        <v>446.14</v>
      </c>
      <c r="ES43" s="3">
        <v>42.51</v>
      </c>
      <c r="ET43" s="3">
        <v>2.36</v>
      </c>
      <c r="EU43" s="3">
        <v>0.13</v>
      </c>
      <c r="EV43" s="3">
        <v>401.27</v>
      </c>
      <c r="EW43" s="3">
        <v>25.33</v>
      </c>
      <c r="EX43" s="3">
        <v>0</v>
      </c>
      <c r="EY43" s="3">
        <v>0</v>
      </c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>
        <v>0</v>
      </c>
      <c r="FR43" s="3">
        <v>0</v>
      </c>
      <c r="FS43" s="3">
        <v>0</v>
      </c>
      <c r="FT43" s="3"/>
      <c r="FU43" s="3"/>
      <c r="FV43" s="3"/>
      <c r="FW43" s="3"/>
      <c r="FX43" s="3">
        <v>90</v>
      </c>
      <c r="FY43" s="3">
        <v>46</v>
      </c>
      <c r="FZ43" s="3"/>
      <c r="GA43" s="3" t="s">
        <v>3</v>
      </c>
      <c r="GB43" s="3"/>
      <c r="GC43" s="3"/>
      <c r="GD43" s="3">
        <v>1</v>
      </c>
      <c r="GE43" s="3"/>
      <c r="GF43" s="3">
        <v>-1633559257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36230.53</v>
      </c>
      <c r="GN43" s="3">
        <f t="shared" si="54"/>
        <v>0</v>
      </c>
      <c r="GO43" s="3">
        <f t="shared" si="55"/>
        <v>36230.53</v>
      </c>
      <c r="GP43" s="3">
        <f t="shared" si="56"/>
        <v>0</v>
      </c>
      <c r="GQ43" s="3"/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GY43" s="3"/>
      <c r="GZ43" s="3"/>
      <c r="HA43" s="3">
        <v>0</v>
      </c>
      <c r="HB43" s="3">
        <v>0</v>
      </c>
      <c r="HC43" s="3">
        <f t="shared" si="59"/>
        <v>0</v>
      </c>
      <c r="HD43" s="3"/>
      <c r="HE43" s="3" t="s">
        <v>3</v>
      </c>
      <c r="HF43" s="3" t="s">
        <v>3</v>
      </c>
      <c r="HG43" s="3"/>
      <c r="HH43" s="3"/>
      <c r="HI43" s="3"/>
      <c r="HJ43" s="3"/>
      <c r="HK43" s="3"/>
      <c r="HL43" s="3"/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R43" s="3"/>
      <c r="HS43" s="3">
        <v>0</v>
      </c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>
        <v>0</v>
      </c>
      <c r="IL43" s="3"/>
      <c r="IM43" s="3"/>
      <c r="IN43" s="3"/>
      <c r="IO43" s="3"/>
      <c r="IP43" s="3"/>
      <c r="IQ43" s="3"/>
      <c r="IR43" s="3"/>
      <c r="IS43" s="3"/>
      <c r="IT43" s="3"/>
      <c r="IU43" s="3"/>
    </row>
    <row r="45" spans="1:255" ht="13" x14ac:dyDescent="0.3">
      <c r="A45" s="4">
        <v>51</v>
      </c>
      <c r="B45" s="4">
        <f>B24</f>
        <v>1</v>
      </c>
      <c r="C45" s="4">
        <f>A24</f>
        <v>4</v>
      </c>
      <c r="D45" s="4">
        <f>ROW(A24)</f>
        <v>24</v>
      </c>
      <c r="E45" s="4"/>
      <c r="F45" s="4" t="str">
        <f>IF(F24&lt;&gt;"",F24,"")</f>
        <v>Новый раздел</v>
      </c>
      <c r="G45" s="4" t="str">
        <f>IF(G24&lt;&gt;"",G24,"")</f>
        <v>Демонтажные работы (Письмо от АНО «РГТ» об утверждении объёмов демонтажных работ)</v>
      </c>
      <c r="H45" s="4">
        <v>0</v>
      </c>
      <c r="I45" s="4"/>
      <c r="J45" s="4"/>
      <c r="K45" s="4"/>
      <c r="L45" s="4"/>
      <c r="M45" s="4"/>
      <c r="N45" s="4"/>
      <c r="O45" s="4">
        <f t="shared" ref="O45:T45" si="60">ROUND(AB45,2)</f>
        <v>1630.65</v>
      </c>
      <c r="P45" s="4">
        <f t="shared" si="60"/>
        <v>0</v>
      </c>
      <c r="Q45" s="4">
        <f t="shared" si="60"/>
        <v>73.739999999999995</v>
      </c>
      <c r="R45" s="4">
        <f t="shared" si="60"/>
        <v>7.64</v>
      </c>
      <c r="S45" s="4">
        <f t="shared" si="60"/>
        <v>1556.91</v>
      </c>
      <c r="T45" s="4">
        <f t="shared" si="60"/>
        <v>0</v>
      </c>
      <c r="U45" s="4">
        <f>AH45</f>
        <v>106.92014255999997</v>
      </c>
      <c r="V45" s="4">
        <f>AI45</f>
        <v>0</v>
      </c>
      <c r="W45" s="4">
        <f>ROUND(AJ45,2)</f>
        <v>0</v>
      </c>
      <c r="X45" s="4">
        <f>ROUND(AK45,2)</f>
        <v>1415.01</v>
      </c>
      <c r="Y45" s="4">
        <f>ROUND(AL45,2)</f>
        <v>729.36</v>
      </c>
      <c r="Z45" s="4"/>
      <c r="AA45" s="4"/>
      <c r="AB45" s="4">
        <f>ROUND(SUMIF(AA28:AA43,"=55934355",O28:O43),2)</f>
        <v>1630.65</v>
      </c>
      <c r="AC45" s="4">
        <f>ROUND(SUMIF(AA28:AA43,"=55934355",P28:P43),2)</f>
        <v>0</v>
      </c>
      <c r="AD45" s="4">
        <f>ROUND(SUMIF(AA28:AA43,"=55934355",Q28:Q43),2)</f>
        <v>73.739999999999995</v>
      </c>
      <c r="AE45" s="4">
        <f>ROUND(SUMIF(AA28:AA43,"=55934355",R28:R43),2)</f>
        <v>7.64</v>
      </c>
      <c r="AF45" s="4">
        <f>ROUND(SUMIF(AA28:AA43,"=55934355",S28:S43),2)</f>
        <v>1556.91</v>
      </c>
      <c r="AG45" s="4">
        <f>ROUND(SUMIF(AA28:AA43,"=55934355",T28:T43),2)</f>
        <v>0</v>
      </c>
      <c r="AH45" s="4">
        <f>SUMIF(AA28:AA43,"=55934355",U28:U43)</f>
        <v>106.92014255999997</v>
      </c>
      <c r="AI45" s="4">
        <f>SUMIF(AA28:AA43,"=55934355",V28:V43)</f>
        <v>0</v>
      </c>
      <c r="AJ45" s="4">
        <f>ROUND(SUMIF(AA28:AA43,"=55934355",W28:W43),2)</f>
        <v>0</v>
      </c>
      <c r="AK45" s="4">
        <f>ROUND(SUMIF(AA28:AA43,"=55934355",X28:X43),2)</f>
        <v>1415.01</v>
      </c>
      <c r="AL45" s="4">
        <f>ROUND(SUMIF(AA28:AA43,"=55934355",Y28:Y43),2)</f>
        <v>729.36</v>
      </c>
      <c r="AM45" s="4"/>
      <c r="AN45" s="4"/>
      <c r="AO45" s="4">
        <f t="shared" ref="AO45:BD45" si="61">ROUND(BX45,2)</f>
        <v>0</v>
      </c>
      <c r="AP45" s="4">
        <f t="shared" si="61"/>
        <v>0</v>
      </c>
      <c r="AQ45" s="4">
        <f t="shared" si="61"/>
        <v>0</v>
      </c>
      <c r="AR45" s="4">
        <f t="shared" si="61"/>
        <v>3775.02</v>
      </c>
      <c r="AS45" s="4">
        <f t="shared" si="61"/>
        <v>0</v>
      </c>
      <c r="AT45" s="4">
        <f t="shared" si="61"/>
        <v>3775.02</v>
      </c>
      <c r="AU45" s="4">
        <f t="shared" si="61"/>
        <v>0</v>
      </c>
      <c r="AV45" s="4">
        <f t="shared" si="61"/>
        <v>0</v>
      </c>
      <c r="AW45" s="4">
        <f t="shared" si="61"/>
        <v>0</v>
      </c>
      <c r="AX45" s="4">
        <f t="shared" si="61"/>
        <v>0</v>
      </c>
      <c r="AY45" s="4">
        <f t="shared" si="61"/>
        <v>0</v>
      </c>
      <c r="AZ45" s="4">
        <f t="shared" si="61"/>
        <v>0</v>
      </c>
      <c r="BA45" s="4">
        <f t="shared" si="61"/>
        <v>0</v>
      </c>
      <c r="BB45" s="4">
        <f t="shared" si="61"/>
        <v>0</v>
      </c>
      <c r="BC45" s="4">
        <f t="shared" si="61"/>
        <v>0</v>
      </c>
      <c r="BD45" s="4">
        <f t="shared" si="61"/>
        <v>0</v>
      </c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>
        <f>ROUND(SUMIF(AA28:AA43,"=55934355",FQ28:FQ43),2)</f>
        <v>0</v>
      </c>
      <c r="BY45" s="4">
        <f>ROUND(SUMIF(AA28:AA43,"=55934355",FR28:FR43),2)</f>
        <v>0</v>
      </c>
      <c r="BZ45" s="4">
        <f>ROUND(SUMIF(AA28:AA43,"=55934355",GL28:GL43),2)</f>
        <v>0</v>
      </c>
      <c r="CA45" s="4">
        <f>ROUND(SUMIF(AA28:AA43,"=55934355",GM28:GM43),2)</f>
        <v>3775.02</v>
      </c>
      <c r="CB45" s="4">
        <f>ROUND(SUMIF(AA28:AA43,"=55934355",GN28:GN43),2)</f>
        <v>0</v>
      </c>
      <c r="CC45" s="4">
        <f>ROUND(SUMIF(AA28:AA43,"=55934355",GO28:GO43),2)</f>
        <v>3775.02</v>
      </c>
      <c r="CD45" s="4">
        <f>ROUND(SUMIF(AA28:AA43,"=55934355",GP28:GP43),2)</f>
        <v>0</v>
      </c>
      <c r="CE45" s="4">
        <f>AC45-BX45</f>
        <v>0</v>
      </c>
      <c r="CF45" s="4">
        <f>AC45-BY45</f>
        <v>0</v>
      </c>
      <c r="CG45" s="4">
        <f>BX45-BZ45</f>
        <v>0</v>
      </c>
      <c r="CH45" s="4">
        <f>AC45-BX45-BY45+BZ45</f>
        <v>0</v>
      </c>
      <c r="CI45" s="4">
        <f>BY45-BZ45</f>
        <v>0</v>
      </c>
      <c r="CJ45" s="4">
        <f>ROUND(SUMIF(AA28:AA43,"=55934355",GX28:GX43),2)</f>
        <v>0</v>
      </c>
      <c r="CK45" s="4">
        <f>ROUND(SUMIF(AA28:AA43,"=55934355",GY28:GY43),2)</f>
        <v>0</v>
      </c>
      <c r="CL45" s="4">
        <f>ROUND(SUMIF(AA28:AA43,"=55934355",GZ28:GZ43),2)</f>
        <v>0</v>
      </c>
      <c r="CM45" s="4">
        <f>ROUND(SUMIF(AA28:AA43,"=55934355",HD28:HD43),2)</f>
        <v>0</v>
      </c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5">
        <f t="shared" ref="DG45:DL45" si="62">ROUND(DT45,2)</f>
        <v>88888.72</v>
      </c>
      <c r="DH45" s="5">
        <f t="shared" si="62"/>
        <v>0</v>
      </c>
      <c r="DI45" s="5">
        <f t="shared" si="62"/>
        <v>1156.8399999999999</v>
      </c>
      <c r="DJ45" s="5">
        <f t="shared" si="62"/>
        <v>430.51</v>
      </c>
      <c r="DK45" s="5">
        <f t="shared" si="62"/>
        <v>87731.88</v>
      </c>
      <c r="DL45" s="5">
        <f t="shared" si="62"/>
        <v>0</v>
      </c>
      <c r="DM45" s="5">
        <f>DZ45</f>
        <v>106.92014255999997</v>
      </c>
      <c r="DN45" s="5">
        <f>EA45</f>
        <v>0</v>
      </c>
      <c r="DO45" s="5">
        <f>ROUND(EB45,2)</f>
        <v>0</v>
      </c>
      <c r="DP45" s="5">
        <f>ROUND(EC45,2)</f>
        <v>79735.77</v>
      </c>
      <c r="DQ45" s="5">
        <f>ROUND(ED45,2)</f>
        <v>41100.19</v>
      </c>
      <c r="DR45" s="5"/>
      <c r="DS45" s="5"/>
      <c r="DT45" s="5">
        <f>ROUND(SUMIF(AA28:AA43,"=55934357",O28:O43),2)</f>
        <v>88888.72</v>
      </c>
      <c r="DU45" s="5">
        <f>ROUND(SUMIF(AA28:AA43,"=55934357",P28:P43),2)</f>
        <v>0</v>
      </c>
      <c r="DV45" s="5">
        <f>ROUND(SUMIF(AA28:AA43,"=55934357",Q28:Q43),2)</f>
        <v>1156.8399999999999</v>
      </c>
      <c r="DW45" s="5">
        <f>ROUND(SUMIF(AA28:AA43,"=55934357",R28:R43),2)</f>
        <v>430.51</v>
      </c>
      <c r="DX45" s="5">
        <f>ROUND(SUMIF(AA28:AA43,"=55934357",S28:S43),2)</f>
        <v>87731.88</v>
      </c>
      <c r="DY45" s="5">
        <f>ROUND(SUMIF(AA28:AA43,"=55934357",T28:T43),2)</f>
        <v>0</v>
      </c>
      <c r="DZ45" s="5">
        <f>SUMIF(AA28:AA43,"=55934357",U28:U43)</f>
        <v>106.92014255999997</v>
      </c>
      <c r="EA45" s="5">
        <f>SUMIF(AA28:AA43,"=55934357",V28:V43)</f>
        <v>0</v>
      </c>
      <c r="EB45" s="5">
        <f>ROUND(SUMIF(AA28:AA43,"=55934357",W28:W43),2)</f>
        <v>0</v>
      </c>
      <c r="EC45" s="5">
        <f>ROUND(SUMIF(AA28:AA43,"=55934357",X28:X43),2)</f>
        <v>79735.77</v>
      </c>
      <c r="ED45" s="5">
        <f>ROUND(SUMIF(AA28:AA43,"=55934357",Y28:Y43),2)</f>
        <v>41100.19</v>
      </c>
      <c r="EE45" s="5"/>
      <c r="EF45" s="5"/>
      <c r="EG45" s="5">
        <f t="shared" ref="EG45:EV45" si="63">ROUND(FP45,2)</f>
        <v>0</v>
      </c>
      <c r="EH45" s="5">
        <f t="shared" si="63"/>
        <v>0</v>
      </c>
      <c r="EI45" s="5">
        <f t="shared" si="63"/>
        <v>0</v>
      </c>
      <c r="EJ45" s="5">
        <f t="shared" si="63"/>
        <v>209724.68</v>
      </c>
      <c r="EK45" s="5">
        <f t="shared" si="63"/>
        <v>0</v>
      </c>
      <c r="EL45" s="5">
        <f t="shared" si="63"/>
        <v>209724.68</v>
      </c>
      <c r="EM45" s="5">
        <f t="shared" si="63"/>
        <v>0</v>
      </c>
      <c r="EN45" s="5">
        <f t="shared" si="63"/>
        <v>0</v>
      </c>
      <c r="EO45" s="5">
        <f t="shared" si="63"/>
        <v>0</v>
      </c>
      <c r="EP45" s="5">
        <f t="shared" si="63"/>
        <v>0</v>
      </c>
      <c r="EQ45" s="5">
        <f t="shared" si="63"/>
        <v>0</v>
      </c>
      <c r="ER45" s="5">
        <f t="shared" si="63"/>
        <v>0</v>
      </c>
      <c r="ES45" s="5">
        <f t="shared" si="63"/>
        <v>0</v>
      </c>
      <c r="ET45" s="5">
        <f t="shared" si="63"/>
        <v>0</v>
      </c>
      <c r="EU45" s="5">
        <f t="shared" si="63"/>
        <v>0</v>
      </c>
      <c r="EV45" s="5">
        <f t="shared" si="63"/>
        <v>0</v>
      </c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>
        <f>ROUND(SUMIF(AA28:AA43,"=55934357",FQ28:FQ43),2)</f>
        <v>0</v>
      </c>
      <c r="FQ45" s="5">
        <f>ROUND(SUMIF(AA28:AA43,"=55934357",FR28:FR43),2)</f>
        <v>0</v>
      </c>
      <c r="FR45" s="5">
        <f>ROUND(SUMIF(AA28:AA43,"=55934357",GL28:GL43),2)</f>
        <v>0</v>
      </c>
      <c r="FS45" s="5">
        <f>ROUND(SUMIF(AA28:AA43,"=55934357",GM28:GM43),2)</f>
        <v>209724.68</v>
      </c>
      <c r="FT45" s="5">
        <f>ROUND(SUMIF(AA28:AA43,"=55934357",GN28:GN43),2)</f>
        <v>0</v>
      </c>
      <c r="FU45" s="5">
        <f>ROUND(SUMIF(AA28:AA43,"=55934357",GO28:GO43),2)</f>
        <v>209724.68</v>
      </c>
      <c r="FV45" s="5">
        <f>ROUND(SUMIF(AA28:AA43,"=55934357",GP28:GP43),2)</f>
        <v>0</v>
      </c>
      <c r="FW45" s="5">
        <f>DU45-FP45</f>
        <v>0</v>
      </c>
      <c r="FX45" s="5">
        <f>DU45-FQ45</f>
        <v>0</v>
      </c>
      <c r="FY45" s="5">
        <f>FP45-FR45</f>
        <v>0</v>
      </c>
      <c r="FZ45" s="5">
        <f>DU45-FP45-FQ45+FR45</f>
        <v>0</v>
      </c>
      <c r="GA45" s="5">
        <f>FQ45-FR45</f>
        <v>0</v>
      </c>
      <c r="GB45" s="5">
        <f>ROUND(SUMIF(AA28:AA43,"=55934357",GX28:GX43),2)</f>
        <v>0</v>
      </c>
      <c r="GC45" s="5">
        <f>ROUND(SUMIF(AA28:AA43,"=55934357",GY28:GY43),2)</f>
        <v>0</v>
      </c>
      <c r="GD45" s="5">
        <f>ROUND(SUMIF(AA28:AA43,"=55934357",GZ28:GZ43),2)</f>
        <v>0</v>
      </c>
      <c r="GE45" s="5">
        <f>ROUND(SUMIF(AA28:AA43,"=55934357",HD28:HD43),2)</f>
        <v>0</v>
      </c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>
        <v>0</v>
      </c>
    </row>
    <row r="47" spans="1:255" ht="13" x14ac:dyDescent="0.3">
      <c r="A47" s="6">
        <v>50</v>
      </c>
      <c r="B47" s="6">
        <v>0</v>
      </c>
      <c r="C47" s="6">
        <v>0</v>
      </c>
      <c r="D47" s="6">
        <v>1</v>
      </c>
      <c r="E47" s="6">
        <v>201</v>
      </c>
      <c r="F47" s="6">
        <f>ROUND(Source!O45,O47)</f>
        <v>1630.65</v>
      </c>
      <c r="G47" s="6" t="s">
        <v>63</v>
      </c>
      <c r="H47" s="6" t="s">
        <v>64</v>
      </c>
      <c r="I47" s="6"/>
      <c r="J47" s="6"/>
      <c r="K47" s="6">
        <v>201</v>
      </c>
      <c r="L47" s="6">
        <v>1</v>
      </c>
      <c r="M47" s="6">
        <v>3</v>
      </c>
      <c r="N47" s="6" t="s">
        <v>3</v>
      </c>
      <c r="O47" s="6">
        <v>2</v>
      </c>
      <c r="P47" s="6">
        <f>ROUND(Source!DG45,O47)</f>
        <v>88888.72</v>
      </c>
      <c r="Q47" s="6"/>
      <c r="R47" s="6"/>
      <c r="S47" s="6"/>
      <c r="T47" s="6"/>
      <c r="U47" s="6"/>
      <c r="V47" s="6"/>
      <c r="W47" s="6">
        <v>1630.65</v>
      </c>
      <c r="X47" s="6">
        <v>1</v>
      </c>
      <c r="Y47" s="6">
        <v>1630.65</v>
      </c>
      <c r="Z47" s="6">
        <v>88888.72</v>
      </c>
      <c r="AA47" s="6">
        <v>1</v>
      </c>
      <c r="AB47" s="6">
        <v>88888.72</v>
      </c>
    </row>
    <row r="48" spans="1:255" ht="13" x14ac:dyDescent="0.3">
      <c r="A48" s="6">
        <v>50</v>
      </c>
      <c r="B48" s="6">
        <v>0</v>
      </c>
      <c r="C48" s="6">
        <v>0</v>
      </c>
      <c r="D48" s="6">
        <v>1</v>
      </c>
      <c r="E48" s="6">
        <v>202</v>
      </c>
      <c r="F48" s="6">
        <f>ROUND(Source!P45,O48)</f>
        <v>0</v>
      </c>
      <c r="G48" s="6" t="s">
        <v>65</v>
      </c>
      <c r="H48" s="6" t="s">
        <v>66</v>
      </c>
      <c r="I48" s="6"/>
      <c r="J48" s="6"/>
      <c r="K48" s="6">
        <v>202</v>
      </c>
      <c r="L48" s="6">
        <v>2</v>
      </c>
      <c r="M48" s="6">
        <v>3</v>
      </c>
      <c r="N48" s="6" t="s">
        <v>3</v>
      </c>
      <c r="O48" s="6">
        <v>2</v>
      </c>
      <c r="P48" s="6">
        <f>ROUND(Source!DH45,O48)</f>
        <v>0</v>
      </c>
      <c r="Q48" s="6"/>
      <c r="R48" s="6"/>
      <c r="S48" s="6"/>
      <c r="T48" s="6"/>
      <c r="U48" s="6"/>
      <c r="V48" s="6"/>
      <c r="W48" s="6">
        <v>0</v>
      </c>
      <c r="X48" s="6">
        <v>1</v>
      </c>
      <c r="Y48" s="6">
        <v>0</v>
      </c>
      <c r="Z48" s="6">
        <v>0</v>
      </c>
      <c r="AA48" s="6">
        <v>1</v>
      </c>
      <c r="AB48" s="6">
        <v>0</v>
      </c>
    </row>
    <row r="49" spans="1:28" ht="13" x14ac:dyDescent="0.3">
      <c r="A49" s="6">
        <v>50</v>
      </c>
      <c r="B49" s="6">
        <v>0</v>
      </c>
      <c r="C49" s="6">
        <v>0</v>
      </c>
      <c r="D49" s="6">
        <v>1</v>
      </c>
      <c r="E49" s="6">
        <v>222</v>
      </c>
      <c r="F49" s="6">
        <f>ROUND(Source!AO45,O49)</f>
        <v>0</v>
      </c>
      <c r="G49" s="6" t="s">
        <v>67</v>
      </c>
      <c r="H49" s="6" t="s">
        <v>68</v>
      </c>
      <c r="I49" s="6"/>
      <c r="J49" s="6"/>
      <c r="K49" s="6">
        <v>222</v>
      </c>
      <c r="L49" s="6">
        <v>3</v>
      </c>
      <c r="M49" s="6">
        <v>3</v>
      </c>
      <c r="N49" s="6" t="s">
        <v>3</v>
      </c>
      <c r="O49" s="6">
        <v>2</v>
      </c>
      <c r="P49" s="6">
        <f>ROUND(Source!EG45,O49)</f>
        <v>0</v>
      </c>
      <c r="Q49" s="6"/>
      <c r="R49" s="6"/>
      <c r="S49" s="6"/>
      <c r="T49" s="6"/>
      <c r="U49" s="6"/>
      <c r="V49" s="6"/>
      <c r="W49" s="6">
        <v>0</v>
      </c>
      <c r="X49" s="6">
        <v>1</v>
      </c>
      <c r="Y49" s="6">
        <v>0</v>
      </c>
      <c r="Z49" s="6">
        <v>0</v>
      </c>
      <c r="AA49" s="6">
        <v>1</v>
      </c>
      <c r="AB49" s="6">
        <v>0</v>
      </c>
    </row>
    <row r="50" spans="1:28" ht="13" x14ac:dyDescent="0.3">
      <c r="A50" s="6">
        <v>50</v>
      </c>
      <c r="B50" s="6">
        <v>0</v>
      </c>
      <c r="C50" s="6">
        <v>0</v>
      </c>
      <c r="D50" s="6">
        <v>1</v>
      </c>
      <c r="E50" s="6">
        <v>225</v>
      </c>
      <c r="F50" s="6">
        <f>ROUND(Source!AV45,O50)</f>
        <v>0</v>
      </c>
      <c r="G50" s="6" t="s">
        <v>69</v>
      </c>
      <c r="H50" s="6" t="s">
        <v>70</v>
      </c>
      <c r="I50" s="6"/>
      <c r="J50" s="6"/>
      <c r="K50" s="6">
        <v>225</v>
      </c>
      <c r="L50" s="6">
        <v>4</v>
      </c>
      <c r="M50" s="6">
        <v>3</v>
      </c>
      <c r="N50" s="6" t="s">
        <v>3</v>
      </c>
      <c r="O50" s="6">
        <v>2</v>
      </c>
      <c r="P50" s="6">
        <f>ROUND(Source!EN45,O50)</f>
        <v>0</v>
      </c>
      <c r="Q50" s="6"/>
      <c r="R50" s="6"/>
      <c r="S50" s="6"/>
      <c r="T50" s="6"/>
      <c r="U50" s="6"/>
      <c r="V50" s="6"/>
      <c r="W50" s="6">
        <v>0</v>
      </c>
      <c r="X50" s="6">
        <v>1</v>
      </c>
      <c r="Y50" s="6">
        <v>0</v>
      </c>
      <c r="Z50" s="6">
        <v>0</v>
      </c>
      <c r="AA50" s="6">
        <v>1</v>
      </c>
      <c r="AB50" s="6">
        <v>0</v>
      </c>
    </row>
    <row r="51" spans="1:28" ht="13" x14ac:dyDescent="0.3">
      <c r="A51" s="6">
        <v>50</v>
      </c>
      <c r="B51" s="6">
        <v>0</v>
      </c>
      <c r="C51" s="6">
        <v>0</v>
      </c>
      <c r="D51" s="6">
        <v>1</v>
      </c>
      <c r="E51" s="6">
        <v>226</v>
      </c>
      <c r="F51" s="6">
        <f>ROUND(Source!AW45,O51)</f>
        <v>0</v>
      </c>
      <c r="G51" s="6" t="s">
        <v>71</v>
      </c>
      <c r="H51" s="6" t="s">
        <v>72</v>
      </c>
      <c r="I51" s="6"/>
      <c r="J51" s="6"/>
      <c r="K51" s="6">
        <v>226</v>
      </c>
      <c r="L51" s="6">
        <v>5</v>
      </c>
      <c r="M51" s="6">
        <v>3</v>
      </c>
      <c r="N51" s="6" t="s">
        <v>3</v>
      </c>
      <c r="O51" s="6">
        <v>2</v>
      </c>
      <c r="P51" s="6">
        <f>ROUND(Source!EO45,O51)</f>
        <v>0</v>
      </c>
      <c r="Q51" s="6"/>
      <c r="R51" s="6"/>
      <c r="S51" s="6"/>
      <c r="T51" s="6"/>
      <c r="U51" s="6"/>
      <c r="V51" s="6"/>
      <c r="W51" s="6">
        <v>0</v>
      </c>
      <c r="X51" s="6">
        <v>1</v>
      </c>
      <c r="Y51" s="6">
        <v>0</v>
      </c>
      <c r="Z51" s="6">
        <v>0</v>
      </c>
      <c r="AA51" s="6">
        <v>1</v>
      </c>
      <c r="AB51" s="6">
        <v>0</v>
      </c>
    </row>
    <row r="52" spans="1:28" ht="13" x14ac:dyDescent="0.3">
      <c r="A52" s="6">
        <v>50</v>
      </c>
      <c r="B52" s="6">
        <v>0</v>
      </c>
      <c r="C52" s="6">
        <v>0</v>
      </c>
      <c r="D52" s="6">
        <v>1</v>
      </c>
      <c r="E52" s="6">
        <v>227</v>
      </c>
      <c r="F52" s="6">
        <f>ROUND(Source!AX45,O52)</f>
        <v>0</v>
      </c>
      <c r="G52" s="6" t="s">
        <v>73</v>
      </c>
      <c r="H52" s="6" t="s">
        <v>74</v>
      </c>
      <c r="I52" s="6"/>
      <c r="J52" s="6"/>
      <c r="K52" s="6">
        <v>227</v>
      </c>
      <c r="L52" s="6">
        <v>6</v>
      </c>
      <c r="M52" s="6">
        <v>3</v>
      </c>
      <c r="N52" s="6" t="s">
        <v>3</v>
      </c>
      <c r="O52" s="6">
        <v>2</v>
      </c>
      <c r="P52" s="6">
        <f>ROUND(Source!EP45,O52)</f>
        <v>0</v>
      </c>
      <c r="Q52" s="6"/>
      <c r="R52" s="6"/>
      <c r="S52" s="6"/>
      <c r="T52" s="6"/>
      <c r="U52" s="6"/>
      <c r="V52" s="6"/>
      <c r="W52" s="6">
        <v>0</v>
      </c>
      <c r="X52" s="6">
        <v>1</v>
      </c>
      <c r="Y52" s="6">
        <v>0</v>
      </c>
      <c r="Z52" s="6">
        <v>0</v>
      </c>
      <c r="AA52" s="6">
        <v>1</v>
      </c>
      <c r="AB52" s="6">
        <v>0</v>
      </c>
    </row>
    <row r="53" spans="1:28" ht="13" x14ac:dyDescent="0.3">
      <c r="A53" s="6">
        <v>50</v>
      </c>
      <c r="B53" s="6">
        <v>0</v>
      </c>
      <c r="C53" s="6">
        <v>0</v>
      </c>
      <c r="D53" s="6">
        <v>1</v>
      </c>
      <c r="E53" s="6">
        <v>228</v>
      </c>
      <c r="F53" s="6">
        <f>ROUND(Source!AY45,O53)</f>
        <v>0</v>
      </c>
      <c r="G53" s="6" t="s">
        <v>75</v>
      </c>
      <c r="H53" s="6" t="s">
        <v>76</v>
      </c>
      <c r="I53" s="6"/>
      <c r="J53" s="6"/>
      <c r="K53" s="6">
        <v>228</v>
      </c>
      <c r="L53" s="6">
        <v>7</v>
      </c>
      <c r="M53" s="6">
        <v>3</v>
      </c>
      <c r="N53" s="6" t="s">
        <v>3</v>
      </c>
      <c r="O53" s="6">
        <v>2</v>
      </c>
      <c r="P53" s="6">
        <f>ROUND(Source!EQ45,O53)</f>
        <v>0</v>
      </c>
      <c r="Q53" s="6"/>
      <c r="R53" s="6"/>
      <c r="S53" s="6"/>
      <c r="T53" s="6"/>
      <c r="U53" s="6"/>
      <c r="V53" s="6"/>
      <c r="W53" s="6">
        <v>0</v>
      </c>
      <c r="X53" s="6">
        <v>1</v>
      </c>
      <c r="Y53" s="6">
        <v>0</v>
      </c>
      <c r="Z53" s="6">
        <v>0</v>
      </c>
      <c r="AA53" s="6">
        <v>1</v>
      </c>
      <c r="AB53" s="6">
        <v>0</v>
      </c>
    </row>
    <row r="54" spans="1:28" ht="13" x14ac:dyDescent="0.3">
      <c r="A54" s="6">
        <v>50</v>
      </c>
      <c r="B54" s="6">
        <v>0</v>
      </c>
      <c r="C54" s="6">
        <v>0</v>
      </c>
      <c r="D54" s="6">
        <v>1</v>
      </c>
      <c r="E54" s="6">
        <v>216</v>
      </c>
      <c r="F54" s="6">
        <f>ROUND(Source!AP45,O54)</f>
        <v>0</v>
      </c>
      <c r="G54" s="6" t="s">
        <v>77</v>
      </c>
      <c r="H54" s="6" t="s">
        <v>78</v>
      </c>
      <c r="I54" s="6"/>
      <c r="J54" s="6"/>
      <c r="K54" s="6">
        <v>216</v>
      </c>
      <c r="L54" s="6">
        <v>8</v>
      </c>
      <c r="M54" s="6">
        <v>3</v>
      </c>
      <c r="N54" s="6" t="s">
        <v>3</v>
      </c>
      <c r="O54" s="6">
        <v>2</v>
      </c>
      <c r="P54" s="6">
        <f>ROUND(Source!EH45,O54)</f>
        <v>0</v>
      </c>
      <c r="Q54" s="6"/>
      <c r="R54" s="6"/>
      <c r="S54" s="6"/>
      <c r="T54" s="6"/>
      <c r="U54" s="6"/>
      <c r="V54" s="6"/>
      <c r="W54" s="6">
        <v>0</v>
      </c>
      <c r="X54" s="6">
        <v>1</v>
      </c>
      <c r="Y54" s="6">
        <v>0</v>
      </c>
      <c r="Z54" s="6">
        <v>0</v>
      </c>
      <c r="AA54" s="6">
        <v>1</v>
      </c>
      <c r="AB54" s="6">
        <v>0</v>
      </c>
    </row>
    <row r="55" spans="1:28" ht="13" x14ac:dyDescent="0.3">
      <c r="A55" s="6">
        <v>50</v>
      </c>
      <c r="B55" s="6">
        <v>0</v>
      </c>
      <c r="C55" s="6">
        <v>0</v>
      </c>
      <c r="D55" s="6">
        <v>1</v>
      </c>
      <c r="E55" s="6">
        <v>223</v>
      </c>
      <c r="F55" s="6">
        <f>ROUND(Source!AQ45,O55)</f>
        <v>0</v>
      </c>
      <c r="G55" s="6" t="s">
        <v>79</v>
      </c>
      <c r="H55" s="6" t="s">
        <v>80</v>
      </c>
      <c r="I55" s="6"/>
      <c r="J55" s="6"/>
      <c r="K55" s="6">
        <v>223</v>
      </c>
      <c r="L55" s="6">
        <v>9</v>
      </c>
      <c r="M55" s="6">
        <v>3</v>
      </c>
      <c r="N55" s="6" t="s">
        <v>3</v>
      </c>
      <c r="O55" s="6">
        <v>2</v>
      </c>
      <c r="P55" s="6">
        <f>ROUND(Source!EI45,O55)</f>
        <v>0</v>
      </c>
      <c r="Q55" s="6"/>
      <c r="R55" s="6"/>
      <c r="S55" s="6"/>
      <c r="T55" s="6"/>
      <c r="U55" s="6"/>
      <c r="V55" s="6"/>
      <c r="W55" s="6">
        <v>0</v>
      </c>
      <c r="X55" s="6">
        <v>1</v>
      </c>
      <c r="Y55" s="6">
        <v>0</v>
      </c>
      <c r="Z55" s="6">
        <v>0</v>
      </c>
      <c r="AA55" s="6">
        <v>1</v>
      </c>
      <c r="AB55" s="6">
        <v>0</v>
      </c>
    </row>
    <row r="56" spans="1:28" ht="13" x14ac:dyDescent="0.3">
      <c r="A56" s="6">
        <v>50</v>
      </c>
      <c r="B56" s="6">
        <v>0</v>
      </c>
      <c r="C56" s="6">
        <v>0</v>
      </c>
      <c r="D56" s="6">
        <v>1</v>
      </c>
      <c r="E56" s="6">
        <v>229</v>
      </c>
      <c r="F56" s="6">
        <f>ROUND(Source!AZ45,O56)</f>
        <v>0</v>
      </c>
      <c r="G56" s="6" t="s">
        <v>81</v>
      </c>
      <c r="H56" s="6" t="s">
        <v>82</v>
      </c>
      <c r="I56" s="6"/>
      <c r="J56" s="6"/>
      <c r="K56" s="6">
        <v>229</v>
      </c>
      <c r="L56" s="6">
        <v>10</v>
      </c>
      <c r="M56" s="6">
        <v>3</v>
      </c>
      <c r="N56" s="6" t="s">
        <v>3</v>
      </c>
      <c r="O56" s="6">
        <v>2</v>
      </c>
      <c r="P56" s="6">
        <f>ROUND(Source!ER45,O56)</f>
        <v>0</v>
      </c>
      <c r="Q56" s="6"/>
      <c r="R56" s="6"/>
      <c r="S56" s="6"/>
      <c r="T56" s="6"/>
      <c r="U56" s="6"/>
      <c r="V56" s="6"/>
      <c r="W56" s="6">
        <v>0</v>
      </c>
      <c r="X56" s="6">
        <v>1</v>
      </c>
      <c r="Y56" s="6">
        <v>0</v>
      </c>
      <c r="Z56" s="6">
        <v>0</v>
      </c>
      <c r="AA56" s="6">
        <v>1</v>
      </c>
      <c r="AB56" s="6">
        <v>0</v>
      </c>
    </row>
    <row r="57" spans="1:28" ht="13" x14ac:dyDescent="0.3">
      <c r="A57" s="6">
        <v>50</v>
      </c>
      <c r="B57" s="6">
        <v>0</v>
      </c>
      <c r="C57" s="6">
        <v>0</v>
      </c>
      <c r="D57" s="6">
        <v>1</v>
      </c>
      <c r="E57" s="6">
        <v>203</v>
      </c>
      <c r="F57" s="6">
        <f>ROUND(Source!Q45,O57)</f>
        <v>73.739999999999995</v>
      </c>
      <c r="G57" s="6" t="s">
        <v>83</v>
      </c>
      <c r="H57" s="6" t="s">
        <v>84</v>
      </c>
      <c r="I57" s="6"/>
      <c r="J57" s="6"/>
      <c r="K57" s="6">
        <v>203</v>
      </c>
      <c r="L57" s="6">
        <v>11</v>
      </c>
      <c r="M57" s="6">
        <v>3</v>
      </c>
      <c r="N57" s="6" t="s">
        <v>3</v>
      </c>
      <c r="O57" s="6">
        <v>2</v>
      </c>
      <c r="P57" s="6">
        <f>ROUND(Source!DI45,O57)</f>
        <v>1156.8399999999999</v>
      </c>
      <c r="Q57" s="6"/>
      <c r="R57" s="6"/>
      <c r="S57" s="6"/>
      <c r="T57" s="6"/>
      <c r="U57" s="6"/>
      <c r="V57" s="6"/>
      <c r="W57" s="6">
        <v>73.739999999999995</v>
      </c>
      <c r="X57" s="6">
        <v>1</v>
      </c>
      <c r="Y57" s="6">
        <v>73.739999999999995</v>
      </c>
      <c r="Z57" s="6">
        <v>1156.8399999999999</v>
      </c>
      <c r="AA57" s="6">
        <v>1</v>
      </c>
      <c r="AB57" s="6">
        <v>1156.8399999999999</v>
      </c>
    </row>
    <row r="58" spans="1:28" ht="13" x14ac:dyDescent="0.3">
      <c r="A58" s="6">
        <v>50</v>
      </c>
      <c r="B58" s="6">
        <v>0</v>
      </c>
      <c r="C58" s="6">
        <v>0</v>
      </c>
      <c r="D58" s="6">
        <v>1</v>
      </c>
      <c r="E58" s="6">
        <v>231</v>
      </c>
      <c r="F58" s="6">
        <f>ROUND(Source!BB45,O58)</f>
        <v>0</v>
      </c>
      <c r="G58" s="6" t="s">
        <v>85</v>
      </c>
      <c r="H58" s="6" t="s">
        <v>86</v>
      </c>
      <c r="I58" s="6"/>
      <c r="J58" s="6"/>
      <c r="K58" s="6">
        <v>231</v>
      </c>
      <c r="L58" s="6">
        <v>12</v>
      </c>
      <c r="M58" s="6">
        <v>3</v>
      </c>
      <c r="N58" s="6" t="s">
        <v>3</v>
      </c>
      <c r="O58" s="6">
        <v>2</v>
      </c>
      <c r="P58" s="6">
        <f>ROUND(Source!ET45,O58)</f>
        <v>0</v>
      </c>
      <c r="Q58" s="6"/>
      <c r="R58" s="6"/>
      <c r="S58" s="6"/>
      <c r="T58" s="6"/>
      <c r="U58" s="6"/>
      <c r="V58" s="6"/>
      <c r="W58" s="6">
        <v>0</v>
      </c>
      <c r="X58" s="6">
        <v>1</v>
      </c>
      <c r="Y58" s="6">
        <v>0</v>
      </c>
      <c r="Z58" s="6">
        <v>0</v>
      </c>
      <c r="AA58" s="6">
        <v>1</v>
      </c>
      <c r="AB58" s="6">
        <v>0</v>
      </c>
    </row>
    <row r="59" spans="1:28" ht="13" x14ac:dyDescent="0.3">
      <c r="A59" s="6">
        <v>50</v>
      </c>
      <c r="B59" s="6">
        <v>0</v>
      </c>
      <c r="C59" s="6">
        <v>0</v>
      </c>
      <c r="D59" s="6">
        <v>1</v>
      </c>
      <c r="E59" s="6">
        <v>204</v>
      </c>
      <c r="F59" s="6">
        <f>ROUND(Source!R45,O59)</f>
        <v>7.64</v>
      </c>
      <c r="G59" s="6" t="s">
        <v>87</v>
      </c>
      <c r="H59" s="6" t="s">
        <v>88</v>
      </c>
      <c r="I59" s="6"/>
      <c r="J59" s="6"/>
      <c r="K59" s="6">
        <v>204</v>
      </c>
      <c r="L59" s="6">
        <v>13</v>
      </c>
      <c r="M59" s="6">
        <v>3</v>
      </c>
      <c r="N59" s="6" t="s">
        <v>3</v>
      </c>
      <c r="O59" s="6">
        <v>2</v>
      </c>
      <c r="P59" s="6">
        <f>ROUND(Source!DJ45,O59)</f>
        <v>430.51</v>
      </c>
      <c r="Q59" s="6"/>
      <c r="R59" s="6"/>
      <c r="S59" s="6"/>
      <c r="T59" s="6"/>
      <c r="U59" s="6"/>
      <c r="V59" s="6"/>
      <c r="W59" s="6">
        <v>7.64</v>
      </c>
      <c r="X59" s="6">
        <v>1</v>
      </c>
      <c r="Y59" s="6">
        <v>7.64</v>
      </c>
      <c r="Z59" s="6">
        <v>430.51</v>
      </c>
      <c r="AA59" s="6">
        <v>1</v>
      </c>
      <c r="AB59" s="6">
        <v>430.51</v>
      </c>
    </row>
    <row r="60" spans="1:28" ht="13" x14ac:dyDescent="0.3">
      <c r="A60" s="6">
        <v>50</v>
      </c>
      <c r="B60" s="6">
        <v>0</v>
      </c>
      <c r="C60" s="6">
        <v>0</v>
      </c>
      <c r="D60" s="6">
        <v>1</v>
      </c>
      <c r="E60" s="6">
        <v>205</v>
      </c>
      <c r="F60" s="6">
        <f>ROUND(Source!S45,O60)</f>
        <v>1556.91</v>
      </c>
      <c r="G60" s="6" t="s">
        <v>89</v>
      </c>
      <c r="H60" s="6" t="s">
        <v>90</v>
      </c>
      <c r="I60" s="6"/>
      <c r="J60" s="6"/>
      <c r="K60" s="6">
        <v>205</v>
      </c>
      <c r="L60" s="6">
        <v>14</v>
      </c>
      <c r="M60" s="6">
        <v>3</v>
      </c>
      <c r="N60" s="6" t="s">
        <v>3</v>
      </c>
      <c r="O60" s="6">
        <v>2</v>
      </c>
      <c r="P60" s="6">
        <f>ROUND(Source!DK45,O60)</f>
        <v>87731.88</v>
      </c>
      <c r="Q60" s="6"/>
      <c r="R60" s="6"/>
      <c r="S60" s="6"/>
      <c r="T60" s="6"/>
      <c r="U60" s="6"/>
      <c r="V60" s="6"/>
      <c r="W60" s="6">
        <v>1556.91</v>
      </c>
      <c r="X60" s="6">
        <v>1</v>
      </c>
      <c r="Y60" s="6">
        <v>1556.91</v>
      </c>
      <c r="Z60" s="6">
        <v>87731.88</v>
      </c>
      <c r="AA60" s="6">
        <v>1</v>
      </c>
      <c r="AB60" s="6">
        <v>87731.88</v>
      </c>
    </row>
    <row r="61" spans="1:28" ht="13" x14ac:dyDescent="0.3">
      <c r="A61" s="6">
        <v>50</v>
      </c>
      <c r="B61" s="6">
        <v>0</v>
      </c>
      <c r="C61" s="6">
        <v>0</v>
      </c>
      <c r="D61" s="6">
        <v>1</v>
      </c>
      <c r="E61" s="6">
        <v>232</v>
      </c>
      <c r="F61" s="6">
        <f>ROUND(Source!BC45,O61)</f>
        <v>0</v>
      </c>
      <c r="G61" s="6" t="s">
        <v>91</v>
      </c>
      <c r="H61" s="6" t="s">
        <v>92</v>
      </c>
      <c r="I61" s="6"/>
      <c r="J61" s="6"/>
      <c r="K61" s="6">
        <v>232</v>
      </c>
      <c r="L61" s="6">
        <v>15</v>
      </c>
      <c r="M61" s="6">
        <v>3</v>
      </c>
      <c r="N61" s="6" t="s">
        <v>3</v>
      </c>
      <c r="O61" s="6">
        <v>2</v>
      </c>
      <c r="P61" s="6">
        <f>ROUND(Source!EU45,O61)</f>
        <v>0</v>
      </c>
      <c r="Q61" s="6"/>
      <c r="R61" s="6"/>
      <c r="S61" s="6"/>
      <c r="T61" s="6"/>
      <c r="U61" s="6"/>
      <c r="V61" s="6"/>
      <c r="W61" s="6">
        <v>0</v>
      </c>
      <c r="X61" s="6">
        <v>1</v>
      </c>
      <c r="Y61" s="6">
        <v>0</v>
      </c>
      <c r="Z61" s="6">
        <v>0</v>
      </c>
      <c r="AA61" s="6">
        <v>1</v>
      </c>
      <c r="AB61" s="6">
        <v>0</v>
      </c>
    </row>
    <row r="62" spans="1:28" ht="13" x14ac:dyDescent="0.3">
      <c r="A62" s="6">
        <v>50</v>
      </c>
      <c r="B62" s="6">
        <v>0</v>
      </c>
      <c r="C62" s="6">
        <v>0</v>
      </c>
      <c r="D62" s="6">
        <v>1</v>
      </c>
      <c r="E62" s="6">
        <v>214</v>
      </c>
      <c r="F62" s="6">
        <f>ROUND(Source!AS45,O62)</f>
        <v>0</v>
      </c>
      <c r="G62" s="6" t="s">
        <v>93</v>
      </c>
      <c r="H62" s="6" t="s">
        <v>94</v>
      </c>
      <c r="I62" s="6"/>
      <c r="J62" s="6"/>
      <c r="K62" s="6">
        <v>214</v>
      </c>
      <c r="L62" s="6">
        <v>16</v>
      </c>
      <c r="M62" s="6">
        <v>3</v>
      </c>
      <c r="N62" s="6" t="s">
        <v>3</v>
      </c>
      <c r="O62" s="6">
        <v>2</v>
      </c>
      <c r="P62" s="6">
        <f>ROUND(Source!EK45,O62)</f>
        <v>0</v>
      </c>
      <c r="Q62" s="6"/>
      <c r="R62" s="6"/>
      <c r="S62" s="6"/>
      <c r="T62" s="6"/>
      <c r="U62" s="6"/>
      <c r="V62" s="6"/>
      <c r="W62" s="6">
        <v>0</v>
      </c>
      <c r="X62" s="6">
        <v>1</v>
      </c>
      <c r="Y62" s="6">
        <v>0</v>
      </c>
      <c r="Z62" s="6">
        <v>0</v>
      </c>
      <c r="AA62" s="6">
        <v>1</v>
      </c>
      <c r="AB62" s="6">
        <v>0</v>
      </c>
    </row>
    <row r="63" spans="1:28" ht="13" x14ac:dyDescent="0.3">
      <c r="A63" s="6">
        <v>50</v>
      </c>
      <c r="B63" s="6">
        <v>0</v>
      </c>
      <c r="C63" s="6">
        <v>0</v>
      </c>
      <c r="D63" s="6">
        <v>1</v>
      </c>
      <c r="E63" s="6">
        <v>215</v>
      </c>
      <c r="F63" s="6">
        <f>ROUND(Source!AT45,O63)</f>
        <v>3775.02</v>
      </c>
      <c r="G63" s="6" t="s">
        <v>95</v>
      </c>
      <c r="H63" s="6" t="s">
        <v>96</v>
      </c>
      <c r="I63" s="6"/>
      <c r="J63" s="6"/>
      <c r="K63" s="6">
        <v>215</v>
      </c>
      <c r="L63" s="6">
        <v>17</v>
      </c>
      <c r="M63" s="6">
        <v>3</v>
      </c>
      <c r="N63" s="6" t="s">
        <v>3</v>
      </c>
      <c r="O63" s="6">
        <v>2</v>
      </c>
      <c r="P63" s="6">
        <f>ROUND(Source!EL45,O63)</f>
        <v>209724.68</v>
      </c>
      <c r="Q63" s="6"/>
      <c r="R63" s="6"/>
      <c r="S63" s="6"/>
      <c r="T63" s="6"/>
      <c r="U63" s="6"/>
      <c r="V63" s="6"/>
      <c r="W63" s="6">
        <v>3775.02</v>
      </c>
      <c r="X63" s="6">
        <v>1</v>
      </c>
      <c r="Y63" s="6">
        <v>3775.02</v>
      </c>
      <c r="Z63" s="6">
        <v>209724.68</v>
      </c>
      <c r="AA63" s="6">
        <v>1</v>
      </c>
      <c r="AB63" s="6">
        <v>209724.68</v>
      </c>
    </row>
    <row r="64" spans="1:28" ht="13" x14ac:dyDescent="0.3">
      <c r="A64" s="6">
        <v>50</v>
      </c>
      <c r="B64" s="6">
        <v>0</v>
      </c>
      <c r="C64" s="6">
        <v>0</v>
      </c>
      <c r="D64" s="6">
        <v>1</v>
      </c>
      <c r="E64" s="6">
        <v>217</v>
      </c>
      <c r="F64" s="6">
        <f>ROUND(Source!AU45,O64)</f>
        <v>0</v>
      </c>
      <c r="G64" s="6" t="s">
        <v>97</v>
      </c>
      <c r="H64" s="6" t="s">
        <v>98</v>
      </c>
      <c r="I64" s="6"/>
      <c r="J64" s="6"/>
      <c r="K64" s="6">
        <v>217</v>
      </c>
      <c r="L64" s="6">
        <v>18</v>
      </c>
      <c r="M64" s="6">
        <v>3</v>
      </c>
      <c r="N64" s="6" t="s">
        <v>3</v>
      </c>
      <c r="O64" s="6">
        <v>2</v>
      </c>
      <c r="P64" s="6">
        <f>ROUND(Source!EM45,O64)</f>
        <v>0</v>
      </c>
      <c r="Q64" s="6"/>
      <c r="R64" s="6"/>
      <c r="S64" s="6"/>
      <c r="T64" s="6"/>
      <c r="U64" s="6"/>
      <c r="V64" s="6"/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6">
        <v>0</v>
      </c>
    </row>
    <row r="65" spans="1:255" ht="13" x14ac:dyDescent="0.3">
      <c r="A65" s="6">
        <v>50</v>
      </c>
      <c r="B65" s="6">
        <v>0</v>
      </c>
      <c r="C65" s="6">
        <v>0</v>
      </c>
      <c r="D65" s="6">
        <v>1</v>
      </c>
      <c r="E65" s="6">
        <v>230</v>
      </c>
      <c r="F65" s="6">
        <f>ROUND(Source!BA45,O65)</f>
        <v>0</v>
      </c>
      <c r="G65" s="6" t="s">
        <v>99</v>
      </c>
      <c r="H65" s="6" t="s">
        <v>100</v>
      </c>
      <c r="I65" s="6"/>
      <c r="J65" s="6"/>
      <c r="K65" s="6">
        <v>230</v>
      </c>
      <c r="L65" s="6">
        <v>19</v>
      </c>
      <c r="M65" s="6">
        <v>3</v>
      </c>
      <c r="N65" s="6" t="s">
        <v>3</v>
      </c>
      <c r="O65" s="6">
        <v>2</v>
      </c>
      <c r="P65" s="6">
        <f>ROUND(Source!ES45,O65)</f>
        <v>0</v>
      </c>
      <c r="Q65" s="6"/>
      <c r="R65" s="6"/>
      <c r="S65" s="6"/>
      <c r="T65" s="6"/>
      <c r="U65" s="6"/>
      <c r="V65" s="6"/>
      <c r="W65" s="6">
        <v>0</v>
      </c>
      <c r="X65" s="6">
        <v>1</v>
      </c>
      <c r="Y65" s="6">
        <v>0</v>
      </c>
      <c r="Z65" s="6">
        <v>0</v>
      </c>
      <c r="AA65" s="6">
        <v>1</v>
      </c>
      <c r="AB65" s="6">
        <v>0</v>
      </c>
    </row>
    <row r="66" spans="1:255" ht="13" x14ac:dyDescent="0.3">
      <c r="A66" s="6">
        <v>50</v>
      </c>
      <c r="B66" s="6">
        <v>0</v>
      </c>
      <c r="C66" s="6">
        <v>0</v>
      </c>
      <c r="D66" s="6">
        <v>1</v>
      </c>
      <c r="E66" s="6">
        <v>206</v>
      </c>
      <c r="F66" s="6">
        <f>ROUND(Source!T45,O66)</f>
        <v>0</v>
      </c>
      <c r="G66" s="6" t="s">
        <v>101</v>
      </c>
      <c r="H66" s="6" t="s">
        <v>102</v>
      </c>
      <c r="I66" s="6"/>
      <c r="J66" s="6"/>
      <c r="K66" s="6">
        <v>206</v>
      </c>
      <c r="L66" s="6">
        <v>20</v>
      </c>
      <c r="M66" s="6">
        <v>3</v>
      </c>
      <c r="N66" s="6" t="s">
        <v>3</v>
      </c>
      <c r="O66" s="6">
        <v>2</v>
      </c>
      <c r="P66" s="6">
        <f>ROUND(Source!DL45,O66)</f>
        <v>0</v>
      </c>
      <c r="Q66" s="6"/>
      <c r="R66" s="6"/>
      <c r="S66" s="6"/>
      <c r="T66" s="6"/>
      <c r="U66" s="6"/>
      <c r="V66" s="6"/>
      <c r="W66" s="6">
        <v>0</v>
      </c>
      <c r="X66" s="6">
        <v>1</v>
      </c>
      <c r="Y66" s="6">
        <v>0</v>
      </c>
      <c r="Z66" s="6">
        <v>0</v>
      </c>
      <c r="AA66" s="6">
        <v>1</v>
      </c>
      <c r="AB66" s="6">
        <v>0</v>
      </c>
    </row>
    <row r="67" spans="1:255" ht="13" x14ac:dyDescent="0.3">
      <c r="A67" s="6">
        <v>50</v>
      </c>
      <c r="B67" s="6">
        <v>0</v>
      </c>
      <c r="C67" s="6">
        <v>0</v>
      </c>
      <c r="D67" s="6">
        <v>1</v>
      </c>
      <c r="E67" s="6">
        <v>207</v>
      </c>
      <c r="F67" s="6">
        <f>Source!U45</f>
        <v>106.92014255999997</v>
      </c>
      <c r="G67" s="6" t="s">
        <v>103</v>
      </c>
      <c r="H67" s="6" t="s">
        <v>104</v>
      </c>
      <c r="I67" s="6"/>
      <c r="J67" s="6"/>
      <c r="K67" s="6">
        <v>207</v>
      </c>
      <c r="L67" s="6">
        <v>21</v>
      </c>
      <c r="M67" s="6">
        <v>3</v>
      </c>
      <c r="N67" s="6" t="s">
        <v>3</v>
      </c>
      <c r="O67" s="6">
        <v>-1</v>
      </c>
      <c r="P67" s="6">
        <f>Source!DM45</f>
        <v>106.92014255999997</v>
      </c>
      <c r="Q67" s="6"/>
      <c r="R67" s="6"/>
      <c r="S67" s="6"/>
      <c r="T67" s="6"/>
      <c r="U67" s="6"/>
      <c r="V67" s="6"/>
      <c r="W67" s="6">
        <v>106.92014255999999</v>
      </c>
      <c r="X67" s="6">
        <v>1</v>
      </c>
      <c r="Y67" s="6">
        <v>106.92014255999999</v>
      </c>
      <c r="Z67" s="6">
        <v>106.92014255999999</v>
      </c>
      <c r="AA67" s="6">
        <v>1</v>
      </c>
      <c r="AB67" s="6">
        <v>106.92014255999999</v>
      </c>
    </row>
    <row r="68" spans="1:255" ht="13" x14ac:dyDescent="0.3">
      <c r="A68" s="6">
        <v>50</v>
      </c>
      <c r="B68" s="6">
        <v>0</v>
      </c>
      <c r="C68" s="6">
        <v>0</v>
      </c>
      <c r="D68" s="6">
        <v>1</v>
      </c>
      <c r="E68" s="6">
        <v>208</v>
      </c>
      <c r="F68" s="6">
        <f>Source!V45</f>
        <v>0</v>
      </c>
      <c r="G68" s="6" t="s">
        <v>105</v>
      </c>
      <c r="H68" s="6" t="s">
        <v>106</v>
      </c>
      <c r="I68" s="6"/>
      <c r="J68" s="6"/>
      <c r="K68" s="6">
        <v>208</v>
      </c>
      <c r="L68" s="6">
        <v>22</v>
      </c>
      <c r="M68" s="6">
        <v>3</v>
      </c>
      <c r="N68" s="6" t="s">
        <v>3</v>
      </c>
      <c r="O68" s="6">
        <v>-1</v>
      </c>
      <c r="P68" s="6">
        <f>Source!DN45</f>
        <v>0</v>
      </c>
      <c r="Q68" s="6"/>
      <c r="R68" s="6"/>
      <c r="S68" s="6"/>
      <c r="T68" s="6"/>
      <c r="U68" s="6"/>
      <c r="V68" s="6"/>
      <c r="W68" s="6">
        <v>0</v>
      </c>
      <c r="X68" s="6">
        <v>1</v>
      </c>
      <c r="Y68" s="6">
        <v>0</v>
      </c>
      <c r="Z68" s="6">
        <v>0</v>
      </c>
      <c r="AA68" s="6">
        <v>1</v>
      </c>
      <c r="AB68" s="6">
        <v>0</v>
      </c>
    </row>
    <row r="69" spans="1:255" ht="13" x14ac:dyDescent="0.3">
      <c r="A69" s="6">
        <v>50</v>
      </c>
      <c r="B69" s="6">
        <v>0</v>
      </c>
      <c r="C69" s="6">
        <v>0</v>
      </c>
      <c r="D69" s="6">
        <v>1</v>
      </c>
      <c r="E69" s="6">
        <v>209</v>
      </c>
      <c r="F69" s="6">
        <f>ROUND(Source!W45,O69)</f>
        <v>0</v>
      </c>
      <c r="G69" s="6" t="s">
        <v>107</v>
      </c>
      <c r="H69" s="6" t="s">
        <v>108</v>
      </c>
      <c r="I69" s="6"/>
      <c r="J69" s="6"/>
      <c r="K69" s="6">
        <v>209</v>
      </c>
      <c r="L69" s="6">
        <v>23</v>
      </c>
      <c r="M69" s="6">
        <v>3</v>
      </c>
      <c r="N69" s="6" t="s">
        <v>3</v>
      </c>
      <c r="O69" s="6">
        <v>2</v>
      </c>
      <c r="P69" s="6">
        <f>ROUND(Source!DO45,O69)</f>
        <v>0</v>
      </c>
      <c r="Q69" s="6"/>
      <c r="R69" s="6"/>
      <c r="S69" s="6"/>
      <c r="T69" s="6"/>
      <c r="U69" s="6"/>
      <c r="V69" s="6"/>
      <c r="W69" s="6">
        <v>0</v>
      </c>
      <c r="X69" s="6">
        <v>1</v>
      </c>
      <c r="Y69" s="6">
        <v>0</v>
      </c>
      <c r="Z69" s="6">
        <v>0</v>
      </c>
      <c r="AA69" s="6">
        <v>1</v>
      </c>
      <c r="AB69" s="6">
        <v>0</v>
      </c>
    </row>
    <row r="70" spans="1:255" ht="13" x14ac:dyDescent="0.3">
      <c r="A70" s="6">
        <v>50</v>
      </c>
      <c r="B70" s="6">
        <v>0</v>
      </c>
      <c r="C70" s="6">
        <v>0</v>
      </c>
      <c r="D70" s="6">
        <v>1</v>
      </c>
      <c r="E70" s="6">
        <v>233</v>
      </c>
      <c r="F70" s="6">
        <f>ROUND(Source!BD45,O70)</f>
        <v>0</v>
      </c>
      <c r="G70" s="6" t="s">
        <v>109</v>
      </c>
      <c r="H70" s="6" t="s">
        <v>110</v>
      </c>
      <c r="I70" s="6"/>
      <c r="J70" s="6"/>
      <c r="K70" s="6">
        <v>233</v>
      </c>
      <c r="L70" s="6">
        <v>24</v>
      </c>
      <c r="M70" s="6">
        <v>3</v>
      </c>
      <c r="N70" s="6" t="s">
        <v>3</v>
      </c>
      <c r="O70" s="6">
        <v>2</v>
      </c>
      <c r="P70" s="6">
        <f>ROUND(Source!EV45,O70)</f>
        <v>0</v>
      </c>
      <c r="Q70" s="6"/>
      <c r="R70" s="6"/>
      <c r="S70" s="6"/>
      <c r="T70" s="6"/>
      <c r="U70" s="6"/>
      <c r="V70" s="6"/>
      <c r="W70" s="6">
        <v>0</v>
      </c>
      <c r="X70" s="6">
        <v>1</v>
      </c>
      <c r="Y70" s="6">
        <v>0</v>
      </c>
      <c r="Z70" s="6">
        <v>0</v>
      </c>
      <c r="AA70" s="6">
        <v>1</v>
      </c>
      <c r="AB70" s="6">
        <v>0</v>
      </c>
    </row>
    <row r="71" spans="1:255" ht="13" x14ac:dyDescent="0.3">
      <c r="A71" s="6">
        <v>50</v>
      </c>
      <c r="B71" s="6">
        <v>0</v>
      </c>
      <c r="C71" s="6">
        <v>0</v>
      </c>
      <c r="D71" s="6">
        <v>1</v>
      </c>
      <c r="E71" s="6">
        <v>210</v>
      </c>
      <c r="F71" s="6">
        <f>ROUND(Source!X45,O71)</f>
        <v>1415.01</v>
      </c>
      <c r="G71" s="6" t="s">
        <v>111</v>
      </c>
      <c r="H71" s="6" t="s">
        <v>112</v>
      </c>
      <c r="I71" s="6"/>
      <c r="J71" s="6"/>
      <c r="K71" s="6">
        <v>210</v>
      </c>
      <c r="L71" s="6">
        <v>25</v>
      </c>
      <c r="M71" s="6">
        <v>3</v>
      </c>
      <c r="N71" s="6" t="s">
        <v>3</v>
      </c>
      <c r="O71" s="6">
        <v>2</v>
      </c>
      <c r="P71" s="6">
        <f>ROUND(Source!DP45,O71)</f>
        <v>79735.77</v>
      </c>
      <c r="Q71" s="6"/>
      <c r="R71" s="6"/>
      <c r="S71" s="6"/>
      <c r="T71" s="6"/>
      <c r="U71" s="6"/>
      <c r="V71" s="6"/>
      <c r="W71" s="6">
        <v>1415.01</v>
      </c>
      <c r="X71" s="6">
        <v>1</v>
      </c>
      <c r="Y71" s="6">
        <v>1415.01</v>
      </c>
      <c r="Z71" s="6">
        <v>79735.77</v>
      </c>
      <c r="AA71" s="6">
        <v>1</v>
      </c>
      <c r="AB71" s="6">
        <v>79735.77</v>
      </c>
    </row>
    <row r="72" spans="1:255" ht="13" x14ac:dyDescent="0.3">
      <c r="A72" s="6">
        <v>50</v>
      </c>
      <c r="B72" s="6">
        <v>0</v>
      </c>
      <c r="C72" s="6">
        <v>0</v>
      </c>
      <c r="D72" s="6">
        <v>1</v>
      </c>
      <c r="E72" s="6">
        <v>211</v>
      </c>
      <c r="F72" s="6">
        <f>ROUND(Source!Y45,O72)</f>
        <v>729.36</v>
      </c>
      <c r="G72" s="6" t="s">
        <v>113</v>
      </c>
      <c r="H72" s="6" t="s">
        <v>114</v>
      </c>
      <c r="I72" s="6"/>
      <c r="J72" s="6"/>
      <c r="K72" s="6">
        <v>211</v>
      </c>
      <c r="L72" s="6">
        <v>26</v>
      </c>
      <c r="M72" s="6">
        <v>3</v>
      </c>
      <c r="N72" s="6" t="s">
        <v>3</v>
      </c>
      <c r="O72" s="6">
        <v>2</v>
      </c>
      <c r="P72" s="6">
        <f>ROUND(Source!DQ45,O72)</f>
        <v>41100.19</v>
      </c>
      <c r="Q72" s="6"/>
      <c r="R72" s="6"/>
      <c r="S72" s="6"/>
      <c r="T72" s="6"/>
      <c r="U72" s="6"/>
      <c r="V72" s="6"/>
      <c r="W72" s="6">
        <v>729.36</v>
      </c>
      <c r="X72" s="6">
        <v>1</v>
      </c>
      <c r="Y72" s="6">
        <v>729.36</v>
      </c>
      <c r="Z72" s="6">
        <v>41100.19</v>
      </c>
      <c r="AA72" s="6">
        <v>1</v>
      </c>
      <c r="AB72" s="6">
        <v>41100.19</v>
      </c>
    </row>
    <row r="73" spans="1:255" ht="13" x14ac:dyDescent="0.3">
      <c r="A73" s="6">
        <v>50</v>
      </c>
      <c r="B73" s="6">
        <v>0</v>
      </c>
      <c r="C73" s="6">
        <v>0</v>
      </c>
      <c r="D73" s="6">
        <v>1</v>
      </c>
      <c r="E73" s="6">
        <v>224</v>
      </c>
      <c r="F73" s="6">
        <f>ROUND(Source!AR45,O73)</f>
        <v>3775.02</v>
      </c>
      <c r="G73" s="6" t="s">
        <v>115</v>
      </c>
      <c r="H73" s="6" t="s">
        <v>116</v>
      </c>
      <c r="I73" s="6"/>
      <c r="J73" s="6"/>
      <c r="K73" s="6">
        <v>224</v>
      </c>
      <c r="L73" s="6">
        <v>27</v>
      </c>
      <c r="M73" s="6">
        <v>3</v>
      </c>
      <c r="N73" s="6" t="s">
        <v>3</v>
      </c>
      <c r="O73" s="6">
        <v>2</v>
      </c>
      <c r="P73" s="6">
        <f>ROUND(Source!EJ45,O73)</f>
        <v>209724.68</v>
      </c>
      <c r="Q73" s="6"/>
      <c r="R73" s="6"/>
      <c r="S73" s="6"/>
      <c r="T73" s="6"/>
      <c r="U73" s="6"/>
      <c r="V73" s="6"/>
      <c r="W73" s="6">
        <v>3775.02</v>
      </c>
      <c r="X73" s="6">
        <v>1</v>
      </c>
      <c r="Y73" s="6">
        <v>3775.02</v>
      </c>
      <c r="Z73" s="6">
        <v>209724.68</v>
      </c>
      <c r="AA73" s="6">
        <v>1</v>
      </c>
      <c r="AB73" s="6">
        <v>209724.68</v>
      </c>
    </row>
    <row r="75" spans="1:255" ht="13" x14ac:dyDescent="0.3">
      <c r="A75" s="1">
        <v>4</v>
      </c>
      <c r="B75" s="1">
        <v>1</v>
      </c>
      <c r="C75" s="1"/>
      <c r="D75" s="1">
        <f>ROW(A110)</f>
        <v>110</v>
      </c>
      <c r="E75" s="1"/>
      <c r="F75" s="1" t="s">
        <v>23</v>
      </c>
      <c r="G75" s="1" t="s">
        <v>117</v>
      </c>
      <c r="H75" s="1" t="s">
        <v>3</v>
      </c>
      <c r="I75" s="1">
        <v>0</v>
      </c>
      <c r="J75" s="1"/>
      <c r="K75" s="1">
        <v>-1</v>
      </c>
      <c r="L75" s="1"/>
      <c r="M75" s="1" t="s">
        <v>3</v>
      </c>
      <c r="N75" s="1"/>
      <c r="O75" s="1"/>
      <c r="P75" s="1"/>
      <c r="Q75" s="1"/>
      <c r="R75" s="1"/>
      <c r="S75" s="1">
        <v>0</v>
      </c>
      <c r="T75" s="1">
        <v>0</v>
      </c>
      <c r="U75" s="1" t="s">
        <v>3</v>
      </c>
      <c r="V75" s="1">
        <v>2</v>
      </c>
      <c r="W75" s="1"/>
      <c r="X75" s="1"/>
      <c r="Y75" s="1"/>
      <c r="Z75" s="1"/>
      <c r="AA75" s="1"/>
      <c r="AB75" s="1" t="s">
        <v>3</v>
      </c>
      <c r="AC75" s="1" t="s">
        <v>3</v>
      </c>
      <c r="AD75" s="1" t="s">
        <v>3</v>
      </c>
      <c r="AE75" s="1" t="s">
        <v>3</v>
      </c>
      <c r="AF75" s="1" t="s">
        <v>3</v>
      </c>
      <c r="AG75" s="1" t="s">
        <v>3</v>
      </c>
      <c r="AH75" s="1"/>
      <c r="AI75" s="1"/>
      <c r="AJ75" s="1"/>
      <c r="AK75" s="1"/>
      <c r="AL75" s="1"/>
      <c r="AM75" s="1"/>
      <c r="AN75" s="1"/>
      <c r="AO75" s="1"/>
      <c r="AP75" s="1" t="s">
        <v>3</v>
      </c>
      <c r="AQ75" s="1" t="s">
        <v>3</v>
      </c>
      <c r="AR75" s="1" t="s">
        <v>3</v>
      </c>
      <c r="AS75" s="1"/>
      <c r="AT75" s="1"/>
      <c r="AU75" s="1"/>
      <c r="AV75" s="1"/>
      <c r="AW75" s="1"/>
      <c r="AX75" s="1"/>
      <c r="AY75" s="1"/>
      <c r="AZ75" s="1" t="s">
        <v>3</v>
      </c>
      <c r="BA75" s="1"/>
      <c r="BB75" s="1" t="s">
        <v>3</v>
      </c>
      <c r="BC75" s="1" t="s">
        <v>3</v>
      </c>
      <c r="BD75" s="1" t="s">
        <v>3</v>
      </c>
      <c r="BE75" s="1" t="s">
        <v>3</v>
      </c>
      <c r="BF75" s="1" t="s">
        <v>3</v>
      </c>
      <c r="BG75" s="1" t="s">
        <v>3</v>
      </c>
      <c r="BH75" s="1" t="s">
        <v>3</v>
      </c>
      <c r="BI75" s="1" t="s">
        <v>3</v>
      </c>
      <c r="BJ75" s="1" t="s">
        <v>3</v>
      </c>
      <c r="BK75" s="1" t="s">
        <v>3</v>
      </c>
      <c r="BL75" s="1" t="s">
        <v>3</v>
      </c>
      <c r="BM75" s="1" t="s">
        <v>3</v>
      </c>
      <c r="BN75" s="1" t="s">
        <v>3</v>
      </c>
      <c r="BO75" s="1" t="s">
        <v>3</v>
      </c>
      <c r="BP75" s="1" t="s">
        <v>3</v>
      </c>
      <c r="BQ75" s="1"/>
      <c r="BR75" s="1"/>
      <c r="BS75" s="1"/>
      <c r="BT75" s="1"/>
      <c r="BU75" s="1"/>
      <c r="BV75" s="1"/>
      <c r="BW75" s="1"/>
      <c r="BX75" s="1">
        <v>0</v>
      </c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>
        <v>0</v>
      </c>
    </row>
    <row r="77" spans="1:255" ht="13" x14ac:dyDescent="0.3">
      <c r="A77" s="4">
        <v>52</v>
      </c>
      <c r="B77" s="4">
        <f t="shared" ref="B77:G77" si="64">B110</f>
        <v>1</v>
      </c>
      <c r="C77" s="4">
        <f t="shared" si="64"/>
        <v>4</v>
      </c>
      <c r="D77" s="4">
        <f t="shared" si="64"/>
        <v>75</v>
      </c>
      <c r="E77" s="4">
        <f t="shared" si="64"/>
        <v>0</v>
      </c>
      <c r="F77" s="4" t="str">
        <f t="shared" si="64"/>
        <v>1</v>
      </c>
      <c r="G77" s="4" t="str">
        <f t="shared" si="64"/>
        <v>Сетевые приборы СОТ</v>
      </c>
      <c r="H77" s="4"/>
      <c r="I77" s="4"/>
      <c r="J77" s="4"/>
      <c r="K77" s="4"/>
      <c r="L77" s="4"/>
      <c r="M77" s="4"/>
      <c r="N77" s="4"/>
      <c r="O77" s="4">
        <f t="shared" ref="O77:AT77" si="65">O110</f>
        <v>657551.84</v>
      </c>
      <c r="P77" s="4">
        <f t="shared" si="65"/>
        <v>656284.62</v>
      </c>
      <c r="Q77" s="4">
        <f t="shared" si="65"/>
        <v>216.42</v>
      </c>
      <c r="R77" s="4">
        <f t="shared" si="65"/>
        <v>23.82</v>
      </c>
      <c r="S77" s="4">
        <f t="shared" si="65"/>
        <v>1050.8</v>
      </c>
      <c r="T77" s="4">
        <f t="shared" si="65"/>
        <v>0</v>
      </c>
      <c r="U77" s="4">
        <f t="shared" si="65"/>
        <v>84.43007999999999</v>
      </c>
      <c r="V77" s="4">
        <f t="shared" si="65"/>
        <v>0</v>
      </c>
      <c r="W77" s="4">
        <f t="shared" si="65"/>
        <v>0</v>
      </c>
      <c r="X77" s="4">
        <f t="shared" si="65"/>
        <v>990.19</v>
      </c>
      <c r="Y77" s="4">
        <f t="shared" si="65"/>
        <v>526.59</v>
      </c>
      <c r="Z77" s="4">
        <f t="shared" si="65"/>
        <v>0</v>
      </c>
      <c r="AA77" s="4">
        <f t="shared" si="65"/>
        <v>0</v>
      </c>
      <c r="AB77" s="4">
        <f t="shared" si="65"/>
        <v>657551.84</v>
      </c>
      <c r="AC77" s="4">
        <f t="shared" si="65"/>
        <v>656284.62</v>
      </c>
      <c r="AD77" s="4">
        <f t="shared" si="65"/>
        <v>216.42</v>
      </c>
      <c r="AE77" s="4">
        <f t="shared" si="65"/>
        <v>23.82</v>
      </c>
      <c r="AF77" s="4">
        <f t="shared" si="65"/>
        <v>1050.8</v>
      </c>
      <c r="AG77" s="4">
        <f t="shared" si="65"/>
        <v>0</v>
      </c>
      <c r="AH77" s="4">
        <f t="shared" si="65"/>
        <v>84.43007999999999</v>
      </c>
      <c r="AI77" s="4">
        <f t="shared" si="65"/>
        <v>0</v>
      </c>
      <c r="AJ77" s="4">
        <f t="shared" si="65"/>
        <v>0</v>
      </c>
      <c r="AK77" s="4">
        <f t="shared" si="65"/>
        <v>990.19</v>
      </c>
      <c r="AL77" s="4">
        <f t="shared" si="65"/>
        <v>526.59</v>
      </c>
      <c r="AM77" s="4">
        <f t="shared" si="65"/>
        <v>0</v>
      </c>
      <c r="AN77" s="4">
        <f t="shared" si="65"/>
        <v>0</v>
      </c>
      <c r="AO77" s="4">
        <f t="shared" si="65"/>
        <v>0</v>
      </c>
      <c r="AP77" s="4">
        <f t="shared" si="65"/>
        <v>656138.57999999996</v>
      </c>
      <c r="AQ77" s="4">
        <f t="shared" si="65"/>
        <v>0</v>
      </c>
      <c r="AR77" s="4">
        <f t="shared" si="65"/>
        <v>659068.62</v>
      </c>
      <c r="AS77" s="4">
        <f t="shared" si="65"/>
        <v>0</v>
      </c>
      <c r="AT77" s="4">
        <f t="shared" si="65"/>
        <v>2930.04</v>
      </c>
      <c r="AU77" s="4">
        <f t="shared" ref="AU77:BZ77" si="66">AU110</f>
        <v>0</v>
      </c>
      <c r="AV77" s="4">
        <f t="shared" si="66"/>
        <v>656284.62</v>
      </c>
      <c r="AW77" s="4">
        <f t="shared" si="66"/>
        <v>146.04</v>
      </c>
      <c r="AX77" s="4">
        <f t="shared" si="66"/>
        <v>0</v>
      </c>
      <c r="AY77" s="4">
        <f t="shared" si="66"/>
        <v>146.04</v>
      </c>
      <c r="AZ77" s="4">
        <f t="shared" si="66"/>
        <v>656138.57999999996</v>
      </c>
      <c r="BA77" s="4">
        <f t="shared" si="66"/>
        <v>0</v>
      </c>
      <c r="BB77" s="4">
        <f t="shared" si="66"/>
        <v>0</v>
      </c>
      <c r="BC77" s="4">
        <f t="shared" si="66"/>
        <v>0</v>
      </c>
      <c r="BD77" s="4">
        <f t="shared" si="66"/>
        <v>0</v>
      </c>
      <c r="BE77" s="4">
        <f t="shared" si="66"/>
        <v>0</v>
      </c>
      <c r="BF77" s="4">
        <f t="shared" si="66"/>
        <v>0</v>
      </c>
      <c r="BG77" s="4">
        <f t="shared" si="66"/>
        <v>0</v>
      </c>
      <c r="BH77" s="4">
        <f t="shared" si="66"/>
        <v>0</v>
      </c>
      <c r="BI77" s="4">
        <f t="shared" si="66"/>
        <v>0</v>
      </c>
      <c r="BJ77" s="4">
        <f t="shared" si="66"/>
        <v>0</v>
      </c>
      <c r="BK77" s="4">
        <f t="shared" si="66"/>
        <v>0</v>
      </c>
      <c r="BL77" s="4">
        <f t="shared" si="66"/>
        <v>0</v>
      </c>
      <c r="BM77" s="4">
        <f t="shared" si="66"/>
        <v>0</v>
      </c>
      <c r="BN77" s="4">
        <f t="shared" si="66"/>
        <v>0</v>
      </c>
      <c r="BO77" s="4">
        <f t="shared" si="66"/>
        <v>0</v>
      </c>
      <c r="BP77" s="4">
        <f t="shared" si="66"/>
        <v>0</v>
      </c>
      <c r="BQ77" s="4">
        <f t="shared" si="66"/>
        <v>0</v>
      </c>
      <c r="BR77" s="4">
        <f t="shared" si="66"/>
        <v>0</v>
      </c>
      <c r="BS77" s="4">
        <f t="shared" si="66"/>
        <v>0</v>
      </c>
      <c r="BT77" s="4">
        <f t="shared" si="66"/>
        <v>0</v>
      </c>
      <c r="BU77" s="4">
        <f t="shared" si="66"/>
        <v>0</v>
      </c>
      <c r="BV77" s="4">
        <f t="shared" si="66"/>
        <v>0</v>
      </c>
      <c r="BW77" s="4">
        <f t="shared" si="66"/>
        <v>0</v>
      </c>
      <c r="BX77" s="4">
        <f t="shared" si="66"/>
        <v>0</v>
      </c>
      <c r="BY77" s="4">
        <f t="shared" si="66"/>
        <v>656138.57999999996</v>
      </c>
      <c r="BZ77" s="4">
        <f t="shared" si="66"/>
        <v>0</v>
      </c>
      <c r="CA77" s="4">
        <f t="shared" ref="CA77:DF77" si="67">CA110</f>
        <v>659068.62</v>
      </c>
      <c r="CB77" s="4">
        <f t="shared" si="67"/>
        <v>0</v>
      </c>
      <c r="CC77" s="4">
        <f t="shared" si="67"/>
        <v>2930.04</v>
      </c>
      <c r="CD77" s="4">
        <f t="shared" si="67"/>
        <v>0</v>
      </c>
      <c r="CE77" s="4">
        <f t="shared" si="67"/>
        <v>656284.62</v>
      </c>
      <c r="CF77" s="4">
        <f t="shared" si="67"/>
        <v>146.04000000003725</v>
      </c>
      <c r="CG77" s="4">
        <f t="shared" si="67"/>
        <v>0</v>
      </c>
      <c r="CH77" s="4">
        <f t="shared" si="67"/>
        <v>146.04000000003725</v>
      </c>
      <c r="CI77" s="4">
        <f t="shared" si="67"/>
        <v>656138.57999999996</v>
      </c>
      <c r="CJ77" s="4">
        <f t="shared" si="67"/>
        <v>0</v>
      </c>
      <c r="CK77" s="4">
        <f t="shared" si="67"/>
        <v>0</v>
      </c>
      <c r="CL77" s="4">
        <f t="shared" si="67"/>
        <v>0</v>
      </c>
      <c r="CM77" s="4">
        <f t="shared" si="67"/>
        <v>0</v>
      </c>
      <c r="CN77" s="4">
        <f t="shared" si="67"/>
        <v>0</v>
      </c>
      <c r="CO77" s="4">
        <f t="shared" si="67"/>
        <v>0</v>
      </c>
      <c r="CP77" s="4">
        <f t="shared" si="67"/>
        <v>0</v>
      </c>
      <c r="CQ77" s="4">
        <f t="shared" si="67"/>
        <v>0</v>
      </c>
      <c r="CR77" s="4">
        <f t="shared" si="67"/>
        <v>0</v>
      </c>
      <c r="CS77" s="4">
        <f t="shared" si="67"/>
        <v>0</v>
      </c>
      <c r="CT77" s="4">
        <f t="shared" si="67"/>
        <v>0</v>
      </c>
      <c r="CU77" s="4">
        <f t="shared" si="67"/>
        <v>0</v>
      </c>
      <c r="CV77" s="4">
        <f t="shared" si="67"/>
        <v>0</v>
      </c>
      <c r="CW77" s="4">
        <f t="shared" si="67"/>
        <v>0</v>
      </c>
      <c r="CX77" s="4">
        <f t="shared" si="67"/>
        <v>0</v>
      </c>
      <c r="CY77" s="4">
        <f t="shared" si="67"/>
        <v>0</v>
      </c>
      <c r="CZ77" s="4">
        <f t="shared" si="67"/>
        <v>0</v>
      </c>
      <c r="DA77" s="4">
        <f t="shared" si="67"/>
        <v>0</v>
      </c>
      <c r="DB77" s="4">
        <f t="shared" si="67"/>
        <v>0</v>
      </c>
      <c r="DC77" s="4">
        <f t="shared" si="67"/>
        <v>0</v>
      </c>
      <c r="DD77" s="4">
        <f t="shared" si="67"/>
        <v>0</v>
      </c>
      <c r="DE77" s="4">
        <f t="shared" si="67"/>
        <v>0</v>
      </c>
      <c r="DF77" s="4">
        <f t="shared" si="67"/>
        <v>0</v>
      </c>
      <c r="DG77" s="5">
        <f t="shared" ref="DG77:EL77" si="68">DG110</f>
        <v>5031521.7</v>
      </c>
      <c r="DH77" s="5">
        <f t="shared" si="68"/>
        <v>4968811.7699999996</v>
      </c>
      <c r="DI77" s="5">
        <f t="shared" si="68"/>
        <v>3497.34</v>
      </c>
      <c r="DJ77" s="5">
        <f t="shared" si="68"/>
        <v>1342.26</v>
      </c>
      <c r="DK77" s="5">
        <f t="shared" si="68"/>
        <v>59212.59</v>
      </c>
      <c r="DL77" s="5">
        <f t="shared" si="68"/>
        <v>0</v>
      </c>
      <c r="DM77" s="5">
        <f t="shared" si="68"/>
        <v>84.43007999999999</v>
      </c>
      <c r="DN77" s="5">
        <f t="shared" si="68"/>
        <v>0</v>
      </c>
      <c r="DO77" s="5">
        <f t="shared" si="68"/>
        <v>0</v>
      </c>
      <c r="DP77" s="5">
        <f t="shared" si="68"/>
        <v>55798.23</v>
      </c>
      <c r="DQ77" s="5">
        <f t="shared" si="68"/>
        <v>29673.64</v>
      </c>
      <c r="DR77" s="5">
        <f t="shared" si="68"/>
        <v>0</v>
      </c>
      <c r="DS77" s="5">
        <f t="shared" si="68"/>
        <v>0</v>
      </c>
      <c r="DT77" s="5">
        <f t="shared" si="68"/>
        <v>5031521.7</v>
      </c>
      <c r="DU77" s="5">
        <f t="shared" si="68"/>
        <v>4968811.7699999996</v>
      </c>
      <c r="DV77" s="5">
        <f t="shared" si="68"/>
        <v>3497.34</v>
      </c>
      <c r="DW77" s="5">
        <f t="shared" si="68"/>
        <v>1342.26</v>
      </c>
      <c r="DX77" s="5">
        <f t="shared" si="68"/>
        <v>59212.59</v>
      </c>
      <c r="DY77" s="5">
        <f t="shared" si="68"/>
        <v>0</v>
      </c>
      <c r="DZ77" s="5">
        <f t="shared" si="68"/>
        <v>84.43007999999999</v>
      </c>
      <c r="EA77" s="5">
        <f t="shared" si="68"/>
        <v>0</v>
      </c>
      <c r="EB77" s="5">
        <f t="shared" si="68"/>
        <v>0</v>
      </c>
      <c r="EC77" s="5">
        <f t="shared" si="68"/>
        <v>55798.23</v>
      </c>
      <c r="ED77" s="5">
        <f t="shared" si="68"/>
        <v>29673.64</v>
      </c>
      <c r="EE77" s="5">
        <f t="shared" si="68"/>
        <v>0</v>
      </c>
      <c r="EF77" s="5">
        <f t="shared" si="68"/>
        <v>0</v>
      </c>
      <c r="EG77" s="5">
        <f t="shared" si="68"/>
        <v>0</v>
      </c>
      <c r="EH77" s="5">
        <f t="shared" si="68"/>
        <v>4966969.0599999996</v>
      </c>
      <c r="EI77" s="5">
        <f t="shared" si="68"/>
        <v>0</v>
      </c>
      <c r="EJ77" s="5">
        <f t="shared" si="68"/>
        <v>5116993.57</v>
      </c>
      <c r="EK77" s="5">
        <f t="shared" si="68"/>
        <v>0</v>
      </c>
      <c r="EL77" s="5">
        <f t="shared" si="68"/>
        <v>150024.51</v>
      </c>
      <c r="EM77" s="5">
        <f t="shared" ref="EM77:FR77" si="69">EM110</f>
        <v>0</v>
      </c>
      <c r="EN77" s="5">
        <f t="shared" si="69"/>
        <v>4968811.7699999996</v>
      </c>
      <c r="EO77" s="5">
        <f t="shared" si="69"/>
        <v>1842.71</v>
      </c>
      <c r="EP77" s="5">
        <f t="shared" si="69"/>
        <v>0</v>
      </c>
      <c r="EQ77" s="5">
        <f t="shared" si="69"/>
        <v>1842.71</v>
      </c>
      <c r="ER77" s="5">
        <f t="shared" si="69"/>
        <v>4966969.0599999996</v>
      </c>
      <c r="ES77" s="5">
        <f t="shared" si="69"/>
        <v>0</v>
      </c>
      <c r="ET77" s="5">
        <f t="shared" si="69"/>
        <v>0</v>
      </c>
      <c r="EU77" s="5">
        <f t="shared" si="69"/>
        <v>0</v>
      </c>
      <c r="EV77" s="5">
        <f t="shared" si="69"/>
        <v>0</v>
      </c>
      <c r="EW77" s="5">
        <f t="shared" si="69"/>
        <v>0</v>
      </c>
      <c r="EX77" s="5">
        <f t="shared" si="69"/>
        <v>0</v>
      </c>
      <c r="EY77" s="5">
        <f t="shared" si="69"/>
        <v>0</v>
      </c>
      <c r="EZ77" s="5">
        <f t="shared" si="69"/>
        <v>0</v>
      </c>
      <c r="FA77" s="5">
        <f t="shared" si="69"/>
        <v>0</v>
      </c>
      <c r="FB77" s="5">
        <f t="shared" si="69"/>
        <v>0</v>
      </c>
      <c r="FC77" s="5">
        <f t="shared" si="69"/>
        <v>0</v>
      </c>
      <c r="FD77" s="5">
        <f t="shared" si="69"/>
        <v>0</v>
      </c>
      <c r="FE77" s="5">
        <f t="shared" si="69"/>
        <v>0</v>
      </c>
      <c r="FF77" s="5">
        <f t="shared" si="69"/>
        <v>0</v>
      </c>
      <c r="FG77" s="5">
        <f t="shared" si="69"/>
        <v>0</v>
      </c>
      <c r="FH77" s="5">
        <f t="shared" si="69"/>
        <v>0</v>
      </c>
      <c r="FI77" s="5">
        <f t="shared" si="69"/>
        <v>0</v>
      </c>
      <c r="FJ77" s="5">
        <f t="shared" si="69"/>
        <v>0</v>
      </c>
      <c r="FK77" s="5">
        <f t="shared" si="69"/>
        <v>0</v>
      </c>
      <c r="FL77" s="5">
        <f t="shared" si="69"/>
        <v>0</v>
      </c>
      <c r="FM77" s="5">
        <f t="shared" si="69"/>
        <v>0</v>
      </c>
      <c r="FN77" s="5">
        <f t="shared" si="69"/>
        <v>0</v>
      </c>
      <c r="FO77" s="5">
        <f t="shared" si="69"/>
        <v>0</v>
      </c>
      <c r="FP77" s="5">
        <f t="shared" si="69"/>
        <v>0</v>
      </c>
      <c r="FQ77" s="5">
        <f t="shared" si="69"/>
        <v>4966969.0599999996</v>
      </c>
      <c r="FR77" s="5">
        <f t="shared" si="69"/>
        <v>0</v>
      </c>
      <c r="FS77" s="5">
        <f t="shared" ref="FS77:GX77" si="70">FS110</f>
        <v>5116993.57</v>
      </c>
      <c r="FT77" s="5">
        <f t="shared" si="70"/>
        <v>0</v>
      </c>
      <c r="FU77" s="5">
        <f t="shared" si="70"/>
        <v>150024.51</v>
      </c>
      <c r="FV77" s="5">
        <f t="shared" si="70"/>
        <v>0</v>
      </c>
      <c r="FW77" s="5">
        <f t="shared" si="70"/>
        <v>4968811.7699999996</v>
      </c>
      <c r="FX77" s="5">
        <f t="shared" si="70"/>
        <v>1842.7099999999627</v>
      </c>
      <c r="FY77" s="5">
        <f t="shared" si="70"/>
        <v>0</v>
      </c>
      <c r="FZ77" s="5">
        <f t="shared" si="70"/>
        <v>1842.7099999999627</v>
      </c>
      <c r="GA77" s="5">
        <f t="shared" si="70"/>
        <v>4966969.0599999996</v>
      </c>
      <c r="GB77" s="5">
        <f t="shared" si="70"/>
        <v>0</v>
      </c>
      <c r="GC77" s="5">
        <f t="shared" si="70"/>
        <v>0</v>
      </c>
      <c r="GD77" s="5">
        <f t="shared" si="70"/>
        <v>0</v>
      </c>
      <c r="GE77" s="5">
        <f t="shared" si="70"/>
        <v>0</v>
      </c>
      <c r="GF77" s="5">
        <f t="shared" si="70"/>
        <v>0</v>
      </c>
      <c r="GG77" s="5">
        <f t="shared" si="70"/>
        <v>0</v>
      </c>
      <c r="GH77" s="5">
        <f t="shared" si="70"/>
        <v>0</v>
      </c>
      <c r="GI77" s="5">
        <f t="shared" si="70"/>
        <v>0</v>
      </c>
      <c r="GJ77" s="5">
        <f t="shared" si="70"/>
        <v>0</v>
      </c>
      <c r="GK77" s="5">
        <f t="shared" si="70"/>
        <v>0</v>
      </c>
      <c r="GL77" s="5">
        <f t="shared" si="70"/>
        <v>0</v>
      </c>
      <c r="GM77" s="5">
        <f t="shared" si="70"/>
        <v>0</v>
      </c>
      <c r="GN77" s="5">
        <f t="shared" si="70"/>
        <v>0</v>
      </c>
      <c r="GO77" s="5">
        <f t="shared" si="70"/>
        <v>0</v>
      </c>
      <c r="GP77" s="5">
        <f t="shared" si="70"/>
        <v>0</v>
      </c>
      <c r="GQ77" s="5">
        <f t="shared" si="70"/>
        <v>0</v>
      </c>
      <c r="GR77" s="5">
        <f t="shared" si="70"/>
        <v>0</v>
      </c>
      <c r="GS77" s="5">
        <f t="shared" si="70"/>
        <v>0</v>
      </c>
      <c r="GT77" s="5">
        <f t="shared" si="70"/>
        <v>0</v>
      </c>
      <c r="GU77" s="5">
        <f t="shared" si="70"/>
        <v>0</v>
      </c>
      <c r="GV77" s="5">
        <f t="shared" si="70"/>
        <v>0</v>
      </c>
      <c r="GW77" s="5">
        <f t="shared" si="70"/>
        <v>0</v>
      </c>
      <c r="GX77" s="5">
        <f t="shared" si="70"/>
        <v>0</v>
      </c>
    </row>
    <row r="79" spans="1:255" ht="409.5" x14ac:dyDescent="0.25">
      <c r="A79" s="2">
        <v>17</v>
      </c>
      <c r="B79" s="2">
        <v>1</v>
      </c>
      <c r="C79" s="2">
        <f>ROW(SmtRes!A127)</f>
        <v>127</v>
      </c>
      <c r="D79" s="2">
        <f>ROW(EtalonRes!A153)</f>
        <v>153</v>
      </c>
      <c r="E79" s="2" t="s">
        <v>118</v>
      </c>
      <c r="F79" s="2" t="s">
        <v>24</v>
      </c>
      <c r="G79" s="2" t="s">
        <v>119</v>
      </c>
      <c r="H79" s="2" t="s">
        <v>26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ref="O79:O108" si="71">ROUND(CP79,2)</f>
        <v>146.72</v>
      </c>
      <c r="P79" s="2">
        <f t="shared" ref="P79:P88" si="72">ROUND((ROUND((AC79*AW79*I79),2)*BC79),2)</f>
        <v>12.35</v>
      </c>
      <c r="Q79" s="2">
        <f>(ROUND((ROUND((((ET79*1.2))*AV79*I79),2)*BB79),2)+ROUND((ROUND(((AE79-((EU79*1.2)))*AV79*I79),2)*BS79),2))</f>
        <v>36.07</v>
      </c>
      <c r="R79" s="2">
        <f>(ROUND((ROUND((((EU79*1.2))*AV79*I79),2)*BS79),2)+ROUND((ROUND(((AE79-((EU79*1.2)))*AV79*I79),2)*BS79),2))</f>
        <v>3.97</v>
      </c>
      <c r="S79" s="2">
        <f t="shared" ref="S79:S108" si="73">ROUND((ROUND((AF79*AV79*I79),2)*BA79),2)</f>
        <v>98.3</v>
      </c>
      <c r="T79" s="2">
        <f t="shared" ref="T79:T108" si="74">ROUND(CU79*I79,2)</f>
        <v>0</v>
      </c>
      <c r="U79" s="2">
        <f t="shared" ref="U79:U108" si="75">CV79*I79</f>
        <v>7.7896799999999988</v>
      </c>
      <c r="V79" s="2">
        <f t="shared" ref="V79:V108" si="76">CW79*I79</f>
        <v>0</v>
      </c>
      <c r="W79" s="2">
        <f t="shared" ref="W79:W108" si="77">ROUND(CX79*I79,2)</f>
        <v>0</v>
      </c>
      <c r="X79" s="2">
        <f>(ROUND((((S79+ROUND((ROUND((((EU79*1.2))*AV79*I79),2)*BS79),2))*AT79)/100),2)+ROUND(((ROUND((ROUND(((AE79-((EU79*1.2)))*AV79*I79),2)*BS79),2)*AT79)/100),2))</f>
        <v>92.04</v>
      </c>
      <c r="Y79" s="2">
        <f>(ROUND((((S79+ROUND((ROUND((((EU79*1.2))*AV79*I79),2)*BS79),2))*AU79)/100),2)+ROUND(((ROUND((ROUND(((AE79-((EU79*1.2)))*AV79*I79),2)*BS79),2)*AU79)/100),2))</f>
        <v>47.04</v>
      </c>
      <c r="Z79" s="2"/>
      <c r="AA79" s="2">
        <v>55934355</v>
      </c>
      <c r="AB79" s="2">
        <f t="shared" ref="AB79:AB108" si="78">ROUND((AC79+AD79+AF79),6)</f>
        <v>140.69</v>
      </c>
      <c r="AC79" s="2">
        <f>ROUND(((ES79*1)),6)</f>
        <v>12.35</v>
      </c>
      <c r="AD79" s="2">
        <f>ROUND(((((ET79*1.2))-((EU79*1.2)))+AE79),6)</f>
        <v>34.451999999999998</v>
      </c>
      <c r="AE79" s="2">
        <f>ROUND(((EU79*1.2)),6)</f>
        <v>3.7919999999999998</v>
      </c>
      <c r="AF79" s="2">
        <f>ROUND(((EV79*1.2)),6)</f>
        <v>93.888000000000005</v>
      </c>
      <c r="AG79" s="2">
        <f t="shared" ref="AG79:AG108" si="79">ROUND((AP79),6)</f>
        <v>0</v>
      </c>
      <c r="AH79" s="2">
        <f>((EW79*1.2))</f>
        <v>7.4399999999999995</v>
      </c>
      <c r="AI79" s="2">
        <f>((EX79*1.2))</f>
        <v>0</v>
      </c>
      <c r="AJ79" s="2">
        <f t="shared" ref="AJ79:AJ108" si="80">(AS79)</f>
        <v>0</v>
      </c>
      <c r="AK79" s="2">
        <v>119.3</v>
      </c>
      <c r="AL79" s="2">
        <v>12.35</v>
      </c>
      <c r="AM79" s="2">
        <v>28.71</v>
      </c>
      <c r="AN79" s="2">
        <v>3.16</v>
      </c>
      <c r="AO79" s="2">
        <v>78.239999999999995</v>
      </c>
      <c r="AP79" s="2">
        <v>0</v>
      </c>
      <c r="AQ79" s="2">
        <v>6.2</v>
      </c>
      <c r="AR79" s="2">
        <v>0</v>
      </c>
      <c r="AS79" s="2">
        <v>0</v>
      </c>
      <c r="AT79" s="2">
        <v>90</v>
      </c>
      <c r="AU79" s="2">
        <v>46</v>
      </c>
      <c r="AV79" s="2">
        <v>1.0469999999999999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0</v>
      </c>
      <c r="BI79" s="2">
        <v>2</v>
      </c>
      <c r="BJ79" s="2" t="s">
        <v>27</v>
      </c>
      <c r="BK79" s="2"/>
      <c r="BL79" s="2"/>
      <c r="BM79" s="2">
        <v>68</v>
      </c>
      <c r="BN79" s="2">
        <v>0</v>
      </c>
      <c r="BO79" s="2" t="s">
        <v>24</v>
      </c>
      <c r="BP79" s="2">
        <v>1</v>
      </c>
      <c r="BQ79" s="2">
        <v>40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90</v>
      </c>
      <c r="CA79" s="2">
        <v>46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11" t="s">
        <v>419</v>
      </c>
      <c r="CO79" s="2">
        <v>0</v>
      </c>
      <c r="CP79" s="2">
        <f t="shared" ref="CP79:CP108" si="81">(P79+Q79+S79)</f>
        <v>146.72</v>
      </c>
      <c r="CQ79" s="2">
        <f t="shared" ref="CQ79:CQ88" si="82">ROUND((ROUND((AC79*AW79*1),2)*BC79),2)</f>
        <v>12.35</v>
      </c>
      <c r="CR79" s="2">
        <f>(ROUND((ROUND((((ET79*1.2))*AV79*1),2)*BB79),2)+ROUND((ROUND(((AE79-((EU79*1.2)))*AV79*1),2)*BS79),2))</f>
        <v>36.07</v>
      </c>
      <c r="CS79" s="2">
        <f>(ROUND((ROUND((((EU79*1.2))*AV79*1),2)*BS79),2)+ROUND((ROUND(((AE79-((EU79*1.2)))*AV79*1),2)*BS79),2))</f>
        <v>3.97</v>
      </c>
      <c r="CT79" s="2">
        <f t="shared" ref="CT79:CT108" si="83">ROUND((ROUND((AF79*AV79*1),2)*BA79),2)</f>
        <v>98.3</v>
      </c>
      <c r="CU79" s="2">
        <f t="shared" ref="CU79:CU108" si="84">AG79</f>
        <v>0</v>
      </c>
      <c r="CV79" s="2">
        <f t="shared" ref="CV79:CV108" si="85">(AH79*AV79)</f>
        <v>7.7896799999999988</v>
      </c>
      <c r="CW79" s="2">
        <f t="shared" ref="CW79:CW108" si="86">AI79</f>
        <v>0</v>
      </c>
      <c r="CX79" s="2">
        <f t="shared" ref="CX79:CX108" si="87">AJ79</f>
        <v>0</v>
      </c>
      <c r="CY79" s="2">
        <f>(ROUND((((S79+ROUND((ROUND((((EU79*1.2))*AV79*1),2)*BS79),2))*AT79)/100),2)+ROUND(((ROUND((ROUND(((AE79-((EU79*1.2)))*AV79*1),2)*BS79),2)*AT79)/100),2))</f>
        <v>92.04</v>
      </c>
      <c r="CZ79" s="2">
        <f>(ROUND((((S79+ROUND((ROUND((((EU79*1.2))*AV79*1),2)*BS79),2))*AU79)/100),2)+ROUND(((ROUND((ROUND(((AE79-((EU79*1.2)))*AV79*1),2)*BS79),2)*AU79)/100),2))</f>
        <v>47.04</v>
      </c>
      <c r="DA79" s="2"/>
      <c r="DB79" s="2">
        <v>33</v>
      </c>
      <c r="DC79" s="2" t="s">
        <v>3</v>
      </c>
      <c r="DD79" s="2" t="s">
        <v>120</v>
      </c>
      <c r="DE79" s="2" t="s">
        <v>121</v>
      </c>
      <c r="DF79" s="2" t="s">
        <v>121</v>
      </c>
      <c r="DG79" s="2" t="s">
        <v>121</v>
      </c>
      <c r="DH79" s="2" t="s">
        <v>3</v>
      </c>
      <c r="DI79" s="2" t="s">
        <v>121</v>
      </c>
      <c r="DJ79" s="2" t="s">
        <v>121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1013</v>
      </c>
      <c r="DV79" s="2" t="s">
        <v>26</v>
      </c>
      <c r="DW79" s="2" t="s">
        <v>26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57042958</v>
      </c>
      <c r="EF79" s="2">
        <v>40</v>
      </c>
      <c r="EG79" s="2" t="s">
        <v>30</v>
      </c>
      <c r="EH79" s="2">
        <v>0</v>
      </c>
      <c r="EI79" s="2" t="s">
        <v>3</v>
      </c>
      <c r="EJ79" s="2">
        <v>2</v>
      </c>
      <c r="EK79" s="2">
        <v>68</v>
      </c>
      <c r="EL79" s="2" t="s">
        <v>31</v>
      </c>
      <c r="EM79" s="2" t="s">
        <v>32</v>
      </c>
      <c r="EN79" s="2"/>
      <c r="EO79" s="2" t="s">
        <v>122</v>
      </c>
      <c r="EP79" s="2"/>
      <c r="EQ79" s="2">
        <v>0</v>
      </c>
      <c r="ER79" s="2">
        <v>119.3</v>
      </c>
      <c r="ES79" s="2">
        <v>12.35</v>
      </c>
      <c r="ET79" s="2">
        <v>28.71</v>
      </c>
      <c r="EU79" s="2">
        <v>3.16</v>
      </c>
      <c r="EV79" s="2">
        <v>78.239999999999995</v>
      </c>
      <c r="EW79" s="2">
        <v>6.2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v>0</v>
      </c>
      <c r="FS79" s="2">
        <v>0</v>
      </c>
      <c r="FT79" s="2"/>
      <c r="FU79" s="2"/>
      <c r="FV79" s="2"/>
      <c r="FW79" s="2"/>
      <c r="FX79" s="2">
        <v>90</v>
      </c>
      <c r="FY79" s="2">
        <v>46</v>
      </c>
      <c r="FZ79" s="2"/>
      <c r="GA79" s="2" t="s">
        <v>3</v>
      </c>
      <c r="GB79" s="2"/>
      <c r="GC79" s="2"/>
      <c r="GD79" s="2">
        <v>1</v>
      </c>
      <c r="GE79" s="2"/>
      <c r="GF79" s="2">
        <v>982292204</v>
      </c>
      <c r="GG79" s="2">
        <v>2</v>
      </c>
      <c r="GH79" s="2">
        <v>1</v>
      </c>
      <c r="GI79" s="2">
        <v>2</v>
      </c>
      <c r="GJ79" s="2">
        <v>0</v>
      </c>
      <c r="GK79" s="2">
        <v>0</v>
      </c>
      <c r="GL79" s="2">
        <f t="shared" ref="GL79:GL108" si="88">ROUND(IF(AND(BH79=3,BI79=3,FS79&lt;&gt;0),P79,0),2)</f>
        <v>0</v>
      </c>
      <c r="GM79" s="2">
        <f t="shared" ref="GM79:GM108" si="89">ROUND(O79+X79+Y79,2)+GX79</f>
        <v>285.8</v>
      </c>
      <c r="GN79" s="2">
        <f t="shared" ref="GN79:GN108" si="90">IF(OR(BI79=0,BI79=1),GM79-GX79,0)</f>
        <v>0</v>
      </c>
      <c r="GO79" s="2">
        <f t="shared" ref="GO79:GO108" si="91">IF(BI79=2,GM79-GX79,0)</f>
        <v>285.8</v>
      </c>
      <c r="GP79" s="2">
        <f t="shared" ref="GP79:GP108" si="92">IF(BI79=4,GM79-GX79,0)</f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ref="GV79:GV108" si="93">ROUND((GT79),6)</f>
        <v>0</v>
      </c>
      <c r="GW79" s="2">
        <v>1</v>
      </c>
      <c r="GX79" s="2">
        <f t="shared" ref="GX79:GX108" si="94">ROUND(HC79*I79,2)</f>
        <v>0</v>
      </c>
      <c r="GY79" s="2"/>
      <c r="GZ79" s="2"/>
      <c r="HA79" s="2">
        <v>0</v>
      </c>
      <c r="HB79" s="2">
        <v>0</v>
      </c>
      <c r="HC79" s="2">
        <f t="shared" ref="HC79:HC108" si="95">GV79*GW79</f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ht="409.5" x14ac:dyDescent="0.25">
      <c r="A80" s="3">
        <v>17</v>
      </c>
      <c r="B80" s="3">
        <v>1</v>
      </c>
      <c r="C80" s="3">
        <f>ROW(SmtRes!A132)</f>
        <v>132</v>
      </c>
      <c r="D80" s="3">
        <f>ROW(EtalonRes!A158)</f>
        <v>158</v>
      </c>
      <c r="E80" s="3" t="s">
        <v>118</v>
      </c>
      <c r="F80" s="3" t="s">
        <v>24</v>
      </c>
      <c r="G80" s="3" t="s">
        <v>119</v>
      </c>
      <c r="H80" s="3" t="s">
        <v>26</v>
      </c>
      <c r="I80" s="3">
        <v>1</v>
      </c>
      <c r="J80" s="3">
        <v>0</v>
      </c>
      <c r="K80" s="3">
        <v>1</v>
      </c>
      <c r="L80" s="3"/>
      <c r="M80" s="3"/>
      <c r="N80" s="3"/>
      <c r="O80" s="3">
        <f t="shared" si="71"/>
        <v>6303.65</v>
      </c>
      <c r="P80" s="3">
        <f t="shared" si="72"/>
        <v>181.55</v>
      </c>
      <c r="Q80" s="3">
        <f>(ROUND((ROUND((((ET80*1.2))*AV80*I80),2)*BB80),2)+ROUND((ROUND(((AE80-((EU80*1.2)))*AV80*I80),2)*BS80),2))</f>
        <v>582.89</v>
      </c>
      <c r="R80" s="3">
        <f>(ROUND((ROUND((((EU80*1.2))*AV80*I80),2)*BS80),2)+ROUND((ROUND(((AE80-((EU80*1.2)))*AV80*I80),2)*BS80),2))</f>
        <v>223.71</v>
      </c>
      <c r="S80" s="3">
        <f t="shared" si="73"/>
        <v>5539.21</v>
      </c>
      <c r="T80" s="3">
        <f t="shared" si="74"/>
        <v>0</v>
      </c>
      <c r="U80" s="3">
        <f t="shared" si="75"/>
        <v>7.7896799999999988</v>
      </c>
      <c r="V80" s="3">
        <f t="shared" si="76"/>
        <v>0</v>
      </c>
      <c r="W80" s="3">
        <f t="shared" si="77"/>
        <v>0</v>
      </c>
      <c r="X80" s="3">
        <f>(ROUND((((S80+ROUND((ROUND((((EU80*1.2))*AV80*I80),2)*BS80),2))*AT80)/100),2)+ROUND(((ROUND((ROUND(((AE80-((EU80*1.2)))*AV80*I80),2)*BS80),2)*AT80)/100),2))</f>
        <v>5186.63</v>
      </c>
      <c r="Y80" s="3">
        <f>(ROUND((((S80+ROUND((ROUND((((EU80*1.2))*AV80*I80),2)*BS80),2))*AU80)/100),2)+ROUND(((ROUND((ROUND(((AE80-((EU80*1.2)))*AV80*I80),2)*BS80),2)*AU80)/100),2))</f>
        <v>2650.94</v>
      </c>
      <c r="Z80" s="3"/>
      <c r="AA80" s="3">
        <v>55934357</v>
      </c>
      <c r="AB80" s="3">
        <f t="shared" si="78"/>
        <v>140.69</v>
      </c>
      <c r="AC80" s="3">
        <f>ROUND(((ES80*1)),6)</f>
        <v>12.35</v>
      </c>
      <c r="AD80" s="3">
        <f>ROUND(((((ET80*1.2))-((EU80*1.2)))+AE80),6)</f>
        <v>34.451999999999998</v>
      </c>
      <c r="AE80" s="3">
        <f>ROUND(((EU80*1.2)),6)</f>
        <v>3.7919999999999998</v>
      </c>
      <c r="AF80" s="3">
        <f>ROUND(((EV80*1.2)),6)</f>
        <v>93.888000000000005</v>
      </c>
      <c r="AG80" s="3">
        <f t="shared" si="79"/>
        <v>0</v>
      </c>
      <c r="AH80" s="3">
        <f>((EW80*1.2))</f>
        <v>7.4399999999999995</v>
      </c>
      <c r="AI80" s="3">
        <f>((EX80*1.2))</f>
        <v>0</v>
      </c>
      <c r="AJ80" s="3">
        <f t="shared" si="80"/>
        <v>0</v>
      </c>
      <c r="AK80" s="3">
        <v>119.3</v>
      </c>
      <c r="AL80" s="3">
        <v>12.35</v>
      </c>
      <c r="AM80" s="3">
        <v>28.71</v>
      </c>
      <c r="AN80" s="3">
        <v>3.16</v>
      </c>
      <c r="AO80" s="3">
        <v>78.239999999999995</v>
      </c>
      <c r="AP80" s="3">
        <v>0</v>
      </c>
      <c r="AQ80" s="3">
        <v>6.2</v>
      </c>
      <c r="AR80" s="3">
        <v>0</v>
      </c>
      <c r="AS80" s="3">
        <v>0</v>
      </c>
      <c r="AT80" s="3">
        <v>90</v>
      </c>
      <c r="AU80" s="3">
        <v>46</v>
      </c>
      <c r="AV80" s="3">
        <v>1.0469999999999999</v>
      </c>
      <c r="AW80" s="3">
        <v>1</v>
      </c>
      <c r="AX80" s="3"/>
      <c r="AY80" s="3"/>
      <c r="AZ80" s="3">
        <v>1</v>
      </c>
      <c r="BA80" s="3">
        <v>56.35</v>
      </c>
      <c r="BB80" s="3">
        <v>16.16</v>
      </c>
      <c r="BC80" s="3">
        <v>14.7</v>
      </c>
      <c r="BD80" s="3" t="s">
        <v>3</v>
      </c>
      <c r="BE80" s="3" t="s">
        <v>3</v>
      </c>
      <c r="BF80" s="3" t="s">
        <v>3</v>
      </c>
      <c r="BG80" s="3" t="s">
        <v>3</v>
      </c>
      <c r="BH80" s="3">
        <v>0</v>
      </c>
      <c r="BI80" s="3">
        <v>2</v>
      </c>
      <c r="BJ80" s="3" t="s">
        <v>27</v>
      </c>
      <c r="BK80" s="3"/>
      <c r="BL80" s="3"/>
      <c r="BM80" s="3">
        <v>68</v>
      </c>
      <c r="BN80" s="3">
        <v>0</v>
      </c>
      <c r="BO80" s="3" t="s">
        <v>24</v>
      </c>
      <c r="BP80" s="3">
        <v>1</v>
      </c>
      <c r="BQ80" s="3">
        <v>40</v>
      </c>
      <c r="BR80" s="3">
        <v>0</v>
      </c>
      <c r="BS80" s="3">
        <v>56.35</v>
      </c>
      <c r="BT80" s="3">
        <v>1</v>
      </c>
      <c r="BU80" s="3">
        <v>1</v>
      </c>
      <c r="BV80" s="3">
        <v>1</v>
      </c>
      <c r="BW80" s="3">
        <v>1</v>
      </c>
      <c r="BX80" s="3">
        <v>1</v>
      </c>
      <c r="BY80" s="3" t="s">
        <v>3</v>
      </c>
      <c r="BZ80" s="3">
        <v>90</v>
      </c>
      <c r="CA80" s="3">
        <v>46</v>
      </c>
      <c r="CB80" s="3" t="s">
        <v>3</v>
      </c>
      <c r="CC80" s="3"/>
      <c r="CD80" s="3"/>
      <c r="CE80" s="3">
        <v>1566</v>
      </c>
      <c r="CF80" s="3">
        <v>0</v>
      </c>
      <c r="CG80" s="3">
        <v>0</v>
      </c>
      <c r="CH80" s="3"/>
      <c r="CI80" s="3"/>
      <c r="CJ80" s="3"/>
      <c r="CK80" s="3"/>
      <c r="CL80" s="3"/>
      <c r="CM80" s="3">
        <v>0</v>
      </c>
      <c r="CN80" s="12" t="s">
        <v>419</v>
      </c>
      <c r="CO80" s="3">
        <v>0</v>
      </c>
      <c r="CP80" s="3">
        <f t="shared" si="81"/>
        <v>6303.65</v>
      </c>
      <c r="CQ80" s="3">
        <f t="shared" si="82"/>
        <v>181.55</v>
      </c>
      <c r="CR80" s="3">
        <f>(ROUND((ROUND((((ET80*1.2))*AV80*1),2)*BB80),2)+ROUND((ROUND(((AE80-((EU80*1.2)))*AV80*1),2)*BS80),2))</f>
        <v>582.89</v>
      </c>
      <c r="CS80" s="3">
        <f>(ROUND((ROUND((((EU80*1.2))*AV80*1),2)*BS80),2)+ROUND((ROUND(((AE80-((EU80*1.2)))*AV80*1),2)*BS80),2))</f>
        <v>223.71</v>
      </c>
      <c r="CT80" s="3">
        <f t="shared" si="83"/>
        <v>5539.21</v>
      </c>
      <c r="CU80" s="3">
        <f t="shared" si="84"/>
        <v>0</v>
      </c>
      <c r="CV80" s="3">
        <f t="shared" si="85"/>
        <v>7.7896799999999988</v>
      </c>
      <c r="CW80" s="3">
        <f t="shared" si="86"/>
        <v>0</v>
      </c>
      <c r="CX80" s="3">
        <f t="shared" si="87"/>
        <v>0</v>
      </c>
      <c r="CY80" s="3">
        <f>(ROUND((((S80+ROUND((ROUND((((EU80*1.2))*AV80*1),2)*BS80),2))*AT80)/100),2)+ROUND(((ROUND((ROUND(((AE80-((EU80*1.2)))*AV80*1),2)*BS80),2)*AT80)/100),2))</f>
        <v>5186.63</v>
      </c>
      <c r="CZ80" s="3">
        <f>(ROUND((((S80+ROUND((ROUND((((EU80*1.2))*AV80*1),2)*BS80),2))*AU80)/100),2)+ROUND(((ROUND((ROUND(((AE80-((EU80*1.2)))*AV80*1),2)*BS80),2)*AU80)/100),2))</f>
        <v>2650.94</v>
      </c>
      <c r="DA80" s="3"/>
      <c r="DB80" s="3">
        <v>34</v>
      </c>
      <c r="DC80" s="3" t="s">
        <v>3</v>
      </c>
      <c r="DD80" s="3" t="s">
        <v>120</v>
      </c>
      <c r="DE80" s="3" t="s">
        <v>121</v>
      </c>
      <c r="DF80" s="3" t="s">
        <v>121</v>
      </c>
      <c r="DG80" s="3" t="s">
        <v>121</v>
      </c>
      <c r="DH80" s="3" t="s">
        <v>3</v>
      </c>
      <c r="DI80" s="3" t="s">
        <v>121</v>
      </c>
      <c r="DJ80" s="3" t="s">
        <v>121</v>
      </c>
      <c r="DK80" s="3" t="s">
        <v>3</v>
      </c>
      <c r="DL80" s="3" t="s">
        <v>3</v>
      </c>
      <c r="DM80" s="3" t="s">
        <v>3</v>
      </c>
      <c r="DN80" s="3">
        <v>0</v>
      </c>
      <c r="DO80" s="3">
        <v>0</v>
      </c>
      <c r="DP80" s="3">
        <v>1</v>
      </c>
      <c r="DQ80" s="3">
        <v>1</v>
      </c>
      <c r="DR80" s="3"/>
      <c r="DS80" s="3"/>
      <c r="DT80" s="3"/>
      <c r="DU80" s="3">
        <v>1013</v>
      </c>
      <c r="DV80" s="3" t="s">
        <v>26</v>
      </c>
      <c r="DW80" s="3" t="s">
        <v>26</v>
      </c>
      <c r="DX80" s="3">
        <v>1</v>
      </c>
      <c r="DY80" s="3"/>
      <c r="DZ80" s="3" t="s">
        <v>3</v>
      </c>
      <c r="EA80" s="3" t="s">
        <v>3</v>
      </c>
      <c r="EB80" s="3" t="s">
        <v>3</v>
      </c>
      <c r="EC80" s="3" t="s">
        <v>3</v>
      </c>
      <c r="ED80" s="3"/>
      <c r="EE80" s="3">
        <v>57042958</v>
      </c>
      <c r="EF80" s="3">
        <v>40</v>
      </c>
      <c r="EG80" s="3" t="s">
        <v>30</v>
      </c>
      <c r="EH80" s="3">
        <v>0</v>
      </c>
      <c r="EI80" s="3" t="s">
        <v>3</v>
      </c>
      <c r="EJ80" s="3">
        <v>2</v>
      </c>
      <c r="EK80" s="3">
        <v>68</v>
      </c>
      <c r="EL80" s="3" t="s">
        <v>31</v>
      </c>
      <c r="EM80" s="3" t="s">
        <v>32</v>
      </c>
      <c r="EN80" s="3"/>
      <c r="EO80" s="3" t="s">
        <v>122</v>
      </c>
      <c r="EP80" s="3"/>
      <c r="EQ80" s="3">
        <v>0</v>
      </c>
      <c r="ER80" s="3">
        <v>119.3</v>
      </c>
      <c r="ES80" s="3">
        <v>12.35</v>
      </c>
      <c r="ET80" s="3">
        <v>28.71</v>
      </c>
      <c r="EU80" s="3">
        <v>3.16</v>
      </c>
      <c r="EV80" s="3">
        <v>78.239999999999995</v>
      </c>
      <c r="EW80" s="3">
        <v>6.2</v>
      </c>
      <c r="EX80" s="3">
        <v>0</v>
      </c>
      <c r="EY80" s="3">
        <v>0</v>
      </c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>
        <v>0</v>
      </c>
      <c r="FR80" s="3">
        <v>0</v>
      </c>
      <c r="FS80" s="3">
        <v>0</v>
      </c>
      <c r="FT80" s="3"/>
      <c r="FU80" s="3"/>
      <c r="FV80" s="3"/>
      <c r="FW80" s="3"/>
      <c r="FX80" s="3">
        <v>90</v>
      </c>
      <c r="FY80" s="3">
        <v>46</v>
      </c>
      <c r="FZ80" s="3"/>
      <c r="GA80" s="3" t="s">
        <v>3</v>
      </c>
      <c r="GB80" s="3"/>
      <c r="GC80" s="3"/>
      <c r="GD80" s="3">
        <v>1</v>
      </c>
      <c r="GE80" s="3"/>
      <c r="GF80" s="3">
        <v>982292204</v>
      </c>
      <c r="GG80" s="3">
        <v>2</v>
      </c>
      <c r="GH80" s="3">
        <v>1</v>
      </c>
      <c r="GI80" s="3">
        <v>2</v>
      </c>
      <c r="GJ80" s="3">
        <v>0</v>
      </c>
      <c r="GK80" s="3">
        <v>0</v>
      </c>
      <c r="GL80" s="3">
        <f t="shared" si="88"/>
        <v>0</v>
      </c>
      <c r="GM80" s="3">
        <f t="shared" si="89"/>
        <v>14141.22</v>
      </c>
      <c r="GN80" s="3">
        <f t="shared" si="90"/>
        <v>0</v>
      </c>
      <c r="GO80" s="3">
        <f t="shared" si="91"/>
        <v>14141.22</v>
      </c>
      <c r="GP80" s="3">
        <f t="shared" si="92"/>
        <v>0</v>
      </c>
      <c r="GQ80" s="3"/>
      <c r="GR80" s="3">
        <v>0</v>
      </c>
      <c r="GS80" s="3">
        <v>3</v>
      </c>
      <c r="GT80" s="3">
        <v>0</v>
      </c>
      <c r="GU80" s="3" t="s">
        <v>3</v>
      </c>
      <c r="GV80" s="3">
        <f t="shared" si="93"/>
        <v>0</v>
      </c>
      <c r="GW80" s="3">
        <v>1</v>
      </c>
      <c r="GX80" s="3">
        <f t="shared" si="94"/>
        <v>0</v>
      </c>
      <c r="GY80" s="3"/>
      <c r="GZ80" s="3"/>
      <c r="HA80" s="3">
        <v>0</v>
      </c>
      <c r="HB80" s="3">
        <v>0</v>
      </c>
      <c r="HC80" s="3">
        <f t="shared" si="95"/>
        <v>0</v>
      </c>
      <c r="HD80" s="3"/>
      <c r="HE80" s="3" t="s">
        <v>3</v>
      </c>
      <c r="HF80" s="3" t="s">
        <v>3</v>
      </c>
      <c r="HG80" s="3"/>
      <c r="HH80" s="3"/>
      <c r="HI80" s="3"/>
      <c r="HJ80" s="3"/>
      <c r="HK80" s="3"/>
      <c r="HL80" s="3"/>
      <c r="HM80" s="3" t="s">
        <v>3</v>
      </c>
      <c r="HN80" s="3" t="s">
        <v>3</v>
      </c>
      <c r="HO80" s="3" t="s">
        <v>3</v>
      </c>
      <c r="HP80" s="3" t="s">
        <v>3</v>
      </c>
      <c r="HQ80" s="3" t="s">
        <v>3</v>
      </c>
      <c r="HR80" s="3"/>
      <c r="HS80" s="3">
        <v>0</v>
      </c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>
        <v>0</v>
      </c>
      <c r="IL80" s="3"/>
      <c r="IM80" s="3"/>
      <c r="IN80" s="3"/>
      <c r="IO80" s="3"/>
      <c r="IP80" s="3"/>
      <c r="IQ80" s="3"/>
      <c r="IR80" s="3"/>
      <c r="IS80" s="3"/>
      <c r="IT80" s="3"/>
      <c r="IU80" s="3"/>
    </row>
    <row r="81" spans="1:255" ht="409.5" x14ac:dyDescent="0.25">
      <c r="A81" s="2">
        <v>18</v>
      </c>
      <c r="B81" s="2">
        <v>1</v>
      </c>
      <c r="C81" s="2">
        <v>127</v>
      </c>
      <c r="D81" s="2"/>
      <c r="E81" s="2" t="s">
        <v>123</v>
      </c>
      <c r="F81" s="2" t="s">
        <v>124</v>
      </c>
      <c r="G81" s="2" t="s">
        <v>125</v>
      </c>
      <c r="H81" s="2" t="s">
        <v>126</v>
      </c>
      <c r="I81" s="2">
        <f>I79*J81</f>
        <v>1</v>
      </c>
      <c r="J81" s="2">
        <v>1</v>
      </c>
      <c r="K81" s="2">
        <v>1</v>
      </c>
      <c r="L81" s="2"/>
      <c r="M81" s="2"/>
      <c r="N81" s="2"/>
      <c r="O81" s="2">
        <f t="shared" si="71"/>
        <v>50603.12</v>
      </c>
      <c r="P81" s="2">
        <f t="shared" si="72"/>
        <v>50603.12</v>
      </c>
      <c r="Q81" s="2">
        <f>(ROUND((ROUND(((ET81)*AV81*I81),2)*BB81),2)+ROUND((ROUND(((AE81-(EU81))*AV81*I81),2)*BS81),2))</f>
        <v>0</v>
      </c>
      <c r="R81" s="2">
        <f>(ROUND((ROUND(((EU81)*AV81*I81),2)*BS81),2)+ROUND((ROUND(((AE81-(EU81))*AV81*I81),2)*BS81),2))</f>
        <v>0</v>
      </c>
      <c r="S81" s="2">
        <f t="shared" si="73"/>
        <v>0</v>
      </c>
      <c r="T81" s="2">
        <f t="shared" si="74"/>
        <v>0</v>
      </c>
      <c r="U81" s="2">
        <f t="shared" si="75"/>
        <v>0</v>
      </c>
      <c r="V81" s="2">
        <f t="shared" si="76"/>
        <v>0</v>
      </c>
      <c r="W81" s="2">
        <f t="shared" si="77"/>
        <v>0</v>
      </c>
      <c r="X81" s="2">
        <f>(ROUND((((S81+ROUND((ROUND(((EU81)*AV81*I81),2)*BS81),2))*AT81)/100),2)+ROUND(((ROUND((ROUND(((AE81-(EU81))*AV81*I81),2)*BS81),2)*AT81)/100),2))</f>
        <v>0</v>
      </c>
      <c r="Y81" s="2">
        <f>(ROUND((((S81+ROUND((ROUND(((EU81)*AV81*I81),2)*BS81),2))*AU81)/100),2)+ROUND(((ROUND((ROUND(((AE81-(EU81))*AV81*I81),2)*BS81),2)*AU81)/100),2))</f>
        <v>0</v>
      </c>
      <c r="Z81" s="2"/>
      <c r="AA81" s="2">
        <v>55934355</v>
      </c>
      <c r="AB81" s="2">
        <f t="shared" si="78"/>
        <v>50603.12</v>
      </c>
      <c r="AC81" s="2">
        <f>ROUND((ES81),6)</f>
        <v>50603.12</v>
      </c>
      <c r="AD81" s="2">
        <f>ROUND((((ET81)-(EU81))+AE81),6)</f>
        <v>0</v>
      </c>
      <c r="AE81" s="2">
        <f>ROUND((EU81),6)</f>
        <v>0</v>
      </c>
      <c r="AF81" s="2">
        <f>ROUND((EV81),6)</f>
        <v>0</v>
      </c>
      <c r="AG81" s="2">
        <f t="shared" si="79"/>
        <v>0</v>
      </c>
      <c r="AH81" s="2">
        <f>(EW81)</f>
        <v>0</v>
      </c>
      <c r="AI81" s="2">
        <f>(EX81)</f>
        <v>0</v>
      </c>
      <c r="AJ81" s="2">
        <f t="shared" si="80"/>
        <v>0</v>
      </c>
      <c r="AK81" s="2">
        <v>50603.12</v>
      </c>
      <c r="AL81" s="2">
        <v>50603.12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3</v>
      </c>
      <c r="BJ81" s="2" t="s">
        <v>124</v>
      </c>
      <c r="BK81" s="2"/>
      <c r="BL81" s="2"/>
      <c r="BM81" s="2">
        <v>400007</v>
      </c>
      <c r="BN81" s="2">
        <v>0</v>
      </c>
      <c r="BO81" s="2" t="s">
        <v>3</v>
      </c>
      <c r="BP81" s="2">
        <v>0</v>
      </c>
      <c r="BQ81" s="2">
        <v>214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90</v>
      </c>
      <c r="CA81" s="2">
        <v>46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11" t="s">
        <v>420</v>
      </c>
      <c r="CO81" s="2">
        <v>0</v>
      </c>
      <c r="CP81" s="2">
        <f t="shared" si="81"/>
        <v>50603.12</v>
      </c>
      <c r="CQ81" s="2">
        <f t="shared" si="82"/>
        <v>50603.12</v>
      </c>
      <c r="CR81" s="2">
        <f>(ROUND((ROUND(((ET81)*AV81*1),2)*BB81),2)+ROUND((ROUND(((AE81-(EU81))*AV81*1),2)*BS81),2))</f>
        <v>0</v>
      </c>
      <c r="CS81" s="2">
        <f>(ROUND((ROUND(((EU81)*AV81*1),2)*BS81),2)+ROUND((ROUND(((AE81-(EU81))*AV81*1),2)*BS81),2))</f>
        <v>0</v>
      </c>
      <c r="CT81" s="2">
        <f t="shared" si="83"/>
        <v>0</v>
      </c>
      <c r="CU81" s="2">
        <f t="shared" si="84"/>
        <v>0</v>
      </c>
      <c r="CV81" s="2">
        <f t="shared" si="85"/>
        <v>0</v>
      </c>
      <c r="CW81" s="2">
        <f t="shared" si="86"/>
        <v>0</v>
      </c>
      <c r="CX81" s="2">
        <f t="shared" si="87"/>
        <v>0</v>
      </c>
      <c r="CY81" s="2">
        <f>(ROUND((((S81+ROUND((ROUND(((EU81)*AV81*1),2)*BS81),2))*AT81)/100),2)+ROUND(((ROUND((ROUND(((AE81-(EU81))*AV81*1),2)*BS81),2)*AT81)/100),2))</f>
        <v>0</v>
      </c>
      <c r="CZ81" s="2">
        <f>(ROUND((((S81+ROUND((ROUND(((EU81)*AV81*1),2)*BS81),2))*AU81)/100),2)+ROUND(((ROUND((ROUND(((AE81-(EU81))*AV81*1),2)*BS81),2)*AU81)/100),2))</f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1013</v>
      </c>
      <c r="DV81" s="2" t="s">
        <v>126</v>
      </c>
      <c r="DW81" s="2" t="s">
        <v>126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57042890</v>
      </c>
      <c r="EF81" s="2">
        <v>214</v>
      </c>
      <c r="EG81" s="2" t="s">
        <v>127</v>
      </c>
      <c r="EH81" s="2">
        <v>0</v>
      </c>
      <c r="EI81" s="2" t="s">
        <v>3</v>
      </c>
      <c r="EJ81" s="2">
        <v>3</v>
      </c>
      <c r="EK81" s="2">
        <v>400007</v>
      </c>
      <c r="EL81" s="2" t="s">
        <v>127</v>
      </c>
      <c r="EM81" s="2" t="s">
        <v>128</v>
      </c>
      <c r="EN81" s="2"/>
      <c r="EO81" s="2" t="s">
        <v>122</v>
      </c>
      <c r="EP81" s="2"/>
      <c r="EQ81" s="2">
        <v>16</v>
      </c>
      <c r="ER81" s="2">
        <v>0</v>
      </c>
      <c r="ES81" s="2">
        <v>50603.12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f>P81</f>
        <v>50603.12</v>
      </c>
      <c r="FS81" s="2">
        <v>0</v>
      </c>
      <c r="FT81" s="2"/>
      <c r="FU81" s="2"/>
      <c r="FV81" s="2"/>
      <c r="FW81" s="2"/>
      <c r="FX81" s="2">
        <v>90</v>
      </c>
      <c r="FY81" s="2">
        <v>46</v>
      </c>
      <c r="FZ81" s="2"/>
      <c r="GA81" s="2" t="s">
        <v>129</v>
      </c>
      <c r="GB81" s="2"/>
      <c r="GC81" s="2"/>
      <c r="GD81" s="2">
        <v>1</v>
      </c>
      <c r="GE81" s="2"/>
      <c r="GF81" s="2">
        <v>176370574</v>
      </c>
      <c r="GG81" s="2">
        <v>2</v>
      </c>
      <c r="GH81" s="2">
        <v>4</v>
      </c>
      <c r="GI81" s="2">
        <v>-2</v>
      </c>
      <c r="GJ81" s="2">
        <v>0</v>
      </c>
      <c r="GK81" s="2">
        <v>0</v>
      </c>
      <c r="GL81" s="2">
        <f t="shared" si="88"/>
        <v>0</v>
      </c>
      <c r="GM81" s="2">
        <f t="shared" si="89"/>
        <v>50603.12</v>
      </c>
      <c r="GN81" s="2">
        <f t="shared" si="90"/>
        <v>0</v>
      </c>
      <c r="GO81" s="2">
        <f t="shared" si="91"/>
        <v>0</v>
      </c>
      <c r="GP81" s="2">
        <f t="shared" si="92"/>
        <v>0</v>
      </c>
      <c r="GQ81" s="2"/>
      <c r="GR81" s="2">
        <v>1</v>
      </c>
      <c r="GS81" s="2">
        <v>2</v>
      </c>
      <c r="GT81" s="2">
        <v>0</v>
      </c>
      <c r="GU81" s="2" t="s">
        <v>3</v>
      </c>
      <c r="GV81" s="2">
        <f t="shared" si="93"/>
        <v>0</v>
      </c>
      <c r="GW81" s="2">
        <v>1</v>
      </c>
      <c r="GX81" s="2">
        <f t="shared" si="94"/>
        <v>0</v>
      </c>
      <c r="GY81" s="2"/>
      <c r="GZ81" s="2"/>
      <c r="HA81" s="2">
        <v>0</v>
      </c>
      <c r="HB81" s="2">
        <v>0</v>
      </c>
      <c r="HC81" s="2">
        <f t="shared" si="95"/>
        <v>0</v>
      </c>
      <c r="HD81" s="2"/>
      <c r="HE81" s="2" t="s">
        <v>41</v>
      </c>
      <c r="HF81" s="2" t="s">
        <v>130</v>
      </c>
      <c r="HG81" s="2"/>
      <c r="HH81" s="2"/>
      <c r="HI81" s="2"/>
      <c r="HJ81" s="2"/>
      <c r="HK81" s="2"/>
      <c r="HL81" s="2"/>
      <c r="HM81" s="2" t="s">
        <v>120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ht="409.5" x14ac:dyDescent="0.25">
      <c r="A82" s="3">
        <v>18</v>
      </c>
      <c r="B82" s="3">
        <v>1</v>
      </c>
      <c r="C82" s="3">
        <v>132</v>
      </c>
      <c r="D82" s="3"/>
      <c r="E82" s="3" t="s">
        <v>123</v>
      </c>
      <c r="F82" s="3" t="s">
        <v>124</v>
      </c>
      <c r="G82" s="3" t="s">
        <v>125</v>
      </c>
      <c r="H82" s="3" t="s">
        <v>126</v>
      </c>
      <c r="I82" s="3">
        <f>I80*J82</f>
        <v>1</v>
      </c>
      <c r="J82" s="3">
        <v>1</v>
      </c>
      <c r="K82" s="3">
        <v>1</v>
      </c>
      <c r="L82" s="3"/>
      <c r="M82" s="3"/>
      <c r="N82" s="3"/>
      <c r="O82" s="3">
        <f t="shared" si="71"/>
        <v>383065.62</v>
      </c>
      <c r="P82" s="3">
        <f t="shared" si="72"/>
        <v>383065.62</v>
      </c>
      <c r="Q82" s="3">
        <f>(ROUND((ROUND(((ET82)*AV82*I82),2)*BB82),2)+ROUND((ROUND(((AE82-(EU82))*AV82*I82),2)*BS82),2))</f>
        <v>0</v>
      </c>
      <c r="R82" s="3">
        <f>(ROUND((ROUND(((EU82)*AV82*I82),2)*BS82),2)+ROUND((ROUND(((AE82-(EU82))*AV82*I82),2)*BS82),2))</f>
        <v>0</v>
      </c>
      <c r="S82" s="3">
        <f t="shared" si="73"/>
        <v>0</v>
      </c>
      <c r="T82" s="3">
        <f t="shared" si="74"/>
        <v>0</v>
      </c>
      <c r="U82" s="3">
        <f t="shared" si="75"/>
        <v>0</v>
      </c>
      <c r="V82" s="3">
        <f t="shared" si="76"/>
        <v>0</v>
      </c>
      <c r="W82" s="3">
        <f t="shared" si="77"/>
        <v>0</v>
      </c>
      <c r="X82" s="3">
        <f>(ROUND((((S82+ROUND((ROUND(((EU82)*AV82*I82),2)*BS82),2))*AT82)/100),2)+ROUND(((ROUND((ROUND(((AE82-(EU82))*AV82*I82),2)*BS82),2)*AT82)/100),2))</f>
        <v>0</v>
      </c>
      <c r="Y82" s="3">
        <f>(ROUND((((S82+ROUND((ROUND(((EU82)*AV82*I82),2)*BS82),2))*AU82)/100),2)+ROUND(((ROUND((ROUND(((AE82-(EU82))*AV82*I82),2)*BS82),2)*AU82)/100),2))</f>
        <v>0</v>
      </c>
      <c r="Z82" s="3"/>
      <c r="AA82" s="3">
        <v>55934357</v>
      </c>
      <c r="AB82" s="3">
        <f t="shared" si="78"/>
        <v>50603.12</v>
      </c>
      <c r="AC82" s="3">
        <f>ROUND((ES82),6)</f>
        <v>50603.12</v>
      </c>
      <c r="AD82" s="3">
        <f>ROUND((((ET82)-(EU82))+AE82),6)</f>
        <v>0</v>
      </c>
      <c r="AE82" s="3">
        <f>ROUND((EU82),6)</f>
        <v>0</v>
      </c>
      <c r="AF82" s="3">
        <f>ROUND((EV82),6)</f>
        <v>0</v>
      </c>
      <c r="AG82" s="3">
        <f t="shared" si="79"/>
        <v>0</v>
      </c>
      <c r="AH82" s="3">
        <f>(EW82)</f>
        <v>0</v>
      </c>
      <c r="AI82" s="3">
        <f>(EX82)</f>
        <v>0</v>
      </c>
      <c r="AJ82" s="3">
        <f t="shared" si="80"/>
        <v>0</v>
      </c>
      <c r="AK82" s="3">
        <v>50603.12</v>
      </c>
      <c r="AL82" s="3">
        <v>50603.12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1</v>
      </c>
      <c r="AW82" s="3">
        <v>1</v>
      </c>
      <c r="AX82" s="3"/>
      <c r="AY82" s="3"/>
      <c r="AZ82" s="3">
        <v>1</v>
      </c>
      <c r="BA82" s="3">
        <v>1</v>
      </c>
      <c r="BB82" s="3">
        <v>1</v>
      </c>
      <c r="BC82" s="3">
        <v>7.57</v>
      </c>
      <c r="BD82" s="3" t="s">
        <v>3</v>
      </c>
      <c r="BE82" s="3" t="s">
        <v>3</v>
      </c>
      <c r="BF82" s="3" t="s">
        <v>3</v>
      </c>
      <c r="BG82" s="3" t="s">
        <v>3</v>
      </c>
      <c r="BH82" s="3">
        <v>3</v>
      </c>
      <c r="BI82" s="3">
        <v>3</v>
      </c>
      <c r="BJ82" s="3" t="s">
        <v>124</v>
      </c>
      <c r="BK82" s="3"/>
      <c r="BL82" s="3"/>
      <c r="BM82" s="3">
        <v>400007</v>
      </c>
      <c r="BN82" s="3">
        <v>0</v>
      </c>
      <c r="BO82" s="3" t="s">
        <v>3</v>
      </c>
      <c r="BP82" s="3">
        <v>0</v>
      </c>
      <c r="BQ82" s="3">
        <v>214</v>
      </c>
      <c r="BR82" s="3">
        <v>0</v>
      </c>
      <c r="BS82" s="3">
        <v>1</v>
      </c>
      <c r="BT82" s="3">
        <v>1</v>
      </c>
      <c r="BU82" s="3">
        <v>1</v>
      </c>
      <c r="BV82" s="3">
        <v>1</v>
      </c>
      <c r="BW82" s="3">
        <v>1</v>
      </c>
      <c r="BX82" s="3">
        <v>1</v>
      </c>
      <c r="BY82" s="3" t="s">
        <v>3</v>
      </c>
      <c r="BZ82" s="3">
        <v>90</v>
      </c>
      <c r="CA82" s="3">
        <v>46</v>
      </c>
      <c r="CB82" s="3" t="s">
        <v>3</v>
      </c>
      <c r="CC82" s="3"/>
      <c r="CD82" s="3"/>
      <c r="CE82" s="3">
        <v>1566</v>
      </c>
      <c r="CF82" s="3">
        <v>0</v>
      </c>
      <c r="CG82" s="3">
        <v>0</v>
      </c>
      <c r="CH82" s="3"/>
      <c r="CI82" s="3"/>
      <c r="CJ82" s="3"/>
      <c r="CK82" s="3"/>
      <c r="CL82" s="3"/>
      <c r="CM82" s="3">
        <v>0</v>
      </c>
      <c r="CN82" s="12" t="s">
        <v>420</v>
      </c>
      <c r="CO82" s="3">
        <v>0</v>
      </c>
      <c r="CP82" s="3">
        <f t="shared" si="81"/>
        <v>383065.62</v>
      </c>
      <c r="CQ82" s="3">
        <f t="shared" si="82"/>
        <v>383065.62</v>
      </c>
      <c r="CR82" s="3">
        <f>(ROUND((ROUND(((ET82)*AV82*1),2)*BB82),2)+ROUND((ROUND(((AE82-(EU82))*AV82*1),2)*BS82),2))</f>
        <v>0</v>
      </c>
      <c r="CS82" s="3">
        <f>(ROUND((ROUND(((EU82)*AV82*1),2)*BS82),2)+ROUND((ROUND(((AE82-(EU82))*AV82*1),2)*BS82),2))</f>
        <v>0</v>
      </c>
      <c r="CT82" s="3">
        <f t="shared" si="83"/>
        <v>0</v>
      </c>
      <c r="CU82" s="3">
        <f t="shared" si="84"/>
        <v>0</v>
      </c>
      <c r="CV82" s="3">
        <f t="shared" si="85"/>
        <v>0</v>
      </c>
      <c r="CW82" s="3">
        <f t="shared" si="86"/>
        <v>0</v>
      </c>
      <c r="CX82" s="3">
        <f t="shared" si="87"/>
        <v>0</v>
      </c>
      <c r="CY82" s="3">
        <f>(ROUND((((S82+ROUND((ROUND(((EU82)*AV82*1),2)*BS82),2))*AT82)/100),2)+ROUND(((ROUND((ROUND(((AE82-(EU82))*AV82*1),2)*BS82),2)*AT82)/100),2))</f>
        <v>0</v>
      </c>
      <c r="CZ82" s="3">
        <f>(ROUND((((S82+ROUND((ROUND(((EU82)*AV82*1),2)*BS82),2))*AU82)/100),2)+ROUND(((ROUND((ROUND(((AE82-(EU82))*AV82*1),2)*BS82),2)*AU82)/100),2))</f>
        <v>0</v>
      </c>
      <c r="DA82" s="3"/>
      <c r="DB82" s="3"/>
      <c r="DC82" s="3" t="s">
        <v>3</v>
      </c>
      <c r="DD82" s="3" t="s">
        <v>3</v>
      </c>
      <c r="DE82" s="3" t="s">
        <v>3</v>
      </c>
      <c r="DF82" s="3" t="s">
        <v>3</v>
      </c>
      <c r="DG82" s="3" t="s">
        <v>3</v>
      </c>
      <c r="DH82" s="3" t="s">
        <v>3</v>
      </c>
      <c r="DI82" s="3" t="s">
        <v>3</v>
      </c>
      <c r="DJ82" s="3" t="s">
        <v>3</v>
      </c>
      <c r="DK82" s="3" t="s">
        <v>3</v>
      </c>
      <c r="DL82" s="3" t="s">
        <v>3</v>
      </c>
      <c r="DM82" s="3" t="s">
        <v>3</v>
      </c>
      <c r="DN82" s="3">
        <v>0</v>
      </c>
      <c r="DO82" s="3">
        <v>0</v>
      </c>
      <c r="DP82" s="3">
        <v>1</v>
      </c>
      <c r="DQ82" s="3">
        <v>1</v>
      </c>
      <c r="DR82" s="3"/>
      <c r="DS82" s="3"/>
      <c r="DT82" s="3"/>
      <c r="DU82" s="3">
        <v>1013</v>
      </c>
      <c r="DV82" s="3" t="s">
        <v>126</v>
      </c>
      <c r="DW82" s="3" t="s">
        <v>126</v>
      </c>
      <c r="DX82" s="3">
        <v>1</v>
      </c>
      <c r="DY82" s="3"/>
      <c r="DZ82" s="3" t="s">
        <v>3</v>
      </c>
      <c r="EA82" s="3" t="s">
        <v>3</v>
      </c>
      <c r="EB82" s="3" t="s">
        <v>3</v>
      </c>
      <c r="EC82" s="3" t="s">
        <v>3</v>
      </c>
      <c r="ED82" s="3"/>
      <c r="EE82" s="3">
        <v>57042890</v>
      </c>
      <c r="EF82" s="3">
        <v>214</v>
      </c>
      <c r="EG82" s="3" t="s">
        <v>127</v>
      </c>
      <c r="EH82" s="3">
        <v>0</v>
      </c>
      <c r="EI82" s="3" t="s">
        <v>3</v>
      </c>
      <c r="EJ82" s="3">
        <v>3</v>
      </c>
      <c r="EK82" s="3">
        <v>400007</v>
      </c>
      <c r="EL82" s="3" t="s">
        <v>127</v>
      </c>
      <c r="EM82" s="3" t="s">
        <v>128</v>
      </c>
      <c r="EN82" s="3"/>
      <c r="EO82" s="3" t="s">
        <v>122</v>
      </c>
      <c r="EP82" s="3"/>
      <c r="EQ82" s="3">
        <v>16</v>
      </c>
      <c r="ER82" s="3">
        <v>0</v>
      </c>
      <c r="ES82" s="3">
        <v>50603.12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/>
      <c r="EZ82" s="3">
        <v>5</v>
      </c>
      <c r="FA82" s="3"/>
      <c r="FB82" s="3"/>
      <c r="FC82" s="3">
        <v>1</v>
      </c>
      <c r="FD82" s="3">
        <v>18</v>
      </c>
      <c r="FE82" s="3"/>
      <c r="FF82" s="3">
        <v>448348</v>
      </c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>
        <v>0</v>
      </c>
      <c r="FR82" s="3">
        <f>P82</f>
        <v>383065.62</v>
      </c>
      <c r="FS82" s="3">
        <v>0</v>
      </c>
      <c r="FT82" s="3"/>
      <c r="FU82" s="3"/>
      <c r="FV82" s="3"/>
      <c r="FW82" s="3"/>
      <c r="FX82" s="3">
        <v>90</v>
      </c>
      <c r="FY82" s="3">
        <v>46</v>
      </c>
      <c r="FZ82" s="3"/>
      <c r="GA82" s="3" t="s">
        <v>129</v>
      </c>
      <c r="GB82" s="3"/>
      <c r="GC82" s="3"/>
      <c r="GD82" s="3">
        <v>1</v>
      </c>
      <c r="GE82" s="3"/>
      <c r="GF82" s="3">
        <v>176370574</v>
      </c>
      <c r="GG82" s="3">
        <v>2</v>
      </c>
      <c r="GH82" s="3">
        <v>3</v>
      </c>
      <c r="GI82" s="3">
        <v>5</v>
      </c>
      <c r="GJ82" s="3">
        <v>0</v>
      </c>
      <c r="GK82" s="3">
        <v>0</v>
      </c>
      <c r="GL82" s="3">
        <f t="shared" si="88"/>
        <v>0</v>
      </c>
      <c r="GM82" s="3">
        <f t="shared" si="89"/>
        <v>383065.62</v>
      </c>
      <c r="GN82" s="3">
        <f t="shared" si="90"/>
        <v>0</v>
      </c>
      <c r="GO82" s="3">
        <f t="shared" si="91"/>
        <v>0</v>
      </c>
      <c r="GP82" s="3">
        <f t="shared" si="92"/>
        <v>0</v>
      </c>
      <c r="GQ82" s="3"/>
      <c r="GR82" s="3">
        <v>1</v>
      </c>
      <c r="GS82" s="3">
        <v>1</v>
      </c>
      <c r="GT82" s="3">
        <v>0</v>
      </c>
      <c r="GU82" s="3" t="s">
        <v>3</v>
      </c>
      <c r="GV82" s="3">
        <f t="shared" si="93"/>
        <v>0</v>
      </c>
      <c r="GW82" s="3">
        <v>1</v>
      </c>
      <c r="GX82" s="3">
        <f t="shared" si="94"/>
        <v>0</v>
      </c>
      <c r="GY82" s="3"/>
      <c r="GZ82" s="3"/>
      <c r="HA82" s="3">
        <v>0</v>
      </c>
      <c r="HB82" s="3">
        <v>0</v>
      </c>
      <c r="HC82" s="3">
        <f t="shared" si="95"/>
        <v>0</v>
      </c>
      <c r="HD82" s="3"/>
      <c r="HE82" s="3" t="s">
        <v>41</v>
      </c>
      <c r="HF82" s="3" t="s">
        <v>130</v>
      </c>
      <c r="HG82" s="3"/>
      <c r="HH82" s="3"/>
      <c r="HI82" s="3"/>
      <c r="HJ82" s="3"/>
      <c r="HK82" s="3"/>
      <c r="HL82" s="3"/>
      <c r="HM82" s="3" t="s">
        <v>120</v>
      </c>
      <c r="HN82" s="3" t="s">
        <v>3</v>
      </c>
      <c r="HO82" s="3" t="s">
        <v>3</v>
      </c>
      <c r="HP82" s="3" t="s">
        <v>3</v>
      </c>
      <c r="HQ82" s="3" t="s">
        <v>3</v>
      </c>
      <c r="HR82" s="3"/>
      <c r="HS82" s="3">
        <v>0</v>
      </c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>
        <v>0</v>
      </c>
      <c r="IL82" s="3"/>
      <c r="IM82" s="3"/>
      <c r="IN82" s="3"/>
      <c r="IO82" s="3"/>
      <c r="IP82" s="3"/>
      <c r="IQ82" s="3"/>
      <c r="IR82" s="3"/>
      <c r="IS82" s="3"/>
      <c r="IT82" s="3"/>
      <c r="IU82" s="3"/>
    </row>
    <row r="83" spans="1:255" ht="409.5" x14ac:dyDescent="0.25">
      <c r="A83" s="2">
        <v>17</v>
      </c>
      <c r="B83" s="2">
        <v>1</v>
      </c>
      <c r="C83" s="2">
        <f>ROW(SmtRes!A133)</f>
        <v>133</v>
      </c>
      <c r="D83" s="2">
        <f>ROW(EtalonRes!A159)</f>
        <v>159</v>
      </c>
      <c r="E83" s="2" t="s">
        <v>3</v>
      </c>
      <c r="F83" s="2" t="s">
        <v>131</v>
      </c>
      <c r="G83" s="2" t="s">
        <v>132</v>
      </c>
      <c r="H83" s="2" t="s">
        <v>133</v>
      </c>
      <c r="I83" s="2">
        <v>1</v>
      </c>
      <c r="J83" s="2">
        <v>0</v>
      </c>
      <c r="K83" s="2">
        <v>1</v>
      </c>
      <c r="L83" s="2"/>
      <c r="M83" s="2"/>
      <c r="N83" s="2"/>
      <c r="O83" s="2">
        <f t="shared" si="71"/>
        <v>420.17</v>
      </c>
      <c r="P83" s="2">
        <f t="shared" si="72"/>
        <v>0</v>
      </c>
      <c r="Q83" s="2">
        <f>(ROUND((ROUND((((ET83*1.2))*AV83*I83),2)*BB83),2)+ROUND((ROUND(((AE83-((EU83*1.2)))*AV83*I83),2)*BS83),2))</f>
        <v>0</v>
      </c>
      <c r="R83" s="2">
        <f>(ROUND((ROUND((((EU83*1.2))*AV83*I83),2)*BS83),2)+ROUND((ROUND(((AE83-((EU83*1.2)))*AV83*I83),2)*BS83),2))</f>
        <v>0</v>
      </c>
      <c r="S83" s="2">
        <f t="shared" si="73"/>
        <v>420.17</v>
      </c>
      <c r="T83" s="2">
        <f t="shared" si="74"/>
        <v>0</v>
      </c>
      <c r="U83" s="2">
        <f t="shared" si="75"/>
        <v>28.897199999999994</v>
      </c>
      <c r="V83" s="2">
        <f t="shared" si="76"/>
        <v>0</v>
      </c>
      <c r="W83" s="2">
        <f t="shared" si="77"/>
        <v>0</v>
      </c>
      <c r="X83" s="2">
        <f>(ROUND((((S83+ROUND((ROUND((((EU83*1.2))*AV83*I83),2)*BS83),2))*AT83)/100),2)+ROUND(((ROUND((ROUND(((AE83-((EU83*1.2)))*AV83*I83),2)*BS83),2)*AT83)/100),2))</f>
        <v>378.15</v>
      </c>
      <c r="Y83" s="2">
        <f>(ROUND((((S83+ROUND((ROUND((((EU83*1.2))*AV83*I83),2)*BS83),2))*AU83)/100),2)+ROUND(((ROUND((ROUND(((AE83-((EU83*1.2)))*AV83*I83),2)*BS83),2)*AU83)/100),2))</f>
        <v>193.28</v>
      </c>
      <c r="Z83" s="2"/>
      <c r="AA83" s="2">
        <v>-1</v>
      </c>
      <c r="AB83" s="2">
        <f t="shared" si="78"/>
        <v>401.30399999999997</v>
      </c>
      <c r="AC83" s="2">
        <f>ROUND(((ES83*1)),6)</f>
        <v>0</v>
      </c>
      <c r="AD83" s="2">
        <f>ROUND(((((ET83*1.2))-((EU83*1.2)))+AE83),6)</f>
        <v>0</v>
      </c>
      <c r="AE83" s="2">
        <f t="shared" ref="AE83:AF86" si="96">ROUND(((EU83*1.2)),6)</f>
        <v>0</v>
      </c>
      <c r="AF83" s="2">
        <f t="shared" si="96"/>
        <v>401.30399999999997</v>
      </c>
      <c r="AG83" s="2">
        <f t="shared" si="79"/>
        <v>0</v>
      </c>
      <c r="AH83" s="2">
        <f t="shared" ref="AH83:AI86" si="97">((EW83*1.2))</f>
        <v>27.599999999999998</v>
      </c>
      <c r="AI83" s="2">
        <f t="shared" si="97"/>
        <v>0</v>
      </c>
      <c r="AJ83" s="2">
        <f t="shared" si="80"/>
        <v>0</v>
      </c>
      <c r="AK83" s="2">
        <v>334.42</v>
      </c>
      <c r="AL83" s="2">
        <v>0</v>
      </c>
      <c r="AM83" s="2">
        <v>0</v>
      </c>
      <c r="AN83" s="2">
        <v>0</v>
      </c>
      <c r="AO83" s="2">
        <v>334.42</v>
      </c>
      <c r="AP83" s="2">
        <v>0</v>
      </c>
      <c r="AQ83" s="2">
        <v>23</v>
      </c>
      <c r="AR83" s="2">
        <v>0</v>
      </c>
      <c r="AS83" s="2">
        <v>0</v>
      </c>
      <c r="AT83" s="2">
        <v>90</v>
      </c>
      <c r="AU83" s="2">
        <v>46</v>
      </c>
      <c r="AV83" s="2">
        <v>1.0469999999999999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2</v>
      </c>
      <c r="BJ83" s="2" t="s">
        <v>134</v>
      </c>
      <c r="BK83" s="2"/>
      <c r="BL83" s="2"/>
      <c r="BM83" s="2">
        <v>192</v>
      </c>
      <c r="BN83" s="2">
        <v>0</v>
      </c>
      <c r="BO83" s="2" t="s">
        <v>131</v>
      </c>
      <c r="BP83" s="2">
        <v>1</v>
      </c>
      <c r="BQ83" s="2">
        <v>40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90</v>
      </c>
      <c r="CA83" s="2">
        <v>46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11" t="s">
        <v>419</v>
      </c>
      <c r="CO83" s="2">
        <v>0</v>
      </c>
      <c r="CP83" s="2">
        <f t="shared" si="81"/>
        <v>420.17</v>
      </c>
      <c r="CQ83" s="2">
        <f t="shared" si="82"/>
        <v>0</v>
      </c>
      <c r="CR83" s="2">
        <f>(ROUND((ROUND((((ET83*1.2))*AV83*1),2)*BB83),2)+ROUND((ROUND(((AE83-((EU83*1.2)))*AV83*1),2)*BS83),2))</f>
        <v>0</v>
      </c>
      <c r="CS83" s="2">
        <f>(ROUND((ROUND((((EU83*1.2))*AV83*1),2)*BS83),2)+ROUND((ROUND(((AE83-((EU83*1.2)))*AV83*1),2)*BS83),2))</f>
        <v>0</v>
      </c>
      <c r="CT83" s="2">
        <f t="shared" si="83"/>
        <v>420.17</v>
      </c>
      <c r="CU83" s="2">
        <f t="shared" si="84"/>
        <v>0</v>
      </c>
      <c r="CV83" s="2">
        <f t="shared" si="85"/>
        <v>28.897199999999994</v>
      </c>
      <c r="CW83" s="2">
        <f t="shared" si="86"/>
        <v>0</v>
      </c>
      <c r="CX83" s="2">
        <f t="shared" si="87"/>
        <v>0</v>
      </c>
      <c r="CY83" s="2">
        <f>(ROUND((((S83+ROUND((ROUND((((EU83*1.2))*AV83*1),2)*BS83),2))*AT83)/100),2)+ROUND(((ROUND((ROUND(((AE83-((EU83*1.2)))*AV83*1),2)*BS83),2)*AT83)/100),2))</f>
        <v>378.15</v>
      </c>
      <c r="CZ83" s="2">
        <f>(ROUND((((S83+ROUND((ROUND((((EU83*1.2))*AV83*1),2)*BS83),2))*AU83)/100),2)+ROUND(((ROUND((ROUND(((AE83-((EU83*1.2)))*AV83*1),2)*BS83),2)*AU83)/100),2))</f>
        <v>193.28</v>
      </c>
      <c r="DA83" s="2"/>
      <c r="DB83" s="2">
        <v>35</v>
      </c>
      <c r="DC83" s="2" t="s">
        <v>3</v>
      </c>
      <c r="DD83" s="2" t="s">
        <v>120</v>
      </c>
      <c r="DE83" s="2" t="s">
        <v>121</v>
      </c>
      <c r="DF83" s="2" t="s">
        <v>121</v>
      </c>
      <c r="DG83" s="2" t="s">
        <v>121</v>
      </c>
      <c r="DH83" s="2" t="s">
        <v>3</v>
      </c>
      <c r="DI83" s="2" t="s">
        <v>121</v>
      </c>
      <c r="DJ83" s="2" t="s">
        <v>121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133</v>
      </c>
      <c r="DW83" s="2" t="s">
        <v>133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57043089</v>
      </c>
      <c r="EF83" s="2">
        <v>40</v>
      </c>
      <c r="EG83" s="2" t="s">
        <v>30</v>
      </c>
      <c r="EH83" s="2">
        <v>0</v>
      </c>
      <c r="EI83" s="2" t="s">
        <v>3</v>
      </c>
      <c r="EJ83" s="2">
        <v>2</v>
      </c>
      <c r="EK83" s="2">
        <v>192</v>
      </c>
      <c r="EL83" s="2" t="s">
        <v>31</v>
      </c>
      <c r="EM83" s="2" t="s">
        <v>135</v>
      </c>
      <c r="EN83" s="2"/>
      <c r="EO83" s="2" t="s">
        <v>122</v>
      </c>
      <c r="EP83" s="2"/>
      <c r="EQ83" s="2">
        <v>1024</v>
      </c>
      <c r="ER83" s="2">
        <v>334.42</v>
      </c>
      <c r="ES83" s="2">
        <v>0</v>
      </c>
      <c r="ET83" s="2">
        <v>0</v>
      </c>
      <c r="EU83" s="2">
        <v>0</v>
      </c>
      <c r="EV83" s="2">
        <v>334.42</v>
      </c>
      <c r="EW83" s="2">
        <v>23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90</v>
      </c>
      <c r="FY83" s="2">
        <v>46</v>
      </c>
      <c r="FZ83" s="2"/>
      <c r="GA83" s="2" t="s">
        <v>3</v>
      </c>
      <c r="GB83" s="2"/>
      <c r="GC83" s="2"/>
      <c r="GD83" s="2">
        <v>1</v>
      </c>
      <c r="GE83" s="2"/>
      <c r="GF83" s="2">
        <v>1839118886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si="88"/>
        <v>0</v>
      </c>
      <c r="GM83" s="2">
        <f t="shared" si="89"/>
        <v>991.6</v>
      </c>
      <c r="GN83" s="2">
        <f t="shared" si="90"/>
        <v>0</v>
      </c>
      <c r="GO83" s="2">
        <f t="shared" si="91"/>
        <v>991.6</v>
      </c>
      <c r="GP83" s="2">
        <f t="shared" si="92"/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si="93"/>
        <v>0</v>
      </c>
      <c r="GW83" s="2">
        <v>1</v>
      </c>
      <c r="GX83" s="2">
        <f t="shared" si="94"/>
        <v>0</v>
      </c>
      <c r="GY83" s="2"/>
      <c r="GZ83" s="2"/>
      <c r="HA83" s="2">
        <v>0</v>
      </c>
      <c r="HB83" s="2">
        <v>0</v>
      </c>
      <c r="HC83" s="2">
        <f t="shared" si="95"/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ht="409.5" x14ac:dyDescent="0.25">
      <c r="A84" s="3">
        <v>17</v>
      </c>
      <c r="B84" s="3">
        <v>1</v>
      </c>
      <c r="C84" s="3">
        <f>ROW(SmtRes!A134)</f>
        <v>134</v>
      </c>
      <c r="D84" s="3">
        <f>ROW(EtalonRes!A160)</f>
        <v>160</v>
      </c>
      <c r="E84" s="3" t="s">
        <v>3</v>
      </c>
      <c r="F84" s="3" t="s">
        <v>131</v>
      </c>
      <c r="G84" s="3" t="s">
        <v>132</v>
      </c>
      <c r="H84" s="3" t="s">
        <v>133</v>
      </c>
      <c r="I84" s="3">
        <v>1</v>
      </c>
      <c r="J84" s="3">
        <v>0</v>
      </c>
      <c r="K84" s="3">
        <v>1</v>
      </c>
      <c r="L84" s="3"/>
      <c r="M84" s="3"/>
      <c r="N84" s="3"/>
      <c r="O84" s="3">
        <f t="shared" si="71"/>
        <v>23676.58</v>
      </c>
      <c r="P84" s="3">
        <f t="shared" si="72"/>
        <v>0</v>
      </c>
      <c r="Q84" s="3">
        <f>(ROUND((ROUND((((ET84*1.2))*AV84*I84),2)*BB84),2)+ROUND((ROUND(((AE84-((EU84*1.2)))*AV84*I84),2)*BS84),2))</f>
        <v>0</v>
      </c>
      <c r="R84" s="3">
        <f>(ROUND((ROUND((((EU84*1.2))*AV84*I84),2)*BS84),2)+ROUND((ROUND(((AE84-((EU84*1.2)))*AV84*I84),2)*BS84),2))</f>
        <v>0</v>
      </c>
      <c r="S84" s="3">
        <f t="shared" si="73"/>
        <v>23676.58</v>
      </c>
      <c r="T84" s="3">
        <f t="shared" si="74"/>
        <v>0</v>
      </c>
      <c r="U84" s="3">
        <f t="shared" si="75"/>
        <v>28.897199999999994</v>
      </c>
      <c r="V84" s="3">
        <f t="shared" si="76"/>
        <v>0</v>
      </c>
      <c r="W84" s="3">
        <f t="shared" si="77"/>
        <v>0</v>
      </c>
      <c r="X84" s="3">
        <f>(ROUND((((S84+ROUND((ROUND((((EU84*1.2))*AV84*I84),2)*BS84),2))*AT84)/100),2)+ROUND(((ROUND((ROUND(((AE84-((EU84*1.2)))*AV84*I84),2)*BS84),2)*AT84)/100),2))</f>
        <v>21308.92</v>
      </c>
      <c r="Y84" s="3">
        <f>(ROUND((((S84+ROUND((ROUND((((EU84*1.2))*AV84*I84),2)*BS84),2))*AU84)/100),2)+ROUND(((ROUND((ROUND(((AE84-((EU84*1.2)))*AV84*I84),2)*BS84),2)*AU84)/100),2))</f>
        <v>10891.23</v>
      </c>
      <c r="Z84" s="3"/>
      <c r="AA84" s="3">
        <v>-1</v>
      </c>
      <c r="AB84" s="3">
        <f t="shared" si="78"/>
        <v>401.30399999999997</v>
      </c>
      <c r="AC84" s="3">
        <f>ROUND(((ES84*1)),6)</f>
        <v>0</v>
      </c>
      <c r="AD84" s="3">
        <f>ROUND(((((ET84*1.2))-((EU84*1.2)))+AE84),6)</f>
        <v>0</v>
      </c>
      <c r="AE84" s="3">
        <f t="shared" si="96"/>
        <v>0</v>
      </c>
      <c r="AF84" s="3">
        <f t="shared" si="96"/>
        <v>401.30399999999997</v>
      </c>
      <c r="AG84" s="3">
        <f t="shared" si="79"/>
        <v>0</v>
      </c>
      <c r="AH84" s="3">
        <f t="shared" si="97"/>
        <v>27.599999999999998</v>
      </c>
      <c r="AI84" s="3">
        <f t="shared" si="97"/>
        <v>0</v>
      </c>
      <c r="AJ84" s="3">
        <f t="shared" si="80"/>
        <v>0</v>
      </c>
      <c r="AK84" s="3">
        <v>334.42</v>
      </c>
      <c r="AL84" s="3">
        <v>0</v>
      </c>
      <c r="AM84" s="3">
        <v>0</v>
      </c>
      <c r="AN84" s="3">
        <v>0</v>
      </c>
      <c r="AO84" s="3">
        <v>334.42</v>
      </c>
      <c r="AP84" s="3">
        <v>0</v>
      </c>
      <c r="AQ84" s="3">
        <v>23</v>
      </c>
      <c r="AR84" s="3">
        <v>0</v>
      </c>
      <c r="AS84" s="3">
        <v>0</v>
      </c>
      <c r="AT84" s="3">
        <v>90</v>
      </c>
      <c r="AU84" s="3">
        <v>46</v>
      </c>
      <c r="AV84" s="3">
        <v>1.0469999999999999</v>
      </c>
      <c r="AW84" s="3">
        <v>1</v>
      </c>
      <c r="AX84" s="3"/>
      <c r="AY84" s="3"/>
      <c r="AZ84" s="3">
        <v>1</v>
      </c>
      <c r="BA84" s="3">
        <v>56.35</v>
      </c>
      <c r="BB84" s="3">
        <v>1</v>
      </c>
      <c r="BC84" s="3">
        <v>1</v>
      </c>
      <c r="BD84" s="3" t="s">
        <v>3</v>
      </c>
      <c r="BE84" s="3" t="s">
        <v>3</v>
      </c>
      <c r="BF84" s="3" t="s">
        <v>3</v>
      </c>
      <c r="BG84" s="3" t="s">
        <v>3</v>
      </c>
      <c r="BH84" s="3">
        <v>0</v>
      </c>
      <c r="BI84" s="3">
        <v>2</v>
      </c>
      <c r="BJ84" s="3" t="s">
        <v>134</v>
      </c>
      <c r="BK84" s="3"/>
      <c r="BL84" s="3"/>
      <c r="BM84" s="3">
        <v>192</v>
      </c>
      <c r="BN84" s="3">
        <v>0</v>
      </c>
      <c r="BO84" s="3" t="s">
        <v>131</v>
      </c>
      <c r="BP84" s="3">
        <v>1</v>
      </c>
      <c r="BQ84" s="3">
        <v>40</v>
      </c>
      <c r="BR84" s="3">
        <v>0</v>
      </c>
      <c r="BS84" s="3">
        <v>56.35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 t="s">
        <v>3</v>
      </c>
      <c r="BZ84" s="3">
        <v>90</v>
      </c>
      <c r="CA84" s="3">
        <v>46</v>
      </c>
      <c r="CB84" s="3" t="s">
        <v>3</v>
      </c>
      <c r="CC84" s="3"/>
      <c r="CD84" s="3"/>
      <c r="CE84" s="3">
        <v>1566</v>
      </c>
      <c r="CF84" s="3">
        <v>0</v>
      </c>
      <c r="CG84" s="3">
        <v>0</v>
      </c>
      <c r="CH84" s="3"/>
      <c r="CI84" s="3"/>
      <c r="CJ84" s="3"/>
      <c r="CK84" s="3"/>
      <c r="CL84" s="3"/>
      <c r="CM84" s="3">
        <v>0</v>
      </c>
      <c r="CN84" s="12" t="s">
        <v>419</v>
      </c>
      <c r="CO84" s="3">
        <v>0</v>
      </c>
      <c r="CP84" s="3">
        <f t="shared" si="81"/>
        <v>23676.58</v>
      </c>
      <c r="CQ84" s="3">
        <f t="shared" si="82"/>
        <v>0</v>
      </c>
      <c r="CR84" s="3">
        <f>(ROUND((ROUND((((ET84*1.2))*AV84*1),2)*BB84),2)+ROUND((ROUND(((AE84-((EU84*1.2)))*AV84*1),2)*BS84),2))</f>
        <v>0</v>
      </c>
      <c r="CS84" s="3">
        <f>(ROUND((ROUND((((EU84*1.2))*AV84*1),2)*BS84),2)+ROUND((ROUND(((AE84-((EU84*1.2)))*AV84*1),2)*BS84),2))</f>
        <v>0</v>
      </c>
      <c r="CT84" s="3">
        <f t="shared" si="83"/>
        <v>23676.58</v>
      </c>
      <c r="CU84" s="3">
        <f t="shared" si="84"/>
        <v>0</v>
      </c>
      <c r="CV84" s="3">
        <f t="shared" si="85"/>
        <v>28.897199999999994</v>
      </c>
      <c r="CW84" s="3">
        <f t="shared" si="86"/>
        <v>0</v>
      </c>
      <c r="CX84" s="3">
        <f t="shared" si="87"/>
        <v>0</v>
      </c>
      <c r="CY84" s="3">
        <f>(ROUND((((S84+ROUND((ROUND((((EU84*1.2))*AV84*1),2)*BS84),2))*AT84)/100),2)+ROUND(((ROUND((ROUND(((AE84-((EU84*1.2)))*AV84*1),2)*BS84),2)*AT84)/100),2))</f>
        <v>21308.92</v>
      </c>
      <c r="CZ84" s="3">
        <f>(ROUND((((S84+ROUND((ROUND((((EU84*1.2))*AV84*1),2)*BS84),2))*AU84)/100),2)+ROUND(((ROUND((ROUND(((AE84-((EU84*1.2)))*AV84*1),2)*BS84),2)*AU84)/100),2))</f>
        <v>10891.23</v>
      </c>
      <c r="DA84" s="3"/>
      <c r="DB84" s="3">
        <v>36</v>
      </c>
      <c r="DC84" s="3" t="s">
        <v>3</v>
      </c>
      <c r="DD84" s="3" t="s">
        <v>120</v>
      </c>
      <c r="DE84" s="3" t="s">
        <v>121</v>
      </c>
      <c r="DF84" s="3" t="s">
        <v>121</v>
      </c>
      <c r="DG84" s="3" t="s">
        <v>121</v>
      </c>
      <c r="DH84" s="3" t="s">
        <v>3</v>
      </c>
      <c r="DI84" s="3" t="s">
        <v>121</v>
      </c>
      <c r="DJ84" s="3" t="s">
        <v>121</v>
      </c>
      <c r="DK84" s="3" t="s">
        <v>3</v>
      </c>
      <c r="DL84" s="3" t="s">
        <v>3</v>
      </c>
      <c r="DM84" s="3" t="s">
        <v>3</v>
      </c>
      <c r="DN84" s="3">
        <v>0</v>
      </c>
      <c r="DO84" s="3">
        <v>0</v>
      </c>
      <c r="DP84" s="3">
        <v>1</v>
      </c>
      <c r="DQ84" s="3">
        <v>1</v>
      </c>
      <c r="DR84" s="3"/>
      <c r="DS84" s="3"/>
      <c r="DT84" s="3"/>
      <c r="DU84" s="3">
        <v>1013</v>
      </c>
      <c r="DV84" s="3" t="s">
        <v>133</v>
      </c>
      <c r="DW84" s="3" t="s">
        <v>133</v>
      </c>
      <c r="DX84" s="3">
        <v>1</v>
      </c>
      <c r="DY84" s="3"/>
      <c r="DZ84" s="3" t="s">
        <v>3</v>
      </c>
      <c r="EA84" s="3" t="s">
        <v>3</v>
      </c>
      <c r="EB84" s="3" t="s">
        <v>3</v>
      </c>
      <c r="EC84" s="3" t="s">
        <v>3</v>
      </c>
      <c r="ED84" s="3"/>
      <c r="EE84" s="3">
        <v>57043089</v>
      </c>
      <c r="EF84" s="3">
        <v>40</v>
      </c>
      <c r="EG84" s="3" t="s">
        <v>30</v>
      </c>
      <c r="EH84" s="3">
        <v>0</v>
      </c>
      <c r="EI84" s="3" t="s">
        <v>3</v>
      </c>
      <c r="EJ84" s="3">
        <v>2</v>
      </c>
      <c r="EK84" s="3">
        <v>192</v>
      </c>
      <c r="EL84" s="3" t="s">
        <v>31</v>
      </c>
      <c r="EM84" s="3" t="s">
        <v>135</v>
      </c>
      <c r="EN84" s="3"/>
      <c r="EO84" s="3" t="s">
        <v>122</v>
      </c>
      <c r="EP84" s="3"/>
      <c r="EQ84" s="3">
        <v>1024</v>
      </c>
      <c r="ER84" s="3">
        <v>334.42</v>
      </c>
      <c r="ES84" s="3">
        <v>0</v>
      </c>
      <c r="ET84" s="3">
        <v>0</v>
      </c>
      <c r="EU84" s="3">
        <v>0</v>
      </c>
      <c r="EV84" s="3">
        <v>334.42</v>
      </c>
      <c r="EW84" s="3">
        <v>23</v>
      </c>
      <c r="EX84" s="3">
        <v>0</v>
      </c>
      <c r="EY84" s="3">
        <v>0</v>
      </c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>
        <v>0</v>
      </c>
      <c r="FR84" s="3">
        <v>0</v>
      </c>
      <c r="FS84" s="3">
        <v>0</v>
      </c>
      <c r="FT84" s="3"/>
      <c r="FU84" s="3"/>
      <c r="FV84" s="3"/>
      <c r="FW84" s="3"/>
      <c r="FX84" s="3">
        <v>90</v>
      </c>
      <c r="FY84" s="3">
        <v>46</v>
      </c>
      <c r="FZ84" s="3"/>
      <c r="GA84" s="3" t="s">
        <v>3</v>
      </c>
      <c r="GB84" s="3"/>
      <c r="GC84" s="3"/>
      <c r="GD84" s="3">
        <v>1</v>
      </c>
      <c r="GE84" s="3"/>
      <c r="GF84" s="3">
        <v>1839118886</v>
      </c>
      <c r="GG84" s="3">
        <v>2</v>
      </c>
      <c r="GH84" s="3">
        <v>1</v>
      </c>
      <c r="GI84" s="3">
        <v>2</v>
      </c>
      <c r="GJ84" s="3">
        <v>0</v>
      </c>
      <c r="GK84" s="3">
        <v>0</v>
      </c>
      <c r="GL84" s="3">
        <f t="shared" si="88"/>
        <v>0</v>
      </c>
      <c r="GM84" s="3">
        <f t="shared" si="89"/>
        <v>55876.73</v>
      </c>
      <c r="GN84" s="3">
        <f t="shared" si="90"/>
        <v>0</v>
      </c>
      <c r="GO84" s="3">
        <f t="shared" si="91"/>
        <v>55876.73</v>
      </c>
      <c r="GP84" s="3">
        <f t="shared" si="92"/>
        <v>0</v>
      </c>
      <c r="GQ84" s="3"/>
      <c r="GR84" s="3">
        <v>0</v>
      </c>
      <c r="GS84" s="3">
        <v>3</v>
      </c>
      <c r="GT84" s="3">
        <v>0</v>
      </c>
      <c r="GU84" s="3" t="s">
        <v>3</v>
      </c>
      <c r="GV84" s="3">
        <f t="shared" si="93"/>
        <v>0</v>
      </c>
      <c r="GW84" s="3">
        <v>1</v>
      </c>
      <c r="GX84" s="3">
        <f t="shared" si="94"/>
        <v>0</v>
      </c>
      <c r="GY84" s="3"/>
      <c r="GZ84" s="3"/>
      <c r="HA84" s="3">
        <v>0</v>
      </c>
      <c r="HB84" s="3">
        <v>0</v>
      </c>
      <c r="HC84" s="3">
        <f t="shared" si="95"/>
        <v>0</v>
      </c>
      <c r="HD84" s="3"/>
      <c r="HE84" s="3" t="s">
        <v>3</v>
      </c>
      <c r="HF84" s="3" t="s">
        <v>3</v>
      </c>
      <c r="HG84" s="3"/>
      <c r="HH84" s="3"/>
      <c r="HI84" s="3"/>
      <c r="HJ84" s="3"/>
      <c r="HK84" s="3"/>
      <c r="HL84" s="3"/>
      <c r="HM84" s="3" t="s">
        <v>3</v>
      </c>
      <c r="HN84" s="3" t="s">
        <v>3</v>
      </c>
      <c r="HO84" s="3" t="s">
        <v>3</v>
      </c>
      <c r="HP84" s="3" t="s">
        <v>3</v>
      </c>
      <c r="HQ84" s="3" t="s">
        <v>3</v>
      </c>
      <c r="HR84" s="3"/>
      <c r="HS84" s="3">
        <v>0</v>
      </c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>
        <v>0</v>
      </c>
      <c r="IL84" s="3"/>
      <c r="IM84" s="3"/>
      <c r="IN84" s="3"/>
      <c r="IO84" s="3"/>
      <c r="IP84" s="3"/>
      <c r="IQ84" s="3"/>
      <c r="IR84" s="3"/>
      <c r="IS84" s="3"/>
      <c r="IT84" s="3"/>
      <c r="IU84" s="3"/>
    </row>
    <row r="85" spans="1:255" ht="409.5" x14ac:dyDescent="0.25">
      <c r="A85" s="2">
        <v>17</v>
      </c>
      <c r="B85" s="2">
        <v>1</v>
      </c>
      <c r="C85" s="2">
        <f>ROW(SmtRes!A139)</f>
        <v>139</v>
      </c>
      <c r="D85" s="2">
        <f>ROW(EtalonRes!A167)</f>
        <v>167</v>
      </c>
      <c r="E85" s="2" t="s">
        <v>136</v>
      </c>
      <c r="F85" s="2" t="s">
        <v>35</v>
      </c>
      <c r="G85" s="2" t="s">
        <v>137</v>
      </c>
      <c r="H85" s="2" t="s">
        <v>37</v>
      </c>
      <c r="I85" s="2">
        <v>1</v>
      </c>
      <c r="J85" s="2">
        <v>0</v>
      </c>
      <c r="K85" s="2">
        <v>1</v>
      </c>
      <c r="L85" s="2"/>
      <c r="M85" s="2"/>
      <c r="N85" s="2"/>
      <c r="O85" s="2">
        <f t="shared" si="71"/>
        <v>120.61</v>
      </c>
      <c r="P85" s="2">
        <f t="shared" si="72"/>
        <v>1.1000000000000001</v>
      </c>
      <c r="Q85" s="2">
        <f>(ROUND((ROUND((((ET85*1.2))*AV85*I85),2)*BB85),2)+ROUND((ROUND(((AE85-((EU85*1.2)))*AV85*I85),2)*BS85),2))</f>
        <v>0</v>
      </c>
      <c r="R85" s="2">
        <f>(ROUND((ROUND((((EU85*1.2))*AV85*I85),2)*BS85),2)+ROUND((ROUND(((AE85-((EU85*1.2)))*AV85*I85),2)*BS85),2))</f>
        <v>0</v>
      </c>
      <c r="S85" s="2">
        <f t="shared" si="73"/>
        <v>119.51</v>
      </c>
      <c r="T85" s="2">
        <f t="shared" si="74"/>
        <v>0</v>
      </c>
      <c r="U85" s="2">
        <f t="shared" si="75"/>
        <v>10.0512</v>
      </c>
      <c r="V85" s="2">
        <f t="shared" si="76"/>
        <v>0</v>
      </c>
      <c r="W85" s="2">
        <f t="shared" si="77"/>
        <v>0</v>
      </c>
      <c r="X85" s="2">
        <f>(ROUND((((S85+ROUND((ROUND((((EU85*1.2))*AV85*I85),2)*BS85),2))*AT85)/100),2)+ROUND(((ROUND((ROUND(((AE85-((EU85*1.2)))*AV85*I85),2)*BS85),2)*AT85)/100),2))</f>
        <v>113.53</v>
      </c>
      <c r="Y85" s="2">
        <f>(ROUND((((S85+ROUND((ROUND((((EU85*1.2))*AV85*I85),2)*BS85),2))*AU85)/100),2)+ROUND(((ROUND((ROUND(((AE85-((EU85*1.2)))*AV85*I85),2)*BS85),2)*AU85)/100),2))</f>
        <v>63.34</v>
      </c>
      <c r="Z85" s="2"/>
      <c r="AA85" s="2">
        <v>55934355</v>
      </c>
      <c r="AB85" s="2">
        <f t="shared" si="78"/>
        <v>115.244</v>
      </c>
      <c r="AC85" s="2">
        <f>ROUND(((ES85*1)),6)</f>
        <v>1.1000000000000001</v>
      </c>
      <c r="AD85" s="2">
        <f>ROUND(((((ET85*1.2))-((EU85*1.2)))+AE85),6)</f>
        <v>0</v>
      </c>
      <c r="AE85" s="2">
        <f t="shared" si="96"/>
        <v>0</v>
      </c>
      <c r="AF85" s="2">
        <f t="shared" si="96"/>
        <v>114.14400000000001</v>
      </c>
      <c r="AG85" s="2">
        <f t="shared" si="79"/>
        <v>0</v>
      </c>
      <c r="AH85" s="2">
        <f t="shared" si="97"/>
        <v>9.6</v>
      </c>
      <c r="AI85" s="2">
        <f t="shared" si="97"/>
        <v>0</v>
      </c>
      <c r="AJ85" s="2">
        <f t="shared" si="80"/>
        <v>0</v>
      </c>
      <c r="AK85" s="2">
        <v>96.22</v>
      </c>
      <c r="AL85" s="2">
        <v>1.1000000000000001</v>
      </c>
      <c r="AM85" s="2">
        <v>0</v>
      </c>
      <c r="AN85" s="2">
        <v>0</v>
      </c>
      <c r="AO85" s="2">
        <v>95.12</v>
      </c>
      <c r="AP85" s="2">
        <v>0</v>
      </c>
      <c r="AQ85" s="2">
        <v>8</v>
      </c>
      <c r="AR85" s="2">
        <v>0</v>
      </c>
      <c r="AS85" s="2">
        <v>0</v>
      </c>
      <c r="AT85" s="2">
        <v>95</v>
      </c>
      <c r="AU85" s="2">
        <v>53</v>
      </c>
      <c r="AV85" s="2">
        <v>1.0469999999999999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0</v>
      </c>
      <c r="BI85" s="2">
        <v>2</v>
      </c>
      <c r="BJ85" s="2" t="s">
        <v>38</v>
      </c>
      <c r="BK85" s="2"/>
      <c r="BL85" s="2"/>
      <c r="BM85" s="2">
        <v>69</v>
      </c>
      <c r="BN85" s="2">
        <v>0</v>
      </c>
      <c r="BO85" s="2" t="s">
        <v>35</v>
      </c>
      <c r="BP85" s="2">
        <v>1</v>
      </c>
      <c r="BQ85" s="2">
        <v>40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95</v>
      </c>
      <c r="CA85" s="2">
        <v>53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11" t="s">
        <v>419</v>
      </c>
      <c r="CO85" s="2">
        <v>0</v>
      </c>
      <c r="CP85" s="2">
        <f t="shared" si="81"/>
        <v>120.61</v>
      </c>
      <c r="CQ85" s="2">
        <f t="shared" si="82"/>
        <v>1.1000000000000001</v>
      </c>
      <c r="CR85" s="2">
        <f>(ROUND((ROUND((((ET85*1.2))*AV85*1),2)*BB85),2)+ROUND((ROUND(((AE85-((EU85*1.2)))*AV85*1),2)*BS85),2))</f>
        <v>0</v>
      </c>
      <c r="CS85" s="2">
        <f>(ROUND((ROUND((((EU85*1.2))*AV85*1),2)*BS85),2)+ROUND((ROUND(((AE85-((EU85*1.2)))*AV85*1),2)*BS85),2))</f>
        <v>0</v>
      </c>
      <c r="CT85" s="2">
        <f t="shared" si="83"/>
        <v>119.51</v>
      </c>
      <c r="CU85" s="2">
        <f t="shared" si="84"/>
        <v>0</v>
      </c>
      <c r="CV85" s="2">
        <f t="shared" si="85"/>
        <v>10.0512</v>
      </c>
      <c r="CW85" s="2">
        <f t="shared" si="86"/>
        <v>0</v>
      </c>
      <c r="CX85" s="2">
        <f t="shared" si="87"/>
        <v>0</v>
      </c>
      <c r="CY85" s="2">
        <f>(ROUND((((S85+ROUND((ROUND((((EU85*1.2))*AV85*1),2)*BS85),2))*AT85)/100),2)+ROUND(((ROUND((ROUND(((AE85-((EU85*1.2)))*AV85*1),2)*BS85),2)*AT85)/100),2))</f>
        <v>113.53</v>
      </c>
      <c r="CZ85" s="2">
        <f>(ROUND((((S85+ROUND((ROUND((((EU85*1.2))*AV85*1),2)*BS85),2))*AU85)/100),2)+ROUND(((ROUND((ROUND(((AE85-((EU85*1.2)))*AV85*1),2)*BS85),2)*AU85)/100),2))</f>
        <v>63.34</v>
      </c>
      <c r="DA85" s="2"/>
      <c r="DB85" s="2">
        <v>37</v>
      </c>
      <c r="DC85" s="2" t="s">
        <v>3</v>
      </c>
      <c r="DD85" s="2" t="s">
        <v>120</v>
      </c>
      <c r="DE85" s="2" t="s">
        <v>121</v>
      </c>
      <c r="DF85" s="2" t="s">
        <v>121</v>
      </c>
      <c r="DG85" s="2" t="s">
        <v>121</v>
      </c>
      <c r="DH85" s="2" t="s">
        <v>3</v>
      </c>
      <c r="DI85" s="2" t="s">
        <v>121</v>
      </c>
      <c r="DJ85" s="2" t="s">
        <v>121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1013</v>
      </c>
      <c r="DV85" s="2" t="s">
        <v>37</v>
      </c>
      <c r="DW85" s="2" t="s">
        <v>37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57042959</v>
      </c>
      <c r="EF85" s="2">
        <v>40</v>
      </c>
      <c r="EG85" s="2" t="s">
        <v>30</v>
      </c>
      <c r="EH85" s="2">
        <v>0</v>
      </c>
      <c r="EI85" s="2" t="s">
        <v>3</v>
      </c>
      <c r="EJ85" s="2">
        <v>2</v>
      </c>
      <c r="EK85" s="2">
        <v>69</v>
      </c>
      <c r="EL85" s="2" t="s">
        <v>39</v>
      </c>
      <c r="EM85" s="2" t="s">
        <v>40</v>
      </c>
      <c r="EN85" s="2"/>
      <c r="EO85" s="2" t="s">
        <v>122</v>
      </c>
      <c r="EP85" s="2"/>
      <c r="EQ85" s="2">
        <v>0</v>
      </c>
      <c r="ER85" s="2">
        <v>96.22</v>
      </c>
      <c r="ES85" s="2">
        <v>1.1000000000000001</v>
      </c>
      <c r="ET85" s="2">
        <v>0</v>
      </c>
      <c r="EU85" s="2">
        <v>0</v>
      </c>
      <c r="EV85" s="2">
        <v>95.12</v>
      </c>
      <c r="EW85" s="2">
        <v>8</v>
      </c>
      <c r="EX85" s="2">
        <v>0</v>
      </c>
      <c r="EY85" s="2">
        <v>0</v>
      </c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95</v>
      </c>
      <c r="FY85" s="2">
        <v>53</v>
      </c>
      <c r="FZ85" s="2"/>
      <c r="GA85" s="2" t="s">
        <v>3</v>
      </c>
      <c r="GB85" s="2"/>
      <c r="GC85" s="2"/>
      <c r="GD85" s="2">
        <v>1</v>
      </c>
      <c r="GE85" s="2"/>
      <c r="GF85" s="2">
        <v>-1819990670</v>
      </c>
      <c r="GG85" s="2">
        <v>2</v>
      </c>
      <c r="GH85" s="2">
        <v>1</v>
      </c>
      <c r="GI85" s="2">
        <v>2</v>
      </c>
      <c r="GJ85" s="2">
        <v>0</v>
      </c>
      <c r="GK85" s="2">
        <v>0</v>
      </c>
      <c r="GL85" s="2">
        <f t="shared" si="88"/>
        <v>0</v>
      </c>
      <c r="GM85" s="2">
        <f t="shared" si="89"/>
        <v>297.48</v>
      </c>
      <c r="GN85" s="2">
        <f t="shared" si="90"/>
        <v>0</v>
      </c>
      <c r="GO85" s="2">
        <f t="shared" si="91"/>
        <v>297.48</v>
      </c>
      <c r="GP85" s="2">
        <f t="shared" si="92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93"/>
        <v>0</v>
      </c>
      <c r="GW85" s="2">
        <v>1</v>
      </c>
      <c r="GX85" s="2">
        <f t="shared" si="94"/>
        <v>0</v>
      </c>
      <c r="GY85" s="2"/>
      <c r="GZ85" s="2"/>
      <c r="HA85" s="2">
        <v>0</v>
      </c>
      <c r="HB85" s="2">
        <v>0</v>
      </c>
      <c r="HC85" s="2">
        <f t="shared" si="95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3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ht="409.5" x14ac:dyDescent="0.25">
      <c r="A86" s="3">
        <v>17</v>
      </c>
      <c r="B86" s="3">
        <v>1</v>
      </c>
      <c r="C86" s="3">
        <f>ROW(SmtRes!A144)</f>
        <v>144</v>
      </c>
      <c r="D86" s="3">
        <f>ROW(EtalonRes!A174)</f>
        <v>174</v>
      </c>
      <c r="E86" s="3" t="s">
        <v>136</v>
      </c>
      <c r="F86" s="3" t="s">
        <v>35</v>
      </c>
      <c r="G86" s="3" t="s">
        <v>137</v>
      </c>
      <c r="H86" s="3" t="s">
        <v>37</v>
      </c>
      <c r="I86" s="3">
        <v>1</v>
      </c>
      <c r="J86" s="3">
        <v>0</v>
      </c>
      <c r="K86" s="3">
        <v>1</v>
      </c>
      <c r="L86" s="3"/>
      <c r="M86" s="3"/>
      <c r="N86" s="3"/>
      <c r="O86" s="3">
        <f t="shared" si="71"/>
        <v>6752.64</v>
      </c>
      <c r="P86" s="3">
        <f t="shared" si="72"/>
        <v>18.25</v>
      </c>
      <c r="Q86" s="3">
        <f>(ROUND((ROUND((((ET86*1.2))*AV86*I86),2)*BB86),2)+ROUND((ROUND(((AE86-((EU86*1.2)))*AV86*I86),2)*BS86),2))</f>
        <v>0</v>
      </c>
      <c r="R86" s="3">
        <f>(ROUND((ROUND((((EU86*1.2))*AV86*I86),2)*BS86),2)+ROUND((ROUND(((AE86-((EU86*1.2)))*AV86*I86),2)*BS86),2))</f>
        <v>0</v>
      </c>
      <c r="S86" s="3">
        <f t="shared" si="73"/>
        <v>6734.39</v>
      </c>
      <c r="T86" s="3">
        <f t="shared" si="74"/>
        <v>0</v>
      </c>
      <c r="U86" s="3">
        <f t="shared" si="75"/>
        <v>10.0512</v>
      </c>
      <c r="V86" s="3">
        <f t="shared" si="76"/>
        <v>0</v>
      </c>
      <c r="W86" s="3">
        <f t="shared" si="77"/>
        <v>0</v>
      </c>
      <c r="X86" s="3">
        <f>(ROUND((((S86+ROUND((ROUND((((EU86*1.2))*AV86*I86),2)*BS86),2))*AT86)/100),2)+ROUND(((ROUND((ROUND(((AE86-((EU86*1.2)))*AV86*I86),2)*BS86),2)*AT86)/100),2))</f>
        <v>6397.67</v>
      </c>
      <c r="Y86" s="3">
        <f>(ROUND((((S86+ROUND((ROUND((((EU86*1.2))*AV86*I86),2)*BS86),2))*AU86)/100),2)+ROUND(((ROUND((ROUND(((AE86-((EU86*1.2)))*AV86*I86),2)*BS86),2)*AU86)/100),2))</f>
        <v>3569.23</v>
      </c>
      <c r="Z86" s="3"/>
      <c r="AA86" s="3">
        <v>55934357</v>
      </c>
      <c r="AB86" s="3">
        <f t="shared" si="78"/>
        <v>115.244</v>
      </c>
      <c r="AC86" s="3">
        <f>ROUND(((ES86*1)),6)</f>
        <v>1.1000000000000001</v>
      </c>
      <c r="AD86" s="3">
        <f>ROUND(((((ET86*1.2))-((EU86*1.2)))+AE86),6)</f>
        <v>0</v>
      </c>
      <c r="AE86" s="3">
        <f t="shared" si="96"/>
        <v>0</v>
      </c>
      <c r="AF86" s="3">
        <f t="shared" si="96"/>
        <v>114.14400000000001</v>
      </c>
      <c r="AG86" s="3">
        <f t="shared" si="79"/>
        <v>0</v>
      </c>
      <c r="AH86" s="3">
        <f t="shared" si="97"/>
        <v>9.6</v>
      </c>
      <c r="AI86" s="3">
        <f t="shared" si="97"/>
        <v>0</v>
      </c>
      <c r="AJ86" s="3">
        <f t="shared" si="80"/>
        <v>0</v>
      </c>
      <c r="AK86" s="3">
        <v>96.22</v>
      </c>
      <c r="AL86" s="3">
        <v>1.1000000000000001</v>
      </c>
      <c r="AM86" s="3">
        <v>0</v>
      </c>
      <c r="AN86" s="3">
        <v>0</v>
      </c>
      <c r="AO86" s="3">
        <v>95.12</v>
      </c>
      <c r="AP86" s="3">
        <v>0</v>
      </c>
      <c r="AQ86" s="3">
        <v>8</v>
      </c>
      <c r="AR86" s="3">
        <v>0</v>
      </c>
      <c r="AS86" s="3">
        <v>0</v>
      </c>
      <c r="AT86" s="3">
        <v>95</v>
      </c>
      <c r="AU86" s="3">
        <v>53</v>
      </c>
      <c r="AV86" s="3">
        <v>1.0469999999999999</v>
      </c>
      <c r="AW86" s="3">
        <v>1</v>
      </c>
      <c r="AX86" s="3"/>
      <c r="AY86" s="3"/>
      <c r="AZ86" s="3">
        <v>1</v>
      </c>
      <c r="BA86" s="3">
        <v>56.35</v>
      </c>
      <c r="BB86" s="3">
        <v>1</v>
      </c>
      <c r="BC86" s="3">
        <v>16.59</v>
      </c>
      <c r="BD86" s="3" t="s">
        <v>3</v>
      </c>
      <c r="BE86" s="3" t="s">
        <v>3</v>
      </c>
      <c r="BF86" s="3" t="s">
        <v>3</v>
      </c>
      <c r="BG86" s="3" t="s">
        <v>3</v>
      </c>
      <c r="BH86" s="3">
        <v>0</v>
      </c>
      <c r="BI86" s="3">
        <v>2</v>
      </c>
      <c r="BJ86" s="3" t="s">
        <v>38</v>
      </c>
      <c r="BK86" s="3"/>
      <c r="BL86" s="3"/>
      <c r="BM86" s="3">
        <v>69</v>
      </c>
      <c r="BN86" s="3">
        <v>0</v>
      </c>
      <c r="BO86" s="3" t="s">
        <v>35</v>
      </c>
      <c r="BP86" s="3">
        <v>1</v>
      </c>
      <c r="BQ86" s="3">
        <v>40</v>
      </c>
      <c r="BR86" s="3">
        <v>0</v>
      </c>
      <c r="BS86" s="3">
        <v>56.35</v>
      </c>
      <c r="BT86" s="3">
        <v>1</v>
      </c>
      <c r="BU86" s="3">
        <v>1</v>
      </c>
      <c r="BV86" s="3">
        <v>1</v>
      </c>
      <c r="BW86" s="3">
        <v>1</v>
      </c>
      <c r="BX86" s="3">
        <v>1</v>
      </c>
      <c r="BY86" s="3" t="s">
        <v>3</v>
      </c>
      <c r="BZ86" s="3">
        <v>95</v>
      </c>
      <c r="CA86" s="3">
        <v>53</v>
      </c>
      <c r="CB86" s="3" t="s">
        <v>3</v>
      </c>
      <c r="CC86" s="3"/>
      <c r="CD86" s="3"/>
      <c r="CE86" s="3">
        <v>1566</v>
      </c>
      <c r="CF86" s="3">
        <v>0</v>
      </c>
      <c r="CG86" s="3">
        <v>0</v>
      </c>
      <c r="CH86" s="3"/>
      <c r="CI86" s="3"/>
      <c r="CJ86" s="3"/>
      <c r="CK86" s="3"/>
      <c r="CL86" s="3"/>
      <c r="CM86" s="3">
        <v>0</v>
      </c>
      <c r="CN86" s="12" t="s">
        <v>419</v>
      </c>
      <c r="CO86" s="3">
        <v>0</v>
      </c>
      <c r="CP86" s="3">
        <f t="shared" si="81"/>
        <v>6752.64</v>
      </c>
      <c r="CQ86" s="3">
        <f t="shared" si="82"/>
        <v>18.25</v>
      </c>
      <c r="CR86" s="3">
        <f>(ROUND((ROUND((((ET86*1.2))*AV86*1),2)*BB86),2)+ROUND((ROUND(((AE86-((EU86*1.2)))*AV86*1),2)*BS86),2))</f>
        <v>0</v>
      </c>
      <c r="CS86" s="3">
        <f>(ROUND((ROUND((((EU86*1.2))*AV86*1),2)*BS86),2)+ROUND((ROUND(((AE86-((EU86*1.2)))*AV86*1),2)*BS86),2))</f>
        <v>0</v>
      </c>
      <c r="CT86" s="3">
        <f t="shared" si="83"/>
        <v>6734.39</v>
      </c>
      <c r="CU86" s="3">
        <f t="shared" si="84"/>
        <v>0</v>
      </c>
      <c r="CV86" s="3">
        <f t="shared" si="85"/>
        <v>10.0512</v>
      </c>
      <c r="CW86" s="3">
        <f t="shared" si="86"/>
        <v>0</v>
      </c>
      <c r="CX86" s="3">
        <f t="shared" si="87"/>
        <v>0</v>
      </c>
      <c r="CY86" s="3">
        <f>(ROUND((((S86+ROUND((ROUND((((EU86*1.2))*AV86*1),2)*BS86),2))*AT86)/100),2)+ROUND(((ROUND((ROUND(((AE86-((EU86*1.2)))*AV86*1),2)*BS86),2)*AT86)/100),2))</f>
        <v>6397.67</v>
      </c>
      <c r="CZ86" s="3">
        <f>(ROUND((((S86+ROUND((ROUND((((EU86*1.2))*AV86*1),2)*BS86),2))*AU86)/100),2)+ROUND(((ROUND((ROUND(((AE86-((EU86*1.2)))*AV86*1),2)*BS86),2)*AU86)/100),2))</f>
        <v>3569.23</v>
      </c>
      <c r="DA86" s="3"/>
      <c r="DB86" s="3">
        <v>38</v>
      </c>
      <c r="DC86" s="3" t="s">
        <v>3</v>
      </c>
      <c r="DD86" s="3" t="s">
        <v>120</v>
      </c>
      <c r="DE86" s="3" t="s">
        <v>121</v>
      </c>
      <c r="DF86" s="3" t="s">
        <v>121</v>
      </c>
      <c r="DG86" s="3" t="s">
        <v>121</v>
      </c>
      <c r="DH86" s="3" t="s">
        <v>3</v>
      </c>
      <c r="DI86" s="3" t="s">
        <v>121</v>
      </c>
      <c r="DJ86" s="3" t="s">
        <v>121</v>
      </c>
      <c r="DK86" s="3" t="s">
        <v>3</v>
      </c>
      <c r="DL86" s="3" t="s">
        <v>3</v>
      </c>
      <c r="DM86" s="3" t="s">
        <v>3</v>
      </c>
      <c r="DN86" s="3">
        <v>0</v>
      </c>
      <c r="DO86" s="3">
        <v>0</v>
      </c>
      <c r="DP86" s="3">
        <v>1</v>
      </c>
      <c r="DQ86" s="3">
        <v>1</v>
      </c>
      <c r="DR86" s="3"/>
      <c r="DS86" s="3"/>
      <c r="DT86" s="3"/>
      <c r="DU86" s="3">
        <v>1013</v>
      </c>
      <c r="DV86" s="3" t="s">
        <v>37</v>
      </c>
      <c r="DW86" s="3" t="s">
        <v>37</v>
      </c>
      <c r="DX86" s="3">
        <v>1</v>
      </c>
      <c r="DY86" s="3"/>
      <c r="DZ86" s="3" t="s">
        <v>3</v>
      </c>
      <c r="EA86" s="3" t="s">
        <v>3</v>
      </c>
      <c r="EB86" s="3" t="s">
        <v>3</v>
      </c>
      <c r="EC86" s="3" t="s">
        <v>3</v>
      </c>
      <c r="ED86" s="3"/>
      <c r="EE86" s="3">
        <v>57042959</v>
      </c>
      <c r="EF86" s="3">
        <v>40</v>
      </c>
      <c r="EG86" s="3" t="s">
        <v>30</v>
      </c>
      <c r="EH86" s="3">
        <v>0</v>
      </c>
      <c r="EI86" s="3" t="s">
        <v>3</v>
      </c>
      <c r="EJ86" s="3">
        <v>2</v>
      </c>
      <c r="EK86" s="3">
        <v>69</v>
      </c>
      <c r="EL86" s="3" t="s">
        <v>39</v>
      </c>
      <c r="EM86" s="3" t="s">
        <v>40</v>
      </c>
      <c r="EN86" s="3"/>
      <c r="EO86" s="3" t="s">
        <v>122</v>
      </c>
      <c r="EP86" s="3"/>
      <c r="EQ86" s="3">
        <v>0</v>
      </c>
      <c r="ER86" s="3">
        <v>96.22</v>
      </c>
      <c r="ES86" s="3">
        <v>1.1000000000000001</v>
      </c>
      <c r="ET86" s="3">
        <v>0</v>
      </c>
      <c r="EU86" s="3">
        <v>0</v>
      </c>
      <c r="EV86" s="3">
        <v>95.12</v>
      </c>
      <c r="EW86" s="3">
        <v>8</v>
      </c>
      <c r="EX86" s="3">
        <v>0</v>
      </c>
      <c r="EY86" s="3">
        <v>0</v>
      </c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>
        <v>0</v>
      </c>
      <c r="FR86" s="3">
        <v>0</v>
      </c>
      <c r="FS86" s="3">
        <v>0</v>
      </c>
      <c r="FT86" s="3"/>
      <c r="FU86" s="3"/>
      <c r="FV86" s="3"/>
      <c r="FW86" s="3"/>
      <c r="FX86" s="3">
        <v>95</v>
      </c>
      <c r="FY86" s="3">
        <v>53</v>
      </c>
      <c r="FZ86" s="3"/>
      <c r="GA86" s="3" t="s">
        <v>3</v>
      </c>
      <c r="GB86" s="3"/>
      <c r="GC86" s="3"/>
      <c r="GD86" s="3">
        <v>1</v>
      </c>
      <c r="GE86" s="3"/>
      <c r="GF86" s="3">
        <v>-1819990670</v>
      </c>
      <c r="GG86" s="3">
        <v>2</v>
      </c>
      <c r="GH86" s="3">
        <v>1</v>
      </c>
      <c r="GI86" s="3">
        <v>2</v>
      </c>
      <c r="GJ86" s="3">
        <v>0</v>
      </c>
      <c r="GK86" s="3">
        <v>0</v>
      </c>
      <c r="GL86" s="3">
        <f t="shared" si="88"/>
        <v>0</v>
      </c>
      <c r="GM86" s="3">
        <f t="shared" si="89"/>
        <v>16719.54</v>
      </c>
      <c r="GN86" s="3">
        <f t="shared" si="90"/>
        <v>0</v>
      </c>
      <c r="GO86" s="3">
        <f t="shared" si="91"/>
        <v>16719.54</v>
      </c>
      <c r="GP86" s="3">
        <f t="shared" si="92"/>
        <v>0</v>
      </c>
      <c r="GQ86" s="3"/>
      <c r="GR86" s="3">
        <v>0</v>
      </c>
      <c r="GS86" s="3">
        <v>3</v>
      </c>
      <c r="GT86" s="3">
        <v>0</v>
      </c>
      <c r="GU86" s="3" t="s">
        <v>3</v>
      </c>
      <c r="GV86" s="3">
        <f t="shared" si="93"/>
        <v>0</v>
      </c>
      <c r="GW86" s="3">
        <v>1</v>
      </c>
      <c r="GX86" s="3">
        <f t="shared" si="94"/>
        <v>0</v>
      </c>
      <c r="GY86" s="3"/>
      <c r="GZ86" s="3"/>
      <c r="HA86" s="3">
        <v>0</v>
      </c>
      <c r="HB86" s="3">
        <v>0</v>
      </c>
      <c r="HC86" s="3">
        <f t="shared" si="95"/>
        <v>0</v>
      </c>
      <c r="HD86" s="3"/>
      <c r="HE86" s="3" t="s">
        <v>3</v>
      </c>
      <c r="HF86" s="3" t="s">
        <v>3</v>
      </c>
      <c r="HG86" s="3"/>
      <c r="HH86" s="3"/>
      <c r="HI86" s="3"/>
      <c r="HJ86" s="3"/>
      <c r="HK86" s="3"/>
      <c r="HL86" s="3"/>
      <c r="HM86" s="3" t="s">
        <v>3</v>
      </c>
      <c r="HN86" s="3" t="s">
        <v>3</v>
      </c>
      <c r="HO86" s="3" t="s">
        <v>3</v>
      </c>
      <c r="HP86" s="3" t="s">
        <v>3</v>
      </c>
      <c r="HQ86" s="3" t="s">
        <v>3</v>
      </c>
      <c r="HR86" s="3"/>
      <c r="HS86" s="3">
        <v>0</v>
      </c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>
        <v>0</v>
      </c>
      <c r="IL86" s="3"/>
      <c r="IM86" s="3"/>
      <c r="IN86" s="3"/>
      <c r="IO86" s="3"/>
      <c r="IP86" s="3"/>
      <c r="IQ86" s="3"/>
      <c r="IR86" s="3"/>
      <c r="IS86" s="3"/>
      <c r="IT86" s="3"/>
      <c r="IU86" s="3"/>
    </row>
    <row r="87" spans="1:255" x14ac:dyDescent="0.25">
      <c r="A87" s="2">
        <v>17</v>
      </c>
      <c r="B87" s="2">
        <v>1</v>
      </c>
      <c r="C87" s="2"/>
      <c r="D87" s="2"/>
      <c r="E87" s="2" t="s">
        <v>138</v>
      </c>
      <c r="F87" s="2" t="s">
        <v>139</v>
      </c>
      <c r="G87" s="2" t="s">
        <v>421</v>
      </c>
      <c r="H87" s="2" t="s">
        <v>126</v>
      </c>
      <c r="I87" s="2">
        <v>1</v>
      </c>
      <c r="J87" s="2">
        <v>0</v>
      </c>
      <c r="K87" s="2">
        <v>1</v>
      </c>
      <c r="L87" s="2"/>
      <c r="M87" s="2"/>
      <c r="N87" s="2"/>
      <c r="O87" s="2">
        <f t="shared" si="71"/>
        <v>465031.79</v>
      </c>
      <c r="P87" s="2">
        <f t="shared" si="72"/>
        <v>465031.79</v>
      </c>
      <c r="Q87" s="2">
        <f>(ROUND((ROUND(((ET87)*AV87*I87),2)*BB87),2)+ROUND((ROUND(((AE87-(EU87))*AV87*I87),2)*BS87),2))</f>
        <v>0</v>
      </c>
      <c r="R87" s="2">
        <f>(ROUND((ROUND(((EU87)*AV87*I87),2)*BS87),2)+ROUND((ROUND(((AE87-(EU87))*AV87*I87),2)*BS87),2))</f>
        <v>0</v>
      </c>
      <c r="S87" s="2">
        <f t="shared" si="73"/>
        <v>0</v>
      </c>
      <c r="T87" s="2">
        <f t="shared" si="74"/>
        <v>0</v>
      </c>
      <c r="U87" s="2">
        <f t="shared" si="75"/>
        <v>0</v>
      </c>
      <c r="V87" s="2">
        <f t="shared" si="76"/>
        <v>0</v>
      </c>
      <c r="W87" s="2">
        <f t="shared" si="77"/>
        <v>0</v>
      </c>
      <c r="X87" s="2">
        <f>(ROUND((((S87+ROUND((ROUND(((EU87)*AV87*I87),2)*BS87),2))*AT87)/100),2)+ROUND(((ROUND((ROUND(((AE87-(EU87))*AV87*I87),2)*BS87),2)*AT87)/100),2))</f>
        <v>0</v>
      </c>
      <c r="Y87" s="2">
        <f>(ROUND((((S87+ROUND((ROUND(((EU87)*AV87*I87),2)*BS87),2))*AU87)/100),2)+ROUND(((ROUND((ROUND(((AE87-(EU87))*AV87*I87),2)*BS87),2)*AU87)/100),2))</f>
        <v>0</v>
      </c>
      <c r="Z87" s="2"/>
      <c r="AA87" s="2">
        <v>55934355</v>
      </c>
      <c r="AB87" s="2">
        <f t="shared" si="78"/>
        <v>465031.79</v>
      </c>
      <c r="AC87" s="2">
        <f>ROUND((ES87),6)</f>
        <v>465031.79</v>
      </c>
      <c r="AD87" s="2">
        <f>ROUND((((ET87)-(EU87))+AE87),6)</f>
        <v>0</v>
      </c>
      <c r="AE87" s="2">
        <f t="shared" ref="AE87:AF90" si="98">ROUND((EU87),6)</f>
        <v>0</v>
      </c>
      <c r="AF87" s="2">
        <f t="shared" si="98"/>
        <v>0</v>
      </c>
      <c r="AG87" s="2">
        <f t="shared" si="79"/>
        <v>0</v>
      </c>
      <c r="AH87" s="2">
        <f t="shared" ref="AH87:AI90" si="99">(EW87)</f>
        <v>0</v>
      </c>
      <c r="AI87" s="2">
        <f t="shared" si="99"/>
        <v>0</v>
      </c>
      <c r="AJ87" s="2">
        <f t="shared" si="80"/>
        <v>0</v>
      </c>
      <c r="AK87" s="2">
        <v>465031.79000000004</v>
      </c>
      <c r="AL87" s="2">
        <v>465031.79000000004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3</v>
      </c>
      <c r="BJ87" s="2" t="s">
        <v>139</v>
      </c>
      <c r="BK87" s="2"/>
      <c r="BL87" s="2"/>
      <c r="BM87" s="2">
        <v>400007</v>
      </c>
      <c r="BN87" s="2">
        <v>0</v>
      </c>
      <c r="BO87" s="2" t="s">
        <v>3</v>
      </c>
      <c r="BP87" s="2">
        <v>0</v>
      </c>
      <c r="BQ87" s="2">
        <v>214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0</v>
      </c>
      <c r="CA87" s="2">
        <v>0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3</v>
      </c>
      <c r="CO87" s="2">
        <v>0</v>
      </c>
      <c r="CP87" s="2">
        <f t="shared" si="81"/>
        <v>465031.79</v>
      </c>
      <c r="CQ87" s="2">
        <f t="shared" si="82"/>
        <v>465031.79</v>
      </c>
      <c r="CR87" s="2">
        <f>(ROUND((ROUND(((ET87)*AV87*1),2)*BB87),2)+ROUND((ROUND(((AE87-(EU87))*AV87*1),2)*BS87),2))</f>
        <v>0</v>
      </c>
      <c r="CS87" s="2">
        <f>(ROUND((ROUND(((EU87)*AV87*1),2)*BS87),2)+ROUND((ROUND(((AE87-(EU87))*AV87*1),2)*BS87),2))</f>
        <v>0</v>
      </c>
      <c r="CT87" s="2">
        <f t="shared" si="83"/>
        <v>0</v>
      </c>
      <c r="CU87" s="2">
        <f t="shared" si="84"/>
        <v>0</v>
      </c>
      <c r="CV87" s="2">
        <f t="shared" si="85"/>
        <v>0</v>
      </c>
      <c r="CW87" s="2">
        <f t="shared" si="86"/>
        <v>0</v>
      </c>
      <c r="CX87" s="2">
        <f t="shared" si="87"/>
        <v>0</v>
      </c>
      <c r="CY87" s="2">
        <f>(ROUND((((S87+ROUND((ROUND(((EU87)*AV87*1),2)*BS87),2))*AT87)/100),2)+ROUND(((ROUND((ROUND(((AE87-(EU87))*AV87*1),2)*BS87),2)*AT87)/100),2))</f>
        <v>0</v>
      </c>
      <c r="CZ87" s="2">
        <f>(ROUND((((S87+ROUND((ROUND(((EU87)*AV87*1),2)*BS87),2))*AU87)/100),2)+ROUND(((ROUND((ROUND(((AE87-(EU87))*AV87*1),2)*BS87),2)*AU87)/100),2))</f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1013</v>
      </c>
      <c r="DV87" s="2" t="s">
        <v>126</v>
      </c>
      <c r="DW87" s="2" t="s">
        <v>126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57042890</v>
      </c>
      <c r="EF87" s="2">
        <v>214</v>
      </c>
      <c r="EG87" s="2" t="s">
        <v>127</v>
      </c>
      <c r="EH87" s="2">
        <v>0</v>
      </c>
      <c r="EI87" s="2" t="s">
        <v>3</v>
      </c>
      <c r="EJ87" s="2">
        <v>3</v>
      </c>
      <c r="EK87" s="2">
        <v>400007</v>
      </c>
      <c r="EL87" s="2" t="s">
        <v>127</v>
      </c>
      <c r="EM87" s="2" t="s">
        <v>128</v>
      </c>
      <c r="EN87" s="2"/>
      <c r="EO87" s="2" t="s">
        <v>3</v>
      </c>
      <c r="EP87" s="2"/>
      <c r="EQ87" s="2">
        <v>16</v>
      </c>
      <c r="ER87" s="2">
        <v>0</v>
      </c>
      <c r="ES87" s="2">
        <v>465031.79000000004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f>P87</f>
        <v>465031.79</v>
      </c>
      <c r="FS87" s="2">
        <v>0</v>
      </c>
      <c r="FT87" s="2"/>
      <c r="FU87" s="2"/>
      <c r="FV87" s="2"/>
      <c r="FW87" s="2"/>
      <c r="FX87" s="2">
        <v>0</v>
      </c>
      <c r="FY87" s="2">
        <v>0</v>
      </c>
      <c r="FZ87" s="2"/>
      <c r="GA87" s="2" t="s">
        <v>140</v>
      </c>
      <c r="GB87" s="2"/>
      <c r="GC87" s="2"/>
      <c r="GD87" s="2">
        <v>1</v>
      </c>
      <c r="GE87" s="2"/>
      <c r="GF87" s="2">
        <v>-2107335193</v>
      </c>
      <c r="GG87" s="2">
        <v>2</v>
      </c>
      <c r="GH87" s="2">
        <v>4</v>
      </c>
      <c r="GI87" s="2">
        <v>-2</v>
      </c>
      <c r="GJ87" s="2">
        <v>0</v>
      </c>
      <c r="GK87" s="2">
        <v>0</v>
      </c>
      <c r="GL87" s="2">
        <f t="shared" si="88"/>
        <v>0</v>
      </c>
      <c r="GM87" s="2">
        <f t="shared" si="89"/>
        <v>465031.79</v>
      </c>
      <c r="GN87" s="2">
        <f t="shared" si="90"/>
        <v>0</v>
      </c>
      <c r="GO87" s="2">
        <f t="shared" si="91"/>
        <v>0</v>
      </c>
      <c r="GP87" s="2">
        <f t="shared" si="92"/>
        <v>0</v>
      </c>
      <c r="GQ87" s="2"/>
      <c r="GR87" s="2">
        <v>1</v>
      </c>
      <c r="GS87" s="2">
        <v>2</v>
      </c>
      <c r="GT87" s="2">
        <v>0</v>
      </c>
      <c r="GU87" s="2" t="s">
        <v>3</v>
      </c>
      <c r="GV87" s="2">
        <f t="shared" si="93"/>
        <v>0</v>
      </c>
      <c r="GW87" s="2">
        <v>1</v>
      </c>
      <c r="GX87" s="2">
        <f t="shared" si="94"/>
        <v>0</v>
      </c>
      <c r="GY87" s="2"/>
      <c r="GZ87" s="2"/>
      <c r="HA87" s="2">
        <v>0</v>
      </c>
      <c r="HB87" s="2">
        <v>0</v>
      </c>
      <c r="HC87" s="2">
        <f t="shared" si="95"/>
        <v>0</v>
      </c>
      <c r="HD87" s="2"/>
      <c r="HE87" s="2" t="s">
        <v>41</v>
      </c>
      <c r="HF87" s="2" t="s">
        <v>130</v>
      </c>
      <c r="HG87" s="2"/>
      <c r="HH87" s="2"/>
      <c r="HI87" s="2"/>
      <c r="HJ87" s="2"/>
      <c r="HK87" s="2"/>
      <c r="HL87" s="2"/>
      <c r="HM87" s="2" t="s">
        <v>3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3">
        <v>17</v>
      </c>
      <c r="B88" s="3">
        <v>1</v>
      </c>
      <c r="C88" s="3"/>
      <c r="D88" s="3"/>
      <c r="E88" s="3" t="s">
        <v>138</v>
      </c>
      <c r="F88" s="3" t="s">
        <v>139</v>
      </c>
      <c r="G88" s="3" t="s">
        <v>421</v>
      </c>
      <c r="H88" s="3" t="s">
        <v>126</v>
      </c>
      <c r="I88" s="3">
        <v>1</v>
      </c>
      <c r="J88" s="3">
        <v>0</v>
      </c>
      <c r="K88" s="3">
        <v>1</v>
      </c>
      <c r="L88" s="3"/>
      <c r="M88" s="3"/>
      <c r="N88" s="3"/>
      <c r="O88" s="3">
        <f t="shared" si="71"/>
        <v>3520290.65</v>
      </c>
      <c r="P88" s="3">
        <f t="shared" si="72"/>
        <v>3520290.65</v>
      </c>
      <c r="Q88" s="3">
        <f>(ROUND((ROUND(((ET88)*AV88*I88),2)*BB88),2)+ROUND((ROUND(((AE88-(EU88))*AV88*I88),2)*BS88),2))</f>
        <v>0</v>
      </c>
      <c r="R88" s="3">
        <f>(ROUND((ROUND(((EU88)*AV88*I88),2)*BS88),2)+ROUND((ROUND(((AE88-(EU88))*AV88*I88),2)*BS88),2))</f>
        <v>0</v>
      </c>
      <c r="S88" s="3">
        <f t="shared" si="73"/>
        <v>0</v>
      </c>
      <c r="T88" s="3">
        <f t="shared" si="74"/>
        <v>0</v>
      </c>
      <c r="U88" s="3">
        <f t="shared" si="75"/>
        <v>0</v>
      </c>
      <c r="V88" s="3">
        <f t="shared" si="76"/>
        <v>0</v>
      </c>
      <c r="W88" s="3">
        <f t="shared" si="77"/>
        <v>0</v>
      </c>
      <c r="X88" s="3">
        <f>(ROUND((((S88+ROUND((ROUND(((EU88)*AV88*I88),2)*BS88),2))*AT88)/100),2)+ROUND(((ROUND((ROUND(((AE88-(EU88))*AV88*I88),2)*BS88),2)*AT88)/100),2))</f>
        <v>0</v>
      </c>
      <c r="Y88" s="3">
        <f>(ROUND((((S88+ROUND((ROUND(((EU88)*AV88*I88),2)*BS88),2))*AU88)/100),2)+ROUND(((ROUND((ROUND(((AE88-(EU88))*AV88*I88),2)*BS88),2)*AU88)/100),2))</f>
        <v>0</v>
      </c>
      <c r="Z88" s="3"/>
      <c r="AA88" s="3">
        <v>55934357</v>
      </c>
      <c r="AB88" s="3">
        <f t="shared" si="78"/>
        <v>465031.79</v>
      </c>
      <c r="AC88" s="3">
        <f>ROUND((ES88),6)</f>
        <v>465031.79</v>
      </c>
      <c r="AD88" s="3">
        <f>ROUND((((ET88)-(EU88))+AE88),6)</f>
        <v>0</v>
      </c>
      <c r="AE88" s="3">
        <f t="shared" si="98"/>
        <v>0</v>
      </c>
      <c r="AF88" s="3">
        <f t="shared" si="98"/>
        <v>0</v>
      </c>
      <c r="AG88" s="3">
        <f t="shared" si="79"/>
        <v>0</v>
      </c>
      <c r="AH88" s="3">
        <f t="shared" si="99"/>
        <v>0</v>
      </c>
      <c r="AI88" s="3">
        <f t="shared" si="99"/>
        <v>0</v>
      </c>
      <c r="AJ88" s="3">
        <f t="shared" si="80"/>
        <v>0</v>
      </c>
      <c r="AK88" s="3">
        <v>465031.79000000004</v>
      </c>
      <c r="AL88" s="3">
        <v>465031.79000000004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1</v>
      </c>
      <c r="AW88" s="3">
        <v>1</v>
      </c>
      <c r="AX88" s="3"/>
      <c r="AY88" s="3"/>
      <c r="AZ88" s="3">
        <v>1</v>
      </c>
      <c r="BA88" s="3">
        <v>1</v>
      </c>
      <c r="BB88" s="3">
        <v>1</v>
      </c>
      <c r="BC88" s="3">
        <v>7.57</v>
      </c>
      <c r="BD88" s="3" t="s">
        <v>3</v>
      </c>
      <c r="BE88" s="3" t="s">
        <v>3</v>
      </c>
      <c r="BF88" s="3" t="s">
        <v>3</v>
      </c>
      <c r="BG88" s="3" t="s">
        <v>3</v>
      </c>
      <c r="BH88" s="3">
        <v>3</v>
      </c>
      <c r="BI88" s="3">
        <v>3</v>
      </c>
      <c r="BJ88" s="3" t="s">
        <v>139</v>
      </c>
      <c r="BK88" s="3"/>
      <c r="BL88" s="3"/>
      <c r="BM88" s="3">
        <v>400007</v>
      </c>
      <c r="BN88" s="3">
        <v>0</v>
      </c>
      <c r="BO88" s="3" t="s">
        <v>3</v>
      </c>
      <c r="BP88" s="3">
        <v>0</v>
      </c>
      <c r="BQ88" s="3">
        <v>214</v>
      </c>
      <c r="BR88" s="3">
        <v>0</v>
      </c>
      <c r="BS88" s="3">
        <v>1</v>
      </c>
      <c r="BT88" s="3">
        <v>1</v>
      </c>
      <c r="BU88" s="3">
        <v>1</v>
      </c>
      <c r="BV88" s="3">
        <v>1</v>
      </c>
      <c r="BW88" s="3">
        <v>1</v>
      </c>
      <c r="BX88" s="3">
        <v>1</v>
      </c>
      <c r="BY88" s="3" t="s">
        <v>3</v>
      </c>
      <c r="BZ88" s="3">
        <v>0</v>
      </c>
      <c r="CA88" s="3">
        <v>0</v>
      </c>
      <c r="CB88" s="3" t="s">
        <v>3</v>
      </c>
      <c r="CC88" s="3"/>
      <c r="CD88" s="3"/>
      <c r="CE88" s="3">
        <v>1566</v>
      </c>
      <c r="CF88" s="3">
        <v>0</v>
      </c>
      <c r="CG88" s="3">
        <v>0</v>
      </c>
      <c r="CH88" s="3"/>
      <c r="CI88" s="3"/>
      <c r="CJ88" s="3"/>
      <c r="CK88" s="3"/>
      <c r="CL88" s="3"/>
      <c r="CM88" s="3">
        <v>0</v>
      </c>
      <c r="CN88" s="3" t="s">
        <v>3</v>
      </c>
      <c r="CO88" s="3">
        <v>0</v>
      </c>
      <c r="CP88" s="3">
        <f t="shared" si="81"/>
        <v>3520290.65</v>
      </c>
      <c r="CQ88" s="3">
        <f t="shared" si="82"/>
        <v>3520290.65</v>
      </c>
      <c r="CR88" s="3">
        <f>(ROUND((ROUND(((ET88)*AV88*1),2)*BB88),2)+ROUND((ROUND(((AE88-(EU88))*AV88*1),2)*BS88),2))</f>
        <v>0</v>
      </c>
      <c r="CS88" s="3">
        <f>(ROUND((ROUND(((EU88)*AV88*1),2)*BS88),2)+ROUND((ROUND(((AE88-(EU88))*AV88*1),2)*BS88),2))</f>
        <v>0</v>
      </c>
      <c r="CT88" s="3">
        <f t="shared" si="83"/>
        <v>0</v>
      </c>
      <c r="CU88" s="3">
        <f t="shared" si="84"/>
        <v>0</v>
      </c>
      <c r="CV88" s="3">
        <f t="shared" si="85"/>
        <v>0</v>
      </c>
      <c r="CW88" s="3">
        <f t="shared" si="86"/>
        <v>0</v>
      </c>
      <c r="CX88" s="3">
        <f t="shared" si="87"/>
        <v>0</v>
      </c>
      <c r="CY88" s="3">
        <f>(ROUND((((S88+ROUND((ROUND(((EU88)*AV88*1),2)*BS88),2))*AT88)/100),2)+ROUND(((ROUND((ROUND(((AE88-(EU88))*AV88*1),2)*BS88),2)*AT88)/100),2))</f>
        <v>0</v>
      </c>
      <c r="CZ88" s="3">
        <f>(ROUND((((S88+ROUND((ROUND(((EU88)*AV88*1),2)*BS88),2))*AU88)/100),2)+ROUND(((ROUND((ROUND(((AE88-(EU88))*AV88*1),2)*BS88),2)*AU88)/100),2))</f>
        <v>0</v>
      </c>
      <c r="DA88" s="3"/>
      <c r="DB88" s="3"/>
      <c r="DC88" s="3" t="s">
        <v>3</v>
      </c>
      <c r="DD88" s="3" t="s">
        <v>3</v>
      </c>
      <c r="DE88" s="3" t="s">
        <v>3</v>
      </c>
      <c r="DF88" s="3" t="s">
        <v>3</v>
      </c>
      <c r="DG88" s="3" t="s">
        <v>3</v>
      </c>
      <c r="DH88" s="3" t="s">
        <v>3</v>
      </c>
      <c r="DI88" s="3" t="s">
        <v>3</v>
      </c>
      <c r="DJ88" s="3" t="s">
        <v>3</v>
      </c>
      <c r="DK88" s="3" t="s">
        <v>3</v>
      </c>
      <c r="DL88" s="3" t="s">
        <v>3</v>
      </c>
      <c r="DM88" s="3" t="s">
        <v>3</v>
      </c>
      <c r="DN88" s="3">
        <v>0</v>
      </c>
      <c r="DO88" s="3">
        <v>0</v>
      </c>
      <c r="DP88" s="3">
        <v>1</v>
      </c>
      <c r="DQ88" s="3">
        <v>1</v>
      </c>
      <c r="DR88" s="3"/>
      <c r="DS88" s="3"/>
      <c r="DT88" s="3"/>
      <c r="DU88" s="3">
        <v>1013</v>
      </c>
      <c r="DV88" s="3" t="s">
        <v>126</v>
      </c>
      <c r="DW88" s="3" t="s">
        <v>126</v>
      </c>
      <c r="DX88" s="3">
        <v>1</v>
      </c>
      <c r="DY88" s="3"/>
      <c r="DZ88" s="3" t="s">
        <v>3</v>
      </c>
      <c r="EA88" s="3" t="s">
        <v>3</v>
      </c>
      <c r="EB88" s="3" t="s">
        <v>3</v>
      </c>
      <c r="EC88" s="3" t="s">
        <v>3</v>
      </c>
      <c r="ED88" s="3"/>
      <c r="EE88" s="3">
        <v>57042890</v>
      </c>
      <c r="EF88" s="3">
        <v>214</v>
      </c>
      <c r="EG88" s="3" t="s">
        <v>127</v>
      </c>
      <c r="EH88" s="3">
        <v>0</v>
      </c>
      <c r="EI88" s="3" t="s">
        <v>3</v>
      </c>
      <c r="EJ88" s="3">
        <v>3</v>
      </c>
      <c r="EK88" s="3">
        <v>400007</v>
      </c>
      <c r="EL88" s="3" t="s">
        <v>127</v>
      </c>
      <c r="EM88" s="3" t="s">
        <v>128</v>
      </c>
      <c r="EN88" s="3"/>
      <c r="EO88" s="3" t="s">
        <v>3</v>
      </c>
      <c r="EP88" s="3"/>
      <c r="EQ88" s="3">
        <v>16</v>
      </c>
      <c r="ER88" s="3">
        <v>0</v>
      </c>
      <c r="ES88" s="3">
        <v>465031.79000000004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5</v>
      </c>
      <c r="FA88" s="3"/>
      <c r="FB88" s="3"/>
      <c r="FC88" s="3">
        <v>1</v>
      </c>
      <c r="FD88" s="3">
        <v>18</v>
      </c>
      <c r="FE88" s="3"/>
      <c r="FF88" s="3">
        <v>4120222</v>
      </c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>
        <v>0</v>
      </c>
      <c r="FR88" s="3">
        <f>P88</f>
        <v>3520290.65</v>
      </c>
      <c r="FS88" s="3">
        <v>0</v>
      </c>
      <c r="FT88" s="3"/>
      <c r="FU88" s="3"/>
      <c r="FV88" s="3"/>
      <c r="FW88" s="3"/>
      <c r="FX88" s="3">
        <v>0</v>
      </c>
      <c r="FY88" s="3">
        <v>0</v>
      </c>
      <c r="FZ88" s="3"/>
      <c r="GA88" s="3" t="s">
        <v>140</v>
      </c>
      <c r="GB88" s="3"/>
      <c r="GC88" s="3"/>
      <c r="GD88" s="3">
        <v>1</v>
      </c>
      <c r="GE88" s="3"/>
      <c r="GF88" s="3">
        <v>-2107335193</v>
      </c>
      <c r="GG88" s="3">
        <v>2</v>
      </c>
      <c r="GH88" s="3">
        <v>3</v>
      </c>
      <c r="GI88" s="3">
        <v>5</v>
      </c>
      <c r="GJ88" s="3">
        <v>0</v>
      </c>
      <c r="GK88" s="3">
        <v>0</v>
      </c>
      <c r="GL88" s="3">
        <f t="shared" si="88"/>
        <v>0</v>
      </c>
      <c r="GM88" s="3">
        <f t="shared" si="89"/>
        <v>3520290.65</v>
      </c>
      <c r="GN88" s="3">
        <f t="shared" si="90"/>
        <v>0</v>
      </c>
      <c r="GO88" s="3">
        <f t="shared" si="91"/>
        <v>0</v>
      </c>
      <c r="GP88" s="3">
        <f t="shared" si="92"/>
        <v>0</v>
      </c>
      <c r="GQ88" s="3"/>
      <c r="GR88" s="3">
        <v>1</v>
      </c>
      <c r="GS88" s="3">
        <v>1</v>
      </c>
      <c r="GT88" s="3">
        <v>0</v>
      </c>
      <c r="GU88" s="3" t="s">
        <v>3</v>
      </c>
      <c r="GV88" s="3">
        <f t="shared" si="93"/>
        <v>0</v>
      </c>
      <c r="GW88" s="3">
        <v>1</v>
      </c>
      <c r="GX88" s="3">
        <f t="shared" si="94"/>
        <v>0</v>
      </c>
      <c r="GY88" s="3"/>
      <c r="GZ88" s="3"/>
      <c r="HA88" s="3">
        <v>0</v>
      </c>
      <c r="HB88" s="3">
        <v>0</v>
      </c>
      <c r="HC88" s="3">
        <f t="shared" si="95"/>
        <v>0</v>
      </c>
      <c r="HD88" s="3"/>
      <c r="HE88" s="3" t="s">
        <v>41</v>
      </c>
      <c r="HF88" s="3" t="s">
        <v>130</v>
      </c>
      <c r="HG88" s="3"/>
      <c r="HH88" s="3"/>
      <c r="HI88" s="3"/>
      <c r="HJ88" s="3"/>
      <c r="HK88" s="3"/>
      <c r="HL88" s="3"/>
      <c r="HM88" s="3" t="s">
        <v>3</v>
      </c>
      <c r="HN88" s="3" t="s">
        <v>3</v>
      </c>
      <c r="HO88" s="3" t="s">
        <v>3</v>
      </c>
      <c r="HP88" s="3" t="s">
        <v>3</v>
      </c>
      <c r="HQ88" s="3" t="s">
        <v>3</v>
      </c>
      <c r="HR88" s="3"/>
      <c r="HS88" s="3">
        <v>0</v>
      </c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>
        <v>0</v>
      </c>
      <c r="IL88" s="3"/>
      <c r="IM88" s="3"/>
      <c r="IN88" s="3"/>
      <c r="IO88" s="3"/>
      <c r="IP88" s="3"/>
      <c r="IQ88" s="3"/>
      <c r="IR88" s="3"/>
      <c r="IS88" s="3"/>
      <c r="IT88" s="3"/>
      <c r="IU88" s="3"/>
    </row>
    <row r="89" spans="1:255" x14ac:dyDescent="0.25">
      <c r="A89" s="2">
        <v>17</v>
      </c>
      <c r="B89" s="2">
        <v>1</v>
      </c>
      <c r="C89" s="2"/>
      <c r="D89" s="2"/>
      <c r="E89" s="2" t="s">
        <v>3</v>
      </c>
      <c r="F89" s="2" t="s">
        <v>141</v>
      </c>
      <c r="G89" s="2" t="s">
        <v>422</v>
      </c>
      <c r="H89" s="2" t="s">
        <v>142</v>
      </c>
      <c r="I89" s="2">
        <v>1</v>
      </c>
      <c r="J89" s="2">
        <v>0</v>
      </c>
      <c r="K89" s="2">
        <v>1</v>
      </c>
      <c r="L89" s="2"/>
      <c r="M89" s="2"/>
      <c r="N89" s="2"/>
      <c r="O89" s="2">
        <f t="shared" si="71"/>
        <v>38812.660000000003</v>
      </c>
      <c r="P89" s="2">
        <f>ROUND((ROUND((AC89*I89),2)*BC89),2)</f>
        <v>38812.660000000003</v>
      </c>
      <c r="Q89" s="2">
        <f>(ROUND((ROUND(((ET89)*AV89*I89),2)*BB89),2)+ROUND((ROUND(((AE89-(EU89))*AV89*I89),2)*BS89),2))</f>
        <v>0</v>
      </c>
      <c r="R89" s="2">
        <f>(ROUND((ROUND(((EU89)*AV89*I89),2)*BS89),2)+ROUND((ROUND(((AE89-(EU89))*AV89*I89),2)*BS89),2))</f>
        <v>0</v>
      </c>
      <c r="S89" s="2">
        <f t="shared" si="73"/>
        <v>0</v>
      </c>
      <c r="T89" s="2">
        <f t="shared" si="74"/>
        <v>0</v>
      </c>
      <c r="U89" s="2">
        <f t="shared" si="75"/>
        <v>0</v>
      </c>
      <c r="V89" s="2">
        <f t="shared" si="76"/>
        <v>0</v>
      </c>
      <c r="W89" s="2">
        <f t="shared" si="77"/>
        <v>0</v>
      </c>
      <c r="X89" s="2">
        <f>(ROUND((((S89+ROUND((ROUND(((EU89)*AV89*I89),2)*BS89),2))*AT89)/100),2)+ROUND(((ROUND((ROUND(((AE89-(EU89))*AV89*I89),2)*BS89),2)*AT89)/100),2))</f>
        <v>0</v>
      </c>
      <c r="Y89" s="2">
        <f>(ROUND((((S89+ROUND((ROUND(((EU89)*AV89*I89),2)*BS89),2))*AU89)/100),2)+ROUND(((ROUND((ROUND(((AE89-(EU89))*AV89*I89),2)*BS89),2)*AU89)/100),2))</f>
        <v>0</v>
      </c>
      <c r="Z89" s="2"/>
      <c r="AA89" s="2">
        <v>-1</v>
      </c>
      <c r="AB89" s="2">
        <f t="shared" si="78"/>
        <v>38812.660000000003</v>
      </c>
      <c r="AC89" s="2">
        <f>ROUND((ES89),6)</f>
        <v>38812.660000000003</v>
      </c>
      <c r="AD89" s="2">
        <f>ROUND((((ET89)-(EU89))+AE89),6)</f>
        <v>0</v>
      </c>
      <c r="AE89" s="2">
        <f t="shared" si="98"/>
        <v>0</v>
      </c>
      <c r="AF89" s="2">
        <f t="shared" si="98"/>
        <v>0</v>
      </c>
      <c r="AG89" s="2">
        <f t="shared" si="79"/>
        <v>0</v>
      </c>
      <c r="AH89" s="2">
        <f t="shared" si="99"/>
        <v>0</v>
      </c>
      <c r="AI89" s="2">
        <f t="shared" si="99"/>
        <v>0</v>
      </c>
      <c r="AJ89" s="2">
        <f t="shared" si="80"/>
        <v>0</v>
      </c>
      <c r="AK89" s="2">
        <v>38812.660000000003</v>
      </c>
      <c r="AL89" s="2">
        <v>38812.660000000003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3</v>
      </c>
      <c r="BJ89" s="2" t="s">
        <v>143</v>
      </c>
      <c r="BK89" s="2"/>
      <c r="BL89" s="2"/>
      <c r="BM89" s="2">
        <v>746</v>
      </c>
      <c r="BN89" s="2">
        <v>0</v>
      </c>
      <c r="BO89" s="2" t="s">
        <v>3</v>
      </c>
      <c r="BP89" s="2">
        <v>0</v>
      </c>
      <c r="BQ89" s="2">
        <v>130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0</v>
      </c>
      <c r="CA89" s="2">
        <v>0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3</v>
      </c>
      <c r="CO89" s="2">
        <v>0</v>
      </c>
      <c r="CP89" s="2">
        <f t="shared" si="81"/>
        <v>38812.660000000003</v>
      </c>
      <c r="CQ89" s="2">
        <f>ROUND((ROUND((AC89*1),2)*BC89),2)</f>
        <v>38812.660000000003</v>
      </c>
      <c r="CR89" s="2">
        <f>(ROUND((ROUND(((ET89)*AV89*1),2)*BB89),2)+ROUND((ROUND(((AE89-(EU89))*AV89*1),2)*BS89),2))</f>
        <v>0</v>
      </c>
      <c r="CS89" s="2">
        <f>(ROUND((ROUND(((EU89)*AV89*1),2)*BS89),2)+ROUND((ROUND(((AE89-(EU89))*AV89*1),2)*BS89),2))</f>
        <v>0</v>
      </c>
      <c r="CT89" s="2">
        <f t="shared" si="83"/>
        <v>0</v>
      </c>
      <c r="CU89" s="2">
        <f t="shared" si="84"/>
        <v>0</v>
      </c>
      <c r="CV89" s="2">
        <f t="shared" si="85"/>
        <v>0</v>
      </c>
      <c r="CW89" s="2">
        <f t="shared" si="86"/>
        <v>0</v>
      </c>
      <c r="CX89" s="2">
        <f t="shared" si="87"/>
        <v>0</v>
      </c>
      <c r="CY89" s="2">
        <f>(ROUND((((S89+ROUND((ROUND(((EU89)*AV89*1),2)*BS89),2))*AT89)/100),2)+ROUND(((ROUND((ROUND(((AE89-(EU89))*AV89*1),2)*BS89),2)*AT89)/100),2))</f>
        <v>0</v>
      </c>
      <c r="CZ89" s="2">
        <f>(ROUND((((S89+ROUND((ROUND(((EU89)*AV89*1),2)*BS89),2))*AU89)/100),2)+ROUND(((ROUND((ROUND(((AE89-(EU89))*AV89*1),2)*BS89),2)*AU89)/100),2))</f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1013</v>
      </c>
      <c r="DV89" s="2" t="s">
        <v>142</v>
      </c>
      <c r="DW89" s="2" t="s">
        <v>142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57043064</v>
      </c>
      <c r="EF89" s="2">
        <v>130</v>
      </c>
      <c r="EG89" s="2" t="s">
        <v>144</v>
      </c>
      <c r="EH89" s="2">
        <v>0</v>
      </c>
      <c r="EI89" s="2" t="s">
        <v>3</v>
      </c>
      <c r="EJ89" s="2">
        <v>3</v>
      </c>
      <c r="EK89" s="2">
        <v>746</v>
      </c>
      <c r="EL89" s="2" t="s">
        <v>145</v>
      </c>
      <c r="EM89" s="2" t="s">
        <v>146</v>
      </c>
      <c r="EN89" s="2"/>
      <c r="EO89" s="2" t="s">
        <v>3</v>
      </c>
      <c r="EP89" s="2"/>
      <c r="EQ89" s="2">
        <v>1024</v>
      </c>
      <c r="ER89" s="2">
        <v>38812.660000000003</v>
      </c>
      <c r="ES89" s="2">
        <v>38812.660000000003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f>P89</f>
        <v>38812.660000000003</v>
      </c>
      <c r="FS89" s="2">
        <v>0</v>
      </c>
      <c r="FT89" s="2"/>
      <c r="FU89" s="2"/>
      <c r="FV89" s="2"/>
      <c r="FW89" s="2"/>
      <c r="FX89" s="2">
        <v>0</v>
      </c>
      <c r="FY89" s="2">
        <v>0</v>
      </c>
      <c r="FZ89" s="2"/>
      <c r="GA89" s="2" t="s">
        <v>3</v>
      </c>
      <c r="GB89" s="2"/>
      <c r="GC89" s="2"/>
      <c r="GD89" s="2">
        <v>1</v>
      </c>
      <c r="GE89" s="2"/>
      <c r="GF89" s="2">
        <v>1083781214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88"/>
        <v>0</v>
      </c>
      <c r="GM89" s="2">
        <f t="shared" si="89"/>
        <v>38812.660000000003</v>
      </c>
      <c r="GN89" s="2">
        <f t="shared" si="90"/>
        <v>0</v>
      </c>
      <c r="GO89" s="2">
        <f t="shared" si="91"/>
        <v>0</v>
      </c>
      <c r="GP89" s="2">
        <f t="shared" si="92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93"/>
        <v>0</v>
      </c>
      <c r="GW89" s="2">
        <v>1</v>
      </c>
      <c r="GX89" s="2">
        <f t="shared" si="94"/>
        <v>0</v>
      </c>
      <c r="GY89" s="2"/>
      <c r="GZ89" s="2"/>
      <c r="HA89" s="2">
        <v>0</v>
      </c>
      <c r="HB89" s="2">
        <v>0</v>
      </c>
      <c r="HC89" s="2">
        <f t="shared" si="95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3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3">
        <v>17</v>
      </c>
      <c r="B90" s="3">
        <v>1</v>
      </c>
      <c r="C90" s="3"/>
      <c r="D90" s="3"/>
      <c r="E90" s="3" t="s">
        <v>3</v>
      </c>
      <c r="F90" s="3" t="s">
        <v>141</v>
      </c>
      <c r="G90" s="3" t="s">
        <v>422</v>
      </c>
      <c r="H90" s="3" t="s">
        <v>142</v>
      </c>
      <c r="I90" s="3">
        <v>1</v>
      </c>
      <c r="J90" s="3">
        <v>0</v>
      </c>
      <c r="K90" s="3">
        <v>1</v>
      </c>
      <c r="L90" s="3"/>
      <c r="M90" s="3"/>
      <c r="N90" s="3"/>
      <c r="O90" s="3">
        <f t="shared" si="71"/>
        <v>291094.95</v>
      </c>
      <c r="P90" s="3">
        <f>ROUND((ROUND((AC90*I90),2)*BC90),2)</f>
        <v>291094.95</v>
      </c>
      <c r="Q90" s="3">
        <f>(ROUND((ROUND(((ET90)*AV90*I90),2)*BB90),2)+ROUND((ROUND(((AE90-(EU90))*AV90*I90),2)*BS90),2))</f>
        <v>0</v>
      </c>
      <c r="R90" s="3">
        <f>(ROUND((ROUND(((EU90)*AV90*I90),2)*BS90),2)+ROUND((ROUND(((AE90-(EU90))*AV90*I90),2)*BS90),2))</f>
        <v>0</v>
      </c>
      <c r="S90" s="3">
        <f t="shared" si="73"/>
        <v>0</v>
      </c>
      <c r="T90" s="3">
        <f t="shared" si="74"/>
        <v>0</v>
      </c>
      <c r="U90" s="3">
        <f t="shared" si="75"/>
        <v>0</v>
      </c>
      <c r="V90" s="3">
        <f t="shared" si="76"/>
        <v>0</v>
      </c>
      <c r="W90" s="3">
        <f t="shared" si="77"/>
        <v>0</v>
      </c>
      <c r="X90" s="3">
        <f>(ROUND((((S90+ROUND((ROUND(((EU90)*AV90*I90),2)*BS90),2))*AT90)/100),2)+ROUND(((ROUND((ROUND(((AE90-(EU90))*AV90*I90),2)*BS90),2)*AT90)/100),2))</f>
        <v>0</v>
      </c>
      <c r="Y90" s="3">
        <f>(ROUND((((S90+ROUND((ROUND(((EU90)*AV90*I90),2)*BS90),2))*AU90)/100),2)+ROUND(((ROUND((ROUND(((AE90-(EU90))*AV90*I90),2)*BS90),2)*AU90)/100),2))</f>
        <v>0</v>
      </c>
      <c r="Z90" s="3"/>
      <c r="AA90" s="3">
        <v>-1</v>
      </c>
      <c r="AB90" s="3">
        <f t="shared" si="78"/>
        <v>38812.660000000003</v>
      </c>
      <c r="AC90" s="3">
        <f>ROUND((ES90),6)</f>
        <v>38812.660000000003</v>
      </c>
      <c r="AD90" s="3">
        <f>ROUND((((ET90)-(EU90))+AE90),6)</f>
        <v>0</v>
      </c>
      <c r="AE90" s="3">
        <f t="shared" si="98"/>
        <v>0</v>
      </c>
      <c r="AF90" s="3">
        <f t="shared" si="98"/>
        <v>0</v>
      </c>
      <c r="AG90" s="3">
        <f t="shared" si="79"/>
        <v>0</v>
      </c>
      <c r="AH90" s="3">
        <f t="shared" si="99"/>
        <v>0</v>
      </c>
      <c r="AI90" s="3">
        <f t="shared" si="99"/>
        <v>0</v>
      </c>
      <c r="AJ90" s="3">
        <f t="shared" si="80"/>
        <v>0</v>
      </c>
      <c r="AK90" s="3">
        <v>38812.660000000003</v>
      </c>
      <c r="AL90" s="3">
        <v>38812.660000000003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X90" s="3"/>
      <c r="AY90" s="3"/>
      <c r="AZ90" s="3">
        <v>1</v>
      </c>
      <c r="BA90" s="3">
        <v>1</v>
      </c>
      <c r="BB90" s="3">
        <v>1</v>
      </c>
      <c r="BC90" s="3">
        <v>7.5</v>
      </c>
      <c r="BD90" s="3" t="s">
        <v>3</v>
      </c>
      <c r="BE90" s="3" t="s">
        <v>3</v>
      </c>
      <c r="BF90" s="3" t="s">
        <v>3</v>
      </c>
      <c r="BG90" s="3" t="s">
        <v>3</v>
      </c>
      <c r="BH90" s="3">
        <v>3</v>
      </c>
      <c r="BI90" s="3">
        <v>3</v>
      </c>
      <c r="BJ90" s="3" t="s">
        <v>143</v>
      </c>
      <c r="BK90" s="3"/>
      <c r="BL90" s="3"/>
      <c r="BM90" s="3">
        <v>746</v>
      </c>
      <c r="BN90" s="3">
        <v>0</v>
      </c>
      <c r="BO90" s="3" t="s">
        <v>3</v>
      </c>
      <c r="BP90" s="3">
        <v>0</v>
      </c>
      <c r="BQ90" s="3">
        <v>130</v>
      </c>
      <c r="BR90" s="3">
        <v>0</v>
      </c>
      <c r="BS90" s="3">
        <v>1</v>
      </c>
      <c r="BT90" s="3">
        <v>1</v>
      </c>
      <c r="BU90" s="3">
        <v>1</v>
      </c>
      <c r="BV90" s="3">
        <v>1</v>
      </c>
      <c r="BW90" s="3">
        <v>1</v>
      </c>
      <c r="BX90" s="3">
        <v>1</v>
      </c>
      <c r="BY90" s="3" t="s">
        <v>3</v>
      </c>
      <c r="BZ90" s="3">
        <v>0</v>
      </c>
      <c r="CA90" s="3">
        <v>0</v>
      </c>
      <c r="CB90" s="3" t="s">
        <v>3</v>
      </c>
      <c r="CC90" s="3"/>
      <c r="CD90" s="3"/>
      <c r="CE90" s="3">
        <v>1566</v>
      </c>
      <c r="CF90" s="3">
        <v>0</v>
      </c>
      <c r="CG90" s="3">
        <v>0</v>
      </c>
      <c r="CH90" s="3"/>
      <c r="CI90" s="3"/>
      <c r="CJ90" s="3"/>
      <c r="CK90" s="3"/>
      <c r="CL90" s="3"/>
      <c r="CM90" s="3">
        <v>0</v>
      </c>
      <c r="CN90" s="3" t="s">
        <v>3</v>
      </c>
      <c r="CO90" s="3">
        <v>0</v>
      </c>
      <c r="CP90" s="3">
        <f t="shared" si="81"/>
        <v>291094.95</v>
      </c>
      <c r="CQ90" s="3">
        <f>ROUND((ROUND((AC90*1),2)*BC90),2)</f>
        <v>291094.95</v>
      </c>
      <c r="CR90" s="3">
        <f>(ROUND((ROUND(((ET90)*AV90*1),2)*BB90),2)+ROUND((ROUND(((AE90-(EU90))*AV90*1),2)*BS90),2))</f>
        <v>0</v>
      </c>
      <c r="CS90" s="3">
        <f>(ROUND((ROUND(((EU90)*AV90*1),2)*BS90),2)+ROUND((ROUND(((AE90-(EU90))*AV90*1),2)*BS90),2))</f>
        <v>0</v>
      </c>
      <c r="CT90" s="3">
        <f t="shared" si="83"/>
        <v>0</v>
      </c>
      <c r="CU90" s="3">
        <f t="shared" si="84"/>
        <v>0</v>
      </c>
      <c r="CV90" s="3">
        <f t="shared" si="85"/>
        <v>0</v>
      </c>
      <c r="CW90" s="3">
        <f t="shared" si="86"/>
        <v>0</v>
      </c>
      <c r="CX90" s="3">
        <f t="shared" si="87"/>
        <v>0</v>
      </c>
      <c r="CY90" s="3">
        <f>(ROUND((((S90+ROUND((ROUND(((EU90)*AV90*1),2)*BS90),2))*AT90)/100),2)+ROUND(((ROUND((ROUND(((AE90-(EU90))*AV90*1),2)*BS90),2)*AT90)/100),2))</f>
        <v>0</v>
      </c>
      <c r="CZ90" s="3">
        <f>(ROUND((((S90+ROUND((ROUND(((EU90)*AV90*1),2)*BS90),2))*AU90)/100),2)+ROUND(((ROUND((ROUND(((AE90-(EU90))*AV90*1),2)*BS90),2)*AU90)/100),2))</f>
        <v>0</v>
      </c>
      <c r="DA90" s="3"/>
      <c r="DB90" s="3"/>
      <c r="DC90" s="3" t="s">
        <v>3</v>
      </c>
      <c r="DD90" s="3" t="s">
        <v>3</v>
      </c>
      <c r="DE90" s="3" t="s">
        <v>3</v>
      </c>
      <c r="DF90" s="3" t="s">
        <v>3</v>
      </c>
      <c r="DG90" s="3" t="s">
        <v>3</v>
      </c>
      <c r="DH90" s="3" t="s">
        <v>3</v>
      </c>
      <c r="DI90" s="3" t="s">
        <v>3</v>
      </c>
      <c r="DJ90" s="3" t="s">
        <v>3</v>
      </c>
      <c r="DK90" s="3" t="s">
        <v>3</v>
      </c>
      <c r="DL90" s="3" t="s">
        <v>3</v>
      </c>
      <c r="DM90" s="3" t="s">
        <v>3</v>
      </c>
      <c r="DN90" s="3">
        <v>0</v>
      </c>
      <c r="DO90" s="3">
        <v>0</v>
      </c>
      <c r="DP90" s="3">
        <v>1</v>
      </c>
      <c r="DQ90" s="3">
        <v>1</v>
      </c>
      <c r="DR90" s="3"/>
      <c r="DS90" s="3"/>
      <c r="DT90" s="3"/>
      <c r="DU90" s="3">
        <v>1013</v>
      </c>
      <c r="DV90" s="3" t="s">
        <v>142</v>
      </c>
      <c r="DW90" s="3" t="s">
        <v>142</v>
      </c>
      <c r="DX90" s="3">
        <v>1</v>
      </c>
      <c r="DY90" s="3"/>
      <c r="DZ90" s="3" t="s">
        <v>3</v>
      </c>
      <c r="EA90" s="3" t="s">
        <v>3</v>
      </c>
      <c r="EB90" s="3" t="s">
        <v>3</v>
      </c>
      <c r="EC90" s="3" t="s">
        <v>3</v>
      </c>
      <c r="ED90" s="3"/>
      <c r="EE90" s="3">
        <v>57043064</v>
      </c>
      <c r="EF90" s="3">
        <v>130</v>
      </c>
      <c r="EG90" s="3" t="s">
        <v>144</v>
      </c>
      <c r="EH90" s="3">
        <v>0</v>
      </c>
      <c r="EI90" s="3" t="s">
        <v>3</v>
      </c>
      <c r="EJ90" s="3">
        <v>3</v>
      </c>
      <c r="EK90" s="3">
        <v>746</v>
      </c>
      <c r="EL90" s="3" t="s">
        <v>145</v>
      </c>
      <c r="EM90" s="3" t="s">
        <v>146</v>
      </c>
      <c r="EN90" s="3"/>
      <c r="EO90" s="3" t="s">
        <v>3</v>
      </c>
      <c r="EP90" s="3"/>
      <c r="EQ90" s="3">
        <v>1024</v>
      </c>
      <c r="ER90" s="3">
        <v>38812.660000000003</v>
      </c>
      <c r="ES90" s="3">
        <v>38812.660000000003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>
        <v>0</v>
      </c>
      <c r="FR90" s="3">
        <f>P90</f>
        <v>291094.95</v>
      </c>
      <c r="FS90" s="3">
        <v>0</v>
      </c>
      <c r="FT90" s="3"/>
      <c r="FU90" s="3"/>
      <c r="FV90" s="3"/>
      <c r="FW90" s="3"/>
      <c r="FX90" s="3">
        <v>0</v>
      </c>
      <c r="FY90" s="3">
        <v>0</v>
      </c>
      <c r="FZ90" s="3"/>
      <c r="GA90" s="3" t="s">
        <v>3</v>
      </c>
      <c r="GB90" s="3"/>
      <c r="GC90" s="3"/>
      <c r="GD90" s="3">
        <v>1</v>
      </c>
      <c r="GE90" s="3"/>
      <c r="GF90" s="3">
        <v>1083781214</v>
      </c>
      <c r="GG90" s="3">
        <v>2</v>
      </c>
      <c r="GH90" s="3">
        <v>1</v>
      </c>
      <c r="GI90" s="3">
        <v>2</v>
      </c>
      <c r="GJ90" s="3">
        <v>0</v>
      </c>
      <c r="GK90" s="3">
        <v>0</v>
      </c>
      <c r="GL90" s="3">
        <f t="shared" si="88"/>
        <v>0</v>
      </c>
      <c r="GM90" s="3">
        <f t="shared" si="89"/>
        <v>291094.95</v>
      </c>
      <c r="GN90" s="3">
        <f t="shared" si="90"/>
        <v>0</v>
      </c>
      <c r="GO90" s="3">
        <f t="shared" si="91"/>
        <v>0</v>
      </c>
      <c r="GP90" s="3">
        <f t="shared" si="92"/>
        <v>0</v>
      </c>
      <c r="GQ90" s="3"/>
      <c r="GR90" s="3">
        <v>0</v>
      </c>
      <c r="GS90" s="3">
        <v>3</v>
      </c>
      <c r="GT90" s="3">
        <v>0</v>
      </c>
      <c r="GU90" s="3" t="s">
        <v>3</v>
      </c>
      <c r="GV90" s="3">
        <f t="shared" si="93"/>
        <v>0</v>
      </c>
      <c r="GW90" s="3">
        <v>1</v>
      </c>
      <c r="GX90" s="3">
        <f t="shared" si="94"/>
        <v>0</v>
      </c>
      <c r="GY90" s="3"/>
      <c r="GZ90" s="3"/>
      <c r="HA90" s="3">
        <v>0</v>
      </c>
      <c r="HB90" s="3">
        <v>0</v>
      </c>
      <c r="HC90" s="3">
        <f t="shared" si="95"/>
        <v>0</v>
      </c>
      <c r="HD90" s="3"/>
      <c r="HE90" s="3" t="s">
        <v>3</v>
      </c>
      <c r="HF90" s="3" t="s">
        <v>3</v>
      </c>
      <c r="HG90" s="3"/>
      <c r="HH90" s="3"/>
      <c r="HI90" s="3"/>
      <c r="HJ90" s="3"/>
      <c r="HK90" s="3"/>
      <c r="HL90" s="3"/>
      <c r="HM90" s="3" t="s">
        <v>3</v>
      </c>
      <c r="HN90" s="3" t="s">
        <v>3</v>
      </c>
      <c r="HO90" s="3" t="s">
        <v>3</v>
      </c>
      <c r="HP90" s="3" t="s">
        <v>3</v>
      </c>
      <c r="HQ90" s="3" t="s">
        <v>3</v>
      </c>
      <c r="HR90" s="3"/>
      <c r="HS90" s="3">
        <v>0</v>
      </c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>
        <v>0</v>
      </c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pans="1:255" ht="409.5" x14ac:dyDescent="0.25">
      <c r="A91" s="2">
        <v>17</v>
      </c>
      <c r="B91" s="2">
        <v>1</v>
      </c>
      <c r="C91" s="2">
        <f>ROW(SmtRes!A149)</f>
        <v>149</v>
      </c>
      <c r="D91" s="2">
        <f>ROW(EtalonRes!A179)</f>
        <v>179</v>
      </c>
      <c r="E91" s="2" t="s">
        <v>147</v>
      </c>
      <c r="F91" s="2" t="s">
        <v>24</v>
      </c>
      <c r="G91" s="2" t="s">
        <v>119</v>
      </c>
      <c r="H91" s="2" t="s">
        <v>26</v>
      </c>
      <c r="I91" s="2">
        <v>1</v>
      </c>
      <c r="J91" s="2">
        <v>0</v>
      </c>
      <c r="K91" s="2">
        <v>1</v>
      </c>
      <c r="L91" s="2"/>
      <c r="M91" s="2"/>
      <c r="N91" s="2"/>
      <c r="O91" s="2">
        <f t="shared" si="71"/>
        <v>146.72</v>
      </c>
      <c r="P91" s="2">
        <f t="shared" ref="P91:P108" si="100">ROUND((ROUND((AC91*AW91*I91),2)*BC91),2)</f>
        <v>12.35</v>
      </c>
      <c r="Q91" s="2">
        <f>(ROUND((ROUND((((ET91*1.2))*AV91*I91),2)*BB91),2)+ROUND((ROUND(((AE91-((EU91*1.2)))*AV91*I91),2)*BS91),2))</f>
        <v>36.07</v>
      </c>
      <c r="R91" s="2">
        <f>(ROUND((ROUND((((EU91*1.2))*AV91*I91),2)*BS91),2)+ROUND((ROUND(((AE91-((EU91*1.2)))*AV91*I91),2)*BS91),2))</f>
        <v>3.97</v>
      </c>
      <c r="S91" s="2">
        <f t="shared" si="73"/>
        <v>98.3</v>
      </c>
      <c r="T91" s="2">
        <f t="shared" si="74"/>
        <v>0</v>
      </c>
      <c r="U91" s="2">
        <f t="shared" si="75"/>
        <v>7.7896799999999988</v>
      </c>
      <c r="V91" s="2">
        <f t="shared" si="76"/>
        <v>0</v>
      </c>
      <c r="W91" s="2">
        <f t="shared" si="77"/>
        <v>0</v>
      </c>
      <c r="X91" s="2">
        <f>(ROUND((((S91+ROUND((ROUND((((EU91*1.2))*AV91*I91),2)*BS91),2))*AT91)/100),2)+ROUND(((ROUND((ROUND(((AE91-((EU91*1.2)))*AV91*I91),2)*BS91),2)*AT91)/100),2))</f>
        <v>92.04</v>
      </c>
      <c r="Y91" s="2">
        <f>(ROUND((((S91+ROUND((ROUND((((EU91*1.2))*AV91*I91),2)*BS91),2))*AU91)/100),2)+ROUND(((ROUND((ROUND(((AE91-((EU91*1.2)))*AV91*I91),2)*BS91),2)*AU91)/100),2))</f>
        <v>47.04</v>
      </c>
      <c r="Z91" s="2"/>
      <c r="AA91" s="2">
        <v>55934355</v>
      </c>
      <c r="AB91" s="2">
        <f t="shared" si="78"/>
        <v>140.69</v>
      </c>
      <c r="AC91" s="2">
        <f>ROUND(((ES91*1)),6)</f>
        <v>12.35</v>
      </c>
      <c r="AD91" s="2">
        <f>ROUND(((((ET91*1.2))-((EU91*1.2)))+AE91),6)</f>
        <v>34.451999999999998</v>
      </c>
      <c r="AE91" s="2">
        <f>ROUND(((EU91*1.2)),6)</f>
        <v>3.7919999999999998</v>
      </c>
      <c r="AF91" s="2">
        <f>ROUND(((EV91*1.2)),6)</f>
        <v>93.888000000000005</v>
      </c>
      <c r="AG91" s="2">
        <f t="shared" si="79"/>
        <v>0</v>
      </c>
      <c r="AH91" s="2">
        <f>((EW91*1.2))</f>
        <v>7.4399999999999995</v>
      </c>
      <c r="AI91" s="2">
        <f>((EX91*1.2))</f>
        <v>0</v>
      </c>
      <c r="AJ91" s="2">
        <f t="shared" si="80"/>
        <v>0</v>
      </c>
      <c r="AK91" s="2">
        <v>119.3</v>
      </c>
      <c r="AL91" s="2">
        <v>12.35</v>
      </c>
      <c r="AM91" s="2">
        <v>28.71</v>
      </c>
      <c r="AN91" s="2">
        <v>3.16</v>
      </c>
      <c r="AO91" s="2">
        <v>78.239999999999995</v>
      </c>
      <c r="AP91" s="2">
        <v>0</v>
      </c>
      <c r="AQ91" s="2">
        <v>6.2</v>
      </c>
      <c r="AR91" s="2">
        <v>0</v>
      </c>
      <c r="AS91" s="2">
        <v>0</v>
      </c>
      <c r="AT91" s="2">
        <v>90</v>
      </c>
      <c r="AU91" s="2">
        <v>46</v>
      </c>
      <c r="AV91" s="2">
        <v>1.0469999999999999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2</v>
      </c>
      <c r="BJ91" s="2" t="s">
        <v>27</v>
      </c>
      <c r="BK91" s="2"/>
      <c r="BL91" s="2"/>
      <c r="BM91" s="2">
        <v>68</v>
      </c>
      <c r="BN91" s="2">
        <v>0</v>
      </c>
      <c r="BO91" s="2" t="s">
        <v>24</v>
      </c>
      <c r="BP91" s="2">
        <v>1</v>
      </c>
      <c r="BQ91" s="2">
        <v>40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90</v>
      </c>
      <c r="CA91" s="2">
        <v>46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11" t="s">
        <v>419</v>
      </c>
      <c r="CO91" s="2">
        <v>0</v>
      </c>
      <c r="CP91" s="2">
        <f t="shared" si="81"/>
        <v>146.72</v>
      </c>
      <c r="CQ91" s="2">
        <f t="shared" ref="CQ91:CQ108" si="101">ROUND((ROUND((AC91*AW91*1),2)*BC91),2)</f>
        <v>12.35</v>
      </c>
      <c r="CR91" s="2">
        <f>(ROUND((ROUND((((ET91*1.2))*AV91*1),2)*BB91),2)+ROUND((ROUND(((AE91-((EU91*1.2)))*AV91*1),2)*BS91),2))</f>
        <v>36.07</v>
      </c>
      <c r="CS91" s="2">
        <f>(ROUND((ROUND((((EU91*1.2))*AV91*1),2)*BS91),2)+ROUND((ROUND(((AE91-((EU91*1.2)))*AV91*1),2)*BS91),2))</f>
        <v>3.97</v>
      </c>
      <c r="CT91" s="2">
        <f t="shared" si="83"/>
        <v>98.3</v>
      </c>
      <c r="CU91" s="2">
        <f t="shared" si="84"/>
        <v>0</v>
      </c>
      <c r="CV91" s="2">
        <f t="shared" si="85"/>
        <v>7.7896799999999988</v>
      </c>
      <c r="CW91" s="2">
        <f t="shared" si="86"/>
        <v>0</v>
      </c>
      <c r="CX91" s="2">
        <f t="shared" si="87"/>
        <v>0</v>
      </c>
      <c r="CY91" s="2">
        <f>(ROUND((((S91+ROUND((ROUND((((EU91*1.2))*AV91*1),2)*BS91),2))*AT91)/100),2)+ROUND(((ROUND((ROUND(((AE91-((EU91*1.2)))*AV91*1),2)*BS91),2)*AT91)/100),2))</f>
        <v>92.04</v>
      </c>
      <c r="CZ91" s="2">
        <f>(ROUND((((S91+ROUND((ROUND((((EU91*1.2))*AV91*1),2)*BS91),2))*AU91)/100),2)+ROUND(((ROUND((ROUND(((AE91-((EU91*1.2)))*AV91*1),2)*BS91),2)*AU91)/100),2))</f>
        <v>47.04</v>
      </c>
      <c r="DA91" s="2"/>
      <c r="DB91" s="2">
        <v>39</v>
      </c>
      <c r="DC91" s="2" t="s">
        <v>3</v>
      </c>
      <c r="DD91" s="2" t="s">
        <v>120</v>
      </c>
      <c r="DE91" s="2" t="s">
        <v>121</v>
      </c>
      <c r="DF91" s="2" t="s">
        <v>121</v>
      </c>
      <c r="DG91" s="2" t="s">
        <v>121</v>
      </c>
      <c r="DH91" s="2" t="s">
        <v>3</v>
      </c>
      <c r="DI91" s="2" t="s">
        <v>121</v>
      </c>
      <c r="DJ91" s="2" t="s">
        <v>121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26</v>
      </c>
      <c r="DW91" s="2" t="s">
        <v>26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57042958</v>
      </c>
      <c r="EF91" s="2">
        <v>40</v>
      </c>
      <c r="EG91" s="2" t="s">
        <v>30</v>
      </c>
      <c r="EH91" s="2">
        <v>0</v>
      </c>
      <c r="EI91" s="2" t="s">
        <v>3</v>
      </c>
      <c r="EJ91" s="2">
        <v>2</v>
      </c>
      <c r="EK91" s="2">
        <v>68</v>
      </c>
      <c r="EL91" s="2" t="s">
        <v>31</v>
      </c>
      <c r="EM91" s="2" t="s">
        <v>32</v>
      </c>
      <c r="EN91" s="2"/>
      <c r="EO91" s="2" t="s">
        <v>122</v>
      </c>
      <c r="EP91" s="2"/>
      <c r="EQ91" s="2">
        <v>0</v>
      </c>
      <c r="ER91" s="2">
        <v>119.3</v>
      </c>
      <c r="ES91" s="2">
        <v>12.35</v>
      </c>
      <c r="ET91" s="2">
        <v>28.71</v>
      </c>
      <c r="EU91" s="2">
        <v>3.16</v>
      </c>
      <c r="EV91" s="2">
        <v>78.239999999999995</v>
      </c>
      <c r="EW91" s="2">
        <v>6.2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90</v>
      </c>
      <c r="FY91" s="2">
        <v>46</v>
      </c>
      <c r="FZ91" s="2"/>
      <c r="GA91" s="2" t="s">
        <v>3</v>
      </c>
      <c r="GB91" s="2"/>
      <c r="GC91" s="2"/>
      <c r="GD91" s="2">
        <v>1</v>
      </c>
      <c r="GE91" s="2"/>
      <c r="GF91" s="2">
        <v>982292204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88"/>
        <v>0</v>
      </c>
      <c r="GM91" s="2">
        <f t="shared" si="89"/>
        <v>285.8</v>
      </c>
      <c r="GN91" s="2">
        <f t="shared" si="90"/>
        <v>0</v>
      </c>
      <c r="GO91" s="2">
        <f t="shared" si="91"/>
        <v>285.8</v>
      </c>
      <c r="GP91" s="2">
        <f t="shared" si="92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93"/>
        <v>0</v>
      </c>
      <c r="GW91" s="2">
        <v>1</v>
      </c>
      <c r="GX91" s="2">
        <f t="shared" si="94"/>
        <v>0</v>
      </c>
      <c r="GY91" s="2"/>
      <c r="GZ91" s="2"/>
      <c r="HA91" s="2">
        <v>0</v>
      </c>
      <c r="HB91" s="2">
        <v>0</v>
      </c>
      <c r="HC91" s="2">
        <f t="shared" si="95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ht="409.5" x14ac:dyDescent="0.25">
      <c r="A92" s="3">
        <v>17</v>
      </c>
      <c r="B92" s="3">
        <v>1</v>
      </c>
      <c r="C92" s="3">
        <f>ROW(SmtRes!A154)</f>
        <v>154</v>
      </c>
      <c r="D92" s="3">
        <f>ROW(EtalonRes!A184)</f>
        <v>184</v>
      </c>
      <c r="E92" s="3" t="s">
        <v>147</v>
      </c>
      <c r="F92" s="3" t="s">
        <v>24</v>
      </c>
      <c r="G92" s="3" t="s">
        <v>119</v>
      </c>
      <c r="H92" s="3" t="s">
        <v>26</v>
      </c>
      <c r="I92" s="3">
        <v>1</v>
      </c>
      <c r="J92" s="3">
        <v>0</v>
      </c>
      <c r="K92" s="3">
        <v>1</v>
      </c>
      <c r="L92" s="3"/>
      <c r="M92" s="3"/>
      <c r="N92" s="3"/>
      <c r="O92" s="3">
        <f t="shared" si="71"/>
        <v>6303.65</v>
      </c>
      <c r="P92" s="3">
        <f t="shared" si="100"/>
        <v>181.55</v>
      </c>
      <c r="Q92" s="3">
        <f>(ROUND((ROUND((((ET92*1.2))*AV92*I92),2)*BB92),2)+ROUND((ROUND(((AE92-((EU92*1.2)))*AV92*I92),2)*BS92),2))</f>
        <v>582.89</v>
      </c>
      <c r="R92" s="3">
        <f>(ROUND((ROUND((((EU92*1.2))*AV92*I92),2)*BS92),2)+ROUND((ROUND(((AE92-((EU92*1.2)))*AV92*I92),2)*BS92),2))</f>
        <v>223.71</v>
      </c>
      <c r="S92" s="3">
        <f t="shared" si="73"/>
        <v>5539.21</v>
      </c>
      <c r="T92" s="3">
        <f t="shared" si="74"/>
        <v>0</v>
      </c>
      <c r="U92" s="3">
        <f t="shared" si="75"/>
        <v>7.7896799999999988</v>
      </c>
      <c r="V92" s="3">
        <f t="shared" si="76"/>
        <v>0</v>
      </c>
      <c r="W92" s="3">
        <f t="shared" si="77"/>
        <v>0</v>
      </c>
      <c r="X92" s="3">
        <f>(ROUND((((S92+ROUND((ROUND((((EU92*1.2))*AV92*I92),2)*BS92),2))*AT92)/100),2)+ROUND(((ROUND((ROUND(((AE92-((EU92*1.2)))*AV92*I92),2)*BS92),2)*AT92)/100),2))</f>
        <v>5186.63</v>
      </c>
      <c r="Y92" s="3">
        <f>(ROUND((((S92+ROUND((ROUND((((EU92*1.2))*AV92*I92),2)*BS92),2))*AU92)/100),2)+ROUND(((ROUND((ROUND(((AE92-((EU92*1.2)))*AV92*I92),2)*BS92),2)*AU92)/100),2))</f>
        <v>2650.94</v>
      </c>
      <c r="Z92" s="3"/>
      <c r="AA92" s="3">
        <v>55934357</v>
      </c>
      <c r="AB92" s="3">
        <f t="shared" si="78"/>
        <v>140.69</v>
      </c>
      <c r="AC92" s="3">
        <f>ROUND(((ES92*1)),6)</f>
        <v>12.35</v>
      </c>
      <c r="AD92" s="3">
        <f>ROUND(((((ET92*1.2))-((EU92*1.2)))+AE92),6)</f>
        <v>34.451999999999998</v>
      </c>
      <c r="AE92" s="3">
        <f>ROUND(((EU92*1.2)),6)</f>
        <v>3.7919999999999998</v>
      </c>
      <c r="AF92" s="3">
        <f>ROUND(((EV92*1.2)),6)</f>
        <v>93.888000000000005</v>
      </c>
      <c r="AG92" s="3">
        <f t="shared" si="79"/>
        <v>0</v>
      </c>
      <c r="AH92" s="3">
        <f>((EW92*1.2))</f>
        <v>7.4399999999999995</v>
      </c>
      <c r="AI92" s="3">
        <f>((EX92*1.2))</f>
        <v>0</v>
      </c>
      <c r="AJ92" s="3">
        <f t="shared" si="80"/>
        <v>0</v>
      </c>
      <c r="AK92" s="3">
        <v>119.3</v>
      </c>
      <c r="AL92" s="3">
        <v>12.35</v>
      </c>
      <c r="AM92" s="3">
        <v>28.71</v>
      </c>
      <c r="AN92" s="3">
        <v>3.16</v>
      </c>
      <c r="AO92" s="3">
        <v>78.239999999999995</v>
      </c>
      <c r="AP92" s="3">
        <v>0</v>
      </c>
      <c r="AQ92" s="3">
        <v>6.2</v>
      </c>
      <c r="AR92" s="3">
        <v>0</v>
      </c>
      <c r="AS92" s="3">
        <v>0</v>
      </c>
      <c r="AT92" s="3">
        <v>90</v>
      </c>
      <c r="AU92" s="3">
        <v>46</v>
      </c>
      <c r="AV92" s="3">
        <v>1.0469999999999999</v>
      </c>
      <c r="AW92" s="3">
        <v>1</v>
      </c>
      <c r="AX92" s="3"/>
      <c r="AY92" s="3"/>
      <c r="AZ92" s="3">
        <v>1</v>
      </c>
      <c r="BA92" s="3">
        <v>56.35</v>
      </c>
      <c r="BB92" s="3">
        <v>16.16</v>
      </c>
      <c r="BC92" s="3">
        <v>14.7</v>
      </c>
      <c r="BD92" s="3" t="s">
        <v>3</v>
      </c>
      <c r="BE92" s="3" t="s">
        <v>3</v>
      </c>
      <c r="BF92" s="3" t="s">
        <v>3</v>
      </c>
      <c r="BG92" s="3" t="s">
        <v>3</v>
      </c>
      <c r="BH92" s="3">
        <v>0</v>
      </c>
      <c r="BI92" s="3">
        <v>2</v>
      </c>
      <c r="BJ92" s="3" t="s">
        <v>27</v>
      </c>
      <c r="BK92" s="3"/>
      <c r="BL92" s="3"/>
      <c r="BM92" s="3">
        <v>68</v>
      </c>
      <c r="BN92" s="3">
        <v>0</v>
      </c>
      <c r="BO92" s="3" t="s">
        <v>24</v>
      </c>
      <c r="BP92" s="3">
        <v>1</v>
      </c>
      <c r="BQ92" s="3">
        <v>40</v>
      </c>
      <c r="BR92" s="3">
        <v>0</v>
      </c>
      <c r="BS92" s="3">
        <v>56.35</v>
      </c>
      <c r="BT92" s="3">
        <v>1</v>
      </c>
      <c r="BU92" s="3">
        <v>1</v>
      </c>
      <c r="BV92" s="3">
        <v>1</v>
      </c>
      <c r="BW92" s="3">
        <v>1</v>
      </c>
      <c r="BX92" s="3">
        <v>1</v>
      </c>
      <c r="BY92" s="3" t="s">
        <v>3</v>
      </c>
      <c r="BZ92" s="3">
        <v>90</v>
      </c>
      <c r="CA92" s="3">
        <v>46</v>
      </c>
      <c r="CB92" s="3" t="s">
        <v>3</v>
      </c>
      <c r="CC92" s="3"/>
      <c r="CD92" s="3"/>
      <c r="CE92" s="3">
        <v>1566</v>
      </c>
      <c r="CF92" s="3">
        <v>0</v>
      </c>
      <c r="CG92" s="3">
        <v>0</v>
      </c>
      <c r="CH92" s="3"/>
      <c r="CI92" s="3"/>
      <c r="CJ92" s="3"/>
      <c r="CK92" s="3"/>
      <c r="CL92" s="3"/>
      <c r="CM92" s="3">
        <v>0</v>
      </c>
      <c r="CN92" s="12" t="s">
        <v>419</v>
      </c>
      <c r="CO92" s="3">
        <v>0</v>
      </c>
      <c r="CP92" s="3">
        <f t="shared" si="81"/>
        <v>6303.65</v>
      </c>
      <c r="CQ92" s="3">
        <f t="shared" si="101"/>
        <v>181.55</v>
      </c>
      <c r="CR92" s="3">
        <f>(ROUND((ROUND((((ET92*1.2))*AV92*1),2)*BB92),2)+ROUND((ROUND(((AE92-((EU92*1.2)))*AV92*1),2)*BS92),2))</f>
        <v>582.89</v>
      </c>
      <c r="CS92" s="3">
        <f>(ROUND((ROUND((((EU92*1.2))*AV92*1),2)*BS92),2)+ROUND((ROUND(((AE92-((EU92*1.2)))*AV92*1),2)*BS92),2))</f>
        <v>223.71</v>
      </c>
      <c r="CT92" s="3">
        <f t="shared" si="83"/>
        <v>5539.21</v>
      </c>
      <c r="CU92" s="3">
        <f t="shared" si="84"/>
        <v>0</v>
      </c>
      <c r="CV92" s="3">
        <f t="shared" si="85"/>
        <v>7.7896799999999988</v>
      </c>
      <c r="CW92" s="3">
        <f t="shared" si="86"/>
        <v>0</v>
      </c>
      <c r="CX92" s="3">
        <f t="shared" si="87"/>
        <v>0</v>
      </c>
      <c r="CY92" s="3">
        <f>(ROUND((((S92+ROUND((ROUND((((EU92*1.2))*AV92*1),2)*BS92),2))*AT92)/100),2)+ROUND(((ROUND((ROUND(((AE92-((EU92*1.2)))*AV92*1),2)*BS92),2)*AT92)/100),2))</f>
        <v>5186.63</v>
      </c>
      <c r="CZ92" s="3">
        <f>(ROUND((((S92+ROUND((ROUND((((EU92*1.2))*AV92*1),2)*BS92),2))*AU92)/100),2)+ROUND(((ROUND((ROUND(((AE92-((EU92*1.2)))*AV92*1),2)*BS92),2)*AU92)/100),2))</f>
        <v>2650.94</v>
      </c>
      <c r="DA92" s="3"/>
      <c r="DB92" s="3">
        <v>40</v>
      </c>
      <c r="DC92" s="3" t="s">
        <v>3</v>
      </c>
      <c r="DD92" s="3" t="s">
        <v>120</v>
      </c>
      <c r="DE92" s="3" t="s">
        <v>121</v>
      </c>
      <c r="DF92" s="3" t="s">
        <v>121</v>
      </c>
      <c r="DG92" s="3" t="s">
        <v>121</v>
      </c>
      <c r="DH92" s="3" t="s">
        <v>3</v>
      </c>
      <c r="DI92" s="3" t="s">
        <v>121</v>
      </c>
      <c r="DJ92" s="3" t="s">
        <v>121</v>
      </c>
      <c r="DK92" s="3" t="s">
        <v>3</v>
      </c>
      <c r="DL92" s="3" t="s">
        <v>3</v>
      </c>
      <c r="DM92" s="3" t="s">
        <v>3</v>
      </c>
      <c r="DN92" s="3">
        <v>0</v>
      </c>
      <c r="DO92" s="3">
        <v>0</v>
      </c>
      <c r="DP92" s="3">
        <v>1</v>
      </c>
      <c r="DQ92" s="3">
        <v>1</v>
      </c>
      <c r="DR92" s="3"/>
      <c r="DS92" s="3"/>
      <c r="DT92" s="3"/>
      <c r="DU92" s="3">
        <v>1013</v>
      </c>
      <c r="DV92" s="3" t="s">
        <v>26</v>
      </c>
      <c r="DW92" s="3" t="s">
        <v>26</v>
      </c>
      <c r="DX92" s="3">
        <v>1</v>
      </c>
      <c r="DY92" s="3"/>
      <c r="DZ92" s="3" t="s">
        <v>3</v>
      </c>
      <c r="EA92" s="3" t="s">
        <v>3</v>
      </c>
      <c r="EB92" s="3" t="s">
        <v>3</v>
      </c>
      <c r="EC92" s="3" t="s">
        <v>3</v>
      </c>
      <c r="ED92" s="3"/>
      <c r="EE92" s="3">
        <v>57042958</v>
      </c>
      <c r="EF92" s="3">
        <v>40</v>
      </c>
      <c r="EG92" s="3" t="s">
        <v>30</v>
      </c>
      <c r="EH92" s="3">
        <v>0</v>
      </c>
      <c r="EI92" s="3" t="s">
        <v>3</v>
      </c>
      <c r="EJ92" s="3">
        <v>2</v>
      </c>
      <c r="EK92" s="3">
        <v>68</v>
      </c>
      <c r="EL92" s="3" t="s">
        <v>31</v>
      </c>
      <c r="EM92" s="3" t="s">
        <v>32</v>
      </c>
      <c r="EN92" s="3"/>
      <c r="EO92" s="3" t="s">
        <v>122</v>
      </c>
      <c r="EP92" s="3"/>
      <c r="EQ92" s="3">
        <v>0</v>
      </c>
      <c r="ER92" s="3">
        <v>119.3</v>
      </c>
      <c r="ES92" s="3">
        <v>12.35</v>
      </c>
      <c r="ET92" s="3">
        <v>28.71</v>
      </c>
      <c r="EU92" s="3">
        <v>3.16</v>
      </c>
      <c r="EV92" s="3">
        <v>78.239999999999995</v>
      </c>
      <c r="EW92" s="3">
        <v>6.2</v>
      </c>
      <c r="EX92" s="3">
        <v>0</v>
      </c>
      <c r="EY92" s="3">
        <v>0</v>
      </c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>
        <v>0</v>
      </c>
      <c r="FR92" s="3">
        <v>0</v>
      </c>
      <c r="FS92" s="3">
        <v>0</v>
      </c>
      <c r="FT92" s="3"/>
      <c r="FU92" s="3"/>
      <c r="FV92" s="3"/>
      <c r="FW92" s="3"/>
      <c r="FX92" s="3">
        <v>90</v>
      </c>
      <c r="FY92" s="3">
        <v>46</v>
      </c>
      <c r="FZ92" s="3"/>
      <c r="GA92" s="3" t="s">
        <v>3</v>
      </c>
      <c r="GB92" s="3"/>
      <c r="GC92" s="3"/>
      <c r="GD92" s="3">
        <v>1</v>
      </c>
      <c r="GE92" s="3"/>
      <c r="GF92" s="3">
        <v>982292204</v>
      </c>
      <c r="GG92" s="3">
        <v>2</v>
      </c>
      <c r="GH92" s="3">
        <v>1</v>
      </c>
      <c r="GI92" s="3">
        <v>2</v>
      </c>
      <c r="GJ92" s="3">
        <v>0</v>
      </c>
      <c r="GK92" s="3">
        <v>0</v>
      </c>
      <c r="GL92" s="3">
        <f t="shared" si="88"/>
        <v>0</v>
      </c>
      <c r="GM92" s="3">
        <f t="shared" si="89"/>
        <v>14141.22</v>
      </c>
      <c r="GN92" s="3">
        <f t="shared" si="90"/>
        <v>0</v>
      </c>
      <c r="GO92" s="3">
        <f t="shared" si="91"/>
        <v>14141.22</v>
      </c>
      <c r="GP92" s="3">
        <f t="shared" si="92"/>
        <v>0</v>
      </c>
      <c r="GQ92" s="3"/>
      <c r="GR92" s="3">
        <v>0</v>
      </c>
      <c r="GS92" s="3">
        <v>3</v>
      </c>
      <c r="GT92" s="3">
        <v>0</v>
      </c>
      <c r="GU92" s="3" t="s">
        <v>3</v>
      </c>
      <c r="GV92" s="3">
        <f t="shared" si="93"/>
        <v>0</v>
      </c>
      <c r="GW92" s="3">
        <v>1</v>
      </c>
      <c r="GX92" s="3">
        <f t="shared" si="94"/>
        <v>0</v>
      </c>
      <c r="GY92" s="3"/>
      <c r="GZ92" s="3"/>
      <c r="HA92" s="3">
        <v>0</v>
      </c>
      <c r="HB92" s="3">
        <v>0</v>
      </c>
      <c r="HC92" s="3">
        <f t="shared" si="95"/>
        <v>0</v>
      </c>
      <c r="HD92" s="3"/>
      <c r="HE92" s="3" t="s">
        <v>3</v>
      </c>
      <c r="HF92" s="3" t="s">
        <v>3</v>
      </c>
      <c r="HG92" s="3"/>
      <c r="HH92" s="3"/>
      <c r="HI92" s="3"/>
      <c r="HJ92" s="3"/>
      <c r="HK92" s="3"/>
      <c r="HL92" s="3"/>
      <c r="HM92" s="3" t="s">
        <v>3</v>
      </c>
      <c r="HN92" s="3" t="s">
        <v>3</v>
      </c>
      <c r="HO92" s="3" t="s">
        <v>3</v>
      </c>
      <c r="HP92" s="3" t="s">
        <v>3</v>
      </c>
      <c r="HQ92" s="3" t="s">
        <v>3</v>
      </c>
      <c r="HR92" s="3"/>
      <c r="HS92" s="3">
        <v>0</v>
      </c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>
        <v>0</v>
      </c>
      <c r="IL92" s="3"/>
      <c r="IM92" s="3"/>
      <c r="IN92" s="3"/>
      <c r="IO92" s="3"/>
      <c r="IP92" s="3"/>
      <c r="IQ92" s="3"/>
      <c r="IR92" s="3"/>
      <c r="IS92" s="3"/>
      <c r="IT92" s="3"/>
      <c r="IU92" s="3"/>
    </row>
    <row r="93" spans="1:255" ht="409.5" x14ac:dyDescent="0.25">
      <c r="A93" s="2">
        <v>18</v>
      </c>
      <c r="B93" s="2">
        <v>1</v>
      </c>
      <c r="C93" s="2">
        <v>149</v>
      </c>
      <c r="D93" s="2"/>
      <c r="E93" s="2" t="s">
        <v>148</v>
      </c>
      <c r="F93" s="2" t="s">
        <v>149</v>
      </c>
      <c r="G93" s="2" t="s">
        <v>150</v>
      </c>
      <c r="H93" s="2" t="s">
        <v>126</v>
      </c>
      <c r="I93" s="2">
        <f>I91*J93</f>
        <v>1</v>
      </c>
      <c r="J93" s="2">
        <v>1</v>
      </c>
      <c r="K93" s="2">
        <v>1</v>
      </c>
      <c r="L93" s="2"/>
      <c r="M93" s="2"/>
      <c r="N93" s="2"/>
      <c r="O93" s="2">
        <f t="shared" si="71"/>
        <v>23932.38</v>
      </c>
      <c r="P93" s="2">
        <f t="shared" si="100"/>
        <v>23932.38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73"/>
        <v>0</v>
      </c>
      <c r="T93" s="2">
        <f t="shared" si="74"/>
        <v>0</v>
      </c>
      <c r="U93" s="2">
        <f t="shared" si="75"/>
        <v>0</v>
      </c>
      <c r="V93" s="2">
        <f t="shared" si="76"/>
        <v>0</v>
      </c>
      <c r="W93" s="2">
        <f t="shared" si="77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55934355</v>
      </c>
      <c r="AB93" s="2">
        <f t="shared" si="78"/>
        <v>23932.38</v>
      </c>
      <c r="AC93" s="2">
        <f>ROUND((ES93),6)</f>
        <v>23932.38</v>
      </c>
      <c r="AD93" s="2">
        <f>ROUND((((ET93)-(EU93))+AE93),6)</f>
        <v>0</v>
      </c>
      <c r="AE93" s="2">
        <f>ROUND((EU93),6)</f>
        <v>0</v>
      </c>
      <c r="AF93" s="2">
        <f>ROUND((EV93),6)</f>
        <v>0</v>
      </c>
      <c r="AG93" s="2">
        <f t="shared" si="79"/>
        <v>0</v>
      </c>
      <c r="AH93" s="2">
        <f>(EW93)</f>
        <v>0</v>
      </c>
      <c r="AI93" s="2">
        <f>(EX93)</f>
        <v>0</v>
      </c>
      <c r="AJ93" s="2">
        <f t="shared" si="80"/>
        <v>0</v>
      </c>
      <c r="AK93" s="2">
        <v>23932.38</v>
      </c>
      <c r="AL93" s="2">
        <v>23932.38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3</v>
      </c>
      <c r="BJ93" s="2" t="s">
        <v>149</v>
      </c>
      <c r="BK93" s="2"/>
      <c r="BL93" s="2"/>
      <c r="BM93" s="2">
        <v>400007</v>
      </c>
      <c r="BN93" s="2">
        <v>0</v>
      </c>
      <c r="BO93" s="2" t="s">
        <v>3</v>
      </c>
      <c r="BP93" s="2">
        <v>0</v>
      </c>
      <c r="BQ93" s="2">
        <v>214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11" t="s">
        <v>420</v>
      </c>
      <c r="CO93" s="2">
        <v>0</v>
      </c>
      <c r="CP93" s="2">
        <f t="shared" si="81"/>
        <v>23932.38</v>
      </c>
      <c r="CQ93" s="2">
        <f t="shared" si="101"/>
        <v>23932.38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83"/>
        <v>0</v>
      </c>
      <c r="CU93" s="2">
        <f t="shared" si="84"/>
        <v>0</v>
      </c>
      <c r="CV93" s="2">
        <f t="shared" si="85"/>
        <v>0</v>
      </c>
      <c r="CW93" s="2">
        <f t="shared" si="86"/>
        <v>0</v>
      </c>
      <c r="CX93" s="2">
        <f t="shared" si="87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126</v>
      </c>
      <c r="DW93" s="2" t="s">
        <v>126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57042890</v>
      </c>
      <c r="EF93" s="2">
        <v>214</v>
      </c>
      <c r="EG93" s="2" t="s">
        <v>127</v>
      </c>
      <c r="EH93" s="2">
        <v>0</v>
      </c>
      <c r="EI93" s="2" t="s">
        <v>3</v>
      </c>
      <c r="EJ93" s="2">
        <v>3</v>
      </c>
      <c r="EK93" s="2">
        <v>400007</v>
      </c>
      <c r="EL93" s="2" t="s">
        <v>127</v>
      </c>
      <c r="EM93" s="2" t="s">
        <v>128</v>
      </c>
      <c r="EN93" s="2"/>
      <c r="EO93" s="2" t="s">
        <v>122</v>
      </c>
      <c r="EP93" s="2"/>
      <c r="EQ93" s="2">
        <v>16</v>
      </c>
      <c r="ER93" s="2">
        <v>0</v>
      </c>
      <c r="ES93" s="2">
        <v>23932.38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f>P93</f>
        <v>23932.38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151</v>
      </c>
      <c r="GB93" s="2"/>
      <c r="GC93" s="2"/>
      <c r="GD93" s="2">
        <v>1</v>
      </c>
      <c r="GE93" s="2"/>
      <c r="GF93" s="2">
        <v>1942153840</v>
      </c>
      <c r="GG93" s="2">
        <v>2</v>
      </c>
      <c r="GH93" s="2">
        <v>4</v>
      </c>
      <c r="GI93" s="2">
        <v>-2</v>
      </c>
      <c r="GJ93" s="2">
        <v>0</v>
      </c>
      <c r="GK93" s="2">
        <v>0</v>
      </c>
      <c r="GL93" s="2">
        <f t="shared" si="88"/>
        <v>0</v>
      </c>
      <c r="GM93" s="2">
        <f t="shared" si="89"/>
        <v>23932.38</v>
      </c>
      <c r="GN93" s="2">
        <f t="shared" si="90"/>
        <v>0</v>
      </c>
      <c r="GO93" s="2">
        <f t="shared" si="91"/>
        <v>0</v>
      </c>
      <c r="GP93" s="2">
        <f t="shared" si="92"/>
        <v>0</v>
      </c>
      <c r="GQ93" s="2"/>
      <c r="GR93" s="2">
        <v>1</v>
      </c>
      <c r="GS93" s="2">
        <v>2</v>
      </c>
      <c r="GT93" s="2">
        <v>0</v>
      </c>
      <c r="GU93" s="2" t="s">
        <v>3</v>
      </c>
      <c r="GV93" s="2">
        <f t="shared" si="93"/>
        <v>0</v>
      </c>
      <c r="GW93" s="2">
        <v>1</v>
      </c>
      <c r="GX93" s="2">
        <f t="shared" si="94"/>
        <v>0</v>
      </c>
      <c r="GY93" s="2"/>
      <c r="GZ93" s="2"/>
      <c r="HA93" s="2">
        <v>0</v>
      </c>
      <c r="HB93" s="2">
        <v>0</v>
      </c>
      <c r="HC93" s="2">
        <f t="shared" si="95"/>
        <v>0</v>
      </c>
      <c r="HD93" s="2"/>
      <c r="HE93" s="2" t="s">
        <v>41</v>
      </c>
      <c r="HF93" s="2" t="s">
        <v>130</v>
      </c>
      <c r="HG93" s="2"/>
      <c r="HH93" s="2"/>
      <c r="HI93" s="2"/>
      <c r="HJ93" s="2"/>
      <c r="HK93" s="2"/>
      <c r="HL93" s="2"/>
      <c r="HM93" s="2" t="s">
        <v>120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ht="409.5" x14ac:dyDescent="0.25">
      <c r="A94" s="3">
        <v>18</v>
      </c>
      <c r="B94" s="3">
        <v>1</v>
      </c>
      <c r="C94" s="3">
        <v>154</v>
      </c>
      <c r="D94" s="3"/>
      <c r="E94" s="3" t="s">
        <v>148</v>
      </c>
      <c r="F94" s="3" t="s">
        <v>149</v>
      </c>
      <c r="G94" s="3" t="s">
        <v>150</v>
      </c>
      <c r="H94" s="3" t="s">
        <v>126</v>
      </c>
      <c r="I94" s="3">
        <f>I92*J94</f>
        <v>1</v>
      </c>
      <c r="J94" s="3">
        <v>1</v>
      </c>
      <c r="K94" s="3">
        <v>1</v>
      </c>
      <c r="L94" s="3"/>
      <c r="M94" s="3"/>
      <c r="N94" s="3"/>
      <c r="O94" s="3">
        <f t="shared" si="71"/>
        <v>181168.12</v>
      </c>
      <c r="P94" s="3">
        <f t="shared" si="100"/>
        <v>181168.12</v>
      </c>
      <c r="Q94" s="3">
        <f>(ROUND((ROUND(((ET94)*AV94*I94),2)*BB94),2)+ROUND((ROUND(((AE94-(EU94))*AV94*I94),2)*BS94),2))</f>
        <v>0</v>
      </c>
      <c r="R94" s="3">
        <f>(ROUND((ROUND(((EU94)*AV94*I94),2)*BS94),2)+ROUND((ROUND(((AE94-(EU94))*AV94*I94),2)*BS94),2))</f>
        <v>0</v>
      </c>
      <c r="S94" s="3">
        <f t="shared" si="73"/>
        <v>0</v>
      </c>
      <c r="T94" s="3">
        <f t="shared" si="74"/>
        <v>0</v>
      </c>
      <c r="U94" s="3">
        <f t="shared" si="75"/>
        <v>0</v>
      </c>
      <c r="V94" s="3">
        <f t="shared" si="76"/>
        <v>0</v>
      </c>
      <c r="W94" s="3">
        <f t="shared" si="77"/>
        <v>0</v>
      </c>
      <c r="X94" s="3">
        <f>(ROUND((((S94+ROUND((ROUND(((EU94)*AV94*I94),2)*BS94),2))*AT94)/100),2)+ROUND(((ROUND((ROUND(((AE94-(EU94))*AV94*I94),2)*BS94),2)*AT94)/100),2))</f>
        <v>0</v>
      </c>
      <c r="Y94" s="3">
        <f>(ROUND((((S94+ROUND((ROUND(((EU94)*AV94*I94),2)*BS94),2))*AU94)/100),2)+ROUND(((ROUND((ROUND(((AE94-(EU94))*AV94*I94),2)*BS94),2)*AU94)/100),2))</f>
        <v>0</v>
      </c>
      <c r="Z94" s="3"/>
      <c r="AA94" s="3">
        <v>55934357</v>
      </c>
      <c r="AB94" s="3">
        <f t="shared" si="78"/>
        <v>23932.38</v>
      </c>
      <c r="AC94" s="3">
        <f>ROUND((ES94),6)</f>
        <v>23932.38</v>
      </c>
      <c r="AD94" s="3">
        <f>ROUND((((ET94)-(EU94))+AE94),6)</f>
        <v>0</v>
      </c>
      <c r="AE94" s="3">
        <f>ROUND((EU94),6)</f>
        <v>0</v>
      </c>
      <c r="AF94" s="3">
        <f>ROUND((EV94),6)</f>
        <v>0</v>
      </c>
      <c r="AG94" s="3">
        <f t="shared" si="79"/>
        <v>0</v>
      </c>
      <c r="AH94" s="3">
        <f>(EW94)</f>
        <v>0</v>
      </c>
      <c r="AI94" s="3">
        <f>(EX94)</f>
        <v>0</v>
      </c>
      <c r="AJ94" s="3">
        <f t="shared" si="80"/>
        <v>0</v>
      </c>
      <c r="AK94" s="3">
        <v>23932.38</v>
      </c>
      <c r="AL94" s="3">
        <v>23932.38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</v>
      </c>
      <c r="AW94" s="3">
        <v>1</v>
      </c>
      <c r="AX94" s="3"/>
      <c r="AY94" s="3"/>
      <c r="AZ94" s="3">
        <v>1</v>
      </c>
      <c r="BA94" s="3">
        <v>1</v>
      </c>
      <c r="BB94" s="3">
        <v>1</v>
      </c>
      <c r="BC94" s="3">
        <v>7.57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3</v>
      </c>
      <c r="BI94" s="3">
        <v>3</v>
      </c>
      <c r="BJ94" s="3" t="s">
        <v>149</v>
      </c>
      <c r="BK94" s="3"/>
      <c r="BL94" s="3"/>
      <c r="BM94" s="3">
        <v>400007</v>
      </c>
      <c r="BN94" s="3">
        <v>0</v>
      </c>
      <c r="BO94" s="3" t="s">
        <v>3</v>
      </c>
      <c r="BP94" s="3">
        <v>0</v>
      </c>
      <c r="BQ94" s="3">
        <v>214</v>
      </c>
      <c r="BR94" s="3">
        <v>0</v>
      </c>
      <c r="BS94" s="3">
        <v>1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C94" s="3"/>
      <c r="CD94" s="3"/>
      <c r="CE94" s="3">
        <v>1566</v>
      </c>
      <c r="CF94" s="3">
        <v>0</v>
      </c>
      <c r="CG94" s="3">
        <v>0</v>
      </c>
      <c r="CH94" s="3"/>
      <c r="CI94" s="3"/>
      <c r="CJ94" s="3"/>
      <c r="CK94" s="3"/>
      <c r="CL94" s="3"/>
      <c r="CM94" s="3">
        <v>0</v>
      </c>
      <c r="CN94" s="12" t="s">
        <v>420</v>
      </c>
      <c r="CO94" s="3">
        <v>0</v>
      </c>
      <c r="CP94" s="3">
        <f t="shared" si="81"/>
        <v>181168.12</v>
      </c>
      <c r="CQ94" s="3">
        <f t="shared" si="101"/>
        <v>181168.12</v>
      </c>
      <c r="CR94" s="3">
        <f>(ROUND((ROUND(((ET94)*AV94*1),2)*BB94),2)+ROUND((ROUND(((AE94-(EU94))*AV94*1),2)*BS94),2))</f>
        <v>0</v>
      </c>
      <c r="CS94" s="3">
        <f>(ROUND((ROUND(((EU94)*AV94*1),2)*BS94),2)+ROUND((ROUND(((AE94-(EU94))*AV94*1),2)*BS94),2))</f>
        <v>0</v>
      </c>
      <c r="CT94" s="3">
        <f t="shared" si="83"/>
        <v>0</v>
      </c>
      <c r="CU94" s="3">
        <f t="shared" si="84"/>
        <v>0</v>
      </c>
      <c r="CV94" s="3">
        <f t="shared" si="85"/>
        <v>0</v>
      </c>
      <c r="CW94" s="3">
        <f t="shared" si="86"/>
        <v>0</v>
      </c>
      <c r="CX94" s="3">
        <f t="shared" si="87"/>
        <v>0</v>
      </c>
      <c r="CY94" s="3">
        <f>(ROUND((((S94+ROUND((ROUND(((EU94)*AV94*1),2)*BS94),2))*AT94)/100),2)+ROUND(((ROUND((ROUND(((AE94-(EU94))*AV94*1),2)*BS94),2)*AT94)/100),2))</f>
        <v>0</v>
      </c>
      <c r="CZ94" s="3">
        <f>(ROUND((((S94+ROUND((ROUND(((EU94)*AV94*1),2)*BS94),2))*AU94)/100),2)+ROUND(((ROUND((ROUND(((AE94-(EU94))*AV94*1),2)*BS94),2)*AU94)/100),2))</f>
        <v>0</v>
      </c>
      <c r="DA94" s="3"/>
      <c r="DB94" s="3"/>
      <c r="DC94" s="3" t="s">
        <v>3</v>
      </c>
      <c r="DD94" s="3" t="s">
        <v>3</v>
      </c>
      <c r="DE94" s="3" t="s">
        <v>3</v>
      </c>
      <c r="DF94" s="3" t="s">
        <v>3</v>
      </c>
      <c r="DG94" s="3" t="s">
        <v>3</v>
      </c>
      <c r="DH94" s="3" t="s">
        <v>3</v>
      </c>
      <c r="DI94" s="3" t="s">
        <v>3</v>
      </c>
      <c r="DJ94" s="3" t="s">
        <v>3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R94" s="3"/>
      <c r="DS94" s="3"/>
      <c r="DT94" s="3"/>
      <c r="DU94" s="3">
        <v>1013</v>
      </c>
      <c r="DV94" s="3" t="s">
        <v>126</v>
      </c>
      <c r="DW94" s="3" t="s">
        <v>126</v>
      </c>
      <c r="DX94" s="3">
        <v>1</v>
      </c>
      <c r="DY94" s="3"/>
      <c r="DZ94" s="3" t="s">
        <v>3</v>
      </c>
      <c r="EA94" s="3" t="s">
        <v>3</v>
      </c>
      <c r="EB94" s="3" t="s">
        <v>3</v>
      </c>
      <c r="EC94" s="3" t="s">
        <v>3</v>
      </c>
      <c r="ED94" s="3"/>
      <c r="EE94" s="3">
        <v>57042890</v>
      </c>
      <c r="EF94" s="3">
        <v>214</v>
      </c>
      <c r="EG94" s="3" t="s">
        <v>127</v>
      </c>
      <c r="EH94" s="3">
        <v>0</v>
      </c>
      <c r="EI94" s="3" t="s">
        <v>3</v>
      </c>
      <c r="EJ94" s="3">
        <v>3</v>
      </c>
      <c r="EK94" s="3">
        <v>400007</v>
      </c>
      <c r="EL94" s="3" t="s">
        <v>127</v>
      </c>
      <c r="EM94" s="3" t="s">
        <v>128</v>
      </c>
      <c r="EN94" s="3"/>
      <c r="EO94" s="3" t="s">
        <v>122</v>
      </c>
      <c r="EP94" s="3"/>
      <c r="EQ94" s="3">
        <v>16</v>
      </c>
      <c r="ER94" s="3">
        <v>0</v>
      </c>
      <c r="ES94" s="3">
        <v>23932.38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/>
      <c r="EZ94" s="3">
        <v>5</v>
      </c>
      <c r="FA94" s="3"/>
      <c r="FB94" s="3"/>
      <c r="FC94" s="3">
        <v>1</v>
      </c>
      <c r="FD94" s="3">
        <v>18</v>
      </c>
      <c r="FE94" s="3"/>
      <c r="FF94" s="3">
        <v>212043</v>
      </c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>
        <v>0</v>
      </c>
      <c r="FR94" s="3">
        <f>P94</f>
        <v>181168.12</v>
      </c>
      <c r="FS94" s="3">
        <v>0</v>
      </c>
      <c r="FT94" s="3"/>
      <c r="FU94" s="3"/>
      <c r="FV94" s="3"/>
      <c r="FW94" s="3"/>
      <c r="FX94" s="3">
        <v>90</v>
      </c>
      <c r="FY94" s="3">
        <v>46</v>
      </c>
      <c r="FZ94" s="3"/>
      <c r="GA94" s="3" t="s">
        <v>151</v>
      </c>
      <c r="GB94" s="3"/>
      <c r="GC94" s="3"/>
      <c r="GD94" s="3">
        <v>1</v>
      </c>
      <c r="GE94" s="3"/>
      <c r="GF94" s="3">
        <v>1942153840</v>
      </c>
      <c r="GG94" s="3">
        <v>2</v>
      </c>
      <c r="GH94" s="3">
        <v>3</v>
      </c>
      <c r="GI94" s="3">
        <v>5</v>
      </c>
      <c r="GJ94" s="3">
        <v>0</v>
      </c>
      <c r="GK94" s="3">
        <v>0</v>
      </c>
      <c r="GL94" s="3">
        <f t="shared" si="88"/>
        <v>0</v>
      </c>
      <c r="GM94" s="3">
        <f t="shared" si="89"/>
        <v>181168.12</v>
      </c>
      <c r="GN94" s="3">
        <f t="shared" si="90"/>
        <v>0</v>
      </c>
      <c r="GO94" s="3">
        <f t="shared" si="91"/>
        <v>0</v>
      </c>
      <c r="GP94" s="3">
        <f t="shared" si="92"/>
        <v>0</v>
      </c>
      <c r="GQ94" s="3"/>
      <c r="GR94" s="3">
        <v>1</v>
      </c>
      <c r="GS94" s="3">
        <v>1</v>
      </c>
      <c r="GT94" s="3">
        <v>0</v>
      </c>
      <c r="GU94" s="3" t="s">
        <v>3</v>
      </c>
      <c r="GV94" s="3">
        <f t="shared" si="93"/>
        <v>0</v>
      </c>
      <c r="GW94" s="3">
        <v>1</v>
      </c>
      <c r="GX94" s="3">
        <f t="shared" si="94"/>
        <v>0</v>
      </c>
      <c r="GY94" s="3"/>
      <c r="GZ94" s="3"/>
      <c r="HA94" s="3">
        <v>0</v>
      </c>
      <c r="HB94" s="3">
        <v>0</v>
      </c>
      <c r="HC94" s="3">
        <f t="shared" si="95"/>
        <v>0</v>
      </c>
      <c r="HD94" s="3"/>
      <c r="HE94" s="3" t="s">
        <v>41</v>
      </c>
      <c r="HF94" s="3" t="s">
        <v>130</v>
      </c>
      <c r="HG94" s="3"/>
      <c r="HH94" s="3"/>
      <c r="HI94" s="3"/>
      <c r="HJ94" s="3"/>
      <c r="HK94" s="3"/>
      <c r="HL94" s="3"/>
      <c r="HM94" s="3" t="s">
        <v>120</v>
      </c>
      <c r="HN94" s="3" t="s">
        <v>3</v>
      </c>
      <c r="HO94" s="3" t="s">
        <v>3</v>
      </c>
      <c r="HP94" s="3" t="s">
        <v>3</v>
      </c>
      <c r="HQ94" s="3" t="s">
        <v>3</v>
      </c>
      <c r="HR94" s="3"/>
      <c r="HS94" s="3">
        <v>0</v>
      </c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>
        <v>0</v>
      </c>
      <c r="IL94" s="3"/>
      <c r="IM94" s="3"/>
      <c r="IN94" s="3"/>
      <c r="IO94" s="3"/>
      <c r="IP94" s="3"/>
      <c r="IQ94" s="3"/>
      <c r="IR94" s="3"/>
      <c r="IS94" s="3"/>
      <c r="IT94" s="3"/>
      <c r="IU94" s="3"/>
    </row>
    <row r="95" spans="1:255" ht="409.5" x14ac:dyDescent="0.25">
      <c r="A95" s="2">
        <v>17</v>
      </c>
      <c r="B95" s="2">
        <v>1</v>
      </c>
      <c r="C95" s="2">
        <f>ROW(SmtRes!A159)</f>
        <v>159</v>
      </c>
      <c r="D95" s="2">
        <f>ROW(EtalonRes!A189)</f>
        <v>189</v>
      </c>
      <c r="E95" s="2" t="s">
        <v>152</v>
      </c>
      <c r="F95" s="2" t="s">
        <v>24</v>
      </c>
      <c r="G95" s="2" t="s">
        <v>119</v>
      </c>
      <c r="H95" s="2" t="s">
        <v>26</v>
      </c>
      <c r="I95" s="2">
        <v>4</v>
      </c>
      <c r="J95" s="2">
        <v>0</v>
      </c>
      <c r="K95" s="2">
        <v>4</v>
      </c>
      <c r="L95" s="2"/>
      <c r="M95" s="2"/>
      <c r="N95" s="2"/>
      <c r="O95" s="2">
        <f t="shared" si="71"/>
        <v>586.88</v>
      </c>
      <c r="P95" s="2">
        <f t="shared" si="100"/>
        <v>49.4</v>
      </c>
      <c r="Q95" s="2">
        <f>(ROUND((ROUND((((ET95*1.2))*AV95*I95),2)*BB95),2)+ROUND((ROUND(((AE95-((EU95*1.2)))*AV95*I95),2)*BS95),2))</f>
        <v>144.28</v>
      </c>
      <c r="R95" s="2">
        <f>(ROUND((ROUND((((EU95*1.2))*AV95*I95),2)*BS95),2)+ROUND((ROUND(((AE95-((EU95*1.2)))*AV95*I95),2)*BS95),2))</f>
        <v>15.88</v>
      </c>
      <c r="S95" s="2">
        <f t="shared" si="73"/>
        <v>393.2</v>
      </c>
      <c r="T95" s="2">
        <f t="shared" si="74"/>
        <v>0</v>
      </c>
      <c r="U95" s="2">
        <f t="shared" si="75"/>
        <v>31.158719999999995</v>
      </c>
      <c r="V95" s="2">
        <f t="shared" si="76"/>
        <v>0</v>
      </c>
      <c r="W95" s="2">
        <f t="shared" si="77"/>
        <v>0</v>
      </c>
      <c r="X95" s="2">
        <f>(ROUND((((S95+ROUND((ROUND((((EU95*1.2))*AV95*I95),2)*BS95),2))*AT95)/100),2)+ROUND(((ROUND((ROUND(((AE95-((EU95*1.2)))*AV95*I95),2)*BS95),2)*AT95)/100),2))</f>
        <v>368.17</v>
      </c>
      <c r="Y95" s="2">
        <f>(ROUND((((S95+ROUND((ROUND((((EU95*1.2))*AV95*I95),2)*BS95),2))*AU95)/100),2)+ROUND(((ROUND((ROUND(((AE95-((EU95*1.2)))*AV95*I95),2)*BS95),2)*AU95)/100),2))</f>
        <v>188.18</v>
      </c>
      <c r="Z95" s="2"/>
      <c r="AA95" s="2">
        <v>55934355</v>
      </c>
      <c r="AB95" s="2">
        <f t="shared" si="78"/>
        <v>140.69</v>
      </c>
      <c r="AC95" s="2">
        <f>ROUND(((ES95*1)),6)</f>
        <v>12.35</v>
      </c>
      <c r="AD95" s="2">
        <f>ROUND(((((ET95*1.2))-((EU95*1.2)))+AE95),6)</f>
        <v>34.451999999999998</v>
      </c>
      <c r="AE95" s="2">
        <f>ROUND(((EU95*1.2)),6)</f>
        <v>3.7919999999999998</v>
      </c>
      <c r="AF95" s="2">
        <f>ROUND(((EV95*1.2)),6)</f>
        <v>93.888000000000005</v>
      </c>
      <c r="AG95" s="2">
        <f t="shared" si="79"/>
        <v>0</v>
      </c>
      <c r="AH95" s="2">
        <f>((EW95*1.2))</f>
        <v>7.4399999999999995</v>
      </c>
      <c r="AI95" s="2">
        <f>((EX95*1.2))</f>
        <v>0</v>
      </c>
      <c r="AJ95" s="2">
        <f t="shared" si="80"/>
        <v>0</v>
      </c>
      <c r="AK95" s="2">
        <v>119.3</v>
      </c>
      <c r="AL95" s="2">
        <v>12.35</v>
      </c>
      <c r="AM95" s="2">
        <v>28.71</v>
      </c>
      <c r="AN95" s="2">
        <v>3.16</v>
      </c>
      <c r="AO95" s="2">
        <v>78.239999999999995</v>
      </c>
      <c r="AP95" s="2">
        <v>0</v>
      </c>
      <c r="AQ95" s="2">
        <v>6.2</v>
      </c>
      <c r="AR95" s="2">
        <v>0</v>
      </c>
      <c r="AS95" s="2">
        <v>0</v>
      </c>
      <c r="AT95" s="2">
        <v>90</v>
      </c>
      <c r="AU95" s="2">
        <v>46</v>
      </c>
      <c r="AV95" s="2">
        <v>1.0469999999999999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27</v>
      </c>
      <c r="BK95" s="2"/>
      <c r="BL95" s="2"/>
      <c r="BM95" s="2">
        <v>68</v>
      </c>
      <c r="BN95" s="2">
        <v>0</v>
      </c>
      <c r="BO95" s="2" t="s">
        <v>24</v>
      </c>
      <c r="BP95" s="2">
        <v>1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90</v>
      </c>
      <c r="CA95" s="2">
        <v>46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11" t="s">
        <v>419</v>
      </c>
      <c r="CO95" s="2">
        <v>0</v>
      </c>
      <c r="CP95" s="2">
        <f t="shared" si="81"/>
        <v>586.88</v>
      </c>
      <c r="CQ95" s="2">
        <f t="shared" si="101"/>
        <v>12.35</v>
      </c>
      <c r="CR95" s="2">
        <f>(ROUND((ROUND((((ET95*1.2))*AV95*1),2)*BB95),2)+ROUND((ROUND(((AE95-((EU95*1.2)))*AV95*1),2)*BS95),2))</f>
        <v>36.07</v>
      </c>
      <c r="CS95" s="2">
        <f>(ROUND((ROUND((((EU95*1.2))*AV95*1),2)*BS95),2)+ROUND((ROUND(((AE95-((EU95*1.2)))*AV95*1),2)*BS95),2))</f>
        <v>3.97</v>
      </c>
      <c r="CT95" s="2">
        <f t="shared" si="83"/>
        <v>98.3</v>
      </c>
      <c r="CU95" s="2">
        <f t="shared" si="84"/>
        <v>0</v>
      </c>
      <c r="CV95" s="2">
        <f t="shared" si="85"/>
        <v>7.7896799999999988</v>
      </c>
      <c r="CW95" s="2">
        <f t="shared" si="86"/>
        <v>0</v>
      </c>
      <c r="CX95" s="2">
        <f t="shared" si="87"/>
        <v>0</v>
      </c>
      <c r="CY95" s="2">
        <f>(ROUND((((S95+ROUND((ROUND((((EU95*1.2))*AV95*1),2)*BS95),2))*AT95)/100),2)+ROUND(((ROUND((ROUND(((AE95-((EU95*1.2)))*AV95*1),2)*BS95),2)*AT95)/100),2))</f>
        <v>357.45</v>
      </c>
      <c r="CZ95" s="2">
        <f>(ROUND((((S95+ROUND((ROUND((((EU95*1.2))*AV95*1),2)*BS95),2))*AU95)/100),2)+ROUND(((ROUND((ROUND(((AE95-((EU95*1.2)))*AV95*1),2)*BS95),2)*AU95)/100),2))</f>
        <v>182.7</v>
      </c>
      <c r="DA95" s="2"/>
      <c r="DB95" s="2">
        <v>41</v>
      </c>
      <c r="DC95" s="2" t="s">
        <v>3</v>
      </c>
      <c r="DD95" s="2" t="s">
        <v>120</v>
      </c>
      <c r="DE95" s="2" t="s">
        <v>121</v>
      </c>
      <c r="DF95" s="2" t="s">
        <v>121</v>
      </c>
      <c r="DG95" s="2" t="s">
        <v>121</v>
      </c>
      <c r="DH95" s="2" t="s">
        <v>3</v>
      </c>
      <c r="DI95" s="2" t="s">
        <v>121</v>
      </c>
      <c r="DJ95" s="2" t="s">
        <v>121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26</v>
      </c>
      <c r="DW95" s="2" t="s">
        <v>26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57042958</v>
      </c>
      <c r="EF95" s="2">
        <v>40</v>
      </c>
      <c r="EG95" s="2" t="s">
        <v>30</v>
      </c>
      <c r="EH95" s="2">
        <v>0</v>
      </c>
      <c r="EI95" s="2" t="s">
        <v>3</v>
      </c>
      <c r="EJ95" s="2">
        <v>2</v>
      </c>
      <c r="EK95" s="2">
        <v>68</v>
      </c>
      <c r="EL95" s="2" t="s">
        <v>31</v>
      </c>
      <c r="EM95" s="2" t="s">
        <v>32</v>
      </c>
      <c r="EN95" s="2"/>
      <c r="EO95" s="2" t="s">
        <v>122</v>
      </c>
      <c r="EP95" s="2"/>
      <c r="EQ95" s="2">
        <v>0</v>
      </c>
      <c r="ER95" s="2">
        <v>119.3</v>
      </c>
      <c r="ES95" s="2">
        <v>12.35</v>
      </c>
      <c r="ET95" s="2">
        <v>28.71</v>
      </c>
      <c r="EU95" s="2">
        <v>3.16</v>
      </c>
      <c r="EV95" s="2">
        <v>78.239999999999995</v>
      </c>
      <c r="EW95" s="2">
        <v>6.2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90</v>
      </c>
      <c r="FY95" s="2">
        <v>46</v>
      </c>
      <c r="FZ95" s="2"/>
      <c r="GA95" s="2" t="s">
        <v>3</v>
      </c>
      <c r="GB95" s="2"/>
      <c r="GC95" s="2"/>
      <c r="GD95" s="2">
        <v>1</v>
      </c>
      <c r="GE95" s="2"/>
      <c r="GF95" s="2">
        <v>982292204</v>
      </c>
      <c r="GG95" s="2">
        <v>2</v>
      </c>
      <c r="GH95" s="2">
        <v>1</v>
      </c>
      <c r="GI95" s="2">
        <v>2</v>
      </c>
      <c r="GJ95" s="2">
        <v>0</v>
      </c>
      <c r="GK95" s="2">
        <v>0</v>
      </c>
      <c r="GL95" s="2">
        <f t="shared" si="88"/>
        <v>0</v>
      </c>
      <c r="GM95" s="2">
        <f t="shared" si="89"/>
        <v>1143.23</v>
      </c>
      <c r="GN95" s="2">
        <f t="shared" si="90"/>
        <v>0</v>
      </c>
      <c r="GO95" s="2">
        <f t="shared" si="91"/>
        <v>1143.23</v>
      </c>
      <c r="GP95" s="2">
        <f t="shared" si="92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93"/>
        <v>0</v>
      </c>
      <c r="GW95" s="2">
        <v>1</v>
      </c>
      <c r="GX95" s="2">
        <f t="shared" si="94"/>
        <v>0</v>
      </c>
      <c r="GY95" s="2"/>
      <c r="GZ95" s="2"/>
      <c r="HA95" s="2">
        <v>0</v>
      </c>
      <c r="HB95" s="2">
        <v>0</v>
      </c>
      <c r="HC95" s="2">
        <f t="shared" si="95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ht="409.5" x14ac:dyDescent="0.25">
      <c r="A96" s="3">
        <v>17</v>
      </c>
      <c r="B96" s="3">
        <v>1</v>
      </c>
      <c r="C96" s="3">
        <f>ROW(SmtRes!A164)</f>
        <v>164</v>
      </c>
      <c r="D96" s="3">
        <f>ROW(EtalonRes!A194)</f>
        <v>194</v>
      </c>
      <c r="E96" s="3" t="s">
        <v>152</v>
      </c>
      <c r="F96" s="3" t="s">
        <v>24</v>
      </c>
      <c r="G96" s="3" t="s">
        <v>119</v>
      </c>
      <c r="H96" s="3" t="s">
        <v>26</v>
      </c>
      <c r="I96" s="3">
        <v>4</v>
      </c>
      <c r="J96" s="3">
        <v>0</v>
      </c>
      <c r="K96" s="3">
        <v>4</v>
      </c>
      <c r="L96" s="3"/>
      <c r="M96" s="3"/>
      <c r="N96" s="3"/>
      <c r="O96" s="3">
        <f t="shared" si="71"/>
        <v>25214.560000000001</v>
      </c>
      <c r="P96" s="3">
        <f t="shared" si="100"/>
        <v>726.18</v>
      </c>
      <c r="Q96" s="3">
        <f>(ROUND((ROUND((((ET96*1.2))*AV96*I96),2)*BB96),2)+ROUND((ROUND(((AE96-((EU96*1.2)))*AV96*I96),2)*BS96),2))</f>
        <v>2331.56</v>
      </c>
      <c r="R96" s="3">
        <f>(ROUND((ROUND((((EU96*1.2))*AV96*I96),2)*BS96),2)+ROUND((ROUND(((AE96-((EU96*1.2)))*AV96*I96),2)*BS96),2))</f>
        <v>894.84</v>
      </c>
      <c r="S96" s="3">
        <f t="shared" si="73"/>
        <v>22156.82</v>
      </c>
      <c r="T96" s="3">
        <f t="shared" si="74"/>
        <v>0</v>
      </c>
      <c r="U96" s="3">
        <f t="shared" si="75"/>
        <v>31.158719999999995</v>
      </c>
      <c r="V96" s="3">
        <f t="shared" si="76"/>
        <v>0</v>
      </c>
      <c r="W96" s="3">
        <f t="shared" si="77"/>
        <v>0</v>
      </c>
      <c r="X96" s="3">
        <f>(ROUND((((S96+ROUND((ROUND((((EU96*1.2))*AV96*I96),2)*BS96),2))*AT96)/100),2)+ROUND(((ROUND((ROUND(((AE96-((EU96*1.2)))*AV96*I96),2)*BS96),2)*AT96)/100),2))</f>
        <v>20746.490000000002</v>
      </c>
      <c r="Y96" s="3">
        <f>(ROUND((((S96+ROUND((ROUND((((EU96*1.2))*AV96*I96),2)*BS96),2))*AU96)/100),2)+ROUND(((ROUND((ROUND(((AE96-((EU96*1.2)))*AV96*I96),2)*BS96),2)*AU96)/100),2))</f>
        <v>10603.76</v>
      </c>
      <c r="Z96" s="3"/>
      <c r="AA96" s="3">
        <v>55934357</v>
      </c>
      <c r="AB96" s="3">
        <f t="shared" si="78"/>
        <v>140.69</v>
      </c>
      <c r="AC96" s="3">
        <f>ROUND(((ES96*1)),6)</f>
        <v>12.35</v>
      </c>
      <c r="AD96" s="3">
        <f>ROUND(((((ET96*1.2))-((EU96*1.2)))+AE96),6)</f>
        <v>34.451999999999998</v>
      </c>
      <c r="AE96" s="3">
        <f>ROUND(((EU96*1.2)),6)</f>
        <v>3.7919999999999998</v>
      </c>
      <c r="AF96" s="3">
        <f>ROUND(((EV96*1.2)),6)</f>
        <v>93.888000000000005</v>
      </c>
      <c r="AG96" s="3">
        <f t="shared" si="79"/>
        <v>0</v>
      </c>
      <c r="AH96" s="3">
        <f>((EW96*1.2))</f>
        <v>7.4399999999999995</v>
      </c>
      <c r="AI96" s="3">
        <f>((EX96*1.2))</f>
        <v>0</v>
      </c>
      <c r="AJ96" s="3">
        <f t="shared" si="80"/>
        <v>0</v>
      </c>
      <c r="AK96" s="3">
        <v>119.3</v>
      </c>
      <c r="AL96" s="3">
        <v>12.35</v>
      </c>
      <c r="AM96" s="3">
        <v>28.71</v>
      </c>
      <c r="AN96" s="3">
        <v>3.16</v>
      </c>
      <c r="AO96" s="3">
        <v>78.239999999999995</v>
      </c>
      <c r="AP96" s="3">
        <v>0</v>
      </c>
      <c r="AQ96" s="3">
        <v>6.2</v>
      </c>
      <c r="AR96" s="3">
        <v>0</v>
      </c>
      <c r="AS96" s="3">
        <v>0</v>
      </c>
      <c r="AT96" s="3">
        <v>90</v>
      </c>
      <c r="AU96" s="3">
        <v>46</v>
      </c>
      <c r="AV96" s="3">
        <v>1.0469999999999999</v>
      </c>
      <c r="AW96" s="3">
        <v>1</v>
      </c>
      <c r="AX96" s="3"/>
      <c r="AY96" s="3"/>
      <c r="AZ96" s="3">
        <v>1</v>
      </c>
      <c r="BA96" s="3">
        <v>56.35</v>
      </c>
      <c r="BB96" s="3">
        <v>16.16</v>
      </c>
      <c r="BC96" s="3">
        <v>14.7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0</v>
      </c>
      <c r="BI96" s="3">
        <v>2</v>
      </c>
      <c r="BJ96" s="3" t="s">
        <v>27</v>
      </c>
      <c r="BK96" s="3"/>
      <c r="BL96" s="3"/>
      <c r="BM96" s="3">
        <v>68</v>
      </c>
      <c r="BN96" s="3">
        <v>0</v>
      </c>
      <c r="BO96" s="3" t="s">
        <v>24</v>
      </c>
      <c r="BP96" s="3">
        <v>1</v>
      </c>
      <c r="BQ96" s="3">
        <v>40</v>
      </c>
      <c r="BR96" s="3">
        <v>0</v>
      </c>
      <c r="BS96" s="3">
        <v>56.35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90</v>
      </c>
      <c r="CA96" s="3">
        <v>46</v>
      </c>
      <c r="CB96" s="3" t="s">
        <v>3</v>
      </c>
      <c r="CC96" s="3"/>
      <c r="CD96" s="3"/>
      <c r="CE96" s="3">
        <v>1566</v>
      </c>
      <c r="CF96" s="3">
        <v>0</v>
      </c>
      <c r="CG96" s="3">
        <v>0</v>
      </c>
      <c r="CH96" s="3"/>
      <c r="CI96" s="3"/>
      <c r="CJ96" s="3"/>
      <c r="CK96" s="3"/>
      <c r="CL96" s="3"/>
      <c r="CM96" s="3">
        <v>0</v>
      </c>
      <c r="CN96" s="12" t="s">
        <v>419</v>
      </c>
      <c r="CO96" s="3">
        <v>0</v>
      </c>
      <c r="CP96" s="3">
        <f t="shared" si="81"/>
        <v>25214.559999999998</v>
      </c>
      <c r="CQ96" s="3">
        <f t="shared" si="101"/>
        <v>181.55</v>
      </c>
      <c r="CR96" s="3">
        <f>(ROUND((ROUND((((ET96*1.2))*AV96*1),2)*BB96),2)+ROUND((ROUND(((AE96-((EU96*1.2)))*AV96*1),2)*BS96),2))</f>
        <v>582.89</v>
      </c>
      <c r="CS96" s="3">
        <f>(ROUND((ROUND((((EU96*1.2))*AV96*1),2)*BS96),2)+ROUND((ROUND(((AE96-((EU96*1.2)))*AV96*1),2)*BS96),2))</f>
        <v>223.71</v>
      </c>
      <c r="CT96" s="3">
        <f t="shared" si="83"/>
        <v>5539.21</v>
      </c>
      <c r="CU96" s="3">
        <f t="shared" si="84"/>
        <v>0</v>
      </c>
      <c r="CV96" s="3">
        <f t="shared" si="85"/>
        <v>7.7896799999999988</v>
      </c>
      <c r="CW96" s="3">
        <f t="shared" si="86"/>
        <v>0</v>
      </c>
      <c r="CX96" s="3">
        <f t="shared" si="87"/>
        <v>0</v>
      </c>
      <c r="CY96" s="3">
        <f>(ROUND((((S96+ROUND((ROUND((((EU96*1.2))*AV96*1),2)*BS96),2))*AT96)/100),2)+ROUND(((ROUND((ROUND(((AE96-((EU96*1.2)))*AV96*1),2)*BS96),2)*AT96)/100),2))</f>
        <v>20142.48</v>
      </c>
      <c r="CZ96" s="3">
        <f>(ROUND((((S96+ROUND((ROUND((((EU96*1.2))*AV96*1),2)*BS96),2))*AU96)/100),2)+ROUND(((ROUND((ROUND(((AE96-((EU96*1.2)))*AV96*1),2)*BS96),2)*AU96)/100),2))</f>
        <v>10295.040000000001</v>
      </c>
      <c r="DA96" s="3"/>
      <c r="DB96" s="3">
        <v>42</v>
      </c>
      <c r="DC96" s="3" t="s">
        <v>3</v>
      </c>
      <c r="DD96" s="3" t="s">
        <v>120</v>
      </c>
      <c r="DE96" s="3" t="s">
        <v>121</v>
      </c>
      <c r="DF96" s="3" t="s">
        <v>121</v>
      </c>
      <c r="DG96" s="3" t="s">
        <v>121</v>
      </c>
      <c r="DH96" s="3" t="s">
        <v>3</v>
      </c>
      <c r="DI96" s="3" t="s">
        <v>121</v>
      </c>
      <c r="DJ96" s="3" t="s">
        <v>121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R96" s="3"/>
      <c r="DS96" s="3"/>
      <c r="DT96" s="3"/>
      <c r="DU96" s="3">
        <v>1013</v>
      </c>
      <c r="DV96" s="3" t="s">
        <v>26</v>
      </c>
      <c r="DW96" s="3" t="s">
        <v>26</v>
      </c>
      <c r="DX96" s="3">
        <v>1</v>
      </c>
      <c r="DY96" s="3"/>
      <c r="DZ96" s="3" t="s">
        <v>3</v>
      </c>
      <c r="EA96" s="3" t="s">
        <v>3</v>
      </c>
      <c r="EB96" s="3" t="s">
        <v>3</v>
      </c>
      <c r="EC96" s="3" t="s">
        <v>3</v>
      </c>
      <c r="ED96" s="3"/>
      <c r="EE96" s="3">
        <v>57042958</v>
      </c>
      <c r="EF96" s="3">
        <v>40</v>
      </c>
      <c r="EG96" s="3" t="s">
        <v>30</v>
      </c>
      <c r="EH96" s="3">
        <v>0</v>
      </c>
      <c r="EI96" s="3" t="s">
        <v>3</v>
      </c>
      <c r="EJ96" s="3">
        <v>2</v>
      </c>
      <c r="EK96" s="3">
        <v>68</v>
      </c>
      <c r="EL96" s="3" t="s">
        <v>31</v>
      </c>
      <c r="EM96" s="3" t="s">
        <v>32</v>
      </c>
      <c r="EN96" s="3"/>
      <c r="EO96" s="3" t="s">
        <v>122</v>
      </c>
      <c r="EP96" s="3"/>
      <c r="EQ96" s="3">
        <v>0</v>
      </c>
      <c r="ER96" s="3">
        <v>119.3</v>
      </c>
      <c r="ES96" s="3">
        <v>12.35</v>
      </c>
      <c r="ET96" s="3">
        <v>28.71</v>
      </c>
      <c r="EU96" s="3">
        <v>3.16</v>
      </c>
      <c r="EV96" s="3">
        <v>78.239999999999995</v>
      </c>
      <c r="EW96" s="3">
        <v>6.2</v>
      </c>
      <c r="EX96" s="3">
        <v>0</v>
      </c>
      <c r="EY96" s="3">
        <v>0</v>
      </c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>
        <v>0</v>
      </c>
      <c r="FR96" s="3">
        <v>0</v>
      </c>
      <c r="FS96" s="3">
        <v>0</v>
      </c>
      <c r="FT96" s="3"/>
      <c r="FU96" s="3"/>
      <c r="FV96" s="3"/>
      <c r="FW96" s="3"/>
      <c r="FX96" s="3">
        <v>90</v>
      </c>
      <c r="FY96" s="3">
        <v>46</v>
      </c>
      <c r="FZ96" s="3"/>
      <c r="GA96" s="3" t="s">
        <v>3</v>
      </c>
      <c r="GB96" s="3"/>
      <c r="GC96" s="3"/>
      <c r="GD96" s="3">
        <v>1</v>
      </c>
      <c r="GE96" s="3"/>
      <c r="GF96" s="3">
        <v>982292204</v>
      </c>
      <c r="GG96" s="3">
        <v>2</v>
      </c>
      <c r="GH96" s="3">
        <v>1</v>
      </c>
      <c r="GI96" s="3">
        <v>2</v>
      </c>
      <c r="GJ96" s="3">
        <v>0</v>
      </c>
      <c r="GK96" s="3">
        <v>0</v>
      </c>
      <c r="GL96" s="3">
        <f t="shared" si="88"/>
        <v>0</v>
      </c>
      <c r="GM96" s="3">
        <f t="shared" si="89"/>
        <v>56564.81</v>
      </c>
      <c r="GN96" s="3">
        <f t="shared" si="90"/>
        <v>0</v>
      </c>
      <c r="GO96" s="3">
        <f t="shared" si="91"/>
        <v>56564.81</v>
      </c>
      <c r="GP96" s="3">
        <f t="shared" si="92"/>
        <v>0</v>
      </c>
      <c r="GQ96" s="3"/>
      <c r="GR96" s="3">
        <v>0</v>
      </c>
      <c r="GS96" s="3">
        <v>3</v>
      </c>
      <c r="GT96" s="3">
        <v>0</v>
      </c>
      <c r="GU96" s="3" t="s">
        <v>3</v>
      </c>
      <c r="GV96" s="3">
        <f t="shared" si="93"/>
        <v>0</v>
      </c>
      <c r="GW96" s="3">
        <v>1</v>
      </c>
      <c r="GX96" s="3">
        <f t="shared" si="94"/>
        <v>0</v>
      </c>
      <c r="GY96" s="3"/>
      <c r="GZ96" s="3"/>
      <c r="HA96" s="3">
        <v>0</v>
      </c>
      <c r="HB96" s="3">
        <v>0</v>
      </c>
      <c r="HC96" s="3">
        <f t="shared" si="95"/>
        <v>0</v>
      </c>
      <c r="HD96" s="3"/>
      <c r="HE96" s="3" t="s">
        <v>3</v>
      </c>
      <c r="HF96" s="3" t="s">
        <v>3</v>
      </c>
      <c r="HG96" s="3"/>
      <c r="HH96" s="3"/>
      <c r="HI96" s="3"/>
      <c r="HJ96" s="3"/>
      <c r="HK96" s="3"/>
      <c r="HL96" s="3"/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R96" s="3"/>
      <c r="HS96" s="3">
        <v>0</v>
      </c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>
        <v>0</v>
      </c>
      <c r="IL96" s="3"/>
      <c r="IM96" s="3"/>
      <c r="IN96" s="3"/>
      <c r="IO96" s="3"/>
      <c r="IP96" s="3"/>
      <c r="IQ96" s="3"/>
      <c r="IR96" s="3"/>
      <c r="IS96" s="3"/>
      <c r="IT96" s="3"/>
      <c r="IU96" s="3"/>
    </row>
    <row r="97" spans="1:255" ht="409.5" x14ac:dyDescent="0.25">
      <c r="A97" s="2">
        <v>18</v>
      </c>
      <c r="B97" s="2">
        <v>1</v>
      </c>
      <c r="C97" s="2">
        <v>159</v>
      </c>
      <c r="D97" s="2"/>
      <c r="E97" s="2" t="s">
        <v>153</v>
      </c>
      <c r="F97" s="2" t="s">
        <v>154</v>
      </c>
      <c r="G97" s="2" t="s">
        <v>155</v>
      </c>
      <c r="H97" s="2" t="s">
        <v>126</v>
      </c>
      <c r="I97" s="2">
        <f>I95*J97</f>
        <v>4</v>
      </c>
      <c r="J97" s="2">
        <v>1</v>
      </c>
      <c r="K97" s="2">
        <v>1</v>
      </c>
      <c r="L97" s="2"/>
      <c r="M97" s="2"/>
      <c r="N97" s="2"/>
      <c r="O97" s="2">
        <f t="shared" si="71"/>
        <v>84607.72</v>
      </c>
      <c r="P97" s="2">
        <f t="shared" si="100"/>
        <v>84607.72</v>
      </c>
      <c r="Q97" s="2">
        <f>(ROUND((ROUND(((ET97)*AV97*I97),2)*BB97),2)+ROUND((ROUND(((AE97-(EU97))*AV97*I97),2)*BS97),2))</f>
        <v>0</v>
      </c>
      <c r="R97" s="2">
        <f>(ROUND((ROUND(((EU97)*AV97*I97),2)*BS97),2)+ROUND((ROUND(((AE97-(EU97))*AV97*I97),2)*BS97),2))</f>
        <v>0</v>
      </c>
      <c r="S97" s="2">
        <f t="shared" si="73"/>
        <v>0</v>
      </c>
      <c r="T97" s="2">
        <f t="shared" si="74"/>
        <v>0</v>
      </c>
      <c r="U97" s="2">
        <f t="shared" si="75"/>
        <v>0</v>
      </c>
      <c r="V97" s="2">
        <f t="shared" si="76"/>
        <v>0</v>
      </c>
      <c r="W97" s="2">
        <f t="shared" si="77"/>
        <v>0</v>
      </c>
      <c r="X97" s="2">
        <f>(ROUND((((S97+ROUND((ROUND(((EU97)*AV97*I97),2)*BS97),2))*AT97)/100),2)+ROUND(((ROUND((ROUND(((AE97-(EU97))*AV97*I97),2)*BS97),2)*AT97)/100),2))</f>
        <v>0</v>
      </c>
      <c r="Y97" s="2">
        <f>(ROUND((((S97+ROUND((ROUND(((EU97)*AV97*I97),2)*BS97),2))*AU97)/100),2)+ROUND(((ROUND((ROUND(((AE97-(EU97))*AV97*I97),2)*BS97),2)*AU97)/100),2))</f>
        <v>0</v>
      </c>
      <c r="Z97" s="2"/>
      <c r="AA97" s="2">
        <v>55934355</v>
      </c>
      <c r="AB97" s="2">
        <f t="shared" si="78"/>
        <v>21151.93</v>
      </c>
      <c r="AC97" s="2">
        <f>ROUND((ES97),6)</f>
        <v>21151.93</v>
      </c>
      <c r="AD97" s="2">
        <f>ROUND((((ET97)-(EU97))+AE97),6)</f>
        <v>0</v>
      </c>
      <c r="AE97" s="2">
        <f>ROUND((EU97),6)</f>
        <v>0</v>
      </c>
      <c r="AF97" s="2">
        <f>ROUND((EV97),6)</f>
        <v>0</v>
      </c>
      <c r="AG97" s="2">
        <f t="shared" si="79"/>
        <v>0</v>
      </c>
      <c r="AH97" s="2">
        <f>(EW97)</f>
        <v>0</v>
      </c>
      <c r="AI97" s="2">
        <f>(EX97)</f>
        <v>0</v>
      </c>
      <c r="AJ97" s="2">
        <f t="shared" si="80"/>
        <v>0</v>
      </c>
      <c r="AK97" s="2">
        <v>21151.93</v>
      </c>
      <c r="AL97" s="2">
        <v>21151.93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1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3</v>
      </c>
      <c r="BI97" s="2">
        <v>3</v>
      </c>
      <c r="BJ97" s="2" t="s">
        <v>154</v>
      </c>
      <c r="BK97" s="2"/>
      <c r="BL97" s="2"/>
      <c r="BM97" s="2">
        <v>400007</v>
      </c>
      <c r="BN97" s="2">
        <v>0</v>
      </c>
      <c r="BO97" s="2" t="s">
        <v>3</v>
      </c>
      <c r="BP97" s="2">
        <v>0</v>
      </c>
      <c r="BQ97" s="2">
        <v>214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11" t="s">
        <v>420</v>
      </c>
      <c r="CO97" s="2">
        <v>0</v>
      </c>
      <c r="CP97" s="2">
        <f t="shared" si="81"/>
        <v>84607.72</v>
      </c>
      <c r="CQ97" s="2">
        <f t="shared" si="101"/>
        <v>21151.93</v>
      </c>
      <c r="CR97" s="2">
        <f>(ROUND((ROUND(((ET97)*AV97*1),2)*BB97),2)+ROUND((ROUND(((AE97-(EU97))*AV97*1),2)*BS97),2))</f>
        <v>0</v>
      </c>
      <c r="CS97" s="2">
        <f>(ROUND((ROUND(((EU97)*AV97*1),2)*BS97),2)+ROUND((ROUND(((AE97-(EU97))*AV97*1),2)*BS97),2))</f>
        <v>0</v>
      </c>
      <c r="CT97" s="2">
        <f t="shared" si="83"/>
        <v>0</v>
      </c>
      <c r="CU97" s="2">
        <f t="shared" si="84"/>
        <v>0</v>
      </c>
      <c r="CV97" s="2">
        <f t="shared" si="85"/>
        <v>0</v>
      </c>
      <c r="CW97" s="2">
        <f t="shared" si="86"/>
        <v>0</v>
      </c>
      <c r="CX97" s="2">
        <f t="shared" si="87"/>
        <v>0</v>
      </c>
      <c r="CY97" s="2">
        <f>(ROUND((((S97+ROUND((ROUND(((EU97)*AV97*1),2)*BS97),2))*AT97)/100),2)+ROUND(((ROUND((ROUND(((AE97-(EU97))*AV97*1),2)*BS97),2)*AT97)/100),2))</f>
        <v>0</v>
      </c>
      <c r="CZ97" s="2">
        <f>(ROUND((((S97+ROUND((ROUND(((EU97)*AV97*1),2)*BS97),2))*AU97)/100),2)+ROUND(((ROUND((ROUND(((AE97-(EU97))*AV97*1),2)*BS97),2)*AU97)/100),2))</f>
        <v>0</v>
      </c>
      <c r="DA97" s="2"/>
      <c r="DB97" s="2"/>
      <c r="DC97" s="2" t="s">
        <v>3</v>
      </c>
      <c r="DD97" s="2" t="s">
        <v>3</v>
      </c>
      <c r="DE97" s="2" t="s">
        <v>3</v>
      </c>
      <c r="DF97" s="2" t="s">
        <v>3</v>
      </c>
      <c r="DG97" s="2" t="s">
        <v>3</v>
      </c>
      <c r="DH97" s="2" t="s">
        <v>3</v>
      </c>
      <c r="DI97" s="2" t="s">
        <v>3</v>
      </c>
      <c r="DJ97" s="2" t="s">
        <v>3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126</v>
      </c>
      <c r="DW97" s="2" t="s">
        <v>126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57042890</v>
      </c>
      <c r="EF97" s="2">
        <v>214</v>
      </c>
      <c r="EG97" s="2" t="s">
        <v>127</v>
      </c>
      <c r="EH97" s="2">
        <v>0</v>
      </c>
      <c r="EI97" s="2" t="s">
        <v>3</v>
      </c>
      <c r="EJ97" s="2">
        <v>3</v>
      </c>
      <c r="EK97" s="2">
        <v>400007</v>
      </c>
      <c r="EL97" s="2" t="s">
        <v>127</v>
      </c>
      <c r="EM97" s="2" t="s">
        <v>128</v>
      </c>
      <c r="EN97" s="2"/>
      <c r="EO97" s="2" t="s">
        <v>122</v>
      </c>
      <c r="EP97" s="2"/>
      <c r="EQ97" s="2">
        <v>16</v>
      </c>
      <c r="ER97" s="2">
        <v>0</v>
      </c>
      <c r="ES97" s="2">
        <v>21151.93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f>P97</f>
        <v>84607.72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156</v>
      </c>
      <c r="GB97" s="2"/>
      <c r="GC97" s="2"/>
      <c r="GD97" s="2">
        <v>1</v>
      </c>
      <c r="GE97" s="2"/>
      <c r="GF97" s="2">
        <v>-977076452</v>
      </c>
      <c r="GG97" s="2">
        <v>2</v>
      </c>
      <c r="GH97" s="2">
        <v>4</v>
      </c>
      <c r="GI97" s="2">
        <v>-2</v>
      </c>
      <c r="GJ97" s="2">
        <v>0</v>
      </c>
      <c r="GK97" s="2">
        <v>0</v>
      </c>
      <c r="GL97" s="2">
        <f t="shared" si="88"/>
        <v>0</v>
      </c>
      <c r="GM97" s="2">
        <f t="shared" si="89"/>
        <v>84607.72</v>
      </c>
      <c r="GN97" s="2">
        <f t="shared" si="90"/>
        <v>0</v>
      </c>
      <c r="GO97" s="2">
        <f t="shared" si="91"/>
        <v>0</v>
      </c>
      <c r="GP97" s="2">
        <f t="shared" si="92"/>
        <v>0</v>
      </c>
      <c r="GQ97" s="2"/>
      <c r="GR97" s="2">
        <v>1</v>
      </c>
      <c r="GS97" s="2">
        <v>2</v>
      </c>
      <c r="GT97" s="2">
        <v>0</v>
      </c>
      <c r="GU97" s="2" t="s">
        <v>3</v>
      </c>
      <c r="GV97" s="2">
        <f t="shared" si="93"/>
        <v>0</v>
      </c>
      <c r="GW97" s="2">
        <v>1</v>
      </c>
      <c r="GX97" s="2">
        <f t="shared" si="94"/>
        <v>0</v>
      </c>
      <c r="GY97" s="2"/>
      <c r="GZ97" s="2"/>
      <c r="HA97" s="2">
        <v>0</v>
      </c>
      <c r="HB97" s="2">
        <v>0</v>
      </c>
      <c r="HC97" s="2">
        <f t="shared" si="95"/>
        <v>0</v>
      </c>
      <c r="HD97" s="2"/>
      <c r="HE97" s="2" t="s">
        <v>41</v>
      </c>
      <c r="HF97" s="2" t="s">
        <v>130</v>
      </c>
      <c r="HG97" s="2"/>
      <c r="HH97" s="2"/>
      <c r="HI97" s="2"/>
      <c r="HJ97" s="2"/>
      <c r="HK97" s="2"/>
      <c r="HL97" s="2"/>
      <c r="HM97" s="2" t="s">
        <v>120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ht="409.5" x14ac:dyDescent="0.25">
      <c r="A98" s="3">
        <v>18</v>
      </c>
      <c r="B98" s="3">
        <v>1</v>
      </c>
      <c r="C98" s="3">
        <v>164</v>
      </c>
      <c r="D98" s="3"/>
      <c r="E98" s="3" t="s">
        <v>153</v>
      </c>
      <c r="F98" s="3" t="s">
        <v>154</v>
      </c>
      <c r="G98" s="3" t="s">
        <v>155</v>
      </c>
      <c r="H98" s="3" t="s">
        <v>126</v>
      </c>
      <c r="I98" s="3">
        <f>I96*J98</f>
        <v>4</v>
      </c>
      <c r="J98" s="3">
        <v>1</v>
      </c>
      <c r="K98" s="3">
        <v>1</v>
      </c>
      <c r="L98" s="3"/>
      <c r="M98" s="3"/>
      <c r="N98" s="3"/>
      <c r="O98" s="3">
        <f t="shared" si="71"/>
        <v>640480.43999999994</v>
      </c>
      <c r="P98" s="3">
        <f t="shared" si="100"/>
        <v>640480.43999999994</v>
      </c>
      <c r="Q98" s="3">
        <f>(ROUND((ROUND(((ET98)*AV98*I98),2)*BB98),2)+ROUND((ROUND(((AE98-(EU98))*AV98*I98),2)*BS98),2))</f>
        <v>0</v>
      </c>
      <c r="R98" s="3">
        <f>(ROUND((ROUND(((EU98)*AV98*I98),2)*BS98),2)+ROUND((ROUND(((AE98-(EU98))*AV98*I98),2)*BS98),2))</f>
        <v>0</v>
      </c>
      <c r="S98" s="3">
        <f t="shared" si="73"/>
        <v>0</v>
      </c>
      <c r="T98" s="3">
        <f t="shared" si="74"/>
        <v>0</v>
      </c>
      <c r="U98" s="3">
        <f t="shared" si="75"/>
        <v>0</v>
      </c>
      <c r="V98" s="3">
        <f t="shared" si="76"/>
        <v>0</v>
      </c>
      <c r="W98" s="3">
        <f t="shared" si="77"/>
        <v>0</v>
      </c>
      <c r="X98" s="3">
        <f>(ROUND((((S98+ROUND((ROUND(((EU98)*AV98*I98),2)*BS98),2))*AT98)/100),2)+ROUND(((ROUND((ROUND(((AE98-(EU98))*AV98*I98),2)*BS98),2)*AT98)/100),2))</f>
        <v>0</v>
      </c>
      <c r="Y98" s="3">
        <f>(ROUND((((S98+ROUND((ROUND(((EU98)*AV98*I98),2)*BS98),2))*AU98)/100),2)+ROUND(((ROUND((ROUND(((AE98-(EU98))*AV98*I98),2)*BS98),2)*AU98)/100),2))</f>
        <v>0</v>
      </c>
      <c r="Z98" s="3"/>
      <c r="AA98" s="3">
        <v>55934357</v>
      </c>
      <c r="AB98" s="3">
        <f t="shared" si="78"/>
        <v>21151.93</v>
      </c>
      <c r="AC98" s="3">
        <f>ROUND((ES98),6)</f>
        <v>21151.93</v>
      </c>
      <c r="AD98" s="3">
        <f>ROUND((((ET98)-(EU98))+AE98),6)</f>
        <v>0</v>
      </c>
      <c r="AE98" s="3">
        <f>ROUND((EU98),6)</f>
        <v>0</v>
      </c>
      <c r="AF98" s="3">
        <f>ROUND((EV98),6)</f>
        <v>0</v>
      </c>
      <c r="AG98" s="3">
        <f t="shared" si="79"/>
        <v>0</v>
      </c>
      <c r="AH98" s="3">
        <f>(EW98)</f>
        <v>0</v>
      </c>
      <c r="AI98" s="3">
        <f>(EX98)</f>
        <v>0</v>
      </c>
      <c r="AJ98" s="3">
        <f t="shared" si="80"/>
        <v>0</v>
      </c>
      <c r="AK98" s="3">
        <v>21151.93</v>
      </c>
      <c r="AL98" s="3">
        <v>21151.93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1</v>
      </c>
      <c r="AW98" s="3">
        <v>1</v>
      </c>
      <c r="AX98" s="3"/>
      <c r="AY98" s="3"/>
      <c r="AZ98" s="3">
        <v>1</v>
      </c>
      <c r="BA98" s="3">
        <v>1</v>
      </c>
      <c r="BB98" s="3">
        <v>1</v>
      </c>
      <c r="BC98" s="3">
        <v>7.57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3</v>
      </c>
      <c r="BI98" s="3">
        <v>3</v>
      </c>
      <c r="BJ98" s="3" t="s">
        <v>154</v>
      </c>
      <c r="BK98" s="3"/>
      <c r="BL98" s="3"/>
      <c r="BM98" s="3">
        <v>400007</v>
      </c>
      <c r="BN98" s="3">
        <v>0</v>
      </c>
      <c r="BO98" s="3" t="s">
        <v>3</v>
      </c>
      <c r="BP98" s="3">
        <v>0</v>
      </c>
      <c r="BQ98" s="3">
        <v>214</v>
      </c>
      <c r="BR98" s="3">
        <v>0</v>
      </c>
      <c r="BS98" s="3">
        <v>1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C98" s="3"/>
      <c r="CD98" s="3"/>
      <c r="CE98" s="3">
        <v>1566</v>
      </c>
      <c r="CF98" s="3">
        <v>0</v>
      </c>
      <c r="CG98" s="3">
        <v>0</v>
      </c>
      <c r="CH98" s="3"/>
      <c r="CI98" s="3"/>
      <c r="CJ98" s="3"/>
      <c r="CK98" s="3"/>
      <c r="CL98" s="3"/>
      <c r="CM98" s="3">
        <v>0</v>
      </c>
      <c r="CN98" s="12" t="s">
        <v>420</v>
      </c>
      <c r="CO98" s="3">
        <v>0</v>
      </c>
      <c r="CP98" s="3">
        <f t="shared" si="81"/>
        <v>640480.43999999994</v>
      </c>
      <c r="CQ98" s="3">
        <f t="shared" si="101"/>
        <v>160120.10999999999</v>
      </c>
      <c r="CR98" s="3">
        <f>(ROUND((ROUND(((ET98)*AV98*1),2)*BB98),2)+ROUND((ROUND(((AE98-(EU98))*AV98*1),2)*BS98),2))</f>
        <v>0</v>
      </c>
      <c r="CS98" s="3">
        <f>(ROUND((ROUND(((EU98)*AV98*1),2)*BS98),2)+ROUND((ROUND(((AE98-(EU98))*AV98*1),2)*BS98),2))</f>
        <v>0</v>
      </c>
      <c r="CT98" s="3">
        <f t="shared" si="83"/>
        <v>0</v>
      </c>
      <c r="CU98" s="3">
        <f t="shared" si="84"/>
        <v>0</v>
      </c>
      <c r="CV98" s="3">
        <f t="shared" si="85"/>
        <v>0</v>
      </c>
      <c r="CW98" s="3">
        <f t="shared" si="86"/>
        <v>0</v>
      </c>
      <c r="CX98" s="3">
        <f t="shared" si="87"/>
        <v>0</v>
      </c>
      <c r="CY98" s="3">
        <f>(ROUND((((S98+ROUND((ROUND(((EU98)*AV98*1),2)*BS98),2))*AT98)/100),2)+ROUND(((ROUND((ROUND(((AE98-(EU98))*AV98*1),2)*BS98),2)*AT98)/100),2))</f>
        <v>0</v>
      </c>
      <c r="CZ98" s="3">
        <f>(ROUND((((S98+ROUND((ROUND(((EU98)*AV98*1),2)*BS98),2))*AU98)/100),2)+ROUND(((ROUND((ROUND(((AE98-(EU98))*AV98*1),2)*BS98),2)*AU98)/100),2))</f>
        <v>0</v>
      </c>
      <c r="DA98" s="3"/>
      <c r="DB98" s="3"/>
      <c r="DC98" s="3" t="s">
        <v>3</v>
      </c>
      <c r="DD98" s="3" t="s">
        <v>3</v>
      </c>
      <c r="DE98" s="3" t="s">
        <v>3</v>
      </c>
      <c r="DF98" s="3" t="s">
        <v>3</v>
      </c>
      <c r="DG98" s="3" t="s">
        <v>3</v>
      </c>
      <c r="DH98" s="3" t="s">
        <v>3</v>
      </c>
      <c r="DI98" s="3" t="s">
        <v>3</v>
      </c>
      <c r="DJ98" s="3" t="s">
        <v>3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R98" s="3"/>
      <c r="DS98" s="3"/>
      <c r="DT98" s="3"/>
      <c r="DU98" s="3">
        <v>1013</v>
      </c>
      <c r="DV98" s="3" t="s">
        <v>126</v>
      </c>
      <c r="DW98" s="3" t="s">
        <v>126</v>
      </c>
      <c r="DX98" s="3">
        <v>1</v>
      </c>
      <c r="DY98" s="3"/>
      <c r="DZ98" s="3" t="s">
        <v>3</v>
      </c>
      <c r="EA98" s="3" t="s">
        <v>3</v>
      </c>
      <c r="EB98" s="3" t="s">
        <v>3</v>
      </c>
      <c r="EC98" s="3" t="s">
        <v>3</v>
      </c>
      <c r="ED98" s="3"/>
      <c r="EE98" s="3">
        <v>57042890</v>
      </c>
      <c r="EF98" s="3">
        <v>214</v>
      </c>
      <c r="EG98" s="3" t="s">
        <v>127</v>
      </c>
      <c r="EH98" s="3">
        <v>0</v>
      </c>
      <c r="EI98" s="3" t="s">
        <v>3</v>
      </c>
      <c r="EJ98" s="3">
        <v>3</v>
      </c>
      <c r="EK98" s="3">
        <v>400007</v>
      </c>
      <c r="EL98" s="3" t="s">
        <v>127</v>
      </c>
      <c r="EM98" s="3" t="s">
        <v>128</v>
      </c>
      <c r="EN98" s="3"/>
      <c r="EO98" s="3" t="s">
        <v>122</v>
      </c>
      <c r="EP98" s="3"/>
      <c r="EQ98" s="3">
        <v>16</v>
      </c>
      <c r="ER98" s="3">
        <v>0</v>
      </c>
      <c r="ES98" s="3">
        <v>21151.93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/>
      <c r="EZ98" s="3">
        <v>5</v>
      </c>
      <c r="FA98" s="3"/>
      <c r="FB98" s="3"/>
      <c r="FC98" s="3">
        <v>1</v>
      </c>
      <c r="FD98" s="3">
        <v>18</v>
      </c>
      <c r="FE98" s="3"/>
      <c r="FF98" s="3">
        <v>187408</v>
      </c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>
        <v>0</v>
      </c>
      <c r="FR98" s="3">
        <f>P98</f>
        <v>640480.43999999994</v>
      </c>
      <c r="FS98" s="3">
        <v>0</v>
      </c>
      <c r="FT98" s="3"/>
      <c r="FU98" s="3"/>
      <c r="FV98" s="3"/>
      <c r="FW98" s="3"/>
      <c r="FX98" s="3">
        <v>90</v>
      </c>
      <c r="FY98" s="3">
        <v>46</v>
      </c>
      <c r="FZ98" s="3"/>
      <c r="GA98" s="3" t="s">
        <v>156</v>
      </c>
      <c r="GB98" s="3"/>
      <c r="GC98" s="3"/>
      <c r="GD98" s="3">
        <v>1</v>
      </c>
      <c r="GE98" s="3"/>
      <c r="GF98" s="3">
        <v>-977076452</v>
      </c>
      <c r="GG98" s="3">
        <v>2</v>
      </c>
      <c r="GH98" s="3">
        <v>3</v>
      </c>
      <c r="GI98" s="3">
        <v>5</v>
      </c>
      <c r="GJ98" s="3">
        <v>0</v>
      </c>
      <c r="GK98" s="3">
        <v>0</v>
      </c>
      <c r="GL98" s="3">
        <f t="shared" si="88"/>
        <v>0</v>
      </c>
      <c r="GM98" s="3">
        <f t="shared" si="89"/>
        <v>640480.43999999994</v>
      </c>
      <c r="GN98" s="3">
        <f t="shared" si="90"/>
        <v>0</v>
      </c>
      <c r="GO98" s="3">
        <f t="shared" si="91"/>
        <v>0</v>
      </c>
      <c r="GP98" s="3">
        <f t="shared" si="92"/>
        <v>0</v>
      </c>
      <c r="GQ98" s="3"/>
      <c r="GR98" s="3">
        <v>1</v>
      </c>
      <c r="GS98" s="3">
        <v>1</v>
      </c>
      <c r="GT98" s="3">
        <v>0</v>
      </c>
      <c r="GU98" s="3" t="s">
        <v>3</v>
      </c>
      <c r="GV98" s="3">
        <f t="shared" si="93"/>
        <v>0</v>
      </c>
      <c r="GW98" s="3">
        <v>1</v>
      </c>
      <c r="GX98" s="3">
        <f t="shared" si="94"/>
        <v>0</v>
      </c>
      <c r="GY98" s="3"/>
      <c r="GZ98" s="3"/>
      <c r="HA98" s="3">
        <v>0</v>
      </c>
      <c r="HB98" s="3">
        <v>0</v>
      </c>
      <c r="HC98" s="3">
        <f t="shared" si="95"/>
        <v>0</v>
      </c>
      <c r="HD98" s="3"/>
      <c r="HE98" s="3" t="s">
        <v>41</v>
      </c>
      <c r="HF98" s="3" t="s">
        <v>130</v>
      </c>
      <c r="HG98" s="3"/>
      <c r="HH98" s="3"/>
      <c r="HI98" s="3"/>
      <c r="HJ98" s="3"/>
      <c r="HK98" s="3"/>
      <c r="HL98" s="3"/>
      <c r="HM98" s="3" t="s">
        <v>120</v>
      </c>
      <c r="HN98" s="3" t="s">
        <v>3</v>
      </c>
      <c r="HO98" s="3" t="s">
        <v>3</v>
      </c>
      <c r="HP98" s="3" t="s">
        <v>3</v>
      </c>
      <c r="HQ98" s="3" t="s">
        <v>3</v>
      </c>
      <c r="HR98" s="3"/>
      <c r="HS98" s="3">
        <v>0</v>
      </c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>
        <v>0</v>
      </c>
      <c r="IL98" s="3"/>
      <c r="IM98" s="3"/>
      <c r="IN98" s="3"/>
      <c r="IO98" s="3"/>
      <c r="IP98" s="3"/>
      <c r="IQ98" s="3"/>
      <c r="IR98" s="3"/>
      <c r="IS98" s="3"/>
      <c r="IT98" s="3"/>
      <c r="IU98" s="3"/>
    </row>
    <row r="99" spans="1:255" ht="409.5" x14ac:dyDescent="0.25">
      <c r="A99" s="2">
        <v>17</v>
      </c>
      <c r="B99" s="2">
        <v>1</v>
      </c>
      <c r="C99" s="2">
        <f>ROW(SmtRes!A165)</f>
        <v>165</v>
      </c>
      <c r="D99" s="2">
        <f>ROW(EtalonRes!A195)</f>
        <v>195</v>
      </c>
      <c r="E99" s="2" t="s">
        <v>3</v>
      </c>
      <c r="F99" s="2" t="s">
        <v>131</v>
      </c>
      <c r="G99" s="2" t="s">
        <v>132</v>
      </c>
      <c r="H99" s="2" t="s">
        <v>133</v>
      </c>
      <c r="I99" s="2">
        <f>ROUND(1+4,9)</f>
        <v>5</v>
      </c>
      <c r="J99" s="2">
        <v>0</v>
      </c>
      <c r="K99" s="2">
        <f>ROUND(1+4,9)</f>
        <v>5</v>
      </c>
      <c r="L99" s="2"/>
      <c r="M99" s="2"/>
      <c r="N99" s="2"/>
      <c r="O99" s="2">
        <f t="shared" si="71"/>
        <v>2100.83</v>
      </c>
      <c r="P99" s="2">
        <f t="shared" si="100"/>
        <v>0</v>
      </c>
      <c r="Q99" s="2">
        <f>(ROUND((ROUND((((ET99*1.2))*AV99*I99),2)*BB99),2)+ROUND((ROUND(((AE99-((EU99*1.2)))*AV99*I99),2)*BS99),2))</f>
        <v>0</v>
      </c>
      <c r="R99" s="2">
        <f>(ROUND((ROUND((((EU99*1.2))*AV99*I99),2)*BS99),2)+ROUND((ROUND(((AE99-((EU99*1.2)))*AV99*I99),2)*BS99),2))</f>
        <v>0</v>
      </c>
      <c r="S99" s="2">
        <f t="shared" si="73"/>
        <v>2100.83</v>
      </c>
      <c r="T99" s="2">
        <f t="shared" si="74"/>
        <v>0</v>
      </c>
      <c r="U99" s="2">
        <f t="shared" si="75"/>
        <v>144.48599999999996</v>
      </c>
      <c r="V99" s="2">
        <f t="shared" si="76"/>
        <v>0</v>
      </c>
      <c r="W99" s="2">
        <f t="shared" si="77"/>
        <v>0</v>
      </c>
      <c r="X99" s="2">
        <f>(ROUND((((S99+ROUND((ROUND((((EU99*1.2))*AV99*I99),2)*BS99),2))*AT99)/100),2)+ROUND(((ROUND((ROUND(((AE99-((EU99*1.2)))*AV99*I99),2)*BS99),2)*AT99)/100),2))</f>
        <v>1890.75</v>
      </c>
      <c r="Y99" s="2">
        <f>(ROUND((((S99+ROUND((ROUND((((EU99*1.2))*AV99*I99),2)*BS99),2))*AU99)/100),2)+ROUND(((ROUND((ROUND(((AE99-((EU99*1.2)))*AV99*I99),2)*BS99),2)*AU99)/100),2))</f>
        <v>966.38</v>
      </c>
      <c r="Z99" s="2"/>
      <c r="AA99" s="2">
        <v>-1</v>
      </c>
      <c r="AB99" s="2">
        <f t="shared" si="78"/>
        <v>401.30399999999997</v>
      </c>
      <c r="AC99" s="2">
        <f>ROUND(((ES99*1)),6)</f>
        <v>0</v>
      </c>
      <c r="AD99" s="2">
        <f>ROUND(((((ET99*1.2))-((EU99*1.2)))+AE99),6)</f>
        <v>0</v>
      </c>
      <c r="AE99" s="2">
        <f t="shared" ref="AE99:AF102" si="102">ROUND(((EU99*1.2)),6)</f>
        <v>0</v>
      </c>
      <c r="AF99" s="2">
        <f t="shared" si="102"/>
        <v>401.30399999999997</v>
      </c>
      <c r="AG99" s="2">
        <f t="shared" si="79"/>
        <v>0</v>
      </c>
      <c r="AH99" s="2">
        <f t="shared" ref="AH99:AI102" si="103">((EW99*1.2))</f>
        <v>27.599999999999998</v>
      </c>
      <c r="AI99" s="2">
        <f t="shared" si="103"/>
        <v>0</v>
      </c>
      <c r="AJ99" s="2">
        <f t="shared" si="80"/>
        <v>0</v>
      </c>
      <c r="AK99" s="2">
        <v>334.42</v>
      </c>
      <c r="AL99" s="2">
        <v>0</v>
      </c>
      <c r="AM99" s="2">
        <v>0</v>
      </c>
      <c r="AN99" s="2">
        <v>0</v>
      </c>
      <c r="AO99" s="2">
        <v>334.42</v>
      </c>
      <c r="AP99" s="2">
        <v>0</v>
      </c>
      <c r="AQ99" s="2">
        <v>23</v>
      </c>
      <c r="AR99" s="2">
        <v>0</v>
      </c>
      <c r="AS99" s="2">
        <v>0</v>
      </c>
      <c r="AT99" s="2">
        <v>90</v>
      </c>
      <c r="AU99" s="2">
        <v>46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134</v>
      </c>
      <c r="BK99" s="2"/>
      <c r="BL99" s="2"/>
      <c r="BM99" s="2">
        <v>192</v>
      </c>
      <c r="BN99" s="2">
        <v>0</v>
      </c>
      <c r="BO99" s="2" t="s">
        <v>131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11" t="s">
        <v>419</v>
      </c>
      <c r="CO99" s="2">
        <v>0</v>
      </c>
      <c r="CP99" s="2">
        <f t="shared" si="81"/>
        <v>2100.83</v>
      </c>
      <c r="CQ99" s="2">
        <f t="shared" si="101"/>
        <v>0</v>
      </c>
      <c r="CR99" s="2">
        <f>(ROUND((ROUND((((ET99*1.2))*AV99*1),2)*BB99),2)+ROUND((ROUND(((AE99-((EU99*1.2)))*AV99*1),2)*BS99),2))</f>
        <v>0</v>
      </c>
      <c r="CS99" s="2">
        <f>(ROUND((ROUND((((EU99*1.2))*AV99*1),2)*BS99),2)+ROUND((ROUND(((AE99-((EU99*1.2)))*AV99*1),2)*BS99),2))</f>
        <v>0</v>
      </c>
      <c r="CT99" s="2">
        <f t="shared" si="83"/>
        <v>420.17</v>
      </c>
      <c r="CU99" s="2">
        <f t="shared" si="84"/>
        <v>0</v>
      </c>
      <c r="CV99" s="2">
        <f t="shared" si="85"/>
        <v>28.897199999999994</v>
      </c>
      <c r="CW99" s="2">
        <f t="shared" si="86"/>
        <v>0</v>
      </c>
      <c r="CX99" s="2">
        <f t="shared" si="87"/>
        <v>0</v>
      </c>
      <c r="CY99" s="2">
        <f>(ROUND((((S99+ROUND((ROUND((((EU99*1.2))*AV99*1),2)*BS99),2))*AT99)/100),2)+ROUND(((ROUND((ROUND(((AE99-((EU99*1.2)))*AV99*1),2)*BS99),2)*AT99)/100),2))</f>
        <v>1890.75</v>
      </c>
      <c r="CZ99" s="2">
        <f>(ROUND((((S99+ROUND((ROUND((((EU99*1.2))*AV99*1),2)*BS99),2))*AU99)/100),2)+ROUND(((ROUND((ROUND(((AE99-((EU99*1.2)))*AV99*1),2)*BS99),2)*AU99)/100),2))</f>
        <v>966.38</v>
      </c>
      <c r="DA99" s="2"/>
      <c r="DB99" s="2">
        <v>43</v>
      </c>
      <c r="DC99" s="2" t="s">
        <v>3</v>
      </c>
      <c r="DD99" s="2" t="s">
        <v>120</v>
      </c>
      <c r="DE99" s="2" t="s">
        <v>121</v>
      </c>
      <c r="DF99" s="2" t="s">
        <v>121</v>
      </c>
      <c r="DG99" s="2" t="s">
        <v>121</v>
      </c>
      <c r="DH99" s="2" t="s">
        <v>3</v>
      </c>
      <c r="DI99" s="2" t="s">
        <v>121</v>
      </c>
      <c r="DJ99" s="2" t="s">
        <v>121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133</v>
      </c>
      <c r="DW99" s="2" t="s">
        <v>133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57043089</v>
      </c>
      <c r="EF99" s="2">
        <v>40</v>
      </c>
      <c r="EG99" s="2" t="s">
        <v>30</v>
      </c>
      <c r="EH99" s="2">
        <v>0</v>
      </c>
      <c r="EI99" s="2" t="s">
        <v>3</v>
      </c>
      <c r="EJ99" s="2">
        <v>2</v>
      </c>
      <c r="EK99" s="2">
        <v>192</v>
      </c>
      <c r="EL99" s="2" t="s">
        <v>31</v>
      </c>
      <c r="EM99" s="2" t="s">
        <v>135</v>
      </c>
      <c r="EN99" s="2"/>
      <c r="EO99" s="2" t="s">
        <v>122</v>
      </c>
      <c r="EP99" s="2"/>
      <c r="EQ99" s="2">
        <v>1024</v>
      </c>
      <c r="ER99" s="2">
        <v>334.42</v>
      </c>
      <c r="ES99" s="2">
        <v>0</v>
      </c>
      <c r="ET99" s="2">
        <v>0</v>
      </c>
      <c r="EU99" s="2">
        <v>0</v>
      </c>
      <c r="EV99" s="2">
        <v>334.42</v>
      </c>
      <c r="EW99" s="2">
        <v>23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1839118886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si="88"/>
        <v>0</v>
      </c>
      <c r="GM99" s="2">
        <f t="shared" si="89"/>
        <v>4957.96</v>
      </c>
      <c r="GN99" s="2">
        <f t="shared" si="90"/>
        <v>0</v>
      </c>
      <c r="GO99" s="2">
        <f t="shared" si="91"/>
        <v>4957.96</v>
      </c>
      <c r="GP99" s="2">
        <f t="shared" si="92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93"/>
        <v>0</v>
      </c>
      <c r="GW99" s="2">
        <v>1</v>
      </c>
      <c r="GX99" s="2">
        <f t="shared" si="94"/>
        <v>0</v>
      </c>
      <c r="GY99" s="2"/>
      <c r="GZ99" s="2"/>
      <c r="HA99" s="2">
        <v>0</v>
      </c>
      <c r="HB99" s="2">
        <v>0</v>
      </c>
      <c r="HC99" s="2">
        <f t="shared" si="95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ht="409.5" x14ac:dyDescent="0.25">
      <c r="A100" s="3">
        <v>17</v>
      </c>
      <c r="B100" s="3">
        <v>1</v>
      </c>
      <c r="C100" s="3">
        <f>ROW(SmtRes!A166)</f>
        <v>166</v>
      </c>
      <c r="D100" s="3">
        <f>ROW(EtalonRes!A196)</f>
        <v>196</v>
      </c>
      <c r="E100" s="3" t="s">
        <v>3</v>
      </c>
      <c r="F100" s="3" t="s">
        <v>131</v>
      </c>
      <c r="G100" s="3" t="s">
        <v>132</v>
      </c>
      <c r="H100" s="3" t="s">
        <v>133</v>
      </c>
      <c r="I100" s="3">
        <f>ROUND(1+4,9)</f>
        <v>5</v>
      </c>
      <c r="J100" s="3">
        <v>0</v>
      </c>
      <c r="K100" s="3">
        <f>ROUND(1+4,9)</f>
        <v>5</v>
      </c>
      <c r="L100" s="3"/>
      <c r="M100" s="3"/>
      <c r="N100" s="3"/>
      <c r="O100" s="3">
        <f t="shared" si="71"/>
        <v>118381.77</v>
      </c>
      <c r="P100" s="3">
        <f t="shared" si="100"/>
        <v>0</v>
      </c>
      <c r="Q100" s="3">
        <f>(ROUND((ROUND((((ET100*1.2))*AV100*I100),2)*BB100),2)+ROUND((ROUND(((AE100-((EU100*1.2)))*AV100*I100),2)*BS100),2))</f>
        <v>0</v>
      </c>
      <c r="R100" s="3">
        <f>(ROUND((ROUND((((EU100*1.2))*AV100*I100),2)*BS100),2)+ROUND((ROUND(((AE100-((EU100*1.2)))*AV100*I100),2)*BS100),2))</f>
        <v>0</v>
      </c>
      <c r="S100" s="3">
        <f t="shared" si="73"/>
        <v>118381.77</v>
      </c>
      <c r="T100" s="3">
        <f t="shared" si="74"/>
        <v>0</v>
      </c>
      <c r="U100" s="3">
        <f t="shared" si="75"/>
        <v>144.48599999999996</v>
      </c>
      <c r="V100" s="3">
        <f t="shared" si="76"/>
        <v>0</v>
      </c>
      <c r="W100" s="3">
        <f t="shared" si="77"/>
        <v>0</v>
      </c>
      <c r="X100" s="3">
        <f>(ROUND((((S100+ROUND((ROUND((((EU100*1.2))*AV100*I100),2)*BS100),2))*AT100)/100),2)+ROUND(((ROUND((ROUND(((AE100-((EU100*1.2)))*AV100*I100),2)*BS100),2)*AT100)/100),2))</f>
        <v>106543.59</v>
      </c>
      <c r="Y100" s="3">
        <f>(ROUND((((S100+ROUND((ROUND((((EU100*1.2))*AV100*I100),2)*BS100),2))*AU100)/100),2)+ROUND(((ROUND((ROUND(((AE100-((EU100*1.2)))*AV100*I100),2)*BS100),2)*AU100)/100),2))</f>
        <v>54455.61</v>
      </c>
      <c r="Z100" s="3"/>
      <c r="AA100" s="3">
        <v>-1</v>
      </c>
      <c r="AB100" s="3">
        <f t="shared" si="78"/>
        <v>401.30399999999997</v>
      </c>
      <c r="AC100" s="3">
        <f>ROUND(((ES100*1)),6)</f>
        <v>0</v>
      </c>
      <c r="AD100" s="3">
        <f>ROUND(((((ET100*1.2))-((EU100*1.2)))+AE100),6)</f>
        <v>0</v>
      </c>
      <c r="AE100" s="3">
        <f t="shared" si="102"/>
        <v>0</v>
      </c>
      <c r="AF100" s="3">
        <f t="shared" si="102"/>
        <v>401.30399999999997</v>
      </c>
      <c r="AG100" s="3">
        <f t="shared" si="79"/>
        <v>0</v>
      </c>
      <c r="AH100" s="3">
        <f t="shared" si="103"/>
        <v>27.599999999999998</v>
      </c>
      <c r="AI100" s="3">
        <f t="shared" si="103"/>
        <v>0</v>
      </c>
      <c r="AJ100" s="3">
        <f t="shared" si="80"/>
        <v>0</v>
      </c>
      <c r="AK100" s="3">
        <v>334.42</v>
      </c>
      <c r="AL100" s="3">
        <v>0</v>
      </c>
      <c r="AM100" s="3">
        <v>0</v>
      </c>
      <c r="AN100" s="3">
        <v>0</v>
      </c>
      <c r="AO100" s="3">
        <v>334.42</v>
      </c>
      <c r="AP100" s="3">
        <v>0</v>
      </c>
      <c r="AQ100" s="3">
        <v>23</v>
      </c>
      <c r="AR100" s="3">
        <v>0</v>
      </c>
      <c r="AS100" s="3">
        <v>0</v>
      </c>
      <c r="AT100" s="3">
        <v>90</v>
      </c>
      <c r="AU100" s="3">
        <v>46</v>
      </c>
      <c r="AV100" s="3">
        <v>1.0469999999999999</v>
      </c>
      <c r="AW100" s="3">
        <v>1</v>
      </c>
      <c r="AX100" s="3"/>
      <c r="AY100" s="3"/>
      <c r="AZ100" s="3">
        <v>1</v>
      </c>
      <c r="BA100" s="3">
        <v>56.35</v>
      </c>
      <c r="BB100" s="3">
        <v>1</v>
      </c>
      <c r="BC100" s="3">
        <v>1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134</v>
      </c>
      <c r="BK100" s="3"/>
      <c r="BL100" s="3"/>
      <c r="BM100" s="3">
        <v>192</v>
      </c>
      <c r="BN100" s="3">
        <v>0</v>
      </c>
      <c r="BO100" s="3" t="s">
        <v>131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C100" s="3"/>
      <c r="CD100" s="3"/>
      <c r="CE100" s="3">
        <v>1566</v>
      </c>
      <c r="CF100" s="3">
        <v>0</v>
      </c>
      <c r="CG100" s="3">
        <v>0</v>
      </c>
      <c r="CH100" s="3"/>
      <c r="CI100" s="3"/>
      <c r="CJ100" s="3"/>
      <c r="CK100" s="3"/>
      <c r="CL100" s="3"/>
      <c r="CM100" s="3">
        <v>0</v>
      </c>
      <c r="CN100" s="12" t="s">
        <v>419</v>
      </c>
      <c r="CO100" s="3">
        <v>0</v>
      </c>
      <c r="CP100" s="3">
        <f t="shared" si="81"/>
        <v>118381.77</v>
      </c>
      <c r="CQ100" s="3">
        <f t="shared" si="101"/>
        <v>0</v>
      </c>
      <c r="CR100" s="3">
        <f>(ROUND((ROUND((((ET100*1.2))*AV100*1),2)*BB100),2)+ROUND((ROUND(((AE100-((EU100*1.2)))*AV100*1),2)*BS100),2))</f>
        <v>0</v>
      </c>
      <c r="CS100" s="3">
        <f>(ROUND((ROUND((((EU100*1.2))*AV100*1),2)*BS100),2)+ROUND((ROUND(((AE100-((EU100*1.2)))*AV100*1),2)*BS100),2))</f>
        <v>0</v>
      </c>
      <c r="CT100" s="3">
        <f t="shared" si="83"/>
        <v>23676.58</v>
      </c>
      <c r="CU100" s="3">
        <f t="shared" si="84"/>
        <v>0</v>
      </c>
      <c r="CV100" s="3">
        <f t="shared" si="85"/>
        <v>28.897199999999994</v>
      </c>
      <c r="CW100" s="3">
        <f t="shared" si="86"/>
        <v>0</v>
      </c>
      <c r="CX100" s="3">
        <f t="shared" si="87"/>
        <v>0</v>
      </c>
      <c r="CY100" s="3">
        <f>(ROUND((((S100+ROUND((ROUND((((EU100*1.2))*AV100*1),2)*BS100),2))*AT100)/100),2)+ROUND(((ROUND((ROUND(((AE100-((EU100*1.2)))*AV100*1),2)*BS100),2)*AT100)/100),2))</f>
        <v>106543.59</v>
      </c>
      <c r="CZ100" s="3">
        <f>(ROUND((((S100+ROUND((ROUND((((EU100*1.2))*AV100*1),2)*BS100),2))*AU100)/100),2)+ROUND(((ROUND((ROUND(((AE100-((EU100*1.2)))*AV100*1),2)*BS100),2)*AU100)/100),2))</f>
        <v>54455.61</v>
      </c>
      <c r="DA100" s="3"/>
      <c r="DB100" s="3">
        <v>44</v>
      </c>
      <c r="DC100" s="3" t="s">
        <v>3</v>
      </c>
      <c r="DD100" s="3" t="s">
        <v>120</v>
      </c>
      <c r="DE100" s="3" t="s">
        <v>121</v>
      </c>
      <c r="DF100" s="3" t="s">
        <v>121</v>
      </c>
      <c r="DG100" s="3" t="s">
        <v>121</v>
      </c>
      <c r="DH100" s="3" t="s">
        <v>3</v>
      </c>
      <c r="DI100" s="3" t="s">
        <v>121</v>
      </c>
      <c r="DJ100" s="3" t="s">
        <v>121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R100" s="3"/>
      <c r="DS100" s="3"/>
      <c r="DT100" s="3"/>
      <c r="DU100" s="3">
        <v>1013</v>
      </c>
      <c r="DV100" s="3" t="s">
        <v>133</v>
      </c>
      <c r="DW100" s="3" t="s">
        <v>133</v>
      </c>
      <c r="DX100" s="3">
        <v>1</v>
      </c>
      <c r="DY100" s="3"/>
      <c r="DZ100" s="3" t="s">
        <v>3</v>
      </c>
      <c r="EA100" s="3" t="s">
        <v>3</v>
      </c>
      <c r="EB100" s="3" t="s">
        <v>3</v>
      </c>
      <c r="EC100" s="3" t="s">
        <v>3</v>
      </c>
      <c r="ED100" s="3"/>
      <c r="EE100" s="3">
        <v>57043089</v>
      </c>
      <c r="EF100" s="3">
        <v>40</v>
      </c>
      <c r="EG100" s="3" t="s">
        <v>30</v>
      </c>
      <c r="EH100" s="3">
        <v>0</v>
      </c>
      <c r="EI100" s="3" t="s">
        <v>3</v>
      </c>
      <c r="EJ100" s="3">
        <v>2</v>
      </c>
      <c r="EK100" s="3">
        <v>192</v>
      </c>
      <c r="EL100" s="3" t="s">
        <v>31</v>
      </c>
      <c r="EM100" s="3" t="s">
        <v>135</v>
      </c>
      <c r="EN100" s="3"/>
      <c r="EO100" s="3" t="s">
        <v>122</v>
      </c>
      <c r="EP100" s="3"/>
      <c r="EQ100" s="3">
        <v>1024</v>
      </c>
      <c r="ER100" s="3">
        <v>334.42</v>
      </c>
      <c r="ES100" s="3">
        <v>0</v>
      </c>
      <c r="ET100" s="3">
        <v>0</v>
      </c>
      <c r="EU100" s="3">
        <v>0</v>
      </c>
      <c r="EV100" s="3">
        <v>334.42</v>
      </c>
      <c r="EW100" s="3">
        <v>23</v>
      </c>
      <c r="EX100" s="3">
        <v>0</v>
      </c>
      <c r="EY100" s="3">
        <v>0</v>
      </c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>
        <v>0</v>
      </c>
      <c r="FR100" s="3">
        <v>0</v>
      </c>
      <c r="FS100" s="3">
        <v>0</v>
      </c>
      <c r="FT100" s="3"/>
      <c r="FU100" s="3"/>
      <c r="FV100" s="3"/>
      <c r="FW100" s="3"/>
      <c r="FX100" s="3">
        <v>90</v>
      </c>
      <c r="FY100" s="3">
        <v>46</v>
      </c>
      <c r="FZ100" s="3"/>
      <c r="GA100" s="3" t="s">
        <v>3</v>
      </c>
      <c r="GB100" s="3"/>
      <c r="GC100" s="3"/>
      <c r="GD100" s="3">
        <v>1</v>
      </c>
      <c r="GE100" s="3"/>
      <c r="GF100" s="3">
        <v>1839118886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88"/>
        <v>0</v>
      </c>
      <c r="GM100" s="3">
        <f t="shared" si="89"/>
        <v>279380.96999999997</v>
      </c>
      <c r="GN100" s="3">
        <f t="shared" si="90"/>
        <v>0</v>
      </c>
      <c r="GO100" s="3">
        <f t="shared" si="91"/>
        <v>279380.96999999997</v>
      </c>
      <c r="GP100" s="3">
        <f t="shared" si="92"/>
        <v>0</v>
      </c>
      <c r="GQ100" s="3"/>
      <c r="GR100" s="3">
        <v>0</v>
      </c>
      <c r="GS100" s="3">
        <v>3</v>
      </c>
      <c r="GT100" s="3">
        <v>0</v>
      </c>
      <c r="GU100" s="3" t="s">
        <v>3</v>
      </c>
      <c r="GV100" s="3">
        <f t="shared" si="93"/>
        <v>0</v>
      </c>
      <c r="GW100" s="3">
        <v>1</v>
      </c>
      <c r="GX100" s="3">
        <f t="shared" si="94"/>
        <v>0</v>
      </c>
      <c r="GY100" s="3"/>
      <c r="GZ100" s="3"/>
      <c r="HA100" s="3">
        <v>0</v>
      </c>
      <c r="HB100" s="3">
        <v>0</v>
      </c>
      <c r="HC100" s="3">
        <f t="shared" si="95"/>
        <v>0</v>
      </c>
      <c r="HD100" s="3"/>
      <c r="HE100" s="3" t="s">
        <v>3</v>
      </c>
      <c r="HF100" s="3" t="s">
        <v>3</v>
      </c>
      <c r="HG100" s="3"/>
      <c r="HH100" s="3"/>
      <c r="HI100" s="3"/>
      <c r="HJ100" s="3"/>
      <c r="HK100" s="3"/>
      <c r="HL100" s="3"/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R100" s="3"/>
      <c r="HS100" s="3">
        <v>0</v>
      </c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>
        <v>0</v>
      </c>
      <c r="IL100" s="3"/>
      <c r="IM100" s="3"/>
      <c r="IN100" s="3"/>
      <c r="IO100" s="3"/>
      <c r="IP100" s="3"/>
      <c r="IQ100" s="3"/>
      <c r="IR100" s="3"/>
      <c r="IS100" s="3"/>
      <c r="IT100" s="3"/>
      <c r="IU100" s="3"/>
    </row>
    <row r="101" spans="1:255" ht="409.5" x14ac:dyDescent="0.25">
      <c r="A101" s="2">
        <v>17</v>
      </c>
      <c r="B101" s="2">
        <v>1</v>
      </c>
      <c r="C101" s="2">
        <f>ROW(SmtRes!A171)</f>
        <v>171</v>
      </c>
      <c r="D101" s="2">
        <f>ROW(EtalonRes!A203)</f>
        <v>203</v>
      </c>
      <c r="E101" s="2" t="s">
        <v>157</v>
      </c>
      <c r="F101" s="2" t="s">
        <v>35</v>
      </c>
      <c r="G101" s="2" t="s">
        <v>137</v>
      </c>
      <c r="H101" s="2" t="s">
        <v>37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1"/>
        <v>120.61</v>
      </c>
      <c r="P101" s="2">
        <f t="shared" si="100"/>
        <v>1.1000000000000001</v>
      </c>
      <c r="Q101" s="2">
        <f>(ROUND((ROUND((((ET101*1.2))*AV101*I101),2)*BB101),2)+ROUND((ROUND(((AE101-((EU101*1.2)))*AV101*I101),2)*BS101),2))</f>
        <v>0</v>
      </c>
      <c r="R101" s="2">
        <f>(ROUND((ROUND((((EU101*1.2))*AV101*I101),2)*BS101),2)+ROUND((ROUND(((AE101-((EU101*1.2)))*AV101*I101),2)*BS101),2))</f>
        <v>0</v>
      </c>
      <c r="S101" s="2">
        <f t="shared" si="73"/>
        <v>119.51</v>
      </c>
      <c r="T101" s="2">
        <f t="shared" si="74"/>
        <v>0</v>
      </c>
      <c r="U101" s="2">
        <f t="shared" si="75"/>
        <v>10.0512</v>
      </c>
      <c r="V101" s="2">
        <f t="shared" si="76"/>
        <v>0</v>
      </c>
      <c r="W101" s="2">
        <f t="shared" si="77"/>
        <v>0</v>
      </c>
      <c r="X101" s="2">
        <f>(ROUND((((S101+ROUND((ROUND((((EU101*1.2))*AV101*I101),2)*BS101),2))*AT101)/100),2)+ROUND(((ROUND((ROUND(((AE101-((EU101*1.2)))*AV101*I101),2)*BS101),2)*AT101)/100),2))</f>
        <v>113.53</v>
      </c>
      <c r="Y101" s="2">
        <f>(ROUND((((S101+ROUND((ROUND((((EU101*1.2))*AV101*I101),2)*BS101),2))*AU101)/100),2)+ROUND(((ROUND((ROUND(((AE101-((EU101*1.2)))*AV101*I101),2)*BS101),2)*AU101)/100),2))</f>
        <v>63.34</v>
      </c>
      <c r="Z101" s="2"/>
      <c r="AA101" s="2">
        <v>55934355</v>
      </c>
      <c r="AB101" s="2">
        <f t="shared" si="78"/>
        <v>115.244</v>
      </c>
      <c r="AC101" s="2">
        <f>ROUND(((ES101*1)),6)</f>
        <v>1.1000000000000001</v>
      </c>
      <c r="AD101" s="2">
        <f>ROUND(((((ET101*1.2))-((EU101*1.2)))+AE101),6)</f>
        <v>0</v>
      </c>
      <c r="AE101" s="2">
        <f t="shared" si="102"/>
        <v>0</v>
      </c>
      <c r="AF101" s="2">
        <f t="shared" si="102"/>
        <v>114.14400000000001</v>
      </c>
      <c r="AG101" s="2">
        <f t="shared" si="79"/>
        <v>0</v>
      </c>
      <c r="AH101" s="2">
        <f t="shared" si="103"/>
        <v>9.6</v>
      </c>
      <c r="AI101" s="2">
        <f t="shared" si="103"/>
        <v>0</v>
      </c>
      <c r="AJ101" s="2">
        <f t="shared" si="80"/>
        <v>0</v>
      </c>
      <c r="AK101" s="2">
        <v>96.22</v>
      </c>
      <c r="AL101" s="2">
        <v>1.1000000000000001</v>
      </c>
      <c r="AM101" s="2">
        <v>0</v>
      </c>
      <c r="AN101" s="2">
        <v>0</v>
      </c>
      <c r="AO101" s="2">
        <v>95.12</v>
      </c>
      <c r="AP101" s="2">
        <v>0</v>
      </c>
      <c r="AQ101" s="2">
        <v>8</v>
      </c>
      <c r="AR101" s="2">
        <v>0</v>
      </c>
      <c r="AS101" s="2">
        <v>0</v>
      </c>
      <c r="AT101" s="2">
        <v>95</v>
      </c>
      <c r="AU101" s="2">
        <v>53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38</v>
      </c>
      <c r="BK101" s="2"/>
      <c r="BL101" s="2"/>
      <c r="BM101" s="2">
        <v>69</v>
      </c>
      <c r="BN101" s="2">
        <v>0</v>
      </c>
      <c r="BO101" s="2" t="s">
        <v>35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95</v>
      </c>
      <c r="CA101" s="2">
        <v>53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11" t="s">
        <v>419</v>
      </c>
      <c r="CO101" s="2">
        <v>0</v>
      </c>
      <c r="CP101" s="2">
        <f t="shared" si="81"/>
        <v>120.61</v>
      </c>
      <c r="CQ101" s="2">
        <f t="shared" si="101"/>
        <v>1.1000000000000001</v>
      </c>
      <c r="CR101" s="2">
        <f>(ROUND((ROUND((((ET101*1.2))*AV101*1),2)*BB101),2)+ROUND((ROUND(((AE101-((EU101*1.2)))*AV101*1),2)*BS101),2))</f>
        <v>0</v>
      </c>
      <c r="CS101" s="2">
        <f>(ROUND((ROUND((((EU101*1.2))*AV101*1),2)*BS101),2)+ROUND((ROUND(((AE101-((EU101*1.2)))*AV101*1),2)*BS101),2))</f>
        <v>0</v>
      </c>
      <c r="CT101" s="2">
        <f t="shared" si="83"/>
        <v>119.51</v>
      </c>
      <c r="CU101" s="2">
        <f t="shared" si="84"/>
        <v>0</v>
      </c>
      <c r="CV101" s="2">
        <f t="shared" si="85"/>
        <v>10.0512</v>
      </c>
      <c r="CW101" s="2">
        <f t="shared" si="86"/>
        <v>0</v>
      </c>
      <c r="CX101" s="2">
        <f t="shared" si="87"/>
        <v>0</v>
      </c>
      <c r="CY101" s="2">
        <f>(ROUND((((S101+ROUND((ROUND((((EU101*1.2))*AV101*1),2)*BS101),2))*AT101)/100),2)+ROUND(((ROUND((ROUND(((AE101-((EU101*1.2)))*AV101*1),2)*BS101),2)*AT101)/100),2))</f>
        <v>113.53</v>
      </c>
      <c r="CZ101" s="2">
        <f>(ROUND((((S101+ROUND((ROUND((((EU101*1.2))*AV101*1),2)*BS101),2))*AU101)/100),2)+ROUND(((ROUND((ROUND(((AE101-((EU101*1.2)))*AV101*1),2)*BS101),2)*AU101)/100),2))</f>
        <v>63.34</v>
      </c>
      <c r="DA101" s="2"/>
      <c r="DB101" s="2">
        <v>45</v>
      </c>
      <c r="DC101" s="2" t="s">
        <v>3</v>
      </c>
      <c r="DD101" s="2" t="s">
        <v>120</v>
      </c>
      <c r="DE101" s="2" t="s">
        <v>121</v>
      </c>
      <c r="DF101" s="2" t="s">
        <v>121</v>
      </c>
      <c r="DG101" s="2" t="s">
        <v>121</v>
      </c>
      <c r="DH101" s="2" t="s">
        <v>3</v>
      </c>
      <c r="DI101" s="2" t="s">
        <v>121</v>
      </c>
      <c r="DJ101" s="2" t="s">
        <v>121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37</v>
      </c>
      <c r="DW101" s="2" t="s">
        <v>37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57042959</v>
      </c>
      <c r="EF101" s="2">
        <v>40</v>
      </c>
      <c r="EG101" s="2" t="s">
        <v>30</v>
      </c>
      <c r="EH101" s="2">
        <v>0</v>
      </c>
      <c r="EI101" s="2" t="s">
        <v>3</v>
      </c>
      <c r="EJ101" s="2">
        <v>2</v>
      </c>
      <c r="EK101" s="2">
        <v>69</v>
      </c>
      <c r="EL101" s="2" t="s">
        <v>39</v>
      </c>
      <c r="EM101" s="2" t="s">
        <v>40</v>
      </c>
      <c r="EN101" s="2"/>
      <c r="EO101" s="2" t="s">
        <v>122</v>
      </c>
      <c r="EP101" s="2"/>
      <c r="EQ101" s="2">
        <v>0</v>
      </c>
      <c r="ER101" s="2">
        <v>96.22</v>
      </c>
      <c r="ES101" s="2">
        <v>1.1000000000000001</v>
      </c>
      <c r="ET101" s="2">
        <v>0</v>
      </c>
      <c r="EU101" s="2">
        <v>0</v>
      </c>
      <c r="EV101" s="2">
        <v>95.12</v>
      </c>
      <c r="EW101" s="2">
        <v>8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95</v>
      </c>
      <c r="FY101" s="2">
        <v>53</v>
      </c>
      <c r="FZ101" s="2"/>
      <c r="GA101" s="2" t="s">
        <v>3</v>
      </c>
      <c r="GB101" s="2"/>
      <c r="GC101" s="2"/>
      <c r="GD101" s="2">
        <v>1</v>
      </c>
      <c r="GE101" s="2"/>
      <c r="GF101" s="2">
        <v>-1819990670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88"/>
        <v>0</v>
      </c>
      <c r="GM101" s="2">
        <f t="shared" si="89"/>
        <v>297.48</v>
      </c>
      <c r="GN101" s="2">
        <f t="shared" si="90"/>
        <v>0</v>
      </c>
      <c r="GO101" s="2">
        <f t="shared" si="91"/>
        <v>297.48</v>
      </c>
      <c r="GP101" s="2">
        <f t="shared" si="92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3"/>
        <v>0</v>
      </c>
      <c r="GW101" s="2">
        <v>1</v>
      </c>
      <c r="GX101" s="2">
        <f t="shared" si="94"/>
        <v>0</v>
      </c>
      <c r="GY101" s="2"/>
      <c r="GZ101" s="2"/>
      <c r="HA101" s="2">
        <v>0</v>
      </c>
      <c r="HB101" s="2">
        <v>0</v>
      </c>
      <c r="HC101" s="2">
        <f t="shared" si="95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ht="409.5" x14ac:dyDescent="0.25">
      <c r="A102" s="3">
        <v>17</v>
      </c>
      <c r="B102" s="3">
        <v>1</v>
      </c>
      <c r="C102" s="3">
        <f>ROW(SmtRes!A176)</f>
        <v>176</v>
      </c>
      <c r="D102" s="3">
        <f>ROW(EtalonRes!A210)</f>
        <v>210</v>
      </c>
      <c r="E102" s="3" t="s">
        <v>157</v>
      </c>
      <c r="F102" s="3" t="s">
        <v>35</v>
      </c>
      <c r="G102" s="3" t="s">
        <v>137</v>
      </c>
      <c r="H102" s="3" t="s">
        <v>37</v>
      </c>
      <c r="I102" s="3">
        <v>1</v>
      </c>
      <c r="J102" s="3">
        <v>0</v>
      </c>
      <c r="K102" s="3">
        <v>1</v>
      </c>
      <c r="L102" s="3"/>
      <c r="M102" s="3"/>
      <c r="N102" s="3"/>
      <c r="O102" s="3">
        <f t="shared" si="71"/>
        <v>6752.64</v>
      </c>
      <c r="P102" s="3">
        <f t="shared" si="100"/>
        <v>18.25</v>
      </c>
      <c r="Q102" s="3">
        <f>(ROUND((ROUND((((ET102*1.2))*AV102*I102),2)*BB102),2)+ROUND((ROUND(((AE102-((EU102*1.2)))*AV102*I102),2)*BS102),2))</f>
        <v>0</v>
      </c>
      <c r="R102" s="3">
        <f>(ROUND((ROUND((((EU102*1.2))*AV102*I102),2)*BS102),2)+ROUND((ROUND(((AE102-((EU102*1.2)))*AV102*I102),2)*BS102),2))</f>
        <v>0</v>
      </c>
      <c r="S102" s="3">
        <f t="shared" si="73"/>
        <v>6734.39</v>
      </c>
      <c r="T102" s="3">
        <f t="shared" si="74"/>
        <v>0</v>
      </c>
      <c r="U102" s="3">
        <f t="shared" si="75"/>
        <v>10.0512</v>
      </c>
      <c r="V102" s="3">
        <f t="shared" si="76"/>
        <v>0</v>
      </c>
      <c r="W102" s="3">
        <f t="shared" si="77"/>
        <v>0</v>
      </c>
      <c r="X102" s="3">
        <f>(ROUND((((S102+ROUND((ROUND((((EU102*1.2))*AV102*I102),2)*BS102),2))*AT102)/100),2)+ROUND(((ROUND((ROUND(((AE102-((EU102*1.2)))*AV102*I102),2)*BS102),2)*AT102)/100),2))</f>
        <v>6397.67</v>
      </c>
      <c r="Y102" s="3">
        <f>(ROUND((((S102+ROUND((ROUND((((EU102*1.2))*AV102*I102),2)*BS102),2))*AU102)/100),2)+ROUND(((ROUND((ROUND(((AE102-((EU102*1.2)))*AV102*I102),2)*BS102),2)*AU102)/100),2))</f>
        <v>3569.23</v>
      </c>
      <c r="Z102" s="3"/>
      <c r="AA102" s="3">
        <v>55934357</v>
      </c>
      <c r="AB102" s="3">
        <f t="shared" si="78"/>
        <v>115.244</v>
      </c>
      <c r="AC102" s="3">
        <f>ROUND(((ES102*1)),6)</f>
        <v>1.1000000000000001</v>
      </c>
      <c r="AD102" s="3">
        <f>ROUND(((((ET102*1.2))-((EU102*1.2)))+AE102),6)</f>
        <v>0</v>
      </c>
      <c r="AE102" s="3">
        <f t="shared" si="102"/>
        <v>0</v>
      </c>
      <c r="AF102" s="3">
        <f t="shared" si="102"/>
        <v>114.14400000000001</v>
      </c>
      <c r="AG102" s="3">
        <f t="shared" si="79"/>
        <v>0</v>
      </c>
      <c r="AH102" s="3">
        <f t="shared" si="103"/>
        <v>9.6</v>
      </c>
      <c r="AI102" s="3">
        <f t="shared" si="103"/>
        <v>0</v>
      </c>
      <c r="AJ102" s="3">
        <f t="shared" si="80"/>
        <v>0</v>
      </c>
      <c r="AK102" s="3">
        <v>96.22</v>
      </c>
      <c r="AL102" s="3">
        <v>1.1000000000000001</v>
      </c>
      <c r="AM102" s="3">
        <v>0</v>
      </c>
      <c r="AN102" s="3">
        <v>0</v>
      </c>
      <c r="AO102" s="3">
        <v>95.12</v>
      </c>
      <c r="AP102" s="3">
        <v>0</v>
      </c>
      <c r="AQ102" s="3">
        <v>8</v>
      </c>
      <c r="AR102" s="3">
        <v>0</v>
      </c>
      <c r="AS102" s="3">
        <v>0</v>
      </c>
      <c r="AT102" s="3">
        <v>95</v>
      </c>
      <c r="AU102" s="3">
        <v>53</v>
      </c>
      <c r="AV102" s="3">
        <v>1.0469999999999999</v>
      </c>
      <c r="AW102" s="3">
        <v>1</v>
      </c>
      <c r="AX102" s="3"/>
      <c r="AY102" s="3"/>
      <c r="AZ102" s="3">
        <v>1</v>
      </c>
      <c r="BA102" s="3">
        <v>56.35</v>
      </c>
      <c r="BB102" s="3">
        <v>1</v>
      </c>
      <c r="BC102" s="3">
        <v>16.59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38</v>
      </c>
      <c r="BK102" s="3"/>
      <c r="BL102" s="3"/>
      <c r="BM102" s="3">
        <v>69</v>
      </c>
      <c r="BN102" s="3">
        <v>0</v>
      </c>
      <c r="BO102" s="3" t="s">
        <v>35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95</v>
      </c>
      <c r="CA102" s="3">
        <v>53</v>
      </c>
      <c r="CB102" s="3" t="s">
        <v>3</v>
      </c>
      <c r="CC102" s="3"/>
      <c r="CD102" s="3"/>
      <c r="CE102" s="3">
        <v>1566</v>
      </c>
      <c r="CF102" s="3">
        <v>0</v>
      </c>
      <c r="CG102" s="3">
        <v>0</v>
      </c>
      <c r="CH102" s="3"/>
      <c r="CI102" s="3"/>
      <c r="CJ102" s="3"/>
      <c r="CK102" s="3"/>
      <c r="CL102" s="3"/>
      <c r="CM102" s="3">
        <v>0</v>
      </c>
      <c r="CN102" s="12" t="s">
        <v>419</v>
      </c>
      <c r="CO102" s="3">
        <v>0</v>
      </c>
      <c r="CP102" s="3">
        <f t="shared" si="81"/>
        <v>6752.64</v>
      </c>
      <c r="CQ102" s="3">
        <f t="shared" si="101"/>
        <v>18.25</v>
      </c>
      <c r="CR102" s="3">
        <f>(ROUND((ROUND((((ET102*1.2))*AV102*1),2)*BB102),2)+ROUND((ROUND(((AE102-((EU102*1.2)))*AV102*1),2)*BS102),2))</f>
        <v>0</v>
      </c>
      <c r="CS102" s="3">
        <f>(ROUND((ROUND((((EU102*1.2))*AV102*1),2)*BS102),2)+ROUND((ROUND(((AE102-((EU102*1.2)))*AV102*1),2)*BS102),2))</f>
        <v>0</v>
      </c>
      <c r="CT102" s="3">
        <f t="shared" si="83"/>
        <v>6734.39</v>
      </c>
      <c r="CU102" s="3">
        <f t="shared" si="84"/>
        <v>0</v>
      </c>
      <c r="CV102" s="3">
        <f t="shared" si="85"/>
        <v>10.0512</v>
      </c>
      <c r="CW102" s="3">
        <f t="shared" si="86"/>
        <v>0</v>
      </c>
      <c r="CX102" s="3">
        <f t="shared" si="87"/>
        <v>0</v>
      </c>
      <c r="CY102" s="3">
        <f>(ROUND((((S102+ROUND((ROUND((((EU102*1.2))*AV102*1),2)*BS102),2))*AT102)/100),2)+ROUND(((ROUND((ROUND(((AE102-((EU102*1.2)))*AV102*1),2)*BS102),2)*AT102)/100),2))</f>
        <v>6397.67</v>
      </c>
      <c r="CZ102" s="3">
        <f>(ROUND((((S102+ROUND((ROUND((((EU102*1.2))*AV102*1),2)*BS102),2))*AU102)/100),2)+ROUND(((ROUND((ROUND(((AE102-((EU102*1.2)))*AV102*1),2)*BS102),2)*AU102)/100),2))</f>
        <v>3569.23</v>
      </c>
      <c r="DA102" s="3"/>
      <c r="DB102" s="3">
        <v>46</v>
      </c>
      <c r="DC102" s="3" t="s">
        <v>3</v>
      </c>
      <c r="DD102" s="3" t="s">
        <v>120</v>
      </c>
      <c r="DE102" s="3" t="s">
        <v>121</v>
      </c>
      <c r="DF102" s="3" t="s">
        <v>121</v>
      </c>
      <c r="DG102" s="3" t="s">
        <v>121</v>
      </c>
      <c r="DH102" s="3" t="s">
        <v>3</v>
      </c>
      <c r="DI102" s="3" t="s">
        <v>121</v>
      </c>
      <c r="DJ102" s="3" t="s">
        <v>121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R102" s="3"/>
      <c r="DS102" s="3"/>
      <c r="DT102" s="3"/>
      <c r="DU102" s="3">
        <v>1013</v>
      </c>
      <c r="DV102" s="3" t="s">
        <v>37</v>
      </c>
      <c r="DW102" s="3" t="s">
        <v>37</v>
      </c>
      <c r="DX102" s="3">
        <v>1</v>
      </c>
      <c r="DY102" s="3"/>
      <c r="DZ102" s="3" t="s">
        <v>3</v>
      </c>
      <c r="EA102" s="3" t="s">
        <v>3</v>
      </c>
      <c r="EB102" s="3" t="s">
        <v>3</v>
      </c>
      <c r="EC102" s="3" t="s">
        <v>3</v>
      </c>
      <c r="ED102" s="3"/>
      <c r="EE102" s="3">
        <v>57042959</v>
      </c>
      <c r="EF102" s="3">
        <v>40</v>
      </c>
      <c r="EG102" s="3" t="s">
        <v>30</v>
      </c>
      <c r="EH102" s="3">
        <v>0</v>
      </c>
      <c r="EI102" s="3" t="s">
        <v>3</v>
      </c>
      <c r="EJ102" s="3">
        <v>2</v>
      </c>
      <c r="EK102" s="3">
        <v>69</v>
      </c>
      <c r="EL102" s="3" t="s">
        <v>39</v>
      </c>
      <c r="EM102" s="3" t="s">
        <v>40</v>
      </c>
      <c r="EN102" s="3"/>
      <c r="EO102" s="3" t="s">
        <v>122</v>
      </c>
      <c r="EP102" s="3"/>
      <c r="EQ102" s="3">
        <v>0</v>
      </c>
      <c r="ER102" s="3">
        <v>96.22</v>
      </c>
      <c r="ES102" s="3">
        <v>1.1000000000000001</v>
      </c>
      <c r="ET102" s="3">
        <v>0</v>
      </c>
      <c r="EU102" s="3">
        <v>0</v>
      </c>
      <c r="EV102" s="3">
        <v>95.12</v>
      </c>
      <c r="EW102" s="3">
        <v>8</v>
      </c>
      <c r="EX102" s="3">
        <v>0</v>
      </c>
      <c r="EY102" s="3">
        <v>0</v>
      </c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>
        <v>0</v>
      </c>
      <c r="FR102" s="3">
        <v>0</v>
      </c>
      <c r="FS102" s="3">
        <v>0</v>
      </c>
      <c r="FT102" s="3"/>
      <c r="FU102" s="3"/>
      <c r="FV102" s="3"/>
      <c r="FW102" s="3"/>
      <c r="FX102" s="3">
        <v>95</v>
      </c>
      <c r="FY102" s="3">
        <v>53</v>
      </c>
      <c r="FZ102" s="3"/>
      <c r="GA102" s="3" t="s">
        <v>3</v>
      </c>
      <c r="GB102" s="3"/>
      <c r="GC102" s="3"/>
      <c r="GD102" s="3">
        <v>1</v>
      </c>
      <c r="GE102" s="3"/>
      <c r="GF102" s="3">
        <v>-1819990670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88"/>
        <v>0</v>
      </c>
      <c r="GM102" s="3">
        <f t="shared" si="89"/>
        <v>16719.54</v>
      </c>
      <c r="GN102" s="3">
        <f t="shared" si="90"/>
        <v>0</v>
      </c>
      <c r="GO102" s="3">
        <f t="shared" si="91"/>
        <v>16719.54</v>
      </c>
      <c r="GP102" s="3">
        <f t="shared" si="92"/>
        <v>0</v>
      </c>
      <c r="GQ102" s="3"/>
      <c r="GR102" s="3">
        <v>0</v>
      </c>
      <c r="GS102" s="3">
        <v>3</v>
      </c>
      <c r="GT102" s="3">
        <v>0</v>
      </c>
      <c r="GU102" s="3" t="s">
        <v>3</v>
      </c>
      <c r="GV102" s="3">
        <f t="shared" si="93"/>
        <v>0</v>
      </c>
      <c r="GW102" s="3">
        <v>1</v>
      </c>
      <c r="GX102" s="3">
        <f t="shared" si="94"/>
        <v>0</v>
      </c>
      <c r="GY102" s="3"/>
      <c r="GZ102" s="3"/>
      <c r="HA102" s="3">
        <v>0</v>
      </c>
      <c r="HB102" s="3">
        <v>0</v>
      </c>
      <c r="HC102" s="3">
        <f t="shared" si="95"/>
        <v>0</v>
      </c>
      <c r="HD102" s="3"/>
      <c r="HE102" s="3" t="s">
        <v>3</v>
      </c>
      <c r="HF102" s="3" t="s">
        <v>3</v>
      </c>
      <c r="HG102" s="3"/>
      <c r="HH102" s="3"/>
      <c r="HI102" s="3"/>
      <c r="HJ102" s="3"/>
      <c r="HK102" s="3"/>
      <c r="HL102" s="3"/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R102" s="3"/>
      <c r="HS102" s="3">
        <v>0</v>
      </c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>
        <v>0</v>
      </c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pans="1:255" x14ac:dyDescent="0.25">
      <c r="A103" s="2">
        <v>17</v>
      </c>
      <c r="B103" s="2">
        <v>1</v>
      </c>
      <c r="C103" s="2"/>
      <c r="D103" s="2"/>
      <c r="E103" s="2" t="s">
        <v>158</v>
      </c>
      <c r="F103" s="2" t="s">
        <v>159</v>
      </c>
      <c r="G103" s="2" t="s">
        <v>160</v>
      </c>
      <c r="H103" s="2" t="s">
        <v>126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1"/>
        <v>24830.45</v>
      </c>
      <c r="P103" s="2">
        <f t="shared" si="100"/>
        <v>24830.45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3"/>
        <v>0</v>
      </c>
      <c r="T103" s="2">
        <f t="shared" si="74"/>
        <v>0</v>
      </c>
      <c r="U103" s="2">
        <f t="shared" si="75"/>
        <v>0</v>
      </c>
      <c r="V103" s="2">
        <f t="shared" si="76"/>
        <v>0</v>
      </c>
      <c r="W103" s="2">
        <f t="shared" si="77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55934355</v>
      </c>
      <c r="AB103" s="2">
        <f t="shared" si="78"/>
        <v>24830.45</v>
      </c>
      <c r="AC103" s="2">
        <f>ROUND((ES103),6)</f>
        <v>24830.45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79"/>
        <v>0</v>
      </c>
      <c r="AH103" s="2">
        <f>(EW103)</f>
        <v>0</v>
      </c>
      <c r="AI103" s="2">
        <f>(EX103)</f>
        <v>0</v>
      </c>
      <c r="AJ103" s="2">
        <f t="shared" si="80"/>
        <v>0</v>
      </c>
      <c r="AK103" s="2">
        <v>24830.45</v>
      </c>
      <c r="AL103" s="2">
        <v>24830.45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159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1"/>
        <v>24830.45</v>
      </c>
      <c r="CQ103" s="2">
        <f t="shared" si="101"/>
        <v>24830.45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3"/>
        <v>0</v>
      </c>
      <c r="CU103" s="2">
        <f t="shared" si="84"/>
        <v>0</v>
      </c>
      <c r="CV103" s="2">
        <f t="shared" si="85"/>
        <v>0</v>
      </c>
      <c r="CW103" s="2">
        <f t="shared" si="86"/>
        <v>0</v>
      </c>
      <c r="CX103" s="2">
        <f t="shared" si="87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126</v>
      </c>
      <c r="DW103" s="2" t="s">
        <v>126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57042890</v>
      </c>
      <c r="EF103" s="2">
        <v>214</v>
      </c>
      <c r="EG103" s="2" t="s">
        <v>127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127</v>
      </c>
      <c r="EM103" s="2" t="s">
        <v>128</v>
      </c>
      <c r="EN103" s="2"/>
      <c r="EO103" s="2" t="s">
        <v>3</v>
      </c>
      <c r="EP103" s="2"/>
      <c r="EQ103" s="2">
        <v>16</v>
      </c>
      <c r="ER103" s="2">
        <v>0</v>
      </c>
      <c r="ES103" s="2">
        <v>24830.45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24830.45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161</v>
      </c>
      <c r="GB103" s="2"/>
      <c r="GC103" s="2"/>
      <c r="GD103" s="2">
        <v>1</v>
      </c>
      <c r="GE103" s="2"/>
      <c r="GF103" s="2">
        <v>-471952569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88"/>
        <v>0</v>
      </c>
      <c r="GM103" s="2">
        <f t="shared" si="89"/>
        <v>24830.45</v>
      </c>
      <c r="GN103" s="2">
        <f t="shared" si="90"/>
        <v>0</v>
      </c>
      <c r="GO103" s="2">
        <f t="shared" si="91"/>
        <v>0</v>
      </c>
      <c r="GP103" s="2">
        <f t="shared" si="92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3"/>
        <v>0</v>
      </c>
      <c r="GW103" s="2">
        <v>1</v>
      </c>
      <c r="GX103" s="2">
        <f t="shared" si="94"/>
        <v>0</v>
      </c>
      <c r="GY103" s="2"/>
      <c r="GZ103" s="2"/>
      <c r="HA103" s="2">
        <v>0</v>
      </c>
      <c r="HB103" s="2">
        <v>0</v>
      </c>
      <c r="HC103" s="2">
        <f t="shared" si="95"/>
        <v>0</v>
      </c>
      <c r="HD103" s="2"/>
      <c r="HE103" s="2" t="s">
        <v>41</v>
      </c>
      <c r="HF103" s="2" t="s">
        <v>130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C104" s="3"/>
      <c r="D104" s="3"/>
      <c r="E104" s="3" t="s">
        <v>158</v>
      </c>
      <c r="F104" s="3" t="s">
        <v>159</v>
      </c>
      <c r="G104" s="3" t="s">
        <v>160</v>
      </c>
      <c r="H104" s="3" t="s">
        <v>126</v>
      </c>
      <c r="I104" s="3">
        <v>1</v>
      </c>
      <c r="J104" s="3">
        <v>0</v>
      </c>
      <c r="K104" s="3">
        <v>1</v>
      </c>
      <c r="L104" s="3"/>
      <c r="M104" s="3"/>
      <c r="N104" s="3"/>
      <c r="O104" s="3">
        <f t="shared" si="71"/>
        <v>187966.51</v>
      </c>
      <c r="P104" s="3">
        <f t="shared" si="100"/>
        <v>187966.51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3"/>
        <v>0</v>
      </c>
      <c r="T104" s="3">
        <f t="shared" si="74"/>
        <v>0</v>
      </c>
      <c r="U104" s="3">
        <f t="shared" si="75"/>
        <v>0</v>
      </c>
      <c r="V104" s="3">
        <f t="shared" si="76"/>
        <v>0</v>
      </c>
      <c r="W104" s="3">
        <f t="shared" si="77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Z104" s="3"/>
      <c r="AA104" s="3">
        <v>55934357</v>
      </c>
      <c r="AB104" s="3">
        <f t="shared" si="78"/>
        <v>24830.45</v>
      </c>
      <c r="AC104" s="3">
        <f>ROUND((ES104),6)</f>
        <v>24830.45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79"/>
        <v>0</v>
      </c>
      <c r="AH104" s="3">
        <f>(EW104)</f>
        <v>0</v>
      </c>
      <c r="AI104" s="3">
        <f>(EX104)</f>
        <v>0</v>
      </c>
      <c r="AJ104" s="3">
        <f t="shared" si="80"/>
        <v>0</v>
      </c>
      <c r="AK104" s="3">
        <v>24830.45</v>
      </c>
      <c r="AL104" s="3">
        <v>24830.45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X104" s="3"/>
      <c r="AY104" s="3"/>
      <c r="AZ104" s="3">
        <v>1</v>
      </c>
      <c r="BA104" s="3">
        <v>1</v>
      </c>
      <c r="BB104" s="3">
        <v>1</v>
      </c>
      <c r="BC104" s="3">
        <v>7.57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159</v>
      </c>
      <c r="BK104" s="3"/>
      <c r="BL104" s="3"/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C104" s="3"/>
      <c r="CD104" s="3"/>
      <c r="CE104" s="3">
        <v>1566</v>
      </c>
      <c r="CF104" s="3">
        <v>0</v>
      </c>
      <c r="CG104" s="3">
        <v>0</v>
      </c>
      <c r="CH104" s="3"/>
      <c r="CI104" s="3"/>
      <c r="CJ104" s="3"/>
      <c r="CK104" s="3"/>
      <c r="CL104" s="3"/>
      <c r="CM104" s="3">
        <v>0</v>
      </c>
      <c r="CN104" s="3" t="s">
        <v>3</v>
      </c>
      <c r="CO104" s="3">
        <v>0</v>
      </c>
      <c r="CP104" s="3">
        <f t="shared" si="81"/>
        <v>187966.51</v>
      </c>
      <c r="CQ104" s="3">
        <f t="shared" si="101"/>
        <v>187966.51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3"/>
        <v>0</v>
      </c>
      <c r="CU104" s="3">
        <f t="shared" si="84"/>
        <v>0</v>
      </c>
      <c r="CV104" s="3">
        <f t="shared" si="85"/>
        <v>0</v>
      </c>
      <c r="CW104" s="3">
        <f t="shared" si="86"/>
        <v>0</v>
      </c>
      <c r="CX104" s="3">
        <f t="shared" si="87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A104" s="3"/>
      <c r="DB104" s="3"/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R104" s="3"/>
      <c r="DS104" s="3"/>
      <c r="DT104" s="3"/>
      <c r="DU104" s="3">
        <v>1013</v>
      </c>
      <c r="DV104" s="3" t="s">
        <v>126</v>
      </c>
      <c r="DW104" s="3" t="s">
        <v>126</v>
      </c>
      <c r="DX104" s="3">
        <v>1</v>
      </c>
      <c r="DY104" s="3"/>
      <c r="DZ104" s="3" t="s">
        <v>3</v>
      </c>
      <c r="EA104" s="3" t="s">
        <v>3</v>
      </c>
      <c r="EB104" s="3" t="s">
        <v>3</v>
      </c>
      <c r="EC104" s="3" t="s">
        <v>3</v>
      </c>
      <c r="ED104" s="3"/>
      <c r="EE104" s="3">
        <v>57042890</v>
      </c>
      <c r="EF104" s="3">
        <v>214</v>
      </c>
      <c r="EG104" s="3" t="s">
        <v>127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127</v>
      </c>
      <c r="EM104" s="3" t="s">
        <v>128</v>
      </c>
      <c r="EN104" s="3"/>
      <c r="EO104" s="3" t="s">
        <v>3</v>
      </c>
      <c r="EP104" s="3"/>
      <c r="EQ104" s="3">
        <v>16</v>
      </c>
      <c r="ER104" s="3">
        <v>0</v>
      </c>
      <c r="ES104" s="3">
        <v>24830.45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A104" s="3"/>
      <c r="FB104" s="3"/>
      <c r="FC104" s="3">
        <v>1</v>
      </c>
      <c r="FD104" s="3">
        <v>18</v>
      </c>
      <c r="FE104" s="3"/>
      <c r="FF104" s="3">
        <v>220000</v>
      </c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>
        <v>0</v>
      </c>
      <c r="FR104" s="3">
        <f>P104</f>
        <v>187966.51</v>
      </c>
      <c r="FS104" s="3">
        <v>0</v>
      </c>
      <c r="FT104" s="3"/>
      <c r="FU104" s="3"/>
      <c r="FV104" s="3"/>
      <c r="FW104" s="3"/>
      <c r="FX104" s="3">
        <v>0</v>
      </c>
      <c r="FY104" s="3">
        <v>0</v>
      </c>
      <c r="FZ104" s="3"/>
      <c r="GA104" s="3" t="s">
        <v>161</v>
      </c>
      <c r="GB104" s="3"/>
      <c r="GC104" s="3"/>
      <c r="GD104" s="3">
        <v>1</v>
      </c>
      <c r="GE104" s="3"/>
      <c r="GF104" s="3">
        <v>-471952569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88"/>
        <v>0</v>
      </c>
      <c r="GM104" s="3">
        <f t="shared" si="89"/>
        <v>187966.51</v>
      </c>
      <c r="GN104" s="3">
        <f t="shared" si="90"/>
        <v>0</v>
      </c>
      <c r="GO104" s="3">
        <f t="shared" si="91"/>
        <v>0</v>
      </c>
      <c r="GP104" s="3">
        <f t="shared" si="92"/>
        <v>0</v>
      </c>
      <c r="GQ104" s="3"/>
      <c r="GR104" s="3">
        <v>1</v>
      </c>
      <c r="GS104" s="3">
        <v>1</v>
      </c>
      <c r="GT104" s="3">
        <v>0</v>
      </c>
      <c r="GU104" s="3" t="s">
        <v>3</v>
      </c>
      <c r="GV104" s="3">
        <f t="shared" si="93"/>
        <v>0</v>
      </c>
      <c r="GW104" s="3">
        <v>1</v>
      </c>
      <c r="GX104" s="3">
        <f t="shared" si="94"/>
        <v>0</v>
      </c>
      <c r="GY104" s="3"/>
      <c r="GZ104" s="3"/>
      <c r="HA104" s="3">
        <v>0</v>
      </c>
      <c r="HB104" s="3">
        <v>0</v>
      </c>
      <c r="HC104" s="3">
        <f t="shared" si="95"/>
        <v>0</v>
      </c>
      <c r="HD104" s="3"/>
      <c r="HE104" s="3" t="s">
        <v>41</v>
      </c>
      <c r="HF104" s="3" t="s">
        <v>130</v>
      </c>
      <c r="HG104" s="3"/>
      <c r="HH104" s="3"/>
      <c r="HI104" s="3"/>
      <c r="HJ104" s="3"/>
      <c r="HK104" s="3"/>
      <c r="HL104" s="3"/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R104" s="3"/>
      <c r="HS104" s="3">
        <v>0</v>
      </c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>
        <v>0</v>
      </c>
      <c r="IL104" s="3"/>
      <c r="IM104" s="3"/>
      <c r="IN104" s="3"/>
      <c r="IO104" s="3"/>
      <c r="IP104" s="3"/>
      <c r="IQ104" s="3"/>
      <c r="IR104" s="3"/>
      <c r="IS104" s="3"/>
      <c r="IT104" s="3"/>
      <c r="IU104" s="3"/>
    </row>
    <row r="105" spans="1:255" ht="409.5" x14ac:dyDescent="0.25">
      <c r="A105" s="2">
        <v>17</v>
      </c>
      <c r="B105" s="2">
        <v>1</v>
      </c>
      <c r="C105" s="2">
        <f>ROW(SmtRes!A182)</f>
        <v>182</v>
      </c>
      <c r="D105" s="2">
        <f>ROW(EtalonRes!A217)</f>
        <v>217</v>
      </c>
      <c r="E105" s="2" t="s">
        <v>162</v>
      </c>
      <c r="F105" s="2" t="s">
        <v>44</v>
      </c>
      <c r="G105" s="2" t="s">
        <v>163</v>
      </c>
      <c r="H105" s="2" t="s">
        <v>26</v>
      </c>
      <c r="I105" s="2">
        <v>2</v>
      </c>
      <c r="J105" s="2">
        <v>0</v>
      </c>
      <c r="K105" s="2">
        <v>2</v>
      </c>
      <c r="L105" s="2"/>
      <c r="M105" s="2"/>
      <c r="N105" s="2"/>
      <c r="O105" s="2">
        <f t="shared" si="71"/>
        <v>291.72000000000003</v>
      </c>
      <c r="P105" s="2">
        <f t="shared" si="100"/>
        <v>69.739999999999995</v>
      </c>
      <c r="Q105" s="2">
        <f>(ROUND((ROUND((((ET105*1.2))*AV105*I105),2)*BB105),2)+ROUND((ROUND(((AE105-((EU105*1.2)))*AV105*I105),2)*BS105),2))</f>
        <v>0</v>
      </c>
      <c r="R105" s="2">
        <f>(ROUND((ROUND((((EU105*1.2))*AV105*I105),2)*BS105),2)+ROUND((ROUND(((AE105-((EU105*1.2)))*AV105*I105),2)*BS105),2))</f>
        <v>0</v>
      </c>
      <c r="S105" s="2">
        <f t="shared" si="73"/>
        <v>221.98</v>
      </c>
      <c r="T105" s="2">
        <f t="shared" si="74"/>
        <v>0</v>
      </c>
      <c r="U105" s="2">
        <f t="shared" si="75"/>
        <v>17.589600000000001</v>
      </c>
      <c r="V105" s="2">
        <f t="shared" si="76"/>
        <v>0</v>
      </c>
      <c r="W105" s="2">
        <f t="shared" si="77"/>
        <v>0</v>
      </c>
      <c r="X105" s="2">
        <f>(ROUND((((S105+ROUND((ROUND((((EU105*1.2))*AV105*I105),2)*BS105),2))*AT105)/100),2)+ROUND(((ROUND((ROUND(((AE105-((EU105*1.2)))*AV105*I105),2)*BS105),2)*AT105)/100),2))</f>
        <v>210.88</v>
      </c>
      <c r="Y105" s="2">
        <f>(ROUND((((S105+ROUND((ROUND((((EU105*1.2))*AV105*I105),2)*BS105),2))*AU105)/100),2)+ROUND(((ROUND((ROUND(((AE105-((EU105*1.2)))*AV105*I105),2)*BS105),2)*AU105)/100),2))</f>
        <v>117.65</v>
      </c>
      <c r="Z105" s="2"/>
      <c r="AA105" s="2">
        <v>55934355</v>
      </c>
      <c r="AB105" s="2">
        <f t="shared" si="78"/>
        <v>140.87799999999999</v>
      </c>
      <c r="AC105" s="2">
        <f>ROUND(((ES105*1)),6)</f>
        <v>34.869999999999997</v>
      </c>
      <c r="AD105" s="2">
        <f>ROUND(((((ET105*1.2))-((EU105*1.2)))+AE105),6)</f>
        <v>0</v>
      </c>
      <c r="AE105" s="2">
        <f>ROUND(((EU105*1.2)),6)</f>
        <v>0</v>
      </c>
      <c r="AF105" s="2">
        <f>ROUND(((EV105*1.2)),6)</f>
        <v>106.008</v>
      </c>
      <c r="AG105" s="2">
        <f t="shared" si="79"/>
        <v>0</v>
      </c>
      <c r="AH105" s="2">
        <f>((EW105*1.2))</f>
        <v>8.4</v>
      </c>
      <c r="AI105" s="2">
        <f>((EX105*1.2))</f>
        <v>0</v>
      </c>
      <c r="AJ105" s="2">
        <f t="shared" si="80"/>
        <v>0</v>
      </c>
      <c r="AK105" s="2">
        <v>123.21</v>
      </c>
      <c r="AL105" s="2">
        <v>34.869999999999997</v>
      </c>
      <c r="AM105" s="2">
        <v>0</v>
      </c>
      <c r="AN105" s="2">
        <v>0</v>
      </c>
      <c r="AO105" s="2">
        <v>88.34</v>
      </c>
      <c r="AP105" s="2">
        <v>0</v>
      </c>
      <c r="AQ105" s="2">
        <v>7</v>
      </c>
      <c r="AR105" s="2">
        <v>0</v>
      </c>
      <c r="AS105" s="2">
        <v>0</v>
      </c>
      <c r="AT105" s="2">
        <v>95</v>
      </c>
      <c r="AU105" s="2">
        <v>53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46</v>
      </c>
      <c r="BK105" s="2"/>
      <c r="BL105" s="2"/>
      <c r="BM105" s="2">
        <v>69</v>
      </c>
      <c r="BN105" s="2">
        <v>0</v>
      </c>
      <c r="BO105" s="2" t="s">
        <v>44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95</v>
      </c>
      <c r="CA105" s="2">
        <v>53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11" t="s">
        <v>419</v>
      </c>
      <c r="CO105" s="2">
        <v>0</v>
      </c>
      <c r="CP105" s="2">
        <f t="shared" si="81"/>
        <v>291.71999999999997</v>
      </c>
      <c r="CQ105" s="2">
        <f t="shared" si="101"/>
        <v>34.869999999999997</v>
      </c>
      <c r="CR105" s="2">
        <f>(ROUND((ROUND((((ET105*1.2))*AV105*1),2)*BB105),2)+ROUND((ROUND(((AE105-((EU105*1.2)))*AV105*1),2)*BS105),2))</f>
        <v>0</v>
      </c>
      <c r="CS105" s="2">
        <f>(ROUND((ROUND((((EU105*1.2))*AV105*1),2)*BS105),2)+ROUND((ROUND(((AE105-((EU105*1.2)))*AV105*1),2)*BS105),2))</f>
        <v>0</v>
      </c>
      <c r="CT105" s="2">
        <f t="shared" si="83"/>
        <v>110.99</v>
      </c>
      <c r="CU105" s="2">
        <f t="shared" si="84"/>
        <v>0</v>
      </c>
      <c r="CV105" s="2">
        <f t="shared" si="85"/>
        <v>8.7948000000000004</v>
      </c>
      <c r="CW105" s="2">
        <f t="shared" si="86"/>
        <v>0</v>
      </c>
      <c r="CX105" s="2">
        <f t="shared" si="87"/>
        <v>0</v>
      </c>
      <c r="CY105" s="2">
        <f>(ROUND((((S105+ROUND((ROUND((((EU105*1.2))*AV105*1),2)*BS105),2))*AT105)/100),2)+ROUND(((ROUND((ROUND(((AE105-((EU105*1.2)))*AV105*1),2)*BS105),2)*AT105)/100),2))</f>
        <v>210.88</v>
      </c>
      <c r="CZ105" s="2">
        <f>(ROUND((((S105+ROUND((ROUND((((EU105*1.2))*AV105*1),2)*BS105),2))*AU105)/100),2)+ROUND(((ROUND((ROUND(((AE105-((EU105*1.2)))*AV105*1),2)*BS105),2)*AU105)/100),2))</f>
        <v>117.65</v>
      </c>
      <c r="DA105" s="2"/>
      <c r="DB105" s="2">
        <v>47</v>
      </c>
      <c r="DC105" s="2" t="s">
        <v>3</v>
      </c>
      <c r="DD105" s="2" t="s">
        <v>120</v>
      </c>
      <c r="DE105" s="2" t="s">
        <v>121</v>
      </c>
      <c r="DF105" s="2" t="s">
        <v>121</v>
      </c>
      <c r="DG105" s="2" t="s">
        <v>121</v>
      </c>
      <c r="DH105" s="2" t="s">
        <v>3</v>
      </c>
      <c r="DI105" s="2" t="s">
        <v>121</v>
      </c>
      <c r="DJ105" s="2" t="s">
        <v>121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26</v>
      </c>
      <c r="DW105" s="2" t="s">
        <v>26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57042959</v>
      </c>
      <c r="EF105" s="2">
        <v>40</v>
      </c>
      <c r="EG105" s="2" t="s">
        <v>30</v>
      </c>
      <c r="EH105" s="2">
        <v>0</v>
      </c>
      <c r="EI105" s="2" t="s">
        <v>3</v>
      </c>
      <c r="EJ105" s="2">
        <v>2</v>
      </c>
      <c r="EK105" s="2">
        <v>69</v>
      </c>
      <c r="EL105" s="2" t="s">
        <v>39</v>
      </c>
      <c r="EM105" s="2" t="s">
        <v>40</v>
      </c>
      <c r="EN105" s="2"/>
      <c r="EO105" s="2" t="s">
        <v>122</v>
      </c>
      <c r="EP105" s="2"/>
      <c r="EQ105" s="2">
        <v>0</v>
      </c>
      <c r="ER105" s="2">
        <v>123.21</v>
      </c>
      <c r="ES105" s="2">
        <v>34.869999999999997</v>
      </c>
      <c r="ET105" s="2">
        <v>0</v>
      </c>
      <c r="EU105" s="2">
        <v>0</v>
      </c>
      <c r="EV105" s="2">
        <v>88.34</v>
      </c>
      <c r="EW105" s="2">
        <v>7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95</v>
      </c>
      <c r="FY105" s="2">
        <v>53</v>
      </c>
      <c r="FZ105" s="2"/>
      <c r="GA105" s="2" t="s">
        <v>3</v>
      </c>
      <c r="GB105" s="2"/>
      <c r="GC105" s="2"/>
      <c r="GD105" s="2">
        <v>1</v>
      </c>
      <c r="GE105" s="2"/>
      <c r="GF105" s="2">
        <v>-1417908180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88"/>
        <v>0</v>
      </c>
      <c r="GM105" s="2">
        <f t="shared" si="89"/>
        <v>620.25</v>
      </c>
      <c r="GN105" s="2">
        <f t="shared" si="90"/>
        <v>0</v>
      </c>
      <c r="GO105" s="2">
        <f t="shared" si="91"/>
        <v>620.25</v>
      </c>
      <c r="GP105" s="2">
        <f t="shared" si="92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3"/>
        <v>0</v>
      </c>
      <c r="GW105" s="2">
        <v>1</v>
      </c>
      <c r="GX105" s="2">
        <f t="shared" si="94"/>
        <v>0</v>
      </c>
      <c r="GY105" s="2"/>
      <c r="GZ105" s="2"/>
      <c r="HA105" s="2">
        <v>0</v>
      </c>
      <c r="HB105" s="2">
        <v>0</v>
      </c>
      <c r="HC105" s="2">
        <f t="shared" si="95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ht="409.5" x14ac:dyDescent="0.25">
      <c r="A106" s="3">
        <v>17</v>
      </c>
      <c r="B106" s="3">
        <v>1</v>
      </c>
      <c r="C106" s="3">
        <f>ROW(SmtRes!A188)</f>
        <v>188</v>
      </c>
      <c r="D106" s="3">
        <f>ROW(EtalonRes!A224)</f>
        <v>224</v>
      </c>
      <c r="E106" s="3" t="s">
        <v>162</v>
      </c>
      <c r="F106" s="3" t="s">
        <v>44</v>
      </c>
      <c r="G106" s="3" t="s">
        <v>163</v>
      </c>
      <c r="H106" s="3" t="s">
        <v>26</v>
      </c>
      <c r="I106" s="3">
        <v>2</v>
      </c>
      <c r="J106" s="3">
        <v>0</v>
      </c>
      <c r="K106" s="3">
        <v>2</v>
      </c>
      <c r="L106" s="3"/>
      <c r="M106" s="3"/>
      <c r="N106" s="3"/>
      <c r="O106" s="3">
        <f t="shared" si="71"/>
        <v>13225.5</v>
      </c>
      <c r="P106" s="3">
        <f t="shared" si="100"/>
        <v>716.93</v>
      </c>
      <c r="Q106" s="3">
        <f>(ROUND((ROUND((((ET106*1.2))*AV106*I106),2)*BB106),2)+ROUND((ROUND(((AE106-((EU106*1.2)))*AV106*I106),2)*BS106),2))</f>
        <v>0</v>
      </c>
      <c r="R106" s="3">
        <f>(ROUND((ROUND((((EU106*1.2))*AV106*I106),2)*BS106),2)+ROUND((ROUND(((AE106-((EU106*1.2)))*AV106*I106),2)*BS106),2))</f>
        <v>0</v>
      </c>
      <c r="S106" s="3">
        <f t="shared" si="73"/>
        <v>12508.57</v>
      </c>
      <c r="T106" s="3">
        <f t="shared" si="74"/>
        <v>0</v>
      </c>
      <c r="U106" s="3">
        <f t="shared" si="75"/>
        <v>17.589600000000001</v>
      </c>
      <c r="V106" s="3">
        <f t="shared" si="76"/>
        <v>0</v>
      </c>
      <c r="W106" s="3">
        <f t="shared" si="77"/>
        <v>0</v>
      </c>
      <c r="X106" s="3">
        <f>(ROUND((((S106+ROUND((ROUND((((EU106*1.2))*AV106*I106),2)*BS106),2))*AT106)/100),2)+ROUND(((ROUND((ROUND(((AE106-((EU106*1.2)))*AV106*I106),2)*BS106),2)*AT106)/100),2))</f>
        <v>11883.14</v>
      </c>
      <c r="Y106" s="3">
        <f>(ROUND((((S106+ROUND((ROUND((((EU106*1.2))*AV106*I106),2)*BS106),2))*AU106)/100),2)+ROUND(((ROUND((ROUND(((AE106-((EU106*1.2)))*AV106*I106),2)*BS106),2)*AU106)/100),2))</f>
        <v>6629.54</v>
      </c>
      <c r="Z106" s="3"/>
      <c r="AA106" s="3">
        <v>55934357</v>
      </c>
      <c r="AB106" s="3">
        <f t="shared" si="78"/>
        <v>140.87799999999999</v>
      </c>
      <c r="AC106" s="3">
        <f>ROUND(((ES106*1)),6)</f>
        <v>34.869999999999997</v>
      </c>
      <c r="AD106" s="3">
        <f>ROUND(((((ET106*1.2))-((EU106*1.2)))+AE106),6)</f>
        <v>0</v>
      </c>
      <c r="AE106" s="3">
        <f>ROUND(((EU106*1.2)),6)</f>
        <v>0</v>
      </c>
      <c r="AF106" s="3">
        <f>ROUND(((EV106*1.2)),6)</f>
        <v>106.008</v>
      </c>
      <c r="AG106" s="3">
        <f t="shared" si="79"/>
        <v>0</v>
      </c>
      <c r="AH106" s="3">
        <f>((EW106*1.2))</f>
        <v>8.4</v>
      </c>
      <c r="AI106" s="3">
        <f>((EX106*1.2))</f>
        <v>0</v>
      </c>
      <c r="AJ106" s="3">
        <f t="shared" si="80"/>
        <v>0</v>
      </c>
      <c r="AK106" s="3">
        <v>123.21</v>
      </c>
      <c r="AL106" s="3">
        <v>34.869999999999997</v>
      </c>
      <c r="AM106" s="3">
        <v>0</v>
      </c>
      <c r="AN106" s="3">
        <v>0</v>
      </c>
      <c r="AO106" s="3">
        <v>88.34</v>
      </c>
      <c r="AP106" s="3">
        <v>0</v>
      </c>
      <c r="AQ106" s="3">
        <v>7</v>
      </c>
      <c r="AR106" s="3">
        <v>0</v>
      </c>
      <c r="AS106" s="3">
        <v>0</v>
      </c>
      <c r="AT106" s="3">
        <v>95</v>
      </c>
      <c r="AU106" s="3">
        <v>53</v>
      </c>
      <c r="AV106" s="3">
        <v>1.0469999999999999</v>
      </c>
      <c r="AW106" s="3">
        <v>1</v>
      </c>
      <c r="AX106" s="3"/>
      <c r="AY106" s="3"/>
      <c r="AZ106" s="3">
        <v>1</v>
      </c>
      <c r="BA106" s="3">
        <v>56.35</v>
      </c>
      <c r="BB106" s="3">
        <v>1</v>
      </c>
      <c r="BC106" s="3">
        <v>10.28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46</v>
      </c>
      <c r="BK106" s="3"/>
      <c r="BL106" s="3"/>
      <c r="BM106" s="3">
        <v>69</v>
      </c>
      <c r="BN106" s="3">
        <v>0</v>
      </c>
      <c r="BO106" s="3" t="s">
        <v>44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95</v>
      </c>
      <c r="CA106" s="3">
        <v>53</v>
      </c>
      <c r="CB106" s="3" t="s">
        <v>3</v>
      </c>
      <c r="CC106" s="3"/>
      <c r="CD106" s="3"/>
      <c r="CE106" s="3">
        <v>1566</v>
      </c>
      <c r="CF106" s="3">
        <v>0</v>
      </c>
      <c r="CG106" s="3">
        <v>0</v>
      </c>
      <c r="CH106" s="3"/>
      <c r="CI106" s="3"/>
      <c r="CJ106" s="3"/>
      <c r="CK106" s="3"/>
      <c r="CL106" s="3"/>
      <c r="CM106" s="3">
        <v>0</v>
      </c>
      <c r="CN106" s="12" t="s">
        <v>419</v>
      </c>
      <c r="CO106" s="3">
        <v>0</v>
      </c>
      <c r="CP106" s="3">
        <f t="shared" si="81"/>
        <v>13225.5</v>
      </c>
      <c r="CQ106" s="3">
        <f t="shared" si="101"/>
        <v>358.46</v>
      </c>
      <c r="CR106" s="3">
        <f>(ROUND((ROUND((((ET106*1.2))*AV106*1),2)*BB106),2)+ROUND((ROUND(((AE106-((EU106*1.2)))*AV106*1),2)*BS106),2))</f>
        <v>0</v>
      </c>
      <c r="CS106" s="3">
        <f>(ROUND((ROUND((((EU106*1.2))*AV106*1),2)*BS106),2)+ROUND((ROUND(((AE106-((EU106*1.2)))*AV106*1),2)*BS106),2))</f>
        <v>0</v>
      </c>
      <c r="CT106" s="3">
        <f t="shared" si="83"/>
        <v>6254.29</v>
      </c>
      <c r="CU106" s="3">
        <f t="shared" si="84"/>
        <v>0</v>
      </c>
      <c r="CV106" s="3">
        <f t="shared" si="85"/>
        <v>8.7948000000000004</v>
      </c>
      <c r="CW106" s="3">
        <f t="shared" si="86"/>
        <v>0</v>
      </c>
      <c r="CX106" s="3">
        <f t="shared" si="87"/>
        <v>0</v>
      </c>
      <c r="CY106" s="3">
        <f>(ROUND((((S106+ROUND((ROUND((((EU106*1.2))*AV106*1),2)*BS106),2))*AT106)/100),2)+ROUND(((ROUND((ROUND(((AE106-((EU106*1.2)))*AV106*1),2)*BS106),2)*AT106)/100),2))</f>
        <v>11883.14</v>
      </c>
      <c r="CZ106" s="3">
        <f>(ROUND((((S106+ROUND((ROUND((((EU106*1.2))*AV106*1),2)*BS106),2))*AU106)/100),2)+ROUND(((ROUND((ROUND(((AE106-((EU106*1.2)))*AV106*1),2)*BS106),2)*AU106)/100),2))</f>
        <v>6629.54</v>
      </c>
      <c r="DA106" s="3"/>
      <c r="DB106" s="3">
        <v>48</v>
      </c>
      <c r="DC106" s="3" t="s">
        <v>3</v>
      </c>
      <c r="DD106" s="3" t="s">
        <v>120</v>
      </c>
      <c r="DE106" s="3" t="s">
        <v>121</v>
      </c>
      <c r="DF106" s="3" t="s">
        <v>121</v>
      </c>
      <c r="DG106" s="3" t="s">
        <v>121</v>
      </c>
      <c r="DH106" s="3" t="s">
        <v>3</v>
      </c>
      <c r="DI106" s="3" t="s">
        <v>121</v>
      </c>
      <c r="DJ106" s="3" t="s">
        <v>121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R106" s="3"/>
      <c r="DS106" s="3"/>
      <c r="DT106" s="3"/>
      <c r="DU106" s="3">
        <v>1013</v>
      </c>
      <c r="DV106" s="3" t="s">
        <v>26</v>
      </c>
      <c r="DW106" s="3" t="s">
        <v>26</v>
      </c>
      <c r="DX106" s="3">
        <v>1</v>
      </c>
      <c r="DY106" s="3"/>
      <c r="DZ106" s="3" t="s">
        <v>3</v>
      </c>
      <c r="EA106" s="3" t="s">
        <v>3</v>
      </c>
      <c r="EB106" s="3" t="s">
        <v>3</v>
      </c>
      <c r="EC106" s="3" t="s">
        <v>3</v>
      </c>
      <c r="ED106" s="3"/>
      <c r="EE106" s="3">
        <v>57042959</v>
      </c>
      <c r="EF106" s="3">
        <v>40</v>
      </c>
      <c r="EG106" s="3" t="s">
        <v>30</v>
      </c>
      <c r="EH106" s="3">
        <v>0</v>
      </c>
      <c r="EI106" s="3" t="s">
        <v>3</v>
      </c>
      <c r="EJ106" s="3">
        <v>2</v>
      </c>
      <c r="EK106" s="3">
        <v>69</v>
      </c>
      <c r="EL106" s="3" t="s">
        <v>39</v>
      </c>
      <c r="EM106" s="3" t="s">
        <v>40</v>
      </c>
      <c r="EN106" s="3"/>
      <c r="EO106" s="3" t="s">
        <v>122</v>
      </c>
      <c r="EP106" s="3"/>
      <c r="EQ106" s="3">
        <v>0</v>
      </c>
      <c r="ER106" s="3">
        <v>123.21</v>
      </c>
      <c r="ES106" s="3">
        <v>34.869999999999997</v>
      </c>
      <c r="ET106" s="3">
        <v>0</v>
      </c>
      <c r="EU106" s="3">
        <v>0</v>
      </c>
      <c r="EV106" s="3">
        <v>88.34</v>
      </c>
      <c r="EW106" s="3">
        <v>7</v>
      </c>
      <c r="EX106" s="3">
        <v>0</v>
      </c>
      <c r="EY106" s="3">
        <v>0</v>
      </c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>
        <v>0</v>
      </c>
      <c r="FR106" s="3">
        <v>0</v>
      </c>
      <c r="FS106" s="3">
        <v>0</v>
      </c>
      <c r="FT106" s="3"/>
      <c r="FU106" s="3"/>
      <c r="FV106" s="3"/>
      <c r="FW106" s="3"/>
      <c r="FX106" s="3">
        <v>95</v>
      </c>
      <c r="FY106" s="3">
        <v>53</v>
      </c>
      <c r="FZ106" s="3"/>
      <c r="GA106" s="3" t="s">
        <v>3</v>
      </c>
      <c r="GB106" s="3"/>
      <c r="GC106" s="3"/>
      <c r="GD106" s="3">
        <v>1</v>
      </c>
      <c r="GE106" s="3"/>
      <c r="GF106" s="3">
        <v>-1417908180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88"/>
        <v>0</v>
      </c>
      <c r="GM106" s="3">
        <f t="shared" si="89"/>
        <v>31738.18</v>
      </c>
      <c r="GN106" s="3">
        <f t="shared" si="90"/>
        <v>0</v>
      </c>
      <c r="GO106" s="3">
        <f t="shared" si="91"/>
        <v>31738.18</v>
      </c>
      <c r="GP106" s="3">
        <f t="shared" si="92"/>
        <v>0</v>
      </c>
      <c r="GQ106" s="3"/>
      <c r="GR106" s="3">
        <v>0</v>
      </c>
      <c r="GS106" s="3">
        <v>3</v>
      </c>
      <c r="GT106" s="3">
        <v>0</v>
      </c>
      <c r="GU106" s="3" t="s">
        <v>3</v>
      </c>
      <c r="GV106" s="3">
        <f t="shared" si="93"/>
        <v>0</v>
      </c>
      <c r="GW106" s="3">
        <v>1</v>
      </c>
      <c r="GX106" s="3">
        <f t="shared" si="94"/>
        <v>0</v>
      </c>
      <c r="GY106" s="3"/>
      <c r="GZ106" s="3"/>
      <c r="HA106" s="3">
        <v>0</v>
      </c>
      <c r="HB106" s="3">
        <v>0</v>
      </c>
      <c r="HC106" s="3">
        <f t="shared" si="95"/>
        <v>0</v>
      </c>
      <c r="HD106" s="3"/>
      <c r="HE106" s="3" t="s">
        <v>3</v>
      </c>
      <c r="HF106" s="3" t="s">
        <v>3</v>
      </c>
      <c r="HG106" s="3"/>
      <c r="HH106" s="3"/>
      <c r="HI106" s="3"/>
      <c r="HJ106" s="3"/>
      <c r="HK106" s="3"/>
      <c r="HL106" s="3"/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R106" s="3"/>
      <c r="HS106" s="3">
        <v>0</v>
      </c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>
        <v>0</v>
      </c>
      <c r="IL106" s="3"/>
      <c r="IM106" s="3"/>
      <c r="IN106" s="3"/>
      <c r="IO106" s="3"/>
      <c r="IP106" s="3"/>
      <c r="IQ106" s="3"/>
      <c r="IR106" s="3"/>
      <c r="IS106" s="3"/>
      <c r="IT106" s="3"/>
      <c r="IU106" s="3"/>
    </row>
    <row r="107" spans="1:255" ht="409.5" x14ac:dyDescent="0.25">
      <c r="A107" s="2">
        <v>18</v>
      </c>
      <c r="B107" s="2">
        <v>1</v>
      </c>
      <c r="C107" s="2">
        <v>182</v>
      </c>
      <c r="D107" s="2"/>
      <c r="E107" s="2" t="s">
        <v>164</v>
      </c>
      <c r="F107" s="2" t="s">
        <v>165</v>
      </c>
      <c r="G107" s="2" t="s">
        <v>166</v>
      </c>
      <c r="H107" s="2" t="s">
        <v>126</v>
      </c>
      <c r="I107" s="2">
        <f>I105*J107</f>
        <v>2</v>
      </c>
      <c r="J107" s="2">
        <v>1</v>
      </c>
      <c r="K107" s="2">
        <v>1</v>
      </c>
      <c r="L107" s="2"/>
      <c r="M107" s="2"/>
      <c r="N107" s="2"/>
      <c r="O107" s="2">
        <f t="shared" si="71"/>
        <v>7133.12</v>
      </c>
      <c r="P107" s="2">
        <f t="shared" si="100"/>
        <v>7133.12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3"/>
        <v>0</v>
      </c>
      <c r="T107" s="2">
        <f t="shared" si="74"/>
        <v>0</v>
      </c>
      <c r="U107" s="2">
        <f t="shared" si="75"/>
        <v>0</v>
      </c>
      <c r="V107" s="2">
        <f t="shared" si="76"/>
        <v>0</v>
      </c>
      <c r="W107" s="2">
        <f t="shared" si="77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55934355</v>
      </c>
      <c r="AB107" s="2">
        <f t="shared" si="78"/>
        <v>3566.56</v>
      </c>
      <c r="AC107" s="2">
        <f>ROUND((ES107),6)</f>
        <v>3566.56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79"/>
        <v>0</v>
      </c>
      <c r="AH107" s="2">
        <f>(EW107)</f>
        <v>0</v>
      </c>
      <c r="AI107" s="2">
        <f>(EX107)</f>
        <v>0</v>
      </c>
      <c r="AJ107" s="2">
        <f t="shared" si="80"/>
        <v>0</v>
      </c>
      <c r="AK107" s="2">
        <v>3566.56</v>
      </c>
      <c r="AL107" s="2">
        <v>3566.56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165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95</v>
      </c>
      <c r="CA107" s="2">
        <v>53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11" t="s">
        <v>420</v>
      </c>
      <c r="CO107" s="2">
        <v>0</v>
      </c>
      <c r="CP107" s="2">
        <f t="shared" si="81"/>
        <v>7133.12</v>
      </c>
      <c r="CQ107" s="2">
        <f t="shared" si="101"/>
        <v>3566.56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3"/>
        <v>0</v>
      </c>
      <c r="CU107" s="2">
        <f t="shared" si="84"/>
        <v>0</v>
      </c>
      <c r="CV107" s="2">
        <f t="shared" si="85"/>
        <v>0</v>
      </c>
      <c r="CW107" s="2">
        <f t="shared" si="86"/>
        <v>0</v>
      </c>
      <c r="CX107" s="2">
        <f t="shared" si="87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126</v>
      </c>
      <c r="DW107" s="2" t="s">
        <v>126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57042890</v>
      </c>
      <c r="EF107" s="2">
        <v>214</v>
      </c>
      <c r="EG107" s="2" t="s">
        <v>127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127</v>
      </c>
      <c r="EM107" s="2" t="s">
        <v>128</v>
      </c>
      <c r="EN107" s="2"/>
      <c r="EO107" s="2" t="s">
        <v>122</v>
      </c>
      <c r="EP107" s="2"/>
      <c r="EQ107" s="2">
        <v>16</v>
      </c>
      <c r="ER107" s="2">
        <v>0</v>
      </c>
      <c r="ES107" s="2">
        <v>3566.56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7133.12</v>
      </c>
      <c r="FS107" s="2">
        <v>0</v>
      </c>
      <c r="FT107" s="2"/>
      <c r="FU107" s="2"/>
      <c r="FV107" s="2"/>
      <c r="FW107" s="2"/>
      <c r="FX107" s="2">
        <v>95</v>
      </c>
      <c r="FY107" s="2">
        <v>53</v>
      </c>
      <c r="FZ107" s="2"/>
      <c r="GA107" s="2" t="s">
        <v>167</v>
      </c>
      <c r="GB107" s="2"/>
      <c r="GC107" s="2"/>
      <c r="GD107" s="2">
        <v>1</v>
      </c>
      <c r="GE107" s="2"/>
      <c r="GF107" s="2">
        <v>-724165975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88"/>
        <v>0</v>
      </c>
      <c r="GM107" s="2">
        <f t="shared" si="89"/>
        <v>7133.12</v>
      </c>
      <c r="GN107" s="2">
        <f t="shared" si="90"/>
        <v>0</v>
      </c>
      <c r="GO107" s="2">
        <f t="shared" si="91"/>
        <v>0</v>
      </c>
      <c r="GP107" s="2">
        <f t="shared" si="92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3"/>
        <v>0</v>
      </c>
      <c r="GW107" s="2">
        <v>1</v>
      </c>
      <c r="GX107" s="2">
        <f t="shared" si="94"/>
        <v>0</v>
      </c>
      <c r="GY107" s="2"/>
      <c r="GZ107" s="2"/>
      <c r="HA107" s="2">
        <v>0</v>
      </c>
      <c r="HB107" s="2">
        <v>0</v>
      </c>
      <c r="HC107" s="2">
        <f t="shared" si="95"/>
        <v>0</v>
      </c>
      <c r="HD107" s="2"/>
      <c r="HE107" s="2" t="s">
        <v>41</v>
      </c>
      <c r="HF107" s="2" t="s">
        <v>130</v>
      </c>
      <c r="HG107" s="2"/>
      <c r="HH107" s="2"/>
      <c r="HI107" s="2"/>
      <c r="HJ107" s="2"/>
      <c r="HK107" s="2"/>
      <c r="HL107" s="2"/>
      <c r="HM107" s="2" t="s">
        <v>120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ht="409.5" x14ac:dyDescent="0.25">
      <c r="A108" s="3">
        <v>18</v>
      </c>
      <c r="B108" s="3">
        <v>1</v>
      </c>
      <c r="C108" s="3">
        <v>188</v>
      </c>
      <c r="D108" s="3"/>
      <c r="E108" s="3" t="s">
        <v>164</v>
      </c>
      <c r="F108" s="3" t="s">
        <v>165</v>
      </c>
      <c r="G108" s="3" t="s">
        <v>166</v>
      </c>
      <c r="H108" s="3" t="s">
        <v>126</v>
      </c>
      <c r="I108" s="3">
        <f>I106*J108</f>
        <v>2</v>
      </c>
      <c r="J108" s="3">
        <v>1</v>
      </c>
      <c r="K108" s="3">
        <v>1</v>
      </c>
      <c r="L108" s="3"/>
      <c r="M108" s="3"/>
      <c r="N108" s="3"/>
      <c r="O108" s="3">
        <f t="shared" si="71"/>
        <v>53997.72</v>
      </c>
      <c r="P108" s="3">
        <f t="shared" si="100"/>
        <v>53997.72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3"/>
        <v>0</v>
      </c>
      <c r="T108" s="3">
        <f t="shared" si="74"/>
        <v>0</v>
      </c>
      <c r="U108" s="3">
        <f t="shared" si="75"/>
        <v>0</v>
      </c>
      <c r="V108" s="3">
        <f t="shared" si="76"/>
        <v>0</v>
      </c>
      <c r="W108" s="3">
        <f t="shared" si="77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Z108" s="3"/>
      <c r="AA108" s="3">
        <v>55934357</v>
      </c>
      <c r="AB108" s="3">
        <f t="shared" si="78"/>
        <v>3566.56</v>
      </c>
      <c r="AC108" s="3">
        <f>ROUND((ES108),6)</f>
        <v>3566.56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79"/>
        <v>0</v>
      </c>
      <c r="AH108" s="3">
        <f>(EW108)</f>
        <v>0</v>
      </c>
      <c r="AI108" s="3">
        <f>(EX108)</f>
        <v>0</v>
      </c>
      <c r="AJ108" s="3">
        <f t="shared" si="80"/>
        <v>0</v>
      </c>
      <c r="AK108" s="3">
        <v>3566.56</v>
      </c>
      <c r="AL108" s="3">
        <v>3566.56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X108" s="3"/>
      <c r="AY108" s="3"/>
      <c r="AZ108" s="3">
        <v>1</v>
      </c>
      <c r="BA108" s="3">
        <v>1</v>
      </c>
      <c r="BB108" s="3">
        <v>1</v>
      </c>
      <c r="BC108" s="3">
        <v>7.57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165</v>
      </c>
      <c r="BK108" s="3"/>
      <c r="BL108" s="3"/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95</v>
      </c>
      <c r="CA108" s="3">
        <v>53</v>
      </c>
      <c r="CB108" s="3" t="s">
        <v>3</v>
      </c>
      <c r="CC108" s="3"/>
      <c r="CD108" s="3"/>
      <c r="CE108" s="3">
        <v>1566</v>
      </c>
      <c r="CF108" s="3">
        <v>0</v>
      </c>
      <c r="CG108" s="3">
        <v>0</v>
      </c>
      <c r="CH108" s="3"/>
      <c r="CI108" s="3"/>
      <c r="CJ108" s="3"/>
      <c r="CK108" s="3"/>
      <c r="CL108" s="3"/>
      <c r="CM108" s="3">
        <v>0</v>
      </c>
      <c r="CN108" s="12" t="s">
        <v>420</v>
      </c>
      <c r="CO108" s="3">
        <v>0</v>
      </c>
      <c r="CP108" s="3">
        <f t="shared" si="81"/>
        <v>53997.72</v>
      </c>
      <c r="CQ108" s="3">
        <f t="shared" si="101"/>
        <v>26998.86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3"/>
        <v>0</v>
      </c>
      <c r="CU108" s="3">
        <f t="shared" si="84"/>
        <v>0</v>
      </c>
      <c r="CV108" s="3">
        <f t="shared" si="85"/>
        <v>0</v>
      </c>
      <c r="CW108" s="3">
        <f t="shared" si="86"/>
        <v>0</v>
      </c>
      <c r="CX108" s="3">
        <f t="shared" si="87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A108" s="3"/>
      <c r="DB108" s="3"/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R108" s="3"/>
      <c r="DS108" s="3"/>
      <c r="DT108" s="3"/>
      <c r="DU108" s="3">
        <v>1013</v>
      </c>
      <c r="DV108" s="3" t="s">
        <v>126</v>
      </c>
      <c r="DW108" s="3" t="s">
        <v>126</v>
      </c>
      <c r="DX108" s="3">
        <v>1</v>
      </c>
      <c r="DY108" s="3"/>
      <c r="DZ108" s="3" t="s">
        <v>3</v>
      </c>
      <c r="EA108" s="3" t="s">
        <v>3</v>
      </c>
      <c r="EB108" s="3" t="s">
        <v>3</v>
      </c>
      <c r="EC108" s="3" t="s">
        <v>3</v>
      </c>
      <c r="ED108" s="3"/>
      <c r="EE108" s="3">
        <v>57042890</v>
      </c>
      <c r="EF108" s="3">
        <v>214</v>
      </c>
      <c r="EG108" s="3" t="s">
        <v>127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127</v>
      </c>
      <c r="EM108" s="3" t="s">
        <v>128</v>
      </c>
      <c r="EN108" s="3"/>
      <c r="EO108" s="3" t="s">
        <v>122</v>
      </c>
      <c r="EP108" s="3"/>
      <c r="EQ108" s="3">
        <v>16</v>
      </c>
      <c r="ER108" s="3">
        <v>0</v>
      </c>
      <c r="ES108" s="3">
        <v>3566.56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/>
      <c r="EZ108" s="3">
        <v>5</v>
      </c>
      <c r="FA108" s="3"/>
      <c r="FB108" s="3"/>
      <c r="FC108" s="3">
        <v>1</v>
      </c>
      <c r="FD108" s="3">
        <v>18</v>
      </c>
      <c r="FE108" s="3"/>
      <c r="FF108" s="3">
        <v>31600</v>
      </c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>
        <v>0</v>
      </c>
      <c r="FR108" s="3">
        <f>P108</f>
        <v>53997.72</v>
      </c>
      <c r="FS108" s="3">
        <v>0</v>
      </c>
      <c r="FT108" s="3"/>
      <c r="FU108" s="3"/>
      <c r="FV108" s="3"/>
      <c r="FW108" s="3"/>
      <c r="FX108" s="3">
        <v>95</v>
      </c>
      <c r="FY108" s="3">
        <v>53</v>
      </c>
      <c r="FZ108" s="3"/>
      <c r="GA108" s="3" t="s">
        <v>167</v>
      </c>
      <c r="GB108" s="3"/>
      <c r="GC108" s="3"/>
      <c r="GD108" s="3">
        <v>1</v>
      </c>
      <c r="GE108" s="3"/>
      <c r="GF108" s="3">
        <v>-724165975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88"/>
        <v>0</v>
      </c>
      <c r="GM108" s="3">
        <f t="shared" si="89"/>
        <v>53997.72</v>
      </c>
      <c r="GN108" s="3">
        <f t="shared" si="90"/>
        <v>0</v>
      </c>
      <c r="GO108" s="3">
        <f t="shared" si="91"/>
        <v>0</v>
      </c>
      <c r="GP108" s="3">
        <f t="shared" si="92"/>
        <v>0</v>
      </c>
      <c r="GQ108" s="3"/>
      <c r="GR108" s="3">
        <v>1</v>
      </c>
      <c r="GS108" s="3">
        <v>1</v>
      </c>
      <c r="GT108" s="3">
        <v>0</v>
      </c>
      <c r="GU108" s="3" t="s">
        <v>3</v>
      </c>
      <c r="GV108" s="3">
        <f t="shared" si="93"/>
        <v>0</v>
      </c>
      <c r="GW108" s="3">
        <v>1</v>
      </c>
      <c r="GX108" s="3">
        <f t="shared" si="94"/>
        <v>0</v>
      </c>
      <c r="GY108" s="3"/>
      <c r="GZ108" s="3"/>
      <c r="HA108" s="3">
        <v>0</v>
      </c>
      <c r="HB108" s="3">
        <v>0</v>
      </c>
      <c r="HC108" s="3">
        <f t="shared" si="95"/>
        <v>0</v>
      </c>
      <c r="HD108" s="3"/>
      <c r="HE108" s="3" t="s">
        <v>41</v>
      </c>
      <c r="HF108" s="3" t="s">
        <v>130</v>
      </c>
      <c r="HG108" s="3"/>
      <c r="HH108" s="3"/>
      <c r="HI108" s="3"/>
      <c r="HJ108" s="3"/>
      <c r="HK108" s="3"/>
      <c r="HL108" s="3"/>
      <c r="HM108" s="3" t="s">
        <v>120</v>
      </c>
      <c r="HN108" s="3" t="s">
        <v>3</v>
      </c>
      <c r="HO108" s="3" t="s">
        <v>3</v>
      </c>
      <c r="HP108" s="3" t="s">
        <v>3</v>
      </c>
      <c r="HQ108" s="3" t="s">
        <v>3</v>
      </c>
      <c r="HR108" s="3"/>
      <c r="HS108" s="3">
        <v>0</v>
      </c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>
        <v>0</v>
      </c>
      <c r="IL108" s="3"/>
      <c r="IM108" s="3"/>
      <c r="IN108" s="3"/>
      <c r="IO108" s="3"/>
      <c r="IP108" s="3"/>
      <c r="IQ108" s="3"/>
      <c r="IR108" s="3"/>
      <c r="IS108" s="3"/>
      <c r="IT108" s="3"/>
      <c r="IU108" s="3"/>
    </row>
    <row r="110" spans="1:255" ht="13" x14ac:dyDescent="0.3">
      <c r="A110" s="4">
        <v>51</v>
      </c>
      <c r="B110" s="4">
        <f>B75</f>
        <v>1</v>
      </c>
      <c r="C110" s="4">
        <f>A75</f>
        <v>4</v>
      </c>
      <c r="D110" s="4">
        <f>ROW(A75)</f>
        <v>75</v>
      </c>
      <c r="E110" s="4"/>
      <c r="F110" s="4" t="str">
        <f>IF(F75&lt;&gt;"",F75,"")</f>
        <v>1</v>
      </c>
      <c r="G110" s="4" t="str">
        <f>IF(G75&lt;&gt;"",G75,"")</f>
        <v>Сетевые приборы СОТ</v>
      </c>
      <c r="H110" s="4">
        <v>0</v>
      </c>
      <c r="I110" s="4"/>
      <c r="J110" s="4"/>
      <c r="K110" s="4"/>
      <c r="L110" s="4"/>
      <c r="M110" s="4"/>
      <c r="N110" s="4"/>
      <c r="O110" s="4">
        <f t="shared" ref="O110:T110" si="104">ROUND(AB110,2)</f>
        <v>657551.84</v>
      </c>
      <c r="P110" s="4">
        <f t="shared" si="104"/>
        <v>656284.62</v>
      </c>
      <c r="Q110" s="4">
        <f t="shared" si="104"/>
        <v>216.42</v>
      </c>
      <c r="R110" s="4">
        <f t="shared" si="104"/>
        <v>23.82</v>
      </c>
      <c r="S110" s="4">
        <f t="shared" si="104"/>
        <v>1050.8</v>
      </c>
      <c r="T110" s="4">
        <f t="shared" si="104"/>
        <v>0</v>
      </c>
      <c r="U110" s="4">
        <f>AH110</f>
        <v>84.43007999999999</v>
      </c>
      <c r="V110" s="4">
        <f>AI110</f>
        <v>0</v>
      </c>
      <c r="W110" s="4">
        <f>ROUND(AJ110,2)</f>
        <v>0</v>
      </c>
      <c r="X110" s="4">
        <f>ROUND(AK110,2)</f>
        <v>990.19</v>
      </c>
      <c r="Y110" s="4">
        <f>ROUND(AL110,2)</f>
        <v>526.59</v>
      </c>
      <c r="Z110" s="4"/>
      <c r="AA110" s="4"/>
      <c r="AB110" s="4">
        <f>ROUND(SUMIF(AA79:AA108,"=55934355",O79:O108),2)</f>
        <v>657551.84</v>
      </c>
      <c r="AC110" s="4">
        <f>ROUND(SUMIF(AA79:AA108,"=55934355",P79:P108),2)</f>
        <v>656284.62</v>
      </c>
      <c r="AD110" s="4">
        <f>ROUND(SUMIF(AA79:AA108,"=55934355",Q79:Q108),2)</f>
        <v>216.42</v>
      </c>
      <c r="AE110" s="4">
        <f>ROUND(SUMIF(AA79:AA108,"=55934355",R79:R108),2)</f>
        <v>23.82</v>
      </c>
      <c r="AF110" s="4">
        <f>ROUND(SUMIF(AA79:AA108,"=55934355",S79:S108),2)</f>
        <v>1050.8</v>
      </c>
      <c r="AG110" s="4">
        <f>ROUND(SUMIF(AA79:AA108,"=55934355",T79:T108),2)</f>
        <v>0</v>
      </c>
      <c r="AH110" s="4">
        <f>SUMIF(AA79:AA108,"=55934355",U79:U108)</f>
        <v>84.43007999999999</v>
      </c>
      <c r="AI110" s="4">
        <f>SUMIF(AA79:AA108,"=55934355",V79:V108)</f>
        <v>0</v>
      </c>
      <c r="AJ110" s="4">
        <f>ROUND(SUMIF(AA79:AA108,"=55934355",W79:W108),2)</f>
        <v>0</v>
      </c>
      <c r="AK110" s="4">
        <f>ROUND(SUMIF(AA79:AA108,"=55934355",X79:X108),2)</f>
        <v>990.19</v>
      </c>
      <c r="AL110" s="4">
        <f>ROUND(SUMIF(AA79:AA108,"=55934355",Y79:Y108),2)</f>
        <v>526.59</v>
      </c>
      <c r="AM110" s="4"/>
      <c r="AN110" s="4"/>
      <c r="AO110" s="4">
        <f t="shared" ref="AO110:BD110" si="105">ROUND(BX110,2)</f>
        <v>0</v>
      </c>
      <c r="AP110" s="4">
        <f t="shared" si="105"/>
        <v>656138.57999999996</v>
      </c>
      <c r="AQ110" s="4">
        <f t="shared" si="105"/>
        <v>0</v>
      </c>
      <c r="AR110" s="4">
        <f t="shared" si="105"/>
        <v>659068.62</v>
      </c>
      <c r="AS110" s="4">
        <f t="shared" si="105"/>
        <v>0</v>
      </c>
      <c r="AT110" s="4">
        <f t="shared" si="105"/>
        <v>2930.04</v>
      </c>
      <c r="AU110" s="4">
        <f t="shared" si="105"/>
        <v>0</v>
      </c>
      <c r="AV110" s="4">
        <f t="shared" si="105"/>
        <v>656284.62</v>
      </c>
      <c r="AW110" s="4">
        <f t="shared" si="105"/>
        <v>146.04</v>
      </c>
      <c r="AX110" s="4">
        <f t="shared" si="105"/>
        <v>0</v>
      </c>
      <c r="AY110" s="4">
        <f t="shared" si="105"/>
        <v>146.04</v>
      </c>
      <c r="AZ110" s="4">
        <f t="shared" si="105"/>
        <v>656138.57999999996</v>
      </c>
      <c r="BA110" s="4">
        <f t="shared" si="105"/>
        <v>0</v>
      </c>
      <c r="BB110" s="4">
        <f t="shared" si="105"/>
        <v>0</v>
      </c>
      <c r="BC110" s="4">
        <f t="shared" si="105"/>
        <v>0</v>
      </c>
      <c r="BD110" s="4">
        <f t="shared" si="105"/>
        <v>0</v>
      </c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>
        <f>ROUND(SUMIF(AA79:AA108,"=55934355",FQ79:FQ108),2)</f>
        <v>0</v>
      </c>
      <c r="BY110" s="4">
        <f>ROUND(SUMIF(AA79:AA108,"=55934355",FR79:FR108),2)</f>
        <v>656138.57999999996</v>
      </c>
      <c r="BZ110" s="4">
        <f>ROUND(SUMIF(AA79:AA108,"=55934355",GL79:GL108),2)</f>
        <v>0</v>
      </c>
      <c r="CA110" s="4">
        <f>ROUND(SUMIF(AA79:AA108,"=55934355",GM79:GM108),2)</f>
        <v>659068.62</v>
      </c>
      <c r="CB110" s="4">
        <f>ROUND(SUMIF(AA79:AA108,"=55934355",GN79:GN108),2)</f>
        <v>0</v>
      </c>
      <c r="CC110" s="4">
        <f>ROUND(SUMIF(AA79:AA108,"=55934355",GO79:GO108),2)</f>
        <v>2930.04</v>
      </c>
      <c r="CD110" s="4">
        <f>ROUND(SUMIF(AA79:AA108,"=55934355",GP79:GP108),2)</f>
        <v>0</v>
      </c>
      <c r="CE110" s="4">
        <f>AC110-BX110</f>
        <v>656284.62</v>
      </c>
      <c r="CF110" s="4">
        <f>AC110-BY110</f>
        <v>146.04000000003725</v>
      </c>
      <c r="CG110" s="4">
        <f>BX110-BZ110</f>
        <v>0</v>
      </c>
      <c r="CH110" s="4">
        <f>AC110-BX110-BY110+BZ110</f>
        <v>146.04000000003725</v>
      </c>
      <c r="CI110" s="4">
        <f>BY110-BZ110</f>
        <v>656138.57999999996</v>
      </c>
      <c r="CJ110" s="4">
        <f>ROUND(SUMIF(AA79:AA108,"=55934355",GX79:GX108),2)</f>
        <v>0</v>
      </c>
      <c r="CK110" s="4">
        <f>ROUND(SUMIF(AA79:AA108,"=55934355",GY79:GY108),2)</f>
        <v>0</v>
      </c>
      <c r="CL110" s="4">
        <f>ROUND(SUMIF(AA79:AA108,"=55934355",GZ79:GZ108),2)</f>
        <v>0</v>
      </c>
      <c r="CM110" s="4">
        <f>ROUND(SUMIF(AA79:AA108,"=55934355",HD79:HD108),2)</f>
        <v>0</v>
      </c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5">
        <f t="shared" ref="DG110:DL110" si="106">ROUND(DT110,2)</f>
        <v>5031521.7</v>
      </c>
      <c r="DH110" s="5">
        <f t="shared" si="106"/>
        <v>4968811.7699999996</v>
      </c>
      <c r="DI110" s="5">
        <f t="shared" si="106"/>
        <v>3497.34</v>
      </c>
      <c r="DJ110" s="5">
        <f t="shared" si="106"/>
        <v>1342.26</v>
      </c>
      <c r="DK110" s="5">
        <f t="shared" si="106"/>
        <v>59212.59</v>
      </c>
      <c r="DL110" s="5">
        <f t="shared" si="106"/>
        <v>0</v>
      </c>
      <c r="DM110" s="5">
        <f>DZ110</f>
        <v>84.43007999999999</v>
      </c>
      <c r="DN110" s="5">
        <f>EA110</f>
        <v>0</v>
      </c>
      <c r="DO110" s="5">
        <f>ROUND(EB110,2)</f>
        <v>0</v>
      </c>
      <c r="DP110" s="5">
        <f>ROUND(EC110,2)</f>
        <v>55798.23</v>
      </c>
      <c r="DQ110" s="5">
        <f>ROUND(ED110,2)</f>
        <v>29673.64</v>
      </c>
      <c r="DR110" s="5"/>
      <c r="DS110" s="5"/>
      <c r="DT110" s="5">
        <f>ROUND(SUMIF(AA79:AA108,"=55934357",O79:O108),2)</f>
        <v>5031521.7</v>
      </c>
      <c r="DU110" s="5">
        <f>ROUND(SUMIF(AA79:AA108,"=55934357",P79:P108),2)</f>
        <v>4968811.7699999996</v>
      </c>
      <c r="DV110" s="5">
        <f>ROUND(SUMIF(AA79:AA108,"=55934357",Q79:Q108),2)</f>
        <v>3497.34</v>
      </c>
      <c r="DW110" s="5">
        <f>ROUND(SUMIF(AA79:AA108,"=55934357",R79:R108),2)</f>
        <v>1342.26</v>
      </c>
      <c r="DX110" s="5">
        <f>ROUND(SUMIF(AA79:AA108,"=55934357",S79:S108),2)</f>
        <v>59212.59</v>
      </c>
      <c r="DY110" s="5">
        <f>ROUND(SUMIF(AA79:AA108,"=55934357",T79:T108),2)</f>
        <v>0</v>
      </c>
      <c r="DZ110" s="5">
        <f>SUMIF(AA79:AA108,"=55934357",U79:U108)</f>
        <v>84.43007999999999</v>
      </c>
      <c r="EA110" s="5">
        <f>SUMIF(AA79:AA108,"=55934357",V79:V108)</f>
        <v>0</v>
      </c>
      <c r="EB110" s="5">
        <f>ROUND(SUMIF(AA79:AA108,"=55934357",W79:W108),2)</f>
        <v>0</v>
      </c>
      <c r="EC110" s="5">
        <f>ROUND(SUMIF(AA79:AA108,"=55934357",X79:X108),2)</f>
        <v>55798.23</v>
      </c>
      <c r="ED110" s="5">
        <f>ROUND(SUMIF(AA79:AA108,"=55934357",Y79:Y108),2)</f>
        <v>29673.64</v>
      </c>
      <c r="EE110" s="5"/>
      <c r="EF110" s="5"/>
      <c r="EG110" s="5">
        <f t="shared" ref="EG110:EV110" si="107">ROUND(FP110,2)</f>
        <v>0</v>
      </c>
      <c r="EH110" s="5">
        <f t="shared" si="107"/>
        <v>4966969.0599999996</v>
      </c>
      <c r="EI110" s="5">
        <f t="shared" si="107"/>
        <v>0</v>
      </c>
      <c r="EJ110" s="5">
        <f t="shared" si="107"/>
        <v>5116993.57</v>
      </c>
      <c r="EK110" s="5">
        <f t="shared" si="107"/>
        <v>0</v>
      </c>
      <c r="EL110" s="5">
        <f t="shared" si="107"/>
        <v>150024.51</v>
      </c>
      <c r="EM110" s="5">
        <f t="shared" si="107"/>
        <v>0</v>
      </c>
      <c r="EN110" s="5">
        <f t="shared" si="107"/>
        <v>4968811.7699999996</v>
      </c>
      <c r="EO110" s="5">
        <f t="shared" si="107"/>
        <v>1842.71</v>
      </c>
      <c r="EP110" s="5">
        <f t="shared" si="107"/>
        <v>0</v>
      </c>
      <c r="EQ110" s="5">
        <f t="shared" si="107"/>
        <v>1842.71</v>
      </c>
      <c r="ER110" s="5">
        <f t="shared" si="107"/>
        <v>4966969.0599999996</v>
      </c>
      <c r="ES110" s="5">
        <f t="shared" si="107"/>
        <v>0</v>
      </c>
      <c r="ET110" s="5">
        <f t="shared" si="107"/>
        <v>0</v>
      </c>
      <c r="EU110" s="5">
        <f t="shared" si="107"/>
        <v>0</v>
      </c>
      <c r="EV110" s="5">
        <f t="shared" si="107"/>
        <v>0</v>
      </c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>
        <f>ROUND(SUMIF(AA79:AA108,"=55934357",FQ79:FQ108),2)</f>
        <v>0</v>
      </c>
      <c r="FQ110" s="5">
        <f>ROUND(SUMIF(AA79:AA108,"=55934357",FR79:FR108),2)</f>
        <v>4966969.0599999996</v>
      </c>
      <c r="FR110" s="5">
        <f>ROUND(SUMIF(AA79:AA108,"=55934357",GL79:GL108),2)</f>
        <v>0</v>
      </c>
      <c r="FS110" s="5">
        <f>ROUND(SUMIF(AA79:AA108,"=55934357",GM79:GM108),2)</f>
        <v>5116993.57</v>
      </c>
      <c r="FT110" s="5">
        <f>ROUND(SUMIF(AA79:AA108,"=55934357",GN79:GN108),2)</f>
        <v>0</v>
      </c>
      <c r="FU110" s="5">
        <f>ROUND(SUMIF(AA79:AA108,"=55934357",GO79:GO108),2)</f>
        <v>150024.51</v>
      </c>
      <c r="FV110" s="5">
        <f>ROUND(SUMIF(AA79:AA108,"=55934357",GP79:GP108),2)</f>
        <v>0</v>
      </c>
      <c r="FW110" s="5">
        <f>DU110-FP110</f>
        <v>4968811.7699999996</v>
      </c>
      <c r="FX110" s="5">
        <f>DU110-FQ110</f>
        <v>1842.7099999999627</v>
      </c>
      <c r="FY110" s="5">
        <f>FP110-FR110</f>
        <v>0</v>
      </c>
      <c r="FZ110" s="5">
        <f>DU110-FP110-FQ110+FR110</f>
        <v>1842.7099999999627</v>
      </c>
      <c r="GA110" s="5">
        <f>FQ110-FR110</f>
        <v>4966969.0599999996</v>
      </c>
      <c r="GB110" s="5">
        <f>ROUND(SUMIF(AA79:AA108,"=55934357",GX79:GX108),2)</f>
        <v>0</v>
      </c>
      <c r="GC110" s="5">
        <f>ROUND(SUMIF(AA79:AA108,"=55934357",GY79:GY108),2)</f>
        <v>0</v>
      </c>
      <c r="GD110" s="5">
        <f>ROUND(SUMIF(AA79:AA108,"=55934357",GZ79:GZ108),2)</f>
        <v>0</v>
      </c>
      <c r="GE110" s="5">
        <f>ROUND(SUMIF(AA79:AA108,"=55934357",HD79:HD108),2)</f>
        <v>0</v>
      </c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>
        <v>0</v>
      </c>
    </row>
    <row r="112" spans="1:255" ht="13" x14ac:dyDescent="0.3">
      <c r="A112" s="6">
        <v>50</v>
      </c>
      <c r="B112" s="6">
        <v>0</v>
      </c>
      <c r="C112" s="6">
        <v>0</v>
      </c>
      <c r="D112" s="6">
        <v>1</v>
      </c>
      <c r="E112" s="6">
        <v>201</v>
      </c>
      <c r="F112" s="6">
        <f>ROUND(Source!O110,O112)</f>
        <v>657551.84</v>
      </c>
      <c r="G112" s="6" t="s">
        <v>63</v>
      </c>
      <c r="H112" s="6" t="s">
        <v>64</v>
      </c>
      <c r="I112" s="6"/>
      <c r="J112" s="6"/>
      <c r="K112" s="6">
        <v>201</v>
      </c>
      <c r="L112" s="6">
        <v>1</v>
      </c>
      <c r="M112" s="6">
        <v>3</v>
      </c>
      <c r="N112" s="6" t="s">
        <v>3</v>
      </c>
      <c r="O112" s="6">
        <v>2</v>
      </c>
      <c r="P112" s="6">
        <f>ROUND(Source!DG110,O112)</f>
        <v>5031521.7</v>
      </c>
      <c r="Q112" s="6"/>
      <c r="R112" s="6"/>
      <c r="S112" s="6"/>
      <c r="T112" s="6"/>
      <c r="U112" s="6"/>
      <c r="V112" s="6"/>
      <c r="W112" s="6">
        <v>657551.84</v>
      </c>
      <c r="X112" s="6">
        <v>1</v>
      </c>
      <c r="Y112" s="6">
        <v>657551.84</v>
      </c>
      <c r="Z112" s="6">
        <v>5031521.7</v>
      </c>
      <c r="AA112" s="6">
        <v>1</v>
      </c>
      <c r="AB112" s="6">
        <v>5031521.7</v>
      </c>
    </row>
    <row r="113" spans="1:28" ht="13" x14ac:dyDescent="0.3">
      <c r="A113" s="6">
        <v>50</v>
      </c>
      <c r="B113" s="6">
        <v>0</v>
      </c>
      <c r="C113" s="6">
        <v>0</v>
      </c>
      <c r="D113" s="6">
        <v>1</v>
      </c>
      <c r="E113" s="6">
        <v>202</v>
      </c>
      <c r="F113" s="6">
        <f>ROUND(Source!P110,O113)</f>
        <v>656284.62</v>
      </c>
      <c r="G113" s="6" t="s">
        <v>65</v>
      </c>
      <c r="H113" s="6" t="s">
        <v>66</v>
      </c>
      <c r="I113" s="6"/>
      <c r="J113" s="6"/>
      <c r="K113" s="6">
        <v>202</v>
      </c>
      <c r="L113" s="6">
        <v>2</v>
      </c>
      <c r="M113" s="6">
        <v>3</v>
      </c>
      <c r="N113" s="6" t="s">
        <v>3</v>
      </c>
      <c r="O113" s="6">
        <v>2</v>
      </c>
      <c r="P113" s="6">
        <f>ROUND(Source!DH110,O113)</f>
        <v>4968811.7699999996</v>
      </c>
      <c r="Q113" s="6"/>
      <c r="R113" s="6"/>
      <c r="S113" s="6"/>
      <c r="T113" s="6"/>
      <c r="U113" s="6"/>
      <c r="V113" s="6"/>
      <c r="W113" s="6">
        <v>656284.62</v>
      </c>
      <c r="X113" s="6">
        <v>1</v>
      </c>
      <c r="Y113" s="6">
        <v>656284.62</v>
      </c>
      <c r="Z113" s="6">
        <v>4968811.7699999996</v>
      </c>
      <c r="AA113" s="6">
        <v>1</v>
      </c>
      <c r="AB113" s="6">
        <v>4968811.7699999996</v>
      </c>
    </row>
    <row r="114" spans="1:28" ht="13" x14ac:dyDescent="0.3">
      <c r="A114" s="6">
        <v>50</v>
      </c>
      <c r="B114" s="6">
        <v>0</v>
      </c>
      <c r="C114" s="6">
        <v>0</v>
      </c>
      <c r="D114" s="6">
        <v>1</v>
      </c>
      <c r="E114" s="6">
        <v>222</v>
      </c>
      <c r="F114" s="6">
        <f>ROUND(Source!AO110,O114)</f>
        <v>0</v>
      </c>
      <c r="G114" s="6" t="s">
        <v>67</v>
      </c>
      <c r="H114" s="6" t="s">
        <v>68</v>
      </c>
      <c r="I114" s="6"/>
      <c r="J114" s="6"/>
      <c r="K114" s="6">
        <v>222</v>
      </c>
      <c r="L114" s="6">
        <v>3</v>
      </c>
      <c r="M114" s="6">
        <v>3</v>
      </c>
      <c r="N114" s="6" t="s">
        <v>3</v>
      </c>
      <c r="O114" s="6">
        <v>2</v>
      </c>
      <c r="P114" s="6">
        <f>ROUND(Source!EG110,O114)</f>
        <v>0</v>
      </c>
      <c r="Q114" s="6"/>
      <c r="R114" s="6"/>
      <c r="S114" s="6"/>
      <c r="T114" s="6"/>
      <c r="U114" s="6"/>
      <c r="V114" s="6"/>
      <c r="W114" s="6">
        <v>0</v>
      </c>
      <c r="X114" s="6">
        <v>1</v>
      </c>
      <c r="Y114" s="6">
        <v>0</v>
      </c>
      <c r="Z114" s="6">
        <v>0</v>
      </c>
      <c r="AA114" s="6">
        <v>1</v>
      </c>
      <c r="AB114" s="6">
        <v>0</v>
      </c>
    </row>
    <row r="115" spans="1:28" ht="13" x14ac:dyDescent="0.3">
      <c r="A115" s="6">
        <v>50</v>
      </c>
      <c r="B115" s="6">
        <v>0</v>
      </c>
      <c r="C115" s="6">
        <v>0</v>
      </c>
      <c r="D115" s="6">
        <v>1</v>
      </c>
      <c r="E115" s="6">
        <v>225</v>
      </c>
      <c r="F115" s="6">
        <f>ROUND(Source!AV110,O115)</f>
        <v>656284.62</v>
      </c>
      <c r="G115" s="6" t="s">
        <v>69</v>
      </c>
      <c r="H115" s="6" t="s">
        <v>70</v>
      </c>
      <c r="I115" s="6"/>
      <c r="J115" s="6"/>
      <c r="K115" s="6">
        <v>225</v>
      </c>
      <c r="L115" s="6">
        <v>4</v>
      </c>
      <c r="M115" s="6">
        <v>3</v>
      </c>
      <c r="N115" s="6" t="s">
        <v>3</v>
      </c>
      <c r="O115" s="6">
        <v>2</v>
      </c>
      <c r="P115" s="6">
        <f>ROUND(Source!EN110,O115)</f>
        <v>4968811.7699999996</v>
      </c>
      <c r="Q115" s="6"/>
      <c r="R115" s="6"/>
      <c r="S115" s="6"/>
      <c r="T115" s="6"/>
      <c r="U115" s="6"/>
      <c r="V115" s="6"/>
      <c r="W115" s="6">
        <v>656284.62</v>
      </c>
      <c r="X115" s="6">
        <v>1</v>
      </c>
      <c r="Y115" s="6">
        <v>656284.62</v>
      </c>
      <c r="Z115" s="6">
        <v>4968811.7699999996</v>
      </c>
      <c r="AA115" s="6">
        <v>1</v>
      </c>
      <c r="AB115" s="6">
        <v>4968811.7699999996</v>
      </c>
    </row>
    <row r="116" spans="1:28" ht="13" x14ac:dyDescent="0.3">
      <c r="A116" s="6">
        <v>50</v>
      </c>
      <c r="B116" s="6">
        <v>0</v>
      </c>
      <c r="C116" s="6">
        <v>0</v>
      </c>
      <c r="D116" s="6">
        <v>1</v>
      </c>
      <c r="E116" s="6">
        <v>226</v>
      </c>
      <c r="F116" s="6">
        <f>ROUND(Source!AW110,O116)</f>
        <v>146.04</v>
      </c>
      <c r="G116" s="6" t="s">
        <v>71</v>
      </c>
      <c r="H116" s="6" t="s">
        <v>72</v>
      </c>
      <c r="I116" s="6"/>
      <c r="J116" s="6"/>
      <c r="K116" s="6">
        <v>226</v>
      </c>
      <c r="L116" s="6">
        <v>5</v>
      </c>
      <c r="M116" s="6">
        <v>3</v>
      </c>
      <c r="N116" s="6" t="s">
        <v>3</v>
      </c>
      <c r="O116" s="6">
        <v>2</v>
      </c>
      <c r="P116" s="6">
        <f>ROUND(Source!EO110,O116)</f>
        <v>1842.71</v>
      </c>
      <c r="Q116" s="6"/>
      <c r="R116" s="6"/>
      <c r="S116" s="6"/>
      <c r="T116" s="6"/>
      <c r="U116" s="6"/>
      <c r="V116" s="6"/>
      <c r="W116" s="6">
        <v>146.04</v>
      </c>
      <c r="X116" s="6">
        <v>1</v>
      </c>
      <c r="Y116" s="6">
        <v>146.04</v>
      </c>
      <c r="Z116" s="6">
        <v>1842.71</v>
      </c>
      <c r="AA116" s="6">
        <v>1</v>
      </c>
      <c r="AB116" s="6">
        <v>1842.71</v>
      </c>
    </row>
    <row r="117" spans="1:28" ht="13" x14ac:dyDescent="0.3">
      <c r="A117" s="6">
        <v>50</v>
      </c>
      <c r="B117" s="6">
        <v>0</v>
      </c>
      <c r="C117" s="6">
        <v>0</v>
      </c>
      <c r="D117" s="6">
        <v>1</v>
      </c>
      <c r="E117" s="6">
        <v>227</v>
      </c>
      <c r="F117" s="6">
        <f>ROUND(Source!AX110,O117)</f>
        <v>0</v>
      </c>
      <c r="G117" s="6" t="s">
        <v>73</v>
      </c>
      <c r="H117" s="6" t="s">
        <v>74</v>
      </c>
      <c r="I117" s="6"/>
      <c r="J117" s="6"/>
      <c r="K117" s="6">
        <v>227</v>
      </c>
      <c r="L117" s="6">
        <v>6</v>
      </c>
      <c r="M117" s="6">
        <v>3</v>
      </c>
      <c r="N117" s="6" t="s">
        <v>3</v>
      </c>
      <c r="O117" s="6">
        <v>2</v>
      </c>
      <c r="P117" s="6">
        <f>ROUND(Source!EP110,O117)</f>
        <v>0</v>
      </c>
      <c r="Q117" s="6"/>
      <c r="R117" s="6"/>
      <c r="S117" s="6"/>
      <c r="T117" s="6"/>
      <c r="U117" s="6"/>
      <c r="V117" s="6"/>
      <c r="W117" s="6">
        <v>0</v>
      </c>
      <c r="X117" s="6">
        <v>1</v>
      </c>
      <c r="Y117" s="6">
        <v>0</v>
      </c>
      <c r="Z117" s="6">
        <v>0</v>
      </c>
      <c r="AA117" s="6">
        <v>1</v>
      </c>
      <c r="AB117" s="6">
        <v>0</v>
      </c>
    </row>
    <row r="118" spans="1:28" ht="13" x14ac:dyDescent="0.3">
      <c r="A118" s="6">
        <v>50</v>
      </c>
      <c r="B118" s="6">
        <v>0</v>
      </c>
      <c r="C118" s="6">
        <v>0</v>
      </c>
      <c r="D118" s="6">
        <v>1</v>
      </c>
      <c r="E118" s="6">
        <v>228</v>
      </c>
      <c r="F118" s="6">
        <f>ROUND(Source!AY110,O118)</f>
        <v>146.04</v>
      </c>
      <c r="G118" s="6" t="s">
        <v>75</v>
      </c>
      <c r="H118" s="6" t="s">
        <v>76</v>
      </c>
      <c r="I118" s="6"/>
      <c r="J118" s="6"/>
      <c r="K118" s="6">
        <v>228</v>
      </c>
      <c r="L118" s="6">
        <v>7</v>
      </c>
      <c r="M118" s="6">
        <v>3</v>
      </c>
      <c r="N118" s="6" t="s">
        <v>3</v>
      </c>
      <c r="O118" s="6">
        <v>2</v>
      </c>
      <c r="P118" s="6">
        <f>ROUND(Source!EQ110,O118)</f>
        <v>1842.71</v>
      </c>
      <c r="Q118" s="6"/>
      <c r="R118" s="6"/>
      <c r="S118" s="6"/>
      <c r="T118" s="6"/>
      <c r="U118" s="6"/>
      <c r="V118" s="6"/>
      <c r="W118" s="6">
        <v>146.04</v>
      </c>
      <c r="X118" s="6">
        <v>1</v>
      </c>
      <c r="Y118" s="6">
        <v>146.04</v>
      </c>
      <c r="Z118" s="6">
        <v>1842.71</v>
      </c>
      <c r="AA118" s="6">
        <v>1</v>
      </c>
      <c r="AB118" s="6">
        <v>1842.71</v>
      </c>
    </row>
    <row r="119" spans="1:28" ht="13" x14ac:dyDescent="0.3">
      <c r="A119" s="6">
        <v>50</v>
      </c>
      <c r="B119" s="6">
        <v>0</v>
      </c>
      <c r="C119" s="6">
        <v>0</v>
      </c>
      <c r="D119" s="6">
        <v>1</v>
      </c>
      <c r="E119" s="6">
        <v>216</v>
      </c>
      <c r="F119" s="6">
        <f>ROUND(Source!AP110,O119)</f>
        <v>656138.57999999996</v>
      </c>
      <c r="G119" s="6" t="s">
        <v>77</v>
      </c>
      <c r="H119" s="6" t="s">
        <v>78</v>
      </c>
      <c r="I119" s="6"/>
      <c r="J119" s="6"/>
      <c r="K119" s="6">
        <v>216</v>
      </c>
      <c r="L119" s="6">
        <v>8</v>
      </c>
      <c r="M119" s="6">
        <v>3</v>
      </c>
      <c r="N119" s="6" t="s">
        <v>3</v>
      </c>
      <c r="O119" s="6">
        <v>2</v>
      </c>
      <c r="P119" s="6">
        <f>ROUND(Source!EH110,O119)</f>
        <v>4966969.0599999996</v>
      </c>
      <c r="Q119" s="6"/>
      <c r="R119" s="6"/>
      <c r="S119" s="6"/>
      <c r="T119" s="6"/>
      <c r="U119" s="6"/>
      <c r="V119" s="6"/>
      <c r="W119" s="6">
        <v>656138.57999999996</v>
      </c>
      <c r="X119" s="6">
        <v>1</v>
      </c>
      <c r="Y119" s="6">
        <v>656138.57999999996</v>
      </c>
      <c r="Z119" s="6">
        <v>4966969.0599999996</v>
      </c>
      <c r="AA119" s="6">
        <v>1</v>
      </c>
      <c r="AB119" s="6">
        <v>4966969.0599999996</v>
      </c>
    </row>
    <row r="120" spans="1:28" ht="13" x14ac:dyDescent="0.3">
      <c r="A120" s="6">
        <v>50</v>
      </c>
      <c r="B120" s="6">
        <v>0</v>
      </c>
      <c r="C120" s="6">
        <v>0</v>
      </c>
      <c r="D120" s="6">
        <v>1</v>
      </c>
      <c r="E120" s="6">
        <v>223</v>
      </c>
      <c r="F120" s="6">
        <f>ROUND(Source!AQ110,O120)</f>
        <v>0</v>
      </c>
      <c r="G120" s="6" t="s">
        <v>79</v>
      </c>
      <c r="H120" s="6" t="s">
        <v>80</v>
      </c>
      <c r="I120" s="6"/>
      <c r="J120" s="6"/>
      <c r="K120" s="6">
        <v>223</v>
      </c>
      <c r="L120" s="6">
        <v>9</v>
      </c>
      <c r="M120" s="6">
        <v>3</v>
      </c>
      <c r="N120" s="6" t="s">
        <v>3</v>
      </c>
      <c r="O120" s="6">
        <v>2</v>
      </c>
      <c r="P120" s="6">
        <f>ROUND(Source!EI110,O120)</f>
        <v>0</v>
      </c>
      <c r="Q120" s="6"/>
      <c r="R120" s="6"/>
      <c r="S120" s="6"/>
      <c r="T120" s="6"/>
      <c r="U120" s="6"/>
      <c r="V120" s="6"/>
      <c r="W120" s="6">
        <v>0</v>
      </c>
      <c r="X120" s="6">
        <v>1</v>
      </c>
      <c r="Y120" s="6">
        <v>0</v>
      </c>
      <c r="Z120" s="6">
        <v>0</v>
      </c>
      <c r="AA120" s="6">
        <v>1</v>
      </c>
      <c r="AB120" s="6">
        <v>0</v>
      </c>
    </row>
    <row r="121" spans="1:28" ht="13" x14ac:dyDescent="0.3">
      <c r="A121" s="6">
        <v>50</v>
      </c>
      <c r="B121" s="6">
        <v>0</v>
      </c>
      <c r="C121" s="6">
        <v>0</v>
      </c>
      <c r="D121" s="6">
        <v>1</v>
      </c>
      <c r="E121" s="6">
        <v>229</v>
      </c>
      <c r="F121" s="6">
        <f>ROUND(Source!AZ110,O121)</f>
        <v>656138.57999999996</v>
      </c>
      <c r="G121" s="6" t="s">
        <v>81</v>
      </c>
      <c r="H121" s="6" t="s">
        <v>82</v>
      </c>
      <c r="I121" s="6"/>
      <c r="J121" s="6"/>
      <c r="K121" s="6">
        <v>229</v>
      </c>
      <c r="L121" s="6">
        <v>10</v>
      </c>
      <c r="M121" s="6">
        <v>3</v>
      </c>
      <c r="N121" s="6" t="s">
        <v>3</v>
      </c>
      <c r="O121" s="6">
        <v>2</v>
      </c>
      <c r="P121" s="6">
        <f>ROUND(Source!ER110,O121)</f>
        <v>4966969.0599999996</v>
      </c>
      <c r="Q121" s="6"/>
      <c r="R121" s="6"/>
      <c r="S121" s="6"/>
      <c r="T121" s="6"/>
      <c r="U121" s="6"/>
      <c r="V121" s="6"/>
      <c r="W121" s="6">
        <v>656138.57999999996</v>
      </c>
      <c r="X121" s="6">
        <v>1</v>
      </c>
      <c r="Y121" s="6">
        <v>656138.57999999996</v>
      </c>
      <c r="Z121" s="6">
        <v>4966969.0599999996</v>
      </c>
      <c r="AA121" s="6">
        <v>1</v>
      </c>
      <c r="AB121" s="6">
        <v>4966969.0599999996</v>
      </c>
    </row>
    <row r="122" spans="1:28" ht="13" x14ac:dyDescent="0.3">
      <c r="A122" s="6">
        <v>50</v>
      </c>
      <c r="B122" s="6">
        <v>0</v>
      </c>
      <c r="C122" s="6">
        <v>0</v>
      </c>
      <c r="D122" s="6">
        <v>1</v>
      </c>
      <c r="E122" s="6">
        <v>203</v>
      </c>
      <c r="F122" s="6">
        <f>ROUND(Source!Q110,O122)</f>
        <v>216.42</v>
      </c>
      <c r="G122" s="6" t="s">
        <v>83</v>
      </c>
      <c r="H122" s="6" t="s">
        <v>84</v>
      </c>
      <c r="I122" s="6"/>
      <c r="J122" s="6"/>
      <c r="K122" s="6">
        <v>203</v>
      </c>
      <c r="L122" s="6">
        <v>11</v>
      </c>
      <c r="M122" s="6">
        <v>3</v>
      </c>
      <c r="N122" s="6" t="s">
        <v>3</v>
      </c>
      <c r="O122" s="6">
        <v>2</v>
      </c>
      <c r="P122" s="6">
        <f>ROUND(Source!DI110,O122)</f>
        <v>3497.34</v>
      </c>
      <c r="Q122" s="6"/>
      <c r="R122" s="6"/>
      <c r="S122" s="6"/>
      <c r="T122" s="6"/>
      <c r="U122" s="6"/>
      <c r="V122" s="6"/>
      <c r="W122" s="6">
        <v>216.42</v>
      </c>
      <c r="X122" s="6">
        <v>1</v>
      </c>
      <c r="Y122" s="6">
        <v>216.42</v>
      </c>
      <c r="Z122" s="6">
        <v>3497.34</v>
      </c>
      <c r="AA122" s="6">
        <v>1</v>
      </c>
      <c r="AB122" s="6">
        <v>3497.34</v>
      </c>
    </row>
    <row r="123" spans="1:28" ht="13" x14ac:dyDescent="0.3">
      <c r="A123" s="6">
        <v>50</v>
      </c>
      <c r="B123" s="6">
        <v>0</v>
      </c>
      <c r="C123" s="6">
        <v>0</v>
      </c>
      <c r="D123" s="6">
        <v>1</v>
      </c>
      <c r="E123" s="6">
        <v>231</v>
      </c>
      <c r="F123" s="6">
        <f>ROUND(Source!BB110,O123)</f>
        <v>0</v>
      </c>
      <c r="G123" s="6" t="s">
        <v>85</v>
      </c>
      <c r="H123" s="6" t="s">
        <v>86</v>
      </c>
      <c r="I123" s="6"/>
      <c r="J123" s="6"/>
      <c r="K123" s="6">
        <v>231</v>
      </c>
      <c r="L123" s="6">
        <v>12</v>
      </c>
      <c r="M123" s="6">
        <v>3</v>
      </c>
      <c r="N123" s="6" t="s">
        <v>3</v>
      </c>
      <c r="O123" s="6">
        <v>2</v>
      </c>
      <c r="P123" s="6">
        <f>ROUND(Source!ET110,O123)</f>
        <v>0</v>
      </c>
      <c r="Q123" s="6"/>
      <c r="R123" s="6"/>
      <c r="S123" s="6"/>
      <c r="T123" s="6"/>
      <c r="U123" s="6"/>
      <c r="V123" s="6"/>
      <c r="W123" s="6">
        <v>0</v>
      </c>
      <c r="X123" s="6">
        <v>1</v>
      </c>
      <c r="Y123" s="6">
        <v>0</v>
      </c>
      <c r="Z123" s="6">
        <v>0</v>
      </c>
      <c r="AA123" s="6">
        <v>1</v>
      </c>
      <c r="AB123" s="6">
        <v>0</v>
      </c>
    </row>
    <row r="124" spans="1:28" ht="13" x14ac:dyDescent="0.3">
      <c r="A124" s="6">
        <v>50</v>
      </c>
      <c r="B124" s="6">
        <v>0</v>
      </c>
      <c r="C124" s="6">
        <v>0</v>
      </c>
      <c r="D124" s="6">
        <v>1</v>
      </c>
      <c r="E124" s="6">
        <v>204</v>
      </c>
      <c r="F124" s="6">
        <f>ROUND(Source!R110,O124)</f>
        <v>23.82</v>
      </c>
      <c r="G124" s="6" t="s">
        <v>87</v>
      </c>
      <c r="H124" s="6" t="s">
        <v>88</v>
      </c>
      <c r="I124" s="6"/>
      <c r="J124" s="6"/>
      <c r="K124" s="6">
        <v>204</v>
      </c>
      <c r="L124" s="6">
        <v>13</v>
      </c>
      <c r="M124" s="6">
        <v>3</v>
      </c>
      <c r="N124" s="6" t="s">
        <v>3</v>
      </c>
      <c r="O124" s="6">
        <v>2</v>
      </c>
      <c r="P124" s="6">
        <f>ROUND(Source!DJ110,O124)</f>
        <v>1342.26</v>
      </c>
      <c r="Q124" s="6"/>
      <c r="R124" s="6"/>
      <c r="S124" s="6"/>
      <c r="T124" s="6"/>
      <c r="U124" s="6"/>
      <c r="V124" s="6"/>
      <c r="W124" s="6">
        <v>23.82</v>
      </c>
      <c r="X124" s="6">
        <v>1</v>
      </c>
      <c r="Y124" s="6">
        <v>23.82</v>
      </c>
      <c r="Z124" s="6">
        <v>1342.26</v>
      </c>
      <c r="AA124" s="6">
        <v>1</v>
      </c>
      <c r="AB124" s="6">
        <v>1342.26</v>
      </c>
    </row>
    <row r="125" spans="1:28" ht="13" x14ac:dyDescent="0.3">
      <c r="A125" s="6">
        <v>50</v>
      </c>
      <c r="B125" s="6">
        <v>0</v>
      </c>
      <c r="C125" s="6">
        <v>0</v>
      </c>
      <c r="D125" s="6">
        <v>1</v>
      </c>
      <c r="E125" s="6">
        <v>205</v>
      </c>
      <c r="F125" s="6">
        <f>ROUND(Source!S110,O125)</f>
        <v>1050.8</v>
      </c>
      <c r="G125" s="6" t="s">
        <v>89</v>
      </c>
      <c r="H125" s="6" t="s">
        <v>90</v>
      </c>
      <c r="I125" s="6"/>
      <c r="J125" s="6"/>
      <c r="K125" s="6">
        <v>205</v>
      </c>
      <c r="L125" s="6">
        <v>14</v>
      </c>
      <c r="M125" s="6">
        <v>3</v>
      </c>
      <c r="N125" s="6" t="s">
        <v>3</v>
      </c>
      <c r="O125" s="6">
        <v>2</v>
      </c>
      <c r="P125" s="6">
        <f>ROUND(Source!DK110,O125)</f>
        <v>59212.59</v>
      </c>
      <c r="Q125" s="6"/>
      <c r="R125" s="6"/>
      <c r="S125" s="6"/>
      <c r="T125" s="6"/>
      <c r="U125" s="6"/>
      <c r="V125" s="6"/>
      <c r="W125" s="6">
        <v>1050.8</v>
      </c>
      <c r="X125" s="6">
        <v>1</v>
      </c>
      <c r="Y125" s="6">
        <v>1050.8</v>
      </c>
      <c r="Z125" s="6">
        <v>59212.59</v>
      </c>
      <c r="AA125" s="6">
        <v>1</v>
      </c>
      <c r="AB125" s="6">
        <v>59212.59</v>
      </c>
    </row>
    <row r="126" spans="1:28" ht="13" x14ac:dyDescent="0.3">
      <c r="A126" s="6">
        <v>50</v>
      </c>
      <c r="B126" s="6">
        <v>0</v>
      </c>
      <c r="C126" s="6">
        <v>0</v>
      </c>
      <c r="D126" s="6">
        <v>1</v>
      </c>
      <c r="E126" s="6">
        <v>232</v>
      </c>
      <c r="F126" s="6">
        <f>ROUND(Source!BC110,O126)</f>
        <v>0</v>
      </c>
      <c r="G126" s="6" t="s">
        <v>91</v>
      </c>
      <c r="H126" s="6" t="s">
        <v>92</v>
      </c>
      <c r="I126" s="6"/>
      <c r="J126" s="6"/>
      <c r="K126" s="6">
        <v>232</v>
      </c>
      <c r="L126" s="6">
        <v>15</v>
      </c>
      <c r="M126" s="6">
        <v>3</v>
      </c>
      <c r="N126" s="6" t="s">
        <v>3</v>
      </c>
      <c r="O126" s="6">
        <v>2</v>
      </c>
      <c r="P126" s="6">
        <f>ROUND(Source!EU110,O126)</f>
        <v>0</v>
      </c>
      <c r="Q126" s="6"/>
      <c r="R126" s="6"/>
      <c r="S126" s="6"/>
      <c r="T126" s="6"/>
      <c r="U126" s="6"/>
      <c r="V126" s="6"/>
      <c r="W126" s="6">
        <v>0</v>
      </c>
      <c r="X126" s="6">
        <v>1</v>
      </c>
      <c r="Y126" s="6">
        <v>0</v>
      </c>
      <c r="Z126" s="6">
        <v>0</v>
      </c>
      <c r="AA126" s="6">
        <v>1</v>
      </c>
      <c r="AB126" s="6">
        <v>0</v>
      </c>
    </row>
    <row r="127" spans="1:28" ht="13" x14ac:dyDescent="0.3">
      <c r="A127" s="6">
        <v>50</v>
      </c>
      <c r="B127" s="6">
        <v>0</v>
      </c>
      <c r="C127" s="6">
        <v>0</v>
      </c>
      <c r="D127" s="6">
        <v>1</v>
      </c>
      <c r="E127" s="6">
        <v>214</v>
      </c>
      <c r="F127" s="6">
        <f>ROUND(Source!AS110,O127)</f>
        <v>0</v>
      </c>
      <c r="G127" s="6" t="s">
        <v>93</v>
      </c>
      <c r="H127" s="6" t="s">
        <v>94</v>
      </c>
      <c r="I127" s="6"/>
      <c r="J127" s="6"/>
      <c r="K127" s="6">
        <v>214</v>
      </c>
      <c r="L127" s="6">
        <v>16</v>
      </c>
      <c r="M127" s="6">
        <v>3</v>
      </c>
      <c r="N127" s="6" t="s">
        <v>3</v>
      </c>
      <c r="O127" s="6">
        <v>2</v>
      </c>
      <c r="P127" s="6">
        <f>ROUND(Source!EK110,O127)</f>
        <v>0</v>
      </c>
      <c r="Q127" s="6"/>
      <c r="R127" s="6"/>
      <c r="S127" s="6"/>
      <c r="T127" s="6"/>
      <c r="U127" s="6"/>
      <c r="V127" s="6"/>
      <c r="W127" s="6">
        <v>0</v>
      </c>
      <c r="X127" s="6">
        <v>1</v>
      </c>
      <c r="Y127" s="6">
        <v>0</v>
      </c>
      <c r="Z127" s="6">
        <v>0</v>
      </c>
      <c r="AA127" s="6">
        <v>1</v>
      </c>
      <c r="AB127" s="6">
        <v>0</v>
      </c>
    </row>
    <row r="128" spans="1:28" ht="13" x14ac:dyDescent="0.3">
      <c r="A128" s="6">
        <v>50</v>
      </c>
      <c r="B128" s="6">
        <v>0</v>
      </c>
      <c r="C128" s="6">
        <v>0</v>
      </c>
      <c r="D128" s="6">
        <v>1</v>
      </c>
      <c r="E128" s="6">
        <v>215</v>
      </c>
      <c r="F128" s="6">
        <f>ROUND(Source!AT110,O128)</f>
        <v>2930.04</v>
      </c>
      <c r="G128" s="6" t="s">
        <v>95</v>
      </c>
      <c r="H128" s="6" t="s">
        <v>96</v>
      </c>
      <c r="I128" s="6"/>
      <c r="J128" s="6"/>
      <c r="K128" s="6">
        <v>215</v>
      </c>
      <c r="L128" s="6">
        <v>17</v>
      </c>
      <c r="M128" s="6">
        <v>3</v>
      </c>
      <c r="N128" s="6" t="s">
        <v>3</v>
      </c>
      <c r="O128" s="6">
        <v>2</v>
      </c>
      <c r="P128" s="6">
        <f>ROUND(Source!EL110,O128)</f>
        <v>150024.51</v>
      </c>
      <c r="Q128" s="6"/>
      <c r="R128" s="6"/>
      <c r="S128" s="6"/>
      <c r="T128" s="6"/>
      <c r="U128" s="6"/>
      <c r="V128" s="6"/>
      <c r="W128" s="6">
        <v>2930.04</v>
      </c>
      <c r="X128" s="6">
        <v>1</v>
      </c>
      <c r="Y128" s="6">
        <v>2930.04</v>
      </c>
      <c r="Z128" s="6">
        <v>150024.51</v>
      </c>
      <c r="AA128" s="6">
        <v>1</v>
      </c>
      <c r="AB128" s="6">
        <v>150024.51</v>
      </c>
    </row>
    <row r="129" spans="1:255" ht="13" x14ac:dyDescent="0.3">
      <c r="A129" s="6">
        <v>50</v>
      </c>
      <c r="B129" s="6">
        <v>0</v>
      </c>
      <c r="C129" s="6">
        <v>0</v>
      </c>
      <c r="D129" s="6">
        <v>1</v>
      </c>
      <c r="E129" s="6">
        <v>217</v>
      </c>
      <c r="F129" s="6">
        <f>ROUND(Source!AU110,O129)</f>
        <v>0</v>
      </c>
      <c r="G129" s="6" t="s">
        <v>97</v>
      </c>
      <c r="H129" s="6" t="s">
        <v>98</v>
      </c>
      <c r="I129" s="6"/>
      <c r="J129" s="6"/>
      <c r="K129" s="6">
        <v>217</v>
      </c>
      <c r="L129" s="6">
        <v>18</v>
      </c>
      <c r="M129" s="6">
        <v>3</v>
      </c>
      <c r="N129" s="6" t="s">
        <v>3</v>
      </c>
      <c r="O129" s="6">
        <v>2</v>
      </c>
      <c r="P129" s="6">
        <f>ROUND(Source!EM110,O129)</f>
        <v>0</v>
      </c>
      <c r="Q129" s="6"/>
      <c r="R129" s="6"/>
      <c r="S129" s="6"/>
      <c r="T129" s="6"/>
      <c r="U129" s="6"/>
      <c r="V129" s="6"/>
      <c r="W129" s="6">
        <v>0</v>
      </c>
      <c r="X129" s="6">
        <v>1</v>
      </c>
      <c r="Y129" s="6">
        <v>0</v>
      </c>
      <c r="Z129" s="6">
        <v>0</v>
      </c>
      <c r="AA129" s="6">
        <v>1</v>
      </c>
      <c r="AB129" s="6">
        <v>0</v>
      </c>
    </row>
    <row r="130" spans="1:255" ht="13" x14ac:dyDescent="0.3">
      <c r="A130" s="6">
        <v>50</v>
      </c>
      <c r="B130" s="6">
        <v>0</v>
      </c>
      <c r="C130" s="6">
        <v>0</v>
      </c>
      <c r="D130" s="6">
        <v>1</v>
      </c>
      <c r="E130" s="6">
        <v>230</v>
      </c>
      <c r="F130" s="6">
        <f>ROUND(Source!BA110,O130)</f>
        <v>0</v>
      </c>
      <c r="G130" s="6" t="s">
        <v>99</v>
      </c>
      <c r="H130" s="6" t="s">
        <v>100</v>
      </c>
      <c r="I130" s="6"/>
      <c r="J130" s="6"/>
      <c r="K130" s="6">
        <v>230</v>
      </c>
      <c r="L130" s="6">
        <v>19</v>
      </c>
      <c r="M130" s="6">
        <v>3</v>
      </c>
      <c r="N130" s="6" t="s">
        <v>3</v>
      </c>
      <c r="O130" s="6">
        <v>2</v>
      </c>
      <c r="P130" s="6">
        <f>ROUND(Source!ES110,O130)</f>
        <v>0</v>
      </c>
      <c r="Q130" s="6"/>
      <c r="R130" s="6"/>
      <c r="S130" s="6"/>
      <c r="T130" s="6"/>
      <c r="U130" s="6"/>
      <c r="V130" s="6"/>
      <c r="W130" s="6">
        <v>0</v>
      </c>
      <c r="X130" s="6">
        <v>1</v>
      </c>
      <c r="Y130" s="6">
        <v>0</v>
      </c>
      <c r="Z130" s="6">
        <v>0</v>
      </c>
      <c r="AA130" s="6">
        <v>1</v>
      </c>
      <c r="AB130" s="6">
        <v>0</v>
      </c>
    </row>
    <row r="131" spans="1:255" ht="13" x14ac:dyDescent="0.3">
      <c r="A131" s="6">
        <v>50</v>
      </c>
      <c r="B131" s="6">
        <v>0</v>
      </c>
      <c r="C131" s="6">
        <v>0</v>
      </c>
      <c r="D131" s="6">
        <v>1</v>
      </c>
      <c r="E131" s="6">
        <v>206</v>
      </c>
      <c r="F131" s="6">
        <f>ROUND(Source!T110,O131)</f>
        <v>0</v>
      </c>
      <c r="G131" s="6" t="s">
        <v>101</v>
      </c>
      <c r="H131" s="6" t="s">
        <v>102</v>
      </c>
      <c r="I131" s="6"/>
      <c r="J131" s="6"/>
      <c r="K131" s="6">
        <v>206</v>
      </c>
      <c r="L131" s="6">
        <v>20</v>
      </c>
      <c r="M131" s="6">
        <v>3</v>
      </c>
      <c r="N131" s="6" t="s">
        <v>3</v>
      </c>
      <c r="O131" s="6">
        <v>2</v>
      </c>
      <c r="P131" s="6">
        <f>ROUND(Source!DL110,O131)</f>
        <v>0</v>
      </c>
      <c r="Q131" s="6"/>
      <c r="R131" s="6"/>
      <c r="S131" s="6"/>
      <c r="T131" s="6"/>
      <c r="U131" s="6"/>
      <c r="V131" s="6"/>
      <c r="W131" s="6">
        <v>0</v>
      </c>
      <c r="X131" s="6">
        <v>1</v>
      </c>
      <c r="Y131" s="6">
        <v>0</v>
      </c>
      <c r="Z131" s="6">
        <v>0</v>
      </c>
      <c r="AA131" s="6">
        <v>1</v>
      </c>
      <c r="AB131" s="6">
        <v>0</v>
      </c>
    </row>
    <row r="132" spans="1:255" ht="13" x14ac:dyDescent="0.3">
      <c r="A132" s="6">
        <v>50</v>
      </c>
      <c r="B132" s="6">
        <v>0</v>
      </c>
      <c r="C132" s="6">
        <v>0</v>
      </c>
      <c r="D132" s="6">
        <v>1</v>
      </c>
      <c r="E132" s="6">
        <v>207</v>
      </c>
      <c r="F132" s="6">
        <f>Source!U110</f>
        <v>84.43007999999999</v>
      </c>
      <c r="G132" s="6" t="s">
        <v>103</v>
      </c>
      <c r="H132" s="6" t="s">
        <v>104</v>
      </c>
      <c r="I132" s="6"/>
      <c r="J132" s="6"/>
      <c r="K132" s="6">
        <v>207</v>
      </c>
      <c r="L132" s="6">
        <v>21</v>
      </c>
      <c r="M132" s="6">
        <v>3</v>
      </c>
      <c r="N132" s="6" t="s">
        <v>3</v>
      </c>
      <c r="O132" s="6">
        <v>-1</v>
      </c>
      <c r="P132" s="6">
        <f>Source!DM110</f>
        <v>84.43007999999999</v>
      </c>
      <c r="Q132" s="6"/>
      <c r="R132" s="6"/>
      <c r="S132" s="6"/>
      <c r="T132" s="6"/>
      <c r="U132" s="6"/>
      <c r="V132" s="6"/>
      <c r="W132" s="6">
        <v>84.430080000000004</v>
      </c>
      <c r="X132" s="6">
        <v>1</v>
      </c>
      <c r="Y132" s="6">
        <v>84.430080000000004</v>
      </c>
      <c r="Z132" s="6">
        <v>84.430080000000004</v>
      </c>
      <c r="AA132" s="6">
        <v>1</v>
      </c>
      <c r="AB132" s="6">
        <v>84.430080000000004</v>
      </c>
    </row>
    <row r="133" spans="1:255" ht="13" x14ac:dyDescent="0.3">
      <c r="A133" s="6">
        <v>50</v>
      </c>
      <c r="B133" s="6">
        <v>0</v>
      </c>
      <c r="C133" s="6">
        <v>0</v>
      </c>
      <c r="D133" s="6">
        <v>1</v>
      </c>
      <c r="E133" s="6">
        <v>208</v>
      </c>
      <c r="F133" s="6">
        <f>Source!V110</f>
        <v>0</v>
      </c>
      <c r="G133" s="6" t="s">
        <v>105</v>
      </c>
      <c r="H133" s="6" t="s">
        <v>106</v>
      </c>
      <c r="I133" s="6"/>
      <c r="J133" s="6"/>
      <c r="K133" s="6">
        <v>208</v>
      </c>
      <c r="L133" s="6">
        <v>22</v>
      </c>
      <c r="M133" s="6">
        <v>3</v>
      </c>
      <c r="N133" s="6" t="s">
        <v>3</v>
      </c>
      <c r="O133" s="6">
        <v>-1</v>
      </c>
      <c r="P133" s="6">
        <f>Source!DN110</f>
        <v>0</v>
      </c>
      <c r="Q133" s="6"/>
      <c r="R133" s="6"/>
      <c r="S133" s="6"/>
      <c r="T133" s="6"/>
      <c r="U133" s="6"/>
      <c r="V133" s="6"/>
      <c r="W133" s="6">
        <v>0</v>
      </c>
      <c r="X133" s="6">
        <v>1</v>
      </c>
      <c r="Y133" s="6">
        <v>0</v>
      </c>
      <c r="Z133" s="6">
        <v>0</v>
      </c>
      <c r="AA133" s="6">
        <v>1</v>
      </c>
      <c r="AB133" s="6">
        <v>0</v>
      </c>
    </row>
    <row r="134" spans="1:255" ht="13" x14ac:dyDescent="0.3">
      <c r="A134" s="6">
        <v>50</v>
      </c>
      <c r="B134" s="6">
        <v>0</v>
      </c>
      <c r="C134" s="6">
        <v>0</v>
      </c>
      <c r="D134" s="6">
        <v>1</v>
      </c>
      <c r="E134" s="6">
        <v>209</v>
      </c>
      <c r="F134" s="6">
        <f>ROUND(Source!W110,O134)</f>
        <v>0</v>
      </c>
      <c r="G134" s="6" t="s">
        <v>107</v>
      </c>
      <c r="H134" s="6" t="s">
        <v>108</v>
      </c>
      <c r="I134" s="6"/>
      <c r="J134" s="6"/>
      <c r="K134" s="6">
        <v>209</v>
      </c>
      <c r="L134" s="6">
        <v>23</v>
      </c>
      <c r="M134" s="6">
        <v>3</v>
      </c>
      <c r="N134" s="6" t="s">
        <v>3</v>
      </c>
      <c r="O134" s="6">
        <v>2</v>
      </c>
      <c r="P134" s="6">
        <f>ROUND(Source!DO110,O134)</f>
        <v>0</v>
      </c>
      <c r="Q134" s="6"/>
      <c r="R134" s="6"/>
      <c r="S134" s="6"/>
      <c r="T134" s="6"/>
      <c r="U134" s="6"/>
      <c r="V134" s="6"/>
      <c r="W134" s="6">
        <v>0</v>
      </c>
      <c r="X134" s="6">
        <v>1</v>
      </c>
      <c r="Y134" s="6">
        <v>0</v>
      </c>
      <c r="Z134" s="6">
        <v>0</v>
      </c>
      <c r="AA134" s="6">
        <v>1</v>
      </c>
      <c r="AB134" s="6">
        <v>0</v>
      </c>
    </row>
    <row r="135" spans="1:255" ht="13" x14ac:dyDescent="0.3">
      <c r="A135" s="6">
        <v>50</v>
      </c>
      <c r="B135" s="6">
        <v>0</v>
      </c>
      <c r="C135" s="6">
        <v>0</v>
      </c>
      <c r="D135" s="6">
        <v>1</v>
      </c>
      <c r="E135" s="6">
        <v>233</v>
      </c>
      <c r="F135" s="6">
        <f>ROUND(Source!BD110,O135)</f>
        <v>0</v>
      </c>
      <c r="G135" s="6" t="s">
        <v>109</v>
      </c>
      <c r="H135" s="6" t="s">
        <v>110</v>
      </c>
      <c r="I135" s="6"/>
      <c r="J135" s="6"/>
      <c r="K135" s="6">
        <v>233</v>
      </c>
      <c r="L135" s="6">
        <v>24</v>
      </c>
      <c r="M135" s="6">
        <v>3</v>
      </c>
      <c r="N135" s="6" t="s">
        <v>3</v>
      </c>
      <c r="O135" s="6">
        <v>2</v>
      </c>
      <c r="P135" s="6">
        <f>ROUND(Source!EV110,O135)</f>
        <v>0</v>
      </c>
      <c r="Q135" s="6"/>
      <c r="R135" s="6"/>
      <c r="S135" s="6"/>
      <c r="T135" s="6"/>
      <c r="U135" s="6"/>
      <c r="V135" s="6"/>
      <c r="W135" s="6">
        <v>0</v>
      </c>
      <c r="X135" s="6">
        <v>1</v>
      </c>
      <c r="Y135" s="6">
        <v>0</v>
      </c>
      <c r="Z135" s="6">
        <v>0</v>
      </c>
      <c r="AA135" s="6">
        <v>1</v>
      </c>
      <c r="AB135" s="6">
        <v>0</v>
      </c>
    </row>
    <row r="136" spans="1:255" ht="13" x14ac:dyDescent="0.3">
      <c r="A136" s="6">
        <v>50</v>
      </c>
      <c r="B136" s="6">
        <v>0</v>
      </c>
      <c r="C136" s="6">
        <v>0</v>
      </c>
      <c r="D136" s="6">
        <v>1</v>
      </c>
      <c r="E136" s="6">
        <v>210</v>
      </c>
      <c r="F136" s="6">
        <f>ROUND(Source!X110,O136)</f>
        <v>990.19</v>
      </c>
      <c r="G136" s="6" t="s">
        <v>111</v>
      </c>
      <c r="H136" s="6" t="s">
        <v>112</v>
      </c>
      <c r="I136" s="6"/>
      <c r="J136" s="6"/>
      <c r="K136" s="6">
        <v>210</v>
      </c>
      <c r="L136" s="6">
        <v>25</v>
      </c>
      <c r="M136" s="6">
        <v>3</v>
      </c>
      <c r="N136" s="6" t="s">
        <v>3</v>
      </c>
      <c r="O136" s="6">
        <v>2</v>
      </c>
      <c r="P136" s="6">
        <f>ROUND(Source!DP110,O136)</f>
        <v>55798.23</v>
      </c>
      <c r="Q136" s="6"/>
      <c r="R136" s="6"/>
      <c r="S136" s="6"/>
      <c r="T136" s="6"/>
      <c r="U136" s="6"/>
      <c r="V136" s="6"/>
      <c r="W136" s="6">
        <v>990.19</v>
      </c>
      <c r="X136" s="6">
        <v>1</v>
      </c>
      <c r="Y136" s="6">
        <v>990.19</v>
      </c>
      <c r="Z136" s="6">
        <v>55798.23</v>
      </c>
      <c r="AA136" s="6">
        <v>1</v>
      </c>
      <c r="AB136" s="6">
        <v>55798.23</v>
      </c>
    </row>
    <row r="137" spans="1:255" ht="13" x14ac:dyDescent="0.3">
      <c r="A137" s="6">
        <v>50</v>
      </c>
      <c r="B137" s="6">
        <v>0</v>
      </c>
      <c r="C137" s="6">
        <v>0</v>
      </c>
      <c r="D137" s="6">
        <v>1</v>
      </c>
      <c r="E137" s="6">
        <v>211</v>
      </c>
      <c r="F137" s="6">
        <f>ROUND(Source!Y110,O137)</f>
        <v>526.59</v>
      </c>
      <c r="G137" s="6" t="s">
        <v>113</v>
      </c>
      <c r="H137" s="6" t="s">
        <v>114</v>
      </c>
      <c r="I137" s="6"/>
      <c r="J137" s="6"/>
      <c r="K137" s="6">
        <v>211</v>
      </c>
      <c r="L137" s="6">
        <v>26</v>
      </c>
      <c r="M137" s="6">
        <v>3</v>
      </c>
      <c r="N137" s="6" t="s">
        <v>3</v>
      </c>
      <c r="O137" s="6">
        <v>2</v>
      </c>
      <c r="P137" s="6">
        <f>ROUND(Source!DQ110,O137)</f>
        <v>29673.64</v>
      </c>
      <c r="Q137" s="6"/>
      <c r="R137" s="6"/>
      <c r="S137" s="6"/>
      <c r="T137" s="6"/>
      <c r="U137" s="6"/>
      <c r="V137" s="6"/>
      <c r="W137" s="6">
        <v>526.59</v>
      </c>
      <c r="X137" s="6">
        <v>1</v>
      </c>
      <c r="Y137" s="6">
        <v>526.59</v>
      </c>
      <c r="Z137" s="6">
        <v>29673.64</v>
      </c>
      <c r="AA137" s="6">
        <v>1</v>
      </c>
      <c r="AB137" s="6">
        <v>29673.64</v>
      </c>
    </row>
    <row r="138" spans="1:255" ht="13" x14ac:dyDescent="0.3">
      <c r="A138" s="6">
        <v>50</v>
      </c>
      <c r="B138" s="6">
        <v>0</v>
      </c>
      <c r="C138" s="6">
        <v>0</v>
      </c>
      <c r="D138" s="6">
        <v>1</v>
      </c>
      <c r="E138" s="6">
        <v>224</v>
      </c>
      <c r="F138" s="6">
        <f>ROUND(Source!AR110,O138)</f>
        <v>659068.62</v>
      </c>
      <c r="G138" s="6" t="s">
        <v>115</v>
      </c>
      <c r="H138" s="6" t="s">
        <v>116</v>
      </c>
      <c r="I138" s="6"/>
      <c r="J138" s="6"/>
      <c r="K138" s="6">
        <v>224</v>
      </c>
      <c r="L138" s="6">
        <v>27</v>
      </c>
      <c r="M138" s="6">
        <v>3</v>
      </c>
      <c r="N138" s="6" t="s">
        <v>3</v>
      </c>
      <c r="O138" s="6">
        <v>2</v>
      </c>
      <c r="P138" s="6">
        <f>ROUND(Source!EJ110,O138)</f>
        <v>5116993.57</v>
      </c>
      <c r="Q138" s="6"/>
      <c r="R138" s="6"/>
      <c r="S138" s="6"/>
      <c r="T138" s="6"/>
      <c r="U138" s="6"/>
      <c r="V138" s="6"/>
      <c r="W138" s="6">
        <v>659068.62</v>
      </c>
      <c r="X138" s="6">
        <v>1</v>
      </c>
      <c r="Y138" s="6">
        <v>659068.62</v>
      </c>
      <c r="Z138" s="6">
        <v>5116993.57</v>
      </c>
      <c r="AA138" s="6">
        <v>1</v>
      </c>
      <c r="AB138" s="6">
        <v>5116993.57</v>
      </c>
    </row>
    <row r="140" spans="1:255" ht="13" x14ac:dyDescent="0.3">
      <c r="A140" s="1">
        <v>4</v>
      </c>
      <c r="B140" s="1">
        <v>1</v>
      </c>
      <c r="C140" s="1"/>
      <c r="D140" s="1">
        <f>ROW(A157)</f>
        <v>157</v>
      </c>
      <c r="E140" s="1"/>
      <c r="F140" s="1" t="s">
        <v>34</v>
      </c>
      <c r="G140" s="1" t="s">
        <v>168</v>
      </c>
      <c r="H140" s="1" t="s">
        <v>3</v>
      </c>
      <c r="I140" s="1">
        <v>0</v>
      </c>
      <c r="J140" s="1"/>
      <c r="K140" s="1">
        <v>-1</v>
      </c>
      <c r="L140" s="1"/>
      <c r="M140" s="1" t="s">
        <v>3</v>
      </c>
      <c r="N140" s="1"/>
      <c r="O140" s="1"/>
      <c r="P140" s="1"/>
      <c r="Q140" s="1"/>
      <c r="R140" s="1"/>
      <c r="S140" s="1">
        <v>0</v>
      </c>
      <c r="T140" s="1">
        <v>0</v>
      </c>
      <c r="U140" s="1" t="s">
        <v>3</v>
      </c>
      <c r="V140" s="1">
        <v>2</v>
      </c>
      <c r="W140" s="1"/>
      <c r="X140" s="1"/>
      <c r="Y140" s="1"/>
      <c r="Z140" s="1"/>
      <c r="AA140" s="1"/>
      <c r="AB140" s="1" t="s">
        <v>3</v>
      </c>
      <c r="AC140" s="1" t="s">
        <v>3</v>
      </c>
      <c r="AD140" s="1" t="s">
        <v>3</v>
      </c>
      <c r="AE140" s="1" t="s">
        <v>3</v>
      </c>
      <c r="AF140" s="1" t="s">
        <v>3</v>
      </c>
      <c r="AG140" s="1" t="s">
        <v>3</v>
      </c>
      <c r="AH140" s="1"/>
      <c r="AI140" s="1"/>
      <c r="AJ140" s="1"/>
      <c r="AK140" s="1"/>
      <c r="AL140" s="1"/>
      <c r="AM140" s="1"/>
      <c r="AN140" s="1"/>
      <c r="AO140" s="1"/>
      <c r="AP140" s="1" t="s">
        <v>3</v>
      </c>
      <c r="AQ140" s="1" t="s">
        <v>3</v>
      </c>
      <c r="AR140" s="1" t="s">
        <v>3</v>
      </c>
      <c r="AS140" s="1"/>
      <c r="AT140" s="1"/>
      <c r="AU140" s="1"/>
      <c r="AV140" s="1"/>
      <c r="AW140" s="1"/>
      <c r="AX140" s="1"/>
      <c r="AY140" s="1"/>
      <c r="AZ140" s="1" t="s">
        <v>3</v>
      </c>
      <c r="BA140" s="1"/>
      <c r="BB140" s="1" t="s">
        <v>3</v>
      </c>
      <c r="BC140" s="1" t="s">
        <v>3</v>
      </c>
      <c r="BD140" s="1" t="s">
        <v>3</v>
      </c>
      <c r="BE140" s="1" t="s">
        <v>3</v>
      </c>
      <c r="BF140" s="1" t="s">
        <v>3</v>
      </c>
      <c r="BG140" s="1" t="s">
        <v>3</v>
      </c>
      <c r="BH140" s="1" t="s">
        <v>3</v>
      </c>
      <c r="BI140" s="1" t="s">
        <v>3</v>
      </c>
      <c r="BJ140" s="1" t="s">
        <v>3</v>
      </c>
      <c r="BK140" s="1" t="s">
        <v>3</v>
      </c>
      <c r="BL140" s="1" t="s">
        <v>3</v>
      </c>
      <c r="BM140" s="1" t="s">
        <v>3</v>
      </c>
      <c r="BN140" s="1" t="s">
        <v>3</v>
      </c>
      <c r="BO140" s="1" t="s">
        <v>3</v>
      </c>
      <c r="BP140" s="1" t="s">
        <v>3</v>
      </c>
      <c r="BQ140" s="1"/>
      <c r="BR140" s="1"/>
      <c r="BS140" s="1"/>
      <c r="BT140" s="1"/>
      <c r="BU140" s="1"/>
      <c r="BV140" s="1"/>
      <c r="BW140" s="1"/>
      <c r="BX140" s="1">
        <v>0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>
        <v>0</v>
      </c>
    </row>
    <row r="142" spans="1:255" ht="13" x14ac:dyDescent="0.3">
      <c r="A142" s="4">
        <v>52</v>
      </c>
      <c r="B142" s="4">
        <f t="shared" ref="B142:G142" si="108">B157</f>
        <v>1</v>
      </c>
      <c r="C142" s="4">
        <f t="shared" si="108"/>
        <v>4</v>
      </c>
      <c r="D142" s="4">
        <f t="shared" si="108"/>
        <v>140</v>
      </c>
      <c r="E142" s="4">
        <f t="shared" si="108"/>
        <v>0</v>
      </c>
      <c r="F142" s="4" t="str">
        <f t="shared" si="108"/>
        <v>2</v>
      </c>
      <c r="G142" s="4" t="str">
        <f t="shared" si="108"/>
        <v>Разное</v>
      </c>
      <c r="H142" s="4"/>
      <c r="I142" s="4"/>
      <c r="J142" s="4"/>
      <c r="K142" s="4"/>
      <c r="L142" s="4"/>
      <c r="M142" s="4"/>
      <c r="N142" s="4"/>
      <c r="O142" s="4">
        <f t="shared" ref="O142:AT142" si="109">O157</f>
        <v>18985.37</v>
      </c>
      <c r="P142" s="4">
        <f t="shared" si="109"/>
        <v>18304.16</v>
      </c>
      <c r="Q142" s="4">
        <f t="shared" si="109"/>
        <v>0.63</v>
      </c>
      <c r="R142" s="4">
        <f t="shared" si="109"/>
        <v>0.1</v>
      </c>
      <c r="S142" s="4">
        <f t="shared" si="109"/>
        <v>680.58</v>
      </c>
      <c r="T142" s="4">
        <f t="shared" si="109"/>
        <v>0</v>
      </c>
      <c r="U142" s="4">
        <f t="shared" si="109"/>
        <v>54.062891999999991</v>
      </c>
      <c r="V142" s="4">
        <f t="shared" si="109"/>
        <v>0</v>
      </c>
      <c r="W142" s="4">
        <f t="shared" si="109"/>
        <v>0</v>
      </c>
      <c r="X142" s="4">
        <f t="shared" si="109"/>
        <v>612.62</v>
      </c>
      <c r="Y142" s="4">
        <f t="shared" si="109"/>
        <v>313.11</v>
      </c>
      <c r="Z142" s="4">
        <f t="shared" si="109"/>
        <v>0</v>
      </c>
      <c r="AA142" s="4">
        <f t="shared" si="109"/>
        <v>0</v>
      </c>
      <c r="AB142" s="4">
        <f t="shared" si="109"/>
        <v>18985.37</v>
      </c>
      <c r="AC142" s="4">
        <f t="shared" si="109"/>
        <v>18304.16</v>
      </c>
      <c r="AD142" s="4">
        <f t="shared" si="109"/>
        <v>0.63</v>
      </c>
      <c r="AE142" s="4">
        <f t="shared" si="109"/>
        <v>0.1</v>
      </c>
      <c r="AF142" s="4">
        <f t="shared" si="109"/>
        <v>680.58</v>
      </c>
      <c r="AG142" s="4">
        <f t="shared" si="109"/>
        <v>0</v>
      </c>
      <c r="AH142" s="4">
        <f t="shared" si="109"/>
        <v>54.062891999999991</v>
      </c>
      <c r="AI142" s="4">
        <f t="shared" si="109"/>
        <v>0</v>
      </c>
      <c r="AJ142" s="4">
        <f t="shared" si="109"/>
        <v>0</v>
      </c>
      <c r="AK142" s="4">
        <f t="shared" si="109"/>
        <v>612.62</v>
      </c>
      <c r="AL142" s="4">
        <f t="shared" si="109"/>
        <v>313.11</v>
      </c>
      <c r="AM142" s="4">
        <f t="shared" si="109"/>
        <v>0</v>
      </c>
      <c r="AN142" s="4">
        <f t="shared" si="109"/>
        <v>0</v>
      </c>
      <c r="AO142" s="4">
        <f t="shared" si="109"/>
        <v>0</v>
      </c>
      <c r="AP142" s="4">
        <f t="shared" si="109"/>
        <v>17707.62</v>
      </c>
      <c r="AQ142" s="4">
        <f t="shared" si="109"/>
        <v>0</v>
      </c>
      <c r="AR142" s="4">
        <f t="shared" si="109"/>
        <v>19911.099999999999</v>
      </c>
      <c r="AS142" s="4">
        <f t="shared" si="109"/>
        <v>0</v>
      </c>
      <c r="AT142" s="4">
        <f t="shared" si="109"/>
        <v>2203.48</v>
      </c>
      <c r="AU142" s="4">
        <f t="shared" ref="AU142:BZ142" si="110">AU157</f>
        <v>0</v>
      </c>
      <c r="AV142" s="4">
        <f t="shared" si="110"/>
        <v>18304.16</v>
      </c>
      <c r="AW142" s="4">
        <f t="shared" si="110"/>
        <v>596.54</v>
      </c>
      <c r="AX142" s="4">
        <f t="shared" si="110"/>
        <v>0</v>
      </c>
      <c r="AY142" s="4">
        <f t="shared" si="110"/>
        <v>596.54</v>
      </c>
      <c r="AZ142" s="4">
        <f t="shared" si="110"/>
        <v>17707.62</v>
      </c>
      <c r="BA142" s="4">
        <f t="shared" si="110"/>
        <v>0</v>
      </c>
      <c r="BB142" s="4">
        <f t="shared" si="110"/>
        <v>0</v>
      </c>
      <c r="BC142" s="4">
        <f t="shared" si="110"/>
        <v>0</v>
      </c>
      <c r="BD142" s="4">
        <f t="shared" si="110"/>
        <v>0</v>
      </c>
      <c r="BE142" s="4">
        <f t="shared" si="110"/>
        <v>0</v>
      </c>
      <c r="BF142" s="4">
        <f t="shared" si="110"/>
        <v>0</v>
      </c>
      <c r="BG142" s="4">
        <f t="shared" si="110"/>
        <v>0</v>
      </c>
      <c r="BH142" s="4">
        <f t="shared" si="110"/>
        <v>0</v>
      </c>
      <c r="BI142" s="4">
        <f t="shared" si="110"/>
        <v>0</v>
      </c>
      <c r="BJ142" s="4">
        <f t="shared" si="110"/>
        <v>0</v>
      </c>
      <c r="BK142" s="4">
        <f t="shared" si="110"/>
        <v>0</v>
      </c>
      <c r="BL142" s="4">
        <f t="shared" si="110"/>
        <v>0</v>
      </c>
      <c r="BM142" s="4">
        <f t="shared" si="110"/>
        <v>0</v>
      </c>
      <c r="BN142" s="4">
        <f t="shared" si="110"/>
        <v>0</v>
      </c>
      <c r="BO142" s="4">
        <f t="shared" si="110"/>
        <v>0</v>
      </c>
      <c r="BP142" s="4">
        <f t="shared" si="110"/>
        <v>0</v>
      </c>
      <c r="BQ142" s="4">
        <f t="shared" si="110"/>
        <v>0</v>
      </c>
      <c r="BR142" s="4">
        <f t="shared" si="110"/>
        <v>0</v>
      </c>
      <c r="BS142" s="4">
        <f t="shared" si="110"/>
        <v>0</v>
      </c>
      <c r="BT142" s="4">
        <f t="shared" si="110"/>
        <v>0</v>
      </c>
      <c r="BU142" s="4">
        <f t="shared" si="110"/>
        <v>0</v>
      </c>
      <c r="BV142" s="4">
        <f t="shared" si="110"/>
        <v>0</v>
      </c>
      <c r="BW142" s="4">
        <f t="shared" si="110"/>
        <v>0</v>
      </c>
      <c r="BX142" s="4">
        <f t="shared" si="110"/>
        <v>0</v>
      </c>
      <c r="BY142" s="4">
        <f t="shared" si="110"/>
        <v>17707.62</v>
      </c>
      <c r="BZ142" s="4">
        <f t="shared" si="110"/>
        <v>0</v>
      </c>
      <c r="CA142" s="4">
        <f t="shared" ref="CA142:DF142" si="111">CA157</f>
        <v>19911.099999999999</v>
      </c>
      <c r="CB142" s="4">
        <f t="shared" si="111"/>
        <v>0</v>
      </c>
      <c r="CC142" s="4">
        <f t="shared" si="111"/>
        <v>2203.48</v>
      </c>
      <c r="CD142" s="4">
        <f t="shared" si="111"/>
        <v>0</v>
      </c>
      <c r="CE142" s="4">
        <f t="shared" si="111"/>
        <v>18304.16</v>
      </c>
      <c r="CF142" s="4">
        <f t="shared" si="111"/>
        <v>596.54000000000087</v>
      </c>
      <c r="CG142" s="4">
        <f t="shared" si="111"/>
        <v>0</v>
      </c>
      <c r="CH142" s="4">
        <f t="shared" si="111"/>
        <v>596.54000000000087</v>
      </c>
      <c r="CI142" s="4">
        <f t="shared" si="111"/>
        <v>17707.62</v>
      </c>
      <c r="CJ142" s="4">
        <f t="shared" si="111"/>
        <v>0</v>
      </c>
      <c r="CK142" s="4">
        <f t="shared" si="111"/>
        <v>0</v>
      </c>
      <c r="CL142" s="4">
        <f t="shared" si="111"/>
        <v>0</v>
      </c>
      <c r="CM142" s="4">
        <f t="shared" si="111"/>
        <v>0</v>
      </c>
      <c r="CN142" s="4">
        <f t="shared" si="111"/>
        <v>0</v>
      </c>
      <c r="CO142" s="4">
        <f t="shared" si="111"/>
        <v>0</v>
      </c>
      <c r="CP142" s="4">
        <f t="shared" si="111"/>
        <v>0</v>
      </c>
      <c r="CQ142" s="4">
        <f t="shared" si="111"/>
        <v>0</v>
      </c>
      <c r="CR142" s="4">
        <f t="shared" si="111"/>
        <v>0</v>
      </c>
      <c r="CS142" s="4">
        <f t="shared" si="111"/>
        <v>0</v>
      </c>
      <c r="CT142" s="4">
        <f t="shared" si="111"/>
        <v>0</v>
      </c>
      <c r="CU142" s="4">
        <f t="shared" si="111"/>
        <v>0</v>
      </c>
      <c r="CV142" s="4">
        <f t="shared" si="111"/>
        <v>0</v>
      </c>
      <c r="CW142" s="4">
        <f t="shared" si="111"/>
        <v>0</v>
      </c>
      <c r="CX142" s="4">
        <f t="shared" si="111"/>
        <v>0</v>
      </c>
      <c r="CY142" s="4">
        <f t="shared" si="111"/>
        <v>0</v>
      </c>
      <c r="CZ142" s="4">
        <f t="shared" si="111"/>
        <v>0</v>
      </c>
      <c r="DA142" s="4">
        <f t="shared" si="111"/>
        <v>0</v>
      </c>
      <c r="DB142" s="4">
        <f t="shared" si="111"/>
        <v>0</v>
      </c>
      <c r="DC142" s="4">
        <f t="shared" si="111"/>
        <v>0</v>
      </c>
      <c r="DD142" s="4">
        <f t="shared" si="111"/>
        <v>0</v>
      </c>
      <c r="DE142" s="4">
        <f t="shared" si="111"/>
        <v>0</v>
      </c>
      <c r="DF142" s="4">
        <f t="shared" si="111"/>
        <v>0</v>
      </c>
      <c r="DG142" s="5">
        <f t="shared" ref="DG142:EL142" si="112">DG157</f>
        <v>175480.26</v>
      </c>
      <c r="DH142" s="5">
        <f t="shared" si="112"/>
        <v>137118.85999999999</v>
      </c>
      <c r="DI142" s="5">
        <f t="shared" si="112"/>
        <v>10.72</v>
      </c>
      <c r="DJ142" s="5">
        <f t="shared" si="112"/>
        <v>5.64</v>
      </c>
      <c r="DK142" s="5">
        <f t="shared" si="112"/>
        <v>38350.68</v>
      </c>
      <c r="DL142" s="5">
        <f t="shared" si="112"/>
        <v>0</v>
      </c>
      <c r="DM142" s="5">
        <f t="shared" si="112"/>
        <v>54.062891999999991</v>
      </c>
      <c r="DN142" s="5">
        <f t="shared" si="112"/>
        <v>0</v>
      </c>
      <c r="DO142" s="5">
        <f t="shared" si="112"/>
        <v>0</v>
      </c>
      <c r="DP142" s="5">
        <f t="shared" si="112"/>
        <v>34520.69</v>
      </c>
      <c r="DQ142" s="5">
        <f t="shared" si="112"/>
        <v>17643.91</v>
      </c>
      <c r="DR142" s="5">
        <f t="shared" si="112"/>
        <v>0</v>
      </c>
      <c r="DS142" s="5">
        <f t="shared" si="112"/>
        <v>0</v>
      </c>
      <c r="DT142" s="5">
        <f t="shared" si="112"/>
        <v>175480.26</v>
      </c>
      <c r="DU142" s="5">
        <f t="shared" si="112"/>
        <v>137118.85999999999</v>
      </c>
      <c r="DV142" s="5">
        <f t="shared" si="112"/>
        <v>10.72</v>
      </c>
      <c r="DW142" s="5">
        <f t="shared" si="112"/>
        <v>5.64</v>
      </c>
      <c r="DX142" s="5">
        <f t="shared" si="112"/>
        <v>38350.68</v>
      </c>
      <c r="DY142" s="5">
        <f t="shared" si="112"/>
        <v>0</v>
      </c>
      <c r="DZ142" s="5">
        <f t="shared" si="112"/>
        <v>54.062891999999991</v>
      </c>
      <c r="EA142" s="5">
        <f t="shared" si="112"/>
        <v>0</v>
      </c>
      <c r="EB142" s="5">
        <f t="shared" si="112"/>
        <v>0</v>
      </c>
      <c r="EC142" s="5">
        <f t="shared" si="112"/>
        <v>34520.69</v>
      </c>
      <c r="ED142" s="5">
        <f t="shared" si="112"/>
        <v>17643.91</v>
      </c>
      <c r="EE142" s="5">
        <f t="shared" si="112"/>
        <v>0</v>
      </c>
      <c r="EF142" s="5">
        <f t="shared" si="112"/>
        <v>0</v>
      </c>
      <c r="EG142" s="5">
        <f t="shared" si="112"/>
        <v>0</v>
      </c>
      <c r="EH142" s="5">
        <f t="shared" si="112"/>
        <v>134046.68</v>
      </c>
      <c r="EI142" s="5">
        <f t="shared" si="112"/>
        <v>0</v>
      </c>
      <c r="EJ142" s="5">
        <f t="shared" si="112"/>
        <v>227644.86</v>
      </c>
      <c r="EK142" s="5">
        <f t="shared" si="112"/>
        <v>0</v>
      </c>
      <c r="EL142" s="5">
        <f t="shared" si="112"/>
        <v>93598.18</v>
      </c>
      <c r="EM142" s="5">
        <f t="shared" ref="EM142:FR142" si="113">EM157</f>
        <v>0</v>
      </c>
      <c r="EN142" s="5">
        <f t="shared" si="113"/>
        <v>137118.85999999999</v>
      </c>
      <c r="EO142" s="5">
        <f t="shared" si="113"/>
        <v>3072.18</v>
      </c>
      <c r="EP142" s="5">
        <f t="shared" si="113"/>
        <v>0</v>
      </c>
      <c r="EQ142" s="5">
        <f t="shared" si="113"/>
        <v>3072.18</v>
      </c>
      <c r="ER142" s="5">
        <f t="shared" si="113"/>
        <v>134046.68</v>
      </c>
      <c r="ES142" s="5">
        <f t="shared" si="113"/>
        <v>0</v>
      </c>
      <c r="ET142" s="5">
        <f t="shared" si="113"/>
        <v>0</v>
      </c>
      <c r="EU142" s="5">
        <f t="shared" si="113"/>
        <v>0</v>
      </c>
      <c r="EV142" s="5">
        <f t="shared" si="113"/>
        <v>0</v>
      </c>
      <c r="EW142" s="5">
        <f t="shared" si="113"/>
        <v>0</v>
      </c>
      <c r="EX142" s="5">
        <f t="shared" si="113"/>
        <v>0</v>
      </c>
      <c r="EY142" s="5">
        <f t="shared" si="113"/>
        <v>0</v>
      </c>
      <c r="EZ142" s="5">
        <f t="shared" si="113"/>
        <v>0</v>
      </c>
      <c r="FA142" s="5">
        <f t="shared" si="113"/>
        <v>0</v>
      </c>
      <c r="FB142" s="5">
        <f t="shared" si="113"/>
        <v>0</v>
      </c>
      <c r="FC142" s="5">
        <f t="shared" si="113"/>
        <v>0</v>
      </c>
      <c r="FD142" s="5">
        <f t="shared" si="113"/>
        <v>0</v>
      </c>
      <c r="FE142" s="5">
        <f t="shared" si="113"/>
        <v>0</v>
      </c>
      <c r="FF142" s="5">
        <f t="shared" si="113"/>
        <v>0</v>
      </c>
      <c r="FG142" s="5">
        <f t="shared" si="113"/>
        <v>0</v>
      </c>
      <c r="FH142" s="5">
        <f t="shared" si="113"/>
        <v>0</v>
      </c>
      <c r="FI142" s="5">
        <f t="shared" si="113"/>
        <v>0</v>
      </c>
      <c r="FJ142" s="5">
        <f t="shared" si="113"/>
        <v>0</v>
      </c>
      <c r="FK142" s="5">
        <f t="shared" si="113"/>
        <v>0</v>
      </c>
      <c r="FL142" s="5">
        <f t="shared" si="113"/>
        <v>0</v>
      </c>
      <c r="FM142" s="5">
        <f t="shared" si="113"/>
        <v>0</v>
      </c>
      <c r="FN142" s="5">
        <f t="shared" si="113"/>
        <v>0</v>
      </c>
      <c r="FO142" s="5">
        <f t="shared" si="113"/>
        <v>0</v>
      </c>
      <c r="FP142" s="5">
        <f t="shared" si="113"/>
        <v>0</v>
      </c>
      <c r="FQ142" s="5">
        <f t="shared" si="113"/>
        <v>134046.68</v>
      </c>
      <c r="FR142" s="5">
        <f t="shared" si="113"/>
        <v>0</v>
      </c>
      <c r="FS142" s="5">
        <f t="shared" ref="FS142:GX142" si="114">FS157</f>
        <v>227644.86</v>
      </c>
      <c r="FT142" s="5">
        <f t="shared" si="114"/>
        <v>0</v>
      </c>
      <c r="FU142" s="5">
        <f t="shared" si="114"/>
        <v>93598.18</v>
      </c>
      <c r="FV142" s="5">
        <f t="shared" si="114"/>
        <v>0</v>
      </c>
      <c r="FW142" s="5">
        <f t="shared" si="114"/>
        <v>137118.85999999999</v>
      </c>
      <c r="FX142" s="5">
        <f t="shared" si="114"/>
        <v>3072.179999999993</v>
      </c>
      <c r="FY142" s="5">
        <f t="shared" si="114"/>
        <v>0</v>
      </c>
      <c r="FZ142" s="5">
        <f t="shared" si="114"/>
        <v>3072.179999999993</v>
      </c>
      <c r="GA142" s="5">
        <f t="shared" si="114"/>
        <v>134046.68</v>
      </c>
      <c r="GB142" s="5">
        <f t="shared" si="114"/>
        <v>0</v>
      </c>
      <c r="GC142" s="5">
        <f t="shared" si="114"/>
        <v>0</v>
      </c>
      <c r="GD142" s="5">
        <f t="shared" si="114"/>
        <v>0</v>
      </c>
      <c r="GE142" s="5">
        <f t="shared" si="114"/>
        <v>0</v>
      </c>
      <c r="GF142" s="5">
        <f t="shared" si="114"/>
        <v>0</v>
      </c>
      <c r="GG142" s="5">
        <f t="shared" si="114"/>
        <v>0</v>
      </c>
      <c r="GH142" s="5">
        <f t="shared" si="114"/>
        <v>0</v>
      </c>
      <c r="GI142" s="5">
        <f t="shared" si="114"/>
        <v>0</v>
      </c>
      <c r="GJ142" s="5">
        <f t="shared" si="114"/>
        <v>0</v>
      </c>
      <c r="GK142" s="5">
        <f t="shared" si="114"/>
        <v>0</v>
      </c>
      <c r="GL142" s="5">
        <f t="shared" si="114"/>
        <v>0</v>
      </c>
      <c r="GM142" s="5">
        <f t="shared" si="114"/>
        <v>0</v>
      </c>
      <c r="GN142" s="5">
        <f t="shared" si="114"/>
        <v>0</v>
      </c>
      <c r="GO142" s="5">
        <f t="shared" si="114"/>
        <v>0</v>
      </c>
      <c r="GP142" s="5">
        <f t="shared" si="114"/>
        <v>0</v>
      </c>
      <c r="GQ142" s="5">
        <f t="shared" si="114"/>
        <v>0</v>
      </c>
      <c r="GR142" s="5">
        <f t="shared" si="114"/>
        <v>0</v>
      </c>
      <c r="GS142" s="5">
        <f t="shared" si="114"/>
        <v>0</v>
      </c>
      <c r="GT142" s="5">
        <f t="shared" si="114"/>
        <v>0</v>
      </c>
      <c r="GU142" s="5">
        <f t="shared" si="114"/>
        <v>0</v>
      </c>
      <c r="GV142" s="5">
        <f t="shared" si="114"/>
        <v>0</v>
      </c>
      <c r="GW142" s="5">
        <f t="shared" si="114"/>
        <v>0</v>
      </c>
      <c r="GX142" s="5">
        <f t="shared" si="114"/>
        <v>0</v>
      </c>
    </row>
    <row r="144" spans="1:255" ht="409.5" x14ac:dyDescent="0.25">
      <c r="A144" s="2">
        <v>17</v>
      </c>
      <c r="B144" s="2">
        <v>1</v>
      </c>
      <c r="C144" s="2">
        <f>ROW(SmtRes!A190)</f>
        <v>190</v>
      </c>
      <c r="D144" s="2">
        <f>ROW(EtalonRes!A227)</f>
        <v>227</v>
      </c>
      <c r="E144" s="2" t="s">
        <v>169</v>
      </c>
      <c r="F144" s="2" t="s">
        <v>170</v>
      </c>
      <c r="G144" s="2" t="s">
        <v>171</v>
      </c>
      <c r="H144" s="2" t="s">
        <v>26</v>
      </c>
      <c r="I144" s="2">
        <v>1</v>
      </c>
      <c r="J144" s="2">
        <v>0</v>
      </c>
      <c r="K144" s="2">
        <v>1</v>
      </c>
      <c r="L144" s="2"/>
      <c r="M144" s="2"/>
      <c r="N144" s="2"/>
      <c r="O144" s="2">
        <f t="shared" ref="O144:O155" si="115">ROUND(CP144,2)</f>
        <v>15.27</v>
      </c>
      <c r="P144" s="2">
        <f t="shared" ref="P144:P155" si="116">ROUND((ROUND((AC144*AW144*I144),2)*BC144),2)</f>
        <v>0</v>
      </c>
      <c r="Q144" s="2">
        <f>(ROUND((ROUND((((ET144*1.2))*AV144*I144),2)*BB144),2)+ROUND((ROUND(((AE144-((EU144*1.2)))*AV144*I144),2)*BS144),2))</f>
        <v>0.63</v>
      </c>
      <c r="R144" s="2">
        <f>(ROUND((ROUND((((EU144*1.2))*AV144*I144),2)*BS144),2)+ROUND((ROUND(((AE144-((EU144*1.2)))*AV144*I144),2)*BS144),2))</f>
        <v>0.1</v>
      </c>
      <c r="S144" s="2">
        <f t="shared" ref="S144:S155" si="117">ROUND((ROUND((AF144*AV144*I144),2)*BA144),2)</f>
        <v>14.64</v>
      </c>
      <c r="T144" s="2">
        <f t="shared" ref="T144:T155" si="118">ROUND(CU144*I144,2)</f>
        <v>0</v>
      </c>
      <c r="U144" s="2">
        <f t="shared" ref="U144:U155" si="119">CV144*I144</f>
        <v>1.2940919999999998</v>
      </c>
      <c r="V144" s="2">
        <f t="shared" ref="V144:V155" si="120">CW144*I144</f>
        <v>0</v>
      </c>
      <c r="W144" s="2">
        <f t="shared" ref="W144:W155" si="121">ROUND(CX144*I144,2)</f>
        <v>0</v>
      </c>
      <c r="X144" s="2">
        <f>(ROUND((((S144+ROUND((ROUND((((EU144*1.2))*AV144*I144),2)*BS144),2))*AT144)/100),2)+ROUND(((ROUND((ROUND(((AE144-((EU144*1.2)))*AV144*I144),2)*BS144),2)*AT144)/100),2))</f>
        <v>13.27</v>
      </c>
      <c r="Y144" s="2">
        <f>(ROUND((((S144+ROUND((ROUND((((EU144*1.2))*AV144*I144),2)*BS144),2))*AU144)/100),2)+ROUND(((ROUND((ROUND(((AE144-((EU144*1.2)))*AV144*I144),2)*BS144),2)*AU144)/100),2))</f>
        <v>6.78</v>
      </c>
      <c r="Z144" s="2"/>
      <c r="AA144" s="2">
        <v>55934355</v>
      </c>
      <c r="AB144" s="2">
        <f t="shared" ref="AB144:AB155" si="122">ROUND((AC144+AD144+AF144),6)</f>
        <v>14.58</v>
      </c>
      <c r="AC144" s="2">
        <f>ROUND(((ES144*1)),6)</f>
        <v>0</v>
      </c>
      <c r="AD144" s="2">
        <f>ROUND(((((ET144*1.2))-((EU144*1.2)))+AE144),6)</f>
        <v>0.6</v>
      </c>
      <c r="AE144" s="2">
        <f>ROUND(((EU144*1.2)),6)</f>
        <v>9.6000000000000002E-2</v>
      </c>
      <c r="AF144" s="2">
        <f>ROUND(((EV144*1.2)),6)</f>
        <v>13.98</v>
      </c>
      <c r="AG144" s="2">
        <f t="shared" ref="AG144:AG155" si="123">ROUND((AP144),6)</f>
        <v>0</v>
      </c>
      <c r="AH144" s="2">
        <f>((EW144*1.2))</f>
        <v>1.236</v>
      </c>
      <c r="AI144" s="2">
        <f>((EX144*1.2))</f>
        <v>0</v>
      </c>
      <c r="AJ144" s="2">
        <f t="shared" ref="AJ144:AJ155" si="124">(AS144)</f>
        <v>0</v>
      </c>
      <c r="AK144" s="2">
        <v>12.15</v>
      </c>
      <c r="AL144" s="2">
        <v>0</v>
      </c>
      <c r="AM144" s="2">
        <v>0.5</v>
      </c>
      <c r="AN144" s="2">
        <v>0.08</v>
      </c>
      <c r="AO144" s="2">
        <v>11.65</v>
      </c>
      <c r="AP144" s="2">
        <v>0</v>
      </c>
      <c r="AQ144" s="2">
        <v>1.03</v>
      </c>
      <c r="AR144" s="2">
        <v>0</v>
      </c>
      <c r="AS144" s="2">
        <v>0</v>
      </c>
      <c r="AT144" s="2">
        <v>90</v>
      </c>
      <c r="AU144" s="2">
        <v>46</v>
      </c>
      <c r="AV144" s="2">
        <v>1.0469999999999999</v>
      </c>
      <c r="AW144" s="2">
        <v>1</v>
      </c>
      <c r="AX144" s="2"/>
      <c r="AY144" s="2"/>
      <c r="AZ144" s="2">
        <v>1</v>
      </c>
      <c r="BA144" s="2">
        <v>1</v>
      </c>
      <c r="BB144" s="2">
        <v>1</v>
      </c>
      <c r="BC144" s="2">
        <v>1</v>
      </c>
      <c r="BD144" s="2" t="s">
        <v>3</v>
      </c>
      <c r="BE144" s="2" t="s">
        <v>3</v>
      </c>
      <c r="BF144" s="2" t="s">
        <v>3</v>
      </c>
      <c r="BG144" s="2" t="s">
        <v>3</v>
      </c>
      <c r="BH144" s="2">
        <v>0</v>
      </c>
      <c r="BI144" s="2">
        <v>2</v>
      </c>
      <c r="BJ144" s="2" t="s">
        <v>172</v>
      </c>
      <c r="BK144" s="2"/>
      <c r="BL144" s="2"/>
      <c r="BM144" s="2">
        <v>72</v>
      </c>
      <c r="BN144" s="2">
        <v>0</v>
      </c>
      <c r="BO144" s="2" t="s">
        <v>170</v>
      </c>
      <c r="BP144" s="2">
        <v>1</v>
      </c>
      <c r="BQ144" s="2">
        <v>40</v>
      </c>
      <c r="BR144" s="2">
        <v>0</v>
      </c>
      <c r="BS144" s="2">
        <v>1</v>
      </c>
      <c r="BT144" s="2">
        <v>1</v>
      </c>
      <c r="BU144" s="2">
        <v>1</v>
      </c>
      <c r="BV144" s="2">
        <v>1</v>
      </c>
      <c r="BW144" s="2">
        <v>1</v>
      </c>
      <c r="BX144" s="2">
        <v>1</v>
      </c>
      <c r="BY144" s="2" t="s">
        <v>3</v>
      </c>
      <c r="BZ144" s="2">
        <v>90</v>
      </c>
      <c r="CA144" s="2">
        <v>46</v>
      </c>
      <c r="CB144" s="2" t="s">
        <v>3</v>
      </c>
      <c r="CC144" s="2"/>
      <c r="CD144" s="2"/>
      <c r="CE144" s="2">
        <v>1566</v>
      </c>
      <c r="CF144" s="2">
        <v>0</v>
      </c>
      <c r="CG144" s="2">
        <v>0</v>
      </c>
      <c r="CH144" s="2"/>
      <c r="CI144" s="2"/>
      <c r="CJ144" s="2"/>
      <c r="CK144" s="2"/>
      <c r="CL144" s="2"/>
      <c r="CM144" s="2">
        <v>0</v>
      </c>
      <c r="CN144" s="11" t="s">
        <v>419</v>
      </c>
      <c r="CO144" s="2">
        <v>0</v>
      </c>
      <c r="CP144" s="2">
        <f t="shared" ref="CP144:CP155" si="125">(P144+Q144+S144)</f>
        <v>15.270000000000001</v>
      </c>
      <c r="CQ144" s="2">
        <f t="shared" ref="CQ144:CQ155" si="126">ROUND((ROUND((AC144*AW144*1),2)*BC144),2)</f>
        <v>0</v>
      </c>
      <c r="CR144" s="2">
        <f>(ROUND((ROUND((((ET144*1.2))*AV144*1),2)*BB144),2)+ROUND((ROUND(((AE144-((EU144*1.2)))*AV144*1),2)*BS144),2))</f>
        <v>0.63</v>
      </c>
      <c r="CS144" s="2">
        <f>(ROUND((ROUND((((EU144*1.2))*AV144*1),2)*BS144),2)+ROUND((ROUND(((AE144-((EU144*1.2)))*AV144*1),2)*BS144),2))</f>
        <v>0.1</v>
      </c>
      <c r="CT144" s="2">
        <f t="shared" ref="CT144:CT155" si="127">ROUND((ROUND((AF144*AV144*1),2)*BA144),2)</f>
        <v>14.64</v>
      </c>
      <c r="CU144" s="2">
        <f t="shared" ref="CU144:CU155" si="128">AG144</f>
        <v>0</v>
      </c>
      <c r="CV144" s="2">
        <f t="shared" ref="CV144:CV155" si="129">(AH144*AV144)</f>
        <v>1.2940919999999998</v>
      </c>
      <c r="CW144" s="2">
        <f t="shared" ref="CW144:CW155" si="130">AI144</f>
        <v>0</v>
      </c>
      <c r="CX144" s="2">
        <f t="shared" ref="CX144:CX155" si="131">AJ144</f>
        <v>0</v>
      </c>
      <c r="CY144" s="2">
        <f>(ROUND((((S144+ROUND((ROUND((((EU144*1.2))*AV144*1),2)*BS144),2))*AT144)/100),2)+ROUND(((ROUND((ROUND(((AE144-((EU144*1.2)))*AV144*1),2)*BS144),2)*AT144)/100),2))</f>
        <v>13.27</v>
      </c>
      <c r="CZ144" s="2">
        <f>(ROUND((((S144+ROUND((ROUND((((EU144*1.2))*AV144*1),2)*BS144),2))*AU144)/100),2)+ROUND(((ROUND((ROUND(((AE144-((EU144*1.2)))*AV144*1),2)*BS144),2)*AU144)/100),2))</f>
        <v>6.78</v>
      </c>
      <c r="DA144" s="2"/>
      <c r="DB144" s="2">
        <v>49</v>
      </c>
      <c r="DC144" s="2" t="s">
        <v>3</v>
      </c>
      <c r="DD144" s="2" t="s">
        <v>120</v>
      </c>
      <c r="DE144" s="2" t="s">
        <v>121</v>
      </c>
      <c r="DF144" s="2" t="s">
        <v>121</v>
      </c>
      <c r="DG144" s="2" t="s">
        <v>121</v>
      </c>
      <c r="DH144" s="2" t="s">
        <v>3</v>
      </c>
      <c r="DI144" s="2" t="s">
        <v>121</v>
      </c>
      <c r="DJ144" s="2" t="s">
        <v>121</v>
      </c>
      <c r="DK144" s="2" t="s">
        <v>3</v>
      </c>
      <c r="DL144" s="2" t="s">
        <v>3</v>
      </c>
      <c r="DM144" s="2" t="s">
        <v>3</v>
      </c>
      <c r="DN144" s="2">
        <v>0</v>
      </c>
      <c r="DO144" s="2">
        <v>0</v>
      </c>
      <c r="DP144" s="2">
        <v>1</v>
      </c>
      <c r="DQ144" s="2">
        <v>1</v>
      </c>
      <c r="DR144" s="2"/>
      <c r="DS144" s="2"/>
      <c r="DT144" s="2"/>
      <c r="DU144" s="2">
        <v>1013</v>
      </c>
      <c r="DV144" s="2" t="s">
        <v>26</v>
      </c>
      <c r="DW144" s="2" t="s">
        <v>26</v>
      </c>
      <c r="DX144" s="2">
        <v>1</v>
      </c>
      <c r="DY144" s="2"/>
      <c r="DZ144" s="2" t="s">
        <v>3</v>
      </c>
      <c r="EA144" s="2" t="s">
        <v>3</v>
      </c>
      <c r="EB144" s="2" t="s">
        <v>3</v>
      </c>
      <c r="EC144" s="2" t="s">
        <v>3</v>
      </c>
      <c r="ED144" s="2"/>
      <c r="EE144" s="2">
        <v>57042962</v>
      </c>
      <c r="EF144" s="2">
        <v>40</v>
      </c>
      <c r="EG144" s="2" t="s">
        <v>30</v>
      </c>
      <c r="EH144" s="2">
        <v>0</v>
      </c>
      <c r="EI144" s="2" t="s">
        <v>3</v>
      </c>
      <c r="EJ144" s="2">
        <v>2</v>
      </c>
      <c r="EK144" s="2">
        <v>72</v>
      </c>
      <c r="EL144" s="2" t="s">
        <v>173</v>
      </c>
      <c r="EM144" s="2" t="s">
        <v>174</v>
      </c>
      <c r="EN144" s="2"/>
      <c r="EO144" s="2" t="s">
        <v>122</v>
      </c>
      <c r="EP144" s="2"/>
      <c r="EQ144" s="2">
        <v>0</v>
      </c>
      <c r="ER144" s="2">
        <v>12.15</v>
      </c>
      <c r="ES144" s="2">
        <v>0</v>
      </c>
      <c r="ET144" s="2">
        <v>0.5</v>
      </c>
      <c r="EU144" s="2">
        <v>0.08</v>
      </c>
      <c r="EV144" s="2">
        <v>11.65</v>
      </c>
      <c r="EW144" s="2">
        <v>1.03</v>
      </c>
      <c r="EX144" s="2">
        <v>0</v>
      </c>
      <c r="EY144" s="2">
        <v>0</v>
      </c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>
        <v>0</v>
      </c>
      <c r="FR144" s="2">
        <v>0</v>
      </c>
      <c r="FS144" s="2">
        <v>0</v>
      </c>
      <c r="FT144" s="2"/>
      <c r="FU144" s="2"/>
      <c r="FV144" s="2"/>
      <c r="FW144" s="2"/>
      <c r="FX144" s="2">
        <v>90</v>
      </c>
      <c r="FY144" s="2">
        <v>46</v>
      </c>
      <c r="FZ144" s="2"/>
      <c r="GA144" s="2" t="s">
        <v>3</v>
      </c>
      <c r="GB144" s="2"/>
      <c r="GC144" s="2"/>
      <c r="GD144" s="2">
        <v>1</v>
      </c>
      <c r="GE144" s="2"/>
      <c r="GF144" s="2">
        <v>-920792427</v>
      </c>
      <c r="GG144" s="2">
        <v>2</v>
      </c>
      <c r="GH144" s="2">
        <v>1</v>
      </c>
      <c r="GI144" s="2">
        <v>2</v>
      </c>
      <c r="GJ144" s="2">
        <v>0</v>
      </c>
      <c r="GK144" s="2">
        <v>0</v>
      </c>
      <c r="GL144" s="2">
        <f t="shared" ref="GL144:GL155" si="132">ROUND(IF(AND(BH144=3,BI144=3,FS144&lt;&gt;0),P144,0),2)</f>
        <v>0</v>
      </c>
      <c r="GM144" s="2">
        <f t="shared" ref="GM144:GM155" si="133">ROUND(O144+X144+Y144,2)+GX144</f>
        <v>35.32</v>
      </c>
      <c r="GN144" s="2">
        <f t="shared" ref="GN144:GN155" si="134">IF(OR(BI144=0,BI144=1),GM144-GX144,0)</f>
        <v>0</v>
      </c>
      <c r="GO144" s="2">
        <f t="shared" ref="GO144:GO155" si="135">IF(BI144=2,GM144-GX144,0)</f>
        <v>35.32</v>
      </c>
      <c r="GP144" s="2">
        <f t="shared" ref="GP144:GP155" si="136">IF(BI144=4,GM144-GX144,0)</f>
        <v>0</v>
      </c>
      <c r="GQ144" s="2"/>
      <c r="GR144" s="2">
        <v>0</v>
      </c>
      <c r="GS144" s="2">
        <v>3</v>
      </c>
      <c r="GT144" s="2">
        <v>0</v>
      </c>
      <c r="GU144" s="2" t="s">
        <v>3</v>
      </c>
      <c r="GV144" s="2">
        <f t="shared" ref="GV144:GV155" si="137">ROUND((GT144),6)</f>
        <v>0</v>
      </c>
      <c r="GW144" s="2">
        <v>1</v>
      </c>
      <c r="GX144" s="2">
        <f t="shared" ref="GX144:GX155" si="138">ROUND(HC144*I144,2)</f>
        <v>0</v>
      </c>
      <c r="GY144" s="2"/>
      <c r="GZ144" s="2"/>
      <c r="HA144" s="2">
        <v>0</v>
      </c>
      <c r="HB144" s="2">
        <v>0</v>
      </c>
      <c r="HC144" s="2">
        <f t="shared" ref="HC144:HC155" si="139">GV144*GW144</f>
        <v>0</v>
      </c>
      <c r="HD144" s="2"/>
      <c r="HE144" s="2" t="s">
        <v>3</v>
      </c>
      <c r="HF144" s="2" t="s">
        <v>3</v>
      </c>
      <c r="HG144" s="2"/>
      <c r="HH144" s="2"/>
      <c r="HI144" s="2"/>
      <c r="HJ144" s="2"/>
      <c r="HK144" s="2"/>
      <c r="HL144" s="2"/>
      <c r="HM144" s="2" t="s">
        <v>3</v>
      </c>
      <c r="HN144" s="2" t="s">
        <v>3</v>
      </c>
      <c r="HO144" s="2" t="s">
        <v>3</v>
      </c>
      <c r="HP144" s="2" t="s">
        <v>3</v>
      </c>
      <c r="HQ144" s="2" t="s">
        <v>3</v>
      </c>
      <c r="HR144" s="2"/>
      <c r="HS144" s="2">
        <v>0</v>
      </c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>
        <v>0</v>
      </c>
      <c r="IL144" s="2"/>
      <c r="IM144" s="2"/>
      <c r="IN144" s="2"/>
      <c r="IO144" s="2"/>
      <c r="IP144" s="2"/>
      <c r="IQ144" s="2"/>
      <c r="IR144" s="2"/>
      <c r="IS144" s="2"/>
      <c r="IT144" s="2"/>
      <c r="IU144" s="2"/>
    </row>
    <row r="145" spans="1:255" ht="409.5" x14ac:dyDescent="0.25">
      <c r="A145" s="3">
        <v>17</v>
      </c>
      <c r="B145" s="3">
        <v>1</v>
      </c>
      <c r="C145" s="3">
        <f>ROW(SmtRes!A192)</f>
        <v>192</v>
      </c>
      <c r="D145" s="3">
        <f>ROW(EtalonRes!A230)</f>
        <v>230</v>
      </c>
      <c r="E145" s="3" t="s">
        <v>169</v>
      </c>
      <c r="F145" s="3" t="s">
        <v>170</v>
      </c>
      <c r="G145" s="3" t="s">
        <v>171</v>
      </c>
      <c r="H145" s="3" t="s">
        <v>26</v>
      </c>
      <c r="I145" s="3">
        <v>1</v>
      </c>
      <c r="J145" s="3">
        <v>0</v>
      </c>
      <c r="K145" s="3">
        <v>1</v>
      </c>
      <c r="L145" s="3"/>
      <c r="M145" s="3"/>
      <c r="N145" s="3"/>
      <c r="O145" s="3">
        <f t="shared" si="115"/>
        <v>835.68</v>
      </c>
      <c r="P145" s="3">
        <f t="shared" si="116"/>
        <v>0</v>
      </c>
      <c r="Q145" s="3">
        <f>(ROUND((ROUND((((ET145*1.2))*AV145*I145),2)*BB145),2)+ROUND((ROUND(((AE145-((EU145*1.2)))*AV145*I145),2)*BS145),2))</f>
        <v>10.72</v>
      </c>
      <c r="R145" s="3">
        <f>(ROUND((ROUND((((EU145*1.2))*AV145*I145),2)*BS145),2)+ROUND((ROUND(((AE145-((EU145*1.2)))*AV145*I145),2)*BS145),2))</f>
        <v>5.64</v>
      </c>
      <c r="S145" s="3">
        <f t="shared" si="117"/>
        <v>824.96</v>
      </c>
      <c r="T145" s="3">
        <f t="shared" si="118"/>
        <v>0</v>
      </c>
      <c r="U145" s="3">
        <f t="shared" si="119"/>
        <v>1.2940919999999998</v>
      </c>
      <c r="V145" s="3">
        <f t="shared" si="120"/>
        <v>0</v>
      </c>
      <c r="W145" s="3">
        <f t="shared" si="121"/>
        <v>0</v>
      </c>
      <c r="X145" s="3">
        <f>(ROUND((((S145+ROUND((ROUND((((EU145*1.2))*AV145*I145),2)*BS145),2))*AT145)/100),2)+ROUND(((ROUND((ROUND(((AE145-((EU145*1.2)))*AV145*I145),2)*BS145),2)*AT145)/100),2))</f>
        <v>747.54</v>
      </c>
      <c r="Y145" s="3">
        <f>(ROUND((((S145+ROUND((ROUND((((EU145*1.2))*AV145*I145),2)*BS145),2))*AU145)/100),2)+ROUND(((ROUND((ROUND(((AE145-((EU145*1.2)))*AV145*I145),2)*BS145),2)*AU145)/100),2))</f>
        <v>382.08</v>
      </c>
      <c r="Z145" s="3"/>
      <c r="AA145" s="3">
        <v>55934357</v>
      </c>
      <c r="AB145" s="3">
        <f t="shared" si="122"/>
        <v>14.58</v>
      </c>
      <c r="AC145" s="3">
        <f>ROUND(((ES145*1)),6)</f>
        <v>0</v>
      </c>
      <c r="AD145" s="3">
        <f>ROUND(((((ET145*1.2))-((EU145*1.2)))+AE145),6)</f>
        <v>0.6</v>
      </c>
      <c r="AE145" s="3">
        <f>ROUND(((EU145*1.2)),6)</f>
        <v>9.6000000000000002E-2</v>
      </c>
      <c r="AF145" s="3">
        <f>ROUND(((EV145*1.2)),6)</f>
        <v>13.98</v>
      </c>
      <c r="AG145" s="3">
        <f t="shared" si="123"/>
        <v>0</v>
      </c>
      <c r="AH145" s="3">
        <f>((EW145*1.2))</f>
        <v>1.236</v>
      </c>
      <c r="AI145" s="3">
        <f>((EX145*1.2))</f>
        <v>0</v>
      </c>
      <c r="AJ145" s="3">
        <f t="shared" si="124"/>
        <v>0</v>
      </c>
      <c r="AK145" s="3">
        <v>12.15</v>
      </c>
      <c r="AL145" s="3">
        <v>0</v>
      </c>
      <c r="AM145" s="3">
        <v>0.5</v>
      </c>
      <c r="AN145" s="3">
        <v>0.08</v>
      </c>
      <c r="AO145" s="3">
        <v>11.65</v>
      </c>
      <c r="AP145" s="3">
        <v>0</v>
      </c>
      <c r="AQ145" s="3">
        <v>1.03</v>
      </c>
      <c r="AR145" s="3">
        <v>0</v>
      </c>
      <c r="AS145" s="3">
        <v>0</v>
      </c>
      <c r="AT145" s="3">
        <v>90</v>
      </c>
      <c r="AU145" s="3">
        <v>46</v>
      </c>
      <c r="AV145" s="3">
        <v>1.0469999999999999</v>
      </c>
      <c r="AW145" s="3">
        <v>1</v>
      </c>
      <c r="AX145" s="3"/>
      <c r="AY145" s="3"/>
      <c r="AZ145" s="3">
        <v>1</v>
      </c>
      <c r="BA145" s="3">
        <v>56.35</v>
      </c>
      <c r="BB145" s="3">
        <v>17.02</v>
      </c>
      <c r="BC145" s="3">
        <v>1</v>
      </c>
      <c r="BD145" s="3" t="s">
        <v>3</v>
      </c>
      <c r="BE145" s="3" t="s">
        <v>3</v>
      </c>
      <c r="BF145" s="3" t="s">
        <v>3</v>
      </c>
      <c r="BG145" s="3" t="s">
        <v>3</v>
      </c>
      <c r="BH145" s="3">
        <v>0</v>
      </c>
      <c r="BI145" s="3">
        <v>2</v>
      </c>
      <c r="BJ145" s="3" t="s">
        <v>172</v>
      </c>
      <c r="BK145" s="3"/>
      <c r="BL145" s="3"/>
      <c r="BM145" s="3">
        <v>72</v>
      </c>
      <c r="BN145" s="3">
        <v>0</v>
      </c>
      <c r="BO145" s="3" t="s">
        <v>170</v>
      </c>
      <c r="BP145" s="3">
        <v>1</v>
      </c>
      <c r="BQ145" s="3">
        <v>40</v>
      </c>
      <c r="BR145" s="3">
        <v>0</v>
      </c>
      <c r="BS145" s="3">
        <v>56.35</v>
      </c>
      <c r="BT145" s="3">
        <v>1</v>
      </c>
      <c r="BU145" s="3">
        <v>1</v>
      </c>
      <c r="BV145" s="3">
        <v>1</v>
      </c>
      <c r="BW145" s="3">
        <v>1</v>
      </c>
      <c r="BX145" s="3">
        <v>1</v>
      </c>
      <c r="BY145" s="3" t="s">
        <v>3</v>
      </c>
      <c r="BZ145" s="3">
        <v>90</v>
      </c>
      <c r="CA145" s="3">
        <v>46</v>
      </c>
      <c r="CB145" s="3" t="s">
        <v>3</v>
      </c>
      <c r="CC145" s="3"/>
      <c r="CD145" s="3"/>
      <c r="CE145" s="3">
        <v>1566</v>
      </c>
      <c r="CF145" s="3">
        <v>0</v>
      </c>
      <c r="CG145" s="3">
        <v>0</v>
      </c>
      <c r="CH145" s="3"/>
      <c r="CI145" s="3"/>
      <c r="CJ145" s="3"/>
      <c r="CK145" s="3"/>
      <c r="CL145" s="3"/>
      <c r="CM145" s="3">
        <v>0</v>
      </c>
      <c r="CN145" s="12" t="s">
        <v>419</v>
      </c>
      <c r="CO145" s="3">
        <v>0</v>
      </c>
      <c r="CP145" s="3">
        <f t="shared" si="125"/>
        <v>835.68000000000006</v>
      </c>
      <c r="CQ145" s="3">
        <f t="shared" si="126"/>
        <v>0</v>
      </c>
      <c r="CR145" s="3">
        <f>(ROUND((ROUND((((ET145*1.2))*AV145*1),2)*BB145),2)+ROUND((ROUND(((AE145-((EU145*1.2)))*AV145*1),2)*BS145),2))</f>
        <v>10.72</v>
      </c>
      <c r="CS145" s="3">
        <f>(ROUND((ROUND((((EU145*1.2))*AV145*1),2)*BS145),2)+ROUND((ROUND(((AE145-((EU145*1.2)))*AV145*1),2)*BS145),2))</f>
        <v>5.64</v>
      </c>
      <c r="CT145" s="3">
        <f t="shared" si="127"/>
        <v>824.96</v>
      </c>
      <c r="CU145" s="3">
        <f t="shared" si="128"/>
        <v>0</v>
      </c>
      <c r="CV145" s="3">
        <f t="shared" si="129"/>
        <v>1.2940919999999998</v>
      </c>
      <c r="CW145" s="3">
        <f t="shared" si="130"/>
        <v>0</v>
      </c>
      <c r="CX145" s="3">
        <f t="shared" si="131"/>
        <v>0</v>
      </c>
      <c r="CY145" s="3">
        <f>(ROUND((((S145+ROUND((ROUND((((EU145*1.2))*AV145*1),2)*BS145),2))*AT145)/100),2)+ROUND(((ROUND((ROUND(((AE145-((EU145*1.2)))*AV145*1),2)*BS145),2)*AT145)/100),2))</f>
        <v>747.54</v>
      </c>
      <c r="CZ145" s="3">
        <f>(ROUND((((S145+ROUND((ROUND((((EU145*1.2))*AV145*1),2)*BS145),2))*AU145)/100),2)+ROUND(((ROUND((ROUND(((AE145-((EU145*1.2)))*AV145*1),2)*BS145),2)*AU145)/100),2))</f>
        <v>382.08</v>
      </c>
      <c r="DA145" s="3"/>
      <c r="DB145" s="3">
        <v>50</v>
      </c>
      <c r="DC145" s="3" t="s">
        <v>3</v>
      </c>
      <c r="DD145" s="3" t="s">
        <v>120</v>
      </c>
      <c r="DE145" s="3" t="s">
        <v>121</v>
      </c>
      <c r="DF145" s="3" t="s">
        <v>121</v>
      </c>
      <c r="DG145" s="3" t="s">
        <v>121</v>
      </c>
      <c r="DH145" s="3" t="s">
        <v>3</v>
      </c>
      <c r="DI145" s="3" t="s">
        <v>121</v>
      </c>
      <c r="DJ145" s="3" t="s">
        <v>121</v>
      </c>
      <c r="DK145" s="3" t="s">
        <v>3</v>
      </c>
      <c r="DL145" s="3" t="s">
        <v>3</v>
      </c>
      <c r="DM145" s="3" t="s">
        <v>3</v>
      </c>
      <c r="DN145" s="3">
        <v>0</v>
      </c>
      <c r="DO145" s="3">
        <v>0</v>
      </c>
      <c r="DP145" s="3">
        <v>1</v>
      </c>
      <c r="DQ145" s="3">
        <v>1</v>
      </c>
      <c r="DR145" s="3"/>
      <c r="DS145" s="3"/>
      <c r="DT145" s="3"/>
      <c r="DU145" s="3">
        <v>1013</v>
      </c>
      <c r="DV145" s="3" t="s">
        <v>26</v>
      </c>
      <c r="DW145" s="3" t="s">
        <v>26</v>
      </c>
      <c r="DX145" s="3">
        <v>1</v>
      </c>
      <c r="DY145" s="3"/>
      <c r="DZ145" s="3" t="s">
        <v>3</v>
      </c>
      <c r="EA145" s="3" t="s">
        <v>3</v>
      </c>
      <c r="EB145" s="3" t="s">
        <v>3</v>
      </c>
      <c r="EC145" s="3" t="s">
        <v>3</v>
      </c>
      <c r="ED145" s="3"/>
      <c r="EE145" s="3">
        <v>57042962</v>
      </c>
      <c r="EF145" s="3">
        <v>40</v>
      </c>
      <c r="EG145" s="3" t="s">
        <v>30</v>
      </c>
      <c r="EH145" s="3">
        <v>0</v>
      </c>
      <c r="EI145" s="3" t="s">
        <v>3</v>
      </c>
      <c r="EJ145" s="3">
        <v>2</v>
      </c>
      <c r="EK145" s="3">
        <v>72</v>
      </c>
      <c r="EL145" s="3" t="s">
        <v>173</v>
      </c>
      <c r="EM145" s="3" t="s">
        <v>174</v>
      </c>
      <c r="EN145" s="3"/>
      <c r="EO145" s="3" t="s">
        <v>122</v>
      </c>
      <c r="EP145" s="3"/>
      <c r="EQ145" s="3">
        <v>0</v>
      </c>
      <c r="ER145" s="3">
        <v>12.15</v>
      </c>
      <c r="ES145" s="3">
        <v>0</v>
      </c>
      <c r="ET145" s="3">
        <v>0.5</v>
      </c>
      <c r="EU145" s="3">
        <v>0.08</v>
      </c>
      <c r="EV145" s="3">
        <v>11.65</v>
      </c>
      <c r="EW145" s="3">
        <v>1.03</v>
      </c>
      <c r="EX145" s="3">
        <v>0</v>
      </c>
      <c r="EY145" s="3">
        <v>0</v>
      </c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>
        <v>0</v>
      </c>
      <c r="FR145" s="3">
        <v>0</v>
      </c>
      <c r="FS145" s="3">
        <v>0</v>
      </c>
      <c r="FT145" s="3"/>
      <c r="FU145" s="3"/>
      <c r="FV145" s="3"/>
      <c r="FW145" s="3"/>
      <c r="FX145" s="3">
        <v>90</v>
      </c>
      <c r="FY145" s="3">
        <v>46</v>
      </c>
      <c r="FZ145" s="3"/>
      <c r="GA145" s="3" t="s">
        <v>3</v>
      </c>
      <c r="GB145" s="3"/>
      <c r="GC145" s="3"/>
      <c r="GD145" s="3">
        <v>1</v>
      </c>
      <c r="GE145" s="3"/>
      <c r="GF145" s="3">
        <v>-920792427</v>
      </c>
      <c r="GG145" s="3">
        <v>2</v>
      </c>
      <c r="GH145" s="3">
        <v>1</v>
      </c>
      <c r="GI145" s="3">
        <v>2</v>
      </c>
      <c r="GJ145" s="3">
        <v>0</v>
      </c>
      <c r="GK145" s="3">
        <v>0</v>
      </c>
      <c r="GL145" s="3">
        <f t="shared" si="132"/>
        <v>0</v>
      </c>
      <c r="GM145" s="3">
        <f t="shared" si="133"/>
        <v>1965.3</v>
      </c>
      <c r="GN145" s="3">
        <f t="shared" si="134"/>
        <v>0</v>
      </c>
      <c r="GO145" s="3">
        <f t="shared" si="135"/>
        <v>1965.3</v>
      </c>
      <c r="GP145" s="3">
        <f t="shared" si="136"/>
        <v>0</v>
      </c>
      <c r="GQ145" s="3"/>
      <c r="GR145" s="3">
        <v>0</v>
      </c>
      <c r="GS145" s="3">
        <v>3</v>
      </c>
      <c r="GT145" s="3">
        <v>0</v>
      </c>
      <c r="GU145" s="3" t="s">
        <v>3</v>
      </c>
      <c r="GV145" s="3">
        <f t="shared" si="137"/>
        <v>0</v>
      </c>
      <c r="GW145" s="3">
        <v>1</v>
      </c>
      <c r="GX145" s="3">
        <f t="shared" si="138"/>
        <v>0</v>
      </c>
      <c r="GY145" s="3"/>
      <c r="GZ145" s="3"/>
      <c r="HA145" s="3">
        <v>0</v>
      </c>
      <c r="HB145" s="3">
        <v>0</v>
      </c>
      <c r="HC145" s="3">
        <f t="shared" si="139"/>
        <v>0</v>
      </c>
      <c r="HD145" s="3"/>
      <c r="HE145" s="3" t="s">
        <v>3</v>
      </c>
      <c r="HF145" s="3" t="s">
        <v>3</v>
      </c>
      <c r="HG145" s="3"/>
      <c r="HH145" s="3"/>
      <c r="HI145" s="3"/>
      <c r="HJ145" s="3"/>
      <c r="HK145" s="3"/>
      <c r="HL145" s="3"/>
      <c r="HM145" s="3" t="s">
        <v>3</v>
      </c>
      <c r="HN145" s="3" t="s">
        <v>3</v>
      </c>
      <c r="HO145" s="3" t="s">
        <v>3</v>
      </c>
      <c r="HP145" s="3" t="s">
        <v>3</v>
      </c>
      <c r="HQ145" s="3" t="s">
        <v>3</v>
      </c>
      <c r="HR145" s="3"/>
      <c r="HS145" s="3">
        <v>0</v>
      </c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>
        <v>0</v>
      </c>
      <c r="IL145" s="3"/>
      <c r="IM145" s="3"/>
      <c r="IN145" s="3"/>
      <c r="IO145" s="3"/>
      <c r="IP145" s="3"/>
      <c r="IQ145" s="3"/>
      <c r="IR145" s="3"/>
      <c r="IS145" s="3"/>
      <c r="IT145" s="3"/>
      <c r="IU145" s="3"/>
    </row>
    <row r="146" spans="1:255" ht="409.5" x14ac:dyDescent="0.25">
      <c r="A146" s="2">
        <v>17</v>
      </c>
      <c r="B146" s="2">
        <v>1</v>
      </c>
      <c r="C146" s="2"/>
      <c r="D146" s="2"/>
      <c r="E146" s="2" t="s">
        <v>175</v>
      </c>
      <c r="F146" s="2" t="s">
        <v>176</v>
      </c>
      <c r="G146" s="2" t="s">
        <v>177</v>
      </c>
      <c r="H146" s="2" t="s">
        <v>126</v>
      </c>
      <c r="I146" s="2">
        <v>1</v>
      </c>
      <c r="J146" s="2">
        <v>0</v>
      </c>
      <c r="K146" s="2">
        <v>1</v>
      </c>
      <c r="L146" s="2"/>
      <c r="M146" s="2"/>
      <c r="N146" s="2"/>
      <c r="O146" s="2">
        <f t="shared" si="115"/>
        <v>8610.98</v>
      </c>
      <c r="P146" s="2">
        <f t="shared" si="116"/>
        <v>8610.98</v>
      </c>
      <c r="Q146" s="2">
        <f>(ROUND((ROUND(((ET146)*AV146*I146),2)*BB146),2)+ROUND((ROUND(((AE146-(EU146))*AV146*I146),2)*BS146),2))</f>
        <v>0</v>
      </c>
      <c r="R146" s="2">
        <f>(ROUND((ROUND(((EU146)*AV146*I146),2)*BS146),2)+ROUND((ROUND(((AE146-(EU146))*AV146*I146),2)*BS146),2))</f>
        <v>0</v>
      </c>
      <c r="S146" s="2">
        <f t="shared" si="117"/>
        <v>0</v>
      </c>
      <c r="T146" s="2">
        <f t="shared" si="118"/>
        <v>0</v>
      </c>
      <c r="U146" s="2">
        <f t="shared" si="119"/>
        <v>0</v>
      </c>
      <c r="V146" s="2">
        <f t="shared" si="120"/>
        <v>0</v>
      </c>
      <c r="W146" s="2">
        <f t="shared" si="121"/>
        <v>0</v>
      </c>
      <c r="X146" s="2">
        <f>(ROUND((((S146+ROUND((ROUND(((EU146)*AV146*I146),2)*BS146),2))*AT146)/100),2)+ROUND(((ROUND((ROUND(((AE146-(EU146))*AV146*I146),2)*BS146),2)*AT146)/100),2))</f>
        <v>0</v>
      </c>
      <c r="Y146" s="2">
        <f>(ROUND((((S146+ROUND((ROUND(((EU146)*AV146*I146),2)*BS146),2))*AU146)/100),2)+ROUND(((ROUND((ROUND(((AE146-(EU146))*AV146*I146),2)*BS146),2)*AU146)/100),2))</f>
        <v>0</v>
      </c>
      <c r="Z146" s="2"/>
      <c r="AA146" s="2">
        <v>55934355</v>
      </c>
      <c r="AB146" s="2">
        <f t="shared" si="122"/>
        <v>8610.98</v>
      </c>
      <c r="AC146" s="2">
        <f>ROUND((ES146),6)</f>
        <v>8610.98</v>
      </c>
      <c r="AD146" s="2">
        <f>ROUND((((ET146)-(EU146))+AE146),6)</f>
        <v>0</v>
      </c>
      <c r="AE146" s="2">
        <f>ROUND((EU146),6)</f>
        <v>0</v>
      </c>
      <c r="AF146" s="2">
        <f>ROUND((EV146),6)</f>
        <v>0</v>
      </c>
      <c r="AG146" s="2">
        <f t="shared" si="123"/>
        <v>0</v>
      </c>
      <c r="AH146" s="2">
        <f>(EW146)</f>
        <v>0</v>
      </c>
      <c r="AI146" s="2">
        <f>(EX146)</f>
        <v>0</v>
      </c>
      <c r="AJ146" s="2">
        <f t="shared" si="124"/>
        <v>0</v>
      </c>
      <c r="AK146" s="2">
        <v>8610.9800000000014</v>
      </c>
      <c r="AL146" s="2">
        <v>8610.9800000000014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1</v>
      </c>
      <c r="AW146" s="2">
        <v>1</v>
      </c>
      <c r="AX146" s="2"/>
      <c r="AY146" s="2"/>
      <c r="AZ146" s="2">
        <v>1</v>
      </c>
      <c r="BA146" s="2">
        <v>1</v>
      </c>
      <c r="BB146" s="2">
        <v>1</v>
      </c>
      <c r="BC146" s="2">
        <v>1</v>
      </c>
      <c r="BD146" s="2" t="s">
        <v>3</v>
      </c>
      <c r="BE146" s="2" t="s">
        <v>3</v>
      </c>
      <c r="BF146" s="2" t="s">
        <v>3</v>
      </c>
      <c r="BG146" s="2" t="s">
        <v>3</v>
      </c>
      <c r="BH146" s="2">
        <v>3</v>
      </c>
      <c r="BI146" s="2">
        <v>3</v>
      </c>
      <c r="BJ146" s="2" t="s">
        <v>176</v>
      </c>
      <c r="BK146" s="2"/>
      <c r="BL146" s="2"/>
      <c r="BM146" s="2">
        <v>400007</v>
      </c>
      <c r="BN146" s="2">
        <v>0</v>
      </c>
      <c r="BO146" s="2" t="s">
        <v>3</v>
      </c>
      <c r="BP146" s="2">
        <v>0</v>
      </c>
      <c r="BQ146" s="2">
        <v>214</v>
      </c>
      <c r="BR146" s="2">
        <v>0</v>
      </c>
      <c r="BS146" s="2">
        <v>1</v>
      </c>
      <c r="BT146" s="2">
        <v>1</v>
      </c>
      <c r="BU146" s="2">
        <v>1</v>
      </c>
      <c r="BV146" s="2">
        <v>1</v>
      </c>
      <c r="BW146" s="2">
        <v>1</v>
      </c>
      <c r="BX146" s="2">
        <v>1</v>
      </c>
      <c r="BY146" s="2" t="s">
        <v>3</v>
      </c>
      <c r="BZ146" s="2">
        <v>90</v>
      </c>
      <c r="CA146" s="2">
        <v>46</v>
      </c>
      <c r="CB146" s="2" t="s">
        <v>3</v>
      </c>
      <c r="CC146" s="2"/>
      <c r="CD146" s="2"/>
      <c r="CE146" s="2">
        <v>1566</v>
      </c>
      <c r="CF146" s="2">
        <v>0</v>
      </c>
      <c r="CG146" s="2">
        <v>0</v>
      </c>
      <c r="CH146" s="2"/>
      <c r="CI146" s="2"/>
      <c r="CJ146" s="2"/>
      <c r="CK146" s="2"/>
      <c r="CL146" s="2"/>
      <c r="CM146" s="2">
        <v>0</v>
      </c>
      <c r="CN146" s="11" t="s">
        <v>420</v>
      </c>
      <c r="CO146" s="2">
        <v>0</v>
      </c>
      <c r="CP146" s="2">
        <f t="shared" si="125"/>
        <v>8610.98</v>
      </c>
      <c r="CQ146" s="2">
        <f t="shared" si="126"/>
        <v>8610.98</v>
      </c>
      <c r="CR146" s="2">
        <f>(ROUND((ROUND(((ET146)*AV146*1),2)*BB146),2)+ROUND((ROUND(((AE146-(EU146))*AV146*1),2)*BS146),2))</f>
        <v>0</v>
      </c>
      <c r="CS146" s="2">
        <f>(ROUND((ROUND(((EU146)*AV146*1),2)*BS146),2)+ROUND((ROUND(((AE146-(EU146))*AV146*1),2)*BS146),2))</f>
        <v>0</v>
      </c>
      <c r="CT146" s="2">
        <f t="shared" si="127"/>
        <v>0</v>
      </c>
      <c r="CU146" s="2">
        <f t="shared" si="128"/>
        <v>0</v>
      </c>
      <c r="CV146" s="2">
        <f t="shared" si="129"/>
        <v>0</v>
      </c>
      <c r="CW146" s="2">
        <f t="shared" si="130"/>
        <v>0</v>
      </c>
      <c r="CX146" s="2">
        <f t="shared" si="131"/>
        <v>0</v>
      </c>
      <c r="CY146" s="2">
        <f>(ROUND((((S146+ROUND((ROUND(((EU146)*AV146*1),2)*BS146),2))*AT146)/100),2)+ROUND(((ROUND((ROUND(((AE146-(EU146))*AV146*1),2)*BS146),2)*AT146)/100),2))</f>
        <v>0</v>
      </c>
      <c r="CZ146" s="2">
        <f>(ROUND((((S146+ROUND((ROUND(((EU146)*AV146*1),2)*BS146),2))*AU146)/100),2)+ROUND(((ROUND((ROUND(((AE146-(EU146))*AV146*1),2)*BS146),2)*AU146)/100),2))</f>
        <v>0</v>
      </c>
      <c r="DA146" s="2"/>
      <c r="DB146" s="2"/>
      <c r="DC146" s="2" t="s">
        <v>3</v>
      </c>
      <c r="DD146" s="2" t="s">
        <v>3</v>
      </c>
      <c r="DE146" s="2" t="s">
        <v>3</v>
      </c>
      <c r="DF146" s="2" t="s">
        <v>3</v>
      </c>
      <c r="DG146" s="2" t="s">
        <v>3</v>
      </c>
      <c r="DH146" s="2" t="s">
        <v>3</v>
      </c>
      <c r="DI146" s="2" t="s">
        <v>3</v>
      </c>
      <c r="DJ146" s="2" t="s">
        <v>3</v>
      </c>
      <c r="DK146" s="2" t="s">
        <v>3</v>
      </c>
      <c r="DL146" s="2" t="s">
        <v>3</v>
      </c>
      <c r="DM146" s="2" t="s">
        <v>3</v>
      </c>
      <c r="DN146" s="2">
        <v>0</v>
      </c>
      <c r="DO146" s="2">
        <v>0</v>
      </c>
      <c r="DP146" s="2">
        <v>1</v>
      </c>
      <c r="DQ146" s="2">
        <v>1</v>
      </c>
      <c r="DR146" s="2"/>
      <c r="DS146" s="2"/>
      <c r="DT146" s="2"/>
      <c r="DU146" s="2">
        <v>1013</v>
      </c>
      <c r="DV146" s="2" t="s">
        <v>126</v>
      </c>
      <c r="DW146" s="2" t="s">
        <v>126</v>
      </c>
      <c r="DX146" s="2">
        <v>1</v>
      </c>
      <c r="DY146" s="2"/>
      <c r="DZ146" s="2" t="s">
        <v>3</v>
      </c>
      <c r="EA146" s="2" t="s">
        <v>3</v>
      </c>
      <c r="EB146" s="2" t="s">
        <v>3</v>
      </c>
      <c r="EC146" s="2" t="s">
        <v>3</v>
      </c>
      <c r="ED146" s="2"/>
      <c r="EE146" s="2">
        <v>57042890</v>
      </c>
      <c r="EF146" s="2">
        <v>214</v>
      </c>
      <c r="EG146" s="2" t="s">
        <v>127</v>
      </c>
      <c r="EH146" s="2">
        <v>0</v>
      </c>
      <c r="EI146" s="2" t="s">
        <v>3</v>
      </c>
      <c r="EJ146" s="2">
        <v>3</v>
      </c>
      <c r="EK146" s="2">
        <v>400007</v>
      </c>
      <c r="EL146" s="2" t="s">
        <v>127</v>
      </c>
      <c r="EM146" s="2" t="s">
        <v>128</v>
      </c>
      <c r="EN146" s="2"/>
      <c r="EO146" s="2" t="s">
        <v>122</v>
      </c>
      <c r="EP146" s="2"/>
      <c r="EQ146" s="2">
        <v>16</v>
      </c>
      <c r="ER146" s="2">
        <v>0</v>
      </c>
      <c r="ES146" s="2">
        <v>8610.9800000000014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>
        <v>0</v>
      </c>
      <c r="FR146" s="2">
        <f>P146</f>
        <v>8610.98</v>
      </c>
      <c r="FS146" s="2">
        <v>0</v>
      </c>
      <c r="FT146" s="2"/>
      <c r="FU146" s="2"/>
      <c r="FV146" s="2"/>
      <c r="FW146" s="2"/>
      <c r="FX146" s="2">
        <v>90</v>
      </c>
      <c r="FY146" s="2">
        <v>46</v>
      </c>
      <c r="FZ146" s="2"/>
      <c r="GA146" s="2" t="s">
        <v>178</v>
      </c>
      <c r="GB146" s="2"/>
      <c r="GC146" s="2"/>
      <c r="GD146" s="2">
        <v>1</v>
      </c>
      <c r="GE146" s="2"/>
      <c r="GF146" s="2">
        <v>521992768</v>
      </c>
      <c r="GG146" s="2">
        <v>2</v>
      </c>
      <c r="GH146" s="2">
        <v>4</v>
      </c>
      <c r="GI146" s="2">
        <v>-2</v>
      </c>
      <c r="GJ146" s="2">
        <v>0</v>
      </c>
      <c r="GK146" s="2">
        <v>0</v>
      </c>
      <c r="GL146" s="2">
        <f t="shared" si="132"/>
        <v>0</v>
      </c>
      <c r="GM146" s="2">
        <f t="shared" si="133"/>
        <v>8610.98</v>
      </c>
      <c r="GN146" s="2">
        <f t="shared" si="134"/>
        <v>0</v>
      </c>
      <c r="GO146" s="2">
        <f t="shared" si="135"/>
        <v>0</v>
      </c>
      <c r="GP146" s="2">
        <f t="shared" si="136"/>
        <v>0</v>
      </c>
      <c r="GQ146" s="2"/>
      <c r="GR146" s="2">
        <v>1</v>
      </c>
      <c r="GS146" s="2">
        <v>2</v>
      </c>
      <c r="GT146" s="2">
        <v>0</v>
      </c>
      <c r="GU146" s="2" t="s">
        <v>3</v>
      </c>
      <c r="GV146" s="2">
        <f t="shared" si="137"/>
        <v>0</v>
      </c>
      <c r="GW146" s="2">
        <v>1</v>
      </c>
      <c r="GX146" s="2">
        <f t="shared" si="138"/>
        <v>0</v>
      </c>
      <c r="GY146" s="2"/>
      <c r="GZ146" s="2"/>
      <c r="HA146" s="2">
        <v>0</v>
      </c>
      <c r="HB146" s="2">
        <v>0</v>
      </c>
      <c r="HC146" s="2">
        <f t="shared" si="139"/>
        <v>0</v>
      </c>
      <c r="HD146" s="2"/>
      <c r="HE146" s="2" t="s">
        <v>41</v>
      </c>
      <c r="HF146" s="2" t="s">
        <v>130</v>
      </c>
      <c r="HG146" s="2"/>
      <c r="HH146" s="2"/>
      <c r="HI146" s="2"/>
      <c r="HJ146" s="2"/>
      <c r="HK146" s="2"/>
      <c r="HL146" s="2"/>
      <c r="HM146" s="2" t="s">
        <v>3</v>
      </c>
      <c r="HN146" s="2" t="s">
        <v>3</v>
      </c>
      <c r="HO146" s="2" t="s">
        <v>3</v>
      </c>
      <c r="HP146" s="2" t="s">
        <v>3</v>
      </c>
      <c r="HQ146" s="2" t="s">
        <v>3</v>
      </c>
      <c r="HR146" s="2"/>
      <c r="HS146" s="2">
        <v>0</v>
      </c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>
        <v>0</v>
      </c>
      <c r="IL146" s="2"/>
      <c r="IM146" s="2"/>
      <c r="IN146" s="2"/>
      <c r="IO146" s="2"/>
      <c r="IP146" s="2"/>
      <c r="IQ146" s="2"/>
      <c r="IR146" s="2"/>
      <c r="IS146" s="2"/>
      <c r="IT146" s="2"/>
      <c r="IU146" s="2"/>
    </row>
    <row r="147" spans="1:255" ht="409.5" x14ac:dyDescent="0.25">
      <c r="A147" s="3">
        <v>17</v>
      </c>
      <c r="B147" s="3">
        <v>1</v>
      </c>
      <c r="C147" s="3"/>
      <c r="D147" s="3"/>
      <c r="E147" s="3" t="s">
        <v>175</v>
      </c>
      <c r="F147" s="3" t="s">
        <v>176</v>
      </c>
      <c r="G147" s="3" t="s">
        <v>177</v>
      </c>
      <c r="H147" s="3" t="s">
        <v>126</v>
      </c>
      <c r="I147" s="3">
        <v>1</v>
      </c>
      <c r="J147" s="3">
        <v>0</v>
      </c>
      <c r="K147" s="3">
        <v>1</v>
      </c>
      <c r="L147" s="3"/>
      <c r="M147" s="3"/>
      <c r="N147" s="3"/>
      <c r="O147" s="3">
        <f t="shared" si="115"/>
        <v>65185.120000000003</v>
      </c>
      <c r="P147" s="3">
        <f t="shared" si="116"/>
        <v>65185.120000000003</v>
      </c>
      <c r="Q147" s="3">
        <f>(ROUND((ROUND(((ET147)*AV147*I147),2)*BB147),2)+ROUND((ROUND(((AE147-(EU147))*AV147*I147),2)*BS147),2))</f>
        <v>0</v>
      </c>
      <c r="R147" s="3">
        <f>(ROUND((ROUND(((EU147)*AV147*I147),2)*BS147),2)+ROUND((ROUND(((AE147-(EU147))*AV147*I147),2)*BS147),2))</f>
        <v>0</v>
      </c>
      <c r="S147" s="3">
        <f t="shared" si="117"/>
        <v>0</v>
      </c>
      <c r="T147" s="3">
        <f t="shared" si="118"/>
        <v>0</v>
      </c>
      <c r="U147" s="3">
        <f t="shared" si="119"/>
        <v>0</v>
      </c>
      <c r="V147" s="3">
        <f t="shared" si="120"/>
        <v>0</v>
      </c>
      <c r="W147" s="3">
        <f t="shared" si="121"/>
        <v>0</v>
      </c>
      <c r="X147" s="3">
        <f>(ROUND((((S147+ROUND((ROUND(((EU147)*AV147*I147),2)*BS147),2))*AT147)/100),2)+ROUND(((ROUND((ROUND(((AE147-(EU147))*AV147*I147),2)*BS147),2)*AT147)/100),2))</f>
        <v>0</v>
      </c>
      <c r="Y147" s="3">
        <f>(ROUND((((S147+ROUND((ROUND(((EU147)*AV147*I147),2)*BS147),2))*AU147)/100),2)+ROUND(((ROUND((ROUND(((AE147-(EU147))*AV147*I147),2)*BS147),2)*AU147)/100),2))</f>
        <v>0</v>
      </c>
      <c r="Z147" s="3"/>
      <c r="AA147" s="3">
        <v>55934357</v>
      </c>
      <c r="AB147" s="3">
        <f t="shared" si="122"/>
        <v>8610.98</v>
      </c>
      <c r="AC147" s="3">
        <f>ROUND((ES147),6)</f>
        <v>8610.98</v>
      </c>
      <c r="AD147" s="3">
        <f>ROUND((((ET147)-(EU147))+AE147),6)</f>
        <v>0</v>
      </c>
      <c r="AE147" s="3">
        <f>ROUND((EU147),6)</f>
        <v>0</v>
      </c>
      <c r="AF147" s="3">
        <f>ROUND((EV147),6)</f>
        <v>0</v>
      </c>
      <c r="AG147" s="3">
        <f t="shared" si="123"/>
        <v>0</v>
      </c>
      <c r="AH147" s="3">
        <f>(EW147)</f>
        <v>0</v>
      </c>
      <c r="AI147" s="3">
        <f>(EX147)</f>
        <v>0</v>
      </c>
      <c r="AJ147" s="3">
        <f t="shared" si="124"/>
        <v>0</v>
      </c>
      <c r="AK147" s="3">
        <v>8610.9800000000014</v>
      </c>
      <c r="AL147" s="3">
        <v>8610.9800000000014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1</v>
      </c>
      <c r="AW147" s="3">
        <v>1</v>
      </c>
      <c r="AX147" s="3"/>
      <c r="AY147" s="3"/>
      <c r="AZ147" s="3">
        <v>1</v>
      </c>
      <c r="BA147" s="3">
        <v>1</v>
      </c>
      <c r="BB147" s="3">
        <v>1</v>
      </c>
      <c r="BC147" s="3">
        <v>7.57</v>
      </c>
      <c r="BD147" s="3" t="s">
        <v>3</v>
      </c>
      <c r="BE147" s="3" t="s">
        <v>3</v>
      </c>
      <c r="BF147" s="3" t="s">
        <v>3</v>
      </c>
      <c r="BG147" s="3" t="s">
        <v>3</v>
      </c>
      <c r="BH147" s="3">
        <v>3</v>
      </c>
      <c r="BI147" s="3">
        <v>3</v>
      </c>
      <c r="BJ147" s="3" t="s">
        <v>176</v>
      </c>
      <c r="BK147" s="3"/>
      <c r="BL147" s="3"/>
      <c r="BM147" s="3">
        <v>400007</v>
      </c>
      <c r="BN147" s="3">
        <v>0</v>
      </c>
      <c r="BO147" s="3" t="s">
        <v>3</v>
      </c>
      <c r="BP147" s="3">
        <v>0</v>
      </c>
      <c r="BQ147" s="3">
        <v>214</v>
      </c>
      <c r="BR147" s="3">
        <v>0</v>
      </c>
      <c r="BS147" s="3">
        <v>1</v>
      </c>
      <c r="BT147" s="3">
        <v>1</v>
      </c>
      <c r="BU147" s="3">
        <v>1</v>
      </c>
      <c r="BV147" s="3">
        <v>1</v>
      </c>
      <c r="BW147" s="3">
        <v>1</v>
      </c>
      <c r="BX147" s="3">
        <v>1</v>
      </c>
      <c r="BY147" s="3" t="s">
        <v>3</v>
      </c>
      <c r="BZ147" s="3">
        <v>90</v>
      </c>
      <c r="CA147" s="3">
        <v>46</v>
      </c>
      <c r="CB147" s="3" t="s">
        <v>3</v>
      </c>
      <c r="CC147" s="3"/>
      <c r="CD147" s="3"/>
      <c r="CE147" s="3">
        <v>1566</v>
      </c>
      <c r="CF147" s="3">
        <v>0</v>
      </c>
      <c r="CG147" s="3">
        <v>0</v>
      </c>
      <c r="CH147" s="3"/>
      <c r="CI147" s="3"/>
      <c r="CJ147" s="3"/>
      <c r="CK147" s="3"/>
      <c r="CL147" s="3"/>
      <c r="CM147" s="3">
        <v>0</v>
      </c>
      <c r="CN147" s="12" t="s">
        <v>420</v>
      </c>
      <c r="CO147" s="3">
        <v>0</v>
      </c>
      <c r="CP147" s="3">
        <f t="shared" si="125"/>
        <v>65185.120000000003</v>
      </c>
      <c r="CQ147" s="3">
        <f t="shared" si="126"/>
        <v>65185.120000000003</v>
      </c>
      <c r="CR147" s="3">
        <f>(ROUND((ROUND(((ET147)*AV147*1),2)*BB147),2)+ROUND((ROUND(((AE147-(EU147))*AV147*1),2)*BS147),2))</f>
        <v>0</v>
      </c>
      <c r="CS147" s="3">
        <f>(ROUND((ROUND(((EU147)*AV147*1),2)*BS147),2)+ROUND((ROUND(((AE147-(EU147))*AV147*1),2)*BS147),2))</f>
        <v>0</v>
      </c>
      <c r="CT147" s="3">
        <f t="shared" si="127"/>
        <v>0</v>
      </c>
      <c r="CU147" s="3">
        <f t="shared" si="128"/>
        <v>0</v>
      </c>
      <c r="CV147" s="3">
        <f t="shared" si="129"/>
        <v>0</v>
      </c>
      <c r="CW147" s="3">
        <f t="shared" si="130"/>
        <v>0</v>
      </c>
      <c r="CX147" s="3">
        <f t="shared" si="131"/>
        <v>0</v>
      </c>
      <c r="CY147" s="3">
        <f>(ROUND((((S147+ROUND((ROUND(((EU147)*AV147*1),2)*BS147),2))*AT147)/100),2)+ROUND(((ROUND((ROUND(((AE147-(EU147))*AV147*1),2)*BS147),2)*AT147)/100),2))</f>
        <v>0</v>
      </c>
      <c r="CZ147" s="3">
        <f>(ROUND((((S147+ROUND((ROUND(((EU147)*AV147*1),2)*BS147),2))*AU147)/100),2)+ROUND(((ROUND((ROUND(((AE147-(EU147))*AV147*1),2)*BS147),2)*AU147)/100),2))</f>
        <v>0</v>
      </c>
      <c r="DA147" s="3"/>
      <c r="DB147" s="3"/>
      <c r="DC147" s="3" t="s">
        <v>3</v>
      </c>
      <c r="DD147" s="3" t="s">
        <v>3</v>
      </c>
      <c r="DE147" s="3" t="s">
        <v>3</v>
      </c>
      <c r="DF147" s="3" t="s">
        <v>3</v>
      </c>
      <c r="DG147" s="3" t="s">
        <v>3</v>
      </c>
      <c r="DH147" s="3" t="s">
        <v>3</v>
      </c>
      <c r="DI147" s="3" t="s">
        <v>3</v>
      </c>
      <c r="DJ147" s="3" t="s">
        <v>3</v>
      </c>
      <c r="DK147" s="3" t="s">
        <v>3</v>
      </c>
      <c r="DL147" s="3" t="s">
        <v>3</v>
      </c>
      <c r="DM147" s="3" t="s">
        <v>3</v>
      </c>
      <c r="DN147" s="3">
        <v>0</v>
      </c>
      <c r="DO147" s="3">
        <v>0</v>
      </c>
      <c r="DP147" s="3">
        <v>1</v>
      </c>
      <c r="DQ147" s="3">
        <v>1</v>
      </c>
      <c r="DR147" s="3"/>
      <c r="DS147" s="3"/>
      <c r="DT147" s="3"/>
      <c r="DU147" s="3">
        <v>1013</v>
      </c>
      <c r="DV147" s="3" t="s">
        <v>126</v>
      </c>
      <c r="DW147" s="3" t="s">
        <v>126</v>
      </c>
      <c r="DX147" s="3">
        <v>1</v>
      </c>
      <c r="DY147" s="3"/>
      <c r="DZ147" s="3" t="s">
        <v>3</v>
      </c>
      <c r="EA147" s="3" t="s">
        <v>3</v>
      </c>
      <c r="EB147" s="3" t="s">
        <v>3</v>
      </c>
      <c r="EC147" s="3" t="s">
        <v>3</v>
      </c>
      <c r="ED147" s="3"/>
      <c r="EE147" s="3">
        <v>57042890</v>
      </c>
      <c r="EF147" s="3">
        <v>214</v>
      </c>
      <c r="EG147" s="3" t="s">
        <v>127</v>
      </c>
      <c r="EH147" s="3">
        <v>0</v>
      </c>
      <c r="EI147" s="3" t="s">
        <v>3</v>
      </c>
      <c r="EJ147" s="3">
        <v>3</v>
      </c>
      <c r="EK147" s="3">
        <v>400007</v>
      </c>
      <c r="EL147" s="3" t="s">
        <v>127</v>
      </c>
      <c r="EM147" s="3" t="s">
        <v>128</v>
      </c>
      <c r="EN147" s="3"/>
      <c r="EO147" s="3" t="s">
        <v>122</v>
      </c>
      <c r="EP147" s="3"/>
      <c r="EQ147" s="3">
        <v>16</v>
      </c>
      <c r="ER147" s="3">
        <v>0</v>
      </c>
      <c r="ES147" s="3">
        <v>8610.9800000000014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5</v>
      </c>
      <c r="FA147" s="3"/>
      <c r="FB147" s="3"/>
      <c r="FC147" s="3">
        <v>1</v>
      </c>
      <c r="FD147" s="3">
        <v>18</v>
      </c>
      <c r="FE147" s="3"/>
      <c r="FF147" s="3">
        <v>76294.02</v>
      </c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>
        <v>0</v>
      </c>
      <c r="FR147" s="3">
        <f>P147</f>
        <v>65185.120000000003</v>
      </c>
      <c r="FS147" s="3">
        <v>0</v>
      </c>
      <c r="FT147" s="3"/>
      <c r="FU147" s="3"/>
      <c r="FV147" s="3"/>
      <c r="FW147" s="3"/>
      <c r="FX147" s="3">
        <v>90</v>
      </c>
      <c r="FY147" s="3">
        <v>46</v>
      </c>
      <c r="FZ147" s="3"/>
      <c r="GA147" s="3" t="s">
        <v>178</v>
      </c>
      <c r="GB147" s="3"/>
      <c r="GC147" s="3"/>
      <c r="GD147" s="3">
        <v>1</v>
      </c>
      <c r="GE147" s="3"/>
      <c r="GF147" s="3">
        <v>521992768</v>
      </c>
      <c r="GG147" s="3">
        <v>2</v>
      </c>
      <c r="GH147" s="3">
        <v>3</v>
      </c>
      <c r="GI147" s="3">
        <v>5</v>
      </c>
      <c r="GJ147" s="3">
        <v>0</v>
      </c>
      <c r="GK147" s="3">
        <v>0</v>
      </c>
      <c r="GL147" s="3">
        <f t="shared" si="132"/>
        <v>0</v>
      </c>
      <c r="GM147" s="3">
        <f t="shared" si="133"/>
        <v>65185.120000000003</v>
      </c>
      <c r="GN147" s="3">
        <f t="shared" si="134"/>
        <v>0</v>
      </c>
      <c r="GO147" s="3">
        <f t="shared" si="135"/>
        <v>0</v>
      </c>
      <c r="GP147" s="3">
        <f t="shared" si="136"/>
        <v>0</v>
      </c>
      <c r="GQ147" s="3"/>
      <c r="GR147" s="3">
        <v>1</v>
      </c>
      <c r="GS147" s="3">
        <v>1</v>
      </c>
      <c r="GT147" s="3">
        <v>0</v>
      </c>
      <c r="GU147" s="3" t="s">
        <v>3</v>
      </c>
      <c r="GV147" s="3">
        <f t="shared" si="137"/>
        <v>0</v>
      </c>
      <c r="GW147" s="3">
        <v>1</v>
      </c>
      <c r="GX147" s="3">
        <f t="shared" si="138"/>
        <v>0</v>
      </c>
      <c r="GY147" s="3"/>
      <c r="GZ147" s="3"/>
      <c r="HA147" s="3">
        <v>0</v>
      </c>
      <c r="HB147" s="3">
        <v>0</v>
      </c>
      <c r="HC147" s="3">
        <f t="shared" si="139"/>
        <v>0</v>
      </c>
      <c r="HD147" s="3"/>
      <c r="HE147" s="3" t="s">
        <v>41</v>
      </c>
      <c r="HF147" s="3" t="s">
        <v>130</v>
      </c>
      <c r="HG147" s="3"/>
      <c r="HH147" s="3"/>
      <c r="HI147" s="3"/>
      <c r="HJ147" s="3"/>
      <c r="HK147" s="3"/>
      <c r="HL147" s="3"/>
      <c r="HM147" s="3" t="s">
        <v>3</v>
      </c>
      <c r="HN147" s="3" t="s">
        <v>3</v>
      </c>
      <c r="HO147" s="3" t="s">
        <v>3</v>
      </c>
      <c r="HP147" s="3" t="s">
        <v>3</v>
      </c>
      <c r="HQ147" s="3" t="s">
        <v>3</v>
      </c>
      <c r="HR147" s="3"/>
      <c r="HS147" s="3">
        <v>0</v>
      </c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>
        <v>0</v>
      </c>
      <c r="IL147" s="3"/>
      <c r="IM147" s="3"/>
      <c r="IN147" s="3"/>
      <c r="IO147" s="3"/>
      <c r="IP147" s="3"/>
      <c r="IQ147" s="3"/>
      <c r="IR147" s="3"/>
      <c r="IS147" s="3"/>
      <c r="IT147" s="3"/>
      <c r="IU147" s="3"/>
    </row>
    <row r="148" spans="1:255" ht="409.5" x14ac:dyDescent="0.25">
      <c r="A148" s="2">
        <v>17</v>
      </c>
      <c r="B148" s="2">
        <v>1</v>
      </c>
      <c r="C148" s="2">
        <f>ROW(SmtRes!A208)</f>
        <v>208</v>
      </c>
      <c r="D148" s="2">
        <f>ROW(EtalonRes!A247)</f>
        <v>247</v>
      </c>
      <c r="E148" s="2" t="s">
        <v>3</v>
      </c>
      <c r="F148" s="2" t="s">
        <v>48</v>
      </c>
      <c r="G148" s="2" t="s">
        <v>179</v>
      </c>
      <c r="H148" s="2" t="s">
        <v>50</v>
      </c>
      <c r="I148" s="2">
        <v>1</v>
      </c>
      <c r="J148" s="2">
        <v>0</v>
      </c>
      <c r="K148" s="2">
        <v>1</v>
      </c>
      <c r="L148" s="2"/>
      <c r="M148" s="2"/>
      <c r="N148" s="2"/>
      <c r="O148" s="2">
        <f t="shared" si="115"/>
        <v>90.18</v>
      </c>
      <c r="P148" s="2">
        <f t="shared" si="116"/>
        <v>42.61</v>
      </c>
      <c r="Q148" s="2">
        <f>(ROUND((ROUND((((ET148*1.2))*AV148*I148),2)*BB148),2)+ROUND((ROUND(((AE148-((EU148*1.2)))*AV148*I148),2)*BS148),2))</f>
        <v>0</v>
      </c>
      <c r="R148" s="2">
        <f>(ROUND((ROUND((((EU148*1.2))*AV148*I148),2)*BS148),2)+ROUND((ROUND(((AE148-((EU148*1.2)))*AV148*I148),2)*BS148),2))</f>
        <v>0</v>
      </c>
      <c r="S148" s="2">
        <f t="shared" si="117"/>
        <v>47.57</v>
      </c>
      <c r="T148" s="2">
        <f t="shared" si="118"/>
        <v>0</v>
      </c>
      <c r="U148" s="2">
        <f t="shared" si="119"/>
        <v>3.7691999999999992</v>
      </c>
      <c r="V148" s="2">
        <f t="shared" si="120"/>
        <v>0</v>
      </c>
      <c r="W148" s="2">
        <f t="shared" si="121"/>
        <v>0</v>
      </c>
      <c r="X148" s="2">
        <f>(ROUND((((S148+ROUND((ROUND((((EU148*1.2))*AV148*I148),2)*BS148),2))*AT148)/100),2)+ROUND(((ROUND((ROUND(((AE148-((EU148*1.2)))*AV148*I148),2)*BS148),2)*AT148)/100),2))</f>
        <v>42.81</v>
      </c>
      <c r="Y148" s="2">
        <f>(ROUND((((S148+ROUND((ROUND((((EU148*1.2))*AV148*I148),2)*BS148),2))*AU148)/100),2)+ROUND(((ROUND((ROUND(((AE148-((EU148*1.2)))*AV148*I148),2)*BS148),2)*AU148)/100),2))</f>
        <v>21.88</v>
      </c>
      <c r="Z148" s="2"/>
      <c r="AA148" s="2">
        <v>-1</v>
      </c>
      <c r="AB148" s="2">
        <f t="shared" si="122"/>
        <v>88.042000000000002</v>
      </c>
      <c r="AC148" s="2">
        <f>ROUND(((ES148*1)),6)</f>
        <v>42.61</v>
      </c>
      <c r="AD148" s="2">
        <f>ROUND(((((ET148*1.2))-((EU148*1.2)))+AE148),6)</f>
        <v>0</v>
      </c>
      <c r="AE148" s="2">
        <f>ROUND(((EU148*1.2)),6)</f>
        <v>0</v>
      </c>
      <c r="AF148" s="2">
        <f>ROUND(((EV148*1.2)),6)</f>
        <v>45.432000000000002</v>
      </c>
      <c r="AG148" s="2">
        <f t="shared" si="123"/>
        <v>0</v>
      </c>
      <c r="AH148" s="2">
        <f>((EW148*1.2))</f>
        <v>3.5999999999999996</v>
      </c>
      <c r="AI148" s="2">
        <f>((EX148*1.2))</f>
        <v>0</v>
      </c>
      <c r="AJ148" s="2">
        <f t="shared" si="124"/>
        <v>0</v>
      </c>
      <c r="AK148" s="2">
        <v>80.47</v>
      </c>
      <c r="AL148" s="2">
        <v>42.61</v>
      </c>
      <c r="AM148" s="2">
        <v>0</v>
      </c>
      <c r="AN148" s="2">
        <v>0</v>
      </c>
      <c r="AO148" s="2">
        <v>37.86</v>
      </c>
      <c r="AP148" s="2">
        <v>0</v>
      </c>
      <c r="AQ148" s="2">
        <v>3</v>
      </c>
      <c r="AR148" s="2">
        <v>0</v>
      </c>
      <c r="AS148" s="2">
        <v>0</v>
      </c>
      <c r="AT148" s="2">
        <v>90</v>
      </c>
      <c r="AU148" s="2">
        <v>46</v>
      </c>
      <c r="AV148" s="2">
        <v>1.0469999999999999</v>
      </c>
      <c r="AW148" s="2">
        <v>1</v>
      </c>
      <c r="AX148" s="2"/>
      <c r="AY148" s="2"/>
      <c r="AZ148" s="2">
        <v>1</v>
      </c>
      <c r="BA148" s="2">
        <v>1</v>
      </c>
      <c r="BB148" s="2">
        <v>1</v>
      </c>
      <c r="BC148" s="2">
        <v>1</v>
      </c>
      <c r="BD148" s="2" t="s">
        <v>3</v>
      </c>
      <c r="BE148" s="2" t="s">
        <v>3</v>
      </c>
      <c r="BF148" s="2" t="s">
        <v>3</v>
      </c>
      <c r="BG148" s="2" t="s">
        <v>3</v>
      </c>
      <c r="BH148" s="2">
        <v>0</v>
      </c>
      <c r="BI148" s="2">
        <v>2</v>
      </c>
      <c r="BJ148" s="2" t="s">
        <v>51</v>
      </c>
      <c r="BK148" s="2"/>
      <c r="BL148" s="2"/>
      <c r="BM148" s="2">
        <v>68</v>
      </c>
      <c r="BN148" s="2">
        <v>0</v>
      </c>
      <c r="BO148" s="2" t="s">
        <v>48</v>
      </c>
      <c r="BP148" s="2">
        <v>1</v>
      </c>
      <c r="BQ148" s="2">
        <v>40</v>
      </c>
      <c r="BR148" s="2">
        <v>0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 t="s">
        <v>3</v>
      </c>
      <c r="BZ148" s="2">
        <v>90</v>
      </c>
      <c r="CA148" s="2">
        <v>46</v>
      </c>
      <c r="CB148" s="2" t="s">
        <v>3</v>
      </c>
      <c r="CC148" s="2"/>
      <c r="CD148" s="2"/>
      <c r="CE148" s="2">
        <v>1566</v>
      </c>
      <c r="CF148" s="2">
        <v>0</v>
      </c>
      <c r="CG148" s="2">
        <v>0</v>
      </c>
      <c r="CH148" s="2"/>
      <c r="CI148" s="2"/>
      <c r="CJ148" s="2"/>
      <c r="CK148" s="2"/>
      <c r="CL148" s="2"/>
      <c r="CM148" s="2">
        <v>0</v>
      </c>
      <c r="CN148" s="11" t="s">
        <v>419</v>
      </c>
      <c r="CO148" s="2">
        <v>0</v>
      </c>
      <c r="CP148" s="2">
        <f t="shared" si="125"/>
        <v>90.18</v>
      </c>
      <c r="CQ148" s="2">
        <f t="shared" si="126"/>
        <v>42.61</v>
      </c>
      <c r="CR148" s="2">
        <f>(ROUND((ROUND((((ET148*1.2))*AV148*1),2)*BB148),2)+ROUND((ROUND(((AE148-((EU148*1.2)))*AV148*1),2)*BS148),2))</f>
        <v>0</v>
      </c>
      <c r="CS148" s="2">
        <f>(ROUND((ROUND((((EU148*1.2))*AV148*1),2)*BS148),2)+ROUND((ROUND(((AE148-((EU148*1.2)))*AV148*1),2)*BS148),2))</f>
        <v>0</v>
      </c>
      <c r="CT148" s="2">
        <f t="shared" si="127"/>
        <v>47.57</v>
      </c>
      <c r="CU148" s="2">
        <f t="shared" si="128"/>
        <v>0</v>
      </c>
      <c r="CV148" s="2">
        <f t="shared" si="129"/>
        <v>3.7691999999999992</v>
      </c>
      <c r="CW148" s="2">
        <f t="shared" si="130"/>
        <v>0</v>
      </c>
      <c r="CX148" s="2">
        <f t="shared" si="131"/>
        <v>0</v>
      </c>
      <c r="CY148" s="2">
        <f>(ROUND((((S148+ROUND((ROUND((((EU148*1.2))*AV148*1),2)*BS148),2))*AT148)/100),2)+ROUND(((ROUND((ROUND(((AE148-((EU148*1.2)))*AV148*1),2)*BS148),2)*AT148)/100),2))</f>
        <v>42.81</v>
      </c>
      <c r="CZ148" s="2">
        <f>(ROUND((((S148+ROUND((ROUND((((EU148*1.2))*AV148*1),2)*BS148),2))*AU148)/100),2)+ROUND(((ROUND((ROUND(((AE148-((EU148*1.2)))*AV148*1),2)*BS148),2)*AU148)/100),2))</f>
        <v>21.88</v>
      </c>
      <c r="DA148" s="2"/>
      <c r="DB148" s="2">
        <v>51</v>
      </c>
      <c r="DC148" s="2" t="s">
        <v>3</v>
      </c>
      <c r="DD148" s="2" t="s">
        <v>120</v>
      </c>
      <c r="DE148" s="2" t="s">
        <v>121</v>
      </c>
      <c r="DF148" s="2" t="s">
        <v>121</v>
      </c>
      <c r="DG148" s="2" t="s">
        <v>121</v>
      </c>
      <c r="DH148" s="2" t="s">
        <v>3</v>
      </c>
      <c r="DI148" s="2" t="s">
        <v>121</v>
      </c>
      <c r="DJ148" s="2" t="s">
        <v>121</v>
      </c>
      <c r="DK148" s="2" t="s">
        <v>3</v>
      </c>
      <c r="DL148" s="2" t="s">
        <v>3</v>
      </c>
      <c r="DM148" s="2" t="s">
        <v>3</v>
      </c>
      <c r="DN148" s="2">
        <v>0</v>
      </c>
      <c r="DO148" s="2">
        <v>0</v>
      </c>
      <c r="DP148" s="2">
        <v>1</v>
      </c>
      <c r="DQ148" s="2">
        <v>1</v>
      </c>
      <c r="DR148" s="2"/>
      <c r="DS148" s="2"/>
      <c r="DT148" s="2"/>
      <c r="DU148" s="2">
        <v>1013</v>
      </c>
      <c r="DV148" s="2" t="s">
        <v>50</v>
      </c>
      <c r="DW148" s="2" t="s">
        <v>50</v>
      </c>
      <c r="DX148" s="2">
        <v>1</v>
      </c>
      <c r="DY148" s="2"/>
      <c r="DZ148" s="2" t="s">
        <v>3</v>
      </c>
      <c r="EA148" s="2" t="s">
        <v>3</v>
      </c>
      <c r="EB148" s="2" t="s">
        <v>3</v>
      </c>
      <c r="EC148" s="2" t="s">
        <v>3</v>
      </c>
      <c r="ED148" s="2"/>
      <c r="EE148" s="2">
        <v>57042958</v>
      </c>
      <c r="EF148" s="2">
        <v>40</v>
      </c>
      <c r="EG148" s="2" t="s">
        <v>30</v>
      </c>
      <c r="EH148" s="2">
        <v>0</v>
      </c>
      <c r="EI148" s="2" t="s">
        <v>3</v>
      </c>
      <c r="EJ148" s="2">
        <v>2</v>
      </c>
      <c r="EK148" s="2">
        <v>68</v>
      </c>
      <c r="EL148" s="2" t="s">
        <v>31</v>
      </c>
      <c r="EM148" s="2" t="s">
        <v>32</v>
      </c>
      <c r="EN148" s="2"/>
      <c r="EO148" s="2" t="s">
        <v>122</v>
      </c>
      <c r="EP148" s="2"/>
      <c r="EQ148" s="2">
        <v>1024</v>
      </c>
      <c r="ER148" s="2">
        <v>80.47</v>
      </c>
      <c r="ES148" s="2">
        <v>42.61</v>
      </c>
      <c r="ET148" s="2">
        <v>0</v>
      </c>
      <c r="EU148" s="2">
        <v>0</v>
      </c>
      <c r="EV148" s="2">
        <v>37.86</v>
      </c>
      <c r="EW148" s="2">
        <v>3</v>
      </c>
      <c r="EX148" s="2">
        <v>0</v>
      </c>
      <c r="EY148" s="2">
        <v>0</v>
      </c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>
        <v>0</v>
      </c>
      <c r="FR148" s="2">
        <v>0</v>
      </c>
      <c r="FS148" s="2">
        <v>0</v>
      </c>
      <c r="FT148" s="2"/>
      <c r="FU148" s="2"/>
      <c r="FV148" s="2"/>
      <c r="FW148" s="2"/>
      <c r="FX148" s="2">
        <v>90</v>
      </c>
      <c r="FY148" s="2">
        <v>46</v>
      </c>
      <c r="FZ148" s="2"/>
      <c r="GA148" s="2" t="s">
        <v>3</v>
      </c>
      <c r="GB148" s="2"/>
      <c r="GC148" s="2"/>
      <c r="GD148" s="2">
        <v>1</v>
      </c>
      <c r="GE148" s="2"/>
      <c r="GF148" s="2">
        <v>-1785550083</v>
      </c>
      <c r="GG148" s="2">
        <v>2</v>
      </c>
      <c r="GH148" s="2">
        <v>1</v>
      </c>
      <c r="GI148" s="2">
        <v>2</v>
      </c>
      <c r="GJ148" s="2">
        <v>0</v>
      </c>
      <c r="GK148" s="2">
        <v>0</v>
      </c>
      <c r="GL148" s="2">
        <f t="shared" si="132"/>
        <v>0</v>
      </c>
      <c r="GM148" s="2">
        <f t="shared" si="133"/>
        <v>154.87</v>
      </c>
      <c r="GN148" s="2">
        <f t="shared" si="134"/>
        <v>0</v>
      </c>
      <c r="GO148" s="2">
        <f t="shared" si="135"/>
        <v>154.87</v>
      </c>
      <c r="GP148" s="2">
        <f t="shared" si="136"/>
        <v>0</v>
      </c>
      <c r="GQ148" s="2"/>
      <c r="GR148" s="2">
        <v>0</v>
      </c>
      <c r="GS148" s="2">
        <v>3</v>
      </c>
      <c r="GT148" s="2">
        <v>0</v>
      </c>
      <c r="GU148" s="2" t="s">
        <v>3</v>
      </c>
      <c r="GV148" s="2">
        <f t="shared" si="137"/>
        <v>0</v>
      </c>
      <c r="GW148" s="2">
        <v>1</v>
      </c>
      <c r="GX148" s="2">
        <f t="shared" si="138"/>
        <v>0</v>
      </c>
      <c r="GY148" s="2"/>
      <c r="GZ148" s="2"/>
      <c r="HA148" s="2">
        <v>0</v>
      </c>
      <c r="HB148" s="2">
        <v>0</v>
      </c>
      <c r="HC148" s="2">
        <f t="shared" si="139"/>
        <v>0</v>
      </c>
      <c r="HD148" s="2"/>
      <c r="HE148" s="2" t="s">
        <v>3</v>
      </c>
      <c r="HF148" s="2" t="s">
        <v>3</v>
      </c>
      <c r="HG148" s="2"/>
      <c r="HH148" s="2"/>
      <c r="HI148" s="2"/>
      <c r="HJ148" s="2"/>
      <c r="HK148" s="2"/>
      <c r="HL148" s="2"/>
      <c r="HM148" s="2" t="s">
        <v>3</v>
      </c>
      <c r="HN148" s="2" t="s">
        <v>3</v>
      </c>
      <c r="HO148" s="2" t="s">
        <v>3</v>
      </c>
      <c r="HP148" s="2" t="s">
        <v>3</v>
      </c>
      <c r="HQ148" s="2" t="s">
        <v>3</v>
      </c>
      <c r="HR148" s="2"/>
      <c r="HS148" s="2">
        <v>0</v>
      </c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>
        <v>0</v>
      </c>
      <c r="IL148" s="2"/>
      <c r="IM148" s="2"/>
      <c r="IN148" s="2"/>
      <c r="IO148" s="2"/>
      <c r="IP148" s="2"/>
      <c r="IQ148" s="2"/>
      <c r="IR148" s="2"/>
      <c r="IS148" s="2"/>
      <c r="IT148" s="2"/>
      <c r="IU148" s="2"/>
    </row>
    <row r="149" spans="1:255" ht="409.5" x14ac:dyDescent="0.25">
      <c r="A149" s="3">
        <v>17</v>
      </c>
      <c r="B149" s="3">
        <v>1</v>
      </c>
      <c r="C149" s="3">
        <f>ROW(SmtRes!A224)</f>
        <v>224</v>
      </c>
      <c r="D149" s="3">
        <f>ROW(EtalonRes!A264)</f>
        <v>264</v>
      </c>
      <c r="E149" s="3" t="s">
        <v>3</v>
      </c>
      <c r="F149" s="3" t="s">
        <v>48</v>
      </c>
      <c r="G149" s="3" t="s">
        <v>179</v>
      </c>
      <c r="H149" s="3" t="s">
        <v>50</v>
      </c>
      <c r="I149" s="3">
        <v>1</v>
      </c>
      <c r="J149" s="3">
        <v>0</v>
      </c>
      <c r="K149" s="3">
        <v>1</v>
      </c>
      <c r="L149" s="3"/>
      <c r="M149" s="3"/>
      <c r="N149" s="3"/>
      <c r="O149" s="3">
        <f t="shared" si="115"/>
        <v>2900.01</v>
      </c>
      <c r="P149" s="3">
        <f t="shared" si="116"/>
        <v>219.44</v>
      </c>
      <c r="Q149" s="3">
        <f>(ROUND((ROUND((((ET149*1.2))*AV149*I149),2)*BB149),2)+ROUND((ROUND(((AE149-((EU149*1.2)))*AV149*I149),2)*BS149),2))</f>
        <v>0</v>
      </c>
      <c r="R149" s="3">
        <f>(ROUND((ROUND((((EU149*1.2))*AV149*I149),2)*BS149),2)+ROUND((ROUND(((AE149-((EU149*1.2)))*AV149*I149),2)*BS149),2))</f>
        <v>0</v>
      </c>
      <c r="S149" s="3">
        <f t="shared" si="117"/>
        <v>2680.57</v>
      </c>
      <c r="T149" s="3">
        <f t="shared" si="118"/>
        <v>0</v>
      </c>
      <c r="U149" s="3">
        <f t="shared" si="119"/>
        <v>3.7691999999999992</v>
      </c>
      <c r="V149" s="3">
        <f t="shared" si="120"/>
        <v>0</v>
      </c>
      <c r="W149" s="3">
        <f t="shared" si="121"/>
        <v>0</v>
      </c>
      <c r="X149" s="3">
        <f>(ROUND((((S149+ROUND((ROUND((((EU149*1.2))*AV149*I149),2)*BS149),2))*AT149)/100),2)+ROUND(((ROUND((ROUND(((AE149-((EU149*1.2)))*AV149*I149),2)*BS149),2)*AT149)/100),2))</f>
        <v>2412.5100000000002</v>
      </c>
      <c r="Y149" s="3">
        <f>(ROUND((((S149+ROUND((ROUND((((EU149*1.2))*AV149*I149),2)*BS149),2))*AU149)/100),2)+ROUND(((ROUND((ROUND(((AE149-((EU149*1.2)))*AV149*I149),2)*BS149),2)*AU149)/100),2))</f>
        <v>1233.06</v>
      </c>
      <c r="Z149" s="3"/>
      <c r="AA149" s="3">
        <v>-1</v>
      </c>
      <c r="AB149" s="3">
        <f t="shared" si="122"/>
        <v>88.042000000000002</v>
      </c>
      <c r="AC149" s="3">
        <f>ROUND(((ES149*1)),6)</f>
        <v>42.61</v>
      </c>
      <c r="AD149" s="3">
        <f>ROUND(((((ET149*1.2))-((EU149*1.2)))+AE149),6)</f>
        <v>0</v>
      </c>
      <c r="AE149" s="3">
        <f>ROUND(((EU149*1.2)),6)</f>
        <v>0</v>
      </c>
      <c r="AF149" s="3">
        <f>ROUND(((EV149*1.2)),6)</f>
        <v>45.432000000000002</v>
      </c>
      <c r="AG149" s="3">
        <f t="shared" si="123"/>
        <v>0</v>
      </c>
      <c r="AH149" s="3">
        <f>((EW149*1.2))</f>
        <v>3.5999999999999996</v>
      </c>
      <c r="AI149" s="3">
        <f>((EX149*1.2))</f>
        <v>0</v>
      </c>
      <c r="AJ149" s="3">
        <f t="shared" si="124"/>
        <v>0</v>
      </c>
      <c r="AK149" s="3">
        <v>80.47</v>
      </c>
      <c r="AL149" s="3">
        <v>42.61</v>
      </c>
      <c r="AM149" s="3">
        <v>0</v>
      </c>
      <c r="AN149" s="3">
        <v>0</v>
      </c>
      <c r="AO149" s="3">
        <v>37.86</v>
      </c>
      <c r="AP149" s="3">
        <v>0</v>
      </c>
      <c r="AQ149" s="3">
        <v>3</v>
      </c>
      <c r="AR149" s="3">
        <v>0</v>
      </c>
      <c r="AS149" s="3">
        <v>0</v>
      </c>
      <c r="AT149" s="3">
        <v>90</v>
      </c>
      <c r="AU149" s="3">
        <v>46</v>
      </c>
      <c r="AV149" s="3">
        <v>1.0469999999999999</v>
      </c>
      <c r="AW149" s="3">
        <v>1</v>
      </c>
      <c r="AX149" s="3"/>
      <c r="AY149" s="3"/>
      <c r="AZ149" s="3">
        <v>1</v>
      </c>
      <c r="BA149" s="3">
        <v>56.35</v>
      </c>
      <c r="BB149" s="3">
        <v>1</v>
      </c>
      <c r="BC149" s="3">
        <v>5.15</v>
      </c>
      <c r="BD149" s="3" t="s">
        <v>3</v>
      </c>
      <c r="BE149" s="3" t="s">
        <v>3</v>
      </c>
      <c r="BF149" s="3" t="s">
        <v>3</v>
      </c>
      <c r="BG149" s="3" t="s">
        <v>3</v>
      </c>
      <c r="BH149" s="3">
        <v>0</v>
      </c>
      <c r="BI149" s="3">
        <v>2</v>
      </c>
      <c r="BJ149" s="3" t="s">
        <v>51</v>
      </c>
      <c r="BK149" s="3"/>
      <c r="BL149" s="3"/>
      <c r="BM149" s="3">
        <v>68</v>
      </c>
      <c r="BN149" s="3">
        <v>0</v>
      </c>
      <c r="BO149" s="3" t="s">
        <v>48</v>
      </c>
      <c r="BP149" s="3">
        <v>1</v>
      </c>
      <c r="BQ149" s="3">
        <v>40</v>
      </c>
      <c r="BR149" s="3">
        <v>0</v>
      </c>
      <c r="BS149" s="3">
        <v>56.35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 t="s">
        <v>3</v>
      </c>
      <c r="BZ149" s="3">
        <v>90</v>
      </c>
      <c r="CA149" s="3">
        <v>46</v>
      </c>
      <c r="CB149" s="3" t="s">
        <v>3</v>
      </c>
      <c r="CC149" s="3"/>
      <c r="CD149" s="3"/>
      <c r="CE149" s="3">
        <v>1566</v>
      </c>
      <c r="CF149" s="3">
        <v>0</v>
      </c>
      <c r="CG149" s="3">
        <v>0</v>
      </c>
      <c r="CH149" s="3"/>
      <c r="CI149" s="3"/>
      <c r="CJ149" s="3"/>
      <c r="CK149" s="3"/>
      <c r="CL149" s="3"/>
      <c r="CM149" s="3">
        <v>0</v>
      </c>
      <c r="CN149" s="12" t="s">
        <v>419</v>
      </c>
      <c r="CO149" s="3">
        <v>0</v>
      </c>
      <c r="CP149" s="3">
        <f t="shared" si="125"/>
        <v>2900.01</v>
      </c>
      <c r="CQ149" s="3">
        <f t="shared" si="126"/>
        <v>219.44</v>
      </c>
      <c r="CR149" s="3">
        <f>(ROUND((ROUND((((ET149*1.2))*AV149*1),2)*BB149),2)+ROUND((ROUND(((AE149-((EU149*1.2)))*AV149*1),2)*BS149),2))</f>
        <v>0</v>
      </c>
      <c r="CS149" s="3">
        <f>(ROUND((ROUND((((EU149*1.2))*AV149*1),2)*BS149),2)+ROUND((ROUND(((AE149-((EU149*1.2)))*AV149*1),2)*BS149),2))</f>
        <v>0</v>
      </c>
      <c r="CT149" s="3">
        <f t="shared" si="127"/>
        <v>2680.57</v>
      </c>
      <c r="CU149" s="3">
        <f t="shared" si="128"/>
        <v>0</v>
      </c>
      <c r="CV149" s="3">
        <f t="shared" si="129"/>
        <v>3.7691999999999992</v>
      </c>
      <c r="CW149" s="3">
        <f t="shared" si="130"/>
        <v>0</v>
      </c>
      <c r="CX149" s="3">
        <f t="shared" si="131"/>
        <v>0</v>
      </c>
      <c r="CY149" s="3">
        <f>(ROUND((((S149+ROUND((ROUND((((EU149*1.2))*AV149*1),2)*BS149),2))*AT149)/100),2)+ROUND(((ROUND((ROUND(((AE149-((EU149*1.2)))*AV149*1),2)*BS149),2)*AT149)/100),2))</f>
        <v>2412.5100000000002</v>
      </c>
      <c r="CZ149" s="3">
        <f>(ROUND((((S149+ROUND((ROUND((((EU149*1.2))*AV149*1),2)*BS149),2))*AU149)/100),2)+ROUND(((ROUND((ROUND(((AE149-((EU149*1.2)))*AV149*1),2)*BS149),2)*AU149)/100),2))</f>
        <v>1233.06</v>
      </c>
      <c r="DA149" s="3"/>
      <c r="DB149" s="3">
        <v>52</v>
      </c>
      <c r="DC149" s="3" t="s">
        <v>3</v>
      </c>
      <c r="DD149" s="3" t="s">
        <v>120</v>
      </c>
      <c r="DE149" s="3" t="s">
        <v>121</v>
      </c>
      <c r="DF149" s="3" t="s">
        <v>121</v>
      </c>
      <c r="DG149" s="3" t="s">
        <v>121</v>
      </c>
      <c r="DH149" s="3" t="s">
        <v>3</v>
      </c>
      <c r="DI149" s="3" t="s">
        <v>121</v>
      </c>
      <c r="DJ149" s="3" t="s">
        <v>121</v>
      </c>
      <c r="DK149" s="3" t="s">
        <v>3</v>
      </c>
      <c r="DL149" s="3" t="s">
        <v>3</v>
      </c>
      <c r="DM149" s="3" t="s">
        <v>3</v>
      </c>
      <c r="DN149" s="3">
        <v>0</v>
      </c>
      <c r="DO149" s="3">
        <v>0</v>
      </c>
      <c r="DP149" s="3">
        <v>1</v>
      </c>
      <c r="DQ149" s="3">
        <v>1</v>
      </c>
      <c r="DR149" s="3"/>
      <c r="DS149" s="3"/>
      <c r="DT149" s="3"/>
      <c r="DU149" s="3">
        <v>1013</v>
      </c>
      <c r="DV149" s="3" t="s">
        <v>50</v>
      </c>
      <c r="DW149" s="3" t="s">
        <v>50</v>
      </c>
      <c r="DX149" s="3">
        <v>1</v>
      </c>
      <c r="DY149" s="3"/>
      <c r="DZ149" s="3" t="s">
        <v>3</v>
      </c>
      <c r="EA149" s="3" t="s">
        <v>3</v>
      </c>
      <c r="EB149" s="3" t="s">
        <v>3</v>
      </c>
      <c r="EC149" s="3" t="s">
        <v>3</v>
      </c>
      <c r="ED149" s="3"/>
      <c r="EE149" s="3">
        <v>57042958</v>
      </c>
      <c r="EF149" s="3">
        <v>40</v>
      </c>
      <c r="EG149" s="3" t="s">
        <v>30</v>
      </c>
      <c r="EH149" s="3">
        <v>0</v>
      </c>
      <c r="EI149" s="3" t="s">
        <v>3</v>
      </c>
      <c r="EJ149" s="3">
        <v>2</v>
      </c>
      <c r="EK149" s="3">
        <v>68</v>
      </c>
      <c r="EL149" s="3" t="s">
        <v>31</v>
      </c>
      <c r="EM149" s="3" t="s">
        <v>32</v>
      </c>
      <c r="EN149" s="3"/>
      <c r="EO149" s="3" t="s">
        <v>122</v>
      </c>
      <c r="EP149" s="3"/>
      <c r="EQ149" s="3">
        <v>1024</v>
      </c>
      <c r="ER149" s="3">
        <v>80.47</v>
      </c>
      <c r="ES149" s="3">
        <v>42.61</v>
      </c>
      <c r="ET149" s="3">
        <v>0</v>
      </c>
      <c r="EU149" s="3">
        <v>0</v>
      </c>
      <c r="EV149" s="3">
        <v>37.86</v>
      </c>
      <c r="EW149" s="3">
        <v>3</v>
      </c>
      <c r="EX149" s="3">
        <v>0</v>
      </c>
      <c r="EY149" s="3">
        <v>0</v>
      </c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>
        <v>0</v>
      </c>
      <c r="FR149" s="3">
        <v>0</v>
      </c>
      <c r="FS149" s="3">
        <v>0</v>
      </c>
      <c r="FT149" s="3"/>
      <c r="FU149" s="3"/>
      <c r="FV149" s="3"/>
      <c r="FW149" s="3"/>
      <c r="FX149" s="3">
        <v>90</v>
      </c>
      <c r="FY149" s="3">
        <v>46</v>
      </c>
      <c r="FZ149" s="3"/>
      <c r="GA149" s="3" t="s">
        <v>3</v>
      </c>
      <c r="GB149" s="3"/>
      <c r="GC149" s="3"/>
      <c r="GD149" s="3">
        <v>1</v>
      </c>
      <c r="GE149" s="3"/>
      <c r="GF149" s="3">
        <v>-1785550083</v>
      </c>
      <c r="GG149" s="3">
        <v>2</v>
      </c>
      <c r="GH149" s="3">
        <v>1</v>
      </c>
      <c r="GI149" s="3">
        <v>2</v>
      </c>
      <c r="GJ149" s="3">
        <v>0</v>
      </c>
      <c r="GK149" s="3">
        <v>0</v>
      </c>
      <c r="GL149" s="3">
        <f t="shared" si="132"/>
        <v>0</v>
      </c>
      <c r="GM149" s="3">
        <f t="shared" si="133"/>
        <v>6545.58</v>
      </c>
      <c r="GN149" s="3">
        <f t="shared" si="134"/>
        <v>0</v>
      </c>
      <c r="GO149" s="3">
        <f t="shared" si="135"/>
        <v>6545.58</v>
      </c>
      <c r="GP149" s="3">
        <f t="shared" si="136"/>
        <v>0</v>
      </c>
      <c r="GQ149" s="3"/>
      <c r="GR149" s="3">
        <v>0</v>
      </c>
      <c r="GS149" s="3">
        <v>3</v>
      </c>
      <c r="GT149" s="3">
        <v>0</v>
      </c>
      <c r="GU149" s="3" t="s">
        <v>3</v>
      </c>
      <c r="GV149" s="3">
        <f t="shared" si="137"/>
        <v>0</v>
      </c>
      <c r="GW149" s="3">
        <v>1</v>
      </c>
      <c r="GX149" s="3">
        <f t="shared" si="138"/>
        <v>0</v>
      </c>
      <c r="GY149" s="3"/>
      <c r="GZ149" s="3"/>
      <c r="HA149" s="3">
        <v>0</v>
      </c>
      <c r="HB149" s="3">
        <v>0</v>
      </c>
      <c r="HC149" s="3">
        <f t="shared" si="139"/>
        <v>0</v>
      </c>
      <c r="HD149" s="3"/>
      <c r="HE149" s="3" t="s">
        <v>3</v>
      </c>
      <c r="HF149" s="3" t="s">
        <v>3</v>
      </c>
      <c r="HG149" s="3"/>
      <c r="HH149" s="3"/>
      <c r="HI149" s="3"/>
      <c r="HJ149" s="3"/>
      <c r="HK149" s="3"/>
      <c r="HL149" s="3"/>
      <c r="HM149" s="3" t="s">
        <v>3</v>
      </c>
      <c r="HN149" s="3" t="s">
        <v>3</v>
      </c>
      <c r="HO149" s="3" t="s">
        <v>3</v>
      </c>
      <c r="HP149" s="3" t="s">
        <v>3</v>
      </c>
      <c r="HQ149" s="3" t="s">
        <v>3</v>
      </c>
      <c r="HR149" s="3"/>
      <c r="HS149" s="3">
        <v>0</v>
      </c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>
        <v>0</v>
      </c>
      <c r="IL149" s="3"/>
      <c r="IM149" s="3"/>
      <c r="IN149" s="3"/>
      <c r="IO149" s="3"/>
      <c r="IP149" s="3"/>
      <c r="IQ149" s="3"/>
      <c r="IR149" s="3"/>
      <c r="IS149" s="3"/>
      <c r="IT149" s="3"/>
      <c r="IU149" s="3"/>
    </row>
    <row r="150" spans="1:255" ht="409.5" x14ac:dyDescent="0.25">
      <c r="A150" s="2">
        <v>18</v>
      </c>
      <c r="B150" s="2">
        <v>1</v>
      </c>
      <c r="C150" s="2">
        <v>207</v>
      </c>
      <c r="D150" s="2"/>
      <c r="E150" s="2" t="s">
        <v>3</v>
      </c>
      <c r="F150" s="2" t="s">
        <v>176</v>
      </c>
      <c r="G150" s="2" t="s">
        <v>177</v>
      </c>
      <c r="H150" s="2" t="s">
        <v>126</v>
      </c>
      <c r="I150" s="2">
        <f>I148*J150</f>
        <v>1</v>
      </c>
      <c r="J150" s="2">
        <v>1</v>
      </c>
      <c r="K150" s="2">
        <v>1</v>
      </c>
      <c r="L150" s="2"/>
      <c r="M150" s="2"/>
      <c r="N150" s="2"/>
      <c r="O150" s="2">
        <f t="shared" si="115"/>
        <v>8610.98</v>
      </c>
      <c r="P150" s="2">
        <f t="shared" si="116"/>
        <v>8610.98</v>
      </c>
      <c r="Q150" s="2">
        <f>(ROUND((ROUND(((ET150)*AV150*I150),2)*BB150),2)+ROUND((ROUND(((AE150-(EU150))*AV150*I150),2)*BS150),2))</f>
        <v>0</v>
      </c>
      <c r="R150" s="2">
        <f>(ROUND((ROUND(((EU150)*AV150*I150),2)*BS150),2)+ROUND((ROUND(((AE150-(EU150))*AV150*I150),2)*BS150),2))</f>
        <v>0</v>
      </c>
      <c r="S150" s="2">
        <f t="shared" si="117"/>
        <v>0</v>
      </c>
      <c r="T150" s="2">
        <f t="shared" si="118"/>
        <v>0</v>
      </c>
      <c r="U150" s="2">
        <f t="shared" si="119"/>
        <v>0</v>
      </c>
      <c r="V150" s="2">
        <f t="shared" si="120"/>
        <v>0</v>
      </c>
      <c r="W150" s="2">
        <f t="shared" si="121"/>
        <v>0</v>
      </c>
      <c r="X150" s="2">
        <f>(ROUND((((S150+ROUND((ROUND(((EU150)*AV150*I150),2)*BS150),2))*AT150)/100),2)+ROUND(((ROUND((ROUND(((AE150-(EU150))*AV150*I150),2)*BS150),2)*AT150)/100),2))</f>
        <v>0</v>
      </c>
      <c r="Y150" s="2">
        <f>(ROUND((((S150+ROUND((ROUND(((EU150)*AV150*I150),2)*BS150),2))*AU150)/100),2)+ROUND(((ROUND((ROUND(((AE150-(EU150))*AV150*I150),2)*BS150),2)*AU150)/100),2))</f>
        <v>0</v>
      </c>
      <c r="Z150" s="2"/>
      <c r="AA150" s="2">
        <v>-1</v>
      </c>
      <c r="AB150" s="2">
        <f t="shared" si="122"/>
        <v>8610.98</v>
      </c>
      <c r="AC150" s="2">
        <f>ROUND((ES150),6)</f>
        <v>8610.98</v>
      </c>
      <c r="AD150" s="2">
        <f>ROUND((((ET150)-(EU150))+AE150),6)</f>
        <v>0</v>
      </c>
      <c r="AE150" s="2">
        <f>ROUND((EU150),6)</f>
        <v>0</v>
      </c>
      <c r="AF150" s="2">
        <f>ROUND((EV150),6)</f>
        <v>0</v>
      </c>
      <c r="AG150" s="2">
        <f t="shared" si="123"/>
        <v>0</v>
      </c>
      <c r="AH150" s="2">
        <f>(EW150)</f>
        <v>0</v>
      </c>
      <c r="AI150" s="2">
        <f>(EX150)</f>
        <v>0</v>
      </c>
      <c r="AJ150" s="2">
        <f t="shared" si="124"/>
        <v>0</v>
      </c>
      <c r="AK150" s="2">
        <v>8610.9800000000014</v>
      </c>
      <c r="AL150" s="2">
        <v>8610.9800000000014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1</v>
      </c>
      <c r="AW150" s="2">
        <v>1</v>
      </c>
      <c r="AX150" s="2"/>
      <c r="AY150" s="2"/>
      <c r="AZ150" s="2">
        <v>1</v>
      </c>
      <c r="BA150" s="2">
        <v>1</v>
      </c>
      <c r="BB150" s="2">
        <v>1</v>
      </c>
      <c r="BC150" s="2">
        <v>1</v>
      </c>
      <c r="BD150" s="2" t="s">
        <v>3</v>
      </c>
      <c r="BE150" s="2" t="s">
        <v>3</v>
      </c>
      <c r="BF150" s="2" t="s">
        <v>3</v>
      </c>
      <c r="BG150" s="2" t="s">
        <v>3</v>
      </c>
      <c r="BH150" s="2">
        <v>3</v>
      </c>
      <c r="BI150" s="2">
        <v>3</v>
      </c>
      <c r="BJ150" s="2" t="s">
        <v>176</v>
      </c>
      <c r="BK150" s="2"/>
      <c r="BL150" s="2"/>
      <c r="BM150" s="2">
        <v>400007</v>
      </c>
      <c r="BN150" s="2">
        <v>0</v>
      </c>
      <c r="BO150" s="2" t="s">
        <v>3</v>
      </c>
      <c r="BP150" s="2">
        <v>0</v>
      </c>
      <c r="BQ150" s="2">
        <v>214</v>
      </c>
      <c r="BR150" s="2">
        <v>0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1</v>
      </c>
      <c r="BY150" s="2" t="s">
        <v>3</v>
      </c>
      <c r="BZ150" s="2">
        <v>90</v>
      </c>
      <c r="CA150" s="2">
        <v>46</v>
      </c>
      <c r="CB150" s="2" t="s">
        <v>3</v>
      </c>
      <c r="CC150" s="2"/>
      <c r="CD150" s="2"/>
      <c r="CE150" s="2">
        <v>1566</v>
      </c>
      <c r="CF150" s="2">
        <v>0</v>
      </c>
      <c r="CG150" s="2">
        <v>0</v>
      </c>
      <c r="CH150" s="2"/>
      <c r="CI150" s="2"/>
      <c r="CJ150" s="2"/>
      <c r="CK150" s="2"/>
      <c r="CL150" s="2"/>
      <c r="CM150" s="2">
        <v>0</v>
      </c>
      <c r="CN150" s="11" t="s">
        <v>420</v>
      </c>
      <c r="CO150" s="2">
        <v>0</v>
      </c>
      <c r="CP150" s="2">
        <f t="shared" si="125"/>
        <v>8610.98</v>
      </c>
      <c r="CQ150" s="2">
        <f t="shared" si="126"/>
        <v>8610.98</v>
      </c>
      <c r="CR150" s="2">
        <f>(ROUND((ROUND(((ET150)*AV150*1),2)*BB150),2)+ROUND((ROUND(((AE150-(EU150))*AV150*1),2)*BS150),2))</f>
        <v>0</v>
      </c>
      <c r="CS150" s="2">
        <f>(ROUND((ROUND(((EU150)*AV150*1),2)*BS150),2)+ROUND((ROUND(((AE150-(EU150))*AV150*1),2)*BS150),2))</f>
        <v>0</v>
      </c>
      <c r="CT150" s="2">
        <f t="shared" si="127"/>
        <v>0</v>
      </c>
      <c r="CU150" s="2">
        <f t="shared" si="128"/>
        <v>0</v>
      </c>
      <c r="CV150" s="2">
        <f t="shared" si="129"/>
        <v>0</v>
      </c>
      <c r="CW150" s="2">
        <f t="shared" si="130"/>
        <v>0</v>
      </c>
      <c r="CX150" s="2">
        <f t="shared" si="131"/>
        <v>0</v>
      </c>
      <c r="CY150" s="2">
        <f>(ROUND((((S150+ROUND((ROUND(((EU150)*AV150*1),2)*BS150),2))*AT150)/100),2)+ROUND(((ROUND((ROUND(((AE150-(EU150))*AV150*1),2)*BS150),2)*AT150)/100),2))</f>
        <v>0</v>
      </c>
      <c r="CZ150" s="2">
        <f>(ROUND((((S150+ROUND((ROUND(((EU150)*AV150*1),2)*BS150),2))*AU150)/100),2)+ROUND(((ROUND((ROUND(((AE150-(EU150))*AV150*1),2)*BS150),2)*AU150)/100),2))</f>
        <v>0</v>
      </c>
      <c r="DA150" s="2"/>
      <c r="DB150" s="2"/>
      <c r="DC150" s="2" t="s">
        <v>3</v>
      </c>
      <c r="DD150" s="2" t="s">
        <v>3</v>
      </c>
      <c r="DE150" s="2" t="s">
        <v>3</v>
      </c>
      <c r="DF150" s="2" t="s">
        <v>3</v>
      </c>
      <c r="DG150" s="2" t="s">
        <v>3</v>
      </c>
      <c r="DH150" s="2" t="s">
        <v>3</v>
      </c>
      <c r="DI150" s="2" t="s">
        <v>3</v>
      </c>
      <c r="DJ150" s="2" t="s">
        <v>3</v>
      </c>
      <c r="DK150" s="2" t="s">
        <v>3</v>
      </c>
      <c r="DL150" s="2" t="s">
        <v>3</v>
      </c>
      <c r="DM150" s="2" t="s">
        <v>3</v>
      </c>
      <c r="DN150" s="2">
        <v>0</v>
      </c>
      <c r="DO150" s="2">
        <v>0</v>
      </c>
      <c r="DP150" s="2">
        <v>1</v>
      </c>
      <c r="DQ150" s="2">
        <v>1</v>
      </c>
      <c r="DR150" s="2"/>
      <c r="DS150" s="2"/>
      <c r="DT150" s="2"/>
      <c r="DU150" s="2">
        <v>1013</v>
      </c>
      <c r="DV150" s="2" t="s">
        <v>126</v>
      </c>
      <c r="DW150" s="2" t="s">
        <v>126</v>
      </c>
      <c r="DX150" s="2">
        <v>1</v>
      </c>
      <c r="DY150" s="2"/>
      <c r="DZ150" s="2" t="s">
        <v>3</v>
      </c>
      <c r="EA150" s="2" t="s">
        <v>3</v>
      </c>
      <c r="EB150" s="2" t="s">
        <v>3</v>
      </c>
      <c r="EC150" s="2" t="s">
        <v>3</v>
      </c>
      <c r="ED150" s="2"/>
      <c r="EE150" s="2">
        <v>57042890</v>
      </c>
      <c r="EF150" s="2">
        <v>214</v>
      </c>
      <c r="EG150" s="2" t="s">
        <v>127</v>
      </c>
      <c r="EH150" s="2">
        <v>0</v>
      </c>
      <c r="EI150" s="2" t="s">
        <v>3</v>
      </c>
      <c r="EJ150" s="2">
        <v>3</v>
      </c>
      <c r="EK150" s="2">
        <v>400007</v>
      </c>
      <c r="EL150" s="2" t="s">
        <v>127</v>
      </c>
      <c r="EM150" s="2" t="s">
        <v>128</v>
      </c>
      <c r="EN150" s="2"/>
      <c r="EO150" s="2" t="s">
        <v>122</v>
      </c>
      <c r="EP150" s="2"/>
      <c r="EQ150" s="2">
        <v>1040</v>
      </c>
      <c r="ER150" s="2">
        <v>0</v>
      </c>
      <c r="ES150" s="2">
        <v>8610.9800000000014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>
        <v>0</v>
      </c>
      <c r="FR150" s="2">
        <f>P150</f>
        <v>8610.98</v>
      </c>
      <c r="FS150" s="2">
        <v>0</v>
      </c>
      <c r="FT150" s="2"/>
      <c r="FU150" s="2"/>
      <c r="FV150" s="2"/>
      <c r="FW150" s="2"/>
      <c r="FX150" s="2">
        <v>90</v>
      </c>
      <c r="FY150" s="2">
        <v>46</v>
      </c>
      <c r="FZ150" s="2"/>
      <c r="GA150" s="2" t="s">
        <v>178</v>
      </c>
      <c r="GB150" s="2"/>
      <c r="GC150" s="2"/>
      <c r="GD150" s="2">
        <v>1</v>
      </c>
      <c r="GE150" s="2"/>
      <c r="GF150" s="2">
        <v>521992768</v>
      </c>
      <c r="GG150" s="2">
        <v>2</v>
      </c>
      <c r="GH150" s="2">
        <v>4</v>
      </c>
      <c r="GI150" s="2">
        <v>-2</v>
      </c>
      <c r="GJ150" s="2">
        <v>0</v>
      </c>
      <c r="GK150" s="2">
        <v>0</v>
      </c>
      <c r="GL150" s="2">
        <f t="shared" si="132"/>
        <v>0</v>
      </c>
      <c r="GM150" s="2">
        <f t="shared" si="133"/>
        <v>8610.98</v>
      </c>
      <c r="GN150" s="2">
        <f t="shared" si="134"/>
        <v>0</v>
      </c>
      <c r="GO150" s="2">
        <f t="shared" si="135"/>
        <v>0</v>
      </c>
      <c r="GP150" s="2">
        <f t="shared" si="136"/>
        <v>0</v>
      </c>
      <c r="GQ150" s="2"/>
      <c r="GR150" s="2">
        <v>1</v>
      </c>
      <c r="GS150" s="2">
        <v>2</v>
      </c>
      <c r="GT150" s="2">
        <v>0</v>
      </c>
      <c r="GU150" s="2" t="s">
        <v>3</v>
      </c>
      <c r="GV150" s="2">
        <f t="shared" si="137"/>
        <v>0</v>
      </c>
      <c r="GW150" s="2">
        <v>1</v>
      </c>
      <c r="GX150" s="2">
        <f t="shared" si="138"/>
        <v>0</v>
      </c>
      <c r="GY150" s="2"/>
      <c r="GZ150" s="2"/>
      <c r="HA150" s="2">
        <v>0</v>
      </c>
      <c r="HB150" s="2">
        <v>0</v>
      </c>
      <c r="HC150" s="2">
        <f t="shared" si="139"/>
        <v>0</v>
      </c>
      <c r="HD150" s="2"/>
      <c r="HE150" s="2" t="s">
        <v>41</v>
      </c>
      <c r="HF150" s="2" t="s">
        <v>130</v>
      </c>
      <c r="HG150" s="2"/>
      <c r="HH150" s="2"/>
      <c r="HI150" s="2"/>
      <c r="HJ150" s="2"/>
      <c r="HK150" s="2"/>
      <c r="HL150" s="2"/>
      <c r="HM150" s="2" t="s">
        <v>120</v>
      </c>
      <c r="HN150" s="2" t="s">
        <v>3</v>
      </c>
      <c r="HO150" s="2" t="s">
        <v>3</v>
      </c>
      <c r="HP150" s="2" t="s">
        <v>3</v>
      </c>
      <c r="HQ150" s="2" t="s">
        <v>3</v>
      </c>
      <c r="HR150" s="2"/>
      <c r="HS150" s="2">
        <v>0</v>
      </c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>
        <v>0</v>
      </c>
      <c r="IL150" s="2"/>
      <c r="IM150" s="2"/>
      <c r="IN150" s="2"/>
      <c r="IO150" s="2"/>
      <c r="IP150" s="2"/>
      <c r="IQ150" s="2"/>
      <c r="IR150" s="2"/>
      <c r="IS150" s="2"/>
      <c r="IT150" s="2"/>
      <c r="IU150" s="2"/>
    </row>
    <row r="151" spans="1:255" ht="409.5" x14ac:dyDescent="0.25">
      <c r="A151" s="3">
        <v>18</v>
      </c>
      <c r="B151" s="3">
        <v>1</v>
      </c>
      <c r="C151" s="3">
        <v>223</v>
      </c>
      <c r="D151" s="3"/>
      <c r="E151" s="3" t="s">
        <v>3</v>
      </c>
      <c r="F151" s="3" t="s">
        <v>176</v>
      </c>
      <c r="G151" s="3" t="s">
        <v>177</v>
      </c>
      <c r="H151" s="3" t="s">
        <v>126</v>
      </c>
      <c r="I151" s="3">
        <f>I149*J151</f>
        <v>1</v>
      </c>
      <c r="J151" s="3">
        <v>1</v>
      </c>
      <c r="K151" s="3">
        <v>1</v>
      </c>
      <c r="L151" s="3"/>
      <c r="M151" s="3"/>
      <c r="N151" s="3"/>
      <c r="O151" s="3">
        <f t="shared" si="115"/>
        <v>65185.120000000003</v>
      </c>
      <c r="P151" s="3">
        <f t="shared" si="116"/>
        <v>65185.120000000003</v>
      </c>
      <c r="Q151" s="3">
        <f>(ROUND((ROUND(((ET151)*AV151*I151),2)*BB151),2)+ROUND((ROUND(((AE151-(EU151))*AV151*I151),2)*BS151),2))</f>
        <v>0</v>
      </c>
      <c r="R151" s="3">
        <f>(ROUND((ROUND(((EU151)*AV151*I151),2)*BS151),2)+ROUND((ROUND(((AE151-(EU151))*AV151*I151),2)*BS151),2))</f>
        <v>0</v>
      </c>
      <c r="S151" s="3">
        <f t="shared" si="117"/>
        <v>0</v>
      </c>
      <c r="T151" s="3">
        <f t="shared" si="118"/>
        <v>0</v>
      </c>
      <c r="U151" s="3">
        <f t="shared" si="119"/>
        <v>0</v>
      </c>
      <c r="V151" s="3">
        <f t="shared" si="120"/>
        <v>0</v>
      </c>
      <c r="W151" s="3">
        <f t="shared" si="121"/>
        <v>0</v>
      </c>
      <c r="X151" s="3">
        <f>(ROUND((((S151+ROUND((ROUND(((EU151)*AV151*I151),2)*BS151),2))*AT151)/100),2)+ROUND(((ROUND((ROUND(((AE151-(EU151))*AV151*I151),2)*BS151),2)*AT151)/100),2))</f>
        <v>0</v>
      </c>
      <c r="Y151" s="3">
        <f>(ROUND((((S151+ROUND((ROUND(((EU151)*AV151*I151),2)*BS151),2))*AU151)/100),2)+ROUND(((ROUND((ROUND(((AE151-(EU151))*AV151*I151),2)*BS151),2)*AU151)/100),2))</f>
        <v>0</v>
      </c>
      <c r="Z151" s="3"/>
      <c r="AA151" s="3">
        <v>-1</v>
      </c>
      <c r="AB151" s="3">
        <f t="shared" si="122"/>
        <v>8610.98</v>
      </c>
      <c r="AC151" s="3">
        <f>ROUND((ES151),6)</f>
        <v>8610.98</v>
      </c>
      <c r="AD151" s="3">
        <f>ROUND((((ET151)-(EU151))+AE151),6)</f>
        <v>0</v>
      </c>
      <c r="AE151" s="3">
        <f>ROUND((EU151),6)</f>
        <v>0</v>
      </c>
      <c r="AF151" s="3">
        <f>ROUND((EV151),6)</f>
        <v>0</v>
      </c>
      <c r="AG151" s="3">
        <f t="shared" si="123"/>
        <v>0</v>
      </c>
      <c r="AH151" s="3">
        <f>(EW151)</f>
        <v>0</v>
      </c>
      <c r="AI151" s="3">
        <f>(EX151)</f>
        <v>0</v>
      </c>
      <c r="AJ151" s="3">
        <f t="shared" si="124"/>
        <v>0</v>
      </c>
      <c r="AK151" s="3">
        <v>8610.9800000000014</v>
      </c>
      <c r="AL151" s="3">
        <v>8610.9800000000014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1</v>
      </c>
      <c r="AW151" s="3">
        <v>1</v>
      </c>
      <c r="AX151" s="3"/>
      <c r="AY151" s="3"/>
      <c r="AZ151" s="3">
        <v>1</v>
      </c>
      <c r="BA151" s="3">
        <v>1</v>
      </c>
      <c r="BB151" s="3">
        <v>1</v>
      </c>
      <c r="BC151" s="3">
        <v>7.57</v>
      </c>
      <c r="BD151" s="3" t="s">
        <v>3</v>
      </c>
      <c r="BE151" s="3" t="s">
        <v>3</v>
      </c>
      <c r="BF151" s="3" t="s">
        <v>3</v>
      </c>
      <c r="BG151" s="3" t="s">
        <v>3</v>
      </c>
      <c r="BH151" s="3">
        <v>3</v>
      </c>
      <c r="BI151" s="3">
        <v>3</v>
      </c>
      <c r="BJ151" s="3" t="s">
        <v>176</v>
      </c>
      <c r="BK151" s="3"/>
      <c r="BL151" s="3"/>
      <c r="BM151" s="3">
        <v>400007</v>
      </c>
      <c r="BN151" s="3">
        <v>0</v>
      </c>
      <c r="BO151" s="3" t="s">
        <v>3</v>
      </c>
      <c r="BP151" s="3">
        <v>0</v>
      </c>
      <c r="BQ151" s="3">
        <v>214</v>
      </c>
      <c r="BR151" s="3">
        <v>0</v>
      </c>
      <c r="BS151" s="3">
        <v>1</v>
      </c>
      <c r="BT151" s="3">
        <v>1</v>
      </c>
      <c r="BU151" s="3">
        <v>1</v>
      </c>
      <c r="BV151" s="3">
        <v>1</v>
      </c>
      <c r="BW151" s="3">
        <v>1</v>
      </c>
      <c r="BX151" s="3">
        <v>1</v>
      </c>
      <c r="BY151" s="3" t="s">
        <v>3</v>
      </c>
      <c r="BZ151" s="3">
        <v>90</v>
      </c>
      <c r="CA151" s="3">
        <v>46</v>
      </c>
      <c r="CB151" s="3" t="s">
        <v>3</v>
      </c>
      <c r="CC151" s="3"/>
      <c r="CD151" s="3"/>
      <c r="CE151" s="3">
        <v>1566</v>
      </c>
      <c r="CF151" s="3">
        <v>0</v>
      </c>
      <c r="CG151" s="3">
        <v>0</v>
      </c>
      <c r="CH151" s="3"/>
      <c r="CI151" s="3"/>
      <c r="CJ151" s="3"/>
      <c r="CK151" s="3"/>
      <c r="CL151" s="3"/>
      <c r="CM151" s="3">
        <v>0</v>
      </c>
      <c r="CN151" s="12" t="s">
        <v>420</v>
      </c>
      <c r="CO151" s="3">
        <v>0</v>
      </c>
      <c r="CP151" s="3">
        <f t="shared" si="125"/>
        <v>65185.120000000003</v>
      </c>
      <c r="CQ151" s="3">
        <f t="shared" si="126"/>
        <v>65185.120000000003</v>
      </c>
      <c r="CR151" s="3">
        <f>(ROUND((ROUND(((ET151)*AV151*1),2)*BB151),2)+ROUND((ROUND(((AE151-(EU151))*AV151*1),2)*BS151),2))</f>
        <v>0</v>
      </c>
      <c r="CS151" s="3">
        <f>(ROUND((ROUND(((EU151)*AV151*1),2)*BS151),2)+ROUND((ROUND(((AE151-(EU151))*AV151*1),2)*BS151),2))</f>
        <v>0</v>
      </c>
      <c r="CT151" s="3">
        <f t="shared" si="127"/>
        <v>0</v>
      </c>
      <c r="CU151" s="3">
        <f t="shared" si="128"/>
        <v>0</v>
      </c>
      <c r="CV151" s="3">
        <f t="shared" si="129"/>
        <v>0</v>
      </c>
      <c r="CW151" s="3">
        <f t="shared" si="130"/>
        <v>0</v>
      </c>
      <c r="CX151" s="3">
        <f t="shared" si="131"/>
        <v>0</v>
      </c>
      <c r="CY151" s="3">
        <f>(ROUND((((S151+ROUND((ROUND(((EU151)*AV151*1),2)*BS151),2))*AT151)/100),2)+ROUND(((ROUND((ROUND(((AE151-(EU151))*AV151*1),2)*BS151),2)*AT151)/100),2))</f>
        <v>0</v>
      </c>
      <c r="CZ151" s="3">
        <f>(ROUND((((S151+ROUND((ROUND(((EU151)*AV151*1),2)*BS151),2))*AU151)/100),2)+ROUND(((ROUND((ROUND(((AE151-(EU151))*AV151*1),2)*BS151),2)*AU151)/100),2))</f>
        <v>0</v>
      </c>
      <c r="DA151" s="3"/>
      <c r="DB151" s="3"/>
      <c r="DC151" s="3" t="s">
        <v>3</v>
      </c>
      <c r="DD151" s="3" t="s">
        <v>3</v>
      </c>
      <c r="DE151" s="3" t="s">
        <v>3</v>
      </c>
      <c r="DF151" s="3" t="s">
        <v>3</v>
      </c>
      <c r="DG151" s="3" t="s">
        <v>3</v>
      </c>
      <c r="DH151" s="3" t="s">
        <v>3</v>
      </c>
      <c r="DI151" s="3" t="s">
        <v>3</v>
      </c>
      <c r="DJ151" s="3" t="s">
        <v>3</v>
      </c>
      <c r="DK151" s="3" t="s">
        <v>3</v>
      </c>
      <c r="DL151" s="3" t="s">
        <v>3</v>
      </c>
      <c r="DM151" s="3" t="s">
        <v>3</v>
      </c>
      <c r="DN151" s="3">
        <v>0</v>
      </c>
      <c r="DO151" s="3">
        <v>0</v>
      </c>
      <c r="DP151" s="3">
        <v>1</v>
      </c>
      <c r="DQ151" s="3">
        <v>1</v>
      </c>
      <c r="DR151" s="3"/>
      <c r="DS151" s="3"/>
      <c r="DT151" s="3"/>
      <c r="DU151" s="3">
        <v>1013</v>
      </c>
      <c r="DV151" s="3" t="s">
        <v>126</v>
      </c>
      <c r="DW151" s="3" t="s">
        <v>126</v>
      </c>
      <c r="DX151" s="3">
        <v>1</v>
      </c>
      <c r="DY151" s="3"/>
      <c r="DZ151" s="3" t="s">
        <v>3</v>
      </c>
      <c r="EA151" s="3" t="s">
        <v>3</v>
      </c>
      <c r="EB151" s="3" t="s">
        <v>3</v>
      </c>
      <c r="EC151" s="3" t="s">
        <v>3</v>
      </c>
      <c r="ED151" s="3"/>
      <c r="EE151" s="3">
        <v>57042890</v>
      </c>
      <c r="EF151" s="3">
        <v>214</v>
      </c>
      <c r="EG151" s="3" t="s">
        <v>127</v>
      </c>
      <c r="EH151" s="3">
        <v>0</v>
      </c>
      <c r="EI151" s="3" t="s">
        <v>3</v>
      </c>
      <c r="EJ151" s="3">
        <v>3</v>
      </c>
      <c r="EK151" s="3">
        <v>400007</v>
      </c>
      <c r="EL151" s="3" t="s">
        <v>127</v>
      </c>
      <c r="EM151" s="3" t="s">
        <v>128</v>
      </c>
      <c r="EN151" s="3"/>
      <c r="EO151" s="3" t="s">
        <v>122</v>
      </c>
      <c r="EP151" s="3"/>
      <c r="EQ151" s="3">
        <v>1040</v>
      </c>
      <c r="ER151" s="3">
        <v>0</v>
      </c>
      <c r="ES151" s="3">
        <v>8610.9800000000014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/>
      <c r="EZ151" s="3">
        <v>5</v>
      </c>
      <c r="FA151" s="3"/>
      <c r="FB151" s="3"/>
      <c r="FC151" s="3">
        <v>1</v>
      </c>
      <c r="FD151" s="3">
        <v>18</v>
      </c>
      <c r="FE151" s="3"/>
      <c r="FF151" s="3">
        <v>76294.02</v>
      </c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>
        <v>0</v>
      </c>
      <c r="FR151" s="3">
        <f>P151</f>
        <v>65185.120000000003</v>
      </c>
      <c r="FS151" s="3">
        <v>0</v>
      </c>
      <c r="FT151" s="3"/>
      <c r="FU151" s="3"/>
      <c r="FV151" s="3"/>
      <c r="FW151" s="3"/>
      <c r="FX151" s="3">
        <v>90</v>
      </c>
      <c r="FY151" s="3">
        <v>46</v>
      </c>
      <c r="FZ151" s="3"/>
      <c r="GA151" s="3" t="s">
        <v>178</v>
      </c>
      <c r="GB151" s="3"/>
      <c r="GC151" s="3"/>
      <c r="GD151" s="3">
        <v>1</v>
      </c>
      <c r="GE151" s="3"/>
      <c r="GF151" s="3">
        <v>521992768</v>
      </c>
      <c r="GG151" s="3">
        <v>2</v>
      </c>
      <c r="GH151" s="3">
        <v>3</v>
      </c>
      <c r="GI151" s="3">
        <v>5</v>
      </c>
      <c r="GJ151" s="3">
        <v>0</v>
      </c>
      <c r="GK151" s="3">
        <v>0</v>
      </c>
      <c r="GL151" s="3">
        <f t="shared" si="132"/>
        <v>0</v>
      </c>
      <c r="GM151" s="3">
        <f t="shared" si="133"/>
        <v>65185.120000000003</v>
      </c>
      <c r="GN151" s="3">
        <f t="shared" si="134"/>
        <v>0</v>
      </c>
      <c r="GO151" s="3">
        <f t="shared" si="135"/>
        <v>0</v>
      </c>
      <c r="GP151" s="3">
        <f t="shared" si="136"/>
        <v>0</v>
      </c>
      <c r="GQ151" s="3"/>
      <c r="GR151" s="3">
        <v>1</v>
      </c>
      <c r="GS151" s="3">
        <v>1</v>
      </c>
      <c r="GT151" s="3">
        <v>0</v>
      </c>
      <c r="GU151" s="3" t="s">
        <v>3</v>
      </c>
      <c r="GV151" s="3">
        <f t="shared" si="137"/>
        <v>0</v>
      </c>
      <c r="GW151" s="3">
        <v>1</v>
      </c>
      <c r="GX151" s="3">
        <f t="shared" si="138"/>
        <v>0</v>
      </c>
      <c r="GY151" s="3"/>
      <c r="GZ151" s="3"/>
      <c r="HA151" s="3">
        <v>0</v>
      </c>
      <c r="HB151" s="3">
        <v>0</v>
      </c>
      <c r="HC151" s="3">
        <f t="shared" si="139"/>
        <v>0</v>
      </c>
      <c r="HD151" s="3"/>
      <c r="HE151" s="3" t="s">
        <v>41</v>
      </c>
      <c r="HF151" s="3" t="s">
        <v>130</v>
      </c>
      <c r="HG151" s="3"/>
      <c r="HH151" s="3"/>
      <c r="HI151" s="3"/>
      <c r="HJ151" s="3"/>
      <c r="HK151" s="3"/>
      <c r="HL151" s="3"/>
      <c r="HM151" s="3" t="s">
        <v>120</v>
      </c>
      <c r="HN151" s="3" t="s">
        <v>3</v>
      </c>
      <c r="HO151" s="3" t="s">
        <v>3</v>
      </c>
      <c r="HP151" s="3" t="s">
        <v>3</v>
      </c>
      <c r="HQ151" s="3" t="s">
        <v>3</v>
      </c>
      <c r="HR151" s="3"/>
      <c r="HS151" s="3">
        <v>0</v>
      </c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>
        <v>0</v>
      </c>
      <c r="IL151" s="3"/>
      <c r="IM151" s="3"/>
      <c r="IN151" s="3"/>
      <c r="IO151" s="3"/>
      <c r="IP151" s="3"/>
      <c r="IQ151" s="3"/>
      <c r="IR151" s="3"/>
      <c r="IS151" s="3"/>
      <c r="IT151" s="3"/>
      <c r="IU151" s="3"/>
    </row>
    <row r="152" spans="1:255" ht="409.5" x14ac:dyDescent="0.25">
      <c r="A152" s="2">
        <v>17</v>
      </c>
      <c r="B152" s="2">
        <v>1</v>
      </c>
      <c r="C152" s="2">
        <f>ROW(SmtRes!A240)</f>
        <v>240</v>
      </c>
      <c r="D152" s="2">
        <f>ROW(EtalonRes!A281)</f>
        <v>281</v>
      </c>
      <c r="E152" s="2" t="s">
        <v>180</v>
      </c>
      <c r="F152" s="2" t="s">
        <v>48</v>
      </c>
      <c r="G152" s="2" t="s">
        <v>179</v>
      </c>
      <c r="H152" s="2" t="s">
        <v>50</v>
      </c>
      <c r="I152" s="2">
        <v>14</v>
      </c>
      <c r="J152" s="2">
        <v>0</v>
      </c>
      <c r="K152" s="2">
        <v>14</v>
      </c>
      <c r="L152" s="2"/>
      <c r="M152" s="2"/>
      <c r="N152" s="2"/>
      <c r="O152" s="2">
        <f t="shared" si="115"/>
        <v>1262.48</v>
      </c>
      <c r="P152" s="2">
        <f t="shared" si="116"/>
        <v>596.54</v>
      </c>
      <c r="Q152" s="2">
        <f>(ROUND((ROUND((((ET152*1.2))*AV152*I152),2)*BB152),2)+ROUND((ROUND(((AE152-((EU152*1.2)))*AV152*I152),2)*BS152),2))</f>
        <v>0</v>
      </c>
      <c r="R152" s="2">
        <f>(ROUND((ROUND((((EU152*1.2))*AV152*I152),2)*BS152),2)+ROUND((ROUND(((AE152-((EU152*1.2)))*AV152*I152),2)*BS152),2))</f>
        <v>0</v>
      </c>
      <c r="S152" s="2">
        <f t="shared" si="117"/>
        <v>665.94</v>
      </c>
      <c r="T152" s="2">
        <f t="shared" si="118"/>
        <v>0</v>
      </c>
      <c r="U152" s="2">
        <f t="shared" si="119"/>
        <v>52.768799999999992</v>
      </c>
      <c r="V152" s="2">
        <f t="shared" si="120"/>
        <v>0</v>
      </c>
      <c r="W152" s="2">
        <f t="shared" si="121"/>
        <v>0</v>
      </c>
      <c r="X152" s="2">
        <f>(ROUND((((S152+ROUND((ROUND((((EU152*1.2))*AV152*I152),2)*BS152),2))*AT152)/100),2)+ROUND(((ROUND((ROUND(((AE152-((EU152*1.2)))*AV152*I152),2)*BS152),2)*AT152)/100),2))</f>
        <v>599.35</v>
      </c>
      <c r="Y152" s="2">
        <f>(ROUND((((S152+ROUND((ROUND((((EU152*1.2))*AV152*I152),2)*BS152),2))*AU152)/100),2)+ROUND(((ROUND((ROUND(((AE152-((EU152*1.2)))*AV152*I152),2)*BS152),2)*AU152)/100),2))</f>
        <v>306.33</v>
      </c>
      <c r="Z152" s="2"/>
      <c r="AA152" s="2">
        <v>55934355</v>
      </c>
      <c r="AB152" s="2">
        <f t="shared" si="122"/>
        <v>88.042000000000002</v>
      </c>
      <c r="AC152" s="2">
        <f>ROUND(((ES152*1)),6)</f>
        <v>42.61</v>
      </c>
      <c r="AD152" s="2">
        <f>ROUND(((((ET152*1.2))-((EU152*1.2)))+AE152),6)</f>
        <v>0</v>
      </c>
      <c r="AE152" s="2">
        <f>ROUND(((EU152*1.2)),6)</f>
        <v>0</v>
      </c>
      <c r="AF152" s="2">
        <f>ROUND(((EV152*1.2)),6)</f>
        <v>45.432000000000002</v>
      </c>
      <c r="AG152" s="2">
        <f t="shared" si="123"/>
        <v>0</v>
      </c>
      <c r="AH152" s="2">
        <f>((EW152*1.2))</f>
        <v>3.5999999999999996</v>
      </c>
      <c r="AI152" s="2">
        <f>((EX152*1.2))</f>
        <v>0</v>
      </c>
      <c r="AJ152" s="2">
        <f t="shared" si="124"/>
        <v>0</v>
      </c>
      <c r="AK152" s="2">
        <v>80.47</v>
      </c>
      <c r="AL152" s="2">
        <v>42.61</v>
      </c>
      <c r="AM152" s="2">
        <v>0</v>
      </c>
      <c r="AN152" s="2">
        <v>0</v>
      </c>
      <c r="AO152" s="2">
        <v>37.86</v>
      </c>
      <c r="AP152" s="2">
        <v>0</v>
      </c>
      <c r="AQ152" s="2">
        <v>3</v>
      </c>
      <c r="AR152" s="2">
        <v>0</v>
      </c>
      <c r="AS152" s="2">
        <v>0</v>
      </c>
      <c r="AT152" s="2">
        <v>90</v>
      </c>
      <c r="AU152" s="2">
        <v>46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51</v>
      </c>
      <c r="BK152" s="2"/>
      <c r="BL152" s="2"/>
      <c r="BM152" s="2">
        <v>68</v>
      </c>
      <c r="BN152" s="2">
        <v>0</v>
      </c>
      <c r="BO152" s="2" t="s">
        <v>48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11" t="s">
        <v>419</v>
      </c>
      <c r="CO152" s="2">
        <v>0</v>
      </c>
      <c r="CP152" s="2">
        <f t="shared" si="125"/>
        <v>1262.48</v>
      </c>
      <c r="CQ152" s="2">
        <f t="shared" si="126"/>
        <v>42.61</v>
      </c>
      <c r="CR152" s="2">
        <f>(ROUND((ROUND((((ET152*1.2))*AV152*1),2)*BB152),2)+ROUND((ROUND(((AE152-((EU152*1.2)))*AV152*1),2)*BS152),2))</f>
        <v>0</v>
      </c>
      <c r="CS152" s="2">
        <f>(ROUND((ROUND((((EU152*1.2))*AV152*1),2)*BS152),2)+ROUND((ROUND(((AE152-((EU152*1.2)))*AV152*1),2)*BS152),2))</f>
        <v>0</v>
      </c>
      <c r="CT152" s="2">
        <f t="shared" si="127"/>
        <v>47.57</v>
      </c>
      <c r="CU152" s="2">
        <f t="shared" si="128"/>
        <v>0</v>
      </c>
      <c r="CV152" s="2">
        <f t="shared" si="129"/>
        <v>3.7691999999999992</v>
      </c>
      <c r="CW152" s="2">
        <f t="shared" si="130"/>
        <v>0</v>
      </c>
      <c r="CX152" s="2">
        <f t="shared" si="131"/>
        <v>0</v>
      </c>
      <c r="CY152" s="2">
        <f>(ROUND((((S152+ROUND((ROUND((((EU152*1.2))*AV152*1),2)*BS152),2))*AT152)/100),2)+ROUND(((ROUND((ROUND(((AE152-((EU152*1.2)))*AV152*1),2)*BS152),2)*AT152)/100),2))</f>
        <v>599.35</v>
      </c>
      <c r="CZ152" s="2">
        <f>(ROUND((((S152+ROUND((ROUND((((EU152*1.2))*AV152*1),2)*BS152),2))*AU152)/100),2)+ROUND(((ROUND((ROUND(((AE152-((EU152*1.2)))*AV152*1),2)*BS152),2)*AU152)/100),2))</f>
        <v>306.33</v>
      </c>
      <c r="DA152" s="2"/>
      <c r="DB152" s="2">
        <v>53</v>
      </c>
      <c r="DC152" s="2" t="s">
        <v>3</v>
      </c>
      <c r="DD152" s="2" t="s">
        <v>120</v>
      </c>
      <c r="DE152" s="2" t="s">
        <v>121</v>
      </c>
      <c r="DF152" s="2" t="s">
        <v>121</v>
      </c>
      <c r="DG152" s="2" t="s">
        <v>121</v>
      </c>
      <c r="DH152" s="2" t="s">
        <v>3</v>
      </c>
      <c r="DI152" s="2" t="s">
        <v>121</v>
      </c>
      <c r="DJ152" s="2" t="s">
        <v>121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50</v>
      </c>
      <c r="DW152" s="2" t="s">
        <v>50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57042958</v>
      </c>
      <c r="EF152" s="2">
        <v>40</v>
      </c>
      <c r="EG152" s="2" t="s">
        <v>30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31</v>
      </c>
      <c r="EM152" s="2" t="s">
        <v>32</v>
      </c>
      <c r="EN152" s="2"/>
      <c r="EO152" s="2" t="s">
        <v>122</v>
      </c>
      <c r="EP152" s="2"/>
      <c r="EQ152" s="2">
        <v>0</v>
      </c>
      <c r="ER152" s="2">
        <v>80.47</v>
      </c>
      <c r="ES152" s="2">
        <v>42.61</v>
      </c>
      <c r="ET152" s="2">
        <v>0</v>
      </c>
      <c r="EU152" s="2">
        <v>0</v>
      </c>
      <c r="EV152" s="2">
        <v>37.86</v>
      </c>
      <c r="EW152" s="2">
        <v>3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3</v>
      </c>
      <c r="GB152" s="2"/>
      <c r="GC152" s="2"/>
      <c r="GD152" s="2">
        <v>1</v>
      </c>
      <c r="GE152" s="2"/>
      <c r="GF152" s="2">
        <v>-1785550083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si="132"/>
        <v>0</v>
      </c>
      <c r="GM152" s="2">
        <f t="shared" si="133"/>
        <v>2168.16</v>
      </c>
      <c r="GN152" s="2">
        <f t="shared" si="134"/>
        <v>0</v>
      </c>
      <c r="GO152" s="2">
        <f t="shared" si="135"/>
        <v>2168.16</v>
      </c>
      <c r="GP152" s="2">
        <f t="shared" si="136"/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si="137"/>
        <v>0</v>
      </c>
      <c r="GW152" s="2">
        <v>1</v>
      </c>
      <c r="GX152" s="2">
        <f t="shared" si="138"/>
        <v>0</v>
      </c>
      <c r="GY152" s="2"/>
      <c r="GZ152" s="2"/>
      <c r="HA152" s="2">
        <v>0</v>
      </c>
      <c r="HB152" s="2">
        <v>0</v>
      </c>
      <c r="HC152" s="2">
        <f t="shared" si="139"/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ht="409.5" x14ac:dyDescent="0.25">
      <c r="A153" s="3">
        <v>17</v>
      </c>
      <c r="B153" s="3">
        <v>1</v>
      </c>
      <c r="C153" s="3">
        <f>ROW(SmtRes!A256)</f>
        <v>256</v>
      </c>
      <c r="D153" s="3">
        <f>ROW(EtalonRes!A298)</f>
        <v>298</v>
      </c>
      <c r="E153" s="3" t="s">
        <v>180</v>
      </c>
      <c r="F153" s="3" t="s">
        <v>48</v>
      </c>
      <c r="G153" s="3" t="s">
        <v>179</v>
      </c>
      <c r="H153" s="3" t="s">
        <v>50</v>
      </c>
      <c r="I153" s="3">
        <v>14</v>
      </c>
      <c r="J153" s="3">
        <v>0</v>
      </c>
      <c r="K153" s="3">
        <v>14</v>
      </c>
      <c r="L153" s="3"/>
      <c r="M153" s="3"/>
      <c r="N153" s="3"/>
      <c r="O153" s="3">
        <f t="shared" si="115"/>
        <v>40597.9</v>
      </c>
      <c r="P153" s="3">
        <f t="shared" si="116"/>
        <v>3072.18</v>
      </c>
      <c r="Q153" s="3">
        <f>(ROUND((ROUND((((ET153*1.2))*AV153*I153),2)*BB153),2)+ROUND((ROUND(((AE153-((EU153*1.2)))*AV153*I153),2)*BS153),2))</f>
        <v>0</v>
      </c>
      <c r="R153" s="3">
        <f>(ROUND((ROUND((((EU153*1.2))*AV153*I153),2)*BS153),2)+ROUND((ROUND(((AE153-((EU153*1.2)))*AV153*I153),2)*BS153),2))</f>
        <v>0</v>
      </c>
      <c r="S153" s="3">
        <f t="shared" si="117"/>
        <v>37525.72</v>
      </c>
      <c r="T153" s="3">
        <f t="shared" si="118"/>
        <v>0</v>
      </c>
      <c r="U153" s="3">
        <f t="shared" si="119"/>
        <v>52.768799999999992</v>
      </c>
      <c r="V153" s="3">
        <f t="shared" si="120"/>
        <v>0</v>
      </c>
      <c r="W153" s="3">
        <f t="shared" si="121"/>
        <v>0</v>
      </c>
      <c r="X153" s="3">
        <f>(ROUND((((S153+ROUND((ROUND((((EU153*1.2))*AV153*I153),2)*BS153),2))*AT153)/100),2)+ROUND(((ROUND((ROUND(((AE153-((EU153*1.2)))*AV153*I153),2)*BS153),2)*AT153)/100),2))</f>
        <v>33773.15</v>
      </c>
      <c r="Y153" s="3">
        <f>(ROUND((((S153+ROUND((ROUND((((EU153*1.2))*AV153*I153),2)*BS153),2))*AU153)/100),2)+ROUND(((ROUND((ROUND(((AE153-((EU153*1.2)))*AV153*I153),2)*BS153),2)*AU153)/100),2))</f>
        <v>17261.830000000002</v>
      </c>
      <c r="Z153" s="3"/>
      <c r="AA153" s="3">
        <v>55934357</v>
      </c>
      <c r="AB153" s="3">
        <f t="shared" si="122"/>
        <v>88.042000000000002</v>
      </c>
      <c r="AC153" s="3">
        <f>ROUND(((ES153*1)),6)</f>
        <v>42.61</v>
      </c>
      <c r="AD153" s="3">
        <f>ROUND(((((ET153*1.2))-((EU153*1.2)))+AE153),6)</f>
        <v>0</v>
      </c>
      <c r="AE153" s="3">
        <f>ROUND(((EU153*1.2)),6)</f>
        <v>0</v>
      </c>
      <c r="AF153" s="3">
        <f>ROUND(((EV153*1.2)),6)</f>
        <v>45.432000000000002</v>
      </c>
      <c r="AG153" s="3">
        <f t="shared" si="123"/>
        <v>0</v>
      </c>
      <c r="AH153" s="3">
        <f>((EW153*1.2))</f>
        <v>3.5999999999999996</v>
      </c>
      <c r="AI153" s="3">
        <f>((EX153*1.2))</f>
        <v>0</v>
      </c>
      <c r="AJ153" s="3">
        <f t="shared" si="124"/>
        <v>0</v>
      </c>
      <c r="AK153" s="3">
        <v>80.47</v>
      </c>
      <c r="AL153" s="3">
        <v>42.61</v>
      </c>
      <c r="AM153" s="3">
        <v>0</v>
      </c>
      <c r="AN153" s="3">
        <v>0</v>
      </c>
      <c r="AO153" s="3">
        <v>37.86</v>
      </c>
      <c r="AP153" s="3">
        <v>0</v>
      </c>
      <c r="AQ153" s="3">
        <v>3</v>
      </c>
      <c r="AR153" s="3">
        <v>0</v>
      </c>
      <c r="AS153" s="3">
        <v>0</v>
      </c>
      <c r="AT153" s="3">
        <v>90</v>
      </c>
      <c r="AU153" s="3">
        <v>46</v>
      </c>
      <c r="AV153" s="3">
        <v>1.0469999999999999</v>
      </c>
      <c r="AW153" s="3">
        <v>1</v>
      </c>
      <c r="AX153" s="3"/>
      <c r="AY153" s="3"/>
      <c r="AZ153" s="3">
        <v>1</v>
      </c>
      <c r="BA153" s="3">
        <v>56.35</v>
      </c>
      <c r="BB153" s="3">
        <v>1</v>
      </c>
      <c r="BC153" s="3">
        <v>5.15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2</v>
      </c>
      <c r="BJ153" s="3" t="s">
        <v>51</v>
      </c>
      <c r="BK153" s="3"/>
      <c r="BL153" s="3"/>
      <c r="BM153" s="3">
        <v>68</v>
      </c>
      <c r="BN153" s="3">
        <v>0</v>
      </c>
      <c r="BO153" s="3" t="s">
        <v>48</v>
      </c>
      <c r="BP153" s="3">
        <v>1</v>
      </c>
      <c r="BQ153" s="3">
        <v>40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C153" s="3"/>
      <c r="CD153" s="3"/>
      <c r="CE153" s="3">
        <v>1566</v>
      </c>
      <c r="CF153" s="3">
        <v>0</v>
      </c>
      <c r="CG153" s="3">
        <v>0</v>
      </c>
      <c r="CH153" s="3"/>
      <c r="CI153" s="3"/>
      <c r="CJ153" s="3"/>
      <c r="CK153" s="3"/>
      <c r="CL153" s="3"/>
      <c r="CM153" s="3">
        <v>0</v>
      </c>
      <c r="CN153" s="12" t="s">
        <v>419</v>
      </c>
      <c r="CO153" s="3">
        <v>0</v>
      </c>
      <c r="CP153" s="3">
        <f t="shared" si="125"/>
        <v>40597.9</v>
      </c>
      <c r="CQ153" s="3">
        <f t="shared" si="126"/>
        <v>219.44</v>
      </c>
      <c r="CR153" s="3">
        <f>(ROUND((ROUND((((ET153*1.2))*AV153*1),2)*BB153),2)+ROUND((ROUND(((AE153-((EU153*1.2)))*AV153*1),2)*BS153),2))</f>
        <v>0</v>
      </c>
      <c r="CS153" s="3">
        <f>(ROUND((ROUND((((EU153*1.2))*AV153*1),2)*BS153),2)+ROUND((ROUND(((AE153-((EU153*1.2)))*AV153*1),2)*BS153),2))</f>
        <v>0</v>
      </c>
      <c r="CT153" s="3">
        <f t="shared" si="127"/>
        <v>2680.57</v>
      </c>
      <c r="CU153" s="3">
        <f t="shared" si="128"/>
        <v>0</v>
      </c>
      <c r="CV153" s="3">
        <f t="shared" si="129"/>
        <v>3.7691999999999992</v>
      </c>
      <c r="CW153" s="3">
        <f t="shared" si="130"/>
        <v>0</v>
      </c>
      <c r="CX153" s="3">
        <f t="shared" si="131"/>
        <v>0</v>
      </c>
      <c r="CY153" s="3">
        <f>(ROUND((((S153+ROUND((ROUND((((EU153*1.2))*AV153*1),2)*BS153),2))*AT153)/100),2)+ROUND(((ROUND((ROUND(((AE153-((EU153*1.2)))*AV153*1),2)*BS153),2)*AT153)/100),2))</f>
        <v>33773.15</v>
      </c>
      <c r="CZ153" s="3">
        <f>(ROUND((((S153+ROUND((ROUND((((EU153*1.2))*AV153*1),2)*BS153),2))*AU153)/100),2)+ROUND(((ROUND((ROUND(((AE153-((EU153*1.2)))*AV153*1),2)*BS153),2)*AU153)/100),2))</f>
        <v>17261.830000000002</v>
      </c>
      <c r="DA153" s="3"/>
      <c r="DB153" s="3">
        <v>54</v>
      </c>
      <c r="DC153" s="3" t="s">
        <v>3</v>
      </c>
      <c r="DD153" s="3" t="s">
        <v>120</v>
      </c>
      <c r="DE153" s="3" t="s">
        <v>121</v>
      </c>
      <c r="DF153" s="3" t="s">
        <v>121</v>
      </c>
      <c r="DG153" s="3" t="s">
        <v>121</v>
      </c>
      <c r="DH153" s="3" t="s">
        <v>3</v>
      </c>
      <c r="DI153" s="3" t="s">
        <v>121</v>
      </c>
      <c r="DJ153" s="3" t="s">
        <v>121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R153" s="3"/>
      <c r="DS153" s="3"/>
      <c r="DT153" s="3"/>
      <c r="DU153" s="3">
        <v>1013</v>
      </c>
      <c r="DV153" s="3" t="s">
        <v>50</v>
      </c>
      <c r="DW153" s="3" t="s">
        <v>50</v>
      </c>
      <c r="DX153" s="3">
        <v>1</v>
      </c>
      <c r="DY153" s="3"/>
      <c r="DZ153" s="3" t="s">
        <v>3</v>
      </c>
      <c r="EA153" s="3" t="s">
        <v>3</v>
      </c>
      <c r="EB153" s="3" t="s">
        <v>3</v>
      </c>
      <c r="EC153" s="3" t="s">
        <v>3</v>
      </c>
      <c r="ED153" s="3"/>
      <c r="EE153" s="3">
        <v>57042958</v>
      </c>
      <c r="EF153" s="3">
        <v>40</v>
      </c>
      <c r="EG153" s="3" t="s">
        <v>30</v>
      </c>
      <c r="EH153" s="3">
        <v>0</v>
      </c>
      <c r="EI153" s="3" t="s">
        <v>3</v>
      </c>
      <c r="EJ153" s="3">
        <v>2</v>
      </c>
      <c r="EK153" s="3">
        <v>68</v>
      </c>
      <c r="EL153" s="3" t="s">
        <v>31</v>
      </c>
      <c r="EM153" s="3" t="s">
        <v>32</v>
      </c>
      <c r="EN153" s="3"/>
      <c r="EO153" s="3" t="s">
        <v>122</v>
      </c>
      <c r="EP153" s="3"/>
      <c r="EQ153" s="3">
        <v>0</v>
      </c>
      <c r="ER153" s="3">
        <v>80.47</v>
      </c>
      <c r="ES153" s="3">
        <v>42.61</v>
      </c>
      <c r="ET153" s="3">
        <v>0</v>
      </c>
      <c r="EU153" s="3">
        <v>0</v>
      </c>
      <c r="EV153" s="3">
        <v>37.86</v>
      </c>
      <c r="EW153" s="3">
        <v>3</v>
      </c>
      <c r="EX153" s="3">
        <v>0</v>
      </c>
      <c r="EY153" s="3">
        <v>0</v>
      </c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>
        <v>0</v>
      </c>
      <c r="FR153" s="3">
        <v>0</v>
      </c>
      <c r="FS153" s="3">
        <v>0</v>
      </c>
      <c r="FT153" s="3"/>
      <c r="FU153" s="3"/>
      <c r="FV153" s="3"/>
      <c r="FW153" s="3"/>
      <c r="FX153" s="3">
        <v>90</v>
      </c>
      <c r="FY153" s="3">
        <v>46</v>
      </c>
      <c r="FZ153" s="3"/>
      <c r="GA153" s="3" t="s">
        <v>3</v>
      </c>
      <c r="GB153" s="3"/>
      <c r="GC153" s="3"/>
      <c r="GD153" s="3">
        <v>1</v>
      </c>
      <c r="GE153" s="3"/>
      <c r="GF153" s="3">
        <v>-1785550083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32"/>
        <v>0</v>
      </c>
      <c r="GM153" s="3">
        <f t="shared" si="133"/>
        <v>91632.88</v>
      </c>
      <c r="GN153" s="3">
        <f t="shared" si="134"/>
        <v>0</v>
      </c>
      <c r="GO153" s="3">
        <f t="shared" si="135"/>
        <v>91632.88</v>
      </c>
      <c r="GP153" s="3">
        <f t="shared" si="136"/>
        <v>0</v>
      </c>
      <c r="GQ153" s="3"/>
      <c r="GR153" s="3">
        <v>0</v>
      </c>
      <c r="GS153" s="3">
        <v>3</v>
      </c>
      <c r="GT153" s="3">
        <v>0</v>
      </c>
      <c r="GU153" s="3" t="s">
        <v>3</v>
      </c>
      <c r="GV153" s="3">
        <f t="shared" si="137"/>
        <v>0</v>
      </c>
      <c r="GW153" s="3">
        <v>1</v>
      </c>
      <c r="GX153" s="3">
        <f t="shared" si="138"/>
        <v>0</v>
      </c>
      <c r="GY153" s="3"/>
      <c r="GZ153" s="3"/>
      <c r="HA153" s="3">
        <v>0</v>
      </c>
      <c r="HB153" s="3">
        <v>0</v>
      </c>
      <c r="HC153" s="3">
        <f t="shared" si="139"/>
        <v>0</v>
      </c>
      <c r="HD153" s="3"/>
      <c r="HE153" s="3" t="s">
        <v>3</v>
      </c>
      <c r="HF153" s="3" t="s">
        <v>3</v>
      </c>
      <c r="HG153" s="3"/>
      <c r="HH153" s="3"/>
      <c r="HI153" s="3"/>
      <c r="HJ153" s="3"/>
      <c r="HK153" s="3"/>
      <c r="HL153" s="3"/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R153" s="3"/>
      <c r="HS153" s="3">
        <v>0</v>
      </c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>
        <v>0</v>
      </c>
      <c r="IL153" s="3"/>
      <c r="IM153" s="3"/>
      <c r="IN153" s="3"/>
      <c r="IO153" s="3"/>
      <c r="IP153" s="3"/>
      <c r="IQ153" s="3"/>
      <c r="IR153" s="3"/>
      <c r="IS153" s="3"/>
      <c r="IT153" s="3"/>
      <c r="IU153" s="3"/>
    </row>
    <row r="154" spans="1:255" ht="409.5" x14ac:dyDescent="0.25">
      <c r="A154" s="2">
        <v>18</v>
      </c>
      <c r="B154" s="2">
        <v>1</v>
      </c>
      <c r="C154" s="2">
        <v>239</v>
      </c>
      <c r="D154" s="2"/>
      <c r="E154" s="2" t="s">
        <v>181</v>
      </c>
      <c r="F154" s="2" t="s">
        <v>182</v>
      </c>
      <c r="G154" s="2" t="s">
        <v>183</v>
      </c>
      <c r="H154" s="2" t="s">
        <v>126</v>
      </c>
      <c r="I154" s="2">
        <f>I152*J154</f>
        <v>14</v>
      </c>
      <c r="J154" s="2">
        <v>1</v>
      </c>
      <c r="K154" s="2">
        <v>1</v>
      </c>
      <c r="L154" s="2"/>
      <c r="M154" s="2"/>
      <c r="N154" s="2"/>
      <c r="O154" s="2">
        <f t="shared" si="115"/>
        <v>9096.64</v>
      </c>
      <c r="P154" s="2">
        <f t="shared" si="116"/>
        <v>9096.64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17"/>
        <v>0</v>
      </c>
      <c r="T154" s="2">
        <f t="shared" si="118"/>
        <v>0</v>
      </c>
      <c r="U154" s="2">
        <f t="shared" si="119"/>
        <v>0</v>
      </c>
      <c r="V154" s="2">
        <f t="shared" si="120"/>
        <v>0</v>
      </c>
      <c r="W154" s="2">
        <f t="shared" si="121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55934355</v>
      </c>
      <c r="AB154" s="2">
        <f t="shared" si="122"/>
        <v>649.76</v>
      </c>
      <c r="AC154" s="2">
        <f>ROUND((ES154),6)</f>
        <v>649.76</v>
      </c>
      <c r="AD154" s="2">
        <f>ROUND((((ET154)-(EU154))+AE154),6)</f>
        <v>0</v>
      </c>
      <c r="AE154" s="2">
        <f>ROUND((EU154),6)</f>
        <v>0</v>
      </c>
      <c r="AF154" s="2">
        <f>ROUND((EV154),6)</f>
        <v>0</v>
      </c>
      <c r="AG154" s="2">
        <f t="shared" si="123"/>
        <v>0</v>
      </c>
      <c r="AH154" s="2">
        <f>(EW154)</f>
        <v>0</v>
      </c>
      <c r="AI154" s="2">
        <f>(EX154)</f>
        <v>0</v>
      </c>
      <c r="AJ154" s="2">
        <f t="shared" si="124"/>
        <v>0</v>
      </c>
      <c r="AK154" s="2">
        <v>649.7600000000001</v>
      </c>
      <c r="AL154" s="2">
        <v>649.7600000000001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182</v>
      </c>
      <c r="BK154" s="2"/>
      <c r="BL154" s="2"/>
      <c r="BM154" s="2">
        <v>400007</v>
      </c>
      <c r="BN154" s="2">
        <v>0</v>
      </c>
      <c r="BO154" s="2" t="s">
        <v>3</v>
      </c>
      <c r="BP154" s="2">
        <v>0</v>
      </c>
      <c r="BQ154" s="2">
        <v>214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90</v>
      </c>
      <c r="CA154" s="2">
        <v>46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11" t="s">
        <v>420</v>
      </c>
      <c r="CO154" s="2">
        <v>0</v>
      </c>
      <c r="CP154" s="2">
        <f t="shared" si="125"/>
        <v>9096.64</v>
      </c>
      <c r="CQ154" s="2">
        <f t="shared" si="126"/>
        <v>649.76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27"/>
        <v>0</v>
      </c>
      <c r="CU154" s="2">
        <f t="shared" si="128"/>
        <v>0</v>
      </c>
      <c r="CV154" s="2">
        <f t="shared" si="129"/>
        <v>0</v>
      </c>
      <c r="CW154" s="2">
        <f t="shared" si="130"/>
        <v>0</v>
      </c>
      <c r="CX154" s="2">
        <f t="shared" si="131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1013</v>
      </c>
      <c r="DV154" s="2" t="s">
        <v>126</v>
      </c>
      <c r="DW154" s="2" t="s">
        <v>126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57042890</v>
      </c>
      <c r="EF154" s="2">
        <v>214</v>
      </c>
      <c r="EG154" s="2" t="s">
        <v>127</v>
      </c>
      <c r="EH154" s="2">
        <v>0</v>
      </c>
      <c r="EI154" s="2" t="s">
        <v>3</v>
      </c>
      <c r="EJ154" s="2">
        <v>3</v>
      </c>
      <c r="EK154" s="2">
        <v>400007</v>
      </c>
      <c r="EL154" s="2" t="s">
        <v>127</v>
      </c>
      <c r="EM154" s="2" t="s">
        <v>128</v>
      </c>
      <c r="EN154" s="2"/>
      <c r="EO154" s="2" t="s">
        <v>122</v>
      </c>
      <c r="EP154" s="2"/>
      <c r="EQ154" s="2">
        <v>16</v>
      </c>
      <c r="ER154" s="2">
        <v>0</v>
      </c>
      <c r="ES154" s="2">
        <v>649.7600000000001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9096.64</v>
      </c>
      <c r="FS154" s="2">
        <v>0</v>
      </c>
      <c r="FT154" s="2"/>
      <c r="FU154" s="2"/>
      <c r="FV154" s="2"/>
      <c r="FW154" s="2"/>
      <c r="FX154" s="2">
        <v>90</v>
      </c>
      <c r="FY154" s="2">
        <v>46</v>
      </c>
      <c r="FZ154" s="2"/>
      <c r="GA154" s="2" t="s">
        <v>184</v>
      </c>
      <c r="GB154" s="2"/>
      <c r="GC154" s="2"/>
      <c r="GD154" s="2">
        <v>1</v>
      </c>
      <c r="GE154" s="2"/>
      <c r="GF154" s="2">
        <v>-278153368</v>
      </c>
      <c r="GG154" s="2">
        <v>2</v>
      </c>
      <c r="GH154" s="2">
        <v>4</v>
      </c>
      <c r="GI154" s="2">
        <v>-2</v>
      </c>
      <c r="GJ154" s="2">
        <v>0</v>
      </c>
      <c r="GK154" s="2">
        <v>0</v>
      </c>
      <c r="GL154" s="2">
        <f t="shared" si="132"/>
        <v>0</v>
      </c>
      <c r="GM154" s="2">
        <f t="shared" si="133"/>
        <v>9096.64</v>
      </c>
      <c r="GN154" s="2">
        <f t="shared" si="134"/>
        <v>0</v>
      </c>
      <c r="GO154" s="2">
        <f t="shared" si="135"/>
        <v>0</v>
      </c>
      <c r="GP154" s="2">
        <f t="shared" si="136"/>
        <v>0</v>
      </c>
      <c r="GQ154" s="2"/>
      <c r="GR154" s="2">
        <v>1</v>
      </c>
      <c r="GS154" s="2">
        <v>2</v>
      </c>
      <c r="GT154" s="2">
        <v>0</v>
      </c>
      <c r="GU154" s="2" t="s">
        <v>3</v>
      </c>
      <c r="GV154" s="2">
        <f t="shared" si="137"/>
        <v>0</v>
      </c>
      <c r="GW154" s="2">
        <v>1</v>
      </c>
      <c r="GX154" s="2">
        <f t="shared" si="138"/>
        <v>0</v>
      </c>
      <c r="GY154" s="2"/>
      <c r="GZ154" s="2"/>
      <c r="HA154" s="2">
        <v>0</v>
      </c>
      <c r="HB154" s="2">
        <v>0</v>
      </c>
      <c r="HC154" s="2">
        <f t="shared" si="139"/>
        <v>0</v>
      </c>
      <c r="HD154" s="2"/>
      <c r="HE154" s="2" t="s">
        <v>41</v>
      </c>
      <c r="HF154" s="2" t="s">
        <v>130</v>
      </c>
      <c r="HG154" s="2"/>
      <c r="HH154" s="2"/>
      <c r="HI154" s="2"/>
      <c r="HJ154" s="2"/>
      <c r="HK154" s="2"/>
      <c r="HL154" s="2"/>
      <c r="HM154" s="2" t="s">
        <v>120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ht="409.5" x14ac:dyDescent="0.25">
      <c r="A155" s="3">
        <v>18</v>
      </c>
      <c r="B155" s="3">
        <v>1</v>
      </c>
      <c r="C155" s="3">
        <v>255</v>
      </c>
      <c r="D155" s="3"/>
      <c r="E155" s="3" t="s">
        <v>181</v>
      </c>
      <c r="F155" s="3" t="s">
        <v>182</v>
      </c>
      <c r="G155" s="3" t="s">
        <v>183</v>
      </c>
      <c r="H155" s="3" t="s">
        <v>126</v>
      </c>
      <c r="I155" s="3">
        <f>I153*J155</f>
        <v>14</v>
      </c>
      <c r="J155" s="3">
        <v>1</v>
      </c>
      <c r="K155" s="3">
        <v>1</v>
      </c>
      <c r="L155" s="3"/>
      <c r="M155" s="3"/>
      <c r="N155" s="3"/>
      <c r="O155" s="3">
        <f t="shared" si="115"/>
        <v>68861.56</v>
      </c>
      <c r="P155" s="3">
        <f t="shared" si="116"/>
        <v>68861.56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17"/>
        <v>0</v>
      </c>
      <c r="T155" s="3">
        <f t="shared" si="118"/>
        <v>0</v>
      </c>
      <c r="U155" s="3">
        <f t="shared" si="119"/>
        <v>0</v>
      </c>
      <c r="V155" s="3">
        <f t="shared" si="120"/>
        <v>0</v>
      </c>
      <c r="W155" s="3">
        <f t="shared" si="121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Z155" s="3"/>
      <c r="AA155" s="3">
        <v>55934357</v>
      </c>
      <c r="AB155" s="3">
        <f t="shared" si="122"/>
        <v>649.76</v>
      </c>
      <c r="AC155" s="3">
        <f>ROUND((ES155),6)</f>
        <v>649.76</v>
      </c>
      <c r="AD155" s="3">
        <f>ROUND((((ET155)-(EU155))+AE155),6)</f>
        <v>0</v>
      </c>
      <c r="AE155" s="3">
        <f>ROUND((EU155),6)</f>
        <v>0</v>
      </c>
      <c r="AF155" s="3">
        <f>ROUND((EV155),6)</f>
        <v>0</v>
      </c>
      <c r="AG155" s="3">
        <f t="shared" si="123"/>
        <v>0</v>
      </c>
      <c r="AH155" s="3">
        <f>(EW155)</f>
        <v>0</v>
      </c>
      <c r="AI155" s="3">
        <f>(EX155)</f>
        <v>0</v>
      </c>
      <c r="AJ155" s="3">
        <f t="shared" si="124"/>
        <v>0</v>
      </c>
      <c r="AK155" s="3">
        <v>649.7600000000001</v>
      </c>
      <c r="AL155" s="3">
        <v>649.7600000000001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X155" s="3"/>
      <c r="AY155" s="3"/>
      <c r="AZ155" s="3">
        <v>1</v>
      </c>
      <c r="BA155" s="3">
        <v>1</v>
      </c>
      <c r="BB155" s="3">
        <v>1</v>
      </c>
      <c r="BC155" s="3">
        <v>7.57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182</v>
      </c>
      <c r="BK155" s="3"/>
      <c r="BL155" s="3"/>
      <c r="BM155" s="3">
        <v>400007</v>
      </c>
      <c r="BN155" s="3">
        <v>0</v>
      </c>
      <c r="BO155" s="3" t="s">
        <v>3</v>
      </c>
      <c r="BP155" s="3">
        <v>0</v>
      </c>
      <c r="BQ155" s="3">
        <v>214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90</v>
      </c>
      <c r="CA155" s="3">
        <v>46</v>
      </c>
      <c r="CB155" s="3" t="s">
        <v>3</v>
      </c>
      <c r="CC155" s="3"/>
      <c r="CD155" s="3"/>
      <c r="CE155" s="3">
        <v>1566</v>
      </c>
      <c r="CF155" s="3">
        <v>0</v>
      </c>
      <c r="CG155" s="3">
        <v>0</v>
      </c>
      <c r="CH155" s="3"/>
      <c r="CI155" s="3"/>
      <c r="CJ155" s="3"/>
      <c r="CK155" s="3"/>
      <c r="CL155" s="3"/>
      <c r="CM155" s="3">
        <v>0</v>
      </c>
      <c r="CN155" s="12" t="s">
        <v>420</v>
      </c>
      <c r="CO155" s="3">
        <v>0</v>
      </c>
      <c r="CP155" s="3">
        <f t="shared" si="125"/>
        <v>68861.56</v>
      </c>
      <c r="CQ155" s="3">
        <f t="shared" si="126"/>
        <v>4918.68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27"/>
        <v>0</v>
      </c>
      <c r="CU155" s="3">
        <f t="shared" si="128"/>
        <v>0</v>
      </c>
      <c r="CV155" s="3">
        <f t="shared" si="129"/>
        <v>0</v>
      </c>
      <c r="CW155" s="3">
        <f t="shared" si="130"/>
        <v>0</v>
      </c>
      <c r="CX155" s="3">
        <f t="shared" si="131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A155" s="3"/>
      <c r="DB155" s="3"/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R155" s="3"/>
      <c r="DS155" s="3"/>
      <c r="DT155" s="3"/>
      <c r="DU155" s="3">
        <v>1013</v>
      </c>
      <c r="DV155" s="3" t="s">
        <v>126</v>
      </c>
      <c r="DW155" s="3" t="s">
        <v>126</v>
      </c>
      <c r="DX155" s="3">
        <v>1</v>
      </c>
      <c r="DY155" s="3"/>
      <c r="DZ155" s="3" t="s">
        <v>3</v>
      </c>
      <c r="EA155" s="3" t="s">
        <v>3</v>
      </c>
      <c r="EB155" s="3" t="s">
        <v>3</v>
      </c>
      <c r="EC155" s="3" t="s">
        <v>3</v>
      </c>
      <c r="ED155" s="3"/>
      <c r="EE155" s="3">
        <v>57042890</v>
      </c>
      <c r="EF155" s="3">
        <v>214</v>
      </c>
      <c r="EG155" s="3" t="s">
        <v>127</v>
      </c>
      <c r="EH155" s="3">
        <v>0</v>
      </c>
      <c r="EI155" s="3" t="s">
        <v>3</v>
      </c>
      <c r="EJ155" s="3">
        <v>3</v>
      </c>
      <c r="EK155" s="3">
        <v>400007</v>
      </c>
      <c r="EL155" s="3" t="s">
        <v>127</v>
      </c>
      <c r="EM155" s="3" t="s">
        <v>128</v>
      </c>
      <c r="EN155" s="3"/>
      <c r="EO155" s="3" t="s">
        <v>122</v>
      </c>
      <c r="EP155" s="3"/>
      <c r="EQ155" s="3">
        <v>16</v>
      </c>
      <c r="ER155" s="3">
        <v>0</v>
      </c>
      <c r="ES155" s="3">
        <v>649.7600000000001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/>
      <c r="EZ155" s="3">
        <v>5</v>
      </c>
      <c r="FA155" s="3"/>
      <c r="FB155" s="3"/>
      <c r="FC155" s="3">
        <v>1</v>
      </c>
      <c r="FD155" s="3">
        <v>18</v>
      </c>
      <c r="FE155" s="3"/>
      <c r="FF155" s="3">
        <v>5757</v>
      </c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>
        <v>0</v>
      </c>
      <c r="FR155" s="3">
        <f>P155</f>
        <v>68861.56</v>
      </c>
      <c r="FS155" s="3">
        <v>0</v>
      </c>
      <c r="FT155" s="3"/>
      <c r="FU155" s="3"/>
      <c r="FV155" s="3"/>
      <c r="FW155" s="3"/>
      <c r="FX155" s="3">
        <v>90</v>
      </c>
      <c r="FY155" s="3">
        <v>46</v>
      </c>
      <c r="FZ155" s="3"/>
      <c r="GA155" s="3" t="s">
        <v>184</v>
      </c>
      <c r="GB155" s="3"/>
      <c r="GC155" s="3"/>
      <c r="GD155" s="3">
        <v>1</v>
      </c>
      <c r="GE155" s="3"/>
      <c r="GF155" s="3">
        <v>-278153368</v>
      </c>
      <c r="GG155" s="3">
        <v>2</v>
      </c>
      <c r="GH155" s="3">
        <v>3</v>
      </c>
      <c r="GI155" s="3">
        <v>5</v>
      </c>
      <c r="GJ155" s="3">
        <v>0</v>
      </c>
      <c r="GK155" s="3">
        <v>0</v>
      </c>
      <c r="GL155" s="3">
        <f t="shared" si="132"/>
        <v>0</v>
      </c>
      <c r="GM155" s="3">
        <f t="shared" si="133"/>
        <v>68861.56</v>
      </c>
      <c r="GN155" s="3">
        <f t="shared" si="134"/>
        <v>0</v>
      </c>
      <c r="GO155" s="3">
        <f t="shared" si="135"/>
        <v>0</v>
      </c>
      <c r="GP155" s="3">
        <f t="shared" si="136"/>
        <v>0</v>
      </c>
      <c r="GQ155" s="3"/>
      <c r="GR155" s="3">
        <v>1</v>
      </c>
      <c r="GS155" s="3">
        <v>1</v>
      </c>
      <c r="GT155" s="3">
        <v>0</v>
      </c>
      <c r="GU155" s="3" t="s">
        <v>3</v>
      </c>
      <c r="GV155" s="3">
        <f t="shared" si="137"/>
        <v>0</v>
      </c>
      <c r="GW155" s="3">
        <v>1</v>
      </c>
      <c r="GX155" s="3">
        <f t="shared" si="138"/>
        <v>0</v>
      </c>
      <c r="GY155" s="3"/>
      <c r="GZ155" s="3"/>
      <c r="HA155" s="3">
        <v>0</v>
      </c>
      <c r="HB155" s="3">
        <v>0</v>
      </c>
      <c r="HC155" s="3">
        <f t="shared" si="139"/>
        <v>0</v>
      </c>
      <c r="HD155" s="3"/>
      <c r="HE155" s="3" t="s">
        <v>41</v>
      </c>
      <c r="HF155" s="3" t="s">
        <v>130</v>
      </c>
      <c r="HG155" s="3"/>
      <c r="HH155" s="3"/>
      <c r="HI155" s="3"/>
      <c r="HJ155" s="3"/>
      <c r="HK155" s="3"/>
      <c r="HL155" s="3"/>
      <c r="HM155" s="3" t="s">
        <v>120</v>
      </c>
      <c r="HN155" s="3" t="s">
        <v>3</v>
      </c>
      <c r="HO155" s="3" t="s">
        <v>3</v>
      </c>
      <c r="HP155" s="3" t="s">
        <v>3</v>
      </c>
      <c r="HQ155" s="3" t="s">
        <v>3</v>
      </c>
      <c r="HR155" s="3"/>
      <c r="HS155" s="3">
        <v>0</v>
      </c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>
        <v>0</v>
      </c>
      <c r="IL155" s="3"/>
      <c r="IM155" s="3"/>
      <c r="IN155" s="3"/>
      <c r="IO155" s="3"/>
      <c r="IP155" s="3"/>
      <c r="IQ155" s="3"/>
      <c r="IR155" s="3"/>
      <c r="IS155" s="3"/>
      <c r="IT155" s="3"/>
      <c r="IU155" s="3"/>
    </row>
    <row r="157" spans="1:255" ht="13" x14ac:dyDescent="0.3">
      <c r="A157" s="4">
        <v>51</v>
      </c>
      <c r="B157" s="4">
        <f>B140</f>
        <v>1</v>
      </c>
      <c r="C157" s="4">
        <f>A140</f>
        <v>4</v>
      </c>
      <c r="D157" s="4">
        <f>ROW(A140)</f>
        <v>140</v>
      </c>
      <c r="E157" s="4"/>
      <c r="F157" s="4" t="str">
        <f>IF(F140&lt;&gt;"",F140,"")</f>
        <v>2</v>
      </c>
      <c r="G157" s="4" t="str">
        <f>IF(G140&lt;&gt;"",G140,"")</f>
        <v>Разное</v>
      </c>
      <c r="H157" s="4">
        <v>0</v>
      </c>
      <c r="I157" s="4"/>
      <c r="J157" s="4"/>
      <c r="K157" s="4"/>
      <c r="L157" s="4"/>
      <c r="M157" s="4"/>
      <c r="N157" s="4"/>
      <c r="O157" s="4">
        <f t="shared" ref="O157:T157" si="140">ROUND(AB157,2)</f>
        <v>18985.37</v>
      </c>
      <c r="P157" s="4">
        <f t="shared" si="140"/>
        <v>18304.16</v>
      </c>
      <c r="Q157" s="4">
        <f t="shared" si="140"/>
        <v>0.63</v>
      </c>
      <c r="R157" s="4">
        <f t="shared" si="140"/>
        <v>0.1</v>
      </c>
      <c r="S157" s="4">
        <f t="shared" si="140"/>
        <v>680.58</v>
      </c>
      <c r="T157" s="4">
        <f t="shared" si="140"/>
        <v>0</v>
      </c>
      <c r="U157" s="4">
        <f>AH157</f>
        <v>54.062891999999991</v>
      </c>
      <c r="V157" s="4">
        <f>AI157</f>
        <v>0</v>
      </c>
      <c r="W157" s="4">
        <f>ROUND(AJ157,2)</f>
        <v>0</v>
      </c>
      <c r="X157" s="4">
        <f>ROUND(AK157,2)</f>
        <v>612.62</v>
      </c>
      <c r="Y157" s="4">
        <f>ROUND(AL157,2)</f>
        <v>313.11</v>
      </c>
      <c r="Z157" s="4"/>
      <c r="AA157" s="4"/>
      <c r="AB157" s="4">
        <f>ROUND(SUMIF(AA144:AA155,"=55934355",O144:O155),2)</f>
        <v>18985.37</v>
      </c>
      <c r="AC157" s="4">
        <f>ROUND(SUMIF(AA144:AA155,"=55934355",P144:P155),2)</f>
        <v>18304.16</v>
      </c>
      <c r="AD157" s="4">
        <f>ROUND(SUMIF(AA144:AA155,"=55934355",Q144:Q155),2)</f>
        <v>0.63</v>
      </c>
      <c r="AE157" s="4">
        <f>ROUND(SUMIF(AA144:AA155,"=55934355",R144:R155),2)</f>
        <v>0.1</v>
      </c>
      <c r="AF157" s="4">
        <f>ROUND(SUMIF(AA144:AA155,"=55934355",S144:S155),2)</f>
        <v>680.58</v>
      </c>
      <c r="AG157" s="4">
        <f>ROUND(SUMIF(AA144:AA155,"=55934355",T144:T155),2)</f>
        <v>0</v>
      </c>
      <c r="AH157" s="4">
        <f>SUMIF(AA144:AA155,"=55934355",U144:U155)</f>
        <v>54.062891999999991</v>
      </c>
      <c r="AI157" s="4">
        <f>SUMIF(AA144:AA155,"=55934355",V144:V155)</f>
        <v>0</v>
      </c>
      <c r="AJ157" s="4">
        <f>ROUND(SUMIF(AA144:AA155,"=55934355",W144:W155),2)</f>
        <v>0</v>
      </c>
      <c r="AK157" s="4">
        <f>ROUND(SUMIF(AA144:AA155,"=55934355",X144:X155),2)</f>
        <v>612.62</v>
      </c>
      <c r="AL157" s="4">
        <f>ROUND(SUMIF(AA144:AA155,"=55934355",Y144:Y155),2)</f>
        <v>313.11</v>
      </c>
      <c r="AM157" s="4"/>
      <c r="AN157" s="4"/>
      <c r="AO157" s="4">
        <f t="shared" ref="AO157:BD157" si="141">ROUND(BX157,2)</f>
        <v>0</v>
      </c>
      <c r="AP157" s="4">
        <f t="shared" si="141"/>
        <v>17707.62</v>
      </c>
      <c r="AQ157" s="4">
        <f t="shared" si="141"/>
        <v>0</v>
      </c>
      <c r="AR157" s="4">
        <f t="shared" si="141"/>
        <v>19911.099999999999</v>
      </c>
      <c r="AS157" s="4">
        <f t="shared" si="141"/>
        <v>0</v>
      </c>
      <c r="AT157" s="4">
        <f t="shared" si="141"/>
        <v>2203.48</v>
      </c>
      <c r="AU157" s="4">
        <f t="shared" si="141"/>
        <v>0</v>
      </c>
      <c r="AV157" s="4">
        <f t="shared" si="141"/>
        <v>18304.16</v>
      </c>
      <c r="AW157" s="4">
        <f t="shared" si="141"/>
        <v>596.54</v>
      </c>
      <c r="AX157" s="4">
        <f t="shared" si="141"/>
        <v>0</v>
      </c>
      <c r="AY157" s="4">
        <f t="shared" si="141"/>
        <v>596.54</v>
      </c>
      <c r="AZ157" s="4">
        <f t="shared" si="141"/>
        <v>17707.62</v>
      </c>
      <c r="BA157" s="4">
        <f t="shared" si="141"/>
        <v>0</v>
      </c>
      <c r="BB157" s="4">
        <f t="shared" si="141"/>
        <v>0</v>
      </c>
      <c r="BC157" s="4">
        <f t="shared" si="141"/>
        <v>0</v>
      </c>
      <c r="BD157" s="4">
        <f t="shared" si="141"/>
        <v>0</v>
      </c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>
        <f>ROUND(SUMIF(AA144:AA155,"=55934355",FQ144:FQ155),2)</f>
        <v>0</v>
      </c>
      <c r="BY157" s="4">
        <f>ROUND(SUMIF(AA144:AA155,"=55934355",FR144:FR155),2)</f>
        <v>17707.62</v>
      </c>
      <c r="BZ157" s="4">
        <f>ROUND(SUMIF(AA144:AA155,"=55934355",GL144:GL155),2)</f>
        <v>0</v>
      </c>
      <c r="CA157" s="4">
        <f>ROUND(SUMIF(AA144:AA155,"=55934355",GM144:GM155),2)</f>
        <v>19911.099999999999</v>
      </c>
      <c r="CB157" s="4">
        <f>ROUND(SUMIF(AA144:AA155,"=55934355",GN144:GN155),2)</f>
        <v>0</v>
      </c>
      <c r="CC157" s="4">
        <f>ROUND(SUMIF(AA144:AA155,"=55934355",GO144:GO155),2)</f>
        <v>2203.48</v>
      </c>
      <c r="CD157" s="4">
        <f>ROUND(SUMIF(AA144:AA155,"=55934355",GP144:GP155),2)</f>
        <v>0</v>
      </c>
      <c r="CE157" s="4">
        <f>AC157-BX157</f>
        <v>18304.16</v>
      </c>
      <c r="CF157" s="4">
        <f>AC157-BY157</f>
        <v>596.54000000000087</v>
      </c>
      <c r="CG157" s="4">
        <f>BX157-BZ157</f>
        <v>0</v>
      </c>
      <c r="CH157" s="4">
        <f>AC157-BX157-BY157+BZ157</f>
        <v>596.54000000000087</v>
      </c>
      <c r="CI157" s="4">
        <f>BY157-BZ157</f>
        <v>17707.62</v>
      </c>
      <c r="CJ157" s="4">
        <f>ROUND(SUMIF(AA144:AA155,"=55934355",GX144:GX155),2)</f>
        <v>0</v>
      </c>
      <c r="CK157" s="4">
        <f>ROUND(SUMIF(AA144:AA155,"=55934355",GY144:GY155),2)</f>
        <v>0</v>
      </c>
      <c r="CL157" s="4">
        <f>ROUND(SUMIF(AA144:AA155,"=55934355",GZ144:GZ155),2)</f>
        <v>0</v>
      </c>
      <c r="CM157" s="4">
        <f>ROUND(SUMIF(AA144:AA155,"=55934355",HD144:HD155),2)</f>
        <v>0</v>
      </c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5">
        <f t="shared" ref="DG157:DL157" si="142">ROUND(DT157,2)</f>
        <v>175480.26</v>
      </c>
      <c r="DH157" s="5">
        <f t="shared" si="142"/>
        <v>137118.85999999999</v>
      </c>
      <c r="DI157" s="5">
        <f t="shared" si="142"/>
        <v>10.72</v>
      </c>
      <c r="DJ157" s="5">
        <f t="shared" si="142"/>
        <v>5.64</v>
      </c>
      <c r="DK157" s="5">
        <f t="shared" si="142"/>
        <v>38350.68</v>
      </c>
      <c r="DL157" s="5">
        <f t="shared" si="142"/>
        <v>0</v>
      </c>
      <c r="DM157" s="5">
        <f>DZ157</f>
        <v>54.062891999999991</v>
      </c>
      <c r="DN157" s="5">
        <f>EA157</f>
        <v>0</v>
      </c>
      <c r="DO157" s="5">
        <f>ROUND(EB157,2)</f>
        <v>0</v>
      </c>
      <c r="DP157" s="5">
        <f>ROUND(EC157,2)</f>
        <v>34520.69</v>
      </c>
      <c r="DQ157" s="5">
        <f>ROUND(ED157,2)</f>
        <v>17643.91</v>
      </c>
      <c r="DR157" s="5"/>
      <c r="DS157" s="5"/>
      <c r="DT157" s="5">
        <f>ROUND(SUMIF(AA144:AA155,"=55934357",O144:O155),2)</f>
        <v>175480.26</v>
      </c>
      <c r="DU157" s="5">
        <f>ROUND(SUMIF(AA144:AA155,"=55934357",P144:P155),2)</f>
        <v>137118.85999999999</v>
      </c>
      <c r="DV157" s="5">
        <f>ROUND(SUMIF(AA144:AA155,"=55934357",Q144:Q155),2)</f>
        <v>10.72</v>
      </c>
      <c r="DW157" s="5">
        <f>ROUND(SUMIF(AA144:AA155,"=55934357",R144:R155),2)</f>
        <v>5.64</v>
      </c>
      <c r="DX157" s="5">
        <f>ROUND(SUMIF(AA144:AA155,"=55934357",S144:S155),2)</f>
        <v>38350.68</v>
      </c>
      <c r="DY157" s="5">
        <f>ROUND(SUMIF(AA144:AA155,"=55934357",T144:T155),2)</f>
        <v>0</v>
      </c>
      <c r="DZ157" s="5">
        <f>SUMIF(AA144:AA155,"=55934357",U144:U155)</f>
        <v>54.062891999999991</v>
      </c>
      <c r="EA157" s="5">
        <f>SUMIF(AA144:AA155,"=55934357",V144:V155)</f>
        <v>0</v>
      </c>
      <c r="EB157" s="5">
        <f>ROUND(SUMIF(AA144:AA155,"=55934357",W144:W155),2)</f>
        <v>0</v>
      </c>
      <c r="EC157" s="5">
        <f>ROUND(SUMIF(AA144:AA155,"=55934357",X144:X155),2)</f>
        <v>34520.69</v>
      </c>
      <c r="ED157" s="5">
        <f>ROUND(SUMIF(AA144:AA155,"=55934357",Y144:Y155),2)</f>
        <v>17643.91</v>
      </c>
      <c r="EE157" s="5"/>
      <c r="EF157" s="5"/>
      <c r="EG157" s="5">
        <f t="shared" ref="EG157:EV157" si="143">ROUND(FP157,2)</f>
        <v>0</v>
      </c>
      <c r="EH157" s="5">
        <f t="shared" si="143"/>
        <v>134046.68</v>
      </c>
      <c r="EI157" s="5">
        <f t="shared" si="143"/>
        <v>0</v>
      </c>
      <c r="EJ157" s="5">
        <f t="shared" si="143"/>
        <v>227644.86</v>
      </c>
      <c r="EK157" s="5">
        <f t="shared" si="143"/>
        <v>0</v>
      </c>
      <c r="EL157" s="5">
        <f t="shared" si="143"/>
        <v>93598.18</v>
      </c>
      <c r="EM157" s="5">
        <f t="shared" si="143"/>
        <v>0</v>
      </c>
      <c r="EN157" s="5">
        <f t="shared" si="143"/>
        <v>137118.85999999999</v>
      </c>
      <c r="EO157" s="5">
        <f t="shared" si="143"/>
        <v>3072.18</v>
      </c>
      <c r="EP157" s="5">
        <f t="shared" si="143"/>
        <v>0</v>
      </c>
      <c r="EQ157" s="5">
        <f t="shared" si="143"/>
        <v>3072.18</v>
      </c>
      <c r="ER157" s="5">
        <f t="shared" si="143"/>
        <v>134046.68</v>
      </c>
      <c r="ES157" s="5">
        <f t="shared" si="143"/>
        <v>0</v>
      </c>
      <c r="ET157" s="5">
        <f t="shared" si="143"/>
        <v>0</v>
      </c>
      <c r="EU157" s="5">
        <f t="shared" si="143"/>
        <v>0</v>
      </c>
      <c r="EV157" s="5">
        <f t="shared" si="143"/>
        <v>0</v>
      </c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>
        <f>ROUND(SUMIF(AA144:AA155,"=55934357",FQ144:FQ155),2)</f>
        <v>0</v>
      </c>
      <c r="FQ157" s="5">
        <f>ROUND(SUMIF(AA144:AA155,"=55934357",FR144:FR155),2)</f>
        <v>134046.68</v>
      </c>
      <c r="FR157" s="5">
        <f>ROUND(SUMIF(AA144:AA155,"=55934357",GL144:GL155),2)</f>
        <v>0</v>
      </c>
      <c r="FS157" s="5">
        <f>ROUND(SUMIF(AA144:AA155,"=55934357",GM144:GM155),2)</f>
        <v>227644.86</v>
      </c>
      <c r="FT157" s="5">
        <f>ROUND(SUMIF(AA144:AA155,"=55934357",GN144:GN155),2)</f>
        <v>0</v>
      </c>
      <c r="FU157" s="5">
        <f>ROUND(SUMIF(AA144:AA155,"=55934357",GO144:GO155),2)</f>
        <v>93598.18</v>
      </c>
      <c r="FV157" s="5">
        <f>ROUND(SUMIF(AA144:AA155,"=55934357",GP144:GP155),2)</f>
        <v>0</v>
      </c>
      <c r="FW157" s="5">
        <f>DU157-FP157</f>
        <v>137118.85999999999</v>
      </c>
      <c r="FX157" s="5">
        <f>DU157-FQ157</f>
        <v>3072.179999999993</v>
      </c>
      <c r="FY157" s="5">
        <f>FP157-FR157</f>
        <v>0</v>
      </c>
      <c r="FZ157" s="5">
        <f>DU157-FP157-FQ157+FR157</f>
        <v>3072.179999999993</v>
      </c>
      <c r="GA157" s="5">
        <f>FQ157-FR157</f>
        <v>134046.68</v>
      </c>
      <c r="GB157" s="5">
        <f>ROUND(SUMIF(AA144:AA155,"=55934357",GX144:GX155),2)</f>
        <v>0</v>
      </c>
      <c r="GC157" s="5">
        <f>ROUND(SUMIF(AA144:AA155,"=55934357",GY144:GY155),2)</f>
        <v>0</v>
      </c>
      <c r="GD157" s="5">
        <f>ROUND(SUMIF(AA144:AA155,"=55934357",GZ144:GZ155),2)</f>
        <v>0</v>
      </c>
      <c r="GE157" s="5">
        <f>ROUND(SUMIF(AA144:AA155,"=55934357",HD144:HD155),2)</f>
        <v>0</v>
      </c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>
        <v>0</v>
      </c>
    </row>
    <row r="159" spans="1:255" ht="13" x14ac:dyDescent="0.3">
      <c r="A159" s="6">
        <v>50</v>
      </c>
      <c r="B159" s="6">
        <v>0</v>
      </c>
      <c r="C159" s="6">
        <v>0</v>
      </c>
      <c r="D159" s="6">
        <v>1</v>
      </c>
      <c r="E159" s="6">
        <v>201</v>
      </c>
      <c r="F159" s="6">
        <f>ROUND(Source!O157,O159)</f>
        <v>18985.37</v>
      </c>
      <c r="G159" s="6" t="s">
        <v>63</v>
      </c>
      <c r="H159" s="6" t="s">
        <v>64</v>
      </c>
      <c r="I159" s="6"/>
      <c r="J159" s="6"/>
      <c r="K159" s="6">
        <v>201</v>
      </c>
      <c r="L159" s="6">
        <v>1</v>
      </c>
      <c r="M159" s="6">
        <v>3</v>
      </c>
      <c r="N159" s="6" t="s">
        <v>3</v>
      </c>
      <c r="O159" s="6">
        <v>2</v>
      </c>
      <c r="P159" s="6">
        <f>ROUND(Source!DG157,O159)</f>
        <v>175480.26</v>
      </c>
      <c r="Q159" s="6"/>
      <c r="R159" s="6"/>
      <c r="S159" s="6"/>
      <c r="T159" s="6"/>
      <c r="U159" s="6"/>
      <c r="V159" s="6"/>
      <c r="W159" s="6">
        <v>18985.37</v>
      </c>
      <c r="X159" s="6">
        <v>1</v>
      </c>
      <c r="Y159" s="6">
        <v>18985.37</v>
      </c>
      <c r="Z159" s="6">
        <v>175480.26</v>
      </c>
      <c r="AA159" s="6">
        <v>1</v>
      </c>
      <c r="AB159" s="6">
        <v>175480.26</v>
      </c>
    </row>
    <row r="160" spans="1:255" ht="13" x14ac:dyDescent="0.3">
      <c r="A160" s="6">
        <v>50</v>
      </c>
      <c r="B160" s="6">
        <v>0</v>
      </c>
      <c r="C160" s="6">
        <v>0</v>
      </c>
      <c r="D160" s="6">
        <v>1</v>
      </c>
      <c r="E160" s="6">
        <v>202</v>
      </c>
      <c r="F160" s="6">
        <f>ROUND(Source!P157,O160)</f>
        <v>18304.16</v>
      </c>
      <c r="G160" s="6" t="s">
        <v>65</v>
      </c>
      <c r="H160" s="6" t="s">
        <v>66</v>
      </c>
      <c r="I160" s="6"/>
      <c r="J160" s="6"/>
      <c r="K160" s="6">
        <v>202</v>
      </c>
      <c r="L160" s="6">
        <v>2</v>
      </c>
      <c r="M160" s="6">
        <v>3</v>
      </c>
      <c r="N160" s="6" t="s">
        <v>3</v>
      </c>
      <c r="O160" s="6">
        <v>2</v>
      </c>
      <c r="P160" s="6">
        <f>ROUND(Source!DH157,O160)</f>
        <v>137118.85999999999</v>
      </c>
      <c r="Q160" s="6"/>
      <c r="R160" s="6"/>
      <c r="S160" s="6"/>
      <c r="T160" s="6"/>
      <c r="U160" s="6"/>
      <c r="V160" s="6"/>
      <c r="W160" s="6">
        <v>18304.16</v>
      </c>
      <c r="X160" s="6">
        <v>1</v>
      </c>
      <c r="Y160" s="6">
        <v>18304.16</v>
      </c>
      <c r="Z160" s="6">
        <v>137118.85999999999</v>
      </c>
      <c r="AA160" s="6">
        <v>1</v>
      </c>
      <c r="AB160" s="6">
        <v>137118.85999999999</v>
      </c>
    </row>
    <row r="161" spans="1:28" ht="13" x14ac:dyDescent="0.3">
      <c r="A161" s="6">
        <v>50</v>
      </c>
      <c r="B161" s="6">
        <v>0</v>
      </c>
      <c r="C161" s="6">
        <v>0</v>
      </c>
      <c r="D161" s="6">
        <v>1</v>
      </c>
      <c r="E161" s="6">
        <v>222</v>
      </c>
      <c r="F161" s="6">
        <f>ROUND(Source!AO157,O161)</f>
        <v>0</v>
      </c>
      <c r="G161" s="6" t="s">
        <v>67</v>
      </c>
      <c r="H161" s="6" t="s">
        <v>68</v>
      </c>
      <c r="I161" s="6"/>
      <c r="J161" s="6"/>
      <c r="K161" s="6">
        <v>222</v>
      </c>
      <c r="L161" s="6">
        <v>3</v>
      </c>
      <c r="M161" s="6">
        <v>3</v>
      </c>
      <c r="N161" s="6" t="s">
        <v>3</v>
      </c>
      <c r="O161" s="6">
        <v>2</v>
      </c>
      <c r="P161" s="6">
        <f>ROUND(Source!EG157,O161)</f>
        <v>0</v>
      </c>
      <c r="Q161" s="6"/>
      <c r="R161" s="6"/>
      <c r="S161" s="6"/>
      <c r="T161" s="6"/>
      <c r="U161" s="6"/>
      <c r="V161" s="6"/>
      <c r="W161" s="6">
        <v>0</v>
      </c>
      <c r="X161" s="6">
        <v>1</v>
      </c>
      <c r="Y161" s="6">
        <v>0</v>
      </c>
      <c r="Z161" s="6">
        <v>0</v>
      </c>
      <c r="AA161" s="6">
        <v>1</v>
      </c>
      <c r="AB161" s="6">
        <v>0</v>
      </c>
    </row>
    <row r="162" spans="1:28" ht="13" x14ac:dyDescent="0.3">
      <c r="A162" s="6">
        <v>50</v>
      </c>
      <c r="B162" s="6">
        <v>0</v>
      </c>
      <c r="C162" s="6">
        <v>0</v>
      </c>
      <c r="D162" s="6">
        <v>1</v>
      </c>
      <c r="E162" s="6">
        <v>225</v>
      </c>
      <c r="F162" s="6">
        <f>ROUND(Source!AV157,O162)</f>
        <v>18304.16</v>
      </c>
      <c r="G162" s="6" t="s">
        <v>69</v>
      </c>
      <c r="H162" s="6" t="s">
        <v>70</v>
      </c>
      <c r="I162" s="6"/>
      <c r="J162" s="6"/>
      <c r="K162" s="6">
        <v>225</v>
      </c>
      <c r="L162" s="6">
        <v>4</v>
      </c>
      <c r="M162" s="6">
        <v>3</v>
      </c>
      <c r="N162" s="6" t="s">
        <v>3</v>
      </c>
      <c r="O162" s="6">
        <v>2</v>
      </c>
      <c r="P162" s="6">
        <f>ROUND(Source!EN157,O162)</f>
        <v>137118.85999999999</v>
      </c>
      <c r="Q162" s="6"/>
      <c r="R162" s="6"/>
      <c r="S162" s="6"/>
      <c r="T162" s="6"/>
      <c r="U162" s="6"/>
      <c r="V162" s="6"/>
      <c r="W162" s="6">
        <v>18304.16</v>
      </c>
      <c r="X162" s="6">
        <v>1</v>
      </c>
      <c r="Y162" s="6">
        <v>18304.16</v>
      </c>
      <c r="Z162" s="6">
        <v>137118.85999999999</v>
      </c>
      <c r="AA162" s="6">
        <v>1</v>
      </c>
      <c r="AB162" s="6">
        <v>137118.85999999999</v>
      </c>
    </row>
    <row r="163" spans="1:28" ht="13" x14ac:dyDescent="0.3">
      <c r="A163" s="6">
        <v>50</v>
      </c>
      <c r="B163" s="6">
        <v>0</v>
      </c>
      <c r="C163" s="6">
        <v>0</v>
      </c>
      <c r="D163" s="6">
        <v>1</v>
      </c>
      <c r="E163" s="6">
        <v>226</v>
      </c>
      <c r="F163" s="6">
        <f>ROUND(Source!AW157,O163)</f>
        <v>596.54</v>
      </c>
      <c r="G163" s="6" t="s">
        <v>71</v>
      </c>
      <c r="H163" s="6" t="s">
        <v>72</v>
      </c>
      <c r="I163" s="6"/>
      <c r="J163" s="6"/>
      <c r="K163" s="6">
        <v>226</v>
      </c>
      <c r="L163" s="6">
        <v>5</v>
      </c>
      <c r="M163" s="6">
        <v>3</v>
      </c>
      <c r="N163" s="6" t="s">
        <v>3</v>
      </c>
      <c r="O163" s="6">
        <v>2</v>
      </c>
      <c r="P163" s="6">
        <f>ROUND(Source!EO157,O163)</f>
        <v>3072.18</v>
      </c>
      <c r="Q163" s="6"/>
      <c r="R163" s="6"/>
      <c r="S163" s="6"/>
      <c r="T163" s="6"/>
      <c r="U163" s="6"/>
      <c r="V163" s="6"/>
      <c r="W163" s="6">
        <v>596.54</v>
      </c>
      <c r="X163" s="6">
        <v>1</v>
      </c>
      <c r="Y163" s="6">
        <v>596.54</v>
      </c>
      <c r="Z163" s="6">
        <v>3072.18</v>
      </c>
      <c r="AA163" s="6">
        <v>1</v>
      </c>
      <c r="AB163" s="6">
        <v>3072.18</v>
      </c>
    </row>
    <row r="164" spans="1:28" ht="13" x14ac:dyDescent="0.3">
      <c r="A164" s="6">
        <v>50</v>
      </c>
      <c r="B164" s="6">
        <v>0</v>
      </c>
      <c r="C164" s="6">
        <v>0</v>
      </c>
      <c r="D164" s="6">
        <v>1</v>
      </c>
      <c r="E164" s="6">
        <v>227</v>
      </c>
      <c r="F164" s="6">
        <f>ROUND(Source!AX157,O164)</f>
        <v>0</v>
      </c>
      <c r="G164" s="6" t="s">
        <v>73</v>
      </c>
      <c r="H164" s="6" t="s">
        <v>74</v>
      </c>
      <c r="I164" s="6"/>
      <c r="J164" s="6"/>
      <c r="K164" s="6">
        <v>227</v>
      </c>
      <c r="L164" s="6">
        <v>6</v>
      </c>
      <c r="M164" s="6">
        <v>3</v>
      </c>
      <c r="N164" s="6" t="s">
        <v>3</v>
      </c>
      <c r="O164" s="6">
        <v>2</v>
      </c>
      <c r="P164" s="6">
        <f>ROUND(Source!EP157,O164)</f>
        <v>0</v>
      </c>
      <c r="Q164" s="6"/>
      <c r="R164" s="6"/>
      <c r="S164" s="6"/>
      <c r="T164" s="6"/>
      <c r="U164" s="6"/>
      <c r="V164" s="6"/>
      <c r="W164" s="6">
        <v>0</v>
      </c>
      <c r="X164" s="6">
        <v>1</v>
      </c>
      <c r="Y164" s="6">
        <v>0</v>
      </c>
      <c r="Z164" s="6">
        <v>0</v>
      </c>
      <c r="AA164" s="6">
        <v>1</v>
      </c>
      <c r="AB164" s="6">
        <v>0</v>
      </c>
    </row>
    <row r="165" spans="1:28" ht="13" x14ac:dyDescent="0.3">
      <c r="A165" s="6">
        <v>50</v>
      </c>
      <c r="B165" s="6">
        <v>0</v>
      </c>
      <c r="C165" s="6">
        <v>0</v>
      </c>
      <c r="D165" s="6">
        <v>1</v>
      </c>
      <c r="E165" s="6">
        <v>228</v>
      </c>
      <c r="F165" s="6">
        <f>ROUND(Source!AY157,O165)</f>
        <v>596.54</v>
      </c>
      <c r="G165" s="6" t="s">
        <v>75</v>
      </c>
      <c r="H165" s="6" t="s">
        <v>76</v>
      </c>
      <c r="I165" s="6"/>
      <c r="J165" s="6"/>
      <c r="K165" s="6">
        <v>228</v>
      </c>
      <c r="L165" s="6">
        <v>7</v>
      </c>
      <c r="M165" s="6">
        <v>3</v>
      </c>
      <c r="N165" s="6" t="s">
        <v>3</v>
      </c>
      <c r="O165" s="6">
        <v>2</v>
      </c>
      <c r="P165" s="6">
        <f>ROUND(Source!EQ157,O165)</f>
        <v>3072.18</v>
      </c>
      <c r="Q165" s="6"/>
      <c r="R165" s="6"/>
      <c r="S165" s="6"/>
      <c r="T165" s="6"/>
      <c r="U165" s="6"/>
      <c r="V165" s="6"/>
      <c r="W165" s="6">
        <v>596.54</v>
      </c>
      <c r="X165" s="6">
        <v>1</v>
      </c>
      <c r="Y165" s="6">
        <v>596.54</v>
      </c>
      <c r="Z165" s="6">
        <v>3072.18</v>
      </c>
      <c r="AA165" s="6">
        <v>1</v>
      </c>
      <c r="AB165" s="6">
        <v>3072.18</v>
      </c>
    </row>
    <row r="166" spans="1:28" ht="13" x14ac:dyDescent="0.3">
      <c r="A166" s="6">
        <v>50</v>
      </c>
      <c r="B166" s="6">
        <v>0</v>
      </c>
      <c r="C166" s="6">
        <v>0</v>
      </c>
      <c r="D166" s="6">
        <v>1</v>
      </c>
      <c r="E166" s="6">
        <v>216</v>
      </c>
      <c r="F166" s="6">
        <f>ROUND(Source!AP157,O166)</f>
        <v>17707.62</v>
      </c>
      <c r="G166" s="6" t="s">
        <v>77</v>
      </c>
      <c r="H166" s="6" t="s">
        <v>78</v>
      </c>
      <c r="I166" s="6"/>
      <c r="J166" s="6"/>
      <c r="K166" s="6">
        <v>216</v>
      </c>
      <c r="L166" s="6">
        <v>8</v>
      </c>
      <c r="M166" s="6">
        <v>3</v>
      </c>
      <c r="N166" s="6" t="s">
        <v>3</v>
      </c>
      <c r="O166" s="6">
        <v>2</v>
      </c>
      <c r="P166" s="6">
        <f>ROUND(Source!EH157,O166)</f>
        <v>134046.68</v>
      </c>
      <c r="Q166" s="6"/>
      <c r="R166" s="6"/>
      <c r="S166" s="6"/>
      <c r="T166" s="6"/>
      <c r="U166" s="6"/>
      <c r="V166" s="6"/>
      <c r="W166" s="6">
        <v>17707.62</v>
      </c>
      <c r="X166" s="6">
        <v>1</v>
      </c>
      <c r="Y166" s="6">
        <v>17707.62</v>
      </c>
      <c r="Z166" s="6">
        <v>134046.68</v>
      </c>
      <c r="AA166" s="6">
        <v>1</v>
      </c>
      <c r="AB166" s="6">
        <v>134046.68</v>
      </c>
    </row>
    <row r="167" spans="1:28" ht="13" x14ac:dyDescent="0.3">
      <c r="A167" s="6">
        <v>50</v>
      </c>
      <c r="B167" s="6">
        <v>0</v>
      </c>
      <c r="C167" s="6">
        <v>0</v>
      </c>
      <c r="D167" s="6">
        <v>1</v>
      </c>
      <c r="E167" s="6">
        <v>223</v>
      </c>
      <c r="F167" s="6">
        <f>ROUND(Source!AQ157,O167)</f>
        <v>0</v>
      </c>
      <c r="G167" s="6" t="s">
        <v>79</v>
      </c>
      <c r="H167" s="6" t="s">
        <v>80</v>
      </c>
      <c r="I167" s="6"/>
      <c r="J167" s="6"/>
      <c r="K167" s="6">
        <v>223</v>
      </c>
      <c r="L167" s="6">
        <v>9</v>
      </c>
      <c r="M167" s="6">
        <v>3</v>
      </c>
      <c r="N167" s="6" t="s">
        <v>3</v>
      </c>
      <c r="O167" s="6">
        <v>2</v>
      </c>
      <c r="P167" s="6">
        <f>ROUND(Source!EI157,O167)</f>
        <v>0</v>
      </c>
      <c r="Q167" s="6"/>
      <c r="R167" s="6"/>
      <c r="S167" s="6"/>
      <c r="T167" s="6"/>
      <c r="U167" s="6"/>
      <c r="V167" s="6"/>
      <c r="W167" s="6">
        <v>0</v>
      </c>
      <c r="X167" s="6">
        <v>1</v>
      </c>
      <c r="Y167" s="6">
        <v>0</v>
      </c>
      <c r="Z167" s="6">
        <v>0</v>
      </c>
      <c r="AA167" s="6">
        <v>1</v>
      </c>
      <c r="AB167" s="6">
        <v>0</v>
      </c>
    </row>
    <row r="168" spans="1:28" ht="13" x14ac:dyDescent="0.3">
      <c r="A168" s="6">
        <v>50</v>
      </c>
      <c r="B168" s="6">
        <v>0</v>
      </c>
      <c r="C168" s="6">
        <v>0</v>
      </c>
      <c r="D168" s="6">
        <v>1</v>
      </c>
      <c r="E168" s="6">
        <v>229</v>
      </c>
      <c r="F168" s="6">
        <f>ROUND(Source!AZ157,O168)</f>
        <v>17707.62</v>
      </c>
      <c r="G168" s="6" t="s">
        <v>81</v>
      </c>
      <c r="H168" s="6" t="s">
        <v>82</v>
      </c>
      <c r="I168" s="6"/>
      <c r="J168" s="6"/>
      <c r="K168" s="6">
        <v>229</v>
      </c>
      <c r="L168" s="6">
        <v>10</v>
      </c>
      <c r="M168" s="6">
        <v>3</v>
      </c>
      <c r="N168" s="6" t="s">
        <v>3</v>
      </c>
      <c r="O168" s="6">
        <v>2</v>
      </c>
      <c r="P168" s="6">
        <f>ROUND(Source!ER157,O168)</f>
        <v>134046.68</v>
      </c>
      <c r="Q168" s="6"/>
      <c r="R168" s="6"/>
      <c r="S168" s="6"/>
      <c r="T168" s="6"/>
      <c r="U168" s="6"/>
      <c r="V168" s="6"/>
      <c r="W168" s="6">
        <v>17707.62</v>
      </c>
      <c r="X168" s="6">
        <v>1</v>
      </c>
      <c r="Y168" s="6">
        <v>17707.62</v>
      </c>
      <c r="Z168" s="6">
        <v>134046.68</v>
      </c>
      <c r="AA168" s="6">
        <v>1</v>
      </c>
      <c r="AB168" s="6">
        <v>134046.68</v>
      </c>
    </row>
    <row r="169" spans="1:28" ht="13" x14ac:dyDescent="0.3">
      <c r="A169" s="6">
        <v>50</v>
      </c>
      <c r="B169" s="6">
        <v>0</v>
      </c>
      <c r="C169" s="6">
        <v>0</v>
      </c>
      <c r="D169" s="6">
        <v>1</v>
      </c>
      <c r="E169" s="6">
        <v>203</v>
      </c>
      <c r="F169" s="6">
        <f>ROUND(Source!Q157,O169)</f>
        <v>0.63</v>
      </c>
      <c r="G169" s="6" t="s">
        <v>83</v>
      </c>
      <c r="H169" s="6" t="s">
        <v>84</v>
      </c>
      <c r="I169" s="6"/>
      <c r="J169" s="6"/>
      <c r="K169" s="6">
        <v>203</v>
      </c>
      <c r="L169" s="6">
        <v>11</v>
      </c>
      <c r="M169" s="6">
        <v>3</v>
      </c>
      <c r="N169" s="6" t="s">
        <v>3</v>
      </c>
      <c r="O169" s="6">
        <v>2</v>
      </c>
      <c r="P169" s="6">
        <f>ROUND(Source!DI157,O169)</f>
        <v>10.72</v>
      </c>
      <c r="Q169" s="6"/>
      <c r="R169" s="6"/>
      <c r="S169" s="6"/>
      <c r="T169" s="6"/>
      <c r="U169" s="6"/>
      <c r="V169" s="6"/>
      <c r="W169" s="6">
        <v>0.63</v>
      </c>
      <c r="X169" s="6">
        <v>1</v>
      </c>
      <c r="Y169" s="6">
        <v>0.63</v>
      </c>
      <c r="Z169" s="6">
        <v>10.72</v>
      </c>
      <c r="AA169" s="6">
        <v>1</v>
      </c>
      <c r="AB169" s="6">
        <v>10.72</v>
      </c>
    </row>
    <row r="170" spans="1:28" ht="13" x14ac:dyDescent="0.3">
      <c r="A170" s="6">
        <v>50</v>
      </c>
      <c r="B170" s="6">
        <v>0</v>
      </c>
      <c r="C170" s="6">
        <v>0</v>
      </c>
      <c r="D170" s="6">
        <v>1</v>
      </c>
      <c r="E170" s="6">
        <v>231</v>
      </c>
      <c r="F170" s="6">
        <f>ROUND(Source!BB157,O170)</f>
        <v>0</v>
      </c>
      <c r="G170" s="6" t="s">
        <v>85</v>
      </c>
      <c r="H170" s="6" t="s">
        <v>86</v>
      </c>
      <c r="I170" s="6"/>
      <c r="J170" s="6"/>
      <c r="K170" s="6">
        <v>231</v>
      </c>
      <c r="L170" s="6">
        <v>12</v>
      </c>
      <c r="M170" s="6">
        <v>3</v>
      </c>
      <c r="N170" s="6" t="s">
        <v>3</v>
      </c>
      <c r="O170" s="6">
        <v>2</v>
      </c>
      <c r="P170" s="6">
        <f>ROUND(Source!ET157,O170)</f>
        <v>0</v>
      </c>
      <c r="Q170" s="6"/>
      <c r="R170" s="6"/>
      <c r="S170" s="6"/>
      <c r="T170" s="6"/>
      <c r="U170" s="6"/>
      <c r="V170" s="6"/>
      <c r="W170" s="6">
        <v>0</v>
      </c>
      <c r="X170" s="6">
        <v>1</v>
      </c>
      <c r="Y170" s="6">
        <v>0</v>
      </c>
      <c r="Z170" s="6">
        <v>0</v>
      </c>
      <c r="AA170" s="6">
        <v>1</v>
      </c>
      <c r="AB170" s="6">
        <v>0</v>
      </c>
    </row>
    <row r="171" spans="1:28" ht="13" x14ac:dyDescent="0.3">
      <c r="A171" s="6">
        <v>50</v>
      </c>
      <c r="B171" s="6">
        <v>0</v>
      </c>
      <c r="C171" s="6">
        <v>0</v>
      </c>
      <c r="D171" s="6">
        <v>1</v>
      </c>
      <c r="E171" s="6">
        <v>204</v>
      </c>
      <c r="F171" s="6">
        <f>ROUND(Source!R157,O171)</f>
        <v>0.1</v>
      </c>
      <c r="G171" s="6" t="s">
        <v>87</v>
      </c>
      <c r="H171" s="6" t="s">
        <v>88</v>
      </c>
      <c r="I171" s="6"/>
      <c r="J171" s="6"/>
      <c r="K171" s="6">
        <v>204</v>
      </c>
      <c r="L171" s="6">
        <v>13</v>
      </c>
      <c r="M171" s="6">
        <v>3</v>
      </c>
      <c r="N171" s="6" t="s">
        <v>3</v>
      </c>
      <c r="O171" s="6">
        <v>2</v>
      </c>
      <c r="P171" s="6">
        <f>ROUND(Source!DJ157,O171)</f>
        <v>5.64</v>
      </c>
      <c r="Q171" s="6"/>
      <c r="R171" s="6"/>
      <c r="S171" s="6"/>
      <c r="T171" s="6"/>
      <c r="U171" s="6"/>
      <c r="V171" s="6"/>
      <c r="W171" s="6">
        <v>0.1</v>
      </c>
      <c r="X171" s="6">
        <v>1</v>
      </c>
      <c r="Y171" s="6">
        <v>0.1</v>
      </c>
      <c r="Z171" s="6">
        <v>5.64</v>
      </c>
      <c r="AA171" s="6">
        <v>1</v>
      </c>
      <c r="AB171" s="6">
        <v>5.64</v>
      </c>
    </row>
    <row r="172" spans="1:28" ht="13" x14ac:dyDescent="0.3">
      <c r="A172" s="6">
        <v>50</v>
      </c>
      <c r="B172" s="6">
        <v>0</v>
      </c>
      <c r="C172" s="6">
        <v>0</v>
      </c>
      <c r="D172" s="6">
        <v>1</v>
      </c>
      <c r="E172" s="6">
        <v>205</v>
      </c>
      <c r="F172" s="6">
        <f>ROUND(Source!S157,O172)</f>
        <v>680.58</v>
      </c>
      <c r="G172" s="6" t="s">
        <v>89</v>
      </c>
      <c r="H172" s="6" t="s">
        <v>90</v>
      </c>
      <c r="I172" s="6"/>
      <c r="J172" s="6"/>
      <c r="K172" s="6">
        <v>205</v>
      </c>
      <c r="L172" s="6">
        <v>14</v>
      </c>
      <c r="M172" s="6">
        <v>3</v>
      </c>
      <c r="N172" s="6" t="s">
        <v>3</v>
      </c>
      <c r="O172" s="6">
        <v>2</v>
      </c>
      <c r="P172" s="6">
        <f>ROUND(Source!DK157,O172)</f>
        <v>38350.68</v>
      </c>
      <c r="Q172" s="6"/>
      <c r="R172" s="6"/>
      <c r="S172" s="6"/>
      <c r="T172" s="6"/>
      <c r="U172" s="6"/>
      <c r="V172" s="6"/>
      <c r="W172" s="6">
        <v>680.58</v>
      </c>
      <c r="X172" s="6">
        <v>1</v>
      </c>
      <c r="Y172" s="6">
        <v>680.58</v>
      </c>
      <c r="Z172" s="6">
        <v>38350.68</v>
      </c>
      <c r="AA172" s="6">
        <v>1</v>
      </c>
      <c r="AB172" s="6">
        <v>38350.68</v>
      </c>
    </row>
    <row r="173" spans="1:28" ht="13" x14ac:dyDescent="0.3">
      <c r="A173" s="6">
        <v>50</v>
      </c>
      <c r="B173" s="6">
        <v>0</v>
      </c>
      <c r="C173" s="6">
        <v>0</v>
      </c>
      <c r="D173" s="6">
        <v>1</v>
      </c>
      <c r="E173" s="6">
        <v>232</v>
      </c>
      <c r="F173" s="6">
        <f>ROUND(Source!BC157,O173)</f>
        <v>0</v>
      </c>
      <c r="G173" s="6" t="s">
        <v>91</v>
      </c>
      <c r="H173" s="6" t="s">
        <v>92</v>
      </c>
      <c r="I173" s="6"/>
      <c r="J173" s="6"/>
      <c r="K173" s="6">
        <v>232</v>
      </c>
      <c r="L173" s="6">
        <v>15</v>
      </c>
      <c r="M173" s="6">
        <v>3</v>
      </c>
      <c r="N173" s="6" t="s">
        <v>3</v>
      </c>
      <c r="O173" s="6">
        <v>2</v>
      </c>
      <c r="P173" s="6">
        <f>ROUND(Source!EU157,O173)</f>
        <v>0</v>
      </c>
      <c r="Q173" s="6"/>
      <c r="R173" s="6"/>
      <c r="S173" s="6"/>
      <c r="T173" s="6"/>
      <c r="U173" s="6"/>
      <c r="V173" s="6"/>
      <c r="W173" s="6">
        <v>0</v>
      </c>
      <c r="X173" s="6">
        <v>1</v>
      </c>
      <c r="Y173" s="6">
        <v>0</v>
      </c>
      <c r="Z173" s="6">
        <v>0</v>
      </c>
      <c r="AA173" s="6">
        <v>1</v>
      </c>
      <c r="AB173" s="6">
        <v>0</v>
      </c>
    </row>
    <row r="174" spans="1:28" ht="13" x14ac:dyDescent="0.3">
      <c r="A174" s="6">
        <v>50</v>
      </c>
      <c r="B174" s="6">
        <v>0</v>
      </c>
      <c r="C174" s="6">
        <v>0</v>
      </c>
      <c r="D174" s="6">
        <v>1</v>
      </c>
      <c r="E174" s="6">
        <v>214</v>
      </c>
      <c r="F174" s="6">
        <f>ROUND(Source!AS157,O174)</f>
        <v>0</v>
      </c>
      <c r="G174" s="6" t="s">
        <v>93</v>
      </c>
      <c r="H174" s="6" t="s">
        <v>94</v>
      </c>
      <c r="I174" s="6"/>
      <c r="J174" s="6"/>
      <c r="K174" s="6">
        <v>214</v>
      </c>
      <c r="L174" s="6">
        <v>16</v>
      </c>
      <c r="M174" s="6">
        <v>3</v>
      </c>
      <c r="N174" s="6" t="s">
        <v>3</v>
      </c>
      <c r="O174" s="6">
        <v>2</v>
      </c>
      <c r="P174" s="6">
        <f>ROUND(Source!EK157,O174)</f>
        <v>0</v>
      </c>
      <c r="Q174" s="6"/>
      <c r="R174" s="6"/>
      <c r="S174" s="6"/>
      <c r="T174" s="6"/>
      <c r="U174" s="6"/>
      <c r="V174" s="6"/>
      <c r="W174" s="6">
        <v>0</v>
      </c>
      <c r="X174" s="6">
        <v>1</v>
      </c>
      <c r="Y174" s="6">
        <v>0</v>
      </c>
      <c r="Z174" s="6">
        <v>0</v>
      </c>
      <c r="AA174" s="6">
        <v>1</v>
      </c>
      <c r="AB174" s="6">
        <v>0</v>
      </c>
    </row>
    <row r="175" spans="1:28" ht="13" x14ac:dyDescent="0.3">
      <c r="A175" s="6">
        <v>50</v>
      </c>
      <c r="B175" s="6">
        <v>0</v>
      </c>
      <c r="C175" s="6">
        <v>0</v>
      </c>
      <c r="D175" s="6">
        <v>1</v>
      </c>
      <c r="E175" s="6">
        <v>215</v>
      </c>
      <c r="F175" s="6">
        <f>ROUND(Source!AT157,O175)</f>
        <v>2203.48</v>
      </c>
      <c r="G175" s="6" t="s">
        <v>95</v>
      </c>
      <c r="H175" s="6" t="s">
        <v>96</v>
      </c>
      <c r="I175" s="6"/>
      <c r="J175" s="6"/>
      <c r="K175" s="6">
        <v>215</v>
      </c>
      <c r="L175" s="6">
        <v>17</v>
      </c>
      <c r="M175" s="6">
        <v>3</v>
      </c>
      <c r="N175" s="6" t="s">
        <v>3</v>
      </c>
      <c r="O175" s="6">
        <v>2</v>
      </c>
      <c r="P175" s="6">
        <f>ROUND(Source!EL157,O175)</f>
        <v>93598.18</v>
      </c>
      <c r="Q175" s="6"/>
      <c r="R175" s="6"/>
      <c r="S175" s="6"/>
      <c r="T175" s="6"/>
      <c r="U175" s="6"/>
      <c r="V175" s="6"/>
      <c r="W175" s="6">
        <v>2203.48</v>
      </c>
      <c r="X175" s="6">
        <v>1</v>
      </c>
      <c r="Y175" s="6">
        <v>2203.48</v>
      </c>
      <c r="Z175" s="6">
        <v>93598.18</v>
      </c>
      <c r="AA175" s="6">
        <v>1</v>
      </c>
      <c r="AB175" s="6">
        <v>93598.18</v>
      </c>
    </row>
    <row r="176" spans="1:28" ht="13" x14ac:dyDescent="0.3">
      <c r="A176" s="6">
        <v>50</v>
      </c>
      <c r="B176" s="6">
        <v>0</v>
      </c>
      <c r="C176" s="6">
        <v>0</v>
      </c>
      <c r="D176" s="6">
        <v>1</v>
      </c>
      <c r="E176" s="6">
        <v>217</v>
      </c>
      <c r="F176" s="6">
        <f>ROUND(Source!AU157,O176)</f>
        <v>0</v>
      </c>
      <c r="G176" s="6" t="s">
        <v>97</v>
      </c>
      <c r="H176" s="6" t="s">
        <v>98</v>
      </c>
      <c r="I176" s="6"/>
      <c r="J176" s="6"/>
      <c r="K176" s="6">
        <v>217</v>
      </c>
      <c r="L176" s="6">
        <v>18</v>
      </c>
      <c r="M176" s="6">
        <v>3</v>
      </c>
      <c r="N176" s="6" t="s">
        <v>3</v>
      </c>
      <c r="O176" s="6">
        <v>2</v>
      </c>
      <c r="P176" s="6">
        <f>ROUND(Source!EM157,O176)</f>
        <v>0</v>
      </c>
      <c r="Q176" s="6"/>
      <c r="R176" s="6"/>
      <c r="S176" s="6"/>
      <c r="T176" s="6"/>
      <c r="U176" s="6"/>
      <c r="V176" s="6"/>
      <c r="W176" s="6">
        <v>0</v>
      </c>
      <c r="X176" s="6">
        <v>1</v>
      </c>
      <c r="Y176" s="6">
        <v>0</v>
      </c>
      <c r="Z176" s="6">
        <v>0</v>
      </c>
      <c r="AA176" s="6">
        <v>1</v>
      </c>
      <c r="AB176" s="6">
        <v>0</v>
      </c>
    </row>
    <row r="177" spans="1:255" ht="13" x14ac:dyDescent="0.3">
      <c r="A177" s="6">
        <v>50</v>
      </c>
      <c r="B177" s="6">
        <v>0</v>
      </c>
      <c r="C177" s="6">
        <v>0</v>
      </c>
      <c r="D177" s="6">
        <v>1</v>
      </c>
      <c r="E177" s="6">
        <v>230</v>
      </c>
      <c r="F177" s="6">
        <f>ROUND(Source!BA157,O177)</f>
        <v>0</v>
      </c>
      <c r="G177" s="6" t="s">
        <v>99</v>
      </c>
      <c r="H177" s="6" t="s">
        <v>100</v>
      </c>
      <c r="I177" s="6"/>
      <c r="J177" s="6"/>
      <c r="K177" s="6">
        <v>230</v>
      </c>
      <c r="L177" s="6">
        <v>19</v>
      </c>
      <c r="M177" s="6">
        <v>3</v>
      </c>
      <c r="N177" s="6" t="s">
        <v>3</v>
      </c>
      <c r="O177" s="6">
        <v>2</v>
      </c>
      <c r="P177" s="6">
        <f>ROUND(Source!ES157,O177)</f>
        <v>0</v>
      </c>
      <c r="Q177" s="6"/>
      <c r="R177" s="6"/>
      <c r="S177" s="6"/>
      <c r="T177" s="6"/>
      <c r="U177" s="6"/>
      <c r="V177" s="6"/>
      <c r="W177" s="6">
        <v>0</v>
      </c>
      <c r="X177" s="6">
        <v>1</v>
      </c>
      <c r="Y177" s="6">
        <v>0</v>
      </c>
      <c r="Z177" s="6">
        <v>0</v>
      </c>
      <c r="AA177" s="6">
        <v>1</v>
      </c>
      <c r="AB177" s="6">
        <v>0</v>
      </c>
    </row>
    <row r="178" spans="1:255" ht="13" x14ac:dyDescent="0.3">
      <c r="A178" s="6">
        <v>50</v>
      </c>
      <c r="B178" s="6">
        <v>0</v>
      </c>
      <c r="C178" s="6">
        <v>0</v>
      </c>
      <c r="D178" s="6">
        <v>1</v>
      </c>
      <c r="E178" s="6">
        <v>206</v>
      </c>
      <c r="F178" s="6">
        <f>ROUND(Source!T157,O178)</f>
        <v>0</v>
      </c>
      <c r="G178" s="6" t="s">
        <v>101</v>
      </c>
      <c r="H178" s="6" t="s">
        <v>102</v>
      </c>
      <c r="I178" s="6"/>
      <c r="J178" s="6"/>
      <c r="K178" s="6">
        <v>206</v>
      </c>
      <c r="L178" s="6">
        <v>20</v>
      </c>
      <c r="M178" s="6">
        <v>3</v>
      </c>
      <c r="N178" s="6" t="s">
        <v>3</v>
      </c>
      <c r="O178" s="6">
        <v>2</v>
      </c>
      <c r="P178" s="6">
        <f>ROUND(Source!DL157,O178)</f>
        <v>0</v>
      </c>
      <c r="Q178" s="6"/>
      <c r="R178" s="6"/>
      <c r="S178" s="6"/>
      <c r="T178" s="6"/>
      <c r="U178" s="6"/>
      <c r="V178" s="6"/>
      <c r="W178" s="6">
        <v>0</v>
      </c>
      <c r="X178" s="6">
        <v>1</v>
      </c>
      <c r="Y178" s="6">
        <v>0</v>
      </c>
      <c r="Z178" s="6">
        <v>0</v>
      </c>
      <c r="AA178" s="6">
        <v>1</v>
      </c>
      <c r="AB178" s="6">
        <v>0</v>
      </c>
    </row>
    <row r="179" spans="1:255" ht="13" x14ac:dyDescent="0.3">
      <c r="A179" s="6">
        <v>50</v>
      </c>
      <c r="B179" s="6">
        <v>0</v>
      </c>
      <c r="C179" s="6">
        <v>0</v>
      </c>
      <c r="D179" s="6">
        <v>1</v>
      </c>
      <c r="E179" s="6">
        <v>207</v>
      </c>
      <c r="F179" s="6">
        <f>Source!U157</f>
        <v>54.062891999999991</v>
      </c>
      <c r="G179" s="6" t="s">
        <v>103</v>
      </c>
      <c r="H179" s="6" t="s">
        <v>104</v>
      </c>
      <c r="I179" s="6"/>
      <c r="J179" s="6"/>
      <c r="K179" s="6">
        <v>207</v>
      </c>
      <c r="L179" s="6">
        <v>21</v>
      </c>
      <c r="M179" s="6">
        <v>3</v>
      </c>
      <c r="N179" s="6" t="s">
        <v>3</v>
      </c>
      <c r="O179" s="6">
        <v>-1</v>
      </c>
      <c r="P179" s="6">
        <f>Source!DM157</f>
        <v>54.062891999999991</v>
      </c>
      <c r="Q179" s="6"/>
      <c r="R179" s="6"/>
      <c r="S179" s="6"/>
      <c r="T179" s="6"/>
      <c r="U179" s="6"/>
      <c r="V179" s="6"/>
      <c r="W179" s="6">
        <v>54.062891999999998</v>
      </c>
      <c r="X179" s="6">
        <v>1</v>
      </c>
      <c r="Y179" s="6">
        <v>54.062891999999998</v>
      </c>
      <c r="Z179" s="6">
        <v>54.062891999999998</v>
      </c>
      <c r="AA179" s="6">
        <v>1</v>
      </c>
      <c r="AB179" s="6">
        <v>54.062891999999998</v>
      </c>
    </row>
    <row r="180" spans="1:255" ht="13" x14ac:dyDescent="0.3">
      <c r="A180" s="6">
        <v>50</v>
      </c>
      <c r="B180" s="6">
        <v>0</v>
      </c>
      <c r="C180" s="6">
        <v>0</v>
      </c>
      <c r="D180" s="6">
        <v>1</v>
      </c>
      <c r="E180" s="6">
        <v>208</v>
      </c>
      <c r="F180" s="6">
        <f>Source!V157</f>
        <v>0</v>
      </c>
      <c r="G180" s="6" t="s">
        <v>105</v>
      </c>
      <c r="H180" s="6" t="s">
        <v>106</v>
      </c>
      <c r="I180" s="6"/>
      <c r="J180" s="6"/>
      <c r="K180" s="6">
        <v>208</v>
      </c>
      <c r="L180" s="6">
        <v>22</v>
      </c>
      <c r="M180" s="6">
        <v>3</v>
      </c>
      <c r="N180" s="6" t="s">
        <v>3</v>
      </c>
      <c r="O180" s="6">
        <v>-1</v>
      </c>
      <c r="P180" s="6">
        <f>Source!DN157</f>
        <v>0</v>
      </c>
      <c r="Q180" s="6"/>
      <c r="R180" s="6"/>
      <c r="S180" s="6"/>
      <c r="T180" s="6"/>
      <c r="U180" s="6"/>
      <c r="V180" s="6"/>
      <c r="W180" s="6">
        <v>0</v>
      </c>
      <c r="X180" s="6">
        <v>1</v>
      </c>
      <c r="Y180" s="6">
        <v>0</v>
      </c>
      <c r="Z180" s="6">
        <v>0</v>
      </c>
      <c r="AA180" s="6">
        <v>1</v>
      </c>
      <c r="AB180" s="6">
        <v>0</v>
      </c>
    </row>
    <row r="181" spans="1:255" ht="13" x14ac:dyDescent="0.3">
      <c r="A181" s="6">
        <v>50</v>
      </c>
      <c r="B181" s="6">
        <v>0</v>
      </c>
      <c r="C181" s="6">
        <v>0</v>
      </c>
      <c r="D181" s="6">
        <v>1</v>
      </c>
      <c r="E181" s="6">
        <v>209</v>
      </c>
      <c r="F181" s="6">
        <f>ROUND(Source!W157,O181)</f>
        <v>0</v>
      </c>
      <c r="G181" s="6" t="s">
        <v>107</v>
      </c>
      <c r="H181" s="6" t="s">
        <v>108</v>
      </c>
      <c r="I181" s="6"/>
      <c r="J181" s="6"/>
      <c r="K181" s="6">
        <v>209</v>
      </c>
      <c r="L181" s="6">
        <v>23</v>
      </c>
      <c r="M181" s="6">
        <v>3</v>
      </c>
      <c r="N181" s="6" t="s">
        <v>3</v>
      </c>
      <c r="O181" s="6">
        <v>2</v>
      </c>
      <c r="P181" s="6">
        <f>ROUND(Source!DO157,O181)</f>
        <v>0</v>
      </c>
      <c r="Q181" s="6"/>
      <c r="R181" s="6"/>
      <c r="S181" s="6"/>
      <c r="T181" s="6"/>
      <c r="U181" s="6"/>
      <c r="V181" s="6"/>
      <c r="W181" s="6">
        <v>0</v>
      </c>
      <c r="X181" s="6">
        <v>1</v>
      </c>
      <c r="Y181" s="6">
        <v>0</v>
      </c>
      <c r="Z181" s="6">
        <v>0</v>
      </c>
      <c r="AA181" s="6">
        <v>1</v>
      </c>
      <c r="AB181" s="6">
        <v>0</v>
      </c>
    </row>
    <row r="182" spans="1:255" ht="13" x14ac:dyDescent="0.3">
      <c r="A182" s="6">
        <v>50</v>
      </c>
      <c r="B182" s="6">
        <v>0</v>
      </c>
      <c r="C182" s="6">
        <v>0</v>
      </c>
      <c r="D182" s="6">
        <v>1</v>
      </c>
      <c r="E182" s="6">
        <v>233</v>
      </c>
      <c r="F182" s="6">
        <f>ROUND(Source!BD157,O182)</f>
        <v>0</v>
      </c>
      <c r="G182" s="6" t="s">
        <v>109</v>
      </c>
      <c r="H182" s="6" t="s">
        <v>110</v>
      </c>
      <c r="I182" s="6"/>
      <c r="J182" s="6"/>
      <c r="K182" s="6">
        <v>233</v>
      </c>
      <c r="L182" s="6">
        <v>24</v>
      </c>
      <c r="M182" s="6">
        <v>3</v>
      </c>
      <c r="N182" s="6" t="s">
        <v>3</v>
      </c>
      <c r="O182" s="6">
        <v>2</v>
      </c>
      <c r="P182" s="6">
        <f>ROUND(Source!EV157,O182)</f>
        <v>0</v>
      </c>
      <c r="Q182" s="6"/>
      <c r="R182" s="6"/>
      <c r="S182" s="6"/>
      <c r="T182" s="6"/>
      <c r="U182" s="6"/>
      <c r="V182" s="6"/>
      <c r="W182" s="6">
        <v>0</v>
      </c>
      <c r="X182" s="6">
        <v>1</v>
      </c>
      <c r="Y182" s="6">
        <v>0</v>
      </c>
      <c r="Z182" s="6">
        <v>0</v>
      </c>
      <c r="AA182" s="6">
        <v>1</v>
      </c>
      <c r="AB182" s="6">
        <v>0</v>
      </c>
    </row>
    <row r="183" spans="1:255" ht="13" x14ac:dyDescent="0.3">
      <c r="A183" s="6">
        <v>50</v>
      </c>
      <c r="B183" s="6">
        <v>0</v>
      </c>
      <c r="C183" s="6">
        <v>0</v>
      </c>
      <c r="D183" s="6">
        <v>1</v>
      </c>
      <c r="E183" s="6">
        <v>210</v>
      </c>
      <c r="F183" s="6">
        <f>ROUND(Source!X157,O183)</f>
        <v>612.62</v>
      </c>
      <c r="G183" s="6" t="s">
        <v>111</v>
      </c>
      <c r="H183" s="6" t="s">
        <v>112</v>
      </c>
      <c r="I183" s="6"/>
      <c r="J183" s="6"/>
      <c r="K183" s="6">
        <v>210</v>
      </c>
      <c r="L183" s="6">
        <v>25</v>
      </c>
      <c r="M183" s="6">
        <v>3</v>
      </c>
      <c r="N183" s="6" t="s">
        <v>3</v>
      </c>
      <c r="O183" s="6">
        <v>2</v>
      </c>
      <c r="P183" s="6">
        <f>ROUND(Source!DP157,O183)</f>
        <v>34520.69</v>
      </c>
      <c r="Q183" s="6"/>
      <c r="R183" s="6"/>
      <c r="S183" s="6"/>
      <c r="T183" s="6"/>
      <c r="U183" s="6"/>
      <c r="V183" s="6"/>
      <c r="W183" s="6">
        <v>612.62</v>
      </c>
      <c r="X183" s="6">
        <v>1</v>
      </c>
      <c r="Y183" s="6">
        <v>612.62</v>
      </c>
      <c r="Z183" s="6">
        <v>34520.69</v>
      </c>
      <c r="AA183" s="6">
        <v>1</v>
      </c>
      <c r="AB183" s="6">
        <v>34520.69</v>
      </c>
    </row>
    <row r="184" spans="1:255" ht="13" x14ac:dyDescent="0.3">
      <c r="A184" s="6">
        <v>50</v>
      </c>
      <c r="B184" s="6">
        <v>0</v>
      </c>
      <c r="C184" s="6">
        <v>0</v>
      </c>
      <c r="D184" s="6">
        <v>1</v>
      </c>
      <c r="E184" s="6">
        <v>211</v>
      </c>
      <c r="F184" s="6">
        <f>ROUND(Source!Y157,O184)</f>
        <v>313.11</v>
      </c>
      <c r="G184" s="6" t="s">
        <v>113</v>
      </c>
      <c r="H184" s="6" t="s">
        <v>114</v>
      </c>
      <c r="I184" s="6"/>
      <c r="J184" s="6"/>
      <c r="K184" s="6">
        <v>211</v>
      </c>
      <c r="L184" s="6">
        <v>26</v>
      </c>
      <c r="M184" s="6">
        <v>3</v>
      </c>
      <c r="N184" s="6" t="s">
        <v>3</v>
      </c>
      <c r="O184" s="6">
        <v>2</v>
      </c>
      <c r="P184" s="6">
        <f>ROUND(Source!DQ157,O184)</f>
        <v>17643.91</v>
      </c>
      <c r="Q184" s="6"/>
      <c r="R184" s="6"/>
      <c r="S184" s="6"/>
      <c r="T184" s="6"/>
      <c r="U184" s="6"/>
      <c r="V184" s="6"/>
      <c r="W184" s="6">
        <v>313.11</v>
      </c>
      <c r="X184" s="6">
        <v>1</v>
      </c>
      <c r="Y184" s="6">
        <v>313.11</v>
      </c>
      <c r="Z184" s="6">
        <v>17643.91</v>
      </c>
      <c r="AA184" s="6">
        <v>1</v>
      </c>
      <c r="AB184" s="6">
        <v>17643.91</v>
      </c>
    </row>
    <row r="185" spans="1:255" ht="13" x14ac:dyDescent="0.3">
      <c r="A185" s="6">
        <v>50</v>
      </c>
      <c r="B185" s="6">
        <v>0</v>
      </c>
      <c r="C185" s="6">
        <v>0</v>
      </c>
      <c r="D185" s="6">
        <v>1</v>
      </c>
      <c r="E185" s="6">
        <v>224</v>
      </c>
      <c r="F185" s="6">
        <f>ROUND(Source!AR157,O185)</f>
        <v>19911.099999999999</v>
      </c>
      <c r="G185" s="6" t="s">
        <v>115</v>
      </c>
      <c r="H185" s="6" t="s">
        <v>116</v>
      </c>
      <c r="I185" s="6"/>
      <c r="J185" s="6"/>
      <c r="K185" s="6">
        <v>224</v>
      </c>
      <c r="L185" s="6">
        <v>27</v>
      </c>
      <c r="M185" s="6">
        <v>3</v>
      </c>
      <c r="N185" s="6" t="s">
        <v>3</v>
      </c>
      <c r="O185" s="6">
        <v>2</v>
      </c>
      <c r="P185" s="6">
        <f>ROUND(Source!EJ157,O185)</f>
        <v>227644.86</v>
      </c>
      <c r="Q185" s="6"/>
      <c r="R185" s="6"/>
      <c r="S185" s="6"/>
      <c r="T185" s="6"/>
      <c r="U185" s="6"/>
      <c r="V185" s="6"/>
      <c r="W185" s="6">
        <v>19911.099999999999</v>
      </c>
      <c r="X185" s="6">
        <v>1</v>
      </c>
      <c r="Y185" s="6">
        <v>19911.099999999999</v>
      </c>
      <c r="Z185" s="6">
        <v>227644.86</v>
      </c>
      <c r="AA185" s="6">
        <v>1</v>
      </c>
      <c r="AB185" s="6">
        <v>227644.86</v>
      </c>
    </row>
    <row r="187" spans="1:255" ht="13" x14ac:dyDescent="0.3">
      <c r="A187" s="1">
        <v>4</v>
      </c>
      <c r="B187" s="1">
        <v>1</v>
      </c>
      <c r="C187" s="1"/>
      <c r="D187" s="1">
        <f>ROW(A202)</f>
        <v>202</v>
      </c>
      <c r="E187" s="1"/>
      <c r="F187" s="1" t="s">
        <v>41</v>
      </c>
      <c r="G187" s="1" t="s">
        <v>185</v>
      </c>
      <c r="H187" s="1" t="s">
        <v>3</v>
      </c>
      <c r="I187" s="1">
        <v>0</v>
      </c>
      <c r="J187" s="1"/>
      <c r="K187" s="1">
        <v>-1</v>
      </c>
      <c r="L187" s="1"/>
      <c r="M187" s="1" t="s">
        <v>3</v>
      </c>
      <c r="N187" s="1"/>
      <c r="O187" s="1"/>
      <c r="P187" s="1"/>
      <c r="Q187" s="1"/>
      <c r="R187" s="1"/>
      <c r="S187" s="1">
        <v>0</v>
      </c>
      <c r="T187" s="1">
        <v>0</v>
      </c>
      <c r="U187" s="1" t="s">
        <v>3</v>
      </c>
      <c r="V187" s="1">
        <v>2</v>
      </c>
      <c r="W187" s="1"/>
      <c r="X187" s="1"/>
      <c r="Y187" s="1"/>
      <c r="Z187" s="1"/>
      <c r="AA187" s="1"/>
      <c r="AB187" s="1" t="s">
        <v>3</v>
      </c>
      <c r="AC187" s="1" t="s">
        <v>3</v>
      </c>
      <c r="AD187" s="1" t="s">
        <v>3</v>
      </c>
      <c r="AE187" s="1" t="s">
        <v>3</v>
      </c>
      <c r="AF187" s="1" t="s">
        <v>3</v>
      </c>
      <c r="AG187" s="1" t="s">
        <v>3</v>
      </c>
      <c r="AH187" s="1"/>
      <c r="AI187" s="1"/>
      <c r="AJ187" s="1"/>
      <c r="AK187" s="1"/>
      <c r="AL187" s="1"/>
      <c r="AM187" s="1"/>
      <c r="AN187" s="1"/>
      <c r="AO187" s="1"/>
      <c r="AP187" s="1" t="s">
        <v>3</v>
      </c>
      <c r="AQ187" s="1" t="s">
        <v>3</v>
      </c>
      <c r="AR187" s="1" t="s">
        <v>3</v>
      </c>
      <c r="AS187" s="1"/>
      <c r="AT187" s="1"/>
      <c r="AU187" s="1"/>
      <c r="AV187" s="1"/>
      <c r="AW187" s="1"/>
      <c r="AX187" s="1"/>
      <c r="AY187" s="1"/>
      <c r="AZ187" s="1" t="s">
        <v>3</v>
      </c>
      <c r="BA187" s="1"/>
      <c r="BB187" s="1" t="s">
        <v>3</v>
      </c>
      <c r="BC187" s="1" t="s">
        <v>3</v>
      </c>
      <c r="BD187" s="1" t="s">
        <v>3</v>
      </c>
      <c r="BE187" s="1" t="s">
        <v>3</v>
      </c>
      <c r="BF187" s="1" t="s">
        <v>3</v>
      </c>
      <c r="BG187" s="1" t="s">
        <v>3</v>
      </c>
      <c r="BH187" s="1" t="s">
        <v>3</v>
      </c>
      <c r="BI187" s="1" t="s">
        <v>3</v>
      </c>
      <c r="BJ187" s="1" t="s">
        <v>3</v>
      </c>
      <c r="BK187" s="1" t="s">
        <v>3</v>
      </c>
      <c r="BL187" s="1" t="s">
        <v>3</v>
      </c>
      <c r="BM187" s="1" t="s">
        <v>3</v>
      </c>
      <c r="BN187" s="1" t="s">
        <v>3</v>
      </c>
      <c r="BO187" s="1" t="s">
        <v>3</v>
      </c>
      <c r="BP187" s="1" t="s">
        <v>3</v>
      </c>
      <c r="BQ187" s="1"/>
      <c r="BR187" s="1"/>
      <c r="BS187" s="1"/>
      <c r="BT187" s="1"/>
      <c r="BU187" s="1"/>
      <c r="BV187" s="1"/>
      <c r="BW187" s="1"/>
      <c r="BX187" s="1">
        <v>0</v>
      </c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>
        <v>0</v>
      </c>
    </row>
    <row r="189" spans="1:255" ht="13" x14ac:dyDescent="0.3">
      <c r="A189" s="4">
        <v>52</v>
      </c>
      <c r="B189" s="4">
        <f t="shared" ref="B189:G189" si="144">B202</f>
        <v>1</v>
      </c>
      <c r="C189" s="4">
        <f t="shared" si="144"/>
        <v>4</v>
      </c>
      <c r="D189" s="4">
        <f t="shared" si="144"/>
        <v>187</v>
      </c>
      <c r="E189" s="4">
        <f t="shared" si="144"/>
        <v>0</v>
      </c>
      <c r="F189" s="4" t="str">
        <f t="shared" si="144"/>
        <v>3</v>
      </c>
      <c r="G189" s="4" t="str">
        <f t="shared" si="144"/>
        <v>Видеокамеры</v>
      </c>
      <c r="H189" s="4"/>
      <c r="I189" s="4"/>
      <c r="J189" s="4"/>
      <c r="K189" s="4"/>
      <c r="L189" s="4"/>
      <c r="M189" s="4"/>
      <c r="N189" s="4"/>
      <c r="O189" s="4">
        <f t="shared" ref="O189:AT189" si="145">O202</f>
        <v>373747.39</v>
      </c>
      <c r="P189" s="4">
        <f t="shared" si="145"/>
        <v>370292.6</v>
      </c>
      <c r="Q189" s="4">
        <f t="shared" si="145"/>
        <v>29.36</v>
      </c>
      <c r="R189" s="4">
        <f t="shared" si="145"/>
        <v>1.61</v>
      </c>
      <c r="S189" s="4">
        <f t="shared" si="145"/>
        <v>3425.43</v>
      </c>
      <c r="T189" s="4">
        <f t="shared" si="145"/>
        <v>0</v>
      </c>
      <c r="U189" s="4">
        <f t="shared" si="145"/>
        <v>215.43239519999997</v>
      </c>
      <c r="V189" s="4">
        <f t="shared" si="145"/>
        <v>0</v>
      </c>
      <c r="W189" s="4">
        <f t="shared" si="145"/>
        <v>0</v>
      </c>
      <c r="X189" s="4">
        <f t="shared" si="145"/>
        <v>3084.33</v>
      </c>
      <c r="Y189" s="4">
        <f t="shared" si="145"/>
        <v>1576.43</v>
      </c>
      <c r="Z189" s="4">
        <f t="shared" si="145"/>
        <v>0</v>
      </c>
      <c r="AA189" s="4">
        <f t="shared" si="145"/>
        <v>0</v>
      </c>
      <c r="AB189" s="4">
        <f t="shared" si="145"/>
        <v>373747.39</v>
      </c>
      <c r="AC189" s="4">
        <f t="shared" si="145"/>
        <v>370292.6</v>
      </c>
      <c r="AD189" s="4">
        <f t="shared" si="145"/>
        <v>29.36</v>
      </c>
      <c r="AE189" s="4">
        <f t="shared" si="145"/>
        <v>1.61</v>
      </c>
      <c r="AF189" s="4">
        <f t="shared" si="145"/>
        <v>3425.43</v>
      </c>
      <c r="AG189" s="4">
        <f t="shared" si="145"/>
        <v>0</v>
      </c>
      <c r="AH189" s="4">
        <f t="shared" si="145"/>
        <v>215.43239519999997</v>
      </c>
      <c r="AI189" s="4">
        <f t="shared" si="145"/>
        <v>0</v>
      </c>
      <c r="AJ189" s="4">
        <f t="shared" si="145"/>
        <v>0</v>
      </c>
      <c r="AK189" s="4">
        <f t="shared" si="145"/>
        <v>3084.33</v>
      </c>
      <c r="AL189" s="4">
        <f t="shared" si="145"/>
        <v>1576.43</v>
      </c>
      <c r="AM189" s="4">
        <f t="shared" si="145"/>
        <v>0</v>
      </c>
      <c r="AN189" s="4">
        <f t="shared" si="145"/>
        <v>0</v>
      </c>
      <c r="AO189" s="4">
        <f t="shared" si="145"/>
        <v>0</v>
      </c>
      <c r="AP189" s="4">
        <f t="shared" si="145"/>
        <v>369871.75</v>
      </c>
      <c r="AQ189" s="4">
        <f t="shared" si="145"/>
        <v>0</v>
      </c>
      <c r="AR189" s="4">
        <f t="shared" si="145"/>
        <v>378408.15</v>
      </c>
      <c r="AS189" s="4">
        <f t="shared" si="145"/>
        <v>0</v>
      </c>
      <c r="AT189" s="4">
        <f t="shared" si="145"/>
        <v>8536.4</v>
      </c>
      <c r="AU189" s="4">
        <f t="shared" ref="AU189:BZ189" si="146">AU202</f>
        <v>0</v>
      </c>
      <c r="AV189" s="4">
        <f t="shared" si="146"/>
        <v>370292.6</v>
      </c>
      <c r="AW189" s="4">
        <f t="shared" si="146"/>
        <v>420.85</v>
      </c>
      <c r="AX189" s="4">
        <f t="shared" si="146"/>
        <v>0</v>
      </c>
      <c r="AY189" s="4">
        <f t="shared" si="146"/>
        <v>420.85</v>
      </c>
      <c r="AZ189" s="4">
        <f t="shared" si="146"/>
        <v>369871.75</v>
      </c>
      <c r="BA189" s="4">
        <f t="shared" si="146"/>
        <v>0</v>
      </c>
      <c r="BB189" s="4">
        <f t="shared" si="146"/>
        <v>0</v>
      </c>
      <c r="BC189" s="4">
        <f t="shared" si="146"/>
        <v>0</v>
      </c>
      <c r="BD189" s="4">
        <f t="shared" si="146"/>
        <v>0</v>
      </c>
      <c r="BE189" s="4">
        <f t="shared" si="146"/>
        <v>0</v>
      </c>
      <c r="BF189" s="4">
        <f t="shared" si="146"/>
        <v>0</v>
      </c>
      <c r="BG189" s="4">
        <f t="shared" si="146"/>
        <v>0</v>
      </c>
      <c r="BH189" s="4">
        <f t="shared" si="146"/>
        <v>0</v>
      </c>
      <c r="BI189" s="4">
        <f t="shared" si="146"/>
        <v>0</v>
      </c>
      <c r="BJ189" s="4">
        <f t="shared" si="146"/>
        <v>0</v>
      </c>
      <c r="BK189" s="4">
        <f t="shared" si="146"/>
        <v>0</v>
      </c>
      <c r="BL189" s="4">
        <f t="shared" si="146"/>
        <v>0</v>
      </c>
      <c r="BM189" s="4">
        <f t="shared" si="146"/>
        <v>0</v>
      </c>
      <c r="BN189" s="4">
        <f t="shared" si="146"/>
        <v>0</v>
      </c>
      <c r="BO189" s="4">
        <f t="shared" si="146"/>
        <v>0</v>
      </c>
      <c r="BP189" s="4">
        <f t="shared" si="146"/>
        <v>0</v>
      </c>
      <c r="BQ189" s="4">
        <f t="shared" si="146"/>
        <v>0</v>
      </c>
      <c r="BR189" s="4">
        <f t="shared" si="146"/>
        <v>0</v>
      </c>
      <c r="BS189" s="4">
        <f t="shared" si="146"/>
        <v>0</v>
      </c>
      <c r="BT189" s="4">
        <f t="shared" si="146"/>
        <v>0</v>
      </c>
      <c r="BU189" s="4">
        <f t="shared" si="146"/>
        <v>0</v>
      </c>
      <c r="BV189" s="4">
        <f t="shared" si="146"/>
        <v>0</v>
      </c>
      <c r="BW189" s="4">
        <f t="shared" si="146"/>
        <v>0</v>
      </c>
      <c r="BX189" s="4">
        <f t="shared" si="146"/>
        <v>0</v>
      </c>
      <c r="BY189" s="4">
        <f t="shared" si="146"/>
        <v>369871.75</v>
      </c>
      <c r="BZ189" s="4">
        <f t="shared" si="146"/>
        <v>0</v>
      </c>
      <c r="CA189" s="4">
        <f t="shared" ref="CA189:DF189" si="147">CA202</f>
        <v>378408.15</v>
      </c>
      <c r="CB189" s="4">
        <f t="shared" si="147"/>
        <v>0</v>
      </c>
      <c r="CC189" s="4">
        <f t="shared" si="147"/>
        <v>8536.4</v>
      </c>
      <c r="CD189" s="4">
        <f t="shared" si="147"/>
        <v>0</v>
      </c>
      <c r="CE189" s="4">
        <f t="shared" si="147"/>
        <v>370292.6</v>
      </c>
      <c r="CF189" s="4">
        <f t="shared" si="147"/>
        <v>420.84999999997672</v>
      </c>
      <c r="CG189" s="4">
        <f t="shared" si="147"/>
        <v>0</v>
      </c>
      <c r="CH189" s="4">
        <f t="shared" si="147"/>
        <v>420.84999999997672</v>
      </c>
      <c r="CI189" s="4">
        <f t="shared" si="147"/>
        <v>369871.75</v>
      </c>
      <c r="CJ189" s="4">
        <f t="shared" si="147"/>
        <v>0</v>
      </c>
      <c r="CK189" s="4">
        <f t="shared" si="147"/>
        <v>0</v>
      </c>
      <c r="CL189" s="4">
        <f t="shared" si="147"/>
        <v>0</v>
      </c>
      <c r="CM189" s="4">
        <f t="shared" si="147"/>
        <v>0</v>
      </c>
      <c r="CN189" s="4">
        <f t="shared" si="147"/>
        <v>0</v>
      </c>
      <c r="CO189" s="4">
        <f t="shared" si="147"/>
        <v>0</v>
      </c>
      <c r="CP189" s="4">
        <f t="shared" si="147"/>
        <v>0</v>
      </c>
      <c r="CQ189" s="4">
        <f t="shared" si="147"/>
        <v>0</v>
      </c>
      <c r="CR189" s="4">
        <f t="shared" si="147"/>
        <v>0</v>
      </c>
      <c r="CS189" s="4">
        <f t="shared" si="147"/>
        <v>0</v>
      </c>
      <c r="CT189" s="4">
        <f t="shared" si="147"/>
        <v>0</v>
      </c>
      <c r="CU189" s="4">
        <f t="shared" si="147"/>
        <v>0</v>
      </c>
      <c r="CV189" s="4">
        <f t="shared" si="147"/>
        <v>0</v>
      </c>
      <c r="CW189" s="4">
        <f t="shared" si="147"/>
        <v>0</v>
      </c>
      <c r="CX189" s="4">
        <f t="shared" si="147"/>
        <v>0</v>
      </c>
      <c r="CY189" s="4">
        <f t="shared" si="147"/>
        <v>0</v>
      </c>
      <c r="CZ189" s="4">
        <f t="shared" si="147"/>
        <v>0</v>
      </c>
      <c r="DA189" s="4">
        <f t="shared" si="147"/>
        <v>0</v>
      </c>
      <c r="DB189" s="4">
        <f t="shared" si="147"/>
        <v>0</v>
      </c>
      <c r="DC189" s="4">
        <f t="shared" si="147"/>
        <v>0</v>
      </c>
      <c r="DD189" s="4">
        <f t="shared" si="147"/>
        <v>0</v>
      </c>
      <c r="DE189" s="4">
        <f t="shared" si="147"/>
        <v>0</v>
      </c>
      <c r="DF189" s="4">
        <f t="shared" si="147"/>
        <v>0</v>
      </c>
      <c r="DG189" s="5">
        <f t="shared" ref="DG189:EL189" si="148">DG202</f>
        <v>2994084.98</v>
      </c>
      <c r="DH189" s="5">
        <f t="shared" si="148"/>
        <v>2800703.52</v>
      </c>
      <c r="DI189" s="5">
        <f t="shared" si="148"/>
        <v>358.48</v>
      </c>
      <c r="DJ189" s="5">
        <f t="shared" si="148"/>
        <v>90.72</v>
      </c>
      <c r="DK189" s="5">
        <f t="shared" si="148"/>
        <v>193022.98</v>
      </c>
      <c r="DL189" s="5">
        <f t="shared" si="148"/>
        <v>0</v>
      </c>
      <c r="DM189" s="5">
        <f t="shared" si="148"/>
        <v>215.43239519999997</v>
      </c>
      <c r="DN189" s="5">
        <f t="shared" si="148"/>
        <v>0</v>
      </c>
      <c r="DO189" s="5">
        <f t="shared" si="148"/>
        <v>0</v>
      </c>
      <c r="DP189" s="5">
        <f t="shared" si="148"/>
        <v>173802.33</v>
      </c>
      <c r="DQ189" s="5">
        <f t="shared" si="148"/>
        <v>88832.31</v>
      </c>
      <c r="DR189" s="5">
        <f t="shared" si="148"/>
        <v>0</v>
      </c>
      <c r="DS189" s="5">
        <f t="shared" si="148"/>
        <v>0</v>
      </c>
      <c r="DT189" s="5">
        <f t="shared" si="148"/>
        <v>2994084.98</v>
      </c>
      <c r="DU189" s="5">
        <f t="shared" si="148"/>
        <v>2800703.52</v>
      </c>
      <c r="DV189" s="5">
        <f t="shared" si="148"/>
        <v>358.48</v>
      </c>
      <c r="DW189" s="5">
        <f t="shared" si="148"/>
        <v>90.72</v>
      </c>
      <c r="DX189" s="5">
        <f t="shared" si="148"/>
        <v>193022.98</v>
      </c>
      <c r="DY189" s="5">
        <f t="shared" si="148"/>
        <v>0</v>
      </c>
      <c r="DZ189" s="5">
        <f t="shared" si="148"/>
        <v>215.43239519999997</v>
      </c>
      <c r="EA189" s="5">
        <f t="shared" si="148"/>
        <v>0</v>
      </c>
      <c r="EB189" s="5">
        <f t="shared" si="148"/>
        <v>0</v>
      </c>
      <c r="EC189" s="5">
        <f t="shared" si="148"/>
        <v>173802.33</v>
      </c>
      <c r="ED189" s="5">
        <f t="shared" si="148"/>
        <v>88832.31</v>
      </c>
      <c r="EE189" s="5">
        <f t="shared" si="148"/>
        <v>0</v>
      </c>
      <c r="EF189" s="5">
        <f t="shared" si="148"/>
        <v>0</v>
      </c>
      <c r="EG189" s="5">
        <f t="shared" si="148"/>
        <v>0</v>
      </c>
      <c r="EH189" s="5">
        <f t="shared" si="148"/>
        <v>2799929.15</v>
      </c>
      <c r="EI189" s="5">
        <f t="shared" si="148"/>
        <v>0</v>
      </c>
      <c r="EJ189" s="5">
        <f t="shared" si="148"/>
        <v>3256719.62</v>
      </c>
      <c r="EK189" s="5">
        <f t="shared" si="148"/>
        <v>0</v>
      </c>
      <c r="EL189" s="5">
        <f t="shared" si="148"/>
        <v>456790.47</v>
      </c>
      <c r="EM189" s="5">
        <f t="shared" ref="EM189:FR189" si="149">EM202</f>
        <v>0</v>
      </c>
      <c r="EN189" s="5">
        <f t="shared" si="149"/>
        <v>2800703.52</v>
      </c>
      <c r="EO189" s="5">
        <f t="shared" si="149"/>
        <v>774.37</v>
      </c>
      <c r="EP189" s="5">
        <f t="shared" si="149"/>
        <v>0</v>
      </c>
      <c r="EQ189" s="5">
        <f t="shared" si="149"/>
        <v>774.37</v>
      </c>
      <c r="ER189" s="5">
        <f t="shared" si="149"/>
        <v>2799929.15</v>
      </c>
      <c r="ES189" s="5">
        <f t="shared" si="149"/>
        <v>0</v>
      </c>
      <c r="ET189" s="5">
        <f t="shared" si="149"/>
        <v>0</v>
      </c>
      <c r="EU189" s="5">
        <f t="shared" si="149"/>
        <v>0</v>
      </c>
      <c r="EV189" s="5">
        <f t="shared" si="149"/>
        <v>0</v>
      </c>
      <c r="EW189" s="5">
        <f t="shared" si="149"/>
        <v>0</v>
      </c>
      <c r="EX189" s="5">
        <f t="shared" si="149"/>
        <v>0</v>
      </c>
      <c r="EY189" s="5">
        <f t="shared" si="149"/>
        <v>0</v>
      </c>
      <c r="EZ189" s="5">
        <f t="shared" si="149"/>
        <v>0</v>
      </c>
      <c r="FA189" s="5">
        <f t="shared" si="149"/>
        <v>0</v>
      </c>
      <c r="FB189" s="5">
        <f t="shared" si="149"/>
        <v>0</v>
      </c>
      <c r="FC189" s="5">
        <f t="shared" si="149"/>
        <v>0</v>
      </c>
      <c r="FD189" s="5">
        <f t="shared" si="149"/>
        <v>0</v>
      </c>
      <c r="FE189" s="5">
        <f t="shared" si="149"/>
        <v>0</v>
      </c>
      <c r="FF189" s="5">
        <f t="shared" si="149"/>
        <v>0</v>
      </c>
      <c r="FG189" s="5">
        <f t="shared" si="149"/>
        <v>0</v>
      </c>
      <c r="FH189" s="5">
        <f t="shared" si="149"/>
        <v>0</v>
      </c>
      <c r="FI189" s="5">
        <f t="shared" si="149"/>
        <v>0</v>
      </c>
      <c r="FJ189" s="5">
        <f t="shared" si="149"/>
        <v>0</v>
      </c>
      <c r="FK189" s="5">
        <f t="shared" si="149"/>
        <v>0</v>
      </c>
      <c r="FL189" s="5">
        <f t="shared" si="149"/>
        <v>0</v>
      </c>
      <c r="FM189" s="5">
        <f t="shared" si="149"/>
        <v>0</v>
      </c>
      <c r="FN189" s="5">
        <f t="shared" si="149"/>
        <v>0</v>
      </c>
      <c r="FO189" s="5">
        <f t="shared" si="149"/>
        <v>0</v>
      </c>
      <c r="FP189" s="5">
        <f t="shared" si="149"/>
        <v>0</v>
      </c>
      <c r="FQ189" s="5">
        <f t="shared" si="149"/>
        <v>2799929.15</v>
      </c>
      <c r="FR189" s="5">
        <f t="shared" si="149"/>
        <v>0</v>
      </c>
      <c r="FS189" s="5">
        <f t="shared" ref="FS189:GX189" si="150">FS202</f>
        <v>3256719.62</v>
      </c>
      <c r="FT189" s="5">
        <f t="shared" si="150"/>
        <v>0</v>
      </c>
      <c r="FU189" s="5">
        <f t="shared" si="150"/>
        <v>456790.47</v>
      </c>
      <c r="FV189" s="5">
        <f t="shared" si="150"/>
        <v>0</v>
      </c>
      <c r="FW189" s="5">
        <f t="shared" si="150"/>
        <v>2800703.52</v>
      </c>
      <c r="FX189" s="5">
        <f t="shared" si="150"/>
        <v>774.37000000011176</v>
      </c>
      <c r="FY189" s="5">
        <f t="shared" si="150"/>
        <v>0</v>
      </c>
      <c r="FZ189" s="5">
        <f t="shared" si="150"/>
        <v>774.37000000011176</v>
      </c>
      <c r="GA189" s="5">
        <f t="shared" si="150"/>
        <v>2799929.15</v>
      </c>
      <c r="GB189" s="5">
        <f t="shared" si="150"/>
        <v>0</v>
      </c>
      <c r="GC189" s="5">
        <f t="shared" si="150"/>
        <v>0</v>
      </c>
      <c r="GD189" s="5">
        <f t="shared" si="150"/>
        <v>0</v>
      </c>
      <c r="GE189" s="5">
        <f t="shared" si="150"/>
        <v>0</v>
      </c>
      <c r="GF189" s="5">
        <f t="shared" si="150"/>
        <v>0</v>
      </c>
      <c r="GG189" s="5">
        <f t="shared" si="150"/>
        <v>0</v>
      </c>
      <c r="GH189" s="5">
        <f t="shared" si="150"/>
        <v>0</v>
      </c>
      <c r="GI189" s="5">
        <f t="shared" si="150"/>
        <v>0</v>
      </c>
      <c r="GJ189" s="5">
        <f t="shared" si="150"/>
        <v>0</v>
      </c>
      <c r="GK189" s="5">
        <f t="shared" si="150"/>
        <v>0</v>
      </c>
      <c r="GL189" s="5">
        <f t="shared" si="150"/>
        <v>0</v>
      </c>
      <c r="GM189" s="5">
        <f t="shared" si="150"/>
        <v>0</v>
      </c>
      <c r="GN189" s="5">
        <f t="shared" si="150"/>
        <v>0</v>
      </c>
      <c r="GO189" s="5">
        <f t="shared" si="150"/>
        <v>0</v>
      </c>
      <c r="GP189" s="5">
        <f t="shared" si="150"/>
        <v>0</v>
      </c>
      <c r="GQ189" s="5">
        <f t="shared" si="150"/>
        <v>0</v>
      </c>
      <c r="GR189" s="5">
        <f t="shared" si="150"/>
        <v>0</v>
      </c>
      <c r="GS189" s="5">
        <f t="shared" si="150"/>
        <v>0</v>
      </c>
      <c r="GT189" s="5">
        <f t="shared" si="150"/>
        <v>0</v>
      </c>
      <c r="GU189" s="5">
        <f t="shared" si="150"/>
        <v>0</v>
      </c>
      <c r="GV189" s="5">
        <f t="shared" si="150"/>
        <v>0</v>
      </c>
      <c r="GW189" s="5">
        <f t="shared" si="150"/>
        <v>0</v>
      </c>
      <c r="GX189" s="5">
        <f t="shared" si="150"/>
        <v>0</v>
      </c>
    </row>
    <row r="191" spans="1:255" ht="409.5" x14ac:dyDescent="0.25">
      <c r="A191" s="2">
        <v>17</v>
      </c>
      <c r="B191" s="2">
        <v>1</v>
      </c>
      <c r="C191" s="2">
        <f>ROW(SmtRes!A263)</f>
        <v>263</v>
      </c>
      <c r="D191" s="2">
        <f>ROW(EtalonRes!A305)</f>
        <v>305</v>
      </c>
      <c r="E191" s="2" t="s">
        <v>186</v>
      </c>
      <c r="F191" s="2" t="s">
        <v>55</v>
      </c>
      <c r="G191" s="2" t="s">
        <v>187</v>
      </c>
      <c r="H191" s="2" t="s">
        <v>57</v>
      </c>
      <c r="I191" s="2">
        <f>ROUND(81/10,9)</f>
        <v>8.1</v>
      </c>
      <c r="J191" s="2">
        <v>0</v>
      </c>
      <c r="K191" s="2">
        <f>ROUND(81/10,9)</f>
        <v>8.1</v>
      </c>
      <c r="L191" s="2"/>
      <c r="M191" s="2"/>
      <c r="N191" s="2"/>
      <c r="O191" s="2">
        <f t="shared" ref="O191:O200" si="151">ROUND(CP191,2)</f>
        <v>2886.3</v>
      </c>
      <c r="P191" s="2">
        <f t="shared" ref="P191:P200" si="152">ROUND((ROUND((AC191*AW191*I191),2)*BC191),2)</f>
        <v>344.33</v>
      </c>
      <c r="Q191" s="2">
        <f>(ROUND((ROUND((((ET191*1.2))*AV191*I191),2)*BB191),2)+ROUND((ROUND(((AE191-((EU191*1.2)))*AV191*I191),2)*BS191),2))</f>
        <v>24.02</v>
      </c>
      <c r="R191" s="2">
        <f>(ROUND((ROUND((((EU191*1.2))*AV191*I191),2)*BS191),2)+ROUND((ROUND(((AE191-((EU191*1.2)))*AV191*I191),2)*BS191),2))</f>
        <v>1.32</v>
      </c>
      <c r="S191" s="2">
        <f t="shared" ref="S191:S200" si="153">ROUND((ROUND((AF191*AV191*I191),2)*BA191),2)</f>
        <v>2517.9499999999998</v>
      </c>
      <c r="T191" s="2">
        <f t="shared" ref="T191:T200" si="154">ROUND(CU191*I191,2)</f>
        <v>0</v>
      </c>
      <c r="U191" s="2">
        <f t="shared" ref="U191:U200" si="155">CV191*I191</f>
        <v>158.14809359999998</v>
      </c>
      <c r="V191" s="2">
        <f t="shared" ref="V191:V200" si="156">CW191*I191</f>
        <v>0</v>
      </c>
      <c r="W191" s="2">
        <f t="shared" ref="W191:W200" si="157">ROUND(CX191*I191,2)</f>
        <v>0</v>
      </c>
      <c r="X191" s="2">
        <f>(ROUND((((S191+ROUND((ROUND((((EU191*1.2))*AV191*I191),2)*BS191),2))*AT191)/100),2)+ROUND(((ROUND((ROUND(((AE191-((EU191*1.2)))*AV191*I191),2)*BS191),2)*AT191)/100),2))</f>
        <v>2267.34</v>
      </c>
      <c r="Y191" s="2">
        <f>(ROUND((((S191+ROUND((ROUND((((EU191*1.2))*AV191*I191),2)*BS191),2))*AU191)/100),2)+ROUND(((ROUND((ROUND(((AE191-((EU191*1.2)))*AV191*I191),2)*BS191),2)*AU191)/100),2))</f>
        <v>1158.8599999999999</v>
      </c>
      <c r="Z191" s="2"/>
      <c r="AA191" s="2">
        <v>55934355</v>
      </c>
      <c r="AB191" s="2">
        <f t="shared" ref="AB191:AB200" si="158">ROUND((AC191+AD191+AF191),6)</f>
        <v>342.24599999999998</v>
      </c>
      <c r="AC191" s="2">
        <f>ROUND(((ES191*1)),6)</f>
        <v>42.51</v>
      </c>
      <c r="AD191" s="2">
        <f>ROUND(((((ET191*1.2))-((EU191*1.2)))+AE191),6)</f>
        <v>2.8319999999999999</v>
      </c>
      <c r="AE191" s="2">
        <f>ROUND(((EU191*1.2)),6)</f>
        <v>0.156</v>
      </c>
      <c r="AF191" s="2">
        <f>ROUND(((EV191*1.2)),6)</f>
        <v>296.904</v>
      </c>
      <c r="AG191" s="2">
        <f t="shared" ref="AG191:AG200" si="159">ROUND((AP191),6)</f>
        <v>0</v>
      </c>
      <c r="AH191" s="2">
        <f>((EW191*1.2))</f>
        <v>18.648</v>
      </c>
      <c r="AI191" s="2">
        <f>((EX191*1.2))</f>
        <v>0</v>
      </c>
      <c r="AJ191" s="2">
        <f t="shared" ref="AJ191:AJ200" si="160">(AS191)</f>
        <v>0</v>
      </c>
      <c r="AK191" s="2">
        <v>292.29000000000002</v>
      </c>
      <c r="AL191" s="2">
        <v>42.51</v>
      </c>
      <c r="AM191" s="2">
        <v>2.36</v>
      </c>
      <c r="AN191" s="2">
        <v>0.13</v>
      </c>
      <c r="AO191" s="2">
        <v>247.42</v>
      </c>
      <c r="AP191" s="2">
        <v>0</v>
      </c>
      <c r="AQ191" s="2">
        <v>15.54</v>
      </c>
      <c r="AR191" s="2">
        <v>0</v>
      </c>
      <c r="AS191" s="2">
        <v>0</v>
      </c>
      <c r="AT191" s="2">
        <v>90</v>
      </c>
      <c r="AU191" s="2">
        <v>46</v>
      </c>
      <c r="AV191" s="2">
        <v>1.0469999999999999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0</v>
      </c>
      <c r="BI191" s="2">
        <v>2</v>
      </c>
      <c r="BJ191" s="2" t="s">
        <v>58</v>
      </c>
      <c r="BK191" s="2"/>
      <c r="BL191" s="2"/>
      <c r="BM191" s="2">
        <v>68</v>
      </c>
      <c r="BN191" s="2">
        <v>0</v>
      </c>
      <c r="BO191" s="2" t="s">
        <v>55</v>
      </c>
      <c r="BP191" s="2">
        <v>1</v>
      </c>
      <c r="BQ191" s="2">
        <v>40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90</v>
      </c>
      <c r="CA191" s="2">
        <v>46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11" t="s">
        <v>419</v>
      </c>
      <c r="CO191" s="2">
        <v>0</v>
      </c>
      <c r="CP191" s="2">
        <f t="shared" ref="CP191:CP200" si="161">(P191+Q191+S191)</f>
        <v>2886.2999999999997</v>
      </c>
      <c r="CQ191" s="2">
        <f t="shared" ref="CQ191:CQ200" si="162">ROUND((ROUND((AC191*AW191*1),2)*BC191),2)</f>
        <v>42.51</v>
      </c>
      <c r="CR191" s="2">
        <f>(ROUND((ROUND((((ET191*1.2))*AV191*1),2)*BB191),2)+ROUND((ROUND(((AE191-((EU191*1.2)))*AV191*1),2)*BS191),2))</f>
        <v>2.97</v>
      </c>
      <c r="CS191" s="2">
        <f>(ROUND((ROUND((((EU191*1.2))*AV191*1),2)*BS191),2)+ROUND((ROUND(((AE191-((EU191*1.2)))*AV191*1),2)*BS191),2))</f>
        <v>0.16</v>
      </c>
      <c r="CT191" s="2">
        <f t="shared" ref="CT191:CT200" si="163">ROUND((ROUND((AF191*AV191*1),2)*BA191),2)</f>
        <v>310.86</v>
      </c>
      <c r="CU191" s="2">
        <f t="shared" ref="CU191:CU200" si="164">AG191</f>
        <v>0</v>
      </c>
      <c r="CV191" s="2">
        <f t="shared" ref="CV191:CV200" si="165">(AH191*AV191)</f>
        <v>19.524455999999997</v>
      </c>
      <c r="CW191" s="2">
        <f t="shared" ref="CW191:CW200" si="166">AI191</f>
        <v>0</v>
      </c>
      <c r="CX191" s="2">
        <f t="shared" ref="CX191:CX200" si="167">AJ191</f>
        <v>0</v>
      </c>
      <c r="CY191" s="2">
        <f>(ROUND((((S191+ROUND((ROUND((((EU191*1.2))*AV191*1),2)*BS191),2))*AT191)/100),2)+ROUND(((ROUND((ROUND(((AE191-((EU191*1.2)))*AV191*1),2)*BS191),2)*AT191)/100),2))</f>
        <v>2266.3000000000002</v>
      </c>
      <c r="CZ191" s="2">
        <f>(ROUND((((S191+ROUND((ROUND((((EU191*1.2))*AV191*1),2)*BS191),2))*AU191)/100),2)+ROUND(((ROUND((ROUND(((AE191-((EU191*1.2)))*AV191*1),2)*BS191),2)*AU191)/100),2))</f>
        <v>1158.33</v>
      </c>
      <c r="DA191" s="2"/>
      <c r="DB191" s="2">
        <v>55</v>
      </c>
      <c r="DC191" s="2" t="s">
        <v>3</v>
      </c>
      <c r="DD191" s="2" t="s">
        <v>120</v>
      </c>
      <c r="DE191" s="2" t="s">
        <v>121</v>
      </c>
      <c r="DF191" s="2" t="s">
        <v>121</v>
      </c>
      <c r="DG191" s="2" t="s">
        <v>121</v>
      </c>
      <c r="DH191" s="2" t="s">
        <v>3</v>
      </c>
      <c r="DI191" s="2" t="s">
        <v>121</v>
      </c>
      <c r="DJ191" s="2" t="s">
        <v>121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1010</v>
      </c>
      <c r="DV191" s="2" t="s">
        <v>57</v>
      </c>
      <c r="DW191" s="2" t="s">
        <v>57</v>
      </c>
      <c r="DX191" s="2">
        <v>10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57042958</v>
      </c>
      <c r="EF191" s="2">
        <v>40</v>
      </c>
      <c r="EG191" s="2" t="s">
        <v>30</v>
      </c>
      <c r="EH191" s="2">
        <v>0</v>
      </c>
      <c r="EI191" s="2" t="s">
        <v>3</v>
      </c>
      <c r="EJ191" s="2">
        <v>2</v>
      </c>
      <c r="EK191" s="2">
        <v>68</v>
      </c>
      <c r="EL191" s="2" t="s">
        <v>31</v>
      </c>
      <c r="EM191" s="2" t="s">
        <v>32</v>
      </c>
      <c r="EN191" s="2"/>
      <c r="EO191" s="2" t="s">
        <v>122</v>
      </c>
      <c r="EP191" s="2"/>
      <c r="EQ191" s="2">
        <v>0</v>
      </c>
      <c r="ER191" s="2">
        <v>292.29000000000002</v>
      </c>
      <c r="ES191" s="2">
        <v>42.51</v>
      </c>
      <c r="ET191" s="2">
        <v>2.36</v>
      </c>
      <c r="EU191" s="2">
        <v>0.13</v>
      </c>
      <c r="EV191" s="2">
        <v>247.42</v>
      </c>
      <c r="EW191" s="2">
        <v>15.54</v>
      </c>
      <c r="EX191" s="2">
        <v>0</v>
      </c>
      <c r="EY191" s="2">
        <v>0</v>
      </c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90</v>
      </c>
      <c r="FY191" s="2">
        <v>46</v>
      </c>
      <c r="FZ191" s="2"/>
      <c r="GA191" s="2" t="s">
        <v>3</v>
      </c>
      <c r="GB191" s="2"/>
      <c r="GC191" s="2"/>
      <c r="GD191" s="2">
        <v>1</v>
      </c>
      <c r="GE191" s="2"/>
      <c r="GF191" s="2">
        <v>-950859191</v>
      </c>
      <c r="GG191" s="2">
        <v>2</v>
      </c>
      <c r="GH191" s="2">
        <v>1</v>
      </c>
      <c r="GI191" s="2">
        <v>2</v>
      </c>
      <c r="GJ191" s="2">
        <v>0</v>
      </c>
      <c r="GK191" s="2">
        <v>0</v>
      </c>
      <c r="GL191" s="2">
        <f t="shared" ref="GL191:GL200" si="168">ROUND(IF(AND(BH191=3,BI191=3,FS191&lt;&gt;0),P191,0),2)</f>
        <v>0</v>
      </c>
      <c r="GM191" s="2">
        <f t="shared" ref="GM191:GM200" si="169">ROUND(O191+X191+Y191,2)+GX191</f>
        <v>6312.5</v>
      </c>
      <c r="GN191" s="2">
        <f t="shared" ref="GN191:GN200" si="170">IF(OR(BI191=0,BI191=1),GM191-GX191,0)</f>
        <v>0</v>
      </c>
      <c r="GO191" s="2">
        <f t="shared" ref="GO191:GO200" si="171">IF(BI191=2,GM191-GX191,0)</f>
        <v>6312.5</v>
      </c>
      <c r="GP191" s="2">
        <f t="shared" ref="GP191:GP200" si="172">IF(BI191=4,GM191-GX191,0)</f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ref="GV191:GV200" si="173">ROUND((GT191),6)</f>
        <v>0</v>
      </c>
      <c r="GW191" s="2">
        <v>1</v>
      </c>
      <c r="GX191" s="2">
        <f t="shared" ref="GX191:GX200" si="174">ROUND(HC191*I191,2)</f>
        <v>0</v>
      </c>
      <c r="GY191" s="2"/>
      <c r="GZ191" s="2"/>
      <c r="HA191" s="2">
        <v>0</v>
      </c>
      <c r="HB191" s="2">
        <v>0</v>
      </c>
      <c r="HC191" s="2">
        <f t="shared" ref="HC191:HC200" si="175">GV191*GW191</f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ht="409.5" x14ac:dyDescent="0.25">
      <c r="A192" s="3">
        <v>17</v>
      </c>
      <c r="B192" s="3">
        <v>1</v>
      </c>
      <c r="C192" s="3">
        <f>ROW(SmtRes!A270)</f>
        <v>270</v>
      </c>
      <c r="D192" s="3">
        <f>ROW(EtalonRes!A312)</f>
        <v>312</v>
      </c>
      <c r="E192" s="3" t="s">
        <v>186</v>
      </c>
      <c r="F192" s="3" t="s">
        <v>55</v>
      </c>
      <c r="G192" s="3" t="s">
        <v>187</v>
      </c>
      <c r="H192" s="3" t="s">
        <v>57</v>
      </c>
      <c r="I192" s="3">
        <f>ROUND(81/10,9)</f>
        <v>8.1</v>
      </c>
      <c r="J192" s="3">
        <v>0</v>
      </c>
      <c r="K192" s="3">
        <f>ROUND(81/10,9)</f>
        <v>8.1</v>
      </c>
      <c r="L192" s="3"/>
      <c r="M192" s="3"/>
      <c r="N192" s="3"/>
      <c r="O192" s="3">
        <f t="shared" si="151"/>
        <v>142813.32999999999</v>
      </c>
      <c r="P192" s="3">
        <f t="shared" si="152"/>
        <v>633.57000000000005</v>
      </c>
      <c r="Q192" s="3">
        <f>(ROUND((ROUND((((ET192*1.2))*AV192*I192),2)*BB192),2)+ROUND((ROUND(((AE192-((EU192*1.2)))*AV192*I192),2)*BS192),2))</f>
        <v>293.27999999999997</v>
      </c>
      <c r="R192" s="3">
        <f>(ROUND((ROUND((((EU192*1.2))*AV192*I192),2)*BS192),2)+ROUND((ROUND(((AE192-((EU192*1.2)))*AV192*I192),2)*BS192),2))</f>
        <v>74.38</v>
      </c>
      <c r="S192" s="3">
        <f t="shared" si="153"/>
        <v>141886.48000000001</v>
      </c>
      <c r="T192" s="3">
        <f t="shared" si="154"/>
        <v>0</v>
      </c>
      <c r="U192" s="3">
        <f t="shared" si="155"/>
        <v>158.14809359999998</v>
      </c>
      <c r="V192" s="3">
        <f t="shared" si="156"/>
        <v>0</v>
      </c>
      <c r="W192" s="3">
        <f t="shared" si="157"/>
        <v>0</v>
      </c>
      <c r="X192" s="3">
        <f>(ROUND((((S192+ROUND((ROUND((((EU192*1.2))*AV192*I192),2)*BS192),2))*AT192)/100),2)+ROUND(((ROUND((ROUND(((AE192-((EU192*1.2)))*AV192*I192),2)*BS192),2)*AT192)/100),2))</f>
        <v>127764.77</v>
      </c>
      <c r="Y192" s="3">
        <f>(ROUND((((S192+ROUND((ROUND((((EU192*1.2))*AV192*I192),2)*BS192),2))*AU192)/100),2)+ROUND(((ROUND((ROUND(((AE192-((EU192*1.2)))*AV192*I192),2)*BS192),2)*AU192)/100),2))</f>
        <v>65302</v>
      </c>
      <c r="Z192" s="3"/>
      <c r="AA192" s="3">
        <v>55934357</v>
      </c>
      <c r="AB192" s="3">
        <f t="shared" si="158"/>
        <v>342.24599999999998</v>
      </c>
      <c r="AC192" s="3">
        <f>ROUND(((ES192*1)),6)</f>
        <v>42.51</v>
      </c>
      <c r="AD192" s="3">
        <f>ROUND(((((ET192*1.2))-((EU192*1.2)))+AE192),6)</f>
        <v>2.8319999999999999</v>
      </c>
      <c r="AE192" s="3">
        <f>ROUND(((EU192*1.2)),6)</f>
        <v>0.156</v>
      </c>
      <c r="AF192" s="3">
        <f>ROUND(((EV192*1.2)),6)</f>
        <v>296.904</v>
      </c>
      <c r="AG192" s="3">
        <f t="shared" si="159"/>
        <v>0</v>
      </c>
      <c r="AH192" s="3">
        <f>((EW192*1.2))</f>
        <v>18.648</v>
      </c>
      <c r="AI192" s="3">
        <f>((EX192*1.2))</f>
        <v>0</v>
      </c>
      <c r="AJ192" s="3">
        <f t="shared" si="160"/>
        <v>0</v>
      </c>
      <c r="AK192" s="3">
        <v>292.29000000000002</v>
      </c>
      <c r="AL192" s="3">
        <v>42.51</v>
      </c>
      <c r="AM192" s="3">
        <v>2.36</v>
      </c>
      <c r="AN192" s="3">
        <v>0.13</v>
      </c>
      <c r="AO192" s="3">
        <v>247.42</v>
      </c>
      <c r="AP192" s="3">
        <v>0</v>
      </c>
      <c r="AQ192" s="3">
        <v>15.54</v>
      </c>
      <c r="AR192" s="3">
        <v>0</v>
      </c>
      <c r="AS192" s="3">
        <v>0</v>
      </c>
      <c r="AT192" s="3">
        <v>90</v>
      </c>
      <c r="AU192" s="3">
        <v>46</v>
      </c>
      <c r="AV192" s="3">
        <v>1.0469999999999999</v>
      </c>
      <c r="AW192" s="3">
        <v>1</v>
      </c>
      <c r="AX192" s="3"/>
      <c r="AY192" s="3"/>
      <c r="AZ192" s="3">
        <v>1</v>
      </c>
      <c r="BA192" s="3">
        <v>56.35</v>
      </c>
      <c r="BB192" s="3">
        <v>12.21</v>
      </c>
      <c r="BC192" s="3">
        <v>1.84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0</v>
      </c>
      <c r="BI192" s="3">
        <v>2</v>
      </c>
      <c r="BJ192" s="3" t="s">
        <v>58</v>
      </c>
      <c r="BK192" s="3"/>
      <c r="BL192" s="3"/>
      <c r="BM192" s="3">
        <v>68</v>
      </c>
      <c r="BN192" s="3">
        <v>0</v>
      </c>
      <c r="BO192" s="3" t="s">
        <v>55</v>
      </c>
      <c r="BP192" s="3">
        <v>1</v>
      </c>
      <c r="BQ192" s="3">
        <v>40</v>
      </c>
      <c r="BR192" s="3">
        <v>0</v>
      </c>
      <c r="BS192" s="3">
        <v>56.35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90</v>
      </c>
      <c r="CA192" s="3">
        <v>46</v>
      </c>
      <c r="CB192" s="3" t="s">
        <v>3</v>
      </c>
      <c r="CC192" s="3"/>
      <c r="CD192" s="3"/>
      <c r="CE192" s="3">
        <v>1566</v>
      </c>
      <c r="CF192" s="3">
        <v>0</v>
      </c>
      <c r="CG192" s="3">
        <v>0</v>
      </c>
      <c r="CH192" s="3"/>
      <c r="CI192" s="3"/>
      <c r="CJ192" s="3"/>
      <c r="CK192" s="3"/>
      <c r="CL192" s="3"/>
      <c r="CM192" s="3">
        <v>0</v>
      </c>
      <c r="CN192" s="12" t="s">
        <v>419</v>
      </c>
      <c r="CO192" s="3">
        <v>0</v>
      </c>
      <c r="CP192" s="3">
        <f t="shared" si="161"/>
        <v>142813.33000000002</v>
      </c>
      <c r="CQ192" s="3">
        <f t="shared" si="162"/>
        <v>78.22</v>
      </c>
      <c r="CR192" s="3">
        <f>(ROUND((ROUND((((ET192*1.2))*AV192*1),2)*BB192),2)+ROUND((ROUND(((AE192-((EU192*1.2)))*AV192*1),2)*BS192),2))</f>
        <v>36.26</v>
      </c>
      <c r="CS192" s="3">
        <f>(ROUND((ROUND((((EU192*1.2))*AV192*1),2)*BS192),2)+ROUND((ROUND(((AE192-((EU192*1.2)))*AV192*1),2)*BS192),2))</f>
        <v>9.02</v>
      </c>
      <c r="CT192" s="3">
        <f t="shared" si="163"/>
        <v>17516.96</v>
      </c>
      <c r="CU192" s="3">
        <f t="shared" si="164"/>
        <v>0</v>
      </c>
      <c r="CV192" s="3">
        <f t="shared" si="165"/>
        <v>19.524455999999997</v>
      </c>
      <c r="CW192" s="3">
        <f t="shared" si="166"/>
        <v>0</v>
      </c>
      <c r="CX192" s="3">
        <f t="shared" si="167"/>
        <v>0</v>
      </c>
      <c r="CY192" s="3">
        <f>(ROUND((((S192+ROUND((ROUND((((EU192*1.2))*AV192*1),2)*BS192),2))*AT192)/100),2)+ROUND(((ROUND((ROUND(((AE192-((EU192*1.2)))*AV192*1),2)*BS192),2)*AT192)/100),2))</f>
        <v>127705.95</v>
      </c>
      <c r="CZ192" s="3">
        <f>(ROUND((((S192+ROUND((ROUND((((EU192*1.2))*AV192*1),2)*BS192),2))*AU192)/100),2)+ROUND(((ROUND((ROUND(((AE192-((EU192*1.2)))*AV192*1),2)*BS192),2)*AU192)/100),2))</f>
        <v>65271.93</v>
      </c>
      <c r="DA192" s="3"/>
      <c r="DB192" s="3">
        <v>56</v>
      </c>
      <c r="DC192" s="3" t="s">
        <v>3</v>
      </c>
      <c r="DD192" s="3" t="s">
        <v>120</v>
      </c>
      <c r="DE192" s="3" t="s">
        <v>121</v>
      </c>
      <c r="DF192" s="3" t="s">
        <v>121</v>
      </c>
      <c r="DG192" s="3" t="s">
        <v>121</v>
      </c>
      <c r="DH192" s="3" t="s">
        <v>3</v>
      </c>
      <c r="DI192" s="3" t="s">
        <v>121</v>
      </c>
      <c r="DJ192" s="3" t="s">
        <v>121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R192" s="3"/>
      <c r="DS192" s="3"/>
      <c r="DT192" s="3"/>
      <c r="DU192" s="3">
        <v>1010</v>
      </c>
      <c r="DV192" s="3" t="s">
        <v>57</v>
      </c>
      <c r="DW192" s="3" t="s">
        <v>57</v>
      </c>
      <c r="DX192" s="3">
        <v>10</v>
      </c>
      <c r="DY192" s="3"/>
      <c r="DZ192" s="3" t="s">
        <v>3</v>
      </c>
      <c r="EA192" s="3" t="s">
        <v>3</v>
      </c>
      <c r="EB192" s="3" t="s">
        <v>3</v>
      </c>
      <c r="EC192" s="3" t="s">
        <v>3</v>
      </c>
      <c r="ED192" s="3"/>
      <c r="EE192" s="3">
        <v>57042958</v>
      </c>
      <c r="EF192" s="3">
        <v>40</v>
      </c>
      <c r="EG192" s="3" t="s">
        <v>30</v>
      </c>
      <c r="EH192" s="3">
        <v>0</v>
      </c>
      <c r="EI192" s="3" t="s">
        <v>3</v>
      </c>
      <c r="EJ192" s="3">
        <v>2</v>
      </c>
      <c r="EK192" s="3">
        <v>68</v>
      </c>
      <c r="EL192" s="3" t="s">
        <v>31</v>
      </c>
      <c r="EM192" s="3" t="s">
        <v>32</v>
      </c>
      <c r="EN192" s="3"/>
      <c r="EO192" s="3" t="s">
        <v>122</v>
      </c>
      <c r="EP192" s="3"/>
      <c r="EQ192" s="3">
        <v>0</v>
      </c>
      <c r="ER192" s="3">
        <v>292.29000000000002</v>
      </c>
      <c r="ES192" s="3">
        <v>42.51</v>
      </c>
      <c r="ET192" s="3">
        <v>2.36</v>
      </c>
      <c r="EU192" s="3">
        <v>0.13</v>
      </c>
      <c r="EV192" s="3">
        <v>247.42</v>
      </c>
      <c r="EW192" s="3">
        <v>15.54</v>
      </c>
      <c r="EX192" s="3">
        <v>0</v>
      </c>
      <c r="EY192" s="3">
        <v>0</v>
      </c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>
        <v>0</v>
      </c>
      <c r="FR192" s="3">
        <v>0</v>
      </c>
      <c r="FS192" s="3">
        <v>0</v>
      </c>
      <c r="FT192" s="3"/>
      <c r="FU192" s="3"/>
      <c r="FV192" s="3"/>
      <c r="FW192" s="3"/>
      <c r="FX192" s="3">
        <v>90</v>
      </c>
      <c r="FY192" s="3">
        <v>46</v>
      </c>
      <c r="FZ192" s="3"/>
      <c r="GA192" s="3" t="s">
        <v>3</v>
      </c>
      <c r="GB192" s="3"/>
      <c r="GC192" s="3"/>
      <c r="GD192" s="3">
        <v>1</v>
      </c>
      <c r="GE192" s="3"/>
      <c r="GF192" s="3">
        <v>-950859191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168"/>
        <v>0</v>
      </c>
      <c r="GM192" s="3">
        <f t="shared" si="169"/>
        <v>335880.1</v>
      </c>
      <c r="GN192" s="3">
        <f t="shared" si="170"/>
        <v>0</v>
      </c>
      <c r="GO192" s="3">
        <f t="shared" si="171"/>
        <v>335880.1</v>
      </c>
      <c r="GP192" s="3">
        <f t="shared" si="172"/>
        <v>0</v>
      </c>
      <c r="GQ192" s="3"/>
      <c r="GR192" s="3">
        <v>0</v>
      </c>
      <c r="GS192" s="3">
        <v>3</v>
      </c>
      <c r="GT192" s="3">
        <v>0</v>
      </c>
      <c r="GU192" s="3" t="s">
        <v>3</v>
      </c>
      <c r="GV192" s="3">
        <f t="shared" si="173"/>
        <v>0</v>
      </c>
      <c r="GW192" s="3">
        <v>1</v>
      </c>
      <c r="GX192" s="3">
        <f t="shared" si="174"/>
        <v>0</v>
      </c>
      <c r="GY192" s="3"/>
      <c r="GZ192" s="3"/>
      <c r="HA192" s="3">
        <v>0</v>
      </c>
      <c r="HB192" s="3">
        <v>0</v>
      </c>
      <c r="HC192" s="3">
        <f t="shared" si="175"/>
        <v>0</v>
      </c>
      <c r="HD192" s="3"/>
      <c r="HE192" s="3" t="s">
        <v>3</v>
      </c>
      <c r="HF192" s="3" t="s">
        <v>3</v>
      </c>
      <c r="HG192" s="3"/>
      <c r="HH192" s="3"/>
      <c r="HI192" s="3"/>
      <c r="HJ192" s="3"/>
      <c r="HK192" s="3"/>
      <c r="HL192" s="3"/>
      <c r="HM192" s="3" t="s">
        <v>3</v>
      </c>
      <c r="HN192" s="3" t="s">
        <v>3</v>
      </c>
      <c r="HO192" s="3" t="s">
        <v>3</v>
      </c>
      <c r="HP192" s="3" t="s">
        <v>3</v>
      </c>
      <c r="HQ192" s="3" t="s">
        <v>3</v>
      </c>
      <c r="HR192" s="3"/>
      <c r="HS192" s="3">
        <v>0</v>
      </c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>
        <v>0</v>
      </c>
      <c r="IL192" s="3"/>
      <c r="IM192" s="3"/>
      <c r="IN192" s="3"/>
      <c r="IO192" s="3"/>
      <c r="IP192" s="3"/>
      <c r="IQ192" s="3"/>
      <c r="IR192" s="3"/>
      <c r="IS192" s="3"/>
      <c r="IT192" s="3"/>
      <c r="IU192" s="3"/>
    </row>
    <row r="193" spans="1:255" ht="409.5" x14ac:dyDescent="0.25">
      <c r="A193" s="2">
        <v>18</v>
      </c>
      <c r="B193" s="2">
        <v>1</v>
      </c>
      <c r="C193" s="2">
        <v>263</v>
      </c>
      <c r="D193" s="2"/>
      <c r="E193" s="2" t="s">
        <v>188</v>
      </c>
      <c r="F193" s="2" t="s">
        <v>189</v>
      </c>
      <c r="G193" s="2" t="s">
        <v>190</v>
      </c>
      <c r="H193" s="2" t="s">
        <v>126</v>
      </c>
      <c r="I193" s="2">
        <f>I191*J193</f>
        <v>81</v>
      </c>
      <c r="J193" s="2">
        <v>10</v>
      </c>
      <c r="K193" s="2">
        <v>10</v>
      </c>
      <c r="L193" s="2"/>
      <c r="M193" s="2"/>
      <c r="N193" s="2"/>
      <c r="O193" s="2">
        <f t="shared" si="151"/>
        <v>291633.21000000002</v>
      </c>
      <c r="P193" s="2">
        <f t="shared" si="152"/>
        <v>291633.21000000002</v>
      </c>
      <c r="Q193" s="2">
        <f>(ROUND((ROUND(((ET193)*AV193*I193),2)*BB193),2)+ROUND((ROUND(((AE193-(EU193))*AV193*I193),2)*BS193),2))</f>
        <v>0</v>
      </c>
      <c r="R193" s="2">
        <f>(ROUND((ROUND(((EU193)*AV193*I193),2)*BS193),2)+ROUND((ROUND(((AE193-(EU193))*AV193*I193),2)*BS193),2))</f>
        <v>0</v>
      </c>
      <c r="S193" s="2">
        <f t="shared" si="153"/>
        <v>0</v>
      </c>
      <c r="T193" s="2">
        <f t="shared" si="154"/>
        <v>0</v>
      </c>
      <c r="U193" s="2">
        <f t="shared" si="155"/>
        <v>0</v>
      </c>
      <c r="V193" s="2">
        <f t="shared" si="156"/>
        <v>0</v>
      </c>
      <c r="W193" s="2">
        <f t="shared" si="157"/>
        <v>0</v>
      </c>
      <c r="X193" s="2">
        <f>(ROUND((((S193+ROUND((ROUND(((EU193)*AV193*I193),2)*BS193),2))*AT193)/100),2)+ROUND(((ROUND((ROUND(((AE193-(EU193))*AV193*I193),2)*BS193),2)*AT193)/100),2))</f>
        <v>0</v>
      </c>
      <c r="Y193" s="2">
        <f>(ROUND((((S193+ROUND((ROUND(((EU193)*AV193*I193),2)*BS193),2))*AU193)/100),2)+ROUND(((ROUND((ROUND(((AE193-(EU193))*AV193*I193),2)*BS193),2)*AU193)/100),2))</f>
        <v>0</v>
      </c>
      <c r="Z193" s="2"/>
      <c r="AA193" s="2">
        <v>55934355</v>
      </c>
      <c r="AB193" s="2">
        <f t="shared" si="158"/>
        <v>3600.41</v>
      </c>
      <c r="AC193" s="2">
        <f>ROUND((ES193),6)</f>
        <v>3600.41</v>
      </c>
      <c r="AD193" s="2">
        <f>ROUND((((ET193)-(EU193))+AE193),6)</f>
        <v>0</v>
      </c>
      <c r="AE193" s="2">
        <f>ROUND((EU193),6)</f>
        <v>0</v>
      </c>
      <c r="AF193" s="2">
        <f>ROUND((EV193),6)</f>
        <v>0</v>
      </c>
      <c r="AG193" s="2">
        <f t="shared" si="159"/>
        <v>0</v>
      </c>
      <c r="AH193" s="2">
        <f>(EW193)</f>
        <v>0</v>
      </c>
      <c r="AI193" s="2">
        <f>(EX193)</f>
        <v>0</v>
      </c>
      <c r="AJ193" s="2">
        <f t="shared" si="160"/>
        <v>0</v>
      </c>
      <c r="AK193" s="2">
        <v>3600.41</v>
      </c>
      <c r="AL193" s="2">
        <v>3600.41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1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3</v>
      </c>
      <c r="BI193" s="2">
        <v>3</v>
      </c>
      <c r="BJ193" s="2" t="s">
        <v>189</v>
      </c>
      <c r="BK193" s="2"/>
      <c r="BL193" s="2"/>
      <c r="BM193" s="2">
        <v>400007</v>
      </c>
      <c r="BN193" s="2">
        <v>0</v>
      </c>
      <c r="BO193" s="2" t="s">
        <v>3</v>
      </c>
      <c r="BP193" s="2">
        <v>0</v>
      </c>
      <c r="BQ193" s="2">
        <v>214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90</v>
      </c>
      <c r="CA193" s="2">
        <v>46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11" t="s">
        <v>420</v>
      </c>
      <c r="CO193" s="2">
        <v>0</v>
      </c>
      <c r="CP193" s="2">
        <f t="shared" si="161"/>
        <v>291633.21000000002</v>
      </c>
      <c r="CQ193" s="2">
        <f t="shared" si="162"/>
        <v>3600.41</v>
      </c>
      <c r="CR193" s="2">
        <f>(ROUND((ROUND(((ET193)*AV193*1),2)*BB193),2)+ROUND((ROUND(((AE193-(EU193))*AV193*1),2)*BS193),2))</f>
        <v>0</v>
      </c>
      <c r="CS193" s="2">
        <f>(ROUND((ROUND(((EU193)*AV193*1),2)*BS193),2)+ROUND((ROUND(((AE193-(EU193))*AV193*1),2)*BS193),2))</f>
        <v>0</v>
      </c>
      <c r="CT193" s="2">
        <f t="shared" si="163"/>
        <v>0</v>
      </c>
      <c r="CU193" s="2">
        <f t="shared" si="164"/>
        <v>0</v>
      </c>
      <c r="CV193" s="2">
        <f t="shared" si="165"/>
        <v>0</v>
      </c>
      <c r="CW193" s="2">
        <f t="shared" si="166"/>
        <v>0</v>
      </c>
      <c r="CX193" s="2">
        <f t="shared" si="167"/>
        <v>0</v>
      </c>
      <c r="CY193" s="2">
        <f>(ROUND((((S193+ROUND((ROUND(((EU193)*AV193*1),2)*BS193),2))*AT193)/100),2)+ROUND(((ROUND((ROUND(((AE193-(EU193))*AV193*1),2)*BS193),2)*AT193)/100),2))</f>
        <v>0</v>
      </c>
      <c r="CZ193" s="2">
        <f>(ROUND((((S193+ROUND((ROUND(((EU193)*AV193*1),2)*BS193),2))*AU193)/100),2)+ROUND(((ROUND((ROUND(((AE193-(EU193))*AV193*1),2)*BS193),2)*AU193)/100),2))</f>
        <v>0</v>
      </c>
      <c r="DA193" s="2"/>
      <c r="DB193" s="2"/>
      <c r="DC193" s="2" t="s">
        <v>3</v>
      </c>
      <c r="DD193" s="2" t="s">
        <v>3</v>
      </c>
      <c r="DE193" s="2" t="s">
        <v>3</v>
      </c>
      <c r="DF193" s="2" t="s">
        <v>3</v>
      </c>
      <c r="DG193" s="2" t="s">
        <v>3</v>
      </c>
      <c r="DH193" s="2" t="s">
        <v>3</v>
      </c>
      <c r="DI193" s="2" t="s">
        <v>3</v>
      </c>
      <c r="DJ193" s="2" t="s">
        <v>3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126</v>
      </c>
      <c r="DW193" s="2" t="s">
        <v>126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57042890</v>
      </c>
      <c r="EF193" s="2">
        <v>214</v>
      </c>
      <c r="EG193" s="2" t="s">
        <v>127</v>
      </c>
      <c r="EH193" s="2">
        <v>0</v>
      </c>
      <c r="EI193" s="2" t="s">
        <v>3</v>
      </c>
      <c r="EJ193" s="2">
        <v>3</v>
      </c>
      <c r="EK193" s="2">
        <v>400007</v>
      </c>
      <c r="EL193" s="2" t="s">
        <v>127</v>
      </c>
      <c r="EM193" s="2" t="s">
        <v>128</v>
      </c>
      <c r="EN193" s="2"/>
      <c r="EO193" s="2" t="s">
        <v>122</v>
      </c>
      <c r="EP193" s="2"/>
      <c r="EQ193" s="2">
        <v>16</v>
      </c>
      <c r="ER193" s="2">
        <v>0</v>
      </c>
      <c r="ES193" s="2">
        <v>3600.41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f>P193</f>
        <v>291633.21000000002</v>
      </c>
      <c r="FS193" s="2">
        <v>0</v>
      </c>
      <c r="FT193" s="2"/>
      <c r="FU193" s="2"/>
      <c r="FV193" s="2"/>
      <c r="FW193" s="2"/>
      <c r="FX193" s="2">
        <v>90</v>
      </c>
      <c r="FY193" s="2">
        <v>46</v>
      </c>
      <c r="FZ193" s="2"/>
      <c r="GA193" s="2" t="s">
        <v>191</v>
      </c>
      <c r="GB193" s="2"/>
      <c r="GC193" s="2"/>
      <c r="GD193" s="2">
        <v>1</v>
      </c>
      <c r="GE193" s="2"/>
      <c r="GF193" s="2">
        <v>155418712</v>
      </c>
      <c r="GG193" s="2">
        <v>2</v>
      </c>
      <c r="GH193" s="2">
        <v>4</v>
      </c>
      <c r="GI193" s="2">
        <v>-2</v>
      </c>
      <c r="GJ193" s="2">
        <v>0</v>
      </c>
      <c r="GK193" s="2">
        <v>0</v>
      </c>
      <c r="GL193" s="2">
        <f t="shared" si="168"/>
        <v>0</v>
      </c>
      <c r="GM193" s="2">
        <f t="shared" si="169"/>
        <v>291633.21000000002</v>
      </c>
      <c r="GN193" s="2">
        <f t="shared" si="170"/>
        <v>0</v>
      </c>
      <c r="GO193" s="2">
        <f t="shared" si="171"/>
        <v>0</v>
      </c>
      <c r="GP193" s="2">
        <f t="shared" si="172"/>
        <v>0</v>
      </c>
      <c r="GQ193" s="2"/>
      <c r="GR193" s="2">
        <v>1</v>
      </c>
      <c r="GS193" s="2">
        <v>2</v>
      </c>
      <c r="GT193" s="2">
        <v>0</v>
      </c>
      <c r="GU193" s="2" t="s">
        <v>3</v>
      </c>
      <c r="GV193" s="2">
        <f t="shared" si="173"/>
        <v>0</v>
      </c>
      <c r="GW193" s="2">
        <v>1</v>
      </c>
      <c r="GX193" s="2">
        <f t="shared" si="174"/>
        <v>0</v>
      </c>
      <c r="GY193" s="2"/>
      <c r="GZ193" s="2"/>
      <c r="HA193" s="2">
        <v>0</v>
      </c>
      <c r="HB193" s="2">
        <v>0</v>
      </c>
      <c r="HC193" s="2">
        <f t="shared" si="175"/>
        <v>0</v>
      </c>
      <c r="HD193" s="2"/>
      <c r="HE193" s="2" t="s">
        <v>41</v>
      </c>
      <c r="HF193" s="2" t="s">
        <v>130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ht="409.5" x14ac:dyDescent="0.25">
      <c r="A194" s="3">
        <v>18</v>
      </c>
      <c r="B194" s="3">
        <v>1</v>
      </c>
      <c r="C194" s="3">
        <v>270</v>
      </c>
      <c r="D194" s="3"/>
      <c r="E194" s="3" t="s">
        <v>188</v>
      </c>
      <c r="F194" s="3" t="s">
        <v>189</v>
      </c>
      <c r="G194" s="3" t="s">
        <v>190</v>
      </c>
      <c r="H194" s="3" t="s">
        <v>126</v>
      </c>
      <c r="I194" s="3">
        <f>I192*J194</f>
        <v>81</v>
      </c>
      <c r="J194" s="3">
        <v>10</v>
      </c>
      <c r="K194" s="3">
        <v>10</v>
      </c>
      <c r="L194" s="3"/>
      <c r="M194" s="3"/>
      <c r="N194" s="3"/>
      <c r="O194" s="3">
        <f t="shared" si="151"/>
        <v>2207663.4</v>
      </c>
      <c r="P194" s="3">
        <f t="shared" si="152"/>
        <v>2207663.4</v>
      </c>
      <c r="Q194" s="3">
        <f>(ROUND((ROUND(((ET194)*AV194*I194),2)*BB194),2)+ROUND((ROUND(((AE194-(EU194))*AV194*I194),2)*BS194),2))</f>
        <v>0</v>
      </c>
      <c r="R194" s="3">
        <f>(ROUND((ROUND(((EU194)*AV194*I194),2)*BS194),2)+ROUND((ROUND(((AE194-(EU194))*AV194*I194),2)*BS194),2))</f>
        <v>0</v>
      </c>
      <c r="S194" s="3">
        <f t="shared" si="153"/>
        <v>0</v>
      </c>
      <c r="T194" s="3">
        <f t="shared" si="154"/>
        <v>0</v>
      </c>
      <c r="U194" s="3">
        <f t="shared" si="155"/>
        <v>0</v>
      </c>
      <c r="V194" s="3">
        <f t="shared" si="156"/>
        <v>0</v>
      </c>
      <c r="W194" s="3">
        <f t="shared" si="157"/>
        <v>0</v>
      </c>
      <c r="X194" s="3">
        <f>(ROUND((((S194+ROUND((ROUND(((EU194)*AV194*I194),2)*BS194),2))*AT194)/100),2)+ROUND(((ROUND((ROUND(((AE194-(EU194))*AV194*I194),2)*BS194),2)*AT194)/100),2))</f>
        <v>0</v>
      </c>
      <c r="Y194" s="3">
        <f>(ROUND((((S194+ROUND((ROUND(((EU194)*AV194*I194),2)*BS194),2))*AU194)/100),2)+ROUND(((ROUND((ROUND(((AE194-(EU194))*AV194*I194),2)*BS194),2)*AU194)/100),2))</f>
        <v>0</v>
      </c>
      <c r="Z194" s="3"/>
      <c r="AA194" s="3">
        <v>55934357</v>
      </c>
      <c r="AB194" s="3">
        <f t="shared" si="158"/>
        <v>3600.41</v>
      </c>
      <c r="AC194" s="3">
        <f>ROUND((ES194),6)</f>
        <v>3600.41</v>
      </c>
      <c r="AD194" s="3">
        <f>ROUND((((ET194)-(EU194))+AE194),6)</f>
        <v>0</v>
      </c>
      <c r="AE194" s="3">
        <f>ROUND((EU194),6)</f>
        <v>0</v>
      </c>
      <c r="AF194" s="3">
        <f>ROUND((EV194),6)</f>
        <v>0</v>
      </c>
      <c r="AG194" s="3">
        <f t="shared" si="159"/>
        <v>0</v>
      </c>
      <c r="AH194" s="3">
        <f>(EW194)</f>
        <v>0</v>
      </c>
      <c r="AI194" s="3">
        <f>(EX194)</f>
        <v>0</v>
      </c>
      <c r="AJ194" s="3">
        <f t="shared" si="160"/>
        <v>0</v>
      </c>
      <c r="AK194" s="3">
        <v>3600.41</v>
      </c>
      <c r="AL194" s="3">
        <v>3600.41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1</v>
      </c>
      <c r="AW194" s="3">
        <v>1</v>
      </c>
      <c r="AX194" s="3"/>
      <c r="AY194" s="3"/>
      <c r="AZ194" s="3">
        <v>1</v>
      </c>
      <c r="BA194" s="3">
        <v>1</v>
      </c>
      <c r="BB194" s="3">
        <v>1</v>
      </c>
      <c r="BC194" s="3">
        <v>7.57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3</v>
      </c>
      <c r="BI194" s="3">
        <v>3</v>
      </c>
      <c r="BJ194" s="3" t="s">
        <v>189</v>
      </c>
      <c r="BK194" s="3"/>
      <c r="BL194" s="3"/>
      <c r="BM194" s="3">
        <v>400007</v>
      </c>
      <c r="BN194" s="3">
        <v>0</v>
      </c>
      <c r="BO194" s="3" t="s">
        <v>3</v>
      </c>
      <c r="BP194" s="3">
        <v>0</v>
      </c>
      <c r="BQ194" s="3">
        <v>214</v>
      </c>
      <c r="BR194" s="3">
        <v>0</v>
      </c>
      <c r="BS194" s="3">
        <v>1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90</v>
      </c>
      <c r="CA194" s="3">
        <v>46</v>
      </c>
      <c r="CB194" s="3" t="s">
        <v>3</v>
      </c>
      <c r="CC194" s="3"/>
      <c r="CD194" s="3"/>
      <c r="CE194" s="3">
        <v>1566</v>
      </c>
      <c r="CF194" s="3">
        <v>0</v>
      </c>
      <c r="CG194" s="3">
        <v>0</v>
      </c>
      <c r="CH194" s="3"/>
      <c r="CI194" s="3"/>
      <c r="CJ194" s="3"/>
      <c r="CK194" s="3"/>
      <c r="CL194" s="3"/>
      <c r="CM194" s="3">
        <v>0</v>
      </c>
      <c r="CN194" s="12" t="s">
        <v>420</v>
      </c>
      <c r="CO194" s="3">
        <v>0</v>
      </c>
      <c r="CP194" s="3">
        <f t="shared" si="161"/>
        <v>2207663.4</v>
      </c>
      <c r="CQ194" s="3">
        <f t="shared" si="162"/>
        <v>27255.1</v>
      </c>
      <c r="CR194" s="3">
        <f>(ROUND((ROUND(((ET194)*AV194*1),2)*BB194),2)+ROUND((ROUND(((AE194-(EU194))*AV194*1),2)*BS194),2))</f>
        <v>0</v>
      </c>
      <c r="CS194" s="3">
        <f>(ROUND((ROUND(((EU194)*AV194*1),2)*BS194),2)+ROUND((ROUND(((AE194-(EU194))*AV194*1),2)*BS194),2))</f>
        <v>0</v>
      </c>
      <c r="CT194" s="3">
        <f t="shared" si="163"/>
        <v>0</v>
      </c>
      <c r="CU194" s="3">
        <f t="shared" si="164"/>
        <v>0</v>
      </c>
      <c r="CV194" s="3">
        <f t="shared" si="165"/>
        <v>0</v>
      </c>
      <c r="CW194" s="3">
        <f t="shared" si="166"/>
        <v>0</v>
      </c>
      <c r="CX194" s="3">
        <f t="shared" si="167"/>
        <v>0</v>
      </c>
      <c r="CY194" s="3">
        <f>(ROUND((((S194+ROUND((ROUND(((EU194)*AV194*1),2)*BS194),2))*AT194)/100),2)+ROUND(((ROUND((ROUND(((AE194-(EU194))*AV194*1),2)*BS194),2)*AT194)/100),2))</f>
        <v>0</v>
      </c>
      <c r="CZ194" s="3">
        <f>(ROUND((((S194+ROUND((ROUND(((EU194)*AV194*1),2)*BS194),2))*AU194)/100),2)+ROUND(((ROUND((ROUND(((AE194-(EU194))*AV194*1),2)*BS194),2)*AU194)/100),2))</f>
        <v>0</v>
      </c>
      <c r="DA194" s="3"/>
      <c r="DB194" s="3"/>
      <c r="DC194" s="3" t="s">
        <v>3</v>
      </c>
      <c r="DD194" s="3" t="s">
        <v>3</v>
      </c>
      <c r="DE194" s="3" t="s">
        <v>3</v>
      </c>
      <c r="DF194" s="3" t="s">
        <v>3</v>
      </c>
      <c r="DG194" s="3" t="s">
        <v>3</v>
      </c>
      <c r="DH194" s="3" t="s">
        <v>3</v>
      </c>
      <c r="DI194" s="3" t="s">
        <v>3</v>
      </c>
      <c r="DJ194" s="3" t="s">
        <v>3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R194" s="3"/>
      <c r="DS194" s="3"/>
      <c r="DT194" s="3"/>
      <c r="DU194" s="3">
        <v>1013</v>
      </c>
      <c r="DV194" s="3" t="s">
        <v>126</v>
      </c>
      <c r="DW194" s="3" t="s">
        <v>126</v>
      </c>
      <c r="DX194" s="3">
        <v>1</v>
      </c>
      <c r="DY194" s="3"/>
      <c r="DZ194" s="3" t="s">
        <v>3</v>
      </c>
      <c r="EA194" s="3" t="s">
        <v>3</v>
      </c>
      <c r="EB194" s="3" t="s">
        <v>3</v>
      </c>
      <c r="EC194" s="3" t="s">
        <v>3</v>
      </c>
      <c r="ED194" s="3"/>
      <c r="EE194" s="3">
        <v>57042890</v>
      </c>
      <c r="EF194" s="3">
        <v>214</v>
      </c>
      <c r="EG194" s="3" t="s">
        <v>127</v>
      </c>
      <c r="EH194" s="3">
        <v>0</v>
      </c>
      <c r="EI194" s="3" t="s">
        <v>3</v>
      </c>
      <c r="EJ194" s="3">
        <v>3</v>
      </c>
      <c r="EK194" s="3">
        <v>400007</v>
      </c>
      <c r="EL194" s="3" t="s">
        <v>127</v>
      </c>
      <c r="EM194" s="3" t="s">
        <v>128</v>
      </c>
      <c r="EN194" s="3"/>
      <c r="EO194" s="3" t="s">
        <v>122</v>
      </c>
      <c r="EP194" s="3"/>
      <c r="EQ194" s="3">
        <v>16</v>
      </c>
      <c r="ER194" s="3">
        <v>0</v>
      </c>
      <c r="ES194" s="3">
        <v>3600.41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/>
      <c r="EZ194" s="3">
        <v>5</v>
      </c>
      <c r="FA194" s="3"/>
      <c r="FB194" s="3"/>
      <c r="FC194" s="3">
        <v>1</v>
      </c>
      <c r="FD194" s="3">
        <v>18</v>
      </c>
      <c r="FE194" s="3"/>
      <c r="FF194" s="3">
        <v>31900</v>
      </c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>
        <v>0</v>
      </c>
      <c r="FR194" s="3">
        <f>P194</f>
        <v>2207663.4</v>
      </c>
      <c r="FS194" s="3">
        <v>0</v>
      </c>
      <c r="FT194" s="3"/>
      <c r="FU194" s="3"/>
      <c r="FV194" s="3"/>
      <c r="FW194" s="3"/>
      <c r="FX194" s="3">
        <v>90</v>
      </c>
      <c r="FY194" s="3">
        <v>46</v>
      </c>
      <c r="FZ194" s="3"/>
      <c r="GA194" s="3" t="s">
        <v>191</v>
      </c>
      <c r="GB194" s="3"/>
      <c r="GC194" s="3"/>
      <c r="GD194" s="3">
        <v>1</v>
      </c>
      <c r="GE194" s="3"/>
      <c r="GF194" s="3">
        <v>155418712</v>
      </c>
      <c r="GG194" s="3">
        <v>2</v>
      </c>
      <c r="GH194" s="3">
        <v>3</v>
      </c>
      <c r="GI194" s="3">
        <v>5</v>
      </c>
      <c r="GJ194" s="3">
        <v>0</v>
      </c>
      <c r="GK194" s="3">
        <v>0</v>
      </c>
      <c r="GL194" s="3">
        <f t="shared" si="168"/>
        <v>0</v>
      </c>
      <c r="GM194" s="3">
        <f t="shared" si="169"/>
        <v>2207663.4</v>
      </c>
      <c r="GN194" s="3">
        <f t="shared" si="170"/>
        <v>0</v>
      </c>
      <c r="GO194" s="3">
        <f t="shared" si="171"/>
        <v>0</v>
      </c>
      <c r="GP194" s="3">
        <f t="shared" si="172"/>
        <v>0</v>
      </c>
      <c r="GQ194" s="3"/>
      <c r="GR194" s="3">
        <v>1</v>
      </c>
      <c r="GS194" s="3">
        <v>1</v>
      </c>
      <c r="GT194" s="3">
        <v>0</v>
      </c>
      <c r="GU194" s="3" t="s">
        <v>3</v>
      </c>
      <c r="GV194" s="3">
        <f t="shared" si="173"/>
        <v>0</v>
      </c>
      <c r="GW194" s="3">
        <v>1</v>
      </c>
      <c r="GX194" s="3">
        <f t="shared" si="174"/>
        <v>0</v>
      </c>
      <c r="GY194" s="3"/>
      <c r="GZ194" s="3"/>
      <c r="HA194" s="3">
        <v>0</v>
      </c>
      <c r="HB194" s="3">
        <v>0</v>
      </c>
      <c r="HC194" s="3">
        <f t="shared" si="175"/>
        <v>0</v>
      </c>
      <c r="HD194" s="3"/>
      <c r="HE194" s="3" t="s">
        <v>41</v>
      </c>
      <c r="HF194" s="3" t="s">
        <v>130</v>
      </c>
      <c r="HG194" s="3"/>
      <c r="HH194" s="3"/>
      <c r="HI194" s="3"/>
      <c r="HJ194" s="3"/>
      <c r="HK194" s="3"/>
      <c r="HL194" s="3"/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R194" s="3"/>
      <c r="HS194" s="3">
        <v>0</v>
      </c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>
        <v>0</v>
      </c>
      <c r="IL194" s="3"/>
      <c r="IM194" s="3"/>
      <c r="IN194" s="3"/>
      <c r="IO194" s="3"/>
      <c r="IP194" s="3"/>
      <c r="IQ194" s="3"/>
      <c r="IR194" s="3"/>
      <c r="IS194" s="3"/>
      <c r="IT194" s="3"/>
      <c r="IU194" s="3"/>
    </row>
    <row r="195" spans="1:255" ht="409.5" x14ac:dyDescent="0.25">
      <c r="A195" s="2">
        <v>17</v>
      </c>
      <c r="B195" s="2">
        <v>1</v>
      </c>
      <c r="C195" s="2">
        <f>ROW(SmtRes!A276)</f>
        <v>276</v>
      </c>
      <c r="D195" s="2">
        <f>ROW(EtalonRes!A319)</f>
        <v>319</v>
      </c>
      <c r="E195" s="2" t="s">
        <v>192</v>
      </c>
      <c r="F195" s="2" t="s">
        <v>60</v>
      </c>
      <c r="G195" s="2" t="s">
        <v>193</v>
      </c>
      <c r="H195" s="2" t="s">
        <v>57</v>
      </c>
      <c r="I195" s="2">
        <f>ROUND((14+4)/10,9)</f>
        <v>1.8</v>
      </c>
      <c r="J195" s="2">
        <v>0</v>
      </c>
      <c r="K195" s="2">
        <f>ROUND((14+4)/10,9)</f>
        <v>1.8</v>
      </c>
      <c r="L195" s="2"/>
      <c r="M195" s="2"/>
      <c r="N195" s="2"/>
      <c r="O195" s="2">
        <f t="shared" si="151"/>
        <v>989.34</v>
      </c>
      <c r="P195" s="2">
        <f t="shared" si="152"/>
        <v>76.52</v>
      </c>
      <c r="Q195" s="2">
        <f>(ROUND((ROUND((((ET195*1.2))*AV195*I195),2)*BB195),2)+ROUND((ROUND(((AE195-((EU195*1.2)))*AV195*I195),2)*BS195),2))</f>
        <v>5.34</v>
      </c>
      <c r="R195" s="2">
        <f>(ROUND((ROUND((((EU195*1.2))*AV195*I195),2)*BS195),2)+ROUND((ROUND(((AE195-((EU195*1.2)))*AV195*I195),2)*BS195),2))</f>
        <v>0.28999999999999998</v>
      </c>
      <c r="S195" s="2">
        <f t="shared" si="153"/>
        <v>907.48</v>
      </c>
      <c r="T195" s="2">
        <f t="shared" si="154"/>
        <v>0</v>
      </c>
      <c r="U195" s="2">
        <f t="shared" si="155"/>
        <v>57.284301599999992</v>
      </c>
      <c r="V195" s="2">
        <f t="shared" si="156"/>
        <v>0</v>
      </c>
      <c r="W195" s="2">
        <f t="shared" si="157"/>
        <v>0</v>
      </c>
      <c r="X195" s="2">
        <f>(ROUND((((S195+ROUND((ROUND((((EU195*1.2))*AV195*I195),2)*BS195),2))*AT195)/100),2)+ROUND(((ROUND((ROUND(((AE195-((EU195*1.2)))*AV195*I195),2)*BS195),2)*AT195)/100),2))</f>
        <v>816.99</v>
      </c>
      <c r="Y195" s="2">
        <f>(ROUND((((S195+ROUND((ROUND((((EU195*1.2))*AV195*I195),2)*BS195),2))*AU195)/100),2)+ROUND(((ROUND((ROUND(((AE195-((EU195*1.2)))*AV195*I195),2)*BS195),2)*AU195)/100),2))</f>
        <v>417.57</v>
      </c>
      <c r="Z195" s="2"/>
      <c r="AA195" s="2">
        <v>55934355</v>
      </c>
      <c r="AB195" s="2">
        <f t="shared" si="158"/>
        <v>526.86599999999999</v>
      </c>
      <c r="AC195" s="2">
        <f>ROUND(((ES195*1)),6)</f>
        <v>42.51</v>
      </c>
      <c r="AD195" s="2">
        <f>ROUND(((((ET195*1.2))-((EU195*1.2)))+AE195),6)</f>
        <v>2.8319999999999999</v>
      </c>
      <c r="AE195" s="2">
        <f>ROUND(((EU195*1.2)),6)</f>
        <v>0.156</v>
      </c>
      <c r="AF195" s="2">
        <f>ROUND(((EV195*1.2)),6)</f>
        <v>481.524</v>
      </c>
      <c r="AG195" s="2">
        <f t="shared" si="159"/>
        <v>0</v>
      </c>
      <c r="AH195" s="2">
        <f>((EW195*1.2))</f>
        <v>30.395999999999997</v>
      </c>
      <c r="AI195" s="2">
        <f>((EX195*1.2))</f>
        <v>0</v>
      </c>
      <c r="AJ195" s="2">
        <f t="shared" si="160"/>
        <v>0</v>
      </c>
      <c r="AK195" s="2">
        <v>446.14</v>
      </c>
      <c r="AL195" s="2">
        <v>42.51</v>
      </c>
      <c r="AM195" s="2">
        <v>2.36</v>
      </c>
      <c r="AN195" s="2">
        <v>0.13</v>
      </c>
      <c r="AO195" s="2">
        <v>401.27</v>
      </c>
      <c r="AP195" s="2">
        <v>0</v>
      </c>
      <c r="AQ195" s="2">
        <v>25.33</v>
      </c>
      <c r="AR195" s="2">
        <v>0</v>
      </c>
      <c r="AS195" s="2">
        <v>0</v>
      </c>
      <c r="AT195" s="2">
        <v>90</v>
      </c>
      <c r="AU195" s="2">
        <v>46</v>
      </c>
      <c r="AV195" s="2">
        <v>1.0469999999999999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0</v>
      </c>
      <c r="BI195" s="2">
        <v>2</v>
      </c>
      <c r="BJ195" s="2" t="s">
        <v>62</v>
      </c>
      <c r="BK195" s="2"/>
      <c r="BL195" s="2"/>
      <c r="BM195" s="2">
        <v>68</v>
      </c>
      <c r="BN195" s="2">
        <v>0</v>
      </c>
      <c r="BO195" s="2" t="s">
        <v>60</v>
      </c>
      <c r="BP195" s="2">
        <v>1</v>
      </c>
      <c r="BQ195" s="2">
        <v>40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90</v>
      </c>
      <c r="CA195" s="2">
        <v>46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11" t="s">
        <v>419</v>
      </c>
      <c r="CO195" s="2">
        <v>0</v>
      </c>
      <c r="CP195" s="2">
        <f t="shared" si="161"/>
        <v>989.34</v>
      </c>
      <c r="CQ195" s="2">
        <f t="shared" si="162"/>
        <v>42.51</v>
      </c>
      <c r="CR195" s="2">
        <f>(ROUND((ROUND((((ET195*1.2))*AV195*1),2)*BB195),2)+ROUND((ROUND(((AE195-((EU195*1.2)))*AV195*1),2)*BS195),2))</f>
        <v>2.97</v>
      </c>
      <c r="CS195" s="2">
        <f>(ROUND((ROUND((((EU195*1.2))*AV195*1),2)*BS195),2)+ROUND((ROUND(((AE195-((EU195*1.2)))*AV195*1),2)*BS195),2))</f>
        <v>0.16</v>
      </c>
      <c r="CT195" s="2">
        <f t="shared" si="163"/>
        <v>504.16</v>
      </c>
      <c r="CU195" s="2">
        <f t="shared" si="164"/>
        <v>0</v>
      </c>
      <c r="CV195" s="2">
        <f t="shared" si="165"/>
        <v>31.824611999999995</v>
      </c>
      <c r="CW195" s="2">
        <f t="shared" si="166"/>
        <v>0</v>
      </c>
      <c r="CX195" s="2">
        <f t="shared" si="167"/>
        <v>0</v>
      </c>
      <c r="CY195" s="2">
        <f>(ROUND((((S195+ROUND((ROUND((((EU195*1.2))*AV195*1),2)*BS195),2))*AT195)/100),2)+ROUND(((ROUND((ROUND(((AE195-((EU195*1.2)))*AV195*1),2)*BS195),2)*AT195)/100),2))</f>
        <v>816.88</v>
      </c>
      <c r="CZ195" s="2">
        <f>(ROUND((((S195+ROUND((ROUND((((EU195*1.2))*AV195*1),2)*BS195),2))*AU195)/100),2)+ROUND(((ROUND((ROUND(((AE195-((EU195*1.2)))*AV195*1),2)*BS195),2)*AU195)/100),2))</f>
        <v>417.51</v>
      </c>
      <c r="DA195" s="2"/>
      <c r="DB195" s="2">
        <v>57</v>
      </c>
      <c r="DC195" s="2" t="s">
        <v>3</v>
      </c>
      <c r="DD195" s="2" t="s">
        <v>120</v>
      </c>
      <c r="DE195" s="2" t="s">
        <v>121</v>
      </c>
      <c r="DF195" s="2" t="s">
        <v>121</v>
      </c>
      <c r="DG195" s="2" t="s">
        <v>121</v>
      </c>
      <c r="DH195" s="2" t="s">
        <v>3</v>
      </c>
      <c r="DI195" s="2" t="s">
        <v>121</v>
      </c>
      <c r="DJ195" s="2" t="s">
        <v>121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57</v>
      </c>
      <c r="DW195" s="2" t="s">
        <v>57</v>
      </c>
      <c r="DX195" s="2">
        <v>10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57042958</v>
      </c>
      <c r="EF195" s="2">
        <v>40</v>
      </c>
      <c r="EG195" s="2" t="s">
        <v>30</v>
      </c>
      <c r="EH195" s="2">
        <v>0</v>
      </c>
      <c r="EI195" s="2" t="s">
        <v>3</v>
      </c>
      <c r="EJ195" s="2">
        <v>2</v>
      </c>
      <c r="EK195" s="2">
        <v>68</v>
      </c>
      <c r="EL195" s="2" t="s">
        <v>31</v>
      </c>
      <c r="EM195" s="2" t="s">
        <v>32</v>
      </c>
      <c r="EN195" s="2"/>
      <c r="EO195" s="2" t="s">
        <v>122</v>
      </c>
      <c r="EP195" s="2"/>
      <c r="EQ195" s="2">
        <v>0</v>
      </c>
      <c r="ER195" s="2">
        <v>446.14</v>
      </c>
      <c r="ES195" s="2">
        <v>42.51</v>
      </c>
      <c r="ET195" s="2">
        <v>2.36</v>
      </c>
      <c r="EU195" s="2">
        <v>0.13</v>
      </c>
      <c r="EV195" s="2">
        <v>401.27</v>
      </c>
      <c r="EW195" s="2">
        <v>25.33</v>
      </c>
      <c r="EX195" s="2">
        <v>0</v>
      </c>
      <c r="EY195" s="2">
        <v>0</v>
      </c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90</v>
      </c>
      <c r="FY195" s="2">
        <v>46</v>
      </c>
      <c r="FZ195" s="2"/>
      <c r="GA195" s="2" t="s">
        <v>3</v>
      </c>
      <c r="GB195" s="2"/>
      <c r="GC195" s="2"/>
      <c r="GD195" s="2">
        <v>1</v>
      </c>
      <c r="GE195" s="2"/>
      <c r="GF195" s="2">
        <v>-1907073077</v>
      </c>
      <c r="GG195" s="2">
        <v>2</v>
      </c>
      <c r="GH195" s="2">
        <v>1</v>
      </c>
      <c r="GI195" s="2">
        <v>2</v>
      </c>
      <c r="GJ195" s="2">
        <v>0</v>
      </c>
      <c r="GK195" s="2">
        <v>0</v>
      </c>
      <c r="GL195" s="2">
        <f t="shared" si="168"/>
        <v>0</v>
      </c>
      <c r="GM195" s="2">
        <f t="shared" si="169"/>
        <v>2223.9</v>
      </c>
      <c r="GN195" s="2">
        <f t="shared" si="170"/>
        <v>0</v>
      </c>
      <c r="GO195" s="2">
        <f t="shared" si="171"/>
        <v>2223.9</v>
      </c>
      <c r="GP195" s="2">
        <f t="shared" si="172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173"/>
        <v>0</v>
      </c>
      <c r="GW195" s="2">
        <v>1</v>
      </c>
      <c r="GX195" s="2">
        <f t="shared" si="174"/>
        <v>0</v>
      </c>
      <c r="GY195" s="2"/>
      <c r="GZ195" s="2"/>
      <c r="HA195" s="2">
        <v>0</v>
      </c>
      <c r="HB195" s="2">
        <v>0</v>
      </c>
      <c r="HC195" s="2">
        <f t="shared" si="175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ht="409.5" x14ac:dyDescent="0.25">
      <c r="A196" s="3">
        <v>17</v>
      </c>
      <c r="B196" s="3">
        <v>1</v>
      </c>
      <c r="C196" s="3">
        <f>ROW(SmtRes!A282)</f>
        <v>282</v>
      </c>
      <c r="D196" s="3">
        <f>ROW(EtalonRes!A326)</f>
        <v>326</v>
      </c>
      <c r="E196" s="3" t="s">
        <v>192</v>
      </c>
      <c r="F196" s="3" t="s">
        <v>60</v>
      </c>
      <c r="G196" s="3" t="s">
        <v>193</v>
      </c>
      <c r="H196" s="3" t="s">
        <v>57</v>
      </c>
      <c r="I196" s="3">
        <f>ROUND((14+4)/10,9)</f>
        <v>1.8</v>
      </c>
      <c r="J196" s="3">
        <v>0</v>
      </c>
      <c r="K196" s="3">
        <f>ROUND((14+4)/10,9)</f>
        <v>1.8</v>
      </c>
      <c r="L196" s="3"/>
      <c r="M196" s="3"/>
      <c r="N196" s="3"/>
      <c r="O196" s="3">
        <f t="shared" si="151"/>
        <v>51342.5</v>
      </c>
      <c r="P196" s="3">
        <f t="shared" si="152"/>
        <v>140.80000000000001</v>
      </c>
      <c r="Q196" s="3">
        <f>(ROUND((ROUND((((ET196*1.2))*AV196*I196),2)*BB196),2)+ROUND((ROUND(((AE196-((EU196*1.2)))*AV196*I196),2)*BS196),2))</f>
        <v>65.2</v>
      </c>
      <c r="R196" s="3">
        <f>(ROUND((ROUND((((EU196*1.2))*AV196*I196),2)*BS196),2)+ROUND((ROUND(((AE196-((EU196*1.2)))*AV196*I196),2)*BS196),2))</f>
        <v>16.34</v>
      </c>
      <c r="S196" s="3">
        <f t="shared" si="153"/>
        <v>51136.5</v>
      </c>
      <c r="T196" s="3">
        <f t="shared" si="154"/>
        <v>0</v>
      </c>
      <c r="U196" s="3">
        <f t="shared" si="155"/>
        <v>57.284301599999992</v>
      </c>
      <c r="V196" s="3">
        <f t="shared" si="156"/>
        <v>0</v>
      </c>
      <c r="W196" s="3">
        <f t="shared" si="157"/>
        <v>0</v>
      </c>
      <c r="X196" s="3">
        <f>(ROUND((((S196+ROUND((ROUND((((EU196*1.2))*AV196*I196),2)*BS196),2))*AT196)/100),2)+ROUND(((ROUND((ROUND(((AE196-((EU196*1.2)))*AV196*I196),2)*BS196),2)*AT196)/100),2))</f>
        <v>46037.56</v>
      </c>
      <c r="Y196" s="3">
        <f>(ROUND((((S196+ROUND((ROUND((((EU196*1.2))*AV196*I196),2)*BS196),2))*AU196)/100),2)+ROUND(((ROUND((ROUND(((AE196-((EU196*1.2)))*AV196*I196),2)*BS196),2)*AU196)/100),2))</f>
        <v>23530.31</v>
      </c>
      <c r="Z196" s="3"/>
      <c r="AA196" s="3">
        <v>55934357</v>
      </c>
      <c r="AB196" s="3">
        <f t="shared" si="158"/>
        <v>526.86599999999999</v>
      </c>
      <c r="AC196" s="3">
        <f>ROUND(((ES196*1)),6)</f>
        <v>42.51</v>
      </c>
      <c r="AD196" s="3">
        <f>ROUND(((((ET196*1.2))-((EU196*1.2)))+AE196),6)</f>
        <v>2.8319999999999999</v>
      </c>
      <c r="AE196" s="3">
        <f>ROUND(((EU196*1.2)),6)</f>
        <v>0.156</v>
      </c>
      <c r="AF196" s="3">
        <f>ROUND(((EV196*1.2)),6)</f>
        <v>481.524</v>
      </c>
      <c r="AG196" s="3">
        <f t="shared" si="159"/>
        <v>0</v>
      </c>
      <c r="AH196" s="3">
        <f>((EW196*1.2))</f>
        <v>30.395999999999997</v>
      </c>
      <c r="AI196" s="3">
        <f>((EX196*1.2))</f>
        <v>0</v>
      </c>
      <c r="AJ196" s="3">
        <f t="shared" si="160"/>
        <v>0</v>
      </c>
      <c r="AK196" s="3">
        <v>446.14</v>
      </c>
      <c r="AL196" s="3">
        <v>42.51</v>
      </c>
      <c r="AM196" s="3">
        <v>2.36</v>
      </c>
      <c r="AN196" s="3">
        <v>0.13</v>
      </c>
      <c r="AO196" s="3">
        <v>401.27</v>
      </c>
      <c r="AP196" s="3">
        <v>0</v>
      </c>
      <c r="AQ196" s="3">
        <v>25.33</v>
      </c>
      <c r="AR196" s="3">
        <v>0</v>
      </c>
      <c r="AS196" s="3">
        <v>0</v>
      </c>
      <c r="AT196" s="3">
        <v>90</v>
      </c>
      <c r="AU196" s="3">
        <v>46</v>
      </c>
      <c r="AV196" s="3">
        <v>1.0469999999999999</v>
      </c>
      <c r="AW196" s="3">
        <v>1</v>
      </c>
      <c r="AX196" s="3"/>
      <c r="AY196" s="3"/>
      <c r="AZ196" s="3">
        <v>1</v>
      </c>
      <c r="BA196" s="3">
        <v>56.35</v>
      </c>
      <c r="BB196" s="3">
        <v>12.21</v>
      </c>
      <c r="BC196" s="3">
        <v>1.84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0</v>
      </c>
      <c r="BI196" s="3">
        <v>2</v>
      </c>
      <c r="BJ196" s="3" t="s">
        <v>62</v>
      </c>
      <c r="BK196" s="3"/>
      <c r="BL196" s="3"/>
      <c r="BM196" s="3">
        <v>68</v>
      </c>
      <c r="BN196" s="3">
        <v>0</v>
      </c>
      <c r="BO196" s="3" t="s">
        <v>60</v>
      </c>
      <c r="BP196" s="3">
        <v>1</v>
      </c>
      <c r="BQ196" s="3">
        <v>40</v>
      </c>
      <c r="BR196" s="3">
        <v>0</v>
      </c>
      <c r="BS196" s="3">
        <v>56.35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90</v>
      </c>
      <c r="CA196" s="3">
        <v>46</v>
      </c>
      <c r="CB196" s="3" t="s">
        <v>3</v>
      </c>
      <c r="CC196" s="3"/>
      <c r="CD196" s="3"/>
      <c r="CE196" s="3">
        <v>1566</v>
      </c>
      <c r="CF196" s="3">
        <v>0</v>
      </c>
      <c r="CG196" s="3">
        <v>0</v>
      </c>
      <c r="CH196" s="3"/>
      <c r="CI196" s="3"/>
      <c r="CJ196" s="3"/>
      <c r="CK196" s="3"/>
      <c r="CL196" s="3"/>
      <c r="CM196" s="3">
        <v>0</v>
      </c>
      <c r="CN196" s="12" t="s">
        <v>419</v>
      </c>
      <c r="CO196" s="3">
        <v>0</v>
      </c>
      <c r="CP196" s="3">
        <f t="shared" si="161"/>
        <v>51342.5</v>
      </c>
      <c r="CQ196" s="3">
        <f t="shared" si="162"/>
        <v>78.22</v>
      </c>
      <c r="CR196" s="3">
        <f>(ROUND((ROUND((((ET196*1.2))*AV196*1),2)*BB196),2)+ROUND((ROUND(((AE196-((EU196*1.2)))*AV196*1),2)*BS196),2))</f>
        <v>36.26</v>
      </c>
      <c r="CS196" s="3">
        <f>(ROUND((ROUND((((EU196*1.2))*AV196*1),2)*BS196),2)+ROUND((ROUND(((AE196-((EU196*1.2)))*AV196*1),2)*BS196),2))</f>
        <v>9.02</v>
      </c>
      <c r="CT196" s="3">
        <f t="shared" si="163"/>
        <v>28409.42</v>
      </c>
      <c r="CU196" s="3">
        <f t="shared" si="164"/>
        <v>0</v>
      </c>
      <c r="CV196" s="3">
        <f t="shared" si="165"/>
        <v>31.824611999999995</v>
      </c>
      <c r="CW196" s="3">
        <f t="shared" si="166"/>
        <v>0</v>
      </c>
      <c r="CX196" s="3">
        <f t="shared" si="167"/>
        <v>0</v>
      </c>
      <c r="CY196" s="3">
        <f>(ROUND((((S196+ROUND((ROUND((((EU196*1.2))*AV196*1),2)*BS196),2))*AT196)/100),2)+ROUND(((ROUND((ROUND(((AE196-((EU196*1.2)))*AV196*1),2)*BS196),2)*AT196)/100),2))</f>
        <v>46030.97</v>
      </c>
      <c r="CZ196" s="3">
        <f>(ROUND((((S196+ROUND((ROUND((((EU196*1.2))*AV196*1),2)*BS196),2))*AU196)/100),2)+ROUND(((ROUND((ROUND(((AE196-((EU196*1.2)))*AV196*1),2)*BS196),2)*AU196)/100),2))</f>
        <v>23526.94</v>
      </c>
      <c r="DA196" s="3"/>
      <c r="DB196" s="3">
        <v>58</v>
      </c>
      <c r="DC196" s="3" t="s">
        <v>3</v>
      </c>
      <c r="DD196" s="3" t="s">
        <v>120</v>
      </c>
      <c r="DE196" s="3" t="s">
        <v>121</v>
      </c>
      <c r="DF196" s="3" t="s">
        <v>121</v>
      </c>
      <c r="DG196" s="3" t="s">
        <v>121</v>
      </c>
      <c r="DH196" s="3" t="s">
        <v>3</v>
      </c>
      <c r="DI196" s="3" t="s">
        <v>121</v>
      </c>
      <c r="DJ196" s="3" t="s">
        <v>121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R196" s="3"/>
      <c r="DS196" s="3"/>
      <c r="DT196" s="3"/>
      <c r="DU196" s="3">
        <v>1010</v>
      </c>
      <c r="DV196" s="3" t="s">
        <v>57</v>
      </c>
      <c r="DW196" s="3" t="s">
        <v>57</v>
      </c>
      <c r="DX196" s="3">
        <v>10</v>
      </c>
      <c r="DY196" s="3"/>
      <c r="DZ196" s="3" t="s">
        <v>3</v>
      </c>
      <c r="EA196" s="3" t="s">
        <v>3</v>
      </c>
      <c r="EB196" s="3" t="s">
        <v>3</v>
      </c>
      <c r="EC196" s="3" t="s">
        <v>3</v>
      </c>
      <c r="ED196" s="3"/>
      <c r="EE196" s="3">
        <v>57042958</v>
      </c>
      <c r="EF196" s="3">
        <v>40</v>
      </c>
      <c r="EG196" s="3" t="s">
        <v>30</v>
      </c>
      <c r="EH196" s="3">
        <v>0</v>
      </c>
      <c r="EI196" s="3" t="s">
        <v>3</v>
      </c>
      <c r="EJ196" s="3">
        <v>2</v>
      </c>
      <c r="EK196" s="3">
        <v>68</v>
      </c>
      <c r="EL196" s="3" t="s">
        <v>31</v>
      </c>
      <c r="EM196" s="3" t="s">
        <v>32</v>
      </c>
      <c r="EN196" s="3"/>
      <c r="EO196" s="3" t="s">
        <v>122</v>
      </c>
      <c r="EP196" s="3"/>
      <c r="EQ196" s="3">
        <v>0</v>
      </c>
      <c r="ER196" s="3">
        <v>446.14</v>
      </c>
      <c r="ES196" s="3">
        <v>42.51</v>
      </c>
      <c r="ET196" s="3">
        <v>2.36</v>
      </c>
      <c r="EU196" s="3">
        <v>0.13</v>
      </c>
      <c r="EV196" s="3">
        <v>401.27</v>
      </c>
      <c r="EW196" s="3">
        <v>25.33</v>
      </c>
      <c r="EX196" s="3">
        <v>0</v>
      </c>
      <c r="EY196" s="3">
        <v>0</v>
      </c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>
        <v>0</v>
      </c>
      <c r="FR196" s="3">
        <v>0</v>
      </c>
      <c r="FS196" s="3">
        <v>0</v>
      </c>
      <c r="FT196" s="3"/>
      <c r="FU196" s="3"/>
      <c r="FV196" s="3"/>
      <c r="FW196" s="3"/>
      <c r="FX196" s="3">
        <v>90</v>
      </c>
      <c r="FY196" s="3">
        <v>46</v>
      </c>
      <c r="FZ196" s="3"/>
      <c r="GA196" s="3" t="s">
        <v>3</v>
      </c>
      <c r="GB196" s="3"/>
      <c r="GC196" s="3"/>
      <c r="GD196" s="3">
        <v>1</v>
      </c>
      <c r="GE196" s="3"/>
      <c r="GF196" s="3">
        <v>-1907073077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168"/>
        <v>0</v>
      </c>
      <c r="GM196" s="3">
        <f t="shared" si="169"/>
        <v>120910.37</v>
      </c>
      <c r="GN196" s="3">
        <f t="shared" si="170"/>
        <v>0</v>
      </c>
      <c r="GO196" s="3">
        <f t="shared" si="171"/>
        <v>120910.37</v>
      </c>
      <c r="GP196" s="3">
        <f t="shared" si="172"/>
        <v>0</v>
      </c>
      <c r="GQ196" s="3"/>
      <c r="GR196" s="3">
        <v>0</v>
      </c>
      <c r="GS196" s="3">
        <v>3</v>
      </c>
      <c r="GT196" s="3">
        <v>0</v>
      </c>
      <c r="GU196" s="3" t="s">
        <v>3</v>
      </c>
      <c r="GV196" s="3">
        <f t="shared" si="173"/>
        <v>0</v>
      </c>
      <c r="GW196" s="3">
        <v>1</v>
      </c>
      <c r="GX196" s="3">
        <f t="shared" si="174"/>
        <v>0</v>
      </c>
      <c r="GY196" s="3"/>
      <c r="GZ196" s="3"/>
      <c r="HA196" s="3">
        <v>0</v>
      </c>
      <c r="HB196" s="3">
        <v>0</v>
      </c>
      <c r="HC196" s="3">
        <f t="shared" si="175"/>
        <v>0</v>
      </c>
      <c r="HD196" s="3"/>
      <c r="HE196" s="3" t="s">
        <v>3</v>
      </c>
      <c r="HF196" s="3" t="s">
        <v>3</v>
      </c>
      <c r="HG196" s="3"/>
      <c r="HH196" s="3"/>
      <c r="HI196" s="3"/>
      <c r="HJ196" s="3"/>
      <c r="HK196" s="3"/>
      <c r="HL196" s="3"/>
      <c r="HM196" s="3" t="s">
        <v>3</v>
      </c>
      <c r="HN196" s="3" t="s">
        <v>3</v>
      </c>
      <c r="HO196" s="3" t="s">
        <v>3</v>
      </c>
      <c r="HP196" s="3" t="s">
        <v>3</v>
      </c>
      <c r="HQ196" s="3" t="s">
        <v>3</v>
      </c>
      <c r="HR196" s="3"/>
      <c r="HS196" s="3">
        <v>0</v>
      </c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>
        <v>0</v>
      </c>
      <c r="IL196" s="3"/>
      <c r="IM196" s="3"/>
      <c r="IN196" s="3"/>
      <c r="IO196" s="3"/>
      <c r="IP196" s="3"/>
      <c r="IQ196" s="3"/>
      <c r="IR196" s="3"/>
      <c r="IS196" s="3"/>
      <c r="IT196" s="3"/>
      <c r="IU196" s="3"/>
    </row>
    <row r="197" spans="1:255" x14ac:dyDescent="0.25">
      <c r="A197" s="2">
        <v>17</v>
      </c>
      <c r="B197" s="2">
        <v>1</v>
      </c>
      <c r="C197" s="2"/>
      <c r="D197" s="2"/>
      <c r="E197" s="2" t="s">
        <v>194</v>
      </c>
      <c r="F197" s="2" t="s">
        <v>195</v>
      </c>
      <c r="G197" s="2" t="s">
        <v>196</v>
      </c>
      <c r="H197" s="2" t="s">
        <v>126</v>
      </c>
      <c r="I197" s="2">
        <v>14</v>
      </c>
      <c r="J197" s="2">
        <v>0</v>
      </c>
      <c r="K197" s="2">
        <v>14</v>
      </c>
      <c r="L197" s="2"/>
      <c r="M197" s="2"/>
      <c r="N197" s="2"/>
      <c r="O197" s="2">
        <f t="shared" si="151"/>
        <v>53566.1</v>
      </c>
      <c r="P197" s="2">
        <f t="shared" si="152"/>
        <v>53566.1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153"/>
        <v>0</v>
      </c>
      <c r="T197" s="2">
        <f t="shared" si="154"/>
        <v>0</v>
      </c>
      <c r="U197" s="2">
        <f t="shared" si="155"/>
        <v>0</v>
      </c>
      <c r="V197" s="2">
        <f t="shared" si="156"/>
        <v>0</v>
      </c>
      <c r="W197" s="2">
        <f t="shared" si="157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55934355</v>
      </c>
      <c r="AB197" s="2">
        <f t="shared" si="158"/>
        <v>3826.15</v>
      </c>
      <c r="AC197" s="2">
        <f>ROUND((ES197),6)</f>
        <v>3826.15</v>
      </c>
      <c r="AD197" s="2">
        <f>ROUND((((ET197)-(EU197))+AE197),6)</f>
        <v>0</v>
      </c>
      <c r="AE197" s="2">
        <f t="shared" ref="AE197:AF200" si="176">ROUND((EU197),6)</f>
        <v>0</v>
      </c>
      <c r="AF197" s="2">
        <f t="shared" si="176"/>
        <v>0</v>
      </c>
      <c r="AG197" s="2">
        <f t="shared" si="159"/>
        <v>0</v>
      </c>
      <c r="AH197" s="2">
        <f t="shared" ref="AH197:AI200" si="177">(EW197)</f>
        <v>0</v>
      </c>
      <c r="AI197" s="2">
        <f t="shared" si="177"/>
        <v>0</v>
      </c>
      <c r="AJ197" s="2">
        <f t="shared" si="160"/>
        <v>0</v>
      </c>
      <c r="AK197" s="2">
        <v>3826.1499999999996</v>
      </c>
      <c r="AL197" s="2">
        <v>3826.1499999999996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3</v>
      </c>
      <c r="BJ197" s="2" t="s">
        <v>195</v>
      </c>
      <c r="BK197" s="2"/>
      <c r="BL197" s="2"/>
      <c r="BM197" s="2">
        <v>400007</v>
      </c>
      <c r="BN197" s="2">
        <v>0</v>
      </c>
      <c r="BO197" s="2" t="s">
        <v>3</v>
      </c>
      <c r="BP197" s="2">
        <v>0</v>
      </c>
      <c r="BQ197" s="2">
        <v>214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0</v>
      </c>
      <c r="CA197" s="2">
        <v>0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</v>
      </c>
      <c r="CO197" s="2">
        <v>0</v>
      </c>
      <c r="CP197" s="2">
        <f t="shared" si="161"/>
        <v>53566.1</v>
      </c>
      <c r="CQ197" s="2">
        <f t="shared" si="162"/>
        <v>3826.15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163"/>
        <v>0</v>
      </c>
      <c r="CU197" s="2">
        <f t="shared" si="164"/>
        <v>0</v>
      </c>
      <c r="CV197" s="2">
        <f t="shared" si="165"/>
        <v>0</v>
      </c>
      <c r="CW197" s="2">
        <f t="shared" si="166"/>
        <v>0</v>
      </c>
      <c r="CX197" s="2">
        <f t="shared" si="167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1013</v>
      </c>
      <c r="DV197" s="2" t="s">
        <v>126</v>
      </c>
      <c r="DW197" s="2" t="s">
        <v>126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57042890</v>
      </c>
      <c r="EF197" s="2">
        <v>214</v>
      </c>
      <c r="EG197" s="2" t="s">
        <v>127</v>
      </c>
      <c r="EH197" s="2">
        <v>0</v>
      </c>
      <c r="EI197" s="2" t="s">
        <v>3</v>
      </c>
      <c r="EJ197" s="2">
        <v>3</v>
      </c>
      <c r="EK197" s="2">
        <v>400007</v>
      </c>
      <c r="EL197" s="2" t="s">
        <v>127</v>
      </c>
      <c r="EM197" s="2" t="s">
        <v>128</v>
      </c>
      <c r="EN197" s="2"/>
      <c r="EO197" s="2" t="s">
        <v>3</v>
      </c>
      <c r="EP197" s="2"/>
      <c r="EQ197" s="2">
        <v>16</v>
      </c>
      <c r="ER197" s="2">
        <v>0</v>
      </c>
      <c r="ES197" s="2">
        <v>3826.1499999999996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f>P197</f>
        <v>53566.1</v>
      </c>
      <c r="FS197" s="2">
        <v>0</v>
      </c>
      <c r="FT197" s="2"/>
      <c r="FU197" s="2"/>
      <c r="FV197" s="2"/>
      <c r="FW197" s="2"/>
      <c r="FX197" s="2">
        <v>0</v>
      </c>
      <c r="FY197" s="2">
        <v>0</v>
      </c>
      <c r="FZ197" s="2"/>
      <c r="GA197" s="2" t="s">
        <v>197</v>
      </c>
      <c r="GB197" s="2"/>
      <c r="GC197" s="2"/>
      <c r="GD197" s="2">
        <v>1</v>
      </c>
      <c r="GE197" s="2"/>
      <c r="GF197" s="2">
        <v>787264518</v>
      </c>
      <c r="GG197" s="2">
        <v>2</v>
      </c>
      <c r="GH197" s="2">
        <v>4</v>
      </c>
      <c r="GI197" s="2">
        <v>-2</v>
      </c>
      <c r="GJ197" s="2">
        <v>0</v>
      </c>
      <c r="GK197" s="2">
        <v>0</v>
      </c>
      <c r="GL197" s="2">
        <f t="shared" si="168"/>
        <v>0</v>
      </c>
      <c r="GM197" s="2">
        <f t="shared" si="169"/>
        <v>53566.1</v>
      </c>
      <c r="GN197" s="2">
        <f t="shared" si="170"/>
        <v>0</v>
      </c>
      <c r="GO197" s="2">
        <f t="shared" si="171"/>
        <v>0</v>
      </c>
      <c r="GP197" s="2">
        <f t="shared" si="172"/>
        <v>0</v>
      </c>
      <c r="GQ197" s="2"/>
      <c r="GR197" s="2">
        <v>1</v>
      </c>
      <c r="GS197" s="2">
        <v>2</v>
      </c>
      <c r="GT197" s="2">
        <v>0</v>
      </c>
      <c r="GU197" s="2" t="s">
        <v>3</v>
      </c>
      <c r="GV197" s="2">
        <f t="shared" si="173"/>
        <v>0</v>
      </c>
      <c r="GW197" s="2">
        <v>1</v>
      </c>
      <c r="GX197" s="2">
        <f t="shared" si="174"/>
        <v>0</v>
      </c>
      <c r="GY197" s="2"/>
      <c r="GZ197" s="2"/>
      <c r="HA197" s="2">
        <v>0</v>
      </c>
      <c r="HB197" s="2">
        <v>0</v>
      </c>
      <c r="HC197" s="2">
        <f t="shared" si="175"/>
        <v>0</v>
      </c>
      <c r="HD197" s="2"/>
      <c r="HE197" s="2" t="s">
        <v>41</v>
      </c>
      <c r="HF197" s="2" t="s">
        <v>130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3">
        <v>17</v>
      </c>
      <c r="B198" s="3">
        <v>1</v>
      </c>
      <c r="C198" s="3"/>
      <c r="D198" s="3"/>
      <c r="E198" s="3" t="s">
        <v>194</v>
      </c>
      <c r="F198" s="3" t="s">
        <v>195</v>
      </c>
      <c r="G198" s="3" t="s">
        <v>196</v>
      </c>
      <c r="H198" s="3" t="s">
        <v>126</v>
      </c>
      <c r="I198" s="3">
        <v>14</v>
      </c>
      <c r="J198" s="3">
        <v>0</v>
      </c>
      <c r="K198" s="3">
        <v>14</v>
      </c>
      <c r="L198" s="3"/>
      <c r="M198" s="3"/>
      <c r="N198" s="3"/>
      <c r="O198" s="3">
        <f t="shared" si="151"/>
        <v>405495.38</v>
      </c>
      <c r="P198" s="3">
        <f t="shared" si="152"/>
        <v>405495.38</v>
      </c>
      <c r="Q198" s="3">
        <f>(ROUND((ROUND(((ET198)*AV198*I198),2)*BB198),2)+ROUND((ROUND(((AE198-(EU198))*AV198*I198),2)*BS198),2))</f>
        <v>0</v>
      </c>
      <c r="R198" s="3">
        <f>(ROUND((ROUND(((EU198)*AV198*I198),2)*BS198),2)+ROUND((ROUND(((AE198-(EU198))*AV198*I198),2)*BS198),2))</f>
        <v>0</v>
      </c>
      <c r="S198" s="3">
        <f t="shared" si="153"/>
        <v>0</v>
      </c>
      <c r="T198" s="3">
        <f t="shared" si="154"/>
        <v>0</v>
      </c>
      <c r="U198" s="3">
        <f t="shared" si="155"/>
        <v>0</v>
      </c>
      <c r="V198" s="3">
        <f t="shared" si="156"/>
        <v>0</v>
      </c>
      <c r="W198" s="3">
        <f t="shared" si="157"/>
        <v>0</v>
      </c>
      <c r="X198" s="3">
        <f>(ROUND((((S198+ROUND((ROUND(((EU198)*AV198*I198),2)*BS198),2))*AT198)/100),2)+ROUND(((ROUND((ROUND(((AE198-(EU198))*AV198*I198),2)*BS198),2)*AT198)/100),2))</f>
        <v>0</v>
      </c>
      <c r="Y198" s="3">
        <f>(ROUND((((S198+ROUND((ROUND(((EU198)*AV198*I198),2)*BS198),2))*AU198)/100),2)+ROUND(((ROUND((ROUND(((AE198-(EU198))*AV198*I198),2)*BS198),2)*AU198)/100),2))</f>
        <v>0</v>
      </c>
      <c r="Z198" s="3"/>
      <c r="AA198" s="3">
        <v>55934357</v>
      </c>
      <c r="AB198" s="3">
        <f t="shared" si="158"/>
        <v>3826.15</v>
      </c>
      <c r="AC198" s="3">
        <f>ROUND((ES198),6)</f>
        <v>3826.15</v>
      </c>
      <c r="AD198" s="3">
        <f>ROUND((((ET198)-(EU198))+AE198),6)</f>
        <v>0</v>
      </c>
      <c r="AE198" s="3">
        <f t="shared" si="176"/>
        <v>0</v>
      </c>
      <c r="AF198" s="3">
        <f t="shared" si="176"/>
        <v>0</v>
      </c>
      <c r="AG198" s="3">
        <f t="shared" si="159"/>
        <v>0</v>
      </c>
      <c r="AH198" s="3">
        <f t="shared" si="177"/>
        <v>0</v>
      </c>
      <c r="AI198" s="3">
        <f t="shared" si="177"/>
        <v>0</v>
      </c>
      <c r="AJ198" s="3">
        <f t="shared" si="160"/>
        <v>0</v>
      </c>
      <c r="AK198" s="3">
        <v>3826.1499999999996</v>
      </c>
      <c r="AL198" s="3">
        <v>3826.1499999999996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1</v>
      </c>
      <c r="AW198" s="3">
        <v>1</v>
      </c>
      <c r="AX198" s="3"/>
      <c r="AY198" s="3"/>
      <c r="AZ198" s="3">
        <v>1</v>
      </c>
      <c r="BA198" s="3">
        <v>1</v>
      </c>
      <c r="BB198" s="3">
        <v>1</v>
      </c>
      <c r="BC198" s="3">
        <v>7.57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3</v>
      </c>
      <c r="BI198" s="3">
        <v>3</v>
      </c>
      <c r="BJ198" s="3" t="s">
        <v>195</v>
      </c>
      <c r="BK198" s="3"/>
      <c r="BL198" s="3"/>
      <c r="BM198" s="3">
        <v>400007</v>
      </c>
      <c r="BN198" s="3">
        <v>0</v>
      </c>
      <c r="BO198" s="3" t="s">
        <v>3</v>
      </c>
      <c r="BP198" s="3">
        <v>0</v>
      </c>
      <c r="BQ198" s="3">
        <v>214</v>
      </c>
      <c r="BR198" s="3">
        <v>0</v>
      </c>
      <c r="BS198" s="3">
        <v>1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0</v>
      </c>
      <c r="CA198" s="3">
        <v>0</v>
      </c>
      <c r="CB198" s="3" t="s">
        <v>3</v>
      </c>
      <c r="CC198" s="3"/>
      <c r="CD198" s="3"/>
      <c r="CE198" s="3">
        <v>1566</v>
      </c>
      <c r="CF198" s="3">
        <v>0</v>
      </c>
      <c r="CG198" s="3">
        <v>0</v>
      </c>
      <c r="CH198" s="3"/>
      <c r="CI198" s="3"/>
      <c r="CJ198" s="3"/>
      <c r="CK198" s="3"/>
      <c r="CL198" s="3"/>
      <c r="CM198" s="3">
        <v>0</v>
      </c>
      <c r="CN198" s="3" t="s">
        <v>3</v>
      </c>
      <c r="CO198" s="3">
        <v>0</v>
      </c>
      <c r="CP198" s="3">
        <f t="shared" si="161"/>
        <v>405495.38</v>
      </c>
      <c r="CQ198" s="3">
        <f t="shared" si="162"/>
        <v>28963.96</v>
      </c>
      <c r="CR198" s="3">
        <f>(ROUND((ROUND(((ET198)*AV198*1),2)*BB198),2)+ROUND((ROUND(((AE198-(EU198))*AV198*1),2)*BS198),2))</f>
        <v>0</v>
      </c>
      <c r="CS198" s="3">
        <f>(ROUND((ROUND(((EU198)*AV198*1),2)*BS198),2)+ROUND((ROUND(((AE198-(EU198))*AV198*1),2)*BS198),2))</f>
        <v>0</v>
      </c>
      <c r="CT198" s="3">
        <f t="shared" si="163"/>
        <v>0</v>
      </c>
      <c r="CU198" s="3">
        <f t="shared" si="164"/>
        <v>0</v>
      </c>
      <c r="CV198" s="3">
        <f t="shared" si="165"/>
        <v>0</v>
      </c>
      <c r="CW198" s="3">
        <f t="shared" si="166"/>
        <v>0</v>
      </c>
      <c r="CX198" s="3">
        <f t="shared" si="167"/>
        <v>0</v>
      </c>
      <c r="CY198" s="3">
        <f>(ROUND((((S198+ROUND((ROUND(((EU198)*AV198*1),2)*BS198),2))*AT198)/100),2)+ROUND(((ROUND((ROUND(((AE198-(EU198))*AV198*1),2)*BS198),2)*AT198)/100),2))</f>
        <v>0</v>
      </c>
      <c r="CZ198" s="3">
        <f>(ROUND((((S198+ROUND((ROUND(((EU198)*AV198*1),2)*BS198),2))*AU198)/100),2)+ROUND(((ROUND((ROUND(((AE198-(EU198))*AV198*1),2)*BS198),2)*AU198)/100),2))</f>
        <v>0</v>
      </c>
      <c r="DA198" s="3"/>
      <c r="DB198" s="3"/>
      <c r="DC198" s="3" t="s">
        <v>3</v>
      </c>
      <c r="DD198" s="3" t="s">
        <v>3</v>
      </c>
      <c r="DE198" s="3" t="s">
        <v>3</v>
      </c>
      <c r="DF198" s="3" t="s">
        <v>3</v>
      </c>
      <c r="DG198" s="3" t="s">
        <v>3</v>
      </c>
      <c r="DH198" s="3" t="s">
        <v>3</v>
      </c>
      <c r="DI198" s="3" t="s">
        <v>3</v>
      </c>
      <c r="DJ198" s="3" t="s">
        <v>3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R198" s="3"/>
      <c r="DS198" s="3"/>
      <c r="DT198" s="3"/>
      <c r="DU198" s="3">
        <v>1013</v>
      </c>
      <c r="DV198" s="3" t="s">
        <v>126</v>
      </c>
      <c r="DW198" s="3" t="s">
        <v>126</v>
      </c>
      <c r="DX198" s="3">
        <v>1</v>
      </c>
      <c r="DY198" s="3"/>
      <c r="DZ198" s="3" t="s">
        <v>3</v>
      </c>
      <c r="EA198" s="3" t="s">
        <v>3</v>
      </c>
      <c r="EB198" s="3" t="s">
        <v>3</v>
      </c>
      <c r="EC198" s="3" t="s">
        <v>3</v>
      </c>
      <c r="ED198" s="3"/>
      <c r="EE198" s="3">
        <v>57042890</v>
      </c>
      <c r="EF198" s="3">
        <v>214</v>
      </c>
      <c r="EG198" s="3" t="s">
        <v>127</v>
      </c>
      <c r="EH198" s="3">
        <v>0</v>
      </c>
      <c r="EI198" s="3" t="s">
        <v>3</v>
      </c>
      <c r="EJ198" s="3">
        <v>3</v>
      </c>
      <c r="EK198" s="3">
        <v>400007</v>
      </c>
      <c r="EL198" s="3" t="s">
        <v>127</v>
      </c>
      <c r="EM198" s="3" t="s">
        <v>128</v>
      </c>
      <c r="EN198" s="3"/>
      <c r="EO198" s="3" t="s">
        <v>3</v>
      </c>
      <c r="EP198" s="3"/>
      <c r="EQ198" s="3">
        <v>16</v>
      </c>
      <c r="ER198" s="3">
        <v>0</v>
      </c>
      <c r="ES198" s="3">
        <v>3826.1499999999996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5</v>
      </c>
      <c r="FA198" s="3"/>
      <c r="FB198" s="3"/>
      <c r="FC198" s="3">
        <v>1</v>
      </c>
      <c r="FD198" s="3">
        <v>18</v>
      </c>
      <c r="FE198" s="3"/>
      <c r="FF198" s="3">
        <v>33900</v>
      </c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>
        <v>0</v>
      </c>
      <c r="FR198" s="3">
        <f>P198</f>
        <v>405495.38</v>
      </c>
      <c r="FS198" s="3">
        <v>0</v>
      </c>
      <c r="FT198" s="3"/>
      <c r="FU198" s="3"/>
      <c r="FV198" s="3"/>
      <c r="FW198" s="3"/>
      <c r="FX198" s="3">
        <v>0</v>
      </c>
      <c r="FY198" s="3">
        <v>0</v>
      </c>
      <c r="FZ198" s="3"/>
      <c r="GA198" s="3" t="s">
        <v>197</v>
      </c>
      <c r="GB198" s="3"/>
      <c r="GC198" s="3"/>
      <c r="GD198" s="3">
        <v>1</v>
      </c>
      <c r="GE198" s="3"/>
      <c r="GF198" s="3">
        <v>787264518</v>
      </c>
      <c r="GG198" s="3">
        <v>2</v>
      </c>
      <c r="GH198" s="3">
        <v>3</v>
      </c>
      <c r="GI198" s="3">
        <v>5</v>
      </c>
      <c r="GJ198" s="3">
        <v>0</v>
      </c>
      <c r="GK198" s="3">
        <v>0</v>
      </c>
      <c r="GL198" s="3">
        <f t="shared" si="168"/>
        <v>0</v>
      </c>
      <c r="GM198" s="3">
        <f t="shared" si="169"/>
        <v>405495.38</v>
      </c>
      <c r="GN198" s="3">
        <f t="shared" si="170"/>
        <v>0</v>
      </c>
      <c r="GO198" s="3">
        <f t="shared" si="171"/>
        <v>0</v>
      </c>
      <c r="GP198" s="3">
        <f t="shared" si="172"/>
        <v>0</v>
      </c>
      <c r="GQ198" s="3"/>
      <c r="GR198" s="3">
        <v>1</v>
      </c>
      <c r="GS198" s="3">
        <v>1</v>
      </c>
      <c r="GT198" s="3">
        <v>0</v>
      </c>
      <c r="GU198" s="3" t="s">
        <v>3</v>
      </c>
      <c r="GV198" s="3">
        <f t="shared" si="173"/>
        <v>0</v>
      </c>
      <c r="GW198" s="3">
        <v>1</v>
      </c>
      <c r="GX198" s="3">
        <f t="shared" si="174"/>
        <v>0</v>
      </c>
      <c r="GY198" s="3"/>
      <c r="GZ198" s="3"/>
      <c r="HA198" s="3">
        <v>0</v>
      </c>
      <c r="HB198" s="3">
        <v>0</v>
      </c>
      <c r="HC198" s="3">
        <f t="shared" si="175"/>
        <v>0</v>
      </c>
      <c r="HD198" s="3"/>
      <c r="HE198" s="3" t="s">
        <v>41</v>
      </c>
      <c r="HF198" s="3" t="s">
        <v>130</v>
      </c>
      <c r="HG198" s="3"/>
      <c r="HH198" s="3"/>
      <c r="HI198" s="3"/>
      <c r="HJ198" s="3"/>
      <c r="HK198" s="3"/>
      <c r="HL198" s="3"/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R198" s="3"/>
      <c r="HS198" s="3">
        <v>0</v>
      </c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>
        <v>0</v>
      </c>
      <c r="IL198" s="3"/>
      <c r="IM198" s="3"/>
      <c r="IN198" s="3"/>
      <c r="IO198" s="3"/>
      <c r="IP198" s="3"/>
      <c r="IQ198" s="3"/>
      <c r="IR198" s="3"/>
      <c r="IS198" s="3"/>
      <c r="IT198" s="3"/>
      <c r="IU198" s="3"/>
    </row>
    <row r="199" spans="1:255" x14ac:dyDescent="0.25">
      <c r="A199" s="2">
        <v>17</v>
      </c>
      <c r="B199" s="2">
        <v>1</v>
      </c>
      <c r="C199" s="2"/>
      <c r="D199" s="2"/>
      <c r="E199" s="2" t="s">
        <v>198</v>
      </c>
      <c r="F199" s="2" t="s">
        <v>199</v>
      </c>
      <c r="G199" s="2" t="s">
        <v>200</v>
      </c>
      <c r="H199" s="2" t="s">
        <v>126</v>
      </c>
      <c r="I199" s="2">
        <v>4</v>
      </c>
      <c r="J199" s="2">
        <v>0</v>
      </c>
      <c r="K199" s="2">
        <v>4</v>
      </c>
      <c r="L199" s="2"/>
      <c r="M199" s="2"/>
      <c r="N199" s="2"/>
      <c r="O199" s="2">
        <f t="shared" si="151"/>
        <v>24672.44</v>
      </c>
      <c r="P199" s="2">
        <f t="shared" si="152"/>
        <v>24672.44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153"/>
        <v>0</v>
      </c>
      <c r="T199" s="2">
        <f t="shared" si="154"/>
        <v>0</v>
      </c>
      <c r="U199" s="2">
        <f t="shared" si="155"/>
        <v>0</v>
      </c>
      <c r="V199" s="2">
        <f t="shared" si="156"/>
        <v>0</v>
      </c>
      <c r="W199" s="2">
        <f t="shared" si="157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55934355</v>
      </c>
      <c r="AB199" s="2">
        <f t="shared" si="158"/>
        <v>6168.11</v>
      </c>
      <c r="AC199" s="2">
        <f>ROUND((ES199),6)</f>
        <v>6168.11</v>
      </c>
      <c r="AD199" s="2">
        <f>ROUND((((ET199)-(EU199))+AE199),6)</f>
        <v>0</v>
      </c>
      <c r="AE199" s="2">
        <f t="shared" si="176"/>
        <v>0</v>
      </c>
      <c r="AF199" s="2">
        <f t="shared" si="176"/>
        <v>0</v>
      </c>
      <c r="AG199" s="2">
        <f t="shared" si="159"/>
        <v>0</v>
      </c>
      <c r="AH199" s="2">
        <f t="shared" si="177"/>
        <v>0</v>
      </c>
      <c r="AI199" s="2">
        <f t="shared" si="177"/>
        <v>0</v>
      </c>
      <c r="AJ199" s="2">
        <f t="shared" si="160"/>
        <v>0</v>
      </c>
      <c r="AK199" s="2">
        <v>6168.1100000000006</v>
      </c>
      <c r="AL199" s="2">
        <v>6168.1100000000006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3</v>
      </c>
      <c r="BJ199" s="2" t="s">
        <v>199</v>
      </c>
      <c r="BK199" s="2"/>
      <c r="BL199" s="2"/>
      <c r="BM199" s="2">
        <v>400007</v>
      </c>
      <c r="BN199" s="2">
        <v>0</v>
      </c>
      <c r="BO199" s="2" t="s">
        <v>3</v>
      </c>
      <c r="BP199" s="2">
        <v>0</v>
      </c>
      <c r="BQ199" s="2">
        <v>214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0</v>
      </c>
      <c r="CA199" s="2">
        <v>0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61"/>
        <v>24672.44</v>
      </c>
      <c r="CQ199" s="2">
        <f t="shared" si="162"/>
        <v>6168.11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163"/>
        <v>0</v>
      </c>
      <c r="CU199" s="2">
        <f t="shared" si="164"/>
        <v>0</v>
      </c>
      <c r="CV199" s="2">
        <f t="shared" si="165"/>
        <v>0</v>
      </c>
      <c r="CW199" s="2">
        <f t="shared" si="166"/>
        <v>0</v>
      </c>
      <c r="CX199" s="2">
        <f t="shared" si="167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1013</v>
      </c>
      <c r="DV199" s="2" t="s">
        <v>126</v>
      </c>
      <c r="DW199" s="2" t="s">
        <v>126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57042890</v>
      </c>
      <c r="EF199" s="2">
        <v>214</v>
      </c>
      <c r="EG199" s="2" t="s">
        <v>127</v>
      </c>
      <c r="EH199" s="2">
        <v>0</v>
      </c>
      <c r="EI199" s="2" t="s">
        <v>3</v>
      </c>
      <c r="EJ199" s="2">
        <v>3</v>
      </c>
      <c r="EK199" s="2">
        <v>400007</v>
      </c>
      <c r="EL199" s="2" t="s">
        <v>127</v>
      </c>
      <c r="EM199" s="2" t="s">
        <v>128</v>
      </c>
      <c r="EN199" s="2"/>
      <c r="EO199" s="2" t="s">
        <v>3</v>
      </c>
      <c r="EP199" s="2"/>
      <c r="EQ199" s="2">
        <v>16</v>
      </c>
      <c r="ER199" s="2">
        <v>0</v>
      </c>
      <c r="ES199" s="2">
        <v>6168.1100000000006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f>P199</f>
        <v>24672.44</v>
      </c>
      <c r="FS199" s="2">
        <v>0</v>
      </c>
      <c r="FT199" s="2"/>
      <c r="FU199" s="2"/>
      <c r="FV199" s="2"/>
      <c r="FW199" s="2"/>
      <c r="FX199" s="2">
        <v>0</v>
      </c>
      <c r="FY199" s="2">
        <v>0</v>
      </c>
      <c r="FZ199" s="2"/>
      <c r="GA199" s="2" t="s">
        <v>201</v>
      </c>
      <c r="GB199" s="2"/>
      <c r="GC199" s="2"/>
      <c r="GD199" s="2">
        <v>1</v>
      </c>
      <c r="GE199" s="2"/>
      <c r="GF199" s="2">
        <v>33199698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168"/>
        <v>0</v>
      </c>
      <c r="GM199" s="2">
        <f t="shared" si="169"/>
        <v>24672.44</v>
      </c>
      <c r="GN199" s="2">
        <f t="shared" si="170"/>
        <v>0</v>
      </c>
      <c r="GO199" s="2">
        <f t="shared" si="171"/>
        <v>0</v>
      </c>
      <c r="GP199" s="2">
        <f t="shared" si="172"/>
        <v>0</v>
      </c>
      <c r="GQ199" s="2"/>
      <c r="GR199" s="2">
        <v>1</v>
      </c>
      <c r="GS199" s="2">
        <v>2</v>
      </c>
      <c r="GT199" s="2">
        <v>0</v>
      </c>
      <c r="GU199" s="2" t="s">
        <v>3</v>
      </c>
      <c r="GV199" s="2">
        <f t="shared" si="173"/>
        <v>0</v>
      </c>
      <c r="GW199" s="2">
        <v>1</v>
      </c>
      <c r="GX199" s="2">
        <f t="shared" si="174"/>
        <v>0</v>
      </c>
      <c r="GY199" s="2"/>
      <c r="GZ199" s="2"/>
      <c r="HA199" s="2">
        <v>0</v>
      </c>
      <c r="HB199" s="2">
        <v>0</v>
      </c>
      <c r="HC199" s="2">
        <f t="shared" si="175"/>
        <v>0</v>
      </c>
      <c r="HD199" s="2"/>
      <c r="HE199" s="2" t="s">
        <v>41</v>
      </c>
      <c r="HF199" s="2" t="s">
        <v>130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5">
      <c r="A200" s="3">
        <v>17</v>
      </c>
      <c r="B200" s="3">
        <v>1</v>
      </c>
      <c r="C200" s="3"/>
      <c r="D200" s="3"/>
      <c r="E200" s="3" t="s">
        <v>198</v>
      </c>
      <c r="F200" s="3" t="s">
        <v>199</v>
      </c>
      <c r="G200" s="3" t="s">
        <v>200</v>
      </c>
      <c r="H200" s="3" t="s">
        <v>126</v>
      </c>
      <c r="I200" s="3">
        <v>4</v>
      </c>
      <c r="J200" s="3">
        <v>0</v>
      </c>
      <c r="K200" s="3">
        <v>4</v>
      </c>
      <c r="L200" s="3"/>
      <c r="M200" s="3"/>
      <c r="N200" s="3"/>
      <c r="O200" s="3">
        <f t="shared" si="151"/>
        <v>186770.37</v>
      </c>
      <c r="P200" s="3">
        <f t="shared" si="152"/>
        <v>186770.37</v>
      </c>
      <c r="Q200" s="3">
        <f>(ROUND((ROUND(((ET200)*AV200*I200),2)*BB200),2)+ROUND((ROUND(((AE200-(EU200))*AV200*I200),2)*BS200),2))</f>
        <v>0</v>
      </c>
      <c r="R200" s="3">
        <f>(ROUND((ROUND(((EU200)*AV200*I200),2)*BS200),2)+ROUND((ROUND(((AE200-(EU200))*AV200*I200),2)*BS200),2))</f>
        <v>0</v>
      </c>
      <c r="S200" s="3">
        <f t="shared" si="153"/>
        <v>0</v>
      </c>
      <c r="T200" s="3">
        <f t="shared" si="154"/>
        <v>0</v>
      </c>
      <c r="U200" s="3">
        <f t="shared" si="155"/>
        <v>0</v>
      </c>
      <c r="V200" s="3">
        <f t="shared" si="156"/>
        <v>0</v>
      </c>
      <c r="W200" s="3">
        <f t="shared" si="157"/>
        <v>0</v>
      </c>
      <c r="X200" s="3">
        <f>(ROUND((((S200+ROUND((ROUND(((EU200)*AV200*I200),2)*BS200),2))*AT200)/100),2)+ROUND(((ROUND((ROUND(((AE200-(EU200))*AV200*I200),2)*BS200),2)*AT200)/100),2))</f>
        <v>0</v>
      </c>
      <c r="Y200" s="3">
        <f>(ROUND((((S200+ROUND((ROUND(((EU200)*AV200*I200),2)*BS200),2))*AU200)/100),2)+ROUND(((ROUND((ROUND(((AE200-(EU200))*AV200*I200),2)*BS200),2)*AU200)/100),2))</f>
        <v>0</v>
      </c>
      <c r="Z200" s="3"/>
      <c r="AA200" s="3">
        <v>55934357</v>
      </c>
      <c r="AB200" s="3">
        <f t="shared" si="158"/>
        <v>6168.11</v>
      </c>
      <c r="AC200" s="3">
        <f>ROUND((ES200),6)</f>
        <v>6168.11</v>
      </c>
      <c r="AD200" s="3">
        <f>ROUND((((ET200)-(EU200))+AE200),6)</f>
        <v>0</v>
      </c>
      <c r="AE200" s="3">
        <f t="shared" si="176"/>
        <v>0</v>
      </c>
      <c r="AF200" s="3">
        <f t="shared" si="176"/>
        <v>0</v>
      </c>
      <c r="AG200" s="3">
        <f t="shared" si="159"/>
        <v>0</v>
      </c>
      <c r="AH200" s="3">
        <f t="shared" si="177"/>
        <v>0</v>
      </c>
      <c r="AI200" s="3">
        <f t="shared" si="177"/>
        <v>0</v>
      </c>
      <c r="AJ200" s="3">
        <f t="shared" si="160"/>
        <v>0</v>
      </c>
      <c r="AK200" s="3">
        <v>6168.1100000000006</v>
      </c>
      <c r="AL200" s="3">
        <v>6168.1100000000006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</v>
      </c>
      <c r="AW200" s="3">
        <v>1</v>
      </c>
      <c r="AX200" s="3"/>
      <c r="AY200" s="3"/>
      <c r="AZ200" s="3">
        <v>1</v>
      </c>
      <c r="BA200" s="3">
        <v>1</v>
      </c>
      <c r="BB200" s="3">
        <v>1</v>
      </c>
      <c r="BC200" s="3">
        <v>7.57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3</v>
      </c>
      <c r="BJ200" s="3" t="s">
        <v>199</v>
      </c>
      <c r="BK200" s="3"/>
      <c r="BL200" s="3"/>
      <c r="BM200" s="3">
        <v>400007</v>
      </c>
      <c r="BN200" s="3">
        <v>0</v>
      </c>
      <c r="BO200" s="3" t="s">
        <v>3</v>
      </c>
      <c r="BP200" s="3">
        <v>0</v>
      </c>
      <c r="BQ200" s="3">
        <v>214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0</v>
      </c>
      <c r="CA200" s="3">
        <v>0</v>
      </c>
      <c r="CB200" s="3" t="s">
        <v>3</v>
      </c>
      <c r="CC200" s="3"/>
      <c r="CD200" s="3"/>
      <c r="CE200" s="3">
        <v>1566</v>
      </c>
      <c r="CF200" s="3">
        <v>0</v>
      </c>
      <c r="CG200" s="3">
        <v>0</v>
      </c>
      <c r="CH200" s="3"/>
      <c r="CI200" s="3"/>
      <c r="CJ200" s="3"/>
      <c r="CK200" s="3"/>
      <c r="CL200" s="3"/>
      <c r="CM200" s="3">
        <v>0</v>
      </c>
      <c r="CN200" s="3" t="s">
        <v>3</v>
      </c>
      <c r="CO200" s="3">
        <v>0</v>
      </c>
      <c r="CP200" s="3">
        <f t="shared" si="161"/>
        <v>186770.37</v>
      </c>
      <c r="CQ200" s="3">
        <f t="shared" si="162"/>
        <v>46692.59</v>
      </c>
      <c r="CR200" s="3">
        <f>(ROUND((ROUND(((ET200)*AV200*1),2)*BB200),2)+ROUND((ROUND(((AE200-(EU200))*AV200*1),2)*BS200),2))</f>
        <v>0</v>
      </c>
      <c r="CS200" s="3">
        <f>(ROUND((ROUND(((EU200)*AV200*1),2)*BS200),2)+ROUND((ROUND(((AE200-(EU200))*AV200*1),2)*BS200),2))</f>
        <v>0</v>
      </c>
      <c r="CT200" s="3">
        <f t="shared" si="163"/>
        <v>0</v>
      </c>
      <c r="CU200" s="3">
        <f t="shared" si="164"/>
        <v>0</v>
      </c>
      <c r="CV200" s="3">
        <f t="shared" si="165"/>
        <v>0</v>
      </c>
      <c r="CW200" s="3">
        <f t="shared" si="166"/>
        <v>0</v>
      </c>
      <c r="CX200" s="3">
        <f t="shared" si="167"/>
        <v>0</v>
      </c>
      <c r="CY200" s="3">
        <f>(ROUND((((S200+ROUND((ROUND(((EU200)*AV200*1),2)*BS200),2))*AT200)/100),2)+ROUND(((ROUND((ROUND(((AE200-(EU200))*AV200*1),2)*BS200),2)*AT200)/100),2))</f>
        <v>0</v>
      </c>
      <c r="CZ200" s="3">
        <f>(ROUND((((S200+ROUND((ROUND(((EU200)*AV200*1),2)*BS200),2))*AU200)/100),2)+ROUND(((ROUND((ROUND(((AE200-(EU200))*AV200*1),2)*BS200),2)*AU200)/100),2))</f>
        <v>0</v>
      </c>
      <c r="DA200" s="3"/>
      <c r="DB200" s="3"/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R200" s="3"/>
      <c r="DS200" s="3"/>
      <c r="DT200" s="3"/>
      <c r="DU200" s="3">
        <v>1013</v>
      </c>
      <c r="DV200" s="3" t="s">
        <v>126</v>
      </c>
      <c r="DW200" s="3" t="s">
        <v>126</v>
      </c>
      <c r="DX200" s="3">
        <v>1</v>
      </c>
      <c r="DY200" s="3"/>
      <c r="DZ200" s="3" t="s">
        <v>3</v>
      </c>
      <c r="EA200" s="3" t="s">
        <v>3</v>
      </c>
      <c r="EB200" s="3" t="s">
        <v>3</v>
      </c>
      <c r="EC200" s="3" t="s">
        <v>3</v>
      </c>
      <c r="ED200" s="3"/>
      <c r="EE200" s="3">
        <v>57042890</v>
      </c>
      <c r="EF200" s="3">
        <v>214</v>
      </c>
      <c r="EG200" s="3" t="s">
        <v>127</v>
      </c>
      <c r="EH200" s="3">
        <v>0</v>
      </c>
      <c r="EI200" s="3" t="s">
        <v>3</v>
      </c>
      <c r="EJ200" s="3">
        <v>3</v>
      </c>
      <c r="EK200" s="3">
        <v>400007</v>
      </c>
      <c r="EL200" s="3" t="s">
        <v>127</v>
      </c>
      <c r="EM200" s="3" t="s">
        <v>128</v>
      </c>
      <c r="EN200" s="3"/>
      <c r="EO200" s="3" t="s">
        <v>3</v>
      </c>
      <c r="EP200" s="3"/>
      <c r="EQ200" s="3">
        <v>16</v>
      </c>
      <c r="ER200" s="3">
        <v>0</v>
      </c>
      <c r="ES200" s="3">
        <v>6168.1100000000006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5</v>
      </c>
      <c r="FA200" s="3"/>
      <c r="FB200" s="3"/>
      <c r="FC200" s="3">
        <v>1</v>
      </c>
      <c r="FD200" s="3">
        <v>18</v>
      </c>
      <c r="FE200" s="3"/>
      <c r="FF200" s="3">
        <v>54650</v>
      </c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>
        <v>0</v>
      </c>
      <c r="FR200" s="3">
        <f>P200</f>
        <v>186770.37</v>
      </c>
      <c r="FS200" s="3">
        <v>0</v>
      </c>
      <c r="FT200" s="3"/>
      <c r="FU200" s="3"/>
      <c r="FV200" s="3"/>
      <c r="FW200" s="3"/>
      <c r="FX200" s="3">
        <v>0</v>
      </c>
      <c r="FY200" s="3">
        <v>0</v>
      </c>
      <c r="FZ200" s="3"/>
      <c r="GA200" s="3" t="s">
        <v>201</v>
      </c>
      <c r="GB200" s="3"/>
      <c r="GC200" s="3"/>
      <c r="GD200" s="3">
        <v>1</v>
      </c>
      <c r="GE200" s="3"/>
      <c r="GF200" s="3">
        <v>33199698</v>
      </c>
      <c r="GG200" s="3">
        <v>2</v>
      </c>
      <c r="GH200" s="3">
        <v>3</v>
      </c>
      <c r="GI200" s="3">
        <v>5</v>
      </c>
      <c r="GJ200" s="3">
        <v>0</v>
      </c>
      <c r="GK200" s="3">
        <v>0</v>
      </c>
      <c r="GL200" s="3">
        <f t="shared" si="168"/>
        <v>0</v>
      </c>
      <c r="GM200" s="3">
        <f t="shared" si="169"/>
        <v>186770.37</v>
      </c>
      <c r="GN200" s="3">
        <f t="shared" si="170"/>
        <v>0</v>
      </c>
      <c r="GO200" s="3">
        <f t="shared" si="171"/>
        <v>0</v>
      </c>
      <c r="GP200" s="3">
        <f t="shared" si="172"/>
        <v>0</v>
      </c>
      <c r="GQ200" s="3"/>
      <c r="GR200" s="3">
        <v>1</v>
      </c>
      <c r="GS200" s="3">
        <v>1</v>
      </c>
      <c r="GT200" s="3">
        <v>0</v>
      </c>
      <c r="GU200" s="3" t="s">
        <v>3</v>
      </c>
      <c r="GV200" s="3">
        <f t="shared" si="173"/>
        <v>0</v>
      </c>
      <c r="GW200" s="3">
        <v>1</v>
      </c>
      <c r="GX200" s="3">
        <f t="shared" si="174"/>
        <v>0</v>
      </c>
      <c r="GY200" s="3"/>
      <c r="GZ200" s="3"/>
      <c r="HA200" s="3">
        <v>0</v>
      </c>
      <c r="HB200" s="3">
        <v>0</v>
      </c>
      <c r="HC200" s="3">
        <f t="shared" si="175"/>
        <v>0</v>
      </c>
      <c r="HD200" s="3"/>
      <c r="HE200" s="3" t="s">
        <v>41</v>
      </c>
      <c r="HF200" s="3" t="s">
        <v>130</v>
      </c>
      <c r="HG200" s="3"/>
      <c r="HH200" s="3"/>
      <c r="HI200" s="3"/>
      <c r="HJ200" s="3"/>
      <c r="HK200" s="3"/>
      <c r="HL200" s="3"/>
      <c r="HM200" s="3" t="s">
        <v>3</v>
      </c>
      <c r="HN200" s="3" t="s">
        <v>3</v>
      </c>
      <c r="HO200" s="3" t="s">
        <v>3</v>
      </c>
      <c r="HP200" s="3" t="s">
        <v>3</v>
      </c>
      <c r="HQ200" s="3" t="s">
        <v>3</v>
      </c>
      <c r="HR200" s="3"/>
      <c r="HS200" s="3">
        <v>0</v>
      </c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>
        <v>0</v>
      </c>
      <c r="IL200" s="3"/>
      <c r="IM200" s="3"/>
      <c r="IN200" s="3"/>
      <c r="IO200" s="3"/>
      <c r="IP200" s="3"/>
      <c r="IQ200" s="3"/>
      <c r="IR200" s="3"/>
      <c r="IS200" s="3"/>
      <c r="IT200" s="3"/>
      <c r="IU200" s="3"/>
    </row>
    <row r="202" spans="1:255" ht="13" x14ac:dyDescent="0.3">
      <c r="A202" s="4">
        <v>51</v>
      </c>
      <c r="B202" s="4">
        <f>B187</f>
        <v>1</v>
      </c>
      <c r="C202" s="4">
        <f>A187</f>
        <v>4</v>
      </c>
      <c r="D202" s="4">
        <f>ROW(A187)</f>
        <v>187</v>
      </c>
      <c r="E202" s="4"/>
      <c r="F202" s="4" t="str">
        <f>IF(F187&lt;&gt;"",F187,"")</f>
        <v>3</v>
      </c>
      <c r="G202" s="4" t="str">
        <f>IF(G187&lt;&gt;"",G187,"")</f>
        <v>Видеокамеры</v>
      </c>
      <c r="H202" s="4">
        <v>0</v>
      </c>
      <c r="I202" s="4"/>
      <c r="J202" s="4"/>
      <c r="K202" s="4"/>
      <c r="L202" s="4"/>
      <c r="M202" s="4"/>
      <c r="N202" s="4"/>
      <c r="O202" s="4">
        <f t="shared" ref="O202:T202" si="178">ROUND(AB202,2)</f>
        <v>373747.39</v>
      </c>
      <c r="P202" s="4">
        <f t="shared" si="178"/>
        <v>370292.6</v>
      </c>
      <c r="Q202" s="4">
        <f t="shared" si="178"/>
        <v>29.36</v>
      </c>
      <c r="R202" s="4">
        <f t="shared" si="178"/>
        <v>1.61</v>
      </c>
      <c r="S202" s="4">
        <f t="shared" si="178"/>
        <v>3425.43</v>
      </c>
      <c r="T202" s="4">
        <f t="shared" si="178"/>
        <v>0</v>
      </c>
      <c r="U202" s="4">
        <f>AH202</f>
        <v>215.43239519999997</v>
      </c>
      <c r="V202" s="4">
        <f>AI202</f>
        <v>0</v>
      </c>
      <c r="W202" s="4">
        <f>ROUND(AJ202,2)</f>
        <v>0</v>
      </c>
      <c r="X202" s="4">
        <f>ROUND(AK202,2)</f>
        <v>3084.33</v>
      </c>
      <c r="Y202" s="4">
        <f>ROUND(AL202,2)</f>
        <v>1576.43</v>
      </c>
      <c r="Z202" s="4"/>
      <c r="AA202" s="4"/>
      <c r="AB202" s="4">
        <f>ROUND(SUMIF(AA191:AA200,"=55934355",O191:O200),2)</f>
        <v>373747.39</v>
      </c>
      <c r="AC202" s="4">
        <f>ROUND(SUMIF(AA191:AA200,"=55934355",P191:P200),2)</f>
        <v>370292.6</v>
      </c>
      <c r="AD202" s="4">
        <f>ROUND(SUMIF(AA191:AA200,"=55934355",Q191:Q200),2)</f>
        <v>29.36</v>
      </c>
      <c r="AE202" s="4">
        <f>ROUND(SUMIF(AA191:AA200,"=55934355",R191:R200),2)</f>
        <v>1.61</v>
      </c>
      <c r="AF202" s="4">
        <f>ROUND(SUMIF(AA191:AA200,"=55934355",S191:S200),2)</f>
        <v>3425.43</v>
      </c>
      <c r="AG202" s="4">
        <f>ROUND(SUMIF(AA191:AA200,"=55934355",T191:T200),2)</f>
        <v>0</v>
      </c>
      <c r="AH202" s="4">
        <f>SUMIF(AA191:AA200,"=55934355",U191:U200)</f>
        <v>215.43239519999997</v>
      </c>
      <c r="AI202" s="4">
        <f>SUMIF(AA191:AA200,"=55934355",V191:V200)</f>
        <v>0</v>
      </c>
      <c r="AJ202" s="4">
        <f>ROUND(SUMIF(AA191:AA200,"=55934355",W191:W200),2)</f>
        <v>0</v>
      </c>
      <c r="AK202" s="4">
        <f>ROUND(SUMIF(AA191:AA200,"=55934355",X191:X200),2)</f>
        <v>3084.33</v>
      </c>
      <c r="AL202" s="4">
        <f>ROUND(SUMIF(AA191:AA200,"=55934355",Y191:Y200),2)</f>
        <v>1576.43</v>
      </c>
      <c r="AM202" s="4"/>
      <c r="AN202" s="4"/>
      <c r="AO202" s="4">
        <f t="shared" ref="AO202:BD202" si="179">ROUND(BX202,2)</f>
        <v>0</v>
      </c>
      <c r="AP202" s="4">
        <f t="shared" si="179"/>
        <v>369871.75</v>
      </c>
      <c r="AQ202" s="4">
        <f t="shared" si="179"/>
        <v>0</v>
      </c>
      <c r="AR202" s="4">
        <f t="shared" si="179"/>
        <v>378408.15</v>
      </c>
      <c r="AS202" s="4">
        <f t="shared" si="179"/>
        <v>0</v>
      </c>
      <c r="AT202" s="4">
        <f t="shared" si="179"/>
        <v>8536.4</v>
      </c>
      <c r="AU202" s="4">
        <f t="shared" si="179"/>
        <v>0</v>
      </c>
      <c r="AV202" s="4">
        <f t="shared" si="179"/>
        <v>370292.6</v>
      </c>
      <c r="AW202" s="4">
        <f t="shared" si="179"/>
        <v>420.85</v>
      </c>
      <c r="AX202" s="4">
        <f t="shared" si="179"/>
        <v>0</v>
      </c>
      <c r="AY202" s="4">
        <f t="shared" si="179"/>
        <v>420.85</v>
      </c>
      <c r="AZ202" s="4">
        <f t="shared" si="179"/>
        <v>369871.75</v>
      </c>
      <c r="BA202" s="4">
        <f t="shared" si="179"/>
        <v>0</v>
      </c>
      <c r="BB202" s="4">
        <f t="shared" si="179"/>
        <v>0</v>
      </c>
      <c r="BC202" s="4">
        <f t="shared" si="179"/>
        <v>0</v>
      </c>
      <c r="BD202" s="4">
        <f t="shared" si="179"/>
        <v>0</v>
      </c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>
        <f>ROUND(SUMIF(AA191:AA200,"=55934355",FQ191:FQ200),2)</f>
        <v>0</v>
      </c>
      <c r="BY202" s="4">
        <f>ROUND(SUMIF(AA191:AA200,"=55934355",FR191:FR200),2)</f>
        <v>369871.75</v>
      </c>
      <c r="BZ202" s="4">
        <f>ROUND(SUMIF(AA191:AA200,"=55934355",GL191:GL200),2)</f>
        <v>0</v>
      </c>
      <c r="CA202" s="4">
        <f>ROUND(SUMIF(AA191:AA200,"=55934355",GM191:GM200),2)</f>
        <v>378408.15</v>
      </c>
      <c r="CB202" s="4">
        <f>ROUND(SUMIF(AA191:AA200,"=55934355",GN191:GN200),2)</f>
        <v>0</v>
      </c>
      <c r="CC202" s="4">
        <f>ROUND(SUMIF(AA191:AA200,"=55934355",GO191:GO200),2)</f>
        <v>8536.4</v>
      </c>
      <c r="CD202" s="4">
        <f>ROUND(SUMIF(AA191:AA200,"=55934355",GP191:GP200),2)</f>
        <v>0</v>
      </c>
      <c r="CE202" s="4">
        <f>AC202-BX202</f>
        <v>370292.6</v>
      </c>
      <c r="CF202" s="4">
        <f>AC202-BY202</f>
        <v>420.84999999997672</v>
      </c>
      <c r="CG202" s="4">
        <f>BX202-BZ202</f>
        <v>0</v>
      </c>
      <c r="CH202" s="4">
        <f>AC202-BX202-BY202+BZ202</f>
        <v>420.84999999997672</v>
      </c>
      <c r="CI202" s="4">
        <f>BY202-BZ202</f>
        <v>369871.75</v>
      </c>
      <c r="CJ202" s="4">
        <f>ROUND(SUMIF(AA191:AA200,"=55934355",GX191:GX200),2)</f>
        <v>0</v>
      </c>
      <c r="CK202" s="4">
        <f>ROUND(SUMIF(AA191:AA200,"=55934355",GY191:GY200),2)</f>
        <v>0</v>
      </c>
      <c r="CL202" s="4">
        <f>ROUND(SUMIF(AA191:AA200,"=55934355",GZ191:GZ200),2)</f>
        <v>0</v>
      </c>
      <c r="CM202" s="4">
        <f>ROUND(SUMIF(AA191:AA200,"=55934355",HD191:HD200),2)</f>
        <v>0</v>
      </c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5">
        <f t="shared" ref="DG202:DL202" si="180">ROUND(DT202,2)</f>
        <v>2994084.98</v>
      </c>
      <c r="DH202" s="5">
        <f t="shared" si="180"/>
        <v>2800703.52</v>
      </c>
      <c r="DI202" s="5">
        <f t="shared" si="180"/>
        <v>358.48</v>
      </c>
      <c r="DJ202" s="5">
        <f t="shared" si="180"/>
        <v>90.72</v>
      </c>
      <c r="DK202" s="5">
        <f t="shared" si="180"/>
        <v>193022.98</v>
      </c>
      <c r="DL202" s="5">
        <f t="shared" si="180"/>
        <v>0</v>
      </c>
      <c r="DM202" s="5">
        <f>DZ202</f>
        <v>215.43239519999997</v>
      </c>
      <c r="DN202" s="5">
        <f>EA202</f>
        <v>0</v>
      </c>
      <c r="DO202" s="5">
        <f>ROUND(EB202,2)</f>
        <v>0</v>
      </c>
      <c r="DP202" s="5">
        <f>ROUND(EC202,2)</f>
        <v>173802.33</v>
      </c>
      <c r="DQ202" s="5">
        <f>ROUND(ED202,2)</f>
        <v>88832.31</v>
      </c>
      <c r="DR202" s="5"/>
      <c r="DS202" s="5"/>
      <c r="DT202" s="5">
        <f>ROUND(SUMIF(AA191:AA200,"=55934357",O191:O200),2)</f>
        <v>2994084.98</v>
      </c>
      <c r="DU202" s="5">
        <f>ROUND(SUMIF(AA191:AA200,"=55934357",P191:P200),2)</f>
        <v>2800703.52</v>
      </c>
      <c r="DV202" s="5">
        <f>ROUND(SUMIF(AA191:AA200,"=55934357",Q191:Q200),2)</f>
        <v>358.48</v>
      </c>
      <c r="DW202" s="5">
        <f>ROUND(SUMIF(AA191:AA200,"=55934357",R191:R200),2)</f>
        <v>90.72</v>
      </c>
      <c r="DX202" s="5">
        <f>ROUND(SUMIF(AA191:AA200,"=55934357",S191:S200),2)</f>
        <v>193022.98</v>
      </c>
      <c r="DY202" s="5">
        <f>ROUND(SUMIF(AA191:AA200,"=55934357",T191:T200),2)</f>
        <v>0</v>
      </c>
      <c r="DZ202" s="5">
        <f>SUMIF(AA191:AA200,"=55934357",U191:U200)</f>
        <v>215.43239519999997</v>
      </c>
      <c r="EA202" s="5">
        <f>SUMIF(AA191:AA200,"=55934357",V191:V200)</f>
        <v>0</v>
      </c>
      <c r="EB202" s="5">
        <f>ROUND(SUMIF(AA191:AA200,"=55934357",W191:W200),2)</f>
        <v>0</v>
      </c>
      <c r="EC202" s="5">
        <f>ROUND(SUMIF(AA191:AA200,"=55934357",X191:X200),2)</f>
        <v>173802.33</v>
      </c>
      <c r="ED202" s="5">
        <f>ROUND(SUMIF(AA191:AA200,"=55934357",Y191:Y200),2)</f>
        <v>88832.31</v>
      </c>
      <c r="EE202" s="5"/>
      <c r="EF202" s="5"/>
      <c r="EG202" s="5">
        <f t="shared" ref="EG202:EV202" si="181">ROUND(FP202,2)</f>
        <v>0</v>
      </c>
      <c r="EH202" s="5">
        <f t="shared" si="181"/>
        <v>2799929.15</v>
      </c>
      <c r="EI202" s="5">
        <f t="shared" si="181"/>
        <v>0</v>
      </c>
      <c r="EJ202" s="5">
        <f t="shared" si="181"/>
        <v>3256719.62</v>
      </c>
      <c r="EK202" s="5">
        <f t="shared" si="181"/>
        <v>0</v>
      </c>
      <c r="EL202" s="5">
        <f t="shared" si="181"/>
        <v>456790.47</v>
      </c>
      <c r="EM202" s="5">
        <f t="shared" si="181"/>
        <v>0</v>
      </c>
      <c r="EN202" s="5">
        <f t="shared" si="181"/>
        <v>2800703.52</v>
      </c>
      <c r="EO202" s="5">
        <f t="shared" si="181"/>
        <v>774.37</v>
      </c>
      <c r="EP202" s="5">
        <f t="shared" si="181"/>
        <v>0</v>
      </c>
      <c r="EQ202" s="5">
        <f t="shared" si="181"/>
        <v>774.37</v>
      </c>
      <c r="ER202" s="5">
        <f t="shared" si="181"/>
        <v>2799929.15</v>
      </c>
      <c r="ES202" s="5">
        <f t="shared" si="181"/>
        <v>0</v>
      </c>
      <c r="ET202" s="5">
        <f t="shared" si="181"/>
        <v>0</v>
      </c>
      <c r="EU202" s="5">
        <f t="shared" si="181"/>
        <v>0</v>
      </c>
      <c r="EV202" s="5">
        <f t="shared" si="181"/>
        <v>0</v>
      </c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>
        <f>ROUND(SUMIF(AA191:AA200,"=55934357",FQ191:FQ200),2)</f>
        <v>0</v>
      </c>
      <c r="FQ202" s="5">
        <f>ROUND(SUMIF(AA191:AA200,"=55934357",FR191:FR200),2)</f>
        <v>2799929.15</v>
      </c>
      <c r="FR202" s="5">
        <f>ROUND(SUMIF(AA191:AA200,"=55934357",GL191:GL200),2)</f>
        <v>0</v>
      </c>
      <c r="FS202" s="5">
        <f>ROUND(SUMIF(AA191:AA200,"=55934357",GM191:GM200),2)</f>
        <v>3256719.62</v>
      </c>
      <c r="FT202" s="5">
        <f>ROUND(SUMIF(AA191:AA200,"=55934357",GN191:GN200),2)</f>
        <v>0</v>
      </c>
      <c r="FU202" s="5">
        <f>ROUND(SUMIF(AA191:AA200,"=55934357",GO191:GO200),2)</f>
        <v>456790.47</v>
      </c>
      <c r="FV202" s="5">
        <f>ROUND(SUMIF(AA191:AA200,"=55934357",GP191:GP200),2)</f>
        <v>0</v>
      </c>
      <c r="FW202" s="5">
        <f>DU202-FP202</f>
        <v>2800703.52</v>
      </c>
      <c r="FX202" s="5">
        <f>DU202-FQ202</f>
        <v>774.37000000011176</v>
      </c>
      <c r="FY202" s="5">
        <f>FP202-FR202</f>
        <v>0</v>
      </c>
      <c r="FZ202" s="5">
        <f>DU202-FP202-FQ202+FR202</f>
        <v>774.37000000011176</v>
      </c>
      <c r="GA202" s="5">
        <f>FQ202-FR202</f>
        <v>2799929.15</v>
      </c>
      <c r="GB202" s="5">
        <f>ROUND(SUMIF(AA191:AA200,"=55934357",GX191:GX200),2)</f>
        <v>0</v>
      </c>
      <c r="GC202" s="5">
        <f>ROUND(SUMIF(AA191:AA200,"=55934357",GY191:GY200),2)</f>
        <v>0</v>
      </c>
      <c r="GD202" s="5">
        <f>ROUND(SUMIF(AA191:AA200,"=55934357",GZ191:GZ200),2)</f>
        <v>0</v>
      </c>
      <c r="GE202" s="5">
        <f>ROUND(SUMIF(AA191:AA200,"=55934357",HD191:HD200),2)</f>
        <v>0</v>
      </c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>
        <v>0</v>
      </c>
    </row>
    <row r="204" spans="1:255" ht="13" x14ac:dyDescent="0.3">
      <c r="A204" s="6">
        <v>50</v>
      </c>
      <c r="B204" s="6">
        <v>0</v>
      </c>
      <c r="C204" s="6">
        <v>0</v>
      </c>
      <c r="D204" s="6">
        <v>1</v>
      </c>
      <c r="E204" s="6">
        <v>201</v>
      </c>
      <c r="F204" s="6">
        <f>ROUND(Source!O202,O204)</f>
        <v>373747.39</v>
      </c>
      <c r="G204" s="6" t="s">
        <v>63</v>
      </c>
      <c r="H204" s="6" t="s">
        <v>64</v>
      </c>
      <c r="I204" s="6"/>
      <c r="J204" s="6"/>
      <c r="K204" s="6">
        <v>201</v>
      </c>
      <c r="L204" s="6">
        <v>1</v>
      </c>
      <c r="M204" s="6">
        <v>3</v>
      </c>
      <c r="N204" s="6" t="s">
        <v>3</v>
      </c>
      <c r="O204" s="6">
        <v>2</v>
      </c>
      <c r="P204" s="6">
        <f>ROUND(Source!DG202,O204)</f>
        <v>2994084.98</v>
      </c>
      <c r="Q204" s="6"/>
      <c r="R204" s="6"/>
      <c r="S204" s="6"/>
      <c r="T204" s="6"/>
      <c r="U204" s="6"/>
      <c r="V204" s="6"/>
      <c r="W204" s="6">
        <v>373747.39</v>
      </c>
      <c r="X204" s="6">
        <v>1</v>
      </c>
      <c r="Y204" s="6">
        <v>373747.39</v>
      </c>
      <c r="Z204" s="6">
        <v>2994084.98</v>
      </c>
      <c r="AA204" s="6">
        <v>1</v>
      </c>
      <c r="AB204" s="6">
        <v>2994084.98</v>
      </c>
    </row>
    <row r="205" spans="1:255" ht="13" x14ac:dyDescent="0.3">
      <c r="A205" s="6">
        <v>50</v>
      </c>
      <c r="B205" s="6">
        <v>0</v>
      </c>
      <c r="C205" s="6">
        <v>0</v>
      </c>
      <c r="D205" s="6">
        <v>1</v>
      </c>
      <c r="E205" s="6">
        <v>202</v>
      </c>
      <c r="F205" s="6">
        <f>ROUND(Source!P202,O205)</f>
        <v>370292.6</v>
      </c>
      <c r="G205" s="6" t="s">
        <v>65</v>
      </c>
      <c r="H205" s="6" t="s">
        <v>66</v>
      </c>
      <c r="I205" s="6"/>
      <c r="J205" s="6"/>
      <c r="K205" s="6">
        <v>202</v>
      </c>
      <c r="L205" s="6">
        <v>2</v>
      </c>
      <c r="M205" s="6">
        <v>3</v>
      </c>
      <c r="N205" s="6" t="s">
        <v>3</v>
      </c>
      <c r="O205" s="6">
        <v>2</v>
      </c>
      <c r="P205" s="6">
        <f>ROUND(Source!DH202,O205)</f>
        <v>2800703.52</v>
      </c>
      <c r="Q205" s="6"/>
      <c r="R205" s="6"/>
      <c r="S205" s="6"/>
      <c r="T205" s="6"/>
      <c r="U205" s="6"/>
      <c r="V205" s="6"/>
      <c r="W205" s="6">
        <v>370292.6</v>
      </c>
      <c r="X205" s="6">
        <v>1</v>
      </c>
      <c r="Y205" s="6">
        <v>370292.6</v>
      </c>
      <c r="Z205" s="6">
        <v>2800703.52</v>
      </c>
      <c r="AA205" s="6">
        <v>1</v>
      </c>
      <c r="AB205" s="6">
        <v>2800703.52</v>
      </c>
    </row>
    <row r="206" spans="1:255" ht="13" x14ac:dyDescent="0.3">
      <c r="A206" s="6">
        <v>50</v>
      </c>
      <c r="B206" s="6">
        <v>0</v>
      </c>
      <c r="C206" s="6">
        <v>0</v>
      </c>
      <c r="D206" s="6">
        <v>1</v>
      </c>
      <c r="E206" s="6">
        <v>222</v>
      </c>
      <c r="F206" s="6">
        <f>ROUND(Source!AO202,O206)</f>
        <v>0</v>
      </c>
      <c r="G206" s="6" t="s">
        <v>67</v>
      </c>
      <c r="H206" s="6" t="s">
        <v>68</v>
      </c>
      <c r="I206" s="6"/>
      <c r="J206" s="6"/>
      <c r="K206" s="6">
        <v>222</v>
      </c>
      <c r="L206" s="6">
        <v>3</v>
      </c>
      <c r="M206" s="6">
        <v>3</v>
      </c>
      <c r="N206" s="6" t="s">
        <v>3</v>
      </c>
      <c r="O206" s="6">
        <v>2</v>
      </c>
      <c r="P206" s="6">
        <f>ROUND(Source!EG202,O206)</f>
        <v>0</v>
      </c>
      <c r="Q206" s="6"/>
      <c r="R206" s="6"/>
      <c r="S206" s="6"/>
      <c r="T206" s="6"/>
      <c r="U206" s="6"/>
      <c r="V206" s="6"/>
      <c r="W206" s="6">
        <v>0</v>
      </c>
      <c r="X206" s="6">
        <v>1</v>
      </c>
      <c r="Y206" s="6">
        <v>0</v>
      </c>
      <c r="Z206" s="6">
        <v>0</v>
      </c>
      <c r="AA206" s="6">
        <v>1</v>
      </c>
      <c r="AB206" s="6">
        <v>0</v>
      </c>
    </row>
    <row r="207" spans="1:255" ht="13" x14ac:dyDescent="0.3">
      <c r="A207" s="6">
        <v>50</v>
      </c>
      <c r="B207" s="6">
        <v>0</v>
      </c>
      <c r="C207" s="6">
        <v>0</v>
      </c>
      <c r="D207" s="6">
        <v>1</v>
      </c>
      <c r="E207" s="6">
        <v>225</v>
      </c>
      <c r="F207" s="6">
        <f>ROUND(Source!AV202,O207)</f>
        <v>370292.6</v>
      </c>
      <c r="G207" s="6" t="s">
        <v>69</v>
      </c>
      <c r="H207" s="6" t="s">
        <v>70</v>
      </c>
      <c r="I207" s="6"/>
      <c r="J207" s="6"/>
      <c r="K207" s="6">
        <v>225</v>
      </c>
      <c r="L207" s="6">
        <v>4</v>
      </c>
      <c r="M207" s="6">
        <v>3</v>
      </c>
      <c r="N207" s="6" t="s">
        <v>3</v>
      </c>
      <c r="O207" s="6">
        <v>2</v>
      </c>
      <c r="P207" s="6">
        <f>ROUND(Source!EN202,O207)</f>
        <v>2800703.52</v>
      </c>
      <c r="Q207" s="6"/>
      <c r="R207" s="6"/>
      <c r="S207" s="6"/>
      <c r="T207" s="6"/>
      <c r="U207" s="6"/>
      <c r="V207" s="6"/>
      <c r="W207" s="6">
        <v>370292.6</v>
      </c>
      <c r="X207" s="6">
        <v>1</v>
      </c>
      <c r="Y207" s="6">
        <v>370292.6</v>
      </c>
      <c r="Z207" s="6">
        <v>2800703.52</v>
      </c>
      <c r="AA207" s="6">
        <v>1</v>
      </c>
      <c r="AB207" s="6">
        <v>2800703.52</v>
      </c>
    </row>
    <row r="208" spans="1:255" ht="13" x14ac:dyDescent="0.3">
      <c r="A208" s="6">
        <v>50</v>
      </c>
      <c r="B208" s="6">
        <v>0</v>
      </c>
      <c r="C208" s="6">
        <v>0</v>
      </c>
      <c r="D208" s="6">
        <v>1</v>
      </c>
      <c r="E208" s="6">
        <v>226</v>
      </c>
      <c r="F208" s="6">
        <f>ROUND(Source!AW202,O208)</f>
        <v>420.85</v>
      </c>
      <c r="G208" s="6" t="s">
        <v>71</v>
      </c>
      <c r="H208" s="6" t="s">
        <v>72</v>
      </c>
      <c r="I208" s="6"/>
      <c r="J208" s="6"/>
      <c r="K208" s="6">
        <v>226</v>
      </c>
      <c r="L208" s="6">
        <v>5</v>
      </c>
      <c r="M208" s="6">
        <v>3</v>
      </c>
      <c r="N208" s="6" t="s">
        <v>3</v>
      </c>
      <c r="O208" s="6">
        <v>2</v>
      </c>
      <c r="P208" s="6">
        <f>ROUND(Source!EO202,O208)</f>
        <v>774.37</v>
      </c>
      <c r="Q208" s="6"/>
      <c r="R208" s="6"/>
      <c r="S208" s="6"/>
      <c r="T208" s="6"/>
      <c r="U208" s="6"/>
      <c r="V208" s="6"/>
      <c r="W208" s="6">
        <v>420.85</v>
      </c>
      <c r="X208" s="6">
        <v>1</v>
      </c>
      <c r="Y208" s="6">
        <v>420.85</v>
      </c>
      <c r="Z208" s="6">
        <v>774.37</v>
      </c>
      <c r="AA208" s="6">
        <v>1</v>
      </c>
      <c r="AB208" s="6">
        <v>774.37</v>
      </c>
    </row>
    <row r="209" spans="1:28" ht="13" x14ac:dyDescent="0.3">
      <c r="A209" s="6">
        <v>50</v>
      </c>
      <c r="B209" s="6">
        <v>0</v>
      </c>
      <c r="C209" s="6">
        <v>0</v>
      </c>
      <c r="D209" s="6">
        <v>1</v>
      </c>
      <c r="E209" s="6">
        <v>227</v>
      </c>
      <c r="F209" s="6">
        <f>ROUND(Source!AX202,O209)</f>
        <v>0</v>
      </c>
      <c r="G209" s="6" t="s">
        <v>73</v>
      </c>
      <c r="H209" s="6" t="s">
        <v>74</v>
      </c>
      <c r="I209" s="6"/>
      <c r="J209" s="6"/>
      <c r="K209" s="6">
        <v>227</v>
      </c>
      <c r="L209" s="6">
        <v>6</v>
      </c>
      <c r="M209" s="6">
        <v>3</v>
      </c>
      <c r="N209" s="6" t="s">
        <v>3</v>
      </c>
      <c r="O209" s="6">
        <v>2</v>
      </c>
      <c r="P209" s="6">
        <f>ROUND(Source!EP202,O209)</f>
        <v>0</v>
      </c>
      <c r="Q209" s="6"/>
      <c r="R209" s="6"/>
      <c r="S209" s="6"/>
      <c r="T209" s="6"/>
      <c r="U209" s="6"/>
      <c r="V209" s="6"/>
      <c r="W209" s="6">
        <v>0</v>
      </c>
      <c r="X209" s="6">
        <v>1</v>
      </c>
      <c r="Y209" s="6">
        <v>0</v>
      </c>
      <c r="Z209" s="6">
        <v>0</v>
      </c>
      <c r="AA209" s="6">
        <v>1</v>
      </c>
      <c r="AB209" s="6">
        <v>0</v>
      </c>
    </row>
    <row r="210" spans="1:28" ht="13" x14ac:dyDescent="0.3">
      <c r="A210" s="6">
        <v>50</v>
      </c>
      <c r="B210" s="6">
        <v>0</v>
      </c>
      <c r="C210" s="6">
        <v>0</v>
      </c>
      <c r="D210" s="6">
        <v>1</v>
      </c>
      <c r="E210" s="6">
        <v>228</v>
      </c>
      <c r="F210" s="6">
        <f>ROUND(Source!AY202,O210)</f>
        <v>420.85</v>
      </c>
      <c r="G210" s="6" t="s">
        <v>75</v>
      </c>
      <c r="H210" s="6" t="s">
        <v>76</v>
      </c>
      <c r="I210" s="6"/>
      <c r="J210" s="6"/>
      <c r="K210" s="6">
        <v>228</v>
      </c>
      <c r="L210" s="6">
        <v>7</v>
      </c>
      <c r="M210" s="6">
        <v>3</v>
      </c>
      <c r="N210" s="6" t="s">
        <v>3</v>
      </c>
      <c r="O210" s="6">
        <v>2</v>
      </c>
      <c r="P210" s="6">
        <f>ROUND(Source!EQ202,O210)</f>
        <v>774.37</v>
      </c>
      <c r="Q210" s="6"/>
      <c r="R210" s="6"/>
      <c r="S210" s="6"/>
      <c r="T210" s="6"/>
      <c r="U210" s="6"/>
      <c r="V210" s="6"/>
      <c r="W210" s="6">
        <v>420.85</v>
      </c>
      <c r="X210" s="6">
        <v>1</v>
      </c>
      <c r="Y210" s="6">
        <v>420.85</v>
      </c>
      <c r="Z210" s="6">
        <v>774.37</v>
      </c>
      <c r="AA210" s="6">
        <v>1</v>
      </c>
      <c r="AB210" s="6">
        <v>774.37</v>
      </c>
    </row>
    <row r="211" spans="1:28" ht="13" x14ac:dyDescent="0.3">
      <c r="A211" s="6">
        <v>50</v>
      </c>
      <c r="B211" s="6">
        <v>0</v>
      </c>
      <c r="C211" s="6">
        <v>0</v>
      </c>
      <c r="D211" s="6">
        <v>1</v>
      </c>
      <c r="E211" s="6">
        <v>216</v>
      </c>
      <c r="F211" s="6">
        <f>ROUND(Source!AP202,O211)</f>
        <v>369871.75</v>
      </c>
      <c r="G211" s="6" t="s">
        <v>77</v>
      </c>
      <c r="H211" s="6" t="s">
        <v>78</v>
      </c>
      <c r="I211" s="6"/>
      <c r="J211" s="6"/>
      <c r="K211" s="6">
        <v>216</v>
      </c>
      <c r="L211" s="6">
        <v>8</v>
      </c>
      <c r="M211" s="6">
        <v>3</v>
      </c>
      <c r="N211" s="6" t="s">
        <v>3</v>
      </c>
      <c r="O211" s="6">
        <v>2</v>
      </c>
      <c r="P211" s="6">
        <f>ROUND(Source!EH202,O211)</f>
        <v>2799929.15</v>
      </c>
      <c r="Q211" s="6"/>
      <c r="R211" s="6"/>
      <c r="S211" s="6"/>
      <c r="T211" s="6"/>
      <c r="U211" s="6"/>
      <c r="V211" s="6"/>
      <c r="W211" s="6">
        <v>369871.75</v>
      </c>
      <c r="X211" s="6">
        <v>1</v>
      </c>
      <c r="Y211" s="6">
        <v>369871.75</v>
      </c>
      <c r="Z211" s="6">
        <v>2799929.15</v>
      </c>
      <c r="AA211" s="6">
        <v>1</v>
      </c>
      <c r="AB211" s="6">
        <v>2799929.15</v>
      </c>
    </row>
    <row r="212" spans="1:28" ht="13" x14ac:dyDescent="0.3">
      <c r="A212" s="6">
        <v>50</v>
      </c>
      <c r="B212" s="6">
        <v>0</v>
      </c>
      <c r="C212" s="6">
        <v>0</v>
      </c>
      <c r="D212" s="6">
        <v>1</v>
      </c>
      <c r="E212" s="6">
        <v>223</v>
      </c>
      <c r="F212" s="6">
        <f>ROUND(Source!AQ202,O212)</f>
        <v>0</v>
      </c>
      <c r="G212" s="6" t="s">
        <v>79</v>
      </c>
      <c r="H212" s="6" t="s">
        <v>80</v>
      </c>
      <c r="I212" s="6"/>
      <c r="J212" s="6"/>
      <c r="K212" s="6">
        <v>223</v>
      </c>
      <c r="L212" s="6">
        <v>9</v>
      </c>
      <c r="M212" s="6">
        <v>3</v>
      </c>
      <c r="N212" s="6" t="s">
        <v>3</v>
      </c>
      <c r="O212" s="6">
        <v>2</v>
      </c>
      <c r="P212" s="6">
        <f>ROUND(Source!EI202,O212)</f>
        <v>0</v>
      </c>
      <c r="Q212" s="6"/>
      <c r="R212" s="6"/>
      <c r="S212" s="6"/>
      <c r="T212" s="6"/>
      <c r="U212" s="6"/>
      <c r="V212" s="6"/>
      <c r="W212" s="6">
        <v>0</v>
      </c>
      <c r="X212" s="6">
        <v>1</v>
      </c>
      <c r="Y212" s="6">
        <v>0</v>
      </c>
      <c r="Z212" s="6">
        <v>0</v>
      </c>
      <c r="AA212" s="6">
        <v>1</v>
      </c>
      <c r="AB212" s="6">
        <v>0</v>
      </c>
    </row>
    <row r="213" spans="1:28" ht="13" x14ac:dyDescent="0.3">
      <c r="A213" s="6">
        <v>50</v>
      </c>
      <c r="B213" s="6">
        <v>0</v>
      </c>
      <c r="C213" s="6">
        <v>0</v>
      </c>
      <c r="D213" s="6">
        <v>1</v>
      </c>
      <c r="E213" s="6">
        <v>229</v>
      </c>
      <c r="F213" s="6">
        <f>ROUND(Source!AZ202,O213)</f>
        <v>369871.75</v>
      </c>
      <c r="G213" s="6" t="s">
        <v>81</v>
      </c>
      <c r="H213" s="6" t="s">
        <v>82</v>
      </c>
      <c r="I213" s="6"/>
      <c r="J213" s="6"/>
      <c r="K213" s="6">
        <v>229</v>
      </c>
      <c r="L213" s="6">
        <v>10</v>
      </c>
      <c r="M213" s="6">
        <v>3</v>
      </c>
      <c r="N213" s="6" t="s">
        <v>3</v>
      </c>
      <c r="O213" s="6">
        <v>2</v>
      </c>
      <c r="P213" s="6">
        <f>ROUND(Source!ER202,O213)</f>
        <v>2799929.15</v>
      </c>
      <c r="Q213" s="6"/>
      <c r="R213" s="6"/>
      <c r="S213" s="6"/>
      <c r="T213" s="6"/>
      <c r="U213" s="6"/>
      <c r="V213" s="6"/>
      <c r="W213" s="6">
        <v>369871.75</v>
      </c>
      <c r="X213" s="6">
        <v>1</v>
      </c>
      <c r="Y213" s="6">
        <v>369871.75</v>
      </c>
      <c r="Z213" s="6">
        <v>2799929.15</v>
      </c>
      <c r="AA213" s="6">
        <v>1</v>
      </c>
      <c r="AB213" s="6">
        <v>2799929.15</v>
      </c>
    </row>
    <row r="214" spans="1:28" ht="13" x14ac:dyDescent="0.3">
      <c r="A214" s="6">
        <v>50</v>
      </c>
      <c r="B214" s="6">
        <v>0</v>
      </c>
      <c r="C214" s="6">
        <v>0</v>
      </c>
      <c r="D214" s="6">
        <v>1</v>
      </c>
      <c r="E214" s="6">
        <v>203</v>
      </c>
      <c r="F214" s="6">
        <f>ROUND(Source!Q202,O214)</f>
        <v>29.36</v>
      </c>
      <c r="G214" s="6" t="s">
        <v>83</v>
      </c>
      <c r="H214" s="6" t="s">
        <v>84</v>
      </c>
      <c r="I214" s="6"/>
      <c r="J214" s="6"/>
      <c r="K214" s="6">
        <v>203</v>
      </c>
      <c r="L214" s="6">
        <v>11</v>
      </c>
      <c r="M214" s="6">
        <v>3</v>
      </c>
      <c r="N214" s="6" t="s">
        <v>3</v>
      </c>
      <c r="O214" s="6">
        <v>2</v>
      </c>
      <c r="P214" s="6">
        <f>ROUND(Source!DI202,O214)</f>
        <v>358.48</v>
      </c>
      <c r="Q214" s="6"/>
      <c r="R214" s="6"/>
      <c r="S214" s="6"/>
      <c r="T214" s="6"/>
      <c r="U214" s="6"/>
      <c r="V214" s="6"/>
      <c r="W214" s="6">
        <v>29.36</v>
      </c>
      <c r="X214" s="6">
        <v>1</v>
      </c>
      <c r="Y214" s="6">
        <v>29.36</v>
      </c>
      <c r="Z214" s="6">
        <v>358.48</v>
      </c>
      <c r="AA214" s="6">
        <v>1</v>
      </c>
      <c r="AB214" s="6">
        <v>358.48</v>
      </c>
    </row>
    <row r="215" spans="1:28" ht="13" x14ac:dyDescent="0.3">
      <c r="A215" s="6">
        <v>50</v>
      </c>
      <c r="B215" s="6">
        <v>0</v>
      </c>
      <c r="C215" s="6">
        <v>0</v>
      </c>
      <c r="D215" s="6">
        <v>1</v>
      </c>
      <c r="E215" s="6">
        <v>231</v>
      </c>
      <c r="F215" s="6">
        <f>ROUND(Source!BB202,O215)</f>
        <v>0</v>
      </c>
      <c r="G215" s="6" t="s">
        <v>85</v>
      </c>
      <c r="H215" s="6" t="s">
        <v>86</v>
      </c>
      <c r="I215" s="6"/>
      <c r="J215" s="6"/>
      <c r="K215" s="6">
        <v>231</v>
      </c>
      <c r="L215" s="6">
        <v>12</v>
      </c>
      <c r="M215" s="6">
        <v>3</v>
      </c>
      <c r="N215" s="6" t="s">
        <v>3</v>
      </c>
      <c r="O215" s="6">
        <v>2</v>
      </c>
      <c r="P215" s="6">
        <f>ROUND(Source!ET202,O215)</f>
        <v>0</v>
      </c>
      <c r="Q215" s="6"/>
      <c r="R215" s="6"/>
      <c r="S215" s="6"/>
      <c r="T215" s="6"/>
      <c r="U215" s="6"/>
      <c r="V215" s="6"/>
      <c r="W215" s="6">
        <v>0</v>
      </c>
      <c r="X215" s="6">
        <v>1</v>
      </c>
      <c r="Y215" s="6">
        <v>0</v>
      </c>
      <c r="Z215" s="6">
        <v>0</v>
      </c>
      <c r="AA215" s="6">
        <v>1</v>
      </c>
      <c r="AB215" s="6">
        <v>0</v>
      </c>
    </row>
    <row r="216" spans="1:28" ht="13" x14ac:dyDescent="0.3">
      <c r="A216" s="6">
        <v>50</v>
      </c>
      <c r="B216" s="6">
        <v>0</v>
      </c>
      <c r="C216" s="6">
        <v>0</v>
      </c>
      <c r="D216" s="6">
        <v>1</v>
      </c>
      <c r="E216" s="6">
        <v>204</v>
      </c>
      <c r="F216" s="6">
        <f>ROUND(Source!R202,O216)</f>
        <v>1.61</v>
      </c>
      <c r="G216" s="6" t="s">
        <v>87</v>
      </c>
      <c r="H216" s="6" t="s">
        <v>88</v>
      </c>
      <c r="I216" s="6"/>
      <c r="J216" s="6"/>
      <c r="K216" s="6">
        <v>204</v>
      </c>
      <c r="L216" s="6">
        <v>13</v>
      </c>
      <c r="M216" s="6">
        <v>3</v>
      </c>
      <c r="N216" s="6" t="s">
        <v>3</v>
      </c>
      <c r="O216" s="6">
        <v>2</v>
      </c>
      <c r="P216" s="6">
        <f>ROUND(Source!DJ202,O216)</f>
        <v>90.72</v>
      </c>
      <c r="Q216" s="6"/>
      <c r="R216" s="6"/>
      <c r="S216" s="6"/>
      <c r="T216" s="6"/>
      <c r="U216" s="6"/>
      <c r="V216" s="6"/>
      <c r="W216" s="6">
        <v>1.61</v>
      </c>
      <c r="X216" s="6">
        <v>1</v>
      </c>
      <c r="Y216" s="6">
        <v>1.61</v>
      </c>
      <c r="Z216" s="6">
        <v>90.72</v>
      </c>
      <c r="AA216" s="6">
        <v>1</v>
      </c>
      <c r="AB216" s="6">
        <v>90.72</v>
      </c>
    </row>
    <row r="217" spans="1:28" ht="13" x14ac:dyDescent="0.3">
      <c r="A217" s="6">
        <v>50</v>
      </c>
      <c r="B217" s="6">
        <v>0</v>
      </c>
      <c r="C217" s="6">
        <v>0</v>
      </c>
      <c r="D217" s="6">
        <v>1</v>
      </c>
      <c r="E217" s="6">
        <v>205</v>
      </c>
      <c r="F217" s="6">
        <f>ROUND(Source!S202,O217)</f>
        <v>3425.43</v>
      </c>
      <c r="G217" s="6" t="s">
        <v>89</v>
      </c>
      <c r="H217" s="6" t="s">
        <v>90</v>
      </c>
      <c r="I217" s="6"/>
      <c r="J217" s="6"/>
      <c r="K217" s="6">
        <v>205</v>
      </c>
      <c r="L217" s="6">
        <v>14</v>
      </c>
      <c r="M217" s="6">
        <v>3</v>
      </c>
      <c r="N217" s="6" t="s">
        <v>3</v>
      </c>
      <c r="O217" s="6">
        <v>2</v>
      </c>
      <c r="P217" s="6">
        <f>ROUND(Source!DK202,O217)</f>
        <v>193022.98</v>
      </c>
      <c r="Q217" s="6"/>
      <c r="R217" s="6"/>
      <c r="S217" s="6"/>
      <c r="T217" s="6"/>
      <c r="U217" s="6"/>
      <c r="V217" s="6"/>
      <c r="W217" s="6">
        <v>3425.43</v>
      </c>
      <c r="X217" s="6">
        <v>1</v>
      </c>
      <c r="Y217" s="6">
        <v>3425.43</v>
      </c>
      <c r="Z217" s="6">
        <v>193022.98</v>
      </c>
      <c r="AA217" s="6">
        <v>1</v>
      </c>
      <c r="AB217" s="6">
        <v>193022.98</v>
      </c>
    </row>
    <row r="218" spans="1:28" ht="13" x14ac:dyDescent="0.3">
      <c r="A218" s="6">
        <v>50</v>
      </c>
      <c r="B218" s="6">
        <v>0</v>
      </c>
      <c r="C218" s="6">
        <v>0</v>
      </c>
      <c r="D218" s="6">
        <v>1</v>
      </c>
      <c r="E218" s="6">
        <v>232</v>
      </c>
      <c r="F218" s="6">
        <f>ROUND(Source!BC202,O218)</f>
        <v>0</v>
      </c>
      <c r="G218" s="6" t="s">
        <v>91</v>
      </c>
      <c r="H218" s="6" t="s">
        <v>92</v>
      </c>
      <c r="I218" s="6"/>
      <c r="J218" s="6"/>
      <c r="K218" s="6">
        <v>232</v>
      </c>
      <c r="L218" s="6">
        <v>15</v>
      </c>
      <c r="M218" s="6">
        <v>3</v>
      </c>
      <c r="N218" s="6" t="s">
        <v>3</v>
      </c>
      <c r="O218" s="6">
        <v>2</v>
      </c>
      <c r="P218" s="6">
        <f>ROUND(Source!EU202,O218)</f>
        <v>0</v>
      </c>
      <c r="Q218" s="6"/>
      <c r="R218" s="6"/>
      <c r="S218" s="6"/>
      <c r="T218" s="6"/>
      <c r="U218" s="6"/>
      <c r="V218" s="6"/>
      <c r="W218" s="6">
        <v>0</v>
      </c>
      <c r="X218" s="6">
        <v>1</v>
      </c>
      <c r="Y218" s="6">
        <v>0</v>
      </c>
      <c r="Z218" s="6">
        <v>0</v>
      </c>
      <c r="AA218" s="6">
        <v>1</v>
      </c>
      <c r="AB218" s="6">
        <v>0</v>
      </c>
    </row>
    <row r="219" spans="1:28" ht="13" x14ac:dyDescent="0.3">
      <c r="A219" s="6">
        <v>50</v>
      </c>
      <c r="B219" s="6">
        <v>0</v>
      </c>
      <c r="C219" s="6">
        <v>0</v>
      </c>
      <c r="D219" s="6">
        <v>1</v>
      </c>
      <c r="E219" s="6">
        <v>214</v>
      </c>
      <c r="F219" s="6">
        <f>ROUND(Source!AS202,O219)</f>
        <v>0</v>
      </c>
      <c r="G219" s="6" t="s">
        <v>93</v>
      </c>
      <c r="H219" s="6" t="s">
        <v>94</v>
      </c>
      <c r="I219" s="6"/>
      <c r="J219" s="6"/>
      <c r="K219" s="6">
        <v>214</v>
      </c>
      <c r="L219" s="6">
        <v>16</v>
      </c>
      <c r="M219" s="6">
        <v>3</v>
      </c>
      <c r="N219" s="6" t="s">
        <v>3</v>
      </c>
      <c r="O219" s="6">
        <v>2</v>
      </c>
      <c r="P219" s="6">
        <f>ROUND(Source!EK202,O219)</f>
        <v>0</v>
      </c>
      <c r="Q219" s="6"/>
      <c r="R219" s="6"/>
      <c r="S219" s="6"/>
      <c r="T219" s="6"/>
      <c r="U219" s="6"/>
      <c r="V219" s="6"/>
      <c r="W219" s="6">
        <v>0</v>
      </c>
      <c r="X219" s="6">
        <v>1</v>
      </c>
      <c r="Y219" s="6">
        <v>0</v>
      </c>
      <c r="Z219" s="6">
        <v>0</v>
      </c>
      <c r="AA219" s="6">
        <v>1</v>
      </c>
      <c r="AB219" s="6">
        <v>0</v>
      </c>
    </row>
    <row r="220" spans="1:28" ht="13" x14ac:dyDescent="0.3">
      <c r="A220" s="6">
        <v>50</v>
      </c>
      <c r="B220" s="6">
        <v>0</v>
      </c>
      <c r="C220" s="6">
        <v>0</v>
      </c>
      <c r="D220" s="6">
        <v>1</v>
      </c>
      <c r="E220" s="6">
        <v>215</v>
      </c>
      <c r="F220" s="6">
        <f>ROUND(Source!AT202,O220)</f>
        <v>8536.4</v>
      </c>
      <c r="G220" s="6" t="s">
        <v>95</v>
      </c>
      <c r="H220" s="6" t="s">
        <v>96</v>
      </c>
      <c r="I220" s="6"/>
      <c r="J220" s="6"/>
      <c r="K220" s="6">
        <v>215</v>
      </c>
      <c r="L220" s="6">
        <v>17</v>
      </c>
      <c r="M220" s="6">
        <v>3</v>
      </c>
      <c r="N220" s="6" t="s">
        <v>3</v>
      </c>
      <c r="O220" s="6">
        <v>2</v>
      </c>
      <c r="P220" s="6">
        <f>ROUND(Source!EL202,O220)</f>
        <v>456790.47</v>
      </c>
      <c r="Q220" s="6"/>
      <c r="R220" s="6"/>
      <c r="S220" s="6"/>
      <c r="T220" s="6"/>
      <c r="U220" s="6"/>
      <c r="V220" s="6"/>
      <c r="W220" s="6">
        <v>8536.4</v>
      </c>
      <c r="X220" s="6">
        <v>1</v>
      </c>
      <c r="Y220" s="6">
        <v>8536.4</v>
      </c>
      <c r="Z220" s="6">
        <v>456790.47</v>
      </c>
      <c r="AA220" s="6">
        <v>1</v>
      </c>
      <c r="AB220" s="6">
        <v>456790.47</v>
      </c>
    </row>
    <row r="221" spans="1:28" ht="13" x14ac:dyDescent="0.3">
      <c r="A221" s="6">
        <v>50</v>
      </c>
      <c r="B221" s="6">
        <v>0</v>
      </c>
      <c r="C221" s="6">
        <v>0</v>
      </c>
      <c r="D221" s="6">
        <v>1</v>
      </c>
      <c r="E221" s="6">
        <v>217</v>
      </c>
      <c r="F221" s="6">
        <f>ROUND(Source!AU202,O221)</f>
        <v>0</v>
      </c>
      <c r="G221" s="6" t="s">
        <v>97</v>
      </c>
      <c r="H221" s="6" t="s">
        <v>98</v>
      </c>
      <c r="I221" s="6"/>
      <c r="J221" s="6"/>
      <c r="K221" s="6">
        <v>217</v>
      </c>
      <c r="L221" s="6">
        <v>18</v>
      </c>
      <c r="M221" s="6">
        <v>3</v>
      </c>
      <c r="N221" s="6" t="s">
        <v>3</v>
      </c>
      <c r="O221" s="6">
        <v>2</v>
      </c>
      <c r="P221" s="6">
        <f>ROUND(Source!EM202,O221)</f>
        <v>0</v>
      </c>
      <c r="Q221" s="6"/>
      <c r="R221" s="6"/>
      <c r="S221" s="6"/>
      <c r="T221" s="6"/>
      <c r="U221" s="6"/>
      <c r="V221" s="6"/>
      <c r="W221" s="6">
        <v>0</v>
      </c>
      <c r="X221" s="6">
        <v>1</v>
      </c>
      <c r="Y221" s="6">
        <v>0</v>
      </c>
      <c r="Z221" s="6">
        <v>0</v>
      </c>
      <c r="AA221" s="6">
        <v>1</v>
      </c>
      <c r="AB221" s="6">
        <v>0</v>
      </c>
    </row>
    <row r="222" spans="1:28" ht="13" x14ac:dyDescent="0.3">
      <c r="A222" s="6">
        <v>50</v>
      </c>
      <c r="B222" s="6">
        <v>0</v>
      </c>
      <c r="C222" s="6">
        <v>0</v>
      </c>
      <c r="D222" s="6">
        <v>1</v>
      </c>
      <c r="E222" s="6">
        <v>230</v>
      </c>
      <c r="F222" s="6">
        <f>ROUND(Source!BA202,O222)</f>
        <v>0</v>
      </c>
      <c r="G222" s="6" t="s">
        <v>99</v>
      </c>
      <c r="H222" s="6" t="s">
        <v>100</v>
      </c>
      <c r="I222" s="6"/>
      <c r="J222" s="6"/>
      <c r="K222" s="6">
        <v>230</v>
      </c>
      <c r="L222" s="6">
        <v>19</v>
      </c>
      <c r="M222" s="6">
        <v>3</v>
      </c>
      <c r="N222" s="6" t="s">
        <v>3</v>
      </c>
      <c r="O222" s="6">
        <v>2</v>
      </c>
      <c r="P222" s="6">
        <f>ROUND(Source!ES202,O222)</f>
        <v>0</v>
      </c>
      <c r="Q222" s="6"/>
      <c r="R222" s="6"/>
      <c r="S222" s="6"/>
      <c r="T222" s="6"/>
      <c r="U222" s="6"/>
      <c r="V222" s="6"/>
      <c r="W222" s="6">
        <v>0</v>
      </c>
      <c r="X222" s="6">
        <v>1</v>
      </c>
      <c r="Y222" s="6">
        <v>0</v>
      </c>
      <c r="Z222" s="6">
        <v>0</v>
      </c>
      <c r="AA222" s="6">
        <v>1</v>
      </c>
      <c r="AB222" s="6">
        <v>0</v>
      </c>
    </row>
    <row r="223" spans="1:28" ht="13" x14ac:dyDescent="0.3">
      <c r="A223" s="6">
        <v>50</v>
      </c>
      <c r="B223" s="6">
        <v>0</v>
      </c>
      <c r="C223" s="6">
        <v>0</v>
      </c>
      <c r="D223" s="6">
        <v>1</v>
      </c>
      <c r="E223" s="6">
        <v>206</v>
      </c>
      <c r="F223" s="6">
        <f>ROUND(Source!T202,O223)</f>
        <v>0</v>
      </c>
      <c r="G223" s="6" t="s">
        <v>101</v>
      </c>
      <c r="H223" s="6" t="s">
        <v>102</v>
      </c>
      <c r="I223" s="6"/>
      <c r="J223" s="6"/>
      <c r="K223" s="6">
        <v>206</v>
      </c>
      <c r="L223" s="6">
        <v>20</v>
      </c>
      <c r="M223" s="6">
        <v>3</v>
      </c>
      <c r="N223" s="6" t="s">
        <v>3</v>
      </c>
      <c r="O223" s="6">
        <v>2</v>
      </c>
      <c r="P223" s="6">
        <f>ROUND(Source!DL202,O223)</f>
        <v>0</v>
      </c>
      <c r="Q223" s="6"/>
      <c r="R223" s="6"/>
      <c r="S223" s="6"/>
      <c r="T223" s="6"/>
      <c r="U223" s="6"/>
      <c r="V223" s="6"/>
      <c r="W223" s="6">
        <v>0</v>
      </c>
      <c r="X223" s="6">
        <v>1</v>
      </c>
      <c r="Y223" s="6">
        <v>0</v>
      </c>
      <c r="Z223" s="6">
        <v>0</v>
      </c>
      <c r="AA223" s="6">
        <v>1</v>
      </c>
      <c r="AB223" s="6">
        <v>0</v>
      </c>
    </row>
    <row r="224" spans="1:28" ht="13" x14ac:dyDescent="0.3">
      <c r="A224" s="6">
        <v>50</v>
      </c>
      <c r="B224" s="6">
        <v>0</v>
      </c>
      <c r="C224" s="6">
        <v>0</v>
      </c>
      <c r="D224" s="6">
        <v>1</v>
      </c>
      <c r="E224" s="6">
        <v>207</v>
      </c>
      <c r="F224" s="6">
        <f>Source!U202</f>
        <v>215.43239519999997</v>
      </c>
      <c r="G224" s="6" t="s">
        <v>103</v>
      </c>
      <c r="H224" s="6" t="s">
        <v>104</v>
      </c>
      <c r="I224" s="6"/>
      <c r="J224" s="6"/>
      <c r="K224" s="6">
        <v>207</v>
      </c>
      <c r="L224" s="6">
        <v>21</v>
      </c>
      <c r="M224" s="6">
        <v>3</v>
      </c>
      <c r="N224" s="6" t="s">
        <v>3</v>
      </c>
      <c r="O224" s="6">
        <v>-1</v>
      </c>
      <c r="P224" s="6">
        <f>Source!DM202</f>
        <v>215.43239519999997</v>
      </c>
      <c r="Q224" s="6"/>
      <c r="R224" s="6"/>
      <c r="S224" s="6"/>
      <c r="T224" s="6"/>
      <c r="U224" s="6"/>
      <c r="V224" s="6"/>
      <c r="W224" s="6">
        <v>215.4323952</v>
      </c>
      <c r="X224" s="6">
        <v>1</v>
      </c>
      <c r="Y224" s="6">
        <v>215.4323952</v>
      </c>
      <c r="Z224" s="6">
        <v>215.4323952</v>
      </c>
      <c r="AA224" s="6">
        <v>1</v>
      </c>
      <c r="AB224" s="6">
        <v>215.4323952</v>
      </c>
    </row>
    <row r="225" spans="1:206" ht="13" x14ac:dyDescent="0.3">
      <c r="A225" s="6">
        <v>50</v>
      </c>
      <c r="B225" s="6">
        <v>0</v>
      </c>
      <c r="C225" s="6">
        <v>0</v>
      </c>
      <c r="D225" s="6">
        <v>1</v>
      </c>
      <c r="E225" s="6">
        <v>208</v>
      </c>
      <c r="F225" s="6">
        <f>Source!V202</f>
        <v>0</v>
      </c>
      <c r="G225" s="6" t="s">
        <v>105</v>
      </c>
      <c r="H225" s="6" t="s">
        <v>106</v>
      </c>
      <c r="I225" s="6"/>
      <c r="J225" s="6"/>
      <c r="K225" s="6">
        <v>208</v>
      </c>
      <c r="L225" s="6">
        <v>22</v>
      </c>
      <c r="M225" s="6">
        <v>3</v>
      </c>
      <c r="N225" s="6" t="s">
        <v>3</v>
      </c>
      <c r="O225" s="6">
        <v>-1</v>
      </c>
      <c r="P225" s="6">
        <f>Source!DN202</f>
        <v>0</v>
      </c>
      <c r="Q225" s="6"/>
      <c r="R225" s="6"/>
      <c r="S225" s="6"/>
      <c r="T225" s="6"/>
      <c r="U225" s="6"/>
      <c r="V225" s="6"/>
      <c r="W225" s="6">
        <v>0</v>
      </c>
      <c r="X225" s="6">
        <v>1</v>
      </c>
      <c r="Y225" s="6">
        <v>0</v>
      </c>
      <c r="Z225" s="6">
        <v>0</v>
      </c>
      <c r="AA225" s="6">
        <v>1</v>
      </c>
      <c r="AB225" s="6">
        <v>0</v>
      </c>
    </row>
    <row r="226" spans="1:206" ht="13" x14ac:dyDescent="0.3">
      <c r="A226" s="6">
        <v>50</v>
      </c>
      <c r="B226" s="6">
        <v>0</v>
      </c>
      <c r="C226" s="6">
        <v>0</v>
      </c>
      <c r="D226" s="6">
        <v>1</v>
      </c>
      <c r="E226" s="6">
        <v>209</v>
      </c>
      <c r="F226" s="6">
        <f>ROUND(Source!W202,O226)</f>
        <v>0</v>
      </c>
      <c r="G226" s="6" t="s">
        <v>107</v>
      </c>
      <c r="H226" s="6" t="s">
        <v>108</v>
      </c>
      <c r="I226" s="6"/>
      <c r="J226" s="6"/>
      <c r="K226" s="6">
        <v>209</v>
      </c>
      <c r="L226" s="6">
        <v>23</v>
      </c>
      <c r="M226" s="6">
        <v>3</v>
      </c>
      <c r="N226" s="6" t="s">
        <v>3</v>
      </c>
      <c r="O226" s="6">
        <v>2</v>
      </c>
      <c r="P226" s="6">
        <f>ROUND(Source!DO202,O226)</f>
        <v>0</v>
      </c>
      <c r="Q226" s="6"/>
      <c r="R226" s="6"/>
      <c r="S226" s="6"/>
      <c r="T226" s="6"/>
      <c r="U226" s="6"/>
      <c r="V226" s="6"/>
      <c r="W226" s="6">
        <v>0</v>
      </c>
      <c r="X226" s="6">
        <v>1</v>
      </c>
      <c r="Y226" s="6">
        <v>0</v>
      </c>
      <c r="Z226" s="6">
        <v>0</v>
      </c>
      <c r="AA226" s="6">
        <v>1</v>
      </c>
      <c r="AB226" s="6">
        <v>0</v>
      </c>
    </row>
    <row r="227" spans="1:206" ht="13" x14ac:dyDescent="0.3">
      <c r="A227" s="6">
        <v>50</v>
      </c>
      <c r="B227" s="6">
        <v>0</v>
      </c>
      <c r="C227" s="6">
        <v>0</v>
      </c>
      <c r="D227" s="6">
        <v>1</v>
      </c>
      <c r="E227" s="6">
        <v>233</v>
      </c>
      <c r="F227" s="6">
        <f>ROUND(Source!BD202,O227)</f>
        <v>0</v>
      </c>
      <c r="G227" s="6" t="s">
        <v>109</v>
      </c>
      <c r="H227" s="6" t="s">
        <v>110</v>
      </c>
      <c r="I227" s="6"/>
      <c r="J227" s="6"/>
      <c r="K227" s="6">
        <v>233</v>
      </c>
      <c r="L227" s="6">
        <v>24</v>
      </c>
      <c r="M227" s="6">
        <v>3</v>
      </c>
      <c r="N227" s="6" t="s">
        <v>3</v>
      </c>
      <c r="O227" s="6">
        <v>2</v>
      </c>
      <c r="P227" s="6">
        <f>ROUND(Source!EV202,O227)</f>
        <v>0</v>
      </c>
      <c r="Q227" s="6"/>
      <c r="R227" s="6"/>
      <c r="S227" s="6"/>
      <c r="T227" s="6"/>
      <c r="U227" s="6"/>
      <c r="V227" s="6"/>
      <c r="W227" s="6">
        <v>0</v>
      </c>
      <c r="X227" s="6">
        <v>1</v>
      </c>
      <c r="Y227" s="6">
        <v>0</v>
      </c>
      <c r="Z227" s="6">
        <v>0</v>
      </c>
      <c r="AA227" s="6">
        <v>1</v>
      </c>
      <c r="AB227" s="6">
        <v>0</v>
      </c>
    </row>
    <row r="228" spans="1:206" ht="13" x14ac:dyDescent="0.3">
      <c r="A228" s="6">
        <v>50</v>
      </c>
      <c r="B228" s="6">
        <v>0</v>
      </c>
      <c r="C228" s="6">
        <v>0</v>
      </c>
      <c r="D228" s="6">
        <v>1</v>
      </c>
      <c r="E228" s="6">
        <v>210</v>
      </c>
      <c r="F228" s="6">
        <f>ROUND(Source!X202,O228)</f>
        <v>3084.33</v>
      </c>
      <c r="G228" s="6" t="s">
        <v>111</v>
      </c>
      <c r="H228" s="6" t="s">
        <v>112</v>
      </c>
      <c r="I228" s="6"/>
      <c r="J228" s="6"/>
      <c r="K228" s="6">
        <v>210</v>
      </c>
      <c r="L228" s="6">
        <v>25</v>
      </c>
      <c r="M228" s="6">
        <v>3</v>
      </c>
      <c r="N228" s="6" t="s">
        <v>3</v>
      </c>
      <c r="O228" s="6">
        <v>2</v>
      </c>
      <c r="P228" s="6">
        <f>ROUND(Source!DP202,O228)</f>
        <v>173802.33</v>
      </c>
      <c r="Q228" s="6"/>
      <c r="R228" s="6"/>
      <c r="S228" s="6"/>
      <c r="T228" s="6"/>
      <c r="U228" s="6"/>
      <c r="V228" s="6"/>
      <c r="W228" s="6">
        <v>3084.33</v>
      </c>
      <c r="X228" s="6">
        <v>1</v>
      </c>
      <c r="Y228" s="6">
        <v>3084.33</v>
      </c>
      <c r="Z228" s="6">
        <v>173802.33</v>
      </c>
      <c r="AA228" s="6">
        <v>1</v>
      </c>
      <c r="AB228" s="6">
        <v>173802.33</v>
      </c>
    </row>
    <row r="229" spans="1:206" ht="13" x14ac:dyDescent="0.3">
      <c r="A229" s="6">
        <v>50</v>
      </c>
      <c r="B229" s="6">
        <v>0</v>
      </c>
      <c r="C229" s="6">
        <v>0</v>
      </c>
      <c r="D229" s="6">
        <v>1</v>
      </c>
      <c r="E229" s="6">
        <v>211</v>
      </c>
      <c r="F229" s="6">
        <f>ROUND(Source!Y202,O229)</f>
        <v>1576.43</v>
      </c>
      <c r="G229" s="6" t="s">
        <v>113</v>
      </c>
      <c r="H229" s="6" t="s">
        <v>114</v>
      </c>
      <c r="I229" s="6"/>
      <c r="J229" s="6"/>
      <c r="K229" s="6">
        <v>211</v>
      </c>
      <c r="L229" s="6">
        <v>26</v>
      </c>
      <c r="M229" s="6">
        <v>3</v>
      </c>
      <c r="N229" s="6" t="s">
        <v>3</v>
      </c>
      <c r="O229" s="6">
        <v>2</v>
      </c>
      <c r="P229" s="6">
        <f>ROUND(Source!DQ202,O229)</f>
        <v>88832.31</v>
      </c>
      <c r="Q229" s="6"/>
      <c r="R229" s="6"/>
      <c r="S229" s="6"/>
      <c r="T229" s="6"/>
      <c r="U229" s="6"/>
      <c r="V229" s="6"/>
      <c r="W229" s="6">
        <v>1576.43</v>
      </c>
      <c r="X229" s="6">
        <v>1</v>
      </c>
      <c r="Y229" s="6">
        <v>1576.43</v>
      </c>
      <c r="Z229" s="6">
        <v>88832.31</v>
      </c>
      <c r="AA229" s="6">
        <v>1</v>
      </c>
      <c r="AB229" s="6">
        <v>88832.31</v>
      </c>
    </row>
    <row r="230" spans="1:206" ht="13" x14ac:dyDescent="0.3">
      <c r="A230" s="6">
        <v>50</v>
      </c>
      <c r="B230" s="6">
        <v>0</v>
      </c>
      <c r="C230" s="6">
        <v>0</v>
      </c>
      <c r="D230" s="6">
        <v>1</v>
      </c>
      <c r="E230" s="6">
        <v>224</v>
      </c>
      <c r="F230" s="6">
        <f>ROUND(Source!AR202,O230)</f>
        <v>378408.15</v>
      </c>
      <c r="G230" s="6" t="s">
        <v>115</v>
      </c>
      <c r="H230" s="6" t="s">
        <v>116</v>
      </c>
      <c r="I230" s="6"/>
      <c r="J230" s="6"/>
      <c r="K230" s="6">
        <v>224</v>
      </c>
      <c r="L230" s="6">
        <v>27</v>
      </c>
      <c r="M230" s="6">
        <v>3</v>
      </c>
      <c r="N230" s="6" t="s">
        <v>3</v>
      </c>
      <c r="O230" s="6">
        <v>2</v>
      </c>
      <c r="P230" s="6">
        <f>ROUND(Source!EJ202,O230)</f>
        <v>3256719.62</v>
      </c>
      <c r="Q230" s="6"/>
      <c r="R230" s="6"/>
      <c r="S230" s="6"/>
      <c r="T230" s="6"/>
      <c r="U230" s="6"/>
      <c r="V230" s="6"/>
      <c r="W230" s="6">
        <v>378408.15</v>
      </c>
      <c r="X230" s="6">
        <v>1</v>
      </c>
      <c r="Y230" s="6">
        <v>378408.15</v>
      </c>
      <c r="Z230" s="6">
        <v>3256719.62</v>
      </c>
      <c r="AA230" s="6">
        <v>1</v>
      </c>
      <c r="AB230" s="6">
        <v>3256719.62</v>
      </c>
    </row>
    <row r="232" spans="1:206" ht="13" x14ac:dyDescent="0.3">
      <c r="A232" s="4">
        <v>51</v>
      </c>
      <c r="B232" s="4">
        <f>B20</f>
        <v>1</v>
      </c>
      <c r="C232" s="4">
        <f>A20</f>
        <v>3</v>
      </c>
      <c r="D232" s="4">
        <f>ROW(A20)</f>
        <v>20</v>
      </c>
      <c r="E232" s="4"/>
      <c r="F232" s="4" t="str">
        <f>IF(F20&lt;&gt;"",F20,"")</f>
        <v>02-01-14</v>
      </c>
      <c r="G232" s="4" t="str">
        <f>IF(G20&lt;&gt;"",G20,"")</f>
        <v>Система охранного телевидения</v>
      </c>
      <c r="H232" s="4">
        <v>0</v>
      </c>
      <c r="I232" s="4"/>
      <c r="J232" s="4"/>
      <c r="K232" s="4"/>
      <c r="L232" s="4"/>
      <c r="M232" s="4"/>
      <c r="N232" s="4"/>
      <c r="O232" s="4">
        <f t="shared" ref="O232:T232" si="182">ROUND(O45+O110+O157+O202+AB232,2)</f>
        <v>1051915.25</v>
      </c>
      <c r="P232" s="4">
        <f t="shared" si="182"/>
        <v>1044881.38</v>
      </c>
      <c r="Q232" s="4">
        <f t="shared" si="182"/>
        <v>320.14999999999998</v>
      </c>
      <c r="R232" s="4">
        <f t="shared" si="182"/>
        <v>33.17</v>
      </c>
      <c r="S232" s="4">
        <f t="shared" si="182"/>
        <v>6713.72</v>
      </c>
      <c r="T232" s="4">
        <f t="shared" si="182"/>
        <v>0</v>
      </c>
      <c r="U232" s="4">
        <f>U45+U110+U157+U202+AH232</f>
        <v>460.84550975999991</v>
      </c>
      <c r="V232" s="4">
        <f>V45+V110+V157+V202+AI232</f>
        <v>0</v>
      </c>
      <c r="W232" s="4">
        <f>ROUND(W45+W110+W157+W202+AJ232,2)</f>
        <v>0</v>
      </c>
      <c r="X232" s="4">
        <f>ROUND(X45+X110+X157+X202+AK232,2)</f>
        <v>6102.15</v>
      </c>
      <c r="Y232" s="4">
        <f>ROUND(Y45+Y110+Y157+Y202+AL232,2)</f>
        <v>3145.49</v>
      </c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>
        <f t="shared" ref="AO232:BD232" si="183">ROUND(AO45+AO110+AO157+AO202+BX232,2)</f>
        <v>0</v>
      </c>
      <c r="AP232" s="4">
        <f t="shared" si="183"/>
        <v>1043717.95</v>
      </c>
      <c r="AQ232" s="4">
        <f t="shared" si="183"/>
        <v>0</v>
      </c>
      <c r="AR232" s="4">
        <f t="shared" si="183"/>
        <v>1061162.8899999999</v>
      </c>
      <c r="AS232" s="4">
        <f t="shared" si="183"/>
        <v>0</v>
      </c>
      <c r="AT232" s="4">
        <f t="shared" si="183"/>
        <v>17444.939999999999</v>
      </c>
      <c r="AU232" s="4">
        <f t="shared" si="183"/>
        <v>0</v>
      </c>
      <c r="AV232" s="4">
        <f t="shared" si="183"/>
        <v>1044881.38</v>
      </c>
      <c r="AW232" s="4">
        <f t="shared" si="183"/>
        <v>1163.43</v>
      </c>
      <c r="AX232" s="4">
        <f t="shared" si="183"/>
        <v>0</v>
      </c>
      <c r="AY232" s="4">
        <f t="shared" si="183"/>
        <v>1163.43</v>
      </c>
      <c r="AZ232" s="4">
        <f t="shared" si="183"/>
        <v>1043717.95</v>
      </c>
      <c r="BA232" s="4">
        <f t="shared" si="183"/>
        <v>0</v>
      </c>
      <c r="BB232" s="4">
        <f t="shared" si="183"/>
        <v>0</v>
      </c>
      <c r="BC232" s="4">
        <f t="shared" si="183"/>
        <v>0</v>
      </c>
      <c r="BD232" s="4">
        <f t="shared" si="183"/>
        <v>0</v>
      </c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5">
        <f t="shared" ref="DG232:DL232" si="184">ROUND(DG45+DG110+DG157+DG202+DT232,2)</f>
        <v>8289975.6600000001</v>
      </c>
      <c r="DH232" s="5">
        <f t="shared" si="184"/>
        <v>7906634.1500000004</v>
      </c>
      <c r="DI232" s="5">
        <f t="shared" si="184"/>
        <v>5023.38</v>
      </c>
      <c r="DJ232" s="5">
        <f t="shared" si="184"/>
        <v>1869.13</v>
      </c>
      <c r="DK232" s="5">
        <f t="shared" si="184"/>
        <v>378318.13</v>
      </c>
      <c r="DL232" s="5">
        <f t="shared" si="184"/>
        <v>0</v>
      </c>
      <c r="DM232" s="5">
        <f>DM45+DM110+DM157+DM202+DZ232</f>
        <v>460.84550975999991</v>
      </c>
      <c r="DN232" s="5">
        <f>DN45+DN110+DN157+DN202+EA232</f>
        <v>0</v>
      </c>
      <c r="DO232" s="5">
        <f>ROUND(DO45+DO110+DO157+DO202+EB232,2)</f>
        <v>0</v>
      </c>
      <c r="DP232" s="5">
        <f>ROUND(DP45+DP110+DP157+DP202+EC232,2)</f>
        <v>343857.02</v>
      </c>
      <c r="DQ232" s="5">
        <f>ROUND(DQ45+DQ110+DQ157+DQ202+ED232,2)</f>
        <v>177250.05</v>
      </c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>
        <f t="shared" ref="EG232:EV232" si="185">ROUND(EG45+EG110+EG157+EG202+FP232,2)</f>
        <v>0</v>
      </c>
      <c r="EH232" s="5">
        <f t="shared" si="185"/>
        <v>7900944.8899999997</v>
      </c>
      <c r="EI232" s="5">
        <f t="shared" si="185"/>
        <v>0</v>
      </c>
      <c r="EJ232" s="5">
        <f t="shared" si="185"/>
        <v>8811082.7300000004</v>
      </c>
      <c r="EK232" s="5">
        <f t="shared" si="185"/>
        <v>0</v>
      </c>
      <c r="EL232" s="5">
        <f t="shared" si="185"/>
        <v>910137.84</v>
      </c>
      <c r="EM232" s="5">
        <f t="shared" si="185"/>
        <v>0</v>
      </c>
      <c r="EN232" s="5">
        <f t="shared" si="185"/>
        <v>7906634.1500000004</v>
      </c>
      <c r="EO232" s="5">
        <f t="shared" si="185"/>
        <v>5689.26</v>
      </c>
      <c r="EP232" s="5">
        <f t="shared" si="185"/>
        <v>0</v>
      </c>
      <c r="EQ232" s="5">
        <f t="shared" si="185"/>
        <v>5689.26</v>
      </c>
      <c r="ER232" s="5">
        <f t="shared" si="185"/>
        <v>7900944.8899999997</v>
      </c>
      <c r="ES232" s="5">
        <f t="shared" si="185"/>
        <v>0</v>
      </c>
      <c r="ET232" s="5">
        <f t="shared" si="185"/>
        <v>0</v>
      </c>
      <c r="EU232" s="5">
        <f t="shared" si="185"/>
        <v>0</v>
      </c>
      <c r="EV232" s="5">
        <f t="shared" si="185"/>
        <v>0</v>
      </c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>
        <v>0</v>
      </c>
    </row>
    <row r="234" spans="1:206" ht="13" x14ac:dyDescent="0.3">
      <c r="A234" s="6">
        <v>50</v>
      </c>
      <c r="B234" s="6">
        <v>0</v>
      </c>
      <c r="C234" s="6">
        <v>0</v>
      </c>
      <c r="D234" s="6">
        <v>1</v>
      </c>
      <c r="E234" s="6">
        <v>201</v>
      </c>
      <c r="F234" s="6">
        <f>ROUND(Source!O232,O234)</f>
        <v>1051915.25</v>
      </c>
      <c r="G234" s="6" t="s">
        <v>63</v>
      </c>
      <c r="H234" s="6" t="s">
        <v>64</v>
      </c>
      <c r="I234" s="6"/>
      <c r="J234" s="6"/>
      <c r="K234" s="6">
        <v>201</v>
      </c>
      <c r="L234" s="6">
        <v>1</v>
      </c>
      <c r="M234" s="6">
        <v>3</v>
      </c>
      <c r="N234" s="6" t="s">
        <v>3</v>
      </c>
      <c r="O234" s="6">
        <v>2</v>
      </c>
      <c r="P234" s="6">
        <f>ROUND(Source!DG232,O234)</f>
        <v>8289975.6600000001</v>
      </c>
      <c r="Q234" s="6"/>
      <c r="R234" s="6"/>
      <c r="S234" s="6"/>
      <c r="T234" s="6"/>
      <c r="U234" s="6"/>
      <c r="V234" s="6"/>
      <c r="W234" s="6">
        <v>1051915.25</v>
      </c>
      <c r="X234" s="6">
        <v>1</v>
      </c>
      <c r="Y234" s="6">
        <v>1051915.25</v>
      </c>
      <c r="Z234" s="6">
        <v>8289975.6600000001</v>
      </c>
      <c r="AA234" s="6">
        <v>1</v>
      </c>
      <c r="AB234" s="6">
        <v>8289975.6600000001</v>
      </c>
    </row>
    <row r="235" spans="1:206" ht="13" x14ac:dyDescent="0.3">
      <c r="A235" s="6">
        <v>50</v>
      </c>
      <c r="B235" s="6">
        <v>0</v>
      </c>
      <c r="C235" s="6">
        <v>0</v>
      </c>
      <c r="D235" s="6">
        <v>1</v>
      </c>
      <c r="E235" s="6">
        <v>202</v>
      </c>
      <c r="F235" s="6">
        <f>ROUND(Source!P232,O235)</f>
        <v>1044881.38</v>
      </c>
      <c r="G235" s="6" t="s">
        <v>65</v>
      </c>
      <c r="H235" s="6" t="s">
        <v>66</v>
      </c>
      <c r="I235" s="6"/>
      <c r="J235" s="6"/>
      <c r="K235" s="6">
        <v>202</v>
      </c>
      <c r="L235" s="6">
        <v>2</v>
      </c>
      <c r="M235" s="6">
        <v>3</v>
      </c>
      <c r="N235" s="6" t="s">
        <v>3</v>
      </c>
      <c r="O235" s="6">
        <v>2</v>
      </c>
      <c r="P235" s="6">
        <f>ROUND(Source!DH232,O235)</f>
        <v>7906634.1500000004</v>
      </c>
      <c r="Q235" s="6"/>
      <c r="R235" s="6"/>
      <c r="S235" s="6"/>
      <c r="T235" s="6"/>
      <c r="U235" s="6"/>
      <c r="V235" s="6"/>
      <c r="W235" s="6">
        <v>1044881.38</v>
      </c>
      <c r="X235" s="6">
        <v>1</v>
      </c>
      <c r="Y235" s="6">
        <v>1044881.38</v>
      </c>
      <c r="Z235" s="6">
        <v>7906634.1500000004</v>
      </c>
      <c r="AA235" s="6">
        <v>1</v>
      </c>
      <c r="AB235" s="6">
        <v>7906634.1500000004</v>
      </c>
    </row>
    <row r="236" spans="1:206" ht="13" x14ac:dyDescent="0.3">
      <c r="A236" s="6">
        <v>50</v>
      </c>
      <c r="B236" s="6">
        <v>0</v>
      </c>
      <c r="C236" s="6">
        <v>0</v>
      </c>
      <c r="D236" s="6">
        <v>1</v>
      </c>
      <c r="E236" s="6">
        <v>222</v>
      </c>
      <c r="F236" s="6">
        <f>ROUND(Source!AO232,O236)</f>
        <v>0</v>
      </c>
      <c r="G236" s="6" t="s">
        <v>67</v>
      </c>
      <c r="H236" s="6" t="s">
        <v>68</v>
      </c>
      <c r="I236" s="6"/>
      <c r="J236" s="6"/>
      <c r="K236" s="6">
        <v>222</v>
      </c>
      <c r="L236" s="6">
        <v>3</v>
      </c>
      <c r="M236" s="6">
        <v>3</v>
      </c>
      <c r="N236" s="6" t="s">
        <v>3</v>
      </c>
      <c r="O236" s="6">
        <v>2</v>
      </c>
      <c r="P236" s="6">
        <f>ROUND(Source!EG232,O236)</f>
        <v>0</v>
      </c>
      <c r="Q236" s="6"/>
      <c r="R236" s="6"/>
      <c r="S236" s="6"/>
      <c r="T236" s="6"/>
      <c r="U236" s="6"/>
      <c r="V236" s="6"/>
      <c r="W236" s="6">
        <v>0</v>
      </c>
      <c r="X236" s="6">
        <v>1</v>
      </c>
      <c r="Y236" s="6">
        <v>0</v>
      </c>
      <c r="Z236" s="6">
        <v>0</v>
      </c>
      <c r="AA236" s="6">
        <v>1</v>
      </c>
      <c r="AB236" s="6">
        <v>0</v>
      </c>
    </row>
    <row r="237" spans="1:206" ht="13" x14ac:dyDescent="0.3">
      <c r="A237" s="6">
        <v>50</v>
      </c>
      <c r="B237" s="6">
        <v>0</v>
      </c>
      <c r="C237" s="6">
        <v>0</v>
      </c>
      <c r="D237" s="6">
        <v>1</v>
      </c>
      <c r="E237" s="6">
        <v>225</v>
      </c>
      <c r="F237" s="6">
        <f>ROUND(Source!AV232,O237)</f>
        <v>1044881.38</v>
      </c>
      <c r="G237" s="6" t="s">
        <v>69</v>
      </c>
      <c r="H237" s="6" t="s">
        <v>70</v>
      </c>
      <c r="I237" s="6"/>
      <c r="J237" s="6"/>
      <c r="K237" s="6">
        <v>225</v>
      </c>
      <c r="L237" s="6">
        <v>4</v>
      </c>
      <c r="M237" s="6">
        <v>3</v>
      </c>
      <c r="N237" s="6" t="s">
        <v>3</v>
      </c>
      <c r="O237" s="6">
        <v>2</v>
      </c>
      <c r="P237" s="6">
        <f>ROUND(Source!EN232,O237)</f>
        <v>7906634.1500000004</v>
      </c>
      <c r="Q237" s="6"/>
      <c r="R237" s="6"/>
      <c r="S237" s="6"/>
      <c r="T237" s="6"/>
      <c r="U237" s="6"/>
      <c r="V237" s="6"/>
      <c r="W237" s="6">
        <v>1044881.38</v>
      </c>
      <c r="X237" s="6">
        <v>1</v>
      </c>
      <c r="Y237" s="6">
        <v>1044881.38</v>
      </c>
      <c r="Z237" s="6">
        <v>7906634.1500000004</v>
      </c>
      <c r="AA237" s="6">
        <v>1</v>
      </c>
      <c r="AB237" s="6">
        <v>7906634.1500000004</v>
      </c>
    </row>
    <row r="238" spans="1:206" ht="13" x14ac:dyDescent="0.3">
      <c r="A238" s="6">
        <v>50</v>
      </c>
      <c r="B238" s="6">
        <v>0</v>
      </c>
      <c r="C238" s="6">
        <v>0</v>
      </c>
      <c r="D238" s="6">
        <v>1</v>
      </c>
      <c r="E238" s="6">
        <v>226</v>
      </c>
      <c r="F238" s="6">
        <f>ROUND(Source!AW232,O238)</f>
        <v>1163.43</v>
      </c>
      <c r="G238" s="6" t="s">
        <v>71</v>
      </c>
      <c r="H238" s="6" t="s">
        <v>72</v>
      </c>
      <c r="I238" s="6"/>
      <c r="J238" s="6"/>
      <c r="K238" s="6">
        <v>226</v>
      </c>
      <c r="L238" s="6">
        <v>5</v>
      </c>
      <c r="M238" s="6">
        <v>3</v>
      </c>
      <c r="N238" s="6" t="s">
        <v>3</v>
      </c>
      <c r="O238" s="6">
        <v>2</v>
      </c>
      <c r="P238" s="6">
        <f>ROUND(Source!EO232,O238)</f>
        <v>5689.26</v>
      </c>
      <c r="Q238" s="6"/>
      <c r="R238" s="6"/>
      <c r="S238" s="6"/>
      <c r="T238" s="6"/>
      <c r="U238" s="6"/>
      <c r="V238" s="6"/>
      <c r="W238" s="6">
        <v>1163.43</v>
      </c>
      <c r="X238" s="6">
        <v>1</v>
      </c>
      <c r="Y238" s="6">
        <v>1163.43</v>
      </c>
      <c r="Z238" s="6">
        <v>5689.26</v>
      </c>
      <c r="AA238" s="6">
        <v>1</v>
      </c>
      <c r="AB238" s="6">
        <v>5689.26</v>
      </c>
    </row>
    <row r="239" spans="1:206" ht="13" x14ac:dyDescent="0.3">
      <c r="A239" s="6">
        <v>50</v>
      </c>
      <c r="B239" s="6">
        <v>0</v>
      </c>
      <c r="C239" s="6">
        <v>0</v>
      </c>
      <c r="D239" s="6">
        <v>1</v>
      </c>
      <c r="E239" s="6">
        <v>227</v>
      </c>
      <c r="F239" s="6">
        <f>ROUND(Source!AX232,O239)</f>
        <v>0</v>
      </c>
      <c r="G239" s="6" t="s">
        <v>73</v>
      </c>
      <c r="H239" s="6" t="s">
        <v>74</v>
      </c>
      <c r="I239" s="6"/>
      <c r="J239" s="6"/>
      <c r="K239" s="6">
        <v>227</v>
      </c>
      <c r="L239" s="6">
        <v>6</v>
      </c>
      <c r="M239" s="6">
        <v>3</v>
      </c>
      <c r="N239" s="6" t="s">
        <v>3</v>
      </c>
      <c r="O239" s="6">
        <v>2</v>
      </c>
      <c r="P239" s="6">
        <f>ROUND(Source!EP232,O239)</f>
        <v>0</v>
      </c>
      <c r="Q239" s="6"/>
      <c r="R239" s="6"/>
      <c r="S239" s="6"/>
      <c r="T239" s="6"/>
      <c r="U239" s="6"/>
      <c r="V239" s="6"/>
      <c r="W239" s="6">
        <v>0</v>
      </c>
      <c r="X239" s="6">
        <v>1</v>
      </c>
      <c r="Y239" s="6">
        <v>0</v>
      </c>
      <c r="Z239" s="6">
        <v>0</v>
      </c>
      <c r="AA239" s="6">
        <v>1</v>
      </c>
      <c r="AB239" s="6">
        <v>0</v>
      </c>
    </row>
    <row r="240" spans="1:206" ht="13" x14ac:dyDescent="0.3">
      <c r="A240" s="6">
        <v>50</v>
      </c>
      <c r="B240" s="6">
        <v>0</v>
      </c>
      <c r="C240" s="6">
        <v>0</v>
      </c>
      <c r="D240" s="6">
        <v>1</v>
      </c>
      <c r="E240" s="6">
        <v>228</v>
      </c>
      <c r="F240" s="6">
        <f>ROUND(Source!AY232,O240)</f>
        <v>1163.43</v>
      </c>
      <c r="G240" s="6" t="s">
        <v>75</v>
      </c>
      <c r="H240" s="6" t="s">
        <v>76</v>
      </c>
      <c r="I240" s="6"/>
      <c r="J240" s="6"/>
      <c r="K240" s="6">
        <v>228</v>
      </c>
      <c r="L240" s="6">
        <v>7</v>
      </c>
      <c r="M240" s="6">
        <v>3</v>
      </c>
      <c r="N240" s="6" t="s">
        <v>3</v>
      </c>
      <c r="O240" s="6">
        <v>2</v>
      </c>
      <c r="P240" s="6">
        <f>ROUND(Source!EQ232,O240)</f>
        <v>5689.26</v>
      </c>
      <c r="Q240" s="6"/>
      <c r="R240" s="6"/>
      <c r="S240" s="6"/>
      <c r="T240" s="6"/>
      <c r="U240" s="6"/>
      <c r="V240" s="6"/>
      <c r="W240" s="6">
        <v>1163.43</v>
      </c>
      <c r="X240" s="6">
        <v>1</v>
      </c>
      <c r="Y240" s="6">
        <v>1163.43</v>
      </c>
      <c r="Z240" s="6">
        <v>5689.26</v>
      </c>
      <c r="AA240" s="6">
        <v>1</v>
      </c>
      <c r="AB240" s="6">
        <v>5689.26</v>
      </c>
    </row>
    <row r="241" spans="1:28" ht="13" x14ac:dyDescent="0.3">
      <c r="A241" s="6">
        <v>50</v>
      </c>
      <c r="B241" s="6">
        <v>0</v>
      </c>
      <c r="C241" s="6">
        <v>0</v>
      </c>
      <c r="D241" s="6">
        <v>1</v>
      </c>
      <c r="E241" s="6">
        <v>216</v>
      </c>
      <c r="F241" s="6">
        <f>ROUND(Source!AP232,O241)</f>
        <v>1043717.95</v>
      </c>
      <c r="G241" s="6" t="s">
        <v>77</v>
      </c>
      <c r="H241" s="6" t="s">
        <v>78</v>
      </c>
      <c r="I241" s="6"/>
      <c r="J241" s="6"/>
      <c r="K241" s="6">
        <v>216</v>
      </c>
      <c r="L241" s="6">
        <v>8</v>
      </c>
      <c r="M241" s="6">
        <v>3</v>
      </c>
      <c r="N241" s="6" t="s">
        <v>3</v>
      </c>
      <c r="O241" s="6">
        <v>2</v>
      </c>
      <c r="P241" s="6">
        <f>ROUND(Source!EH232,O241)</f>
        <v>7900944.8899999997</v>
      </c>
      <c r="Q241" s="6"/>
      <c r="R241" s="6"/>
      <c r="S241" s="6"/>
      <c r="T241" s="6"/>
      <c r="U241" s="6"/>
      <c r="V241" s="6"/>
      <c r="W241" s="6">
        <v>1043717.95</v>
      </c>
      <c r="X241" s="6">
        <v>1</v>
      </c>
      <c r="Y241" s="6">
        <v>1043717.95</v>
      </c>
      <c r="Z241" s="6">
        <v>7900944.8899999997</v>
      </c>
      <c r="AA241" s="6">
        <v>1</v>
      </c>
      <c r="AB241" s="6">
        <v>7900944.8899999997</v>
      </c>
    </row>
    <row r="242" spans="1:28" ht="13" x14ac:dyDescent="0.3">
      <c r="A242" s="6">
        <v>50</v>
      </c>
      <c r="B242" s="6">
        <v>0</v>
      </c>
      <c r="C242" s="6">
        <v>0</v>
      </c>
      <c r="D242" s="6">
        <v>1</v>
      </c>
      <c r="E242" s="6">
        <v>223</v>
      </c>
      <c r="F242" s="6">
        <f>ROUND(Source!AQ232,O242)</f>
        <v>0</v>
      </c>
      <c r="G242" s="6" t="s">
        <v>79</v>
      </c>
      <c r="H242" s="6" t="s">
        <v>80</v>
      </c>
      <c r="I242" s="6"/>
      <c r="J242" s="6"/>
      <c r="K242" s="6">
        <v>223</v>
      </c>
      <c r="L242" s="6">
        <v>9</v>
      </c>
      <c r="M242" s="6">
        <v>3</v>
      </c>
      <c r="N242" s="6" t="s">
        <v>3</v>
      </c>
      <c r="O242" s="6">
        <v>2</v>
      </c>
      <c r="P242" s="6">
        <f>ROUND(Source!EI232,O242)</f>
        <v>0</v>
      </c>
      <c r="Q242" s="6"/>
      <c r="R242" s="6"/>
      <c r="S242" s="6"/>
      <c r="T242" s="6"/>
      <c r="U242" s="6"/>
      <c r="V242" s="6"/>
      <c r="W242" s="6">
        <v>0</v>
      </c>
      <c r="X242" s="6">
        <v>1</v>
      </c>
      <c r="Y242" s="6">
        <v>0</v>
      </c>
      <c r="Z242" s="6">
        <v>0</v>
      </c>
      <c r="AA242" s="6">
        <v>1</v>
      </c>
      <c r="AB242" s="6">
        <v>0</v>
      </c>
    </row>
    <row r="243" spans="1:28" ht="13" x14ac:dyDescent="0.3">
      <c r="A243" s="6">
        <v>50</v>
      </c>
      <c r="B243" s="6">
        <v>0</v>
      </c>
      <c r="C243" s="6">
        <v>0</v>
      </c>
      <c r="D243" s="6">
        <v>1</v>
      </c>
      <c r="E243" s="6">
        <v>229</v>
      </c>
      <c r="F243" s="6">
        <f>ROUND(Source!AZ232,O243)</f>
        <v>1043717.95</v>
      </c>
      <c r="G243" s="6" t="s">
        <v>81</v>
      </c>
      <c r="H243" s="6" t="s">
        <v>82</v>
      </c>
      <c r="I243" s="6"/>
      <c r="J243" s="6"/>
      <c r="K243" s="6">
        <v>229</v>
      </c>
      <c r="L243" s="6">
        <v>10</v>
      </c>
      <c r="M243" s="6">
        <v>3</v>
      </c>
      <c r="N243" s="6" t="s">
        <v>3</v>
      </c>
      <c r="O243" s="6">
        <v>2</v>
      </c>
      <c r="P243" s="6">
        <f>ROUND(Source!ER232,O243)</f>
        <v>7900944.8899999997</v>
      </c>
      <c r="Q243" s="6"/>
      <c r="R243" s="6"/>
      <c r="S243" s="6"/>
      <c r="T243" s="6"/>
      <c r="U243" s="6"/>
      <c r="V243" s="6"/>
      <c r="W243" s="6">
        <v>1043717.95</v>
      </c>
      <c r="X243" s="6">
        <v>1</v>
      </c>
      <c r="Y243" s="6">
        <v>1043717.95</v>
      </c>
      <c r="Z243" s="6">
        <v>7900944.8899999997</v>
      </c>
      <c r="AA243" s="6">
        <v>1</v>
      </c>
      <c r="AB243" s="6">
        <v>7900944.8899999997</v>
      </c>
    </row>
    <row r="244" spans="1:28" ht="13" x14ac:dyDescent="0.3">
      <c r="A244" s="6">
        <v>50</v>
      </c>
      <c r="B244" s="6">
        <v>0</v>
      </c>
      <c r="C244" s="6">
        <v>0</v>
      </c>
      <c r="D244" s="6">
        <v>1</v>
      </c>
      <c r="E244" s="6">
        <v>203</v>
      </c>
      <c r="F244" s="6">
        <f>ROUND(Source!Q232,O244)</f>
        <v>320.14999999999998</v>
      </c>
      <c r="G244" s="6" t="s">
        <v>83</v>
      </c>
      <c r="H244" s="6" t="s">
        <v>84</v>
      </c>
      <c r="I244" s="6"/>
      <c r="J244" s="6"/>
      <c r="K244" s="6">
        <v>203</v>
      </c>
      <c r="L244" s="6">
        <v>11</v>
      </c>
      <c r="M244" s="6">
        <v>3</v>
      </c>
      <c r="N244" s="6" t="s">
        <v>3</v>
      </c>
      <c r="O244" s="6">
        <v>2</v>
      </c>
      <c r="P244" s="6">
        <f>ROUND(Source!DI232,O244)</f>
        <v>5023.38</v>
      </c>
      <c r="Q244" s="6"/>
      <c r="R244" s="6"/>
      <c r="S244" s="6"/>
      <c r="T244" s="6"/>
      <c r="U244" s="6"/>
      <c r="V244" s="6"/>
      <c r="W244" s="6">
        <v>320.14999999999998</v>
      </c>
      <c r="X244" s="6">
        <v>1</v>
      </c>
      <c r="Y244" s="6">
        <v>320.14999999999998</v>
      </c>
      <c r="Z244" s="6">
        <v>5023.38</v>
      </c>
      <c r="AA244" s="6">
        <v>1</v>
      </c>
      <c r="AB244" s="6">
        <v>5023.38</v>
      </c>
    </row>
    <row r="245" spans="1:28" ht="13" x14ac:dyDescent="0.3">
      <c r="A245" s="6">
        <v>50</v>
      </c>
      <c r="B245" s="6">
        <v>0</v>
      </c>
      <c r="C245" s="6">
        <v>0</v>
      </c>
      <c r="D245" s="6">
        <v>1</v>
      </c>
      <c r="E245" s="6">
        <v>231</v>
      </c>
      <c r="F245" s="6">
        <f>ROUND(Source!BB232,O245)</f>
        <v>0</v>
      </c>
      <c r="G245" s="6" t="s">
        <v>85</v>
      </c>
      <c r="H245" s="6" t="s">
        <v>86</v>
      </c>
      <c r="I245" s="6"/>
      <c r="J245" s="6"/>
      <c r="K245" s="6">
        <v>231</v>
      </c>
      <c r="L245" s="6">
        <v>12</v>
      </c>
      <c r="M245" s="6">
        <v>3</v>
      </c>
      <c r="N245" s="6" t="s">
        <v>3</v>
      </c>
      <c r="O245" s="6">
        <v>2</v>
      </c>
      <c r="P245" s="6">
        <f>ROUND(Source!ET232,O245)</f>
        <v>0</v>
      </c>
      <c r="Q245" s="6"/>
      <c r="R245" s="6"/>
      <c r="S245" s="6"/>
      <c r="T245" s="6"/>
      <c r="U245" s="6"/>
      <c r="V245" s="6"/>
      <c r="W245" s="6">
        <v>0</v>
      </c>
      <c r="X245" s="6">
        <v>1</v>
      </c>
      <c r="Y245" s="6">
        <v>0</v>
      </c>
      <c r="Z245" s="6">
        <v>0</v>
      </c>
      <c r="AA245" s="6">
        <v>1</v>
      </c>
      <c r="AB245" s="6">
        <v>0</v>
      </c>
    </row>
    <row r="246" spans="1:28" ht="13" x14ac:dyDescent="0.3">
      <c r="A246" s="6">
        <v>50</v>
      </c>
      <c r="B246" s="6">
        <v>0</v>
      </c>
      <c r="C246" s="6">
        <v>0</v>
      </c>
      <c r="D246" s="6">
        <v>1</v>
      </c>
      <c r="E246" s="6">
        <v>204</v>
      </c>
      <c r="F246" s="6">
        <f>ROUND(Source!R232,O246)</f>
        <v>33.17</v>
      </c>
      <c r="G246" s="6" t="s">
        <v>87</v>
      </c>
      <c r="H246" s="6" t="s">
        <v>88</v>
      </c>
      <c r="I246" s="6"/>
      <c r="J246" s="6"/>
      <c r="K246" s="6">
        <v>204</v>
      </c>
      <c r="L246" s="6">
        <v>13</v>
      </c>
      <c r="M246" s="6">
        <v>3</v>
      </c>
      <c r="N246" s="6" t="s">
        <v>3</v>
      </c>
      <c r="O246" s="6">
        <v>2</v>
      </c>
      <c r="P246" s="6">
        <f>ROUND(Source!DJ232,O246)</f>
        <v>1869.13</v>
      </c>
      <c r="Q246" s="6"/>
      <c r="R246" s="6"/>
      <c r="S246" s="6"/>
      <c r="T246" s="6"/>
      <c r="U246" s="6"/>
      <c r="V246" s="6"/>
      <c r="W246" s="6">
        <v>33.17</v>
      </c>
      <c r="X246" s="6">
        <v>1</v>
      </c>
      <c r="Y246" s="6">
        <v>33.17</v>
      </c>
      <c r="Z246" s="6">
        <v>1869.13</v>
      </c>
      <c r="AA246" s="6">
        <v>1</v>
      </c>
      <c r="AB246" s="6">
        <v>1869.13</v>
      </c>
    </row>
    <row r="247" spans="1:28" ht="13" x14ac:dyDescent="0.3">
      <c r="A247" s="6">
        <v>50</v>
      </c>
      <c r="B247" s="6">
        <v>0</v>
      </c>
      <c r="C247" s="6">
        <v>0</v>
      </c>
      <c r="D247" s="6">
        <v>1</v>
      </c>
      <c r="E247" s="6">
        <v>205</v>
      </c>
      <c r="F247" s="6">
        <f>ROUND(Source!S232,O247)</f>
        <v>6713.72</v>
      </c>
      <c r="G247" s="6" t="s">
        <v>89</v>
      </c>
      <c r="H247" s="6" t="s">
        <v>90</v>
      </c>
      <c r="I247" s="6"/>
      <c r="J247" s="6"/>
      <c r="K247" s="6">
        <v>205</v>
      </c>
      <c r="L247" s="6">
        <v>14</v>
      </c>
      <c r="M247" s="6">
        <v>3</v>
      </c>
      <c r="N247" s="6" t="s">
        <v>3</v>
      </c>
      <c r="O247" s="6">
        <v>2</v>
      </c>
      <c r="P247" s="6">
        <f>ROUND(Source!DK232,O247)</f>
        <v>378318.13</v>
      </c>
      <c r="Q247" s="6"/>
      <c r="R247" s="6"/>
      <c r="S247" s="6"/>
      <c r="T247" s="6"/>
      <c r="U247" s="6"/>
      <c r="V247" s="6"/>
      <c r="W247" s="6">
        <v>6713.72</v>
      </c>
      <c r="X247" s="6">
        <v>1</v>
      </c>
      <c r="Y247" s="6">
        <v>6713.72</v>
      </c>
      <c r="Z247" s="6">
        <v>378318.13</v>
      </c>
      <c r="AA247" s="6">
        <v>1</v>
      </c>
      <c r="AB247" s="6">
        <v>378318.13</v>
      </c>
    </row>
    <row r="248" spans="1:28" ht="13" x14ac:dyDescent="0.3">
      <c r="A248" s="6">
        <v>50</v>
      </c>
      <c r="B248" s="6">
        <v>0</v>
      </c>
      <c r="C248" s="6">
        <v>0</v>
      </c>
      <c r="D248" s="6">
        <v>1</v>
      </c>
      <c r="E248" s="6">
        <v>232</v>
      </c>
      <c r="F248" s="6">
        <f>ROUND(Source!BC232,O248)</f>
        <v>0</v>
      </c>
      <c r="G248" s="6" t="s">
        <v>91</v>
      </c>
      <c r="H248" s="6" t="s">
        <v>92</v>
      </c>
      <c r="I248" s="6"/>
      <c r="J248" s="6"/>
      <c r="K248" s="6">
        <v>232</v>
      </c>
      <c r="L248" s="6">
        <v>15</v>
      </c>
      <c r="M248" s="6">
        <v>3</v>
      </c>
      <c r="N248" s="6" t="s">
        <v>3</v>
      </c>
      <c r="O248" s="6">
        <v>2</v>
      </c>
      <c r="P248" s="6">
        <f>ROUND(Source!EU232,O248)</f>
        <v>0</v>
      </c>
      <c r="Q248" s="6"/>
      <c r="R248" s="6"/>
      <c r="S248" s="6"/>
      <c r="T248" s="6"/>
      <c r="U248" s="6"/>
      <c r="V248" s="6"/>
      <c r="W248" s="6">
        <v>0</v>
      </c>
      <c r="X248" s="6">
        <v>1</v>
      </c>
      <c r="Y248" s="6">
        <v>0</v>
      </c>
      <c r="Z248" s="6">
        <v>0</v>
      </c>
      <c r="AA248" s="6">
        <v>1</v>
      </c>
      <c r="AB248" s="6">
        <v>0</v>
      </c>
    </row>
    <row r="249" spans="1:28" ht="13" x14ac:dyDescent="0.3">
      <c r="A249" s="6">
        <v>50</v>
      </c>
      <c r="B249" s="6">
        <v>0</v>
      </c>
      <c r="C249" s="6">
        <v>0</v>
      </c>
      <c r="D249" s="6">
        <v>1</v>
      </c>
      <c r="E249" s="6">
        <v>214</v>
      </c>
      <c r="F249" s="6">
        <f>ROUND(Source!AS232,O249)</f>
        <v>0</v>
      </c>
      <c r="G249" s="6" t="s">
        <v>93</v>
      </c>
      <c r="H249" s="6" t="s">
        <v>94</v>
      </c>
      <c r="I249" s="6"/>
      <c r="J249" s="6"/>
      <c r="K249" s="6">
        <v>214</v>
      </c>
      <c r="L249" s="6">
        <v>16</v>
      </c>
      <c r="M249" s="6">
        <v>3</v>
      </c>
      <c r="N249" s="6" t="s">
        <v>3</v>
      </c>
      <c r="O249" s="6">
        <v>2</v>
      </c>
      <c r="P249" s="6">
        <f>ROUND(Source!EK232,O249)</f>
        <v>0</v>
      </c>
      <c r="Q249" s="6"/>
      <c r="R249" s="6"/>
      <c r="S249" s="6"/>
      <c r="T249" s="6"/>
      <c r="U249" s="6"/>
      <c r="V249" s="6"/>
      <c r="W249" s="6">
        <v>0</v>
      </c>
      <c r="X249" s="6">
        <v>1</v>
      </c>
      <c r="Y249" s="6">
        <v>0</v>
      </c>
      <c r="Z249" s="6">
        <v>0</v>
      </c>
      <c r="AA249" s="6">
        <v>1</v>
      </c>
      <c r="AB249" s="6">
        <v>0</v>
      </c>
    </row>
    <row r="250" spans="1:28" ht="13" x14ac:dyDescent="0.3">
      <c r="A250" s="6">
        <v>50</v>
      </c>
      <c r="B250" s="6">
        <v>0</v>
      </c>
      <c r="C250" s="6">
        <v>0</v>
      </c>
      <c r="D250" s="6">
        <v>1</v>
      </c>
      <c r="E250" s="6">
        <v>215</v>
      </c>
      <c r="F250" s="6">
        <f>ROUND(Source!AT232,O250)</f>
        <v>17444.939999999999</v>
      </c>
      <c r="G250" s="6" t="s">
        <v>95</v>
      </c>
      <c r="H250" s="6" t="s">
        <v>96</v>
      </c>
      <c r="I250" s="6"/>
      <c r="J250" s="6"/>
      <c r="K250" s="6">
        <v>215</v>
      </c>
      <c r="L250" s="6">
        <v>17</v>
      </c>
      <c r="M250" s="6">
        <v>3</v>
      </c>
      <c r="N250" s="6" t="s">
        <v>3</v>
      </c>
      <c r="O250" s="6">
        <v>2</v>
      </c>
      <c r="P250" s="6">
        <f>ROUND(Source!EL232,O250)</f>
        <v>910137.84</v>
      </c>
      <c r="Q250" s="6"/>
      <c r="R250" s="6"/>
      <c r="S250" s="6"/>
      <c r="T250" s="6"/>
      <c r="U250" s="6"/>
      <c r="V250" s="6"/>
      <c r="W250" s="6">
        <v>17444.939999999999</v>
      </c>
      <c r="X250" s="6">
        <v>1</v>
      </c>
      <c r="Y250" s="6">
        <v>17444.939999999999</v>
      </c>
      <c r="Z250" s="6">
        <v>910137.84</v>
      </c>
      <c r="AA250" s="6">
        <v>1</v>
      </c>
      <c r="AB250" s="6">
        <v>910137.84</v>
      </c>
    </row>
    <row r="251" spans="1:28" ht="13" x14ac:dyDescent="0.3">
      <c r="A251" s="6">
        <v>50</v>
      </c>
      <c r="B251" s="6">
        <v>0</v>
      </c>
      <c r="C251" s="6">
        <v>0</v>
      </c>
      <c r="D251" s="6">
        <v>1</v>
      </c>
      <c r="E251" s="6">
        <v>217</v>
      </c>
      <c r="F251" s="6">
        <f>ROUND(Source!AU232,O251)</f>
        <v>0</v>
      </c>
      <c r="G251" s="6" t="s">
        <v>97</v>
      </c>
      <c r="H251" s="6" t="s">
        <v>98</v>
      </c>
      <c r="I251" s="6"/>
      <c r="J251" s="6"/>
      <c r="K251" s="6">
        <v>217</v>
      </c>
      <c r="L251" s="6">
        <v>18</v>
      </c>
      <c r="M251" s="6">
        <v>3</v>
      </c>
      <c r="N251" s="6" t="s">
        <v>3</v>
      </c>
      <c r="O251" s="6">
        <v>2</v>
      </c>
      <c r="P251" s="6">
        <f>ROUND(Source!EM232,O251)</f>
        <v>0</v>
      </c>
      <c r="Q251" s="6"/>
      <c r="R251" s="6"/>
      <c r="S251" s="6"/>
      <c r="T251" s="6"/>
      <c r="U251" s="6"/>
      <c r="V251" s="6"/>
      <c r="W251" s="6">
        <v>0</v>
      </c>
      <c r="X251" s="6">
        <v>1</v>
      </c>
      <c r="Y251" s="6">
        <v>0</v>
      </c>
      <c r="Z251" s="6">
        <v>0</v>
      </c>
      <c r="AA251" s="6">
        <v>1</v>
      </c>
      <c r="AB251" s="6">
        <v>0</v>
      </c>
    </row>
    <row r="252" spans="1:28" ht="13" x14ac:dyDescent="0.3">
      <c r="A252" s="6">
        <v>50</v>
      </c>
      <c r="B252" s="6">
        <v>0</v>
      </c>
      <c r="C252" s="6">
        <v>0</v>
      </c>
      <c r="D252" s="6">
        <v>1</v>
      </c>
      <c r="E252" s="6">
        <v>230</v>
      </c>
      <c r="F252" s="6">
        <f>ROUND(Source!BA232,O252)</f>
        <v>0</v>
      </c>
      <c r="G252" s="6" t="s">
        <v>99</v>
      </c>
      <c r="H252" s="6" t="s">
        <v>100</v>
      </c>
      <c r="I252" s="6"/>
      <c r="J252" s="6"/>
      <c r="K252" s="6">
        <v>230</v>
      </c>
      <c r="L252" s="6">
        <v>19</v>
      </c>
      <c r="M252" s="6">
        <v>3</v>
      </c>
      <c r="N252" s="6" t="s">
        <v>3</v>
      </c>
      <c r="O252" s="6">
        <v>2</v>
      </c>
      <c r="P252" s="6">
        <f>ROUND(Source!ES232,O252)</f>
        <v>0</v>
      </c>
      <c r="Q252" s="6"/>
      <c r="R252" s="6"/>
      <c r="S252" s="6"/>
      <c r="T252" s="6"/>
      <c r="U252" s="6"/>
      <c r="V252" s="6"/>
      <c r="W252" s="6">
        <v>0</v>
      </c>
      <c r="X252" s="6">
        <v>1</v>
      </c>
      <c r="Y252" s="6">
        <v>0</v>
      </c>
      <c r="Z252" s="6">
        <v>0</v>
      </c>
      <c r="AA252" s="6">
        <v>1</v>
      </c>
      <c r="AB252" s="6">
        <v>0</v>
      </c>
    </row>
    <row r="253" spans="1:28" ht="13" x14ac:dyDescent="0.3">
      <c r="A253" s="6">
        <v>50</v>
      </c>
      <c r="B253" s="6">
        <v>0</v>
      </c>
      <c r="C253" s="6">
        <v>0</v>
      </c>
      <c r="D253" s="6">
        <v>1</v>
      </c>
      <c r="E253" s="6">
        <v>206</v>
      </c>
      <c r="F253" s="6">
        <f>ROUND(Source!T232,O253)</f>
        <v>0</v>
      </c>
      <c r="G253" s="6" t="s">
        <v>101</v>
      </c>
      <c r="H253" s="6" t="s">
        <v>102</v>
      </c>
      <c r="I253" s="6"/>
      <c r="J253" s="6"/>
      <c r="K253" s="6">
        <v>206</v>
      </c>
      <c r="L253" s="6">
        <v>20</v>
      </c>
      <c r="M253" s="6">
        <v>3</v>
      </c>
      <c r="N253" s="6" t="s">
        <v>3</v>
      </c>
      <c r="O253" s="6">
        <v>2</v>
      </c>
      <c r="P253" s="6">
        <f>ROUND(Source!DL232,O253)</f>
        <v>0</v>
      </c>
      <c r="Q253" s="6"/>
      <c r="R253" s="6"/>
      <c r="S253" s="6"/>
      <c r="T253" s="6"/>
      <c r="U253" s="6"/>
      <c r="V253" s="6"/>
      <c r="W253" s="6">
        <v>0</v>
      </c>
      <c r="X253" s="6">
        <v>1</v>
      </c>
      <c r="Y253" s="6">
        <v>0</v>
      </c>
      <c r="Z253" s="6">
        <v>0</v>
      </c>
      <c r="AA253" s="6">
        <v>1</v>
      </c>
      <c r="AB253" s="6">
        <v>0</v>
      </c>
    </row>
    <row r="254" spans="1:28" ht="13" x14ac:dyDescent="0.3">
      <c r="A254" s="6">
        <v>50</v>
      </c>
      <c r="B254" s="6">
        <v>0</v>
      </c>
      <c r="C254" s="6">
        <v>0</v>
      </c>
      <c r="D254" s="6">
        <v>1</v>
      </c>
      <c r="E254" s="6">
        <v>207</v>
      </c>
      <c r="F254" s="6">
        <f>Source!U232</f>
        <v>460.84550975999991</v>
      </c>
      <c r="G254" s="6" t="s">
        <v>103</v>
      </c>
      <c r="H254" s="6" t="s">
        <v>104</v>
      </c>
      <c r="I254" s="6"/>
      <c r="J254" s="6"/>
      <c r="K254" s="6">
        <v>207</v>
      </c>
      <c r="L254" s="6">
        <v>21</v>
      </c>
      <c r="M254" s="6">
        <v>3</v>
      </c>
      <c r="N254" s="6" t="s">
        <v>3</v>
      </c>
      <c r="O254" s="6">
        <v>-1</v>
      </c>
      <c r="P254" s="6">
        <f>Source!DM232</f>
        <v>460.84550975999991</v>
      </c>
      <c r="Q254" s="6"/>
      <c r="R254" s="6"/>
      <c r="S254" s="6"/>
      <c r="T254" s="6"/>
      <c r="U254" s="6"/>
      <c r="V254" s="6"/>
      <c r="W254" s="6">
        <v>460.84550975999997</v>
      </c>
      <c r="X254" s="6">
        <v>1</v>
      </c>
      <c r="Y254" s="6">
        <v>460.84550975999997</v>
      </c>
      <c r="Z254" s="6">
        <v>460.84550975999997</v>
      </c>
      <c r="AA254" s="6">
        <v>1</v>
      </c>
      <c r="AB254" s="6">
        <v>460.84550975999997</v>
      </c>
    </row>
    <row r="255" spans="1:28" ht="13" x14ac:dyDescent="0.3">
      <c r="A255" s="6">
        <v>50</v>
      </c>
      <c r="B255" s="6">
        <v>0</v>
      </c>
      <c r="C255" s="6">
        <v>0</v>
      </c>
      <c r="D255" s="6">
        <v>1</v>
      </c>
      <c r="E255" s="6">
        <v>208</v>
      </c>
      <c r="F255" s="6">
        <f>Source!V232</f>
        <v>0</v>
      </c>
      <c r="G255" s="6" t="s">
        <v>105</v>
      </c>
      <c r="H255" s="6" t="s">
        <v>106</v>
      </c>
      <c r="I255" s="6"/>
      <c r="J255" s="6"/>
      <c r="K255" s="6">
        <v>208</v>
      </c>
      <c r="L255" s="6">
        <v>22</v>
      </c>
      <c r="M255" s="6">
        <v>3</v>
      </c>
      <c r="N255" s="6" t="s">
        <v>3</v>
      </c>
      <c r="O255" s="6">
        <v>-1</v>
      </c>
      <c r="P255" s="6">
        <f>Source!DN232</f>
        <v>0</v>
      </c>
      <c r="Q255" s="6"/>
      <c r="R255" s="6"/>
      <c r="S255" s="6"/>
      <c r="T255" s="6"/>
      <c r="U255" s="6"/>
      <c r="V255" s="6"/>
      <c r="W255" s="6">
        <v>0</v>
      </c>
      <c r="X255" s="6">
        <v>1</v>
      </c>
      <c r="Y255" s="6">
        <v>0</v>
      </c>
      <c r="Z255" s="6">
        <v>0</v>
      </c>
      <c r="AA255" s="6">
        <v>1</v>
      </c>
      <c r="AB255" s="6">
        <v>0</v>
      </c>
    </row>
    <row r="256" spans="1:28" ht="13" x14ac:dyDescent="0.3">
      <c r="A256" s="6">
        <v>50</v>
      </c>
      <c r="B256" s="6">
        <v>0</v>
      </c>
      <c r="C256" s="6">
        <v>0</v>
      </c>
      <c r="D256" s="6">
        <v>1</v>
      </c>
      <c r="E256" s="6">
        <v>209</v>
      </c>
      <c r="F256" s="6">
        <f>ROUND(Source!W232,O256)</f>
        <v>0</v>
      </c>
      <c r="G256" s="6" t="s">
        <v>107</v>
      </c>
      <c r="H256" s="6" t="s">
        <v>108</v>
      </c>
      <c r="I256" s="6"/>
      <c r="J256" s="6"/>
      <c r="K256" s="6">
        <v>209</v>
      </c>
      <c r="L256" s="6">
        <v>23</v>
      </c>
      <c r="M256" s="6">
        <v>3</v>
      </c>
      <c r="N256" s="6" t="s">
        <v>3</v>
      </c>
      <c r="O256" s="6">
        <v>2</v>
      </c>
      <c r="P256" s="6">
        <f>ROUND(Source!DO232,O256)</f>
        <v>0</v>
      </c>
      <c r="Q256" s="6"/>
      <c r="R256" s="6"/>
      <c r="S256" s="6"/>
      <c r="T256" s="6"/>
      <c r="U256" s="6"/>
      <c r="V256" s="6"/>
      <c r="W256" s="6">
        <v>0</v>
      </c>
      <c r="X256" s="6">
        <v>1</v>
      </c>
      <c r="Y256" s="6">
        <v>0</v>
      </c>
      <c r="Z256" s="6">
        <v>0</v>
      </c>
      <c r="AA256" s="6">
        <v>1</v>
      </c>
      <c r="AB256" s="6">
        <v>0</v>
      </c>
    </row>
    <row r="257" spans="1:206" ht="13" x14ac:dyDescent="0.3">
      <c r="A257" s="6">
        <v>50</v>
      </c>
      <c r="B257" s="6">
        <v>0</v>
      </c>
      <c r="C257" s="6">
        <v>0</v>
      </c>
      <c r="D257" s="6">
        <v>1</v>
      </c>
      <c r="E257" s="6">
        <v>233</v>
      </c>
      <c r="F257" s="6">
        <f>ROUND(Source!BD232,O257)</f>
        <v>0</v>
      </c>
      <c r="G257" s="6" t="s">
        <v>109</v>
      </c>
      <c r="H257" s="6" t="s">
        <v>110</v>
      </c>
      <c r="I257" s="6"/>
      <c r="J257" s="6"/>
      <c r="K257" s="6">
        <v>233</v>
      </c>
      <c r="L257" s="6">
        <v>24</v>
      </c>
      <c r="M257" s="6">
        <v>3</v>
      </c>
      <c r="N257" s="6" t="s">
        <v>3</v>
      </c>
      <c r="O257" s="6">
        <v>2</v>
      </c>
      <c r="P257" s="6">
        <f>ROUND(Source!EV232,O257)</f>
        <v>0</v>
      </c>
      <c r="Q257" s="6"/>
      <c r="R257" s="6"/>
      <c r="S257" s="6"/>
      <c r="T257" s="6"/>
      <c r="U257" s="6"/>
      <c r="V257" s="6"/>
      <c r="W257" s="6">
        <v>0</v>
      </c>
      <c r="X257" s="6">
        <v>1</v>
      </c>
      <c r="Y257" s="6">
        <v>0</v>
      </c>
      <c r="Z257" s="6">
        <v>0</v>
      </c>
      <c r="AA257" s="6">
        <v>1</v>
      </c>
      <c r="AB257" s="6">
        <v>0</v>
      </c>
    </row>
    <row r="258" spans="1:206" ht="13" x14ac:dyDescent="0.3">
      <c r="A258" s="6">
        <v>50</v>
      </c>
      <c r="B258" s="6">
        <v>0</v>
      </c>
      <c r="C258" s="6">
        <v>0</v>
      </c>
      <c r="D258" s="6">
        <v>1</v>
      </c>
      <c r="E258" s="6">
        <v>210</v>
      </c>
      <c r="F258" s="6">
        <f>ROUND(Source!X232,O258)</f>
        <v>6102.15</v>
      </c>
      <c r="G258" s="6" t="s">
        <v>111</v>
      </c>
      <c r="H258" s="6" t="s">
        <v>112</v>
      </c>
      <c r="I258" s="6"/>
      <c r="J258" s="6"/>
      <c r="K258" s="6">
        <v>210</v>
      </c>
      <c r="L258" s="6">
        <v>25</v>
      </c>
      <c r="M258" s="6">
        <v>3</v>
      </c>
      <c r="N258" s="6" t="s">
        <v>3</v>
      </c>
      <c r="O258" s="6">
        <v>2</v>
      </c>
      <c r="P258" s="6">
        <f>ROUND(Source!DP232,O258)</f>
        <v>343857.02</v>
      </c>
      <c r="Q258" s="6"/>
      <c r="R258" s="6"/>
      <c r="S258" s="6"/>
      <c r="T258" s="6"/>
      <c r="U258" s="6"/>
      <c r="V258" s="6"/>
      <c r="W258" s="6">
        <v>6102.15</v>
      </c>
      <c r="X258" s="6">
        <v>1</v>
      </c>
      <c r="Y258" s="6">
        <v>6102.15</v>
      </c>
      <c r="Z258" s="6">
        <v>343857.02</v>
      </c>
      <c r="AA258" s="6">
        <v>1</v>
      </c>
      <c r="AB258" s="6">
        <v>343857.02</v>
      </c>
    </row>
    <row r="259" spans="1:206" ht="13" x14ac:dyDescent="0.3">
      <c r="A259" s="6">
        <v>50</v>
      </c>
      <c r="B259" s="6">
        <v>0</v>
      </c>
      <c r="C259" s="6">
        <v>0</v>
      </c>
      <c r="D259" s="6">
        <v>1</v>
      </c>
      <c r="E259" s="6">
        <v>211</v>
      </c>
      <c r="F259" s="6">
        <f>ROUND(Source!Y232,O259)</f>
        <v>3145.49</v>
      </c>
      <c r="G259" s="6" t="s">
        <v>113</v>
      </c>
      <c r="H259" s="6" t="s">
        <v>114</v>
      </c>
      <c r="I259" s="6"/>
      <c r="J259" s="6"/>
      <c r="K259" s="6">
        <v>211</v>
      </c>
      <c r="L259" s="6">
        <v>26</v>
      </c>
      <c r="M259" s="6">
        <v>3</v>
      </c>
      <c r="N259" s="6" t="s">
        <v>3</v>
      </c>
      <c r="O259" s="6">
        <v>2</v>
      </c>
      <c r="P259" s="6">
        <f>ROUND(Source!DQ232,O259)</f>
        <v>177250.05</v>
      </c>
      <c r="Q259" s="6"/>
      <c r="R259" s="6"/>
      <c r="S259" s="6"/>
      <c r="T259" s="6"/>
      <c r="U259" s="6"/>
      <c r="V259" s="6"/>
      <c r="W259" s="6">
        <v>3145.49</v>
      </c>
      <c r="X259" s="6">
        <v>1</v>
      </c>
      <c r="Y259" s="6">
        <v>3145.49</v>
      </c>
      <c r="Z259" s="6">
        <v>177250.05</v>
      </c>
      <c r="AA259" s="6">
        <v>1</v>
      </c>
      <c r="AB259" s="6">
        <v>177250.05</v>
      </c>
    </row>
    <row r="260" spans="1:206" ht="13" x14ac:dyDescent="0.3">
      <c r="A260" s="6">
        <v>50</v>
      </c>
      <c r="B260" s="6">
        <v>0</v>
      </c>
      <c r="C260" s="6">
        <v>0</v>
      </c>
      <c r="D260" s="6">
        <v>1</v>
      </c>
      <c r="E260" s="6">
        <v>224</v>
      </c>
      <c r="F260" s="6">
        <f>ROUND(Source!AR232,O260)</f>
        <v>1061162.8899999999</v>
      </c>
      <c r="G260" s="6" t="s">
        <v>115</v>
      </c>
      <c r="H260" s="6" t="s">
        <v>116</v>
      </c>
      <c r="I260" s="6"/>
      <c r="J260" s="6"/>
      <c r="K260" s="6">
        <v>224</v>
      </c>
      <c r="L260" s="6">
        <v>27</v>
      </c>
      <c r="M260" s="6">
        <v>3</v>
      </c>
      <c r="N260" s="6" t="s">
        <v>3</v>
      </c>
      <c r="O260" s="6">
        <v>2</v>
      </c>
      <c r="P260" s="6">
        <f>ROUND(Source!EJ232,O260)</f>
        <v>8811082.7300000004</v>
      </c>
      <c r="Q260" s="6"/>
      <c r="R260" s="6"/>
      <c r="S260" s="6"/>
      <c r="T260" s="6"/>
      <c r="U260" s="6"/>
      <c r="V260" s="6"/>
      <c r="W260" s="6">
        <v>1061162.8899999999</v>
      </c>
      <c r="X260" s="6">
        <v>1</v>
      </c>
      <c r="Y260" s="6">
        <v>1061162.8899999999</v>
      </c>
      <c r="Z260" s="6">
        <v>8811082.7300000004</v>
      </c>
      <c r="AA260" s="6">
        <v>1</v>
      </c>
      <c r="AB260" s="6">
        <v>8811082.7300000004</v>
      </c>
    </row>
    <row r="262" spans="1:206" ht="13" x14ac:dyDescent="0.3">
      <c r="A262" s="4">
        <v>51</v>
      </c>
      <c r="B262" s="4">
        <f>B12</f>
        <v>301</v>
      </c>
      <c r="C262" s="4">
        <f>A12</f>
        <v>1</v>
      </c>
      <c r="D262" s="4">
        <f>ROW(A12)</f>
        <v>12</v>
      </c>
      <c r="E262" s="4"/>
      <c r="F262" s="4" t="str">
        <f>IF(F12&lt;&gt;"",F12,"")</f>
        <v>02-01-14</v>
      </c>
      <c r="G262" s="4" t="str">
        <f>IF(G12&lt;&gt;"",G12,"")</f>
        <v>02-01-14 СОТ 20.07</v>
      </c>
      <c r="H262" s="4">
        <v>0</v>
      </c>
      <c r="I262" s="4"/>
      <c r="J262" s="4"/>
      <c r="K262" s="4"/>
      <c r="L262" s="4"/>
      <c r="M262" s="4"/>
      <c r="N262" s="4"/>
      <c r="O262" s="4">
        <f t="shared" ref="O262:T262" si="186">ROUND(O232,2)</f>
        <v>1051915.25</v>
      </c>
      <c r="P262" s="4">
        <f t="shared" si="186"/>
        <v>1044881.38</v>
      </c>
      <c r="Q262" s="4">
        <f t="shared" si="186"/>
        <v>320.14999999999998</v>
      </c>
      <c r="R262" s="4">
        <f t="shared" si="186"/>
        <v>33.17</v>
      </c>
      <c r="S262" s="4">
        <f t="shared" si="186"/>
        <v>6713.72</v>
      </c>
      <c r="T262" s="4">
        <f t="shared" si="186"/>
        <v>0</v>
      </c>
      <c r="U262" s="4">
        <f>U232</f>
        <v>460.84550975999991</v>
      </c>
      <c r="V262" s="4">
        <f>V232</f>
        <v>0</v>
      </c>
      <c r="W262" s="4">
        <f>ROUND(W232,2)</f>
        <v>0</v>
      </c>
      <c r="X262" s="4">
        <f>ROUND(X232,2)</f>
        <v>6102.15</v>
      </c>
      <c r="Y262" s="4">
        <f>ROUND(Y232,2)</f>
        <v>3145.49</v>
      </c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>
        <f t="shared" ref="AO262:BD262" si="187">ROUND(AO232,2)</f>
        <v>0</v>
      </c>
      <c r="AP262" s="4">
        <f t="shared" si="187"/>
        <v>1043717.95</v>
      </c>
      <c r="AQ262" s="4">
        <f t="shared" si="187"/>
        <v>0</v>
      </c>
      <c r="AR262" s="4">
        <f t="shared" si="187"/>
        <v>1061162.8899999999</v>
      </c>
      <c r="AS262" s="4">
        <f t="shared" si="187"/>
        <v>0</v>
      </c>
      <c r="AT262" s="4">
        <f t="shared" si="187"/>
        <v>17444.939999999999</v>
      </c>
      <c r="AU262" s="4">
        <f t="shared" si="187"/>
        <v>0</v>
      </c>
      <c r="AV262" s="4">
        <f t="shared" si="187"/>
        <v>1044881.38</v>
      </c>
      <c r="AW262" s="4">
        <f t="shared" si="187"/>
        <v>1163.43</v>
      </c>
      <c r="AX262" s="4">
        <f t="shared" si="187"/>
        <v>0</v>
      </c>
      <c r="AY262" s="4">
        <f t="shared" si="187"/>
        <v>1163.43</v>
      </c>
      <c r="AZ262" s="4">
        <f t="shared" si="187"/>
        <v>1043717.95</v>
      </c>
      <c r="BA262" s="4">
        <f t="shared" si="187"/>
        <v>0</v>
      </c>
      <c r="BB262" s="4">
        <f t="shared" si="187"/>
        <v>0</v>
      </c>
      <c r="BC262" s="4">
        <f t="shared" si="187"/>
        <v>0</v>
      </c>
      <c r="BD262" s="4">
        <f t="shared" si="187"/>
        <v>0</v>
      </c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5">
        <f t="shared" ref="DG262:DL262" si="188">ROUND(DG232,2)</f>
        <v>8289975.6600000001</v>
      </c>
      <c r="DH262" s="5">
        <f t="shared" si="188"/>
        <v>7906634.1500000004</v>
      </c>
      <c r="DI262" s="5">
        <f t="shared" si="188"/>
        <v>5023.38</v>
      </c>
      <c r="DJ262" s="5">
        <f t="shared" si="188"/>
        <v>1869.13</v>
      </c>
      <c r="DK262" s="5">
        <f t="shared" si="188"/>
        <v>378318.13</v>
      </c>
      <c r="DL262" s="5">
        <f t="shared" si="188"/>
        <v>0</v>
      </c>
      <c r="DM262" s="5">
        <f>DM232</f>
        <v>460.84550975999991</v>
      </c>
      <c r="DN262" s="5">
        <f>DN232</f>
        <v>0</v>
      </c>
      <c r="DO262" s="5">
        <f>ROUND(DO232,2)</f>
        <v>0</v>
      </c>
      <c r="DP262" s="5">
        <f>ROUND(DP232,2)</f>
        <v>343857.02</v>
      </c>
      <c r="DQ262" s="5">
        <f>ROUND(DQ232,2)</f>
        <v>177250.05</v>
      </c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>
        <f t="shared" ref="EG262:EV262" si="189">ROUND(EG232,2)</f>
        <v>0</v>
      </c>
      <c r="EH262" s="5">
        <f t="shared" si="189"/>
        <v>7900944.8899999997</v>
      </c>
      <c r="EI262" s="5">
        <f t="shared" si="189"/>
        <v>0</v>
      </c>
      <c r="EJ262" s="5">
        <f t="shared" si="189"/>
        <v>8811082.7300000004</v>
      </c>
      <c r="EK262" s="5">
        <f t="shared" si="189"/>
        <v>0</v>
      </c>
      <c r="EL262" s="5">
        <f t="shared" si="189"/>
        <v>910137.84</v>
      </c>
      <c r="EM262" s="5">
        <f t="shared" si="189"/>
        <v>0</v>
      </c>
      <c r="EN262" s="5">
        <f t="shared" si="189"/>
        <v>7906634.1500000004</v>
      </c>
      <c r="EO262" s="5">
        <f t="shared" si="189"/>
        <v>5689.26</v>
      </c>
      <c r="EP262" s="5">
        <f t="shared" si="189"/>
        <v>0</v>
      </c>
      <c r="EQ262" s="5">
        <f t="shared" si="189"/>
        <v>5689.26</v>
      </c>
      <c r="ER262" s="5">
        <f t="shared" si="189"/>
        <v>7900944.8899999997</v>
      </c>
      <c r="ES262" s="5">
        <f t="shared" si="189"/>
        <v>0</v>
      </c>
      <c r="ET262" s="5">
        <f t="shared" si="189"/>
        <v>0</v>
      </c>
      <c r="EU262" s="5">
        <f t="shared" si="189"/>
        <v>0</v>
      </c>
      <c r="EV262" s="5">
        <f t="shared" si="189"/>
        <v>0</v>
      </c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>
        <v>0</v>
      </c>
    </row>
    <row r="264" spans="1:206" ht="13" x14ac:dyDescent="0.3">
      <c r="A264" s="6">
        <v>50</v>
      </c>
      <c r="B264" s="6">
        <v>0</v>
      </c>
      <c r="C264" s="6">
        <v>0</v>
      </c>
      <c r="D264" s="6">
        <v>1</v>
      </c>
      <c r="E264" s="6">
        <v>201</v>
      </c>
      <c r="F264" s="6">
        <f>ROUND(Source!O262,O264)</f>
        <v>1051915.25</v>
      </c>
      <c r="G264" s="6" t="s">
        <v>63</v>
      </c>
      <c r="H264" s="6" t="s">
        <v>64</v>
      </c>
      <c r="I264" s="6"/>
      <c r="J264" s="6"/>
      <c r="K264" s="6">
        <v>201</v>
      </c>
      <c r="L264" s="6">
        <v>1</v>
      </c>
      <c r="M264" s="6">
        <v>3</v>
      </c>
      <c r="N264" s="6" t="s">
        <v>3</v>
      </c>
      <c r="O264" s="6">
        <v>2</v>
      </c>
      <c r="P264" s="6">
        <f>ROUND(Source!DG262,O264)</f>
        <v>8289975.6600000001</v>
      </c>
      <c r="Q264" s="6"/>
      <c r="R264" s="6"/>
      <c r="S264" s="6"/>
      <c r="T264" s="6"/>
      <c r="U264" s="6"/>
      <c r="V264" s="6"/>
      <c r="W264" s="6">
        <v>1051915.25</v>
      </c>
      <c r="X264" s="6">
        <v>1</v>
      </c>
      <c r="Y264" s="6">
        <v>1051915.25</v>
      </c>
      <c r="Z264" s="6">
        <v>8289975.6600000001</v>
      </c>
      <c r="AA264" s="6">
        <v>1</v>
      </c>
      <c r="AB264" s="6">
        <v>8289975.6600000001</v>
      </c>
    </row>
    <row r="265" spans="1:206" ht="13" x14ac:dyDescent="0.3">
      <c r="A265" s="6">
        <v>50</v>
      </c>
      <c r="B265" s="6">
        <v>0</v>
      </c>
      <c r="C265" s="6">
        <v>0</v>
      </c>
      <c r="D265" s="6">
        <v>1</v>
      </c>
      <c r="E265" s="6">
        <v>202</v>
      </c>
      <c r="F265" s="6">
        <f>ROUND(Source!P262,O265)</f>
        <v>1044881.38</v>
      </c>
      <c r="G265" s="6" t="s">
        <v>65</v>
      </c>
      <c r="H265" s="6" t="s">
        <v>66</v>
      </c>
      <c r="I265" s="6"/>
      <c r="J265" s="6"/>
      <c r="K265" s="6">
        <v>202</v>
      </c>
      <c r="L265" s="6">
        <v>2</v>
      </c>
      <c r="M265" s="6">
        <v>3</v>
      </c>
      <c r="N265" s="6" t="s">
        <v>3</v>
      </c>
      <c r="O265" s="6">
        <v>2</v>
      </c>
      <c r="P265" s="6">
        <f>ROUND(Source!DH262,O265)</f>
        <v>7906634.1500000004</v>
      </c>
      <c r="Q265" s="6"/>
      <c r="R265" s="6"/>
      <c r="S265" s="6"/>
      <c r="T265" s="6"/>
      <c r="U265" s="6"/>
      <c r="V265" s="6"/>
      <c r="W265" s="6">
        <v>1044881.38</v>
      </c>
      <c r="X265" s="6">
        <v>1</v>
      </c>
      <c r="Y265" s="6">
        <v>1044881.38</v>
      </c>
      <c r="Z265" s="6">
        <v>7906634.1500000004</v>
      </c>
      <c r="AA265" s="6">
        <v>1</v>
      </c>
      <c r="AB265" s="6">
        <v>7906634.1500000004</v>
      </c>
    </row>
    <row r="266" spans="1:206" ht="13" x14ac:dyDescent="0.3">
      <c r="A266" s="6">
        <v>50</v>
      </c>
      <c r="B266" s="6">
        <v>0</v>
      </c>
      <c r="C266" s="6">
        <v>0</v>
      </c>
      <c r="D266" s="6">
        <v>1</v>
      </c>
      <c r="E266" s="6">
        <v>222</v>
      </c>
      <c r="F266" s="6">
        <f>ROUND(Source!AO262,O266)</f>
        <v>0</v>
      </c>
      <c r="G266" s="6" t="s">
        <v>67</v>
      </c>
      <c r="H266" s="6" t="s">
        <v>68</v>
      </c>
      <c r="I266" s="6"/>
      <c r="J266" s="6"/>
      <c r="K266" s="6">
        <v>222</v>
      </c>
      <c r="L266" s="6">
        <v>3</v>
      </c>
      <c r="M266" s="6">
        <v>3</v>
      </c>
      <c r="N266" s="6" t="s">
        <v>3</v>
      </c>
      <c r="O266" s="6">
        <v>2</v>
      </c>
      <c r="P266" s="6">
        <f>ROUND(Source!EG262,O266)</f>
        <v>0</v>
      </c>
      <c r="Q266" s="6"/>
      <c r="R266" s="6"/>
      <c r="S266" s="6"/>
      <c r="T266" s="6"/>
      <c r="U266" s="6"/>
      <c r="V266" s="6"/>
      <c r="W266" s="6">
        <v>0</v>
      </c>
      <c r="X266" s="6">
        <v>1</v>
      </c>
      <c r="Y266" s="6">
        <v>0</v>
      </c>
      <c r="Z266" s="6">
        <v>0</v>
      </c>
      <c r="AA266" s="6">
        <v>1</v>
      </c>
      <c r="AB266" s="6">
        <v>0</v>
      </c>
    </row>
    <row r="267" spans="1:206" ht="13" x14ac:dyDescent="0.3">
      <c r="A267" s="6">
        <v>50</v>
      </c>
      <c r="B267" s="6">
        <v>0</v>
      </c>
      <c r="C267" s="6">
        <v>0</v>
      </c>
      <c r="D267" s="6">
        <v>1</v>
      </c>
      <c r="E267" s="6">
        <v>225</v>
      </c>
      <c r="F267" s="6">
        <f>ROUND(Source!AV262,O267)</f>
        <v>1044881.38</v>
      </c>
      <c r="G267" s="6" t="s">
        <v>69</v>
      </c>
      <c r="H267" s="6" t="s">
        <v>70</v>
      </c>
      <c r="I267" s="6"/>
      <c r="J267" s="6"/>
      <c r="K267" s="6">
        <v>225</v>
      </c>
      <c r="L267" s="6">
        <v>4</v>
      </c>
      <c r="M267" s="6">
        <v>3</v>
      </c>
      <c r="N267" s="6" t="s">
        <v>3</v>
      </c>
      <c r="O267" s="6">
        <v>2</v>
      </c>
      <c r="P267" s="6">
        <f>ROUND(Source!EN262,O267)</f>
        <v>7906634.1500000004</v>
      </c>
      <c r="Q267" s="6"/>
      <c r="R267" s="6"/>
      <c r="S267" s="6"/>
      <c r="T267" s="6"/>
      <c r="U267" s="6"/>
      <c r="V267" s="6"/>
      <c r="W267" s="6">
        <v>1044881.38</v>
      </c>
      <c r="X267" s="6">
        <v>1</v>
      </c>
      <c r="Y267" s="6">
        <v>1044881.38</v>
      </c>
      <c r="Z267" s="6">
        <v>7906634.1500000004</v>
      </c>
      <c r="AA267" s="6">
        <v>1</v>
      </c>
      <c r="AB267" s="6">
        <v>7906634.1500000004</v>
      </c>
    </row>
    <row r="268" spans="1:206" ht="13" x14ac:dyDescent="0.3">
      <c r="A268" s="6">
        <v>50</v>
      </c>
      <c r="B268" s="6">
        <v>0</v>
      </c>
      <c r="C268" s="6">
        <v>0</v>
      </c>
      <c r="D268" s="6">
        <v>1</v>
      </c>
      <c r="E268" s="6">
        <v>226</v>
      </c>
      <c r="F268" s="6">
        <f>ROUND(Source!AW262,O268)</f>
        <v>1163.43</v>
      </c>
      <c r="G268" s="6" t="s">
        <v>71</v>
      </c>
      <c r="H268" s="6" t="s">
        <v>72</v>
      </c>
      <c r="I268" s="6"/>
      <c r="J268" s="6"/>
      <c r="K268" s="6">
        <v>226</v>
      </c>
      <c r="L268" s="6">
        <v>5</v>
      </c>
      <c r="M268" s="6">
        <v>3</v>
      </c>
      <c r="N268" s="6" t="s">
        <v>3</v>
      </c>
      <c r="O268" s="6">
        <v>2</v>
      </c>
      <c r="P268" s="6">
        <f>ROUND(Source!EO262,O268)</f>
        <v>5689.26</v>
      </c>
      <c r="Q268" s="6"/>
      <c r="R268" s="6"/>
      <c r="S268" s="6"/>
      <c r="T268" s="6"/>
      <c r="U268" s="6"/>
      <c r="V268" s="6"/>
      <c r="W268" s="6">
        <v>1163.43</v>
      </c>
      <c r="X268" s="6">
        <v>1</v>
      </c>
      <c r="Y268" s="6">
        <v>1163.43</v>
      </c>
      <c r="Z268" s="6">
        <v>5689.26</v>
      </c>
      <c r="AA268" s="6">
        <v>1</v>
      </c>
      <c r="AB268" s="6">
        <v>5689.26</v>
      </c>
    </row>
    <row r="269" spans="1:206" ht="13" x14ac:dyDescent="0.3">
      <c r="A269" s="6">
        <v>50</v>
      </c>
      <c r="B269" s="6">
        <v>0</v>
      </c>
      <c r="C269" s="6">
        <v>0</v>
      </c>
      <c r="D269" s="6">
        <v>1</v>
      </c>
      <c r="E269" s="6">
        <v>227</v>
      </c>
      <c r="F269" s="6">
        <f>ROUND(Source!AX262,O269)</f>
        <v>0</v>
      </c>
      <c r="G269" s="6" t="s">
        <v>73</v>
      </c>
      <c r="H269" s="6" t="s">
        <v>74</v>
      </c>
      <c r="I269" s="6"/>
      <c r="J269" s="6"/>
      <c r="K269" s="6">
        <v>227</v>
      </c>
      <c r="L269" s="6">
        <v>6</v>
      </c>
      <c r="M269" s="6">
        <v>3</v>
      </c>
      <c r="N269" s="6" t="s">
        <v>3</v>
      </c>
      <c r="O269" s="6">
        <v>2</v>
      </c>
      <c r="P269" s="6">
        <f>ROUND(Source!EP262,O269)</f>
        <v>0</v>
      </c>
      <c r="Q269" s="6"/>
      <c r="R269" s="6"/>
      <c r="S269" s="6"/>
      <c r="T269" s="6"/>
      <c r="U269" s="6"/>
      <c r="V269" s="6"/>
      <c r="W269" s="6">
        <v>0</v>
      </c>
      <c r="X269" s="6">
        <v>1</v>
      </c>
      <c r="Y269" s="6">
        <v>0</v>
      </c>
      <c r="Z269" s="6">
        <v>0</v>
      </c>
      <c r="AA269" s="6">
        <v>1</v>
      </c>
      <c r="AB269" s="6">
        <v>0</v>
      </c>
    </row>
    <row r="270" spans="1:206" ht="13" x14ac:dyDescent="0.3">
      <c r="A270" s="6">
        <v>50</v>
      </c>
      <c r="B270" s="6">
        <v>0</v>
      </c>
      <c r="C270" s="6">
        <v>0</v>
      </c>
      <c r="D270" s="6">
        <v>1</v>
      </c>
      <c r="E270" s="6">
        <v>228</v>
      </c>
      <c r="F270" s="6">
        <f>ROUND(Source!AY262,O270)</f>
        <v>1163.43</v>
      </c>
      <c r="G270" s="6" t="s">
        <v>75</v>
      </c>
      <c r="H270" s="6" t="s">
        <v>76</v>
      </c>
      <c r="I270" s="6"/>
      <c r="J270" s="6"/>
      <c r="K270" s="6">
        <v>228</v>
      </c>
      <c r="L270" s="6">
        <v>7</v>
      </c>
      <c r="M270" s="6">
        <v>3</v>
      </c>
      <c r="N270" s="6" t="s">
        <v>3</v>
      </c>
      <c r="O270" s="6">
        <v>2</v>
      </c>
      <c r="P270" s="6">
        <f>ROUND(Source!EQ262,O270)</f>
        <v>5689.26</v>
      </c>
      <c r="Q270" s="6"/>
      <c r="R270" s="6"/>
      <c r="S270" s="6"/>
      <c r="T270" s="6"/>
      <c r="U270" s="6"/>
      <c r="V270" s="6"/>
      <c r="W270" s="6">
        <v>1163.43</v>
      </c>
      <c r="X270" s="6">
        <v>1</v>
      </c>
      <c r="Y270" s="6">
        <v>1163.43</v>
      </c>
      <c r="Z270" s="6">
        <v>5689.26</v>
      </c>
      <c r="AA270" s="6">
        <v>1</v>
      </c>
      <c r="AB270" s="6">
        <v>5689.26</v>
      </c>
    </row>
    <row r="271" spans="1:206" ht="13" x14ac:dyDescent="0.3">
      <c r="A271" s="6">
        <v>50</v>
      </c>
      <c r="B271" s="6">
        <v>0</v>
      </c>
      <c r="C271" s="6">
        <v>0</v>
      </c>
      <c r="D271" s="6">
        <v>1</v>
      </c>
      <c r="E271" s="6">
        <v>216</v>
      </c>
      <c r="F271" s="6">
        <f>ROUND(Source!AP262,O271)</f>
        <v>1043717.95</v>
      </c>
      <c r="G271" s="6" t="s">
        <v>77</v>
      </c>
      <c r="H271" s="6" t="s">
        <v>78</v>
      </c>
      <c r="I271" s="6"/>
      <c r="J271" s="6"/>
      <c r="K271" s="6">
        <v>216</v>
      </c>
      <c r="L271" s="6">
        <v>8</v>
      </c>
      <c r="M271" s="6">
        <v>3</v>
      </c>
      <c r="N271" s="6" t="s">
        <v>3</v>
      </c>
      <c r="O271" s="6">
        <v>2</v>
      </c>
      <c r="P271" s="6">
        <f>ROUND(Source!EH262,O271)</f>
        <v>7900944.8899999997</v>
      </c>
      <c r="Q271" s="6"/>
      <c r="R271" s="6"/>
      <c r="S271" s="6"/>
      <c r="T271" s="6"/>
      <c r="U271" s="6"/>
      <c r="V271" s="6"/>
      <c r="W271" s="6">
        <v>1043717.95</v>
      </c>
      <c r="X271" s="6">
        <v>1</v>
      </c>
      <c r="Y271" s="6">
        <v>1043717.95</v>
      </c>
      <c r="Z271" s="6">
        <v>7900944.8899999997</v>
      </c>
      <c r="AA271" s="6">
        <v>1</v>
      </c>
      <c r="AB271" s="6">
        <v>7900944.8899999997</v>
      </c>
    </row>
    <row r="272" spans="1:206" ht="13" x14ac:dyDescent="0.3">
      <c r="A272" s="6">
        <v>50</v>
      </c>
      <c r="B272" s="6">
        <v>0</v>
      </c>
      <c r="C272" s="6">
        <v>0</v>
      </c>
      <c r="D272" s="6">
        <v>1</v>
      </c>
      <c r="E272" s="6">
        <v>223</v>
      </c>
      <c r="F272" s="6">
        <f>ROUND(Source!AQ262,O272)</f>
        <v>0</v>
      </c>
      <c r="G272" s="6" t="s">
        <v>79</v>
      </c>
      <c r="H272" s="6" t="s">
        <v>80</v>
      </c>
      <c r="I272" s="6"/>
      <c r="J272" s="6"/>
      <c r="K272" s="6">
        <v>223</v>
      </c>
      <c r="L272" s="6">
        <v>9</v>
      </c>
      <c r="M272" s="6">
        <v>3</v>
      </c>
      <c r="N272" s="6" t="s">
        <v>3</v>
      </c>
      <c r="O272" s="6">
        <v>2</v>
      </c>
      <c r="P272" s="6">
        <f>ROUND(Source!EI262,O272)</f>
        <v>0</v>
      </c>
      <c r="Q272" s="6"/>
      <c r="R272" s="6"/>
      <c r="S272" s="6"/>
      <c r="T272" s="6"/>
      <c r="U272" s="6"/>
      <c r="V272" s="6"/>
      <c r="W272" s="6">
        <v>0</v>
      </c>
      <c r="X272" s="6">
        <v>1</v>
      </c>
      <c r="Y272" s="6">
        <v>0</v>
      </c>
      <c r="Z272" s="6">
        <v>0</v>
      </c>
      <c r="AA272" s="6">
        <v>1</v>
      </c>
      <c r="AB272" s="6">
        <v>0</v>
      </c>
    </row>
    <row r="273" spans="1:28" ht="13" x14ac:dyDescent="0.3">
      <c r="A273" s="6">
        <v>50</v>
      </c>
      <c r="B273" s="6">
        <v>0</v>
      </c>
      <c r="C273" s="6">
        <v>0</v>
      </c>
      <c r="D273" s="6">
        <v>1</v>
      </c>
      <c r="E273" s="6">
        <v>229</v>
      </c>
      <c r="F273" s="6">
        <f>ROUND(Source!AZ262,O273)</f>
        <v>1043717.95</v>
      </c>
      <c r="G273" s="6" t="s">
        <v>81</v>
      </c>
      <c r="H273" s="6" t="s">
        <v>82</v>
      </c>
      <c r="I273" s="6"/>
      <c r="J273" s="6"/>
      <c r="K273" s="6">
        <v>229</v>
      </c>
      <c r="L273" s="6">
        <v>10</v>
      </c>
      <c r="M273" s="6">
        <v>3</v>
      </c>
      <c r="N273" s="6" t="s">
        <v>3</v>
      </c>
      <c r="O273" s="6">
        <v>2</v>
      </c>
      <c r="P273" s="6">
        <f>ROUND(Source!ER262,O273)</f>
        <v>7900944.8899999997</v>
      </c>
      <c r="Q273" s="6"/>
      <c r="R273" s="6"/>
      <c r="S273" s="6"/>
      <c r="T273" s="6"/>
      <c r="U273" s="6"/>
      <c r="V273" s="6"/>
      <c r="W273" s="6">
        <v>1043717.95</v>
      </c>
      <c r="X273" s="6">
        <v>1</v>
      </c>
      <c r="Y273" s="6">
        <v>1043717.95</v>
      </c>
      <c r="Z273" s="6">
        <v>7900944.8899999997</v>
      </c>
      <c r="AA273" s="6">
        <v>1</v>
      </c>
      <c r="AB273" s="6">
        <v>7900944.8899999997</v>
      </c>
    </row>
    <row r="274" spans="1:28" ht="13" x14ac:dyDescent="0.3">
      <c r="A274" s="6">
        <v>50</v>
      </c>
      <c r="B274" s="6">
        <v>0</v>
      </c>
      <c r="C274" s="6">
        <v>0</v>
      </c>
      <c r="D274" s="6">
        <v>1</v>
      </c>
      <c r="E274" s="6">
        <v>203</v>
      </c>
      <c r="F274" s="6">
        <f>ROUND(Source!Q262,O274)</f>
        <v>320.14999999999998</v>
      </c>
      <c r="G274" s="6" t="s">
        <v>83</v>
      </c>
      <c r="H274" s="6" t="s">
        <v>84</v>
      </c>
      <c r="I274" s="6"/>
      <c r="J274" s="6"/>
      <c r="K274" s="6">
        <v>203</v>
      </c>
      <c r="L274" s="6">
        <v>11</v>
      </c>
      <c r="M274" s="6">
        <v>3</v>
      </c>
      <c r="N274" s="6" t="s">
        <v>3</v>
      </c>
      <c r="O274" s="6">
        <v>2</v>
      </c>
      <c r="P274" s="6">
        <f>ROUND(Source!DI262,O274)</f>
        <v>5023.38</v>
      </c>
      <c r="Q274" s="6"/>
      <c r="R274" s="6"/>
      <c r="S274" s="6"/>
      <c r="T274" s="6"/>
      <c r="U274" s="6"/>
      <c r="V274" s="6"/>
      <c r="W274" s="6">
        <v>320.14999999999998</v>
      </c>
      <c r="X274" s="6">
        <v>1</v>
      </c>
      <c r="Y274" s="6">
        <v>320.14999999999998</v>
      </c>
      <c r="Z274" s="6">
        <v>5023.38</v>
      </c>
      <c r="AA274" s="6">
        <v>1</v>
      </c>
      <c r="AB274" s="6">
        <v>5023.38</v>
      </c>
    </row>
    <row r="275" spans="1:28" ht="13" x14ac:dyDescent="0.3">
      <c r="A275" s="6">
        <v>50</v>
      </c>
      <c r="B275" s="6">
        <v>0</v>
      </c>
      <c r="C275" s="6">
        <v>0</v>
      </c>
      <c r="D275" s="6">
        <v>1</v>
      </c>
      <c r="E275" s="6">
        <v>231</v>
      </c>
      <c r="F275" s="6">
        <f>ROUND(Source!BB262,O275)</f>
        <v>0</v>
      </c>
      <c r="G275" s="6" t="s">
        <v>85</v>
      </c>
      <c r="H275" s="6" t="s">
        <v>86</v>
      </c>
      <c r="I275" s="6"/>
      <c r="J275" s="6"/>
      <c r="K275" s="6">
        <v>231</v>
      </c>
      <c r="L275" s="6">
        <v>12</v>
      </c>
      <c r="M275" s="6">
        <v>3</v>
      </c>
      <c r="N275" s="6" t="s">
        <v>3</v>
      </c>
      <c r="O275" s="6">
        <v>2</v>
      </c>
      <c r="P275" s="6">
        <f>ROUND(Source!ET262,O275)</f>
        <v>0</v>
      </c>
      <c r="Q275" s="6"/>
      <c r="R275" s="6"/>
      <c r="S275" s="6"/>
      <c r="T275" s="6"/>
      <c r="U275" s="6"/>
      <c r="V275" s="6"/>
      <c r="W275" s="6">
        <v>0</v>
      </c>
      <c r="X275" s="6">
        <v>1</v>
      </c>
      <c r="Y275" s="6">
        <v>0</v>
      </c>
      <c r="Z275" s="6">
        <v>0</v>
      </c>
      <c r="AA275" s="6">
        <v>1</v>
      </c>
      <c r="AB275" s="6">
        <v>0</v>
      </c>
    </row>
    <row r="276" spans="1:28" ht="13" x14ac:dyDescent="0.3">
      <c r="A276" s="6">
        <v>50</v>
      </c>
      <c r="B276" s="6">
        <v>0</v>
      </c>
      <c r="C276" s="6">
        <v>0</v>
      </c>
      <c r="D276" s="6">
        <v>1</v>
      </c>
      <c r="E276" s="6">
        <v>204</v>
      </c>
      <c r="F276" s="6">
        <f>ROUND(Source!R262,O276)</f>
        <v>33.17</v>
      </c>
      <c r="G276" s="6" t="s">
        <v>87</v>
      </c>
      <c r="H276" s="6" t="s">
        <v>88</v>
      </c>
      <c r="I276" s="6"/>
      <c r="J276" s="6"/>
      <c r="K276" s="6">
        <v>204</v>
      </c>
      <c r="L276" s="6">
        <v>13</v>
      </c>
      <c r="M276" s="6">
        <v>3</v>
      </c>
      <c r="N276" s="6" t="s">
        <v>3</v>
      </c>
      <c r="O276" s="6">
        <v>2</v>
      </c>
      <c r="P276" s="6">
        <f>ROUND(Source!DJ262,O276)</f>
        <v>1869.13</v>
      </c>
      <c r="Q276" s="6"/>
      <c r="R276" s="6"/>
      <c r="S276" s="6"/>
      <c r="T276" s="6"/>
      <c r="U276" s="6"/>
      <c r="V276" s="6"/>
      <c r="W276" s="6">
        <v>33.17</v>
      </c>
      <c r="X276" s="6">
        <v>1</v>
      </c>
      <c r="Y276" s="6">
        <v>33.17</v>
      </c>
      <c r="Z276" s="6">
        <v>1869.13</v>
      </c>
      <c r="AA276" s="6">
        <v>1</v>
      </c>
      <c r="AB276" s="6">
        <v>1869.13</v>
      </c>
    </row>
    <row r="277" spans="1:28" ht="13" x14ac:dyDescent="0.3">
      <c r="A277" s="6">
        <v>50</v>
      </c>
      <c r="B277" s="6">
        <v>0</v>
      </c>
      <c r="C277" s="6">
        <v>0</v>
      </c>
      <c r="D277" s="6">
        <v>1</v>
      </c>
      <c r="E277" s="6">
        <v>205</v>
      </c>
      <c r="F277" s="6">
        <f>ROUND(Source!S262,O277)</f>
        <v>6713.72</v>
      </c>
      <c r="G277" s="6" t="s">
        <v>89</v>
      </c>
      <c r="H277" s="6" t="s">
        <v>90</v>
      </c>
      <c r="I277" s="6"/>
      <c r="J277" s="6"/>
      <c r="K277" s="6">
        <v>205</v>
      </c>
      <c r="L277" s="6">
        <v>14</v>
      </c>
      <c r="M277" s="6">
        <v>3</v>
      </c>
      <c r="N277" s="6" t="s">
        <v>3</v>
      </c>
      <c r="O277" s="6">
        <v>2</v>
      </c>
      <c r="P277" s="6">
        <f>ROUND(Source!DK262,O277)</f>
        <v>378318.13</v>
      </c>
      <c r="Q277" s="6"/>
      <c r="R277" s="6"/>
      <c r="S277" s="6"/>
      <c r="T277" s="6"/>
      <c r="U277" s="6"/>
      <c r="V277" s="6"/>
      <c r="W277" s="6">
        <v>6713.72</v>
      </c>
      <c r="X277" s="6">
        <v>1</v>
      </c>
      <c r="Y277" s="6">
        <v>6713.72</v>
      </c>
      <c r="Z277" s="6">
        <v>378318.13</v>
      </c>
      <c r="AA277" s="6">
        <v>1</v>
      </c>
      <c r="AB277" s="6">
        <v>378318.13</v>
      </c>
    </row>
    <row r="278" spans="1:28" ht="13" x14ac:dyDescent="0.3">
      <c r="A278" s="6">
        <v>50</v>
      </c>
      <c r="B278" s="6">
        <v>0</v>
      </c>
      <c r="C278" s="6">
        <v>0</v>
      </c>
      <c r="D278" s="6">
        <v>1</v>
      </c>
      <c r="E278" s="6">
        <v>232</v>
      </c>
      <c r="F278" s="6">
        <f>ROUND(Source!BC262,O278)</f>
        <v>0</v>
      </c>
      <c r="G278" s="6" t="s">
        <v>91</v>
      </c>
      <c r="H278" s="6" t="s">
        <v>92</v>
      </c>
      <c r="I278" s="6"/>
      <c r="J278" s="6"/>
      <c r="K278" s="6">
        <v>232</v>
      </c>
      <c r="L278" s="6">
        <v>15</v>
      </c>
      <c r="M278" s="6">
        <v>3</v>
      </c>
      <c r="N278" s="6" t="s">
        <v>3</v>
      </c>
      <c r="O278" s="6">
        <v>2</v>
      </c>
      <c r="P278" s="6">
        <f>ROUND(Source!EU262,O278)</f>
        <v>0</v>
      </c>
      <c r="Q278" s="6"/>
      <c r="R278" s="6"/>
      <c r="S278" s="6"/>
      <c r="T278" s="6"/>
      <c r="U278" s="6"/>
      <c r="V278" s="6"/>
      <c r="W278" s="6">
        <v>0</v>
      </c>
      <c r="X278" s="6">
        <v>1</v>
      </c>
      <c r="Y278" s="6">
        <v>0</v>
      </c>
      <c r="Z278" s="6">
        <v>0</v>
      </c>
      <c r="AA278" s="6">
        <v>1</v>
      </c>
      <c r="AB278" s="6">
        <v>0</v>
      </c>
    </row>
    <row r="279" spans="1:28" ht="13" x14ac:dyDescent="0.3">
      <c r="A279" s="6">
        <v>50</v>
      </c>
      <c r="B279" s="6">
        <v>0</v>
      </c>
      <c r="C279" s="6">
        <v>0</v>
      </c>
      <c r="D279" s="6">
        <v>1</v>
      </c>
      <c r="E279" s="6">
        <v>214</v>
      </c>
      <c r="F279" s="6">
        <f>ROUND(Source!AS262,O279)</f>
        <v>0</v>
      </c>
      <c r="G279" s="6" t="s">
        <v>93</v>
      </c>
      <c r="H279" s="6" t="s">
        <v>94</v>
      </c>
      <c r="I279" s="6"/>
      <c r="J279" s="6"/>
      <c r="K279" s="6">
        <v>214</v>
      </c>
      <c r="L279" s="6">
        <v>16</v>
      </c>
      <c r="M279" s="6">
        <v>3</v>
      </c>
      <c r="N279" s="6" t="s">
        <v>3</v>
      </c>
      <c r="O279" s="6">
        <v>2</v>
      </c>
      <c r="P279" s="6">
        <f>ROUND(Source!EK262,O279)</f>
        <v>0</v>
      </c>
      <c r="Q279" s="6"/>
      <c r="R279" s="6"/>
      <c r="S279" s="6"/>
      <c r="T279" s="6"/>
      <c r="U279" s="6"/>
      <c r="V279" s="6"/>
      <c r="W279" s="6">
        <v>0</v>
      </c>
      <c r="X279" s="6">
        <v>1</v>
      </c>
      <c r="Y279" s="6">
        <v>0</v>
      </c>
      <c r="Z279" s="6">
        <v>0</v>
      </c>
      <c r="AA279" s="6">
        <v>1</v>
      </c>
      <c r="AB279" s="6">
        <v>0</v>
      </c>
    </row>
    <row r="280" spans="1:28" ht="13" x14ac:dyDescent="0.3">
      <c r="A280" s="6">
        <v>50</v>
      </c>
      <c r="B280" s="6">
        <v>0</v>
      </c>
      <c r="C280" s="6">
        <v>0</v>
      </c>
      <c r="D280" s="6">
        <v>1</v>
      </c>
      <c r="E280" s="6">
        <v>215</v>
      </c>
      <c r="F280" s="6">
        <f>ROUND(Source!AT262,O280)</f>
        <v>17444.939999999999</v>
      </c>
      <c r="G280" s="6" t="s">
        <v>95</v>
      </c>
      <c r="H280" s="6" t="s">
        <v>96</v>
      </c>
      <c r="I280" s="6"/>
      <c r="J280" s="6"/>
      <c r="K280" s="6">
        <v>215</v>
      </c>
      <c r="L280" s="6">
        <v>17</v>
      </c>
      <c r="M280" s="6">
        <v>3</v>
      </c>
      <c r="N280" s="6" t="s">
        <v>3</v>
      </c>
      <c r="O280" s="6">
        <v>2</v>
      </c>
      <c r="P280" s="6">
        <f>ROUND(Source!EL262,O280)</f>
        <v>910137.84</v>
      </c>
      <c r="Q280" s="6"/>
      <c r="R280" s="6"/>
      <c r="S280" s="6"/>
      <c r="T280" s="6"/>
      <c r="U280" s="6"/>
      <c r="V280" s="6"/>
      <c r="W280" s="6">
        <v>17444.939999999999</v>
      </c>
      <c r="X280" s="6">
        <v>1</v>
      </c>
      <c r="Y280" s="6">
        <v>17444.939999999999</v>
      </c>
      <c r="Z280" s="6">
        <v>910137.84</v>
      </c>
      <c r="AA280" s="6">
        <v>1</v>
      </c>
      <c r="AB280" s="6">
        <v>910137.84</v>
      </c>
    </row>
    <row r="281" spans="1:28" ht="13" x14ac:dyDescent="0.3">
      <c r="A281" s="6">
        <v>50</v>
      </c>
      <c r="B281" s="6">
        <v>0</v>
      </c>
      <c r="C281" s="6">
        <v>0</v>
      </c>
      <c r="D281" s="6">
        <v>1</v>
      </c>
      <c r="E281" s="6">
        <v>217</v>
      </c>
      <c r="F281" s="6">
        <f>ROUND(Source!AU262,O281)</f>
        <v>0</v>
      </c>
      <c r="G281" s="6" t="s">
        <v>97</v>
      </c>
      <c r="H281" s="6" t="s">
        <v>98</v>
      </c>
      <c r="I281" s="6"/>
      <c r="J281" s="6"/>
      <c r="K281" s="6">
        <v>217</v>
      </c>
      <c r="L281" s="6">
        <v>18</v>
      </c>
      <c r="M281" s="6">
        <v>3</v>
      </c>
      <c r="N281" s="6" t="s">
        <v>3</v>
      </c>
      <c r="O281" s="6">
        <v>2</v>
      </c>
      <c r="P281" s="6">
        <f>ROUND(Source!EM262,O281)</f>
        <v>0</v>
      </c>
      <c r="Q281" s="6"/>
      <c r="R281" s="6"/>
      <c r="S281" s="6"/>
      <c r="T281" s="6"/>
      <c r="U281" s="6"/>
      <c r="V281" s="6"/>
      <c r="W281" s="6">
        <v>0</v>
      </c>
      <c r="X281" s="6">
        <v>1</v>
      </c>
      <c r="Y281" s="6">
        <v>0</v>
      </c>
      <c r="Z281" s="6">
        <v>0</v>
      </c>
      <c r="AA281" s="6">
        <v>1</v>
      </c>
      <c r="AB281" s="6">
        <v>0</v>
      </c>
    </row>
    <row r="282" spans="1:28" ht="13" x14ac:dyDescent="0.3">
      <c r="A282" s="6">
        <v>50</v>
      </c>
      <c r="B282" s="6">
        <v>0</v>
      </c>
      <c r="C282" s="6">
        <v>0</v>
      </c>
      <c r="D282" s="6">
        <v>1</v>
      </c>
      <c r="E282" s="6">
        <v>230</v>
      </c>
      <c r="F282" s="6">
        <f>ROUND(Source!BA262,O282)</f>
        <v>0</v>
      </c>
      <c r="G282" s="6" t="s">
        <v>99</v>
      </c>
      <c r="H282" s="6" t="s">
        <v>100</v>
      </c>
      <c r="I282" s="6"/>
      <c r="J282" s="6"/>
      <c r="K282" s="6">
        <v>230</v>
      </c>
      <c r="L282" s="6">
        <v>19</v>
      </c>
      <c r="M282" s="6">
        <v>3</v>
      </c>
      <c r="N282" s="6" t="s">
        <v>3</v>
      </c>
      <c r="O282" s="6">
        <v>2</v>
      </c>
      <c r="P282" s="6">
        <f>ROUND(Source!ES262,O282)</f>
        <v>0</v>
      </c>
      <c r="Q282" s="6"/>
      <c r="R282" s="6"/>
      <c r="S282" s="6"/>
      <c r="T282" s="6"/>
      <c r="U282" s="6"/>
      <c r="V282" s="6"/>
      <c r="W282" s="6">
        <v>0</v>
      </c>
      <c r="X282" s="6">
        <v>1</v>
      </c>
      <c r="Y282" s="6">
        <v>0</v>
      </c>
      <c r="Z282" s="6">
        <v>0</v>
      </c>
      <c r="AA282" s="6">
        <v>1</v>
      </c>
      <c r="AB282" s="6">
        <v>0</v>
      </c>
    </row>
    <row r="283" spans="1:28" ht="13" x14ac:dyDescent="0.3">
      <c r="A283" s="6">
        <v>50</v>
      </c>
      <c r="B283" s="6">
        <v>0</v>
      </c>
      <c r="C283" s="6">
        <v>0</v>
      </c>
      <c r="D283" s="6">
        <v>1</v>
      </c>
      <c r="E283" s="6">
        <v>206</v>
      </c>
      <c r="F283" s="6">
        <f>ROUND(Source!T262,O283)</f>
        <v>0</v>
      </c>
      <c r="G283" s="6" t="s">
        <v>101</v>
      </c>
      <c r="H283" s="6" t="s">
        <v>102</v>
      </c>
      <c r="I283" s="6"/>
      <c r="J283" s="6"/>
      <c r="K283" s="6">
        <v>206</v>
      </c>
      <c r="L283" s="6">
        <v>20</v>
      </c>
      <c r="M283" s="6">
        <v>3</v>
      </c>
      <c r="N283" s="6" t="s">
        <v>3</v>
      </c>
      <c r="O283" s="6">
        <v>2</v>
      </c>
      <c r="P283" s="6">
        <f>ROUND(Source!DL262,O283)</f>
        <v>0</v>
      </c>
      <c r="Q283" s="6"/>
      <c r="R283" s="6"/>
      <c r="S283" s="6"/>
      <c r="T283" s="6"/>
      <c r="U283" s="6"/>
      <c r="V283" s="6"/>
      <c r="W283" s="6">
        <v>0</v>
      </c>
      <c r="X283" s="6">
        <v>1</v>
      </c>
      <c r="Y283" s="6">
        <v>0</v>
      </c>
      <c r="Z283" s="6">
        <v>0</v>
      </c>
      <c r="AA283" s="6">
        <v>1</v>
      </c>
      <c r="AB283" s="6">
        <v>0</v>
      </c>
    </row>
    <row r="284" spans="1:28" ht="13" x14ac:dyDescent="0.3">
      <c r="A284" s="6">
        <v>50</v>
      </c>
      <c r="B284" s="6">
        <v>0</v>
      </c>
      <c r="C284" s="6">
        <v>0</v>
      </c>
      <c r="D284" s="6">
        <v>1</v>
      </c>
      <c r="E284" s="6">
        <v>207</v>
      </c>
      <c r="F284" s="6">
        <f>Source!U262</f>
        <v>460.84550975999991</v>
      </c>
      <c r="G284" s="6" t="s">
        <v>103</v>
      </c>
      <c r="H284" s="6" t="s">
        <v>104</v>
      </c>
      <c r="I284" s="6"/>
      <c r="J284" s="6"/>
      <c r="K284" s="6">
        <v>207</v>
      </c>
      <c r="L284" s="6">
        <v>21</v>
      </c>
      <c r="M284" s="6">
        <v>3</v>
      </c>
      <c r="N284" s="6" t="s">
        <v>3</v>
      </c>
      <c r="O284" s="6">
        <v>-1</v>
      </c>
      <c r="P284" s="6">
        <f>Source!DM262</f>
        <v>460.84550975999991</v>
      </c>
      <c r="Q284" s="6"/>
      <c r="R284" s="6"/>
      <c r="S284" s="6"/>
      <c r="T284" s="6"/>
      <c r="U284" s="6"/>
      <c r="V284" s="6"/>
      <c r="W284" s="6">
        <v>460.84550975999997</v>
      </c>
      <c r="X284" s="6">
        <v>1</v>
      </c>
      <c r="Y284" s="6">
        <v>460.84550975999997</v>
      </c>
      <c r="Z284" s="6">
        <v>460.84550975999997</v>
      </c>
      <c r="AA284" s="6">
        <v>1</v>
      </c>
      <c r="AB284" s="6">
        <v>460.84550975999997</v>
      </c>
    </row>
    <row r="285" spans="1:28" ht="13" x14ac:dyDescent="0.3">
      <c r="A285" s="6">
        <v>50</v>
      </c>
      <c r="B285" s="6">
        <v>0</v>
      </c>
      <c r="C285" s="6">
        <v>0</v>
      </c>
      <c r="D285" s="6">
        <v>1</v>
      </c>
      <c r="E285" s="6">
        <v>208</v>
      </c>
      <c r="F285" s="6">
        <f>Source!V262</f>
        <v>0</v>
      </c>
      <c r="G285" s="6" t="s">
        <v>105</v>
      </c>
      <c r="H285" s="6" t="s">
        <v>106</v>
      </c>
      <c r="I285" s="6"/>
      <c r="J285" s="6"/>
      <c r="K285" s="6">
        <v>208</v>
      </c>
      <c r="L285" s="6">
        <v>22</v>
      </c>
      <c r="M285" s="6">
        <v>3</v>
      </c>
      <c r="N285" s="6" t="s">
        <v>3</v>
      </c>
      <c r="O285" s="6">
        <v>-1</v>
      </c>
      <c r="P285" s="6">
        <f>Source!DN262</f>
        <v>0</v>
      </c>
      <c r="Q285" s="6"/>
      <c r="R285" s="6"/>
      <c r="S285" s="6"/>
      <c r="T285" s="6"/>
      <c r="U285" s="6"/>
      <c r="V285" s="6"/>
      <c r="W285" s="6">
        <v>0</v>
      </c>
      <c r="X285" s="6">
        <v>1</v>
      </c>
      <c r="Y285" s="6">
        <v>0</v>
      </c>
      <c r="Z285" s="6">
        <v>0</v>
      </c>
      <c r="AA285" s="6">
        <v>1</v>
      </c>
      <c r="AB285" s="6">
        <v>0</v>
      </c>
    </row>
    <row r="286" spans="1:28" ht="13" x14ac:dyDescent="0.3">
      <c r="A286" s="6">
        <v>50</v>
      </c>
      <c r="B286" s="6">
        <v>0</v>
      </c>
      <c r="C286" s="6">
        <v>0</v>
      </c>
      <c r="D286" s="6">
        <v>1</v>
      </c>
      <c r="E286" s="6">
        <v>209</v>
      </c>
      <c r="F286" s="6">
        <f>ROUND(Source!W262,O286)</f>
        <v>0</v>
      </c>
      <c r="G286" s="6" t="s">
        <v>107</v>
      </c>
      <c r="H286" s="6" t="s">
        <v>108</v>
      </c>
      <c r="I286" s="6"/>
      <c r="J286" s="6"/>
      <c r="K286" s="6">
        <v>209</v>
      </c>
      <c r="L286" s="6">
        <v>23</v>
      </c>
      <c r="M286" s="6">
        <v>3</v>
      </c>
      <c r="N286" s="6" t="s">
        <v>3</v>
      </c>
      <c r="O286" s="6">
        <v>2</v>
      </c>
      <c r="P286" s="6">
        <f>ROUND(Source!DO262,O286)</f>
        <v>0</v>
      </c>
      <c r="Q286" s="6"/>
      <c r="R286" s="6"/>
      <c r="S286" s="6"/>
      <c r="T286" s="6"/>
      <c r="U286" s="6"/>
      <c r="V286" s="6"/>
      <c r="W286" s="6">
        <v>0</v>
      </c>
      <c r="X286" s="6">
        <v>1</v>
      </c>
      <c r="Y286" s="6">
        <v>0</v>
      </c>
      <c r="Z286" s="6">
        <v>0</v>
      </c>
      <c r="AA286" s="6">
        <v>1</v>
      </c>
      <c r="AB286" s="6">
        <v>0</v>
      </c>
    </row>
    <row r="287" spans="1:28" ht="13" x14ac:dyDescent="0.3">
      <c r="A287" s="6">
        <v>50</v>
      </c>
      <c r="B287" s="6">
        <v>0</v>
      </c>
      <c r="C287" s="6">
        <v>0</v>
      </c>
      <c r="D287" s="6">
        <v>1</v>
      </c>
      <c r="E287" s="6">
        <v>233</v>
      </c>
      <c r="F287" s="6">
        <f>ROUND(Source!BD262,O287)</f>
        <v>0</v>
      </c>
      <c r="G287" s="6" t="s">
        <v>109</v>
      </c>
      <c r="H287" s="6" t="s">
        <v>110</v>
      </c>
      <c r="I287" s="6"/>
      <c r="J287" s="6"/>
      <c r="K287" s="6">
        <v>233</v>
      </c>
      <c r="L287" s="6">
        <v>24</v>
      </c>
      <c r="M287" s="6">
        <v>3</v>
      </c>
      <c r="N287" s="6" t="s">
        <v>3</v>
      </c>
      <c r="O287" s="6">
        <v>2</v>
      </c>
      <c r="P287" s="6">
        <f>ROUND(Source!EV262,O287)</f>
        <v>0</v>
      </c>
      <c r="Q287" s="6"/>
      <c r="R287" s="6"/>
      <c r="S287" s="6"/>
      <c r="T287" s="6"/>
      <c r="U287" s="6"/>
      <c r="V287" s="6"/>
      <c r="W287" s="6">
        <v>0</v>
      </c>
      <c r="X287" s="6">
        <v>1</v>
      </c>
      <c r="Y287" s="6">
        <v>0</v>
      </c>
      <c r="Z287" s="6">
        <v>0</v>
      </c>
      <c r="AA287" s="6">
        <v>1</v>
      </c>
      <c r="AB287" s="6">
        <v>0</v>
      </c>
    </row>
    <row r="288" spans="1:28" ht="13" x14ac:dyDescent="0.3">
      <c r="A288" s="6">
        <v>50</v>
      </c>
      <c r="B288" s="6">
        <v>0</v>
      </c>
      <c r="C288" s="6">
        <v>0</v>
      </c>
      <c r="D288" s="6">
        <v>1</v>
      </c>
      <c r="E288" s="6">
        <v>210</v>
      </c>
      <c r="F288" s="6">
        <f>ROUND(Source!X262,O288)</f>
        <v>6102.15</v>
      </c>
      <c r="G288" s="6" t="s">
        <v>111</v>
      </c>
      <c r="H288" s="6" t="s">
        <v>112</v>
      </c>
      <c r="I288" s="6"/>
      <c r="J288" s="6"/>
      <c r="K288" s="6">
        <v>210</v>
      </c>
      <c r="L288" s="6">
        <v>25</v>
      </c>
      <c r="M288" s="6">
        <v>3</v>
      </c>
      <c r="N288" s="6" t="s">
        <v>3</v>
      </c>
      <c r="O288" s="6">
        <v>2</v>
      </c>
      <c r="P288" s="6">
        <f>ROUND(Source!DP262,O288)</f>
        <v>343857.02</v>
      </c>
      <c r="Q288" s="6"/>
      <c r="R288" s="6"/>
      <c r="S288" s="6"/>
      <c r="T288" s="6"/>
      <c r="U288" s="6"/>
      <c r="V288" s="6"/>
      <c r="W288" s="6">
        <v>6102.15</v>
      </c>
      <c r="X288" s="6">
        <v>1</v>
      </c>
      <c r="Y288" s="6">
        <v>6102.15</v>
      </c>
      <c r="Z288" s="6">
        <v>343857.02</v>
      </c>
      <c r="AA288" s="6">
        <v>1</v>
      </c>
      <c r="AB288" s="6">
        <v>343857.02</v>
      </c>
    </row>
    <row r="289" spans="1:50" ht="13" x14ac:dyDescent="0.3">
      <c r="A289" s="6">
        <v>50</v>
      </c>
      <c r="B289" s="6">
        <v>0</v>
      </c>
      <c r="C289" s="6">
        <v>0</v>
      </c>
      <c r="D289" s="6">
        <v>1</v>
      </c>
      <c r="E289" s="6">
        <v>211</v>
      </c>
      <c r="F289" s="6">
        <f>ROUND(Source!Y262,O289)</f>
        <v>3145.49</v>
      </c>
      <c r="G289" s="6" t="s">
        <v>113</v>
      </c>
      <c r="H289" s="6" t="s">
        <v>114</v>
      </c>
      <c r="I289" s="6"/>
      <c r="J289" s="6"/>
      <c r="K289" s="6">
        <v>211</v>
      </c>
      <c r="L289" s="6">
        <v>26</v>
      </c>
      <c r="M289" s="6">
        <v>3</v>
      </c>
      <c r="N289" s="6" t="s">
        <v>3</v>
      </c>
      <c r="O289" s="6">
        <v>2</v>
      </c>
      <c r="P289" s="6">
        <f>ROUND(Source!DQ262,O289)</f>
        <v>177250.05</v>
      </c>
      <c r="Q289" s="6"/>
      <c r="R289" s="6"/>
      <c r="S289" s="6"/>
      <c r="T289" s="6"/>
      <c r="U289" s="6"/>
      <c r="V289" s="6"/>
      <c r="W289" s="6">
        <v>3145.49</v>
      </c>
      <c r="X289" s="6">
        <v>1</v>
      </c>
      <c r="Y289" s="6">
        <v>3145.49</v>
      </c>
      <c r="Z289" s="6">
        <v>177250.05</v>
      </c>
      <c r="AA289" s="6">
        <v>1</v>
      </c>
      <c r="AB289" s="6">
        <v>177250.05</v>
      </c>
    </row>
    <row r="290" spans="1:50" ht="13" x14ac:dyDescent="0.3">
      <c r="A290" s="6">
        <v>50</v>
      </c>
      <c r="B290" s="6">
        <v>0</v>
      </c>
      <c r="C290" s="6">
        <v>0</v>
      </c>
      <c r="D290" s="6">
        <v>1</v>
      </c>
      <c r="E290" s="6">
        <v>224</v>
      </c>
      <c r="F290" s="6">
        <f>ROUND(Source!AR262,O290)</f>
        <v>1061162.8899999999</v>
      </c>
      <c r="G290" s="6" t="s">
        <v>115</v>
      </c>
      <c r="H290" s="6" t="s">
        <v>116</v>
      </c>
      <c r="I290" s="6"/>
      <c r="J290" s="6"/>
      <c r="K290" s="6">
        <v>224</v>
      </c>
      <c r="L290" s="6">
        <v>27</v>
      </c>
      <c r="M290" s="6">
        <v>3</v>
      </c>
      <c r="N290" s="6" t="s">
        <v>3</v>
      </c>
      <c r="O290" s="6">
        <v>2</v>
      </c>
      <c r="P290" s="6">
        <f>ROUND(Source!EJ262,O290)</f>
        <v>8811082.7300000004</v>
      </c>
      <c r="Q290" s="6"/>
      <c r="R290" s="6"/>
      <c r="S290" s="6"/>
      <c r="T290" s="6"/>
      <c r="U290" s="6"/>
      <c r="V290" s="6"/>
      <c r="W290" s="6">
        <v>1061162.8899999999</v>
      </c>
      <c r="X290" s="6">
        <v>1</v>
      </c>
      <c r="Y290" s="6">
        <v>1061162.8899999999</v>
      </c>
      <c r="Z290" s="6">
        <v>8811082.7300000004</v>
      </c>
      <c r="AA290" s="6">
        <v>1</v>
      </c>
      <c r="AB290" s="6">
        <v>8811082.7300000004</v>
      </c>
    </row>
    <row r="293" spans="1:50" x14ac:dyDescent="0.25">
      <c r="A293">
        <v>70</v>
      </c>
      <c r="B293">
        <v>1</v>
      </c>
      <c r="D293">
        <v>1</v>
      </c>
      <c r="E293" t="s">
        <v>202</v>
      </c>
      <c r="F293" t="s">
        <v>203</v>
      </c>
      <c r="G293">
        <v>0</v>
      </c>
      <c r="H293">
        <v>0</v>
      </c>
      <c r="I293" t="s">
        <v>3</v>
      </c>
      <c r="J293">
        <v>1</v>
      </c>
      <c r="K293">
        <v>0</v>
      </c>
      <c r="L293" t="s">
        <v>3</v>
      </c>
      <c r="M293" t="s">
        <v>3</v>
      </c>
      <c r="N293">
        <v>0</v>
      </c>
      <c r="O293">
        <v>0</v>
      </c>
      <c r="P293" t="s">
        <v>3</v>
      </c>
    </row>
    <row r="294" spans="1:50" x14ac:dyDescent="0.25">
      <c r="A294">
        <v>70</v>
      </c>
      <c r="B294">
        <v>1</v>
      </c>
      <c r="D294">
        <v>2</v>
      </c>
      <c r="E294" t="s">
        <v>204</v>
      </c>
      <c r="F294" t="s">
        <v>205</v>
      </c>
      <c r="G294">
        <v>1</v>
      </c>
      <c r="H294">
        <v>0</v>
      </c>
      <c r="I294" t="s">
        <v>3</v>
      </c>
      <c r="J294">
        <v>1</v>
      </c>
      <c r="K294">
        <v>0</v>
      </c>
      <c r="L294" t="s">
        <v>3</v>
      </c>
      <c r="M294" t="s">
        <v>3</v>
      </c>
      <c r="N294">
        <v>0</v>
      </c>
      <c r="O294">
        <v>1</v>
      </c>
      <c r="P294" t="s">
        <v>3</v>
      </c>
    </row>
    <row r="295" spans="1:50" x14ac:dyDescent="0.25">
      <c r="A295">
        <v>70</v>
      </c>
      <c r="B295">
        <v>1</v>
      </c>
      <c r="D295">
        <v>3</v>
      </c>
      <c r="E295" t="s">
        <v>206</v>
      </c>
      <c r="F295" t="s">
        <v>207</v>
      </c>
      <c r="G295">
        <v>1</v>
      </c>
      <c r="H295">
        <v>0</v>
      </c>
      <c r="I295" t="s">
        <v>3</v>
      </c>
      <c r="J295">
        <v>0</v>
      </c>
      <c r="K295">
        <v>0</v>
      </c>
      <c r="L295" t="s">
        <v>3</v>
      </c>
      <c r="M295" t="s">
        <v>3</v>
      </c>
      <c r="N295">
        <v>0</v>
      </c>
      <c r="O295">
        <v>1</v>
      </c>
      <c r="P295" t="s">
        <v>3</v>
      </c>
    </row>
    <row r="296" spans="1:50" x14ac:dyDescent="0.25">
      <c r="A296">
        <v>70</v>
      </c>
      <c r="B296">
        <v>1</v>
      </c>
      <c r="D296">
        <v>4</v>
      </c>
      <c r="E296" t="s">
        <v>208</v>
      </c>
      <c r="F296" t="s">
        <v>209</v>
      </c>
      <c r="G296">
        <v>1</v>
      </c>
      <c r="H296">
        <v>0</v>
      </c>
      <c r="I296" t="s">
        <v>3</v>
      </c>
      <c r="J296">
        <v>0</v>
      </c>
      <c r="K296">
        <v>0</v>
      </c>
      <c r="L296" t="s">
        <v>3</v>
      </c>
      <c r="M296" t="s">
        <v>3</v>
      </c>
      <c r="N296">
        <v>0</v>
      </c>
      <c r="O296">
        <v>1</v>
      </c>
      <c r="P296" t="s">
        <v>3</v>
      </c>
    </row>
    <row r="297" spans="1:50" x14ac:dyDescent="0.25">
      <c r="A297">
        <v>70</v>
      </c>
      <c r="B297">
        <v>1</v>
      </c>
      <c r="D297">
        <v>5</v>
      </c>
      <c r="E297" t="s">
        <v>210</v>
      </c>
      <c r="F297" t="s">
        <v>211</v>
      </c>
      <c r="G297">
        <v>0</v>
      </c>
      <c r="H297">
        <v>0</v>
      </c>
      <c r="I297" t="s">
        <v>3</v>
      </c>
      <c r="J297">
        <v>0</v>
      </c>
      <c r="K297">
        <v>0</v>
      </c>
      <c r="L297" t="s">
        <v>3</v>
      </c>
      <c r="M297" t="s">
        <v>3</v>
      </c>
      <c r="N297">
        <v>0</v>
      </c>
      <c r="O297">
        <v>0</v>
      </c>
      <c r="P297" t="s">
        <v>3</v>
      </c>
    </row>
    <row r="299" spans="1:50" x14ac:dyDescent="0.25">
      <c r="A299">
        <v>-1</v>
      </c>
    </row>
    <row r="301" spans="1:50" ht="13" x14ac:dyDescent="0.3">
      <c r="A301" s="5">
        <v>75</v>
      </c>
      <c r="B301" s="5" t="s">
        <v>212</v>
      </c>
      <c r="C301" s="5">
        <v>2000</v>
      </c>
      <c r="D301" s="5">
        <v>0</v>
      </c>
      <c r="E301" s="5">
        <v>1</v>
      </c>
      <c r="F301" s="5">
        <v>0</v>
      </c>
      <c r="G301" s="5">
        <v>0</v>
      </c>
      <c r="H301" s="5">
        <v>1</v>
      </c>
      <c r="I301" s="5">
        <v>1</v>
      </c>
      <c r="J301" s="5">
        <v>3</v>
      </c>
      <c r="K301" s="5">
        <v>0</v>
      </c>
      <c r="L301" s="5">
        <v>0</v>
      </c>
      <c r="M301" s="5">
        <v>0</v>
      </c>
      <c r="N301" s="5">
        <v>55934355</v>
      </c>
      <c r="O301" s="5">
        <v>1</v>
      </c>
    </row>
    <row r="302" spans="1:50" x14ac:dyDescent="0.25">
      <c r="A302" s="7">
        <v>1</v>
      </c>
      <c r="B302" s="7" t="s">
        <v>213</v>
      </c>
      <c r="C302" s="7" t="s">
        <v>214</v>
      </c>
      <c r="D302" s="7">
        <v>2000</v>
      </c>
      <c r="E302" s="7">
        <v>1</v>
      </c>
      <c r="F302" s="7">
        <v>1</v>
      </c>
      <c r="G302" s="7">
        <v>1</v>
      </c>
      <c r="H302" s="7">
        <v>0</v>
      </c>
      <c r="I302" s="7">
        <v>2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 t="s">
        <v>3</v>
      </c>
      <c r="S302" s="7" t="s">
        <v>3</v>
      </c>
      <c r="T302" s="7" t="s">
        <v>3</v>
      </c>
      <c r="U302" s="7" t="s">
        <v>3</v>
      </c>
      <c r="V302" s="7" t="s">
        <v>3</v>
      </c>
      <c r="W302" s="7" t="s">
        <v>3</v>
      </c>
      <c r="X302" s="7" t="s">
        <v>3</v>
      </c>
      <c r="Y302" s="7" t="s">
        <v>3</v>
      </c>
      <c r="Z302" s="7" t="s">
        <v>3</v>
      </c>
      <c r="AA302" s="7" t="s">
        <v>215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>
        <v>55934356</v>
      </c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3" x14ac:dyDescent="0.3">
      <c r="A303" s="5">
        <v>75</v>
      </c>
      <c r="B303" s="5" t="s">
        <v>216</v>
      </c>
      <c r="C303" s="5">
        <v>2026</v>
      </c>
      <c r="D303" s="5">
        <v>1</v>
      </c>
      <c r="E303" s="5">
        <v>0</v>
      </c>
      <c r="F303" s="5"/>
      <c r="G303" s="5">
        <v>0</v>
      </c>
      <c r="H303" s="5">
        <v>1</v>
      </c>
      <c r="I303" s="5">
        <v>1</v>
      </c>
      <c r="J303" s="5">
        <v>1</v>
      </c>
      <c r="K303" s="5">
        <v>0</v>
      </c>
      <c r="L303" s="5">
        <v>0</v>
      </c>
      <c r="M303" s="5">
        <v>1</v>
      </c>
      <c r="N303" s="5">
        <v>55934357</v>
      </c>
      <c r="O303" s="5">
        <v>2</v>
      </c>
    </row>
    <row r="304" spans="1:50" x14ac:dyDescent="0.25">
      <c r="A304" s="7">
        <v>1</v>
      </c>
      <c r="B304" s="7" t="s">
        <v>213</v>
      </c>
      <c r="C304" s="7" t="s">
        <v>214</v>
      </c>
      <c r="D304" s="7">
        <v>2026</v>
      </c>
      <c r="E304" s="7">
        <v>1</v>
      </c>
      <c r="F304" s="7">
        <v>1</v>
      </c>
      <c r="G304" s="7">
        <v>1</v>
      </c>
      <c r="H304" s="7">
        <v>0</v>
      </c>
      <c r="I304" s="7">
        <v>2</v>
      </c>
      <c r="J304" s="7">
        <v>1</v>
      </c>
      <c r="K304" s="7">
        <v>9.84</v>
      </c>
      <c r="L304" s="7">
        <v>7.57</v>
      </c>
      <c r="M304" s="7">
        <v>1</v>
      </c>
      <c r="N304" s="7">
        <v>1</v>
      </c>
      <c r="O304" s="7">
        <v>9.84</v>
      </c>
      <c r="P304" s="7">
        <v>7.57</v>
      </c>
      <c r="Q304" s="7">
        <v>1</v>
      </c>
      <c r="R304" s="7" t="s">
        <v>3</v>
      </c>
      <c r="S304" s="7" t="s">
        <v>3</v>
      </c>
      <c r="T304" s="7" t="s">
        <v>3</v>
      </c>
      <c r="U304" s="7" t="s">
        <v>3</v>
      </c>
      <c r="V304" s="7" t="s">
        <v>3</v>
      </c>
      <c r="W304" s="7" t="s">
        <v>3</v>
      </c>
      <c r="X304" s="7" t="s">
        <v>3</v>
      </c>
      <c r="Y304" s="7" t="s">
        <v>3</v>
      </c>
      <c r="Z304" s="7" t="s">
        <v>3</v>
      </c>
      <c r="AA304" s="7" t="s">
        <v>217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>
        <v>55934358</v>
      </c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x14ac:dyDescent="0.25">
      <c r="A305" s="7">
        <v>1</v>
      </c>
      <c r="B305" s="7" t="s">
        <v>213</v>
      </c>
      <c r="C305" s="7" t="s">
        <v>218</v>
      </c>
      <c r="D305" s="7">
        <v>2026</v>
      </c>
      <c r="E305" s="7">
        <v>1</v>
      </c>
      <c r="F305" s="7">
        <v>1</v>
      </c>
      <c r="G305" s="7">
        <v>1</v>
      </c>
      <c r="H305" s="7">
        <v>0</v>
      </c>
      <c r="I305" s="7">
        <v>2</v>
      </c>
      <c r="J305" s="7">
        <v>1</v>
      </c>
      <c r="K305" s="7">
        <v>9.84</v>
      </c>
      <c r="L305" s="7">
        <v>7.57</v>
      </c>
      <c r="M305" s="7">
        <v>1</v>
      </c>
      <c r="N305" s="7">
        <v>1</v>
      </c>
      <c r="O305" s="7">
        <v>9.84</v>
      </c>
      <c r="P305" s="7">
        <v>7.57</v>
      </c>
      <c r="Q305" s="7">
        <v>1</v>
      </c>
      <c r="R305" s="7" t="s">
        <v>3</v>
      </c>
      <c r="S305" s="7" t="s">
        <v>3</v>
      </c>
      <c r="T305" s="7" t="s">
        <v>3</v>
      </c>
      <c r="U305" s="7" t="s">
        <v>3</v>
      </c>
      <c r="V305" s="7" t="s">
        <v>3</v>
      </c>
      <c r="W305" s="7" t="s">
        <v>3</v>
      </c>
      <c r="X305" s="7" t="s">
        <v>3</v>
      </c>
      <c r="Y305" s="7" t="s">
        <v>3</v>
      </c>
      <c r="Z305" s="7" t="s">
        <v>3</v>
      </c>
      <c r="AA305" s="7" t="s">
        <v>219</v>
      </c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>
        <v>55934359</v>
      </c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9" spans="1:50" x14ac:dyDescent="0.25">
      <c r="A309">
        <v>65</v>
      </c>
      <c r="C309">
        <v>1</v>
      </c>
      <c r="D309">
        <v>0</v>
      </c>
      <c r="E30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220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55934355</v>
      </c>
      <c r="E14" s="1">
        <v>55934357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8">
        <v>3</v>
      </c>
      <c r="B16" s="8">
        <v>1</v>
      </c>
      <c r="C16" s="8" t="s">
        <v>5</v>
      </c>
      <c r="D16" s="8" t="s">
        <v>20</v>
      </c>
      <c r="E16" s="9">
        <f>ROUND((Source!F249)/1000,2)</f>
        <v>0</v>
      </c>
      <c r="F16" s="9">
        <f>ROUND((Source!F250)/1000,2)</f>
        <v>17.440000000000001</v>
      </c>
      <c r="G16" s="9">
        <f>ROUND((Source!F241)/1000,2)</f>
        <v>1043.72</v>
      </c>
      <c r="H16" s="9">
        <f>ROUND((Source!F251)/1000+(Source!F252)/1000,2)</f>
        <v>0</v>
      </c>
      <c r="I16" s="9">
        <f>E16+F16+G16+H16</f>
        <v>1061.1600000000001</v>
      </c>
      <c r="J16" s="9">
        <f>ROUND((Source!F247+Source!F246)/1000,2)</f>
        <v>6.75</v>
      </c>
      <c r="K16" s="9">
        <v>2096.8000000000002</v>
      </c>
      <c r="L16" s="9">
        <v>0</v>
      </c>
      <c r="M16" s="9">
        <v>0</v>
      </c>
      <c r="N16" s="9">
        <f>I16+L16+M16</f>
        <v>1061.1600000000001</v>
      </c>
      <c r="T16" s="10">
        <f>ROUND((Source!P249)/1000,2)</f>
        <v>0</v>
      </c>
      <c r="U16" s="10">
        <f>ROUND((Source!P250)/1000,2)</f>
        <v>910.14</v>
      </c>
      <c r="V16" s="10">
        <f>ROUND((Source!P241)/1000,2)</f>
        <v>7900.94</v>
      </c>
      <c r="W16" s="10">
        <f>ROUND((Source!P251)/1000+(Source!P252)/1000,2)</f>
        <v>0</v>
      </c>
      <c r="X16" s="10">
        <f>T16+U16+V16+W16</f>
        <v>8811.08</v>
      </c>
      <c r="Y16" s="10">
        <f>ROUND((Source!P247+Source!P246)/1000,2)</f>
        <v>380.19</v>
      </c>
      <c r="Z16" s="10">
        <v>16196.61</v>
      </c>
      <c r="AA16" s="10">
        <v>0</v>
      </c>
      <c r="AB16" s="10">
        <v>0</v>
      </c>
      <c r="AC16" s="10">
        <f>X16+AA16+AB16</f>
        <v>8811.08</v>
      </c>
      <c r="AI16" s="8">
        <v>2</v>
      </c>
      <c r="AJ16" s="8">
        <v>-1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1051915.25</v>
      </c>
      <c r="AU16" s="9">
        <v>1044881.38</v>
      </c>
      <c r="AV16" s="9">
        <v>0</v>
      </c>
      <c r="AW16" s="9">
        <v>1043717.95</v>
      </c>
      <c r="AX16" s="9">
        <v>0</v>
      </c>
      <c r="AY16" s="9">
        <v>320.14999999999998</v>
      </c>
      <c r="AZ16" s="9">
        <v>33.17</v>
      </c>
      <c r="BA16" s="9">
        <v>6713.72</v>
      </c>
      <c r="BB16" s="9">
        <v>0</v>
      </c>
      <c r="BC16" s="9">
        <v>17444.939999999999</v>
      </c>
      <c r="BD16" s="9">
        <v>0</v>
      </c>
      <c r="BE16" s="9">
        <v>0</v>
      </c>
      <c r="BF16" s="9">
        <v>460.84550975999997</v>
      </c>
      <c r="BG16" s="9">
        <v>0</v>
      </c>
      <c r="BH16" s="9">
        <v>0</v>
      </c>
      <c r="BI16" s="9">
        <v>6102.15</v>
      </c>
      <c r="BJ16" s="9">
        <v>3145.49</v>
      </c>
      <c r="BK16" s="9">
        <v>1061162.8899999999</v>
      </c>
      <c r="BR16" s="10">
        <v>8289975.6600000001</v>
      </c>
      <c r="BS16" s="10">
        <v>7906634.1500000004</v>
      </c>
      <c r="BT16" s="10">
        <v>0</v>
      </c>
      <c r="BU16" s="10">
        <v>7900944.8899999997</v>
      </c>
      <c r="BV16" s="10">
        <v>0</v>
      </c>
      <c r="BW16" s="10">
        <v>5023.38</v>
      </c>
      <c r="BX16" s="10">
        <v>1869.13</v>
      </c>
      <c r="BY16" s="10">
        <v>378318.13</v>
      </c>
      <c r="BZ16" s="10">
        <v>0</v>
      </c>
      <c r="CA16" s="10">
        <v>910137.84</v>
      </c>
      <c r="CB16" s="10">
        <v>0</v>
      </c>
      <c r="CC16" s="10">
        <v>0</v>
      </c>
      <c r="CD16" s="10">
        <v>460.84550975999997</v>
      </c>
      <c r="CE16" s="10">
        <v>0</v>
      </c>
      <c r="CF16" s="10">
        <v>0</v>
      </c>
      <c r="CG16" s="10">
        <v>343857.02</v>
      </c>
      <c r="CH16" s="10">
        <v>177250.05</v>
      </c>
      <c r="CI16" s="10">
        <v>8811082.7300000004</v>
      </c>
    </row>
    <row r="18" spans="1:29" x14ac:dyDescent="0.25">
      <c r="A18">
        <v>51</v>
      </c>
      <c r="E18">
        <v>0</v>
      </c>
      <c r="F18">
        <v>17.440000000000001</v>
      </c>
      <c r="G18">
        <v>1043.72</v>
      </c>
      <c r="H18">
        <v>0</v>
      </c>
      <c r="I18">
        <v>1061.1600000000001</v>
      </c>
      <c r="J18">
        <v>6.75</v>
      </c>
      <c r="K18">
        <v>2096.8000000000002</v>
      </c>
      <c r="L18">
        <v>0</v>
      </c>
      <c r="M18">
        <v>0</v>
      </c>
      <c r="N18">
        <v>1061.1600000000001</v>
      </c>
      <c r="T18">
        <v>0</v>
      </c>
      <c r="U18">
        <v>910.14</v>
      </c>
      <c r="V18">
        <v>7900.94</v>
      </c>
      <c r="W18">
        <v>0</v>
      </c>
      <c r="X18">
        <v>8811.08</v>
      </c>
      <c r="Y18">
        <v>380.19</v>
      </c>
      <c r="Z18">
        <v>16196.61</v>
      </c>
      <c r="AA18">
        <v>0</v>
      </c>
      <c r="AB18">
        <v>0</v>
      </c>
      <c r="AC18">
        <v>8811.08</v>
      </c>
    </row>
    <row r="20" spans="1:29" ht="13" x14ac:dyDescent="0.3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1051915.25</v>
      </c>
      <c r="G20" s="6" t="s">
        <v>63</v>
      </c>
      <c r="H20" s="6" t="s">
        <v>64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8289975.6600000001</v>
      </c>
    </row>
    <row r="21" spans="1:29" ht="13" x14ac:dyDescent="0.3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1044881.38</v>
      </c>
      <c r="G21" s="6" t="s">
        <v>65</v>
      </c>
      <c r="H21" s="6" t="s">
        <v>66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7906634.1500000004</v>
      </c>
    </row>
    <row r="22" spans="1:29" ht="13" x14ac:dyDescent="0.3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67</v>
      </c>
      <c r="H22" s="6" t="s">
        <v>68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ht="13" x14ac:dyDescent="0.3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1044881.38</v>
      </c>
      <c r="G23" s="6" t="s">
        <v>69</v>
      </c>
      <c r="H23" s="6" t="s">
        <v>70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7906634.1500000004</v>
      </c>
    </row>
    <row r="24" spans="1:29" ht="13" x14ac:dyDescent="0.3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1163.43</v>
      </c>
      <c r="G24" s="6" t="s">
        <v>71</v>
      </c>
      <c r="H24" s="6" t="s">
        <v>72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5689.26</v>
      </c>
    </row>
    <row r="25" spans="1:29" ht="13" x14ac:dyDescent="0.3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73</v>
      </c>
      <c r="H25" s="6" t="s">
        <v>74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ht="13" x14ac:dyDescent="0.3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1163.43</v>
      </c>
      <c r="G26" s="6" t="s">
        <v>75</v>
      </c>
      <c r="H26" s="6" t="s">
        <v>76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5689.26</v>
      </c>
    </row>
    <row r="27" spans="1:29" ht="13" x14ac:dyDescent="0.3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1043717.95</v>
      </c>
      <c r="G27" s="6" t="s">
        <v>77</v>
      </c>
      <c r="H27" s="6" t="s">
        <v>78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7900944.8899999997</v>
      </c>
    </row>
    <row r="28" spans="1:29" ht="13" x14ac:dyDescent="0.3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79</v>
      </c>
      <c r="H28" s="6" t="s">
        <v>80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ht="13" x14ac:dyDescent="0.3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1043717.95</v>
      </c>
      <c r="G29" s="6" t="s">
        <v>81</v>
      </c>
      <c r="H29" s="6" t="s">
        <v>82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7900944.8899999997</v>
      </c>
    </row>
    <row r="30" spans="1:29" ht="13" x14ac:dyDescent="0.3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320.14999999999998</v>
      </c>
      <c r="G30" s="6" t="s">
        <v>83</v>
      </c>
      <c r="H30" s="6" t="s">
        <v>84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5023.38</v>
      </c>
    </row>
    <row r="31" spans="1:29" ht="13" x14ac:dyDescent="0.3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85</v>
      </c>
      <c r="H31" s="6" t="s">
        <v>86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ht="13" x14ac:dyDescent="0.3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33.17</v>
      </c>
      <c r="G32" s="6" t="s">
        <v>87</v>
      </c>
      <c r="H32" s="6" t="s">
        <v>88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1869.13</v>
      </c>
    </row>
    <row r="33" spans="1:16" ht="13" x14ac:dyDescent="0.3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6713.72</v>
      </c>
      <c r="G33" s="6" t="s">
        <v>89</v>
      </c>
      <c r="H33" s="6" t="s">
        <v>90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378318.13</v>
      </c>
    </row>
    <row r="34" spans="1:16" ht="13" x14ac:dyDescent="0.3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91</v>
      </c>
      <c r="H34" s="6" t="s">
        <v>92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ht="13" x14ac:dyDescent="0.3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0</v>
      </c>
      <c r="G35" s="6" t="s">
        <v>93</v>
      </c>
      <c r="H35" s="6" t="s">
        <v>94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0</v>
      </c>
    </row>
    <row r="36" spans="1:16" ht="13" x14ac:dyDescent="0.3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17444.939999999999</v>
      </c>
      <c r="G36" s="6" t="s">
        <v>95</v>
      </c>
      <c r="H36" s="6" t="s">
        <v>96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910137.84</v>
      </c>
    </row>
    <row r="37" spans="1:16" ht="13" x14ac:dyDescent="0.3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97</v>
      </c>
      <c r="H37" s="6" t="s">
        <v>98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ht="13" x14ac:dyDescent="0.3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99</v>
      </c>
      <c r="H38" s="6" t="s">
        <v>100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ht="13" x14ac:dyDescent="0.3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101</v>
      </c>
      <c r="H39" s="6" t="s">
        <v>102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ht="13" x14ac:dyDescent="0.3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460.84550975999997</v>
      </c>
      <c r="G40" s="6" t="s">
        <v>103</v>
      </c>
      <c r="H40" s="6" t="s">
        <v>104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460.84550975999997</v>
      </c>
    </row>
    <row r="41" spans="1:16" ht="13" x14ac:dyDescent="0.3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105</v>
      </c>
      <c r="H41" s="6" t="s">
        <v>106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ht="13" x14ac:dyDescent="0.3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107</v>
      </c>
      <c r="H42" s="6" t="s">
        <v>108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ht="13" x14ac:dyDescent="0.3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109</v>
      </c>
      <c r="H43" s="6" t="s">
        <v>110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ht="13" x14ac:dyDescent="0.3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6102.15</v>
      </c>
      <c r="G44" s="6" t="s">
        <v>111</v>
      </c>
      <c r="H44" s="6" t="s">
        <v>112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343857.02</v>
      </c>
    </row>
    <row r="45" spans="1:16" ht="13" x14ac:dyDescent="0.3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3145.49</v>
      </c>
      <c r="G45" s="6" t="s">
        <v>113</v>
      </c>
      <c r="H45" s="6" t="s">
        <v>114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177250.05</v>
      </c>
    </row>
    <row r="46" spans="1:16" ht="13" x14ac:dyDescent="0.3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1061162.8899999999</v>
      </c>
      <c r="G46" s="6" t="s">
        <v>115</v>
      </c>
      <c r="H46" s="6" t="s">
        <v>116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8811082.7300000004</v>
      </c>
    </row>
    <row r="48" spans="1:16" x14ac:dyDescent="0.25">
      <c r="A48">
        <v>-1</v>
      </c>
    </row>
    <row r="51" spans="1:50" ht="13" x14ac:dyDescent="0.3">
      <c r="A51" s="5">
        <v>75</v>
      </c>
      <c r="B51" s="5" t="s">
        <v>212</v>
      </c>
      <c r="C51" s="5">
        <v>2000</v>
      </c>
      <c r="D51" s="5">
        <v>0</v>
      </c>
      <c r="E51" s="5">
        <v>1</v>
      </c>
      <c r="F51" s="5">
        <v>0</v>
      </c>
      <c r="G51" s="5">
        <v>0</v>
      </c>
      <c r="H51" s="5">
        <v>1</v>
      </c>
      <c r="I51" s="5">
        <v>1</v>
      </c>
      <c r="J51" s="5">
        <v>3</v>
      </c>
      <c r="K51" s="5">
        <v>0</v>
      </c>
      <c r="L51" s="5">
        <v>0</v>
      </c>
      <c r="M51" s="5">
        <v>0</v>
      </c>
      <c r="N51" s="5">
        <v>55934355</v>
      </c>
      <c r="O51" s="5">
        <v>1</v>
      </c>
    </row>
    <row r="52" spans="1:50" x14ac:dyDescent="0.25">
      <c r="A52" s="7">
        <v>1</v>
      </c>
      <c r="B52" s="7" t="s">
        <v>213</v>
      </c>
      <c r="C52" s="7" t="s">
        <v>214</v>
      </c>
      <c r="D52" s="7">
        <v>2000</v>
      </c>
      <c r="E52" s="7">
        <v>1</v>
      </c>
      <c r="F52" s="7">
        <v>1</v>
      </c>
      <c r="G52" s="7">
        <v>1</v>
      </c>
      <c r="H52" s="7">
        <v>0</v>
      </c>
      <c r="I52" s="7">
        <v>2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 t="s">
        <v>3</v>
      </c>
      <c r="S52" s="7" t="s">
        <v>3</v>
      </c>
      <c r="T52" s="7" t="s">
        <v>3</v>
      </c>
      <c r="U52" s="7" t="s">
        <v>3</v>
      </c>
      <c r="V52" s="7" t="s">
        <v>3</v>
      </c>
      <c r="W52" s="7" t="s">
        <v>3</v>
      </c>
      <c r="X52" s="7" t="s">
        <v>3</v>
      </c>
      <c r="Y52" s="7" t="s">
        <v>3</v>
      </c>
      <c r="Z52" s="7" t="s">
        <v>3</v>
      </c>
      <c r="AA52" s="7" t="s">
        <v>215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>
        <v>55934356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3" x14ac:dyDescent="0.3">
      <c r="A53" s="5">
        <v>75</v>
      </c>
      <c r="B53" s="5" t="s">
        <v>216</v>
      </c>
      <c r="C53" s="5">
        <v>2026</v>
      </c>
      <c r="D53" s="5">
        <v>1</v>
      </c>
      <c r="E53" s="5">
        <v>0</v>
      </c>
      <c r="F53" s="5"/>
      <c r="G53" s="5">
        <v>0</v>
      </c>
      <c r="H53" s="5">
        <v>1</v>
      </c>
      <c r="I53" s="5">
        <v>1</v>
      </c>
      <c r="J53" s="5">
        <v>1</v>
      </c>
      <c r="K53" s="5">
        <v>0</v>
      </c>
      <c r="L53" s="5">
        <v>0</v>
      </c>
      <c r="M53" s="5">
        <v>1</v>
      </c>
      <c r="N53" s="5">
        <v>55934357</v>
      </c>
      <c r="O53" s="5">
        <v>2</v>
      </c>
    </row>
    <row r="54" spans="1:50" x14ac:dyDescent="0.25">
      <c r="A54" s="7">
        <v>1</v>
      </c>
      <c r="B54" s="7" t="s">
        <v>213</v>
      </c>
      <c r="C54" s="7" t="s">
        <v>214</v>
      </c>
      <c r="D54" s="7">
        <v>2026</v>
      </c>
      <c r="E54" s="7">
        <v>1</v>
      </c>
      <c r="F54" s="7">
        <v>1</v>
      </c>
      <c r="G54" s="7">
        <v>1</v>
      </c>
      <c r="H54" s="7">
        <v>0</v>
      </c>
      <c r="I54" s="7">
        <v>2</v>
      </c>
      <c r="J54" s="7">
        <v>1</v>
      </c>
      <c r="K54" s="7">
        <v>9.84</v>
      </c>
      <c r="L54" s="7">
        <v>7.57</v>
      </c>
      <c r="M54" s="7">
        <v>1</v>
      </c>
      <c r="N54" s="7">
        <v>1</v>
      </c>
      <c r="O54" s="7">
        <v>9.84</v>
      </c>
      <c r="P54" s="7">
        <v>7.57</v>
      </c>
      <c r="Q54" s="7">
        <v>1</v>
      </c>
      <c r="R54" s="7" t="s">
        <v>3</v>
      </c>
      <c r="S54" s="7" t="s">
        <v>3</v>
      </c>
      <c r="T54" s="7" t="s">
        <v>3</v>
      </c>
      <c r="U54" s="7" t="s">
        <v>3</v>
      </c>
      <c r="V54" s="7" t="s">
        <v>3</v>
      </c>
      <c r="W54" s="7" t="s">
        <v>3</v>
      </c>
      <c r="X54" s="7" t="s">
        <v>3</v>
      </c>
      <c r="Y54" s="7" t="s">
        <v>3</v>
      </c>
      <c r="Z54" s="7" t="s">
        <v>3</v>
      </c>
      <c r="AA54" s="7" t="s">
        <v>217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>
        <v>55934358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x14ac:dyDescent="0.25">
      <c r="A55" s="7">
        <v>1</v>
      </c>
      <c r="B55" s="7" t="s">
        <v>213</v>
      </c>
      <c r="C55" s="7" t="s">
        <v>218</v>
      </c>
      <c r="D55" s="7">
        <v>2026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9.84</v>
      </c>
      <c r="L55" s="7">
        <v>7.57</v>
      </c>
      <c r="M55" s="7">
        <v>1</v>
      </c>
      <c r="N55" s="7">
        <v>1</v>
      </c>
      <c r="O55" s="7">
        <v>9.84</v>
      </c>
      <c r="P55" s="7">
        <v>7.57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219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55934359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28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55934355</v>
      </c>
      <c r="C1">
        <v>55984014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221</v>
      </c>
      <c r="J1" t="s">
        <v>3</v>
      </c>
      <c r="K1" t="s">
        <v>222</v>
      </c>
      <c r="L1">
        <v>1191</v>
      </c>
      <c r="N1">
        <v>1013</v>
      </c>
      <c r="O1" t="s">
        <v>223</v>
      </c>
      <c r="P1" t="s">
        <v>223</v>
      </c>
      <c r="Q1">
        <v>1</v>
      </c>
      <c r="W1">
        <v>0</v>
      </c>
      <c r="X1">
        <v>476480486</v>
      </c>
      <c r="Y1">
        <f>((AT1*1.2)*0.3)</f>
        <v>2.2319999999999998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6.2</v>
      </c>
      <c r="AU1" t="s">
        <v>29</v>
      </c>
      <c r="AV1">
        <v>1</v>
      </c>
      <c r="AW1">
        <v>2</v>
      </c>
      <c r="AX1">
        <v>55984019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13.391999999999999</v>
      </c>
      <c r="CW1">
        <v>0</v>
      </c>
      <c r="CX1">
        <f>ROUND(Y1*Source!I28,9)</f>
        <v>13.391999999999999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6" si="0">ROUND(ROUND(AE1,2)*CX1,2)</f>
        <v>0</v>
      </c>
      <c r="DG1">
        <f>ROUND(ROUND(AF1,2)*CX1,2)</f>
        <v>0</v>
      </c>
      <c r="DH1">
        <f>ROUND(ROUND(AG1,2)*CX1,2)</f>
        <v>0</v>
      </c>
      <c r="DI1">
        <f t="shared" ref="DI1:DI64" si="1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55934355</v>
      </c>
      <c r="C2">
        <v>55984014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224</v>
      </c>
      <c r="J2" t="s">
        <v>225</v>
      </c>
      <c r="K2" t="s">
        <v>226</v>
      </c>
      <c r="L2">
        <v>1368</v>
      </c>
      <c r="N2">
        <v>1011</v>
      </c>
      <c r="O2" t="s">
        <v>227</v>
      </c>
      <c r="P2" t="s">
        <v>227</v>
      </c>
      <c r="Q2">
        <v>1</v>
      </c>
      <c r="W2">
        <v>0</v>
      </c>
      <c r="X2">
        <v>-1520980008</v>
      </c>
      <c r="Y2">
        <f>((AT2*1.2)*0.3)</f>
        <v>0.09</v>
      </c>
      <c r="AA2">
        <v>0</v>
      </c>
      <c r="AB2">
        <v>120.23</v>
      </c>
      <c r="AC2">
        <v>13.21</v>
      </c>
      <c r="AD2">
        <v>0</v>
      </c>
      <c r="AE2">
        <v>0</v>
      </c>
      <c r="AF2">
        <v>114.83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0.25</v>
      </c>
      <c r="AU2" t="s">
        <v>29</v>
      </c>
      <c r="AV2">
        <v>0</v>
      </c>
      <c r="AW2">
        <v>2</v>
      </c>
      <c r="AX2">
        <v>55984020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6.8148</v>
      </c>
      <c r="CX2">
        <f>ROUND(Y2*Source!I28,9)</f>
        <v>0.54</v>
      </c>
      <c r="CY2">
        <f>AB2</f>
        <v>120.23</v>
      </c>
      <c r="CZ2">
        <f>AF2</f>
        <v>114.83</v>
      </c>
      <c r="DA2">
        <f>AJ2</f>
        <v>1</v>
      </c>
      <c r="DB2">
        <f>ROUND(((ROUND(AT2*CZ2,2)*1.2)*0.3),6)</f>
        <v>10.335599999999999</v>
      </c>
      <c r="DC2">
        <f>ROUND(((ROUND(AT2*AG2,2)*1.2)*0.3),6)</f>
        <v>1.1375999999999999</v>
      </c>
      <c r="DD2" t="s">
        <v>3</v>
      </c>
      <c r="DE2" t="s">
        <v>3</v>
      </c>
      <c r="DF2">
        <f t="shared" si="0"/>
        <v>0</v>
      </c>
      <c r="DG2">
        <f>ROUND(ROUND(AF2,2)*CX2,2)</f>
        <v>62.01</v>
      </c>
      <c r="DH2">
        <f>ROUND(ROUND(AG2,2)*CX2,2)</f>
        <v>6.81</v>
      </c>
      <c r="DI2">
        <f t="shared" si="1"/>
        <v>0</v>
      </c>
      <c r="DJ2">
        <f>DG2</f>
        <v>62.01</v>
      </c>
      <c r="DK2">
        <v>0</v>
      </c>
      <c r="DL2" t="s">
        <v>228</v>
      </c>
      <c r="DM2">
        <v>0</v>
      </c>
      <c r="DN2" t="s">
        <v>223</v>
      </c>
      <c r="DO2">
        <v>12.62</v>
      </c>
    </row>
    <row r="3" spans="1:119" x14ac:dyDescent="0.25">
      <c r="A3">
        <f>ROW(Source!A28)</f>
        <v>28</v>
      </c>
      <c r="B3">
        <v>55934355</v>
      </c>
      <c r="C3">
        <v>55984014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229</v>
      </c>
      <c r="J3" t="s">
        <v>230</v>
      </c>
      <c r="K3" t="s">
        <v>231</v>
      </c>
      <c r="L3">
        <v>1348</v>
      </c>
      <c r="N3">
        <v>1009</v>
      </c>
      <c r="O3" t="s">
        <v>232</v>
      </c>
      <c r="P3" t="s">
        <v>232</v>
      </c>
      <c r="Q3">
        <v>1000</v>
      </c>
      <c r="W3">
        <v>0</v>
      </c>
      <c r="X3">
        <v>-1265888387</v>
      </c>
      <c r="Y3">
        <f>((AT3*1)*0)</f>
        <v>0</v>
      </c>
      <c r="AA3">
        <v>10643.18</v>
      </c>
      <c r="AB3">
        <v>0</v>
      </c>
      <c r="AC3">
        <v>0</v>
      </c>
      <c r="AD3">
        <v>0</v>
      </c>
      <c r="AE3">
        <v>10643.18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1.1000000000000001E-3</v>
      </c>
      <c r="AU3" t="s">
        <v>28</v>
      </c>
      <c r="AV3">
        <v>0</v>
      </c>
      <c r="AW3">
        <v>2</v>
      </c>
      <c r="AX3">
        <v>55984021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0</v>
      </c>
      <c r="CY3">
        <f>AA3</f>
        <v>10643.18</v>
      </c>
      <c r="CZ3">
        <f>AE3</f>
        <v>10643.18</v>
      </c>
      <c r="DA3">
        <f>AI3</f>
        <v>1</v>
      </c>
      <c r="DB3">
        <f>ROUND(((ROUND(AT3*CZ3,2)*1)*0),6)</f>
        <v>0</v>
      </c>
      <c r="DC3">
        <f>ROUND(((ROUND(AT3*AG3,2)*1)*0),6)</f>
        <v>0</v>
      </c>
      <c r="DD3" t="s">
        <v>3</v>
      </c>
      <c r="DE3" t="s">
        <v>3</v>
      </c>
      <c r="DF3">
        <f t="shared" si="0"/>
        <v>0</v>
      </c>
      <c r="DG3">
        <f>ROUND(ROUND(AF3,2)*CX3,2)</f>
        <v>0</v>
      </c>
      <c r="DH3">
        <f>ROUND(ROUND(AG3,2)*CX3,2)</f>
        <v>0</v>
      </c>
      <c r="DI3">
        <f t="shared" si="1"/>
        <v>0</v>
      </c>
      <c r="DJ3">
        <f>DF3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55934355</v>
      </c>
      <c r="C4">
        <v>55984014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233</v>
      </c>
      <c r="J4" t="s">
        <v>234</v>
      </c>
      <c r="K4" t="s">
        <v>235</v>
      </c>
      <c r="L4">
        <v>1348</v>
      </c>
      <c r="N4">
        <v>1009</v>
      </c>
      <c r="O4" t="s">
        <v>232</v>
      </c>
      <c r="P4" t="s">
        <v>232</v>
      </c>
      <c r="Q4">
        <v>1000</v>
      </c>
      <c r="W4">
        <v>0</v>
      </c>
      <c r="X4">
        <v>-761454284</v>
      </c>
      <c r="Y4">
        <f>((AT4*1)*0)</f>
        <v>0</v>
      </c>
      <c r="AA4">
        <v>64123.05</v>
      </c>
      <c r="AB4">
        <v>0</v>
      </c>
      <c r="AC4">
        <v>0</v>
      </c>
      <c r="AD4">
        <v>0</v>
      </c>
      <c r="AE4">
        <v>64123.05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1.0000000000000001E-5</v>
      </c>
      <c r="AU4" t="s">
        <v>28</v>
      </c>
      <c r="AV4">
        <v>0</v>
      </c>
      <c r="AW4">
        <v>2</v>
      </c>
      <c r="AX4">
        <v>55984022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0</v>
      </c>
      <c r="CY4">
        <f>AA4</f>
        <v>64123.05</v>
      </c>
      <c r="CZ4">
        <f>AE4</f>
        <v>64123.05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>ROUND(ROUND(AF4,2)*CX4,2)</f>
        <v>0</v>
      </c>
      <c r="DH4">
        <f>ROUND(ROUND(AG4,2)*CX4,2)</f>
        <v>0</v>
      </c>
      <c r="DI4">
        <f t="shared" si="1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ROW(Source!A29)</f>
        <v>29</v>
      </c>
      <c r="B5">
        <v>55934357</v>
      </c>
      <c r="C5">
        <v>55984014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221</v>
      </c>
      <c r="J5" t="s">
        <v>3</v>
      </c>
      <c r="K5" t="s">
        <v>222</v>
      </c>
      <c r="L5">
        <v>1191</v>
      </c>
      <c r="N5">
        <v>1013</v>
      </c>
      <c r="O5" t="s">
        <v>223</v>
      </c>
      <c r="P5" t="s">
        <v>223</v>
      </c>
      <c r="Q5">
        <v>1</v>
      </c>
      <c r="W5">
        <v>0</v>
      </c>
      <c r="X5">
        <v>476480486</v>
      </c>
      <c r="Y5">
        <f>((AT5*1.2)*0.3)</f>
        <v>2.2319999999999998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5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6.2</v>
      </c>
      <c r="AU5" t="s">
        <v>29</v>
      </c>
      <c r="AV5">
        <v>1</v>
      </c>
      <c r="AW5">
        <v>2</v>
      </c>
      <c r="AX5">
        <v>55984019</v>
      </c>
      <c r="AY5">
        <v>1</v>
      </c>
      <c r="AZ5">
        <v>0</v>
      </c>
      <c r="BA5">
        <v>6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ROUND(AT5*Source!I29*AH5*AL5,2)</f>
        <v>0</v>
      </c>
      <c r="CV5">
        <f>ROUND(Y5*Source!I29,9)</f>
        <v>13.391999999999999</v>
      </c>
      <c r="CW5">
        <v>0</v>
      </c>
      <c r="CX5">
        <f>ROUND(Y5*Source!I29,9)</f>
        <v>13.391999999999999</v>
      </c>
      <c r="CY5">
        <f>AD5</f>
        <v>0</v>
      </c>
      <c r="CZ5">
        <f>AH5</f>
        <v>0</v>
      </c>
      <c r="DA5">
        <f>AL5</f>
        <v>1</v>
      </c>
      <c r="DB5">
        <f>ROUND(((ROUND(AT5*CZ5,2)*1.2)*0.3),6)</f>
        <v>0</v>
      </c>
      <c r="DC5">
        <f>ROUND(((ROUND(AT5*AG5,2)*1.2)*0.3),6)</f>
        <v>0</v>
      </c>
      <c r="DD5" t="s">
        <v>3</v>
      </c>
      <c r="DE5" t="s">
        <v>3</v>
      </c>
      <c r="DF5">
        <f t="shared" si="0"/>
        <v>0</v>
      </c>
      <c r="DG5">
        <f>ROUND(ROUND(AF5,2)*CX5,2)</f>
        <v>0</v>
      </c>
      <c r="DH5">
        <f>ROUND(ROUND(AG5,2)*CX5,2)</f>
        <v>0</v>
      </c>
      <c r="DI5">
        <f t="shared" si="1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55934357</v>
      </c>
      <c r="C6">
        <v>55984014</v>
      </c>
      <c r="D6">
        <v>55489513</v>
      </c>
      <c r="E6">
        <v>1</v>
      </c>
      <c r="F6">
        <v>1</v>
      </c>
      <c r="G6">
        <v>1081</v>
      </c>
      <c r="H6">
        <v>2</v>
      </c>
      <c r="I6" t="s">
        <v>224</v>
      </c>
      <c r="J6" t="s">
        <v>225</v>
      </c>
      <c r="K6" t="s">
        <v>226</v>
      </c>
      <c r="L6">
        <v>1368</v>
      </c>
      <c r="N6">
        <v>1011</v>
      </c>
      <c r="O6" t="s">
        <v>227</v>
      </c>
      <c r="P6" t="s">
        <v>227</v>
      </c>
      <c r="Q6">
        <v>1</v>
      </c>
      <c r="W6">
        <v>0</v>
      </c>
      <c r="X6">
        <v>-1520980008</v>
      </c>
      <c r="Y6">
        <f>((AT6*1.2)*0.3)</f>
        <v>0.09</v>
      </c>
      <c r="AA6">
        <v>0</v>
      </c>
      <c r="AB6">
        <v>1942.87</v>
      </c>
      <c r="AC6">
        <v>744.56</v>
      </c>
      <c r="AD6">
        <v>0</v>
      </c>
      <c r="AE6">
        <v>0</v>
      </c>
      <c r="AF6">
        <v>114.83</v>
      </c>
      <c r="AG6">
        <v>12.62</v>
      </c>
      <c r="AH6">
        <v>0</v>
      </c>
      <c r="AI6">
        <v>1</v>
      </c>
      <c r="AJ6">
        <v>16.16</v>
      </c>
      <c r="AK6">
        <v>56.35</v>
      </c>
      <c r="AL6">
        <v>1</v>
      </c>
      <c r="AM6">
        <v>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29</v>
      </c>
      <c r="AV6">
        <v>0</v>
      </c>
      <c r="AW6">
        <v>2</v>
      </c>
      <c r="AX6">
        <v>55984020</v>
      </c>
      <c r="AY6">
        <v>1</v>
      </c>
      <c r="AZ6">
        <v>0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ROUND(Y6*Source!I29*DO6,9)</f>
        <v>6.8148</v>
      </c>
      <c r="CX6">
        <f>ROUND(Y6*Source!I29,9)</f>
        <v>0.54</v>
      </c>
      <c r="CY6">
        <f>AB6</f>
        <v>1942.87</v>
      </c>
      <c r="CZ6">
        <f>AF6</f>
        <v>114.83</v>
      </c>
      <c r="DA6">
        <f>AJ6</f>
        <v>16.16</v>
      </c>
      <c r="DB6">
        <f>ROUND(((ROUND(AT6*CZ6,2)*1.2)*0.3),6)</f>
        <v>10.335599999999999</v>
      </c>
      <c r="DC6">
        <f>ROUND(((ROUND(AT6*AG6,2)*1.2)*0.3),6)</f>
        <v>1.1375999999999999</v>
      </c>
      <c r="DD6" t="s">
        <v>3</v>
      </c>
      <c r="DE6" t="s">
        <v>3</v>
      </c>
      <c r="DF6">
        <f t="shared" si="0"/>
        <v>0</v>
      </c>
      <c r="DG6">
        <f>ROUND(ROUND(AF6*AJ6,2)*CX6,2)</f>
        <v>1002.05</v>
      </c>
      <c r="DH6">
        <f>ROUND(ROUND(AG6*AK6,2)*CX6,2)</f>
        <v>384.02</v>
      </c>
      <c r="DI6">
        <f t="shared" si="1"/>
        <v>0</v>
      </c>
      <c r="DJ6">
        <f>DG6</f>
        <v>1002.05</v>
      </c>
      <c r="DK6">
        <v>0</v>
      </c>
      <c r="DL6" t="s">
        <v>228</v>
      </c>
      <c r="DM6">
        <v>0</v>
      </c>
      <c r="DN6" t="s">
        <v>223</v>
      </c>
      <c r="DO6">
        <v>12.62</v>
      </c>
    </row>
    <row r="7" spans="1:119" x14ac:dyDescent="0.25">
      <c r="A7">
        <f>ROW(Source!A29)</f>
        <v>29</v>
      </c>
      <c r="B7">
        <v>55934357</v>
      </c>
      <c r="C7">
        <v>55984014</v>
      </c>
      <c r="D7">
        <v>55461719</v>
      </c>
      <c r="E7">
        <v>1</v>
      </c>
      <c r="F7">
        <v>1</v>
      </c>
      <c r="G7">
        <v>1081</v>
      </c>
      <c r="H7">
        <v>3</v>
      </c>
      <c r="I7" t="s">
        <v>229</v>
      </c>
      <c r="J7" t="s">
        <v>230</v>
      </c>
      <c r="K7" t="s">
        <v>231</v>
      </c>
      <c r="L7">
        <v>1348</v>
      </c>
      <c r="N7">
        <v>1009</v>
      </c>
      <c r="O7" t="s">
        <v>232</v>
      </c>
      <c r="P7" t="s">
        <v>232</v>
      </c>
      <c r="Q7">
        <v>1000</v>
      </c>
      <c r="W7">
        <v>0</v>
      </c>
      <c r="X7">
        <v>-1265888387</v>
      </c>
      <c r="Y7">
        <f>((AT7*1)*0)</f>
        <v>0</v>
      </c>
      <c r="AA7">
        <v>147514.47</v>
      </c>
      <c r="AB7">
        <v>0</v>
      </c>
      <c r="AC7">
        <v>0</v>
      </c>
      <c r="AD7">
        <v>0</v>
      </c>
      <c r="AE7">
        <v>10643.18</v>
      </c>
      <c r="AF7">
        <v>0</v>
      </c>
      <c r="AG7">
        <v>0</v>
      </c>
      <c r="AH7">
        <v>0</v>
      </c>
      <c r="AI7">
        <v>13.86</v>
      </c>
      <c r="AJ7">
        <v>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1.1000000000000001E-3</v>
      </c>
      <c r="AU7" t="s">
        <v>28</v>
      </c>
      <c r="AV7">
        <v>0</v>
      </c>
      <c r="AW7">
        <v>2</v>
      </c>
      <c r="AX7">
        <v>55984021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ROUND(Y7*Source!I29,9)</f>
        <v>0</v>
      </c>
      <c r="CY7">
        <f>AA7</f>
        <v>147514.47</v>
      </c>
      <c r="CZ7">
        <f>AE7</f>
        <v>10643.18</v>
      </c>
      <c r="DA7">
        <f>AI7</f>
        <v>13.86</v>
      </c>
      <c r="DB7">
        <f>ROUND(((ROUND(AT7*CZ7,2)*1)*0),6)</f>
        <v>0</v>
      </c>
      <c r="DC7">
        <f>ROUND(((ROUND(AT7*AG7,2)*1)*0),6)</f>
        <v>0</v>
      </c>
      <c r="DD7" t="s">
        <v>3</v>
      </c>
      <c r="DE7" t="s">
        <v>3</v>
      </c>
      <c r="DF7">
        <f>ROUND(ROUND(AE7*AI7,2)*CX7,2)</f>
        <v>0</v>
      </c>
      <c r="DG7">
        <f t="shared" ref="DG7:DG38" si="2">ROUND(ROUND(AF7,2)*CX7,2)</f>
        <v>0</v>
      </c>
      <c r="DH7">
        <f t="shared" ref="DH7:DH38" si="3">ROUND(ROUND(AG7,2)*CX7,2)</f>
        <v>0</v>
      </c>
      <c r="DI7">
        <f t="shared" si="1"/>
        <v>0</v>
      </c>
      <c r="DJ7">
        <f>DF7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55934357</v>
      </c>
      <c r="C8">
        <v>55984014</v>
      </c>
      <c r="D8">
        <v>55459793</v>
      </c>
      <c r="E8">
        <v>1</v>
      </c>
      <c r="F8">
        <v>1</v>
      </c>
      <c r="G8">
        <v>1081</v>
      </c>
      <c r="H8">
        <v>3</v>
      </c>
      <c r="I8" t="s">
        <v>233</v>
      </c>
      <c r="J8" t="s">
        <v>234</v>
      </c>
      <c r="K8" t="s">
        <v>235</v>
      </c>
      <c r="L8">
        <v>1348</v>
      </c>
      <c r="N8">
        <v>1009</v>
      </c>
      <c r="O8" t="s">
        <v>232</v>
      </c>
      <c r="P8" t="s">
        <v>232</v>
      </c>
      <c r="Q8">
        <v>1000</v>
      </c>
      <c r="W8">
        <v>0</v>
      </c>
      <c r="X8">
        <v>-761454284</v>
      </c>
      <c r="Y8">
        <f>((AT8*1)*0)</f>
        <v>0</v>
      </c>
      <c r="AA8">
        <v>1930745.04</v>
      </c>
      <c r="AB8">
        <v>0</v>
      </c>
      <c r="AC8">
        <v>0</v>
      </c>
      <c r="AD8">
        <v>0</v>
      </c>
      <c r="AE8">
        <v>64123.05</v>
      </c>
      <c r="AF8">
        <v>0</v>
      </c>
      <c r="AG8">
        <v>0</v>
      </c>
      <c r="AH8">
        <v>0</v>
      </c>
      <c r="AI8">
        <v>30.11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1.0000000000000001E-5</v>
      </c>
      <c r="AU8" t="s">
        <v>28</v>
      </c>
      <c r="AV8">
        <v>0</v>
      </c>
      <c r="AW8">
        <v>2</v>
      </c>
      <c r="AX8">
        <v>55984022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0</v>
      </c>
      <c r="CY8">
        <f>AA8</f>
        <v>1930745.04</v>
      </c>
      <c r="CZ8">
        <f>AE8</f>
        <v>64123.05</v>
      </c>
      <c r="DA8">
        <f>AI8</f>
        <v>30.11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2"/>
        <v>0</v>
      </c>
      <c r="DH8">
        <f t="shared" si="3"/>
        <v>0</v>
      </c>
      <c r="DI8">
        <f t="shared" si="1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ROW(Source!A30)</f>
        <v>30</v>
      </c>
      <c r="B9">
        <v>55934355</v>
      </c>
      <c r="C9">
        <v>55984024</v>
      </c>
      <c r="D9">
        <v>55424304</v>
      </c>
      <c r="E9">
        <v>1081</v>
      </c>
      <c r="F9">
        <v>1</v>
      </c>
      <c r="G9">
        <v>1081</v>
      </c>
      <c r="H9">
        <v>1</v>
      </c>
      <c r="I9" t="s">
        <v>221</v>
      </c>
      <c r="J9" t="s">
        <v>3</v>
      </c>
      <c r="K9" t="s">
        <v>222</v>
      </c>
      <c r="L9">
        <v>1191</v>
      </c>
      <c r="N9">
        <v>1013</v>
      </c>
      <c r="O9" t="s">
        <v>223</v>
      </c>
      <c r="P9" t="s">
        <v>223</v>
      </c>
      <c r="Q9">
        <v>1</v>
      </c>
      <c r="W9">
        <v>0</v>
      </c>
      <c r="X9">
        <v>476480486</v>
      </c>
      <c r="Y9">
        <f>((AT9*1.2)*0.3)</f>
        <v>2.88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8</v>
      </c>
      <c r="AU9" t="s">
        <v>29</v>
      </c>
      <c r="AV9">
        <v>1</v>
      </c>
      <c r="AW9">
        <v>2</v>
      </c>
      <c r="AX9">
        <v>55984030</v>
      </c>
      <c r="AY9">
        <v>1</v>
      </c>
      <c r="AZ9">
        <v>0</v>
      </c>
      <c r="BA9">
        <v>11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U9">
        <f>ROUND(AT9*Source!I30*AH9*AL9,2)</f>
        <v>0</v>
      </c>
      <c r="CV9">
        <f>ROUND(Y9*Source!I30,9)</f>
        <v>2.88</v>
      </c>
      <c r="CW9">
        <v>0</v>
      </c>
      <c r="CX9">
        <f>ROUND(Y9*Source!I30,9)</f>
        <v>2.88</v>
      </c>
      <c r="CY9">
        <f>AD9</f>
        <v>0</v>
      </c>
      <c r="CZ9">
        <f>AH9</f>
        <v>0</v>
      </c>
      <c r="DA9">
        <f>AL9</f>
        <v>1</v>
      </c>
      <c r="DB9">
        <f>ROUND(((ROUND(AT9*CZ9,2)*1.2)*0.3),6)</f>
        <v>0</v>
      </c>
      <c r="DC9">
        <f>ROUND(((ROUND(AT9*AG9,2)*1.2)*0.3),6)</f>
        <v>0</v>
      </c>
      <c r="DD9" t="s">
        <v>3</v>
      </c>
      <c r="DE9" t="s">
        <v>3</v>
      </c>
      <c r="DF9">
        <f t="shared" ref="DF9:DF14" si="4">ROUND(ROUND(AE9,2)*CX9,2)</f>
        <v>0</v>
      </c>
      <c r="DG9">
        <f t="shared" si="2"/>
        <v>0</v>
      </c>
      <c r="DH9">
        <f t="shared" si="3"/>
        <v>0</v>
      </c>
      <c r="DI9">
        <f t="shared" si="1"/>
        <v>0</v>
      </c>
      <c r="DJ9">
        <f>DI9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ROW(Source!A30)</f>
        <v>30</v>
      </c>
      <c r="B10">
        <v>55934355</v>
      </c>
      <c r="C10">
        <v>55984024</v>
      </c>
      <c r="D10">
        <v>55459792</v>
      </c>
      <c r="E10">
        <v>1</v>
      </c>
      <c r="F10">
        <v>1</v>
      </c>
      <c r="G10">
        <v>1081</v>
      </c>
      <c r="H10">
        <v>3</v>
      </c>
      <c r="I10" t="s">
        <v>236</v>
      </c>
      <c r="J10" t="s">
        <v>237</v>
      </c>
      <c r="K10" t="s">
        <v>238</v>
      </c>
      <c r="L10">
        <v>1348</v>
      </c>
      <c r="N10">
        <v>1009</v>
      </c>
      <c r="O10" t="s">
        <v>232</v>
      </c>
      <c r="P10" t="s">
        <v>232</v>
      </c>
      <c r="Q10">
        <v>1000</v>
      </c>
      <c r="W10">
        <v>0</v>
      </c>
      <c r="X10">
        <v>114569696</v>
      </c>
      <c r="Y10">
        <f>((AT10*1)*0)</f>
        <v>0</v>
      </c>
      <c r="AA10">
        <v>60960.43</v>
      </c>
      <c r="AB10">
        <v>0</v>
      </c>
      <c r="AC10">
        <v>0</v>
      </c>
      <c r="AD10">
        <v>0</v>
      </c>
      <c r="AE10">
        <v>60960.43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1.0000000000000001E-5</v>
      </c>
      <c r="AU10" t="s">
        <v>28</v>
      </c>
      <c r="AV10">
        <v>0</v>
      </c>
      <c r="AW10">
        <v>2</v>
      </c>
      <c r="AX10">
        <v>55984031</v>
      </c>
      <c r="AY10">
        <v>1</v>
      </c>
      <c r="AZ10">
        <v>0</v>
      </c>
      <c r="BA10">
        <v>12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ROUND(Y10*Source!I30,9)</f>
        <v>0</v>
      </c>
      <c r="CY10">
        <f>AA10</f>
        <v>60960.43</v>
      </c>
      <c r="CZ10">
        <f>AE10</f>
        <v>60960.43</v>
      </c>
      <c r="DA10">
        <f>AI10</f>
        <v>1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 t="shared" si="4"/>
        <v>0</v>
      </c>
      <c r="DG10">
        <f t="shared" si="2"/>
        <v>0</v>
      </c>
      <c r="DH10">
        <f t="shared" si="3"/>
        <v>0</v>
      </c>
      <c r="DI10">
        <f t="shared" si="1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ROW(Source!A30)</f>
        <v>30</v>
      </c>
      <c r="B11">
        <v>55934355</v>
      </c>
      <c r="C11">
        <v>55984024</v>
      </c>
      <c r="D11">
        <v>55466338</v>
      </c>
      <c r="E11">
        <v>1</v>
      </c>
      <c r="F11">
        <v>1</v>
      </c>
      <c r="G11">
        <v>1081</v>
      </c>
      <c r="H11">
        <v>3</v>
      </c>
      <c r="I11" t="s">
        <v>239</v>
      </c>
      <c r="J11" t="s">
        <v>240</v>
      </c>
      <c r="K11" t="s">
        <v>241</v>
      </c>
      <c r="L11">
        <v>1349</v>
      </c>
      <c r="N11">
        <v>1009</v>
      </c>
      <c r="O11" t="s">
        <v>242</v>
      </c>
      <c r="P11" t="s">
        <v>242</v>
      </c>
      <c r="Q11">
        <v>1E-3</v>
      </c>
      <c r="W11">
        <v>0</v>
      </c>
      <c r="X11">
        <v>-667754050</v>
      </c>
      <c r="Y11">
        <f>((AT11*1)*0)</f>
        <v>0</v>
      </c>
      <c r="AA11">
        <v>7.0000000000000007E-2</v>
      </c>
      <c r="AB11">
        <v>0</v>
      </c>
      <c r="AC11">
        <v>0</v>
      </c>
      <c r="AD11">
        <v>0</v>
      </c>
      <c r="AE11">
        <v>7.0000000000000007E-2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0.5</v>
      </c>
      <c r="AU11" t="s">
        <v>28</v>
      </c>
      <c r="AV11">
        <v>0</v>
      </c>
      <c r="AW11">
        <v>2</v>
      </c>
      <c r="AX11">
        <v>55984032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ROUND(Y11*Source!I30,9)</f>
        <v>0</v>
      </c>
      <c r="CY11">
        <f>AA11</f>
        <v>7.0000000000000007E-2</v>
      </c>
      <c r="CZ11">
        <f>AE11</f>
        <v>7.0000000000000007E-2</v>
      </c>
      <c r="DA11">
        <f>AI11</f>
        <v>1</v>
      </c>
      <c r="DB11">
        <f>ROUND(((ROUND(AT11*CZ11,2)*1)*0),6)</f>
        <v>0</v>
      </c>
      <c r="DC11">
        <f>ROUND(((ROUND(AT11*AG11,2)*1)*0),6)</f>
        <v>0</v>
      </c>
      <c r="DD11" t="s">
        <v>3</v>
      </c>
      <c r="DE11" t="s">
        <v>3</v>
      </c>
      <c r="DF11">
        <f t="shared" si="4"/>
        <v>0</v>
      </c>
      <c r="DG11">
        <f t="shared" si="2"/>
        <v>0</v>
      </c>
      <c r="DH11">
        <f t="shared" si="3"/>
        <v>0</v>
      </c>
      <c r="DI11">
        <f t="shared" si="1"/>
        <v>0</v>
      </c>
      <c r="DJ11">
        <f>DF11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55934355</v>
      </c>
      <c r="C12">
        <v>55984024</v>
      </c>
      <c r="D12">
        <v>55482203</v>
      </c>
      <c r="E12">
        <v>1</v>
      </c>
      <c r="F12">
        <v>1</v>
      </c>
      <c r="G12">
        <v>1081</v>
      </c>
      <c r="H12">
        <v>3</v>
      </c>
      <c r="I12" t="s">
        <v>243</v>
      </c>
      <c r="J12" t="s">
        <v>244</v>
      </c>
      <c r="K12" t="s">
        <v>245</v>
      </c>
      <c r="L12">
        <v>1356</v>
      </c>
      <c r="N12">
        <v>1010</v>
      </c>
      <c r="O12" t="s">
        <v>246</v>
      </c>
      <c r="P12" t="s">
        <v>246</v>
      </c>
      <c r="Q12">
        <v>1000</v>
      </c>
      <c r="W12">
        <v>0</v>
      </c>
      <c r="X12">
        <v>474149623</v>
      </c>
      <c r="Y12">
        <f>((AT12*1)*0)</f>
        <v>0</v>
      </c>
      <c r="AA12">
        <v>226.66</v>
      </c>
      <c r="AB12">
        <v>0</v>
      </c>
      <c r="AC12">
        <v>0</v>
      </c>
      <c r="AD12">
        <v>0</v>
      </c>
      <c r="AE12">
        <v>226.66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2E-3</v>
      </c>
      <c r="AU12" t="s">
        <v>28</v>
      </c>
      <c r="AV12">
        <v>0</v>
      </c>
      <c r="AW12">
        <v>2</v>
      </c>
      <c r="AX12">
        <v>55984033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ROUND(Y12*Source!I30,9)</f>
        <v>0</v>
      </c>
      <c r="CY12">
        <f>AA12</f>
        <v>226.66</v>
      </c>
      <c r="CZ12">
        <f>AE12</f>
        <v>226.66</v>
      </c>
      <c r="DA12">
        <f>AI12</f>
        <v>1</v>
      </c>
      <c r="DB12">
        <f>ROUND(((ROUND(AT12*CZ12,2)*1)*0),6)</f>
        <v>0</v>
      </c>
      <c r="DC12">
        <f>ROUND(((ROUND(AT12*AG12,2)*1)*0),6)</f>
        <v>0</v>
      </c>
      <c r="DD12" t="s">
        <v>3</v>
      </c>
      <c r="DE12" t="s">
        <v>3</v>
      </c>
      <c r="DF12">
        <f t="shared" si="4"/>
        <v>0</v>
      </c>
      <c r="DG12">
        <f t="shared" si="2"/>
        <v>0</v>
      </c>
      <c r="DH12">
        <f t="shared" si="3"/>
        <v>0</v>
      </c>
      <c r="DI12">
        <f t="shared" si="1"/>
        <v>0</v>
      </c>
      <c r="DJ12">
        <f>DF12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55934355</v>
      </c>
      <c r="C13">
        <v>55984024</v>
      </c>
      <c r="D13">
        <v>55424290</v>
      </c>
      <c r="E13">
        <v>1081</v>
      </c>
      <c r="F13">
        <v>1</v>
      </c>
      <c r="G13">
        <v>1081</v>
      </c>
      <c r="H13">
        <v>3</v>
      </c>
      <c r="I13" t="s">
        <v>247</v>
      </c>
      <c r="J13" t="s">
        <v>3</v>
      </c>
      <c r="K13" t="s">
        <v>248</v>
      </c>
      <c r="L13">
        <v>1348</v>
      </c>
      <c r="N13">
        <v>1009</v>
      </c>
      <c r="O13" t="s">
        <v>232</v>
      </c>
      <c r="P13" t="s">
        <v>232</v>
      </c>
      <c r="Q13">
        <v>1000</v>
      </c>
      <c r="W13">
        <v>0</v>
      </c>
      <c r="X13">
        <v>-783086922</v>
      </c>
      <c r="Y13">
        <f>((AT13*1)*0)</f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3.4000000000000002E-2</v>
      </c>
      <c r="AU13" t="s">
        <v>28</v>
      </c>
      <c r="AV13">
        <v>0</v>
      </c>
      <c r="AW13">
        <v>2</v>
      </c>
      <c r="AX13">
        <v>55984036</v>
      </c>
      <c r="AY13">
        <v>1</v>
      </c>
      <c r="AZ13">
        <v>0</v>
      </c>
      <c r="BA13">
        <v>17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0</v>
      </c>
      <c r="CY13">
        <f>AA13</f>
        <v>0</v>
      </c>
      <c r="CZ13">
        <f>AE13</f>
        <v>0</v>
      </c>
      <c r="DA13">
        <f>AI13</f>
        <v>1</v>
      </c>
      <c r="DB13">
        <f>ROUND(((ROUND(AT13*CZ13,2)*1)*0),6)</f>
        <v>0</v>
      </c>
      <c r="DC13">
        <f>ROUND(((ROUND(AT13*AG13,2)*1)*0),6)</f>
        <v>0</v>
      </c>
      <c r="DD13" t="s">
        <v>3</v>
      </c>
      <c r="DE13" t="s">
        <v>3</v>
      </c>
      <c r="DF13">
        <f t="shared" si="4"/>
        <v>0</v>
      </c>
      <c r="DG13">
        <f t="shared" si="2"/>
        <v>0</v>
      </c>
      <c r="DH13">
        <f t="shared" si="3"/>
        <v>0</v>
      </c>
      <c r="DI13">
        <f t="shared" si="1"/>
        <v>0</v>
      </c>
      <c r="DJ13">
        <f>DF13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ROW(Source!A31)</f>
        <v>31</v>
      </c>
      <c r="B14">
        <v>55934357</v>
      </c>
      <c r="C14">
        <v>55984024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221</v>
      </c>
      <c r="J14" t="s">
        <v>3</v>
      </c>
      <c r="K14" t="s">
        <v>222</v>
      </c>
      <c r="L14">
        <v>1191</v>
      </c>
      <c r="N14">
        <v>1013</v>
      </c>
      <c r="O14" t="s">
        <v>223</v>
      </c>
      <c r="P14" t="s">
        <v>223</v>
      </c>
      <c r="Q14">
        <v>1</v>
      </c>
      <c r="W14">
        <v>0</v>
      </c>
      <c r="X14">
        <v>476480486</v>
      </c>
      <c r="Y14">
        <f>((AT14*1.2)*0.3)</f>
        <v>2.88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8</v>
      </c>
      <c r="AU14" t="s">
        <v>29</v>
      </c>
      <c r="AV14">
        <v>1</v>
      </c>
      <c r="AW14">
        <v>2</v>
      </c>
      <c r="AX14">
        <v>55984030</v>
      </c>
      <c r="AY14">
        <v>1</v>
      </c>
      <c r="AZ14">
        <v>0</v>
      </c>
      <c r="BA14">
        <v>18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ROUND(AT14*Source!I31*AH14*AL14,2)</f>
        <v>0</v>
      </c>
      <c r="CV14">
        <f>ROUND(Y14*Source!I31,9)</f>
        <v>2.88</v>
      </c>
      <c r="CW14">
        <v>0</v>
      </c>
      <c r="CX14">
        <f>ROUND(Y14*Source!I31,9)</f>
        <v>2.88</v>
      </c>
      <c r="CY14">
        <f>AD14</f>
        <v>0</v>
      </c>
      <c r="CZ14">
        <f>AH14</f>
        <v>0</v>
      </c>
      <c r="DA14">
        <f>AL14</f>
        <v>1</v>
      </c>
      <c r="DB14">
        <f>ROUND(((ROUND(AT14*CZ14,2)*1.2)*0.3),6)</f>
        <v>0</v>
      </c>
      <c r="DC14">
        <f>ROUND(((ROUND(AT14*AG14,2)*1.2)*0.3),6)</f>
        <v>0</v>
      </c>
      <c r="DD14" t="s">
        <v>3</v>
      </c>
      <c r="DE14" t="s">
        <v>3</v>
      </c>
      <c r="DF14">
        <f t="shared" si="4"/>
        <v>0</v>
      </c>
      <c r="DG14">
        <f t="shared" si="2"/>
        <v>0</v>
      </c>
      <c r="DH14">
        <f t="shared" si="3"/>
        <v>0</v>
      </c>
      <c r="DI14">
        <f t="shared" si="1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ROW(Source!A31)</f>
        <v>31</v>
      </c>
      <c r="B15">
        <v>55934357</v>
      </c>
      <c r="C15">
        <v>55984024</v>
      </c>
      <c r="D15">
        <v>55459792</v>
      </c>
      <c r="E15">
        <v>1</v>
      </c>
      <c r="F15">
        <v>1</v>
      </c>
      <c r="G15">
        <v>1081</v>
      </c>
      <c r="H15">
        <v>3</v>
      </c>
      <c r="I15" t="s">
        <v>236</v>
      </c>
      <c r="J15" t="s">
        <v>237</v>
      </c>
      <c r="K15" t="s">
        <v>238</v>
      </c>
      <c r="L15">
        <v>1348</v>
      </c>
      <c r="N15">
        <v>1009</v>
      </c>
      <c r="O15" t="s">
        <v>232</v>
      </c>
      <c r="P15" t="s">
        <v>232</v>
      </c>
      <c r="Q15">
        <v>1000</v>
      </c>
      <c r="W15">
        <v>0</v>
      </c>
      <c r="X15">
        <v>114569696</v>
      </c>
      <c r="Y15">
        <f>((AT15*1)*0)</f>
        <v>0</v>
      </c>
      <c r="AA15">
        <v>1497188.16</v>
      </c>
      <c r="AB15">
        <v>0</v>
      </c>
      <c r="AC15">
        <v>0</v>
      </c>
      <c r="AD15">
        <v>0</v>
      </c>
      <c r="AE15">
        <v>60960.43</v>
      </c>
      <c r="AF15">
        <v>0</v>
      </c>
      <c r="AG15">
        <v>0</v>
      </c>
      <c r="AH15">
        <v>0</v>
      </c>
      <c r="AI15">
        <v>24.56</v>
      </c>
      <c r="AJ15">
        <v>1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1.0000000000000001E-5</v>
      </c>
      <c r="AU15" t="s">
        <v>28</v>
      </c>
      <c r="AV15">
        <v>0</v>
      </c>
      <c r="AW15">
        <v>2</v>
      </c>
      <c r="AX15">
        <v>55984031</v>
      </c>
      <c r="AY15">
        <v>1</v>
      </c>
      <c r="AZ15">
        <v>0</v>
      </c>
      <c r="BA15">
        <v>19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ROUND(Y15*Source!I31,9)</f>
        <v>0</v>
      </c>
      <c r="CY15">
        <f>AA15</f>
        <v>1497188.16</v>
      </c>
      <c r="CZ15">
        <f>AE15</f>
        <v>60960.43</v>
      </c>
      <c r="DA15">
        <f>AI15</f>
        <v>24.56</v>
      </c>
      <c r="DB15">
        <f>ROUND(((ROUND(AT15*CZ15,2)*1)*0),6)</f>
        <v>0</v>
      </c>
      <c r="DC15">
        <f>ROUND(((ROUND(AT15*AG15,2)*1)*0),6)</f>
        <v>0</v>
      </c>
      <c r="DD15" t="s">
        <v>3</v>
      </c>
      <c r="DE15" t="s">
        <v>3</v>
      </c>
      <c r="DF15">
        <f>ROUND(ROUND(AE15*AI15,2)*CX15,2)</f>
        <v>0</v>
      </c>
      <c r="DG15">
        <f t="shared" si="2"/>
        <v>0</v>
      </c>
      <c r="DH15">
        <f t="shared" si="3"/>
        <v>0</v>
      </c>
      <c r="DI15">
        <f t="shared" si="1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ROW(Source!A31)</f>
        <v>31</v>
      </c>
      <c r="B16">
        <v>55934357</v>
      </c>
      <c r="C16">
        <v>55984024</v>
      </c>
      <c r="D16">
        <v>55466338</v>
      </c>
      <c r="E16">
        <v>1</v>
      </c>
      <c r="F16">
        <v>1</v>
      </c>
      <c r="G16">
        <v>1081</v>
      </c>
      <c r="H16">
        <v>3</v>
      </c>
      <c r="I16" t="s">
        <v>239</v>
      </c>
      <c r="J16" t="s">
        <v>240</v>
      </c>
      <c r="K16" t="s">
        <v>241</v>
      </c>
      <c r="L16">
        <v>1349</v>
      </c>
      <c r="N16">
        <v>1009</v>
      </c>
      <c r="O16" t="s">
        <v>242</v>
      </c>
      <c r="P16" t="s">
        <v>242</v>
      </c>
      <c r="Q16">
        <v>1E-3</v>
      </c>
      <c r="W16">
        <v>0</v>
      </c>
      <c r="X16">
        <v>-667754050</v>
      </c>
      <c r="Y16">
        <f>((AT16*1)*0)</f>
        <v>0</v>
      </c>
      <c r="AA16">
        <v>0.44</v>
      </c>
      <c r="AB16">
        <v>0</v>
      </c>
      <c r="AC16">
        <v>0</v>
      </c>
      <c r="AD16">
        <v>0</v>
      </c>
      <c r="AE16">
        <v>7.0000000000000007E-2</v>
      </c>
      <c r="AF16">
        <v>0</v>
      </c>
      <c r="AG16">
        <v>0</v>
      </c>
      <c r="AH16">
        <v>0</v>
      </c>
      <c r="AI16">
        <v>6.29</v>
      </c>
      <c r="AJ16">
        <v>1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</v>
      </c>
      <c r="AU16" t="s">
        <v>28</v>
      </c>
      <c r="AV16">
        <v>0</v>
      </c>
      <c r="AW16">
        <v>2</v>
      </c>
      <c r="AX16">
        <v>55984032</v>
      </c>
      <c r="AY16">
        <v>1</v>
      </c>
      <c r="AZ16">
        <v>0</v>
      </c>
      <c r="BA16">
        <v>20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ROUND(Y16*Source!I31,9)</f>
        <v>0</v>
      </c>
      <c r="CY16">
        <f>AA16</f>
        <v>0.44</v>
      </c>
      <c r="CZ16">
        <f>AE16</f>
        <v>7.0000000000000007E-2</v>
      </c>
      <c r="DA16">
        <f>AI16</f>
        <v>6.29</v>
      </c>
      <c r="DB16">
        <f>ROUND(((ROUND(AT16*CZ16,2)*1)*0),6)</f>
        <v>0</v>
      </c>
      <c r="DC16">
        <f>ROUND(((ROUND(AT16*AG16,2)*1)*0),6)</f>
        <v>0</v>
      </c>
      <c r="DD16" t="s">
        <v>3</v>
      </c>
      <c r="DE16" t="s">
        <v>3</v>
      </c>
      <c r="DF16">
        <f>ROUND(ROUND(AE16*AI16,2)*CX16,2)</f>
        <v>0</v>
      </c>
      <c r="DG16">
        <f t="shared" si="2"/>
        <v>0</v>
      </c>
      <c r="DH16">
        <f t="shared" si="3"/>
        <v>0</v>
      </c>
      <c r="DI16">
        <f t="shared" si="1"/>
        <v>0</v>
      </c>
      <c r="DJ16">
        <f>DF16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ROW(Source!A31)</f>
        <v>31</v>
      </c>
      <c r="B17">
        <v>55934357</v>
      </c>
      <c r="C17">
        <v>55984024</v>
      </c>
      <c r="D17">
        <v>55482203</v>
      </c>
      <c r="E17">
        <v>1</v>
      </c>
      <c r="F17">
        <v>1</v>
      </c>
      <c r="G17">
        <v>1081</v>
      </c>
      <c r="H17">
        <v>3</v>
      </c>
      <c r="I17" t="s">
        <v>243</v>
      </c>
      <c r="J17" t="s">
        <v>244</v>
      </c>
      <c r="K17" t="s">
        <v>245</v>
      </c>
      <c r="L17">
        <v>1356</v>
      </c>
      <c r="N17">
        <v>1010</v>
      </c>
      <c r="O17" t="s">
        <v>246</v>
      </c>
      <c r="P17" t="s">
        <v>246</v>
      </c>
      <c r="Q17">
        <v>1000</v>
      </c>
      <c r="W17">
        <v>0</v>
      </c>
      <c r="X17">
        <v>474149623</v>
      </c>
      <c r="Y17">
        <f>((AT17*1)*0)</f>
        <v>0</v>
      </c>
      <c r="AA17">
        <v>1527.69</v>
      </c>
      <c r="AB17">
        <v>0</v>
      </c>
      <c r="AC17">
        <v>0</v>
      </c>
      <c r="AD17">
        <v>0</v>
      </c>
      <c r="AE17">
        <v>226.66</v>
      </c>
      <c r="AF17">
        <v>0</v>
      </c>
      <c r="AG17">
        <v>0</v>
      </c>
      <c r="AH17">
        <v>0</v>
      </c>
      <c r="AI17">
        <v>6.74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2E-3</v>
      </c>
      <c r="AU17" t="s">
        <v>28</v>
      </c>
      <c r="AV17">
        <v>0</v>
      </c>
      <c r="AW17">
        <v>2</v>
      </c>
      <c r="AX17">
        <v>55984033</v>
      </c>
      <c r="AY17">
        <v>1</v>
      </c>
      <c r="AZ17">
        <v>0</v>
      </c>
      <c r="BA17">
        <v>21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ROUND(Y17*Source!I31,9)</f>
        <v>0</v>
      </c>
      <c r="CY17">
        <f>AA17</f>
        <v>1527.69</v>
      </c>
      <c r="CZ17">
        <f>AE17</f>
        <v>226.66</v>
      </c>
      <c r="DA17">
        <f>AI17</f>
        <v>6.74</v>
      </c>
      <c r="DB17">
        <f>ROUND(((ROUND(AT17*CZ17,2)*1)*0),6)</f>
        <v>0</v>
      </c>
      <c r="DC17">
        <f>ROUND(((ROUND(AT17*AG17,2)*1)*0),6)</f>
        <v>0</v>
      </c>
      <c r="DD17" t="s">
        <v>3</v>
      </c>
      <c r="DE17" t="s">
        <v>3</v>
      </c>
      <c r="DF17">
        <f>ROUND(ROUND(AE17*AI17,2)*CX17,2)</f>
        <v>0</v>
      </c>
      <c r="DG17">
        <f t="shared" si="2"/>
        <v>0</v>
      </c>
      <c r="DH17">
        <f t="shared" si="3"/>
        <v>0</v>
      </c>
      <c r="DI17">
        <f t="shared" si="1"/>
        <v>0</v>
      </c>
      <c r="DJ17">
        <f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ROW(Source!A31)</f>
        <v>31</v>
      </c>
      <c r="B18">
        <v>55934357</v>
      </c>
      <c r="C18">
        <v>55984024</v>
      </c>
      <c r="D18">
        <v>55424290</v>
      </c>
      <c r="E18">
        <v>1081</v>
      </c>
      <c r="F18">
        <v>1</v>
      </c>
      <c r="G18">
        <v>1081</v>
      </c>
      <c r="H18">
        <v>3</v>
      </c>
      <c r="I18" t="s">
        <v>247</v>
      </c>
      <c r="J18" t="s">
        <v>3</v>
      </c>
      <c r="K18" t="s">
        <v>248</v>
      </c>
      <c r="L18">
        <v>1348</v>
      </c>
      <c r="N18">
        <v>1009</v>
      </c>
      <c r="O18" t="s">
        <v>232</v>
      </c>
      <c r="P18" t="s">
        <v>232</v>
      </c>
      <c r="Q18">
        <v>1000</v>
      </c>
      <c r="W18">
        <v>0</v>
      </c>
      <c r="X18">
        <v>-783086922</v>
      </c>
      <c r="Y18">
        <f>((AT18*1)*0)</f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9.84</v>
      </c>
      <c r="AJ18">
        <v>1</v>
      </c>
      <c r="AK18">
        <v>1</v>
      </c>
      <c r="AL18">
        <v>1</v>
      </c>
      <c r="AM18">
        <v>5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3.4000000000000002E-2</v>
      </c>
      <c r="AU18" t="s">
        <v>28</v>
      </c>
      <c r="AV18">
        <v>0</v>
      </c>
      <c r="AW18">
        <v>2</v>
      </c>
      <c r="AX18">
        <v>55984036</v>
      </c>
      <c r="AY18">
        <v>1</v>
      </c>
      <c r="AZ18">
        <v>0</v>
      </c>
      <c r="BA18">
        <v>24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0</v>
      </c>
      <c r="CY18">
        <f>AA18</f>
        <v>0</v>
      </c>
      <c r="CZ18">
        <f>AE18</f>
        <v>0</v>
      </c>
      <c r="DA18">
        <f>AI18</f>
        <v>9.84</v>
      </c>
      <c r="DB18">
        <f>ROUND(((ROUND(AT18*CZ18,2)*1)*0),6)</f>
        <v>0</v>
      </c>
      <c r="DC18">
        <f>ROUND(((ROUND(AT18*AG18,2)*1)*0),6)</f>
        <v>0</v>
      </c>
      <c r="DD18" t="s">
        <v>3</v>
      </c>
      <c r="DE18" t="s">
        <v>3</v>
      </c>
      <c r="DF18">
        <f>ROUND(ROUND(AE18*AI18,2)*CX18,2)</f>
        <v>0</v>
      </c>
      <c r="DG18">
        <f t="shared" si="2"/>
        <v>0</v>
      </c>
      <c r="DH18">
        <f t="shared" si="3"/>
        <v>0</v>
      </c>
      <c r="DI18">
        <f t="shared" si="1"/>
        <v>0</v>
      </c>
      <c r="DJ18">
        <f>DF18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ROW(Source!A32)</f>
        <v>32</v>
      </c>
      <c r="B19">
        <v>55934355</v>
      </c>
      <c r="C19">
        <v>55984037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221</v>
      </c>
      <c r="J19" t="s">
        <v>3</v>
      </c>
      <c r="K19" t="s">
        <v>222</v>
      </c>
      <c r="L19">
        <v>1191</v>
      </c>
      <c r="N19">
        <v>1013</v>
      </c>
      <c r="O19" t="s">
        <v>223</v>
      </c>
      <c r="P19" t="s">
        <v>223</v>
      </c>
      <c r="Q19">
        <v>1</v>
      </c>
      <c r="W19">
        <v>0</v>
      </c>
      <c r="X19">
        <v>476480486</v>
      </c>
      <c r="Y19">
        <f>((AT19*1.2)*0.3)</f>
        <v>2.88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8</v>
      </c>
      <c r="AU19" t="s">
        <v>29</v>
      </c>
      <c r="AV19">
        <v>1</v>
      </c>
      <c r="AW19">
        <v>2</v>
      </c>
      <c r="AX19">
        <v>55984043</v>
      </c>
      <c r="AY19">
        <v>1</v>
      </c>
      <c r="AZ19">
        <v>0</v>
      </c>
      <c r="BA19">
        <v>25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ROUND(AT19*Source!I32*AH19*AL19,2)</f>
        <v>0</v>
      </c>
      <c r="CV19">
        <f>ROUND(Y19*Source!I32,9)</f>
        <v>2.88</v>
      </c>
      <c r="CW19">
        <v>0</v>
      </c>
      <c r="CX19">
        <f>ROUND(Y19*Source!I32,9)</f>
        <v>2.88</v>
      </c>
      <c r="CY19">
        <f>AD19</f>
        <v>0</v>
      </c>
      <c r="CZ19">
        <f>AH19</f>
        <v>0</v>
      </c>
      <c r="DA19">
        <f>AL19</f>
        <v>1</v>
      </c>
      <c r="DB19">
        <f>ROUND(((ROUND(AT19*CZ19,2)*1.2)*0.3),6)</f>
        <v>0</v>
      </c>
      <c r="DC19">
        <f>ROUND(((ROUND(AT19*AG19,2)*1.2)*0.3),6)</f>
        <v>0</v>
      </c>
      <c r="DD19" t="s">
        <v>3</v>
      </c>
      <c r="DE19" t="s">
        <v>3</v>
      </c>
      <c r="DF19">
        <f t="shared" ref="DF19:DF24" si="5">ROUND(ROUND(AE19,2)*CX19,2)</f>
        <v>0</v>
      </c>
      <c r="DG19">
        <f t="shared" si="2"/>
        <v>0</v>
      </c>
      <c r="DH19">
        <f t="shared" si="3"/>
        <v>0</v>
      </c>
      <c r="DI19">
        <f t="shared" si="1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ROW(Source!A32)</f>
        <v>32</v>
      </c>
      <c r="B20">
        <v>55934355</v>
      </c>
      <c r="C20">
        <v>55984037</v>
      </c>
      <c r="D20">
        <v>55459792</v>
      </c>
      <c r="E20">
        <v>1</v>
      </c>
      <c r="F20">
        <v>1</v>
      </c>
      <c r="G20">
        <v>1081</v>
      </c>
      <c r="H20">
        <v>3</v>
      </c>
      <c r="I20" t="s">
        <v>236</v>
      </c>
      <c r="J20" t="s">
        <v>237</v>
      </c>
      <c r="K20" t="s">
        <v>238</v>
      </c>
      <c r="L20">
        <v>1348</v>
      </c>
      <c r="N20">
        <v>1009</v>
      </c>
      <c r="O20" t="s">
        <v>232</v>
      </c>
      <c r="P20" t="s">
        <v>232</v>
      </c>
      <c r="Q20">
        <v>1000</v>
      </c>
      <c r="W20">
        <v>0</v>
      </c>
      <c r="X20">
        <v>114569696</v>
      </c>
      <c r="Y20">
        <f>((AT20*1)*0)</f>
        <v>0</v>
      </c>
      <c r="AA20">
        <v>60960.43</v>
      </c>
      <c r="AB20">
        <v>0</v>
      </c>
      <c r="AC20">
        <v>0</v>
      </c>
      <c r="AD20">
        <v>0</v>
      </c>
      <c r="AE20">
        <v>60960.43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1.0000000000000001E-5</v>
      </c>
      <c r="AU20" t="s">
        <v>28</v>
      </c>
      <c r="AV20">
        <v>0</v>
      </c>
      <c r="AW20">
        <v>2</v>
      </c>
      <c r="AX20">
        <v>55984044</v>
      </c>
      <c r="AY20">
        <v>1</v>
      </c>
      <c r="AZ20">
        <v>0</v>
      </c>
      <c r="BA20">
        <v>26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ROUND(Y20*Source!I32,9)</f>
        <v>0</v>
      </c>
      <c r="CY20">
        <f>AA20</f>
        <v>60960.43</v>
      </c>
      <c r="CZ20">
        <f>AE20</f>
        <v>60960.43</v>
      </c>
      <c r="DA20">
        <f>AI20</f>
        <v>1</v>
      </c>
      <c r="DB20">
        <f>ROUND(((ROUND(AT20*CZ20,2)*1)*0),6)</f>
        <v>0</v>
      </c>
      <c r="DC20">
        <f>ROUND(((ROUND(AT20*AG20,2)*1)*0),6)</f>
        <v>0</v>
      </c>
      <c r="DD20" t="s">
        <v>3</v>
      </c>
      <c r="DE20" t="s">
        <v>3</v>
      </c>
      <c r="DF20">
        <f t="shared" si="5"/>
        <v>0</v>
      </c>
      <c r="DG20">
        <f t="shared" si="2"/>
        <v>0</v>
      </c>
      <c r="DH20">
        <f t="shared" si="3"/>
        <v>0</v>
      </c>
      <c r="DI20">
        <f t="shared" si="1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ROW(Source!A32)</f>
        <v>32</v>
      </c>
      <c r="B21">
        <v>55934355</v>
      </c>
      <c r="C21">
        <v>55984037</v>
      </c>
      <c r="D21">
        <v>55466338</v>
      </c>
      <c r="E21">
        <v>1</v>
      </c>
      <c r="F21">
        <v>1</v>
      </c>
      <c r="G21">
        <v>1081</v>
      </c>
      <c r="H21">
        <v>3</v>
      </c>
      <c r="I21" t="s">
        <v>239</v>
      </c>
      <c r="J21" t="s">
        <v>240</v>
      </c>
      <c r="K21" t="s">
        <v>241</v>
      </c>
      <c r="L21">
        <v>1349</v>
      </c>
      <c r="N21">
        <v>1009</v>
      </c>
      <c r="O21" t="s">
        <v>242</v>
      </c>
      <c r="P21" t="s">
        <v>242</v>
      </c>
      <c r="Q21">
        <v>1E-3</v>
      </c>
      <c r="W21">
        <v>0</v>
      </c>
      <c r="X21">
        <v>-667754050</v>
      </c>
      <c r="Y21">
        <f>((AT21*1)*0)</f>
        <v>0</v>
      </c>
      <c r="AA21">
        <v>7.0000000000000007E-2</v>
      </c>
      <c r="AB21">
        <v>0</v>
      </c>
      <c r="AC21">
        <v>0</v>
      </c>
      <c r="AD21">
        <v>0</v>
      </c>
      <c r="AE21">
        <v>7.0000000000000007E-2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0.5</v>
      </c>
      <c r="AU21" t="s">
        <v>28</v>
      </c>
      <c r="AV21">
        <v>0</v>
      </c>
      <c r="AW21">
        <v>2</v>
      </c>
      <c r="AX21">
        <v>55984045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ROUND(Y21*Source!I32,9)</f>
        <v>0</v>
      </c>
      <c r="CY21">
        <f>AA21</f>
        <v>7.0000000000000007E-2</v>
      </c>
      <c r="CZ21">
        <f>AE21</f>
        <v>7.0000000000000007E-2</v>
      </c>
      <c r="DA21">
        <f>AI21</f>
        <v>1</v>
      </c>
      <c r="DB21">
        <f>ROUND(((ROUND(AT21*CZ21,2)*1)*0),6)</f>
        <v>0</v>
      </c>
      <c r="DC21">
        <f>ROUND(((ROUND(AT21*AG21,2)*1)*0),6)</f>
        <v>0</v>
      </c>
      <c r="DD21" t="s">
        <v>3</v>
      </c>
      <c r="DE21" t="s">
        <v>3</v>
      </c>
      <c r="DF21">
        <f t="shared" si="5"/>
        <v>0</v>
      </c>
      <c r="DG21">
        <f t="shared" si="2"/>
        <v>0</v>
      </c>
      <c r="DH21">
        <f t="shared" si="3"/>
        <v>0</v>
      </c>
      <c r="DI21">
        <f t="shared" si="1"/>
        <v>0</v>
      </c>
      <c r="DJ21">
        <f>DF21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ROW(Source!A32)</f>
        <v>32</v>
      </c>
      <c r="B22">
        <v>55934355</v>
      </c>
      <c r="C22">
        <v>55984037</v>
      </c>
      <c r="D22">
        <v>55482203</v>
      </c>
      <c r="E22">
        <v>1</v>
      </c>
      <c r="F22">
        <v>1</v>
      </c>
      <c r="G22">
        <v>1081</v>
      </c>
      <c r="H22">
        <v>3</v>
      </c>
      <c r="I22" t="s">
        <v>243</v>
      </c>
      <c r="J22" t="s">
        <v>244</v>
      </c>
      <c r="K22" t="s">
        <v>245</v>
      </c>
      <c r="L22">
        <v>1356</v>
      </c>
      <c r="N22">
        <v>1010</v>
      </c>
      <c r="O22" t="s">
        <v>246</v>
      </c>
      <c r="P22" t="s">
        <v>246</v>
      </c>
      <c r="Q22">
        <v>1000</v>
      </c>
      <c r="W22">
        <v>0</v>
      </c>
      <c r="X22">
        <v>474149623</v>
      </c>
      <c r="Y22">
        <f>((AT22*1)*0)</f>
        <v>0</v>
      </c>
      <c r="AA22">
        <v>226.66</v>
      </c>
      <c r="AB22">
        <v>0</v>
      </c>
      <c r="AC22">
        <v>0</v>
      </c>
      <c r="AD22">
        <v>0</v>
      </c>
      <c r="AE22">
        <v>226.66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2E-3</v>
      </c>
      <c r="AU22" t="s">
        <v>28</v>
      </c>
      <c r="AV22">
        <v>0</v>
      </c>
      <c r="AW22">
        <v>2</v>
      </c>
      <c r="AX22">
        <v>55984046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ROUND(Y22*Source!I32,9)</f>
        <v>0</v>
      </c>
      <c r="CY22">
        <f>AA22</f>
        <v>226.66</v>
      </c>
      <c r="CZ22">
        <f>AE22</f>
        <v>226.66</v>
      </c>
      <c r="DA22">
        <f>AI22</f>
        <v>1</v>
      </c>
      <c r="DB22">
        <f>ROUND(((ROUND(AT22*CZ22,2)*1)*0),6)</f>
        <v>0</v>
      </c>
      <c r="DC22">
        <f>ROUND(((ROUND(AT22*AG22,2)*1)*0),6)</f>
        <v>0</v>
      </c>
      <c r="DD22" t="s">
        <v>3</v>
      </c>
      <c r="DE22" t="s">
        <v>3</v>
      </c>
      <c r="DF22">
        <f t="shared" si="5"/>
        <v>0</v>
      </c>
      <c r="DG22">
        <f t="shared" si="2"/>
        <v>0</v>
      </c>
      <c r="DH22">
        <f t="shared" si="3"/>
        <v>0</v>
      </c>
      <c r="DI22">
        <f t="shared" si="1"/>
        <v>0</v>
      </c>
      <c r="DJ22">
        <f>DF22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ROW(Source!A32)</f>
        <v>32</v>
      </c>
      <c r="B23">
        <v>55934355</v>
      </c>
      <c r="C23">
        <v>55984037</v>
      </c>
      <c r="D23">
        <v>55424290</v>
      </c>
      <c r="E23">
        <v>1081</v>
      </c>
      <c r="F23">
        <v>1</v>
      </c>
      <c r="G23">
        <v>1081</v>
      </c>
      <c r="H23">
        <v>3</v>
      </c>
      <c r="I23" t="s">
        <v>247</v>
      </c>
      <c r="J23" t="s">
        <v>3</v>
      </c>
      <c r="K23" t="s">
        <v>248</v>
      </c>
      <c r="L23">
        <v>1348</v>
      </c>
      <c r="N23">
        <v>1009</v>
      </c>
      <c r="O23" t="s">
        <v>232</v>
      </c>
      <c r="P23" t="s">
        <v>232</v>
      </c>
      <c r="Q23">
        <v>1000</v>
      </c>
      <c r="W23">
        <v>0</v>
      </c>
      <c r="X23">
        <v>-783086922</v>
      </c>
      <c r="Y23">
        <f>((AT23*1)*0)</f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3.4000000000000002E-2</v>
      </c>
      <c r="AU23" t="s">
        <v>28</v>
      </c>
      <c r="AV23">
        <v>0</v>
      </c>
      <c r="AW23">
        <v>2</v>
      </c>
      <c r="AX23">
        <v>55984049</v>
      </c>
      <c r="AY23">
        <v>1</v>
      </c>
      <c r="AZ23">
        <v>0</v>
      </c>
      <c r="BA23">
        <v>31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ROUND(Y23*Source!I32,9)</f>
        <v>0</v>
      </c>
      <c r="CY23">
        <f>AA23</f>
        <v>0</v>
      </c>
      <c r="CZ23">
        <f>AE23</f>
        <v>0</v>
      </c>
      <c r="DA23">
        <f>AI23</f>
        <v>1</v>
      </c>
      <c r="DB23">
        <f>ROUND(((ROUND(AT23*CZ23,2)*1)*0),6)</f>
        <v>0</v>
      </c>
      <c r="DC23">
        <f>ROUND(((ROUND(AT23*AG23,2)*1)*0),6)</f>
        <v>0</v>
      </c>
      <c r="DD23" t="s">
        <v>3</v>
      </c>
      <c r="DE23" t="s">
        <v>3</v>
      </c>
      <c r="DF23">
        <f t="shared" si="5"/>
        <v>0</v>
      </c>
      <c r="DG23">
        <f t="shared" si="2"/>
        <v>0</v>
      </c>
      <c r="DH23">
        <f t="shared" si="3"/>
        <v>0</v>
      </c>
      <c r="DI23">
        <f t="shared" si="1"/>
        <v>0</v>
      </c>
      <c r="DJ23">
        <f>DF23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ROW(Source!A33)</f>
        <v>33</v>
      </c>
      <c r="B24">
        <v>55934357</v>
      </c>
      <c r="C24">
        <v>55984037</v>
      </c>
      <c r="D24">
        <v>55424304</v>
      </c>
      <c r="E24">
        <v>1081</v>
      </c>
      <c r="F24">
        <v>1</v>
      </c>
      <c r="G24">
        <v>1081</v>
      </c>
      <c r="H24">
        <v>1</v>
      </c>
      <c r="I24" t="s">
        <v>221</v>
      </c>
      <c r="J24" t="s">
        <v>3</v>
      </c>
      <c r="K24" t="s">
        <v>222</v>
      </c>
      <c r="L24">
        <v>1191</v>
      </c>
      <c r="N24">
        <v>1013</v>
      </c>
      <c r="O24" t="s">
        <v>223</v>
      </c>
      <c r="P24" t="s">
        <v>223</v>
      </c>
      <c r="Q24">
        <v>1</v>
      </c>
      <c r="W24">
        <v>0</v>
      </c>
      <c r="X24">
        <v>476480486</v>
      </c>
      <c r="Y24">
        <f>((AT24*1.2)*0.3)</f>
        <v>2.88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5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8</v>
      </c>
      <c r="AU24" t="s">
        <v>29</v>
      </c>
      <c r="AV24">
        <v>1</v>
      </c>
      <c r="AW24">
        <v>2</v>
      </c>
      <c r="AX24">
        <v>55984043</v>
      </c>
      <c r="AY24">
        <v>1</v>
      </c>
      <c r="AZ24">
        <v>0</v>
      </c>
      <c r="BA24">
        <v>32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U24">
        <f>ROUND(AT24*Source!I33*AH24*AL24,2)</f>
        <v>0</v>
      </c>
      <c r="CV24">
        <f>ROUND(Y24*Source!I33,9)</f>
        <v>2.88</v>
      </c>
      <c r="CW24">
        <v>0</v>
      </c>
      <c r="CX24">
        <f>ROUND(Y24*Source!I33,9)</f>
        <v>2.88</v>
      </c>
      <c r="CY24">
        <f>AD24</f>
        <v>0</v>
      </c>
      <c r="CZ24">
        <f>AH24</f>
        <v>0</v>
      </c>
      <c r="DA24">
        <f>AL24</f>
        <v>1</v>
      </c>
      <c r="DB24">
        <f>ROUND(((ROUND(AT24*CZ24,2)*1.2)*0.3),6)</f>
        <v>0</v>
      </c>
      <c r="DC24">
        <f>ROUND(((ROUND(AT24*AG24,2)*1.2)*0.3),6)</f>
        <v>0</v>
      </c>
      <c r="DD24" t="s">
        <v>3</v>
      </c>
      <c r="DE24" t="s">
        <v>3</v>
      </c>
      <c r="DF24">
        <f t="shared" si="5"/>
        <v>0</v>
      </c>
      <c r="DG24">
        <f t="shared" si="2"/>
        <v>0</v>
      </c>
      <c r="DH24">
        <f t="shared" si="3"/>
        <v>0</v>
      </c>
      <c r="DI24">
        <f t="shared" si="1"/>
        <v>0</v>
      </c>
      <c r="DJ24">
        <f>DI24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ROW(Source!A33)</f>
        <v>33</v>
      </c>
      <c r="B25">
        <v>55934357</v>
      </c>
      <c r="C25">
        <v>55984037</v>
      </c>
      <c r="D25">
        <v>55459792</v>
      </c>
      <c r="E25">
        <v>1</v>
      </c>
      <c r="F25">
        <v>1</v>
      </c>
      <c r="G25">
        <v>1081</v>
      </c>
      <c r="H25">
        <v>3</v>
      </c>
      <c r="I25" t="s">
        <v>236</v>
      </c>
      <c r="J25" t="s">
        <v>237</v>
      </c>
      <c r="K25" t="s">
        <v>238</v>
      </c>
      <c r="L25">
        <v>1348</v>
      </c>
      <c r="N25">
        <v>1009</v>
      </c>
      <c r="O25" t="s">
        <v>232</v>
      </c>
      <c r="P25" t="s">
        <v>232</v>
      </c>
      <c r="Q25">
        <v>1000</v>
      </c>
      <c r="W25">
        <v>0</v>
      </c>
      <c r="X25">
        <v>114569696</v>
      </c>
      <c r="Y25">
        <f>((AT25*1)*0)</f>
        <v>0</v>
      </c>
      <c r="AA25">
        <v>1497188.16</v>
      </c>
      <c r="AB25">
        <v>0</v>
      </c>
      <c r="AC25">
        <v>0</v>
      </c>
      <c r="AD25">
        <v>0</v>
      </c>
      <c r="AE25">
        <v>60960.43</v>
      </c>
      <c r="AF25">
        <v>0</v>
      </c>
      <c r="AG25">
        <v>0</v>
      </c>
      <c r="AH25">
        <v>0</v>
      </c>
      <c r="AI25">
        <v>24.56</v>
      </c>
      <c r="AJ25">
        <v>1</v>
      </c>
      <c r="AK25">
        <v>1</v>
      </c>
      <c r="AL25">
        <v>1</v>
      </c>
      <c r="AM25">
        <v>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1.0000000000000001E-5</v>
      </c>
      <c r="AU25" t="s">
        <v>28</v>
      </c>
      <c r="AV25">
        <v>0</v>
      </c>
      <c r="AW25">
        <v>2</v>
      </c>
      <c r="AX25">
        <v>55984044</v>
      </c>
      <c r="AY25">
        <v>1</v>
      </c>
      <c r="AZ25">
        <v>0</v>
      </c>
      <c r="BA25">
        <v>33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ROUND(Y25*Source!I33,9)</f>
        <v>0</v>
      </c>
      <c r="CY25">
        <f>AA25</f>
        <v>1497188.16</v>
      </c>
      <c r="CZ25">
        <f>AE25</f>
        <v>60960.43</v>
      </c>
      <c r="DA25">
        <f>AI25</f>
        <v>24.56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>ROUND(ROUND(AE25*AI25,2)*CX25,2)</f>
        <v>0</v>
      </c>
      <c r="DG25">
        <f t="shared" si="2"/>
        <v>0</v>
      </c>
      <c r="DH25">
        <f t="shared" si="3"/>
        <v>0</v>
      </c>
      <c r="DI25">
        <f t="shared" si="1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ROW(Source!A33)</f>
        <v>33</v>
      </c>
      <c r="B26">
        <v>55934357</v>
      </c>
      <c r="C26">
        <v>55984037</v>
      </c>
      <c r="D26">
        <v>55466338</v>
      </c>
      <c r="E26">
        <v>1</v>
      </c>
      <c r="F26">
        <v>1</v>
      </c>
      <c r="G26">
        <v>1081</v>
      </c>
      <c r="H26">
        <v>3</v>
      </c>
      <c r="I26" t="s">
        <v>239</v>
      </c>
      <c r="J26" t="s">
        <v>240</v>
      </c>
      <c r="K26" t="s">
        <v>241</v>
      </c>
      <c r="L26">
        <v>1349</v>
      </c>
      <c r="N26">
        <v>1009</v>
      </c>
      <c r="O26" t="s">
        <v>242</v>
      </c>
      <c r="P26" t="s">
        <v>242</v>
      </c>
      <c r="Q26">
        <v>1E-3</v>
      </c>
      <c r="W26">
        <v>0</v>
      </c>
      <c r="X26">
        <v>-667754050</v>
      </c>
      <c r="Y26">
        <f>((AT26*1)*0)</f>
        <v>0</v>
      </c>
      <c r="AA26">
        <v>0.44</v>
      </c>
      <c r="AB26">
        <v>0</v>
      </c>
      <c r="AC26">
        <v>0</v>
      </c>
      <c r="AD26">
        <v>0</v>
      </c>
      <c r="AE26">
        <v>7.0000000000000007E-2</v>
      </c>
      <c r="AF26">
        <v>0</v>
      </c>
      <c r="AG26">
        <v>0</v>
      </c>
      <c r="AH26">
        <v>0</v>
      </c>
      <c r="AI26">
        <v>6.29</v>
      </c>
      <c r="AJ26">
        <v>1</v>
      </c>
      <c r="AK26">
        <v>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0.5</v>
      </c>
      <c r="AU26" t="s">
        <v>28</v>
      </c>
      <c r="AV26">
        <v>0</v>
      </c>
      <c r="AW26">
        <v>2</v>
      </c>
      <c r="AX26">
        <v>55984045</v>
      </c>
      <c r="AY26">
        <v>1</v>
      </c>
      <c r="AZ26">
        <v>0</v>
      </c>
      <c r="BA26">
        <v>34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ROUND(Y26*Source!I33,9)</f>
        <v>0</v>
      </c>
      <c r="CY26">
        <f>AA26</f>
        <v>0.44</v>
      </c>
      <c r="CZ26">
        <f>AE26</f>
        <v>7.0000000000000007E-2</v>
      </c>
      <c r="DA26">
        <f>AI26</f>
        <v>6.29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>ROUND(ROUND(AE26*AI26,2)*CX26,2)</f>
        <v>0</v>
      </c>
      <c r="DG26">
        <f t="shared" si="2"/>
        <v>0</v>
      </c>
      <c r="DH26">
        <f t="shared" si="3"/>
        <v>0</v>
      </c>
      <c r="DI26">
        <f t="shared" si="1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ROW(Source!A33)</f>
        <v>33</v>
      </c>
      <c r="B27">
        <v>55934357</v>
      </c>
      <c r="C27">
        <v>55984037</v>
      </c>
      <c r="D27">
        <v>55482203</v>
      </c>
      <c r="E27">
        <v>1</v>
      </c>
      <c r="F27">
        <v>1</v>
      </c>
      <c r="G27">
        <v>1081</v>
      </c>
      <c r="H27">
        <v>3</v>
      </c>
      <c r="I27" t="s">
        <v>243</v>
      </c>
      <c r="J27" t="s">
        <v>244</v>
      </c>
      <c r="K27" t="s">
        <v>245</v>
      </c>
      <c r="L27">
        <v>1356</v>
      </c>
      <c r="N27">
        <v>1010</v>
      </c>
      <c r="O27" t="s">
        <v>246</v>
      </c>
      <c r="P27" t="s">
        <v>246</v>
      </c>
      <c r="Q27">
        <v>1000</v>
      </c>
      <c r="W27">
        <v>0</v>
      </c>
      <c r="X27">
        <v>474149623</v>
      </c>
      <c r="Y27">
        <f>((AT27*1)*0)</f>
        <v>0</v>
      </c>
      <c r="AA27">
        <v>1527.69</v>
      </c>
      <c r="AB27">
        <v>0</v>
      </c>
      <c r="AC27">
        <v>0</v>
      </c>
      <c r="AD27">
        <v>0</v>
      </c>
      <c r="AE27">
        <v>226.66</v>
      </c>
      <c r="AF27">
        <v>0</v>
      </c>
      <c r="AG27">
        <v>0</v>
      </c>
      <c r="AH27">
        <v>0</v>
      </c>
      <c r="AI27">
        <v>6.74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2E-3</v>
      </c>
      <c r="AU27" t="s">
        <v>28</v>
      </c>
      <c r="AV27">
        <v>0</v>
      </c>
      <c r="AW27">
        <v>2</v>
      </c>
      <c r="AX27">
        <v>55984046</v>
      </c>
      <c r="AY27">
        <v>1</v>
      </c>
      <c r="AZ27">
        <v>0</v>
      </c>
      <c r="BA27">
        <v>35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ROUND(Y27*Source!I33,9)</f>
        <v>0</v>
      </c>
      <c r="CY27">
        <f>AA27</f>
        <v>1527.69</v>
      </c>
      <c r="CZ27">
        <f>AE27</f>
        <v>226.66</v>
      </c>
      <c r="DA27">
        <f>AI27</f>
        <v>6.74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>ROUND(ROUND(AE27*AI27,2)*CX27,2)</f>
        <v>0</v>
      </c>
      <c r="DG27">
        <f t="shared" si="2"/>
        <v>0</v>
      </c>
      <c r="DH27">
        <f t="shared" si="3"/>
        <v>0</v>
      </c>
      <c r="DI27">
        <f t="shared" si="1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ROW(Source!A33)</f>
        <v>33</v>
      </c>
      <c r="B28">
        <v>55934357</v>
      </c>
      <c r="C28">
        <v>55984037</v>
      </c>
      <c r="D28">
        <v>55424290</v>
      </c>
      <c r="E28">
        <v>1081</v>
      </c>
      <c r="F28">
        <v>1</v>
      </c>
      <c r="G28">
        <v>1081</v>
      </c>
      <c r="H28">
        <v>3</v>
      </c>
      <c r="I28" t="s">
        <v>247</v>
      </c>
      <c r="J28" t="s">
        <v>3</v>
      </c>
      <c r="K28" t="s">
        <v>248</v>
      </c>
      <c r="L28">
        <v>1348</v>
      </c>
      <c r="N28">
        <v>1009</v>
      </c>
      <c r="O28" t="s">
        <v>232</v>
      </c>
      <c r="P28" t="s">
        <v>232</v>
      </c>
      <c r="Q28">
        <v>1000</v>
      </c>
      <c r="W28">
        <v>0</v>
      </c>
      <c r="X28">
        <v>-783086922</v>
      </c>
      <c r="Y28">
        <f>((AT28*1)*0)</f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9.84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3.4000000000000002E-2</v>
      </c>
      <c r="AU28" t="s">
        <v>28</v>
      </c>
      <c r="AV28">
        <v>0</v>
      </c>
      <c r="AW28">
        <v>2</v>
      </c>
      <c r="AX28">
        <v>55984049</v>
      </c>
      <c r="AY28">
        <v>1</v>
      </c>
      <c r="AZ28">
        <v>0</v>
      </c>
      <c r="BA28">
        <v>38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</v>
      </c>
      <c r="CY28">
        <f>AA28</f>
        <v>0</v>
      </c>
      <c r="CZ28">
        <f>AE28</f>
        <v>0</v>
      </c>
      <c r="DA28">
        <f>AI28</f>
        <v>9.84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si="2"/>
        <v>0</v>
      </c>
      <c r="DH28">
        <f t="shared" si="3"/>
        <v>0</v>
      </c>
      <c r="DI28">
        <f t="shared" si="1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ROW(Source!A34)</f>
        <v>34</v>
      </c>
      <c r="B29">
        <v>55934355</v>
      </c>
      <c r="C29">
        <v>55984050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221</v>
      </c>
      <c r="J29" t="s">
        <v>3</v>
      </c>
      <c r="K29" t="s">
        <v>222</v>
      </c>
      <c r="L29">
        <v>1191</v>
      </c>
      <c r="N29">
        <v>1013</v>
      </c>
      <c r="O29" t="s">
        <v>223</v>
      </c>
      <c r="P29" t="s">
        <v>223</v>
      </c>
      <c r="Q29">
        <v>1</v>
      </c>
      <c r="W29">
        <v>0</v>
      </c>
      <c r="X29">
        <v>476480486</v>
      </c>
      <c r="Y29">
        <f>((AT29*1.2)*0.3)</f>
        <v>2.52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7</v>
      </c>
      <c r="AU29" t="s">
        <v>29</v>
      </c>
      <c r="AV29">
        <v>1</v>
      </c>
      <c r="AW29">
        <v>2</v>
      </c>
      <c r="AX29">
        <v>55984056</v>
      </c>
      <c r="AY29">
        <v>1</v>
      </c>
      <c r="AZ29">
        <v>0</v>
      </c>
      <c r="BA29">
        <v>39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ROUND(AT29*Source!I34*AH29*AL29,2)</f>
        <v>0</v>
      </c>
      <c r="CV29">
        <f>ROUND(Y29*Source!I34,9)</f>
        <v>5.04</v>
      </c>
      <c r="CW29">
        <v>0</v>
      </c>
      <c r="CX29">
        <f>ROUND(Y29*Source!I34,9)</f>
        <v>5.04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ref="DF29:DF34" si="6">ROUND(ROUND(AE29,2)*CX29,2)</f>
        <v>0</v>
      </c>
      <c r="DG29">
        <f t="shared" si="2"/>
        <v>0</v>
      </c>
      <c r="DH29">
        <f t="shared" si="3"/>
        <v>0</v>
      </c>
      <c r="DI29">
        <f t="shared" si="1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ROW(Source!A34)</f>
        <v>34</v>
      </c>
      <c r="B30">
        <v>55934355</v>
      </c>
      <c r="C30">
        <v>55984050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233</v>
      </c>
      <c r="J30" t="s">
        <v>234</v>
      </c>
      <c r="K30" t="s">
        <v>235</v>
      </c>
      <c r="L30">
        <v>1348</v>
      </c>
      <c r="N30">
        <v>1009</v>
      </c>
      <c r="O30" t="s">
        <v>232</v>
      </c>
      <c r="P30" t="s">
        <v>232</v>
      </c>
      <c r="Q30">
        <v>1000</v>
      </c>
      <c r="W30">
        <v>0</v>
      </c>
      <c r="X30">
        <v>-761454284</v>
      </c>
      <c r="Y30">
        <f>((AT30*1)*0)</f>
        <v>0</v>
      </c>
      <c r="AA30">
        <v>64123.05</v>
      </c>
      <c r="AB30">
        <v>0</v>
      </c>
      <c r="AC30">
        <v>0</v>
      </c>
      <c r="AD30">
        <v>0</v>
      </c>
      <c r="AE30">
        <v>64123.05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1.2E-5</v>
      </c>
      <c r="AU30" t="s">
        <v>28</v>
      </c>
      <c r="AV30">
        <v>0</v>
      </c>
      <c r="AW30">
        <v>2</v>
      </c>
      <c r="AX30">
        <v>55984057</v>
      </c>
      <c r="AY30">
        <v>1</v>
      </c>
      <c r="AZ30">
        <v>0</v>
      </c>
      <c r="BA30">
        <v>40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ROUND(Y30*Source!I34,9)</f>
        <v>0</v>
      </c>
      <c r="CY30">
        <f>AA30</f>
        <v>64123.05</v>
      </c>
      <c r="CZ30">
        <f>AE30</f>
        <v>64123.05</v>
      </c>
      <c r="DA30">
        <f>AI30</f>
        <v>1</v>
      </c>
      <c r="DB30">
        <f>ROUND(((ROUND(AT30*CZ30,2)*1)*0),6)</f>
        <v>0</v>
      </c>
      <c r="DC30">
        <f>ROUND(((ROUND(AT30*AG30,2)*1)*0),6)</f>
        <v>0</v>
      </c>
      <c r="DD30" t="s">
        <v>3</v>
      </c>
      <c r="DE30" t="s">
        <v>3</v>
      </c>
      <c r="DF30">
        <f t="shared" si="6"/>
        <v>0</v>
      </c>
      <c r="DG30">
        <f t="shared" si="2"/>
        <v>0</v>
      </c>
      <c r="DH30">
        <f t="shared" si="3"/>
        <v>0</v>
      </c>
      <c r="DI30">
        <f t="shared" si="1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ROW(Source!A34)</f>
        <v>34</v>
      </c>
      <c r="B31">
        <v>55934355</v>
      </c>
      <c r="C31">
        <v>55984050</v>
      </c>
      <c r="D31">
        <v>55466338</v>
      </c>
      <c r="E31">
        <v>1</v>
      </c>
      <c r="F31">
        <v>1</v>
      </c>
      <c r="G31">
        <v>1081</v>
      </c>
      <c r="H31">
        <v>3</v>
      </c>
      <c r="I31" t="s">
        <v>239</v>
      </c>
      <c r="J31" t="s">
        <v>240</v>
      </c>
      <c r="K31" t="s">
        <v>241</v>
      </c>
      <c r="L31">
        <v>1349</v>
      </c>
      <c r="N31">
        <v>1009</v>
      </c>
      <c r="O31" t="s">
        <v>242</v>
      </c>
      <c r="P31" t="s">
        <v>242</v>
      </c>
      <c r="Q31">
        <v>1E-3</v>
      </c>
      <c r="W31">
        <v>0</v>
      </c>
      <c r="X31">
        <v>-667754050</v>
      </c>
      <c r="Y31">
        <f>((AT31*1)*0)</f>
        <v>0</v>
      </c>
      <c r="AA31">
        <v>7.0000000000000007E-2</v>
      </c>
      <c r="AB31">
        <v>0</v>
      </c>
      <c r="AC31">
        <v>0</v>
      </c>
      <c r="AD31">
        <v>0</v>
      </c>
      <c r="AE31">
        <v>7.0000000000000007E-2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</v>
      </c>
      <c r="AU31" t="s">
        <v>28</v>
      </c>
      <c r="AV31">
        <v>0</v>
      </c>
      <c r="AW31">
        <v>2</v>
      </c>
      <c r="AX31">
        <v>55984058</v>
      </c>
      <c r="AY31">
        <v>1</v>
      </c>
      <c r="AZ31">
        <v>0</v>
      </c>
      <c r="BA31">
        <v>41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v>0</v>
      </c>
      <c r="CX31">
        <f>ROUND(Y31*Source!I34,9)</f>
        <v>0</v>
      </c>
      <c r="CY31">
        <f>AA31</f>
        <v>7.0000000000000007E-2</v>
      </c>
      <c r="CZ31">
        <f>AE31</f>
        <v>7.0000000000000007E-2</v>
      </c>
      <c r="DA31">
        <f>AI31</f>
        <v>1</v>
      </c>
      <c r="DB31">
        <f>ROUND(((ROUND(AT31*CZ31,2)*1)*0),6)</f>
        <v>0</v>
      </c>
      <c r="DC31">
        <f>ROUND(((ROUND(AT31*AG31,2)*1)*0),6)</f>
        <v>0</v>
      </c>
      <c r="DD31" t="s">
        <v>3</v>
      </c>
      <c r="DE31" t="s">
        <v>3</v>
      </c>
      <c r="DF31">
        <f t="shared" si="6"/>
        <v>0</v>
      </c>
      <c r="DG31">
        <f t="shared" si="2"/>
        <v>0</v>
      </c>
      <c r="DH31">
        <f t="shared" si="3"/>
        <v>0</v>
      </c>
      <c r="DI31">
        <f t="shared" si="1"/>
        <v>0</v>
      </c>
      <c r="DJ31">
        <f>DF31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ROW(Source!A34)</f>
        <v>34</v>
      </c>
      <c r="B32">
        <v>55934355</v>
      </c>
      <c r="C32">
        <v>55984050</v>
      </c>
      <c r="D32">
        <v>55482233</v>
      </c>
      <c r="E32">
        <v>1</v>
      </c>
      <c r="F32">
        <v>1</v>
      </c>
      <c r="G32">
        <v>1081</v>
      </c>
      <c r="H32">
        <v>3</v>
      </c>
      <c r="I32" t="s">
        <v>249</v>
      </c>
      <c r="J32" t="s">
        <v>250</v>
      </c>
      <c r="K32" t="s">
        <v>251</v>
      </c>
      <c r="L32">
        <v>1346</v>
      </c>
      <c r="N32">
        <v>1009</v>
      </c>
      <c r="O32" t="s">
        <v>252</v>
      </c>
      <c r="P32" t="s">
        <v>252</v>
      </c>
      <c r="Q32">
        <v>1</v>
      </c>
      <c r="W32">
        <v>0</v>
      </c>
      <c r="X32">
        <v>1566362712</v>
      </c>
      <c r="Y32">
        <f>((AT32*1)*0)</f>
        <v>0</v>
      </c>
      <c r="AA32">
        <v>493.08</v>
      </c>
      <c r="AB32">
        <v>0</v>
      </c>
      <c r="AC32">
        <v>0</v>
      </c>
      <c r="AD32">
        <v>0</v>
      </c>
      <c r="AE32">
        <v>493.08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6.0000000000000001E-3</v>
      </c>
      <c r="AU32" t="s">
        <v>28</v>
      </c>
      <c r="AV32">
        <v>0</v>
      </c>
      <c r="AW32">
        <v>2</v>
      </c>
      <c r="AX32">
        <v>55984059</v>
      </c>
      <c r="AY32">
        <v>1</v>
      </c>
      <c r="AZ32">
        <v>0</v>
      </c>
      <c r="BA32">
        <v>42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ROUND(Y32*Source!I34,9)</f>
        <v>0</v>
      </c>
      <c r="CY32">
        <f>AA32</f>
        <v>493.08</v>
      </c>
      <c r="CZ32">
        <f>AE32</f>
        <v>493.08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6"/>
        <v>0</v>
      </c>
      <c r="DG32">
        <f t="shared" si="2"/>
        <v>0</v>
      </c>
      <c r="DH32">
        <f t="shared" si="3"/>
        <v>0</v>
      </c>
      <c r="DI32">
        <f t="shared" si="1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ROW(Source!A34)</f>
        <v>34</v>
      </c>
      <c r="B33">
        <v>55934355</v>
      </c>
      <c r="C33">
        <v>55984050</v>
      </c>
      <c r="D33">
        <v>55487942</v>
      </c>
      <c r="E33">
        <v>1</v>
      </c>
      <c r="F33">
        <v>1</v>
      </c>
      <c r="G33">
        <v>1081</v>
      </c>
      <c r="H33">
        <v>3</v>
      </c>
      <c r="I33" t="s">
        <v>253</v>
      </c>
      <c r="J33" t="s">
        <v>254</v>
      </c>
      <c r="K33" t="s">
        <v>255</v>
      </c>
      <c r="L33">
        <v>1303</v>
      </c>
      <c r="N33">
        <v>1003</v>
      </c>
      <c r="O33" t="s">
        <v>256</v>
      </c>
      <c r="P33" t="s">
        <v>256</v>
      </c>
      <c r="Q33">
        <v>1000</v>
      </c>
      <c r="W33">
        <v>0</v>
      </c>
      <c r="X33">
        <v>-1692873835</v>
      </c>
      <c r="Y33">
        <f>((AT33*1)*0)</f>
        <v>0</v>
      </c>
      <c r="AA33">
        <v>516.63</v>
      </c>
      <c r="AB33">
        <v>0</v>
      </c>
      <c r="AC33">
        <v>0</v>
      </c>
      <c r="AD33">
        <v>0</v>
      </c>
      <c r="AE33">
        <v>516.63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0.06</v>
      </c>
      <c r="AU33" t="s">
        <v>28</v>
      </c>
      <c r="AV33">
        <v>0</v>
      </c>
      <c r="AW33">
        <v>2</v>
      </c>
      <c r="AX33">
        <v>55984060</v>
      </c>
      <c r="AY33">
        <v>1</v>
      </c>
      <c r="AZ33">
        <v>0</v>
      </c>
      <c r="BA33">
        <v>43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</v>
      </c>
      <c r="CY33">
        <f>AA33</f>
        <v>516.63</v>
      </c>
      <c r="CZ33">
        <f>AE33</f>
        <v>516.63</v>
      </c>
      <c r="DA33">
        <f>AI33</f>
        <v>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 t="shared" si="6"/>
        <v>0</v>
      </c>
      <c r="DG33">
        <f t="shared" si="2"/>
        <v>0</v>
      </c>
      <c r="DH33">
        <f t="shared" si="3"/>
        <v>0</v>
      </c>
      <c r="DI33">
        <f t="shared" si="1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ROW(Source!A35)</f>
        <v>35</v>
      </c>
      <c r="B34">
        <v>55934357</v>
      </c>
      <c r="C34">
        <v>55984050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221</v>
      </c>
      <c r="J34" t="s">
        <v>3</v>
      </c>
      <c r="K34" t="s">
        <v>222</v>
      </c>
      <c r="L34">
        <v>1191</v>
      </c>
      <c r="N34">
        <v>1013</v>
      </c>
      <c r="O34" t="s">
        <v>223</v>
      </c>
      <c r="P34" t="s">
        <v>223</v>
      </c>
      <c r="Q34">
        <v>1</v>
      </c>
      <c r="W34">
        <v>0</v>
      </c>
      <c r="X34">
        <v>476480486</v>
      </c>
      <c r="Y34">
        <f>((AT34*1.2)*0.3)</f>
        <v>2.52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7</v>
      </c>
      <c r="AU34" t="s">
        <v>29</v>
      </c>
      <c r="AV34">
        <v>1</v>
      </c>
      <c r="AW34">
        <v>2</v>
      </c>
      <c r="AX34">
        <v>55984056</v>
      </c>
      <c r="AY34">
        <v>1</v>
      </c>
      <c r="AZ34">
        <v>0</v>
      </c>
      <c r="BA34">
        <v>46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U34">
        <f>ROUND(AT34*Source!I35*AH34*AL34,2)</f>
        <v>0</v>
      </c>
      <c r="CV34">
        <f>ROUND(Y34*Source!I35,9)</f>
        <v>5.04</v>
      </c>
      <c r="CW34">
        <v>0</v>
      </c>
      <c r="CX34">
        <f>ROUND(Y34*Source!I35,9)</f>
        <v>5.04</v>
      </c>
      <c r="CY34">
        <f>AD34</f>
        <v>0</v>
      </c>
      <c r="CZ34">
        <f>AH34</f>
        <v>0</v>
      </c>
      <c r="DA34">
        <f>AL34</f>
        <v>1</v>
      </c>
      <c r="DB34">
        <f>ROUND(((ROUND(AT34*CZ34,2)*1.2)*0.3),6)</f>
        <v>0</v>
      </c>
      <c r="DC34">
        <f>ROUND(((ROUND(AT34*AG34,2)*1.2)*0.3),6)</f>
        <v>0</v>
      </c>
      <c r="DD34" t="s">
        <v>3</v>
      </c>
      <c r="DE34" t="s">
        <v>3</v>
      </c>
      <c r="DF34">
        <f t="shared" si="6"/>
        <v>0</v>
      </c>
      <c r="DG34">
        <f t="shared" si="2"/>
        <v>0</v>
      </c>
      <c r="DH34">
        <f t="shared" si="3"/>
        <v>0</v>
      </c>
      <c r="DI34">
        <f t="shared" si="1"/>
        <v>0</v>
      </c>
      <c r="DJ34">
        <f>DI34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ROW(Source!A35)</f>
        <v>35</v>
      </c>
      <c r="B35">
        <v>55934357</v>
      </c>
      <c r="C35">
        <v>55984050</v>
      </c>
      <c r="D35">
        <v>55459793</v>
      </c>
      <c r="E35">
        <v>1</v>
      </c>
      <c r="F35">
        <v>1</v>
      </c>
      <c r="G35">
        <v>1081</v>
      </c>
      <c r="H35">
        <v>3</v>
      </c>
      <c r="I35" t="s">
        <v>233</v>
      </c>
      <c r="J35" t="s">
        <v>234</v>
      </c>
      <c r="K35" t="s">
        <v>235</v>
      </c>
      <c r="L35">
        <v>1348</v>
      </c>
      <c r="N35">
        <v>1009</v>
      </c>
      <c r="O35" t="s">
        <v>232</v>
      </c>
      <c r="P35" t="s">
        <v>232</v>
      </c>
      <c r="Q35">
        <v>1000</v>
      </c>
      <c r="W35">
        <v>0</v>
      </c>
      <c r="X35">
        <v>-761454284</v>
      </c>
      <c r="Y35">
        <f>((AT35*1)*0)</f>
        <v>0</v>
      </c>
      <c r="AA35">
        <v>1930745.04</v>
      </c>
      <c r="AB35">
        <v>0</v>
      </c>
      <c r="AC35">
        <v>0</v>
      </c>
      <c r="AD35">
        <v>0</v>
      </c>
      <c r="AE35">
        <v>64123.05</v>
      </c>
      <c r="AF35">
        <v>0</v>
      </c>
      <c r="AG35">
        <v>0</v>
      </c>
      <c r="AH35">
        <v>0</v>
      </c>
      <c r="AI35">
        <v>30.11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1.2E-5</v>
      </c>
      <c r="AU35" t="s">
        <v>28</v>
      </c>
      <c r="AV35">
        <v>0</v>
      </c>
      <c r="AW35">
        <v>2</v>
      </c>
      <c r="AX35">
        <v>55984057</v>
      </c>
      <c r="AY35">
        <v>1</v>
      </c>
      <c r="AZ35">
        <v>0</v>
      </c>
      <c r="BA35">
        <v>47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ROUND(Y35*Source!I35,9)</f>
        <v>0</v>
      </c>
      <c r="CY35">
        <f>AA35</f>
        <v>1930745.04</v>
      </c>
      <c r="CZ35">
        <f>AE35</f>
        <v>64123.05</v>
      </c>
      <c r="DA35">
        <f>AI35</f>
        <v>30.11</v>
      </c>
      <c r="DB35">
        <f>ROUND(((ROUND(AT35*CZ35,2)*1)*0),6)</f>
        <v>0</v>
      </c>
      <c r="DC35">
        <f>ROUND(((ROUND(AT35*AG35,2)*1)*0),6)</f>
        <v>0</v>
      </c>
      <c r="DD35" t="s">
        <v>3</v>
      </c>
      <c r="DE35" t="s">
        <v>3</v>
      </c>
      <c r="DF35">
        <f>ROUND(ROUND(AE35*AI35,2)*CX35,2)</f>
        <v>0</v>
      </c>
      <c r="DG35">
        <f t="shared" si="2"/>
        <v>0</v>
      </c>
      <c r="DH35">
        <f t="shared" si="3"/>
        <v>0</v>
      </c>
      <c r="DI35">
        <f t="shared" si="1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ROW(Source!A35)</f>
        <v>35</v>
      </c>
      <c r="B36">
        <v>55934357</v>
      </c>
      <c r="C36">
        <v>55984050</v>
      </c>
      <c r="D36">
        <v>55466338</v>
      </c>
      <c r="E36">
        <v>1</v>
      </c>
      <c r="F36">
        <v>1</v>
      </c>
      <c r="G36">
        <v>1081</v>
      </c>
      <c r="H36">
        <v>3</v>
      </c>
      <c r="I36" t="s">
        <v>239</v>
      </c>
      <c r="J36" t="s">
        <v>240</v>
      </c>
      <c r="K36" t="s">
        <v>241</v>
      </c>
      <c r="L36">
        <v>1349</v>
      </c>
      <c r="N36">
        <v>1009</v>
      </c>
      <c r="O36" t="s">
        <v>242</v>
      </c>
      <c r="P36" t="s">
        <v>242</v>
      </c>
      <c r="Q36">
        <v>1E-3</v>
      </c>
      <c r="W36">
        <v>0</v>
      </c>
      <c r="X36">
        <v>-667754050</v>
      </c>
      <c r="Y36">
        <f>((AT36*1)*0)</f>
        <v>0</v>
      </c>
      <c r="AA36">
        <v>0.44</v>
      </c>
      <c r="AB36">
        <v>0</v>
      </c>
      <c r="AC36">
        <v>0</v>
      </c>
      <c r="AD36">
        <v>0</v>
      </c>
      <c r="AE36">
        <v>7.0000000000000007E-2</v>
      </c>
      <c r="AF36">
        <v>0</v>
      </c>
      <c r="AG36">
        <v>0</v>
      </c>
      <c r="AH36">
        <v>0</v>
      </c>
      <c r="AI36">
        <v>6.29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2</v>
      </c>
      <c r="AU36" t="s">
        <v>28</v>
      </c>
      <c r="AV36">
        <v>0</v>
      </c>
      <c r="AW36">
        <v>2</v>
      </c>
      <c r="AX36">
        <v>55984058</v>
      </c>
      <c r="AY36">
        <v>1</v>
      </c>
      <c r="AZ36">
        <v>0</v>
      </c>
      <c r="BA36">
        <v>48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ROUND(Y36*Source!I35,9)</f>
        <v>0</v>
      </c>
      <c r="CY36">
        <f>AA36</f>
        <v>0.44</v>
      </c>
      <c r="CZ36">
        <f>AE36</f>
        <v>7.0000000000000007E-2</v>
      </c>
      <c r="DA36">
        <f>AI36</f>
        <v>6.29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2"/>
        <v>0</v>
      </c>
      <c r="DH36">
        <f t="shared" si="3"/>
        <v>0</v>
      </c>
      <c r="DI36">
        <f t="shared" si="1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ROW(Source!A35)</f>
        <v>35</v>
      </c>
      <c r="B37">
        <v>55934357</v>
      </c>
      <c r="C37">
        <v>55984050</v>
      </c>
      <c r="D37">
        <v>55482233</v>
      </c>
      <c r="E37">
        <v>1</v>
      </c>
      <c r="F37">
        <v>1</v>
      </c>
      <c r="G37">
        <v>1081</v>
      </c>
      <c r="H37">
        <v>3</v>
      </c>
      <c r="I37" t="s">
        <v>249</v>
      </c>
      <c r="J37" t="s">
        <v>250</v>
      </c>
      <c r="K37" t="s">
        <v>251</v>
      </c>
      <c r="L37">
        <v>1346</v>
      </c>
      <c r="N37">
        <v>1009</v>
      </c>
      <c r="O37" t="s">
        <v>252</v>
      </c>
      <c r="P37" t="s">
        <v>252</v>
      </c>
      <c r="Q37">
        <v>1</v>
      </c>
      <c r="W37">
        <v>0</v>
      </c>
      <c r="X37">
        <v>1566362712</v>
      </c>
      <c r="Y37">
        <f>((AT37*1)*0)</f>
        <v>0</v>
      </c>
      <c r="AA37">
        <v>3047.23</v>
      </c>
      <c r="AB37">
        <v>0</v>
      </c>
      <c r="AC37">
        <v>0</v>
      </c>
      <c r="AD37">
        <v>0</v>
      </c>
      <c r="AE37">
        <v>493.08</v>
      </c>
      <c r="AF37">
        <v>0</v>
      </c>
      <c r="AG37">
        <v>0</v>
      </c>
      <c r="AH37">
        <v>0</v>
      </c>
      <c r="AI37">
        <v>6.18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6.0000000000000001E-3</v>
      </c>
      <c r="AU37" t="s">
        <v>28</v>
      </c>
      <c r="AV37">
        <v>0</v>
      </c>
      <c r="AW37">
        <v>2</v>
      </c>
      <c r="AX37">
        <v>55984059</v>
      </c>
      <c r="AY37">
        <v>1</v>
      </c>
      <c r="AZ37">
        <v>0</v>
      </c>
      <c r="BA37">
        <v>49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ROUND(Y37*Source!I35,9)</f>
        <v>0</v>
      </c>
      <c r="CY37">
        <f>AA37</f>
        <v>3047.23</v>
      </c>
      <c r="CZ37">
        <f>AE37</f>
        <v>493.08</v>
      </c>
      <c r="DA37">
        <f>AI37</f>
        <v>6.18</v>
      </c>
      <c r="DB37">
        <f>ROUND(((ROUND(AT37*CZ37,2)*1)*0),6)</f>
        <v>0</v>
      </c>
      <c r="DC37">
        <f>ROUND(((ROUND(AT37*AG37,2)*1)*0),6)</f>
        <v>0</v>
      </c>
      <c r="DD37" t="s">
        <v>3</v>
      </c>
      <c r="DE37" t="s">
        <v>3</v>
      </c>
      <c r="DF37">
        <f>ROUND(ROUND(AE37*AI37,2)*CX37,2)</f>
        <v>0</v>
      </c>
      <c r="DG37">
        <f t="shared" si="2"/>
        <v>0</v>
      </c>
      <c r="DH37">
        <f t="shared" si="3"/>
        <v>0</v>
      </c>
      <c r="DI37">
        <f t="shared" si="1"/>
        <v>0</v>
      </c>
      <c r="DJ37">
        <f>DF37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ROW(Source!A35)</f>
        <v>35</v>
      </c>
      <c r="B38">
        <v>55934357</v>
      </c>
      <c r="C38">
        <v>55984050</v>
      </c>
      <c r="D38">
        <v>55487942</v>
      </c>
      <c r="E38">
        <v>1</v>
      </c>
      <c r="F38">
        <v>1</v>
      </c>
      <c r="G38">
        <v>1081</v>
      </c>
      <c r="H38">
        <v>3</v>
      </c>
      <c r="I38" t="s">
        <v>253</v>
      </c>
      <c r="J38" t="s">
        <v>254</v>
      </c>
      <c r="K38" t="s">
        <v>255</v>
      </c>
      <c r="L38">
        <v>1303</v>
      </c>
      <c r="N38">
        <v>1003</v>
      </c>
      <c r="O38" t="s">
        <v>256</v>
      </c>
      <c r="P38" t="s">
        <v>256</v>
      </c>
      <c r="Q38">
        <v>1000</v>
      </c>
      <c r="W38">
        <v>0</v>
      </c>
      <c r="X38">
        <v>-1692873835</v>
      </c>
      <c r="Y38">
        <f>((AT38*1)*0)</f>
        <v>0</v>
      </c>
      <c r="AA38">
        <v>5269.63</v>
      </c>
      <c r="AB38">
        <v>0</v>
      </c>
      <c r="AC38">
        <v>0</v>
      </c>
      <c r="AD38">
        <v>0</v>
      </c>
      <c r="AE38">
        <v>516.63</v>
      </c>
      <c r="AF38">
        <v>0</v>
      </c>
      <c r="AG38">
        <v>0</v>
      </c>
      <c r="AH38">
        <v>0</v>
      </c>
      <c r="AI38">
        <v>10.199999999999999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0.06</v>
      </c>
      <c r="AU38" t="s">
        <v>28</v>
      </c>
      <c r="AV38">
        <v>0</v>
      </c>
      <c r="AW38">
        <v>2</v>
      </c>
      <c r="AX38">
        <v>55984060</v>
      </c>
      <c r="AY38">
        <v>1</v>
      </c>
      <c r="AZ38">
        <v>0</v>
      </c>
      <c r="BA38">
        <v>50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ROUND(Y38*Source!I35,9)</f>
        <v>0</v>
      </c>
      <c r="CY38">
        <f>AA38</f>
        <v>5269.63</v>
      </c>
      <c r="CZ38">
        <f>AE38</f>
        <v>516.63</v>
      </c>
      <c r="DA38">
        <f>AI38</f>
        <v>10.199999999999999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>ROUND(ROUND(AE38*AI38,2)*CX38,2)</f>
        <v>0</v>
      </c>
      <c r="DG38">
        <f t="shared" si="2"/>
        <v>0</v>
      </c>
      <c r="DH38">
        <f t="shared" si="3"/>
        <v>0</v>
      </c>
      <c r="DI38">
        <f t="shared" si="1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ROW(Source!A36)</f>
        <v>36</v>
      </c>
      <c r="B39">
        <v>55934355</v>
      </c>
      <c r="C39">
        <v>55984063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221</v>
      </c>
      <c r="J39" t="s">
        <v>3</v>
      </c>
      <c r="K39" t="s">
        <v>222</v>
      </c>
      <c r="L39">
        <v>1191</v>
      </c>
      <c r="N39">
        <v>1013</v>
      </c>
      <c r="O39" t="s">
        <v>223</v>
      </c>
      <c r="P39" t="s">
        <v>223</v>
      </c>
      <c r="Q39">
        <v>1</v>
      </c>
      <c r="W39">
        <v>0</v>
      </c>
      <c r="X39">
        <v>476480486</v>
      </c>
      <c r="Y39">
        <f>((AT39*1.2)*0.3)</f>
        <v>1.0799999999999998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</v>
      </c>
      <c r="AU39" t="s">
        <v>29</v>
      </c>
      <c r="AV39">
        <v>1</v>
      </c>
      <c r="AW39">
        <v>2</v>
      </c>
      <c r="AX39">
        <v>55984079</v>
      </c>
      <c r="AY39">
        <v>1</v>
      </c>
      <c r="AZ39">
        <v>0</v>
      </c>
      <c r="BA39">
        <v>53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ROUND(AT39*Source!I36*AH39*AL39,2)</f>
        <v>0</v>
      </c>
      <c r="CV39">
        <f>ROUND(Y39*Source!I36,9)</f>
        <v>1.08</v>
      </c>
      <c r="CW39">
        <v>0</v>
      </c>
      <c r="CX39">
        <f>ROUND(Y39*Source!I36,9)</f>
        <v>1.08</v>
      </c>
      <c r="CY39">
        <f>AD39</f>
        <v>0</v>
      </c>
      <c r="CZ39">
        <f>AH39</f>
        <v>0</v>
      </c>
      <c r="DA39">
        <f>AL39</f>
        <v>1</v>
      </c>
      <c r="DB39">
        <f>ROUND(((ROUND(AT39*CZ39,2)*1.2)*0.3),6)</f>
        <v>0</v>
      </c>
      <c r="DC39">
        <f>ROUND(((ROUND(AT39*AG39,2)*1.2)*0.3),6)</f>
        <v>0</v>
      </c>
      <c r="DD39" t="s">
        <v>3</v>
      </c>
      <c r="DE39" t="s">
        <v>3</v>
      </c>
      <c r="DF39">
        <f t="shared" ref="DF39:DF54" si="7">ROUND(ROUND(AE39,2)*CX39,2)</f>
        <v>0</v>
      </c>
      <c r="DG39">
        <f t="shared" ref="DG39:DG70" si="8">ROUND(ROUND(AF39,2)*CX39,2)</f>
        <v>0</v>
      </c>
      <c r="DH39">
        <f t="shared" ref="DH39:DH70" si="9">ROUND(ROUND(AG39,2)*CX39,2)</f>
        <v>0</v>
      </c>
      <c r="DI39">
        <f t="shared" si="1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ROW(Source!A36)</f>
        <v>36</v>
      </c>
      <c r="B40">
        <v>55934355</v>
      </c>
      <c r="C40">
        <v>55984063</v>
      </c>
      <c r="D40">
        <v>55459894</v>
      </c>
      <c r="E40">
        <v>1</v>
      </c>
      <c r="F40">
        <v>1</v>
      </c>
      <c r="G40">
        <v>1081</v>
      </c>
      <c r="H40">
        <v>3</v>
      </c>
      <c r="I40" t="s">
        <v>257</v>
      </c>
      <c r="J40" t="s">
        <v>258</v>
      </c>
      <c r="K40" t="s">
        <v>259</v>
      </c>
      <c r="L40">
        <v>1348</v>
      </c>
      <c r="N40">
        <v>1009</v>
      </c>
      <c r="O40" t="s">
        <v>232</v>
      </c>
      <c r="P40" t="s">
        <v>232</v>
      </c>
      <c r="Q40">
        <v>1000</v>
      </c>
      <c r="W40">
        <v>0</v>
      </c>
      <c r="X40">
        <v>1175474266</v>
      </c>
      <c r="Y40">
        <f t="shared" ref="Y40:Y53" si="10">((AT40*1)*0)</f>
        <v>0</v>
      </c>
      <c r="AA40">
        <v>15319.65</v>
      </c>
      <c r="AB40">
        <v>0</v>
      </c>
      <c r="AC40">
        <v>0</v>
      </c>
      <c r="AD40">
        <v>0</v>
      </c>
      <c r="AE40">
        <v>15319.65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1E-3</v>
      </c>
      <c r="AU40" t="s">
        <v>28</v>
      </c>
      <c r="AV40">
        <v>0</v>
      </c>
      <c r="AW40">
        <v>2</v>
      </c>
      <c r="AX40">
        <v>55984080</v>
      </c>
      <c r="AY40">
        <v>1</v>
      </c>
      <c r="AZ40">
        <v>0</v>
      </c>
      <c r="BA40">
        <v>54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ROUND(Y40*Source!I36,9)</f>
        <v>0</v>
      </c>
      <c r="CY40">
        <f t="shared" ref="CY40:CY53" si="11">AA40</f>
        <v>15319.65</v>
      </c>
      <c r="CZ40">
        <f t="shared" ref="CZ40:CZ53" si="12">AE40</f>
        <v>15319.65</v>
      </c>
      <c r="DA40">
        <f t="shared" ref="DA40:DA53" si="13">AI40</f>
        <v>1</v>
      </c>
      <c r="DB40">
        <f t="shared" ref="DB40:DB53" si="14">ROUND(((ROUND(AT40*CZ40,2)*1)*0),6)</f>
        <v>0</v>
      </c>
      <c r="DC40">
        <f t="shared" ref="DC40:DC53" si="15">ROUND(((ROUND(AT40*AG40,2)*1)*0),6)</f>
        <v>0</v>
      </c>
      <c r="DD40" t="s">
        <v>3</v>
      </c>
      <c r="DE40" t="s">
        <v>3</v>
      </c>
      <c r="DF40">
        <f t="shared" si="7"/>
        <v>0</v>
      </c>
      <c r="DG40">
        <f t="shared" si="8"/>
        <v>0</v>
      </c>
      <c r="DH40">
        <f t="shared" si="9"/>
        <v>0</v>
      </c>
      <c r="DI40">
        <f t="shared" si="1"/>
        <v>0</v>
      </c>
      <c r="DJ40">
        <f t="shared" ref="DJ40:DJ53" si="16"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ROW(Source!A36)</f>
        <v>36</v>
      </c>
      <c r="B41">
        <v>55934355</v>
      </c>
      <c r="C41">
        <v>55984063</v>
      </c>
      <c r="D41">
        <v>55459261</v>
      </c>
      <c r="E41">
        <v>1</v>
      </c>
      <c r="F41">
        <v>1</v>
      </c>
      <c r="G41">
        <v>1081</v>
      </c>
      <c r="H41">
        <v>3</v>
      </c>
      <c r="I41" t="s">
        <v>260</v>
      </c>
      <c r="J41" t="s">
        <v>261</v>
      </c>
      <c r="K41" t="s">
        <v>262</v>
      </c>
      <c r="L41">
        <v>1348</v>
      </c>
      <c r="N41">
        <v>1009</v>
      </c>
      <c r="O41" t="s">
        <v>232</v>
      </c>
      <c r="P41" t="s">
        <v>232</v>
      </c>
      <c r="Q41">
        <v>1000</v>
      </c>
      <c r="W41">
        <v>0</v>
      </c>
      <c r="X41">
        <v>-2092697376</v>
      </c>
      <c r="Y41">
        <f t="shared" si="10"/>
        <v>0</v>
      </c>
      <c r="AA41">
        <v>1219.68</v>
      </c>
      <c r="AB41">
        <v>0</v>
      </c>
      <c r="AC41">
        <v>0</v>
      </c>
      <c r="AD41">
        <v>0</v>
      </c>
      <c r="AE41">
        <v>1219.68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5.0000000000000002E-5</v>
      </c>
      <c r="AU41" t="s">
        <v>28</v>
      </c>
      <c r="AV41">
        <v>0</v>
      </c>
      <c r="AW41">
        <v>2</v>
      </c>
      <c r="AX41">
        <v>55984081</v>
      </c>
      <c r="AY41">
        <v>1</v>
      </c>
      <c r="AZ41">
        <v>0</v>
      </c>
      <c r="BA41">
        <v>55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ROUND(Y41*Source!I36,9)</f>
        <v>0</v>
      </c>
      <c r="CY41">
        <f t="shared" si="11"/>
        <v>1219.68</v>
      </c>
      <c r="CZ41">
        <f t="shared" si="12"/>
        <v>1219.68</v>
      </c>
      <c r="DA41">
        <f t="shared" si="13"/>
        <v>1</v>
      </c>
      <c r="DB41">
        <f t="shared" si="14"/>
        <v>0</v>
      </c>
      <c r="DC41">
        <f t="shared" si="15"/>
        <v>0</v>
      </c>
      <c r="DD41" t="s">
        <v>3</v>
      </c>
      <c r="DE41" t="s">
        <v>3</v>
      </c>
      <c r="DF41">
        <f t="shared" si="7"/>
        <v>0</v>
      </c>
      <c r="DG41">
        <f t="shared" si="8"/>
        <v>0</v>
      </c>
      <c r="DH41">
        <f t="shared" si="9"/>
        <v>0</v>
      </c>
      <c r="DI41">
        <f t="shared" si="1"/>
        <v>0</v>
      </c>
      <c r="DJ41">
        <f t="shared" si="16"/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ROW(Source!A36)</f>
        <v>36</v>
      </c>
      <c r="B42">
        <v>55934355</v>
      </c>
      <c r="C42">
        <v>55984063</v>
      </c>
      <c r="D42">
        <v>55460328</v>
      </c>
      <c r="E42">
        <v>1</v>
      </c>
      <c r="F42">
        <v>1</v>
      </c>
      <c r="G42">
        <v>1081</v>
      </c>
      <c r="H42">
        <v>3</v>
      </c>
      <c r="I42" t="s">
        <v>263</v>
      </c>
      <c r="J42" t="s">
        <v>264</v>
      </c>
      <c r="K42" t="s">
        <v>265</v>
      </c>
      <c r="L42">
        <v>1301</v>
      </c>
      <c r="N42">
        <v>1003</v>
      </c>
      <c r="O42" t="s">
        <v>266</v>
      </c>
      <c r="P42" t="s">
        <v>266</v>
      </c>
      <c r="Q42">
        <v>1</v>
      </c>
      <c r="W42">
        <v>0</v>
      </c>
      <c r="X42">
        <v>-206055494</v>
      </c>
      <c r="Y42">
        <f t="shared" si="10"/>
        <v>0</v>
      </c>
      <c r="AA42">
        <v>0.39</v>
      </c>
      <c r="AB42">
        <v>0</v>
      </c>
      <c r="AC42">
        <v>0</v>
      </c>
      <c r="AD42">
        <v>0</v>
      </c>
      <c r="AE42">
        <v>0.39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5</v>
      </c>
      <c r="AU42" t="s">
        <v>28</v>
      </c>
      <c r="AV42">
        <v>0</v>
      </c>
      <c r="AW42">
        <v>2</v>
      </c>
      <c r="AX42">
        <v>55984082</v>
      </c>
      <c r="AY42">
        <v>1</v>
      </c>
      <c r="AZ42">
        <v>0</v>
      </c>
      <c r="BA42">
        <v>56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ROUND(Y42*Source!I36,9)</f>
        <v>0</v>
      </c>
      <c r="CY42">
        <f t="shared" si="11"/>
        <v>0.39</v>
      </c>
      <c r="CZ42">
        <f t="shared" si="12"/>
        <v>0.39</v>
      </c>
      <c r="DA42">
        <f t="shared" si="13"/>
        <v>1</v>
      </c>
      <c r="DB42">
        <f t="shared" si="14"/>
        <v>0</v>
      </c>
      <c r="DC42">
        <f t="shared" si="15"/>
        <v>0</v>
      </c>
      <c r="DD42" t="s">
        <v>3</v>
      </c>
      <c r="DE42" t="s">
        <v>3</v>
      </c>
      <c r="DF42">
        <f t="shared" si="7"/>
        <v>0</v>
      </c>
      <c r="DG42">
        <f t="shared" si="8"/>
        <v>0</v>
      </c>
      <c r="DH42">
        <f t="shared" si="9"/>
        <v>0</v>
      </c>
      <c r="DI42">
        <f t="shared" si="1"/>
        <v>0</v>
      </c>
      <c r="DJ42">
        <f t="shared" si="16"/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ROW(Source!A36)</f>
        <v>36</v>
      </c>
      <c r="B43">
        <v>55934355</v>
      </c>
      <c r="C43">
        <v>55984063</v>
      </c>
      <c r="D43">
        <v>55459312</v>
      </c>
      <c r="E43">
        <v>1</v>
      </c>
      <c r="F43">
        <v>1</v>
      </c>
      <c r="G43">
        <v>1081</v>
      </c>
      <c r="H43">
        <v>3</v>
      </c>
      <c r="I43" t="s">
        <v>267</v>
      </c>
      <c r="J43" t="s">
        <v>268</v>
      </c>
      <c r="K43" t="s">
        <v>269</v>
      </c>
      <c r="L43">
        <v>1339</v>
      </c>
      <c r="N43">
        <v>1007</v>
      </c>
      <c r="O43" t="s">
        <v>270</v>
      </c>
      <c r="P43" t="s">
        <v>270</v>
      </c>
      <c r="Q43">
        <v>1</v>
      </c>
      <c r="W43">
        <v>0</v>
      </c>
      <c r="X43">
        <v>-366856290</v>
      </c>
      <c r="Y43">
        <f t="shared" si="10"/>
        <v>0</v>
      </c>
      <c r="AA43">
        <v>1176.3</v>
      </c>
      <c r="AB43">
        <v>0</v>
      </c>
      <c r="AC43">
        <v>0</v>
      </c>
      <c r="AD43">
        <v>0</v>
      </c>
      <c r="AE43">
        <v>1176.3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1E-3</v>
      </c>
      <c r="AU43" t="s">
        <v>28</v>
      </c>
      <c r="AV43">
        <v>0</v>
      </c>
      <c r="AW43">
        <v>2</v>
      </c>
      <c r="AX43">
        <v>55984083</v>
      </c>
      <c r="AY43">
        <v>1</v>
      </c>
      <c r="AZ43">
        <v>0</v>
      </c>
      <c r="BA43">
        <v>57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ROUND(Y43*Source!I36,9)</f>
        <v>0</v>
      </c>
      <c r="CY43">
        <f t="shared" si="11"/>
        <v>1176.3</v>
      </c>
      <c r="CZ43">
        <f t="shared" si="12"/>
        <v>1176.3</v>
      </c>
      <c r="DA43">
        <f t="shared" si="13"/>
        <v>1</v>
      </c>
      <c r="DB43">
        <f t="shared" si="14"/>
        <v>0</v>
      </c>
      <c r="DC43">
        <f t="shared" si="15"/>
        <v>0</v>
      </c>
      <c r="DD43" t="s">
        <v>3</v>
      </c>
      <c r="DE43" t="s">
        <v>3</v>
      </c>
      <c r="DF43">
        <f t="shared" si="7"/>
        <v>0</v>
      </c>
      <c r="DG43">
        <f t="shared" si="8"/>
        <v>0</v>
      </c>
      <c r="DH43">
        <f t="shared" si="9"/>
        <v>0</v>
      </c>
      <c r="DI43">
        <f t="shared" si="1"/>
        <v>0</v>
      </c>
      <c r="DJ43">
        <f t="shared" si="16"/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ROW(Source!A36)</f>
        <v>36</v>
      </c>
      <c r="B44">
        <v>55934355</v>
      </c>
      <c r="C44">
        <v>55984063</v>
      </c>
      <c r="D44">
        <v>55461230</v>
      </c>
      <c r="E44">
        <v>1</v>
      </c>
      <c r="F44">
        <v>1</v>
      </c>
      <c r="G44">
        <v>1081</v>
      </c>
      <c r="H44">
        <v>3</v>
      </c>
      <c r="I44" t="s">
        <v>271</v>
      </c>
      <c r="J44" t="s">
        <v>272</v>
      </c>
      <c r="K44" t="s">
        <v>273</v>
      </c>
      <c r="L44">
        <v>1346</v>
      </c>
      <c r="N44">
        <v>1009</v>
      </c>
      <c r="O44" t="s">
        <v>252</v>
      </c>
      <c r="P44" t="s">
        <v>252</v>
      </c>
      <c r="Q44">
        <v>1</v>
      </c>
      <c r="W44">
        <v>0</v>
      </c>
      <c r="X44">
        <v>1561715650</v>
      </c>
      <c r="Y44">
        <f t="shared" si="10"/>
        <v>0</v>
      </c>
      <c r="AA44">
        <v>15.11</v>
      </c>
      <c r="AB44">
        <v>0</v>
      </c>
      <c r="AC44">
        <v>0</v>
      </c>
      <c r="AD44">
        <v>0</v>
      </c>
      <c r="AE44">
        <v>15.11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0.01</v>
      </c>
      <c r="AU44" t="s">
        <v>28</v>
      </c>
      <c r="AV44">
        <v>0</v>
      </c>
      <c r="AW44">
        <v>2</v>
      </c>
      <c r="AX44">
        <v>55984084</v>
      </c>
      <c r="AY44">
        <v>1</v>
      </c>
      <c r="AZ44">
        <v>0</v>
      </c>
      <c r="BA44">
        <v>58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ROUND(Y44*Source!I36,9)</f>
        <v>0</v>
      </c>
      <c r="CY44">
        <f t="shared" si="11"/>
        <v>15.11</v>
      </c>
      <c r="CZ44">
        <f t="shared" si="12"/>
        <v>15.11</v>
      </c>
      <c r="DA44">
        <f t="shared" si="13"/>
        <v>1</v>
      </c>
      <c r="DB44">
        <f t="shared" si="14"/>
        <v>0</v>
      </c>
      <c r="DC44">
        <f t="shared" si="15"/>
        <v>0</v>
      </c>
      <c r="DD44" t="s">
        <v>3</v>
      </c>
      <c r="DE44" t="s">
        <v>3</v>
      </c>
      <c r="DF44">
        <f t="shared" si="7"/>
        <v>0</v>
      </c>
      <c r="DG44">
        <f t="shared" si="8"/>
        <v>0</v>
      </c>
      <c r="DH44">
        <f t="shared" si="9"/>
        <v>0</v>
      </c>
      <c r="DI44">
        <f t="shared" si="1"/>
        <v>0</v>
      </c>
      <c r="DJ44">
        <f t="shared" si="16"/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ROW(Source!A36)</f>
        <v>36</v>
      </c>
      <c r="B45">
        <v>55934355</v>
      </c>
      <c r="C45">
        <v>55984063</v>
      </c>
      <c r="D45">
        <v>55459400</v>
      </c>
      <c r="E45">
        <v>1</v>
      </c>
      <c r="F45">
        <v>1</v>
      </c>
      <c r="G45">
        <v>1081</v>
      </c>
      <c r="H45">
        <v>3</v>
      </c>
      <c r="I45" t="s">
        <v>274</v>
      </c>
      <c r="J45" t="s">
        <v>275</v>
      </c>
      <c r="K45" t="s">
        <v>276</v>
      </c>
      <c r="L45">
        <v>1346</v>
      </c>
      <c r="N45">
        <v>1009</v>
      </c>
      <c r="O45" t="s">
        <v>252</v>
      </c>
      <c r="P45" t="s">
        <v>252</v>
      </c>
      <c r="Q45">
        <v>1</v>
      </c>
      <c r="W45">
        <v>0</v>
      </c>
      <c r="X45">
        <v>-2129869794</v>
      </c>
      <c r="Y45">
        <f t="shared" si="10"/>
        <v>0</v>
      </c>
      <c r="AA45">
        <v>16.690000000000001</v>
      </c>
      <c r="AB45">
        <v>0</v>
      </c>
      <c r="AC45">
        <v>0</v>
      </c>
      <c r="AD45">
        <v>0</v>
      </c>
      <c r="AE45">
        <v>16.690000000000001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0.01</v>
      </c>
      <c r="AU45" t="s">
        <v>28</v>
      </c>
      <c r="AV45">
        <v>0</v>
      </c>
      <c r="AW45">
        <v>2</v>
      </c>
      <c r="AX45">
        <v>55984085</v>
      </c>
      <c r="AY45">
        <v>1</v>
      </c>
      <c r="AZ45">
        <v>0</v>
      </c>
      <c r="BA45">
        <v>59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ROUND(Y45*Source!I36,9)</f>
        <v>0</v>
      </c>
      <c r="CY45">
        <f t="shared" si="11"/>
        <v>16.690000000000001</v>
      </c>
      <c r="CZ45">
        <f t="shared" si="12"/>
        <v>16.690000000000001</v>
      </c>
      <c r="DA45">
        <f t="shared" si="13"/>
        <v>1</v>
      </c>
      <c r="DB45">
        <f t="shared" si="14"/>
        <v>0</v>
      </c>
      <c r="DC45">
        <f t="shared" si="15"/>
        <v>0</v>
      </c>
      <c r="DD45" t="s">
        <v>3</v>
      </c>
      <c r="DE45" t="s">
        <v>3</v>
      </c>
      <c r="DF45">
        <f t="shared" si="7"/>
        <v>0</v>
      </c>
      <c r="DG45">
        <f t="shared" si="8"/>
        <v>0</v>
      </c>
      <c r="DH45">
        <f t="shared" si="9"/>
        <v>0</v>
      </c>
      <c r="DI45">
        <f t="shared" si="1"/>
        <v>0</v>
      </c>
      <c r="DJ45">
        <f t="shared" si="16"/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ROW(Source!A36)</f>
        <v>36</v>
      </c>
      <c r="B46">
        <v>55934355</v>
      </c>
      <c r="C46">
        <v>55984063</v>
      </c>
      <c r="D46">
        <v>55461719</v>
      </c>
      <c r="E46">
        <v>1</v>
      </c>
      <c r="F46">
        <v>1</v>
      </c>
      <c r="G46">
        <v>1081</v>
      </c>
      <c r="H46">
        <v>3</v>
      </c>
      <c r="I46" t="s">
        <v>229</v>
      </c>
      <c r="J46" t="s">
        <v>230</v>
      </c>
      <c r="K46" t="s">
        <v>231</v>
      </c>
      <c r="L46">
        <v>1348</v>
      </c>
      <c r="N46">
        <v>1009</v>
      </c>
      <c r="O46" t="s">
        <v>232</v>
      </c>
      <c r="P46" t="s">
        <v>232</v>
      </c>
      <c r="Q46">
        <v>1000</v>
      </c>
      <c r="W46">
        <v>0</v>
      </c>
      <c r="X46">
        <v>-1265888387</v>
      </c>
      <c r="Y46">
        <f t="shared" si="10"/>
        <v>0</v>
      </c>
      <c r="AA46">
        <v>10643.18</v>
      </c>
      <c r="AB46">
        <v>0</v>
      </c>
      <c r="AC46">
        <v>0</v>
      </c>
      <c r="AD46">
        <v>0</v>
      </c>
      <c r="AE46">
        <v>10643.18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1E-4</v>
      </c>
      <c r="AU46" t="s">
        <v>28</v>
      </c>
      <c r="AV46">
        <v>0</v>
      </c>
      <c r="AW46">
        <v>2</v>
      </c>
      <c r="AX46">
        <v>55984086</v>
      </c>
      <c r="AY46">
        <v>1</v>
      </c>
      <c r="AZ46">
        <v>0</v>
      </c>
      <c r="BA46">
        <v>60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 t="shared" si="11"/>
        <v>10643.18</v>
      </c>
      <c r="CZ46">
        <f t="shared" si="12"/>
        <v>10643.18</v>
      </c>
      <c r="DA46">
        <f t="shared" si="13"/>
        <v>1</v>
      </c>
      <c r="DB46">
        <f t="shared" si="14"/>
        <v>0</v>
      </c>
      <c r="DC46">
        <f t="shared" si="15"/>
        <v>0</v>
      </c>
      <c r="DD46" t="s">
        <v>3</v>
      </c>
      <c r="DE46" t="s">
        <v>3</v>
      </c>
      <c r="DF46">
        <f t="shared" si="7"/>
        <v>0</v>
      </c>
      <c r="DG46">
        <f t="shared" si="8"/>
        <v>0</v>
      </c>
      <c r="DH46">
        <f t="shared" si="9"/>
        <v>0</v>
      </c>
      <c r="DI46">
        <f t="shared" si="1"/>
        <v>0</v>
      </c>
      <c r="DJ46">
        <f t="shared" si="16"/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ROW(Source!A36)</f>
        <v>36</v>
      </c>
      <c r="B47">
        <v>55934355</v>
      </c>
      <c r="C47">
        <v>55984063</v>
      </c>
      <c r="D47">
        <v>55466000</v>
      </c>
      <c r="E47">
        <v>1</v>
      </c>
      <c r="F47">
        <v>1</v>
      </c>
      <c r="G47">
        <v>1081</v>
      </c>
      <c r="H47">
        <v>3</v>
      </c>
      <c r="I47" t="s">
        <v>277</v>
      </c>
      <c r="J47" t="s">
        <v>278</v>
      </c>
      <c r="K47" t="s">
        <v>279</v>
      </c>
      <c r="L47">
        <v>1355</v>
      </c>
      <c r="N47">
        <v>1010</v>
      </c>
      <c r="O47" t="s">
        <v>280</v>
      </c>
      <c r="P47" t="s">
        <v>280</v>
      </c>
      <c r="Q47">
        <v>100</v>
      </c>
      <c r="W47">
        <v>0</v>
      </c>
      <c r="X47">
        <v>436393287</v>
      </c>
      <c r="Y47">
        <f t="shared" si="10"/>
        <v>0</v>
      </c>
      <c r="AA47">
        <v>120.19</v>
      </c>
      <c r="AB47">
        <v>0</v>
      </c>
      <c r="AC47">
        <v>0</v>
      </c>
      <c r="AD47">
        <v>0</v>
      </c>
      <c r="AE47">
        <v>120.19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0.01</v>
      </c>
      <c r="AU47" t="s">
        <v>28</v>
      </c>
      <c r="AV47">
        <v>0</v>
      </c>
      <c r="AW47">
        <v>2</v>
      </c>
      <c r="AX47">
        <v>55984087</v>
      </c>
      <c r="AY47">
        <v>1</v>
      </c>
      <c r="AZ47">
        <v>0</v>
      </c>
      <c r="BA47">
        <v>61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 t="shared" si="11"/>
        <v>120.19</v>
      </c>
      <c r="CZ47">
        <f t="shared" si="12"/>
        <v>120.19</v>
      </c>
      <c r="DA47">
        <f t="shared" si="13"/>
        <v>1</v>
      </c>
      <c r="DB47">
        <f t="shared" si="14"/>
        <v>0</v>
      </c>
      <c r="DC47">
        <f t="shared" si="15"/>
        <v>0</v>
      </c>
      <c r="DD47" t="s">
        <v>3</v>
      </c>
      <c r="DE47" t="s">
        <v>3</v>
      </c>
      <c r="DF47">
        <f t="shared" si="7"/>
        <v>0</v>
      </c>
      <c r="DG47">
        <f t="shared" si="8"/>
        <v>0</v>
      </c>
      <c r="DH47">
        <f t="shared" si="9"/>
        <v>0</v>
      </c>
      <c r="DI47">
        <f t="shared" si="1"/>
        <v>0</v>
      </c>
      <c r="DJ47">
        <f t="shared" si="16"/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ROW(Source!A36)</f>
        <v>36</v>
      </c>
      <c r="B48">
        <v>55934355</v>
      </c>
      <c r="C48">
        <v>55984063</v>
      </c>
      <c r="D48">
        <v>55459793</v>
      </c>
      <c r="E48">
        <v>1</v>
      </c>
      <c r="F48">
        <v>1</v>
      </c>
      <c r="G48">
        <v>1081</v>
      </c>
      <c r="H48">
        <v>3</v>
      </c>
      <c r="I48" t="s">
        <v>233</v>
      </c>
      <c r="J48" t="s">
        <v>234</v>
      </c>
      <c r="K48" t="s">
        <v>235</v>
      </c>
      <c r="L48">
        <v>1348</v>
      </c>
      <c r="N48">
        <v>1009</v>
      </c>
      <c r="O48" t="s">
        <v>232</v>
      </c>
      <c r="P48" t="s">
        <v>232</v>
      </c>
      <c r="Q48">
        <v>1000</v>
      </c>
      <c r="W48">
        <v>0</v>
      </c>
      <c r="X48">
        <v>-761454284</v>
      </c>
      <c r="Y48">
        <f t="shared" si="10"/>
        <v>0</v>
      </c>
      <c r="AA48">
        <v>64123.05</v>
      </c>
      <c r="AB48">
        <v>0</v>
      </c>
      <c r="AC48">
        <v>0</v>
      </c>
      <c r="AD48">
        <v>0</v>
      </c>
      <c r="AE48">
        <v>64123.05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2.0000000000000002E-5</v>
      </c>
      <c r="AU48" t="s">
        <v>28</v>
      </c>
      <c r="AV48">
        <v>0</v>
      </c>
      <c r="AW48">
        <v>2</v>
      </c>
      <c r="AX48">
        <v>55984088</v>
      </c>
      <c r="AY48">
        <v>1</v>
      </c>
      <c r="AZ48">
        <v>0</v>
      </c>
      <c r="BA48">
        <v>62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 t="shared" si="11"/>
        <v>64123.05</v>
      </c>
      <c r="CZ48">
        <f t="shared" si="12"/>
        <v>64123.05</v>
      </c>
      <c r="DA48">
        <f t="shared" si="13"/>
        <v>1</v>
      </c>
      <c r="DB48">
        <f t="shared" si="14"/>
        <v>0</v>
      </c>
      <c r="DC48">
        <f t="shared" si="15"/>
        <v>0</v>
      </c>
      <c r="DD48" t="s">
        <v>3</v>
      </c>
      <c r="DE48" t="s">
        <v>3</v>
      </c>
      <c r="DF48">
        <f t="shared" si="7"/>
        <v>0</v>
      </c>
      <c r="DG48">
        <f t="shared" si="8"/>
        <v>0</v>
      </c>
      <c r="DH48">
        <f t="shared" si="9"/>
        <v>0</v>
      </c>
      <c r="DI48">
        <f t="shared" si="1"/>
        <v>0</v>
      </c>
      <c r="DJ48">
        <f t="shared" si="16"/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ROW(Source!A36)</f>
        <v>36</v>
      </c>
      <c r="B49">
        <v>55934355</v>
      </c>
      <c r="C49">
        <v>55984063</v>
      </c>
      <c r="D49">
        <v>55459810</v>
      </c>
      <c r="E49">
        <v>1</v>
      </c>
      <c r="F49">
        <v>1</v>
      </c>
      <c r="G49">
        <v>1081</v>
      </c>
      <c r="H49">
        <v>3</v>
      </c>
      <c r="I49" t="s">
        <v>281</v>
      </c>
      <c r="J49" t="s">
        <v>282</v>
      </c>
      <c r="K49" t="s">
        <v>283</v>
      </c>
      <c r="L49">
        <v>1348</v>
      </c>
      <c r="N49">
        <v>1009</v>
      </c>
      <c r="O49" t="s">
        <v>232</v>
      </c>
      <c r="P49" t="s">
        <v>232</v>
      </c>
      <c r="Q49">
        <v>1000</v>
      </c>
      <c r="W49">
        <v>0</v>
      </c>
      <c r="X49">
        <v>-98394079</v>
      </c>
      <c r="Y49">
        <f t="shared" si="10"/>
        <v>0</v>
      </c>
      <c r="AA49">
        <v>9238.1299999999992</v>
      </c>
      <c r="AB49">
        <v>0</v>
      </c>
      <c r="AC49">
        <v>0</v>
      </c>
      <c r="AD49">
        <v>0</v>
      </c>
      <c r="AE49">
        <v>9238.1299999999992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1E-4</v>
      </c>
      <c r="AU49" t="s">
        <v>28</v>
      </c>
      <c r="AV49">
        <v>0</v>
      </c>
      <c r="AW49">
        <v>2</v>
      </c>
      <c r="AX49">
        <v>55984089</v>
      </c>
      <c r="AY49">
        <v>1</v>
      </c>
      <c r="AZ49">
        <v>0</v>
      </c>
      <c r="BA49">
        <v>63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ROUND(Y49*Source!I36,9)</f>
        <v>0</v>
      </c>
      <c r="CY49">
        <f t="shared" si="11"/>
        <v>9238.1299999999992</v>
      </c>
      <c r="CZ49">
        <f t="shared" si="12"/>
        <v>9238.1299999999992</v>
      </c>
      <c r="DA49">
        <f t="shared" si="13"/>
        <v>1</v>
      </c>
      <c r="DB49">
        <f t="shared" si="14"/>
        <v>0</v>
      </c>
      <c r="DC49">
        <f t="shared" si="15"/>
        <v>0</v>
      </c>
      <c r="DD49" t="s">
        <v>3</v>
      </c>
      <c r="DE49" t="s">
        <v>3</v>
      </c>
      <c r="DF49">
        <f t="shared" si="7"/>
        <v>0</v>
      </c>
      <c r="DG49">
        <f t="shared" si="8"/>
        <v>0</v>
      </c>
      <c r="DH49">
        <f t="shared" si="9"/>
        <v>0</v>
      </c>
      <c r="DI49">
        <f t="shared" si="1"/>
        <v>0</v>
      </c>
      <c r="DJ49">
        <f t="shared" si="16"/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ROW(Source!A36)</f>
        <v>36</v>
      </c>
      <c r="B50">
        <v>55934355</v>
      </c>
      <c r="C50">
        <v>55984063</v>
      </c>
      <c r="D50">
        <v>55482166</v>
      </c>
      <c r="E50">
        <v>1</v>
      </c>
      <c r="F50">
        <v>1</v>
      </c>
      <c r="G50">
        <v>1081</v>
      </c>
      <c r="H50">
        <v>3</v>
      </c>
      <c r="I50" t="s">
        <v>284</v>
      </c>
      <c r="J50" t="s">
        <v>285</v>
      </c>
      <c r="K50" t="s">
        <v>286</v>
      </c>
      <c r="L50">
        <v>1301</v>
      </c>
      <c r="N50">
        <v>1003</v>
      </c>
      <c r="O50" t="s">
        <v>266</v>
      </c>
      <c r="P50" t="s">
        <v>266</v>
      </c>
      <c r="Q50">
        <v>1</v>
      </c>
      <c r="W50">
        <v>0</v>
      </c>
      <c r="X50">
        <v>876831867</v>
      </c>
      <c r="Y50">
        <f t="shared" si="10"/>
        <v>0</v>
      </c>
      <c r="AA50">
        <v>0.69</v>
      </c>
      <c r="AB50">
        <v>0</v>
      </c>
      <c r="AC50">
        <v>0</v>
      </c>
      <c r="AD50">
        <v>0</v>
      </c>
      <c r="AE50">
        <v>0.69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</v>
      </c>
      <c r="AU50" t="s">
        <v>28</v>
      </c>
      <c r="AV50">
        <v>0</v>
      </c>
      <c r="AW50">
        <v>2</v>
      </c>
      <c r="AX50">
        <v>55984090</v>
      </c>
      <c r="AY50">
        <v>1</v>
      </c>
      <c r="AZ50">
        <v>0</v>
      </c>
      <c r="BA50">
        <v>64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ROUND(Y50*Source!I36,9)</f>
        <v>0</v>
      </c>
      <c r="CY50">
        <f t="shared" si="11"/>
        <v>0.69</v>
      </c>
      <c r="CZ50">
        <f t="shared" si="12"/>
        <v>0.69</v>
      </c>
      <c r="DA50">
        <f t="shared" si="13"/>
        <v>1</v>
      </c>
      <c r="DB50">
        <f t="shared" si="14"/>
        <v>0</v>
      </c>
      <c r="DC50">
        <f t="shared" si="15"/>
        <v>0</v>
      </c>
      <c r="DD50" t="s">
        <v>3</v>
      </c>
      <c r="DE50" t="s">
        <v>3</v>
      </c>
      <c r="DF50">
        <f t="shared" si="7"/>
        <v>0</v>
      </c>
      <c r="DG50">
        <f t="shared" si="8"/>
        <v>0</v>
      </c>
      <c r="DH50">
        <f t="shared" si="9"/>
        <v>0</v>
      </c>
      <c r="DI50">
        <f t="shared" si="1"/>
        <v>0</v>
      </c>
      <c r="DJ50">
        <f t="shared" si="16"/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ROW(Source!A36)</f>
        <v>36</v>
      </c>
      <c r="B51">
        <v>55934355</v>
      </c>
      <c r="C51">
        <v>55984063</v>
      </c>
      <c r="D51">
        <v>55482445</v>
      </c>
      <c r="E51">
        <v>1</v>
      </c>
      <c r="F51">
        <v>1</v>
      </c>
      <c r="G51">
        <v>1081</v>
      </c>
      <c r="H51">
        <v>3</v>
      </c>
      <c r="I51" t="s">
        <v>287</v>
      </c>
      <c r="J51" t="s">
        <v>288</v>
      </c>
      <c r="K51" t="s">
        <v>289</v>
      </c>
      <c r="L51">
        <v>1356</v>
      </c>
      <c r="N51">
        <v>1010</v>
      </c>
      <c r="O51" t="s">
        <v>246</v>
      </c>
      <c r="P51" t="s">
        <v>246</v>
      </c>
      <c r="Q51">
        <v>1000</v>
      </c>
      <c r="W51">
        <v>0</v>
      </c>
      <c r="X51">
        <v>-285397556</v>
      </c>
      <c r="Y51">
        <f t="shared" si="10"/>
        <v>0</v>
      </c>
      <c r="AA51">
        <v>294.89</v>
      </c>
      <c r="AB51">
        <v>0</v>
      </c>
      <c r="AC51">
        <v>0</v>
      </c>
      <c r="AD51">
        <v>0</v>
      </c>
      <c r="AE51">
        <v>294.89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0.01</v>
      </c>
      <c r="AU51" t="s">
        <v>28</v>
      </c>
      <c r="AV51">
        <v>0</v>
      </c>
      <c r="AW51">
        <v>2</v>
      </c>
      <c r="AX51">
        <v>55984091</v>
      </c>
      <c r="AY51">
        <v>1</v>
      </c>
      <c r="AZ51">
        <v>0</v>
      </c>
      <c r="BA51">
        <v>65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ROUND(Y51*Source!I36,9)</f>
        <v>0</v>
      </c>
      <c r="CY51">
        <f t="shared" si="11"/>
        <v>294.89</v>
      </c>
      <c r="CZ51">
        <f t="shared" si="12"/>
        <v>294.89</v>
      </c>
      <c r="DA51">
        <f t="shared" si="13"/>
        <v>1</v>
      </c>
      <c r="DB51">
        <f t="shared" si="14"/>
        <v>0</v>
      </c>
      <c r="DC51">
        <f t="shared" si="15"/>
        <v>0</v>
      </c>
      <c r="DD51" t="s">
        <v>3</v>
      </c>
      <c r="DE51" t="s">
        <v>3</v>
      </c>
      <c r="DF51">
        <f t="shared" si="7"/>
        <v>0</v>
      </c>
      <c r="DG51">
        <f t="shared" si="8"/>
        <v>0</v>
      </c>
      <c r="DH51">
        <f t="shared" si="9"/>
        <v>0</v>
      </c>
      <c r="DI51">
        <f t="shared" si="1"/>
        <v>0</v>
      </c>
      <c r="DJ51">
        <f t="shared" si="16"/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ROW(Source!A36)</f>
        <v>36</v>
      </c>
      <c r="B52">
        <v>55934355</v>
      </c>
      <c r="C52">
        <v>55984063</v>
      </c>
      <c r="D52">
        <v>55481518</v>
      </c>
      <c r="E52">
        <v>1</v>
      </c>
      <c r="F52">
        <v>1</v>
      </c>
      <c r="G52">
        <v>1081</v>
      </c>
      <c r="H52">
        <v>3</v>
      </c>
      <c r="I52" t="s">
        <v>290</v>
      </c>
      <c r="J52" t="s">
        <v>291</v>
      </c>
      <c r="K52" t="s">
        <v>292</v>
      </c>
      <c r="L52">
        <v>1354</v>
      </c>
      <c r="N52">
        <v>1010</v>
      </c>
      <c r="O52" t="s">
        <v>293</v>
      </c>
      <c r="P52" t="s">
        <v>293</v>
      </c>
      <c r="Q52">
        <v>1</v>
      </c>
      <c r="W52">
        <v>0</v>
      </c>
      <c r="X52">
        <v>55982921</v>
      </c>
      <c r="Y52">
        <f t="shared" si="10"/>
        <v>0</v>
      </c>
      <c r="AA52">
        <v>15.67</v>
      </c>
      <c r="AB52">
        <v>0</v>
      </c>
      <c r="AC52">
        <v>0</v>
      </c>
      <c r="AD52">
        <v>0</v>
      </c>
      <c r="AE52">
        <v>15.67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</v>
      </c>
      <c r="AU52" t="s">
        <v>28</v>
      </c>
      <c r="AV52">
        <v>0</v>
      </c>
      <c r="AW52">
        <v>2</v>
      </c>
      <c r="AX52">
        <v>55984092</v>
      </c>
      <c r="AY52">
        <v>1</v>
      </c>
      <c r="AZ52">
        <v>0</v>
      </c>
      <c r="BA52">
        <v>66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ROUND(Y52*Source!I36,9)</f>
        <v>0</v>
      </c>
      <c r="CY52">
        <f t="shared" si="11"/>
        <v>15.67</v>
      </c>
      <c r="CZ52">
        <f t="shared" si="12"/>
        <v>15.67</v>
      </c>
      <c r="DA52">
        <f t="shared" si="13"/>
        <v>1</v>
      </c>
      <c r="DB52">
        <f t="shared" si="14"/>
        <v>0</v>
      </c>
      <c r="DC52">
        <f t="shared" si="15"/>
        <v>0</v>
      </c>
      <c r="DD52" t="s">
        <v>3</v>
      </c>
      <c r="DE52" t="s">
        <v>3</v>
      </c>
      <c r="DF52">
        <f t="shared" si="7"/>
        <v>0</v>
      </c>
      <c r="DG52">
        <f t="shared" si="8"/>
        <v>0</v>
      </c>
      <c r="DH52">
        <f t="shared" si="9"/>
        <v>0</v>
      </c>
      <c r="DI52">
        <f t="shared" si="1"/>
        <v>0</v>
      </c>
      <c r="DJ52">
        <f t="shared" si="16"/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ROW(Source!A36)</f>
        <v>36</v>
      </c>
      <c r="B53">
        <v>55934355</v>
      </c>
      <c r="C53">
        <v>55984063</v>
      </c>
      <c r="D53">
        <v>55424290</v>
      </c>
      <c r="E53">
        <v>1081</v>
      </c>
      <c r="F53">
        <v>1</v>
      </c>
      <c r="G53">
        <v>1081</v>
      </c>
      <c r="H53">
        <v>3</v>
      </c>
      <c r="I53" t="s">
        <v>247</v>
      </c>
      <c r="J53" t="s">
        <v>3</v>
      </c>
      <c r="K53" t="s">
        <v>248</v>
      </c>
      <c r="L53">
        <v>1348</v>
      </c>
      <c r="N53">
        <v>1009</v>
      </c>
      <c r="O53" t="s">
        <v>232</v>
      </c>
      <c r="P53" t="s">
        <v>232</v>
      </c>
      <c r="Q53">
        <v>1000</v>
      </c>
      <c r="W53">
        <v>0</v>
      </c>
      <c r="X53">
        <v>-783086922</v>
      </c>
      <c r="Y53">
        <f t="shared" si="10"/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1E-3</v>
      </c>
      <c r="AU53" t="s">
        <v>28</v>
      </c>
      <c r="AV53">
        <v>0</v>
      </c>
      <c r="AW53">
        <v>2</v>
      </c>
      <c r="AX53">
        <v>55984095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ROUND(Y53*Source!I36,9)</f>
        <v>0</v>
      </c>
      <c r="CY53">
        <f t="shared" si="11"/>
        <v>0</v>
      </c>
      <c r="CZ53">
        <f t="shared" si="12"/>
        <v>0</v>
      </c>
      <c r="DA53">
        <f t="shared" si="13"/>
        <v>1</v>
      </c>
      <c r="DB53">
        <f t="shared" si="14"/>
        <v>0</v>
      </c>
      <c r="DC53">
        <f t="shared" si="15"/>
        <v>0</v>
      </c>
      <c r="DD53" t="s">
        <v>3</v>
      </c>
      <c r="DE53" t="s">
        <v>3</v>
      </c>
      <c r="DF53">
        <f t="shared" si="7"/>
        <v>0</v>
      </c>
      <c r="DG53">
        <f t="shared" si="8"/>
        <v>0</v>
      </c>
      <c r="DH53">
        <f t="shared" si="9"/>
        <v>0</v>
      </c>
      <c r="DI53">
        <f t="shared" si="1"/>
        <v>0</v>
      </c>
      <c r="DJ53">
        <f t="shared" si="16"/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ROW(Source!A37)</f>
        <v>37</v>
      </c>
      <c r="B54">
        <v>55934357</v>
      </c>
      <c r="C54">
        <v>55984063</v>
      </c>
      <c r="D54">
        <v>55424304</v>
      </c>
      <c r="E54">
        <v>1081</v>
      </c>
      <c r="F54">
        <v>1</v>
      </c>
      <c r="G54">
        <v>1081</v>
      </c>
      <c r="H54">
        <v>1</v>
      </c>
      <c r="I54" t="s">
        <v>221</v>
      </c>
      <c r="J54" t="s">
        <v>3</v>
      </c>
      <c r="K54" t="s">
        <v>222</v>
      </c>
      <c r="L54">
        <v>1191</v>
      </c>
      <c r="N54">
        <v>1013</v>
      </c>
      <c r="O54" t="s">
        <v>223</v>
      </c>
      <c r="P54" t="s">
        <v>223</v>
      </c>
      <c r="Q54">
        <v>1</v>
      </c>
      <c r="W54">
        <v>0</v>
      </c>
      <c r="X54">
        <v>476480486</v>
      </c>
      <c r="Y54">
        <f>((AT54*1.2)*0.3)</f>
        <v>1.0799999999999998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5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3</v>
      </c>
      <c r="AU54" t="s">
        <v>29</v>
      </c>
      <c r="AV54">
        <v>1</v>
      </c>
      <c r="AW54">
        <v>2</v>
      </c>
      <c r="AX54">
        <v>55984079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U54">
        <f>ROUND(AT54*Source!I37*AH54*AL54,2)</f>
        <v>0</v>
      </c>
      <c r="CV54">
        <f>ROUND(Y54*Source!I37,9)</f>
        <v>1.08</v>
      </c>
      <c r="CW54">
        <v>0</v>
      </c>
      <c r="CX54">
        <f>ROUND(Y54*Source!I37,9)</f>
        <v>1.08</v>
      </c>
      <c r="CY54">
        <f>AD54</f>
        <v>0</v>
      </c>
      <c r="CZ54">
        <f>AH54</f>
        <v>0</v>
      </c>
      <c r="DA54">
        <f>AL54</f>
        <v>1</v>
      </c>
      <c r="DB54">
        <f>ROUND(((ROUND(AT54*CZ54,2)*1.2)*0.3),6)</f>
        <v>0</v>
      </c>
      <c r="DC54">
        <f>ROUND(((ROUND(AT54*AG54,2)*1.2)*0.3),6)</f>
        <v>0</v>
      </c>
      <c r="DD54" t="s">
        <v>3</v>
      </c>
      <c r="DE54" t="s">
        <v>3</v>
      </c>
      <c r="DF54">
        <f t="shared" si="7"/>
        <v>0</v>
      </c>
      <c r="DG54">
        <f t="shared" si="8"/>
        <v>0</v>
      </c>
      <c r="DH54">
        <f t="shared" si="9"/>
        <v>0</v>
      </c>
      <c r="DI54">
        <f t="shared" si="1"/>
        <v>0</v>
      </c>
      <c r="DJ54">
        <f>DI54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ROW(Source!A37)</f>
        <v>37</v>
      </c>
      <c r="B55">
        <v>55934357</v>
      </c>
      <c r="C55">
        <v>55984063</v>
      </c>
      <c r="D55">
        <v>55459894</v>
      </c>
      <c r="E55">
        <v>1</v>
      </c>
      <c r="F55">
        <v>1</v>
      </c>
      <c r="G55">
        <v>1081</v>
      </c>
      <c r="H55">
        <v>3</v>
      </c>
      <c r="I55" t="s">
        <v>257</v>
      </c>
      <c r="J55" t="s">
        <v>258</v>
      </c>
      <c r="K55" t="s">
        <v>259</v>
      </c>
      <c r="L55">
        <v>1348</v>
      </c>
      <c r="N55">
        <v>1009</v>
      </c>
      <c r="O55" t="s">
        <v>232</v>
      </c>
      <c r="P55" t="s">
        <v>232</v>
      </c>
      <c r="Q55">
        <v>1000</v>
      </c>
      <c r="W55">
        <v>0</v>
      </c>
      <c r="X55">
        <v>1175474266</v>
      </c>
      <c r="Y55">
        <f t="shared" ref="Y55:Y68" si="17">((AT55*1)*0)</f>
        <v>0</v>
      </c>
      <c r="AA55">
        <v>75372.679999999993</v>
      </c>
      <c r="AB55">
        <v>0</v>
      </c>
      <c r="AC55">
        <v>0</v>
      </c>
      <c r="AD55">
        <v>0</v>
      </c>
      <c r="AE55">
        <v>15319.65</v>
      </c>
      <c r="AF55">
        <v>0</v>
      </c>
      <c r="AG55">
        <v>0</v>
      </c>
      <c r="AH55">
        <v>0</v>
      </c>
      <c r="AI55">
        <v>4.92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1E-3</v>
      </c>
      <c r="AU55" t="s">
        <v>28</v>
      </c>
      <c r="AV55">
        <v>0</v>
      </c>
      <c r="AW55">
        <v>2</v>
      </c>
      <c r="AX55">
        <v>55984080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ROUND(Y55*Source!I37,9)</f>
        <v>0</v>
      </c>
      <c r="CY55">
        <f t="shared" ref="CY55:CY68" si="18">AA55</f>
        <v>75372.679999999993</v>
      </c>
      <c r="CZ55">
        <f t="shared" ref="CZ55:CZ68" si="19">AE55</f>
        <v>15319.65</v>
      </c>
      <c r="DA55">
        <f t="shared" ref="DA55:DA68" si="20">AI55</f>
        <v>4.92</v>
      </c>
      <c r="DB55">
        <f t="shared" ref="DB55:DB68" si="21">ROUND(((ROUND(AT55*CZ55,2)*1)*0),6)</f>
        <v>0</v>
      </c>
      <c r="DC55">
        <f t="shared" ref="DC55:DC68" si="22">ROUND(((ROUND(AT55*AG55,2)*1)*0),6)</f>
        <v>0</v>
      </c>
      <c r="DD55" t="s">
        <v>3</v>
      </c>
      <c r="DE55" t="s">
        <v>3</v>
      </c>
      <c r="DF55">
        <f t="shared" ref="DF55:DF68" si="23">ROUND(ROUND(AE55*AI55,2)*CX55,2)</f>
        <v>0</v>
      </c>
      <c r="DG55">
        <f t="shared" si="8"/>
        <v>0</v>
      </c>
      <c r="DH55">
        <f t="shared" si="9"/>
        <v>0</v>
      </c>
      <c r="DI55">
        <f t="shared" si="1"/>
        <v>0</v>
      </c>
      <c r="DJ55">
        <f t="shared" ref="DJ55:DJ68" si="24"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ROW(Source!A37)</f>
        <v>37</v>
      </c>
      <c r="B56">
        <v>55934357</v>
      </c>
      <c r="C56">
        <v>55984063</v>
      </c>
      <c r="D56">
        <v>55459261</v>
      </c>
      <c r="E56">
        <v>1</v>
      </c>
      <c r="F56">
        <v>1</v>
      </c>
      <c r="G56">
        <v>1081</v>
      </c>
      <c r="H56">
        <v>3</v>
      </c>
      <c r="I56" t="s">
        <v>260</v>
      </c>
      <c r="J56" t="s">
        <v>261</v>
      </c>
      <c r="K56" t="s">
        <v>262</v>
      </c>
      <c r="L56">
        <v>1348</v>
      </c>
      <c r="N56">
        <v>1009</v>
      </c>
      <c r="O56" t="s">
        <v>232</v>
      </c>
      <c r="P56" t="s">
        <v>232</v>
      </c>
      <c r="Q56">
        <v>1000</v>
      </c>
      <c r="W56">
        <v>0</v>
      </c>
      <c r="X56">
        <v>-2092697376</v>
      </c>
      <c r="Y56">
        <f t="shared" si="17"/>
        <v>0</v>
      </c>
      <c r="AA56">
        <v>7305.88</v>
      </c>
      <c r="AB56">
        <v>0</v>
      </c>
      <c r="AC56">
        <v>0</v>
      </c>
      <c r="AD56">
        <v>0</v>
      </c>
      <c r="AE56">
        <v>1219.68</v>
      </c>
      <c r="AF56">
        <v>0</v>
      </c>
      <c r="AG56">
        <v>0</v>
      </c>
      <c r="AH56">
        <v>0</v>
      </c>
      <c r="AI56">
        <v>5.99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5.0000000000000002E-5</v>
      </c>
      <c r="AU56" t="s">
        <v>28</v>
      </c>
      <c r="AV56">
        <v>0</v>
      </c>
      <c r="AW56">
        <v>2</v>
      </c>
      <c r="AX56">
        <v>55984081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 t="shared" si="18"/>
        <v>7305.88</v>
      </c>
      <c r="CZ56">
        <f t="shared" si="19"/>
        <v>1219.68</v>
      </c>
      <c r="DA56">
        <f t="shared" si="20"/>
        <v>5.99</v>
      </c>
      <c r="DB56">
        <f t="shared" si="21"/>
        <v>0</v>
      </c>
      <c r="DC56">
        <f t="shared" si="22"/>
        <v>0</v>
      </c>
      <c r="DD56" t="s">
        <v>3</v>
      </c>
      <c r="DE56" t="s">
        <v>3</v>
      </c>
      <c r="DF56">
        <f t="shared" si="23"/>
        <v>0</v>
      </c>
      <c r="DG56">
        <f t="shared" si="8"/>
        <v>0</v>
      </c>
      <c r="DH56">
        <f t="shared" si="9"/>
        <v>0</v>
      </c>
      <c r="DI56">
        <f t="shared" si="1"/>
        <v>0</v>
      </c>
      <c r="DJ56">
        <f t="shared" si="24"/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ROW(Source!A37)</f>
        <v>37</v>
      </c>
      <c r="B57">
        <v>55934357</v>
      </c>
      <c r="C57">
        <v>55984063</v>
      </c>
      <c r="D57">
        <v>55460328</v>
      </c>
      <c r="E57">
        <v>1</v>
      </c>
      <c r="F57">
        <v>1</v>
      </c>
      <c r="G57">
        <v>1081</v>
      </c>
      <c r="H57">
        <v>3</v>
      </c>
      <c r="I57" t="s">
        <v>263</v>
      </c>
      <c r="J57" t="s">
        <v>264</v>
      </c>
      <c r="K57" t="s">
        <v>265</v>
      </c>
      <c r="L57">
        <v>1301</v>
      </c>
      <c r="N57">
        <v>1003</v>
      </c>
      <c r="O57" t="s">
        <v>266</v>
      </c>
      <c r="P57" t="s">
        <v>266</v>
      </c>
      <c r="Q57">
        <v>1</v>
      </c>
      <c r="W57">
        <v>0</v>
      </c>
      <c r="X57">
        <v>-206055494</v>
      </c>
      <c r="Y57">
        <f t="shared" si="17"/>
        <v>0</v>
      </c>
      <c r="AA57">
        <v>5.48</v>
      </c>
      <c r="AB57">
        <v>0</v>
      </c>
      <c r="AC57">
        <v>0</v>
      </c>
      <c r="AD57">
        <v>0</v>
      </c>
      <c r="AE57">
        <v>0.39</v>
      </c>
      <c r="AF57">
        <v>0</v>
      </c>
      <c r="AG57">
        <v>0</v>
      </c>
      <c r="AH57">
        <v>0</v>
      </c>
      <c r="AI57">
        <v>14.05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5</v>
      </c>
      <c r="AU57" t="s">
        <v>28</v>
      </c>
      <c r="AV57">
        <v>0</v>
      </c>
      <c r="AW57">
        <v>2</v>
      </c>
      <c r="AX57">
        <v>55984082</v>
      </c>
      <c r="AY57">
        <v>1</v>
      </c>
      <c r="AZ57">
        <v>0</v>
      </c>
      <c r="BA57">
        <v>73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ROUND(Y57*Source!I37,9)</f>
        <v>0</v>
      </c>
      <c r="CY57">
        <f t="shared" si="18"/>
        <v>5.48</v>
      </c>
      <c r="CZ57">
        <f t="shared" si="19"/>
        <v>0.39</v>
      </c>
      <c r="DA57">
        <f t="shared" si="20"/>
        <v>14.05</v>
      </c>
      <c r="DB57">
        <f t="shared" si="21"/>
        <v>0</v>
      </c>
      <c r="DC57">
        <f t="shared" si="22"/>
        <v>0</v>
      </c>
      <c r="DD57" t="s">
        <v>3</v>
      </c>
      <c r="DE57" t="s">
        <v>3</v>
      </c>
      <c r="DF57">
        <f t="shared" si="23"/>
        <v>0</v>
      </c>
      <c r="DG57">
        <f t="shared" si="8"/>
        <v>0</v>
      </c>
      <c r="DH57">
        <f t="shared" si="9"/>
        <v>0</v>
      </c>
      <c r="DI57">
        <f t="shared" si="1"/>
        <v>0</v>
      </c>
      <c r="DJ57">
        <f t="shared" si="24"/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ROW(Source!A37)</f>
        <v>37</v>
      </c>
      <c r="B58">
        <v>55934357</v>
      </c>
      <c r="C58">
        <v>55984063</v>
      </c>
      <c r="D58">
        <v>55459312</v>
      </c>
      <c r="E58">
        <v>1</v>
      </c>
      <c r="F58">
        <v>1</v>
      </c>
      <c r="G58">
        <v>1081</v>
      </c>
      <c r="H58">
        <v>3</v>
      </c>
      <c r="I58" t="s">
        <v>267</v>
      </c>
      <c r="J58" t="s">
        <v>268</v>
      </c>
      <c r="K58" t="s">
        <v>269</v>
      </c>
      <c r="L58">
        <v>1339</v>
      </c>
      <c r="N58">
        <v>1007</v>
      </c>
      <c r="O58" t="s">
        <v>270</v>
      </c>
      <c r="P58" t="s">
        <v>270</v>
      </c>
      <c r="Q58">
        <v>1</v>
      </c>
      <c r="W58">
        <v>0</v>
      </c>
      <c r="X58">
        <v>-366856290</v>
      </c>
      <c r="Y58">
        <f t="shared" si="17"/>
        <v>0</v>
      </c>
      <c r="AA58">
        <v>8598.75</v>
      </c>
      <c r="AB58">
        <v>0</v>
      </c>
      <c r="AC58">
        <v>0</v>
      </c>
      <c r="AD58">
        <v>0</v>
      </c>
      <c r="AE58">
        <v>1176.3</v>
      </c>
      <c r="AF58">
        <v>0</v>
      </c>
      <c r="AG58">
        <v>0</v>
      </c>
      <c r="AH58">
        <v>0</v>
      </c>
      <c r="AI58">
        <v>7.31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1E-3</v>
      </c>
      <c r="AU58" t="s">
        <v>28</v>
      </c>
      <c r="AV58">
        <v>0</v>
      </c>
      <c r="AW58">
        <v>2</v>
      </c>
      <c r="AX58">
        <v>55984083</v>
      </c>
      <c r="AY58">
        <v>1</v>
      </c>
      <c r="AZ58">
        <v>0</v>
      </c>
      <c r="BA58">
        <v>74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ROUND(Y58*Source!I37,9)</f>
        <v>0</v>
      </c>
      <c r="CY58">
        <f t="shared" si="18"/>
        <v>8598.75</v>
      </c>
      <c r="CZ58">
        <f t="shared" si="19"/>
        <v>1176.3</v>
      </c>
      <c r="DA58">
        <f t="shared" si="20"/>
        <v>7.31</v>
      </c>
      <c r="DB58">
        <f t="shared" si="21"/>
        <v>0</v>
      </c>
      <c r="DC58">
        <f t="shared" si="22"/>
        <v>0</v>
      </c>
      <c r="DD58" t="s">
        <v>3</v>
      </c>
      <c r="DE58" t="s">
        <v>3</v>
      </c>
      <c r="DF58">
        <f t="shared" si="23"/>
        <v>0</v>
      </c>
      <c r="DG58">
        <f t="shared" si="8"/>
        <v>0</v>
      </c>
      <c r="DH58">
        <f t="shared" si="9"/>
        <v>0</v>
      </c>
      <c r="DI58">
        <f t="shared" si="1"/>
        <v>0</v>
      </c>
      <c r="DJ58">
        <f t="shared" si="24"/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ROW(Source!A37)</f>
        <v>37</v>
      </c>
      <c r="B59">
        <v>55934357</v>
      </c>
      <c r="C59">
        <v>55984063</v>
      </c>
      <c r="D59">
        <v>55461230</v>
      </c>
      <c r="E59">
        <v>1</v>
      </c>
      <c r="F59">
        <v>1</v>
      </c>
      <c r="G59">
        <v>1081</v>
      </c>
      <c r="H59">
        <v>3</v>
      </c>
      <c r="I59" t="s">
        <v>271</v>
      </c>
      <c r="J59" t="s">
        <v>272</v>
      </c>
      <c r="K59" t="s">
        <v>273</v>
      </c>
      <c r="L59">
        <v>1346</v>
      </c>
      <c r="N59">
        <v>1009</v>
      </c>
      <c r="O59" t="s">
        <v>252</v>
      </c>
      <c r="P59" t="s">
        <v>252</v>
      </c>
      <c r="Q59">
        <v>1</v>
      </c>
      <c r="W59">
        <v>0</v>
      </c>
      <c r="X59">
        <v>1561715650</v>
      </c>
      <c r="Y59">
        <f t="shared" si="17"/>
        <v>0</v>
      </c>
      <c r="AA59">
        <v>200.81</v>
      </c>
      <c r="AB59">
        <v>0</v>
      </c>
      <c r="AC59">
        <v>0</v>
      </c>
      <c r="AD59">
        <v>0</v>
      </c>
      <c r="AE59">
        <v>15.11</v>
      </c>
      <c r="AF59">
        <v>0</v>
      </c>
      <c r="AG59">
        <v>0</v>
      </c>
      <c r="AH59">
        <v>0</v>
      </c>
      <c r="AI59">
        <v>13.29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0.01</v>
      </c>
      <c r="AU59" t="s">
        <v>28</v>
      </c>
      <c r="AV59">
        <v>0</v>
      </c>
      <c r="AW59">
        <v>2</v>
      </c>
      <c r="AX59">
        <v>55984084</v>
      </c>
      <c r="AY59">
        <v>1</v>
      </c>
      <c r="AZ59">
        <v>0</v>
      </c>
      <c r="BA59">
        <v>75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ROUND(Y59*Source!I37,9)</f>
        <v>0</v>
      </c>
      <c r="CY59">
        <f t="shared" si="18"/>
        <v>200.81</v>
      </c>
      <c r="CZ59">
        <f t="shared" si="19"/>
        <v>15.11</v>
      </c>
      <c r="DA59">
        <f t="shared" si="20"/>
        <v>13.29</v>
      </c>
      <c r="DB59">
        <f t="shared" si="21"/>
        <v>0</v>
      </c>
      <c r="DC59">
        <f t="shared" si="22"/>
        <v>0</v>
      </c>
      <c r="DD59" t="s">
        <v>3</v>
      </c>
      <c r="DE59" t="s">
        <v>3</v>
      </c>
      <c r="DF59">
        <f t="shared" si="23"/>
        <v>0</v>
      </c>
      <c r="DG59">
        <f t="shared" si="8"/>
        <v>0</v>
      </c>
      <c r="DH59">
        <f t="shared" si="9"/>
        <v>0</v>
      </c>
      <c r="DI59">
        <f t="shared" si="1"/>
        <v>0</v>
      </c>
      <c r="DJ59">
        <f t="shared" si="24"/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ROW(Source!A37)</f>
        <v>37</v>
      </c>
      <c r="B60">
        <v>55934357</v>
      </c>
      <c r="C60">
        <v>55984063</v>
      </c>
      <c r="D60">
        <v>55459400</v>
      </c>
      <c r="E60">
        <v>1</v>
      </c>
      <c r="F60">
        <v>1</v>
      </c>
      <c r="G60">
        <v>1081</v>
      </c>
      <c r="H60">
        <v>3</v>
      </c>
      <c r="I60" t="s">
        <v>274</v>
      </c>
      <c r="J60" t="s">
        <v>275</v>
      </c>
      <c r="K60" t="s">
        <v>276</v>
      </c>
      <c r="L60">
        <v>1346</v>
      </c>
      <c r="N60">
        <v>1009</v>
      </c>
      <c r="O60" t="s">
        <v>252</v>
      </c>
      <c r="P60" t="s">
        <v>252</v>
      </c>
      <c r="Q60">
        <v>1</v>
      </c>
      <c r="W60">
        <v>0</v>
      </c>
      <c r="X60">
        <v>-2129869794</v>
      </c>
      <c r="Y60">
        <f t="shared" si="17"/>
        <v>0</v>
      </c>
      <c r="AA60">
        <v>387.54</v>
      </c>
      <c r="AB60">
        <v>0</v>
      </c>
      <c r="AC60">
        <v>0</v>
      </c>
      <c r="AD60">
        <v>0</v>
      </c>
      <c r="AE60">
        <v>16.690000000000001</v>
      </c>
      <c r="AF60">
        <v>0</v>
      </c>
      <c r="AG60">
        <v>0</v>
      </c>
      <c r="AH60">
        <v>0</v>
      </c>
      <c r="AI60">
        <v>23.22</v>
      </c>
      <c r="AJ60">
        <v>1</v>
      </c>
      <c r="AK60">
        <v>1</v>
      </c>
      <c r="AL60">
        <v>1</v>
      </c>
      <c r="AM60">
        <v>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0.01</v>
      </c>
      <c r="AU60" t="s">
        <v>28</v>
      </c>
      <c r="AV60">
        <v>0</v>
      </c>
      <c r="AW60">
        <v>2</v>
      </c>
      <c r="AX60">
        <v>55984085</v>
      </c>
      <c r="AY60">
        <v>1</v>
      </c>
      <c r="AZ60">
        <v>0</v>
      </c>
      <c r="BA60">
        <v>76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ROUND(Y60*Source!I37,9)</f>
        <v>0</v>
      </c>
      <c r="CY60">
        <f t="shared" si="18"/>
        <v>387.54</v>
      </c>
      <c r="CZ60">
        <f t="shared" si="19"/>
        <v>16.690000000000001</v>
      </c>
      <c r="DA60">
        <f t="shared" si="20"/>
        <v>23.22</v>
      </c>
      <c r="DB60">
        <f t="shared" si="21"/>
        <v>0</v>
      </c>
      <c r="DC60">
        <f t="shared" si="22"/>
        <v>0</v>
      </c>
      <c r="DD60" t="s">
        <v>3</v>
      </c>
      <c r="DE60" t="s">
        <v>3</v>
      </c>
      <c r="DF60">
        <f t="shared" si="23"/>
        <v>0</v>
      </c>
      <c r="DG60">
        <f t="shared" si="8"/>
        <v>0</v>
      </c>
      <c r="DH60">
        <f t="shared" si="9"/>
        <v>0</v>
      </c>
      <c r="DI60">
        <f t="shared" si="1"/>
        <v>0</v>
      </c>
      <c r="DJ60">
        <f t="shared" si="24"/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ROW(Source!A37)</f>
        <v>37</v>
      </c>
      <c r="B61">
        <v>55934357</v>
      </c>
      <c r="C61">
        <v>55984063</v>
      </c>
      <c r="D61">
        <v>55461719</v>
      </c>
      <c r="E61">
        <v>1</v>
      </c>
      <c r="F61">
        <v>1</v>
      </c>
      <c r="G61">
        <v>1081</v>
      </c>
      <c r="H61">
        <v>3</v>
      </c>
      <c r="I61" t="s">
        <v>229</v>
      </c>
      <c r="J61" t="s">
        <v>230</v>
      </c>
      <c r="K61" t="s">
        <v>231</v>
      </c>
      <c r="L61">
        <v>1348</v>
      </c>
      <c r="N61">
        <v>1009</v>
      </c>
      <c r="O61" t="s">
        <v>232</v>
      </c>
      <c r="P61" t="s">
        <v>232</v>
      </c>
      <c r="Q61">
        <v>1000</v>
      </c>
      <c r="W61">
        <v>0</v>
      </c>
      <c r="X61">
        <v>-1265888387</v>
      </c>
      <c r="Y61">
        <f t="shared" si="17"/>
        <v>0</v>
      </c>
      <c r="AA61">
        <v>147514.47</v>
      </c>
      <c r="AB61">
        <v>0</v>
      </c>
      <c r="AC61">
        <v>0</v>
      </c>
      <c r="AD61">
        <v>0</v>
      </c>
      <c r="AE61">
        <v>10643.18</v>
      </c>
      <c r="AF61">
        <v>0</v>
      </c>
      <c r="AG61">
        <v>0</v>
      </c>
      <c r="AH61">
        <v>0</v>
      </c>
      <c r="AI61">
        <v>13.86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1E-4</v>
      </c>
      <c r="AU61" t="s">
        <v>28</v>
      </c>
      <c r="AV61">
        <v>0</v>
      </c>
      <c r="AW61">
        <v>2</v>
      </c>
      <c r="AX61">
        <v>55984086</v>
      </c>
      <c r="AY61">
        <v>1</v>
      </c>
      <c r="AZ61">
        <v>0</v>
      </c>
      <c r="BA61">
        <v>77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ROUND(Y61*Source!I37,9)</f>
        <v>0</v>
      </c>
      <c r="CY61">
        <f t="shared" si="18"/>
        <v>147514.47</v>
      </c>
      <c r="CZ61">
        <f t="shared" si="19"/>
        <v>10643.18</v>
      </c>
      <c r="DA61">
        <f t="shared" si="20"/>
        <v>13.86</v>
      </c>
      <c r="DB61">
        <f t="shared" si="21"/>
        <v>0</v>
      </c>
      <c r="DC61">
        <f t="shared" si="22"/>
        <v>0</v>
      </c>
      <c r="DD61" t="s">
        <v>3</v>
      </c>
      <c r="DE61" t="s">
        <v>3</v>
      </c>
      <c r="DF61">
        <f t="shared" si="23"/>
        <v>0</v>
      </c>
      <c r="DG61">
        <f t="shared" si="8"/>
        <v>0</v>
      </c>
      <c r="DH61">
        <f t="shared" si="9"/>
        <v>0</v>
      </c>
      <c r="DI61">
        <f t="shared" si="1"/>
        <v>0</v>
      </c>
      <c r="DJ61">
        <f t="shared" si="24"/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ROW(Source!A37)</f>
        <v>37</v>
      </c>
      <c r="B62">
        <v>55934357</v>
      </c>
      <c r="C62">
        <v>55984063</v>
      </c>
      <c r="D62">
        <v>55466000</v>
      </c>
      <c r="E62">
        <v>1</v>
      </c>
      <c r="F62">
        <v>1</v>
      </c>
      <c r="G62">
        <v>1081</v>
      </c>
      <c r="H62">
        <v>3</v>
      </c>
      <c r="I62" t="s">
        <v>277</v>
      </c>
      <c r="J62" t="s">
        <v>278</v>
      </c>
      <c r="K62" t="s">
        <v>279</v>
      </c>
      <c r="L62">
        <v>1355</v>
      </c>
      <c r="N62">
        <v>1010</v>
      </c>
      <c r="O62" t="s">
        <v>280</v>
      </c>
      <c r="P62" t="s">
        <v>280</v>
      </c>
      <c r="Q62">
        <v>100</v>
      </c>
      <c r="W62">
        <v>0</v>
      </c>
      <c r="X62">
        <v>436393287</v>
      </c>
      <c r="Y62">
        <f t="shared" si="17"/>
        <v>0</v>
      </c>
      <c r="AA62">
        <v>1555.26</v>
      </c>
      <c r="AB62">
        <v>0</v>
      </c>
      <c r="AC62">
        <v>0</v>
      </c>
      <c r="AD62">
        <v>0</v>
      </c>
      <c r="AE62">
        <v>120.19</v>
      </c>
      <c r="AF62">
        <v>0</v>
      </c>
      <c r="AG62">
        <v>0</v>
      </c>
      <c r="AH62">
        <v>0</v>
      </c>
      <c r="AI62">
        <v>12.94</v>
      </c>
      <c r="AJ62">
        <v>1</v>
      </c>
      <c r="AK62">
        <v>1</v>
      </c>
      <c r="AL62">
        <v>1</v>
      </c>
      <c r="AM62">
        <v>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0.01</v>
      </c>
      <c r="AU62" t="s">
        <v>28</v>
      </c>
      <c r="AV62">
        <v>0</v>
      </c>
      <c r="AW62">
        <v>2</v>
      </c>
      <c r="AX62">
        <v>55984087</v>
      </c>
      <c r="AY62">
        <v>1</v>
      </c>
      <c r="AZ62">
        <v>0</v>
      </c>
      <c r="BA62">
        <v>78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ROUND(Y62*Source!I37,9)</f>
        <v>0</v>
      </c>
      <c r="CY62">
        <f t="shared" si="18"/>
        <v>1555.26</v>
      </c>
      <c r="CZ62">
        <f t="shared" si="19"/>
        <v>120.19</v>
      </c>
      <c r="DA62">
        <f t="shared" si="20"/>
        <v>12.94</v>
      </c>
      <c r="DB62">
        <f t="shared" si="21"/>
        <v>0</v>
      </c>
      <c r="DC62">
        <f t="shared" si="22"/>
        <v>0</v>
      </c>
      <c r="DD62" t="s">
        <v>3</v>
      </c>
      <c r="DE62" t="s">
        <v>3</v>
      </c>
      <c r="DF62">
        <f t="shared" si="23"/>
        <v>0</v>
      </c>
      <c r="DG62">
        <f t="shared" si="8"/>
        <v>0</v>
      </c>
      <c r="DH62">
        <f t="shared" si="9"/>
        <v>0</v>
      </c>
      <c r="DI62">
        <f t="shared" si="1"/>
        <v>0</v>
      </c>
      <c r="DJ62">
        <f t="shared" si="24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ROW(Source!A37)</f>
        <v>37</v>
      </c>
      <c r="B63">
        <v>55934357</v>
      </c>
      <c r="C63">
        <v>55984063</v>
      </c>
      <c r="D63">
        <v>55459793</v>
      </c>
      <c r="E63">
        <v>1</v>
      </c>
      <c r="F63">
        <v>1</v>
      </c>
      <c r="G63">
        <v>1081</v>
      </c>
      <c r="H63">
        <v>3</v>
      </c>
      <c r="I63" t="s">
        <v>233</v>
      </c>
      <c r="J63" t="s">
        <v>234</v>
      </c>
      <c r="K63" t="s">
        <v>235</v>
      </c>
      <c r="L63">
        <v>1348</v>
      </c>
      <c r="N63">
        <v>1009</v>
      </c>
      <c r="O63" t="s">
        <v>232</v>
      </c>
      <c r="P63" t="s">
        <v>232</v>
      </c>
      <c r="Q63">
        <v>1000</v>
      </c>
      <c r="W63">
        <v>0</v>
      </c>
      <c r="X63">
        <v>-761454284</v>
      </c>
      <c r="Y63">
        <f t="shared" si="17"/>
        <v>0</v>
      </c>
      <c r="AA63">
        <v>1930745.04</v>
      </c>
      <c r="AB63">
        <v>0</v>
      </c>
      <c r="AC63">
        <v>0</v>
      </c>
      <c r="AD63">
        <v>0</v>
      </c>
      <c r="AE63">
        <v>64123.05</v>
      </c>
      <c r="AF63">
        <v>0</v>
      </c>
      <c r="AG63">
        <v>0</v>
      </c>
      <c r="AH63">
        <v>0</v>
      </c>
      <c r="AI63">
        <v>30.11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2.0000000000000002E-5</v>
      </c>
      <c r="AU63" t="s">
        <v>28</v>
      </c>
      <c r="AV63">
        <v>0</v>
      </c>
      <c r="AW63">
        <v>2</v>
      </c>
      <c r="AX63">
        <v>55984088</v>
      </c>
      <c r="AY63">
        <v>1</v>
      </c>
      <c r="AZ63">
        <v>0</v>
      </c>
      <c r="BA63">
        <v>79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ROUND(Y63*Source!I37,9)</f>
        <v>0</v>
      </c>
      <c r="CY63">
        <f t="shared" si="18"/>
        <v>1930745.04</v>
      </c>
      <c r="CZ63">
        <f t="shared" si="19"/>
        <v>64123.05</v>
      </c>
      <c r="DA63">
        <f t="shared" si="20"/>
        <v>30.11</v>
      </c>
      <c r="DB63">
        <f t="shared" si="21"/>
        <v>0</v>
      </c>
      <c r="DC63">
        <f t="shared" si="22"/>
        <v>0</v>
      </c>
      <c r="DD63" t="s">
        <v>3</v>
      </c>
      <c r="DE63" t="s">
        <v>3</v>
      </c>
      <c r="DF63">
        <f t="shared" si="23"/>
        <v>0</v>
      </c>
      <c r="DG63">
        <f t="shared" si="8"/>
        <v>0</v>
      </c>
      <c r="DH63">
        <f t="shared" si="9"/>
        <v>0</v>
      </c>
      <c r="DI63">
        <f t="shared" si="1"/>
        <v>0</v>
      </c>
      <c r="DJ63">
        <f t="shared" si="24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ROW(Source!A37)</f>
        <v>37</v>
      </c>
      <c r="B64">
        <v>55934357</v>
      </c>
      <c r="C64">
        <v>55984063</v>
      </c>
      <c r="D64">
        <v>55459810</v>
      </c>
      <c r="E64">
        <v>1</v>
      </c>
      <c r="F64">
        <v>1</v>
      </c>
      <c r="G64">
        <v>1081</v>
      </c>
      <c r="H64">
        <v>3</v>
      </c>
      <c r="I64" t="s">
        <v>281</v>
      </c>
      <c r="J64" t="s">
        <v>282</v>
      </c>
      <c r="K64" t="s">
        <v>283</v>
      </c>
      <c r="L64">
        <v>1348</v>
      </c>
      <c r="N64">
        <v>1009</v>
      </c>
      <c r="O64" t="s">
        <v>232</v>
      </c>
      <c r="P64" t="s">
        <v>232</v>
      </c>
      <c r="Q64">
        <v>1000</v>
      </c>
      <c r="W64">
        <v>0</v>
      </c>
      <c r="X64">
        <v>-98394079</v>
      </c>
      <c r="Y64">
        <f t="shared" si="17"/>
        <v>0</v>
      </c>
      <c r="AA64">
        <v>69285.98</v>
      </c>
      <c r="AB64">
        <v>0</v>
      </c>
      <c r="AC64">
        <v>0</v>
      </c>
      <c r="AD64">
        <v>0</v>
      </c>
      <c r="AE64">
        <v>9238.1299999999992</v>
      </c>
      <c r="AF64">
        <v>0</v>
      </c>
      <c r="AG64">
        <v>0</v>
      </c>
      <c r="AH64">
        <v>0</v>
      </c>
      <c r="AI64">
        <v>7.5</v>
      </c>
      <c r="AJ64">
        <v>1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1E-4</v>
      </c>
      <c r="AU64" t="s">
        <v>28</v>
      </c>
      <c r="AV64">
        <v>0</v>
      </c>
      <c r="AW64">
        <v>2</v>
      </c>
      <c r="AX64">
        <v>55984089</v>
      </c>
      <c r="AY64">
        <v>1</v>
      </c>
      <c r="AZ64">
        <v>0</v>
      </c>
      <c r="BA64">
        <v>80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ROUND(Y64*Source!I37,9)</f>
        <v>0</v>
      </c>
      <c r="CY64">
        <f t="shared" si="18"/>
        <v>69285.98</v>
      </c>
      <c r="CZ64">
        <f t="shared" si="19"/>
        <v>9238.1299999999992</v>
      </c>
      <c r="DA64">
        <f t="shared" si="20"/>
        <v>7.5</v>
      </c>
      <c r="DB64">
        <f t="shared" si="21"/>
        <v>0</v>
      </c>
      <c r="DC64">
        <f t="shared" si="22"/>
        <v>0</v>
      </c>
      <c r="DD64" t="s">
        <v>3</v>
      </c>
      <c r="DE64" t="s">
        <v>3</v>
      </c>
      <c r="DF64">
        <f t="shared" si="23"/>
        <v>0</v>
      </c>
      <c r="DG64">
        <f t="shared" si="8"/>
        <v>0</v>
      </c>
      <c r="DH64">
        <f t="shared" si="9"/>
        <v>0</v>
      </c>
      <c r="DI64">
        <f t="shared" si="1"/>
        <v>0</v>
      </c>
      <c r="DJ64">
        <f t="shared" si="24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ROW(Source!A37)</f>
        <v>37</v>
      </c>
      <c r="B65">
        <v>55934357</v>
      </c>
      <c r="C65">
        <v>55984063</v>
      </c>
      <c r="D65">
        <v>55482166</v>
      </c>
      <c r="E65">
        <v>1</v>
      </c>
      <c r="F65">
        <v>1</v>
      </c>
      <c r="G65">
        <v>1081</v>
      </c>
      <c r="H65">
        <v>3</v>
      </c>
      <c r="I65" t="s">
        <v>284</v>
      </c>
      <c r="J65" t="s">
        <v>285</v>
      </c>
      <c r="K65" t="s">
        <v>286</v>
      </c>
      <c r="L65">
        <v>1301</v>
      </c>
      <c r="N65">
        <v>1003</v>
      </c>
      <c r="O65" t="s">
        <v>266</v>
      </c>
      <c r="P65" t="s">
        <v>266</v>
      </c>
      <c r="Q65">
        <v>1</v>
      </c>
      <c r="W65">
        <v>0</v>
      </c>
      <c r="X65">
        <v>876831867</v>
      </c>
      <c r="Y65">
        <f t="shared" si="17"/>
        <v>0</v>
      </c>
      <c r="AA65">
        <v>4.76</v>
      </c>
      <c r="AB65">
        <v>0</v>
      </c>
      <c r="AC65">
        <v>0</v>
      </c>
      <c r="AD65">
        <v>0</v>
      </c>
      <c r="AE65">
        <v>0.69</v>
      </c>
      <c r="AF65">
        <v>0</v>
      </c>
      <c r="AG65">
        <v>0</v>
      </c>
      <c r="AH65">
        <v>0</v>
      </c>
      <c r="AI65">
        <v>6.9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</v>
      </c>
      <c r="AU65" t="s">
        <v>28</v>
      </c>
      <c r="AV65">
        <v>0</v>
      </c>
      <c r="AW65">
        <v>2</v>
      </c>
      <c r="AX65">
        <v>55984090</v>
      </c>
      <c r="AY65">
        <v>1</v>
      </c>
      <c r="AZ65">
        <v>0</v>
      </c>
      <c r="BA65">
        <v>81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ROUND(Y65*Source!I37,9)</f>
        <v>0</v>
      </c>
      <c r="CY65">
        <f t="shared" si="18"/>
        <v>4.76</v>
      </c>
      <c r="CZ65">
        <f t="shared" si="19"/>
        <v>0.69</v>
      </c>
      <c r="DA65">
        <f t="shared" si="20"/>
        <v>6.9</v>
      </c>
      <c r="DB65">
        <f t="shared" si="21"/>
        <v>0</v>
      </c>
      <c r="DC65">
        <f t="shared" si="22"/>
        <v>0</v>
      </c>
      <c r="DD65" t="s">
        <v>3</v>
      </c>
      <c r="DE65" t="s">
        <v>3</v>
      </c>
      <c r="DF65">
        <f t="shared" si="23"/>
        <v>0</v>
      </c>
      <c r="DG65">
        <f t="shared" si="8"/>
        <v>0</v>
      </c>
      <c r="DH65">
        <f t="shared" si="9"/>
        <v>0</v>
      </c>
      <c r="DI65">
        <f t="shared" ref="DI65:DI128" si="25">ROUND(ROUND(AH65,2)*CX65,2)</f>
        <v>0</v>
      </c>
      <c r="DJ65">
        <f t="shared" si="24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ROW(Source!A37)</f>
        <v>37</v>
      </c>
      <c r="B66">
        <v>55934357</v>
      </c>
      <c r="C66">
        <v>55984063</v>
      </c>
      <c r="D66">
        <v>55482445</v>
      </c>
      <c r="E66">
        <v>1</v>
      </c>
      <c r="F66">
        <v>1</v>
      </c>
      <c r="G66">
        <v>1081</v>
      </c>
      <c r="H66">
        <v>3</v>
      </c>
      <c r="I66" t="s">
        <v>287</v>
      </c>
      <c r="J66" t="s">
        <v>288</v>
      </c>
      <c r="K66" t="s">
        <v>289</v>
      </c>
      <c r="L66">
        <v>1356</v>
      </c>
      <c r="N66">
        <v>1010</v>
      </c>
      <c r="O66" t="s">
        <v>246</v>
      </c>
      <c r="P66" t="s">
        <v>246</v>
      </c>
      <c r="Q66">
        <v>1000</v>
      </c>
      <c r="W66">
        <v>0</v>
      </c>
      <c r="X66">
        <v>-285397556</v>
      </c>
      <c r="Y66">
        <f t="shared" si="17"/>
        <v>0</v>
      </c>
      <c r="AA66">
        <v>1040.96</v>
      </c>
      <c r="AB66">
        <v>0</v>
      </c>
      <c r="AC66">
        <v>0</v>
      </c>
      <c r="AD66">
        <v>0</v>
      </c>
      <c r="AE66">
        <v>294.89</v>
      </c>
      <c r="AF66">
        <v>0</v>
      </c>
      <c r="AG66">
        <v>0</v>
      </c>
      <c r="AH66">
        <v>0</v>
      </c>
      <c r="AI66">
        <v>3.53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0.01</v>
      </c>
      <c r="AU66" t="s">
        <v>28</v>
      </c>
      <c r="AV66">
        <v>0</v>
      </c>
      <c r="AW66">
        <v>2</v>
      </c>
      <c r="AX66">
        <v>55984091</v>
      </c>
      <c r="AY66">
        <v>1</v>
      </c>
      <c r="AZ66">
        <v>0</v>
      </c>
      <c r="BA66">
        <v>82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ROUND(Y66*Source!I37,9)</f>
        <v>0</v>
      </c>
      <c r="CY66">
        <f t="shared" si="18"/>
        <v>1040.96</v>
      </c>
      <c r="CZ66">
        <f t="shared" si="19"/>
        <v>294.89</v>
      </c>
      <c r="DA66">
        <f t="shared" si="20"/>
        <v>3.53</v>
      </c>
      <c r="DB66">
        <f t="shared" si="21"/>
        <v>0</v>
      </c>
      <c r="DC66">
        <f t="shared" si="22"/>
        <v>0</v>
      </c>
      <c r="DD66" t="s">
        <v>3</v>
      </c>
      <c r="DE66" t="s">
        <v>3</v>
      </c>
      <c r="DF66">
        <f t="shared" si="23"/>
        <v>0</v>
      </c>
      <c r="DG66">
        <f t="shared" si="8"/>
        <v>0</v>
      </c>
      <c r="DH66">
        <f t="shared" si="9"/>
        <v>0</v>
      </c>
      <c r="DI66">
        <f t="shared" si="25"/>
        <v>0</v>
      </c>
      <c r="DJ66">
        <f t="shared" si="24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ROW(Source!A37)</f>
        <v>37</v>
      </c>
      <c r="B67">
        <v>55934357</v>
      </c>
      <c r="C67">
        <v>55984063</v>
      </c>
      <c r="D67">
        <v>55481518</v>
      </c>
      <c r="E67">
        <v>1</v>
      </c>
      <c r="F67">
        <v>1</v>
      </c>
      <c r="G67">
        <v>1081</v>
      </c>
      <c r="H67">
        <v>3</v>
      </c>
      <c r="I67" t="s">
        <v>290</v>
      </c>
      <c r="J67" t="s">
        <v>291</v>
      </c>
      <c r="K67" t="s">
        <v>292</v>
      </c>
      <c r="L67">
        <v>1354</v>
      </c>
      <c r="N67">
        <v>1010</v>
      </c>
      <c r="O67" t="s">
        <v>293</v>
      </c>
      <c r="P67" t="s">
        <v>293</v>
      </c>
      <c r="Q67">
        <v>1</v>
      </c>
      <c r="W67">
        <v>0</v>
      </c>
      <c r="X67">
        <v>55982921</v>
      </c>
      <c r="Y67">
        <f t="shared" si="17"/>
        <v>0</v>
      </c>
      <c r="AA67">
        <v>10.66</v>
      </c>
      <c r="AB67">
        <v>0</v>
      </c>
      <c r="AC67">
        <v>0</v>
      </c>
      <c r="AD67">
        <v>0</v>
      </c>
      <c r="AE67">
        <v>15.67</v>
      </c>
      <c r="AF67">
        <v>0</v>
      </c>
      <c r="AG67">
        <v>0</v>
      </c>
      <c r="AH67">
        <v>0</v>
      </c>
      <c r="AI67">
        <v>0.68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</v>
      </c>
      <c r="AU67" t="s">
        <v>28</v>
      </c>
      <c r="AV67">
        <v>0</v>
      </c>
      <c r="AW67">
        <v>2</v>
      </c>
      <c r="AX67">
        <v>55984092</v>
      </c>
      <c r="AY67">
        <v>1</v>
      </c>
      <c r="AZ67">
        <v>0</v>
      </c>
      <c r="BA67">
        <v>83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ROUND(Y67*Source!I37,9)</f>
        <v>0</v>
      </c>
      <c r="CY67">
        <f t="shared" si="18"/>
        <v>10.66</v>
      </c>
      <c r="CZ67">
        <f t="shared" si="19"/>
        <v>15.67</v>
      </c>
      <c r="DA67">
        <f t="shared" si="20"/>
        <v>0.68</v>
      </c>
      <c r="DB67">
        <f t="shared" si="21"/>
        <v>0</v>
      </c>
      <c r="DC67">
        <f t="shared" si="22"/>
        <v>0</v>
      </c>
      <c r="DD67" t="s">
        <v>3</v>
      </c>
      <c r="DE67" t="s">
        <v>3</v>
      </c>
      <c r="DF67">
        <f t="shared" si="23"/>
        <v>0</v>
      </c>
      <c r="DG67">
        <f t="shared" si="8"/>
        <v>0</v>
      </c>
      <c r="DH67">
        <f t="shared" si="9"/>
        <v>0</v>
      </c>
      <c r="DI67">
        <f t="shared" si="25"/>
        <v>0</v>
      </c>
      <c r="DJ67">
        <f t="shared" si="24"/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ROW(Source!A37)</f>
        <v>37</v>
      </c>
      <c r="B68">
        <v>55934357</v>
      </c>
      <c r="C68">
        <v>55984063</v>
      </c>
      <c r="D68">
        <v>55424290</v>
      </c>
      <c r="E68">
        <v>1081</v>
      </c>
      <c r="F68">
        <v>1</v>
      </c>
      <c r="G68">
        <v>1081</v>
      </c>
      <c r="H68">
        <v>3</v>
      </c>
      <c r="I68" t="s">
        <v>247</v>
      </c>
      <c r="J68" t="s">
        <v>3</v>
      </c>
      <c r="K68" t="s">
        <v>248</v>
      </c>
      <c r="L68">
        <v>1348</v>
      </c>
      <c r="N68">
        <v>1009</v>
      </c>
      <c r="O68" t="s">
        <v>232</v>
      </c>
      <c r="P68" t="s">
        <v>232</v>
      </c>
      <c r="Q68">
        <v>1000</v>
      </c>
      <c r="W68">
        <v>0</v>
      </c>
      <c r="X68">
        <v>-783086922</v>
      </c>
      <c r="Y68">
        <f t="shared" si="17"/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9.84</v>
      </c>
      <c r="AJ68">
        <v>1</v>
      </c>
      <c r="AK68">
        <v>1</v>
      </c>
      <c r="AL68">
        <v>1</v>
      </c>
      <c r="AM68">
        <v>5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1E-3</v>
      </c>
      <c r="AU68" t="s">
        <v>28</v>
      </c>
      <c r="AV68">
        <v>0</v>
      </c>
      <c r="AW68">
        <v>2</v>
      </c>
      <c r="AX68">
        <v>55984095</v>
      </c>
      <c r="AY68">
        <v>1</v>
      </c>
      <c r="AZ68">
        <v>0</v>
      </c>
      <c r="BA68">
        <v>86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ROUND(Y68*Source!I37,9)</f>
        <v>0</v>
      </c>
      <c r="CY68">
        <f t="shared" si="18"/>
        <v>0</v>
      </c>
      <c r="CZ68">
        <f t="shared" si="19"/>
        <v>0</v>
      </c>
      <c r="DA68">
        <f t="shared" si="20"/>
        <v>9.84</v>
      </c>
      <c r="DB68">
        <f t="shared" si="21"/>
        <v>0</v>
      </c>
      <c r="DC68">
        <f t="shared" si="22"/>
        <v>0</v>
      </c>
      <c r="DD68" t="s">
        <v>3</v>
      </c>
      <c r="DE68" t="s">
        <v>3</v>
      </c>
      <c r="DF68">
        <f t="shared" si="23"/>
        <v>0</v>
      </c>
      <c r="DG68">
        <f t="shared" si="8"/>
        <v>0</v>
      </c>
      <c r="DH68">
        <f t="shared" si="9"/>
        <v>0</v>
      </c>
      <c r="DI68">
        <f t="shared" si="25"/>
        <v>0</v>
      </c>
      <c r="DJ68">
        <f t="shared" si="24"/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ROW(Source!A38)</f>
        <v>38</v>
      </c>
      <c r="B69">
        <v>55934355</v>
      </c>
      <c r="C69">
        <v>55984096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221</v>
      </c>
      <c r="J69" t="s">
        <v>3</v>
      </c>
      <c r="K69" t="s">
        <v>222</v>
      </c>
      <c r="L69">
        <v>1191</v>
      </c>
      <c r="N69">
        <v>1013</v>
      </c>
      <c r="O69" t="s">
        <v>223</v>
      </c>
      <c r="P69" t="s">
        <v>223</v>
      </c>
      <c r="Q69">
        <v>1</v>
      </c>
      <c r="W69">
        <v>0</v>
      </c>
      <c r="X69">
        <v>476480486</v>
      </c>
      <c r="Y69">
        <f>((AT69*1.2)*0.3)</f>
        <v>1.0799999999999998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3</v>
      </c>
      <c r="AU69" t="s">
        <v>29</v>
      </c>
      <c r="AV69">
        <v>1</v>
      </c>
      <c r="AW69">
        <v>2</v>
      </c>
      <c r="AX69">
        <v>55984112</v>
      </c>
      <c r="AY69">
        <v>1</v>
      </c>
      <c r="AZ69">
        <v>0</v>
      </c>
      <c r="BA69">
        <v>87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ROUND(AT69*Source!I38*AH69*AL69,2)</f>
        <v>0</v>
      </c>
      <c r="CV69">
        <f>ROUND(Y69*Source!I38,9)</f>
        <v>15.12</v>
      </c>
      <c r="CW69">
        <v>0</v>
      </c>
      <c r="CX69">
        <f>ROUND(Y69*Source!I38,9)</f>
        <v>15.12</v>
      </c>
      <c r="CY69">
        <f>AD69</f>
        <v>0</v>
      </c>
      <c r="CZ69">
        <f>AH69</f>
        <v>0</v>
      </c>
      <c r="DA69">
        <f>AL69</f>
        <v>1</v>
      </c>
      <c r="DB69">
        <f>ROUND(((ROUND(AT69*CZ69,2)*1.2)*0.3),6)</f>
        <v>0</v>
      </c>
      <c r="DC69">
        <f>ROUND(((ROUND(AT69*AG69,2)*1.2)*0.3),6)</f>
        <v>0</v>
      </c>
      <c r="DD69" t="s">
        <v>3</v>
      </c>
      <c r="DE69" t="s">
        <v>3</v>
      </c>
      <c r="DF69">
        <f t="shared" ref="DF69:DF84" si="26">ROUND(ROUND(AE69,2)*CX69,2)</f>
        <v>0</v>
      </c>
      <c r="DG69">
        <f t="shared" si="8"/>
        <v>0</v>
      </c>
      <c r="DH69">
        <f t="shared" si="9"/>
        <v>0</v>
      </c>
      <c r="DI69">
        <f t="shared" si="25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ROW(Source!A38)</f>
        <v>38</v>
      </c>
      <c r="B70">
        <v>55934355</v>
      </c>
      <c r="C70">
        <v>55984096</v>
      </c>
      <c r="D70">
        <v>55459894</v>
      </c>
      <c r="E70">
        <v>1</v>
      </c>
      <c r="F70">
        <v>1</v>
      </c>
      <c r="G70">
        <v>1081</v>
      </c>
      <c r="H70">
        <v>3</v>
      </c>
      <c r="I70" t="s">
        <v>257</v>
      </c>
      <c r="J70" t="s">
        <v>258</v>
      </c>
      <c r="K70" t="s">
        <v>259</v>
      </c>
      <c r="L70">
        <v>1348</v>
      </c>
      <c r="N70">
        <v>1009</v>
      </c>
      <c r="O70" t="s">
        <v>232</v>
      </c>
      <c r="P70" t="s">
        <v>232</v>
      </c>
      <c r="Q70">
        <v>1000</v>
      </c>
      <c r="W70">
        <v>0</v>
      </c>
      <c r="X70">
        <v>1175474266</v>
      </c>
      <c r="Y70">
        <f t="shared" ref="Y70:Y83" si="27">((AT70*1)*0)</f>
        <v>0</v>
      </c>
      <c r="AA70">
        <v>15319.65</v>
      </c>
      <c r="AB70">
        <v>0</v>
      </c>
      <c r="AC70">
        <v>0</v>
      </c>
      <c r="AD70">
        <v>0</v>
      </c>
      <c r="AE70">
        <v>15319.65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1E-3</v>
      </c>
      <c r="AU70" t="s">
        <v>28</v>
      </c>
      <c r="AV70">
        <v>0</v>
      </c>
      <c r="AW70">
        <v>2</v>
      </c>
      <c r="AX70">
        <v>55984113</v>
      </c>
      <c r="AY70">
        <v>1</v>
      </c>
      <c r="AZ70">
        <v>0</v>
      </c>
      <c r="BA70">
        <v>88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ROUND(Y70*Source!I38,9)</f>
        <v>0</v>
      </c>
      <c r="CY70">
        <f t="shared" ref="CY70:CY83" si="28">AA70</f>
        <v>15319.65</v>
      </c>
      <c r="CZ70">
        <f t="shared" ref="CZ70:CZ83" si="29">AE70</f>
        <v>15319.65</v>
      </c>
      <c r="DA70">
        <f t="shared" ref="DA70:DA83" si="30">AI70</f>
        <v>1</v>
      </c>
      <c r="DB70">
        <f t="shared" ref="DB70:DB83" si="31">ROUND(((ROUND(AT70*CZ70,2)*1)*0),6)</f>
        <v>0</v>
      </c>
      <c r="DC70">
        <f t="shared" ref="DC70:DC83" si="32">ROUND(((ROUND(AT70*AG70,2)*1)*0),6)</f>
        <v>0</v>
      </c>
      <c r="DD70" t="s">
        <v>3</v>
      </c>
      <c r="DE70" t="s">
        <v>3</v>
      </c>
      <c r="DF70">
        <f t="shared" si="26"/>
        <v>0</v>
      </c>
      <c r="DG70">
        <f t="shared" si="8"/>
        <v>0</v>
      </c>
      <c r="DH70">
        <f t="shared" si="9"/>
        <v>0</v>
      </c>
      <c r="DI70">
        <f t="shared" si="25"/>
        <v>0</v>
      </c>
      <c r="DJ70">
        <f t="shared" ref="DJ70:DJ83" si="33"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ROW(Source!A38)</f>
        <v>38</v>
      </c>
      <c r="B71">
        <v>55934355</v>
      </c>
      <c r="C71">
        <v>55984096</v>
      </c>
      <c r="D71">
        <v>55459261</v>
      </c>
      <c r="E71">
        <v>1</v>
      </c>
      <c r="F71">
        <v>1</v>
      </c>
      <c r="G71">
        <v>1081</v>
      </c>
      <c r="H71">
        <v>3</v>
      </c>
      <c r="I71" t="s">
        <v>260</v>
      </c>
      <c r="J71" t="s">
        <v>261</v>
      </c>
      <c r="K71" t="s">
        <v>262</v>
      </c>
      <c r="L71">
        <v>1348</v>
      </c>
      <c r="N71">
        <v>1009</v>
      </c>
      <c r="O71" t="s">
        <v>232</v>
      </c>
      <c r="P71" t="s">
        <v>232</v>
      </c>
      <c r="Q71">
        <v>1000</v>
      </c>
      <c r="W71">
        <v>0</v>
      </c>
      <c r="X71">
        <v>-2092697376</v>
      </c>
      <c r="Y71">
        <f t="shared" si="27"/>
        <v>0</v>
      </c>
      <c r="AA71">
        <v>1219.68</v>
      </c>
      <c r="AB71">
        <v>0</v>
      </c>
      <c r="AC71">
        <v>0</v>
      </c>
      <c r="AD71">
        <v>0</v>
      </c>
      <c r="AE71">
        <v>1219.68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5.0000000000000002E-5</v>
      </c>
      <c r="AU71" t="s">
        <v>28</v>
      </c>
      <c r="AV71">
        <v>0</v>
      </c>
      <c r="AW71">
        <v>2</v>
      </c>
      <c r="AX71">
        <v>55984114</v>
      </c>
      <c r="AY71">
        <v>1</v>
      </c>
      <c r="AZ71">
        <v>0</v>
      </c>
      <c r="BA71">
        <v>89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ROUND(Y71*Source!I38,9)</f>
        <v>0</v>
      </c>
      <c r="CY71">
        <f t="shared" si="28"/>
        <v>1219.68</v>
      </c>
      <c r="CZ71">
        <f t="shared" si="29"/>
        <v>1219.68</v>
      </c>
      <c r="DA71">
        <f t="shared" si="30"/>
        <v>1</v>
      </c>
      <c r="DB71">
        <f t="shared" si="31"/>
        <v>0</v>
      </c>
      <c r="DC71">
        <f t="shared" si="32"/>
        <v>0</v>
      </c>
      <c r="DD71" t="s">
        <v>3</v>
      </c>
      <c r="DE71" t="s">
        <v>3</v>
      </c>
      <c r="DF71">
        <f t="shared" si="26"/>
        <v>0</v>
      </c>
      <c r="DG71">
        <f t="shared" ref="DG71:DG105" si="34">ROUND(ROUND(AF71,2)*CX71,2)</f>
        <v>0</v>
      </c>
      <c r="DH71">
        <f t="shared" ref="DH71:DH105" si="35">ROUND(ROUND(AG71,2)*CX71,2)</f>
        <v>0</v>
      </c>
      <c r="DI71">
        <f t="shared" si="25"/>
        <v>0</v>
      </c>
      <c r="DJ71">
        <f t="shared" si="33"/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ROW(Source!A38)</f>
        <v>38</v>
      </c>
      <c r="B72">
        <v>55934355</v>
      </c>
      <c r="C72">
        <v>55984096</v>
      </c>
      <c r="D72">
        <v>55460328</v>
      </c>
      <c r="E72">
        <v>1</v>
      </c>
      <c r="F72">
        <v>1</v>
      </c>
      <c r="G72">
        <v>1081</v>
      </c>
      <c r="H72">
        <v>3</v>
      </c>
      <c r="I72" t="s">
        <v>263</v>
      </c>
      <c r="J72" t="s">
        <v>264</v>
      </c>
      <c r="K72" t="s">
        <v>265</v>
      </c>
      <c r="L72">
        <v>1301</v>
      </c>
      <c r="N72">
        <v>1003</v>
      </c>
      <c r="O72" t="s">
        <v>266</v>
      </c>
      <c r="P72" t="s">
        <v>266</v>
      </c>
      <c r="Q72">
        <v>1</v>
      </c>
      <c r="W72">
        <v>0</v>
      </c>
      <c r="X72">
        <v>-206055494</v>
      </c>
      <c r="Y72">
        <f t="shared" si="27"/>
        <v>0</v>
      </c>
      <c r="AA72">
        <v>0.39</v>
      </c>
      <c r="AB72">
        <v>0</v>
      </c>
      <c r="AC72">
        <v>0</v>
      </c>
      <c r="AD72">
        <v>0</v>
      </c>
      <c r="AE72">
        <v>0.39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5</v>
      </c>
      <c r="AU72" t="s">
        <v>28</v>
      </c>
      <c r="AV72">
        <v>0</v>
      </c>
      <c r="AW72">
        <v>2</v>
      </c>
      <c r="AX72">
        <v>55984115</v>
      </c>
      <c r="AY72">
        <v>1</v>
      </c>
      <c r="AZ72">
        <v>0</v>
      </c>
      <c r="BA72">
        <v>90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ROUND(Y72*Source!I38,9)</f>
        <v>0</v>
      </c>
      <c r="CY72">
        <f t="shared" si="28"/>
        <v>0.39</v>
      </c>
      <c r="CZ72">
        <f t="shared" si="29"/>
        <v>0.39</v>
      </c>
      <c r="DA72">
        <f t="shared" si="30"/>
        <v>1</v>
      </c>
      <c r="DB72">
        <f t="shared" si="31"/>
        <v>0</v>
      </c>
      <c r="DC72">
        <f t="shared" si="32"/>
        <v>0</v>
      </c>
      <c r="DD72" t="s">
        <v>3</v>
      </c>
      <c r="DE72" t="s">
        <v>3</v>
      </c>
      <c r="DF72">
        <f t="shared" si="26"/>
        <v>0</v>
      </c>
      <c r="DG72">
        <f t="shared" si="34"/>
        <v>0</v>
      </c>
      <c r="DH72">
        <f t="shared" si="35"/>
        <v>0</v>
      </c>
      <c r="DI72">
        <f t="shared" si="25"/>
        <v>0</v>
      </c>
      <c r="DJ72">
        <f t="shared" si="33"/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ROW(Source!A38)</f>
        <v>38</v>
      </c>
      <c r="B73">
        <v>55934355</v>
      </c>
      <c r="C73">
        <v>55984096</v>
      </c>
      <c r="D73">
        <v>55459312</v>
      </c>
      <c r="E73">
        <v>1</v>
      </c>
      <c r="F73">
        <v>1</v>
      </c>
      <c r="G73">
        <v>1081</v>
      </c>
      <c r="H73">
        <v>3</v>
      </c>
      <c r="I73" t="s">
        <v>267</v>
      </c>
      <c r="J73" t="s">
        <v>268</v>
      </c>
      <c r="K73" t="s">
        <v>269</v>
      </c>
      <c r="L73">
        <v>1339</v>
      </c>
      <c r="N73">
        <v>1007</v>
      </c>
      <c r="O73" t="s">
        <v>270</v>
      </c>
      <c r="P73" t="s">
        <v>270</v>
      </c>
      <c r="Q73">
        <v>1</v>
      </c>
      <c r="W73">
        <v>0</v>
      </c>
      <c r="X73">
        <v>-366856290</v>
      </c>
      <c r="Y73">
        <f t="shared" si="27"/>
        <v>0</v>
      </c>
      <c r="AA73">
        <v>1176.3</v>
      </c>
      <c r="AB73">
        <v>0</v>
      </c>
      <c r="AC73">
        <v>0</v>
      </c>
      <c r="AD73">
        <v>0</v>
      </c>
      <c r="AE73">
        <v>1176.3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1E-3</v>
      </c>
      <c r="AU73" t="s">
        <v>28</v>
      </c>
      <c r="AV73">
        <v>0</v>
      </c>
      <c r="AW73">
        <v>2</v>
      </c>
      <c r="AX73">
        <v>55984116</v>
      </c>
      <c r="AY73">
        <v>1</v>
      </c>
      <c r="AZ73">
        <v>0</v>
      </c>
      <c r="BA73">
        <v>91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ROUND(Y73*Source!I38,9)</f>
        <v>0</v>
      </c>
      <c r="CY73">
        <f t="shared" si="28"/>
        <v>1176.3</v>
      </c>
      <c r="CZ73">
        <f t="shared" si="29"/>
        <v>1176.3</v>
      </c>
      <c r="DA73">
        <f t="shared" si="30"/>
        <v>1</v>
      </c>
      <c r="DB73">
        <f t="shared" si="31"/>
        <v>0</v>
      </c>
      <c r="DC73">
        <f t="shared" si="32"/>
        <v>0</v>
      </c>
      <c r="DD73" t="s">
        <v>3</v>
      </c>
      <c r="DE73" t="s">
        <v>3</v>
      </c>
      <c r="DF73">
        <f t="shared" si="26"/>
        <v>0</v>
      </c>
      <c r="DG73">
        <f t="shared" si="34"/>
        <v>0</v>
      </c>
      <c r="DH73">
        <f t="shared" si="35"/>
        <v>0</v>
      </c>
      <c r="DI73">
        <f t="shared" si="25"/>
        <v>0</v>
      </c>
      <c r="DJ73">
        <f t="shared" si="33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ROW(Source!A38)</f>
        <v>38</v>
      </c>
      <c r="B74">
        <v>55934355</v>
      </c>
      <c r="C74">
        <v>55984096</v>
      </c>
      <c r="D74">
        <v>55461230</v>
      </c>
      <c r="E74">
        <v>1</v>
      </c>
      <c r="F74">
        <v>1</v>
      </c>
      <c r="G74">
        <v>1081</v>
      </c>
      <c r="H74">
        <v>3</v>
      </c>
      <c r="I74" t="s">
        <v>271</v>
      </c>
      <c r="J74" t="s">
        <v>272</v>
      </c>
      <c r="K74" t="s">
        <v>273</v>
      </c>
      <c r="L74">
        <v>1346</v>
      </c>
      <c r="N74">
        <v>1009</v>
      </c>
      <c r="O74" t="s">
        <v>252</v>
      </c>
      <c r="P74" t="s">
        <v>252</v>
      </c>
      <c r="Q74">
        <v>1</v>
      </c>
      <c r="W74">
        <v>0</v>
      </c>
      <c r="X74">
        <v>1561715650</v>
      </c>
      <c r="Y74">
        <f t="shared" si="27"/>
        <v>0</v>
      </c>
      <c r="AA74">
        <v>15.11</v>
      </c>
      <c r="AB74">
        <v>0</v>
      </c>
      <c r="AC74">
        <v>0</v>
      </c>
      <c r="AD74">
        <v>0</v>
      </c>
      <c r="AE74">
        <v>15.11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0.01</v>
      </c>
      <c r="AU74" t="s">
        <v>28</v>
      </c>
      <c r="AV74">
        <v>0</v>
      </c>
      <c r="AW74">
        <v>2</v>
      </c>
      <c r="AX74">
        <v>55984117</v>
      </c>
      <c r="AY74">
        <v>1</v>
      </c>
      <c r="AZ74">
        <v>0</v>
      </c>
      <c r="BA74">
        <v>92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ROUND(Y74*Source!I38,9)</f>
        <v>0</v>
      </c>
      <c r="CY74">
        <f t="shared" si="28"/>
        <v>15.11</v>
      </c>
      <c r="CZ74">
        <f t="shared" si="29"/>
        <v>15.11</v>
      </c>
      <c r="DA74">
        <f t="shared" si="30"/>
        <v>1</v>
      </c>
      <c r="DB74">
        <f t="shared" si="31"/>
        <v>0</v>
      </c>
      <c r="DC74">
        <f t="shared" si="32"/>
        <v>0</v>
      </c>
      <c r="DD74" t="s">
        <v>3</v>
      </c>
      <c r="DE74" t="s">
        <v>3</v>
      </c>
      <c r="DF74">
        <f t="shared" si="26"/>
        <v>0</v>
      </c>
      <c r="DG74">
        <f t="shared" si="34"/>
        <v>0</v>
      </c>
      <c r="DH74">
        <f t="shared" si="35"/>
        <v>0</v>
      </c>
      <c r="DI74">
        <f t="shared" si="25"/>
        <v>0</v>
      </c>
      <c r="DJ74">
        <f t="shared" si="33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ROW(Source!A38)</f>
        <v>38</v>
      </c>
      <c r="B75">
        <v>55934355</v>
      </c>
      <c r="C75">
        <v>55984096</v>
      </c>
      <c r="D75">
        <v>55459400</v>
      </c>
      <c r="E75">
        <v>1</v>
      </c>
      <c r="F75">
        <v>1</v>
      </c>
      <c r="G75">
        <v>1081</v>
      </c>
      <c r="H75">
        <v>3</v>
      </c>
      <c r="I75" t="s">
        <v>274</v>
      </c>
      <c r="J75" t="s">
        <v>275</v>
      </c>
      <c r="K75" t="s">
        <v>276</v>
      </c>
      <c r="L75">
        <v>1346</v>
      </c>
      <c r="N75">
        <v>1009</v>
      </c>
      <c r="O75" t="s">
        <v>252</v>
      </c>
      <c r="P75" t="s">
        <v>252</v>
      </c>
      <c r="Q75">
        <v>1</v>
      </c>
      <c r="W75">
        <v>0</v>
      </c>
      <c r="X75">
        <v>-2129869794</v>
      </c>
      <c r="Y75">
        <f t="shared" si="27"/>
        <v>0</v>
      </c>
      <c r="AA75">
        <v>16.690000000000001</v>
      </c>
      <c r="AB75">
        <v>0</v>
      </c>
      <c r="AC75">
        <v>0</v>
      </c>
      <c r="AD75">
        <v>0</v>
      </c>
      <c r="AE75">
        <v>16.690000000000001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0.01</v>
      </c>
      <c r="AU75" t="s">
        <v>28</v>
      </c>
      <c r="AV75">
        <v>0</v>
      </c>
      <c r="AW75">
        <v>2</v>
      </c>
      <c r="AX75">
        <v>55984118</v>
      </c>
      <c r="AY75">
        <v>1</v>
      </c>
      <c r="AZ75">
        <v>0</v>
      </c>
      <c r="BA75">
        <v>93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ROUND(Y75*Source!I38,9)</f>
        <v>0</v>
      </c>
      <c r="CY75">
        <f t="shared" si="28"/>
        <v>16.690000000000001</v>
      </c>
      <c r="CZ75">
        <f t="shared" si="29"/>
        <v>16.690000000000001</v>
      </c>
      <c r="DA75">
        <f t="shared" si="30"/>
        <v>1</v>
      </c>
      <c r="DB75">
        <f t="shared" si="31"/>
        <v>0</v>
      </c>
      <c r="DC75">
        <f t="shared" si="32"/>
        <v>0</v>
      </c>
      <c r="DD75" t="s">
        <v>3</v>
      </c>
      <c r="DE75" t="s">
        <v>3</v>
      </c>
      <c r="DF75">
        <f t="shared" si="26"/>
        <v>0</v>
      </c>
      <c r="DG75">
        <f t="shared" si="34"/>
        <v>0</v>
      </c>
      <c r="DH75">
        <f t="shared" si="35"/>
        <v>0</v>
      </c>
      <c r="DI75">
        <f t="shared" si="25"/>
        <v>0</v>
      </c>
      <c r="DJ75">
        <f t="shared" si="33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ROW(Source!A38)</f>
        <v>38</v>
      </c>
      <c r="B76">
        <v>55934355</v>
      </c>
      <c r="C76">
        <v>55984096</v>
      </c>
      <c r="D76">
        <v>55461719</v>
      </c>
      <c r="E76">
        <v>1</v>
      </c>
      <c r="F76">
        <v>1</v>
      </c>
      <c r="G76">
        <v>1081</v>
      </c>
      <c r="H76">
        <v>3</v>
      </c>
      <c r="I76" t="s">
        <v>229</v>
      </c>
      <c r="J76" t="s">
        <v>230</v>
      </c>
      <c r="K76" t="s">
        <v>231</v>
      </c>
      <c r="L76">
        <v>1348</v>
      </c>
      <c r="N76">
        <v>1009</v>
      </c>
      <c r="O76" t="s">
        <v>232</v>
      </c>
      <c r="P76" t="s">
        <v>232</v>
      </c>
      <c r="Q76">
        <v>1000</v>
      </c>
      <c r="W76">
        <v>0</v>
      </c>
      <c r="X76">
        <v>-1265888387</v>
      </c>
      <c r="Y76">
        <f t="shared" si="27"/>
        <v>0</v>
      </c>
      <c r="AA76">
        <v>10643.18</v>
      </c>
      <c r="AB76">
        <v>0</v>
      </c>
      <c r="AC76">
        <v>0</v>
      </c>
      <c r="AD76">
        <v>0</v>
      </c>
      <c r="AE76">
        <v>10643.18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1E-4</v>
      </c>
      <c r="AU76" t="s">
        <v>28</v>
      </c>
      <c r="AV76">
        <v>0</v>
      </c>
      <c r="AW76">
        <v>2</v>
      </c>
      <c r="AX76">
        <v>55984119</v>
      </c>
      <c r="AY76">
        <v>1</v>
      </c>
      <c r="AZ76">
        <v>0</v>
      </c>
      <c r="BA76">
        <v>94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ROUND(Y76*Source!I38,9)</f>
        <v>0</v>
      </c>
      <c r="CY76">
        <f t="shared" si="28"/>
        <v>10643.18</v>
      </c>
      <c r="CZ76">
        <f t="shared" si="29"/>
        <v>10643.18</v>
      </c>
      <c r="DA76">
        <f t="shared" si="30"/>
        <v>1</v>
      </c>
      <c r="DB76">
        <f t="shared" si="31"/>
        <v>0</v>
      </c>
      <c r="DC76">
        <f t="shared" si="32"/>
        <v>0</v>
      </c>
      <c r="DD76" t="s">
        <v>3</v>
      </c>
      <c r="DE76" t="s">
        <v>3</v>
      </c>
      <c r="DF76">
        <f t="shared" si="26"/>
        <v>0</v>
      </c>
      <c r="DG76">
        <f t="shared" si="34"/>
        <v>0</v>
      </c>
      <c r="DH76">
        <f t="shared" si="35"/>
        <v>0</v>
      </c>
      <c r="DI76">
        <f t="shared" si="25"/>
        <v>0</v>
      </c>
      <c r="DJ76">
        <f t="shared" si="33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ROW(Source!A38)</f>
        <v>38</v>
      </c>
      <c r="B77">
        <v>55934355</v>
      </c>
      <c r="C77">
        <v>55984096</v>
      </c>
      <c r="D77">
        <v>55466000</v>
      </c>
      <c r="E77">
        <v>1</v>
      </c>
      <c r="F77">
        <v>1</v>
      </c>
      <c r="G77">
        <v>1081</v>
      </c>
      <c r="H77">
        <v>3</v>
      </c>
      <c r="I77" t="s">
        <v>277</v>
      </c>
      <c r="J77" t="s">
        <v>278</v>
      </c>
      <c r="K77" t="s">
        <v>279</v>
      </c>
      <c r="L77">
        <v>1355</v>
      </c>
      <c r="N77">
        <v>1010</v>
      </c>
      <c r="O77" t="s">
        <v>280</v>
      </c>
      <c r="P77" t="s">
        <v>280</v>
      </c>
      <c r="Q77">
        <v>100</v>
      </c>
      <c r="W77">
        <v>0</v>
      </c>
      <c r="X77">
        <v>436393287</v>
      </c>
      <c r="Y77">
        <f t="shared" si="27"/>
        <v>0</v>
      </c>
      <c r="AA77">
        <v>120.19</v>
      </c>
      <c r="AB77">
        <v>0</v>
      </c>
      <c r="AC77">
        <v>0</v>
      </c>
      <c r="AD77">
        <v>0</v>
      </c>
      <c r="AE77">
        <v>120.19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0.01</v>
      </c>
      <c r="AU77" t="s">
        <v>28</v>
      </c>
      <c r="AV77">
        <v>0</v>
      </c>
      <c r="AW77">
        <v>2</v>
      </c>
      <c r="AX77">
        <v>55984120</v>
      </c>
      <c r="AY77">
        <v>1</v>
      </c>
      <c r="AZ77">
        <v>0</v>
      </c>
      <c r="BA77">
        <v>95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ROUND(Y77*Source!I38,9)</f>
        <v>0</v>
      </c>
      <c r="CY77">
        <f t="shared" si="28"/>
        <v>120.19</v>
      </c>
      <c r="CZ77">
        <f t="shared" si="29"/>
        <v>120.19</v>
      </c>
      <c r="DA77">
        <f t="shared" si="30"/>
        <v>1</v>
      </c>
      <c r="DB77">
        <f t="shared" si="31"/>
        <v>0</v>
      </c>
      <c r="DC77">
        <f t="shared" si="32"/>
        <v>0</v>
      </c>
      <c r="DD77" t="s">
        <v>3</v>
      </c>
      <c r="DE77" t="s">
        <v>3</v>
      </c>
      <c r="DF77">
        <f t="shared" si="26"/>
        <v>0</v>
      </c>
      <c r="DG77">
        <f t="shared" si="34"/>
        <v>0</v>
      </c>
      <c r="DH77">
        <f t="shared" si="35"/>
        <v>0</v>
      </c>
      <c r="DI77">
        <f t="shared" si="25"/>
        <v>0</v>
      </c>
      <c r="DJ77">
        <f t="shared" si="33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ROW(Source!A38)</f>
        <v>38</v>
      </c>
      <c r="B78">
        <v>55934355</v>
      </c>
      <c r="C78">
        <v>55984096</v>
      </c>
      <c r="D78">
        <v>55459793</v>
      </c>
      <c r="E78">
        <v>1</v>
      </c>
      <c r="F78">
        <v>1</v>
      </c>
      <c r="G78">
        <v>1081</v>
      </c>
      <c r="H78">
        <v>3</v>
      </c>
      <c r="I78" t="s">
        <v>233</v>
      </c>
      <c r="J78" t="s">
        <v>234</v>
      </c>
      <c r="K78" t="s">
        <v>235</v>
      </c>
      <c r="L78">
        <v>1348</v>
      </c>
      <c r="N78">
        <v>1009</v>
      </c>
      <c r="O78" t="s">
        <v>232</v>
      </c>
      <c r="P78" t="s">
        <v>232</v>
      </c>
      <c r="Q78">
        <v>1000</v>
      </c>
      <c r="W78">
        <v>0</v>
      </c>
      <c r="X78">
        <v>-761454284</v>
      </c>
      <c r="Y78">
        <f t="shared" si="27"/>
        <v>0</v>
      </c>
      <c r="AA78">
        <v>64123.05</v>
      </c>
      <c r="AB78">
        <v>0</v>
      </c>
      <c r="AC78">
        <v>0</v>
      </c>
      <c r="AD78">
        <v>0</v>
      </c>
      <c r="AE78">
        <v>64123.05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2.0000000000000002E-5</v>
      </c>
      <c r="AU78" t="s">
        <v>28</v>
      </c>
      <c r="AV78">
        <v>0</v>
      </c>
      <c r="AW78">
        <v>2</v>
      </c>
      <c r="AX78">
        <v>55984121</v>
      </c>
      <c r="AY78">
        <v>1</v>
      </c>
      <c r="AZ78">
        <v>0</v>
      </c>
      <c r="BA78">
        <v>96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ROUND(Y78*Source!I38,9)</f>
        <v>0</v>
      </c>
      <c r="CY78">
        <f t="shared" si="28"/>
        <v>64123.05</v>
      </c>
      <c r="CZ78">
        <f t="shared" si="29"/>
        <v>64123.05</v>
      </c>
      <c r="DA78">
        <f t="shared" si="30"/>
        <v>1</v>
      </c>
      <c r="DB78">
        <f t="shared" si="31"/>
        <v>0</v>
      </c>
      <c r="DC78">
        <f t="shared" si="32"/>
        <v>0</v>
      </c>
      <c r="DD78" t="s">
        <v>3</v>
      </c>
      <c r="DE78" t="s">
        <v>3</v>
      </c>
      <c r="DF78">
        <f t="shared" si="26"/>
        <v>0</v>
      </c>
      <c r="DG78">
        <f t="shared" si="34"/>
        <v>0</v>
      </c>
      <c r="DH78">
        <f t="shared" si="35"/>
        <v>0</v>
      </c>
      <c r="DI78">
        <f t="shared" si="25"/>
        <v>0</v>
      </c>
      <c r="DJ78">
        <f t="shared" si="33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ROW(Source!A38)</f>
        <v>38</v>
      </c>
      <c r="B79">
        <v>55934355</v>
      </c>
      <c r="C79">
        <v>55984096</v>
      </c>
      <c r="D79">
        <v>55459810</v>
      </c>
      <c r="E79">
        <v>1</v>
      </c>
      <c r="F79">
        <v>1</v>
      </c>
      <c r="G79">
        <v>1081</v>
      </c>
      <c r="H79">
        <v>3</v>
      </c>
      <c r="I79" t="s">
        <v>281</v>
      </c>
      <c r="J79" t="s">
        <v>282</v>
      </c>
      <c r="K79" t="s">
        <v>283</v>
      </c>
      <c r="L79">
        <v>1348</v>
      </c>
      <c r="N79">
        <v>1009</v>
      </c>
      <c r="O79" t="s">
        <v>232</v>
      </c>
      <c r="P79" t="s">
        <v>232</v>
      </c>
      <c r="Q79">
        <v>1000</v>
      </c>
      <c r="W79">
        <v>0</v>
      </c>
      <c r="X79">
        <v>-98394079</v>
      </c>
      <c r="Y79">
        <f t="shared" si="27"/>
        <v>0</v>
      </c>
      <c r="AA79">
        <v>9238.1299999999992</v>
      </c>
      <c r="AB79">
        <v>0</v>
      </c>
      <c r="AC79">
        <v>0</v>
      </c>
      <c r="AD79">
        <v>0</v>
      </c>
      <c r="AE79">
        <v>9238.1299999999992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1E-4</v>
      </c>
      <c r="AU79" t="s">
        <v>28</v>
      </c>
      <c r="AV79">
        <v>0</v>
      </c>
      <c r="AW79">
        <v>2</v>
      </c>
      <c r="AX79">
        <v>55984122</v>
      </c>
      <c r="AY79">
        <v>1</v>
      </c>
      <c r="AZ79">
        <v>0</v>
      </c>
      <c r="BA79">
        <v>97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ROUND(Y79*Source!I38,9)</f>
        <v>0</v>
      </c>
      <c r="CY79">
        <f t="shared" si="28"/>
        <v>9238.1299999999992</v>
      </c>
      <c r="CZ79">
        <f t="shared" si="29"/>
        <v>9238.1299999999992</v>
      </c>
      <c r="DA79">
        <f t="shared" si="30"/>
        <v>1</v>
      </c>
      <c r="DB79">
        <f t="shared" si="31"/>
        <v>0</v>
      </c>
      <c r="DC79">
        <f t="shared" si="32"/>
        <v>0</v>
      </c>
      <c r="DD79" t="s">
        <v>3</v>
      </c>
      <c r="DE79" t="s">
        <v>3</v>
      </c>
      <c r="DF79">
        <f t="shared" si="26"/>
        <v>0</v>
      </c>
      <c r="DG79">
        <f t="shared" si="34"/>
        <v>0</v>
      </c>
      <c r="DH79">
        <f t="shared" si="35"/>
        <v>0</v>
      </c>
      <c r="DI79">
        <f t="shared" si="25"/>
        <v>0</v>
      </c>
      <c r="DJ79">
        <f t="shared" si="33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ROW(Source!A38)</f>
        <v>38</v>
      </c>
      <c r="B80">
        <v>55934355</v>
      </c>
      <c r="C80">
        <v>55984096</v>
      </c>
      <c r="D80">
        <v>55482166</v>
      </c>
      <c r="E80">
        <v>1</v>
      </c>
      <c r="F80">
        <v>1</v>
      </c>
      <c r="G80">
        <v>1081</v>
      </c>
      <c r="H80">
        <v>3</v>
      </c>
      <c r="I80" t="s">
        <v>284</v>
      </c>
      <c r="J80" t="s">
        <v>285</v>
      </c>
      <c r="K80" t="s">
        <v>286</v>
      </c>
      <c r="L80">
        <v>1301</v>
      </c>
      <c r="N80">
        <v>1003</v>
      </c>
      <c r="O80" t="s">
        <v>266</v>
      </c>
      <c r="P80" t="s">
        <v>266</v>
      </c>
      <c r="Q80">
        <v>1</v>
      </c>
      <c r="W80">
        <v>0</v>
      </c>
      <c r="X80">
        <v>876831867</v>
      </c>
      <c r="Y80">
        <f t="shared" si="27"/>
        <v>0</v>
      </c>
      <c r="AA80">
        <v>0.69</v>
      </c>
      <c r="AB80">
        <v>0</v>
      </c>
      <c r="AC80">
        <v>0</v>
      </c>
      <c r="AD80">
        <v>0</v>
      </c>
      <c r="AE80">
        <v>0.69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1</v>
      </c>
      <c r="AU80" t="s">
        <v>28</v>
      </c>
      <c r="AV80">
        <v>0</v>
      </c>
      <c r="AW80">
        <v>2</v>
      </c>
      <c r="AX80">
        <v>55984123</v>
      </c>
      <c r="AY80">
        <v>1</v>
      </c>
      <c r="AZ80">
        <v>0</v>
      </c>
      <c r="BA80">
        <v>98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ROUND(Y80*Source!I38,9)</f>
        <v>0</v>
      </c>
      <c r="CY80">
        <f t="shared" si="28"/>
        <v>0.69</v>
      </c>
      <c r="CZ80">
        <f t="shared" si="29"/>
        <v>0.69</v>
      </c>
      <c r="DA80">
        <f t="shared" si="30"/>
        <v>1</v>
      </c>
      <c r="DB80">
        <f t="shared" si="31"/>
        <v>0</v>
      </c>
      <c r="DC80">
        <f t="shared" si="32"/>
        <v>0</v>
      </c>
      <c r="DD80" t="s">
        <v>3</v>
      </c>
      <c r="DE80" t="s">
        <v>3</v>
      </c>
      <c r="DF80">
        <f t="shared" si="26"/>
        <v>0</v>
      </c>
      <c r="DG80">
        <f t="shared" si="34"/>
        <v>0</v>
      </c>
      <c r="DH80">
        <f t="shared" si="35"/>
        <v>0</v>
      </c>
      <c r="DI80">
        <f t="shared" si="25"/>
        <v>0</v>
      </c>
      <c r="DJ80">
        <f t="shared" si="33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ROW(Source!A38)</f>
        <v>38</v>
      </c>
      <c r="B81">
        <v>55934355</v>
      </c>
      <c r="C81">
        <v>55984096</v>
      </c>
      <c r="D81">
        <v>55482445</v>
      </c>
      <c r="E81">
        <v>1</v>
      </c>
      <c r="F81">
        <v>1</v>
      </c>
      <c r="G81">
        <v>1081</v>
      </c>
      <c r="H81">
        <v>3</v>
      </c>
      <c r="I81" t="s">
        <v>287</v>
      </c>
      <c r="J81" t="s">
        <v>288</v>
      </c>
      <c r="K81" t="s">
        <v>289</v>
      </c>
      <c r="L81">
        <v>1356</v>
      </c>
      <c r="N81">
        <v>1010</v>
      </c>
      <c r="O81" t="s">
        <v>246</v>
      </c>
      <c r="P81" t="s">
        <v>246</v>
      </c>
      <c r="Q81">
        <v>1000</v>
      </c>
      <c r="W81">
        <v>0</v>
      </c>
      <c r="X81">
        <v>-285397556</v>
      </c>
      <c r="Y81">
        <f t="shared" si="27"/>
        <v>0</v>
      </c>
      <c r="AA81">
        <v>294.89</v>
      </c>
      <c r="AB81">
        <v>0</v>
      </c>
      <c r="AC81">
        <v>0</v>
      </c>
      <c r="AD81">
        <v>0</v>
      </c>
      <c r="AE81">
        <v>294.89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0.01</v>
      </c>
      <c r="AU81" t="s">
        <v>28</v>
      </c>
      <c r="AV81">
        <v>0</v>
      </c>
      <c r="AW81">
        <v>2</v>
      </c>
      <c r="AX81">
        <v>55984124</v>
      </c>
      <c r="AY81">
        <v>1</v>
      </c>
      <c r="AZ81">
        <v>0</v>
      </c>
      <c r="BA81">
        <v>99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ROUND(Y81*Source!I38,9)</f>
        <v>0</v>
      </c>
      <c r="CY81">
        <f t="shared" si="28"/>
        <v>294.89</v>
      </c>
      <c r="CZ81">
        <f t="shared" si="29"/>
        <v>294.89</v>
      </c>
      <c r="DA81">
        <f t="shared" si="30"/>
        <v>1</v>
      </c>
      <c r="DB81">
        <f t="shared" si="31"/>
        <v>0</v>
      </c>
      <c r="DC81">
        <f t="shared" si="32"/>
        <v>0</v>
      </c>
      <c r="DD81" t="s">
        <v>3</v>
      </c>
      <c r="DE81" t="s">
        <v>3</v>
      </c>
      <c r="DF81">
        <f t="shared" si="26"/>
        <v>0</v>
      </c>
      <c r="DG81">
        <f t="shared" si="34"/>
        <v>0</v>
      </c>
      <c r="DH81">
        <f t="shared" si="35"/>
        <v>0</v>
      </c>
      <c r="DI81">
        <f t="shared" si="25"/>
        <v>0</v>
      </c>
      <c r="DJ81">
        <f t="shared" si="33"/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ROW(Source!A38)</f>
        <v>38</v>
      </c>
      <c r="B82">
        <v>55934355</v>
      </c>
      <c r="C82">
        <v>55984096</v>
      </c>
      <c r="D82">
        <v>55481518</v>
      </c>
      <c r="E82">
        <v>1</v>
      </c>
      <c r="F82">
        <v>1</v>
      </c>
      <c r="G82">
        <v>1081</v>
      </c>
      <c r="H82">
        <v>3</v>
      </c>
      <c r="I82" t="s">
        <v>290</v>
      </c>
      <c r="J82" t="s">
        <v>291</v>
      </c>
      <c r="K82" t="s">
        <v>292</v>
      </c>
      <c r="L82">
        <v>1354</v>
      </c>
      <c r="N82">
        <v>1010</v>
      </c>
      <c r="O82" t="s">
        <v>293</v>
      </c>
      <c r="P82" t="s">
        <v>293</v>
      </c>
      <c r="Q82">
        <v>1</v>
      </c>
      <c r="W82">
        <v>0</v>
      </c>
      <c r="X82">
        <v>55982921</v>
      </c>
      <c r="Y82">
        <f t="shared" si="27"/>
        <v>0</v>
      </c>
      <c r="AA82">
        <v>15.67</v>
      </c>
      <c r="AB82">
        <v>0</v>
      </c>
      <c r="AC82">
        <v>0</v>
      </c>
      <c r="AD82">
        <v>0</v>
      </c>
      <c r="AE82">
        <v>15.67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</v>
      </c>
      <c r="AU82" t="s">
        <v>28</v>
      </c>
      <c r="AV82">
        <v>0</v>
      </c>
      <c r="AW82">
        <v>2</v>
      </c>
      <c r="AX82">
        <v>55984125</v>
      </c>
      <c r="AY82">
        <v>1</v>
      </c>
      <c r="AZ82">
        <v>0</v>
      </c>
      <c r="BA82">
        <v>100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ROUND(Y82*Source!I38,9)</f>
        <v>0</v>
      </c>
      <c r="CY82">
        <f t="shared" si="28"/>
        <v>15.67</v>
      </c>
      <c r="CZ82">
        <f t="shared" si="29"/>
        <v>15.67</v>
      </c>
      <c r="DA82">
        <f t="shared" si="30"/>
        <v>1</v>
      </c>
      <c r="DB82">
        <f t="shared" si="31"/>
        <v>0</v>
      </c>
      <c r="DC82">
        <f t="shared" si="32"/>
        <v>0</v>
      </c>
      <c r="DD82" t="s">
        <v>3</v>
      </c>
      <c r="DE82" t="s">
        <v>3</v>
      </c>
      <c r="DF82">
        <f t="shared" si="26"/>
        <v>0</v>
      </c>
      <c r="DG82">
        <f t="shared" si="34"/>
        <v>0</v>
      </c>
      <c r="DH82">
        <f t="shared" si="35"/>
        <v>0</v>
      </c>
      <c r="DI82">
        <f t="shared" si="25"/>
        <v>0</v>
      </c>
      <c r="DJ82">
        <f t="shared" si="33"/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ROW(Source!A38)</f>
        <v>38</v>
      </c>
      <c r="B83">
        <v>55934355</v>
      </c>
      <c r="C83">
        <v>55984096</v>
      </c>
      <c r="D83">
        <v>55424290</v>
      </c>
      <c r="E83">
        <v>1081</v>
      </c>
      <c r="F83">
        <v>1</v>
      </c>
      <c r="G83">
        <v>1081</v>
      </c>
      <c r="H83">
        <v>3</v>
      </c>
      <c r="I83" t="s">
        <v>247</v>
      </c>
      <c r="J83" t="s">
        <v>3</v>
      </c>
      <c r="K83" t="s">
        <v>248</v>
      </c>
      <c r="L83">
        <v>1348</v>
      </c>
      <c r="N83">
        <v>1009</v>
      </c>
      <c r="O83" t="s">
        <v>232</v>
      </c>
      <c r="P83" t="s">
        <v>232</v>
      </c>
      <c r="Q83">
        <v>1000</v>
      </c>
      <c r="W83">
        <v>0</v>
      </c>
      <c r="X83">
        <v>-783086922</v>
      </c>
      <c r="Y83">
        <f t="shared" si="27"/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1E-3</v>
      </c>
      <c r="AU83" t="s">
        <v>28</v>
      </c>
      <c r="AV83">
        <v>0</v>
      </c>
      <c r="AW83">
        <v>2</v>
      </c>
      <c r="AX83">
        <v>55984128</v>
      </c>
      <c r="AY83">
        <v>1</v>
      </c>
      <c r="AZ83">
        <v>0</v>
      </c>
      <c r="BA83">
        <v>103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ROUND(Y83*Source!I38,9)</f>
        <v>0</v>
      </c>
      <c r="CY83">
        <f t="shared" si="28"/>
        <v>0</v>
      </c>
      <c r="CZ83">
        <f t="shared" si="29"/>
        <v>0</v>
      </c>
      <c r="DA83">
        <f t="shared" si="30"/>
        <v>1</v>
      </c>
      <c r="DB83">
        <f t="shared" si="31"/>
        <v>0</v>
      </c>
      <c r="DC83">
        <f t="shared" si="32"/>
        <v>0</v>
      </c>
      <c r="DD83" t="s">
        <v>3</v>
      </c>
      <c r="DE83" t="s">
        <v>3</v>
      </c>
      <c r="DF83">
        <f t="shared" si="26"/>
        <v>0</v>
      </c>
      <c r="DG83">
        <f t="shared" si="34"/>
        <v>0</v>
      </c>
      <c r="DH83">
        <f t="shared" si="35"/>
        <v>0</v>
      </c>
      <c r="DI83">
        <f t="shared" si="25"/>
        <v>0</v>
      </c>
      <c r="DJ83">
        <f t="shared" si="33"/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ROW(Source!A39)</f>
        <v>39</v>
      </c>
      <c r="B84">
        <v>55934357</v>
      </c>
      <c r="C84">
        <v>55984096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221</v>
      </c>
      <c r="J84" t="s">
        <v>3</v>
      </c>
      <c r="K84" t="s">
        <v>222</v>
      </c>
      <c r="L84">
        <v>1191</v>
      </c>
      <c r="N84">
        <v>1013</v>
      </c>
      <c r="O84" t="s">
        <v>223</v>
      </c>
      <c r="P84" t="s">
        <v>223</v>
      </c>
      <c r="Q84">
        <v>1</v>
      </c>
      <c r="W84">
        <v>0</v>
      </c>
      <c r="X84">
        <v>476480486</v>
      </c>
      <c r="Y84">
        <f>((AT84*1.2)*0.3)</f>
        <v>1.0799999999999998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3</v>
      </c>
      <c r="AU84" t="s">
        <v>29</v>
      </c>
      <c r="AV84">
        <v>1</v>
      </c>
      <c r="AW84">
        <v>2</v>
      </c>
      <c r="AX84">
        <v>55984112</v>
      </c>
      <c r="AY84">
        <v>1</v>
      </c>
      <c r="AZ84">
        <v>0</v>
      </c>
      <c r="BA84">
        <v>104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ROUND(AT84*Source!I39*AH84*AL84,2)</f>
        <v>0</v>
      </c>
      <c r="CV84">
        <f>ROUND(Y84*Source!I39,9)</f>
        <v>15.12</v>
      </c>
      <c r="CW84">
        <v>0</v>
      </c>
      <c r="CX84">
        <f>ROUND(Y84*Source!I39,9)</f>
        <v>15.12</v>
      </c>
      <c r="CY84">
        <f>AD84</f>
        <v>0</v>
      </c>
      <c r="CZ84">
        <f>AH84</f>
        <v>0</v>
      </c>
      <c r="DA84">
        <f>AL84</f>
        <v>1</v>
      </c>
      <c r="DB84">
        <f>ROUND(((ROUND(AT84*CZ84,2)*1.2)*0.3),6)</f>
        <v>0</v>
      </c>
      <c r="DC84">
        <f>ROUND(((ROUND(AT84*AG84,2)*1.2)*0.3),6)</f>
        <v>0</v>
      </c>
      <c r="DD84" t="s">
        <v>3</v>
      </c>
      <c r="DE84" t="s">
        <v>3</v>
      </c>
      <c r="DF84">
        <f t="shared" si="26"/>
        <v>0</v>
      </c>
      <c r="DG84">
        <f t="shared" si="34"/>
        <v>0</v>
      </c>
      <c r="DH84">
        <f t="shared" si="35"/>
        <v>0</v>
      </c>
      <c r="DI84">
        <f t="shared" si="25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ROW(Source!A39)</f>
        <v>39</v>
      </c>
      <c r="B85">
        <v>55934357</v>
      </c>
      <c r="C85">
        <v>55984096</v>
      </c>
      <c r="D85">
        <v>55459894</v>
      </c>
      <c r="E85">
        <v>1</v>
      </c>
      <c r="F85">
        <v>1</v>
      </c>
      <c r="G85">
        <v>1081</v>
      </c>
      <c r="H85">
        <v>3</v>
      </c>
      <c r="I85" t="s">
        <v>257</v>
      </c>
      <c r="J85" t="s">
        <v>258</v>
      </c>
      <c r="K85" t="s">
        <v>259</v>
      </c>
      <c r="L85">
        <v>1348</v>
      </c>
      <c r="N85">
        <v>1009</v>
      </c>
      <c r="O85" t="s">
        <v>232</v>
      </c>
      <c r="P85" t="s">
        <v>232</v>
      </c>
      <c r="Q85">
        <v>1000</v>
      </c>
      <c r="W85">
        <v>0</v>
      </c>
      <c r="X85">
        <v>1175474266</v>
      </c>
      <c r="Y85">
        <f t="shared" ref="Y85:Y98" si="36">((AT85*1)*0)</f>
        <v>0</v>
      </c>
      <c r="AA85">
        <v>75372.679999999993</v>
      </c>
      <c r="AB85">
        <v>0</v>
      </c>
      <c r="AC85">
        <v>0</v>
      </c>
      <c r="AD85">
        <v>0</v>
      </c>
      <c r="AE85">
        <v>15319.65</v>
      </c>
      <c r="AF85">
        <v>0</v>
      </c>
      <c r="AG85">
        <v>0</v>
      </c>
      <c r="AH85">
        <v>0</v>
      </c>
      <c r="AI85">
        <v>4.92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1E-3</v>
      </c>
      <c r="AU85" t="s">
        <v>28</v>
      </c>
      <c r="AV85">
        <v>0</v>
      </c>
      <c r="AW85">
        <v>2</v>
      </c>
      <c r="AX85">
        <v>55984113</v>
      </c>
      <c r="AY85">
        <v>1</v>
      </c>
      <c r="AZ85">
        <v>0</v>
      </c>
      <c r="BA85">
        <v>105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ROUND(Y85*Source!I39,9)</f>
        <v>0</v>
      </c>
      <c r="CY85">
        <f t="shared" ref="CY85:CY98" si="37">AA85</f>
        <v>75372.679999999993</v>
      </c>
      <c r="CZ85">
        <f t="shared" ref="CZ85:CZ98" si="38">AE85</f>
        <v>15319.65</v>
      </c>
      <c r="DA85">
        <f t="shared" ref="DA85:DA98" si="39">AI85</f>
        <v>4.92</v>
      </c>
      <c r="DB85">
        <f t="shared" ref="DB85:DB98" si="40">ROUND(((ROUND(AT85*CZ85,2)*1)*0),6)</f>
        <v>0</v>
      </c>
      <c r="DC85">
        <f t="shared" ref="DC85:DC98" si="41">ROUND(((ROUND(AT85*AG85,2)*1)*0),6)</f>
        <v>0</v>
      </c>
      <c r="DD85" t="s">
        <v>3</v>
      </c>
      <c r="DE85" t="s">
        <v>3</v>
      </c>
      <c r="DF85">
        <f t="shared" ref="DF85:DF98" si="42">ROUND(ROUND(AE85*AI85,2)*CX85,2)</f>
        <v>0</v>
      </c>
      <c r="DG85">
        <f t="shared" si="34"/>
        <v>0</v>
      </c>
      <c r="DH85">
        <f t="shared" si="35"/>
        <v>0</v>
      </c>
      <c r="DI85">
        <f t="shared" si="25"/>
        <v>0</v>
      </c>
      <c r="DJ85">
        <f t="shared" ref="DJ85:DJ98" si="43">DF85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ROW(Source!A39)</f>
        <v>39</v>
      </c>
      <c r="B86">
        <v>55934357</v>
      </c>
      <c r="C86">
        <v>55984096</v>
      </c>
      <c r="D86">
        <v>55459261</v>
      </c>
      <c r="E86">
        <v>1</v>
      </c>
      <c r="F86">
        <v>1</v>
      </c>
      <c r="G86">
        <v>1081</v>
      </c>
      <c r="H86">
        <v>3</v>
      </c>
      <c r="I86" t="s">
        <v>260</v>
      </c>
      <c r="J86" t="s">
        <v>261</v>
      </c>
      <c r="K86" t="s">
        <v>262</v>
      </c>
      <c r="L86">
        <v>1348</v>
      </c>
      <c r="N86">
        <v>1009</v>
      </c>
      <c r="O86" t="s">
        <v>232</v>
      </c>
      <c r="P86" t="s">
        <v>232</v>
      </c>
      <c r="Q86">
        <v>1000</v>
      </c>
      <c r="W86">
        <v>0</v>
      </c>
      <c r="X86">
        <v>-2092697376</v>
      </c>
      <c r="Y86">
        <f t="shared" si="36"/>
        <v>0</v>
      </c>
      <c r="AA86">
        <v>7305.88</v>
      </c>
      <c r="AB86">
        <v>0</v>
      </c>
      <c r="AC86">
        <v>0</v>
      </c>
      <c r="AD86">
        <v>0</v>
      </c>
      <c r="AE86">
        <v>1219.68</v>
      </c>
      <c r="AF86">
        <v>0</v>
      </c>
      <c r="AG86">
        <v>0</v>
      </c>
      <c r="AH86">
        <v>0</v>
      </c>
      <c r="AI86">
        <v>5.99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5.0000000000000002E-5</v>
      </c>
      <c r="AU86" t="s">
        <v>28</v>
      </c>
      <c r="AV86">
        <v>0</v>
      </c>
      <c r="AW86">
        <v>2</v>
      </c>
      <c r="AX86">
        <v>55984114</v>
      </c>
      <c r="AY86">
        <v>1</v>
      </c>
      <c r="AZ86">
        <v>0</v>
      </c>
      <c r="BA86">
        <v>106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ROUND(Y86*Source!I39,9)</f>
        <v>0</v>
      </c>
      <c r="CY86">
        <f t="shared" si="37"/>
        <v>7305.88</v>
      </c>
      <c r="CZ86">
        <f t="shared" si="38"/>
        <v>1219.68</v>
      </c>
      <c r="DA86">
        <f t="shared" si="39"/>
        <v>5.99</v>
      </c>
      <c r="DB86">
        <f t="shared" si="40"/>
        <v>0</v>
      </c>
      <c r="DC86">
        <f t="shared" si="41"/>
        <v>0</v>
      </c>
      <c r="DD86" t="s">
        <v>3</v>
      </c>
      <c r="DE86" t="s">
        <v>3</v>
      </c>
      <c r="DF86">
        <f t="shared" si="42"/>
        <v>0</v>
      </c>
      <c r="DG86">
        <f t="shared" si="34"/>
        <v>0</v>
      </c>
      <c r="DH86">
        <f t="shared" si="35"/>
        <v>0</v>
      </c>
      <c r="DI86">
        <f t="shared" si="25"/>
        <v>0</v>
      </c>
      <c r="DJ86">
        <f t="shared" si="43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ROW(Source!A39)</f>
        <v>39</v>
      </c>
      <c r="B87">
        <v>55934357</v>
      </c>
      <c r="C87">
        <v>55984096</v>
      </c>
      <c r="D87">
        <v>55460328</v>
      </c>
      <c r="E87">
        <v>1</v>
      </c>
      <c r="F87">
        <v>1</v>
      </c>
      <c r="G87">
        <v>1081</v>
      </c>
      <c r="H87">
        <v>3</v>
      </c>
      <c r="I87" t="s">
        <v>263</v>
      </c>
      <c r="J87" t="s">
        <v>264</v>
      </c>
      <c r="K87" t="s">
        <v>265</v>
      </c>
      <c r="L87">
        <v>1301</v>
      </c>
      <c r="N87">
        <v>1003</v>
      </c>
      <c r="O87" t="s">
        <v>266</v>
      </c>
      <c r="P87" t="s">
        <v>266</v>
      </c>
      <c r="Q87">
        <v>1</v>
      </c>
      <c r="W87">
        <v>0</v>
      </c>
      <c r="X87">
        <v>-206055494</v>
      </c>
      <c r="Y87">
        <f t="shared" si="36"/>
        <v>0</v>
      </c>
      <c r="AA87">
        <v>5.48</v>
      </c>
      <c r="AB87">
        <v>0</v>
      </c>
      <c r="AC87">
        <v>0</v>
      </c>
      <c r="AD87">
        <v>0</v>
      </c>
      <c r="AE87">
        <v>0.39</v>
      </c>
      <c r="AF87">
        <v>0</v>
      </c>
      <c r="AG87">
        <v>0</v>
      </c>
      <c r="AH87">
        <v>0</v>
      </c>
      <c r="AI87">
        <v>14.05</v>
      </c>
      <c r="AJ87">
        <v>1</v>
      </c>
      <c r="AK87">
        <v>1</v>
      </c>
      <c r="AL87">
        <v>1</v>
      </c>
      <c r="AM87">
        <v>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5</v>
      </c>
      <c r="AU87" t="s">
        <v>28</v>
      </c>
      <c r="AV87">
        <v>0</v>
      </c>
      <c r="AW87">
        <v>2</v>
      </c>
      <c r="AX87">
        <v>55984115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ROUND(Y87*Source!I39,9)</f>
        <v>0</v>
      </c>
      <c r="CY87">
        <f t="shared" si="37"/>
        <v>5.48</v>
      </c>
      <c r="CZ87">
        <f t="shared" si="38"/>
        <v>0.39</v>
      </c>
      <c r="DA87">
        <f t="shared" si="39"/>
        <v>14.05</v>
      </c>
      <c r="DB87">
        <f t="shared" si="40"/>
        <v>0</v>
      </c>
      <c r="DC87">
        <f t="shared" si="41"/>
        <v>0</v>
      </c>
      <c r="DD87" t="s">
        <v>3</v>
      </c>
      <c r="DE87" t="s">
        <v>3</v>
      </c>
      <c r="DF87">
        <f t="shared" si="42"/>
        <v>0</v>
      </c>
      <c r="DG87">
        <f t="shared" si="34"/>
        <v>0</v>
      </c>
      <c r="DH87">
        <f t="shared" si="35"/>
        <v>0</v>
      </c>
      <c r="DI87">
        <f t="shared" si="25"/>
        <v>0</v>
      </c>
      <c r="DJ87">
        <f t="shared" si="43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ROW(Source!A39)</f>
        <v>39</v>
      </c>
      <c r="B88">
        <v>55934357</v>
      </c>
      <c r="C88">
        <v>55984096</v>
      </c>
      <c r="D88">
        <v>55459312</v>
      </c>
      <c r="E88">
        <v>1</v>
      </c>
      <c r="F88">
        <v>1</v>
      </c>
      <c r="G88">
        <v>1081</v>
      </c>
      <c r="H88">
        <v>3</v>
      </c>
      <c r="I88" t="s">
        <v>267</v>
      </c>
      <c r="J88" t="s">
        <v>268</v>
      </c>
      <c r="K88" t="s">
        <v>269</v>
      </c>
      <c r="L88">
        <v>1339</v>
      </c>
      <c r="N88">
        <v>1007</v>
      </c>
      <c r="O88" t="s">
        <v>270</v>
      </c>
      <c r="P88" t="s">
        <v>270</v>
      </c>
      <c r="Q88">
        <v>1</v>
      </c>
      <c r="W88">
        <v>0</v>
      </c>
      <c r="X88">
        <v>-366856290</v>
      </c>
      <c r="Y88">
        <f t="shared" si="36"/>
        <v>0</v>
      </c>
      <c r="AA88">
        <v>8598.75</v>
      </c>
      <c r="AB88">
        <v>0</v>
      </c>
      <c r="AC88">
        <v>0</v>
      </c>
      <c r="AD88">
        <v>0</v>
      </c>
      <c r="AE88">
        <v>1176.3</v>
      </c>
      <c r="AF88">
        <v>0</v>
      </c>
      <c r="AG88">
        <v>0</v>
      </c>
      <c r="AH88">
        <v>0</v>
      </c>
      <c r="AI88">
        <v>7.31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1E-3</v>
      </c>
      <c r="AU88" t="s">
        <v>28</v>
      </c>
      <c r="AV88">
        <v>0</v>
      </c>
      <c r="AW88">
        <v>2</v>
      </c>
      <c r="AX88">
        <v>55984116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ROUND(Y88*Source!I39,9)</f>
        <v>0</v>
      </c>
      <c r="CY88">
        <f t="shared" si="37"/>
        <v>8598.75</v>
      </c>
      <c r="CZ88">
        <f t="shared" si="38"/>
        <v>1176.3</v>
      </c>
      <c r="DA88">
        <f t="shared" si="39"/>
        <v>7.31</v>
      </c>
      <c r="DB88">
        <f t="shared" si="40"/>
        <v>0</v>
      </c>
      <c r="DC88">
        <f t="shared" si="41"/>
        <v>0</v>
      </c>
      <c r="DD88" t="s">
        <v>3</v>
      </c>
      <c r="DE88" t="s">
        <v>3</v>
      </c>
      <c r="DF88">
        <f t="shared" si="42"/>
        <v>0</v>
      </c>
      <c r="DG88">
        <f t="shared" si="34"/>
        <v>0</v>
      </c>
      <c r="DH88">
        <f t="shared" si="35"/>
        <v>0</v>
      </c>
      <c r="DI88">
        <f t="shared" si="25"/>
        <v>0</v>
      </c>
      <c r="DJ88">
        <f t="shared" si="43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ROW(Source!A39)</f>
        <v>39</v>
      </c>
      <c r="B89">
        <v>55934357</v>
      </c>
      <c r="C89">
        <v>55984096</v>
      </c>
      <c r="D89">
        <v>55461230</v>
      </c>
      <c r="E89">
        <v>1</v>
      </c>
      <c r="F89">
        <v>1</v>
      </c>
      <c r="G89">
        <v>1081</v>
      </c>
      <c r="H89">
        <v>3</v>
      </c>
      <c r="I89" t="s">
        <v>271</v>
      </c>
      <c r="J89" t="s">
        <v>272</v>
      </c>
      <c r="K89" t="s">
        <v>273</v>
      </c>
      <c r="L89">
        <v>1346</v>
      </c>
      <c r="N89">
        <v>1009</v>
      </c>
      <c r="O89" t="s">
        <v>252</v>
      </c>
      <c r="P89" t="s">
        <v>252</v>
      </c>
      <c r="Q89">
        <v>1</v>
      </c>
      <c r="W89">
        <v>0</v>
      </c>
      <c r="X89">
        <v>1561715650</v>
      </c>
      <c r="Y89">
        <f t="shared" si="36"/>
        <v>0</v>
      </c>
      <c r="AA89">
        <v>200.81</v>
      </c>
      <c r="AB89">
        <v>0</v>
      </c>
      <c r="AC89">
        <v>0</v>
      </c>
      <c r="AD89">
        <v>0</v>
      </c>
      <c r="AE89">
        <v>15.11</v>
      </c>
      <c r="AF89">
        <v>0</v>
      </c>
      <c r="AG89">
        <v>0</v>
      </c>
      <c r="AH89">
        <v>0</v>
      </c>
      <c r="AI89">
        <v>13.29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0.01</v>
      </c>
      <c r="AU89" t="s">
        <v>28</v>
      </c>
      <c r="AV89">
        <v>0</v>
      </c>
      <c r="AW89">
        <v>2</v>
      </c>
      <c r="AX89">
        <v>55984117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ROUND(Y89*Source!I39,9)</f>
        <v>0</v>
      </c>
      <c r="CY89">
        <f t="shared" si="37"/>
        <v>200.81</v>
      </c>
      <c r="CZ89">
        <f t="shared" si="38"/>
        <v>15.11</v>
      </c>
      <c r="DA89">
        <f t="shared" si="39"/>
        <v>13.29</v>
      </c>
      <c r="DB89">
        <f t="shared" si="40"/>
        <v>0</v>
      </c>
      <c r="DC89">
        <f t="shared" si="41"/>
        <v>0</v>
      </c>
      <c r="DD89" t="s">
        <v>3</v>
      </c>
      <c r="DE89" t="s">
        <v>3</v>
      </c>
      <c r="DF89">
        <f t="shared" si="42"/>
        <v>0</v>
      </c>
      <c r="DG89">
        <f t="shared" si="34"/>
        <v>0</v>
      </c>
      <c r="DH89">
        <f t="shared" si="35"/>
        <v>0</v>
      </c>
      <c r="DI89">
        <f t="shared" si="25"/>
        <v>0</v>
      </c>
      <c r="DJ89">
        <f t="shared" si="43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ROW(Source!A39)</f>
        <v>39</v>
      </c>
      <c r="B90">
        <v>55934357</v>
      </c>
      <c r="C90">
        <v>55984096</v>
      </c>
      <c r="D90">
        <v>55459400</v>
      </c>
      <c r="E90">
        <v>1</v>
      </c>
      <c r="F90">
        <v>1</v>
      </c>
      <c r="G90">
        <v>1081</v>
      </c>
      <c r="H90">
        <v>3</v>
      </c>
      <c r="I90" t="s">
        <v>274</v>
      </c>
      <c r="J90" t="s">
        <v>275</v>
      </c>
      <c r="K90" t="s">
        <v>276</v>
      </c>
      <c r="L90">
        <v>1346</v>
      </c>
      <c r="N90">
        <v>1009</v>
      </c>
      <c r="O90" t="s">
        <v>252</v>
      </c>
      <c r="P90" t="s">
        <v>252</v>
      </c>
      <c r="Q90">
        <v>1</v>
      </c>
      <c r="W90">
        <v>0</v>
      </c>
      <c r="X90">
        <v>-2129869794</v>
      </c>
      <c r="Y90">
        <f t="shared" si="36"/>
        <v>0</v>
      </c>
      <c r="AA90">
        <v>387.54</v>
      </c>
      <c r="AB90">
        <v>0</v>
      </c>
      <c r="AC90">
        <v>0</v>
      </c>
      <c r="AD90">
        <v>0</v>
      </c>
      <c r="AE90">
        <v>16.690000000000001</v>
      </c>
      <c r="AF90">
        <v>0</v>
      </c>
      <c r="AG90">
        <v>0</v>
      </c>
      <c r="AH90">
        <v>0</v>
      </c>
      <c r="AI90">
        <v>23.22</v>
      </c>
      <c r="AJ90">
        <v>1</v>
      </c>
      <c r="AK90">
        <v>1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0.01</v>
      </c>
      <c r="AU90" t="s">
        <v>28</v>
      </c>
      <c r="AV90">
        <v>0</v>
      </c>
      <c r="AW90">
        <v>2</v>
      </c>
      <c r="AX90">
        <v>55984118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ROUND(Y90*Source!I39,9)</f>
        <v>0</v>
      </c>
      <c r="CY90">
        <f t="shared" si="37"/>
        <v>387.54</v>
      </c>
      <c r="CZ90">
        <f t="shared" si="38"/>
        <v>16.690000000000001</v>
      </c>
      <c r="DA90">
        <f t="shared" si="39"/>
        <v>23.22</v>
      </c>
      <c r="DB90">
        <f t="shared" si="40"/>
        <v>0</v>
      </c>
      <c r="DC90">
        <f t="shared" si="41"/>
        <v>0</v>
      </c>
      <c r="DD90" t="s">
        <v>3</v>
      </c>
      <c r="DE90" t="s">
        <v>3</v>
      </c>
      <c r="DF90">
        <f t="shared" si="42"/>
        <v>0</v>
      </c>
      <c r="DG90">
        <f t="shared" si="34"/>
        <v>0</v>
      </c>
      <c r="DH90">
        <f t="shared" si="35"/>
        <v>0</v>
      </c>
      <c r="DI90">
        <f t="shared" si="25"/>
        <v>0</v>
      </c>
      <c r="DJ90">
        <f t="shared" si="43"/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5">
      <c r="A91">
        <f>ROW(Source!A39)</f>
        <v>39</v>
      </c>
      <c r="B91">
        <v>55934357</v>
      </c>
      <c r="C91">
        <v>55984096</v>
      </c>
      <c r="D91">
        <v>55461719</v>
      </c>
      <c r="E91">
        <v>1</v>
      </c>
      <c r="F91">
        <v>1</v>
      </c>
      <c r="G91">
        <v>1081</v>
      </c>
      <c r="H91">
        <v>3</v>
      </c>
      <c r="I91" t="s">
        <v>229</v>
      </c>
      <c r="J91" t="s">
        <v>230</v>
      </c>
      <c r="K91" t="s">
        <v>231</v>
      </c>
      <c r="L91">
        <v>1348</v>
      </c>
      <c r="N91">
        <v>1009</v>
      </c>
      <c r="O91" t="s">
        <v>232</v>
      </c>
      <c r="P91" t="s">
        <v>232</v>
      </c>
      <c r="Q91">
        <v>1000</v>
      </c>
      <c r="W91">
        <v>0</v>
      </c>
      <c r="X91">
        <v>-1265888387</v>
      </c>
      <c r="Y91">
        <f t="shared" si="36"/>
        <v>0</v>
      </c>
      <c r="AA91">
        <v>147514.47</v>
      </c>
      <c r="AB91">
        <v>0</v>
      </c>
      <c r="AC91">
        <v>0</v>
      </c>
      <c r="AD91">
        <v>0</v>
      </c>
      <c r="AE91">
        <v>10643.18</v>
      </c>
      <c r="AF91">
        <v>0</v>
      </c>
      <c r="AG91">
        <v>0</v>
      </c>
      <c r="AH91">
        <v>0</v>
      </c>
      <c r="AI91">
        <v>13.86</v>
      </c>
      <c r="AJ91">
        <v>1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1E-4</v>
      </c>
      <c r="AU91" t="s">
        <v>28</v>
      </c>
      <c r="AV91">
        <v>0</v>
      </c>
      <c r="AW91">
        <v>2</v>
      </c>
      <c r="AX91">
        <v>55984119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ROUND(Y91*Source!I39,9)</f>
        <v>0</v>
      </c>
      <c r="CY91">
        <f t="shared" si="37"/>
        <v>147514.47</v>
      </c>
      <c r="CZ91">
        <f t="shared" si="38"/>
        <v>10643.18</v>
      </c>
      <c r="DA91">
        <f t="shared" si="39"/>
        <v>13.86</v>
      </c>
      <c r="DB91">
        <f t="shared" si="40"/>
        <v>0</v>
      </c>
      <c r="DC91">
        <f t="shared" si="41"/>
        <v>0</v>
      </c>
      <c r="DD91" t="s">
        <v>3</v>
      </c>
      <c r="DE91" t="s">
        <v>3</v>
      </c>
      <c r="DF91">
        <f t="shared" si="42"/>
        <v>0</v>
      </c>
      <c r="DG91">
        <f t="shared" si="34"/>
        <v>0</v>
      </c>
      <c r="DH91">
        <f t="shared" si="35"/>
        <v>0</v>
      </c>
      <c r="DI91">
        <f t="shared" si="25"/>
        <v>0</v>
      </c>
      <c r="DJ91">
        <f t="shared" si="43"/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ROW(Source!A39)</f>
        <v>39</v>
      </c>
      <c r="B92">
        <v>55934357</v>
      </c>
      <c r="C92">
        <v>55984096</v>
      </c>
      <c r="D92">
        <v>55466000</v>
      </c>
      <c r="E92">
        <v>1</v>
      </c>
      <c r="F92">
        <v>1</v>
      </c>
      <c r="G92">
        <v>1081</v>
      </c>
      <c r="H92">
        <v>3</v>
      </c>
      <c r="I92" t="s">
        <v>277</v>
      </c>
      <c r="J92" t="s">
        <v>278</v>
      </c>
      <c r="K92" t="s">
        <v>279</v>
      </c>
      <c r="L92">
        <v>1355</v>
      </c>
      <c r="N92">
        <v>1010</v>
      </c>
      <c r="O92" t="s">
        <v>280</v>
      </c>
      <c r="P92" t="s">
        <v>280</v>
      </c>
      <c r="Q92">
        <v>100</v>
      </c>
      <c r="W92">
        <v>0</v>
      </c>
      <c r="X92">
        <v>436393287</v>
      </c>
      <c r="Y92">
        <f t="shared" si="36"/>
        <v>0</v>
      </c>
      <c r="AA92">
        <v>1555.26</v>
      </c>
      <c r="AB92">
        <v>0</v>
      </c>
      <c r="AC92">
        <v>0</v>
      </c>
      <c r="AD92">
        <v>0</v>
      </c>
      <c r="AE92">
        <v>120.19</v>
      </c>
      <c r="AF92">
        <v>0</v>
      </c>
      <c r="AG92">
        <v>0</v>
      </c>
      <c r="AH92">
        <v>0</v>
      </c>
      <c r="AI92">
        <v>12.94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0.01</v>
      </c>
      <c r="AU92" t="s">
        <v>28</v>
      </c>
      <c r="AV92">
        <v>0</v>
      </c>
      <c r="AW92">
        <v>2</v>
      </c>
      <c r="AX92">
        <v>55984120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ROUND(Y92*Source!I39,9)</f>
        <v>0</v>
      </c>
      <c r="CY92">
        <f t="shared" si="37"/>
        <v>1555.26</v>
      </c>
      <c r="CZ92">
        <f t="shared" si="38"/>
        <v>120.19</v>
      </c>
      <c r="DA92">
        <f t="shared" si="39"/>
        <v>12.94</v>
      </c>
      <c r="DB92">
        <f t="shared" si="40"/>
        <v>0</v>
      </c>
      <c r="DC92">
        <f t="shared" si="41"/>
        <v>0</v>
      </c>
      <c r="DD92" t="s">
        <v>3</v>
      </c>
      <c r="DE92" t="s">
        <v>3</v>
      </c>
      <c r="DF92">
        <f t="shared" si="42"/>
        <v>0</v>
      </c>
      <c r="DG92">
        <f t="shared" si="34"/>
        <v>0</v>
      </c>
      <c r="DH92">
        <f t="shared" si="35"/>
        <v>0</v>
      </c>
      <c r="DI92">
        <f t="shared" si="25"/>
        <v>0</v>
      </c>
      <c r="DJ92">
        <f t="shared" si="43"/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ROW(Source!A39)</f>
        <v>39</v>
      </c>
      <c r="B93">
        <v>55934357</v>
      </c>
      <c r="C93">
        <v>55984096</v>
      </c>
      <c r="D93">
        <v>55459793</v>
      </c>
      <c r="E93">
        <v>1</v>
      </c>
      <c r="F93">
        <v>1</v>
      </c>
      <c r="G93">
        <v>1081</v>
      </c>
      <c r="H93">
        <v>3</v>
      </c>
      <c r="I93" t="s">
        <v>233</v>
      </c>
      <c r="J93" t="s">
        <v>234</v>
      </c>
      <c r="K93" t="s">
        <v>235</v>
      </c>
      <c r="L93">
        <v>1348</v>
      </c>
      <c r="N93">
        <v>1009</v>
      </c>
      <c r="O93" t="s">
        <v>232</v>
      </c>
      <c r="P93" t="s">
        <v>232</v>
      </c>
      <c r="Q93">
        <v>1000</v>
      </c>
      <c r="W93">
        <v>0</v>
      </c>
      <c r="X93">
        <v>-761454284</v>
      </c>
      <c r="Y93">
        <f t="shared" si="36"/>
        <v>0</v>
      </c>
      <c r="AA93">
        <v>1930745.04</v>
      </c>
      <c r="AB93">
        <v>0</v>
      </c>
      <c r="AC93">
        <v>0</v>
      </c>
      <c r="AD93">
        <v>0</v>
      </c>
      <c r="AE93">
        <v>64123.05</v>
      </c>
      <c r="AF93">
        <v>0</v>
      </c>
      <c r="AG93">
        <v>0</v>
      </c>
      <c r="AH93">
        <v>0</v>
      </c>
      <c r="AI93">
        <v>30.11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2.0000000000000002E-5</v>
      </c>
      <c r="AU93" t="s">
        <v>28</v>
      </c>
      <c r="AV93">
        <v>0</v>
      </c>
      <c r="AW93">
        <v>2</v>
      </c>
      <c r="AX93">
        <v>55984121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ROUND(Y93*Source!I39,9)</f>
        <v>0</v>
      </c>
      <c r="CY93">
        <f t="shared" si="37"/>
        <v>1930745.04</v>
      </c>
      <c r="CZ93">
        <f t="shared" si="38"/>
        <v>64123.05</v>
      </c>
      <c r="DA93">
        <f t="shared" si="39"/>
        <v>30.11</v>
      </c>
      <c r="DB93">
        <f t="shared" si="40"/>
        <v>0</v>
      </c>
      <c r="DC93">
        <f t="shared" si="41"/>
        <v>0</v>
      </c>
      <c r="DD93" t="s">
        <v>3</v>
      </c>
      <c r="DE93" t="s">
        <v>3</v>
      </c>
      <c r="DF93">
        <f t="shared" si="42"/>
        <v>0</v>
      </c>
      <c r="DG93">
        <f t="shared" si="34"/>
        <v>0</v>
      </c>
      <c r="DH93">
        <f t="shared" si="35"/>
        <v>0</v>
      </c>
      <c r="DI93">
        <f t="shared" si="25"/>
        <v>0</v>
      </c>
      <c r="DJ93">
        <f t="shared" si="43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ROW(Source!A39)</f>
        <v>39</v>
      </c>
      <c r="B94">
        <v>55934357</v>
      </c>
      <c r="C94">
        <v>55984096</v>
      </c>
      <c r="D94">
        <v>55459810</v>
      </c>
      <c r="E94">
        <v>1</v>
      </c>
      <c r="F94">
        <v>1</v>
      </c>
      <c r="G94">
        <v>1081</v>
      </c>
      <c r="H94">
        <v>3</v>
      </c>
      <c r="I94" t="s">
        <v>281</v>
      </c>
      <c r="J94" t="s">
        <v>282</v>
      </c>
      <c r="K94" t="s">
        <v>283</v>
      </c>
      <c r="L94">
        <v>1348</v>
      </c>
      <c r="N94">
        <v>1009</v>
      </c>
      <c r="O94" t="s">
        <v>232</v>
      </c>
      <c r="P94" t="s">
        <v>232</v>
      </c>
      <c r="Q94">
        <v>1000</v>
      </c>
      <c r="W94">
        <v>0</v>
      </c>
      <c r="X94">
        <v>-98394079</v>
      </c>
      <c r="Y94">
        <f t="shared" si="36"/>
        <v>0</v>
      </c>
      <c r="AA94">
        <v>69285.98</v>
      </c>
      <c r="AB94">
        <v>0</v>
      </c>
      <c r="AC94">
        <v>0</v>
      </c>
      <c r="AD94">
        <v>0</v>
      </c>
      <c r="AE94">
        <v>9238.1299999999992</v>
      </c>
      <c r="AF94">
        <v>0</v>
      </c>
      <c r="AG94">
        <v>0</v>
      </c>
      <c r="AH94">
        <v>0</v>
      </c>
      <c r="AI94">
        <v>7.5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1E-4</v>
      </c>
      <c r="AU94" t="s">
        <v>28</v>
      </c>
      <c r="AV94">
        <v>0</v>
      </c>
      <c r="AW94">
        <v>2</v>
      </c>
      <c r="AX94">
        <v>55984122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ROUND(Y94*Source!I39,9)</f>
        <v>0</v>
      </c>
      <c r="CY94">
        <f t="shared" si="37"/>
        <v>69285.98</v>
      </c>
      <c r="CZ94">
        <f t="shared" si="38"/>
        <v>9238.1299999999992</v>
      </c>
      <c r="DA94">
        <f t="shared" si="39"/>
        <v>7.5</v>
      </c>
      <c r="DB94">
        <f t="shared" si="40"/>
        <v>0</v>
      </c>
      <c r="DC94">
        <f t="shared" si="41"/>
        <v>0</v>
      </c>
      <c r="DD94" t="s">
        <v>3</v>
      </c>
      <c r="DE94" t="s">
        <v>3</v>
      </c>
      <c r="DF94">
        <f t="shared" si="42"/>
        <v>0</v>
      </c>
      <c r="DG94">
        <f t="shared" si="34"/>
        <v>0</v>
      </c>
      <c r="DH94">
        <f t="shared" si="35"/>
        <v>0</v>
      </c>
      <c r="DI94">
        <f t="shared" si="25"/>
        <v>0</v>
      </c>
      <c r="DJ94">
        <f t="shared" si="43"/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ROW(Source!A39)</f>
        <v>39</v>
      </c>
      <c r="B95">
        <v>55934357</v>
      </c>
      <c r="C95">
        <v>55984096</v>
      </c>
      <c r="D95">
        <v>55482166</v>
      </c>
      <c r="E95">
        <v>1</v>
      </c>
      <c r="F95">
        <v>1</v>
      </c>
      <c r="G95">
        <v>1081</v>
      </c>
      <c r="H95">
        <v>3</v>
      </c>
      <c r="I95" t="s">
        <v>284</v>
      </c>
      <c r="J95" t="s">
        <v>285</v>
      </c>
      <c r="K95" t="s">
        <v>286</v>
      </c>
      <c r="L95">
        <v>1301</v>
      </c>
      <c r="N95">
        <v>1003</v>
      </c>
      <c r="O95" t="s">
        <v>266</v>
      </c>
      <c r="P95" t="s">
        <v>266</v>
      </c>
      <c r="Q95">
        <v>1</v>
      </c>
      <c r="W95">
        <v>0</v>
      </c>
      <c r="X95">
        <v>876831867</v>
      </c>
      <c r="Y95">
        <f t="shared" si="36"/>
        <v>0</v>
      </c>
      <c r="AA95">
        <v>4.76</v>
      </c>
      <c r="AB95">
        <v>0</v>
      </c>
      <c r="AC95">
        <v>0</v>
      </c>
      <c r="AD95">
        <v>0</v>
      </c>
      <c r="AE95">
        <v>0.69</v>
      </c>
      <c r="AF95">
        <v>0</v>
      </c>
      <c r="AG95">
        <v>0</v>
      </c>
      <c r="AH95">
        <v>0</v>
      </c>
      <c r="AI95">
        <v>6.9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</v>
      </c>
      <c r="AU95" t="s">
        <v>28</v>
      </c>
      <c r="AV95">
        <v>0</v>
      </c>
      <c r="AW95">
        <v>2</v>
      </c>
      <c r="AX95">
        <v>55984123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ROUND(Y95*Source!I39,9)</f>
        <v>0</v>
      </c>
      <c r="CY95">
        <f t="shared" si="37"/>
        <v>4.76</v>
      </c>
      <c r="CZ95">
        <f t="shared" si="38"/>
        <v>0.69</v>
      </c>
      <c r="DA95">
        <f t="shared" si="39"/>
        <v>6.9</v>
      </c>
      <c r="DB95">
        <f t="shared" si="40"/>
        <v>0</v>
      </c>
      <c r="DC95">
        <f t="shared" si="41"/>
        <v>0</v>
      </c>
      <c r="DD95" t="s">
        <v>3</v>
      </c>
      <c r="DE95" t="s">
        <v>3</v>
      </c>
      <c r="DF95">
        <f t="shared" si="42"/>
        <v>0</v>
      </c>
      <c r="DG95">
        <f t="shared" si="34"/>
        <v>0</v>
      </c>
      <c r="DH95">
        <f t="shared" si="35"/>
        <v>0</v>
      </c>
      <c r="DI95">
        <f t="shared" si="25"/>
        <v>0</v>
      </c>
      <c r="DJ95">
        <f t="shared" si="43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ROW(Source!A39)</f>
        <v>39</v>
      </c>
      <c r="B96">
        <v>55934357</v>
      </c>
      <c r="C96">
        <v>55984096</v>
      </c>
      <c r="D96">
        <v>55482445</v>
      </c>
      <c r="E96">
        <v>1</v>
      </c>
      <c r="F96">
        <v>1</v>
      </c>
      <c r="G96">
        <v>1081</v>
      </c>
      <c r="H96">
        <v>3</v>
      </c>
      <c r="I96" t="s">
        <v>287</v>
      </c>
      <c r="J96" t="s">
        <v>288</v>
      </c>
      <c r="K96" t="s">
        <v>289</v>
      </c>
      <c r="L96">
        <v>1356</v>
      </c>
      <c r="N96">
        <v>1010</v>
      </c>
      <c r="O96" t="s">
        <v>246</v>
      </c>
      <c r="P96" t="s">
        <v>246</v>
      </c>
      <c r="Q96">
        <v>1000</v>
      </c>
      <c r="W96">
        <v>0</v>
      </c>
      <c r="X96">
        <v>-285397556</v>
      </c>
      <c r="Y96">
        <f t="shared" si="36"/>
        <v>0</v>
      </c>
      <c r="AA96">
        <v>1040.96</v>
      </c>
      <c r="AB96">
        <v>0</v>
      </c>
      <c r="AC96">
        <v>0</v>
      </c>
      <c r="AD96">
        <v>0</v>
      </c>
      <c r="AE96">
        <v>294.89</v>
      </c>
      <c r="AF96">
        <v>0</v>
      </c>
      <c r="AG96">
        <v>0</v>
      </c>
      <c r="AH96">
        <v>0</v>
      </c>
      <c r="AI96">
        <v>3.53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0.01</v>
      </c>
      <c r="AU96" t="s">
        <v>28</v>
      </c>
      <c r="AV96">
        <v>0</v>
      </c>
      <c r="AW96">
        <v>2</v>
      </c>
      <c r="AX96">
        <v>55984124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ROUND(Y96*Source!I39,9)</f>
        <v>0</v>
      </c>
      <c r="CY96">
        <f t="shared" si="37"/>
        <v>1040.96</v>
      </c>
      <c r="CZ96">
        <f t="shared" si="38"/>
        <v>294.89</v>
      </c>
      <c r="DA96">
        <f t="shared" si="39"/>
        <v>3.53</v>
      </c>
      <c r="DB96">
        <f t="shared" si="40"/>
        <v>0</v>
      </c>
      <c r="DC96">
        <f t="shared" si="41"/>
        <v>0</v>
      </c>
      <c r="DD96" t="s">
        <v>3</v>
      </c>
      <c r="DE96" t="s">
        <v>3</v>
      </c>
      <c r="DF96">
        <f t="shared" si="42"/>
        <v>0</v>
      </c>
      <c r="DG96">
        <f t="shared" si="34"/>
        <v>0</v>
      </c>
      <c r="DH96">
        <f t="shared" si="35"/>
        <v>0</v>
      </c>
      <c r="DI96">
        <f t="shared" si="25"/>
        <v>0</v>
      </c>
      <c r="DJ96">
        <f t="shared" si="43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ROW(Source!A39)</f>
        <v>39</v>
      </c>
      <c r="B97">
        <v>55934357</v>
      </c>
      <c r="C97">
        <v>55984096</v>
      </c>
      <c r="D97">
        <v>55481518</v>
      </c>
      <c r="E97">
        <v>1</v>
      </c>
      <c r="F97">
        <v>1</v>
      </c>
      <c r="G97">
        <v>1081</v>
      </c>
      <c r="H97">
        <v>3</v>
      </c>
      <c r="I97" t="s">
        <v>290</v>
      </c>
      <c r="J97" t="s">
        <v>291</v>
      </c>
      <c r="K97" t="s">
        <v>292</v>
      </c>
      <c r="L97">
        <v>1354</v>
      </c>
      <c r="N97">
        <v>1010</v>
      </c>
      <c r="O97" t="s">
        <v>293</v>
      </c>
      <c r="P97" t="s">
        <v>293</v>
      </c>
      <c r="Q97">
        <v>1</v>
      </c>
      <c r="W97">
        <v>0</v>
      </c>
      <c r="X97">
        <v>55982921</v>
      </c>
      <c r="Y97">
        <f t="shared" si="36"/>
        <v>0</v>
      </c>
      <c r="AA97">
        <v>10.66</v>
      </c>
      <c r="AB97">
        <v>0</v>
      </c>
      <c r="AC97">
        <v>0</v>
      </c>
      <c r="AD97">
        <v>0</v>
      </c>
      <c r="AE97">
        <v>15.67</v>
      </c>
      <c r="AF97">
        <v>0</v>
      </c>
      <c r="AG97">
        <v>0</v>
      </c>
      <c r="AH97">
        <v>0</v>
      </c>
      <c r="AI97">
        <v>0.68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</v>
      </c>
      <c r="AU97" t="s">
        <v>28</v>
      </c>
      <c r="AV97">
        <v>0</v>
      </c>
      <c r="AW97">
        <v>2</v>
      </c>
      <c r="AX97">
        <v>55984125</v>
      </c>
      <c r="AY97">
        <v>1</v>
      </c>
      <c r="AZ97">
        <v>0</v>
      </c>
      <c r="BA97">
        <v>117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ROUND(Y97*Source!I39,9)</f>
        <v>0</v>
      </c>
      <c r="CY97">
        <f t="shared" si="37"/>
        <v>10.66</v>
      </c>
      <c r="CZ97">
        <f t="shared" si="38"/>
        <v>15.67</v>
      </c>
      <c r="DA97">
        <f t="shared" si="39"/>
        <v>0.68</v>
      </c>
      <c r="DB97">
        <f t="shared" si="40"/>
        <v>0</v>
      </c>
      <c r="DC97">
        <f t="shared" si="41"/>
        <v>0</v>
      </c>
      <c r="DD97" t="s">
        <v>3</v>
      </c>
      <c r="DE97" t="s">
        <v>3</v>
      </c>
      <c r="DF97">
        <f t="shared" si="42"/>
        <v>0</v>
      </c>
      <c r="DG97">
        <f t="shared" si="34"/>
        <v>0</v>
      </c>
      <c r="DH97">
        <f t="shared" si="35"/>
        <v>0</v>
      </c>
      <c r="DI97">
        <f t="shared" si="25"/>
        <v>0</v>
      </c>
      <c r="DJ97">
        <f t="shared" si="43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ROW(Source!A39)</f>
        <v>39</v>
      </c>
      <c r="B98">
        <v>55934357</v>
      </c>
      <c r="C98">
        <v>55984096</v>
      </c>
      <c r="D98">
        <v>55424290</v>
      </c>
      <c r="E98">
        <v>1081</v>
      </c>
      <c r="F98">
        <v>1</v>
      </c>
      <c r="G98">
        <v>1081</v>
      </c>
      <c r="H98">
        <v>3</v>
      </c>
      <c r="I98" t="s">
        <v>247</v>
      </c>
      <c r="J98" t="s">
        <v>3</v>
      </c>
      <c r="K98" t="s">
        <v>248</v>
      </c>
      <c r="L98">
        <v>1348</v>
      </c>
      <c r="N98">
        <v>1009</v>
      </c>
      <c r="O98" t="s">
        <v>232</v>
      </c>
      <c r="P98" t="s">
        <v>232</v>
      </c>
      <c r="Q98">
        <v>1000</v>
      </c>
      <c r="W98">
        <v>0</v>
      </c>
      <c r="X98">
        <v>-783086922</v>
      </c>
      <c r="Y98">
        <f t="shared" si="36"/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9.84</v>
      </c>
      <c r="AJ98">
        <v>1</v>
      </c>
      <c r="AK98">
        <v>1</v>
      </c>
      <c r="AL98">
        <v>1</v>
      </c>
      <c r="AM98">
        <v>5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1E-3</v>
      </c>
      <c r="AU98" t="s">
        <v>28</v>
      </c>
      <c r="AV98">
        <v>0</v>
      </c>
      <c r="AW98">
        <v>2</v>
      </c>
      <c r="AX98">
        <v>55984128</v>
      </c>
      <c r="AY98">
        <v>1</v>
      </c>
      <c r="AZ98">
        <v>0</v>
      </c>
      <c r="BA98">
        <v>120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ROUND(Y98*Source!I39,9)</f>
        <v>0</v>
      </c>
      <c r="CY98">
        <f t="shared" si="37"/>
        <v>0</v>
      </c>
      <c r="CZ98">
        <f t="shared" si="38"/>
        <v>0</v>
      </c>
      <c r="DA98">
        <f t="shared" si="39"/>
        <v>9.84</v>
      </c>
      <c r="DB98">
        <f t="shared" si="40"/>
        <v>0</v>
      </c>
      <c r="DC98">
        <f t="shared" si="41"/>
        <v>0</v>
      </c>
      <c r="DD98" t="s">
        <v>3</v>
      </c>
      <c r="DE98" t="s">
        <v>3</v>
      </c>
      <c r="DF98">
        <f t="shared" si="42"/>
        <v>0</v>
      </c>
      <c r="DG98">
        <f t="shared" si="34"/>
        <v>0</v>
      </c>
      <c r="DH98">
        <f t="shared" si="35"/>
        <v>0</v>
      </c>
      <c r="DI98">
        <f t="shared" si="25"/>
        <v>0</v>
      </c>
      <c r="DJ98">
        <f t="shared" si="43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ROW(Source!A40)</f>
        <v>40</v>
      </c>
      <c r="B99">
        <v>55934355</v>
      </c>
      <c r="C99">
        <v>55984129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221</v>
      </c>
      <c r="J99" t="s">
        <v>3</v>
      </c>
      <c r="K99" t="s">
        <v>222</v>
      </c>
      <c r="L99">
        <v>1191</v>
      </c>
      <c r="N99">
        <v>1013</v>
      </c>
      <c r="O99" t="s">
        <v>223</v>
      </c>
      <c r="P99" t="s">
        <v>223</v>
      </c>
      <c r="Q99">
        <v>1</v>
      </c>
      <c r="W99">
        <v>0</v>
      </c>
      <c r="X99">
        <v>476480486</v>
      </c>
      <c r="Y99">
        <f>((AT99*1.2)*0.3)</f>
        <v>5.5943999999999994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15.54</v>
      </c>
      <c r="AU99" t="s">
        <v>29</v>
      </c>
      <c r="AV99">
        <v>1</v>
      </c>
      <c r="AW99">
        <v>2</v>
      </c>
      <c r="AX99">
        <v>55984136</v>
      </c>
      <c r="AY99">
        <v>1</v>
      </c>
      <c r="AZ99">
        <v>0</v>
      </c>
      <c r="BA99">
        <v>121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ROUND(AT99*Source!I40*AH99*AL99,2)</f>
        <v>0</v>
      </c>
      <c r="CV99">
        <f>ROUND(Y99*Source!I40,9)</f>
        <v>45.314639999999997</v>
      </c>
      <c r="CW99">
        <v>0</v>
      </c>
      <c r="CX99">
        <f>ROUND(Y99*Source!I40,9)</f>
        <v>45.314639999999997</v>
      </c>
      <c r="CY99">
        <f>AD99</f>
        <v>0</v>
      </c>
      <c r="CZ99">
        <f>AH99</f>
        <v>0</v>
      </c>
      <c r="DA99">
        <f>AL99</f>
        <v>1</v>
      </c>
      <c r="DB99">
        <f>ROUND(((ROUND(AT99*CZ99,2)*1.2)*0.3),6)</f>
        <v>0</v>
      </c>
      <c r="DC99">
        <f>ROUND(((ROUND(AT99*AG99,2)*1.2)*0.3),6)</f>
        <v>0</v>
      </c>
      <c r="DD99" t="s">
        <v>3</v>
      </c>
      <c r="DE99" t="s">
        <v>3</v>
      </c>
      <c r="DF99">
        <f t="shared" ref="DF99:DF108" si="44">ROUND(ROUND(AE99,2)*CX99,2)</f>
        <v>0</v>
      </c>
      <c r="DG99">
        <f t="shared" si="34"/>
        <v>0</v>
      </c>
      <c r="DH99">
        <f t="shared" si="35"/>
        <v>0</v>
      </c>
      <c r="DI99">
        <f t="shared" si="25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ROW(Source!A40)</f>
        <v>40</v>
      </c>
      <c r="B100">
        <v>55934355</v>
      </c>
      <c r="C100">
        <v>55984129</v>
      </c>
      <c r="D100">
        <v>55490209</v>
      </c>
      <c r="E100">
        <v>1</v>
      </c>
      <c r="F100">
        <v>1</v>
      </c>
      <c r="G100">
        <v>1081</v>
      </c>
      <c r="H100">
        <v>2</v>
      </c>
      <c r="I100" t="s">
        <v>294</v>
      </c>
      <c r="J100" t="s">
        <v>295</v>
      </c>
      <c r="K100" t="s">
        <v>296</v>
      </c>
      <c r="L100">
        <v>1368</v>
      </c>
      <c r="N100">
        <v>1011</v>
      </c>
      <c r="O100" t="s">
        <v>227</v>
      </c>
      <c r="P100" t="s">
        <v>227</v>
      </c>
      <c r="Q100">
        <v>1</v>
      </c>
      <c r="W100">
        <v>0</v>
      </c>
      <c r="X100">
        <v>874612079</v>
      </c>
      <c r="Y100">
        <f>((AT100*1.2)*0.3)</f>
        <v>3.5999999999999999E-3</v>
      </c>
      <c r="AA100">
        <v>0</v>
      </c>
      <c r="AB100">
        <v>87.01</v>
      </c>
      <c r="AC100">
        <v>13.21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-2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0.01</v>
      </c>
      <c r="AU100" t="s">
        <v>29</v>
      </c>
      <c r="AV100">
        <v>0</v>
      </c>
      <c r="AW100">
        <v>2</v>
      </c>
      <c r="AX100">
        <v>55984137</v>
      </c>
      <c r="AY100">
        <v>1</v>
      </c>
      <c r="AZ100">
        <v>0</v>
      </c>
      <c r="BA100">
        <v>122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ROUND(Y100*Source!I40*DO100,9)</f>
        <v>0.36799920000000003</v>
      </c>
      <c r="CX100">
        <f>ROUND(Y100*Source!I40,9)</f>
        <v>2.9159999999999998E-2</v>
      </c>
      <c r="CY100">
        <f>AB100</f>
        <v>87.01</v>
      </c>
      <c r="CZ100">
        <f>AF100</f>
        <v>83.1</v>
      </c>
      <c r="DA100">
        <f>AJ100</f>
        <v>1</v>
      </c>
      <c r="DB100">
        <f>ROUND(((ROUND(AT100*CZ100,2)*1.2)*0.3),6)</f>
        <v>0.29880000000000001</v>
      </c>
      <c r="DC100">
        <f>ROUND(((ROUND(AT100*AG100,2)*1.2)*0.3),6)</f>
        <v>4.6800000000000001E-2</v>
      </c>
      <c r="DD100" t="s">
        <v>3</v>
      </c>
      <c r="DE100" t="s">
        <v>3</v>
      </c>
      <c r="DF100">
        <f t="shared" si="44"/>
        <v>0</v>
      </c>
      <c r="DG100">
        <f t="shared" si="34"/>
        <v>2.42</v>
      </c>
      <c r="DH100">
        <f t="shared" si="35"/>
        <v>0.37</v>
      </c>
      <c r="DI100">
        <f t="shared" si="25"/>
        <v>0</v>
      </c>
      <c r="DJ100">
        <f>DG100</f>
        <v>2.42</v>
      </c>
      <c r="DK100">
        <v>0</v>
      </c>
      <c r="DL100" t="s">
        <v>228</v>
      </c>
      <c r="DM100">
        <v>0</v>
      </c>
      <c r="DN100" t="s">
        <v>223</v>
      </c>
      <c r="DO100">
        <v>12.62</v>
      </c>
    </row>
    <row r="101" spans="1:119" x14ac:dyDescent="0.25">
      <c r="A101">
        <f>ROW(Source!A40)</f>
        <v>40</v>
      </c>
      <c r="B101">
        <v>55934355</v>
      </c>
      <c r="C101">
        <v>55984129</v>
      </c>
      <c r="D101">
        <v>55490263</v>
      </c>
      <c r="E101">
        <v>1</v>
      </c>
      <c r="F101">
        <v>1</v>
      </c>
      <c r="G101">
        <v>1081</v>
      </c>
      <c r="H101">
        <v>2</v>
      </c>
      <c r="I101" t="s">
        <v>297</v>
      </c>
      <c r="J101" t="s">
        <v>298</v>
      </c>
      <c r="K101" t="s">
        <v>299</v>
      </c>
      <c r="L101">
        <v>1368</v>
      </c>
      <c r="N101">
        <v>1011</v>
      </c>
      <c r="O101" t="s">
        <v>227</v>
      </c>
      <c r="P101" t="s">
        <v>227</v>
      </c>
      <c r="Q101">
        <v>1</v>
      </c>
      <c r="W101">
        <v>0</v>
      </c>
      <c r="X101">
        <v>-1895752648</v>
      </c>
      <c r="Y101">
        <f>((AT101*1.2)*0.3)</f>
        <v>0.67320000000000002</v>
      </c>
      <c r="AA101">
        <v>0</v>
      </c>
      <c r="AB101">
        <v>0.81</v>
      </c>
      <c r="AC101">
        <v>0</v>
      </c>
      <c r="AD101">
        <v>0</v>
      </c>
      <c r="AE101">
        <v>0</v>
      </c>
      <c r="AF101">
        <v>0.77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1.87</v>
      </c>
      <c r="AU101" t="s">
        <v>29</v>
      </c>
      <c r="AV101">
        <v>0</v>
      </c>
      <c r="AW101">
        <v>2</v>
      </c>
      <c r="AX101">
        <v>55984138</v>
      </c>
      <c r="AY101">
        <v>1</v>
      </c>
      <c r="AZ101">
        <v>0</v>
      </c>
      <c r="BA101">
        <v>123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ROUND(Y101*Source!I40*DO101,9)</f>
        <v>0</v>
      </c>
      <c r="CX101">
        <f>ROUND(Y101*Source!I40,9)</f>
        <v>5.4529199999999998</v>
      </c>
      <c r="CY101">
        <f>AB101</f>
        <v>0.81</v>
      </c>
      <c r="CZ101">
        <f>AF101</f>
        <v>0.77</v>
      </c>
      <c r="DA101">
        <f>AJ101</f>
        <v>1</v>
      </c>
      <c r="DB101">
        <f>ROUND(((ROUND(AT101*CZ101,2)*1.2)*0.3),6)</f>
        <v>0.51839999999999997</v>
      </c>
      <c r="DC101">
        <f>ROUND(((ROUND(AT101*AG101,2)*1.2)*0.3),6)</f>
        <v>0</v>
      </c>
      <c r="DD101" t="s">
        <v>3</v>
      </c>
      <c r="DE101" t="s">
        <v>3</v>
      </c>
      <c r="DF101">
        <f t="shared" si="44"/>
        <v>0</v>
      </c>
      <c r="DG101">
        <f t="shared" si="34"/>
        <v>4.2</v>
      </c>
      <c r="DH101">
        <f t="shared" si="35"/>
        <v>0</v>
      </c>
      <c r="DI101">
        <f t="shared" si="25"/>
        <v>0</v>
      </c>
      <c r="DJ101">
        <f>DG101</f>
        <v>4.2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ROW(Source!A40)</f>
        <v>40</v>
      </c>
      <c r="B102">
        <v>55934355</v>
      </c>
      <c r="C102">
        <v>55984129</v>
      </c>
      <c r="D102">
        <v>55490296</v>
      </c>
      <c r="E102">
        <v>1</v>
      </c>
      <c r="F102">
        <v>1</v>
      </c>
      <c r="G102">
        <v>1081</v>
      </c>
      <c r="H102">
        <v>2</v>
      </c>
      <c r="I102" t="s">
        <v>300</v>
      </c>
      <c r="J102" t="s">
        <v>301</v>
      </c>
      <c r="K102" t="s">
        <v>302</v>
      </c>
      <c r="L102">
        <v>1368</v>
      </c>
      <c r="N102">
        <v>1011</v>
      </c>
      <c r="O102" t="s">
        <v>227</v>
      </c>
      <c r="P102" t="s">
        <v>227</v>
      </c>
      <c r="Q102">
        <v>1</v>
      </c>
      <c r="W102">
        <v>0</v>
      </c>
      <c r="X102">
        <v>-643591644</v>
      </c>
      <c r="Y102">
        <f>((AT102*1.2)*0.3)</f>
        <v>6.8399999999999989E-2</v>
      </c>
      <c r="AA102">
        <v>0</v>
      </c>
      <c r="AB102">
        <v>0.49</v>
      </c>
      <c r="AC102">
        <v>0</v>
      </c>
      <c r="AD102">
        <v>0</v>
      </c>
      <c r="AE102">
        <v>0</v>
      </c>
      <c r="AF102">
        <v>0.47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0.19</v>
      </c>
      <c r="AU102" t="s">
        <v>29</v>
      </c>
      <c r="AV102">
        <v>0</v>
      </c>
      <c r="AW102">
        <v>2</v>
      </c>
      <c r="AX102">
        <v>55984139</v>
      </c>
      <c r="AY102">
        <v>1</v>
      </c>
      <c r="AZ102">
        <v>0</v>
      </c>
      <c r="BA102">
        <v>124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ROUND(Y102*Source!I40*DO102,9)</f>
        <v>0</v>
      </c>
      <c r="CX102">
        <f>ROUND(Y102*Source!I40,9)</f>
        <v>0.55403999999999998</v>
      </c>
      <c r="CY102">
        <f>AB102</f>
        <v>0.49</v>
      </c>
      <c r="CZ102">
        <f>AF102</f>
        <v>0.47</v>
      </c>
      <c r="DA102">
        <f>AJ102</f>
        <v>1</v>
      </c>
      <c r="DB102">
        <f>ROUND(((ROUND(AT102*CZ102,2)*1.2)*0.3),6)</f>
        <v>3.2399999999999998E-2</v>
      </c>
      <c r="DC102">
        <f>ROUND(((ROUND(AT102*AG102,2)*1.2)*0.3),6)</f>
        <v>0</v>
      </c>
      <c r="DD102" t="s">
        <v>3</v>
      </c>
      <c r="DE102" t="s">
        <v>3</v>
      </c>
      <c r="DF102">
        <f t="shared" si="44"/>
        <v>0</v>
      </c>
      <c r="DG102">
        <f t="shared" si="34"/>
        <v>0.26</v>
      </c>
      <c r="DH102">
        <f t="shared" si="35"/>
        <v>0</v>
      </c>
      <c r="DI102">
        <f t="shared" si="25"/>
        <v>0</v>
      </c>
      <c r="DJ102">
        <f>DG102</f>
        <v>0.26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ROW(Source!A40)</f>
        <v>40</v>
      </c>
      <c r="B103">
        <v>55934355</v>
      </c>
      <c r="C103">
        <v>55984129</v>
      </c>
      <c r="D103">
        <v>55459340</v>
      </c>
      <c r="E103">
        <v>1</v>
      </c>
      <c r="F103">
        <v>1</v>
      </c>
      <c r="G103">
        <v>1081</v>
      </c>
      <c r="H103">
        <v>3</v>
      </c>
      <c r="I103" t="s">
        <v>303</v>
      </c>
      <c r="J103" t="s">
        <v>304</v>
      </c>
      <c r="K103" t="s">
        <v>305</v>
      </c>
      <c r="L103">
        <v>1354</v>
      </c>
      <c r="N103">
        <v>1010</v>
      </c>
      <c r="O103" t="s">
        <v>293</v>
      </c>
      <c r="P103" t="s">
        <v>293</v>
      </c>
      <c r="Q103">
        <v>1</v>
      </c>
      <c r="W103">
        <v>0</v>
      </c>
      <c r="X103">
        <v>-1352077490</v>
      </c>
      <c r="Y103">
        <f>((AT103*1)*0)</f>
        <v>0</v>
      </c>
      <c r="AA103">
        <v>0.89</v>
      </c>
      <c r="AB103">
        <v>0</v>
      </c>
      <c r="AC103">
        <v>0</v>
      </c>
      <c r="AD103">
        <v>0</v>
      </c>
      <c r="AE103">
        <v>0.89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40</v>
      </c>
      <c r="AU103" t="s">
        <v>28</v>
      </c>
      <c r="AV103">
        <v>0</v>
      </c>
      <c r="AW103">
        <v>2</v>
      </c>
      <c r="AX103">
        <v>55984140</v>
      </c>
      <c r="AY103">
        <v>1</v>
      </c>
      <c r="AZ103">
        <v>0</v>
      </c>
      <c r="BA103">
        <v>125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ROUND(Y103*Source!I40,9)</f>
        <v>0</v>
      </c>
      <c r="CY103">
        <f>AA103</f>
        <v>0.89</v>
      </c>
      <c r="CZ103">
        <f>AE103</f>
        <v>0.89</v>
      </c>
      <c r="DA103">
        <f>AI103</f>
        <v>1</v>
      </c>
      <c r="DB103">
        <f>ROUND(((ROUND(AT103*CZ103,2)*1)*0),6)</f>
        <v>0</v>
      </c>
      <c r="DC103">
        <f>ROUND(((ROUND(AT103*AG103,2)*1)*0),6)</f>
        <v>0</v>
      </c>
      <c r="DD103" t="s">
        <v>3</v>
      </c>
      <c r="DE103" t="s">
        <v>3</v>
      </c>
      <c r="DF103">
        <f t="shared" si="44"/>
        <v>0</v>
      </c>
      <c r="DG103">
        <f t="shared" si="34"/>
        <v>0</v>
      </c>
      <c r="DH103">
        <f t="shared" si="35"/>
        <v>0</v>
      </c>
      <c r="DI103">
        <f t="shared" si="25"/>
        <v>0</v>
      </c>
      <c r="DJ103">
        <f>DF103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ROW(Source!A40)</f>
        <v>40</v>
      </c>
      <c r="B104">
        <v>55934355</v>
      </c>
      <c r="C104">
        <v>55984129</v>
      </c>
      <c r="D104">
        <v>55461503</v>
      </c>
      <c r="E104">
        <v>1</v>
      </c>
      <c r="F104">
        <v>1</v>
      </c>
      <c r="G104">
        <v>1081</v>
      </c>
      <c r="H104">
        <v>3</v>
      </c>
      <c r="I104" t="s">
        <v>306</v>
      </c>
      <c r="J104" t="s">
        <v>307</v>
      </c>
      <c r="K104" t="s">
        <v>308</v>
      </c>
      <c r="L104">
        <v>1355</v>
      </c>
      <c r="N104">
        <v>1010</v>
      </c>
      <c r="O104" t="s">
        <v>280</v>
      </c>
      <c r="P104" t="s">
        <v>280</v>
      </c>
      <c r="Q104">
        <v>100</v>
      </c>
      <c r="W104">
        <v>0</v>
      </c>
      <c r="X104">
        <v>-2062965048</v>
      </c>
      <c r="Y104">
        <f>((AT104*1)*0)</f>
        <v>0</v>
      </c>
      <c r="AA104">
        <v>17.28</v>
      </c>
      <c r="AB104">
        <v>0</v>
      </c>
      <c r="AC104">
        <v>0</v>
      </c>
      <c r="AD104">
        <v>0</v>
      </c>
      <c r="AE104">
        <v>17.28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0.4</v>
      </c>
      <c r="AU104" t="s">
        <v>28</v>
      </c>
      <c r="AV104">
        <v>0</v>
      </c>
      <c r="AW104">
        <v>2</v>
      </c>
      <c r="AX104">
        <v>55984141</v>
      </c>
      <c r="AY104">
        <v>1</v>
      </c>
      <c r="AZ104">
        <v>0</v>
      </c>
      <c r="BA104">
        <v>126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ROUND(Y104*Source!I40,9)</f>
        <v>0</v>
      </c>
      <c r="CY104">
        <f>AA104</f>
        <v>17.28</v>
      </c>
      <c r="CZ104">
        <f>AE104</f>
        <v>17.28</v>
      </c>
      <c r="DA104">
        <f>AI104</f>
        <v>1</v>
      </c>
      <c r="DB104">
        <f>ROUND(((ROUND(AT104*CZ104,2)*1)*0),6)</f>
        <v>0</v>
      </c>
      <c r="DC104">
        <f>ROUND(((ROUND(AT104*AG104,2)*1)*0),6)</f>
        <v>0</v>
      </c>
      <c r="DD104" t="s">
        <v>3</v>
      </c>
      <c r="DE104" t="s">
        <v>3</v>
      </c>
      <c r="DF104">
        <f t="shared" si="44"/>
        <v>0</v>
      </c>
      <c r="DG104">
        <f t="shared" si="34"/>
        <v>0</v>
      </c>
      <c r="DH104">
        <f t="shared" si="35"/>
        <v>0</v>
      </c>
      <c r="DI104">
        <f t="shared" si="25"/>
        <v>0</v>
      </c>
      <c r="DJ104">
        <f>DF104</f>
        <v>0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5">
      <c r="A105">
        <f>ROW(Source!A41)</f>
        <v>41</v>
      </c>
      <c r="B105">
        <v>55934357</v>
      </c>
      <c r="C105">
        <v>55984129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221</v>
      </c>
      <c r="J105" t="s">
        <v>3</v>
      </c>
      <c r="K105" t="s">
        <v>222</v>
      </c>
      <c r="L105">
        <v>1191</v>
      </c>
      <c r="N105">
        <v>1013</v>
      </c>
      <c r="O105" t="s">
        <v>223</v>
      </c>
      <c r="P105" t="s">
        <v>223</v>
      </c>
      <c r="Q105">
        <v>1</v>
      </c>
      <c r="W105">
        <v>0</v>
      </c>
      <c r="X105">
        <v>476480486</v>
      </c>
      <c r="Y105">
        <f>((AT105*1.2)*0.3)</f>
        <v>5.5943999999999994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5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15.54</v>
      </c>
      <c r="AU105" t="s">
        <v>29</v>
      </c>
      <c r="AV105">
        <v>1</v>
      </c>
      <c r="AW105">
        <v>2</v>
      </c>
      <c r="AX105">
        <v>55984136</v>
      </c>
      <c r="AY105">
        <v>1</v>
      </c>
      <c r="AZ105">
        <v>0</v>
      </c>
      <c r="BA105">
        <v>128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ROUND(AT105*Source!I41*AH105*AL105,2)</f>
        <v>0</v>
      </c>
      <c r="CV105">
        <f>ROUND(Y105*Source!I41,9)</f>
        <v>45.314639999999997</v>
      </c>
      <c r="CW105">
        <v>0</v>
      </c>
      <c r="CX105">
        <f>ROUND(Y105*Source!I41,9)</f>
        <v>45.314639999999997</v>
      </c>
      <c r="CY105">
        <f>AD105</f>
        <v>0</v>
      </c>
      <c r="CZ105">
        <f>AH105</f>
        <v>0</v>
      </c>
      <c r="DA105">
        <f>AL105</f>
        <v>1</v>
      </c>
      <c r="DB105">
        <f>ROUND(((ROUND(AT105*CZ105,2)*1.2)*0.3),6)</f>
        <v>0</v>
      </c>
      <c r="DC105">
        <f>ROUND(((ROUND(AT105*AG105,2)*1.2)*0.3),6)</f>
        <v>0</v>
      </c>
      <c r="DD105" t="s">
        <v>3</v>
      </c>
      <c r="DE105" t="s">
        <v>3</v>
      </c>
      <c r="DF105">
        <f t="shared" si="44"/>
        <v>0</v>
      </c>
      <c r="DG105">
        <f t="shared" si="34"/>
        <v>0</v>
      </c>
      <c r="DH105">
        <f t="shared" si="35"/>
        <v>0</v>
      </c>
      <c r="DI105">
        <f t="shared" si="25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ROW(Source!A41)</f>
        <v>41</v>
      </c>
      <c r="B106">
        <v>55934357</v>
      </c>
      <c r="C106">
        <v>55984129</v>
      </c>
      <c r="D106">
        <v>55490209</v>
      </c>
      <c r="E106">
        <v>1</v>
      </c>
      <c r="F106">
        <v>1</v>
      </c>
      <c r="G106">
        <v>1081</v>
      </c>
      <c r="H106">
        <v>2</v>
      </c>
      <c r="I106" t="s">
        <v>294</v>
      </c>
      <c r="J106" t="s">
        <v>295</v>
      </c>
      <c r="K106" t="s">
        <v>296</v>
      </c>
      <c r="L106">
        <v>1368</v>
      </c>
      <c r="N106">
        <v>1011</v>
      </c>
      <c r="O106" t="s">
        <v>227</v>
      </c>
      <c r="P106" t="s">
        <v>227</v>
      </c>
      <c r="Q106">
        <v>1</v>
      </c>
      <c r="W106">
        <v>0</v>
      </c>
      <c r="X106">
        <v>874612079</v>
      </c>
      <c r="Y106">
        <f>((AT106*1.2)*0.3)</f>
        <v>3.5999999999999999E-3</v>
      </c>
      <c r="AA106">
        <v>0</v>
      </c>
      <c r="AB106">
        <v>1485.19</v>
      </c>
      <c r="AC106">
        <v>744.56</v>
      </c>
      <c r="AD106">
        <v>0</v>
      </c>
      <c r="AE106">
        <v>0</v>
      </c>
      <c r="AF106">
        <v>83.1</v>
      </c>
      <c r="AG106">
        <v>12.62</v>
      </c>
      <c r="AH106">
        <v>0</v>
      </c>
      <c r="AI106">
        <v>1</v>
      </c>
      <c r="AJ106">
        <v>17.07</v>
      </c>
      <c r="AK106">
        <v>56.35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0.01</v>
      </c>
      <c r="AU106" t="s">
        <v>29</v>
      </c>
      <c r="AV106">
        <v>0</v>
      </c>
      <c r="AW106">
        <v>2</v>
      </c>
      <c r="AX106">
        <v>55984137</v>
      </c>
      <c r="AY106">
        <v>1</v>
      </c>
      <c r="AZ106">
        <v>0</v>
      </c>
      <c r="BA106">
        <v>129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ROUND(Y106*Source!I41*DO106,9)</f>
        <v>0.36799920000000003</v>
      </c>
      <c r="CX106">
        <f>ROUND(Y106*Source!I41,9)</f>
        <v>2.9159999999999998E-2</v>
      </c>
      <c r="CY106">
        <f>AB106</f>
        <v>1485.19</v>
      </c>
      <c r="CZ106">
        <f>AF106</f>
        <v>83.1</v>
      </c>
      <c r="DA106">
        <f>AJ106</f>
        <v>17.07</v>
      </c>
      <c r="DB106">
        <f>ROUND(((ROUND(AT106*CZ106,2)*1.2)*0.3),6)</f>
        <v>0.29880000000000001</v>
      </c>
      <c r="DC106">
        <f>ROUND(((ROUND(AT106*AG106,2)*1.2)*0.3),6)</f>
        <v>4.6800000000000001E-2</v>
      </c>
      <c r="DD106" t="s">
        <v>3</v>
      </c>
      <c r="DE106" t="s">
        <v>3</v>
      </c>
      <c r="DF106">
        <f t="shared" si="44"/>
        <v>0</v>
      </c>
      <c r="DG106">
        <f>ROUND(ROUND(AF106*AJ106,2)*CX106,2)</f>
        <v>41.36</v>
      </c>
      <c r="DH106">
        <f>ROUND(ROUND(AG106*AK106,2)*CX106,2)</f>
        <v>20.74</v>
      </c>
      <c r="DI106">
        <f t="shared" si="25"/>
        <v>0</v>
      </c>
      <c r="DJ106">
        <f>DG106</f>
        <v>41.36</v>
      </c>
      <c r="DK106">
        <v>0</v>
      </c>
      <c r="DL106" t="s">
        <v>228</v>
      </c>
      <c r="DM106">
        <v>0</v>
      </c>
      <c r="DN106" t="s">
        <v>223</v>
      </c>
      <c r="DO106">
        <v>12.62</v>
      </c>
    </row>
    <row r="107" spans="1:119" x14ac:dyDescent="0.25">
      <c r="A107">
        <f>ROW(Source!A41)</f>
        <v>41</v>
      </c>
      <c r="B107">
        <v>55934357</v>
      </c>
      <c r="C107">
        <v>55984129</v>
      </c>
      <c r="D107">
        <v>55490263</v>
      </c>
      <c r="E107">
        <v>1</v>
      </c>
      <c r="F107">
        <v>1</v>
      </c>
      <c r="G107">
        <v>1081</v>
      </c>
      <c r="H107">
        <v>2</v>
      </c>
      <c r="I107" t="s">
        <v>297</v>
      </c>
      <c r="J107" t="s">
        <v>298</v>
      </c>
      <c r="K107" t="s">
        <v>299</v>
      </c>
      <c r="L107">
        <v>1368</v>
      </c>
      <c r="N107">
        <v>1011</v>
      </c>
      <c r="O107" t="s">
        <v>227</v>
      </c>
      <c r="P107" t="s">
        <v>227</v>
      </c>
      <c r="Q107">
        <v>1</v>
      </c>
      <c r="W107">
        <v>0</v>
      </c>
      <c r="X107">
        <v>-1895752648</v>
      </c>
      <c r="Y107">
        <f>((AT107*1.2)*0.3)</f>
        <v>0.67320000000000002</v>
      </c>
      <c r="AA107">
        <v>0</v>
      </c>
      <c r="AB107">
        <v>7.71</v>
      </c>
      <c r="AC107">
        <v>0</v>
      </c>
      <c r="AD107">
        <v>0</v>
      </c>
      <c r="AE107">
        <v>0</v>
      </c>
      <c r="AF107">
        <v>0.77</v>
      </c>
      <c r="AG107">
        <v>0</v>
      </c>
      <c r="AH107">
        <v>0</v>
      </c>
      <c r="AI107">
        <v>1</v>
      </c>
      <c r="AJ107">
        <v>9.56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1.87</v>
      </c>
      <c r="AU107" t="s">
        <v>29</v>
      </c>
      <c r="AV107">
        <v>0</v>
      </c>
      <c r="AW107">
        <v>2</v>
      </c>
      <c r="AX107">
        <v>55984138</v>
      </c>
      <c r="AY107">
        <v>1</v>
      </c>
      <c r="AZ107">
        <v>0</v>
      </c>
      <c r="BA107">
        <v>130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f>ROUND(Y107*Source!I41*DO107,9)</f>
        <v>0</v>
      </c>
      <c r="CX107">
        <f>ROUND(Y107*Source!I41,9)</f>
        <v>5.4529199999999998</v>
      </c>
      <c r="CY107">
        <f>AB107</f>
        <v>7.71</v>
      </c>
      <c r="CZ107">
        <f>AF107</f>
        <v>0.77</v>
      </c>
      <c r="DA107">
        <f>AJ107</f>
        <v>9.56</v>
      </c>
      <c r="DB107">
        <f>ROUND(((ROUND(AT107*CZ107,2)*1.2)*0.3),6)</f>
        <v>0.51839999999999997</v>
      </c>
      <c r="DC107">
        <f>ROUND(((ROUND(AT107*AG107,2)*1.2)*0.3),6)</f>
        <v>0</v>
      </c>
      <c r="DD107" t="s">
        <v>3</v>
      </c>
      <c r="DE107" t="s">
        <v>3</v>
      </c>
      <c r="DF107">
        <f t="shared" si="44"/>
        <v>0</v>
      </c>
      <c r="DG107">
        <f>ROUND(ROUND(AF107*AJ107,2)*CX107,2)</f>
        <v>40.130000000000003</v>
      </c>
      <c r="DH107">
        <f t="shared" ref="DH107:DH117" si="45">ROUND(ROUND(AG107,2)*CX107,2)</f>
        <v>0</v>
      </c>
      <c r="DI107">
        <f t="shared" si="25"/>
        <v>0</v>
      </c>
      <c r="DJ107">
        <f>DG107</f>
        <v>40.130000000000003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ROW(Source!A41)</f>
        <v>41</v>
      </c>
      <c r="B108">
        <v>55934357</v>
      </c>
      <c r="C108">
        <v>55984129</v>
      </c>
      <c r="D108">
        <v>55490296</v>
      </c>
      <c r="E108">
        <v>1</v>
      </c>
      <c r="F108">
        <v>1</v>
      </c>
      <c r="G108">
        <v>1081</v>
      </c>
      <c r="H108">
        <v>2</v>
      </c>
      <c r="I108" t="s">
        <v>300</v>
      </c>
      <c r="J108" t="s">
        <v>301</v>
      </c>
      <c r="K108" t="s">
        <v>302</v>
      </c>
      <c r="L108">
        <v>1368</v>
      </c>
      <c r="N108">
        <v>1011</v>
      </c>
      <c r="O108" t="s">
        <v>227</v>
      </c>
      <c r="P108" t="s">
        <v>227</v>
      </c>
      <c r="Q108">
        <v>1</v>
      </c>
      <c r="W108">
        <v>0</v>
      </c>
      <c r="X108">
        <v>-643591644</v>
      </c>
      <c r="Y108">
        <f>((AT108*1.2)*0.3)</f>
        <v>6.8399999999999989E-2</v>
      </c>
      <c r="AA108">
        <v>0</v>
      </c>
      <c r="AB108">
        <v>4.75</v>
      </c>
      <c r="AC108">
        <v>0</v>
      </c>
      <c r="AD108">
        <v>0</v>
      </c>
      <c r="AE108">
        <v>0</v>
      </c>
      <c r="AF108">
        <v>0.47</v>
      </c>
      <c r="AG108">
        <v>0</v>
      </c>
      <c r="AH108">
        <v>0</v>
      </c>
      <c r="AI108">
        <v>1</v>
      </c>
      <c r="AJ108">
        <v>9.66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0.19</v>
      </c>
      <c r="AU108" t="s">
        <v>29</v>
      </c>
      <c r="AV108">
        <v>0</v>
      </c>
      <c r="AW108">
        <v>2</v>
      </c>
      <c r="AX108">
        <v>55984139</v>
      </c>
      <c r="AY108">
        <v>1</v>
      </c>
      <c r="AZ108">
        <v>0</v>
      </c>
      <c r="BA108">
        <v>131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f>ROUND(Y108*Source!I41*DO108,9)</f>
        <v>0</v>
      </c>
      <c r="CX108">
        <f>ROUND(Y108*Source!I41,9)</f>
        <v>0.55403999999999998</v>
      </c>
      <c r="CY108">
        <f>AB108</f>
        <v>4.75</v>
      </c>
      <c r="CZ108">
        <f>AF108</f>
        <v>0.47</v>
      </c>
      <c r="DA108">
        <f>AJ108</f>
        <v>9.66</v>
      </c>
      <c r="DB108">
        <f>ROUND(((ROUND(AT108*CZ108,2)*1.2)*0.3),6)</f>
        <v>3.2399999999999998E-2</v>
      </c>
      <c r="DC108">
        <f>ROUND(((ROUND(AT108*AG108,2)*1.2)*0.3),6)</f>
        <v>0</v>
      </c>
      <c r="DD108" t="s">
        <v>3</v>
      </c>
      <c r="DE108" t="s">
        <v>3</v>
      </c>
      <c r="DF108">
        <f t="shared" si="44"/>
        <v>0</v>
      </c>
      <c r="DG108">
        <f>ROUND(ROUND(AF108*AJ108,2)*CX108,2)</f>
        <v>2.52</v>
      </c>
      <c r="DH108">
        <f t="shared" si="45"/>
        <v>0</v>
      </c>
      <c r="DI108">
        <f t="shared" si="25"/>
        <v>0</v>
      </c>
      <c r="DJ108">
        <f>DG108</f>
        <v>2.52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ROW(Source!A41)</f>
        <v>41</v>
      </c>
      <c r="B109">
        <v>55934357</v>
      </c>
      <c r="C109">
        <v>55984129</v>
      </c>
      <c r="D109">
        <v>55459340</v>
      </c>
      <c r="E109">
        <v>1</v>
      </c>
      <c r="F109">
        <v>1</v>
      </c>
      <c r="G109">
        <v>1081</v>
      </c>
      <c r="H109">
        <v>3</v>
      </c>
      <c r="I109" t="s">
        <v>303</v>
      </c>
      <c r="J109" t="s">
        <v>304</v>
      </c>
      <c r="K109" t="s">
        <v>305</v>
      </c>
      <c r="L109">
        <v>1354</v>
      </c>
      <c r="N109">
        <v>1010</v>
      </c>
      <c r="O109" t="s">
        <v>293</v>
      </c>
      <c r="P109" t="s">
        <v>293</v>
      </c>
      <c r="Q109">
        <v>1</v>
      </c>
      <c r="W109">
        <v>0</v>
      </c>
      <c r="X109">
        <v>-1352077490</v>
      </c>
      <c r="Y109">
        <f>((AT109*1)*0)</f>
        <v>0</v>
      </c>
      <c r="AA109">
        <v>0.83</v>
      </c>
      <c r="AB109">
        <v>0</v>
      </c>
      <c r="AC109">
        <v>0</v>
      </c>
      <c r="AD109">
        <v>0</v>
      </c>
      <c r="AE109">
        <v>0.89</v>
      </c>
      <c r="AF109">
        <v>0</v>
      </c>
      <c r="AG109">
        <v>0</v>
      </c>
      <c r="AH109">
        <v>0</v>
      </c>
      <c r="AI109">
        <v>0.93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40</v>
      </c>
      <c r="AU109" t="s">
        <v>28</v>
      </c>
      <c r="AV109">
        <v>0</v>
      </c>
      <c r="AW109">
        <v>2</v>
      </c>
      <c r="AX109">
        <v>55984140</v>
      </c>
      <c r="AY109">
        <v>1</v>
      </c>
      <c r="AZ109">
        <v>0</v>
      </c>
      <c r="BA109">
        <v>132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ROUND(Y109*Source!I41,9)</f>
        <v>0</v>
      </c>
      <c r="CY109">
        <f>AA109</f>
        <v>0.83</v>
      </c>
      <c r="CZ109">
        <f>AE109</f>
        <v>0.89</v>
      </c>
      <c r="DA109">
        <f>AI109</f>
        <v>0.93</v>
      </c>
      <c r="DB109">
        <f>ROUND(((ROUND(AT109*CZ109,2)*1)*0),6)</f>
        <v>0</v>
      </c>
      <c r="DC109">
        <f>ROUND(((ROUND(AT109*AG109,2)*1)*0),6)</f>
        <v>0</v>
      </c>
      <c r="DD109" t="s">
        <v>3</v>
      </c>
      <c r="DE109" t="s">
        <v>3</v>
      </c>
      <c r="DF109">
        <f>ROUND(ROUND(AE109*AI109,2)*CX109,2)</f>
        <v>0</v>
      </c>
      <c r="DG109">
        <f t="shared" ref="DG109:DG117" si="46">ROUND(ROUND(AF109,2)*CX109,2)</f>
        <v>0</v>
      </c>
      <c r="DH109">
        <f t="shared" si="45"/>
        <v>0</v>
      </c>
      <c r="DI109">
        <f t="shared" si="25"/>
        <v>0</v>
      </c>
      <c r="DJ109">
        <f>DF109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ROW(Source!A41)</f>
        <v>41</v>
      </c>
      <c r="B110">
        <v>55934357</v>
      </c>
      <c r="C110">
        <v>55984129</v>
      </c>
      <c r="D110">
        <v>55461503</v>
      </c>
      <c r="E110">
        <v>1</v>
      </c>
      <c r="F110">
        <v>1</v>
      </c>
      <c r="G110">
        <v>1081</v>
      </c>
      <c r="H110">
        <v>3</v>
      </c>
      <c r="I110" t="s">
        <v>306</v>
      </c>
      <c r="J110" t="s">
        <v>307</v>
      </c>
      <c r="K110" t="s">
        <v>308</v>
      </c>
      <c r="L110">
        <v>1355</v>
      </c>
      <c r="N110">
        <v>1010</v>
      </c>
      <c r="O110" t="s">
        <v>280</v>
      </c>
      <c r="P110" t="s">
        <v>280</v>
      </c>
      <c r="Q110">
        <v>100</v>
      </c>
      <c r="W110">
        <v>0</v>
      </c>
      <c r="X110">
        <v>-2062965048</v>
      </c>
      <c r="Y110">
        <f>((AT110*1)*0)</f>
        <v>0</v>
      </c>
      <c r="AA110">
        <v>112.15</v>
      </c>
      <c r="AB110">
        <v>0</v>
      </c>
      <c r="AC110">
        <v>0</v>
      </c>
      <c r="AD110">
        <v>0</v>
      </c>
      <c r="AE110">
        <v>17.28</v>
      </c>
      <c r="AF110">
        <v>0</v>
      </c>
      <c r="AG110">
        <v>0</v>
      </c>
      <c r="AH110">
        <v>0</v>
      </c>
      <c r="AI110">
        <v>6.49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0.4</v>
      </c>
      <c r="AU110" t="s">
        <v>28</v>
      </c>
      <c r="AV110">
        <v>0</v>
      </c>
      <c r="AW110">
        <v>2</v>
      </c>
      <c r="AX110">
        <v>55984141</v>
      </c>
      <c r="AY110">
        <v>1</v>
      </c>
      <c r="AZ110">
        <v>0</v>
      </c>
      <c r="BA110">
        <v>133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ROUND(Y110*Source!I41,9)</f>
        <v>0</v>
      </c>
      <c r="CY110">
        <f>AA110</f>
        <v>112.15</v>
      </c>
      <c r="CZ110">
        <f>AE110</f>
        <v>17.28</v>
      </c>
      <c r="DA110">
        <f>AI110</f>
        <v>6.49</v>
      </c>
      <c r="DB110">
        <f>ROUND(((ROUND(AT110*CZ110,2)*1)*0),6)</f>
        <v>0</v>
      </c>
      <c r="DC110">
        <f>ROUND(((ROUND(AT110*AG110,2)*1)*0),6)</f>
        <v>0</v>
      </c>
      <c r="DD110" t="s">
        <v>3</v>
      </c>
      <c r="DE110" t="s">
        <v>3</v>
      </c>
      <c r="DF110">
        <f>ROUND(ROUND(AE110*AI110,2)*CX110,2)</f>
        <v>0</v>
      </c>
      <c r="DG110">
        <f t="shared" si="46"/>
        <v>0</v>
      </c>
      <c r="DH110">
        <f t="shared" si="45"/>
        <v>0</v>
      </c>
      <c r="DI110">
        <f t="shared" si="25"/>
        <v>0</v>
      </c>
      <c r="DJ110">
        <f>DF110</f>
        <v>0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ROW(Source!A42)</f>
        <v>42</v>
      </c>
      <c r="B111">
        <v>55934355</v>
      </c>
      <c r="C111">
        <v>55984143</v>
      </c>
      <c r="D111">
        <v>55424304</v>
      </c>
      <c r="E111">
        <v>1081</v>
      </c>
      <c r="F111">
        <v>1</v>
      </c>
      <c r="G111">
        <v>1081</v>
      </c>
      <c r="H111">
        <v>1</v>
      </c>
      <c r="I111" t="s">
        <v>221</v>
      </c>
      <c r="J111" t="s">
        <v>3</v>
      </c>
      <c r="K111" t="s">
        <v>222</v>
      </c>
      <c r="L111">
        <v>1191</v>
      </c>
      <c r="N111">
        <v>1013</v>
      </c>
      <c r="O111" t="s">
        <v>223</v>
      </c>
      <c r="P111" t="s">
        <v>223</v>
      </c>
      <c r="Q111">
        <v>1</v>
      </c>
      <c r="W111">
        <v>0</v>
      </c>
      <c r="X111">
        <v>476480486</v>
      </c>
      <c r="Y111">
        <f>((AT111*1.2)*0.3)</f>
        <v>9.1187999999999985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25.33</v>
      </c>
      <c r="AU111" t="s">
        <v>29</v>
      </c>
      <c r="AV111">
        <v>1</v>
      </c>
      <c r="AW111">
        <v>2</v>
      </c>
      <c r="AX111">
        <v>55984150</v>
      </c>
      <c r="AY111">
        <v>1</v>
      </c>
      <c r="AZ111">
        <v>0</v>
      </c>
      <c r="BA111">
        <v>135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U111">
        <f>ROUND(AT111*Source!I42*AH111*AL111,2)</f>
        <v>0</v>
      </c>
      <c r="CV111">
        <f>ROUND(Y111*Source!I42,9)</f>
        <v>16.41384</v>
      </c>
      <c r="CW111">
        <v>0</v>
      </c>
      <c r="CX111">
        <f>ROUND(Y111*Source!I42,9)</f>
        <v>16.41384</v>
      </c>
      <c r="CY111">
        <f>AD111</f>
        <v>0</v>
      </c>
      <c r="CZ111">
        <f>AH111</f>
        <v>0</v>
      </c>
      <c r="DA111">
        <f>AL111</f>
        <v>1</v>
      </c>
      <c r="DB111">
        <f>ROUND(((ROUND(AT111*CZ111,2)*1.2)*0.3),6)</f>
        <v>0</v>
      </c>
      <c r="DC111">
        <f>ROUND(((ROUND(AT111*AG111,2)*1.2)*0.3),6)</f>
        <v>0</v>
      </c>
      <c r="DD111" t="s">
        <v>3</v>
      </c>
      <c r="DE111" t="s">
        <v>3</v>
      </c>
      <c r="DF111">
        <f t="shared" ref="DF111:DF120" si="47">ROUND(ROUND(AE111,2)*CX111,2)</f>
        <v>0</v>
      </c>
      <c r="DG111">
        <f t="shared" si="46"/>
        <v>0</v>
      </c>
      <c r="DH111">
        <f t="shared" si="45"/>
        <v>0</v>
      </c>
      <c r="DI111">
        <f t="shared" si="25"/>
        <v>0</v>
      </c>
      <c r="DJ111">
        <f>DI111</f>
        <v>0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ROW(Source!A42)</f>
        <v>42</v>
      </c>
      <c r="B112">
        <v>55934355</v>
      </c>
      <c r="C112">
        <v>55984143</v>
      </c>
      <c r="D112">
        <v>55490209</v>
      </c>
      <c r="E112">
        <v>1</v>
      </c>
      <c r="F112">
        <v>1</v>
      </c>
      <c r="G112">
        <v>1081</v>
      </c>
      <c r="H112">
        <v>2</v>
      </c>
      <c r="I112" t="s">
        <v>294</v>
      </c>
      <c r="J112" t="s">
        <v>295</v>
      </c>
      <c r="K112" t="s">
        <v>296</v>
      </c>
      <c r="L112">
        <v>1368</v>
      </c>
      <c r="N112">
        <v>1011</v>
      </c>
      <c r="O112" t="s">
        <v>227</v>
      </c>
      <c r="P112" t="s">
        <v>227</v>
      </c>
      <c r="Q112">
        <v>1</v>
      </c>
      <c r="W112">
        <v>0</v>
      </c>
      <c r="X112">
        <v>874612079</v>
      </c>
      <c r="Y112">
        <f>((AT112*1.2)*0.3)</f>
        <v>3.5999999999999999E-3</v>
      </c>
      <c r="AA112">
        <v>0</v>
      </c>
      <c r="AB112">
        <v>87.01</v>
      </c>
      <c r="AC112">
        <v>13.21</v>
      </c>
      <c r="AD112">
        <v>0</v>
      </c>
      <c r="AE112">
        <v>0</v>
      </c>
      <c r="AF112">
        <v>83.1</v>
      </c>
      <c r="AG112">
        <v>12.62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0.01</v>
      </c>
      <c r="AU112" t="s">
        <v>29</v>
      </c>
      <c r="AV112">
        <v>0</v>
      </c>
      <c r="AW112">
        <v>2</v>
      </c>
      <c r="AX112">
        <v>55984151</v>
      </c>
      <c r="AY112">
        <v>1</v>
      </c>
      <c r="AZ112">
        <v>0</v>
      </c>
      <c r="BA112">
        <v>136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f>ROUND(Y112*Source!I42*DO112,9)</f>
        <v>8.1777600000000006E-2</v>
      </c>
      <c r="CX112">
        <f>ROUND(Y112*Source!I42,9)</f>
        <v>6.4799999999999996E-3</v>
      </c>
      <c r="CY112">
        <f>AB112</f>
        <v>87.01</v>
      </c>
      <c r="CZ112">
        <f>AF112</f>
        <v>83.1</v>
      </c>
      <c r="DA112">
        <f>AJ112</f>
        <v>1</v>
      </c>
      <c r="DB112">
        <f>ROUND(((ROUND(AT112*CZ112,2)*1.2)*0.3),6)</f>
        <v>0.29880000000000001</v>
      </c>
      <c r="DC112">
        <f>ROUND(((ROUND(AT112*AG112,2)*1.2)*0.3),6)</f>
        <v>4.6800000000000001E-2</v>
      </c>
      <c r="DD112" t="s">
        <v>3</v>
      </c>
      <c r="DE112" t="s">
        <v>3</v>
      </c>
      <c r="DF112">
        <f t="shared" si="47"/>
        <v>0</v>
      </c>
      <c r="DG112">
        <f t="shared" si="46"/>
        <v>0.54</v>
      </c>
      <c r="DH112">
        <f t="shared" si="45"/>
        <v>0.08</v>
      </c>
      <c r="DI112">
        <f t="shared" si="25"/>
        <v>0</v>
      </c>
      <c r="DJ112">
        <f>DG112</f>
        <v>0.54</v>
      </c>
      <c r="DK112">
        <v>0</v>
      </c>
      <c r="DL112" t="s">
        <v>228</v>
      </c>
      <c r="DM112">
        <v>0</v>
      </c>
      <c r="DN112" t="s">
        <v>223</v>
      </c>
      <c r="DO112">
        <v>12.62</v>
      </c>
    </row>
    <row r="113" spans="1:119" x14ac:dyDescent="0.25">
      <c r="A113">
        <f>ROW(Source!A42)</f>
        <v>42</v>
      </c>
      <c r="B113">
        <v>55934355</v>
      </c>
      <c r="C113">
        <v>55984143</v>
      </c>
      <c r="D113">
        <v>55490263</v>
      </c>
      <c r="E113">
        <v>1</v>
      </c>
      <c r="F113">
        <v>1</v>
      </c>
      <c r="G113">
        <v>1081</v>
      </c>
      <c r="H113">
        <v>2</v>
      </c>
      <c r="I113" t="s">
        <v>297</v>
      </c>
      <c r="J113" t="s">
        <v>298</v>
      </c>
      <c r="K113" t="s">
        <v>299</v>
      </c>
      <c r="L113">
        <v>1368</v>
      </c>
      <c r="N113">
        <v>1011</v>
      </c>
      <c r="O113" t="s">
        <v>227</v>
      </c>
      <c r="P113" t="s">
        <v>227</v>
      </c>
      <c r="Q113">
        <v>1</v>
      </c>
      <c r="W113">
        <v>0</v>
      </c>
      <c r="X113">
        <v>-1895752648</v>
      </c>
      <c r="Y113">
        <f>((AT113*1.2)*0.3)</f>
        <v>0.67320000000000002</v>
      </c>
      <c r="AA113">
        <v>0</v>
      </c>
      <c r="AB113">
        <v>0.81</v>
      </c>
      <c r="AC113">
        <v>0</v>
      </c>
      <c r="AD113">
        <v>0</v>
      </c>
      <c r="AE113">
        <v>0</v>
      </c>
      <c r="AF113">
        <v>0.77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1.87</v>
      </c>
      <c r="AU113" t="s">
        <v>29</v>
      </c>
      <c r="AV113">
        <v>0</v>
      </c>
      <c r="AW113">
        <v>2</v>
      </c>
      <c r="AX113">
        <v>55984152</v>
      </c>
      <c r="AY113">
        <v>1</v>
      </c>
      <c r="AZ113">
        <v>0</v>
      </c>
      <c r="BA113">
        <v>137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ROUND(Y113*Source!I42*DO113,9)</f>
        <v>0</v>
      </c>
      <c r="CX113">
        <f>ROUND(Y113*Source!I42,9)</f>
        <v>1.2117599999999999</v>
      </c>
      <c r="CY113">
        <f>AB113</f>
        <v>0.81</v>
      </c>
      <c r="CZ113">
        <f>AF113</f>
        <v>0.77</v>
      </c>
      <c r="DA113">
        <f>AJ113</f>
        <v>1</v>
      </c>
      <c r="DB113">
        <f>ROUND(((ROUND(AT113*CZ113,2)*1.2)*0.3),6)</f>
        <v>0.51839999999999997</v>
      </c>
      <c r="DC113">
        <f>ROUND(((ROUND(AT113*AG113,2)*1.2)*0.3),6)</f>
        <v>0</v>
      </c>
      <c r="DD113" t="s">
        <v>3</v>
      </c>
      <c r="DE113" t="s">
        <v>3</v>
      </c>
      <c r="DF113">
        <f t="shared" si="47"/>
        <v>0</v>
      </c>
      <c r="DG113">
        <f t="shared" si="46"/>
        <v>0.93</v>
      </c>
      <c r="DH113">
        <f t="shared" si="45"/>
        <v>0</v>
      </c>
      <c r="DI113">
        <f t="shared" si="25"/>
        <v>0</v>
      </c>
      <c r="DJ113">
        <f>DG113</f>
        <v>0.93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ROW(Source!A42)</f>
        <v>42</v>
      </c>
      <c r="B114">
        <v>55934355</v>
      </c>
      <c r="C114">
        <v>55984143</v>
      </c>
      <c r="D114">
        <v>55490296</v>
      </c>
      <c r="E114">
        <v>1</v>
      </c>
      <c r="F114">
        <v>1</v>
      </c>
      <c r="G114">
        <v>1081</v>
      </c>
      <c r="H114">
        <v>2</v>
      </c>
      <c r="I114" t="s">
        <v>300</v>
      </c>
      <c r="J114" t="s">
        <v>301</v>
      </c>
      <c r="K114" t="s">
        <v>302</v>
      </c>
      <c r="L114">
        <v>1368</v>
      </c>
      <c r="N114">
        <v>1011</v>
      </c>
      <c r="O114" t="s">
        <v>227</v>
      </c>
      <c r="P114" t="s">
        <v>227</v>
      </c>
      <c r="Q114">
        <v>1</v>
      </c>
      <c r="W114">
        <v>0</v>
      </c>
      <c r="X114">
        <v>-643591644</v>
      </c>
      <c r="Y114">
        <f>((AT114*1.2)*0.3)</f>
        <v>6.8399999999999989E-2</v>
      </c>
      <c r="AA114">
        <v>0</v>
      </c>
      <c r="AB114">
        <v>0.49</v>
      </c>
      <c r="AC114">
        <v>0</v>
      </c>
      <c r="AD114">
        <v>0</v>
      </c>
      <c r="AE114">
        <v>0</v>
      </c>
      <c r="AF114">
        <v>0.47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0.19</v>
      </c>
      <c r="AU114" t="s">
        <v>29</v>
      </c>
      <c r="AV114">
        <v>0</v>
      </c>
      <c r="AW114">
        <v>2</v>
      </c>
      <c r="AX114">
        <v>55984153</v>
      </c>
      <c r="AY114">
        <v>1</v>
      </c>
      <c r="AZ114">
        <v>0</v>
      </c>
      <c r="BA114">
        <v>138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ROUND(Y114*Source!I42*DO114,9)</f>
        <v>0</v>
      </c>
      <c r="CX114">
        <f>ROUND(Y114*Source!I42,9)</f>
        <v>0.12311999999999999</v>
      </c>
      <c r="CY114">
        <f>AB114</f>
        <v>0.49</v>
      </c>
      <c r="CZ114">
        <f>AF114</f>
        <v>0.47</v>
      </c>
      <c r="DA114">
        <f>AJ114</f>
        <v>1</v>
      </c>
      <c r="DB114">
        <f>ROUND(((ROUND(AT114*CZ114,2)*1.2)*0.3),6)</f>
        <v>3.2399999999999998E-2</v>
      </c>
      <c r="DC114">
        <f>ROUND(((ROUND(AT114*AG114,2)*1.2)*0.3),6)</f>
        <v>0</v>
      </c>
      <c r="DD114" t="s">
        <v>3</v>
      </c>
      <c r="DE114" t="s">
        <v>3</v>
      </c>
      <c r="DF114">
        <f t="shared" si="47"/>
        <v>0</v>
      </c>
      <c r="DG114">
        <f t="shared" si="46"/>
        <v>0.06</v>
      </c>
      <c r="DH114">
        <f t="shared" si="45"/>
        <v>0</v>
      </c>
      <c r="DI114">
        <f t="shared" si="25"/>
        <v>0</v>
      </c>
      <c r="DJ114">
        <f>DG114</f>
        <v>0.06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ROW(Source!A42)</f>
        <v>42</v>
      </c>
      <c r="B115">
        <v>55934355</v>
      </c>
      <c r="C115">
        <v>55984143</v>
      </c>
      <c r="D115">
        <v>55459340</v>
      </c>
      <c r="E115">
        <v>1</v>
      </c>
      <c r="F115">
        <v>1</v>
      </c>
      <c r="G115">
        <v>1081</v>
      </c>
      <c r="H115">
        <v>3</v>
      </c>
      <c r="I115" t="s">
        <v>303</v>
      </c>
      <c r="J115" t="s">
        <v>304</v>
      </c>
      <c r="K115" t="s">
        <v>305</v>
      </c>
      <c r="L115">
        <v>1354</v>
      </c>
      <c r="N115">
        <v>1010</v>
      </c>
      <c r="O115" t="s">
        <v>293</v>
      </c>
      <c r="P115" t="s">
        <v>293</v>
      </c>
      <c r="Q115">
        <v>1</v>
      </c>
      <c r="W115">
        <v>0</v>
      </c>
      <c r="X115">
        <v>-1352077490</v>
      </c>
      <c r="Y115">
        <f>((AT115*1)*0)</f>
        <v>0</v>
      </c>
      <c r="AA115">
        <v>0.89</v>
      </c>
      <c r="AB115">
        <v>0</v>
      </c>
      <c r="AC115">
        <v>0</v>
      </c>
      <c r="AD115">
        <v>0</v>
      </c>
      <c r="AE115">
        <v>0.89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40</v>
      </c>
      <c r="AU115" t="s">
        <v>28</v>
      </c>
      <c r="AV115">
        <v>0</v>
      </c>
      <c r="AW115">
        <v>2</v>
      </c>
      <c r="AX115">
        <v>55984154</v>
      </c>
      <c r="AY115">
        <v>1</v>
      </c>
      <c r="AZ115">
        <v>0</v>
      </c>
      <c r="BA115">
        <v>139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ROUND(Y115*Source!I42,9)</f>
        <v>0</v>
      </c>
      <c r="CY115">
        <f>AA115</f>
        <v>0.89</v>
      </c>
      <c r="CZ115">
        <f>AE115</f>
        <v>0.89</v>
      </c>
      <c r="DA115">
        <f>AI115</f>
        <v>1</v>
      </c>
      <c r="DB115">
        <f>ROUND(((ROUND(AT115*CZ115,2)*1)*0),6)</f>
        <v>0</v>
      </c>
      <c r="DC115">
        <f>ROUND(((ROUND(AT115*AG115,2)*1)*0),6)</f>
        <v>0</v>
      </c>
      <c r="DD115" t="s">
        <v>3</v>
      </c>
      <c r="DE115" t="s">
        <v>3</v>
      </c>
      <c r="DF115">
        <f t="shared" si="47"/>
        <v>0</v>
      </c>
      <c r="DG115">
        <f t="shared" si="46"/>
        <v>0</v>
      </c>
      <c r="DH115">
        <f t="shared" si="45"/>
        <v>0</v>
      </c>
      <c r="DI115">
        <f t="shared" si="25"/>
        <v>0</v>
      </c>
      <c r="DJ115">
        <f>DF115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ROW(Source!A42)</f>
        <v>42</v>
      </c>
      <c r="B116">
        <v>55934355</v>
      </c>
      <c r="C116">
        <v>55984143</v>
      </c>
      <c r="D116">
        <v>55461503</v>
      </c>
      <c r="E116">
        <v>1</v>
      </c>
      <c r="F116">
        <v>1</v>
      </c>
      <c r="G116">
        <v>1081</v>
      </c>
      <c r="H116">
        <v>3</v>
      </c>
      <c r="I116" t="s">
        <v>306</v>
      </c>
      <c r="J116" t="s">
        <v>307</v>
      </c>
      <c r="K116" t="s">
        <v>308</v>
      </c>
      <c r="L116">
        <v>1355</v>
      </c>
      <c r="N116">
        <v>1010</v>
      </c>
      <c r="O116" t="s">
        <v>280</v>
      </c>
      <c r="P116" t="s">
        <v>280</v>
      </c>
      <c r="Q116">
        <v>100</v>
      </c>
      <c r="W116">
        <v>0</v>
      </c>
      <c r="X116">
        <v>-2062965048</v>
      </c>
      <c r="Y116">
        <f>((AT116*1)*0)</f>
        <v>0</v>
      </c>
      <c r="AA116">
        <v>17.28</v>
      </c>
      <c r="AB116">
        <v>0</v>
      </c>
      <c r="AC116">
        <v>0</v>
      </c>
      <c r="AD116">
        <v>0</v>
      </c>
      <c r="AE116">
        <v>17.28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0.4</v>
      </c>
      <c r="AU116" t="s">
        <v>28</v>
      </c>
      <c r="AV116">
        <v>0</v>
      </c>
      <c r="AW116">
        <v>2</v>
      </c>
      <c r="AX116">
        <v>55984155</v>
      </c>
      <c r="AY116">
        <v>1</v>
      </c>
      <c r="AZ116">
        <v>0</v>
      </c>
      <c r="BA116">
        <v>140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ROUND(Y116*Source!I42,9)</f>
        <v>0</v>
      </c>
      <c r="CY116">
        <f>AA116</f>
        <v>17.28</v>
      </c>
      <c r="CZ116">
        <f>AE116</f>
        <v>17.28</v>
      </c>
      <c r="DA116">
        <f>AI116</f>
        <v>1</v>
      </c>
      <c r="DB116">
        <f>ROUND(((ROUND(AT116*CZ116,2)*1)*0),6)</f>
        <v>0</v>
      </c>
      <c r="DC116">
        <f>ROUND(((ROUND(AT116*AG116,2)*1)*0),6)</f>
        <v>0</v>
      </c>
      <c r="DD116" t="s">
        <v>3</v>
      </c>
      <c r="DE116" t="s">
        <v>3</v>
      </c>
      <c r="DF116">
        <f t="shared" si="47"/>
        <v>0</v>
      </c>
      <c r="DG116">
        <f t="shared" si="46"/>
        <v>0</v>
      </c>
      <c r="DH116">
        <f t="shared" si="45"/>
        <v>0</v>
      </c>
      <c r="DI116">
        <f t="shared" si="25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ROW(Source!A43)</f>
        <v>43</v>
      </c>
      <c r="B117">
        <v>55934357</v>
      </c>
      <c r="C117">
        <v>55984143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221</v>
      </c>
      <c r="J117" t="s">
        <v>3</v>
      </c>
      <c r="K117" t="s">
        <v>222</v>
      </c>
      <c r="L117">
        <v>1191</v>
      </c>
      <c r="N117">
        <v>1013</v>
      </c>
      <c r="O117" t="s">
        <v>223</v>
      </c>
      <c r="P117" t="s">
        <v>223</v>
      </c>
      <c r="Q117">
        <v>1</v>
      </c>
      <c r="W117">
        <v>0</v>
      </c>
      <c r="X117">
        <v>476480486</v>
      </c>
      <c r="Y117">
        <f>((AT117*1.2)*0.3)</f>
        <v>9.1187999999999985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25.33</v>
      </c>
      <c r="AU117" t="s">
        <v>29</v>
      </c>
      <c r="AV117">
        <v>1</v>
      </c>
      <c r="AW117">
        <v>2</v>
      </c>
      <c r="AX117">
        <v>55984150</v>
      </c>
      <c r="AY117">
        <v>1</v>
      </c>
      <c r="AZ117">
        <v>0</v>
      </c>
      <c r="BA117">
        <v>142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ROUND(AT117*Source!I43*AH117*AL117,2)</f>
        <v>0</v>
      </c>
      <c r="CV117">
        <f>ROUND(Y117*Source!I43,9)</f>
        <v>16.41384</v>
      </c>
      <c r="CW117">
        <v>0</v>
      </c>
      <c r="CX117">
        <f>ROUND(Y117*Source!I43,9)</f>
        <v>16.41384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ROUND(((ROUND(AT117*CZ117,2)*1.2)*0.3),6)</f>
        <v>0</v>
      </c>
      <c r="DC117">
        <f>ROUND(((ROUND(AT117*AG117,2)*1.2)*0.3),6)</f>
        <v>0</v>
      </c>
      <c r="DD117" t="s">
        <v>3</v>
      </c>
      <c r="DE117" t="s">
        <v>3</v>
      </c>
      <c r="DF117">
        <f t="shared" si="47"/>
        <v>0</v>
      </c>
      <c r="DG117">
        <f t="shared" si="46"/>
        <v>0</v>
      </c>
      <c r="DH117">
        <f t="shared" si="45"/>
        <v>0</v>
      </c>
      <c r="DI117">
        <f t="shared" si="25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ROW(Source!A43)</f>
        <v>43</v>
      </c>
      <c r="B118">
        <v>55934357</v>
      </c>
      <c r="C118">
        <v>55984143</v>
      </c>
      <c r="D118">
        <v>55490209</v>
      </c>
      <c r="E118">
        <v>1</v>
      </c>
      <c r="F118">
        <v>1</v>
      </c>
      <c r="G118">
        <v>1081</v>
      </c>
      <c r="H118">
        <v>2</v>
      </c>
      <c r="I118" t="s">
        <v>294</v>
      </c>
      <c r="J118" t="s">
        <v>295</v>
      </c>
      <c r="K118" t="s">
        <v>296</v>
      </c>
      <c r="L118">
        <v>1368</v>
      </c>
      <c r="N118">
        <v>1011</v>
      </c>
      <c r="O118" t="s">
        <v>227</v>
      </c>
      <c r="P118" t="s">
        <v>227</v>
      </c>
      <c r="Q118">
        <v>1</v>
      </c>
      <c r="W118">
        <v>0</v>
      </c>
      <c r="X118">
        <v>874612079</v>
      </c>
      <c r="Y118">
        <f>((AT118*1.2)*0.3)</f>
        <v>3.5999999999999999E-3</v>
      </c>
      <c r="AA118">
        <v>0</v>
      </c>
      <c r="AB118">
        <v>1485.19</v>
      </c>
      <c r="AC118">
        <v>744.56</v>
      </c>
      <c r="AD118">
        <v>0</v>
      </c>
      <c r="AE118">
        <v>0</v>
      </c>
      <c r="AF118">
        <v>83.1</v>
      </c>
      <c r="AG118">
        <v>12.62</v>
      </c>
      <c r="AH118">
        <v>0</v>
      </c>
      <c r="AI118">
        <v>1</v>
      </c>
      <c r="AJ118">
        <v>17.07</v>
      </c>
      <c r="AK118">
        <v>56.35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0.01</v>
      </c>
      <c r="AU118" t="s">
        <v>29</v>
      </c>
      <c r="AV118">
        <v>0</v>
      </c>
      <c r="AW118">
        <v>2</v>
      </c>
      <c r="AX118">
        <v>55984151</v>
      </c>
      <c r="AY118">
        <v>1</v>
      </c>
      <c r="AZ118">
        <v>0</v>
      </c>
      <c r="BA118">
        <v>143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ROUND(Y118*Source!I43*DO118,9)</f>
        <v>8.1777600000000006E-2</v>
      </c>
      <c r="CX118">
        <f>ROUND(Y118*Source!I43,9)</f>
        <v>6.4799999999999996E-3</v>
      </c>
      <c r="CY118">
        <f>AB118</f>
        <v>1485.19</v>
      </c>
      <c r="CZ118">
        <f>AF118</f>
        <v>83.1</v>
      </c>
      <c r="DA118">
        <f>AJ118</f>
        <v>17.07</v>
      </c>
      <c r="DB118">
        <f>ROUND(((ROUND(AT118*CZ118,2)*1.2)*0.3),6)</f>
        <v>0.29880000000000001</v>
      </c>
      <c r="DC118">
        <f>ROUND(((ROUND(AT118*AG118,2)*1.2)*0.3),6)</f>
        <v>4.6800000000000001E-2</v>
      </c>
      <c r="DD118" t="s">
        <v>3</v>
      </c>
      <c r="DE118" t="s">
        <v>3</v>
      </c>
      <c r="DF118">
        <f t="shared" si="47"/>
        <v>0</v>
      </c>
      <c r="DG118">
        <f>ROUND(ROUND(AF118*AJ118,2)*CX118,2)</f>
        <v>9.19</v>
      </c>
      <c r="DH118">
        <f>ROUND(ROUND(AG118*AK118,2)*CX118,2)</f>
        <v>4.6100000000000003</v>
      </c>
      <c r="DI118">
        <f t="shared" si="25"/>
        <v>0</v>
      </c>
      <c r="DJ118">
        <f>DG118</f>
        <v>9.19</v>
      </c>
      <c r="DK118">
        <v>0</v>
      </c>
      <c r="DL118" t="s">
        <v>228</v>
      </c>
      <c r="DM118">
        <v>0</v>
      </c>
      <c r="DN118" t="s">
        <v>223</v>
      </c>
      <c r="DO118">
        <v>12.62</v>
      </c>
    </row>
    <row r="119" spans="1:119" x14ac:dyDescent="0.25">
      <c r="A119">
        <f>ROW(Source!A43)</f>
        <v>43</v>
      </c>
      <c r="B119">
        <v>55934357</v>
      </c>
      <c r="C119">
        <v>55984143</v>
      </c>
      <c r="D119">
        <v>55490263</v>
      </c>
      <c r="E119">
        <v>1</v>
      </c>
      <c r="F119">
        <v>1</v>
      </c>
      <c r="G119">
        <v>1081</v>
      </c>
      <c r="H119">
        <v>2</v>
      </c>
      <c r="I119" t="s">
        <v>297</v>
      </c>
      <c r="J119" t="s">
        <v>298</v>
      </c>
      <c r="K119" t="s">
        <v>299</v>
      </c>
      <c r="L119">
        <v>1368</v>
      </c>
      <c r="N119">
        <v>1011</v>
      </c>
      <c r="O119" t="s">
        <v>227</v>
      </c>
      <c r="P119" t="s">
        <v>227</v>
      </c>
      <c r="Q119">
        <v>1</v>
      </c>
      <c r="W119">
        <v>0</v>
      </c>
      <c r="X119">
        <v>-1895752648</v>
      </c>
      <c r="Y119">
        <f>((AT119*1.2)*0.3)</f>
        <v>0.67320000000000002</v>
      </c>
      <c r="AA119">
        <v>0</v>
      </c>
      <c r="AB119">
        <v>7.71</v>
      </c>
      <c r="AC119">
        <v>0</v>
      </c>
      <c r="AD119">
        <v>0</v>
      </c>
      <c r="AE119">
        <v>0</v>
      </c>
      <c r="AF119">
        <v>0.77</v>
      </c>
      <c r="AG119">
        <v>0</v>
      </c>
      <c r="AH119">
        <v>0</v>
      </c>
      <c r="AI119">
        <v>1</v>
      </c>
      <c r="AJ119">
        <v>9.56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1.87</v>
      </c>
      <c r="AU119" t="s">
        <v>29</v>
      </c>
      <c r="AV119">
        <v>0</v>
      </c>
      <c r="AW119">
        <v>2</v>
      </c>
      <c r="AX119">
        <v>55984152</v>
      </c>
      <c r="AY119">
        <v>1</v>
      </c>
      <c r="AZ119">
        <v>0</v>
      </c>
      <c r="BA119">
        <v>144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ROUND(Y119*Source!I43*DO119,9)</f>
        <v>0</v>
      </c>
      <c r="CX119">
        <f>ROUND(Y119*Source!I43,9)</f>
        <v>1.2117599999999999</v>
      </c>
      <c r="CY119">
        <f>AB119</f>
        <v>7.71</v>
      </c>
      <c r="CZ119">
        <f>AF119</f>
        <v>0.77</v>
      </c>
      <c r="DA119">
        <f>AJ119</f>
        <v>9.56</v>
      </c>
      <c r="DB119">
        <f>ROUND(((ROUND(AT119*CZ119,2)*1.2)*0.3),6)</f>
        <v>0.51839999999999997</v>
      </c>
      <c r="DC119">
        <f>ROUND(((ROUND(AT119*AG119,2)*1.2)*0.3),6)</f>
        <v>0</v>
      </c>
      <c r="DD119" t="s">
        <v>3</v>
      </c>
      <c r="DE119" t="s">
        <v>3</v>
      </c>
      <c r="DF119">
        <f t="shared" si="47"/>
        <v>0</v>
      </c>
      <c r="DG119">
        <f>ROUND(ROUND(AF119*AJ119,2)*CX119,2)</f>
        <v>8.92</v>
      </c>
      <c r="DH119">
        <f t="shared" ref="DH119:DH128" si="48">ROUND(ROUND(AG119,2)*CX119,2)</f>
        <v>0</v>
      </c>
      <c r="DI119">
        <f t="shared" si="25"/>
        <v>0</v>
      </c>
      <c r="DJ119">
        <f>DG119</f>
        <v>8.92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ROW(Source!A43)</f>
        <v>43</v>
      </c>
      <c r="B120">
        <v>55934357</v>
      </c>
      <c r="C120">
        <v>55984143</v>
      </c>
      <c r="D120">
        <v>55490296</v>
      </c>
      <c r="E120">
        <v>1</v>
      </c>
      <c r="F120">
        <v>1</v>
      </c>
      <c r="G120">
        <v>1081</v>
      </c>
      <c r="H120">
        <v>2</v>
      </c>
      <c r="I120" t="s">
        <v>300</v>
      </c>
      <c r="J120" t="s">
        <v>301</v>
      </c>
      <c r="K120" t="s">
        <v>302</v>
      </c>
      <c r="L120">
        <v>1368</v>
      </c>
      <c r="N120">
        <v>1011</v>
      </c>
      <c r="O120" t="s">
        <v>227</v>
      </c>
      <c r="P120" t="s">
        <v>227</v>
      </c>
      <c r="Q120">
        <v>1</v>
      </c>
      <c r="W120">
        <v>0</v>
      </c>
      <c r="X120">
        <v>-643591644</v>
      </c>
      <c r="Y120">
        <f>((AT120*1.2)*0.3)</f>
        <v>6.8399999999999989E-2</v>
      </c>
      <c r="AA120">
        <v>0</v>
      </c>
      <c r="AB120">
        <v>4.75</v>
      </c>
      <c r="AC120">
        <v>0</v>
      </c>
      <c r="AD120">
        <v>0</v>
      </c>
      <c r="AE120">
        <v>0</v>
      </c>
      <c r="AF120">
        <v>0.47</v>
      </c>
      <c r="AG120">
        <v>0</v>
      </c>
      <c r="AH120">
        <v>0</v>
      </c>
      <c r="AI120">
        <v>1</v>
      </c>
      <c r="AJ120">
        <v>9.66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0.19</v>
      </c>
      <c r="AU120" t="s">
        <v>29</v>
      </c>
      <c r="AV120">
        <v>0</v>
      </c>
      <c r="AW120">
        <v>2</v>
      </c>
      <c r="AX120">
        <v>55984153</v>
      </c>
      <c r="AY120">
        <v>1</v>
      </c>
      <c r="AZ120">
        <v>0</v>
      </c>
      <c r="BA120">
        <v>145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ROUND(Y120*Source!I43*DO120,9)</f>
        <v>0</v>
      </c>
      <c r="CX120">
        <f>ROUND(Y120*Source!I43,9)</f>
        <v>0.12311999999999999</v>
      </c>
      <c r="CY120">
        <f>AB120</f>
        <v>4.75</v>
      </c>
      <c r="CZ120">
        <f>AF120</f>
        <v>0.47</v>
      </c>
      <c r="DA120">
        <f>AJ120</f>
        <v>9.66</v>
      </c>
      <c r="DB120">
        <f>ROUND(((ROUND(AT120*CZ120,2)*1.2)*0.3),6)</f>
        <v>3.2399999999999998E-2</v>
      </c>
      <c r="DC120">
        <f>ROUND(((ROUND(AT120*AG120,2)*1.2)*0.3),6)</f>
        <v>0</v>
      </c>
      <c r="DD120" t="s">
        <v>3</v>
      </c>
      <c r="DE120" t="s">
        <v>3</v>
      </c>
      <c r="DF120">
        <f t="shared" si="47"/>
        <v>0</v>
      </c>
      <c r="DG120">
        <f>ROUND(ROUND(AF120*AJ120,2)*CX120,2)</f>
        <v>0.56000000000000005</v>
      </c>
      <c r="DH120">
        <f t="shared" si="48"/>
        <v>0</v>
      </c>
      <c r="DI120">
        <f t="shared" si="25"/>
        <v>0</v>
      </c>
      <c r="DJ120">
        <f>DG120</f>
        <v>0.56000000000000005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ROW(Source!A43)</f>
        <v>43</v>
      </c>
      <c r="B121">
        <v>55934357</v>
      </c>
      <c r="C121">
        <v>55984143</v>
      </c>
      <c r="D121">
        <v>55459340</v>
      </c>
      <c r="E121">
        <v>1</v>
      </c>
      <c r="F121">
        <v>1</v>
      </c>
      <c r="G121">
        <v>1081</v>
      </c>
      <c r="H121">
        <v>3</v>
      </c>
      <c r="I121" t="s">
        <v>303</v>
      </c>
      <c r="J121" t="s">
        <v>304</v>
      </c>
      <c r="K121" t="s">
        <v>305</v>
      </c>
      <c r="L121">
        <v>1354</v>
      </c>
      <c r="N121">
        <v>1010</v>
      </c>
      <c r="O121" t="s">
        <v>293</v>
      </c>
      <c r="P121" t="s">
        <v>293</v>
      </c>
      <c r="Q121">
        <v>1</v>
      </c>
      <c r="W121">
        <v>0</v>
      </c>
      <c r="X121">
        <v>-1352077490</v>
      </c>
      <c r="Y121">
        <f>((AT121*1)*0)</f>
        <v>0</v>
      </c>
      <c r="AA121">
        <v>0.83</v>
      </c>
      <c r="AB121">
        <v>0</v>
      </c>
      <c r="AC121">
        <v>0</v>
      </c>
      <c r="AD121">
        <v>0</v>
      </c>
      <c r="AE121">
        <v>0.89</v>
      </c>
      <c r="AF121">
        <v>0</v>
      </c>
      <c r="AG121">
        <v>0</v>
      </c>
      <c r="AH121">
        <v>0</v>
      </c>
      <c r="AI121">
        <v>0.93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40</v>
      </c>
      <c r="AU121" t="s">
        <v>28</v>
      </c>
      <c r="AV121">
        <v>0</v>
      </c>
      <c r="AW121">
        <v>2</v>
      </c>
      <c r="AX121">
        <v>55984154</v>
      </c>
      <c r="AY121">
        <v>1</v>
      </c>
      <c r="AZ121">
        <v>0</v>
      </c>
      <c r="BA121">
        <v>146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ROUND(Y121*Source!I43,9)</f>
        <v>0</v>
      </c>
      <c r="CY121">
        <f>AA121</f>
        <v>0.83</v>
      </c>
      <c r="CZ121">
        <f>AE121</f>
        <v>0.89</v>
      </c>
      <c r="DA121">
        <f>AI121</f>
        <v>0.93</v>
      </c>
      <c r="DB121">
        <f>ROUND(((ROUND(AT121*CZ121,2)*1)*0),6)</f>
        <v>0</v>
      </c>
      <c r="DC121">
        <f>ROUND(((ROUND(AT121*AG121,2)*1)*0),6)</f>
        <v>0</v>
      </c>
      <c r="DD121" t="s">
        <v>3</v>
      </c>
      <c r="DE121" t="s">
        <v>3</v>
      </c>
      <c r="DF121">
        <f>ROUND(ROUND(AE121*AI121,2)*CX121,2)</f>
        <v>0</v>
      </c>
      <c r="DG121">
        <f t="shared" ref="DG121:DG128" si="49">ROUND(ROUND(AF121,2)*CX121,2)</f>
        <v>0</v>
      </c>
      <c r="DH121">
        <f t="shared" si="48"/>
        <v>0</v>
      </c>
      <c r="DI121">
        <f t="shared" si="25"/>
        <v>0</v>
      </c>
      <c r="DJ121">
        <f>DF121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ROW(Source!A43)</f>
        <v>43</v>
      </c>
      <c r="B122">
        <v>55934357</v>
      </c>
      <c r="C122">
        <v>55984143</v>
      </c>
      <c r="D122">
        <v>55461503</v>
      </c>
      <c r="E122">
        <v>1</v>
      </c>
      <c r="F122">
        <v>1</v>
      </c>
      <c r="G122">
        <v>1081</v>
      </c>
      <c r="H122">
        <v>3</v>
      </c>
      <c r="I122" t="s">
        <v>306</v>
      </c>
      <c r="J122" t="s">
        <v>307</v>
      </c>
      <c r="K122" t="s">
        <v>308</v>
      </c>
      <c r="L122">
        <v>1355</v>
      </c>
      <c r="N122">
        <v>1010</v>
      </c>
      <c r="O122" t="s">
        <v>280</v>
      </c>
      <c r="P122" t="s">
        <v>280</v>
      </c>
      <c r="Q122">
        <v>100</v>
      </c>
      <c r="W122">
        <v>0</v>
      </c>
      <c r="X122">
        <v>-2062965048</v>
      </c>
      <c r="Y122">
        <f>((AT122*1)*0)</f>
        <v>0</v>
      </c>
      <c r="AA122">
        <v>112.15</v>
      </c>
      <c r="AB122">
        <v>0</v>
      </c>
      <c r="AC122">
        <v>0</v>
      </c>
      <c r="AD122">
        <v>0</v>
      </c>
      <c r="AE122">
        <v>17.28</v>
      </c>
      <c r="AF122">
        <v>0</v>
      </c>
      <c r="AG122">
        <v>0</v>
      </c>
      <c r="AH122">
        <v>0</v>
      </c>
      <c r="AI122">
        <v>6.49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0.4</v>
      </c>
      <c r="AU122" t="s">
        <v>28</v>
      </c>
      <c r="AV122">
        <v>0</v>
      </c>
      <c r="AW122">
        <v>2</v>
      </c>
      <c r="AX122">
        <v>55984155</v>
      </c>
      <c r="AY122">
        <v>1</v>
      </c>
      <c r="AZ122">
        <v>0</v>
      </c>
      <c r="BA122">
        <v>147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ROUND(Y122*Source!I43,9)</f>
        <v>0</v>
      </c>
      <c r="CY122">
        <f>AA122</f>
        <v>112.15</v>
      </c>
      <c r="CZ122">
        <f>AE122</f>
        <v>17.28</v>
      </c>
      <c r="DA122">
        <f>AI122</f>
        <v>6.49</v>
      </c>
      <c r="DB122">
        <f>ROUND(((ROUND(AT122*CZ122,2)*1)*0),6)</f>
        <v>0</v>
      </c>
      <c r="DC122">
        <f>ROUND(((ROUND(AT122*AG122,2)*1)*0),6)</f>
        <v>0</v>
      </c>
      <c r="DD122" t="s">
        <v>3</v>
      </c>
      <c r="DE122" t="s">
        <v>3</v>
      </c>
      <c r="DF122">
        <f>ROUND(ROUND(AE122*AI122,2)*CX122,2)</f>
        <v>0</v>
      </c>
      <c r="DG122">
        <f t="shared" si="49"/>
        <v>0</v>
      </c>
      <c r="DH122">
        <f t="shared" si="48"/>
        <v>0</v>
      </c>
      <c r="DI122">
        <f t="shared" si="25"/>
        <v>0</v>
      </c>
      <c r="DJ122">
        <f>DF122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ROW(Source!A79)</f>
        <v>79</v>
      </c>
      <c r="B123">
        <v>55934355</v>
      </c>
      <c r="C123">
        <v>55934539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221</v>
      </c>
      <c r="J123" t="s">
        <v>3</v>
      </c>
      <c r="K123" t="s">
        <v>222</v>
      </c>
      <c r="L123">
        <v>1191</v>
      </c>
      <c r="N123">
        <v>1013</v>
      </c>
      <c r="O123" t="s">
        <v>223</v>
      </c>
      <c r="P123" t="s">
        <v>223</v>
      </c>
      <c r="Q123">
        <v>1</v>
      </c>
      <c r="W123">
        <v>0</v>
      </c>
      <c r="X123">
        <v>476480486</v>
      </c>
      <c r="Y123">
        <f>(AT123*1.2)</f>
        <v>7.4399999999999995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6.2</v>
      </c>
      <c r="AU123" t="s">
        <v>121</v>
      </c>
      <c r="AV123">
        <v>1</v>
      </c>
      <c r="AW123">
        <v>2</v>
      </c>
      <c r="AX123">
        <v>55934540</v>
      </c>
      <c r="AY123">
        <v>1</v>
      </c>
      <c r="AZ123">
        <v>0</v>
      </c>
      <c r="BA123">
        <v>149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ROUND(AT123*Source!I79*AH123*AL123,2)</f>
        <v>0</v>
      </c>
      <c r="CV123">
        <f>ROUND(Y123*Source!I79,9)</f>
        <v>7.44</v>
      </c>
      <c r="CW123">
        <v>0</v>
      </c>
      <c r="CX123">
        <f>ROUND(Y123*Source!I79,9)</f>
        <v>7.44</v>
      </c>
      <c r="CY123">
        <f>AD123</f>
        <v>0</v>
      </c>
      <c r="CZ123">
        <f>AH123</f>
        <v>0</v>
      </c>
      <c r="DA123">
        <f>AL123</f>
        <v>1</v>
      </c>
      <c r="DB123">
        <f>ROUND((ROUND(AT123*CZ123,2)*1.2),6)</f>
        <v>0</v>
      </c>
      <c r="DC123">
        <f>ROUND((ROUND(AT123*AG123,2)*1.2),6)</f>
        <v>0</v>
      </c>
      <c r="DD123" t="s">
        <v>3</v>
      </c>
      <c r="DE123" t="s">
        <v>3</v>
      </c>
      <c r="DF123">
        <f t="shared" ref="DF123:DF129" si="50">ROUND(ROUND(AE123,2)*CX123,2)</f>
        <v>0</v>
      </c>
      <c r="DG123">
        <f t="shared" si="49"/>
        <v>0</v>
      </c>
      <c r="DH123">
        <f t="shared" si="48"/>
        <v>0</v>
      </c>
      <c r="DI123">
        <f t="shared" si="25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ROW(Source!A79)</f>
        <v>79</v>
      </c>
      <c r="B124">
        <v>55934355</v>
      </c>
      <c r="C124">
        <v>55934539</v>
      </c>
      <c r="D124">
        <v>55489513</v>
      </c>
      <c r="E124">
        <v>1</v>
      </c>
      <c r="F124">
        <v>1</v>
      </c>
      <c r="G124">
        <v>1081</v>
      </c>
      <c r="H124">
        <v>2</v>
      </c>
      <c r="I124" t="s">
        <v>224</v>
      </c>
      <c r="J124" t="s">
        <v>225</v>
      </c>
      <c r="K124" t="s">
        <v>226</v>
      </c>
      <c r="L124">
        <v>1368</v>
      </c>
      <c r="N124">
        <v>1011</v>
      </c>
      <c r="O124" t="s">
        <v>227</v>
      </c>
      <c r="P124" t="s">
        <v>227</v>
      </c>
      <c r="Q124">
        <v>1</v>
      </c>
      <c r="W124">
        <v>0</v>
      </c>
      <c r="X124">
        <v>-1520980008</v>
      </c>
      <c r="Y124">
        <f>(AT124*1.2)</f>
        <v>0.3</v>
      </c>
      <c r="AA124">
        <v>0</v>
      </c>
      <c r="AB124">
        <v>120.23</v>
      </c>
      <c r="AC124">
        <v>13.21</v>
      </c>
      <c r="AD124">
        <v>0</v>
      </c>
      <c r="AE124">
        <v>0</v>
      </c>
      <c r="AF124">
        <v>114.83</v>
      </c>
      <c r="AG124">
        <v>12.62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0.25</v>
      </c>
      <c r="AU124" t="s">
        <v>121</v>
      </c>
      <c r="AV124">
        <v>0</v>
      </c>
      <c r="AW124">
        <v>2</v>
      </c>
      <c r="AX124">
        <v>55934541</v>
      </c>
      <c r="AY124">
        <v>1</v>
      </c>
      <c r="AZ124">
        <v>0</v>
      </c>
      <c r="BA124">
        <v>150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ROUND(Y124*Source!I79*DO124,9)</f>
        <v>3.786</v>
      </c>
      <c r="CX124">
        <f>ROUND(Y124*Source!I79,9)</f>
        <v>0.3</v>
      </c>
      <c r="CY124">
        <f>AB124</f>
        <v>120.23</v>
      </c>
      <c r="CZ124">
        <f>AF124</f>
        <v>114.83</v>
      </c>
      <c r="DA124">
        <f>AJ124</f>
        <v>1</v>
      </c>
      <c r="DB124">
        <f>ROUND((ROUND(AT124*CZ124,2)*1.2),6)</f>
        <v>34.451999999999998</v>
      </c>
      <c r="DC124">
        <f>ROUND((ROUND(AT124*AG124,2)*1.2),6)</f>
        <v>3.7919999999999998</v>
      </c>
      <c r="DD124" t="s">
        <v>3</v>
      </c>
      <c r="DE124" t="s">
        <v>3</v>
      </c>
      <c r="DF124">
        <f t="shared" si="50"/>
        <v>0</v>
      </c>
      <c r="DG124">
        <f t="shared" si="49"/>
        <v>34.450000000000003</v>
      </c>
      <c r="DH124">
        <f t="shared" si="48"/>
        <v>3.79</v>
      </c>
      <c r="DI124">
        <f t="shared" si="25"/>
        <v>0</v>
      </c>
      <c r="DJ124">
        <f>DG124</f>
        <v>34.450000000000003</v>
      </c>
      <c r="DK124">
        <v>0</v>
      </c>
      <c r="DL124" t="s">
        <v>228</v>
      </c>
      <c r="DM124">
        <v>0</v>
      </c>
      <c r="DN124" t="s">
        <v>223</v>
      </c>
      <c r="DO124">
        <v>12.62</v>
      </c>
    </row>
    <row r="125" spans="1:119" x14ac:dyDescent="0.25">
      <c r="A125">
        <f>ROW(Source!A79)</f>
        <v>79</v>
      </c>
      <c r="B125">
        <v>55934355</v>
      </c>
      <c r="C125">
        <v>55934539</v>
      </c>
      <c r="D125">
        <v>55461719</v>
      </c>
      <c r="E125">
        <v>1</v>
      </c>
      <c r="F125">
        <v>1</v>
      </c>
      <c r="G125">
        <v>1081</v>
      </c>
      <c r="H125">
        <v>3</v>
      </c>
      <c r="I125" t="s">
        <v>229</v>
      </c>
      <c r="J125" t="s">
        <v>230</v>
      </c>
      <c r="K125" t="s">
        <v>231</v>
      </c>
      <c r="L125">
        <v>1348</v>
      </c>
      <c r="N125">
        <v>1009</v>
      </c>
      <c r="O125" t="s">
        <v>232</v>
      </c>
      <c r="P125" t="s">
        <v>232</v>
      </c>
      <c r="Q125">
        <v>1000</v>
      </c>
      <c r="W125">
        <v>0</v>
      </c>
      <c r="X125">
        <v>-1265888387</v>
      </c>
      <c r="Y125">
        <f>(AT125*1)</f>
        <v>1.1000000000000001E-3</v>
      </c>
      <c r="AA125">
        <v>10643.18</v>
      </c>
      <c r="AB125">
        <v>0</v>
      </c>
      <c r="AC125">
        <v>0</v>
      </c>
      <c r="AD125">
        <v>0</v>
      </c>
      <c r="AE125">
        <v>10643.18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1.1000000000000001E-3</v>
      </c>
      <c r="AU125" t="s">
        <v>120</v>
      </c>
      <c r="AV125">
        <v>0</v>
      </c>
      <c r="AW125">
        <v>2</v>
      </c>
      <c r="AX125">
        <v>55934542</v>
      </c>
      <c r="AY125">
        <v>1</v>
      </c>
      <c r="AZ125">
        <v>0</v>
      </c>
      <c r="BA125">
        <v>151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ROUND(Y125*Source!I79,9)</f>
        <v>1.1000000000000001E-3</v>
      </c>
      <c r="CY125">
        <f>AA125</f>
        <v>10643.18</v>
      </c>
      <c r="CZ125">
        <f>AE125</f>
        <v>10643.18</v>
      </c>
      <c r="DA125">
        <f>AI125</f>
        <v>1</v>
      </c>
      <c r="DB125">
        <f>ROUND((ROUND(AT125*CZ125,2)*1),6)</f>
        <v>11.71</v>
      </c>
      <c r="DC125">
        <f>ROUND((ROUND(AT125*AG125,2)*1),6)</f>
        <v>0</v>
      </c>
      <c r="DD125" t="s">
        <v>3</v>
      </c>
      <c r="DE125" t="s">
        <v>3</v>
      </c>
      <c r="DF125">
        <f t="shared" si="50"/>
        <v>11.71</v>
      </c>
      <c r="DG125">
        <f t="shared" si="49"/>
        <v>0</v>
      </c>
      <c r="DH125">
        <f t="shared" si="48"/>
        <v>0</v>
      </c>
      <c r="DI125">
        <f t="shared" si="25"/>
        <v>0</v>
      </c>
      <c r="DJ125">
        <f>DF125</f>
        <v>11.71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ROW(Source!A79)</f>
        <v>79</v>
      </c>
      <c r="B126">
        <v>55934355</v>
      </c>
      <c r="C126">
        <v>55934539</v>
      </c>
      <c r="D126">
        <v>55459793</v>
      </c>
      <c r="E126">
        <v>1</v>
      </c>
      <c r="F126">
        <v>1</v>
      </c>
      <c r="G126">
        <v>1081</v>
      </c>
      <c r="H126">
        <v>3</v>
      </c>
      <c r="I126" t="s">
        <v>233</v>
      </c>
      <c r="J126" t="s">
        <v>234</v>
      </c>
      <c r="K126" t="s">
        <v>235</v>
      </c>
      <c r="L126">
        <v>1348</v>
      </c>
      <c r="N126">
        <v>1009</v>
      </c>
      <c r="O126" t="s">
        <v>232</v>
      </c>
      <c r="P126" t="s">
        <v>232</v>
      </c>
      <c r="Q126">
        <v>1000</v>
      </c>
      <c r="W126">
        <v>0</v>
      </c>
      <c r="X126">
        <v>-761454284</v>
      </c>
      <c r="Y126">
        <f>(AT126*1)</f>
        <v>1.0000000000000001E-5</v>
      </c>
      <c r="AA126">
        <v>64123.05</v>
      </c>
      <c r="AB126">
        <v>0</v>
      </c>
      <c r="AC126">
        <v>0</v>
      </c>
      <c r="AD126">
        <v>0</v>
      </c>
      <c r="AE126">
        <v>64123.05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1.0000000000000001E-5</v>
      </c>
      <c r="AU126" t="s">
        <v>120</v>
      </c>
      <c r="AV126">
        <v>0</v>
      </c>
      <c r="AW126">
        <v>2</v>
      </c>
      <c r="AX126">
        <v>55934543</v>
      </c>
      <c r="AY126">
        <v>1</v>
      </c>
      <c r="AZ126">
        <v>0</v>
      </c>
      <c r="BA126">
        <v>152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ROUND(Y126*Source!I79,9)</f>
        <v>1.0000000000000001E-5</v>
      </c>
      <c r="CY126">
        <f>AA126</f>
        <v>64123.05</v>
      </c>
      <c r="CZ126">
        <f>AE126</f>
        <v>64123.05</v>
      </c>
      <c r="DA126">
        <f>AI126</f>
        <v>1</v>
      </c>
      <c r="DB126">
        <f>ROUND((ROUND(AT126*CZ126,2)*1),6)</f>
        <v>0.64</v>
      </c>
      <c r="DC126">
        <f>ROUND((ROUND(AT126*AG126,2)*1),6)</f>
        <v>0</v>
      </c>
      <c r="DD126" t="s">
        <v>3</v>
      </c>
      <c r="DE126" t="s">
        <v>3</v>
      </c>
      <c r="DF126">
        <f t="shared" si="50"/>
        <v>0.64</v>
      </c>
      <c r="DG126">
        <f t="shared" si="49"/>
        <v>0</v>
      </c>
      <c r="DH126">
        <f t="shared" si="48"/>
        <v>0</v>
      </c>
      <c r="DI126">
        <f t="shared" si="25"/>
        <v>0</v>
      </c>
      <c r="DJ126">
        <f>DF126</f>
        <v>0.64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ROW(Source!A79)</f>
        <v>79</v>
      </c>
      <c r="B127">
        <v>55934355</v>
      </c>
      <c r="C127">
        <v>55934539</v>
      </c>
      <c r="D127">
        <v>0</v>
      </c>
      <c r="E127">
        <v>0</v>
      </c>
      <c r="F127">
        <v>1</v>
      </c>
      <c r="G127">
        <v>1081</v>
      </c>
      <c r="H127">
        <v>3</v>
      </c>
      <c r="I127" t="s">
        <v>309</v>
      </c>
      <c r="J127" t="s">
        <v>309</v>
      </c>
      <c r="K127" t="s">
        <v>125</v>
      </c>
      <c r="L127">
        <v>1371</v>
      </c>
      <c r="N127">
        <v>1013</v>
      </c>
      <c r="O127" t="s">
        <v>126</v>
      </c>
      <c r="P127" t="s">
        <v>126</v>
      </c>
      <c r="Q127">
        <v>1</v>
      </c>
      <c r="W127">
        <v>0</v>
      </c>
      <c r="X127">
        <v>-1145713632</v>
      </c>
      <c r="Y127">
        <f>(AT127*1)</f>
        <v>1</v>
      </c>
      <c r="AA127">
        <v>50603.12</v>
      </c>
      <c r="AB127">
        <v>0</v>
      </c>
      <c r="AC127">
        <v>0</v>
      </c>
      <c r="AD127">
        <v>0</v>
      </c>
      <c r="AE127">
        <v>50603.12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 t="s">
        <v>3</v>
      </c>
      <c r="AT127">
        <v>1</v>
      </c>
      <c r="AU127" t="s">
        <v>120</v>
      </c>
      <c r="AV127">
        <v>0</v>
      </c>
      <c r="AW127">
        <v>1</v>
      </c>
      <c r="AX127">
        <v>-1</v>
      </c>
      <c r="AY127">
        <v>0</v>
      </c>
      <c r="AZ127">
        <v>0</v>
      </c>
      <c r="BA127" t="s">
        <v>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ROUND(Y127*Source!I79,9)</f>
        <v>1</v>
      </c>
      <c r="CY127">
        <f>AA127</f>
        <v>50603.12</v>
      </c>
      <c r="CZ127">
        <f>AE127</f>
        <v>50603.12</v>
      </c>
      <c r="DA127">
        <f>AI127</f>
        <v>1</v>
      </c>
      <c r="DB127">
        <f>ROUND((ROUND(AT127*CZ127,2)*1),6)</f>
        <v>50603.12</v>
      </c>
      <c r="DC127">
        <f>ROUND((ROUND(AT127*AG127,2)*1),6)</f>
        <v>0</v>
      </c>
      <c r="DD127" t="s">
        <v>3</v>
      </c>
      <c r="DE127" t="s">
        <v>3</v>
      </c>
      <c r="DF127">
        <f t="shared" si="50"/>
        <v>50603.12</v>
      </c>
      <c r="DG127">
        <f t="shared" si="49"/>
        <v>0</v>
      </c>
      <c r="DH127">
        <f t="shared" si="48"/>
        <v>0</v>
      </c>
      <c r="DI127">
        <f t="shared" si="25"/>
        <v>0</v>
      </c>
      <c r="DJ127">
        <f>DF127</f>
        <v>50603.12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ROW(Source!A80)</f>
        <v>80</v>
      </c>
      <c r="B128">
        <v>55934357</v>
      </c>
      <c r="C128">
        <v>55934539</v>
      </c>
      <c r="D128">
        <v>55424304</v>
      </c>
      <c r="E128">
        <v>1081</v>
      </c>
      <c r="F128">
        <v>1</v>
      </c>
      <c r="G128">
        <v>1081</v>
      </c>
      <c r="H128">
        <v>1</v>
      </c>
      <c r="I128" t="s">
        <v>221</v>
      </c>
      <c r="J128" t="s">
        <v>3</v>
      </c>
      <c r="K128" t="s">
        <v>222</v>
      </c>
      <c r="L128">
        <v>1191</v>
      </c>
      <c r="N128">
        <v>1013</v>
      </c>
      <c r="O128" t="s">
        <v>223</v>
      </c>
      <c r="P128" t="s">
        <v>223</v>
      </c>
      <c r="Q128">
        <v>1</v>
      </c>
      <c r="W128">
        <v>0</v>
      </c>
      <c r="X128">
        <v>476480486</v>
      </c>
      <c r="Y128">
        <f>(AT128*1.2)</f>
        <v>7.4399999999999995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6.2</v>
      </c>
      <c r="AU128" t="s">
        <v>121</v>
      </c>
      <c r="AV128">
        <v>1</v>
      </c>
      <c r="AW128">
        <v>2</v>
      </c>
      <c r="AX128">
        <v>55934540</v>
      </c>
      <c r="AY128">
        <v>1</v>
      </c>
      <c r="AZ128">
        <v>0</v>
      </c>
      <c r="BA128">
        <v>154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ROUND(AT128*Source!I80*AH128*AL128,2)</f>
        <v>0</v>
      </c>
      <c r="CV128">
        <f>ROUND(Y128*Source!I80,9)</f>
        <v>7.44</v>
      </c>
      <c r="CW128">
        <v>0</v>
      </c>
      <c r="CX128">
        <f>ROUND(Y128*Source!I80,9)</f>
        <v>7.44</v>
      </c>
      <c r="CY128">
        <f>AD128</f>
        <v>0</v>
      </c>
      <c r="CZ128">
        <f>AH128</f>
        <v>0</v>
      </c>
      <c r="DA128">
        <f>AL128</f>
        <v>1</v>
      </c>
      <c r="DB128">
        <f>ROUND((ROUND(AT128*CZ128,2)*1.2),6)</f>
        <v>0</v>
      </c>
      <c r="DC128">
        <f>ROUND((ROUND(AT128*AG128,2)*1.2),6)</f>
        <v>0</v>
      </c>
      <c r="DD128" t="s">
        <v>3</v>
      </c>
      <c r="DE128" t="s">
        <v>3</v>
      </c>
      <c r="DF128">
        <f t="shared" si="50"/>
        <v>0</v>
      </c>
      <c r="DG128">
        <f t="shared" si="49"/>
        <v>0</v>
      </c>
      <c r="DH128">
        <f t="shared" si="48"/>
        <v>0</v>
      </c>
      <c r="DI128">
        <f t="shared" si="25"/>
        <v>0</v>
      </c>
      <c r="DJ128">
        <f>DI128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ROW(Source!A80)</f>
        <v>80</v>
      </c>
      <c r="B129">
        <v>55934357</v>
      </c>
      <c r="C129">
        <v>55934539</v>
      </c>
      <c r="D129">
        <v>55489513</v>
      </c>
      <c r="E129">
        <v>1</v>
      </c>
      <c r="F129">
        <v>1</v>
      </c>
      <c r="G129">
        <v>1081</v>
      </c>
      <c r="H129">
        <v>2</v>
      </c>
      <c r="I129" t="s">
        <v>224</v>
      </c>
      <c r="J129" t="s">
        <v>225</v>
      </c>
      <c r="K129" t="s">
        <v>226</v>
      </c>
      <c r="L129">
        <v>1368</v>
      </c>
      <c r="N129">
        <v>1011</v>
      </c>
      <c r="O129" t="s">
        <v>227</v>
      </c>
      <c r="P129" t="s">
        <v>227</v>
      </c>
      <c r="Q129">
        <v>1</v>
      </c>
      <c r="W129">
        <v>0</v>
      </c>
      <c r="X129">
        <v>-1520980008</v>
      </c>
      <c r="Y129">
        <f>(AT129*1.2)</f>
        <v>0.3</v>
      </c>
      <c r="AA129">
        <v>0</v>
      </c>
      <c r="AB129">
        <v>1942.87</v>
      </c>
      <c r="AC129">
        <v>744.56</v>
      </c>
      <c r="AD129">
        <v>0</v>
      </c>
      <c r="AE129">
        <v>0</v>
      </c>
      <c r="AF129">
        <v>114.83</v>
      </c>
      <c r="AG129">
        <v>12.62</v>
      </c>
      <c r="AH129">
        <v>0</v>
      </c>
      <c r="AI129">
        <v>1</v>
      </c>
      <c r="AJ129">
        <v>16.16</v>
      </c>
      <c r="AK129">
        <v>56.35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0.25</v>
      </c>
      <c r="AU129" t="s">
        <v>121</v>
      </c>
      <c r="AV129">
        <v>0</v>
      </c>
      <c r="AW129">
        <v>2</v>
      </c>
      <c r="AX129">
        <v>55934541</v>
      </c>
      <c r="AY129">
        <v>1</v>
      </c>
      <c r="AZ129">
        <v>0</v>
      </c>
      <c r="BA129">
        <v>155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ROUND(Y129*Source!I80*DO129,9)</f>
        <v>3.786</v>
      </c>
      <c r="CX129">
        <f>ROUND(Y129*Source!I80,9)</f>
        <v>0.3</v>
      </c>
      <c r="CY129">
        <f>AB129</f>
        <v>1942.87</v>
      </c>
      <c r="CZ129">
        <f>AF129</f>
        <v>114.83</v>
      </c>
      <c r="DA129">
        <f>AJ129</f>
        <v>16.16</v>
      </c>
      <c r="DB129">
        <f>ROUND((ROUND(AT129*CZ129,2)*1.2),6)</f>
        <v>34.451999999999998</v>
      </c>
      <c r="DC129">
        <f>ROUND((ROUND(AT129*AG129,2)*1.2),6)</f>
        <v>3.7919999999999998</v>
      </c>
      <c r="DD129" t="s">
        <v>3</v>
      </c>
      <c r="DE129" t="s">
        <v>3</v>
      </c>
      <c r="DF129">
        <f t="shared" si="50"/>
        <v>0</v>
      </c>
      <c r="DG129">
        <f>ROUND(ROUND(AF129*AJ129,2)*CX129,2)</f>
        <v>556.70000000000005</v>
      </c>
      <c r="DH129">
        <f>ROUND(ROUND(AG129*AK129,2)*CX129,2)</f>
        <v>213.34</v>
      </c>
      <c r="DI129">
        <f t="shared" ref="DI129:DI192" si="51">ROUND(ROUND(AH129,2)*CX129,2)</f>
        <v>0</v>
      </c>
      <c r="DJ129">
        <f>DG129</f>
        <v>556.70000000000005</v>
      </c>
      <c r="DK129">
        <v>0</v>
      </c>
      <c r="DL129" t="s">
        <v>228</v>
      </c>
      <c r="DM129">
        <v>0</v>
      </c>
      <c r="DN129" t="s">
        <v>223</v>
      </c>
      <c r="DO129">
        <v>12.62</v>
      </c>
    </row>
    <row r="130" spans="1:119" x14ac:dyDescent="0.25">
      <c r="A130">
        <f>ROW(Source!A80)</f>
        <v>80</v>
      </c>
      <c r="B130">
        <v>55934357</v>
      </c>
      <c r="C130">
        <v>55934539</v>
      </c>
      <c r="D130">
        <v>55461719</v>
      </c>
      <c r="E130">
        <v>1</v>
      </c>
      <c r="F130">
        <v>1</v>
      </c>
      <c r="G130">
        <v>1081</v>
      </c>
      <c r="H130">
        <v>3</v>
      </c>
      <c r="I130" t="s">
        <v>229</v>
      </c>
      <c r="J130" t="s">
        <v>230</v>
      </c>
      <c r="K130" t="s">
        <v>231</v>
      </c>
      <c r="L130">
        <v>1348</v>
      </c>
      <c r="N130">
        <v>1009</v>
      </c>
      <c r="O130" t="s">
        <v>232</v>
      </c>
      <c r="P130" t="s">
        <v>232</v>
      </c>
      <c r="Q130">
        <v>1000</v>
      </c>
      <c r="W130">
        <v>0</v>
      </c>
      <c r="X130">
        <v>-1265888387</v>
      </c>
      <c r="Y130">
        <f>(AT130*1)</f>
        <v>1.1000000000000001E-3</v>
      </c>
      <c r="AA130">
        <v>147514.47</v>
      </c>
      <c r="AB130">
        <v>0</v>
      </c>
      <c r="AC130">
        <v>0</v>
      </c>
      <c r="AD130">
        <v>0</v>
      </c>
      <c r="AE130">
        <v>10643.18</v>
      </c>
      <c r="AF130">
        <v>0</v>
      </c>
      <c r="AG130">
        <v>0</v>
      </c>
      <c r="AH130">
        <v>0</v>
      </c>
      <c r="AI130">
        <v>13.86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1.1000000000000001E-3</v>
      </c>
      <c r="AU130" t="s">
        <v>120</v>
      </c>
      <c r="AV130">
        <v>0</v>
      </c>
      <c r="AW130">
        <v>2</v>
      </c>
      <c r="AX130">
        <v>55934542</v>
      </c>
      <c r="AY130">
        <v>1</v>
      </c>
      <c r="AZ130">
        <v>0</v>
      </c>
      <c r="BA130">
        <v>156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ROUND(Y130*Source!I80,9)</f>
        <v>1.1000000000000001E-3</v>
      </c>
      <c r="CY130">
        <f>AA130</f>
        <v>147514.47</v>
      </c>
      <c r="CZ130">
        <f>AE130</f>
        <v>10643.18</v>
      </c>
      <c r="DA130">
        <f>AI130</f>
        <v>13.86</v>
      </c>
      <c r="DB130">
        <f>ROUND((ROUND(AT130*CZ130,2)*1),6)</f>
        <v>11.71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162.27000000000001</v>
      </c>
      <c r="DG130">
        <f t="shared" ref="DG130:DG150" si="52">ROUND(ROUND(AF130,2)*CX130,2)</f>
        <v>0</v>
      </c>
      <c r="DH130">
        <f t="shared" ref="DH130:DH150" si="53">ROUND(ROUND(AG130,2)*CX130,2)</f>
        <v>0</v>
      </c>
      <c r="DI130">
        <f t="shared" si="51"/>
        <v>0</v>
      </c>
      <c r="DJ130">
        <f>DF130</f>
        <v>162.27000000000001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ROW(Source!A80)</f>
        <v>80</v>
      </c>
      <c r="B131">
        <v>55934357</v>
      </c>
      <c r="C131">
        <v>55934539</v>
      </c>
      <c r="D131">
        <v>55459793</v>
      </c>
      <c r="E131">
        <v>1</v>
      </c>
      <c r="F131">
        <v>1</v>
      </c>
      <c r="G131">
        <v>1081</v>
      </c>
      <c r="H131">
        <v>3</v>
      </c>
      <c r="I131" t="s">
        <v>233</v>
      </c>
      <c r="J131" t="s">
        <v>234</v>
      </c>
      <c r="K131" t="s">
        <v>235</v>
      </c>
      <c r="L131">
        <v>1348</v>
      </c>
      <c r="N131">
        <v>1009</v>
      </c>
      <c r="O131" t="s">
        <v>232</v>
      </c>
      <c r="P131" t="s">
        <v>232</v>
      </c>
      <c r="Q131">
        <v>1000</v>
      </c>
      <c r="W131">
        <v>0</v>
      </c>
      <c r="X131">
        <v>-761454284</v>
      </c>
      <c r="Y131">
        <f>(AT131*1)</f>
        <v>1.0000000000000001E-5</v>
      </c>
      <c r="AA131">
        <v>1930745.04</v>
      </c>
      <c r="AB131">
        <v>0</v>
      </c>
      <c r="AC131">
        <v>0</v>
      </c>
      <c r="AD131">
        <v>0</v>
      </c>
      <c r="AE131">
        <v>64123.05</v>
      </c>
      <c r="AF131">
        <v>0</v>
      </c>
      <c r="AG131">
        <v>0</v>
      </c>
      <c r="AH131">
        <v>0</v>
      </c>
      <c r="AI131">
        <v>30.11</v>
      </c>
      <c r="AJ131">
        <v>1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1.0000000000000001E-5</v>
      </c>
      <c r="AU131" t="s">
        <v>120</v>
      </c>
      <c r="AV131">
        <v>0</v>
      </c>
      <c r="AW131">
        <v>2</v>
      </c>
      <c r="AX131">
        <v>55934543</v>
      </c>
      <c r="AY131">
        <v>1</v>
      </c>
      <c r="AZ131">
        <v>0</v>
      </c>
      <c r="BA131">
        <v>157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ROUND(Y131*Source!I80,9)</f>
        <v>1.0000000000000001E-5</v>
      </c>
      <c r="CY131">
        <f>AA131</f>
        <v>1930745.04</v>
      </c>
      <c r="CZ131">
        <f>AE131</f>
        <v>64123.05</v>
      </c>
      <c r="DA131">
        <f>AI131</f>
        <v>30.11</v>
      </c>
      <c r="DB131">
        <f>ROUND((ROUND(AT131*CZ131,2)*1),6)</f>
        <v>0.64</v>
      </c>
      <c r="DC131">
        <f>ROUND((ROUND(AT131*AG131,2)*1),6)</f>
        <v>0</v>
      </c>
      <c r="DD131" t="s">
        <v>3</v>
      </c>
      <c r="DE131" t="s">
        <v>3</v>
      </c>
      <c r="DF131">
        <f>ROUND(ROUND(AE131*AI131,2)*CX131,2)</f>
        <v>19.309999999999999</v>
      </c>
      <c r="DG131">
        <f t="shared" si="52"/>
        <v>0</v>
      </c>
      <c r="DH131">
        <f t="shared" si="53"/>
        <v>0</v>
      </c>
      <c r="DI131">
        <f t="shared" si="51"/>
        <v>0</v>
      </c>
      <c r="DJ131">
        <f>DF131</f>
        <v>19.309999999999999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ROW(Source!A80)</f>
        <v>80</v>
      </c>
      <c r="B132">
        <v>55934357</v>
      </c>
      <c r="C132">
        <v>55934539</v>
      </c>
      <c r="D132">
        <v>0</v>
      </c>
      <c r="E132">
        <v>0</v>
      </c>
      <c r="F132">
        <v>1</v>
      </c>
      <c r="G132">
        <v>1081</v>
      </c>
      <c r="H132">
        <v>3</v>
      </c>
      <c r="I132" t="s">
        <v>309</v>
      </c>
      <c r="J132" t="s">
        <v>309</v>
      </c>
      <c r="K132" t="s">
        <v>125</v>
      </c>
      <c r="L132">
        <v>1371</v>
      </c>
      <c r="N132">
        <v>1013</v>
      </c>
      <c r="O132" t="s">
        <v>126</v>
      </c>
      <c r="P132" t="s">
        <v>126</v>
      </c>
      <c r="Q132">
        <v>1</v>
      </c>
      <c r="W132">
        <v>0</v>
      </c>
      <c r="X132">
        <v>-1145713632</v>
      </c>
      <c r="Y132">
        <f>(AT132*1)</f>
        <v>1</v>
      </c>
      <c r="AA132">
        <v>383065.62</v>
      </c>
      <c r="AB132">
        <v>0</v>
      </c>
      <c r="AC132">
        <v>0</v>
      </c>
      <c r="AD132">
        <v>0</v>
      </c>
      <c r="AE132">
        <v>50603.12</v>
      </c>
      <c r="AF132">
        <v>0</v>
      </c>
      <c r="AG132">
        <v>0</v>
      </c>
      <c r="AH132">
        <v>0</v>
      </c>
      <c r="AI132">
        <v>7.57</v>
      </c>
      <c r="AJ132">
        <v>1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3</v>
      </c>
      <c r="AT132">
        <v>1</v>
      </c>
      <c r="AU132" t="s">
        <v>120</v>
      </c>
      <c r="AV132">
        <v>0</v>
      </c>
      <c r="AW132">
        <v>1</v>
      </c>
      <c r="AX132">
        <v>-1</v>
      </c>
      <c r="AY132">
        <v>0</v>
      </c>
      <c r="AZ132">
        <v>0</v>
      </c>
      <c r="BA132" t="s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ROUND(Y132*Source!I80,9)</f>
        <v>1</v>
      </c>
      <c r="CY132">
        <f>AA132</f>
        <v>383065.62</v>
      </c>
      <c r="CZ132">
        <f>AE132</f>
        <v>50603.12</v>
      </c>
      <c r="DA132">
        <f>AI132</f>
        <v>7.57</v>
      </c>
      <c r="DB132">
        <f>ROUND((ROUND(AT132*CZ132,2)*1),6)</f>
        <v>50603.12</v>
      </c>
      <c r="DC132">
        <f>ROUND((ROUND(AT132*AG132,2)*1),6)</f>
        <v>0</v>
      </c>
      <c r="DD132" t="s">
        <v>3</v>
      </c>
      <c r="DE132" t="s">
        <v>3</v>
      </c>
      <c r="DF132">
        <f>ROUND(ROUND(AE132*AI132,2)*CX132,2)</f>
        <v>383065.62</v>
      </c>
      <c r="DG132">
        <f t="shared" si="52"/>
        <v>0</v>
      </c>
      <c r="DH132">
        <f t="shared" si="53"/>
        <v>0</v>
      </c>
      <c r="DI132">
        <f t="shared" si="51"/>
        <v>0</v>
      </c>
      <c r="DJ132">
        <f>DF132</f>
        <v>383065.62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ROW(Source!A83)</f>
        <v>83</v>
      </c>
      <c r="B133">
        <v>55934355</v>
      </c>
      <c r="C133">
        <v>55934571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221</v>
      </c>
      <c r="J133" t="s">
        <v>3</v>
      </c>
      <c r="K133" t="s">
        <v>222</v>
      </c>
      <c r="L133">
        <v>1191</v>
      </c>
      <c r="N133">
        <v>1013</v>
      </c>
      <c r="O133" t="s">
        <v>223</v>
      </c>
      <c r="P133" t="s">
        <v>223</v>
      </c>
      <c r="Q133">
        <v>1</v>
      </c>
      <c r="W133">
        <v>0</v>
      </c>
      <c r="X133">
        <v>476480486</v>
      </c>
      <c r="Y133">
        <f>(AT133*1.2)</f>
        <v>27.599999999999998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23</v>
      </c>
      <c r="AU133" t="s">
        <v>121</v>
      </c>
      <c r="AV133">
        <v>1</v>
      </c>
      <c r="AW133">
        <v>2</v>
      </c>
      <c r="AX133">
        <v>55934573</v>
      </c>
      <c r="AY133">
        <v>1</v>
      </c>
      <c r="AZ133">
        <v>0</v>
      </c>
      <c r="BA133">
        <v>159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ROUND(AT133*Source!I83*AH133*AL133,2)</f>
        <v>0</v>
      </c>
      <c r="CV133">
        <f>ROUND(Y133*Source!I83,9)</f>
        <v>27.6</v>
      </c>
      <c r="CW133">
        <v>0</v>
      </c>
      <c r="CX133">
        <f>ROUND(Y133*Source!I83,9)</f>
        <v>27.6</v>
      </c>
      <c r="CY133">
        <f>AD133</f>
        <v>0</v>
      </c>
      <c r="CZ133">
        <f>AH133</f>
        <v>0</v>
      </c>
      <c r="DA133">
        <f>AL133</f>
        <v>1</v>
      </c>
      <c r="DB133">
        <f>ROUND((ROUND(AT133*CZ133,2)*1.2),6)</f>
        <v>0</v>
      </c>
      <c r="DC133">
        <f>ROUND((ROUND(AT133*AG133,2)*1.2),6)</f>
        <v>0</v>
      </c>
      <c r="DD133" t="s">
        <v>3</v>
      </c>
      <c r="DE133" t="s">
        <v>3</v>
      </c>
      <c r="DF133">
        <f t="shared" ref="DF133:DF140" si="54">ROUND(ROUND(AE133,2)*CX133,2)</f>
        <v>0</v>
      </c>
      <c r="DG133">
        <f t="shared" si="52"/>
        <v>0</v>
      </c>
      <c r="DH133">
        <f t="shared" si="53"/>
        <v>0</v>
      </c>
      <c r="DI133">
        <f t="shared" si="51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ROW(Source!A84)</f>
        <v>84</v>
      </c>
      <c r="B134">
        <v>55934357</v>
      </c>
      <c r="C134">
        <v>55934571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221</v>
      </c>
      <c r="J134" t="s">
        <v>3</v>
      </c>
      <c r="K134" t="s">
        <v>222</v>
      </c>
      <c r="L134">
        <v>1191</v>
      </c>
      <c r="N134">
        <v>1013</v>
      </c>
      <c r="O134" t="s">
        <v>223</v>
      </c>
      <c r="P134" t="s">
        <v>223</v>
      </c>
      <c r="Q134">
        <v>1</v>
      </c>
      <c r="W134">
        <v>0</v>
      </c>
      <c r="X134">
        <v>476480486</v>
      </c>
      <c r="Y134">
        <f>(AT134*1.2)</f>
        <v>27.599999999999998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23</v>
      </c>
      <c r="AU134" t="s">
        <v>121</v>
      </c>
      <c r="AV134">
        <v>1</v>
      </c>
      <c r="AW134">
        <v>2</v>
      </c>
      <c r="AX134">
        <v>55934573</v>
      </c>
      <c r="AY134">
        <v>1</v>
      </c>
      <c r="AZ134">
        <v>0</v>
      </c>
      <c r="BA134">
        <v>160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ROUND(AT134*Source!I84*AH134*AL134,2)</f>
        <v>0</v>
      </c>
      <c r="CV134">
        <f>ROUND(Y134*Source!I84,9)</f>
        <v>27.6</v>
      </c>
      <c r="CW134">
        <v>0</v>
      </c>
      <c r="CX134">
        <f>ROUND(Y134*Source!I84,9)</f>
        <v>27.6</v>
      </c>
      <c r="CY134">
        <f>AD134</f>
        <v>0</v>
      </c>
      <c r="CZ134">
        <f>AH134</f>
        <v>0</v>
      </c>
      <c r="DA134">
        <f>AL134</f>
        <v>1</v>
      </c>
      <c r="DB134">
        <f>ROUND((ROUND(AT134*CZ134,2)*1.2),6)</f>
        <v>0</v>
      </c>
      <c r="DC134">
        <f>ROUND((ROUND(AT134*AG134,2)*1.2),6)</f>
        <v>0</v>
      </c>
      <c r="DD134" t="s">
        <v>3</v>
      </c>
      <c r="DE134" t="s">
        <v>3</v>
      </c>
      <c r="DF134">
        <f t="shared" si="54"/>
        <v>0</v>
      </c>
      <c r="DG134">
        <f t="shared" si="52"/>
        <v>0</v>
      </c>
      <c r="DH134">
        <f t="shared" si="53"/>
        <v>0</v>
      </c>
      <c r="DI134">
        <f t="shared" si="51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ROW(Source!A85)</f>
        <v>85</v>
      </c>
      <c r="B135">
        <v>55934355</v>
      </c>
      <c r="C135">
        <v>55934580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221</v>
      </c>
      <c r="J135" t="s">
        <v>3</v>
      </c>
      <c r="K135" t="s">
        <v>222</v>
      </c>
      <c r="L135">
        <v>1191</v>
      </c>
      <c r="N135">
        <v>1013</v>
      </c>
      <c r="O135" t="s">
        <v>223</v>
      </c>
      <c r="P135" t="s">
        <v>223</v>
      </c>
      <c r="Q135">
        <v>1</v>
      </c>
      <c r="W135">
        <v>0</v>
      </c>
      <c r="X135">
        <v>476480486</v>
      </c>
      <c r="Y135">
        <f>(AT135*1.2)</f>
        <v>9.6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8</v>
      </c>
      <c r="AU135" t="s">
        <v>121</v>
      </c>
      <c r="AV135">
        <v>1</v>
      </c>
      <c r="AW135">
        <v>2</v>
      </c>
      <c r="AX135">
        <v>55934581</v>
      </c>
      <c r="AY135">
        <v>1</v>
      </c>
      <c r="AZ135">
        <v>0</v>
      </c>
      <c r="BA135">
        <v>161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ROUND(AT135*Source!I85*AH135*AL135,2)</f>
        <v>0</v>
      </c>
      <c r="CV135">
        <f>ROUND(Y135*Source!I85,9)</f>
        <v>9.6</v>
      </c>
      <c r="CW135">
        <v>0</v>
      </c>
      <c r="CX135">
        <f>ROUND(Y135*Source!I85,9)</f>
        <v>9.6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ROUND((ROUND(AT135*CZ135,2)*1.2),6)</f>
        <v>0</v>
      </c>
      <c r="DC135">
        <f>ROUND((ROUND(AT135*AG135,2)*1.2),6)</f>
        <v>0</v>
      </c>
      <c r="DD135" t="s">
        <v>3</v>
      </c>
      <c r="DE135" t="s">
        <v>3</v>
      </c>
      <c r="DF135">
        <f t="shared" si="54"/>
        <v>0</v>
      </c>
      <c r="DG135">
        <f t="shared" si="52"/>
        <v>0</v>
      </c>
      <c r="DH135">
        <f t="shared" si="53"/>
        <v>0</v>
      </c>
      <c r="DI135">
        <f t="shared" si="51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ROW(Source!A85)</f>
        <v>85</v>
      </c>
      <c r="B136">
        <v>55934355</v>
      </c>
      <c r="C136">
        <v>55934580</v>
      </c>
      <c r="D136">
        <v>55459792</v>
      </c>
      <c r="E136">
        <v>1</v>
      </c>
      <c r="F136">
        <v>1</v>
      </c>
      <c r="G136">
        <v>1081</v>
      </c>
      <c r="H136">
        <v>3</v>
      </c>
      <c r="I136" t="s">
        <v>236</v>
      </c>
      <c r="J136" t="s">
        <v>237</v>
      </c>
      <c r="K136" t="s">
        <v>238</v>
      </c>
      <c r="L136">
        <v>1348</v>
      </c>
      <c r="N136">
        <v>1009</v>
      </c>
      <c r="O136" t="s">
        <v>232</v>
      </c>
      <c r="P136" t="s">
        <v>232</v>
      </c>
      <c r="Q136">
        <v>1000</v>
      </c>
      <c r="W136">
        <v>0</v>
      </c>
      <c r="X136">
        <v>114569696</v>
      </c>
      <c r="Y136">
        <f>(AT136*1)</f>
        <v>1.0000000000000001E-5</v>
      </c>
      <c r="AA136">
        <v>60960.43</v>
      </c>
      <c r="AB136">
        <v>0</v>
      </c>
      <c r="AC136">
        <v>0</v>
      </c>
      <c r="AD136">
        <v>0</v>
      </c>
      <c r="AE136">
        <v>60960.43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1.0000000000000001E-5</v>
      </c>
      <c r="AU136" t="s">
        <v>120</v>
      </c>
      <c r="AV136">
        <v>0</v>
      </c>
      <c r="AW136">
        <v>2</v>
      </c>
      <c r="AX136">
        <v>55934582</v>
      </c>
      <c r="AY136">
        <v>1</v>
      </c>
      <c r="AZ136">
        <v>0</v>
      </c>
      <c r="BA136">
        <v>162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ROUND(Y136*Source!I85,9)</f>
        <v>1.0000000000000001E-5</v>
      </c>
      <c r="CY136">
        <f>AA136</f>
        <v>60960.43</v>
      </c>
      <c r="CZ136">
        <f>AE136</f>
        <v>60960.43</v>
      </c>
      <c r="DA136">
        <f>AI136</f>
        <v>1</v>
      </c>
      <c r="DB136">
        <f>ROUND((ROUND(AT136*CZ136,2)*1),6)</f>
        <v>0.61</v>
      </c>
      <c r="DC136">
        <f>ROUND((ROUND(AT136*AG136,2)*1),6)</f>
        <v>0</v>
      </c>
      <c r="DD136" t="s">
        <v>3</v>
      </c>
      <c r="DE136" t="s">
        <v>3</v>
      </c>
      <c r="DF136">
        <f t="shared" si="54"/>
        <v>0.61</v>
      </c>
      <c r="DG136">
        <f t="shared" si="52"/>
        <v>0</v>
      </c>
      <c r="DH136">
        <f t="shared" si="53"/>
        <v>0</v>
      </c>
      <c r="DI136">
        <f t="shared" si="51"/>
        <v>0</v>
      </c>
      <c r="DJ136">
        <f>DF136</f>
        <v>0.61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ROW(Source!A85)</f>
        <v>85</v>
      </c>
      <c r="B137">
        <v>55934355</v>
      </c>
      <c r="C137">
        <v>55934580</v>
      </c>
      <c r="D137">
        <v>55466338</v>
      </c>
      <c r="E137">
        <v>1</v>
      </c>
      <c r="F137">
        <v>1</v>
      </c>
      <c r="G137">
        <v>1081</v>
      </c>
      <c r="H137">
        <v>3</v>
      </c>
      <c r="I137" t="s">
        <v>239</v>
      </c>
      <c r="J137" t="s">
        <v>240</v>
      </c>
      <c r="K137" t="s">
        <v>241</v>
      </c>
      <c r="L137">
        <v>1349</v>
      </c>
      <c r="N137">
        <v>1009</v>
      </c>
      <c r="O137" t="s">
        <v>242</v>
      </c>
      <c r="P137" t="s">
        <v>242</v>
      </c>
      <c r="Q137">
        <v>1E-3</v>
      </c>
      <c r="W137">
        <v>0</v>
      </c>
      <c r="X137">
        <v>-667754050</v>
      </c>
      <c r="Y137">
        <f>(AT137*1)</f>
        <v>0.5</v>
      </c>
      <c r="AA137">
        <v>7.0000000000000007E-2</v>
      </c>
      <c r="AB137">
        <v>0</v>
      </c>
      <c r="AC137">
        <v>0</v>
      </c>
      <c r="AD137">
        <v>0</v>
      </c>
      <c r="AE137">
        <v>7.0000000000000007E-2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0.5</v>
      </c>
      <c r="AU137" t="s">
        <v>120</v>
      </c>
      <c r="AV137">
        <v>0</v>
      </c>
      <c r="AW137">
        <v>2</v>
      </c>
      <c r="AX137">
        <v>55934583</v>
      </c>
      <c r="AY137">
        <v>1</v>
      </c>
      <c r="AZ137">
        <v>0</v>
      </c>
      <c r="BA137">
        <v>163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ROUND(Y137*Source!I85,9)</f>
        <v>0.5</v>
      </c>
      <c r="CY137">
        <f>AA137</f>
        <v>7.0000000000000007E-2</v>
      </c>
      <c r="CZ137">
        <f>AE137</f>
        <v>7.0000000000000007E-2</v>
      </c>
      <c r="DA137">
        <f>AI137</f>
        <v>1</v>
      </c>
      <c r="DB137">
        <f>ROUND((ROUND(AT137*CZ137,2)*1),6)</f>
        <v>0.04</v>
      </c>
      <c r="DC137">
        <f>ROUND((ROUND(AT137*AG137,2)*1),6)</f>
        <v>0</v>
      </c>
      <c r="DD137" t="s">
        <v>3</v>
      </c>
      <c r="DE137" t="s">
        <v>3</v>
      </c>
      <c r="DF137">
        <f t="shared" si="54"/>
        <v>0.04</v>
      </c>
      <c r="DG137">
        <f t="shared" si="52"/>
        <v>0</v>
      </c>
      <c r="DH137">
        <f t="shared" si="53"/>
        <v>0</v>
      </c>
      <c r="DI137">
        <f t="shared" si="51"/>
        <v>0</v>
      </c>
      <c r="DJ137">
        <f>DF137</f>
        <v>0.04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ROW(Source!A85)</f>
        <v>85</v>
      </c>
      <c r="B138">
        <v>55934355</v>
      </c>
      <c r="C138">
        <v>55934580</v>
      </c>
      <c r="D138">
        <v>55482203</v>
      </c>
      <c r="E138">
        <v>1</v>
      </c>
      <c r="F138">
        <v>1</v>
      </c>
      <c r="G138">
        <v>1081</v>
      </c>
      <c r="H138">
        <v>3</v>
      </c>
      <c r="I138" t="s">
        <v>243</v>
      </c>
      <c r="J138" t="s">
        <v>244</v>
      </c>
      <c r="K138" t="s">
        <v>245</v>
      </c>
      <c r="L138">
        <v>1356</v>
      </c>
      <c r="N138">
        <v>1010</v>
      </c>
      <c r="O138" t="s">
        <v>246</v>
      </c>
      <c r="P138" t="s">
        <v>246</v>
      </c>
      <c r="Q138">
        <v>1000</v>
      </c>
      <c r="W138">
        <v>0</v>
      </c>
      <c r="X138">
        <v>474149623</v>
      </c>
      <c r="Y138">
        <f>(AT138*1)</f>
        <v>2E-3</v>
      </c>
      <c r="AA138">
        <v>226.66</v>
      </c>
      <c r="AB138">
        <v>0</v>
      </c>
      <c r="AC138">
        <v>0</v>
      </c>
      <c r="AD138">
        <v>0</v>
      </c>
      <c r="AE138">
        <v>226.66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2E-3</v>
      </c>
      <c r="AU138" t="s">
        <v>120</v>
      </c>
      <c r="AV138">
        <v>0</v>
      </c>
      <c r="AW138">
        <v>2</v>
      </c>
      <c r="AX138">
        <v>55934584</v>
      </c>
      <c r="AY138">
        <v>1</v>
      </c>
      <c r="AZ138">
        <v>0</v>
      </c>
      <c r="BA138">
        <v>164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ROUND(Y138*Source!I85,9)</f>
        <v>2E-3</v>
      </c>
      <c r="CY138">
        <f>AA138</f>
        <v>226.66</v>
      </c>
      <c r="CZ138">
        <f>AE138</f>
        <v>226.66</v>
      </c>
      <c r="DA138">
        <f>AI138</f>
        <v>1</v>
      </c>
      <c r="DB138">
        <f>ROUND((ROUND(AT138*CZ138,2)*1),6)</f>
        <v>0.45</v>
      </c>
      <c r="DC138">
        <f>ROUND((ROUND(AT138*AG138,2)*1),6)</f>
        <v>0</v>
      </c>
      <c r="DD138" t="s">
        <v>3</v>
      </c>
      <c r="DE138" t="s">
        <v>3</v>
      </c>
      <c r="DF138">
        <f t="shared" si="54"/>
        <v>0.45</v>
      </c>
      <c r="DG138">
        <f t="shared" si="52"/>
        <v>0</v>
      </c>
      <c r="DH138">
        <f t="shared" si="53"/>
        <v>0</v>
      </c>
      <c r="DI138">
        <f t="shared" si="51"/>
        <v>0</v>
      </c>
      <c r="DJ138">
        <f>DF138</f>
        <v>0.45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ROW(Source!A85)</f>
        <v>85</v>
      </c>
      <c r="B139">
        <v>55934355</v>
      </c>
      <c r="C139">
        <v>55934580</v>
      </c>
      <c r="D139">
        <v>55424290</v>
      </c>
      <c r="E139">
        <v>1081</v>
      </c>
      <c r="F139">
        <v>1</v>
      </c>
      <c r="G139">
        <v>1081</v>
      </c>
      <c r="H139">
        <v>3</v>
      </c>
      <c r="I139" t="s">
        <v>247</v>
      </c>
      <c r="J139" t="s">
        <v>3</v>
      </c>
      <c r="K139" t="s">
        <v>248</v>
      </c>
      <c r="L139">
        <v>1348</v>
      </c>
      <c r="N139">
        <v>1009</v>
      </c>
      <c r="O139" t="s">
        <v>232</v>
      </c>
      <c r="P139" t="s">
        <v>232</v>
      </c>
      <c r="Q139">
        <v>1000</v>
      </c>
      <c r="W139">
        <v>0</v>
      </c>
      <c r="X139">
        <v>-783086922</v>
      </c>
      <c r="Y139">
        <f>(AT139*1)</f>
        <v>3.4000000000000002E-2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3.4000000000000002E-2</v>
      </c>
      <c r="AU139" t="s">
        <v>120</v>
      </c>
      <c r="AV139">
        <v>0</v>
      </c>
      <c r="AW139">
        <v>2</v>
      </c>
      <c r="AX139">
        <v>55934587</v>
      </c>
      <c r="AY139">
        <v>1</v>
      </c>
      <c r="AZ139">
        <v>0</v>
      </c>
      <c r="BA139">
        <v>167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ROUND(Y139*Source!I85,9)</f>
        <v>3.4000000000000002E-2</v>
      </c>
      <c r="CY139">
        <f>AA139</f>
        <v>0</v>
      </c>
      <c r="CZ139">
        <f>AE139</f>
        <v>0</v>
      </c>
      <c r="DA139">
        <f>AI139</f>
        <v>1</v>
      </c>
      <c r="DB139">
        <f>ROUND((ROUND(AT139*CZ139,2)*1),6)</f>
        <v>0</v>
      </c>
      <c r="DC139">
        <f>ROUND((ROUND(AT139*AG139,2)*1),6)</f>
        <v>0</v>
      </c>
      <c r="DD139" t="s">
        <v>3</v>
      </c>
      <c r="DE139" t="s">
        <v>3</v>
      </c>
      <c r="DF139">
        <f t="shared" si="54"/>
        <v>0</v>
      </c>
      <c r="DG139">
        <f t="shared" si="52"/>
        <v>0</v>
      </c>
      <c r="DH139">
        <f t="shared" si="53"/>
        <v>0</v>
      </c>
      <c r="DI139">
        <f t="shared" si="51"/>
        <v>0</v>
      </c>
      <c r="DJ139">
        <f>DF139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ROW(Source!A86)</f>
        <v>86</v>
      </c>
      <c r="B140">
        <v>55934357</v>
      </c>
      <c r="C140">
        <v>55934580</v>
      </c>
      <c r="D140">
        <v>55424304</v>
      </c>
      <c r="E140">
        <v>1081</v>
      </c>
      <c r="F140">
        <v>1</v>
      </c>
      <c r="G140">
        <v>1081</v>
      </c>
      <c r="H140">
        <v>1</v>
      </c>
      <c r="I140" t="s">
        <v>221</v>
      </c>
      <c r="J140" t="s">
        <v>3</v>
      </c>
      <c r="K140" t="s">
        <v>222</v>
      </c>
      <c r="L140">
        <v>1191</v>
      </c>
      <c r="N140">
        <v>1013</v>
      </c>
      <c r="O140" t="s">
        <v>223</v>
      </c>
      <c r="P140" t="s">
        <v>223</v>
      </c>
      <c r="Q140">
        <v>1</v>
      </c>
      <c r="W140">
        <v>0</v>
      </c>
      <c r="X140">
        <v>476480486</v>
      </c>
      <c r="Y140">
        <f>(AT140*1.2)</f>
        <v>9.6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5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8</v>
      </c>
      <c r="AU140" t="s">
        <v>121</v>
      </c>
      <c r="AV140">
        <v>1</v>
      </c>
      <c r="AW140">
        <v>2</v>
      </c>
      <c r="AX140">
        <v>55934581</v>
      </c>
      <c r="AY140">
        <v>1</v>
      </c>
      <c r="AZ140">
        <v>0</v>
      </c>
      <c r="BA140">
        <v>168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U140">
        <f>ROUND(AT140*Source!I86*AH140*AL140,2)</f>
        <v>0</v>
      </c>
      <c r="CV140">
        <f>ROUND(Y140*Source!I86,9)</f>
        <v>9.6</v>
      </c>
      <c r="CW140">
        <v>0</v>
      </c>
      <c r="CX140">
        <f>ROUND(Y140*Source!I86,9)</f>
        <v>9.6</v>
      </c>
      <c r="CY140">
        <f>AD140</f>
        <v>0</v>
      </c>
      <c r="CZ140">
        <f>AH140</f>
        <v>0</v>
      </c>
      <c r="DA140">
        <f>AL140</f>
        <v>1</v>
      </c>
      <c r="DB140">
        <f>ROUND((ROUND(AT140*CZ140,2)*1.2),6)</f>
        <v>0</v>
      </c>
      <c r="DC140">
        <f>ROUND((ROUND(AT140*AG140,2)*1.2),6)</f>
        <v>0</v>
      </c>
      <c r="DD140" t="s">
        <v>3</v>
      </c>
      <c r="DE140" t="s">
        <v>3</v>
      </c>
      <c r="DF140">
        <f t="shared" si="54"/>
        <v>0</v>
      </c>
      <c r="DG140">
        <f t="shared" si="52"/>
        <v>0</v>
      </c>
      <c r="DH140">
        <f t="shared" si="53"/>
        <v>0</v>
      </c>
      <c r="DI140">
        <f t="shared" si="51"/>
        <v>0</v>
      </c>
      <c r="DJ140">
        <f>DI140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ROW(Source!A86)</f>
        <v>86</v>
      </c>
      <c r="B141">
        <v>55934357</v>
      </c>
      <c r="C141">
        <v>55934580</v>
      </c>
      <c r="D141">
        <v>55459792</v>
      </c>
      <c r="E141">
        <v>1</v>
      </c>
      <c r="F141">
        <v>1</v>
      </c>
      <c r="G141">
        <v>1081</v>
      </c>
      <c r="H141">
        <v>3</v>
      </c>
      <c r="I141" t="s">
        <v>236</v>
      </c>
      <c r="J141" t="s">
        <v>237</v>
      </c>
      <c r="K141" t="s">
        <v>238</v>
      </c>
      <c r="L141">
        <v>1348</v>
      </c>
      <c r="N141">
        <v>1009</v>
      </c>
      <c r="O141" t="s">
        <v>232</v>
      </c>
      <c r="P141" t="s">
        <v>232</v>
      </c>
      <c r="Q141">
        <v>1000</v>
      </c>
      <c r="W141">
        <v>0</v>
      </c>
      <c r="X141">
        <v>114569696</v>
      </c>
      <c r="Y141">
        <f>(AT141*1)</f>
        <v>1.0000000000000001E-5</v>
      </c>
      <c r="AA141">
        <v>1497188.16</v>
      </c>
      <c r="AB141">
        <v>0</v>
      </c>
      <c r="AC141">
        <v>0</v>
      </c>
      <c r="AD141">
        <v>0</v>
      </c>
      <c r="AE141">
        <v>60960.43</v>
      </c>
      <c r="AF141">
        <v>0</v>
      </c>
      <c r="AG141">
        <v>0</v>
      </c>
      <c r="AH141">
        <v>0</v>
      </c>
      <c r="AI141">
        <v>24.56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1.0000000000000001E-5</v>
      </c>
      <c r="AU141" t="s">
        <v>120</v>
      </c>
      <c r="AV141">
        <v>0</v>
      </c>
      <c r="AW141">
        <v>2</v>
      </c>
      <c r="AX141">
        <v>55934582</v>
      </c>
      <c r="AY141">
        <v>1</v>
      </c>
      <c r="AZ141">
        <v>0</v>
      </c>
      <c r="BA141">
        <v>169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ROUND(Y141*Source!I86,9)</f>
        <v>1.0000000000000001E-5</v>
      </c>
      <c r="CY141">
        <f>AA141</f>
        <v>1497188.16</v>
      </c>
      <c r="CZ141">
        <f>AE141</f>
        <v>60960.43</v>
      </c>
      <c r="DA141">
        <f>AI141</f>
        <v>24.56</v>
      </c>
      <c r="DB141">
        <f>ROUND((ROUND(AT141*CZ141,2)*1),6)</f>
        <v>0.61</v>
      </c>
      <c r="DC141">
        <f>ROUND((ROUND(AT141*AG141,2)*1),6)</f>
        <v>0</v>
      </c>
      <c r="DD141" t="s">
        <v>3</v>
      </c>
      <c r="DE141" t="s">
        <v>3</v>
      </c>
      <c r="DF141">
        <f>ROUND(ROUND(AE141*AI141,2)*CX141,2)</f>
        <v>14.97</v>
      </c>
      <c r="DG141">
        <f t="shared" si="52"/>
        <v>0</v>
      </c>
      <c r="DH141">
        <f t="shared" si="53"/>
        <v>0</v>
      </c>
      <c r="DI141">
        <f t="shared" si="51"/>
        <v>0</v>
      </c>
      <c r="DJ141">
        <f>DF141</f>
        <v>14.97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ROW(Source!A86)</f>
        <v>86</v>
      </c>
      <c r="B142">
        <v>55934357</v>
      </c>
      <c r="C142">
        <v>55934580</v>
      </c>
      <c r="D142">
        <v>55466338</v>
      </c>
      <c r="E142">
        <v>1</v>
      </c>
      <c r="F142">
        <v>1</v>
      </c>
      <c r="G142">
        <v>1081</v>
      </c>
      <c r="H142">
        <v>3</v>
      </c>
      <c r="I142" t="s">
        <v>239</v>
      </c>
      <c r="J142" t="s">
        <v>240</v>
      </c>
      <c r="K142" t="s">
        <v>241</v>
      </c>
      <c r="L142">
        <v>1349</v>
      </c>
      <c r="N142">
        <v>1009</v>
      </c>
      <c r="O142" t="s">
        <v>242</v>
      </c>
      <c r="P142" t="s">
        <v>242</v>
      </c>
      <c r="Q142">
        <v>1E-3</v>
      </c>
      <c r="W142">
        <v>0</v>
      </c>
      <c r="X142">
        <v>-667754050</v>
      </c>
      <c r="Y142">
        <f>(AT142*1)</f>
        <v>0.5</v>
      </c>
      <c r="AA142">
        <v>0.44</v>
      </c>
      <c r="AB142">
        <v>0</v>
      </c>
      <c r="AC142">
        <v>0</v>
      </c>
      <c r="AD142">
        <v>0</v>
      </c>
      <c r="AE142">
        <v>7.0000000000000007E-2</v>
      </c>
      <c r="AF142">
        <v>0</v>
      </c>
      <c r="AG142">
        <v>0</v>
      </c>
      <c r="AH142">
        <v>0</v>
      </c>
      <c r="AI142">
        <v>6.29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0.5</v>
      </c>
      <c r="AU142" t="s">
        <v>120</v>
      </c>
      <c r="AV142">
        <v>0</v>
      </c>
      <c r="AW142">
        <v>2</v>
      </c>
      <c r="AX142">
        <v>55934583</v>
      </c>
      <c r="AY142">
        <v>1</v>
      </c>
      <c r="AZ142">
        <v>0</v>
      </c>
      <c r="BA142">
        <v>170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ROUND(Y142*Source!I86,9)</f>
        <v>0.5</v>
      </c>
      <c r="CY142">
        <f>AA142</f>
        <v>0.44</v>
      </c>
      <c r="CZ142">
        <f>AE142</f>
        <v>7.0000000000000007E-2</v>
      </c>
      <c r="DA142">
        <f>AI142</f>
        <v>6.29</v>
      </c>
      <c r="DB142">
        <f>ROUND((ROUND(AT142*CZ142,2)*1),6)</f>
        <v>0.04</v>
      </c>
      <c r="DC142">
        <f>ROUND((ROUND(AT142*AG142,2)*1),6)</f>
        <v>0</v>
      </c>
      <c r="DD142" t="s">
        <v>3</v>
      </c>
      <c r="DE142" t="s">
        <v>3</v>
      </c>
      <c r="DF142">
        <f>ROUND(ROUND(AE142*AI142,2)*CX142,2)</f>
        <v>0.22</v>
      </c>
      <c r="DG142">
        <f t="shared" si="52"/>
        <v>0</v>
      </c>
      <c r="DH142">
        <f t="shared" si="53"/>
        <v>0</v>
      </c>
      <c r="DI142">
        <f t="shared" si="51"/>
        <v>0</v>
      </c>
      <c r="DJ142">
        <f>DF142</f>
        <v>0.22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ROW(Source!A86)</f>
        <v>86</v>
      </c>
      <c r="B143">
        <v>55934357</v>
      </c>
      <c r="C143">
        <v>55934580</v>
      </c>
      <c r="D143">
        <v>55482203</v>
      </c>
      <c r="E143">
        <v>1</v>
      </c>
      <c r="F143">
        <v>1</v>
      </c>
      <c r="G143">
        <v>1081</v>
      </c>
      <c r="H143">
        <v>3</v>
      </c>
      <c r="I143" t="s">
        <v>243</v>
      </c>
      <c r="J143" t="s">
        <v>244</v>
      </c>
      <c r="K143" t="s">
        <v>245</v>
      </c>
      <c r="L143">
        <v>1356</v>
      </c>
      <c r="N143">
        <v>1010</v>
      </c>
      <c r="O143" t="s">
        <v>246</v>
      </c>
      <c r="P143" t="s">
        <v>246</v>
      </c>
      <c r="Q143">
        <v>1000</v>
      </c>
      <c r="W143">
        <v>0</v>
      </c>
      <c r="X143">
        <v>474149623</v>
      </c>
      <c r="Y143">
        <f>(AT143*1)</f>
        <v>2E-3</v>
      </c>
      <c r="AA143">
        <v>1527.69</v>
      </c>
      <c r="AB143">
        <v>0</v>
      </c>
      <c r="AC143">
        <v>0</v>
      </c>
      <c r="AD143">
        <v>0</v>
      </c>
      <c r="AE143">
        <v>226.66</v>
      </c>
      <c r="AF143">
        <v>0</v>
      </c>
      <c r="AG143">
        <v>0</v>
      </c>
      <c r="AH143">
        <v>0</v>
      </c>
      <c r="AI143">
        <v>6.74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2E-3</v>
      </c>
      <c r="AU143" t="s">
        <v>120</v>
      </c>
      <c r="AV143">
        <v>0</v>
      </c>
      <c r="AW143">
        <v>2</v>
      </c>
      <c r="AX143">
        <v>55934584</v>
      </c>
      <c r="AY143">
        <v>1</v>
      </c>
      <c r="AZ143">
        <v>0</v>
      </c>
      <c r="BA143">
        <v>171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ROUND(Y143*Source!I86,9)</f>
        <v>2E-3</v>
      </c>
      <c r="CY143">
        <f>AA143</f>
        <v>1527.69</v>
      </c>
      <c r="CZ143">
        <f>AE143</f>
        <v>226.66</v>
      </c>
      <c r="DA143">
        <f>AI143</f>
        <v>6.74</v>
      </c>
      <c r="DB143">
        <f>ROUND((ROUND(AT143*CZ143,2)*1),6)</f>
        <v>0.45</v>
      </c>
      <c r="DC143">
        <f>ROUND((ROUND(AT143*AG143,2)*1),6)</f>
        <v>0</v>
      </c>
      <c r="DD143" t="s">
        <v>3</v>
      </c>
      <c r="DE143" t="s">
        <v>3</v>
      </c>
      <c r="DF143">
        <f>ROUND(ROUND(AE143*AI143,2)*CX143,2)</f>
        <v>3.06</v>
      </c>
      <c r="DG143">
        <f t="shared" si="52"/>
        <v>0</v>
      </c>
      <c r="DH143">
        <f t="shared" si="53"/>
        <v>0</v>
      </c>
      <c r="DI143">
        <f t="shared" si="51"/>
        <v>0</v>
      </c>
      <c r="DJ143">
        <f>DF143</f>
        <v>3.06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ROW(Source!A86)</f>
        <v>86</v>
      </c>
      <c r="B144">
        <v>55934357</v>
      </c>
      <c r="C144">
        <v>55934580</v>
      </c>
      <c r="D144">
        <v>55424290</v>
      </c>
      <c r="E144">
        <v>1081</v>
      </c>
      <c r="F144">
        <v>1</v>
      </c>
      <c r="G144">
        <v>1081</v>
      </c>
      <c r="H144">
        <v>3</v>
      </c>
      <c r="I144" t="s">
        <v>247</v>
      </c>
      <c r="J144" t="s">
        <v>3</v>
      </c>
      <c r="K144" t="s">
        <v>248</v>
      </c>
      <c r="L144">
        <v>1348</v>
      </c>
      <c r="N144">
        <v>1009</v>
      </c>
      <c r="O144" t="s">
        <v>232</v>
      </c>
      <c r="P144" t="s">
        <v>232</v>
      </c>
      <c r="Q144">
        <v>1000</v>
      </c>
      <c r="W144">
        <v>0</v>
      </c>
      <c r="X144">
        <v>-783086922</v>
      </c>
      <c r="Y144">
        <f>(AT144*1)</f>
        <v>3.4000000000000002E-2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9.84</v>
      </c>
      <c r="AJ144">
        <v>1</v>
      </c>
      <c r="AK144">
        <v>1</v>
      </c>
      <c r="AL144">
        <v>1</v>
      </c>
      <c r="AM144">
        <v>5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3.4000000000000002E-2</v>
      </c>
      <c r="AU144" t="s">
        <v>120</v>
      </c>
      <c r="AV144">
        <v>0</v>
      </c>
      <c r="AW144">
        <v>2</v>
      </c>
      <c r="AX144">
        <v>55934587</v>
      </c>
      <c r="AY144">
        <v>1</v>
      </c>
      <c r="AZ144">
        <v>0</v>
      </c>
      <c r="BA144">
        <v>174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ROUND(Y144*Source!I86,9)</f>
        <v>3.4000000000000002E-2</v>
      </c>
      <c r="CY144">
        <f>AA144</f>
        <v>0</v>
      </c>
      <c r="CZ144">
        <f>AE144</f>
        <v>0</v>
      </c>
      <c r="DA144">
        <f>AI144</f>
        <v>9.84</v>
      </c>
      <c r="DB144">
        <f>ROUND((ROUND(AT144*CZ144,2)*1),6)</f>
        <v>0</v>
      </c>
      <c r="DC144">
        <f>ROUND((ROUND(AT144*AG144,2)*1),6)</f>
        <v>0</v>
      </c>
      <c r="DD144" t="s">
        <v>3</v>
      </c>
      <c r="DE144" t="s">
        <v>3</v>
      </c>
      <c r="DF144">
        <f>ROUND(ROUND(AE144*AI144,2)*CX144,2)</f>
        <v>0</v>
      </c>
      <c r="DG144">
        <f t="shared" si="52"/>
        <v>0</v>
      </c>
      <c r="DH144">
        <f t="shared" si="53"/>
        <v>0</v>
      </c>
      <c r="DI144">
        <f t="shared" si="51"/>
        <v>0</v>
      </c>
      <c r="DJ144">
        <f>DF144</f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ROW(Source!A91)</f>
        <v>91</v>
      </c>
      <c r="B145">
        <v>55934355</v>
      </c>
      <c r="C145">
        <v>55934592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221</v>
      </c>
      <c r="J145" t="s">
        <v>3</v>
      </c>
      <c r="K145" t="s">
        <v>222</v>
      </c>
      <c r="L145">
        <v>1191</v>
      </c>
      <c r="N145">
        <v>1013</v>
      </c>
      <c r="O145" t="s">
        <v>223</v>
      </c>
      <c r="P145" t="s">
        <v>223</v>
      </c>
      <c r="Q145">
        <v>1</v>
      </c>
      <c r="W145">
        <v>0</v>
      </c>
      <c r="X145">
        <v>476480486</v>
      </c>
      <c r="Y145">
        <f>(AT145*1.2)</f>
        <v>7.4399999999999995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6.2</v>
      </c>
      <c r="AU145" t="s">
        <v>121</v>
      </c>
      <c r="AV145">
        <v>1</v>
      </c>
      <c r="AW145">
        <v>2</v>
      </c>
      <c r="AX145">
        <v>55934602</v>
      </c>
      <c r="AY145">
        <v>1</v>
      </c>
      <c r="AZ145">
        <v>0</v>
      </c>
      <c r="BA145">
        <v>175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ROUND(AT145*Source!I91*AH145*AL145,2)</f>
        <v>0</v>
      </c>
      <c r="CV145">
        <f>ROUND(Y145*Source!I91,9)</f>
        <v>7.44</v>
      </c>
      <c r="CW145">
        <v>0</v>
      </c>
      <c r="CX145">
        <f>ROUND(Y145*Source!I91,9)</f>
        <v>7.44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ROUND((ROUND(AT145*CZ145,2)*1.2),6)</f>
        <v>0</v>
      </c>
      <c r="DC145">
        <f>ROUND((ROUND(AT145*AG145,2)*1.2),6)</f>
        <v>0</v>
      </c>
      <c r="DD145" t="s">
        <v>3</v>
      </c>
      <c r="DE145" t="s">
        <v>3</v>
      </c>
      <c r="DF145">
        <f t="shared" ref="DF145:DF151" si="55">ROUND(ROUND(AE145,2)*CX145,2)</f>
        <v>0</v>
      </c>
      <c r="DG145">
        <f t="shared" si="52"/>
        <v>0</v>
      </c>
      <c r="DH145">
        <f t="shared" si="53"/>
        <v>0</v>
      </c>
      <c r="DI145">
        <f t="shared" si="51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ROW(Source!A91)</f>
        <v>91</v>
      </c>
      <c r="B146">
        <v>55934355</v>
      </c>
      <c r="C146">
        <v>55934592</v>
      </c>
      <c r="D146">
        <v>55489513</v>
      </c>
      <c r="E146">
        <v>1</v>
      </c>
      <c r="F146">
        <v>1</v>
      </c>
      <c r="G146">
        <v>1081</v>
      </c>
      <c r="H146">
        <v>2</v>
      </c>
      <c r="I146" t="s">
        <v>224</v>
      </c>
      <c r="J146" t="s">
        <v>225</v>
      </c>
      <c r="K146" t="s">
        <v>226</v>
      </c>
      <c r="L146">
        <v>1368</v>
      </c>
      <c r="N146">
        <v>1011</v>
      </c>
      <c r="O146" t="s">
        <v>227</v>
      </c>
      <c r="P146" t="s">
        <v>227</v>
      </c>
      <c r="Q146">
        <v>1</v>
      </c>
      <c r="W146">
        <v>0</v>
      </c>
      <c r="X146">
        <v>-1520980008</v>
      </c>
      <c r="Y146">
        <f>(AT146*1.2)</f>
        <v>0.3</v>
      </c>
      <c r="AA146">
        <v>0</v>
      </c>
      <c r="AB146">
        <v>120.23</v>
      </c>
      <c r="AC146">
        <v>13.21</v>
      </c>
      <c r="AD146">
        <v>0</v>
      </c>
      <c r="AE146">
        <v>0</v>
      </c>
      <c r="AF146">
        <v>114.83</v>
      </c>
      <c r="AG146">
        <v>12.62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0.25</v>
      </c>
      <c r="AU146" t="s">
        <v>121</v>
      </c>
      <c r="AV146">
        <v>0</v>
      </c>
      <c r="AW146">
        <v>2</v>
      </c>
      <c r="AX146">
        <v>55934603</v>
      </c>
      <c r="AY146">
        <v>1</v>
      </c>
      <c r="AZ146">
        <v>0</v>
      </c>
      <c r="BA146">
        <v>176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ROUND(Y146*Source!I91*DO146,9)</f>
        <v>3.786</v>
      </c>
      <c r="CX146">
        <f>ROUND(Y146*Source!I91,9)</f>
        <v>0.3</v>
      </c>
      <c r="CY146">
        <f>AB146</f>
        <v>120.23</v>
      </c>
      <c r="CZ146">
        <f>AF146</f>
        <v>114.83</v>
      </c>
      <c r="DA146">
        <f>AJ146</f>
        <v>1</v>
      </c>
      <c r="DB146">
        <f>ROUND((ROUND(AT146*CZ146,2)*1.2),6)</f>
        <v>34.451999999999998</v>
      </c>
      <c r="DC146">
        <f>ROUND((ROUND(AT146*AG146,2)*1.2),6)</f>
        <v>3.7919999999999998</v>
      </c>
      <c r="DD146" t="s">
        <v>3</v>
      </c>
      <c r="DE146" t="s">
        <v>3</v>
      </c>
      <c r="DF146">
        <f t="shared" si="55"/>
        <v>0</v>
      </c>
      <c r="DG146">
        <f t="shared" si="52"/>
        <v>34.450000000000003</v>
      </c>
      <c r="DH146">
        <f t="shared" si="53"/>
        <v>3.79</v>
      </c>
      <c r="DI146">
        <f t="shared" si="51"/>
        <v>0</v>
      </c>
      <c r="DJ146">
        <f>DG146</f>
        <v>34.450000000000003</v>
      </c>
      <c r="DK146">
        <v>0</v>
      </c>
      <c r="DL146" t="s">
        <v>228</v>
      </c>
      <c r="DM146">
        <v>0</v>
      </c>
      <c r="DN146" t="s">
        <v>223</v>
      </c>
      <c r="DO146">
        <v>12.62</v>
      </c>
    </row>
    <row r="147" spans="1:119" x14ac:dyDescent="0.25">
      <c r="A147">
        <f>ROW(Source!A91)</f>
        <v>91</v>
      </c>
      <c r="B147">
        <v>55934355</v>
      </c>
      <c r="C147">
        <v>55934592</v>
      </c>
      <c r="D147">
        <v>55461719</v>
      </c>
      <c r="E147">
        <v>1</v>
      </c>
      <c r="F147">
        <v>1</v>
      </c>
      <c r="G147">
        <v>1081</v>
      </c>
      <c r="H147">
        <v>3</v>
      </c>
      <c r="I147" t="s">
        <v>229</v>
      </c>
      <c r="J147" t="s">
        <v>230</v>
      </c>
      <c r="K147" t="s">
        <v>231</v>
      </c>
      <c r="L147">
        <v>1348</v>
      </c>
      <c r="N147">
        <v>1009</v>
      </c>
      <c r="O147" t="s">
        <v>232</v>
      </c>
      <c r="P147" t="s">
        <v>232</v>
      </c>
      <c r="Q147">
        <v>1000</v>
      </c>
      <c r="W147">
        <v>0</v>
      </c>
      <c r="X147">
        <v>-1265888387</v>
      </c>
      <c r="Y147">
        <f>(AT147*1)</f>
        <v>1.1000000000000001E-3</v>
      </c>
      <c r="AA147">
        <v>10643.18</v>
      </c>
      <c r="AB147">
        <v>0</v>
      </c>
      <c r="AC147">
        <v>0</v>
      </c>
      <c r="AD147">
        <v>0</v>
      </c>
      <c r="AE147">
        <v>10643.18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1.1000000000000001E-3</v>
      </c>
      <c r="AU147" t="s">
        <v>120</v>
      </c>
      <c r="AV147">
        <v>0</v>
      </c>
      <c r="AW147">
        <v>2</v>
      </c>
      <c r="AX147">
        <v>55934604</v>
      </c>
      <c r="AY147">
        <v>1</v>
      </c>
      <c r="AZ147">
        <v>0</v>
      </c>
      <c r="BA147">
        <v>177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ROUND(Y147*Source!I91,9)</f>
        <v>1.1000000000000001E-3</v>
      </c>
      <c r="CY147">
        <f>AA147</f>
        <v>10643.18</v>
      </c>
      <c r="CZ147">
        <f>AE147</f>
        <v>10643.18</v>
      </c>
      <c r="DA147">
        <f>AI147</f>
        <v>1</v>
      </c>
      <c r="DB147">
        <f>ROUND((ROUND(AT147*CZ147,2)*1),6)</f>
        <v>11.71</v>
      </c>
      <c r="DC147">
        <f>ROUND((ROUND(AT147*AG147,2)*1),6)</f>
        <v>0</v>
      </c>
      <c r="DD147" t="s">
        <v>3</v>
      </c>
      <c r="DE147" t="s">
        <v>3</v>
      </c>
      <c r="DF147">
        <f t="shared" si="55"/>
        <v>11.71</v>
      </c>
      <c r="DG147">
        <f t="shared" si="52"/>
        <v>0</v>
      </c>
      <c r="DH147">
        <f t="shared" si="53"/>
        <v>0</v>
      </c>
      <c r="DI147">
        <f t="shared" si="51"/>
        <v>0</v>
      </c>
      <c r="DJ147">
        <f>DF147</f>
        <v>11.71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ROW(Source!A91)</f>
        <v>91</v>
      </c>
      <c r="B148">
        <v>55934355</v>
      </c>
      <c r="C148">
        <v>55934592</v>
      </c>
      <c r="D148">
        <v>55459793</v>
      </c>
      <c r="E148">
        <v>1</v>
      </c>
      <c r="F148">
        <v>1</v>
      </c>
      <c r="G148">
        <v>1081</v>
      </c>
      <c r="H148">
        <v>3</v>
      </c>
      <c r="I148" t="s">
        <v>233</v>
      </c>
      <c r="J148" t="s">
        <v>234</v>
      </c>
      <c r="K148" t="s">
        <v>235</v>
      </c>
      <c r="L148">
        <v>1348</v>
      </c>
      <c r="N148">
        <v>1009</v>
      </c>
      <c r="O148" t="s">
        <v>232</v>
      </c>
      <c r="P148" t="s">
        <v>232</v>
      </c>
      <c r="Q148">
        <v>1000</v>
      </c>
      <c r="W148">
        <v>0</v>
      </c>
      <c r="X148">
        <v>-761454284</v>
      </c>
      <c r="Y148">
        <f>(AT148*1)</f>
        <v>1.0000000000000001E-5</v>
      </c>
      <c r="AA148">
        <v>64123.05</v>
      </c>
      <c r="AB148">
        <v>0</v>
      </c>
      <c r="AC148">
        <v>0</v>
      </c>
      <c r="AD148">
        <v>0</v>
      </c>
      <c r="AE148">
        <v>64123.05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1.0000000000000001E-5</v>
      </c>
      <c r="AU148" t="s">
        <v>120</v>
      </c>
      <c r="AV148">
        <v>0</v>
      </c>
      <c r="AW148">
        <v>2</v>
      </c>
      <c r="AX148">
        <v>55934605</v>
      </c>
      <c r="AY148">
        <v>1</v>
      </c>
      <c r="AZ148">
        <v>0</v>
      </c>
      <c r="BA148">
        <v>178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ROUND(Y148*Source!I91,9)</f>
        <v>1.0000000000000001E-5</v>
      </c>
      <c r="CY148">
        <f>AA148</f>
        <v>64123.05</v>
      </c>
      <c r="CZ148">
        <f>AE148</f>
        <v>64123.05</v>
      </c>
      <c r="DA148">
        <f>AI148</f>
        <v>1</v>
      </c>
      <c r="DB148">
        <f>ROUND((ROUND(AT148*CZ148,2)*1),6)</f>
        <v>0.64</v>
      </c>
      <c r="DC148">
        <f>ROUND((ROUND(AT148*AG148,2)*1),6)</f>
        <v>0</v>
      </c>
      <c r="DD148" t="s">
        <v>3</v>
      </c>
      <c r="DE148" t="s">
        <v>3</v>
      </c>
      <c r="DF148">
        <f t="shared" si="55"/>
        <v>0.64</v>
      </c>
      <c r="DG148">
        <f t="shared" si="52"/>
        <v>0</v>
      </c>
      <c r="DH148">
        <f t="shared" si="53"/>
        <v>0</v>
      </c>
      <c r="DI148">
        <f t="shared" si="51"/>
        <v>0</v>
      </c>
      <c r="DJ148">
        <f>DF148</f>
        <v>0.64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ROW(Source!A91)</f>
        <v>91</v>
      </c>
      <c r="B149">
        <v>55934355</v>
      </c>
      <c r="C149">
        <v>55934592</v>
      </c>
      <c r="D149">
        <v>0</v>
      </c>
      <c r="E149">
        <v>0</v>
      </c>
      <c r="F149">
        <v>1</v>
      </c>
      <c r="G149">
        <v>1081</v>
      </c>
      <c r="H149">
        <v>3</v>
      </c>
      <c r="I149" t="s">
        <v>310</v>
      </c>
      <c r="J149" t="s">
        <v>310</v>
      </c>
      <c r="K149" t="s">
        <v>125</v>
      </c>
      <c r="L149">
        <v>1371</v>
      </c>
      <c r="N149">
        <v>1013</v>
      </c>
      <c r="O149" t="s">
        <v>126</v>
      </c>
      <c r="P149" t="s">
        <v>126</v>
      </c>
      <c r="Q149">
        <v>1</v>
      </c>
      <c r="W149">
        <v>0</v>
      </c>
      <c r="X149">
        <v>-97743246</v>
      </c>
      <c r="Y149">
        <f>(AT149*1)</f>
        <v>1</v>
      </c>
      <c r="AA149">
        <v>23932.38</v>
      </c>
      <c r="AB149">
        <v>0</v>
      </c>
      <c r="AC149">
        <v>0</v>
      </c>
      <c r="AD149">
        <v>0</v>
      </c>
      <c r="AE149">
        <v>23932.38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</v>
      </c>
      <c r="AU149" t="s">
        <v>120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ROUND(Y149*Source!I91,9)</f>
        <v>1</v>
      </c>
      <c r="CY149">
        <f>AA149</f>
        <v>23932.38</v>
      </c>
      <c r="CZ149">
        <f>AE149</f>
        <v>23932.38</v>
      </c>
      <c r="DA149">
        <f>AI149</f>
        <v>1</v>
      </c>
      <c r="DB149">
        <f>ROUND((ROUND(AT149*CZ149,2)*1),6)</f>
        <v>23932.38</v>
      </c>
      <c r="DC149">
        <f>ROUND((ROUND(AT149*AG149,2)*1),6)</f>
        <v>0</v>
      </c>
      <c r="DD149" t="s">
        <v>3</v>
      </c>
      <c r="DE149" t="s">
        <v>3</v>
      </c>
      <c r="DF149">
        <f t="shared" si="55"/>
        <v>23932.38</v>
      </c>
      <c r="DG149">
        <f t="shared" si="52"/>
        <v>0</v>
      </c>
      <c r="DH149">
        <f t="shared" si="53"/>
        <v>0</v>
      </c>
      <c r="DI149">
        <f t="shared" si="51"/>
        <v>0</v>
      </c>
      <c r="DJ149">
        <f>DF149</f>
        <v>23932.38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ROW(Source!A92)</f>
        <v>92</v>
      </c>
      <c r="B150">
        <v>55934357</v>
      </c>
      <c r="C150">
        <v>55934592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221</v>
      </c>
      <c r="J150" t="s">
        <v>3</v>
      </c>
      <c r="K150" t="s">
        <v>222</v>
      </c>
      <c r="L150">
        <v>1191</v>
      </c>
      <c r="N150">
        <v>1013</v>
      </c>
      <c r="O150" t="s">
        <v>223</v>
      </c>
      <c r="P150" t="s">
        <v>223</v>
      </c>
      <c r="Q150">
        <v>1</v>
      </c>
      <c r="W150">
        <v>0</v>
      </c>
      <c r="X150">
        <v>476480486</v>
      </c>
      <c r="Y150">
        <f>(AT150*1.2)</f>
        <v>7.4399999999999995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5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6.2</v>
      </c>
      <c r="AU150" t="s">
        <v>121</v>
      </c>
      <c r="AV150">
        <v>1</v>
      </c>
      <c r="AW150">
        <v>2</v>
      </c>
      <c r="AX150">
        <v>55934602</v>
      </c>
      <c r="AY150">
        <v>1</v>
      </c>
      <c r="AZ150">
        <v>0</v>
      </c>
      <c r="BA150">
        <v>180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U150">
        <f>ROUND(AT150*Source!I92*AH150*AL150,2)</f>
        <v>0</v>
      </c>
      <c r="CV150">
        <f>ROUND(Y150*Source!I92,9)</f>
        <v>7.44</v>
      </c>
      <c r="CW150">
        <v>0</v>
      </c>
      <c r="CX150">
        <f>ROUND(Y150*Source!I92,9)</f>
        <v>7.44</v>
      </c>
      <c r="CY150">
        <f>AD150</f>
        <v>0</v>
      </c>
      <c r="CZ150">
        <f>AH150</f>
        <v>0</v>
      </c>
      <c r="DA150">
        <f>AL150</f>
        <v>1</v>
      </c>
      <c r="DB150">
        <f>ROUND((ROUND(AT150*CZ150,2)*1.2),6)</f>
        <v>0</v>
      </c>
      <c r="DC150">
        <f>ROUND((ROUND(AT150*AG150,2)*1.2),6)</f>
        <v>0</v>
      </c>
      <c r="DD150" t="s">
        <v>3</v>
      </c>
      <c r="DE150" t="s">
        <v>3</v>
      </c>
      <c r="DF150">
        <f t="shared" si="55"/>
        <v>0</v>
      </c>
      <c r="DG150">
        <f t="shared" si="52"/>
        <v>0</v>
      </c>
      <c r="DH150">
        <f t="shared" si="53"/>
        <v>0</v>
      </c>
      <c r="DI150">
        <f t="shared" si="51"/>
        <v>0</v>
      </c>
      <c r="DJ150">
        <f>DI150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ROW(Source!A92)</f>
        <v>92</v>
      </c>
      <c r="B151">
        <v>55934357</v>
      </c>
      <c r="C151">
        <v>55934592</v>
      </c>
      <c r="D151">
        <v>55489513</v>
      </c>
      <c r="E151">
        <v>1</v>
      </c>
      <c r="F151">
        <v>1</v>
      </c>
      <c r="G151">
        <v>1081</v>
      </c>
      <c r="H151">
        <v>2</v>
      </c>
      <c r="I151" t="s">
        <v>224</v>
      </c>
      <c r="J151" t="s">
        <v>225</v>
      </c>
      <c r="K151" t="s">
        <v>226</v>
      </c>
      <c r="L151">
        <v>1368</v>
      </c>
      <c r="N151">
        <v>1011</v>
      </c>
      <c r="O151" t="s">
        <v>227</v>
      </c>
      <c r="P151" t="s">
        <v>227</v>
      </c>
      <c r="Q151">
        <v>1</v>
      </c>
      <c r="W151">
        <v>0</v>
      </c>
      <c r="X151">
        <v>-1520980008</v>
      </c>
      <c r="Y151">
        <f>(AT151*1.2)</f>
        <v>0.3</v>
      </c>
      <c r="AA151">
        <v>0</v>
      </c>
      <c r="AB151">
        <v>1942.87</v>
      </c>
      <c r="AC151">
        <v>744.56</v>
      </c>
      <c r="AD151">
        <v>0</v>
      </c>
      <c r="AE151">
        <v>0</v>
      </c>
      <c r="AF151">
        <v>114.83</v>
      </c>
      <c r="AG151">
        <v>12.62</v>
      </c>
      <c r="AH151">
        <v>0</v>
      </c>
      <c r="AI151">
        <v>1</v>
      </c>
      <c r="AJ151">
        <v>16.16</v>
      </c>
      <c r="AK151">
        <v>56.35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0.25</v>
      </c>
      <c r="AU151" t="s">
        <v>121</v>
      </c>
      <c r="AV151">
        <v>0</v>
      </c>
      <c r="AW151">
        <v>2</v>
      </c>
      <c r="AX151">
        <v>55934603</v>
      </c>
      <c r="AY151">
        <v>1</v>
      </c>
      <c r="AZ151">
        <v>0</v>
      </c>
      <c r="BA151">
        <v>181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ROUND(Y151*Source!I92*DO151,9)</f>
        <v>3.786</v>
      </c>
      <c r="CX151">
        <f>ROUND(Y151*Source!I92,9)</f>
        <v>0.3</v>
      </c>
      <c r="CY151">
        <f>AB151</f>
        <v>1942.87</v>
      </c>
      <c r="CZ151">
        <f>AF151</f>
        <v>114.83</v>
      </c>
      <c r="DA151">
        <f>AJ151</f>
        <v>16.16</v>
      </c>
      <c r="DB151">
        <f>ROUND((ROUND(AT151*CZ151,2)*1.2),6)</f>
        <v>34.451999999999998</v>
      </c>
      <c r="DC151">
        <f>ROUND((ROUND(AT151*AG151,2)*1.2),6)</f>
        <v>3.7919999999999998</v>
      </c>
      <c r="DD151" t="s">
        <v>3</v>
      </c>
      <c r="DE151" t="s">
        <v>3</v>
      </c>
      <c r="DF151">
        <f t="shared" si="55"/>
        <v>0</v>
      </c>
      <c r="DG151">
        <f>ROUND(ROUND(AF151*AJ151,2)*CX151,2)</f>
        <v>556.70000000000005</v>
      </c>
      <c r="DH151">
        <f>ROUND(ROUND(AG151*AK151,2)*CX151,2)</f>
        <v>213.34</v>
      </c>
      <c r="DI151">
        <f t="shared" si="51"/>
        <v>0</v>
      </c>
      <c r="DJ151">
        <f>DG151</f>
        <v>556.70000000000005</v>
      </c>
      <c r="DK151">
        <v>0</v>
      </c>
      <c r="DL151" t="s">
        <v>228</v>
      </c>
      <c r="DM151">
        <v>0</v>
      </c>
      <c r="DN151" t="s">
        <v>223</v>
      </c>
      <c r="DO151">
        <v>12.62</v>
      </c>
    </row>
    <row r="152" spans="1:119" x14ac:dyDescent="0.25">
      <c r="A152">
        <f>ROW(Source!A92)</f>
        <v>92</v>
      </c>
      <c r="B152">
        <v>55934357</v>
      </c>
      <c r="C152">
        <v>55934592</v>
      </c>
      <c r="D152">
        <v>55461719</v>
      </c>
      <c r="E152">
        <v>1</v>
      </c>
      <c r="F152">
        <v>1</v>
      </c>
      <c r="G152">
        <v>1081</v>
      </c>
      <c r="H152">
        <v>3</v>
      </c>
      <c r="I152" t="s">
        <v>229</v>
      </c>
      <c r="J152" t="s">
        <v>230</v>
      </c>
      <c r="K152" t="s">
        <v>231</v>
      </c>
      <c r="L152">
        <v>1348</v>
      </c>
      <c r="N152">
        <v>1009</v>
      </c>
      <c r="O152" t="s">
        <v>232</v>
      </c>
      <c r="P152" t="s">
        <v>232</v>
      </c>
      <c r="Q152">
        <v>1000</v>
      </c>
      <c r="W152">
        <v>0</v>
      </c>
      <c r="X152">
        <v>-1265888387</v>
      </c>
      <c r="Y152">
        <f>(AT152*1)</f>
        <v>1.1000000000000001E-3</v>
      </c>
      <c r="AA152">
        <v>147514.47</v>
      </c>
      <c r="AB152">
        <v>0</v>
      </c>
      <c r="AC152">
        <v>0</v>
      </c>
      <c r="AD152">
        <v>0</v>
      </c>
      <c r="AE152">
        <v>10643.18</v>
      </c>
      <c r="AF152">
        <v>0</v>
      </c>
      <c r="AG152">
        <v>0</v>
      </c>
      <c r="AH152">
        <v>0</v>
      </c>
      <c r="AI152">
        <v>13.86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1.1000000000000001E-3</v>
      </c>
      <c r="AU152" t="s">
        <v>120</v>
      </c>
      <c r="AV152">
        <v>0</v>
      </c>
      <c r="AW152">
        <v>2</v>
      </c>
      <c r="AX152">
        <v>55934604</v>
      </c>
      <c r="AY152">
        <v>1</v>
      </c>
      <c r="AZ152">
        <v>0</v>
      </c>
      <c r="BA152">
        <v>182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ROUND(Y152*Source!I92,9)</f>
        <v>1.1000000000000001E-3</v>
      </c>
      <c r="CY152">
        <f>AA152</f>
        <v>147514.47</v>
      </c>
      <c r="CZ152">
        <f>AE152</f>
        <v>10643.18</v>
      </c>
      <c r="DA152">
        <f>AI152</f>
        <v>13.86</v>
      </c>
      <c r="DB152">
        <f>ROUND((ROUND(AT152*CZ152,2)*1),6)</f>
        <v>11.71</v>
      </c>
      <c r="DC152">
        <f>ROUND((ROUND(AT152*AG152,2)*1),6)</f>
        <v>0</v>
      </c>
      <c r="DD152" t="s">
        <v>3</v>
      </c>
      <c r="DE152" t="s">
        <v>3</v>
      </c>
      <c r="DF152">
        <f>ROUND(ROUND(AE152*AI152,2)*CX152,2)</f>
        <v>162.27000000000001</v>
      </c>
      <c r="DG152">
        <f t="shared" ref="DG152:DG160" si="56">ROUND(ROUND(AF152,2)*CX152,2)</f>
        <v>0</v>
      </c>
      <c r="DH152">
        <f t="shared" ref="DH152:DH160" si="57">ROUND(ROUND(AG152,2)*CX152,2)</f>
        <v>0</v>
      </c>
      <c r="DI152">
        <f t="shared" si="51"/>
        <v>0</v>
      </c>
      <c r="DJ152">
        <f>DF152</f>
        <v>162.27000000000001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ROW(Source!A92)</f>
        <v>92</v>
      </c>
      <c r="B153">
        <v>55934357</v>
      </c>
      <c r="C153">
        <v>55934592</v>
      </c>
      <c r="D153">
        <v>55459793</v>
      </c>
      <c r="E153">
        <v>1</v>
      </c>
      <c r="F153">
        <v>1</v>
      </c>
      <c r="G153">
        <v>1081</v>
      </c>
      <c r="H153">
        <v>3</v>
      </c>
      <c r="I153" t="s">
        <v>233</v>
      </c>
      <c r="J153" t="s">
        <v>234</v>
      </c>
      <c r="K153" t="s">
        <v>235</v>
      </c>
      <c r="L153">
        <v>1348</v>
      </c>
      <c r="N153">
        <v>1009</v>
      </c>
      <c r="O153" t="s">
        <v>232</v>
      </c>
      <c r="P153" t="s">
        <v>232</v>
      </c>
      <c r="Q153">
        <v>1000</v>
      </c>
      <c r="W153">
        <v>0</v>
      </c>
      <c r="X153">
        <v>-761454284</v>
      </c>
      <c r="Y153">
        <f>(AT153*1)</f>
        <v>1.0000000000000001E-5</v>
      </c>
      <c r="AA153">
        <v>1930745.04</v>
      </c>
      <c r="AB153">
        <v>0</v>
      </c>
      <c r="AC153">
        <v>0</v>
      </c>
      <c r="AD153">
        <v>0</v>
      </c>
      <c r="AE153">
        <v>64123.05</v>
      </c>
      <c r="AF153">
        <v>0</v>
      </c>
      <c r="AG153">
        <v>0</v>
      </c>
      <c r="AH153">
        <v>0</v>
      </c>
      <c r="AI153">
        <v>30.11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1.0000000000000001E-5</v>
      </c>
      <c r="AU153" t="s">
        <v>120</v>
      </c>
      <c r="AV153">
        <v>0</v>
      </c>
      <c r="AW153">
        <v>2</v>
      </c>
      <c r="AX153">
        <v>55934605</v>
      </c>
      <c r="AY153">
        <v>1</v>
      </c>
      <c r="AZ153">
        <v>0</v>
      </c>
      <c r="BA153">
        <v>183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ROUND(Y153*Source!I92,9)</f>
        <v>1.0000000000000001E-5</v>
      </c>
      <c r="CY153">
        <f>AA153</f>
        <v>1930745.04</v>
      </c>
      <c r="CZ153">
        <f>AE153</f>
        <v>64123.05</v>
      </c>
      <c r="DA153">
        <f>AI153</f>
        <v>30.11</v>
      </c>
      <c r="DB153">
        <f>ROUND((ROUND(AT153*CZ153,2)*1),6)</f>
        <v>0.64</v>
      </c>
      <c r="DC153">
        <f>ROUND((ROUND(AT153*AG153,2)*1),6)</f>
        <v>0</v>
      </c>
      <c r="DD153" t="s">
        <v>3</v>
      </c>
      <c r="DE153" t="s">
        <v>3</v>
      </c>
      <c r="DF153">
        <f>ROUND(ROUND(AE153*AI153,2)*CX153,2)</f>
        <v>19.309999999999999</v>
      </c>
      <c r="DG153">
        <f t="shared" si="56"/>
        <v>0</v>
      </c>
      <c r="DH153">
        <f t="shared" si="57"/>
        <v>0</v>
      </c>
      <c r="DI153">
        <f t="shared" si="51"/>
        <v>0</v>
      </c>
      <c r="DJ153">
        <f>DF153</f>
        <v>19.309999999999999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ROW(Source!A92)</f>
        <v>92</v>
      </c>
      <c r="B154">
        <v>55934357</v>
      </c>
      <c r="C154">
        <v>55934592</v>
      </c>
      <c r="D154">
        <v>0</v>
      </c>
      <c r="E154">
        <v>0</v>
      </c>
      <c r="F154">
        <v>1</v>
      </c>
      <c r="G154">
        <v>1081</v>
      </c>
      <c r="H154">
        <v>3</v>
      </c>
      <c r="I154" t="s">
        <v>310</v>
      </c>
      <c r="J154" t="s">
        <v>310</v>
      </c>
      <c r="K154" t="s">
        <v>125</v>
      </c>
      <c r="L154">
        <v>1371</v>
      </c>
      <c r="N154">
        <v>1013</v>
      </c>
      <c r="O154" t="s">
        <v>126</v>
      </c>
      <c r="P154" t="s">
        <v>126</v>
      </c>
      <c r="Q154">
        <v>1</v>
      </c>
      <c r="W154">
        <v>0</v>
      </c>
      <c r="X154">
        <v>-97743246</v>
      </c>
      <c r="Y154">
        <f>(AT154*1)</f>
        <v>1</v>
      </c>
      <c r="AA154">
        <v>181168.12</v>
      </c>
      <c r="AB154">
        <v>0</v>
      </c>
      <c r="AC154">
        <v>0</v>
      </c>
      <c r="AD154">
        <v>0</v>
      </c>
      <c r="AE154">
        <v>23932.38</v>
      </c>
      <c r="AF154">
        <v>0</v>
      </c>
      <c r="AG154">
        <v>0</v>
      </c>
      <c r="AH154">
        <v>0</v>
      </c>
      <c r="AI154">
        <v>7.57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</v>
      </c>
      <c r="AU154" t="s">
        <v>120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ROUND(Y154*Source!I92,9)</f>
        <v>1</v>
      </c>
      <c r="CY154">
        <f>AA154</f>
        <v>181168.12</v>
      </c>
      <c r="CZ154">
        <f>AE154</f>
        <v>23932.38</v>
      </c>
      <c r="DA154">
        <f>AI154</f>
        <v>7.57</v>
      </c>
      <c r="DB154">
        <f>ROUND((ROUND(AT154*CZ154,2)*1),6)</f>
        <v>23932.38</v>
      </c>
      <c r="DC154">
        <f>ROUND((ROUND(AT154*AG154,2)*1),6)</f>
        <v>0</v>
      </c>
      <c r="DD154" t="s">
        <v>3</v>
      </c>
      <c r="DE154" t="s">
        <v>3</v>
      </c>
      <c r="DF154">
        <f>ROUND(ROUND(AE154*AI154,2)*CX154,2)</f>
        <v>181168.12</v>
      </c>
      <c r="DG154">
        <f t="shared" si="56"/>
        <v>0</v>
      </c>
      <c r="DH154">
        <f t="shared" si="57"/>
        <v>0</v>
      </c>
      <c r="DI154">
        <f t="shared" si="51"/>
        <v>0</v>
      </c>
      <c r="DJ154">
        <f>DF154</f>
        <v>181168.12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ROW(Source!A95)</f>
        <v>95</v>
      </c>
      <c r="B155">
        <v>55934355</v>
      </c>
      <c r="C155">
        <v>55934622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221</v>
      </c>
      <c r="J155" t="s">
        <v>3</v>
      </c>
      <c r="K155" t="s">
        <v>222</v>
      </c>
      <c r="L155">
        <v>1191</v>
      </c>
      <c r="N155">
        <v>1013</v>
      </c>
      <c r="O155" t="s">
        <v>223</v>
      </c>
      <c r="P155" t="s">
        <v>223</v>
      </c>
      <c r="Q155">
        <v>1</v>
      </c>
      <c r="W155">
        <v>0</v>
      </c>
      <c r="X155">
        <v>476480486</v>
      </c>
      <c r="Y155">
        <f>(AT155*1.2)</f>
        <v>7.4399999999999995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6.2</v>
      </c>
      <c r="AU155" t="s">
        <v>121</v>
      </c>
      <c r="AV155">
        <v>1</v>
      </c>
      <c r="AW155">
        <v>2</v>
      </c>
      <c r="AX155">
        <v>55934634</v>
      </c>
      <c r="AY155">
        <v>1</v>
      </c>
      <c r="AZ155">
        <v>0</v>
      </c>
      <c r="BA155">
        <v>185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ROUND(AT155*Source!I95*AH155*AL155,2)</f>
        <v>0</v>
      </c>
      <c r="CV155">
        <f>ROUND(Y155*Source!I95,9)</f>
        <v>29.76</v>
      </c>
      <c r="CW155">
        <v>0</v>
      </c>
      <c r="CX155">
        <f>ROUND(Y155*Source!I95,9)</f>
        <v>29.76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1" si="58">ROUND(ROUND(AE155,2)*CX155,2)</f>
        <v>0</v>
      </c>
      <c r="DG155">
        <f t="shared" si="56"/>
        <v>0</v>
      </c>
      <c r="DH155">
        <f t="shared" si="57"/>
        <v>0</v>
      </c>
      <c r="DI155">
        <f t="shared" si="51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ROW(Source!A95)</f>
        <v>95</v>
      </c>
      <c r="B156">
        <v>55934355</v>
      </c>
      <c r="C156">
        <v>55934622</v>
      </c>
      <c r="D156">
        <v>55489513</v>
      </c>
      <c r="E156">
        <v>1</v>
      </c>
      <c r="F156">
        <v>1</v>
      </c>
      <c r="G156">
        <v>1081</v>
      </c>
      <c r="H156">
        <v>2</v>
      </c>
      <c r="I156" t="s">
        <v>224</v>
      </c>
      <c r="J156" t="s">
        <v>225</v>
      </c>
      <c r="K156" t="s">
        <v>226</v>
      </c>
      <c r="L156">
        <v>1368</v>
      </c>
      <c r="N156">
        <v>1011</v>
      </c>
      <c r="O156" t="s">
        <v>227</v>
      </c>
      <c r="P156" t="s">
        <v>227</v>
      </c>
      <c r="Q156">
        <v>1</v>
      </c>
      <c r="W156">
        <v>0</v>
      </c>
      <c r="X156">
        <v>-1520980008</v>
      </c>
      <c r="Y156">
        <f>(AT156*1.2)</f>
        <v>0.3</v>
      </c>
      <c r="AA156">
        <v>0</v>
      </c>
      <c r="AB156">
        <v>120.23</v>
      </c>
      <c r="AC156">
        <v>13.21</v>
      </c>
      <c r="AD156">
        <v>0</v>
      </c>
      <c r="AE156">
        <v>0</v>
      </c>
      <c r="AF156">
        <v>114.83</v>
      </c>
      <c r="AG156">
        <v>12.62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0.25</v>
      </c>
      <c r="AU156" t="s">
        <v>121</v>
      </c>
      <c r="AV156">
        <v>0</v>
      </c>
      <c r="AW156">
        <v>2</v>
      </c>
      <c r="AX156">
        <v>55934635</v>
      </c>
      <c r="AY156">
        <v>1</v>
      </c>
      <c r="AZ156">
        <v>0</v>
      </c>
      <c r="BA156">
        <v>186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f>ROUND(Y156*Source!I95*DO156,9)</f>
        <v>15.144</v>
      </c>
      <c r="CX156">
        <f>ROUND(Y156*Source!I95,9)</f>
        <v>1.2</v>
      </c>
      <c r="CY156">
        <f>AB156</f>
        <v>120.23</v>
      </c>
      <c r="CZ156">
        <f>AF156</f>
        <v>114.83</v>
      </c>
      <c r="DA156">
        <f>AJ156</f>
        <v>1</v>
      </c>
      <c r="DB156">
        <f>ROUND((ROUND(AT156*CZ156,2)*1.2),6)</f>
        <v>34.451999999999998</v>
      </c>
      <c r="DC156">
        <f>ROUND((ROUND(AT156*AG156,2)*1.2),6)</f>
        <v>3.7919999999999998</v>
      </c>
      <c r="DD156" t="s">
        <v>3</v>
      </c>
      <c r="DE156" t="s">
        <v>3</v>
      </c>
      <c r="DF156">
        <f t="shared" si="58"/>
        <v>0</v>
      </c>
      <c r="DG156">
        <f t="shared" si="56"/>
        <v>137.80000000000001</v>
      </c>
      <c r="DH156">
        <f t="shared" si="57"/>
        <v>15.14</v>
      </c>
      <c r="DI156">
        <f t="shared" si="51"/>
        <v>0</v>
      </c>
      <c r="DJ156">
        <f>DG156</f>
        <v>137.80000000000001</v>
      </c>
      <c r="DK156">
        <v>0</v>
      </c>
      <c r="DL156" t="s">
        <v>228</v>
      </c>
      <c r="DM156">
        <v>0</v>
      </c>
      <c r="DN156" t="s">
        <v>223</v>
      </c>
      <c r="DO156">
        <v>12.62</v>
      </c>
    </row>
    <row r="157" spans="1:119" x14ac:dyDescent="0.25">
      <c r="A157">
        <f>ROW(Source!A95)</f>
        <v>95</v>
      </c>
      <c r="B157">
        <v>55934355</v>
      </c>
      <c r="C157">
        <v>55934622</v>
      </c>
      <c r="D157">
        <v>55461719</v>
      </c>
      <c r="E157">
        <v>1</v>
      </c>
      <c r="F157">
        <v>1</v>
      </c>
      <c r="G157">
        <v>1081</v>
      </c>
      <c r="H157">
        <v>3</v>
      </c>
      <c r="I157" t="s">
        <v>229</v>
      </c>
      <c r="J157" t="s">
        <v>230</v>
      </c>
      <c r="K157" t="s">
        <v>231</v>
      </c>
      <c r="L157">
        <v>1348</v>
      </c>
      <c r="N157">
        <v>1009</v>
      </c>
      <c r="O157" t="s">
        <v>232</v>
      </c>
      <c r="P157" t="s">
        <v>232</v>
      </c>
      <c r="Q157">
        <v>1000</v>
      </c>
      <c r="W157">
        <v>0</v>
      </c>
      <c r="X157">
        <v>-1265888387</v>
      </c>
      <c r="Y157">
        <f>(AT157*1)</f>
        <v>1.1000000000000001E-3</v>
      </c>
      <c r="AA157">
        <v>10643.18</v>
      </c>
      <c r="AB157">
        <v>0</v>
      </c>
      <c r="AC157">
        <v>0</v>
      </c>
      <c r="AD157">
        <v>0</v>
      </c>
      <c r="AE157">
        <v>10643.18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1.1000000000000001E-3</v>
      </c>
      <c r="AU157" t="s">
        <v>120</v>
      </c>
      <c r="AV157">
        <v>0</v>
      </c>
      <c r="AW157">
        <v>2</v>
      </c>
      <c r="AX157">
        <v>55934636</v>
      </c>
      <c r="AY157">
        <v>1</v>
      </c>
      <c r="AZ157">
        <v>0</v>
      </c>
      <c r="BA157">
        <v>187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ROUND(Y157*Source!I95,9)</f>
        <v>4.4000000000000003E-3</v>
      </c>
      <c r="CY157">
        <f>AA157</f>
        <v>10643.18</v>
      </c>
      <c r="CZ157">
        <f>AE157</f>
        <v>10643.18</v>
      </c>
      <c r="DA157">
        <f>AI157</f>
        <v>1</v>
      </c>
      <c r="DB157">
        <f>ROUND((ROUND(AT157*CZ157,2)*1),6)</f>
        <v>11.71</v>
      </c>
      <c r="DC157">
        <f>ROUND((ROUND(AT157*AG157,2)*1),6)</f>
        <v>0</v>
      </c>
      <c r="DD157" t="s">
        <v>3</v>
      </c>
      <c r="DE157" t="s">
        <v>3</v>
      </c>
      <c r="DF157">
        <f t="shared" si="58"/>
        <v>46.83</v>
      </c>
      <c r="DG157">
        <f t="shared" si="56"/>
        <v>0</v>
      </c>
      <c r="DH157">
        <f t="shared" si="57"/>
        <v>0</v>
      </c>
      <c r="DI157">
        <f t="shared" si="51"/>
        <v>0</v>
      </c>
      <c r="DJ157">
        <f>DF157</f>
        <v>46.83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ROW(Source!A95)</f>
        <v>95</v>
      </c>
      <c r="B158">
        <v>55934355</v>
      </c>
      <c r="C158">
        <v>55934622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233</v>
      </c>
      <c r="J158" t="s">
        <v>234</v>
      </c>
      <c r="K158" t="s">
        <v>235</v>
      </c>
      <c r="L158">
        <v>1348</v>
      </c>
      <c r="N158">
        <v>1009</v>
      </c>
      <c r="O158" t="s">
        <v>232</v>
      </c>
      <c r="P158" t="s">
        <v>232</v>
      </c>
      <c r="Q158">
        <v>1000</v>
      </c>
      <c r="W158">
        <v>0</v>
      </c>
      <c r="X158">
        <v>-761454284</v>
      </c>
      <c r="Y158">
        <f>(AT158*1)</f>
        <v>1.0000000000000001E-5</v>
      </c>
      <c r="AA158">
        <v>64123.05</v>
      </c>
      <c r="AB158">
        <v>0</v>
      </c>
      <c r="AC158">
        <v>0</v>
      </c>
      <c r="AD158">
        <v>0</v>
      </c>
      <c r="AE158">
        <v>64123.05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1.0000000000000001E-5</v>
      </c>
      <c r="AU158" t="s">
        <v>120</v>
      </c>
      <c r="AV158">
        <v>0</v>
      </c>
      <c r="AW158">
        <v>2</v>
      </c>
      <c r="AX158">
        <v>55934637</v>
      </c>
      <c r="AY158">
        <v>1</v>
      </c>
      <c r="AZ158">
        <v>0</v>
      </c>
      <c r="BA158">
        <v>188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ROUND(Y158*Source!I95,9)</f>
        <v>4.0000000000000003E-5</v>
      </c>
      <c r="CY158">
        <f>AA158</f>
        <v>64123.05</v>
      </c>
      <c r="CZ158">
        <f>AE158</f>
        <v>64123.05</v>
      </c>
      <c r="DA158">
        <f>AI158</f>
        <v>1</v>
      </c>
      <c r="DB158">
        <f>ROUND((ROUND(AT158*CZ158,2)*1),6)</f>
        <v>0.64</v>
      </c>
      <c r="DC158">
        <f>ROUND((ROUND(AT158*AG158,2)*1),6)</f>
        <v>0</v>
      </c>
      <c r="DD158" t="s">
        <v>3</v>
      </c>
      <c r="DE158" t="s">
        <v>3</v>
      </c>
      <c r="DF158">
        <f t="shared" si="58"/>
        <v>2.56</v>
      </c>
      <c r="DG158">
        <f t="shared" si="56"/>
        <v>0</v>
      </c>
      <c r="DH158">
        <f t="shared" si="57"/>
        <v>0</v>
      </c>
      <c r="DI158">
        <f t="shared" si="51"/>
        <v>0</v>
      </c>
      <c r="DJ158">
        <f>DF158</f>
        <v>2.56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ROW(Source!A95)</f>
        <v>95</v>
      </c>
      <c r="B159">
        <v>55934355</v>
      </c>
      <c r="C159">
        <v>55934622</v>
      </c>
      <c r="D159">
        <v>0</v>
      </c>
      <c r="E159">
        <v>0</v>
      </c>
      <c r="F159">
        <v>1</v>
      </c>
      <c r="G159">
        <v>1081</v>
      </c>
      <c r="H159">
        <v>3</v>
      </c>
      <c r="I159" t="s">
        <v>311</v>
      </c>
      <c r="J159" t="s">
        <v>311</v>
      </c>
      <c r="K159" t="s">
        <v>155</v>
      </c>
      <c r="L159">
        <v>1371</v>
      </c>
      <c r="N159">
        <v>1013</v>
      </c>
      <c r="O159" t="s">
        <v>126</v>
      </c>
      <c r="P159" t="s">
        <v>126</v>
      </c>
      <c r="Q159">
        <v>1</v>
      </c>
      <c r="W159">
        <v>0</v>
      </c>
      <c r="X159">
        <v>1064684040</v>
      </c>
      <c r="Y159">
        <f>(AT159*1)</f>
        <v>1</v>
      </c>
      <c r="AA159">
        <v>21151.93</v>
      </c>
      <c r="AB159">
        <v>0</v>
      </c>
      <c r="AC159">
        <v>0</v>
      </c>
      <c r="AD159">
        <v>0</v>
      </c>
      <c r="AE159">
        <v>21151.93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120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ROUND(Y159*Source!I95,9)</f>
        <v>4</v>
      </c>
      <c r="CY159">
        <f>AA159</f>
        <v>21151.93</v>
      </c>
      <c r="CZ159">
        <f>AE159</f>
        <v>21151.93</v>
      </c>
      <c r="DA159">
        <f>AI159</f>
        <v>1</v>
      </c>
      <c r="DB159">
        <f>ROUND((ROUND(AT159*CZ159,2)*1),6)</f>
        <v>21151.93</v>
      </c>
      <c r="DC159">
        <f>ROUND((ROUND(AT159*AG159,2)*1),6)</f>
        <v>0</v>
      </c>
      <c r="DD159" t="s">
        <v>3</v>
      </c>
      <c r="DE159" t="s">
        <v>3</v>
      </c>
      <c r="DF159">
        <f t="shared" si="58"/>
        <v>84607.72</v>
      </c>
      <c r="DG159">
        <f t="shared" si="56"/>
        <v>0</v>
      </c>
      <c r="DH159">
        <f t="shared" si="57"/>
        <v>0</v>
      </c>
      <c r="DI159">
        <f t="shared" si="51"/>
        <v>0</v>
      </c>
      <c r="DJ159">
        <f>DF159</f>
        <v>84607.72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ROW(Source!A96)</f>
        <v>96</v>
      </c>
      <c r="B160">
        <v>55934357</v>
      </c>
      <c r="C160">
        <v>55934622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221</v>
      </c>
      <c r="J160" t="s">
        <v>3</v>
      </c>
      <c r="K160" t="s">
        <v>222</v>
      </c>
      <c r="L160">
        <v>1191</v>
      </c>
      <c r="N160">
        <v>1013</v>
      </c>
      <c r="O160" t="s">
        <v>223</v>
      </c>
      <c r="P160" t="s">
        <v>223</v>
      </c>
      <c r="Q160">
        <v>1</v>
      </c>
      <c r="W160">
        <v>0</v>
      </c>
      <c r="X160">
        <v>476480486</v>
      </c>
      <c r="Y160">
        <f>(AT160*1.2)</f>
        <v>7.4399999999999995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5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6.2</v>
      </c>
      <c r="AU160" t="s">
        <v>121</v>
      </c>
      <c r="AV160">
        <v>1</v>
      </c>
      <c r="AW160">
        <v>2</v>
      </c>
      <c r="AX160">
        <v>55934634</v>
      </c>
      <c r="AY160">
        <v>1</v>
      </c>
      <c r="AZ160">
        <v>0</v>
      </c>
      <c r="BA160">
        <v>190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U160">
        <f>ROUND(AT160*Source!I96*AH160*AL160,2)</f>
        <v>0</v>
      </c>
      <c r="CV160">
        <f>ROUND(Y160*Source!I96,9)</f>
        <v>29.76</v>
      </c>
      <c r="CW160">
        <v>0</v>
      </c>
      <c r="CX160">
        <f>ROUND(Y160*Source!I96,9)</f>
        <v>29.76</v>
      </c>
      <c r="CY160">
        <f>AD160</f>
        <v>0</v>
      </c>
      <c r="CZ160">
        <f>AH160</f>
        <v>0</v>
      </c>
      <c r="DA160">
        <f>AL160</f>
        <v>1</v>
      </c>
      <c r="DB160">
        <f>ROUND((ROUND(AT160*CZ160,2)*1.2),6)</f>
        <v>0</v>
      </c>
      <c r="DC160">
        <f>ROUND((ROUND(AT160*AG160,2)*1.2),6)</f>
        <v>0</v>
      </c>
      <c r="DD160" t="s">
        <v>3</v>
      </c>
      <c r="DE160" t="s">
        <v>3</v>
      </c>
      <c r="DF160">
        <f t="shared" si="58"/>
        <v>0</v>
      </c>
      <c r="DG160">
        <f t="shared" si="56"/>
        <v>0</v>
      </c>
      <c r="DH160">
        <f t="shared" si="57"/>
        <v>0</v>
      </c>
      <c r="DI160">
        <f t="shared" si="51"/>
        <v>0</v>
      </c>
      <c r="DJ160">
        <f>DI160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ROW(Source!A96)</f>
        <v>96</v>
      </c>
      <c r="B161">
        <v>55934357</v>
      </c>
      <c r="C161">
        <v>55934622</v>
      </c>
      <c r="D161">
        <v>55489513</v>
      </c>
      <c r="E161">
        <v>1</v>
      </c>
      <c r="F161">
        <v>1</v>
      </c>
      <c r="G161">
        <v>1081</v>
      </c>
      <c r="H161">
        <v>2</v>
      </c>
      <c r="I161" t="s">
        <v>224</v>
      </c>
      <c r="J161" t="s">
        <v>225</v>
      </c>
      <c r="K161" t="s">
        <v>226</v>
      </c>
      <c r="L161">
        <v>1368</v>
      </c>
      <c r="N161">
        <v>1011</v>
      </c>
      <c r="O161" t="s">
        <v>227</v>
      </c>
      <c r="P161" t="s">
        <v>227</v>
      </c>
      <c r="Q161">
        <v>1</v>
      </c>
      <c r="W161">
        <v>0</v>
      </c>
      <c r="X161">
        <v>-1520980008</v>
      </c>
      <c r="Y161">
        <f>(AT161*1.2)</f>
        <v>0.3</v>
      </c>
      <c r="AA161">
        <v>0</v>
      </c>
      <c r="AB161">
        <v>1942.87</v>
      </c>
      <c r="AC161">
        <v>744.56</v>
      </c>
      <c r="AD161">
        <v>0</v>
      </c>
      <c r="AE161">
        <v>0</v>
      </c>
      <c r="AF161">
        <v>114.83</v>
      </c>
      <c r="AG161">
        <v>12.62</v>
      </c>
      <c r="AH161">
        <v>0</v>
      </c>
      <c r="AI161">
        <v>1</v>
      </c>
      <c r="AJ161">
        <v>16.16</v>
      </c>
      <c r="AK161">
        <v>56.35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0.25</v>
      </c>
      <c r="AU161" t="s">
        <v>121</v>
      </c>
      <c r="AV161">
        <v>0</v>
      </c>
      <c r="AW161">
        <v>2</v>
      </c>
      <c r="AX161">
        <v>55934635</v>
      </c>
      <c r="AY161">
        <v>1</v>
      </c>
      <c r="AZ161">
        <v>0</v>
      </c>
      <c r="BA161">
        <v>191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ROUND(Y161*Source!I96*DO161,9)</f>
        <v>15.144</v>
      </c>
      <c r="CX161">
        <f>ROUND(Y161*Source!I96,9)</f>
        <v>1.2</v>
      </c>
      <c r="CY161">
        <f>AB161</f>
        <v>1942.87</v>
      </c>
      <c r="CZ161">
        <f>AF161</f>
        <v>114.83</v>
      </c>
      <c r="DA161">
        <f>AJ161</f>
        <v>16.16</v>
      </c>
      <c r="DB161">
        <f>ROUND((ROUND(AT161*CZ161,2)*1.2),6)</f>
        <v>34.451999999999998</v>
      </c>
      <c r="DC161">
        <f>ROUND((ROUND(AT161*AG161,2)*1.2),6)</f>
        <v>3.7919999999999998</v>
      </c>
      <c r="DD161" t="s">
        <v>3</v>
      </c>
      <c r="DE161" t="s">
        <v>3</v>
      </c>
      <c r="DF161">
        <f t="shared" si="58"/>
        <v>0</v>
      </c>
      <c r="DG161">
        <f>ROUND(ROUND(AF161*AJ161,2)*CX161,2)</f>
        <v>2226.7800000000002</v>
      </c>
      <c r="DH161">
        <f>ROUND(ROUND(AG161*AK161,2)*CX161,2)</f>
        <v>853.37</v>
      </c>
      <c r="DI161">
        <f t="shared" si="51"/>
        <v>0</v>
      </c>
      <c r="DJ161">
        <f>DG161</f>
        <v>2226.7800000000002</v>
      </c>
      <c r="DK161">
        <v>0</v>
      </c>
      <c r="DL161" t="s">
        <v>228</v>
      </c>
      <c r="DM161">
        <v>0</v>
      </c>
      <c r="DN161" t="s">
        <v>223</v>
      </c>
      <c r="DO161">
        <v>12.62</v>
      </c>
    </row>
    <row r="162" spans="1:119" x14ac:dyDescent="0.25">
      <c r="A162">
        <f>ROW(Source!A96)</f>
        <v>96</v>
      </c>
      <c r="B162">
        <v>55934357</v>
      </c>
      <c r="C162">
        <v>55934622</v>
      </c>
      <c r="D162">
        <v>55461719</v>
      </c>
      <c r="E162">
        <v>1</v>
      </c>
      <c r="F162">
        <v>1</v>
      </c>
      <c r="G162">
        <v>1081</v>
      </c>
      <c r="H162">
        <v>3</v>
      </c>
      <c r="I162" t="s">
        <v>229</v>
      </c>
      <c r="J162" t="s">
        <v>230</v>
      </c>
      <c r="K162" t="s">
        <v>231</v>
      </c>
      <c r="L162">
        <v>1348</v>
      </c>
      <c r="N162">
        <v>1009</v>
      </c>
      <c r="O162" t="s">
        <v>232</v>
      </c>
      <c r="P162" t="s">
        <v>232</v>
      </c>
      <c r="Q162">
        <v>1000</v>
      </c>
      <c r="W162">
        <v>0</v>
      </c>
      <c r="X162">
        <v>-1265888387</v>
      </c>
      <c r="Y162">
        <f>(AT162*1)</f>
        <v>1.1000000000000001E-3</v>
      </c>
      <c r="AA162">
        <v>147514.47</v>
      </c>
      <c r="AB162">
        <v>0</v>
      </c>
      <c r="AC162">
        <v>0</v>
      </c>
      <c r="AD162">
        <v>0</v>
      </c>
      <c r="AE162">
        <v>10643.18</v>
      </c>
      <c r="AF162">
        <v>0</v>
      </c>
      <c r="AG162">
        <v>0</v>
      </c>
      <c r="AH162">
        <v>0</v>
      </c>
      <c r="AI162">
        <v>13.86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1.1000000000000001E-3</v>
      </c>
      <c r="AU162" t="s">
        <v>120</v>
      </c>
      <c r="AV162">
        <v>0</v>
      </c>
      <c r="AW162">
        <v>2</v>
      </c>
      <c r="AX162">
        <v>55934636</v>
      </c>
      <c r="AY162">
        <v>1</v>
      </c>
      <c r="AZ162">
        <v>0</v>
      </c>
      <c r="BA162">
        <v>192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ROUND(Y162*Source!I96,9)</f>
        <v>4.4000000000000003E-3</v>
      </c>
      <c r="CY162">
        <f>AA162</f>
        <v>147514.47</v>
      </c>
      <c r="CZ162">
        <f>AE162</f>
        <v>10643.18</v>
      </c>
      <c r="DA162">
        <f>AI162</f>
        <v>13.86</v>
      </c>
      <c r="DB162">
        <f>ROUND((ROUND(AT162*CZ162,2)*1),6)</f>
        <v>11.71</v>
      </c>
      <c r="DC162">
        <f>ROUND((ROUND(AT162*AG162,2)*1),6)</f>
        <v>0</v>
      </c>
      <c r="DD162" t="s">
        <v>3</v>
      </c>
      <c r="DE162" t="s">
        <v>3</v>
      </c>
      <c r="DF162">
        <f>ROUND(ROUND(AE162*AI162,2)*CX162,2)</f>
        <v>649.05999999999995</v>
      </c>
      <c r="DG162">
        <f t="shared" ref="DG162:DG191" si="59">ROUND(ROUND(AF162,2)*CX162,2)</f>
        <v>0</v>
      </c>
      <c r="DH162">
        <f t="shared" ref="DH162:DH191" si="60">ROUND(ROUND(AG162,2)*CX162,2)</f>
        <v>0</v>
      </c>
      <c r="DI162">
        <f t="shared" si="51"/>
        <v>0</v>
      </c>
      <c r="DJ162">
        <f>DF162</f>
        <v>649.05999999999995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ROW(Source!A96)</f>
        <v>96</v>
      </c>
      <c r="B163">
        <v>55934357</v>
      </c>
      <c r="C163">
        <v>55934622</v>
      </c>
      <c r="D163">
        <v>55459793</v>
      </c>
      <c r="E163">
        <v>1</v>
      </c>
      <c r="F163">
        <v>1</v>
      </c>
      <c r="G163">
        <v>1081</v>
      </c>
      <c r="H163">
        <v>3</v>
      </c>
      <c r="I163" t="s">
        <v>233</v>
      </c>
      <c r="J163" t="s">
        <v>234</v>
      </c>
      <c r="K163" t="s">
        <v>235</v>
      </c>
      <c r="L163">
        <v>1348</v>
      </c>
      <c r="N163">
        <v>1009</v>
      </c>
      <c r="O163" t="s">
        <v>232</v>
      </c>
      <c r="P163" t="s">
        <v>232</v>
      </c>
      <c r="Q163">
        <v>1000</v>
      </c>
      <c r="W163">
        <v>0</v>
      </c>
      <c r="X163">
        <v>-761454284</v>
      </c>
      <c r="Y163">
        <f>(AT163*1)</f>
        <v>1.0000000000000001E-5</v>
      </c>
      <c r="AA163">
        <v>1930745.04</v>
      </c>
      <c r="AB163">
        <v>0</v>
      </c>
      <c r="AC163">
        <v>0</v>
      </c>
      <c r="AD163">
        <v>0</v>
      </c>
      <c r="AE163">
        <v>64123.05</v>
      </c>
      <c r="AF163">
        <v>0</v>
      </c>
      <c r="AG163">
        <v>0</v>
      </c>
      <c r="AH163">
        <v>0</v>
      </c>
      <c r="AI163">
        <v>30.11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1.0000000000000001E-5</v>
      </c>
      <c r="AU163" t="s">
        <v>120</v>
      </c>
      <c r="AV163">
        <v>0</v>
      </c>
      <c r="AW163">
        <v>2</v>
      </c>
      <c r="AX163">
        <v>55934637</v>
      </c>
      <c r="AY163">
        <v>1</v>
      </c>
      <c r="AZ163">
        <v>0</v>
      </c>
      <c r="BA163">
        <v>193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ROUND(Y163*Source!I96,9)</f>
        <v>4.0000000000000003E-5</v>
      </c>
      <c r="CY163">
        <f>AA163</f>
        <v>1930745.04</v>
      </c>
      <c r="CZ163">
        <f>AE163</f>
        <v>64123.05</v>
      </c>
      <c r="DA163">
        <f>AI163</f>
        <v>30.11</v>
      </c>
      <c r="DB163">
        <f>ROUND((ROUND(AT163*CZ163,2)*1),6)</f>
        <v>0.64</v>
      </c>
      <c r="DC163">
        <f>ROUND((ROUND(AT163*AG163,2)*1),6)</f>
        <v>0</v>
      </c>
      <c r="DD163" t="s">
        <v>3</v>
      </c>
      <c r="DE163" t="s">
        <v>3</v>
      </c>
      <c r="DF163">
        <f>ROUND(ROUND(AE163*AI163,2)*CX163,2)</f>
        <v>77.23</v>
      </c>
      <c r="DG163">
        <f t="shared" si="59"/>
        <v>0</v>
      </c>
      <c r="DH163">
        <f t="shared" si="60"/>
        <v>0</v>
      </c>
      <c r="DI163">
        <f t="shared" si="51"/>
        <v>0</v>
      </c>
      <c r="DJ163">
        <f>DF163</f>
        <v>77.23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ROW(Source!A96)</f>
        <v>96</v>
      </c>
      <c r="B164">
        <v>55934357</v>
      </c>
      <c r="C164">
        <v>55934622</v>
      </c>
      <c r="D164">
        <v>0</v>
      </c>
      <c r="E164">
        <v>0</v>
      </c>
      <c r="F164">
        <v>1</v>
      </c>
      <c r="G164">
        <v>1081</v>
      </c>
      <c r="H164">
        <v>3</v>
      </c>
      <c r="I164" t="s">
        <v>311</v>
      </c>
      <c r="J164" t="s">
        <v>311</v>
      </c>
      <c r="K164" t="s">
        <v>155</v>
      </c>
      <c r="L164">
        <v>1371</v>
      </c>
      <c r="N164">
        <v>1013</v>
      </c>
      <c r="O164" t="s">
        <v>126</v>
      </c>
      <c r="P164" t="s">
        <v>126</v>
      </c>
      <c r="Q164">
        <v>1</v>
      </c>
      <c r="W164">
        <v>0</v>
      </c>
      <c r="X164">
        <v>1064684040</v>
      </c>
      <c r="Y164">
        <f>(AT164*1)</f>
        <v>1</v>
      </c>
      <c r="AA164">
        <v>160120.10999999999</v>
      </c>
      <c r="AB164">
        <v>0</v>
      </c>
      <c r="AC164">
        <v>0</v>
      </c>
      <c r="AD164">
        <v>0</v>
      </c>
      <c r="AE164">
        <v>21151.93</v>
      </c>
      <c r="AF164">
        <v>0</v>
      </c>
      <c r="AG164">
        <v>0</v>
      </c>
      <c r="AH164">
        <v>0</v>
      </c>
      <c r="AI164">
        <v>7.57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 t="s">
        <v>3</v>
      </c>
      <c r="AT164">
        <v>1</v>
      </c>
      <c r="AU164" t="s">
        <v>120</v>
      </c>
      <c r="AV164">
        <v>0</v>
      </c>
      <c r="AW164">
        <v>1</v>
      </c>
      <c r="AX164">
        <v>-1</v>
      </c>
      <c r="AY164">
        <v>0</v>
      </c>
      <c r="AZ164">
        <v>0</v>
      </c>
      <c r="BA164" t="s">
        <v>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ROUND(Y164*Source!I96,9)</f>
        <v>4</v>
      </c>
      <c r="CY164">
        <f>AA164</f>
        <v>160120.10999999999</v>
      </c>
      <c r="CZ164">
        <f>AE164</f>
        <v>21151.93</v>
      </c>
      <c r="DA164">
        <f>AI164</f>
        <v>7.57</v>
      </c>
      <c r="DB164">
        <f>ROUND((ROUND(AT164*CZ164,2)*1),6)</f>
        <v>21151.93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640480.43999999994</v>
      </c>
      <c r="DG164">
        <f t="shared" si="59"/>
        <v>0</v>
      </c>
      <c r="DH164">
        <f t="shared" si="60"/>
        <v>0</v>
      </c>
      <c r="DI164">
        <f t="shared" si="51"/>
        <v>0</v>
      </c>
      <c r="DJ164">
        <f>DF164</f>
        <v>640480.43999999994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ROW(Source!A99)</f>
        <v>99</v>
      </c>
      <c r="B165">
        <v>55934355</v>
      </c>
      <c r="C165">
        <v>55934640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221</v>
      </c>
      <c r="J165" t="s">
        <v>3</v>
      </c>
      <c r="K165" t="s">
        <v>222</v>
      </c>
      <c r="L165">
        <v>1191</v>
      </c>
      <c r="N165">
        <v>1013</v>
      </c>
      <c r="O165" t="s">
        <v>223</v>
      </c>
      <c r="P165" t="s">
        <v>223</v>
      </c>
      <c r="Q165">
        <v>1</v>
      </c>
      <c r="W165">
        <v>0</v>
      </c>
      <c r="X165">
        <v>476480486</v>
      </c>
      <c r="Y165">
        <f>(AT165*1.2)</f>
        <v>27.599999999999998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23</v>
      </c>
      <c r="AU165" t="s">
        <v>121</v>
      </c>
      <c r="AV165">
        <v>1</v>
      </c>
      <c r="AW165">
        <v>2</v>
      </c>
      <c r="AX165">
        <v>55934642</v>
      </c>
      <c r="AY165">
        <v>1</v>
      </c>
      <c r="AZ165">
        <v>0</v>
      </c>
      <c r="BA165">
        <v>195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ROUND(AT165*Source!I99*AH165*AL165,2)</f>
        <v>0</v>
      </c>
      <c r="CV165">
        <f>ROUND(Y165*Source!I99,9)</f>
        <v>138</v>
      </c>
      <c r="CW165">
        <v>0</v>
      </c>
      <c r="CX165">
        <f>ROUND(Y165*Source!I99,9)</f>
        <v>138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ref="DF165:DF172" si="61">ROUND(ROUND(AE165,2)*CX165,2)</f>
        <v>0</v>
      </c>
      <c r="DG165">
        <f t="shared" si="59"/>
        <v>0</v>
      </c>
      <c r="DH165">
        <f t="shared" si="60"/>
        <v>0</v>
      </c>
      <c r="DI165">
        <f t="shared" si="51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ROW(Source!A100)</f>
        <v>100</v>
      </c>
      <c r="B166">
        <v>55934357</v>
      </c>
      <c r="C166">
        <v>55934640</v>
      </c>
      <c r="D166">
        <v>55424304</v>
      </c>
      <c r="E166">
        <v>1081</v>
      </c>
      <c r="F166">
        <v>1</v>
      </c>
      <c r="G166">
        <v>1081</v>
      </c>
      <c r="H166">
        <v>1</v>
      </c>
      <c r="I166" t="s">
        <v>221</v>
      </c>
      <c r="J166" t="s">
        <v>3</v>
      </c>
      <c r="K166" t="s">
        <v>222</v>
      </c>
      <c r="L166">
        <v>1191</v>
      </c>
      <c r="N166">
        <v>1013</v>
      </c>
      <c r="O166" t="s">
        <v>223</v>
      </c>
      <c r="P166" t="s">
        <v>223</v>
      </c>
      <c r="Q166">
        <v>1</v>
      </c>
      <c r="W166">
        <v>0</v>
      </c>
      <c r="X166">
        <v>476480486</v>
      </c>
      <c r="Y166">
        <f>(AT166*1.2)</f>
        <v>27.599999999999998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5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23</v>
      </c>
      <c r="AU166" t="s">
        <v>121</v>
      </c>
      <c r="AV166">
        <v>1</v>
      </c>
      <c r="AW166">
        <v>2</v>
      </c>
      <c r="AX166">
        <v>55934642</v>
      </c>
      <c r="AY166">
        <v>1</v>
      </c>
      <c r="AZ166">
        <v>0</v>
      </c>
      <c r="BA166">
        <v>196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U166">
        <f>ROUND(AT166*Source!I100*AH166*AL166,2)</f>
        <v>0</v>
      </c>
      <c r="CV166">
        <f>ROUND(Y166*Source!I100,9)</f>
        <v>138</v>
      </c>
      <c r="CW166">
        <v>0</v>
      </c>
      <c r="CX166">
        <f>ROUND(Y166*Source!I100,9)</f>
        <v>138</v>
      </c>
      <c r="CY166">
        <f>AD166</f>
        <v>0</v>
      </c>
      <c r="CZ166">
        <f>AH166</f>
        <v>0</v>
      </c>
      <c r="DA166">
        <f>AL166</f>
        <v>1</v>
      </c>
      <c r="DB166">
        <f>ROUND((ROUND(AT166*CZ166,2)*1.2),6)</f>
        <v>0</v>
      </c>
      <c r="DC166">
        <f>ROUND((ROUND(AT166*AG166,2)*1.2),6)</f>
        <v>0</v>
      </c>
      <c r="DD166" t="s">
        <v>3</v>
      </c>
      <c r="DE166" t="s">
        <v>3</v>
      </c>
      <c r="DF166">
        <f t="shared" si="61"/>
        <v>0</v>
      </c>
      <c r="DG166">
        <f t="shared" si="59"/>
        <v>0</v>
      </c>
      <c r="DH166">
        <f t="shared" si="60"/>
        <v>0</v>
      </c>
      <c r="DI166">
        <f t="shared" si="51"/>
        <v>0</v>
      </c>
      <c r="DJ166">
        <f>DI166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ROW(Source!A101)</f>
        <v>101</v>
      </c>
      <c r="B167">
        <v>55934355</v>
      </c>
      <c r="C167">
        <v>55934655</v>
      </c>
      <c r="D167">
        <v>55424304</v>
      </c>
      <c r="E167">
        <v>1081</v>
      </c>
      <c r="F167">
        <v>1</v>
      </c>
      <c r="G167">
        <v>1081</v>
      </c>
      <c r="H167">
        <v>1</v>
      </c>
      <c r="I167" t="s">
        <v>221</v>
      </c>
      <c r="J167" t="s">
        <v>3</v>
      </c>
      <c r="K167" t="s">
        <v>222</v>
      </c>
      <c r="L167">
        <v>1191</v>
      </c>
      <c r="N167">
        <v>1013</v>
      </c>
      <c r="O167" t="s">
        <v>223</v>
      </c>
      <c r="P167" t="s">
        <v>223</v>
      </c>
      <c r="Q167">
        <v>1</v>
      </c>
      <c r="W167">
        <v>0</v>
      </c>
      <c r="X167">
        <v>476480486</v>
      </c>
      <c r="Y167">
        <f>(AT167*1.2)</f>
        <v>9.6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8</v>
      </c>
      <c r="AU167" t="s">
        <v>121</v>
      </c>
      <c r="AV167">
        <v>1</v>
      </c>
      <c r="AW167">
        <v>2</v>
      </c>
      <c r="AX167">
        <v>55934662</v>
      </c>
      <c r="AY167">
        <v>1</v>
      </c>
      <c r="AZ167">
        <v>0</v>
      </c>
      <c r="BA167">
        <v>197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ROUND(AT167*Source!I101*AH167*AL167,2)</f>
        <v>0</v>
      </c>
      <c r="CV167">
        <f>ROUND(Y167*Source!I101,9)</f>
        <v>9.6</v>
      </c>
      <c r="CW167">
        <v>0</v>
      </c>
      <c r="CX167">
        <f>ROUND(Y167*Source!I101,9)</f>
        <v>9.6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 t="shared" si="61"/>
        <v>0</v>
      </c>
      <c r="DG167">
        <f t="shared" si="59"/>
        <v>0</v>
      </c>
      <c r="DH167">
        <f t="shared" si="60"/>
        <v>0</v>
      </c>
      <c r="DI167">
        <f t="shared" si="51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ROW(Source!A101)</f>
        <v>101</v>
      </c>
      <c r="B168">
        <v>55934355</v>
      </c>
      <c r="C168">
        <v>55934655</v>
      </c>
      <c r="D168">
        <v>55459792</v>
      </c>
      <c r="E168">
        <v>1</v>
      </c>
      <c r="F168">
        <v>1</v>
      </c>
      <c r="G168">
        <v>1081</v>
      </c>
      <c r="H168">
        <v>3</v>
      </c>
      <c r="I168" t="s">
        <v>236</v>
      </c>
      <c r="J168" t="s">
        <v>237</v>
      </c>
      <c r="K168" t="s">
        <v>238</v>
      </c>
      <c r="L168">
        <v>1348</v>
      </c>
      <c r="N168">
        <v>1009</v>
      </c>
      <c r="O168" t="s">
        <v>232</v>
      </c>
      <c r="P168" t="s">
        <v>232</v>
      </c>
      <c r="Q168">
        <v>1000</v>
      </c>
      <c r="W168">
        <v>0</v>
      </c>
      <c r="X168">
        <v>114569696</v>
      </c>
      <c r="Y168">
        <f>(AT168*1)</f>
        <v>1.0000000000000001E-5</v>
      </c>
      <c r="AA168">
        <v>60960.43</v>
      </c>
      <c r="AB168">
        <v>0</v>
      </c>
      <c r="AC168">
        <v>0</v>
      </c>
      <c r="AD168">
        <v>0</v>
      </c>
      <c r="AE168">
        <v>60960.43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1.0000000000000001E-5</v>
      </c>
      <c r="AU168" t="s">
        <v>120</v>
      </c>
      <c r="AV168">
        <v>0</v>
      </c>
      <c r="AW168">
        <v>2</v>
      </c>
      <c r="AX168">
        <v>55934663</v>
      </c>
      <c r="AY168">
        <v>1</v>
      </c>
      <c r="AZ168">
        <v>0</v>
      </c>
      <c r="BA168">
        <v>198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ROUND(Y168*Source!I101,9)</f>
        <v>1.0000000000000001E-5</v>
      </c>
      <c r="CY168">
        <f>AA168</f>
        <v>60960.43</v>
      </c>
      <c r="CZ168">
        <f>AE168</f>
        <v>60960.43</v>
      </c>
      <c r="DA168">
        <f>AI168</f>
        <v>1</v>
      </c>
      <c r="DB168">
        <f>ROUND((ROUND(AT168*CZ168,2)*1),6)</f>
        <v>0.61</v>
      </c>
      <c r="DC168">
        <f>ROUND((ROUND(AT168*AG168,2)*1),6)</f>
        <v>0</v>
      </c>
      <c r="DD168" t="s">
        <v>3</v>
      </c>
      <c r="DE168" t="s">
        <v>3</v>
      </c>
      <c r="DF168">
        <f t="shared" si="61"/>
        <v>0.61</v>
      </c>
      <c r="DG168">
        <f t="shared" si="59"/>
        <v>0</v>
      </c>
      <c r="DH168">
        <f t="shared" si="60"/>
        <v>0</v>
      </c>
      <c r="DI168">
        <f t="shared" si="51"/>
        <v>0</v>
      </c>
      <c r="DJ168">
        <f>DF168</f>
        <v>0.61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ROW(Source!A101)</f>
        <v>101</v>
      </c>
      <c r="B169">
        <v>55934355</v>
      </c>
      <c r="C169">
        <v>55934655</v>
      </c>
      <c r="D169">
        <v>55466338</v>
      </c>
      <c r="E169">
        <v>1</v>
      </c>
      <c r="F169">
        <v>1</v>
      </c>
      <c r="G169">
        <v>1081</v>
      </c>
      <c r="H169">
        <v>3</v>
      </c>
      <c r="I169" t="s">
        <v>239</v>
      </c>
      <c r="J169" t="s">
        <v>240</v>
      </c>
      <c r="K169" t="s">
        <v>241</v>
      </c>
      <c r="L169">
        <v>1349</v>
      </c>
      <c r="N169">
        <v>1009</v>
      </c>
      <c r="O169" t="s">
        <v>242</v>
      </c>
      <c r="P169" t="s">
        <v>242</v>
      </c>
      <c r="Q169">
        <v>1E-3</v>
      </c>
      <c r="W169">
        <v>0</v>
      </c>
      <c r="X169">
        <v>-667754050</v>
      </c>
      <c r="Y169">
        <f>(AT169*1)</f>
        <v>0.5</v>
      </c>
      <c r="AA169">
        <v>7.0000000000000007E-2</v>
      </c>
      <c r="AB169">
        <v>0</v>
      </c>
      <c r="AC169">
        <v>0</v>
      </c>
      <c r="AD169">
        <v>0</v>
      </c>
      <c r="AE169">
        <v>7.0000000000000007E-2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0.5</v>
      </c>
      <c r="AU169" t="s">
        <v>120</v>
      </c>
      <c r="AV169">
        <v>0</v>
      </c>
      <c r="AW169">
        <v>2</v>
      </c>
      <c r="AX169">
        <v>55934664</v>
      </c>
      <c r="AY169">
        <v>1</v>
      </c>
      <c r="AZ169">
        <v>0</v>
      </c>
      <c r="BA169">
        <v>199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ROUND(Y169*Source!I101,9)</f>
        <v>0.5</v>
      </c>
      <c r="CY169">
        <f>AA169</f>
        <v>7.0000000000000007E-2</v>
      </c>
      <c r="CZ169">
        <f>AE169</f>
        <v>7.0000000000000007E-2</v>
      </c>
      <c r="DA169">
        <f>AI169</f>
        <v>1</v>
      </c>
      <c r="DB169">
        <f>ROUND((ROUND(AT169*CZ169,2)*1),6)</f>
        <v>0.04</v>
      </c>
      <c r="DC169">
        <f>ROUND((ROUND(AT169*AG169,2)*1),6)</f>
        <v>0</v>
      </c>
      <c r="DD169" t="s">
        <v>3</v>
      </c>
      <c r="DE169" t="s">
        <v>3</v>
      </c>
      <c r="DF169">
        <f t="shared" si="61"/>
        <v>0.04</v>
      </c>
      <c r="DG169">
        <f t="shared" si="59"/>
        <v>0</v>
      </c>
      <c r="DH169">
        <f t="shared" si="60"/>
        <v>0</v>
      </c>
      <c r="DI169">
        <f t="shared" si="51"/>
        <v>0</v>
      </c>
      <c r="DJ169">
        <f>DF169</f>
        <v>0.04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ROW(Source!A101)</f>
        <v>101</v>
      </c>
      <c r="B170">
        <v>55934355</v>
      </c>
      <c r="C170">
        <v>55934655</v>
      </c>
      <c r="D170">
        <v>55482203</v>
      </c>
      <c r="E170">
        <v>1</v>
      </c>
      <c r="F170">
        <v>1</v>
      </c>
      <c r="G170">
        <v>1081</v>
      </c>
      <c r="H170">
        <v>3</v>
      </c>
      <c r="I170" t="s">
        <v>243</v>
      </c>
      <c r="J170" t="s">
        <v>244</v>
      </c>
      <c r="K170" t="s">
        <v>245</v>
      </c>
      <c r="L170">
        <v>1356</v>
      </c>
      <c r="N170">
        <v>1010</v>
      </c>
      <c r="O170" t="s">
        <v>246</v>
      </c>
      <c r="P170" t="s">
        <v>246</v>
      </c>
      <c r="Q170">
        <v>1000</v>
      </c>
      <c r="W170">
        <v>0</v>
      </c>
      <c r="X170">
        <v>474149623</v>
      </c>
      <c r="Y170">
        <f>(AT170*1)</f>
        <v>2E-3</v>
      </c>
      <c r="AA170">
        <v>226.66</v>
      </c>
      <c r="AB170">
        <v>0</v>
      </c>
      <c r="AC170">
        <v>0</v>
      </c>
      <c r="AD170">
        <v>0</v>
      </c>
      <c r="AE170">
        <v>226.66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2E-3</v>
      </c>
      <c r="AU170" t="s">
        <v>120</v>
      </c>
      <c r="AV170">
        <v>0</v>
      </c>
      <c r="AW170">
        <v>2</v>
      </c>
      <c r="AX170">
        <v>55934665</v>
      </c>
      <c r="AY170">
        <v>1</v>
      </c>
      <c r="AZ170">
        <v>0</v>
      </c>
      <c r="BA170">
        <v>200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ROUND(Y170*Source!I101,9)</f>
        <v>2E-3</v>
      </c>
      <c r="CY170">
        <f>AA170</f>
        <v>226.66</v>
      </c>
      <c r="CZ170">
        <f>AE170</f>
        <v>226.66</v>
      </c>
      <c r="DA170">
        <f>AI170</f>
        <v>1</v>
      </c>
      <c r="DB170">
        <f>ROUND((ROUND(AT170*CZ170,2)*1),6)</f>
        <v>0.45</v>
      </c>
      <c r="DC170">
        <f>ROUND((ROUND(AT170*AG170,2)*1),6)</f>
        <v>0</v>
      </c>
      <c r="DD170" t="s">
        <v>3</v>
      </c>
      <c r="DE170" t="s">
        <v>3</v>
      </c>
      <c r="DF170">
        <f t="shared" si="61"/>
        <v>0.45</v>
      </c>
      <c r="DG170">
        <f t="shared" si="59"/>
        <v>0</v>
      </c>
      <c r="DH170">
        <f t="shared" si="60"/>
        <v>0</v>
      </c>
      <c r="DI170">
        <f t="shared" si="51"/>
        <v>0</v>
      </c>
      <c r="DJ170">
        <f>DF170</f>
        <v>0.45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ROW(Source!A101)</f>
        <v>101</v>
      </c>
      <c r="B171">
        <v>55934355</v>
      </c>
      <c r="C171">
        <v>55934655</v>
      </c>
      <c r="D171">
        <v>55424290</v>
      </c>
      <c r="E171">
        <v>1081</v>
      </c>
      <c r="F171">
        <v>1</v>
      </c>
      <c r="G171">
        <v>1081</v>
      </c>
      <c r="H171">
        <v>3</v>
      </c>
      <c r="I171" t="s">
        <v>247</v>
      </c>
      <c r="J171" t="s">
        <v>3</v>
      </c>
      <c r="K171" t="s">
        <v>248</v>
      </c>
      <c r="L171">
        <v>1348</v>
      </c>
      <c r="N171">
        <v>1009</v>
      </c>
      <c r="O171" t="s">
        <v>232</v>
      </c>
      <c r="P171" t="s">
        <v>232</v>
      </c>
      <c r="Q171">
        <v>1000</v>
      </c>
      <c r="W171">
        <v>0</v>
      </c>
      <c r="X171">
        <v>-783086922</v>
      </c>
      <c r="Y171">
        <f>(AT171*1)</f>
        <v>3.4000000000000002E-2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3.4000000000000002E-2</v>
      </c>
      <c r="AU171" t="s">
        <v>120</v>
      </c>
      <c r="AV171">
        <v>0</v>
      </c>
      <c r="AW171">
        <v>2</v>
      </c>
      <c r="AX171">
        <v>55934668</v>
      </c>
      <c r="AY171">
        <v>1</v>
      </c>
      <c r="AZ171">
        <v>0</v>
      </c>
      <c r="BA171">
        <v>203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ROUND(Y171*Source!I101,9)</f>
        <v>3.4000000000000002E-2</v>
      </c>
      <c r="CY171">
        <f>AA171</f>
        <v>0</v>
      </c>
      <c r="CZ171">
        <f>AE171</f>
        <v>0</v>
      </c>
      <c r="DA171">
        <f>AI171</f>
        <v>1</v>
      </c>
      <c r="DB171">
        <f>ROUND((ROUND(AT171*CZ171,2)*1),6)</f>
        <v>0</v>
      </c>
      <c r="DC171">
        <f>ROUND((ROUND(AT171*AG171,2)*1),6)</f>
        <v>0</v>
      </c>
      <c r="DD171" t="s">
        <v>3</v>
      </c>
      <c r="DE171" t="s">
        <v>3</v>
      </c>
      <c r="DF171">
        <f t="shared" si="61"/>
        <v>0</v>
      </c>
      <c r="DG171">
        <f t="shared" si="59"/>
        <v>0</v>
      </c>
      <c r="DH171">
        <f t="shared" si="60"/>
        <v>0</v>
      </c>
      <c r="DI171">
        <f t="shared" si="51"/>
        <v>0</v>
      </c>
      <c r="DJ171">
        <f>DF171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ROW(Source!A102)</f>
        <v>102</v>
      </c>
      <c r="B172">
        <v>55934357</v>
      </c>
      <c r="C172">
        <v>55934655</v>
      </c>
      <c r="D172">
        <v>55424304</v>
      </c>
      <c r="E172">
        <v>1081</v>
      </c>
      <c r="F172">
        <v>1</v>
      </c>
      <c r="G172">
        <v>1081</v>
      </c>
      <c r="H172">
        <v>1</v>
      </c>
      <c r="I172" t="s">
        <v>221</v>
      </c>
      <c r="J172" t="s">
        <v>3</v>
      </c>
      <c r="K172" t="s">
        <v>222</v>
      </c>
      <c r="L172">
        <v>1191</v>
      </c>
      <c r="N172">
        <v>1013</v>
      </c>
      <c r="O172" t="s">
        <v>223</v>
      </c>
      <c r="P172" t="s">
        <v>223</v>
      </c>
      <c r="Q172">
        <v>1</v>
      </c>
      <c r="W172">
        <v>0</v>
      </c>
      <c r="X172">
        <v>476480486</v>
      </c>
      <c r="Y172">
        <f>(AT172*1.2)</f>
        <v>9.6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5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8</v>
      </c>
      <c r="AU172" t="s">
        <v>121</v>
      </c>
      <c r="AV172">
        <v>1</v>
      </c>
      <c r="AW172">
        <v>2</v>
      </c>
      <c r="AX172">
        <v>55934662</v>
      </c>
      <c r="AY172">
        <v>1</v>
      </c>
      <c r="AZ172">
        <v>0</v>
      </c>
      <c r="BA172">
        <v>204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U172">
        <f>ROUND(AT172*Source!I102*AH172*AL172,2)</f>
        <v>0</v>
      </c>
      <c r="CV172">
        <f>ROUND(Y172*Source!I102,9)</f>
        <v>9.6</v>
      </c>
      <c r="CW172">
        <v>0</v>
      </c>
      <c r="CX172">
        <f>ROUND(Y172*Source!I102,9)</f>
        <v>9.6</v>
      </c>
      <c r="CY172">
        <f>AD172</f>
        <v>0</v>
      </c>
      <c r="CZ172">
        <f>AH172</f>
        <v>0</v>
      </c>
      <c r="DA172">
        <f>AL172</f>
        <v>1</v>
      </c>
      <c r="DB172">
        <f>ROUND((ROUND(AT172*CZ172,2)*1.2),6)</f>
        <v>0</v>
      </c>
      <c r="DC172">
        <f>ROUND((ROUND(AT172*AG172,2)*1.2),6)</f>
        <v>0</v>
      </c>
      <c r="DD172" t="s">
        <v>3</v>
      </c>
      <c r="DE172" t="s">
        <v>3</v>
      </c>
      <c r="DF172">
        <f t="shared" si="61"/>
        <v>0</v>
      </c>
      <c r="DG172">
        <f t="shared" si="59"/>
        <v>0</v>
      </c>
      <c r="DH172">
        <f t="shared" si="60"/>
        <v>0</v>
      </c>
      <c r="DI172">
        <f t="shared" si="51"/>
        <v>0</v>
      </c>
      <c r="DJ172">
        <f>DI172</f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ROW(Source!A102)</f>
        <v>102</v>
      </c>
      <c r="B173">
        <v>55934357</v>
      </c>
      <c r="C173">
        <v>55934655</v>
      </c>
      <c r="D173">
        <v>55459792</v>
      </c>
      <c r="E173">
        <v>1</v>
      </c>
      <c r="F173">
        <v>1</v>
      </c>
      <c r="G173">
        <v>1081</v>
      </c>
      <c r="H173">
        <v>3</v>
      </c>
      <c r="I173" t="s">
        <v>236</v>
      </c>
      <c r="J173" t="s">
        <v>237</v>
      </c>
      <c r="K173" t="s">
        <v>238</v>
      </c>
      <c r="L173">
        <v>1348</v>
      </c>
      <c r="N173">
        <v>1009</v>
      </c>
      <c r="O173" t="s">
        <v>232</v>
      </c>
      <c r="P173" t="s">
        <v>232</v>
      </c>
      <c r="Q173">
        <v>1000</v>
      </c>
      <c r="W173">
        <v>0</v>
      </c>
      <c r="X173">
        <v>114569696</v>
      </c>
      <c r="Y173">
        <f>(AT173*1)</f>
        <v>1.0000000000000001E-5</v>
      </c>
      <c r="AA173">
        <v>1497188.16</v>
      </c>
      <c r="AB173">
        <v>0</v>
      </c>
      <c r="AC173">
        <v>0</v>
      </c>
      <c r="AD173">
        <v>0</v>
      </c>
      <c r="AE173">
        <v>60960.43</v>
      </c>
      <c r="AF173">
        <v>0</v>
      </c>
      <c r="AG173">
        <v>0</v>
      </c>
      <c r="AH173">
        <v>0</v>
      </c>
      <c r="AI173">
        <v>24.56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1.0000000000000001E-5</v>
      </c>
      <c r="AU173" t="s">
        <v>120</v>
      </c>
      <c r="AV173">
        <v>0</v>
      </c>
      <c r="AW173">
        <v>2</v>
      </c>
      <c r="AX173">
        <v>55934663</v>
      </c>
      <c r="AY173">
        <v>1</v>
      </c>
      <c r="AZ173">
        <v>0</v>
      </c>
      <c r="BA173">
        <v>205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ROUND(Y173*Source!I102,9)</f>
        <v>1.0000000000000001E-5</v>
      </c>
      <c r="CY173">
        <f>AA173</f>
        <v>1497188.16</v>
      </c>
      <c r="CZ173">
        <f>AE173</f>
        <v>60960.43</v>
      </c>
      <c r="DA173">
        <f>AI173</f>
        <v>24.56</v>
      </c>
      <c r="DB173">
        <f>ROUND((ROUND(AT173*CZ173,2)*1),6)</f>
        <v>0.61</v>
      </c>
      <c r="DC173">
        <f>ROUND((ROUND(AT173*AG173,2)*1),6)</f>
        <v>0</v>
      </c>
      <c r="DD173" t="s">
        <v>3</v>
      </c>
      <c r="DE173" t="s">
        <v>3</v>
      </c>
      <c r="DF173">
        <f>ROUND(ROUND(AE173*AI173,2)*CX173,2)</f>
        <v>14.97</v>
      </c>
      <c r="DG173">
        <f t="shared" si="59"/>
        <v>0</v>
      </c>
      <c r="DH173">
        <f t="shared" si="60"/>
        <v>0</v>
      </c>
      <c r="DI173">
        <f t="shared" si="51"/>
        <v>0</v>
      </c>
      <c r="DJ173">
        <f>DF173</f>
        <v>14.97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ROW(Source!A102)</f>
        <v>102</v>
      </c>
      <c r="B174">
        <v>55934357</v>
      </c>
      <c r="C174">
        <v>55934655</v>
      </c>
      <c r="D174">
        <v>55466338</v>
      </c>
      <c r="E174">
        <v>1</v>
      </c>
      <c r="F174">
        <v>1</v>
      </c>
      <c r="G174">
        <v>1081</v>
      </c>
      <c r="H174">
        <v>3</v>
      </c>
      <c r="I174" t="s">
        <v>239</v>
      </c>
      <c r="J174" t="s">
        <v>240</v>
      </c>
      <c r="K174" t="s">
        <v>241</v>
      </c>
      <c r="L174">
        <v>1349</v>
      </c>
      <c r="N174">
        <v>1009</v>
      </c>
      <c r="O174" t="s">
        <v>242</v>
      </c>
      <c r="P174" t="s">
        <v>242</v>
      </c>
      <c r="Q174">
        <v>1E-3</v>
      </c>
      <c r="W174">
        <v>0</v>
      </c>
      <c r="X174">
        <v>-667754050</v>
      </c>
      <c r="Y174">
        <f>(AT174*1)</f>
        <v>0.5</v>
      </c>
      <c r="AA174">
        <v>0.44</v>
      </c>
      <c r="AB174">
        <v>0</v>
      </c>
      <c r="AC174">
        <v>0</v>
      </c>
      <c r="AD174">
        <v>0</v>
      </c>
      <c r="AE174">
        <v>7.0000000000000007E-2</v>
      </c>
      <c r="AF174">
        <v>0</v>
      </c>
      <c r="AG174">
        <v>0</v>
      </c>
      <c r="AH174">
        <v>0</v>
      </c>
      <c r="AI174">
        <v>6.29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0.5</v>
      </c>
      <c r="AU174" t="s">
        <v>120</v>
      </c>
      <c r="AV174">
        <v>0</v>
      </c>
      <c r="AW174">
        <v>2</v>
      </c>
      <c r="AX174">
        <v>55934664</v>
      </c>
      <c r="AY174">
        <v>1</v>
      </c>
      <c r="AZ174">
        <v>0</v>
      </c>
      <c r="BA174">
        <v>206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ROUND(Y174*Source!I102,9)</f>
        <v>0.5</v>
      </c>
      <c r="CY174">
        <f>AA174</f>
        <v>0.44</v>
      </c>
      <c r="CZ174">
        <f>AE174</f>
        <v>7.0000000000000007E-2</v>
      </c>
      <c r="DA174">
        <f>AI174</f>
        <v>6.29</v>
      </c>
      <c r="DB174">
        <f>ROUND((ROUND(AT174*CZ174,2)*1),6)</f>
        <v>0.04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0.22</v>
      </c>
      <c r="DG174">
        <f t="shared" si="59"/>
        <v>0</v>
      </c>
      <c r="DH174">
        <f t="shared" si="60"/>
        <v>0</v>
      </c>
      <c r="DI174">
        <f t="shared" si="51"/>
        <v>0</v>
      </c>
      <c r="DJ174">
        <f>DF174</f>
        <v>0.22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ROW(Source!A102)</f>
        <v>102</v>
      </c>
      <c r="B175">
        <v>55934357</v>
      </c>
      <c r="C175">
        <v>55934655</v>
      </c>
      <c r="D175">
        <v>55482203</v>
      </c>
      <c r="E175">
        <v>1</v>
      </c>
      <c r="F175">
        <v>1</v>
      </c>
      <c r="G175">
        <v>1081</v>
      </c>
      <c r="H175">
        <v>3</v>
      </c>
      <c r="I175" t="s">
        <v>243</v>
      </c>
      <c r="J175" t="s">
        <v>244</v>
      </c>
      <c r="K175" t="s">
        <v>245</v>
      </c>
      <c r="L175">
        <v>1356</v>
      </c>
      <c r="N175">
        <v>1010</v>
      </c>
      <c r="O175" t="s">
        <v>246</v>
      </c>
      <c r="P175" t="s">
        <v>246</v>
      </c>
      <c r="Q175">
        <v>1000</v>
      </c>
      <c r="W175">
        <v>0</v>
      </c>
      <c r="X175">
        <v>474149623</v>
      </c>
      <c r="Y175">
        <f>(AT175*1)</f>
        <v>2E-3</v>
      </c>
      <c r="AA175">
        <v>1527.69</v>
      </c>
      <c r="AB175">
        <v>0</v>
      </c>
      <c r="AC175">
        <v>0</v>
      </c>
      <c r="AD175">
        <v>0</v>
      </c>
      <c r="AE175">
        <v>226.66</v>
      </c>
      <c r="AF175">
        <v>0</v>
      </c>
      <c r="AG175">
        <v>0</v>
      </c>
      <c r="AH175">
        <v>0</v>
      </c>
      <c r="AI175">
        <v>6.74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2E-3</v>
      </c>
      <c r="AU175" t="s">
        <v>120</v>
      </c>
      <c r="AV175">
        <v>0</v>
      </c>
      <c r="AW175">
        <v>2</v>
      </c>
      <c r="AX175">
        <v>55934665</v>
      </c>
      <c r="AY175">
        <v>1</v>
      </c>
      <c r="AZ175">
        <v>0</v>
      </c>
      <c r="BA175">
        <v>207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ROUND(Y175*Source!I102,9)</f>
        <v>2E-3</v>
      </c>
      <c r="CY175">
        <f>AA175</f>
        <v>1527.69</v>
      </c>
      <c r="CZ175">
        <f>AE175</f>
        <v>226.66</v>
      </c>
      <c r="DA175">
        <f>AI175</f>
        <v>6.74</v>
      </c>
      <c r="DB175">
        <f>ROUND((ROUND(AT175*CZ175,2)*1),6)</f>
        <v>0.45</v>
      </c>
      <c r="DC175">
        <f>ROUND((ROUND(AT175*AG175,2)*1),6)</f>
        <v>0</v>
      </c>
      <c r="DD175" t="s">
        <v>3</v>
      </c>
      <c r="DE175" t="s">
        <v>3</v>
      </c>
      <c r="DF175">
        <f>ROUND(ROUND(AE175*AI175,2)*CX175,2)</f>
        <v>3.06</v>
      </c>
      <c r="DG175">
        <f t="shared" si="59"/>
        <v>0</v>
      </c>
      <c r="DH175">
        <f t="shared" si="60"/>
        <v>0</v>
      </c>
      <c r="DI175">
        <f t="shared" si="51"/>
        <v>0</v>
      </c>
      <c r="DJ175">
        <f>DF175</f>
        <v>3.06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ROW(Source!A102)</f>
        <v>102</v>
      </c>
      <c r="B176">
        <v>55934357</v>
      </c>
      <c r="C176">
        <v>55934655</v>
      </c>
      <c r="D176">
        <v>55424290</v>
      </c>
      <c r="E176">
        <v>1081</v>
      </c>
      <c r="F176">
        <v>1</v>
      </c>
      <c r="G176">
        <v>1081</v>
      </c>
      <c r="H176">
        <v>3</v>
      </c>
      <c r="I176" t="s">
        <v>247</v>
      </c>
      <c r="J176" t="s">
        <v>3</v>
      </c>
      <c r="K176" t="s">
        <v>248</v>
      </c>
      <c r="L176">
        <v>1348</v>
      </c>
      <c r="N176">
        <v>1009</v>
      </c>
      <c r="O176" t="s">
        <v>232</v>
      </c>
      <c r="P176" t="s">
        <v>232</v>
      </c>
      <c r="Q176">
        <v>1000</v>
      </c>
      <c r="W176">
        <v>0</v>
      </c>
      <c r="X176">
        <v>-783086922</v>
      </c>
      <c r="Y176">
        <f>(AT176*1)</f>
        <v>3.4000000000000002E-2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9.84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3.4000000000000002E-2</v>
      </c>
      <c r="AU176" t="s">
        <v>120</v>
      </c>
      <c r="AV176">
        <v>0</v>
      </c>
      <c r="AW176">
        <v>2</v>
      </c>
      <c r="AX176">
        <v>55934668</v>
      </c>
      <c r="AY176">
        <v>1</v>
      </c>
      <c r="AZ176">
        <v>0</v>
      </c>
      <c r="BA176">
        <v>210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ROUND(Y176*Source!I102,9)</f>
        <v>3.4000000000000002E-2</v>
      </c>
      <c r="CY176">
        <f>AA176</f>
        <v>0</v>
      </c>
      <c r="CZ176">
        <f>AE176</f>
        <v>0</v>
      </c>
      <c r="DA176">
        <f>AI176</f>
        <v>9.84</v>
      </c>
      <c r="DB176">
        <f>ROUND((ROUND(AT176*CZ176,2)*1),6)</f>
        <v>0</v>
      </c>
      <c r="DC176">
        <f>ROUND((ROUND(AT176*AG176,2)*1),6)</f>
        <v>0</v>
      </c>
      <c r="DD176" t="s">
        <v>3</v>
      </c>
      <c r="DE176" t="s">
        <v>3</v>
      </c>
      <c r="DF176">
        <f>ROUND(ROUND(AE176*AI176,2)*CX176,2)</f>
        <v>0</v>
      </c>
      <c r="DG176">
        <f t="shared" si="59"/>
        <v>0</v>
      </c>
      <c r="DH176">
        <f t="shared" si="60"/>
        <v>0</v>
      </c>
      <c r="DI176">
        <f t="shared" si="51"/>
        <v>0</v>
      </c>
      <c r="DJ176">
        <f>DF176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ROW(Source!A105)</f>
        <v>105</v>
      </c>
      <c r="B177">
        <v>55934355</v>
      </c>
      <c r="C177">
        <v>55934676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221</v>
      </c>
      <c r="J177" t="s">
        <v>3</v>
      </c>
      <c r="K177" t="s">
        <v>222</v>
      </c>
      <c r="L177">
        <v>1191</v>
      </c>
      <c r="N177">
        <v>1013</v>
      </c>
      <c r="O177" t="s">
        <v>223</v>
      </c>
      <c r="P177" t="s">
        <v>223</v>
      </c>
      <c r="Q177">
        <v>1</v>
      </c>
      <c r="W177">
        <v>0</v>
      </c>
      <c r="X177">
        <v>476480486</v>
      </c>
      <c r="Y177">
        <f>(AT177*1.2)</f>
        <v>8.4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7</v>
      </c>
      <c r="AU177" t="s">
        <v>121</v>
      </c>
      <c r="AV177">
        <v>1</v>
      </c>
      <c r="AW177">
        <v>2</v>
      </c>
      <c r="AX177">
        <v>55934677</v>
      </c>
      <c r="AY177">
        <v>1</v>
      </c>
      <c r="AZ177">
        <v>0</v>
      </c>
      <c r="BA177">
        <v>211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ROUND(AT177*Source!I105*AH177*AL177,2)</f>
        <v>0</v>
      </c>
      <c r="CV177">
        <f>ROUND(Y177*Source!I105,9)</f>
        <v>16.8</v>
      </c>
      <c r="CW177">
        <v>0</v>
      </c>
      <c r="CX177">
        <f>ROUND(Y177*Source!I105,9)</f>
        <v>16.8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 t="shared" ref="DF177:DF183" si="62">ROUND(ROUND(AE177,2)*CX177,2)</f>
        <v>0</v>
      </c>
      <c r="DG177">
        <f t="shared" si="59"/>
        <v>0</v>
      </c>
      <c r="DH177">
        <f t="shared" si="60"/>
        <v>0</v>
      </c>
      <c r="DI177">
        <f t="shared" si="51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ROW(Source!A105)</f>
        <v>105</v>
      </c>
      <c r="B178">
        <v>55934355</v>
      </c>
      <c r="C178">
        <v>55934676</v>
      </c>
      <c r="D178">
        <v>55459793</v>
      </c>
      <c r="E178">
        <v>1</v>
      </c>
      <c r="F178">
        <v>1</v>
      </c>
      <c r="G178">
        <v>1081</v>
      </c>
      <c r="H178">
        <v>3</v>
      </c>
      <c r="I178" t="s">
        <v>233</v>
      </c>
      <c r="J178" t="s">
        <v>234</v>
      </c>
      <c r="K178" t="s">
        <v>235</v>
      </c>
      <c r="L178">
        <v>1348</v>
      </c>
      <c r="N178">
        <v>1009</v>
      </c>
      <c r="O178" t="s">
        <v>232</v>
      </c>
      <c r="P178" t="s">
        <v>232</v>
      </c>
      <c r="Q178">
        <v>1000</v>
      </c>
      <c r="W178">
        <v>0</v>
      </c>
      <c r="X178">
        <v>-761454284</v>
      </c>
      <c r="Y178">
        <f>(AT178*1)</f>
        <v>1.2E-5</v>
      </c>
      <c r="AA178">
        <v>64123.05</v>
      </c>
      <c r="AB178">
        <v>0</v>
      </c>
      <c r="AC178">
        <v>0</v>
      </c>
      <c r="AD178">
        <v>0</v>
      </c>
      <c r="AE178">
        <v>64123.05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1.2E-5</v>
      </c>
      <c r="AU178" t="s">
        <v>120</v>
      </c>
      <c r="AV178">
        <v>0</v>
      </c>
      <c r="AW178">
        <v>2</v>
      </c>
      <c r="AX178">
        <v>55934678</v>
      </c>
      <c r="AY178">
        <v>1</v>
      </c>
      <c r="AZ178">
        <v>0</v>
      </c>
      <c r="BA178">
        <v>212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ROUND(Y178*Source!I105,9)</f>
        <v>2.4000000000000001E-5</v>
      </c>
      <c r="CY178">
        <f>AA178</f>
        <v>64123.05</v>
      </c>
      <c r="CZ178">
        <f>AE178</f>
        <v>64123.05</v>
      </c>
      <c r="DA178">
        <f>AI178</f>
        <v>1</v>
      </c>
      <c r="DB178">
        <f>ROUND((ROUND(AT178*CZ178,2)*1),6)</f>
        <v>0.77</v>
      </c>
      <c r="DC178">
        <f>ROUND((ROUND(AT178*AG178,2)*1),6)</f>
        <v>0</v>
      </c>
      <c r="DD178" t="s">
        <v>3</v>
      </c>
      <c r="DE178" t="s">
        <v>3</v>
      </c>
      <c r="DF178">
        <f t="shared" si="62"/>
        <v>1.54</v>
      </c>
      <c r="DG178">
        <f t="shared" si="59"/>
        <v>0</v>
      </c>
      <c r="DH178">
        <f t="shared" si="60"/>
        <v>0</v>
      </c>
      <c r="DI178">
        <f t="shared" si="51"/>
        <v>0</v>
      </c>
      <c r="DJ178">
        <f>DF178</f>
        <v>1.54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ROW(Source!A105)</f>
        <v>105</v>
      </c>
      <c r="B179">
        <v>55934355</v>
      </c>
      <c r="C179">
        <v>55934676</v>
      </c>
      <c r="D179">
        <v>55466338</v>
      </c>
      <c r="E179">
        <v>1</v>
      </c>
      <c r="F179">
        <v>1</v>
      </c>
      <c r="G179">
        <v>1081</v>
      </c>
      <c r="H179">
        <v>3</v>
      </c>
      <c r="I179" t="s">
        <v>239</v>
      </c>
      <c r="J179" t="s">
        <v>240</v>
      </c>
      <c r="K179" t="s">
        <v>241</v>
      </c>
      <c r="L179">
        <v>1349</v>
      </c>
      <c r="N179">
        <v>1009</v>
      </c>
      <c r="O179" t="s">
        <v>242</v>
      </c>
      <c r="P179" t="s">
        <v>242</v>
      </c>
      <c r="Q179">
        <v>1E-3</v>
      </c>
      <c r="W179">
        <v>0</v>
      </c>
      <c r="X179">
        <v>-667754050</v>
      </c>
      <c r="Y179">
        <f>(AT179*1)</f>
        <v>2</v>
      </c>
      <c r="AA179">
        <v>7.0000000000000007E-2</v>
      </c>
      <c r="AB179">
        <v>0</v>
      </c>
      <c r="AC179">
        <v>0</v>
      </c>
      <c r="AD179">
        <v>0</v>
      </c>
      <c r="AE179">
        <v>7.0000000000000007E-2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2</v>
      </c>
      <c r="AU179" t="s">
        <v>120</v>
      </c>
      <c r="AV179">
        <v>0</v>
      </c>
      <c r="AW179">
        <v>2</v>
      </c>
      <c r="AX179">
        <v>55934679</v>
      </c>
      <c r="AY179">
        <v>1</v>
      </c>
      <c r="AZ179">
        <v>0</v>
      </c>
      <c r="BA179">
        <v>213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ROUND(Y179*Source!I105,9)</f>
        <v>4</v>
      </c>
      <c r="CY179">
        <f>AA179</f>
        <v>7.0000000000000007E-2</v>
      </c>
      <c r="CZ179">
        <f>AE179</f>
        <v>7.0000000000000007E-2</v>
      </c>
      <c r="DA179">
        <f>AI179</f>
        <v>1</v>
      </c>
      <c r="DB179">
        <f>ROUND((ROUND(AT179*CZ179,2)*1),6)</f>
        <v>0.14000000000000001</v>
      </c>
      <c r="DC179">
        <f>ROUND((ROUND(AT179*AG179,2)*1),6)</f>
        <v>0</v>
      </c>
      <c r="DD179" t="s">
        <v>3</v>
      </c>
      <c r="DE179" t="s">
        <v>3</v>
      </c>
      <c r="DF179">
        <f t="shared" si="62"/>
        <v>0.28000000000000003</v>
      </c>
      <c r="DG179">
        <f t="shared" si="59"/>
        <v>0</v>
      </c>
      <c r="DH179">
        <f t="shared" si="60"/>
        <v>0</v>
      </c>
      <c r="DI179">
        <f t="shared" si="51"/>
        <v>0</v>
      </c>
      <c r="DJ179">
        <f>DF179</f>
        <v>0.28000000000000003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ROW(Source!A105)</f>
        <v>105</v>
      </c>
      <c r="B180">
        <v>55934355</v>
      </c>
      <c r="C180">
        <v>55934676</v>
      </c>
      <c r="D180">
        <v>55482233</v>
      </c>
      <c r="E180">
        <v>1</v>
      </c>
      <c r="F180">
        <v>1</v>
      </c>
      <c r="G180">
        <v>1081</v>
      </c>
      <c r="H180">
        <v>3</v>
      </c>
      <c r="I180" t="s">
        <v>249</v>
      </c>
      <c r="J180" t="s">
        <v>250</v>
      </c>
      <c r="K180" t="s">
        <v>251</v>
      </c>
      <c r="L180">
        <v>1346</v>
      </c>
      <c r="N180">
        <v>1009</v>
      </c>
      <c r="O180" t="s">
        <v>252</v>
      </c>
      <c r="P180" t="s">
        <v>252</v>
      </c>
      <c r="Q180">
        <v>1</v>
      </c>
      <c r="W180">
        <v>0</v>
      </c>
      <c r="X180">
        <v>1566362712</v>
      </c>
      <c r="Y180">
        <f>(AT180*1)</f>
        <v>6.0000000000000001E-3</v>
      </c>
      <c r="AA180">
        <v>493.08</v>
      </c>
      <c r="AB180">
        <v>0</v>
      </c>
      <c r="AC180">
        <v>0</v>
      </c>
      <c r="AD180">
        <v>0</v>
      </c>
      <c r="AE180">
        <v>493.08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6.0000000000000001E-3</v>
      </c>
      <c r="AU180" t="s">
        <v>120</v>
      </c>
      <c r="AV180">
        <v>0</v>
      </c>
      <c r="AW180">
        <v>2</v>
      </c>
      <c r="AX180">
        <v>55934680</v>
      </c>
      <c r="AY180">
        <v>1</v>
      </c>
      <c r="AZ180">
        <v>0</v>
      </c>
      <c r="BA180">
        <v>214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ROUND(Y180*Source!I105,9)</f>
        <v>1.2E-2</v>
      </c>
      <c r="CY180">
        <f>AA180</f>
        <v>493.08</v>
      </c>
      <c r="CZ180">
        <f>AE180</f>
        <v>493.08</v>
      </c>
      <c r="DA180">
        <f>AI180</f>
        <v>1</v>
      </c>
      <c r="DB180">
        <f>ROUND((ROUND(AT180*CZ180,2)*1),6)</f>
        <v>2.96</v>
      </c>
      <c r="DC180">
        <f>ROUND((ROUND(AT180*AG180,2)*1),6)</f>
        <v>0</v>
      </c>
      <c r="DD180" t="s">
        <v>3</v>
      </c>
      <c r="DE180" t="s">
        <v>3</v>
      </c>
      <c r="DF180">
        <f t="shared" si="62"/>
        <v>5.92</v>
      </c>
      <c r="DG180">
        <f t="shared" si="59"/>
        <v>0</v>
      </c>
      <c r="DH180">
        <f t="shared" si="60"/>
        <v>0</v>
      </c>
      <c r="DI180">
        <f t="shared" si="51"/>
        <v>0</v>
      </c>
      <c r="DJ180">
        <f>DF180</f>
        <v>5.92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ROW(Source!A105)</f>
        <v>105</v>
      </c>
      <c r="B181">
        <v>55934355</v>
      </c>
      <c r="C181">
        <v>55934676</v>
      </c>
      <c r="D181">
        <v>55487942</v>
      </c>
      <c r="E181">
        <v>1</v>
      </c>
      <c r="F181">
        <v>1</v>
      </c>
      <c r="G181">
        <v>1081</v>
      </c>
      <c r="H181">
        <v>3</v>
      </c>
      <c r="I181" t="s">
        <v>253</v>
      </c>
      <c r="J181" t="s">
        <v>254</v>
      </c>
      <c r="K181" t="s">
        <v>255</v>
      </c>
      <c r="L181">
        <v>1303</v>
      </c>
      <c r="N181">
        <v>1003</v>
      </c>
      <c r="O181" t="s">
        <v>256</v>
      </c>
      <c r="P181" t="s">
        <v>256</v>
      </c>
      <c r="Q181">
        <v>1000</v>
      </c>
      <c r="W181">
        <v>0</v>
      </c>
      <c r="X181">
        <v>-1692873835</v>
      </c>
      <c r="Y181">
        <f>(AT181*1)</f>
        <v>0.06</v>
      </c>
      <c r="AA181">
        <v>516.63</v>
      </c>
      <c r="AB181">
        <v>0</v>
      </c>
      <c r="AC181">
        <v>0</v>
      </c>
      <c r="AD181">
        <v>0</v>
      </c>
      <c r="AE181">
        <v>516.63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0.06</v>
      </c>
      <c r="AU181" t="s">
        <v>120</v>
      </c>
      <c r="AV181">
        <v>0</v>
      </c>
      <c r="AW181">
        <v>2</v>
      </c>
      <c r="AX181">
        <v>55934681</v>
      </c>
      <c r="AY181">
        <v>1</v>
      </c>
      <c r="AZ181">
        <v>0</v>
      </c>
      <c r="BA181">
        <v>215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ROUND(Y181*Source!I105,9)</f>
        <v>0.12</v>
      </c>
      <c r="CY181">
        <f>AA181</f>
        <v>516.63</v>
      </c>
      <c r="CZ181">
        <f>AE181</f>
        <v>516.63</v>
      </c>
      <c r="DA181">
        <f>AI181</f>
        <v>1</v>
      </c>
      <c r="DB181">
        <f>ROUND((ROUND(AT181*CZ181,2)*1),6)</f>
        <v>31</v>
      </c>
      <c r="DC181">
        <f>ROUND((ROUND(AT181*AG181,2)*1),6)</f>
        <v>0</v>
      </c>
      <c r="DD181" t="s">
        <v>3</v>
      </c>
      <c r="DE181" t="s">
        <v>3</v>
      </c>
      <c r="DF181">
        <f t="shared" si="62"/>
        <v>62</v>
      </c>
      <c r="DG181">
        <f t="shared" si="59"/>
        <v>0</v>
      </c>
      <c r="DH181">
        <f t="shared" si="60"/>
        <v>0</v>
      </c>
      <c r="DI181">
        <f t="shared" si="51"/>
        <v>0</v>
      </c>
      <c r="DJ181">
        <f>DF181</f>
        <v>62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ROW(Source!A105)</f>
        <v>105</v>
      </c>
      <c r="B182">
        <v>55934355</v>
      </c>
      <c r="C182">
        <v>55934676</v>
      </c>
      <c r="D182">
        <v>0</v>
      </c>
      <c r="E182">
        <v>0</v>
      </c>
      <c r="F182">
        <v>1</v>
      </c>
      <c r="G182">
        <v>1081</v>
      </c>
      <c r="H182">
        <v>3</v>
      </c>
      <c r="I182" t="s">
        <v>312</v>
      </c>
      <c r="J182" t="s">
        <v>312</v>
      </c>
      <c r="K182" t="s">
        <v>166</v>
      </c>
      <c r="L182">
        <v>1371</v>
      </c>
      <c r="N182">
        <v>1013</v>
      </c>
      <c r="O182" t="s">
        <v>126</v>
      </c>
      <c r="P182" t="s">
        <v>126</v>
      </c>
      <c r="Q182">
        <v>1</v>
      </c>
      <c r="W182">
        <v>0</v>
      </c>
      <c r="X182">
        <v>-846292659</v>
      </c>
      <c r="Y182">
        <f>(AT182*1)</f>
        <v>1</v>
      </c>
      <c r="AA182">
        <v>3566.56</v>
      </c>
      <c r="AB182">
        <v>0</v>
      </c>
      <c r="AC182">
        <v>0</v>
      </c>
      <c r="AD182">
        <v>0</v>
      </c>
      <c r="AE182">
        <v>3566.56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1</v>
      </c>
      <c r="AU182" t="s">
        <v>120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ROUND(Y182*Source!I105,9)</f>
        <v>2</v>
      </c>
      <c r="CY182">
        <f>AA182</f>
        <v>3566.56</v>
      </c>
      <c r="CZ182">
        <f>AE182</f>
        <v>3566.56</v>
      </c>
      <c r="DA182">
        <f>AI182</f>
        <v>1</v>
      </c>
      <c r="DB182">
        <f>ROUND((ROUND(AT182*CZ182,2)*1),6)</f>
        <v>3566.56</v>
      </c>
      <c r="DC182">
        <f>ROUND((ROUND(AT182*AG182,2)*1),6)</f>
        <v>0</v>
      </c>
      <c r="DD182" t="s">
        <v>3</v>
      </c>
      <c r="DE182" t="s">
        <v>3</v>
      </c>
      <c r="DF182">
        <f t="shared" si="62"/>
        <v>7133.12</v>
      </c>
      <c r="DG182">
        <f t="shared" si="59"/>
        <v>0</v>
      </c>
      <c r="DH182">
        <f t="shared" si="60"/>
        <v>0</v>
      </c>
      <c r="DI182">
        <f t="shared" si="51"/>
        <v>0</v>
      </c>
      <c r="DJ182">
        <f>DF182</f>
        <v>7133.12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ROW(Source!A106)</f>
        <v>106</v>
      </c>
      <c r="B183">
        <v>55934357</v>
      </c>
      <c r="C183">
        <v>55934676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221</v>
      </c>
      <c r="J183" t="s">
        <v>3</v>
      </c>
      <c r="K183" t="s">
        <v>222</v>
      </c>
      <c r="L183">
        <v>1191</v>
      </c>
      <c r="N183">
        <v>1013</v>
      </c>
      <c r="O183" t="s">
        <v>223</v>
      </c>
      <c r="P183" t="s">
        <v>223</v>
      </c>
      <c r="Q183">
        <v>1</v>
      </c>
      <c r="W183">
        <v>0</v>
      </c>
      <c r="X183">
        <v>476480486</v>
      </c>
      <c r="Y183">
        <f>(AT183*1.2)</f>
        <v>8.4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7</v>
      </c>
      <c r="AU183" t="s">
        <v>121</v>
      </c>
      <c r="AV183">
        <v>1</v>
      </c>
      <c r="AW183">
        <v>2</v>
      </c>
      <c r="AX183">
        <v>55934677</v>
      </c>
      <c r="AY183">
        <v>1</v>
      </c>
      <c r="AZ183">
        <v>0</v>
      </c>
      <c r="BA183">
        <v>218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ROUND(AT183*Source!I106*AH183*AL183,2)</f>
        <v>0</v>
      </c>
      <c r="CV183">
        <f>ROUND(Y183*Source!I106,9)</f>
        <v>16.8</v>
      </c>
      <c r="CW183">
        <v>0</v>
      </c>
      <c r="CX183">
        <f>ROUND(Y183*Source!I106,9)</f>
        <v>16.8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62"/>
        <v>0</v>
      </c>
      <c r="DG183">
        <f t="shared" si="59"/>
        <v>0</v>
      </c>
      <c r="DH183">
        <f t="shared" si="60"/>
        <v>0</v>
      </c>
      <c r="DI183">
        <f t="shared" si="51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ROW(Source!A106)</f>
        <v>106</v>
      </c>
      <c r="B184">
        <v>55934357</v>
      </c>
      <c r="C184">
        <v>55934676</v>
      </c>
      <c r="D184">
        <v>55459793</v>
      </c>
      <c r="E184">
        <v>1</v>
      </c>
      <c r="F184">
        <v>1</v>
      </c>
      <c r="G184">
        <v>1081</v>
      </c>
      <c r="H184">
        <v>3</v>
      </c>
      <c r="I184" t="s">
        <v>233</v>
      </c>
      <c r="J184" t="s">
        <v>234</v>
      </c>
      <c r="K184" t="s">
        <v>235</v>
      </c>
      <c r="L184">
        <v>1348</v>
      </c>
      <c r="N184">
        <v>1009</v>
      </c>
      <c r="O184" t="s">
        <v>232</v>
      </c>
      <c r="P184" t="s">
        <v>232</v>
      </c>
      <c r="Q184">
        <v>1000</v>
      </c>
      <c r="W184">
        <v>0</v>
      </c>
      <c r="X184">
        <v>-761454284</v>
      </c>
      <c r="Y184">
        <f>(AT184*1)</f>
        <v>1.2E-5</v>
      </c>
      <c r="AA184">
        <v>1930745.04</v>
      </c>
      <c r="AB184">
        <v>0</v>
      </c>
      <c r="AC184">
        <v>0</v>
      </c>
      <c r="AD184">
        <v>0</v>
      </c>
      <c r="AE184">
        <v>64123.05</v>
      </c>
      <c r="AF184">
        <v>0</v>
      </c>
      <c r="AG184">
        <v>0</v>
      </c>
      <c r="AH184">
        <v>0</v>
      </c>
      <c r="AI184">
        <v>30.11</v>
      </c>
      <c r="AJ184">
        <v>1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1.2E-5</v>
      </c>
      <c r="AU184" t="s">
        <v>120</v>
      </c>
      <c r="AV184">
        <v>0</v>
      </c>
      <c r="AW184">
        <v>2</v>
      </c>
      <c r="AX184">
        <v>55934678</v>
      </c>
      <c r="AY184">
        <v>1</v>
      </c>
      <c r="AZ184">
        <v>0</v>
      </c>
      <c r="BA184">
        <v>219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ROUND(Y184*Source!I106,9)</f>
        <v>2.4000000000000001E-5</v>
      </c>
      <c r="CY184">
        <f>AA184</f>
        <v>1930745.04</v>
      </c>
      <c r="CZ184">
        <f>AE184</f>
        <v>64123.05</v>
      </c>
      <c r="DA184">
        <f>AI184</f>
        <v>30.11</v>
      </c>
      <c r="DB184">
        <f>ROUND((ROUND(AT184*CZ184,2)*1),6)</f>
        <v>0.77</v>
      </c>
      <c r="DC184">
        <f>ROUND((ROUND(AT184*AG184,2)*1),6)</f>
        <v>0</v>
      </c>
      <c r="DD184" t="s">
        <v>3</v>
      </c>
      <c r="DE184" t="s">
        <v>3</v>
      </c>
      <c r="DF184">
        <f>ROUND(ROUND(AE184*AI184,2)*CX184,2)</f>
        <v>46.34</v>
      </c>
      <c r="DG184">
        <f t="shared" si="59"/>
        <v>0</v>
      </c>
      <c r="DH184">
        <f t="shared" si="60"/>
        <v>0</v>
      </c>
      <c r="DI184">
        <f t="shared" si="51"/>
        <v>0</v>
      </c>
      <c r="DJ184">
        <f>DF184</f>
        <v>46.34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ROW(Source!A106)</f>
        <v>106</v>
      </c>
      <c r="B185">
        <v>55934357</v>
      </c>
      <c r="C185">
        <v>55934676</v>
      </c>
      <c r="D185">
        <v>55466338</v>
      </c>
      <c r="E185">
        <v>1</v>
      </c>
      <c r="F185">
        <v>1</v>
      </c>
      <c r="G185">
        <v>1081</v>
      </c>
      <c r="H185">
        <v>3</v>
      </c>
      <c r="I185" t="s">
        <v>239</v>
      </c>
      <c r="J185" t="s">
        <v>240</v>
      </c>
      <c r="K185" t="s">
        <v>241</v>
      </c>
      <c r="L185">
        <v>1349</v>
      </c>
      <c r="N185">
        <v>1009</v>
      </c>
      <c r="O185" t="s">
        <v>242</v>
      </c>
      <c r="P185" t="s">
        <v>242</v>
      </c>
      <c r="Q185">
        <v>1E-3</v>
      </c>
      <c r="W185">
        <v>0</v>
      </c>
      <c r="X185">
        <v>-667754050</v>
      </c>
      <c r="Y185">
        <f>(AT185*1)</f>
        <v>2</v>
      </c>
      <c r="AA185">
        <v>0.44</v>
      </c>
      <c r="AB185">
        <v>0</v>
      </c>
      <c r="AC185">
        <v>0</v>
      </c>
      <c r="AD185">
        <v>0</v>
      </c>
      <c r="AE185">
        <v>7.0000000000000007E-2</v>
      </c>
      <c r="AF185">
        <v>0</v>
      </c>
      <c r="AG185">
        <v>0</v>
      </c>
      <c r="AH185">
        <v>0</v>
      </c>
      <c r="AI185">
        <v>6.29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2</v>
      </c>
      <c r="AU185" t="s">
        <v>120</v>
      </c>
      <c r="AV185">
        <v>0</v>
      </c>
      <c r="AW185">
        <v>2</v>
      </c>
      <c r="AX185">
        <v>55934679</v>
      </c>
      <c r="AY185">
        <v>1</v>
      </c>
      <c r="AZ185">
        <v>0</v>
      </c>
      <c r="BA185">
        <v>220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ROUND(Y185*Source!I106,9)</f>
        <v>4</v>
      </c>
      <c r="CY185">
        <f>AA185</f>
        <v>0.44</v>
      </c>
      <c r="CZ185">
        <f>AE185</f>
        <v>7.0000000000000007E-2</v>
      </c>
      <c r="DA185">
        <f>AI185</f>
        <v>6.29</v>
      </c>
      <c r="DB185">
        <f>ROUND((ROUND(AT185*CZ185,2)*1),6)</f>
        <v>0.14000000000000001</v>
      </c>
      <c r="DC185">
        <f>ROUND((ROUND(AT185*AG185,2)*1),6)</f>
        <v>0</v>
      </c>
      <c r="DD185" t="s">
        <v>3</v>
      </c>
      <c r="DE185" t="s">
        <v>3</v>
      </c>
      <c r="DF185">
        <f>ROUND(ROUND(AE185*AI185,2)*CX185,2)</f>
        <v>1.76</v>
      </c>
      <c r="DG185">
        <f t="shared" si="59"/>
        <v>0</v>
      </c>
      <c r="DH185">
        <f t="shared" si="60"/>
        <v>0</v>
      </c>
      <c r="DI185">
        <f t="shared" si="51"/>
        <v>0</v>
      </c>
      <c r="DJ185">
        <f>DF185</f>
        <v>1.76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ROW(Source!A106)</f>
        <v>106</v>
      </c>
      <c r="B186">
        <v>55934357</v>
      </c>
      <c r="C186">
        <v>55934676</v>
      </c>
      <c r="D186">
        <v>55482233</v>
      </c>
      <c r="E186">
        <v>1</v>
      </c>
      <c r="F186">
        <v>1</v>
      </c>
      <c r="G186">
        <v>1081</v>
      </c>
      <c r="H186">
        <v>3</v>
      </c>
      <c r="I186" t="s">
        <v>249</v>
      </c>
      <c r="J186" t="s">
        <v>250</v>
      </c>
      <c r="K186" t="s">
        <v>251</v>
      </c>
      <c r="L186">
        <v>1346</v>
      </c>
      <c r="N186">
        <v>1009</v>
      </c>
      <c r="O186" t="s">
        <v>252</v>
      </c>
      <c r="P186" t="s">
        <v>252</v>
      </c>
      <c r="Q186">
        <v>1</v>
      </c>
      <c r="W186">
        <v>0</v>
      </c>
      <c r="X186">
        <v>1566362712</v>
      </c>
      <c r="Y186">
        <f>(AT186*1)</f>
        <v>6.0000000000000001E-3</v>
      </c>
      <c r="AA186">
        <v>3047.23</v>
      </c>
      <c r="AB186">
        <v>0</v>
      </c>
      <c r="AC186">
        <v>0</v>
      </c>
      <c r="AD186">
        <v>0</v>
      </c>
      <c r="AE186">
        <v>493.08</v>
      </c>
      <c r="AF186">
        <v>0</v>
      </c>
      <c r="AG186">
        <v>0</v>
      </c>
      <c r="AH186">
        <v>0</v>
      </c>
      <c r="AI186">
        <v>6.18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6.0000000000000001E-3</v>
      </c>
      <c r="AU186" t="s">
        <v>120</v>
      </c>
      <c r="AV186">
        <v>0</v>
      </c>
      <c r="AW186">
        <v>2</v>
      </c>
      <c r="AX186">
        <v>55934680</v>
      </c>
      <c r="AY186">
        <v>1</v>
      </c>
      <c r="AZ186">
        <v>0</v>
      </c>
      <c r="BA186">
        <v>221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ROUND(Y186*Source!I106,9)</f>
        <v>1.2E-2</v>
      </c>
      <c r="CY186">
        <f>AA186</f>
        <v>3047.23</v>
      </c>
      <c r="CZ186">
        <f>AE186</f>
        <v>493.08</v>
      </c>
      <c r="DA186">
        <f>AI186</f>
        <v>6.18</v>
      </c>
      <c r="DB186">
        <f>ROUND((ROUND(AT186*CZ186,2)*1),6)</f>
        <v>2.96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36.57</v>
      </c>
      <c r="DG186">
        <f t="shared" si="59"/>
        <v>0</v>
      </c>
      <c r="DH186">
        <f t="shared" si="60"/>
        <v>0</v>
      </c>
      <c r="DI186">
        <f t="shared" si="51"/>
        <v>0</v>
      </c>
      <c r="DJ186">
        <f>DF186</f>
        <v>36.57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ROW(Source!A106)</f>
        <v>106</v>
      </c>
      <c r="B187">
        <v>55934357</v>
      </c>
      <c r="C187">
        <v>55934676</v>
      </c>
      <c r="D187">
        <v>55487942</v>
      </c>
      <c r="E187">
        <v>1</v>
      </c>
      <c r="F187">
        <v>1</v>
      </c>
      <c r="G187">
        <v>1081</v>
      </c>
      <c r="H187">
        <v>3</v>
      </c>
      <c r="I187" t="s">
        <v>253</v>
      </c>
      <c r="J187" t="s">
        <v>254</v>
      </c>
      <c r="K187" t="s">
        <v>255</v>
      </c>
      <c r="L187">
        <v>1303</v>
      </c>
      <c r="N187">
        <v>1003</v>
      </c>
      <c r="O187" t="s">
        <v>256</v>
      </c>
      <c r="P187" t="s">
        <v>256</v>
      </c>
      <c r="Q187">
        <v>1000</v>
      </c>
      <c r="W187">
        <v>0</v>
      </c>
      <c r="X187">
        <v>-1692873835</v>
      </c>
      <c r="Y187">
        <f>(AT187*1)</f>
        <v>0.06</v>
      </c>
      <c r="AA187">
        <v>5269.63</v>
      </c>
      <c r="AB187">
        <v>0</v>
      </c>
      <c r="AC187">
        <v>0</v>
      </c>
      <c r="AD187">
        <v>0</v>
      </c>
      <c r="AE187">
        <v>516.63</v>
      </c>
      <c r="AF187">
        <v>0</v>
      </c>
      <c r="AG187">
        <v>0</v>
      </c>
      <c r="AH187">
        <v>0</v>
      </c>
      <c r="AI187">
        <v>10.199999999999999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0.06</v>
      </c>
      <c r="AU187" t="s">
        <v>120</v>
      </c>
      <c r="AV187">
        <v>0</v>
      </c>
      <c r="AW187">
        <v>2</v>
      </c>
      <c r="AX187">
        <v>55934681</v>
      </c>
      <c r="AY187">
        <v>1</v>
      </c>
      <c r="AZ187">
        <v>0</v>
      </c>
      <c r="BA187">
        <v>222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ROUND(Y187*Source!I106,9)</f>
        <v>0.12</v>
      </c>
      <c r="CY187">
        <f>AA187</f>
        <v>5269.63</v>
      </c>
      <c r="CZ187">
        <f>AE187</f>
        <v>516.63</v>
      </c>
      <c r="DA187">
        <f>AI187</f>
        <v>10.199999999999999</v>
      </c>
      <c r="DB187">
        <f>ROUND((ROUND(AT187*CZ187,2)*1),6)</f>
        <v>31</v>
      </c>
      <c r="DC187">
        <f>ROUND((ROUND(AT187*AG187,2)*1),6)</f>
        <v>0</v>
      </c>
      <c r="DD187" t="s">
        <v>3</v>
      </c>
      <c r="DE187" t="s">
        <v>3</v>
      </c>
      <c r="DF187">
        <f>ROUND(ROUND(AE187*AI187,2)*CX187,2)</f>
        <v>632.36</v>
      </c>
      <c r="DG187">
        <f t="shared" si="59"/>
        <v>0</v>
      </c>
      <c r="DH187">
        <f t="shared" si="60"/>
        <v>0</v>
      </c>
      <c r="DI187">
        <f t="shared" si="51"/>
        <v>0</v>
      </c>
      <c r="DJ187">
        <f>DF187</f>
        <v>632.36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ROW(Source!A106)</f>
        <v>106</v>
      </c>
      <c r="B188">
        <v>55934357</v>
      </c>
      <c r="C188">
        <v>55934676</v>
      </c>
      <c r="D188">
        <v>0</v>
      </c>
      <c r="E188">
        <v>0</v>
      </c>
      <c r="F188">
        <v>1</v>
      </c>
      <c r="G188">
        <v>1081</v>
      </c>
      <c r="H188">
        <v>3</v>
      </c>
      <c r="I188" t="s">
        <v>312</v>
      </c>
      <c r="J188" t="s">
        <v>312</v>
      </c>
      <c r="K188" t="s">
        <v>166</v>
      </c>
      <c r="L188">
        <v>1371</v>
      </c>
      <c r="N188">
        <v>1013</v>
      </c>
      <c r="O188" t="s">
        <v>126</v>
      </c>
      <c r="P188" t="s">
        <v>126</v>
      </c>
      <c r="Q188">
        <v>1</v>
      </c>
      <c r="W188">
        <v>0</v>
      </c>
      <c r="X188">
        <v>-846292659</v>
      </c>
      <c r="Y188">
        <f>(AT188*1)</f>
        <v>1</v>
      </c>
      <c r="AA188">
        <v>26998.86</v>
      </c>
      <c r="AB188">
        <v>0</v>
      </c>
      <c r="AC188">
        <v>0</v>
      </c>
      <c r="AD188">
        <v>0</v>
      </c>
      <c r="AE188">
        <v>3566.56</v>
      </c>
      <c r="AF188">
        <v>0</v>
      </c>
      <c r="AG188">
        <v>0</v>
      </c>
      <c r="AH188">
        <v>0</v>
      </c>
      <c r="AI188">
        <v>7.57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1</v>
      </c>
      <c r="AU188" t="s">
        <v>120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ROUND(Y188*Source!I106,9)</f>
        <v>2</v>
      </c>
      <c r="CY188">
        <f>AA188</f>
        <v>26998.86</v>
      </c>
      <c r="CZ188">
        <f>AE188</f>
        <v>3566.56</v>
      </c>
      <c r="DA188">
        <f>AI188</f>
        <v>7.57</v>
      </c>
      <c r="DB188">
        <f>ROUND((ROUND(AT188*CZ188,2)*1),6)</f>
        <v>3566.56</v>
      </c>
      <c r="DC188">
        <f>ROUND((ROUND(AT188*AG188,2)*1),6)</f>
        <v>0</v>
      </c>
      <c r="DD188" t="s">
        <v>3</v>
      </c>
      <c r="DE188" t="s">
        <v>3</v>
      </c>
      <c r="DF188">
        <f>ROUND(ROUND(AE188*AI188,2)*CX188,2)</f>
        <v>53997.72</v>
      </c>
      <c r="DG188">
        <f t="shared" si="59"/>
        <v>0</v>
      </c>
      <c r="DH188">
        <f t="shared" si="60"/>
        <v>0</v>
      </c>
      <c r="DI188">
        <f t="shared" si="51"/>
        <v>0</v>
      </c>
      <c r="DJ188">
        <f>DF188</f>
        <v>53997.72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ROW(Source!A144)</f>
        <v>144</v>
      </c>
      <c r="B189">
        <v>55934355</v>
      </c>
      <c r="C189">
        <v>57036839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221</v>
      </c>
      <c r="J189" t="s">
        <v>3</v>
      </c>
      <c r="K189" t="s">
        <v>222</v>
      </c>
      <c r="L189">
        <v>1191</v>
      </c>
      <c r="N189">
        <v>1013</v>
      </c>
      <c r="O189" t="s">
        <v>223</v>
      </c>
      <c r="P189" t="s">
        <v>223</v>
      </c>
      <c r="Q189">
        <v>1</v>
      </c>
      <c r="W189">
        <v>0</v>
      </c>
      <c r="X189">
        <v>476480486</v>
      </c>
      <c r="Y189">
        <f>(AT189*1.2)</f>
        <v>1.236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1.03</v>
      </c>
      <c r="AU189" t="s">
        <v>121</v>
      </c>
      <c r="AV189">
        <v>1</v>
      </c>
      <c r="AW189">
        <v>2</v>
      </c>
      <c r="AX189">
        <v>57036840</v>
      </c>
      <c r="AY189">
        <v>1</v>
      </c>
      <c r="AZ189">
        <v>0</v>
      </c>
      <c r="BA189">
        <v>225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ROUND(AT189*Source!I144*AH189*AL189,2)</f>
        <v>0</v>
      </c>
      <c r="CV189">
        <f>ROUND(Y189*Source!I144,9)</f>
        <v>1.236</v>
      </c>
      <c r="CW189">
        <v>0</v>
      </c>
      <c r="CX189">
        <f>ROUND(Y189*Source!I144,9)</f>
        <v>1.236</v>
      </c>
      <c r="CY189">
        <f>AD189</f>
        <v>0</v>
      </c>
      <c r="CZ189">
        <f>AH189</f>
        <v>0</v>
      </c>
      <c r="DA189">
        <f>AL189</f>
        <v>1</v>
      </c>
      <c r="DB189">
        <f>ROUND((ROUND(AT189*CZ189,2)*1.2),6)</f>
        <v>0</v>
      </c>
      <c r="DC189">
        <f>ROUND((ROUND(AT189*AG189,2)*1.2),6)</f>
        <v>0</v>
      </c>
      <c r="DD189" t="s">
        <v>3</v>
      </c>
      <c r="DE189" t="s">
        <v>3</v>
      </c>
      <c r="DF189">
        <f t="shared" ref="DF189:DF209" si="63">ROUND(ROUND(AE189,2)*CX189,2)</f>
        <v>0</v>
      </c>
      <c r="DG189">
        <f t="shared" si="59"/>
        <v>0</v>
      </c>
      <c r="DH189">
        <f t="shared" si="60"/>
        <v>0</v>
      </c>
      <c r="DI189">
        <f t="shared" si="51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ROW(Source!A144)</f>
        <v>144</v>
      </c>
      <c r="B190">
        <v>55934355</v>
      </c>
      <c r="C190">
        <v>57036839</v>
      </c>
      <c r="D190">
        <v>55490209</v>
      </c>
      <c r="E190">
        <v>1</v>
      </c>
      <c r="F190">
        <v>1</v>
      </c>
      <c r="G190">
        <v>1081</v>
      </c>
      <c r="H190">
        <v>2</v>
      </c>
      <c r="I190" t="s">
        <v>294</v>
      </c>
      <c r="J190" t="s">
        <v>295</v>
      </c>
      <c r="K190" t="s">
        <v>296</v>
      </c>
      <c r="L190">
        <v>1368</v>
      </c>
      <c r="N190">
        <v>1011</v>
      </c>
      <c r="O190" t="s">
        <v>227</v>
      </c>
      <c r="P190" t="s">
        <v>227</v>
      </c>
      <c r="Q190">
        <v>1</v>
      </c>
      <c r="W190">
        <v>0</v>
      </c>
      <c r="X190">
        <v>874612079</v>
      </c>
      <c r="Y190">
        <f>(AT190*1.2)</f>
        <v>7.1999999999999998E-3</v>
      </c>
      <c r="AA190">
        <v>0</v>
      </c>
      <c r="AB190">
        <v>87.01</v>
      </c>
      <c r="AC190">
        <v>13.21</v>
      </c>
      <c r="AD190">
        <v>0</v>
      </c>
      <c r="AE190">
        <v>0</v>
      </c>
      <c r="AF190">
        <v>83.1</v>
      </c>
      <c r="AG190">
        <v>12.62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6.0000000000000001E-3</v>
      </c>
      <c r="AU190" t="s">
        <v>121</v>
      </c>
      <c r="AV190">
        <v>0</v>
      </c>
      <c r="AW190">
        <v>2</v>
      </c>
      <c r="AX190">
        <v>57036841</v>
      </c>
      <c r="AY190">
        <v>1</v>
      </c>
      <c r="AZ190">
        <v>0</v>
      </c>
      <c r="BA190">
        <v>226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ROUND(Y190*Source!I144*DO190,9)</f>
        <v>9.0864E-2</v>
      </c>
      <c r="CX190">
        <f>ROUND(Y190*Source!I144,9)</f>
        <v>7.1999999999999998E-3</v>
      </c>
      <c r="CY190">
        <f>AB190</f>
        <v>87.01</v>
      </c>
      <c r="CZ190">
        <f>AF190</f>
        <v>83.1</v>
      </c>
      <c r="DA190">
        <f>AJ190</f>
        <v>1</v>
      </c>
      <c r="DB190">
        <f>ROUND((ROUND(AT190*CZ190,2)*1.2),6)</f>
        <v>0.6</v>
      </c>
      <c r="DC190">
        <f>ROUND((ROUND(AT190*AG190,2)*1.2),6)</f>
        <v>9.6000000000000002E-2</v>
      </c>
      <c r="DD190" t="s">
        <v>3</v>
      </c>
      <c r="DE190" t="s">
        <v>3</v>
      </c>
      <c r="DF190">
        <f t="shared" si="63"/>
        <v>0</v>
      </c>
      <c r="DG190">
        <f t="shared" si="59"/>
        <v>0.6</v>
      </c>
      <c r="DH190">
        <f t="shared" si="60"/>
        <v>0.09</v>
      </c>
      <c r="DI190">
        <f t="shared" si="51"/>
        <v>0</v>
      </c>
      <c r="DJ190">
        <f>DG190</f>
        <v>0.6</v>
      </c>
      <c r="DK190">
        <v>0</v>
      </c>
      <c r="DL190" t="s">
        <v>228</v>
      </c>
      <c r="DM190">
        <v>0</v>
      </c>
      <c r="DN190" t="s">
        <v>223</v>
      </c>
      <c r="DO190">
        <v>12.62</v>
      </c>
    </row>
    <row r="191" spans="1:119" x14ac:dyDescent="0.25">
      <c r="A191">
        <f>ROW(Source!A145)</f>
        <v>145</v>
      </c>
      <c r="B191">
        <v>55934357</v>
      </c>
      <c r="C191">
        <v>57036839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221</v>
      </c>
      <c r="J191" t="s">
        <v>3</v>
      </c>
      <c r="K191" t="s">
        <v>222</v>
      </c>
      <c r="L191">
        <v>1191</v>
      </c>
      <c r="N191">
        <v>1013</v>
      </c>
      <c r="O191" t="s">
        <v>223</v>
      </c>
      <c r="P191" t="s">
        <v>223</v>
      </c>
      <c r="Q191">
        <v>1</v>
      </c>
      <c r="W191">
        <v>0</v>
      </c>
      <c r="X191">
        <v>476480486</v>
      </c>
      <c r="Y191">
        <f>(AT191*1.2)</f>
        <v>1.236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5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1.03</v>
      </c>
      <c r="AU191" t="s">
        <v>121</v>
      </c>
      <c r="AV191">
        <v>1</v>
      </c>
      <c r="AW191">
        <v>2</v>
      </c>
      <c r="AX191">
        <v>57036840</v>
      </c>
      <c r="AY191">
        <v>1</v>
      </c>
      <c r="AZ191">
        <v>0</v>
      </c>
      <c r="BA191">
        <v>228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ROUND(AT191*Source!I145*AH191*AL191,2)</f>
        <v>0</v>
      </c>
      <c r="CV191">
        <f>ROUND(Y191*Source!I145,9)</f>
        <v>1.236</v>
      </c>
      <c r="CW191">
        <v>0</v>
      </c>
      <c r="CX191">
        <f>ROUND(Y191*Source!I145,9)</f>
        <v>1.236</v>
      </c>
      <c r="CY191">
        <f>AD191</f>
        <v>0</v>
      </c>
      <c r="CZ191">
        <f>AH191</f>
        <v>0</v>
      </c>
      <c r="DA191">
        <f>AL191</f>
        <v>1</v>
      </c>
      <c r="DB191">
        <f>ROUND((ROUND(AT191*CZ191,2)*1.2),6)</f>
        <v>0</v>
      </c>
      <c r="DC191">
        <f>ROUND((ROUND(AT191*AG191,2)*1.2),6)</f>
        <v>0</v>
      </c>
      <c r="DD191" t="s">
        <v>3</v>
      </c>
      <c r="DE191" t="s">
        <v>3</v>
      </c>
      <c r="DF191">
        <f t="shared" si="63"/>
        <v>0</v>
      </c>
      <c r="DG191">
        <f t="shared" si="59"/>
        <v>0</v>
      </c>
      <c r="DH191">
        <f t="shared" si="60"/>
        <v>0</v>
      </c>
      <c r="DI191">
        <f t="shared" si="51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ROW(Source!A145)</f>
        <v>145</v>
      </c>
      <c r="B192">
        <v>55934357</v>
      </c>
      <c r="C192">
        <v>57036839</v>
      </c>
      <c r="D192">
        <v>55490209</v>
      </c>
      <c r="E192">
        <v>1</v>
      </c>
      <c r="F192">
        <v>1</v>
      </c>
      <c r="G192">
        <v>1081</v>
      </c>
      <c r="H192">
        <v>2</v>
      </c>
      <c r="I192" t="s">
        <v>294</v>
      </c>
      <c r="J192" t="s">
        <v>295</v>
      </c>
      <c r="K192" t="s">
        <v>296</v>
      </c>
      <c r="L192">
        <v>1368</v>
      </c>
      <c r="N192">
        <v>1011</v>
      </c>
      <c r="O192" t="s">
        <v>227</v>
      </c>
      <c r="P192" t="s">
        <v>227</v>
      </c>
      <c r="Q192">
        <v>1</v>
      </c>
      <c r="W192">
        <v>0</v>
      </c>
      <c r="X192">
        <v>874612079</v>
      </c>
      <c r="Y192">
        <f>(AT192*1.2)</f>
        <v>7.1999999999999998E-3</v>
      </c>
      <c r="AA192">
        <v>0</v>
      </c>
      <c r="AB192">
        <v>1485.19</v>
      </c>
      <c r="AC192">
        <v>744.56</v>
      </c>
      <c r="AD192">
        <v>0</v>
      </c>
      <c r="AE192">
        <v>0</v>
      </c>
      <c r="AF192">
        <v>83.1</v>
      </c>
      <c r="AG192">
        <v>12.62</v>
      </c>
      <c r="AH192">
        <v>0</v>
      </c>
      <c r="AI192">
        <v>1</v>
      </c>
      <c r="AJ192">
        <v>17.07</v>
      </c>
      <c r="AK192">
        <v>56.35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6.0000000000000001E-3</v>
      </c>
      <c r="AU192" t="s">
        <v>121</v>
      </c>
      <c r="AV192">
        <v>0</v>
      </c>
      <c r="AW192">
        <v>2</v>
      </c>
      <c r="AX192">
        <v>57036841</v>
      </c>
      <c r="AY192">
        <v>1</v>
      </c>
      <c r="AZ192">
        <v>0</v>
      </c>
      <c r="BA192">
        <v>229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ROUND(Y192*Source!I145*DO192,9)</f>
        <v>9.0864E-2</v>
      </c>
      <c r="CX192">
        <f>ROUND(Y192*Source!I145,9)</f>
        <v>7.1999999999999998E-3</v>
      </c>
      <c r="CY192">
        <f>AB192</f>
        <v>1485.19</v>
      </c>
      <c r="CZ192">
        <f>AF192</f>
        <v>83.1</v>
      </c>
      <c r="DA192">
        <f>AJ192</f>
        <v>17.07</v>
      </c>
      <c r="DB192">
        <f>ROUND((ROUND(AT192*CZ192,2)*1.2),6)</f>
        <v>0.6</v>
      </c>
      <c r="DC192">
        <f>ROUND((ROUND(AT192*AG192,2)*1.2),6)</f>
        <v>9.6000000000000002E-2</v>
      </c>
      <c r="DD192" t="s">
        <v>3</v>
      </c>
      <c r="DE192" t="s">
        <v>3</v>
      </c>
      <c r="DF192">
        <f t="shared" si="63"/>
        <v>0</v>
      </c>
      <c r="DG192">
        <f>ROUND(ROUND(AF192*AJ192,2)*CX192,2)</f>
        <v>10.210000000000001</v>
      </c>
      <c r="DH192">
        <f>ROUND(ROUND(AG192*AK192,2)*CX192,2)</f>
        <v>5.12</v>
      </c>
      <c r="DI192">
        <f t="shared" si="51"/>
        <v>0</v>
      </c>
      <c r="DJ192">
        <f>DG192</f>
        <v>10.210000000000001</v>
      </c>
      <c r="DK192">
        <v>0</v>
      </c>
      <c r="DL192" t="s">
        <v>228</v>
      </c>
      <c r="DM192">
        <v>0</v>
      </c>
      <c r="DN192" t="s">
        <v>223</v>
      </c>
      <c r="DO192">
        <v>12.62</v>
      </c>
    </row>
    <row r="193" spans="1:119" x14ac:dyDescent="0.25">
      <c r="A193">
        <f>ROW(Source!A148)</f>
        <v>148</v>
      </c>
      <c r="B193">
        <v>55934355</v>
      </c>
      <c r="C193">
        <v>55934751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221</v>
      </c>
      <c r="J193" t="s">
        <v>3</v>
      </c>
      <c r="K193" t="s">
        <v>222</v>
      </c>
      <c r="L193">
        <v>1191</v>
      </c>
      <c r="N193">
        <v>1013</v>
      </c>
      <c r="O193" t="s">
        <v>223</v>
      </c>
      <c r="P193" t="s">
        <v>223</v>
      </c>
      <c r="Q193">
        <v>1</v>
      </c>
      <c r="W193">
        <v>0</v>
      </c>
      <c r="X193">
        <v>476480486</v>
      </c>
      <c r="Y193">
        <f>(AT193*1.2)</f>
        <v>3.5999999999999996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</v>
      </c>
      <c r="AU193" t="s">
        <v>121</v>
      </c>
      <c r="AV193">
        <v>1</v>
      </c>
      <c r="AW193">
        <v>2</v>
      </c>
      <c r="AX193">
        <v>55934752</v>
      </c>
      <c r="AY193">
        <v>1</v>
      </c>
      <c r="AZ193">
        <v>0</v>
      </c>
      <c r="BA193">
        <v>231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U193">
        <f>ROUND(AT193*Source!I148*AH193*AL193,2)</f>
        <v>0</v>
      </c>
      <c r="CV193">
        <f>ROUND(Y193*Source!I148,9)</f>
        <v>3.6</v>
      </c>
      <c r="CW193">
        <v>0</v>
      </c>
      <c r="CX193">
        <f>ROUND(Y193*Source!I148,9)</f>
        <v>3.6</v>
      </c>
      <c r="CY193">
        <f>AD193</f>
        <v>0</v>
      </c>
      <c r="CZ193">
        <f>AH193</f>
        <v>0</v>
      </c>
      <c r="DA193">
        <f>AL193</f>
        <v>1</v>
      </c>
      <c r="DB193">
        <f>ROUND((ROUND(AT193*CZ193,2)*1.2),6)</f>
        <v>0</v>
      </c>
      <c r="DC193">
        <f>ROUND((ROUND(AT193*AG193,2)*1.2),6)</f>
        <v>0</v>
      </c>
      <c r="DD193" t="s">
        <v>3</v>
      </c>
      <c r="DE193" t="s">
        <v>3</v>
      </c>
      <c r="DF193">
        <f t="shared" si="63"/>
        <v>0</v>
      </c>
      <c r="DG193">
        <f t="shared" ref="DG193:DG224" si="64">ROUND(ROUND(AF193,2)*CX193,2)</f>
        <v>0</v>
      </c>
      <c r="DH193">
        <f t="shared" ref="DH193:DH224" si="65">ROUND(ROUND(AG193,2)*CX193,2)</f>
        <v>0</v>
      </c>
      <c r="DI193">
        <f t="shared" ref="DI193:DI256" si="66">ROUND(ROUND(AH193,2)*CX193,2)</f>
        <v>0</v>
      </c>
      <c r="DJ193">
        <f>DI193</f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ROW(Source!A148)</f>
        <v>148</v>
      </c>
      <c r="B194">
        <v>55934355</v>
      </c>
      <c r="C194">
        <v>55934751</v>
      </c>
      <c r="D194">
        <v>55459894</v>
      </c>
      <c r="E194">
        <v>1</v>
      </c>
      <c r="F194">
        <v>1</v>
      </c>
      <c r="G194">
        <v>1081</v>
      </c>
      <c r="H194">
        <v>3</v>
      </c>
      <c r="I194" t="s">
        <v>257</v>
      </c>
      <c r="J194" t="s">
        <v>258</v>
      </c>
      <c r="K194" t="s">
        <v>259</v>
      </c>
      <c r="L194">
        <v>1348</v>
      </c>
      <c r="N194">
        <v>1009</v>
      </c>
      <c r="O194" t="s">
        <v>232</v>
      </c>
      <c r="P194" t="s">
        <v>232</v>
      </c>
      <c r="Q194">
        <v>1000</v>
      </c>
      <c r="W194">
        <v>0</v>
      </c>
      <c r="X194">
        <v>1175474266</v>
      </c>
      <c r="Y194">
        <f t="shared" ref="Y194:Y208" si="67">(AT194*1)</f>
        <v>1E-3</v>
      </c>
      <c r="AA194">
        <v>15319.65</v>
      </c>
      <c r="AB194">
        <v>0</v>
      </c>
      <c r="AC194">
        <v>0</v>
      </c>
      <c r="AD194">
        <v>0</v>
      </c>
      <c r="AE194">
        <v>15319.65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1E-3</v>
      </c>
      <c r="AU194" t="s">
        <v>120</v>
      </c>
      <c r="AV194">
        <v>0</v>
      </c>
      <c r="AW194">
        <v>2</v>
      </c>
      <c r="AX194">
        <v>55934753</v>
      </c>
      <c r="AY194">
        <v>1</v>
      </c>
      <c r="AZ194">
        <v>0</v>
      </c>
      <c r="BA194">
        <v>232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ROUND(Y194*Source!I148,9)</f>
        <v>1E-3</v>
      </c>
      <c r="CY194">
        <f t="shared" ref="CY194:CY208" si="68">AA194</f>
        <v>15319.65</v>
      </c>
      <c r="CZ194">
        <f t="shared" ref="CZ194:CZ208" si="69">AE194</f>
        <v>15319.65</v>
      </c>
      <c r="DA194">
        <f t="shared" ref="DA194:DA208" si="70">AI194</f>
        <v>1</v>
      </c>
      <c r="DB194">
        <f t="shared" ref="DB194:DB208" si="71">ROUND((ROUND(AT194*CZ194,2)*1),6)</f>
        <v>15.32</v>
      </c>
      <c r="DC194">
        <f t="shared" ref="DC194:DC208" si="72">ROUND((ROUND(AT194*AG194,2)*1),6)</f>
        <v>0</v>
      </c>
      <c r="DD194" t="s">
        <v>3</v>
      </c>
      <c r="DE194" t="s">
        <v>3</v>
      </c>
      <c r="DF194">
        <f t="shared" si="63"/>
        <v>15.32</v>
      </c>
      <c r="DG194">
        <f t="shared" si="64"/>
        <v>0</v>
      </c>
      <c r="DH194">
        <f t="shared" si="65"/>
        <v>0</v>
      </c>
      <c r="DI194">
        <f t="shared" si="66"/>
        <v>0</v>
      </c>
      <c r="DJ194">
        <f t="shared" ref="DJ194:DJ208" si="73">DF194</f>
        <v>15.32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ROW(Source!A148)</f>
        <v>148</v>
      </c>
      <c r="B195">
        <v>55934355</v>
      </c>
      <c r="C195">
        <v>55934751</v>
      </c>
      <c r="D195">
        <v>55459261</v>
      </c>
      <c r="E195">
        <v>1</v>
      </c>
      <c r="F195">
        <v>1</v>
      </c>
      <c r="G195">
        <v>1081</v>
      </c>
      <c r="H195">
        <v>3</v>
      </c>
      <c r="I195" t="s">
        <v>260</v>
      </c>
      <c r="J195" t="s">
        <v>261</v>
      </c>
      <c r="K195" t="s">
        <v>262</v>
      </c>
      <c r="L195">
        <v>1348</v>
      </c>
      <c r="N195">
        <v>1009</v>
      </c>
      <c r="O195" t="s">
        <v>232</v>
      </c>
      <c r="P195" t="s">
        <v>232</v>
      </c>
      <c r="Q195">
        <v>1000</v>
      </c>
      <c r="W195">
        <v>0</v>
      </c>
      <c r="X195">
        <v>-2092697376</v>
      </c>
      <c r="Y195">
        <f t="shared" si="67"/>
        <v>5.0000000000000002E-5</v>
      </c>
      <c r="AA195">
        <v>1219.68</v>
      </c>
      <c r="AB195">
        <v>0</v>
      </c>
      <c r="AC195">
        <v>0</v>
      </c>
      <c r="AD195">
        <v>0</v>
      </c>
      <c r="AE195">
        <v>1219.68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5.0000000000000002E-5</v>
      </c>
      <c r="AU195" t="s">
        <v>120</v>
      </c>
      <c r="AV195">
        <v>0</v>
      </c>
      <c r="AW195">
        <v>2</v>
      </c>
      <c r="AX195">
        <v>55934754</v>
      </c>
      <c r="AY195">
        <v>1</v>
      </c>
      <c r="AZ195">
        <v>0</v>
      </c>
      <c r="BA195">
        <v>233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ROUND(Y195*Source!I148,9)</f>
        <v>5.0000000000000002E-5</v>
      </c>
      <c r="CY195">
        <f t="shared" si="68"/>
        <v>1219.68</v>
      </c>
      <c r="CZ195">
        <f t="shared" si="69"/>
        <v>1219.68</v>
      </c>
      <c r="DA195">
        <f t="shared" si="70"/>
        <v>1</v>
      </c>
      <c r="DB195">
        <f t="shared" si="71"/>
        <v>0.06</v>
      </c>
      <c r="DC195">
        <f t="shared" si="72"/>
        <v>0</v>
      </c>
      <c r="DD195" t="s">
        <v>3</v>
      </c>
      <c r="DE195" t="s">
        <v>3</v>
      </c>
      <c r="DF195">
        <f t="shared" si="63"/>
        <v>0.06</v>
      </c>
      <c r="DG195">
        <f t="shared" si="64"/>
        <v>0</v>
      </c>
      <c r="DH195">
        <f t="shared" si="65"/>
        <v>0</v>
      </c>
      <c r="DI195">
        <f t="shared" si="66"/>
        <v>0</v>
      </c>
      <c r="DJ195">
        <f t="shared" si="73"/>
        <v>0.06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ROW(Source!A148)</f>
        <v>148</v>
      </c>
      <c r="B196">
        <v>55934355</v>
      </c>
      <c r="C196">
        <v>55934751</v>
      </c>
      <c r="D196">
        <v>55460328</v>
      </c>
      <c r="E196">
        <v>1</v>
      </c>
      <c r="F196">
        <v>1</v>
      </c>
      <c r="G196">
        <v>1081</v>
      </c>
      <c r="H196">
        <v>3</v>
      </c>
      <c r="I196" t="s">
        <v>263</v>
      </c>
      <c r="J196" t="s">
        <v>264</v>
      </c>
      <c r="K196" t="s">
        <v>265</v>
      </c>
      <c r="L196">
        <v>1301</v>
      </c>
      <c r="N196">
        <v>1003</v>
      </c>
      <c r="O196" t="s">
        <v>266</v>
      </c>
      <c r="P196" t="s">
        <v>266</v>
      </c>
      <c r="Q196">
        <v>1</v>
      </c>
      <c r="W196">
        <v>0</v>
      </c>
      <c r="X196">
        <v>-206055494</v>
      </c>
      <c r="Y196">
        <f t="shared" si="67"/>
        <v>5</v>
      </c>
      <c r="AA196">
        <v>0.39</v>
      </c>
      <c r="AB196">
        <v>0</v>
      </c>
      <c r="AC196">
        <v>0</v>
      </c>
      <c r="AD196">
        <v>0</v>
      </c>
      <c r="AE196">
        <v>0.39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-2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</v>
      </c>
      <c r="AU196" t="s">
        <v>120</v>
      </c>
      <c r="AV196">
        <v>0</v>
      </c>
      <c r="AW196">
        <v>2</v>
      </c>
      <c r="AX196">
        <v>55934755</v>
      </c>
      <c r="AY196">
        <v>1</v>
      </c>
      <c r="AZ196">
        <v>0</v>
      </c>
      <c r="BA196">
        <v>234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ROUND(Y196*Source!I148,9)</f>
        <v>5</v>
      </c>
      <c r="CY196">
        <f t="shared" si="68"/>
        <v>0.39</v>
      </c>
      <c r="CZ196">
        <f t="shared" si="69"/>
        <v>0.39</v>
      </c>
      <c r="DA196">
        <f t="shared" si="70"/>
        <v>1</v>
      </c>
      <c r="DB196">
        <f t="shared" si="71"/>
        <v>1.95</v>
      </c>
      <c r="DC196">
        <f t="shared" si="72"/>
        <v>0</v>
      </c>
      <c r="DD196" t="s">
        <v>3</v>
      </c>
      <c r="DE196" t="s">
        <v>3</v>
      </c>
      <c r="DF196">
        <f t="shared" si="63"/>
        <v>1.95</v>
      </c>
      <c r="DG196">
        <f t="shared" si="64"/>
        <v>0</v>
      </c>
      <c r="DH196">
        <f t="shared" si="65"/>
        <v>0</v>
      </c>
      <c r="DI196">
        <f t="shared" si="66"/>
        <v>0</v>
      </c>
      <c r="DJ196">
        <f t="shared" si="73"/>
        <v>1.95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ROW(Source!A148)</f>
        <v>148</v>
      </c>
      <c r="B197">
        <v>55934355</v>
      </c>
      <c r="C197">
        <v>55934751</v>
      </c>
      <c r="D197">
        <v>55459312</v>
      </c>
      <c r="E197">
        <v>1</v>
      </c>
      <c r="F197">
        <v>1</v>
      </c>
      <c r="G197">
        <v>1081</v>
      </c>
      <c r="H197">
        <v>3</v>
      </c>
      <c r="I197" t="s">
        <v>267</v>
      </c>
      <c r="J197" t="s">
        <v>268</v>
      </c>
      <c r="K197" t="s">
        <v>269</v>
      </c>
      <c r="L197">
        <v>1339</v>
      </c>
      <c r="N197">
        <v>1007</v>
      </c>
      <c r="O197" t="s">
        <v>270</v>
      </c>
      <c r="P197" t="s">
        <v>270</v>
      </c>
      <c r="Q197">
        <v>1</v>
      </c>
      <c r="W197">
        <v>0</v>
      </c>
      <c r="X197">
        <v>-366856290</v>
      </c>
      <c r="Y197">
        <f t="shared" si="67"/>
        <v>1E-3</v>
      </c>
      <c r="AA197">
        <v>1176.3</v>
      </c>
      <c r="AB197">
        <v>0</v>
      </c>
      <c r="AC197">
        <v>0</v>
      </c>
      <c r="AD197">
        <v>0</v>
      </c>
      <c r="AE197">
        <v>1176.3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1E-3</v>
      </c>
      <c r="AU197" t="s">
        <v>120</v>
      </c>
      <c r="AV197">
        <v>0</v>
      </c>
      <c r="AW197">
        <v>2</v>
      </c>
      <c r="AX197">
        <v>55934756</v>
      </c>
      <c r="AY197">
        <v>1</v>
      </c>
      <c r="AZ197">
        <v>0</v>
      </c>
      <c r="BA197">
        <v>235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ROUND(Y197*Source!I148,9)</f>
        <v>1E-3</v>
      </c>
      <c r="CY197">
        <f t="shared" si="68"/>
        <v>1176.3</v>
      </c>
      <c r="CZ197">
        <f t="shared" si="69"/>
        <v>1176.3</v>
      </c>
      <c r="DA197">
        <f t="shared" si="70"/>
        <v>1</v>
      </c>
      <c r="DB197">
        <f t="shared" si="71"/>
        <v>1.18</v>
      </c>
      <c r="DC197">
        <f t="shared" si="72"/>
        <v>0</v>
      </c>
      <c r="DD197" t="s">
        <v>3</v>
      </c>
      <c r="DE197" t="s">
        <v>3</v>
      </c>
      <c r="DF197">
        <f t="shared" si="63"/>
        <v>1.18</v>
      </c>
      <c r="DG197">
        <f t="shared" si="64"/>
        <v>0</v>
      </c>
      <c r="DH197">
        <f t="shared" si="65"/>
        <v>0</v>
      </c>
      <c r="DI197">
        <f t="shared" si="66"/>
        <v>0</v>
      </c>
      <c r="DJ197">
        <f t="shared" si="73"/>
        <v>1.18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ROW(Source!A148)</f>
        <v>148</v>
      </c>
      <c r="B198">
        <v>55934355</v>
      </c>
      <c r="C198">
        <v>55934751</v>
      </c>
      <c r="D198">
        <v>55461230</v>
      </c>
      <c r="E198">
        <v>1</v>
      </c>
      <c r="F198">
        <v>1</v>
      </c>
      <c r="G198">
        <v>1081</v>
      </c>
      <c r="H198">
        <v>3</v>
      </c>
      <c r="I198" t="s">
        <v>271</v>
      </c>
      <c r="J198" t="s">
        <v>272</v>
      </c>
      <c r="K198" t="s">
        <v>273</v>
      </c>
      <c r="L198">
        <v>1346</v>
      </c>
      <c r="N198">
        <v>1009</v>
      </c>
      <c r="O198" t="s">
        <v>252</v>
      </c>
      <c r="P198" t="s">
        <v>252</v>
      </c>
      <c r="Q198">
        <v>1</v>
      </c>
      <c r="W198">
        <v>0</v>
      </c>
      <c r="X198">
        <v>1561715650</v>
      </c>
      <c r="Y198">
        <f t="shared" si="67"/>
        <v>0.01</v>
      </c>
      <c r="AA198">
        <v>15.11</v>
      </c>
      <c r="AB198">
        <v>0</v>
      </c>
      <c r="AC198">
        <v>0</v>
      </c>
      <c r="AD198">
        <v>0</v>
      </c>
      <c r="AE198">
        <v>15.11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0.01</v>
      </c>
      <c r="AU198" t="s">
        <v>120</v>
      </c>
      <c r="AV198">
        <v>0</v>
      </c>
      <c r="AW198">
        <v>2</v>
      </c>
      <c r="AX198">
        <v>55934757</v>
      </c>
      <c r="AY198">
        <v>1</v>
      </c>
      <c r="AZ198">
        <v>0</v>
      </c>
      <c r="BA198">
        <v>236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ROUND(Y198*Source!I148,9)</f>
        <v>0.01</v>
      </c>
      <c r="CY198">
        <f t="shared" si="68"/>
        <v>15.11</v>
      </c>
      <c r="CZ198">
        <f t="shared" si="69"/>
        <v>15.11</v>
      </c>
      <c r="DA198">
        <f t="shared" si="70"/>
        <v>1</v>
      </c>
      <c r="DB198">
        <f t="shared" si="71"/>
        <v>0.15</v>
      </c>
      <c r="DC198">
        <f t="shared" si="72"/>
        <v>0</v>
      </c>
      <c r="DD198" t="s">
        <v>3</v>
      </c>
      <c r="DE198" t="s">
        <v>3</v>
      </c>
      <c r="DF198">
        <f t="shared" si="63"/>
        <v>0.15</v>
      </c>
      <c r="DG198">
        <f t="shared" si="64"/>
        <v>0</v>
      </c>
      <c r="DH198">
        <f t="shared" si="65"/>
        <v>0</v>
      </c>
      <c r="DI198">
        <f t="shared" si="66"/>
        <v>0</v>
      </c>
      <c r="DJ198">
        <f t="shared" si="73"/>
        <v>0.15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ROW(Source!A148)</f>
        <v>148</v>
      </c>
      <c r="B199">
        <v>55934355</v>
      </c>
      <c r="C199">
        <v>55934751</v>
      </c>
      <c r="D199">
        <v>55459400</v>
      </c>
      <c r="E199">
        <v>1</v>
      </c>
      <c r="F199">
        <v>1</v>
      </c>
      <c r="G199">
        <v>1081</v>
      </c>
      <c r="H199">
        <v>3</v>
      </c>
      <c r="I199" t="s">
        <v>274</v>
      </c>
      <c r="J199" t="s">
        <v>275</v>
      </c>
      <c r="K199" t="s">
        <v>276</v>
      </c>
      <c r="L199">
        <v>1346</v>
      </c>
      <c r="N199">
        <v>1009</v>
      </c>
      <c r="O199" t="s">
        <v>252</v>
      </c>
      <c r="P199" t="s">
        <v>252</v>
      </c>
      <c r="Q199">
        <v>1</v>
      </c>
      <c r="W199">
        <v>0</v>
      </c>
      <c r="X199">
        <v>-2129869794</v>
      </c>
      <c r="Y199">
        <f t="shared" si="67"/>
        <v>0.01</v>
      </c>
      <c r="AA199">
        <v>16.690000000000001</v>
      </c>
      <c r="AB199">
        <v>0</v>
      </c>
      <c r="AC199">
        <v>0</v>
      </c>
      <c r="AD199">
        <v>0</v>
      </c>
      <c r="AE199">
        <v>16.690000000000001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0.01</v>
      </c>
      <c r="AU199" t="s">
        <v>120</v>
      </c>
      <c r="AV199">
        <v>0</v>
      </c>
      <c r="AW199">
        <v>2</v>
      </c>
      <c r="AX199">
        <v>55934758</v>
      </c>
      <c r="AY199">
        <v>1</v>
      </c>
      <c r="AZ199">
        <v>0</v>
      </c>
      <c r="BA199">
        <v>237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ROUND(Y199*Source!I148,9)</f>
        <v>0.01</v>
      </c>
      <c r="CY199">
        <f t="shared" si="68"/>
        <v>16.690000000000001</v>
      </c>
      <c r="CZ199">
        <f t="shared" si="69"/>
        <v>16.690000000000001</v>
      </c>
      <c r="DA199">
        <f t="shared" si="70"/>
        <v>1</v>
      </c>
      <c r="DB199">
        <f t="shared" si="71"/>
        <v>0.17</v>
      </c>
      <c r="DC199">
        <f t="shared" si="72"/>
        <v>0</v>
      </c>
      <c r="DD199" t="s">
        <v>3</v>
      </c>
      <c r="DE199" t="s">
        <v>3</v>
      </c>
      <c r="DF199">
        <f t="shared" si="63"/>
        <v>0.17</v>
      </c>
      <c r="DG199">
        <f t="shared" si="64"/>
        <v>0</v>
      </c>
      <c r="DH199">
        <f t="shared" si="65"/>
        <v>0</v>
      </c>
      <c r="DI199">
        <f t="shared" si="66"/>
        <v>0</v>
      </c>
      <c r="DJ199">
        <f t="shared" si="73"/>
        <v>0.17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ROW(Source!A148)</f>
        <v>148</v>
      </c>
      <c r="B200">
        <v>55934355</v>
      </c>
      <c r="C200">
        <v>55934751</v>
      </c>
      <c r="D200">
        <v>55461719</v>
      </c>
      <c r="E200">
        <v>1</v>
      </c>
      <c r="F200">
        <v>1</v>
      </c>
      <c r="G200">
        <v>1081</v>
      </c>
      <c r="H200">
        <v>3</v>
      </c>
      <c r="I200" t="s">
        <v>229</v>
      </c>
      <c r="J200" t="s">
        <v>230</v>
      </c>
      <c r="K200" t="s">
        <v>231</v>
      </c>
      <c r="L200">
        <v>1348</v>
      </c>
      <c r="N200">
        <v>1009</v>
      </c>
      <c r="O200" t="s">
        <v>232</v>
      </c>
      <c r="P200" t="s">
        <v>232</v>
      </c>
      <c r="Q200">
        <v>1000</v>
      </c>
      <c r="W200">
        <v>0</v>
      </c>
      <c r="X200">
        <v>-1265888387</v>
      </c>
      <c r="Y200">
        <f t="shared" si="67"/>
        <v>1E-4</v>
      </c>
      <c r="AA200">
        <v>10643.18</v>
      </c>
      <c r="AB200">
        <v>0</v>
      </c>
      <c r="AC200">
        <v>0</v>
      </c>
      <c r="AD200">
        <v>0</v>
      </c>
      <c r="AE200">
        <v>10643.18</v>
      </c>
      <c r="AF200">
        <v>0</v>
      </c>
      <c r="AG200">
        <v>0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1E-4</v>
      </c>
      <c r="AU200" t="s">
        <v>120</v>
      </c>
      <c r="AV200">
        <v>0</v>
      </c>
      <c r="AW200">
        <v>2</v>
      </c>
      <c r="AX200">
        <v>55934759</v>
      </c>
      <c r="AY200">
        <v>1</v>
      </c>
      <c r="AZ200">
        <v>0</v>
      </c>
      <c r="BA200">
        <v>238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ROUND(Y200*Source!I148,9)</f>
        <v>1E-4</v>
      </c>
      <c r="CY200">
        <f t="shared" si="68"/>
        <v>10643.18</v>
      </c>
      <c r="CZ200">
        <f t="shared" si="69"/>
        <v>10643.18</v>
      </c>
      <c r="DA200">
        <f t="shared" si="70"/>
        <v>1</v>
      </c>
      <c r="DB200">
        <f t="shared" si="71"/>
        <v>1.06</v>
      </c>
      <c r="DC200">
        <f t="shared" si="72"/>
        <v>0</v>
      </c>
      <c r="DD200" t="s">
        <v>3</v>
      </c>
      <c r="DE200" t="s">
        <v>3</v>
      </c>
      <c r="DF200">
        <f t="shared" si="63"/>
        <v>1.06</v>
      </c>
      <c r="DG200">
        <f t="shared" si="64"/>
        <v>0</v>
      </c>
      <c r="DH200">
        <f t="shared" si="65"/>
        <v>0</v>
      </c>
      <c r="DI200">
        <f t="shared" si="66"/>
        <v>0</v>
      </c>
      <c r="DJ200">
        <f t="shared" si="73"/>
        <v>1.06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ROW(Source!A148)</f>
        <v>148</v>
      </c>
      <c r="B201">
        <v>55934355</v>
      </c>
      <c r="C201">
        <v>55934751</v>
      </c>
      <c r="D201">
        <v>55466000</v>
      </c>
      <c r="E201">
        <v>1</v>
      </c>
      <c r="F201">
        <v>1</v>
      </c>
      <c r="G201">
        <v>1081</v>
      </c>
      <c r="H201">
        <v>3</v>
      </c>
      <c r="I201" t="s">
        <v>277</v>
      </c>
      <c r="J201" t="s">
        <v>278</v>
      </c>
      <c r="K201" t="s">
        <v>279</v>
      </c>
      <c r="L201">
        <v>1355</v>
      </c>
      <c r="N201">
        <v>1010</v>
      </c>
      <c r="O201" t="s">
        <v>280</v>
      </c>
      <c r="P201" t="s">
        <v>280</v>
      </c>
      <c r="Q201">
        <v>100</v>
      </c>
      <c r="W201">
        <v>0</v>
      </c>
      <c r="X201">
        <v>436393287</v>
      </c>
      <c r="Y201">
        <f t="shared" si="67"/>
        <v>0.01</v>
      </c>
      <c r="AA201">
        <v>120.19</v>
      </c>
      <c r="AB201">
        <v>0</v>
      </c>
      <c r="AC201">
        <v>0</v>
      </c>
      <c r="AD201">
        <v>0</v>
      </c>
      <c r="AE201">
        <v>120.19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0.01</v>
      </c>
      <c r="AU201" t="s">
        <v>120</v>
      </c>
      <c r="AV201">
        <v>0</v>
      </c>
      <c r="AW201">
        <v>2</v>
      </c>
      <c r="AX201">
        <v>55934760</v>
      </c>
      <c r="AY201">
        <v>1</v>
      </c>
      <c r="AZ201">
        <v>0</v>
      </c>
      <c r="BA201">
        <v>239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ROUND(Y201*Source!I148,9)</f>
        <v>0.01</v>
      </c>
      <c r="CY201">
        <f t="shared" si="68"/>
        <v>120.19</v>
      </c>
      <c r="CZ201">
        <f t="shared" si="69"/>
        <v>120.19</v>
      </c>
      <c r="DA201">
        <f t="shared" si="70"/>
        <v>1</v>
      </c>
      <c r="DB201">
        <f t="shared" si="71"/>
        <v>1.2</v>
      </c>
      <c r="DC201">
        <f t="shared" si="72"/>
        <v>0</v>
      </c>
      <c r="DD201" t="s">
        <v>3</v>
      </c>
      <c r="DE201" t="s">
        <v>3</v>
      </c>
      <c r="DF201">
        <f t="shared" si="63"/>
        <v>1.2</v>
      </c>
      <c r="DG201">
        <f t="shared" si="64"/>
        <v>0</v>
      </c>
      <c r="DH201">
        <f t="shared" si="65"/>
        <v>0</v>
      </c>
      <c r="DI201">
        <f t="shared" si="66"/>
        <v>0</v>
      </c>
      <c r="DJ201">
        <f t="shared" si="73"/>
        <v>1.2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ROW(Source!A148)</f>
        <v>148</v>
      </c>
      <c r="B202">
        <v>55934355</v>
      </c>
      <c r="C202">
        <v>55934751</v>
      </c>
      <c r="D202">
        <v>55459793</v>
      </c>
      <c r="E202">
        <v>1</v>
      </c>
      <c r="F202">
        <v>1</v>
      </c>
      <c r="G202">
        <v>1081</v>
      </c>
      <c r="H202">
        <v>3</v>
      </c>
      <c r="I202" t="s">
        <v>233</v>
      </c>
      <c r="J202" t="s">
        <v>234</v>
      </c>
      <c r="K202" t="s">
        <v>235</v>
      </c>
      <c r="L202">
        <v>1348</v>
      </c>
      <c r="N202">
        <v>1009</v>
      </c>
      <c r="O202" t="s">
        <v>232</v>
      </c>
      <c r="P202" t="s">
        <v>232</v>
      </c>
      <c r="Q202">
        <v>1000</v>
      </c>
      <c r="W202">
        <v>0</v>
      </c>
      <c r="X202">
        <v>-761454284</v>
      </c>
      <c r="Y202">
        <f t="shared" si="67"/>
        <v>2.0000000000000002E-5</v>
      </c>
      <c r="AA202">
        <v>64123.05</v>
      </c>
      <c r="AB202">
        <v>0</v>
      </c>
      <c r="AC202">
        <v>0</v>
      </c>
      <c r="AD202">
        <v>0</v>
      </c>
      <c r="AE202">
        <v>64123.05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2.0000000000000002E-5</v>
      </c>
      <c r="AU202" t="s">
        <v>120</v>
      </c>
      <c r="AV202">
        <v>0</v>
      </c>
      <c r="AW202">
        <v>2</v>
      </c>
      <c r="AX202">
        <v>55934761</v>
      </c>
      <c r="AY202">
        <v>1</v>
      </c>
      <c r="AZ202">
        <v>0</v>
      </c>
      <c r="BA202">
        <v>240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ROUND(Y202*Source!I148,9)</f>
        <v>2.0000000000000002E-5</v>
      </c>
      <c r="CY202">
        <f t="shared" si="68"/>
        <v>64123.05</v>
      </c>
      <c r="CZ202">
        <f t="shared" si="69"/>
        <v>64123.05</v>
      </c>
      <c r="DA202">
        <f t="shared" si="70"/>
        <v>1</v>
      </c>
      <c r="DB202">
        <f t="shared" si="71"/>
        <v>1.28</v>
      </c>
      <c r="DC202">
        <f t="shared" si="72"/>
        <v>0</v>
      </c>
      <c r="DD202" t="s">
        <v>3</v>
      </c>
      <c r="DE202" t="s">
        <v>3</v>
      </c>
      <c r="DF202">
        <f t="shared" si="63"/>
        <v>1.28</v>
      </c>
      <c r="DG202">
        <f t="shared" si="64"/>
        <v>0</v>
      </c>
      <c r="DH202">
        <f t="shared" si="65"/>
        <v>0</v>
      </c>
      <c r="DI202">
        <f t="shared" si="66"/>
        <v>0</v>
      </c>
      <c r="DJ202">
        <f t="shared" si="73"/>
        <v>1.28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ROW(Source!A148)</f>
        <v>148</v>
      </c>
      <c r="B203">
        <v>55934355</v>
      </c>
      <c r="C203">
        <v>55934751</v>
      </c>
      <c r="D203">
        <v>55459810</v>
      </c>
      <c r="E203">
        <v>1</v>
      </c>
      <c r="F203">
        <v>1</v>
      </c>
      <c r="G203">
        <v>1081</v>
      </c>
      <c r="H203">
        <v>3</v>
      </c>
      <c r="I203" t="s">
        <v>281</v>
      </c>
      <c r="J203" t="s">
        <v>282</v>
      </c>
      <c r="K203" t="s">
        <v>283</v>
      </c>
      <c r="L203">
        <v>1348</v>
      </c>
      <c r="N203">
        <v>1009</v>
      </c>
      <c r="O203" t="s">
        <v>232</v>
      </c>
      <c r="P203" t="s">
        <v>232</v>
      </c>
      <c r="Q203">
        <v>1000</v>
      </c>
      <c r="W203">
        <v>0</v>
      </c>
      <c r="X203">
        <v>-98394079</v>
      </c>
      <c r="Y203">
        <f t="shared" si="67"/>
        <v>1E-4</v>
      </c>
      <c r="AA203">
        <v>9238.1299999999992</v>
      </c>
      <c r="AB203">
        <v>0</v>
      </c>
      <c r="AC203">
        <v>0</v>
      </c>
      <c r="AD203">
        <v>0</v>
      </c>
      <c r="AE203">
        <v>9238.1299999999992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1E-4</v>
      </c>
      <c r="AU203" t="s">
        <v>120</v>
      </c>
      <c r="AV203">
        <v>0</v>
      </c>
      <c r="AW203">
        <v>2</v>
      </c>
      <c r="AX203">
        <v>55934762</v>
      </c>
      <c r="AY203">
        <v>1</v>
      </c>
      <c r="AZ203">
        <v>0</v>
      </c>
      <c r="BA203">
        <v>241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ROUND(Y203*Source!I148,9)</f>
        <v>1E-4</v>
      </c>
      <c r="CY203">
        <f t="shared" si="68"/>
        <v>9238.1299999999992</v>
      </c>
      <c r="CZ203">
        <f t="shared" si="69"/>
        <v>9238.1299999999992</v>
      </c>
      <c r="DA203">
        <f t="shared" si="70"/>
        <v>1</v>
      </c>
      <c r="DB203">
        <f t="shared" si="71"/>
        <v>0.92</v>
      </c>
      <c r="DC203">
        <f t="shared" si="72"/>
        <v>0</v>
      </c>
      <c r="DD203" t="s">
        <v>3</v>
      </c>
      <c r="DE203" t="s">
        <v>3</v>
      </c>
      <c r="DF203">
        <f t="shared" si="63"/>
        <v>0.92</v>
      </c>
      <c r="DG203">
        <f t="shared" si="64"/>
        <v>0</v>
      </c>
      <c r="DH203">
        <f t="shared" si="65"/>
        <v>0</v>
      </c>
      <c r="DI203">
        <f t="shared" si="66"/>
        <v>0</v>
      </c>
      <c r="DJ203">
        <f t="shared" si="73"/>
        <v>0.92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ROW(Source!A148)</f>
        <v>148</v>
      </c>
      <c r="B204">
        <v>55934355</v>
      </c>
      <c r="C204">
        <v>55934751</v>
      </c>
      <c r="D204">
        <v>55482166</v>
      </c>
      <c r="E204">
        <v>1</v>
      </c>
      <c r="F204">
        <v>1</v>
      </c>
      <c r="G204">
        <v>1081</v>
      </c>
      <c r="H204">
        <v>3</v>
      </c>
      <c r="I204" t="s">
        <v>284</v>
      </c>
      <c r="J204" t="s">
        <v>285</v>
      </c>
      <c r="K204" t="s">
        <v>286</v>
      </c>
      <c r="L204">
        <v>1301</v>
      </c>
      <c r="N204">
        <v>1003</v>
      </c>
      <c r="O204" t="s">
        <v>266</v>
      </c>
      <c r="P204" t="s">
        <v>266</v>
      </c>
      <c r="Q204">
        <v>1</v>
      </c>
      <c r="W204">
        <v>0</v>
      </c>
      <c r="X204">
        <v>876831867</v>
      </c>
      <c r="Y204">
        <f t="shared" si="67"/>
        <v>1</v>
      </c>
      <c r="AA204">
        <v>0.69</v>
      </c>
      <c r="AB204">
        <v>0</v>
      </c>
      <c r="AC204">
        <v>0</v>
      </c>
      <c r="AD204">
        <v>0</v>
      </c>
      <c r="AE204">
        <v>0.69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</v>
      </c>
      <c r="AU204" t="s">
        <v>120</v>
      </c>
      <c r="AV204">
        <v>0</v>
      </c>
      <c r="AW204">
        <v>2</v>
      </c>
      <c r="AX204">
        <v>55934763</v>
      </c>
      <c r="AY204">
        <v>1</v>
      </c>
      <c r="AZ204">
        <v>0</v>
      </c>
      <c r="BA204">
        <v>242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ROUND(Y204*Source!I148,9)</f>
        <v>1</v>
      </c>
      <c r="CY204">
        <f t="shared" si="68"/>
        <v>0.69</v>
      </c>
      <c r="CZ204">
        <f t="shared" si="69"/>
        <v>0.69</v>
      </c>
      <c r="DA204">
        <f t="shared" si="70"/>
        <v>1</v>
      </c>
      <c r="DB204">
        <f t="shared" si="71"/>
        <v>0.69</v>
      </c>
      <c r="DC204">
        <f t="shared" si="72"/>
        <v>0</v>
      </c>
      <c r="DD204" t="s">
        <v>3</v>
      </c>
      <c r="DE204" t="s">
        <v>3</v>
      </c>
      <c r="DF204">
        <f t="shared" si="63"/>
        <v>0.69</v>
      </c>
      <c r="DG204">
        <f t="shared" si="64"/>
        <v>0</v>
      </c>
      <c r="DH204">
        <f t="shared" si="65"/>
        <v>0</v>
      </c>
      <c r="DI204">
        <f t="shared" si="66"/>
        <v>0</v>
      </c>
      <c r="DJ204">
        <f t="shared" si="73"/>
        <v>0.69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ROW(Source!A148)</f>
        <v>148</v>
      </c>
      <c r="B205">
        <v>55934355</v>
      </c>
      <c r="C205">
        <v>55934751</v>
      </c>
      <c r="D205">
        <v>55482445</v>
      </c>
      <c r="E205">
        <v>1</v>
      </c>
      <c r="F205">
        <v>1</v>
      </c>
      <c r="G205">
        <v>1081</v>
      </c>
      <c r="H205">
        <v>3</v>
      </c>
      <c r="I205" t="s">
        <v>287</v>
      </c>
      <c r="J205" t="s">
        <v>288</v>
      </c>
      <c r="K205" t="s">
        <v>289</v>
      </c>
      <c r="L205">
        <v>1356</v>
      </c>
      <c r="N205">
        <v>1010</v>
      </c>
      <c r="O205" t="s">
        <v>246</v>
      </c>
      <c r="P205" t="s">
        <v>246</v>
      </c>
      <c r="Q205">
        <v>1000</v>
      </c>
      <c r="W205">
        <v>0</v>
      </c>
      <c r="X205">
        <v>-285397556</v>
      </c>
      <c r="Y205">
        <f t="shared" si="67"/>
        <v>0.01</v>
      </c>
      <c r="AA205">
        <v>294.89</v>
      </c>
      <c r="AB205">
        <v>0</v>
      </c>
      <c r="AC205">
        <v>0</v>
      </c>
      <c r="AD205">
        <v>0</v>
      </c>
      <c r="AE205">
        <v>294.89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0.01</v>
      </c>
      <c r="AU205" t="s">
        <v>120</v>
      </c>
      <c r="AV205">
        <v>0</v>
      </c>
      <c r="AW205">
        <v>2</v>
      </c>
      <c r="AX205">
        <v>55934764</v>
      </c>
      <c r="AY205">
        <v>1</v>
      </c>
      <c r="AZ205">
        <v>0</v>
      </c>
      <c r="BA205">
        <v>243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ROUND(Y205*Source!I148,9)</f>
        <v>0.01</v>
      </c>
      <c r="CY205">
        <f t="shared" si="68"/>
        <v>294.89</v>
      </c>
      <c r="CZ205">
        <f t="shared" si="69"/>
        <v>294.89</v>
      </c>
      <c r="DA205">
        <f t="shared" si="70"/>
        <v>1</v>
      </c>
      <c r="DB205">
        <f t="shared" si="71"/>
        <v>2.95</v>
      </c>
      <c r="DC205">
        <f t="shared" si="72"/>
        <v>0</v>
      </c>
      <c r="DD205" t="s">
        <v>3</v>
      </c>
      <c r="DE205" t="s">
        <v>3</v>
      </c>
      <c r="DF205">
        <f t="shared" si="63"/>
        <v>2.95</v>
      </c>
      <c r="DG205">
        <f t="shared" si="64"/>
        <v>0</v>
      </c>
      <c r="DH205">
        <f t="shared" si="65"/>
        <v>0</v>
      </c>
      <c r="DI205">
        <f t="shared" si="66"/>
        <v>0</v>
      </c>
      <c r="DJ205">
        <f t="shared" si="73"/>
        <v>2.95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ROW(Source!A148)</f>
        <v>148</v>
      </c>
      <c r="B206">
        <v>55934355</v>
      </c>
      <c r="C206">
        <v>55934751</v>
      </c>
      <c r="D206">
        <v>55481518</v>
      </c>
      <c r="E206">
        <v>1</v>
      </c>
      <c r="F206">
        <v>1</v>
      </c>
      <c r="G206">
        <v>1081</v>
      </c>
      <c r="H206">
        <v>3</v>
      </c>
      <c r="I206" t="s">
        <v>290</v>
      </c>
      <c r="J206" t="s">
        <v>291</v>
      </c>
      <c r="K206" t="s">
        <v>292</v>
      </c>
      <c r="L206">
        <v>1354</v>
      </c>
      <c r="N206">
        <v>1010</v>
      </c>
      <c r="O206" t="s">
        <v>293</v>
      </c>
      <c r="P206" t="s">
        <v>293</v>
      </c>
      <c r="Q206">
        <v>1</v>
      </c>
      <c r="W206">
        <v>0</v>
      </c>
      <c r="X206">
        <v>55982921</v>
      </c>
      <c r="Y206">
        <f t="shared" si="67"/>
        <v>1</v>
      </c>
      <c r="AA206">
        <v>15.67</v>
      </c>
      <c r="AB206">
        <v>0</v>
      </c>
      <c r="AC206">
        <v>0</v>
      </c>
      <c r="AD206">
        <v>0</v>
      </c>
      <c r="AE206">
        <v>15.67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120</v>
      </c>
      <c r="AV206">
        <v>0</v>
      </c>
      <c r="AW206">
        <v>2</v>
      </c>
      <c r="AX206">
        <v>55934765</v>
      </c>
      <c r="AY206">
        <v>1</v>
      </c>
      <c r="AZ206">
        <v>0</v>
      </c>
      <c r="BA206">
        <v>244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ROUND(Y206*Source!I148,9)</f>
        <v>1</v>
      </c>
      <c r="CY206">
        <f t="shared" si="68"/>
        <v>15.67</v>
      </c>
      <c r="CZ206">
        <f t="shared" si="69"/>
        <v>15.67</v>
      </c>
      <c r="DA206">
        <f t="shared" si="70"/>
        <v>1</v>
      </c>
      <c r="DB206">
        <f t="shared" si="71"/>
        <v>15.67</v>
      </c>
      <c r="DC206">
        <f t="shared" si="72"/>
        <v>0</v>
      </c>
      <c r="DD206" t="s">
        <v>3</v>
      </c>
      <c r="DE206" t="s">
        <v>3</v>
      </c>
      <c r="DF206">
        <f t="shared" si="63"/>
        <v>15.67</v>
      </c>
      <c r="DG206">
        <f t="shared" si="64"/>
        <v>0</v>
      </c>
      <c r="DH206">
        <f t="shared" si="65"/>
        <v>0</v>
      </c>
      <c r="DI206">
        <f t="shared" si="66"/>
        <v>0</v>
      </c>
      <c r="DJ206">
        <f t="shared" si="73"/>
        <v>15.67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ROW(Source!A148)</f>
        <v>148</v>
      </c>
      <c r="B207">
        <v>55934355</v>
      </c>
      <c r="C207">
        <v>55934751</v>
      </c>
      <c r="D207">
        <v>0</v>
      </c>
      <c r="E207">
        <v>0</v>
      </c>
      <c r="F207">
        <v>1</v>
      </c>
      <c r="G207">
        <v>1081</v>
      </c>
      <c r="H207">
        <v>3</v>
      </c>
      <c r="I207" t="s">
        <v>313</v>
      </c>
      <c r="J207" t="s">
        <v>313</v>
      </c>
      <c r="K207" t="s">
        <v>177</v>
      </c>
      <c r="L207">
        <v>1371</v>
      </c>
      <c r="N207">
        <v>1013</v>
      </c>
      <c r="O207" t="s">
        <v>126</v>
      </c>
      <c r="P207" t="s">
        <v>126</v>
      </c>
      <c r="Q207">
        <v>1</v>
      </c>
      <c r="W207">
        <v>0</v>
      </c>
      <c r="X207">
        <v>-861159064</v>
      </c>
      <c r="Y207">
        <f t="shared" si="67"/>
        <v>1</v>
      </c>
      <c r="AA207">
        <v>8610.98</v>
      </c>
      <c r="AB207">
        <v>0</v>
      </c>
      <c r="AC207">
        <v>0</v>
      </c>
      <c r="AD207">
        <v>0</v>
      </c>
      <c r="AE207">
        <v>8610.9800000000014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</v>
      </c>
      <c r="AU207" t="s">
        <v>120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ROUND(Y207*Source!I148,9)</f>
        <v>1</v>
      </c>
      <c r="CY207">
        <f t="shared" si="68"/>
        <v>8610.98</v>
      </c>
      <c r="CZ207">
        <f t="shared" si="69"/>
        <v>8610.9800000000014</v>
      </c>
      <c r="DA207">
        <f t="shared" si="70"/>
        <v>1</v>
      </c>
      <c r="DB207">
        <f t="shared" si="71"/>
        <v>8610.98</v>
      </c>
      <c r="DC207">
        <f t="shared" si="72"/>
        <v>0</v>
      </c>
      <c r="DD207" t="s">
        <v>3</v>
      </c>
      <c r="DE207" t="s">
        <v>3</v>
      </c>
      <c r="DF207">
        <f t="shared" si="63"/>
        <v>8610.98</v>
      </c>
      <c r="DG207">
        <f t="shared" si="64"/>
        <v>0</v>
      </c>
      <c r="DH207">
        <f t="shared" si="65"/>
        <v>0</v>
      </c>
      <c r="DI207">
        <f t="shared" si="66"/>
        <v>0</v>
      </c>
      <c r="DJ207">
        <f t="shared" si="73"/>
        <v>8610.98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ROW(Source!A148)</f>
        <v>148</v>
      </c>
      <c r="B208">
        <v>55934355</v>
      </c>
      <c r="C208">
        <v>55934751</v>
      </c>
      <c r="D208">
        <v>55424290</v>
      </c>
      <c r="E208">
        <v>1081</v>
      </c>
      <c r="F208">
        <v>1</v>
      </c>
      <c r="G208">
        <v>1081</v>
      </c>
      <c r="H208">
        <v>3</v>
      </c>
      <c r="I208" t="s">
        <v>247</v>
      </c>
      <c r="J208" t="s">
        <v>3</v>
      </c>
      <c r="K208" t="s">
        <v>248</v>
      </c>
      <c r="L208">
        <v>1348</v>
      </c>
      <c r="N208">
        <v>1009</v>
      </c>
      <c r="O208" t="s">
        <v>232</v>
      </c>
      <c r="P208" t="s">
        <v>232</v>
      </c>
      <c r="Q208">
        <v>1000</v>
      </c>
      <c r="W208">
        <v>0</v>
      </c>
      <c r="X208">
        <v>-783086922</v>
      </c>
      <c r="Y208">
        <f t="shared" si="67"/>
        <v>1E-3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1E-3</v>
      </c>
      <c r="AU208" t="s">
        <v>120</v>
      </c>
      <c r="AV208">
        <v>0</v>
      </c>
      <c r="AW208">
        <v>2</v>
      </c>
      <c r="AX208">
        <v>55934768</v>
      </c>
      <c r="AY208">
        <v>1</v>
      </c>
      <c r="AZ208">
        <v>0</v>
      </c>
      <c r="BA208">
        <v>247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ROUND(Y208*Source!I148,9)</f>
        <v>1E-3</v>
      </c>
      <c r="CY208">
        <f t="shared" si="68"/>
        <v>0</v>
      </c>
      <c r="CZ208">
        <f t="shared" si="69"/>
        <v>0</v>
      </c>
      <c r="DA208">
        <f t="shared" si="70"/>
        <v>1</v>
      </c>
      <c r="DB208">
        <f t="shared" si="71"/>
        <v>0</v>
      </c>
      <c r="DC208">
        <f t="shared" si="72"/>
        <v>0</v>
      </c>
      <c r="DD208" t="s">
        <v>3</v>
      </c>
      <c r="DE208" t="s">
        <v>3</v>
      </c>
      <c r="DF208">
        <f t="shared" si="63"/>
        <v>0</v>
      </c>
      <c r="DG208">
        <f t="shared" si="64"/>
        <v>0</v>
      </c>
      <c r="DH208">
        <f t="shared" si="65"/>
        <v>0</v>
      </c>
      <c r="DI208">
        <f t="shared" si="66"/>
        <v>0</v>
      </c>
      <c r="DJ208">
        <f t="shared" si="73"/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ROW(Source!A149)</f>
        <v>149</v>
      </c>
      <c r="B209">
        <v>55934357</v>
      </c>
      <c r="C209">
        <v>55934751</v>
      </c>
      <c r="D209">
        <v>55424304</v>
      </c>
      <c r="E209">
        <v>1081</v>
      </c>
      <c r="F209">
        <v>1</v>
      </c>
      <c r="G209">
        <v>1081</v>
      </c>
      <c r="H209">
        <v>1</v>
      </c>
      <c r="I209" t="s">
        <v>221</v>
      </c>
      <c r="J209" t="s">
        <v>3</v>
      </c>
      <c r="K209" t="s">
        <v>222</v>
      </c>
      <c r="L209">
        <v>1191</v>
      </c>
      <c r="N209">
        <v>1013</v>
      </c>
      <c r="O209" t="s">
        <v>223</v>
      </c>
      <c r="P209" t="s">
        <v>223</v>
      </c>
      <c r="Q209">
        <v>1</v>
      </c>
      <c r="W209">
        <v>0</v>
      </c>
      <c r="X209">
        <v>476480486</v>
      </c>
      <c r="Y209">
        <f>(AT209*1.2)</f>
        <v>3.5999999999999996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5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3</v>
      </c>
      <c r="AU209" t="s">
        <v>121</v>
      </c>
      <c r="AV209">
        <v>1</v>
      </c>
      <c r="AW209">
        <v>2</v>
      </c>
      <c r="AX209">
        <v>55934752</v>
      </c>
      <c r="AY209">
        <v>1</v>
      </c>
      <c r="AZ209">
        <v>0</v>
      </c>
      <c r="BA209">
        <v>248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U209">
        <f>ROUND(AT209*Source!I149*AH209*AL209,2)</f>
        <v>0</v>
      </c>
      <c r="CV209">
        <f>ROUND(Y209*Source!I149,9)</f>
        <v>3.6</v>
      </c>
      <c r="CW209">
        <v>0</v>
      </c>
      <c r="CX209">
        <f>ROUND(Y209*Source!I149,9)</f>
        <v>3.6</v>
      </c>
      <c r="CY209">
        <f>AD209</f>
        <v>0</v>
      </c>
      <c r="CZ209">
        <f>AH209</f>
        <v>0</v>
      </c>
      <c r="DA209">
        <f>AL209</f>
        <v>1</v>
      </c>
      <c r="DB209">
        <f>ROUND((ROUND(AT209*CZ209,2)*1.2),6)</f>
        <v>0</v>
      </c>
      <c r="DC209">
        <f>ROUND((ROUND(AT209*AG209,2)*1.2),6)</f>
        <v>0</v>
      </c>
      <c r="DD209" t="s">
        <v>3</v>
      </c>
      <c r="DE209" t="s">
        <v>3</v>
      </c>
      <c r="DF209">
        <f t="shared" si="63"/>
        <v>0</v>
      </c>
      <c r="DG209">
        <f t="shared" si="64"/>
        <v>0</v>
      </c>
      <c r="DH209">
        <f t="shared" si="65"/>
        <v>0</v>
      </c>
      <c r="DI209">
        <f t="shared" si="66"/>
        <v>0</v>
      </c>
      <c r="DJ209">
        <f>DI209</f>
        <v>0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ROW(Source!A149)</f>
        <v>149</v>
      </c>
      <c r="B210">
        <v>55934357</v>
      </c>
      <c r="C210">
        <v>55934751</v>
      </c>
      <c r="D210">
        <v>55459894</v>
      </c>
      <c r="E210">
        <v>1</v>
      </c>
      <c r="F210">
        <v>1</v>
      </c>
      <c r="G210">
        <v>1081</v>
      </c>
      <c r="H210">
        <v>3</v>
      </c>
      <c r="I210" t="s">
        <v>257</v>
      </c>
      <c r="J210" t="s">
        <v>258</v>
      </c>
      <c r="K210" t="s">
        <v>259</v>
      </c>
      <c r="L210">
        <v>1348</v>
      </c>
      <c r="N210">
        <v>1009</v>
      </c>
      <c r="O210" t="s">
        <v>232</v>
      </c>
      <c r="P210" t="s">
        <v>232</v>
      </c>
      <c r="Q210">
        <v>1000</v>
      </c>
      <c r="W210">
        <v>0</v>
      </c>
      <c r="X210">
        <v>1175474266</v>
      </c>
      <c r="Y210">
        <f t="shared" ref="Y210:Y224" si="74">(AT210*1)</f>
        <v>1E-3</v>
      </c>
      <c r="AA210">
        <v>75372.679999999993</v>
      </c>
      <c r="AB210">
        <v>0</v>
      </c>
      <c r="AC210">
        <v>0</v>
      </c>
      <c r="AD210">
        <v>0</v>
      </c>
      <c r="AE210">
        <v>15319.65</v>
      </c>
      <c r="AF210">
        <v>0</v>
      </c>
      <c r="AG210">
        <v>0</v>
      </c>
      <c r="AH210">
        <v>0</v>
      </c>
      <c r="AI210">
        <v>4.92</v>
      </c>
      <c r="AJ210">
        <v>1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1E-3</v>
      </c>
      <c r="AU210" t="s">
        <v>120</v>
      </c>
      <c r="AV210">
        <v>0</v>
      </c>
      <c r="AW210">
        <v>2</v>
      </c>
      <c r="AX210">
        <v>55934753</v>
      </c>
      <c r="AY210">
        <v>1</v>
      </c>
      <c r="AZ210">
        <v>0</v>
      </c>
      <c r="BA210">
        <v>249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ROUND(Y210*Source!I149,9)</f>
        <v>1E-3</v>
      </c>
      <c r="CY210">
        <f t="shared" ref="CY210:CY224" si="75">AA210</f>
        <v>75372.679999999993</v>
      </c>
      <c r="CZ210">
        <f t="shared" ref="CZ210:CZ224" si="76">AE210</f>
        <v>15319.65</v>
      </c>
      <c r="DA210">
        <f t="shared" ref="DA210:DA224" si="77">AI210</f>
        <v>4.92</v>
      </c>
      <c r="DB210">
        <f t="shared" ref="DB210:DB224" si="78">ROUND((ROUND(AT210*CZ210,2)*1),6)</f>
        <v>15.32</v>
      </c>
      <c r="DC210">
        <f t="shared" ref="DC210:DC224" si="79">ROUND((ROUND(AT210*AG210,2)*1),6)</f>
        <v>0</v>
      </c>
      <c r="DD210" t="s">
        <v>3</v>
      </c>
      <c r="DE210" t="s">
        <v>3</v>
      </c>
      <c r="DF210">
        <f t="shared" ref="DF210:DF224" si="80">ROUND(ROUND(AE210*AI210,2)*CX210,2)</f>
        <v>75.37</v>
      </c>
      <c r="DG210">
        <f t="shared" si="64"/>
        <v>0</v>
      </c>
      <c r="DH210">
        <f t="shared" si="65"/>
        <v>0</v>
      </c>
      <c r="DI210">
        <f t="shared" si="66"/>
        <v>0</v>
      </c>
      <c r="DJ210">
        <f t="shared" ref="DJ210:DJ224" si="81">DF210</f>
        <v>75.37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ROW(Source!A149)</f>
        <v>149</v>
      </c>
      <c r="B211">
        <v>55934357</v>
      </c>
      <c r="C211">
        <v>55934751</v>
      </c>
      <c r="D211">
        <v>55459261</v>
      </c>
      <c r="E211">
        <v>1</v>
      </c>
      <c r="F211">
        <v>1</v>
      </c>
      <c r="G211">
        <v>1081</v>
      </c>
      <c r="H211">
        <v>3</v>
      </c>
      <c r="I211" t="s">
        <v>260</v>
      </c>
      <c r="J211" t="s">
        <v>261</v>
      </c>
      <c r="K211" t="s">
        <v>262</v>
      </c>
      <c r="L211">
        <v>1348</v>
      </c>
      <c r="N211">
        <v>1009</v>
      </c>
      <c r="O211" t="s">
        <v>232</v>
      </c>
      <c r="P211" t="s">
        <v>232</v>
      </c>
      <c r="Q211">
        <v>1000</v>
      </c>
      <c r="W211">
        <v>0</v>
      </c>
      <c r="X211">
        <v>-2092697376</v>
      </c>
      <c r="Y211">
        <f t="shared" si="74"/>
        <v>5.0000000000000002E-5</v>
      </c>
      <c r="AA211">
        <v>7305.88</v>
      </c>
      <c r="AB211">
        <v>0</v>
      </c>
      <c r="AC211">
        <v>0</v>
      </c>
      <c r="AD211">
        <v>0</v>
      </c>
      <c r="AE211">
        <v>1219.68</v>
      </c>
      <c r="AF211">
        <v>0</v>
      </c>
      <c r="AG211">
        <v>0</v>
      </c>
      <c r="AH211">
        <v>0</v>
      </c>
      <c r="AI211">
        <v>5.99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5.0000000000000002E-5</v>
      </c>
      <c r="AU211" t="s">
        <v>120</v>
      </c>
      <c r="AV211">
        <v>0</v>
      </c>
      <c r="AW211">
        <v>2</v>
      </c>
      <c r="AX211">
        <v>55934754</v>
      </c>
      <c r="AY211">
        <v>1</v>
      </c>
      <c r="AZ211">
        <v>0</v>
      </c>
      <c r="BA211">
        <v>250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ROUND(Y211*Source!I149,9)</f>
        <v>5.0000000000000002E-5</v>
      </c>
      <c r="CY211">
        <f t="shared" si="75"/>
        <v>7305.88</v>
      </c>
      <c r="CZ211">
        <f t="shared" si="76"/>
        <v>1219.68</v>
      </c>
      <c r="DA211">
        <f t="shared" si="77"/>
        <v>5.99</v>
      </c>
      <c r="DB211">
        <f t="shared" si="78"/>
        <v>0.06</v>
      </c>
      <c r="DC211">
        <f t="shared" si="79"/>
        <v>0</v>
      </c>
      <c r="DD211" t="s">
        <v>3</v>
      </c>
      <c r="DE211" t="s">
        <v>3</v>
      </c>
      <c r="DF211">
        <f t="shared" si="80"/>
        <v>0.37</v>
      </c>
      <c r="DG211">
        <f t="shared" si="64"/>
        <v>0</v>
      </c>
      <c r="DH211">
        <f t="shared" si="65"/>
        <v>0</v>
      </c>
      <c r="DI211">
        <f t="shared" si="66"/>
        <v>0</v>
      </c>
      <c r="DJ211">
        <f t="shared" si="81"/>
        <v>0.37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ROW(Source!A149)</f>
        <v>149</v>
      </c>
      <c r="B212">
        <v>55934357</v>
      </c>
      <c r="C212">
        <v>55934751</v>
      </c>
      <c r="D212">
        <v>55460328</v>
      </c>
      <c r="E212">
        <v>1</v>
      </c>
      <c r="F212">
        <v>1</v>
      </c>
      <c r="G212">
        <v>1081</v>
      </c>
      <c r="H212">
        <v>3</v>
      </c>
      <c r="I212" t="s">
        <v>263</v>
      </c>
      <c r="J212" t="s">
        <v>264</v>
      </c>
      <c r="K212" t="s">
        <v>265</v>
      </c>
      <c r="L212">
        <v>1301</v>
      </c>
      <c r="N212">
        <v>1003</v>
      </c>
      <c r="O212" t="s">
        <v>266</v>
      </c>
      <c r="P212" t="s">
        <v>266</v>
      </c>
      <c r="Q212">
        <v>1</v>
      </c>
      <c r="W212">
        <v>0</v>
      </c>
      <c r="X212">
        <v>-206055494</v>
      </c>
      <c r="Y212">
        <f t="shared" si="74"/>
        <v>5</v>
      </c>
      <c r="AA212">
        <v>5.48</v>
      </c>
      <c r="AB212">
        <v>0</v>
      </c>
      <c r="AC212">
        <v>0</v>
      </c>
      <c r="AD212">
        <v>0</v>
      </c>
      <c r="AE212">
        <v>0.39</v>
      </c>
      <c r="AF212">
        <v>0</v>
      </c>
      <c r="AG212">
        <v>0</v>
      </c>
      <c r="AH212">
        <v>0</v>
      </c>
      <c r="AI212">
        <v>14.05</v>
      </c>
      <c r="AJ212">
        <v>1</v>
      </c>
      <c r="AK212">
        <v>1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5</v>
      </c>
      <c r="AU212" t="s">
        <v>120</v>
      </c>
      <c r="AV212">
        <v>0</v>
      </c>
      <c r="AW212">
        <v>2</v>
      </c>
      <c r="AX212">
        <v>55934755</v>
      </c>
      <c r="AY212">
        <v>1</v>
      </c>
      <c r="AZ212">
        <v>0</v>
      </c>
      <c r="BA212">
        <v>251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ROUND(Y212*Source!I149,9)</f>
        <v>5</v>
      </c>
      <c r="CY212">
        <f t="shared" si="75"/>
        <v>5.48</v>
      </c>
      <c r="CZ212">
        <f t="shared" si="76"/>
        <v>0.39</v>
      </c>
      <c r="DA212">
        <f t="shared" si="77"/>
        <v>14.05</v>
      </c>
      <c r="DB212">
        <f t="shared" si="78"/>
        <v>1.95</v>
      </c>
      <c r="DC212">
        <f t="shared" si="79"/>
        <v>0</v>
      </c>
      <c r="DD212" t="s">
        <v>3</v>
      </c>
      <c r="DE212" t="s">
        <v>3</v>
      </c>
      <c r="DF212">
        <f t="shared" si="80"/>
        <v>27.4</v>
      </c>
      <c r="DG212">
        <f t="shared" si="64"/>
        <v>0</v>
      </c>
      <c r="DH212">
        <f t="shared" si="65"/>
        <v>0</v>
      </c>
      <c r="DI212">
        <f t="shared" si="66"/>
        <v>0</v>
      </c>
      <c r="DJ212">
        <f t="shared" si="81"/>
        <v>27.4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ROW(Source!A149)</f>
        <v>149</v>
      </c>
      <c r="B213">
        <v>55934357</v>
      </c>
      <c r="C213">
        <v>55934751</v>
      </c>
      <c r="D213">
        <v>55459312</v>
      </c>
      <c r="E213">
        <v>1</v>
      </c>
      <c r="F213">
        <v>1</v>
      </c>
      <c r="G213">
        <v>1081</v>
      </c>
      <c r="H213">
        <v>3</v>
      </c>
      <c r="I213" t="s">
        <v>267</v>
      </c>
      <c r="J213" t="s">
        <v>268</v>
      </c>
      <c r="K213" t="s">
        <v>269</v>
      </c>
      <c r="L213">
        <v>1339</v>
      </c>
      <c r="N213">
        <v>1007</v>
      </c>
      <c r="O213" t="s">
        <v>270</v>
      </c>
      <c r="P213" t="s">
        <v>270</v>
      </c>
      <c r="Q213">
        <v>1</v>
      </c>
      <c r="W213">
        <v>0</v>
      </c>
      <c r="X213">
        <v>-366856290</v>
      </c>
      <c r="Y213">
        <f t="shared" si="74"/>
        <v>1E-3</v>
      </c>
      <c r="AA213">
        <v>8598.75</v>
      </c>
      <c r="AB213">
        <v>0</v>
      </c>
      <c r="AC213">
        <v>0</v>
      </c>
      <c r="AD213">
        <v>0</v>
      </c>
      <c r="AE213">
        <v>1176.3</v>
      </c>
      <c r="AF213">
        <v>0</v>
      </c>
      <c r="AG213">
        <v>0</v>
      </c>
      <c r="AH213">
        <v>0</v>
      </c>
      <c r="AI213">
        <v>7.31</v>
      </c>
      <c r="AJ213">
        <v>1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1E-3</v>
      </c>
      <c r="AU213" t="s">
        <v>120</v>
      </c>
      <c r="AV213">
        <v>0</v>
      </c>
      <c r="AW213">
        <v>2</v>
      </c>
      <c r="AX213">
        <v>55934756</v>
      </c>
      <c r="AY213">
        <v>1</v>
      </c>
      <c r="AZ213">
        <v>0</v>
      </c>
      <c r="BA213">
        <v>252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ROUND(Y213*Source!I149,9)</f>
        <v>1E-3</v>
      </c>
      <c r="CY213">
        <f t="shared" si="75"/>
        <v>8598.75</v>
      </c>
      <c r="CZ213">
        <f t="shared" si="76"/>
        <v>1176.3</v>
      </c>
      <c r="DA213">
        <f t="shared" si="77"/>
        <v>7.31</v>
      </c>
      <c r="DB213">
        <f t="shared" si="78"/>
        <v>1.18</v>
      </c>
      <c r="DC213">
        <f t="shared" si="79"/>
        <v>0</v>
      </c>
      <c r="DD213" t="s">
        <v>3</v>
      </c>
      <c r="DE213" t="s">
        <v>3</v>
      </c>
      <c r="DF213">
        <f t="shared" si="80"/>
        <v>8.6</v>
      </c>
      <c r="DG213">
        <f t="shared" si="64"/>
        <v>0</v>
      </c>
      <c r="DH213">
        <f t="shared" si="65"/>
        <v>0</v>
      </c>
      <c r="DI213">
        <f t="shared" si="66"/>
        <v>0</v>
      </c>
      <c r="DJ213">
        <f t="shared" si="81"/>
        <v>8.6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ROW(Source!A149)</f>
        <v>149</v>
      </c>
      <c r="B214">
        <v>55934357</v>
      </c>
      <c r="C214">
        <v>55934751</v>
      </c>
      <c r="D214">
        <v>55461230</v>
      </c>
      <c r="E214">
        <v>1</v>
      </c>
      <c r="F214">
        <v>1</v>
      </c>
      <c r="G214">
        <v>1081</v>
      </c>
      <c r="H214">
        <v>3</v>
      </c>
      <c r="I214" t="s">
        <v>271</v>
      </c>
      <c r="J214" t="s">
        <v>272</v>
      </c>
      <c r="K214" t="s">
        <v>273</v>
      </c>
      <c r="L214">
        <v>1346</v>
      </c>
      <c r="N214">
        <v>1009</v>
      </c>
      <c r="O214" t="s">
        <v>252</v>
      </c>
      <c r="P214" t="s">
        <v>252</v>
      </c>
      <c r="Q214">
        <v>1</v>
      </c>
      <c r="W214">
        <v>0</v>
      </c>
      <c r="X214">
        <v>1561715650</v>
      </c>
      <c r="Y214">
        <f t="shared" si="74"/>
        <v>0.01</v>
      </c>
      <c r="AA214">
        <v>200.81</v>
      </c>
      <c r="AB214">
        <v>0</v>
      </c>
      <c r="AC214">
        <v>0</v>
      </c>
      <c r="AD214">
        <v>0</v>
      </c>
      <c r="AE214">
        <v>15.11</v>
      </c>
      <c r="AF214">
        <v>0</v>
      </c>
      <c r="AG214">
        <v>0</v>
      </c>
      <c r="AH214">
        <v>0</v>
      </c>
      <c r="AI214">
        <v>13.29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0.01</v>
      </c>
      <c r="AU214" t="s">
        <v>120</v>
      </c>
      <c r="AV214">
        <v>0</v>
      </c>
      <c r="AW214">
        <v>2</v>
      </c>
      <c r="AX214">
        <v>55934757</v>
      </c>
      <c r="AY214">
        <v>1</v>
      </c>
      <c r="AZ214">
        <v>0</v>
      </c>
      <c r="BA214">
        <v>253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ROUND(Y214*Source!I149,9)</f>
        <v>0.01</v>
      </c>
      <c r="CY214">
        <f t="shared" si="75"/>
        <v>200.81</v>
      </c>
      <c r="CZ214">
        <f t="shared" si="76"/>
        <v>15.11</v>
      </c>
      <c r="DA214">
        <f t="shared" si="77"/>
        <v>13.29</v>
      </c>
      <c r="DB214">
        <f t="shared" si="78"/>
        <v>0.15</v>
      </c>
      <c r="DC214">
        <f t="shared" si="79"/>
        <v>0</v>
      </c>
      <c r="DD214" t="s">
        <v>3</v>
      </c>
      <c r="DE214" t="s">
        <v>3</v>
      </c>
      <c r="DF214">
        <f t="shared" si="80"/>
        <v>2.0099999999999998</v>
      </c>
      <c r="DG214">
        <f t="shared" si="64"/>
        <v>0</v>
      </c>
      <c r="DH214">
        <f t="shared" si="65"/>
        <v>0</v>
      </c>
      <c r="DI214">
        <f t="shared" si="66"/>
        <v>0</v>
      </c>
      <c r="DJ214">
        <f t="shared" si="81"/>
        <v>2.0099999999999998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ROW(Source!A149)</f>
        <v>149</v>
      </c>
      <c r="B215">
        <v>55934357</v>
      </c>
      <c r="C215">
        <v>55934751</v>
      </c>
      <c r="D215">
        <v>55459400</v>
      </c>
      <c r="E215">
        <v>1</v>
      </c>
      <c r="F215">
        <v>1</v>
      </c>
      <c r="G215">
        <v>1081</v>
      </c>
      <c r="H215">
        <v>3</v>
      </c>
      <c r="I215" t="s">
        <v>274</v>
      </c>
      <c r="J215" t="s">
        <v>275</v>
      </c>
      <c r="K215" t="s">
        <v>276</v>
      </c>
      <c r="L215">
        <v>1346</v>
      </c>
      <c r="N215">
        <v>1009</v>
      </c>
      <c r="O215" t="s">
        <v>252</v>
      </c>
      <c r="P215" t="s">
        <v>252</v>
      </c>
      <c r="Q215">
        <v>1</v>
      </c>
      <c r="W215">
        <v>0</v>
      </c>
      <c r="X215">
        <v>-2129869794</v>
      </c>
      <c r="Y215">
        <f t="shared" si="74"/>
        <v>0.01</v>
      </c>
      <c r="AA215">
        <v>387.54</v>
      </c>
      <c r="AB215">
        <v>0</v>
      </c>
      <c r="AC215">
        <v>0</v>
      </c>
      <c r="AD215">
        <v>0</v>
      </c>
      <c r="AE215">
        <v>16.690000000000001</v>
      </c>
      <c r="AF215">
        <v>0</v>
      </c>
      <c r="AG215">
        <v>0</v>
      </c>
      <c r="AH215">
        <v>0</v>
      </c>
      <c r="AI215">
        <v>23.22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0.01</v>
      </c>
      <c r="AU215" t="s">
        <v>120</v>
      </c>
      <c r="AV215">
        <v>0</v>
      </c>
      <c r="AW215">
        <v>2</v>
      </c>
      <c r="AX215">
        <v>55934758</v>
      </c>
      <c r="AY215">
        <v>1</v>
      </c>
      <c r="AZ215">
        <v>0</v>
      </c>
      <c r="BA215">
        <v>254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ROUND(Y215*Source!I149,9)</f>
        <v>0.01</v>
      </c>
      <c r="CY215">
        <f t="shared" si="75"/>
        <v>387.54</v>
      </c>
      <c r="CZ215">
        <f t="shared" si="76"/>
        <v>16.690000000000001</v>
      </c>
      <c r="DA215">
        <f t="shared" si="77"/>
        <v>23.22</v>
      </c>
      <c r="DB215">
        <f t="shared" si="78"/>
        <v>0.17</v>
      </c>
      <c r="DC215">
        <f t="shared" si="79"/>
        <v>0</v>
      </c>
      <c r="DD215" t="s">
        <v>3</v>
      </c>
      <c r="DE215" t="s">
        <v>3</v>
      </c>
      <c r="DF215">
        <f t="shared" si="80"/>
        <v>3.88</v>
      </c>
      <c r="DG215">
        <f t="shared" si="64"/>
        <v>0</v>
      </c>
      <c r="DH215">
        <f t="shared" si="65"/>
        <v>0</v>
      </c>
      <c r="DI215">
        <f t="shared" si="66"/>
        <v>0</v>
      </c>
      <c r="DJ215">
        <f t="shared" si="81"/>
        <v>3.88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ROW(Source!A149)</f>
        <v>149</v>
      </c>
      <c r="B216">
        <v>55934357</v>
      </c>
      <c r="C216">
        <v>55934751</v>
      </c>
      <c r="D216">
        <v>55461719</v>
      </c>
      <c r="E216">
        <v>1</v>
      </c>
      <c r="F216">
        <v>1</v>
      </c>
      <c r="G216">
        <v>1081</v>
      </c>
      <c r="H216">
        <v>3</v>
      </c>
      <c r="I216" t="s">
        <v>229</v>
      </c>
      <c r="J216" t="s">
        <v>230</v>
      </c>
      <c r="K216" t="s">
        <v>231</v>
      </c>
      <c r="L216">
        <v>1348</v>
      </c>
      <c r="N216">
        <v>1009</v>
      </c>
      <c r="O216" t="s">
        <v>232</v>
      </c>
      <c r="P216" t="s">
        <v>232</v>
      </c>
      <c r="Q216">
        <v>1000</v>
      </c>
      <c r="W216">
        <v>0</v>
      </c>
      <c r="X216">
        <v>-1265888387</v>
      </c>
      <c r="Y216">
        <f t="shared" si="74"/>
        <v>1E-4</v>
      </c>
      <c r="AA216">
        <v>147514.47</v>
      </c>
      <c r="AB216">
        <v>0</v>
      </c>
      <c r="AC216">
        <v>0</v>
      </c>
      <c r="AD216">
        <v>0</v>
      </c>
      <c r="AE216">
        <v>10643.18</v>
      </c>
      <c r="AF216">
        <v>0</v>
      </c>
      <c r="AG216">
        <v>0</v>
      </c>
      <c r="AH216">
        <v>0</v>
      </c>
      <c r="AI216">
        <v>13.86</v>
      </c>
      <c r="AJ216">
        <v>1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1E-4</v>
      </c>
      <c r="AU216" t="s">
        <v>120</v>
      </c>
      <c r="AV216">
        <v>0</v>
      </c>
      <c r="AW216">
        <v>2</v>
      </c>
      <c r="AX216">
        <v>55934759</v>
      </c>
      <c r="AY216">
        <v>1</v>
      </c>
      <c r="AZ216">
        <v>0</v>
      </c>
      <c r="BA216">
        <v>255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ROUND(Y216*Source!I149,9)</f>
        <v>1E-4</v>
      </c>
      <c r="CY216">
        <f t="shared" si="75"/>
        <v>147514.47</v>
      </c>
      <c r="CZ216">
        <f t="shared" si="76"/>
        <v>10643.18</v>
      </c>
      <c r="DA216">
        <f t="shared" si="77"/>
        <v>13.86</v>
      </c>
      <c r="DB216">
        <f t="shared" si="78"/>
        <v>1.06</v>
      </c>
      <c r="DC216">
        <f t="shared" si="79"/>
        <v>0</v>
      </c>
      <c r="DD216" t="s">
        <v>3</v>
      </c>
      <c r="DE216" t="s">
        <v>3</v>
      </c>
      <c r="DF216">
        <f t="shared" si="80"/>
        <v>14.75</v>
      </c>
      <c r="DG216">
        <f t="shared" si="64"/>
        <v>0</v>
      </c>
      <c r="DH216">
        <f t="shared" si="65"/>
        <v>0</v>
      </c>
      <c r="DI216">
        <f t="shared" si="66"/>
        <v>0</v>
      </c>
      <c r="DJ216">
        <f t="shared" si="81"/>
        <v>14.75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ROW(Source!A149)</f>
        <v>149</v>
      </c>
      <c r="B217">
        <v>55934357</v>
      </c>
      <c r="C217">
        <v>55934751</v>
      </c>
      <c r="D217">
        <v>55466000</v>
      </c>
      <c r="E217">
        <v>1</v>
      </c>
      <c r="F217">
        <v>1</v>
      </c>
      <c r="G217">
        <v>1081</v>
      </c>
      <c r="H217">
        <v>3</v>
      </c>
      <c r="I217" t="s">
        <v>277</v>
      </c>
      <c r="J217" t="s">
        <v>278</v>
      </c>
      <c r="K217" t="s">
        <v>279</v>
      </c>
      <c r="L217">
        <v>1355</v>
      </c>
      <c r="N217">
        <v>1010</v>
      </c>
      <c r="O217" t="s">
        <v>280</v>
      </c>
      <c r="P217" t="s">
        <v>280</v>
      </c>
      <c r="Q217">
        <v>100</v>
      </c>
      <c r="W217">
        <v>0</v>
      </c>
      <c r="X217">
        <v>436393287</v>
      </c>
      <c r="Y217">
        <f t="shared" si="74"/>
        <v>0.01</v>
      </c>
      <c r="AA217">
        <v>1555.26</v>
      </c>
      <c r="AB217">
        <v>0</v>
      </c>
      <c r="AC217">
        <v>0</v>
      </c>
      <c r="AD217">
        <v>0</v>
      </c>
      <c r="AE217">
        <v>120.19</v>
      </c>
      <c r="AF217">
        <v>0</v>
      </c>
      <c r="AG217">
        <v>0</v>
      </c>
      <c r="AH217">
        <v>0</v>
      </c>
      <c r="AI217">
        <v>12.94</v>
      </c>
      <c r="AJ217">
        <v>1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0.01</v>
      </c>
      <c r="AU217" t="s">
        <v>120</v>
      </c>
      <c r="AV217">
        <v>0</v>
      </c>
      <c r="AW217">
        <v>2</v>
      </c>
      <c r="AX217">
        <v>55934760</v>
      </c>
      <c r="AY217">
        <v>1</v>
      </c>
      <c r="AZ217">
        <v>0</v>
      </c>
      <c r="BA217">
        <v>256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v>0</v>
      </c>
      <c r="CX217">
        <f>ROUND(Y217*Source!I149,9)</f>
        <v>0.01</v>
      </c>
      <c r="CY217">
        <f t="shared" si="75"/>
        <v>1555.26</v>
      </c>
      <c r="CZ217">
        <f t="shared" si="76"/>
        <v>120.19</v>
      </c>
      <c r="DA217">
        <f t="shared" si="77"/>
        <v>12.94</v>
      </c>
      <c r="DB217">
        <f t="shared" si="78"/>
        <v>1.2</v>
      </c>
      <c r="DC217">
        <f t="shared" si="79"/>
        <v>0</v>
      </c>
      <c r="DD217" t="s">
        <v>3</v>
      </c>
      <c r="DE217" t="s">
        <v>3</v>
      </c>
      <c r="DF217">
        <f t="shared" si="80"/>
        <v>15.55</v>
      </c>
      <c r="DG217">
        <f t="shared" si="64"/>
        <v>0</v>
      </c>
      <c r="DH217">
        <f t="shared" si="65"/>
        <v>0</v>
      </c>
      <c r="DI217">
        <f t="shared" si="66"/>
        <v>0</v>
      </c>
      <c r="DJ217">
        <f t="shared" si="81"/>
        <v>15.55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ROW(Source!A149)</f>
        <v>149</v>
      </c>
      <c r="B218">
        <v>55934357</v>
      </c>
      <c r="C218">
        <v>55934751</v>
      </c>
      <c r="D218">
        <v>55459793</v>
      </c>
      <c r="E218">
        <v>1</v>
      </c>
      <c r="F218">
        <v>1</v>
      </c>
      <c r="G218">
        <v>1081</v>
      </c>
      <c r="H218">
        <v>3</v>
      </c>
      <c r="I218" t="s">
        <v>233</v>
      </c>
      <c r="J218" t="s">
        <v>234</v>
      </c>
      <c r="K218" t="s">
        <v>235</v>
      </c>
      <c r="L218">
        <v>1348</v>
      </c>
      <c r="N218">
        <v>1009</v>
      </c>
      <c r="O218" t="s">
        <v>232</v>
      </c>
      <c r="P218" t="s">
        <v>232</v>
      </c>
      <c r="Q218">
        <v>1000</v>
      </c>
      <c r="W218">
        <v>0</v>
      </c>
      <c r="X218">
        <v>-761454284</v>
      </c>
      <c r="Y218">
        <f t="shared" si="74"/>
        <v>2.0000000000000002E-5</v>
      </c>
      <c r="AA218">
        <v>1930745.04</v>
      </c>
      <c r="AB218">
        <v>0</v>
      </c>
      <c r="AC218">
        <v>0</v>
      </c>
      <c r="AD218">
        <v>0</v>
      </c>
      <c r="AE218">
        <v>64123.05</v>
      </c>
      <c r="AF218">
        <v>0</v>
      </c>
      <c r="AG218">
        <v>0</v>
      </c>
      <c r="AH218">
        <v>0</v>
      </c>
      <c r="AI218">
        <v>30.11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2.0000000000000002E-5</v>
      </c>
      <c r="AU218" t="s">
        <v>120</v>
      </c>
      <c r="AV218">
        <v>0</v>
      </c>
      <c r="AW218">
        <v>2</v>
      </c>
      <c r="AX218">
        <v>55934761</v>
      </c>
      <c r="AY218">
        <v>1</v>
      </c>
      <c r="AZ218">
        <v>0</v>
      </c>
      <c r="BA218">
        <v>257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ROUND(Y218*Source!I149,9)</f>
        <v>2.0000000000000002E-5</v>
      </c>
      <c r="CY218">
        <f t="shared" si="75"/>
        <v>1930745.04</v>
      </c>
      <c r="CZ218">
        <f t="shared" si="76"/>
        <v>64123.05</v>
      </c>
      <c r="DA218">
        <f t="shared" si="77"/>
        <v>30.11</v>
      </c>
      <c r="DB218">
        <f t="shared" si="78"/>
        <v>1.28</v>
      </c>
      <c r="DC218">
        <f t="shared" si="79"/>
        <v>0</v>
      </c>
      <c r="DD218" t="s">
        <v>3</v>
      </c>
      <c r="DE218" t="s">
        <v>3</v>
      </c>
      <c r="DF218">
        <f t="shared" si="80"/>
        <v>38.61</v>
      </c>
      <c r="DG218">
        <f t="shared" si="64"/>
        <v>0</v>
      </c>
      <c r="DH218">
        <f t="shared" si="65"/>
        <v>0</v>
      </c>
      <c r="DI218">
        <f t="shared" si="66"/>
        <v>0</v>
      </c>
      <c r="DJ218">
        <f t="shared" si="81"/>
        <v>38.61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ROW(Source!A149)</f>
        <v>149</v>
      </c>
      <c r="B219">
        <v>55934357</v>
      </c>
      <c r="C219">
        <v>55934751</v>
      </c>
      <c r="D219">
        <v>55459810</v>
      </c>
      <c r="E219">
        <v>1</v>
      </c>
      <c r="F219">
        <v>1</v>
      </c>
      <c r="G219">
        <v>1081</v>
      </c>
      <c r="H219">
        <v>3</v>
      </c>
      <c r="I219" t="s">
        <v>281</v>
      </c>
      <c r="J219" t="s">
        <v>282</v>
      </c>
      <c r="K219" t="s">
        <v>283</v>
      </c>
      <c r="L219">
        <v>1348</v>
      </c>
      <c r="N219">
        <v>1009</v>
      </c>
      <c r="O219" t="s">
        <v>232</v>
      </c>
      <c r="P219" t="s">
        <v>232</v>
      </c>
      <c r="Q219">
        <v>1000</v>
      </c>
      <c r="W219">
        <v>0</v>
      </c>
      <c r="X219">
        <v>-98394079</v>
      </c>
      <c r="Y219">
        <f t="shared" si="74"/>
        <v>1E-4</v>
      </c>
      <c r="AA219">
        <v>69285.98</v>
      </c>
      <c r="AB219">
        <v>0</v>
      </c>
      <c r="AC219">
        <v>0</v>
      </c>
      <c r="AD219">
        <v>0</v>
      </c>
      <c r="AE219">
        <v>9238.1299999999992</v>
      </c>
      <c r="AF219">
        <v>0</v>
      </c>
      <c r="AG219">
        <v>0</v>
      </c>
      <c r="AH219">
        <v>0</v>
      </c>
      <c r="AI219">
        <v>7.5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1E-4</v>
      </c>
      <c r="AU219" t="s">
        <v>120</v>
      </c>
      <c r="AV219">
        <v>0</v>
      </c>
      <c r="AW219">
        <v>2</v>
      </c>
      <c r="AX219">
        <v>55934762</v>
      </c>
      <c r="AY219">
        <v>1</v>
      </c>
      <c r="AZ219">
        <v>0</v>
      </c>
      <c r="BA219">
        <v>258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ROUND(Y219*Source!I149,9)</f>
        <v>1E-4</v>
      </c>
      <c r="CY219">
        <f t="shared" si="75"/>
        <v>69285.98</v>
      </c>
      <c r="CZ219">
        <f t="shared" si="76"/>
        <v>9238.1299999999992</v>
      </c>
      <c r="DA219">
        <f t="shared" si="77"/>
        <v>7.5</v>
      </c>
      <c r="DB219">
        <f t="shared" si="78"/>
        <v>0.92</v>
      </c>
      <c r="DC219">
        <f t="shared" si="79"/>
        <v>0</v>
      </c>
      <c r="DD219" t="s">
        <v>3</v>
      </c>
      <c r="DE219" t="s">
        <v>3</v>
      </c>
      <c r="DF219">
        <f t="shared" si="80"/>
        <v>6.93</v>
      </c>
      <c r="DG219">
        <f t="shared" si="64"/>
        <v>0</v>
      </c>
      <c r="DH219">
        <f t="shared" si="65"/>
        <v>0</v>
      </c>
      <c r="DI219">
        <f t="shared" si="66"/>
        <v>0</v>
      </c>
      <c r="DJ219">
        <f t="shared" si="81"/>
        <v>6.93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ROW(Source!A149)</f>
        <v>149</v>
      </c>
      <c r="B220">
        <v>55934357</v>
      </c>
      <c r="C220">
        <v>55934751</v>
      </c>
      <c r="D220">
        <v>55482166</v>
      </c>
      <c r="E220">
        <v>1</v>
      </c>
      <c r="F220">
        <v>1</v>
      </c>
      <c r="G220">
        <v>1081</v>
      </c>
      <c r="H220">
        <v>3</v>
      </c>
      <c r="I220" t="s">
        <v>284</v>
      </c>
      <c r="J220" t="s">
        <v>285</v>
      </c>
      <c r="K220" t="s">
        <v>286</v>
      </c>
      <c r="L220">
        <v>1301</v>
      </c>
      <c r="N220">
        <v>1003</v>
      </c>
      <c r="O220" t="s">
        <v>266</v>
      </c>
      <c r="P220" t="s">
        <v>266</v>
      </c>
      <c r="Q220">
        <v>1</v>
      </c>
      <c r="W220">
        <v>0</v>
      </c>
      <c r="X220">
        <v>876831867</v>
      </c>
      <c r="Y220">
        <f t="shared" si="74"/>
        <v>1</v>
      </c>
      <c r="AA220">
        <v>4.76</v>
      </c>
      <c r="AB220">
        <v>0</v>
      </c>
      <c r="AC220">
        <v>0</v>
      </c>
      <c r="AD220">
        <v>0</v>
      </c>
      <c r="AE220">
        <v>0.69</v>
      </c>
      <c r="AF220">
        <v>0</v>
      </c>
      <c r="AG220">
        <v>0</v>
      </c>
      <c r="AH220">
        <v>0</v>
      </c>
      <c r="AI220">
        <v>6.9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1</v>
      </c>
      <c r="AU220" t="s">
        <v>120</v>
      </c>
      <c r="AV220">
        <v>0</v>
      </c>
      <c r="AW220">
        <v>2</v>
      </c>
      <c r="AX220">
        <v>55934763</v>
      </c>
      <c r="AY220">
        <v>1</v>
      </c>
      <c r="AZ220">
        <v>0</v>
      </c>
      <c r="BA220">
        <v>259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ROUND(Y220*Source!I149,9)</f>
        <v>1</v>
      </c>
      <c r="CY220">
        <f t="shared" si="75"/>
        <v>4.76</v>
      </c>
      <c r="CZ220">
        <f t="shared" si="76"/>
        <v>0.69</v>
      </c>
      <c r="DA220">
        <f t="shared" si="77"/>
        <v>6.9</v>
      </c>
      <c r="DB220">
        <f t="shared" si="78"/>
        <v>0.69</v>
      </c>
      <c r="DC220">
        <f t="shared" si="79"/>
        <v>0</v>
      </c>
      <c r="DD220" t="s">
        <v>3</v>
      </c>
      <c r="DE220" t="s">
        <v>3</v>
      </c>
      <c r="DF220">
        <f t="shared" si="80"/>
        <v>4.76</v>
      </c>
      <c r="DG220">
        <f t="shared" si="64"/>
        <v>0</v>
      </c>
      <c r="DH220">
        <f t="shared" si="65"/>
        <v>0</v>
      </c>
      <c r="DI220">
        <f t="shared" si="66"/>
        <v>0</v>
      </c>
      <c r="DJ220">
        <f t="shared" si="81"/>
        <v>4.76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ROW(Source!A149)</f>
        <v>149</v>
      </c>
      <c r="B221">
        <v>55934357</v>
      </c>
      <c r="C221">
        <v>55934751</v>
      </c>
      <c r="D221">
        <v>55482445</v>
      </c>
      <c r="E221">
        <v>1</v>
      </c>
      <c r="F221">
        <v>1</v>
      </c>
      <c r="G221">
        <v>1081</v>
      </c>
      <c r="H221">
        <v>3</v>
      </c>
      <c r="I221" t="s">
        <v>287</v>
      </c>
      <c r="J221" t="s">
        <v>288</v>
      </c>
      <c r="K221" t="s">
        <v>289</v>
      </c>
      <c r="L221">
        <v>1356</v>
      </c>
      <c r="N221">
        <v>1010</v>
      </c>
      <c r="O221" t="s">
        <v>246</v>
      </c>
      <c r="P221" t="s">
        <v>246</v>
      </c>
      <c r="Q221">
        <v>1000</v>
      </c>
      <c r="W221">
        <v>0</v>
      </c>
      <c r="X221">
        <v>-285397556</v>
      </c>
      <c r="Y221">
        <f t="shared" si="74"/>
        <v>0.01</v>
      </c>
      <c r="AA221">
        <v>1040.96</v>
      </c>
      <c r="AB221">
        <v>0</v>
      </c>
      <c r="AC221">
        <v>0</v>
      </c>
      <c r="AD221">
        <v>0</v>
      </c>
      <c r="AE221">
        <v>294.89</v>
      </c>
      <c r="AF221">
        <v>0</v>
      </c>
      <c r="AG221">
        <v>0</v>
      </c>
      <c r="AH221">
        <v>0</v>
      </c>
      <c r="AI221">
        <v>3.53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0.01</v>
      </c>
      <c r="AU221" t="s">
        <v>120</v>
      </c>
      <c r="AV221">
        <v>0</v>
      </c>
      <c r="AW221">
        <v>2</v>
      </c>
      <c r="AX221">
        <v>55934764</v>
      </c>
      <c r="AY221">
        <v>1</v>
      </c>
      <c r="AZ221">
        <v>0</v>
      </c>
      <c r="BA221">
        <v>260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ROUND(Y221*Source!I149,9)</f>
        <v>0.01</v>
      </c>
      <c r="CY221">
        <f t="shared" si="75"/>
        <v>1040.96</v>
      </c>
      <c r="CZ221">
        <f t="shared" si="76"/>
        <v>294.89</v>
      </c>
      <c r="DA221">
        <f t="shared" si="77"/>
        <v>3.53</v>
      </c>
      <c r="DB221">
        <f t="shared" si="78"/>
        <v>2.95</v>
      </c>
      <c r="DC221">
        <f t="shared" si="79"/>
        <v>0</v>
      </c>
      <c r="DD221" t="s">
        <v>3</v>
      </c>
      <c r="DE221" t="s">
        <v>3</v>
      </c>
      <c r="DF221">
        <f t="shared" si="80"/>
        <v>10.41</v>
      </c>
      <c r="DG221">
        <f t="shared" si="64"/>
        <v>0</v>
      </c>
      <c r="DH221">
        <f t="shared" si="65"/>
        <v>0</v>
      </c>
      <c r="DI221">
        <f t="shared" si="66"/>
        <v>0</v>
      </c>
      <c r="DJ221">
        <f t="shared" si="81"/>
        <v>10.41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ROW(Source!A149)</f>
        <v>149</v>
      </c>
      <c r="B222">
        <v>55934357</v>
      </c>
      <c r="C222">
        <v>55934751</v>
      </c>
      <c r="D222">
        <v>55481518</v>
      </c>
      <c r="E222">
        <v>1</v>
      </c>
      <c r="F222">
        <v>1</v>
      </c>
      <c r="G222">
        <v>1081</v>
      </c>
      <c r="H222">
        <v>3</v>
      </c>
      <c r="I222" t="s">
        <v>290</v>
      </c>
      <c r="J222" t="s">
        <v>291</v>
      </c>
      <c r="K222" t="s">
        <v>292</v>
      </c>
      <c r="L222">
        <v>1354</v>
      </c>
      <c r="N222">
        <v>1010</v>
      </c>
      <c r="O222" t="s">
        <v>293</v>
      </c>
      <c r="P222" t="s">
        <v>293</v>
      </c>
      <c r="Q222">
        <v>1</v>
      </c>
      <c r="W222">
        <v>0</v>
      </c>
      <c r="X222">
        <v>55982921</v>
      </c>
      <c r="Y222">
        <f t="shared" si="74"/>
        <v>1</v>
      </c>
      <c r="AA222">
        <v>10.66</v>
      </c>
      <c r="AB222">
        <v>0</v>
      </c>
      <c r="AC222">
        <v>0</v>
      </c>
      <c r="AD222">
        <v>0</v>
      </c>
      <c r="AE222">
        <v>15.67</v>
      </c>
      <c r="AF222">
        <v>0</v>
      </c>
      <c r="AG222">
        <v>0</v>
      </c>
      <c r="AH222">
        <v>0</v>
      </c>
      <c r="AI222">
        <v>0.68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</v>
      </c>
      <c r="AU222" t="s">
        <v>120</v>
      </c>
      <c r="AV222">
        <v>0</v>
      </c>
      <c r="AW222">
        <v>2</v>
      </c>
      <c r="AX222">
        <v>55934765</v>
      </c>
      <c r="AY222">
        <v>1</v>
      </c>
      <c r="AZ222">
        <v>0</v>
      </c>
      <c r="BA222">
        <v>261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ROUND(Y222*Source!I149,9)</f>
        <v>1</v>
      </c>
      <c r="CY222">
        <f t="shared" si="75"/>
        <v>10.66</v>
      </c>
      <c r="CZ222">
        <f t="shared" si="76"/>
        <v>15.67</v>
      </c>
      <c r="DA222">
        <f t="shared" si="77"/>
        <v>0.68</v>
      </c>
      <c r="DB222">
        <f t="shared" si="78"/>
        <v>15.67</v>
      </c>
      <c r="DC222">
        <f t="shared" si="79"/>
        <v>0</v>
      </c>
      <c r="DD222" t="s">
        <v>3</v>
      </c>
      <c r="DE222" t="s">
        <v>3</v>
      </c>
      <c r="DF222">
        <f t="shared" si="80"/>
        <v>10.66</v>
      </c>
      <c r="DG222">
        <f t="shared" si="64"/>
        <v>0</v>
      </c>
      <c r="DH222">
        <f t="shared" si="65"/>
        <v>0</v>
      </c>
      <c r="DI222">
        <f t="shared" si="66"/>
        <v>0</v>
      </c>
      <c r="DJ222">
        <f t="shared" si="81"/>
        <v>10.66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ROW(Source!A149)</f>
        <v>149</v>
      </c>
      <c r="B223">
        <v>55934357</v>
      </c>
      <c r="C223">
        <v>55934751</v>
      </c>
      <c r="D223">
        <v>0</v>
      </c>
      <c r="E223">
        <v>0</v>
      </c>
      <c r="F223">
        <v>1</v>
      </c>
      <c r="G223">
        <v>1081</v>
      </c>
      <c r="H223">
        <v>3</v>
      </c>
      <c r="I223" t="s">
        <v>313</v>
      </c>
      <c r="J223" t="s">
        <v>313</v>
      </c>
      <c r="K223" t="s">
        <v>177</v>
      </c>
      <c r="L223">
        <v>1371</v>
      </c>
      <c r="N223">
        <v>1013</v>
      </c>
      <c r="O223" t="s">
        <v>126</v>
      </c>
      <c r="P223" t="s">
        <v>126</v>
      </c>
      <c r="Q223">
        <v>1</v>
      </c>
      <c r="W223">
        <v>0</v>
      </c>
      <c r="X223">
        <v>-861159064</v>
      </c>
      <c r="Y223">
        <f t="shared" si="74"/>
        <v>1</v>
      </c>
      <c r="AA223">
        <v>65185.120000000003</v>
      </c>
      <c r="AB223">
        <v>0</v>
      </c>
      <c r="AC223">
        <v>0</v>
      </c>
      <c r="AD223">
        <v>0</v>
      </c>
      <c r="AE223">
        <v>8610.9800000000014</v>
      </c>
      <c r="AF223">
        <v>0</v>
      </c>
      <c r="AG223">
        <v>0</v>
      </c>
      <c r="AH223">
        <v>0</v>
      </c>
      <c r="AI223">
        <v>7.57</v>
      </c>
      <c r="AJ223">
        <v>1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3</v>
      </c>
      <c r="AT223">
        <v>1</v>
      </c>
      <c r="AU223" t="s">
        <v>120</v>
      </c>
      <c r="AV223">
        <v>0</v>
      </c>
      <c r="AW223">
        <v>1</v>
      </c>
      <c r="AX223">
        <v>-1</v>
      </c>
      <c r="AY223">
        <v>0</v>
      </c>
      <c r="AZ223">
        <v>0</v>
      </c>
      <c r="BA223" t="s">
        <v>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ROUND(Y223*Source!I149,9)</f>
        <v>1</v>
      </c>
      <c r="CY223">
        <f t="shared" si="75"/>
        <v>65185.120000000003</v>
      </c>
      <c r="CZ223">
        <f t="shared" si="76"/>
        <v>8610.9800000000014</v>
      </c>
      <c r="DA223">
        <f t="shared" si="77"/>
        <v>7.57</v>
      </c>
      <c r="DB223">
        <f t="shared" si="78"/>
        <v>8610.98</v>
      </c>
      <c r="DC223">
        <f t="shared" si="79"/>
        <v>0</v>
      </c>
      <c r="DD223" t="s">
        <v>3</v>
      </c>
      <c r="DE223" t="s">
        <v>3</v>
      </c>
      <c r="DF223">
        <f t="shared" si="80"/>
        <v>65185.120000000003</v>
      </c>
      <c r="DG223">
        <f t="shared" si="64"/>
        <v>0</v>
      </c>
      <c r="DH223">
        <f t="shared" si="65"/>
        <v>0</v>
      </c>
      <c r="DI223">
        <f t="shared" si="66"/>
        <v>0</v>
      </c>
      <c r="DJ223">
        <f t="shared" si="81"/>
        <v>65185.120000000003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ROW(Source!A149)</f>
        <v>149</v>
      </c>
      <c r="B224">
        <v>55934357</v>
      </c>
      <c r="C224">
        <v>55934751</v>
      </c>
      <c r="D224">
        <v>55424290</v>
      </c>
      <c r="E224">
        <v>1081</v>
      </c>
      <c r="F224">
        <v>1</v>
      </c>
      <c r="G224">
        <v>1081</v>
      </c>
      <c r="H224">
        <v>3</v>
      </c>
      <c r="I224" t="s">
        <v>247</v>
      </c>
      <c r="J224" t="s">
        <v>3</v>
      </c>
      <c r="K224" t="s">
        <v>248</v>
      </c>
      <c r="L224">
        <v>1348</v>
      </c>
      <c r="N224">
        <v>1009</v>
      </c>
      <c r="O224" t="s">
        <v>232</v>
      </c>
      <c r="P224" t="s">
        <v>232</v>
      </c>
      <c r="Q224">
        <v>1000</v>
      </c>
      <c r="W224">
        <v>0</v>
      </c>
      <c r="X224">
        <v>-783086922</v>
      </c>
      <c r="Y224">
        <f t="shared" si="74"/>
        <v>1E-3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9.84</v>
      </c>
      <c r="AJ224">
        <v>1</v>
      </c>
      <c r="AK224">
        <v>1</v>
      </c>
      <c r="AL224">
        <v>1</v>
      </c>
      <c r="AM224">
        <v>5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1E-3</v>
      </c>
      <c r="AU224" t="s">
        <v>120</v>
      </c>
      <c r="AV224">
        <v>0</v>
      </c>
      <c r="AW224">
        <v>2</v>
      </c>
      <c r="AX224">
        <v>55934768</v>
      </c>
      <c r="AY224">
        <v>1</v>
      </c>
      <c r="AZ224">
        <v>0</v>
      </c>
      <c r="BA224">
        <v>264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ROUND(Y224*Source!I149,9)</f>
        <v>1E-3</v>
      </c>
      <c r="CY224">
        <f t="shared" si="75"/>
        <v>0</v>
      </c>
      <c r="CZ224">
        <f t="shared" si="76"/>
        <v>0</v>
      </c>
      <c r="DA224">
        <f t="shared" si="77"/>
        <v>9.84</v>
      </c>
      <c r="DB224">
        <f t="shared" si="78"/>
        <v>0</v>
      </c>
      <c r="DC224">
        <f t="shared" si="79"/>
        <v>0</v>
      </c>
      <c r="DD224" t="s">
        <v>3</v>
      </c>
      <c r="DE224" t="s">
        <v>3</v>
      </c>
      <c r="DF224">
        <f t="shared" si="80"/>
        <v>0</v>
      </c>
      <c r="DG224">
        <f t="shared" si="64"/>
        <v>0</v>
      </c>
      <c r="DH224">
        <f t="shared" si="65"/>
        <v>0</v>
      </c>
      <c r="DI224">
        <f t="shared" si="66"/>
        <v>0</v>
      </c>
      <c r="DJ224">
        <f t="shared" si="81"/>
        <v>0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ROW(Source!A152)</f>
        <v>152</v>
      </c>
      <c r="B225">
        <v>55934355</v>
      </c>
      <c r="C225">
        <v>55934781</v>
      </c>
      <c r="D225">
        <v>55424304</v>
      </c>
      <c r="E225">
        <v>1081</v>
      </c>
      <c r="F225">
        <v>1</v>
      </c>
      <c r="G225">
        <v>1081</v>
      </c>
      <c r="H225">
        <v>1</v>
      </c>
      <c r="I225" t="s">
        <v>221</v>
      </c>
      <c r="J225" t="s">
        <v>3</v>
      </c>
      <c r="K225" t="s">
        <v>222</v>
      </c>
      <c r="L225">
        <v>1191</v>
      </c>
      <c r="N225">
        <v>1013</v>
      </c>
      <c r="O225" t="s">
        <v>223</v>
      </c>
      <c r="P225" t="s">
        <v>223</v>
      </c>
      <c r="Q225">
        <v>1</v>
      </c>
      <c r="W225">
        <v>0</v>
      </c>
      <c r="X225">
        <v>476480486</v>
      </c>
      <c r="Y225">
        <f>(AT225*1.2)</f>
        <v>3.5999999999999996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-2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3</v>
      </c>
      <c r="AU225" t="s">
        <v>121</v>
      </c>
      <c r="AV225">
        <v>1</v>
      </c>
      <c r="AW225">
        <v>2</v>
      </c>
      <c r="AX225">
        <v>55934818</v>
      </c>
      <c r="AY225">
        <v>1</v>
      </c>
      <c r="AZ225">
        <v>0</v>
      </c>
      <c r="BA225">
        <v>265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U225">
        <f>ROUND(AT225*Source!I152*AH225*AL225,2)</f>
        <v>0</v>
      </c>
      <c r="CV225">
        <f>ROUND(Y225*Source!I152,9)</f>
        <v>50.4</v>
      </c>
      <c r="CW225">
        <v>0</v>
      </c>
      <c r="CX225">
        <f>ROUND(Y225*Source!I152,9)</f>
        <v>50.4</v>
      </c>
      <c r="CY225">
        <f>AD225</f>
        <v>0</v>
      </c>
      <c r="CZ225">
        <f>AH225</f>
        <v>0</v>
      </c>
      <c r="DA225">
        <f>AL225</f>
        <v>1</v>
      </c>
      <c r="DB225">
        <f>ROUND((ROUND(AT225*CZ225,2)*1.2),6)</f>
        <v>0</v>
      </c>
      <c r="DC225">
        <f>ROUND((ROUND(AT225*AG225,2)*1.2),6)</f>
        <v>0</v>
      </c>
      <c r="DD225" t="s">
        <v>3</v>
      </c>
      <c r="DE225" t="s">
        <v>3</v>
      </c>
      <c r="DF225">
        <f t="shared" ref="DF225:DF241" si="82">ROUND(ROUND(AE225,2)*CX225,2)</f>
        <v>0</v>
      </c>
      <c r="DG225">
        <f t="shared" ref="DG225:DG256" si="83">ROUND(ROUND(AF225,2)*CX225,2)</f>
        <v>0</v>
      </c>
      <c r="DH225">
        <f t="shared" ref="DH225:DH256" si="84">ROUND(ROUND(AG225,2)*CX225,2)</f>
        <v>0</v>
      </c>
      <c r="DI225">
        <f t="shared" si="66"/>
        <v>0</v>
      </c>
      <c r="DJ225">
        <f>DI225</f>
        <v>0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ROW(Source!A152)</f>
        <v>152</v>
      </c>
      <c r="B226">
        <v>55934355</v>
      </c>
      <c r="C226">
        <v>55934781</v>
      </c>
      <c r="D226">
        <v>55459894</v>
      </c>
      <c r="E226">
        <v>1</v>
      </c>
      <c r="F226">
        <v>1</v>
      </c>
      <c r="G226">
        <v>1081</v>
      </c>
      <c r="H226">
        <v>3</v>
      </c>
      <c r="I226" t="s">
        <v>257</v>
      </c>
      <c r="J226" t="s">
        <v>258</v>
      </c>
      <c r="K226" t="s">
        <v>259</v>
      </c>
      <c r="L226">
        <v>1348</v>
      </c>
      <c r="N226">
        <v>1009</v>
      </c>
      <c r="O226" t="s">
        <v>232</v>
      </c>
      <c r="P226" t="s">
        <v>232</v>
      </c>
      <c r="Q226">
        <v>1000</v>
      </c>
      <c r="W226">
        <v>0</v>
      </c>
      <c r="X226">
        <v>1175474266</v>
      </c>
      <c r="Y226">
        <f t="shared" ref="Y226:Y240" si="85">(AT226*1)</f>
        <v>1E-3</v>
      </c>
      <c r="AA226">
        <v>15319.65</v>
      </c>
      <c r="AB226">
        <v>0</v>
      </c>
      <c r="AC226">
        <v>0</v>
      </c>
      <c r="AD226">
        <v>0</v>
      </c>
      <c r="AE226">
        <v>15319.65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-2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1E-3</v>
      </c>
      <c r="AU226" t="s">
        <v>120</v>
      </c>
      <c r="AV226">
        <v>0</v>
      </c>
      <c r="AW226">
        <v>2</v>
      </c>
      <c r="AX226">
        <v>55934819</v>
      </c>
      <c r="AY226">
        <v>1</v>
      </c>
      <c r="AZ226">
        <v>0</v>
      </c>
      <c r="BA226">
        <v>266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ROUND(Y226*Source!I152,9)</f>
        <v>1.4E-2</v>
      </c>
      <c r="CY226">
        <f t="shared" ref="CY226:CY240" si="86">AA226</f>
        <v>15319.65</v>
      </c>
      <c r="CZ226">
        <f t="shared" ref="CZ226:CZ240" si="87">AE226</f>
        <v>15319.65</v>
      </c>
      <c r="DA226">
        <f t="shared" ref="DA226:DA240" si="88">AI226</f>
        <v>1</v>
      </c>
      <c r="DB226">
        <f t="shared" ref="DB226:DB240" si="89">ROUND((ROUND(AT226*CZ226,2)*1),6)</f>
        <v>15.32</v>
      </c>
      <c r="DC226">
        <f t="shared" ref="DC226:DC240" si="90">ROUND((ROUND(AT226*AG226,2)*1),6)</f>
        <v>0</v>
      </c>
      <c r="DD226" t="s">
        <v>3</v>
      </c>
      <c r="DE226" t="s">
        <v>3</v>
      </c>
      <c r="DF226">
        <f t="shared" si="82"/>
        <v>214.48</v>
      </c>
      <c r="DG226">
        <f t="shared" si="83"/>
        <v>0</v>
      </c>
      <c r="DH226">
        <f t="shared" si="84"/>
        <v>0</v>
      </c>
      <c r="DI226">
        <f t="shared" si="66"/>
        <v>0</v>
      </c>
      <c r="DJ226">
        <f t="shared" ref="DJ226:DJ240" si="91">DF226</f>
        <v>214.48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ROW(Source!A152)</f>
        <v>152</v>
      </c>
      <c r="B227">
        <v>55934355</v>
      </c>
      <c r="C227">
        <v>55934781</v>
      </c>
      <c r="D227">
        <v>55459261</v>
      </c>
      <c r="E227">
        <v>1</v>
      </c>
      <c r="F227">
        <v>1</v>
      </c>
      <c r="G227">
        <v>1081</v>
      </c>
      <c r="H227">
        <v>3</v>
      </c>
      <c r="I227" t="s">
        <v>260</v>
      </c>
      <c r="J227" t="s">
        <v>261</v>
      </c>
      <c r="K227" t="s">
        <v>262</v>
      </c>
      <c r="L227">
        <v>1348</v>
      </c>
      <c r="N227">
        <v>1009</v>
      </c>
      <c r="O227" t="s">
        <v>232</v>
      </c>
      <c r="P227" t="s">
        <v>232</v>
      </c>
      <c r="Q227">
        <v>1000</v>
      </c>
      <c r="W227">
        <v>0</v>
      </c>
      <c r="X227">
        <v>-2092697376</v>
      </c>
      <c r="Y227">
        <f t="shared" si="85"/>
        <v>5.0000000000000002E-5</v>
      </c>
      <c r="AA227">
        <v>1219.68</v>
      </c>
      <c r="AB227">
        <v>0</v>
      </c>
      <c r="AC227">
        <v>0</v>
      </c>
      <c r="AD227">
        <v>0</v>
      </c>
      <c r="AE227">
        <v>1219.68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-2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5.0000000000000002E-5</v>
      </c>
      <c r="AU227" t="s">
        <v>120</v>
      </c>
      <c r="AV227">
        <v>0</v>
      </c>
      <c r="AW227">
        <v>2</v>
      </c>
      <c r="AX227">
        <v>55934820</v>
      </c>
      <c r="AY227">
        <v>1</v>
      </c>
      <c r="AZ227">
        <v>0</v>
      </c>
      <c r="BA227">
        <v>267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ROUND(Y227*Source!I152,9)</f>
        <v>6.9999999999999999E-4</v>
      </c>
      <c r="CY227">
        <f t="shared" si="86"/>
        <v>1219.68</v>
      </c>
      <c r="CZ227">
        <f t="shared" si="87"/>
        <v>1219.68</v>
      </c>
      <c r="DA227">
        <f t="shared" si="88"/>
        <v>1</v>
      </c>
      <c r="DB227">
        <f t="shared" si="89"/>
        <v>0.06</v>
      </c>
      <c r="DC227">
        <f t="shared" si="90"/>
        <v>0</v>
      </c>
      <c r="DD227" t="s">
        <v>3</v>
      </c>
      <c r="DE227" t="s">
        <v>3</v>
      </c>
      <c r="DF227">
        <f t="shared" si="82"/>
        <v>0.85</v>
      </c>
      <c r="DG227">
        <f t="shared" si="83"/>
        <v>0</v>
      </c>
      <c r="DH227">
        <f t="shared" si="84"/>
        <v>0</v>
      </c>
      <c r="DI227">
        <f t="shared" si="66"/>
        <v>0</v>
      </c>
      <c r="DJ227">
        <f t="shared" si="91"/>
        <v>0.85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ROW(Source!A152)</f>
        <v>152</v>
      </c>
      <c r="B228">
        <v>55934355</v>
      </c>
      <c r="C228">
        <v>55934781</v>
      </c>
      <c r="D228">
        <v>55460328</v>
      </c>
      <c r="E228">
        <v>1</v>
      </c>
      <c r="F228">
        <v>1</v>
      </c>
      <c r="G228">
        <v>1081</v>
      </c>
      <c r="H228">
        <v>3</v>
      </c>
      <c r="I228" t="s">
        <v>263</v>
      </c>
      <c r="J228" t="s">
        <v>264</v>
      </c>
      <c r="K228" t="s">
        <v>265</v>
      </c>
      <c r="L228">
        <v>1301</v>
      </c>
      <c r="N228">
        <v>1003</v>
      </c>
      <c r="O228" t="s">
        <v>266</v>
      </c>
      <c r="P228" t="s">
        <v>266</v>
      </c>
      <c r="Q228">
        <v>1</v>
      </c>
      <c r="W228">
        <v>0</v>
      </c>
      <c r="X228">
        <v>-206055494</v>
      </c>
      <c r="Y228">
        <f t="shared" si="85"/>
        <v>5</v>
      </c>
      <c r="AA228">
        <v>0.39</v>
      </c>
      <c r="AB228">
        <v>0</v>
      </c>
      <c r="AC228">
        <v>0</v>
      </c>
      <c r="AD228">
        <v>0</v>
      </c>
      <c r="AE228">
        <v>0.39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-2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5</v>
      </c>
      <c r="AU228" t="s">
        <v>120</v>
      </c>
      <c r="AV228">
        <v>0</v>
      </c>
      <c r="AW228">
        <v>2</v>
      </c>
      <c r="AX228">
        <v>55934821</v>
      </c>
      <c r="AY228">
        <v>1</v>
      </c>
      <c r="AZ228">
        <v>0</v>
      </c>
      <c r="BA228">
        <v>268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ROUND(Y228*Source!I152,9)</f>
        <v>70</v>
      </c>
      <c r="CY228">
        <f t="shared" si="86"/>
        <v>0.39</v>
      </c>
      <c r="CZ228">
        <f t="shared" si="87"/>
        <v>0.39</v>
      </c>
      <c r="DA228">
        <f t="shared" si="88"/>
        <v>1</v>
      </c>
      <c r="DB228">
        <f t="shared" si="89"/>
        <v>1.95</v>
      </c>
      <c r="DC228">
        <f t="shared" si="90"/>
        <v>0</v>
      </c>
      <c r="DD228" t="s">
        <v>3</v>
      </c>
      <c r="DE228" t="s">
        <v>3</v>
      </c>
      <c r="DF228">
        <f t="shared" si="82"/>
        <v>27.3</v>
      </c>
      <c r="DG228">
        <f t="shared" si="83"/>
        <v>0</v>
      </c>
      <c r="DH228">
        <f t="shared" si="84"/>
        <v>0</v>
      </c>
      <c r="DI228">
        <f t="shared" si="66"/>
        <v>0</v>
      </c>
      <c r="DJ228">
        <f t="shared" si="91"/>
        <v>27.3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ROW(Source!A152)</f>
        <v>152</v>
      </c>
      <c r="B229">
        <v>55934355</v>
      </c>
      <c r="C229">
        <v>55934781</v>
      </c>
      <c r="D229">
        <v>55459312</v>
      </c>
      <c r="E229">
        <v>1</v>
      </c>
      <c r="F229">
        <v>1</v>
      </c>
      <c r="G229">
        <v>1081</v>
      </c>
      <c r="H229">
        <v>3</v>
      </c>
      <c r="I229" t="s">
        <v>267</v>
      </c>
      <c r="J229" t="s">
        <v>268</v>
      </c>
      <c r="K229" t="s">
        <v>269</v>
      </c>
      <c r="L229">
        <v>1339</v>
      </c>
      <c r="N229">
        <v>1007</v>
      </c>
      <c r="O229" t="s">
        <v>270</v>
      </c>
      <c r="P229" t="s">
        <v>270</v>
      </c>
      <c r="Q229">
        <v>1</v>
      </c>
      <c r="W229">
        <v>0</v>
      </c>
      <c r="X229">
        <v>-366856290</v>
      </c>
      <c r="Y229">
        <f t="shared" si="85"/>
        <v>1E-3</v>
      </c>
      <c r="AA229">
        <v>1176.3</v>
      </c>
      <c r="AB229">
        <v>0</v>
      </c>
      <c r="AC229">
        <v>0</v>
      </c>
      <c r="AD229">
        <v>0</v>
      </c>
      <c r="AE229">
        <v>1176.3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1E-3</v>
      </c>
      <c r="AU229" t="s">
        <v>120</v>
      </c>
      <c r="AV229">
        <v>0</v>
      </c>
      <c r="AW229">
        <v>2</v>
      </c>
      <c r="AX229">
        <v>55934822</v>
      </c>
      <c r="AY229">
        <v>1</v>
      </c>
      <c r="AZ229">
        <v>0</v>
      </c>
      <c r="BA229">
        <v>269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v>0</v>
      </c>
      <c r="CX229">
        <f>ROUND(Y229*Source!I152,9)</f>
        <v>1.4E-2</v>
      </c>
      <c r="CY229">
        <f t="shared" si="86"/>
        <v>1176.3</v>
      </c>
      <c r="CZ229">
        <f t="shared" si="87"/>
        <v>1176.3</v>
      </c>
      <c r="DA229">
        <f t="shared" si="88"/>
        <v>1</v>
      </c>
      <c r="DB229">
        <f t="shared" si="89"/>
        <v>1.18</v>
      </c>
      <c r="DC229">
        <f t="shared" si="90"/>
        <v>0</v>
      </c>
      <c r="DD229" t="s">
        <v>3</v>
      </c>
      <c r="DE229" t="s">
        <v>3</v>
      </c>
      <c r="DF229">
        <f t="shared" si="82"/>
        <v>16.47</v>
      </c>
      <c r="DG229">
        <f t="shared" si="83"/>
        <v>0</v>
      </c>
      <c r="DH229">
        <f t="shared" si="84"/>
        <v>0</v>
      </c>
      <c r="DI229">
        <f t="shared" si="66"/>
        <v>0</v>
      </c>
      <c r="DJ229">
        <f t="shared" si="91"/>
        <v>16.47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ROW(Source!A152)</f>
        <v>152</v>
      </c>
      <c r="B230">
        <v>55934355</v>
      </c>
      <c r="C230">
        <v>55934781</v>
      </c>
      <c r="D230">
        <v>55461230</v>
      </c>
      <c r="E230">
        <v>1</v>
      </c>
      <c r="F230">
        <v>1</v>
      </c>
      <c r="G230">
        <v>1081</v>
      </c>
      <c r="H230">
        <v>3</v>
      </c>
      <c r="I230" t="s">
        <v>271</v>
      </c>
      <c r="J230" t="s">
        <v>272</v>
      </c>
      <c r="K230" t="s">
        <v>273</v>
      </c>
      <c r="L230">
        <v>1346</v>
      </c>
      <c r="N230">
        <v>1009</v>
      </c>
      <c r="O230" t="s">
        <v>252</v>
      </c>
      <c r="P230" t="s">
        <v>252</v>
      </c>
      <c r="Q230">
        <v>1</v>
      </c>
      <c r="W230">
        <v>0</v>
      </c>
      <c r="X230">
        <v>1561715650</v>
      </c>
      <c r="Y230">
        <f t="shared" si="85"/>
        <v>0.01</v>
      </c>
      <c r="AA230">
        <v>15.11</v>
      </c>
      <c r="AB230">
        <v>0</v>
      </c>
      <c r="AC230">
        <v>0</v>
      </c>
      <c r="AD230">
        <v>0</v>
      </c>
      <c r="AE230">
        <v>15.11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0.01</v>
      </c>
      <c r="AU230" t="s">
        <v>120</v>
      </c>
      <c r="AV230">
        <v>0</v>
      </c>
      <c r="AW230">
        <v>2</v>
      </c>
      <c r="AX230">
        <v>55934823</v>
      </c>
      <c r="AY230">
        <v>1</v>
      </c>
      <c r="AZ230">
        <v>0</v>
      </c>
      <c r="BA230">
        <v>270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ROUND(Y230*Source!I152,9)</f>
        <v>0.14000000000000001</v>
      </c>
      <c r="CY230">
        <f t="shared" si="86"/>
        <v>15.11</v>
      </c>
      <c r="CZ230">
        <f t="shared" si="87"/>
        <v>15.11</v>
      </c>
      <c r="DA230">
        <f t="shared" si="88"/>
        <v>1</v>
      </c>
      <c r="DB230">
        <f t="shared" si="89"/>
        <v>0.15</v>
      </c>
      <c r="DC230">
        <f t="shared" si="90"/>
        <v>0</v>
      </c>
      <c r="DD230" t="s">
        <v>3</v>
      </c>
      <c r="DE230" t="s">
        <v>3</v>
      </c>
      <c r="DF230">
        <f t="shared" si="82"/>
        <v>2.12</v>
      </c>
      <c r="DG230">
        <f t="shared" si="83"/>
        <v>0</v>
      </c>
      <c r="DH230">
        <f t="shared" si="84"/>
        <v>0</v>
      </c>
      <c r="DI230">
        <f t="shared" si="66"/>
        <v>0</v>
      </c>
      <c r="DJ230">
        <f t="shared" si="91"/>
        <v>2.12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ROW(Source!A152)</f>
        <v>152</v>
      </c>
      <c r="B231">
        <v>55934355</v>
      </c>
      <c r="C231">
        <v>55934781</v>
      </c>
      <c r="D231">
        <v>55459400</v>
      </c>
      <c r="E231">
        <v>1</v>
      </c>
      <c r="F231">
        <v>1</v>
      </c>
      <c r="G231">
        <v>1081</v>
      </c>
      <c r="H231">
        <v>3</v>
      </c>
      <c r="I231" t="s">
        <v>274</v>
      </c>
      <c r="J231" t="s">
        <v>275</v>
      </c>
      <c r="K231" t="s">
        <v>276</v>
      </c>
      <c r="L231">
        <v>1346</v>
      </c>
      <c r="N231">
        <v>1009</v>
      </c>
      <c r="O231" t="s">
        <v>252</v>
      </c>
      <c r="P231" t="s">
        <v>252</v>
      </c>
      <c r="Q231">
        <v>1</v>
      </c>
      <c r="W231">
        <v>0</v>
      </c>
      <c r="X231">
        <v>-2129869794</v>
      </c>
      <c r="Y231">
        <f t="shared" si="85"/>
        <v>0.01</v>
      </c>
      <c r="AA231">
        <v>16.690000000000001</v>
      </c>
      <c r="AB231">
        <v>0</v>
      </c>
      <c r="AC231">
        <v>0</v>
      </c>
      <c r="AD231">
        <v>0</v>
      </c>
      <c r="AE231">
        <v>16.690000000000001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0.01</v>
      </c>
      <c r="AU231" t="s">
        <v>120</v>
      </c>
      <c r="AV231">
        <v>0</v>
      </c>
      <c r="AW231">
        <v>2</v>
      </c>
      <c r="AX231">
        <v>55934824</v>
      </c>
      <c r="AY231">
        <v>1</v>
      </c>
      <c r="AZ231">
        <v>0</v>
      </c>
      <c r="BA231">
        <v>271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ROUND(Y231*Source!I152,9)</f>
        <v>0.14000000000000001</v>
      </c>
      <c r="CY231">
        <f t="shared" si="86"/>
        <v>16.690000000000001</v>
      </c>
      <c r="CZ231">
        <f t="shared" si="87"/>
        <v>16.690000000000001</v>
      </c>
      <c r="DA231">
        <f t="shared" si="88"/>
        <v>1</v>
      </c>
      <c r="DB231">
        <f t="shared" si="89"/>
        <v>0.17</v>
      </c>
      <c r="DC231">
        <f t="shared" si="90"/>
        <v>0</v>
      </c>
      <c r="DD231" t="s">
        <v>3</v>
      </c>
      <c r="DE231" t="s">
        <v>3</v>
      </c>
      <c r="DF231">
        <f t="shared" si="82"/>
        <v>2.34</v>
      </c>
      <c r="DG231">
        <f t="shared" si="83"/>
        <v>0</v>
      </c>
      <c r="DH231">
        <f t="shared" si="84"/>
        <v>0</v>
      </c>
      <c r="DI231">
        <f t="shared" si="66"/>
        <v>0</v>
      </c>
      <c r="DJ231">
        <f t="shared" si="91"/>
        <v>2.34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ROW(Source!A152)</f>
        <v>152</v>
      </c>
      <c r="B232">
        <v>55934355</v>
      </c>
      <c r="C232">
        <v>55934781</v>
      </c>
      <c r="D232">
        <v>55461719</v>
      </c>
      <c r="E232">
        <v>1</v>
      </c>
      <c r="F232">
        <v>1</v>
      </c>
      <c r="G232">
        <v>1081</v>
      </c>
      <c r="H232">
        <v>3</v>
      </c>
      <c r="I232" t="s">
        <v>229</v>
      </c>
      <c r="J232" t="s">
        <v>230</v>
      </c>
      <c r="K232" t="s">
        <v>231</v>
      </c>
      <c r="L232">
        <v>1348</v>
      </c>
      <c r="N232">
        <v>1009</v>
      </c>
      <c r="O232" t="s">
        <v>232</v>
      </c>
      <c r="P232" t="s">
        <v>232</v>
      </c>
      <c r="Q232">
        <v>1000</v>
      </c>
      <c r="W232">
        <v>0</v>
      </c>
      <c r="X232">
        <v>-1265888387</v>
      </c>
      <c r="Y232">
        <f t="shared" si="85"/>
        <v>1E-4</v>
      </c>
      <c r="AA232">
        <v>10643.18</v>
      </c>
      <c r="AB232">
        <v>0</v>
      </c>
      <c r="AC232">
        <v>0</v>
      </c>
      <c r="AD232">
        <v>0</v>
      </c>
      <c r="AE232">
        <v>10643.18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1E-4</v>
      </c>
      <c r="AU232" t="s">
        <v>120</v>
      </c>
      <c r="AV232">
        <v>0</v>
      </c>
      <c r="AW232">
        <v>2</v>
      </c>
      <c r="AX232">
        <v>55934825</v>
      </c>
      <c r="AY232">
        <v>1</v>
      </c>
      <c r="AZ232">
        <v>0</v>
      </c>
      <c r="BA232">
        <v>272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ROUND(Y232*Source!I152,9)</f>
        <v>1.4E-3</v>
      </c>
      <c r="CY232">
        <f t="shared" si="86"/>
        <v>10643.18</v>
      </c>
      <c r="CZ232">
        <f t="shared" si="87"/>
        <v>10643.18</v>
      </c>
      <c r="DA232">
        <f t="shared" si="88"/>
        <v>1</v>
      </c>
      <c r="DB232">
        <f t="shared" si="89"/>
        <v>1.06</v>
      </c>
      <c r="DC232">
        <f t="shared" si="90"/>
        <v>0</v>
      </c>
      <c r="DD232" t="s">
        <v>3</v>
      </c>
      <c r="DE232" t="s">
        <v>3</v>
      </c>
      <c r="DF232">
        <f t="shared" si="82"/>
        <v>14.9</v>
      </c>
      <c r="DG232">
        <f t="shared" si="83"/>
        <v>0</v>
      </c>
      <c r="DH232">
        <f t="shared" si="84"/>
        <v>0</v>
      </c>
      <c r="DI232">
        <f t="shared" si="66"/>
        <v>0</v>
      </c>
      <c r="DJ232">
        <f t="shared" si="91"/>
        <v>14.9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ROW(Source!A152)</f>
        <v>152</v>
      </c>
      <c r="B233">
        <v>55934355</v>
      </c>
      <c r="C233">
        <v>55934781</v>
      </c>
      <c r="D233">
        <v>55466000</v>
      </c>
      <c r="E233">
        <v>1</v>
      </c>
      <c r="F233">
        <v>1</v>
      </c>
      <c r="G233">
        <v>1081</v>
      </c>
      <c r="H233">
        <v>3</v>
      </c>
      <c r="I233" t="s">
        <v>277</v>
      </c>
      <c r="J233" t="s">
        <v>278</v>
      </c>
      <c r="K233" t="s">
        <v>279</v>
      </c>
      <c r="L233">
        <v>1355</v>
      </c>
      <c r="N233">
        <v>1010</v>
      </c>
      <c r="O233" t="s">
        <v>280</v>
      </c>
      <c r="P233" t="s">
        <v>280</v>
      </c>
      <c r="Q233">
        <v>100</v>
      </c>
      <c r="W233">
        <v>0</v>
      </c>
      <c r="X233">
        <v>436393287</v>
      </c>
      <c r="Y233">
        <f t="shared" si="85"/>
        <v>0.01</v>
      </c>
      <c r="AA233">
        <v>120.19</v>
      </c>
      <c r="AB233">
        <v>0</v>
      </c>
      <c r="AC233">
        <v>0</v>
      </c>
      <c r="AD233">
        <v>0</v>
      </c>
      <c r="AE233">
        <v>120.19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0.01</v>
      </c>
      <c r="AU233" t="s">
        <v>120</v>
      </c>
      <c r="AV233">
        <v>0</v>
      </c>
      <c r="AW233">
        <v>2</v>
      </c>
      <c r="AX233">
        <v>55934826</v>
      </c>
      <c r="AY233">
        <v>1</v>
      </c>
      <c r="AZ233">
        <v>0</v>
      </c>
      <c r="BA233">
        <v>273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ROUND(Y233*Source!I152,9)</f>
        <v>0.14000000000000001</v>
      </c>
      <c r="CY233">
        <f t="shared" si="86"/>
        <v>120.19</v>
      </c>
      <c r="CZ233">
        <f t="shared" si="87"/>
        <v>120.19</v>
      </c>
      <c r="DA233">
        <f t="shared" si="88"/>
        <v>1</v>
      </c>
      <c r="DB233">
        <f t="shared" si="89"/>
        <v>1.2</v>
      </c>
      <c r="DC233">
        <f t="shared" si="90"/>
        <v>0</v>
      </c>
      <c r="DD233" t="s">
        <v>3</v>
      </c>
      <c r="DE233" t="s">
        <v>3</v>
      </c>
      <c r="DF233">
        <f t="shared" si="82"/>
        <v>16.829999999999998</v>
      </c>
      <c r="DG233">
        <f t="shared" si="83"/>
        <v>0</v>
      </c>
      <c r="DH233">
        <f t="shared" si="84"/>
        <v>0</v>
      </c>
      <c r="DI233">
        <f t="shared" si="66"/>
        <v>0</v>
      </c>
      <c r="DJ233">
        <f t="shared" si="91"/>
        <v>16.829999999999998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ROW(Source!A152)</f>
        <v>152</v>
      </c>
      <c r="B234">
        <v>55934355</v>
      </c>
      <c r="C234">
        <v>55934781</v>
      </c>
      <c r="D234">
        <v>55459793</v>
      </c>
      <c r="E234">
        <v>1</v>
      </c>
      <c r="F234">
        <v>1</v>
      </c>
      <c r="G234">
        <v>1081</v>
      </c>
      <c r="H234">
        <v>3</v>
      </c>
      <c r="I234" t="s">
        <v>233</v>
      </c>
      <c r="J234" t="s">
        <v>234</v>
      </c>
      <c r="K234" t="s">
        <v>235</v>
      </c>
      <c r="L234">
        <v>1348</v>
      </c>
      <c r="N234">
        <v>1009</v>
      </c>
      <c r="O234" t="s">
        <v>232</v>
      </c>
      <c r="P234" t="s">
        <v>232</v>
      </c>
      <c r="Q234">
        <v>1000</v>
      </c>
      <c r="W234">
        <v>0</v>
      </c>
      <c r="X234">
        <v>-761454284</v>
      </c>
      <c r="Y234">
        <f t="shared" si="85"/>
        <v>2.0000000000000002E-5</v>
      </c>
      <c r="AA234">
        <v>64123.05</v>
      </c>
      <c r="AB234">
        <v>0</v>
      </c>
      <c r="AC234">
        <v>0</v>
      </c>
      <c r="AD234">
        <v>0</v>
      </c>
      <c r="AE234">
        <v>64123.05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2.0000000000000002E-5</v>
      </c>
      <c r="AU234" t="s">
        <v>120</v>
      </c>
      <c r="AV234">
        <v>0</v>
      </c>
      <c r="AW234">
        <v>2</v>
      </c>
      <c r="AX234">
        <v>55934827</v>
      </c>
      <c r="AY234">
        <v>1</v>
      </c>
      <c r="AZ234">
        <v>0</v>
      </c>
      <c r="BA234">
        <v>274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ROUND(Y234*Source!I152,9)</f>
        <v>2.7999999999999998E-4</v>
      </c>
      <c r="CY234">
        <f t="shared" si="86"/>
        <v>64123.05</v>
      </c>
      <c r="CZ234">
        <f t="shared" si="87"/>
        <v>64123.05</v>
      </c>
      <c r="DA234">
        <f t="shared" si="88"/>
        <v>1</v>
      </c>
      <c r="DB234">
        <f t="shared" si="89"/>
        <v>1.28</v>
      </c>
      <c r="DC234">
        <f t="shared" si="90"/>
        <v>0</v>
      </c>
      <c r="DD234" t="s">
        <v>3</v>
      </c>
      <c r="DE234" t="s">
        <v>3</v>
      </c>
      <c r="DF234">
        <f t="shared" si="82"/>
        <v>17.95</v>
      </c>
      <c r="DG234">
        <f t="shared" si="83"/>
        <v>0</v>
      </c>
      <c r="DH234">
        <f t="shared" si="84"/>
        <v>0</v>
      </c>
      <c r="DI234">
        <f t="shared" si="66"/>
        <v>0</v>
      </c>
      <c r="DJ234">
        <f t="shared" si="91"/>
        <v>17.95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ROW(Source!A152)</f>
        <v>152</v>
      </c>
      <c r="B235">
        <v>55934355</v>
      </c>
      <c r="C235">
        <v>55934781</v>
      </c>
      <c r="D235">
        <v>55459810</v>
      </c>
      <c r="E235">
        <v>1</v>
      </c>
      <c r="F235">
        <v>1</v>
      </c>
      <c r="G235">
        <v>1081</v>
      </c>
      <c r="H235">
        <v>3</v>
      </c>
      <c r="I235" t="s">
        <v>281</v>
      </c>
      <c r="J235" t="s">
        <v>282</v>
      </c>
      <c r="K235" t="s">
        <v>283</v>
      </c>
      <c r="L235">
        <v>1348</v>
      </c>
      <c r="N235">
        <v>1009</v>
      </c>
      <c r="O235" t="s">
        <v>232</v>
      </c>
      <c r="P235" t="s">
        <v>232</v>
      </c>
      <c r="Q235">
        <v>1000</v>
      </c>
      <c r="W235">
        <v>0</v>
      </c>
      <c r="X235">
        <v>-98394079</v>
      </c>
      <c r="Y235">
        <f t="shared" si="85"/>
        <v>1E-4</v>
      </c>
      <c r="AA235">
        <v>9238.1299999999992</v>
      </c>
      <c r="AB235">
        <v>0</v>
      </c>
      <c r="AC235">
        <v>0</v>
      </c>
      <c r="AD235">
        <v>0</v>
      </c>
      <c r="AE235">
        <v>9238.1299999999992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1E-4</v>
      </c>
      <c r="AU235" t="s">
        <v>120</v>
      </c>
      <c r="AV235">
        <v>0</v>
      </c>
      <c r="AW235">
        <v>2</v>
      </c>
      <c r="AX235">
        <v>55934828</v>
      </c>
      <c r="AY235">
        <v>1</v>
      </c>
      <c r="AZ235">
        <v>0</v>
      </c>
      <c r="BA235">
        <v>275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ROUND(Y235*Source!I152,9)</f>
        <v>1.4E-3</v>
      </c>
      <c r="CY235">
        <f t="shared" si="86"/>
        <v>9238.1299999999992</v>
      </c>
      <c r="CZ235">
        <f t="shared" si="87"/>
        <v>9238.1299999999992</v>
      </c>
      <c r="DA235">
        <f t="shared" si="88"/>
        <v>1</v>
      </c>
      <c r="DB235">
        <f t="shared" si="89"/>
        <v>0.92</v>
      </c>
      <c r="DC235">
        <f t="shared" si="90"/>
        <v>0</v>
      </c>
      <c r="DD235" t="s">
        <v>3</v>
      </c>
      <c r="DE235" t="s">
        <v>3</v>
      </c>
      <c r="DF235">
        <f t="shared" si="82"/>
        <v>12.93</v>
      </c>
      <c r="DG235">
        <f t="shared" si="83"/>
        <v>0</v>
      </c>
      <c r="DH235">
        <f t="shared" si="84"/>
        <v>0</v>
      </c>
      <c r="DI235">
        <f t="shared" si="66"/>
        <v>0</v>
      </c>
      <c r="DJ235">
        <f t="shared" si="91"/>
        <v>12.93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ROW(Source!A152)</f>
        <v>152</v>
      </c>
      <c r="B236">
        <v>55934355</v>
      </c>
      <c r="C236">
        <v>55934781</v>
      </c>
      <c r="D236">
        <v>55482166</v>
      </c>
      <c r="E236">
        <v>1</v>
      </c>
      <c r="F236">
        <v>1</v>
      </c>
      <c r="G236">
        <v>1081</v>
      </c>
      <c r="H236">
        <v>3</v>
      </c>
      <c r="I236" t="s">
        <v>284</v>
      </c>
      <c r="J236" t="s">
        <v>285</v>
      </c>
      <c r="K236" t="s">
        <v>286</v>
      </c>
      <c r="L236">
        <v>1301</v>
      </c>
      <c r="N236">
        <v>1003</v>
      </c>
      <c r="O236" t="s">
        <v>266</v>
      </c>
      <c r="P236" t="s">
        <v>266</v>
      </c>
      <c r="Q236">
        <v>1</v>
      </c>
      <c r="W236">
        <v>0</v>
      </c>
      <c r="X236">
        <v>876831867</v>
      </c>
      <c r="Y236">
        <f t="shared" si="85"/>
        <v>1</v>
      </c>
      <c r="AA236">
        <v>0.69</v>
      </c>
      <c r="AB236">
        <v>0</v>
      </c>
      <c r="AC236">
        <v>0</v>
      </c>
      <c r="AD236">
        <v>0</v>
      </c>
      <c r="AE236">
        <v>0.69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1</v>
      </c>
      <c r="AU236" t="s">
        <v>120</v>
      </c>
      <c r="AV236">
        <v>0</v>
      </c>
      <c r="AW236">
        <v>2</v>
      </c>
      <c r="AX236">
        <v>55934829</v>
      </c>
      <c r="AY236">
        <v>1</v>
      </c>
      <c r="AZ236">
        <v>0</v>
      </c>
      <c r="BA236">
        <v>276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ROUND(Y236*Source!I152,9)</f>
        <v>14</v>
      </c>
      <c r="CY236">
        <f t="shared" si="86"/>
        <v>0.69</v>
      </c>
      <c r="CZ236">
        <f t="shared" si="87"/>
        <v>0.69</v>
      </c>
      <c r="DA236">
        <f t="shared" si="88"/>
        <v>1</v>
      </c>
      <c r="DB236">
        <f t="shared" si="89"/>
        <v>0.69</v>
      </c>
      <c r="DC236">
        <f t="shared" si="90"/>
        <v>0</v>
      </c>
      <c r="DD236" t="s">
        <v>3</v>
      </c>
      <c r="DE236" t="s">
        <v>3</v>
      </c>
      <c r="DF236">
        <f t="shared" si="82"/>
        <v>9.66</v>
      </c>
      <c r="DG236">
        <f t="shared" si="83"/>
        <v>0</v>
      </c>
      <c r="DH236">
        <f t="shared" si="84"/>
        <v>0</v>
      </c>
      <c r="DI236">
        <f t="shared" si="66"/>
        <v>0</v>
      </c>
      <c r="DJ236">
        <f t="shared" si="91"/>
        <v>9.66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ROW(Source!A152)</f>
        <v>152</v>
      </c>
      <c r="B237">
        <v>55934355</v>
      </c>
      <c r="C237">
        <v>55934781</v>
      </c>
      <c r="D237">
        <v>55482445</v>
      </c>
      <c r="E237">
        <v>1</v>
      </c>
      <c r="F237">
        <v>1</v>
      </c>
      <c r="G237">
        <v>1081</v>
      </c>
      <c r="H237">
        <v>3</v>
      </c>
      <c r="I237" t="s">
        <v>287</v>
      </c>
      <c r="J237" t="s">
        <v>288</v>
      </c>
      <c r="K237" t="s">
        <v>289</v>
      </c>
      <c r="L237">
        <v>1356</v>
      </c>
      <c r="N237">
        <v>1010</v>
      </c>
      <c r="O237" t="s">
        <v>246</v>
      </c>
      <c r="P237" t="s">
        <v>246</v>
      </c>
      <c r="Q237">
        <v>1000</v>
      </c>
      <c r="W237">
        <v>0</v>
      </c>
      <c r="X237">
        <v>-285397556</v>
      </c>
      <c r="Y237">
        <f t="shared" si="85"/>
        <v>0.01</v>
      </c>
      <c r="AA237">
        <v>294.89</v>
      </c>
      <c r="AB237">
        <v>0</v>
      </c>
      <c r="AC237">
        <v>0</v>
      </c>
      <c r="AD237">
        <v>0</v>
      </c>
      <c r="AE237">
        <v>294.89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0.01</v>
      </c>
      <c r="AU237" t="s">
        <v>120</v>
      </c>
      <c r="AV237">
        <v>0</v>
      </c>
      <c r="AW237">
        <v>2</v>
      </c>
      <c r="AX237">
        <v>55934830</v>
      </c>
      <c r="AY237">
        <v>1</v>
      </c>
      <c r="AZ237">
        <v>0</v>
      </c>
      <c r="BA237">
        <v>277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ROUND(Y237*Source!I152,9)</f>
        <v>0.14000000000000001</v>
      </c>
      <c r="CY237">
        <f t="shared" si="86"/>
        <v>294.89</v>
      </c>
      <c r="CZ237">
        <f t="shared" si="87"/>
        <v>294.89</v>
      </c>
      <c r="DA237">
        <f t="shared" si="88"/>
        <v>1</v>
      </c>
      <c r="DB237">
        <f t="shared" si="89"/>
        <v>2.95</v>
      </c>
      <c r="DC237">
        <f t="shared" si="90"/>
        <v>0</v>
      </c>
      <c r="DD237" t="s">
        <v>3</v>
      </c>
      <c r="DE237" t="s">
        <v>3</v>
      </c>
      <c r="DF237">
        <f t="shared" si="82"/>
        <v>41.28</v>
      </c>
      <c r="DG237">
        <f t="shared" si="83"/>
        <v>0</v>
      </c>
      <c r="DH237">
        <f t="shared" si="84"/>
        <v>0</v>
      </c>
      <c r="DI237">
        <f t="shared" si="66"/>
        <v>0</v>
      </c>
      <c r="DJ237">
        <f t="shared" si="91"/>
        <v>41.28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ROW(Source!A152)</f>
        <v>152</v>
      </c>
      <c r="B238">
        <v>55934355</v>
      </c>
      <c r="C238">
        <v>55934781</v>
      </c>
      <c r="D238">
        <v>55481518</v>
      </c>
      <c r="E238">
        <v>1</v>
      </c>
      <c r="F238">
        <v>1</v>
      </c>
      <c r="G238">
        <v>1081</v>
      </c>
      <c r="H238">
        <v>3</v>
      </c>
      <c r="I238" t="s">
        <v>290</v>
      </c>
      <c r="J238" t="s">
        <v>291</v>
      </c>
      <c r="K238" t="s">
        <v>292</v>
      </c>
      <c r="L238">
        <v>1354</v>
      </c>
      <c r="N238">
        <v>1010</v>
      </c>
      <c r="O238" t="s">
        <v>293</v>
      </c>
      <c r="P238" t="s">
        <v>293</v>
      </c>
      <c r="Q238">
        <v>1</v>
      </c>
      <c r="W238">
        <v>0</v>
      </c>
      <c r="X238">
        <v>55982921</v>
      </c>
      <c r="Y238">
        <f t="shared" si="85"/>
        <v>1</v>
      </c>
      <c r="AA238">
        <v>15.67</v>
      </c>
      <c r="AB238">
        <v>0</v>
      </c>
      <c r="AC238">
        <v>0</v>
      </c>
      <c r="AD238">
        <v>0</v>
      </c>
      <c r="AE238">
        <v>15.67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1</v>
      </c>
      <c r="AU238" t="s">
        <v>120</v>
      </c>
      <c r="AV238">
        <v>0</v>
      </c>
      <c r="AW238">
        <v>2</v>
      </c>
      <c r="AX238">
        <v>55934831</v>
      </c>
      <c r="AY238">
        <v>1</v>
      </c>
      <c r="AZ238">
        <v>0</v>
      </c>
      <c r="BA238">
        <v>278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ROUND(Y238*Source!I152,9)</f>
        <v>14</v>
      </c>
      <c r="CY238">
        <f t="shared" si="86"/>
        <v>15.67</v>
      </c>
      <c r="CZ238">
        <f t="shared" si="87"/>
        <v>15.67</v>
      </c>
      <c r="DA238">
        <f t="shared" si="88"/>
        <v>1</v>
      </c>
      <c r="DB238">
        <f t="shared" si="89"/>
        <v>15.67</v>
      </c>
      <c r="DC238">
        <f t="shared" si="90"/>
        <v>0</v>
      </c>
      <c r="DD238" t="s">
        <v>3</v>
      </c>
      <c r="DE238" t="s">
        <v>3</v>
      </c>
      <c r="DF238">
        <f t="shared" si="82"/>
        <v>219.38</v>
      </c>
      <c r="DG238">
        <f t="shared" si="83"/>
        <v>0</v>
      </c>
      <c r="DH238">
        <f t="shared" si="84"/>
        <v>0</v>
      </c>
      <c r="DI238">
        <f t="shared" si="66"/>
        <v>0</v>
      </c>
      <c r="DJ238">
        <f t="shared" si="91"/>
        <v>219.38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ROW(Source!A152)</f>
        <v>152</v>
      </c>
      <c r="B239">
        <v>55934355</v>
      </c>
      <c r="C239">
        <v>55934781</v>
      </c>
      <c r="D239">
        <v>0</v>
      </c>
      <c r="E239">
        <v>0</v>
      </c>
      <c r="F239">
        <v>1</v>
      </c>
      <c r="G239">
        <v>1081</v>
      </c>
      <c r="H239">
        <v>3</v>
      </c>
      <c r="I239" t="s">
        <v>314</v>
      </c>
      <c r="J239" t="s">
        <v>314</v>
      </c>
      <c r="K239" t="s">
        <v>183</v>
      </c>
      <c r="L239">
        <v>1371</v>
      </c>
      <c r="N239">
        <v>1013</v>
      </c>
      <c r="O239" t="s">
        <v>126</v>
      </c>
      <c r="P239" t="s">
        <v>126</v>
      </c>
      <c r="Q239">
        <v>1</v>
      </c>
      <c r="W239">
        <v>0</v>
      </c>
      <c r="X239">
        <v>394997729</v>
      </c>
      <c r="Y239">
        <f t="shared" si="85"/>
        <v>1</v>
      </c>
      <c r="AA239">
        <v>649.76</v>
      </c>
      <c r="AB239">
        <v>0</v>
      </c>
      <c r="AC239">
        <v>0</v>
      </c>
      <c r="AD239">
        <v>0</v>
      </c>
      <c r="AE239">
        <v>649.7600000000001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3</v>
      </c>
      <c r="AT239">
        <v>1</v>
      </c>
      <c r="AU239" t="s">
        <v>120</v>
      </c>
      <c r="AV239">
        <v>0</v>
      </c>
      <c r="AW239">
        <v>1</v>
      </c>
      <c r="AX239">
        <v>-1</v>
      </c>
      <c r="AY239">
        <v>0</v>
      </c>
      <c r="AZ239">
        <v>0</v>
      </c>
      <c r="BA239" t="s">
        <v>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ROUND(Y239*Source!I152,9)</f>
        <v>14</v>
      </c>
      <c r="CY239">
        <f t="shared" si="86"/>
        <v>649.76</v>
      </c>
      <c r="CZ239">
        <f t="shared" si="87"/>
        <v>649.7600000000001</v>
      </c>
      <c r="DA239">
        <f t="shared" si="88"/>
        <v>1</v>
      </c>
      <c r="DB239">
        <f t="shared" si="89"/>
        <v>649.76</v>
      </c>
      <c r="DC239">
        <f t="shared" si="90"/>
        <v>0</v>
      </c>
      <c r="DD239" t="s">
        <v>3</v>
      </c>
      <c r="DE239" t="s">
        <v>3</v>
      </c>
      <c r="DF239">
        <f t="shared" si="82"/>
        <v>9096.64</v>
      </c>
      <c r="DG239">
        <f t="shared" si="83"/>
        <v>0</v>
      </c>
      <c r="DH239">
        <f t="shared" si="84"/>
        <v>0</v>
      </c>
      <c r="DI239">
        <f t="shared" si="66"/>
        <v>0</v>
      </c>
      <c r="DJ239">
        <f t="shared" si="91"/>
        <v>9096.64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ROW(Source!A152)</f>
        <v>152</v>
      </c>
      <c r="B240">
        <v>55934355</v>
      </c>
      <c r="C240">
        <v>55934781</v>
      </c>
      <c r="D240">
        <v>55424290</v>
      </c>
      <c r="E240">
        <v>1081</v>
      </c>
      <c r="F240">
        <v>1</v>
      </c>
      <c r="G240">
        <v>1081</v>
      </c>
      <c r="H240">
        <v>3</v>
      </c>
      <c r="I240" t="s">
        <v>247</v>
      </c>
      <c r="J240" t="s">
        <v>3</v>
      </c>
      <c r="K240" t="s">
        <v>248</v>
      </c>
      <c r="L240">
        <v>1348</v>
      </c>
      <c r="N240">
        <v>1009</v>
      </c>
      <c r="O240" t="s">
        <v>232</v>
      </c>
      <c r="P240" t="s">
        <v>232</v>
      </c>
      <c r="Q240">
        <v>1000</v>
      </c>
      <c r="W240">
        <v>0</v>
      </c>
      <c r="X240">
        <v>-783086922</v>
      </c>
      <c r="Y240">
        <f t="shared" si="85"/>
        <v>1E-3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1E-3</v>
      </c>
      <c r="AU240" t="s">
        <v>120</v>
      </c>
      <c r="AV240">
        <v>0</v>
      </c>
      <c r="AW240">
        <v>2</v>
      </c>
      <c r="AX240">
        <v>55934834</v>
      </c>
      <c r="AY240">
        <v>1</v>
      </c>
      <c r="AZ240">
        <v>0</v>
      </c>
      <c r="BA240">
        <v>281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ROUND(Y240*Source!I152,9)</f>
        <v>1.4E-2</v>
      </c>
      <c r="CY240">
        <f t="shared" si="86"/>
        <v>0</v>
      </c>
      <c r="CZ240">
        <f t="shared" si="87"/>
        <v>0</v>
      </c>
      <c r="DA240">
        <f t="shared" si="88"/>
        <v>1</v>
      </c>
      <c r="DB240">
        <f t="shared" si="89"/>
        <v>0</v>
      </c>
      <c r="DC240">
        <f t="shared" si="90"/>
        <v>0</v>
      </c>
      <c r="DD240" t="s">
        <v>3</v>
      </c>
      <c r="DE240" t="s">
        <v>3</v>
      </c>
      <c r="DF240">
        <f t="shared" si="82"/>
        <v>0</v>
      </c>
      <c r="DG240">
        <f t="shared" si="83"/>
        <v>0</v>
      </c>
      <c r="DH240">
        <f t="shared" si="84"/>
        <v>0</v>
      </c>
      <c r="DI240">
        <f t="shared" si="66"/>
        <v>0</v>
      </c>
      <c r="DJ240">
        <f t="shared" si="91"/>
        <v>0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ROW(Source!A153)</f>
        <v>153</v>
      </c>
      <c r="B241">
        <v>55934357</v>
      </c>
      <c r="C241">
        <v>55934781</v>
      </c>
      <c r="D241">
        <v>55424304</v>
      </c>
      <c r="E241">
        <v>1081</v>
      </c>
      <c r="F241">
        <v>1</v>
      </c>
      <c r="G241">
        <v>1081</v>
      </c>
      <c r="H241">
        <v>1</v>
      </c>
      <c r="I241" t="s">
        <v>221</v>
      </c>
      <c r="J241" t="s">
        <v>3</v>
      </c>
      <c r="K241" t="s">
        <v>222</v>
      </c>
      <c r="L241">
        <v>1191</v>
      </c>
      <c r="N241">
        <v>1013</v>
      </c>
      <c r="O241" t="s">
        <v>223</v>
      </c>
      <c r="P241" t="s">
        <v>223</v>
      </c>
      <c r="Q241">
        <v>1</v>
      </c>
      <c r="W241">
        <v>0</v>
      </c>
      <c r="X241">
        <v>476480486</v>
      </c>
      <c r="Y241">
        <f>(AT241*1.2)</f>
        <v>3.5999999999999996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5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3</v>
      </c>
      <c r="AU241" t="s">
        <v>121</v>
      </c>
      <c r="AV241">
        <v>1</v>
      </c>
      <c r="AW241">
        <v>2</v>
      </c>
      <c r="AX241">
        <v>55934818</v>
      </c>
      <c r="AY241">
        <v>1</v>
      </c>
      <c r="AZ241">
        <v>0</v>
      </c>
      <c r="BA241">
        <v>282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U241">
        <f>ROUND(AT241*Source!I153*AH241*AL241,2)</f>
        <v>0</v>
      </c>
      <c r="CV241">
        <f>ROUND(Y241*Source!I153,9)</f>
        <v>50.4</v>
      </c>
      <c r="CW241">
        <v>0</v>
      </c>
      <c r="CX241">
        <f>ROUND(Y241*Source!I153,9)</f>
        <v>50.4</v>
      </c>
      <c r="CY241">
        <f>AD241</f>
        <v>0</v>
      </c>
      <c r="CZ241">
        <f>AH241</f>
        <v>0</v>
      </c>
      <c r="DA241">
        <f>AL241</f>
        <v>1</v>
      </c>
      <c r="DB241">
        <f>ROUND((ROUND(AT241*CZ241,2)*1.2),6)</f>
        <v>0</v>
      </c>
      <c r="DC241">
        <f>ROUND((ROUND(AT241*AG241,2)*1.2),6)</f>
        <v>0</v>
      </c>
      <c r="DD241" t="s">
        <v>3</v>
      </c>
      <c r="DE241" t="s">
        <v>3</v>
      </c>
      <c r="DF241">
        <f t="shared" si="82"/>
        <v>0</v>
      </c>
      <c r="DG241">
        <f t="shared" si="83"/>
        <v>0</v>
      </c>
      <c r="DH241">
        <f t="shared" si="84"/>
        <v>0</v>
      </c>
      <c r="DI241">
        <f t="shared" si="66"/>
        <v>0</v>
      </c>
      <c r="DJ241">
        <f>DI241</f>
        <v>0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ROW(Source!A153)</f>
        <v>153</v>
      </c>
      <c r="B242">
        <v>55934357</v>
      </c>
      <c r="C242">
        <v>55934781</v>
      </c>
      <c r="D242">
        <v>55459894</v>
      </c>
      <c r="E242">
        <v>1</v>
      </c>
      <c r="F242">
        <v>1</v>
      </c>
      <c r="G242">
        <v>1081</v>
      </c>
      <c r="H242">
        <v>3</v>
      </c>
      <c r="I242" t="s">
        <v>257</v>
      </c>
      <c r="J242" t="s">
        <v>258</v>
      </c>
      <c r="K242" t="s">
        <v>259</v>
      </c>
      <c r="L242">
        <v>1348</v>
      </c>
      <c r="N242">
        <v>1009</v>
      </c>
      <c r="O242" t="s">
        <v>232</v>
      </c>
      <c r="P242" t="s">
        <v>232</v>
      </c>
      <c r="Q242">
        <v>1000</v>
      </c>
      <c r="W242">
        <v>0</v>
      </c>
      <c r="X242">
        <v>1175474266</v>
      </c>
      <c r="Y242">
        <f t="shared" ref="Y242:Y256" si="92">(AT242*1)</f>
        <v>1E-3</v>
      </c>
      <c r="AA242">
        <v>75372.679999999993</v>
      </c>
      <c r="AB242">
        <v>0</v>
      </c>
      <c r="AC242">
        <v>0</v>
      </c>
      <c r="AD242">
        <v>0</v>
      </c>
      <c r="AE242">
        <v>15319.65</v>
      </c>
      <c r="AF242">
        <v>0</v>
      </c>
      <c r="AG242">
        <v>0</v>
      </c>
      <c r="AH242">
        <v>0</v>
      </c>
      <c r="AI242">
        <v>4.92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1E-3</v>
      </c>
      <c r="AU242" t="s">
        <v>120</v>
      </c>
      <c r="AV242">
        <v>0</v>
      </c>
      <c r="AW242">
        <v>2</v>
      </c>
      <c r="AX242">
        <v>55934819</v>
      </c>
      <c r="AY242">
        <v>1</v>
      </c>
      <c r="AZ242">
        <v>0</v>
      </c>
      <c r="BA242">
        <v>283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ROUND(Y242*Source!I153,9)</f>
        <v>1.4E-2</v>
      </c>
      <c r="CY242">
        <f t="shared" ref="CY242:CY256" si="93">AA242</f>
        <v>75372.679999999993</v>
      </c>
      <c r="CZ242">
        <f t="shared" ref="CZ242:CZ256" si="94">AE242</f>
        <v>15319.65</v>
      </c>
      <c r="DA242">
        <f t="shared" ref="DA242:DA256" si="95">AI242</f>
        <v>4.92</v>
      </c>
      <c r="DB242">
        <f t="shared" ref="DB242:DB256" si="96">ROUND((ROUND(AT242*CZ242,2)*1),6)</f>
        <v>15.32</v>
      </c>
      <c r="DC242">
        <f t="shared" ref="DC242:DC256" si="97">ROUND((ROUND(AT242*AG242,2)*1),6)</f>
        <v>0</v>
      </c>
      <c r="DD242" t="s">
        <v>3</v>
      </c>
      <c r="DE242" t="s">
        <v>3</v>
      </c>
      <c r="DF242">
        <f t="shared" ref="DF242:DF256" si="98">ROUND(ROUND(AE242*AI242,2)*CX242,2)</f>
        <v>1055.22</v>
      </c>
      <c r="DG242">
        <f t="shared" si="83"/>
        <v>0</v>
      </c>
      <c r="DH242">
        <f t="shared" si="84"/>
        <v>0</v>
      </c>
      <c r="DI242">
        <f t="shared" si="66"/>
        <v>0</v>
      </c>
      <c r="DJ242">
        <f t="shared" ref="DJ242:DJ256" si="99">DF242</f>
        <v>1055.22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ROW(Source!A153)</f>
        <v>153</v>
      </c>
      <c r="B243">
        <v>55934357</v>
      </c>
      <c r="C243">
        <v>55934781</v>
      </c>
      <c r="D243">
        <v>55459261</v>
      </c>
      <c r="E243">
        <v>1</v>
      </c>
      <c r="F243">
        <v>1</v>
      </c>
      <c r="G243">
        <v>1081</v>
      </c>
      <c r="H243">
        <v>3</v>
      </c>
      <c r="I243" t="s">
        <v>260</v>
      </c>
      <c r="J243" t="s">
        <v>261</v>
      </c>
      <c r="K243" t="s">
        <v>262</v>
      </c>
      <c r="L243">
        <v>1348</v>
      </c>
      <c r="N243">
        <v>1009</v>
      </c>
      <c r="O243" t="s">
        <v>232</v>
      </c>
      <c r="P243" t="s">
        <v>232</v>
      </c>
      <c r="Q243">
        <v>1000</v>
      </c>
      <c r="W243">
        <v>0</v>
      </c>
      <c r="X243">
        <v>-2092697376</v>
      </c>
      <c r="Y243">
        <f t="shared" si="92"/>
        <v>5.0000000000000002E-5</v>
      </c>
      <c r="AA243">
        <v>7305.88</v>
      </c>
      <c r="AB243">
        <v>0</v>
      </c>
      <c r="AC243">
        <v>0</v>
      </c>
      <c r="AD243">
        <v>0</v>
      </c>
      <c r="AE243">
        <v>1219.68</v>
      </c>
      <c r="AF243">
        <v>0</v>
      </c>
      <c r="AG243">
        <v>0</v>
      </c>
      <c r="AH243">
        <v>0</v>
      </c>
      <c r="AI243">
        <v>5.99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5.0000000000000002E-5</v>
      </c>
      <c r="AU243" t="s">
        <v>120</v>
      </c>
      <c r="AV243">
        <v>0</v>
      </c>
      <c r="AW243">
        <v>2</v>
      </c>
      <c r="AX243">
        <v>55934820</v>
      </c>
      <c r="AY243">
        <v>1</v>
      </c>
      <c r="AZ243">
        <v>0</v>
      </c>
      <c r="BA243">
        <v>284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ROUND(Y243*Source!I153,9)</f>
        <v>6.9999999999999999E-4</v>
      </c>
      <c r="CY243">
        <f t="shared" si="93"/>
        <v>7305.88</v>
      </c>
      <c r="CZ243">
        <f t="shared" si="94"/>
        <v>1219.68</v>
      </c>
      <c r="DA243">
        <f t="shared" si="95"/>
        <v>5.99</v>
      </c>
      <c r="DB243">
        <f t="shared" si="96"/>
        <v>0.06</v>
      </c>
      <c r="DC243">
        <f t="shared" si="97"/>
        <v>0</v>
      </c>
      <c r="DD243" t="s">
        <v>3</v>
      </c>
      <c r="DE243" t="s">
        <v>3</v>
      </c>
      <c r="DF243">
        <f t="shared" si="98"/>
        <v>5.1100000000000003</v>
      </c>
      <c r="DG243">
        <f t="shared" si="83"/>
        <v>0</v>
      </c>
      <c r="DH243">
        <f t="shared" si="84"/>
        <v>0</v>
      </c>
      <c r="DI243">
        <f t="shared" si="66"/>
        <v>0</v>
      </c>
      <c r="DJ243">
        <f t="shared" si="99"/>
        <v>5.1100000000000003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ROW(Source!A153)</f>
        <v>153</v>
      </c>
      <c r="B244">
        <v>55934357</v>
      </c>
      <c r="C244">
        <v>55934781</v>
      </c>
      <c r="D244">
        <v>55460328</v>
      </c>
      <c r="E244">
        <v>1</v>
      </c>
      <c r="F244">
        <v>1</v>
      </c>
      <c r="G244">
        <v>1081</v>
      </c>
      <c r="H244">
        <v>3</v>
      </c>
      <c r="I244" t="s">
        <v>263</v>
      </c>
      <c r="J244" t="s">
        <v>264</v>
      </c>
      <c r="K244" t="s">
        <v>265</v>
      </c>
      <c r="L244">
        <v>1301</v>
      </c>
      <c r="N244">
        <v>1003</v>
      </c>
      <c r="O244" t="s">
        <v>266</v>
      </c>
      <c r="P244" t="s">
        <v>266</v>
      </c>
      <c r="Q244">
        <v>1</v>
      </c>
      <c r="W244">
        <v>0</v>
      </c>
      <c r="X244">
        <v>-206055494</v>
      </c>
      <c r="Y244">
        <f t="shared" si="92"/>
        <v>5</v>
      </c>
      <c r="AA244">
        <v>5.48</v>
      </c>
      <c r="AB244">
        <v>0</v>
      </c>
      <c r="AC244">
        <v>0</v>
      </c>
      <c r="AD244">
        <v>0</v>
      </c>
      <c r="AE244">
        <v>0.39</v>
      </c>
      <c r="AF244">
        <v>0</v>
      </c>
      <c r="AG244">
        <v>0</v>
      </c>
      <c r="AH244">
        <v>0</v>
      </c>
      <c r="AI244">
        <v>14.05</v>
      </c>
      <c r="AJ244">
        <v>1</v>
      </c>
      <c r="AK244">
        <v>1</v>
      </c>
      <c r="AL244">
        <v>1</v>
      </c>
      <c r="AM244">
        <v>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5</v>
      </c>
      <c r="AU244" t="s">
        <v>120</v>
      </c>
      <c r="AV244">
        <v>0</v>
      </c>
      <c r="AW244">
        <v>2</v>
      </c>
      <c r="AX244">
        <v>55934821</v>
      </c>
      <c r="AY244">
        <v>1</v>
      </c>
      <c r="AZ244">
        <v>0</v>
      </c>
      <c r="BA244">
        <v>285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ROUND(Y244*Source!I153,9)</f>
        <v>70</v>
      </c>
      <c r="CY244">
        <f t="shared" si="93"/>
        <v>5.48</v>
      </c>
      <c r="CZ244">
        <f t="shared" si="94"/>
        <v>0.39</v>
      </c>
      <c r="DA244">
        <f t="shared" si="95"/>
        <v>14.05</v>
      </c>
      <c r="DB244">
        <f t="shared" si="96"/>
        <v>1.95</v>
      </c>
      <c r="DC244">
        <f t="shared" si="97"/>
        <v>0</v>
      </c>
      <c r="DD244" t="s">
        <v>3</v>
      </c>
      <c r="DE244" t="s">
        <v>3</v>
      </c>
      <c r="DF244">
        <f t="shared" si="98"/>
        <v>383.6</v>
      </c>
      <c r="DG244">
        <f t="shared" si="83"/>
        <v>0</v>
      </c>
      <c r="DH244">
        <f t="shared" si="84"/>
        <v>0</v>
      </c>
      <c r="DI244">
        <f t="shared" si="66"/>
        <v>0</v>
      </c>
      <c r="DJ244">
        <f t="shared" si="99"/>
        <v>383.6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ROW(Source!A153)</f>
        <v>153</v>
      </c>
      <c r="B245">
        <v>55934357</v>
      </c>
      <c r="C245">
        <v>55934781</v>
      </c>
      <c r="D245">
        <v>55459312</v>
      </c>
      <c r="E245">
        <v>1</v>
      </c>
      <c r="F245">
        <v>1</v>
      </c>
      <c r="G245">
        <v>1081</v>
      </c>
      <c r="H245">
        <v>3</v>
      </c>
      <c r="I245" t="s">
        <v>267</v>
      </c>
      <c r="J245" t="s">
        <v>268</v>
      </c>
      <c r="K245" t="s">
        <v>269</v>
      </c>
      <c r="L245">
        <v>1339</v>
      </c>
      <c r="N245">
        <v>1007</v>
      </c>
      <c r="O245" t="s">
        <v>270</v>
      </c>
      <c r="P245" t="s">
        <v>270</v>
      </c>
      <c r="Q245">
        <v>1</v>
      </c>
      <c r="W245">
        <v>0</v>
      </c>
      <c r="X245">
        <v>-366856290</v>
      </c>
      <c r="Y245">
        <f t="shared" si="92"/>
        <v>1E-3</v>
      </c>
      <c r="AA245">
        <v>8598.75</v>
      </c>
      <c r="AB245">
        <v>0</v>
      </c>
      <c r="AC245">
        <v>0</v>
      </c>
      <c r="AD245">
        <v>0</v>
      </c>
      <c r="AE245">
        <v>1176.3</v>
      </c>
      <c r="AF245">
        <v>0</v>
      </c>
      <c r="AG245">
        <v>0</v>
      </c>
      <c r="AH245">
        <v>0</v>
      </c>
      <c r="AI245">
        <v>7.31</v>
      </c>
      <c r="AJ245">
        <v>1</v>
      </c>
      <c r="AK245">
        <v>1</v>
      </c>
      <c r="AL245">
        <v>1</v>
      </c>
      <c r="AM245">
        <v>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1E-3</v>
      </c>
      <c r="AU245" t="s">
        <v>120</v>
      </c>
      <c r="AV245">
        <v>0</v>
      </c>
      <c r="AW245">
        <v>2</v>
      </c>
      <c r="AX245">
        <v>55934822</v>
      </c>
      <c r="AY245">
        <v>1</v>
      </c>
      <c r="AZ245">
        <v>0</v>
      </c>
      <c r="BA245">
        <v>286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ROUND(Y245*Source!I153,9)</f>
        <v>1.4E-2</v>
      </c>
      <c r="CY245">
        <f t="shared" si="93"/>
        <v>8598.75</v>
      </c>
      <c r="CZ245">
        <f t="shared" si="94"/>
        <v>1176.3</v>
      </c>
      <c r="DA245">
        <f t="shared" si="95"/>
        <v>7.31</v>
      </c>
      <c r="DB245">
        <f t="shared" si="96"/>
        <v>1.18</v>
      </c>
      <c r="DC245">
        <f t="shared" si="97"/>
        <v>0</v>
      </c>
      <c r="DD245" t="s">
        <v>3</v>
      </c>
      <c r="DE245" t="s">
        <v>3</v>
      </c>
      <c r="DF245">
        <f t="shared" si="98"/>
        <v>120.38</v>
      </c>
      <c r="DG245">
        <f t="shared" si="83"/>
        <v>0</v>
      </c>
      <c r="DH245">
        <f t="shared" si="84"/>
        <v>0</v>
      </c>
      <c r="DI245">
        <f t="shared" si="66"/>
        <v>0</v>
      </c>
      <c r="DJ245">
        <f t="shared" si="99"/>
        <v>120.38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ROW(Source!A153)</f>
        <v>153</v>
      </c>
      <c r="B246">
        <v>55934357</v>
      </c>
      <c r="C246">
        <v>55934781</v>
      </c>
      <c r="D246">
        <v>55461230</v>
      </c>
      <c r="E246">
        <v>1</v>
      </c>
      <c r="F246">
        <v>1</v>
      </c>
      <c r="G246">
        <v>1081</v>
      </c>
      <c r="H246">
        <v>3</v>
      </c>
      <c r="I246" t="s">
        <v>271</v>
      </c>
      <c r="J246" t="s">
        <v>272</v>
      </c>
      <c r="K246" t="s">
        <v>273</v>
      </c>
      <c r="L246">
        <v>1346</v>
      </c>
      <c r="N246">
        <v>1009</v>
      </c>
      <c r="O246" t="s">
        <v>252</v>
      </c>
      <c r="P246" t="s">
        <v>252</v>
      </c>
      <c r="Q246">
        <v>1</v>
      </c>
      <c r="W246">
        <v>0</v>
      </c>
      <c r="X246">
        <v>1561715650</v>
      </c>
      <c r="Y246">
        <f t="shared" si="92"/>
        <v>0.01</v>
      </c>
      <c r="AA246">
        <v>200.81</v>
      </c>
      <c r="AB246">
        <v>0</v>
      </c>
      <c r="AC246">
        <v>0</v>
      </c>
      <c r="AD246">
        <v>0</v>
      </c>
      <c r="AE246">
        <v>15.11</v>
      </c>
      <c r="AF246">
        <v>0</v>
      </c>
      <c r="AG246">
        <v>0</v>
      </c>
      <c r="AH246">
        <v>0</v>
      </c>
      <c r="AI246">
        <v>13.29</v>
      </c>
      <c r="AJ246">
        <v>1</v>
      </c>
      <c r="AK246">
        <v>1</v>
      </c>
      <c r="AL246">
        <v>1</v>
      </c>
      <c r="AM246">
        <v>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0.01</v>
      </c>
      <c r="AU246" t="s">
        <v>120</v>
      </c>
      <c r="AV246">
        <v>0</v>
      </c>
      <c r="AW246">
        <v>2</v>
      </c>
      <c r="AX246">
        <v>55934823</v>
      </c>
      <c r="AY246">
        <v>1</v>
      </c>
      <c r="AZ246">
        <v>0</v>
      </c>
      <c r="BA246">
        <v>287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ROUND(Y246*Source!I153,9)</f>
        <v>0.14000000000000001</v>
      </c>
      <c r="CY246">
        <f t="shared" si="93"/>
        <v>200.81</v>
      </c>
      <c r="CZ246">
        <f t="shared" si="94"/>
        <v>15.11</v>
      </c>
      <c r="DA246">
        <f t="shared" si="95"/>
        <v>13.29</v>
      </c>
      <c r="DB246">
        <f t="shared" si="96"/>
        <v>0.15</v>
      </c>
      <c r="DC246">
        <f t="shared" si="97"/>
        <v>0</v>
      </c>
      <c r="DD246" t="s">
        <v>3</v>
      </c>
      <c r="DE246" t="s">
        <v>3</v>
      </c>
      <c r="DF246">
        <f t="shared" si="98"/>
        <v>28.11</v>
      </c>
      <c r="DG246">
        <f t="shared" si="83"/>
        <v>0</v>
      </c>
      <c r="DH246">
        <f t="shared" si="84"/>
        <v>0</v>
      </c>
      <c r="DI246">
        <f t="shared" si="66"/>
        <v>0</v>
      </c>
      <c r="DJ246">
        <f t="shared" si="99"/>
        <v>28.11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ROW(Source!A153)</f>
        <v>153</v>
      </c>
      <c r="B247">
        <v>55934357</v>
      </c>
      <c r="C247">
        <v>55934781</v>
      </c>
      <c r="D247">
        <v>55459400</v>
      </c>
      <c r="E247">
        <v>1</v>
      </c>
      <c r="F247">
        <v>1</v>
      </c>
      <c r="G247">
        <v>1081</v>
      </c>
      <c r="H247">
        <v>3</v>
      </c>
      <c r="I247" t="s">
        <v>274</v>
      </c>
      <c r="J247" t="s">
        <v>275</v>
      </c>
      <c r="K247" t="s">
        <v>276</v>
      </c>
      <c r="L247">
        <v>1346</v>
      </c>
      <c r="N247">
        <v>1009</v>
      </c>
      <c r="O247" t="s">
        <v>252</v>
      </c>
      <c r="P247" t="s">
        <v>252</v>
      </c>
      <c r="Q247">
        <v>1</v>
      </c>
      <c r="W247">
        <v>0</v>
      </c>
      <c r="X247">
        <v>-2129869794</v>
      </c>
      <c r="Y247">
        <f t="shared" si="92"/>
        <v>0.01</v>
      </c>
      <c r="AA247">
        <v>387.54</v>
      </c>
      <c r="AB247">
        <v>0</v>
      </c>
      <c r="AC247">
        <v>0</v>
      </c>
      <c r="AD247">
        <v>0</v>
      </c>
      <c r="AE247">
        <v>16.690000000000001</v>
      </c>
      <c r="AF247">
        <v>0</v>
      </c>
      <c r="AG247">
        <v>0</v>
      </c>
      <c r="AH247">
        <v>0</v>
      </c>
      <c r="AI247">
        <v>23.22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0.01</v>
      </c>
      <c r="AU247" t="s">
        <v>120</v>
      </c>
      <c r="AV247">
        <v>0</v>
      </c>
      <c r="AW247">
        <v>2</v>
      </c>
      <c r="AX247">
        <v>55934824</v>
      </c>
      <c r="AY247">
        <v>1</v>
      </c>
      <c r="AZ247">
        <v>0</v>
      </c>
      <c r="BA247">
        <v>288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ROUND(Y247*Source!I153,9)</f>
        <v>0.14000000000000001</v>
      </c>
      <c r="CY247">
        <f t="shared" si="93"/>
        <v>387.54</v>
      </c>
      <c r="CZ247">
        <f t="shared" si="94"/>
        <v>16.690000000000001</v>
      </c>
      <c r="DA247">
        <f t="shared" si="95"/>
        <v>23.22</v>
      </c>
      <c r="DB247">
        <f t="shared" si="96"/>
        <v>0.17</v>
      </c>
      <c r="DC247">
        <f t="shared" si="97"/>
        <v>0</v>
      </c>
      <c r="DD247" t="s">
        <v>3</v>
      </c>
      <c r="DE247" t="s">
        <v>3</v>
      </c>
      <c r="DF247">
        <f t="shared" si="98"/>
        <v>54.26</v>
      </c>
      <c r="DG247">
        <f t="shared" si="83"/>
        <v>0</v>
      </c>
      <c r="DH247">
        <f t="shared" si="84"/>
        <v>0</v>
      </c>
      <c r="DI247">
        <f t="shared" si="66"/>
        <v>0</v>
      </c>
      <c r="DJ247">
        <f t="shared" si="99"/>
        <v>54.26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ROW(Source!A153)</f>
        <v>153</v>
      </c>
      <c r="B248">
        <v>55934357</v>
      </c>
      <c r="C248">
        <v>55934781</v>
      </c>
      <c r="D248">
        <v>55461719</v>
      </c>
      <c r="E248">
        <v>1</v>
      </c>
      <c r="F248">
        <v>1</v>
      </c>
      <c r="G248">
        <v>1081</v>
      </c>
      <c r="H248">
        <v>3</v>
      </c>
      <c r="I248" t="s">
        <v>229</v>
      </c>
      <c r="J248" t="s">
        <v>230</v>
      </c>
      <c r="K248" t="s">
        <v>231</v>
      </c>
      <c r="L248">
        <v>1348</v>
      </c>
      <c r="N248">
        <v>1009</v>
      </c>
      <c r="O248" t="s">
        <v>232</v>
      </c>
      <c r="P248" t="s">
        <v>232</v>
      </c>
      <c r="Q248">
        <v>1000</v>
      </c>
      <c r="W248">
        <v>0</v>
      </c>
      <c r="X248">
        <v>-1265888387</v>
      </c>
      <c r="Y248">
        <f t="shared" si="92"/>
        <v>1E-4</v>
      </c>
      <c r="AA248">
        <v>147514.47</v>
      </c>
      <c r="AB248">
        <v>0</v>
      </c>
      <c r="AC248">
        <v>0</v>
      </c>
      <c r="AD248">
        <v>0</v>
      </c>
      <c r="AE248">
        <v>10643.18</v>
      </c>
      <c r="AF248">
        <v>0</v>
      </c>
      <c r="AG248">
        <v>0</v>
      </c>
      <c r="AH248">
        <v>0</v>
      </c>
      <c r="AI248">
        <v>13.86</v>
      </c>
      <c r="AJ248">
        <v>1</v>
      </c>
      <c r="AK248">
        <v>1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1E-4</v>
      </c>
      <c r="AU248" t="s">
        <v>120</v>
      </c>
      <c r="AV248">
        <v>0</v>
      </c>
      <c r="AW248">
        <v>2</v>
      </c>
      <c r="AX248">
        <v>55934825</v>
      </c>
      <c r="AY248">
        <v>1</v>
      </c>
      <c r="AZ248">
        <v>0</v>
      </c>
      <c r="BA248">
        <v>289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ROUND(Y248*Source!I153,9)</f>
        <v>1.4E-3</v>
      </c>
      <c r="CY248">
        <f t="shared" si="93"/>
        <v>147514.47</v>
      </c>
      <c r="CZ248">
        <f t="shared" si="94"/>
        <v>10643.18</v>
      </c>
      <c r="DA248">
        <f t="shared" si="95"/>
        <v>13.86</v>
      </c>
      <c r="DB248">
        <f t="shared" si="96"/>
        <v>1.06</v>
      </c>
      <c r="DC248">
        <f t="shared" si="97"/>
        <v>0</v>
      </c>
      <c r="DD248" t="s">
        <v>3</v>
      </c>
      <c r="DE248" t="s">
        <v>3</v>
      </c>
      <c r="DF248">
        <f t="shared" si="98"/>
        <v>206.52</v>
      </c>
      <c r="DG248">
        <f t="shared" si="83"/>
        <v>0</v>
      </c>
      <c r="DH248">
        <f t="shared" si="84"/>
        <v>0</v>
      </c>
      <c r="DI248">
        <f t="shared" si="66"/>
        <v>0</v>
      </c>
      <c r="DJ248">
        <f t="shared" si="99"/>
        <v>206.52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ROW(Source!A153)</f>
        <v>153</v>
      </c>
      <c r="B249">
        <v>55934357</v>
      </c>
      <c r="C249">
        <v>55934781</v>
      </c>
      <c r="D249">
        <v>55466000</v>
      </c>
      <c r="E249">
        <v>1</v>
      </c>
      <c r="F249">
        <v>1</v>
      </c>
      <c r="G249">
        <v>1081</v>
      </c>
      <c r="H249">
        <v>3</v>
      </c>
      <c r="I249" t="s">
        <v>277</v>
      </c>
      <c r="J249" t="s">
        <v>278</v>
      </c>
      <c r="K249" t="s">
        <v>279</v>
      </c>
      <c r="L249">
        <v>1355</v>
      </c>
      <c r="N249">
        <v>1010</v>
      </c>
      <c r="O249" t="s">
        <v>280</v>
      </c>
      <c r="P249" t="s">
        <v>280</v>
      </c>
      <c r="Q249">
        <v>100</v>
      </c>
      <c r="W249">
        <v>0</v>
      </c>
      <c r="X249">
        <v>436393287</v>
      </c>
      <c r="Y249">
        <f t="shared" si="92"/>
        <v>0.01</v>
      </c>
      <c r="AA249">
        <v>1555.26</v>
      </c>
      <c r="AB249">
        <v>0</v>
      </c>
      <c r="AC249">
        <v>0</v>
      </c>
      <c r="AD249">
        <v>0</v>
      </c>
      <c r="AE249">
        <v>120.19</v>
      </c>
      <c r="AF249">
        <v>0</v>
      </c>
      <c r="AG249">
        <v>0</v>
      </c>
      <c r="AH249">
        <v>0</v>
      </c>
      <c r="AI249">
        <v>12.94</v>
      </c>
      <c r="AJ249">
        <v>1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0.01</v>
      </c>
      <c r="AU249" t="s">
        <v>120</v>
      </c>
      <c r="AV249">
        <v>0</v>
      </c>
      <c r="AW249">
        <v>2</v>
      </c>
      <c r="AX249">
        <v>55934826</v>
      </c>
      <c r="AY249">
        <v>1</v>
      </c>
      <c r="AZ249">
        <v>0</v>
      </c>
      <c r="BA249">
        <v>290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ROUND(Y249*Source!I153,9)</f>
        <v>0.14000000000000001</v>
      </c>
      <c r="CY249">
        <f t="shared" si="93"/>
        <v>1555.26</v>
      </c>
      <c r="CZ249">
        <f t="shared" si="94"/>
        <v>120.19</v>
      </c>
      <c r="DA249">
        <f t="shared" si="95"/>
        <v>12.94</v>
      </c>
      <c r="DB249">
        <f t="shared" si="96"/>
        <v>1.2</v>
      </c>
      <c r="DC249">
        <f t="shared" si="97"/>
        <v>0</v>
      </c>
      <c r="DD249" t="s">
        <v>3</v>
      </c>
      <c r="DE249" t="s">
        <v>3</v>
      </c>
      <c r="DF249">
        <f t="shared" si="98"/>
        <v>217.74</v>
      </c>
      <c r="DG249">
        <f t="shared" si="83"/>
        <v>0</v>
      </c>
      <c r="DH249">
        <f t="shared" si="84"/>
        <v>0</v>
      </c>
      <c r="DI249">
        <f t="shared" si="66"/>
        <v>0</v>
      </c>
      <c r="DJ249">
        <f t="shared" si="99"/>
        <v>217.74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ROW(Source!A153)</f>
        <v>153</v>
      </c>
      <c r="B250">
        <v>55934357</v>
      </c>
      <c r="C250">
        <v>55934781</v>
      </c>
      <c r="D250">
        <v>55459793</v>
      </c>
      <c r="E250">
        <v>1</v>
      </c>
      <c r="F250">
        <v>1</v>
      </c>
      <c r="G250">
        <v>1081</v>
      </c>
      <c r="H250">
        <v>3</v>
      </c>
      <c r="I250" t="s">
        <v>233</v>
      </c>
      <c r="J250" t="s">
        <v>234</v>
      </c>
      <c r="K250" t="s">
        <v>235</v>
      </c>
      <c r="L250">
        <v>1348</v>
      </c>
      <c r="N250">
        <v>1009</v>
      </c>
      <c r="O250" t="s">
        <v>232</v>
      </c>
      <c r="P250" t="s">
        <v>232</v>
      </c>
      <c r="Q250">
        <v>1000</v>
      </c>
      <c r="W250">
        <v>0</v>
      </c>
      <c r="X250">
        <v>-761454284</v>
      </c>
      <c r="Y250">
        <f t="shared" si="92"/>
        <v>2.0000000000000002E-5</v>
      </c>
      <c r="AA250">
        <v>1930745.04</v>
      </c>
      <c r="AB250">
        <v>0</v>
      </c>
      <c r="AC250">
        <v>0</v>
      </c>
      <c r="AD250">
        <v>0</v>
      </c>
      <c r="AE250">
        <v>64123.05</v>
      </c>
      <c r="AF250">
        <v>0</v>
      </c>
      <c r="AG250">
        <v>0</v>
      </c>
      <c r="AH250">
        <v>0</v>
      </c>
      <c r="AI250">
        <v>30.11</v>
      </c>
      <c r="AJ250">
        <v>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2.0000000000000002E-5</v>
      </c>
      <c r="AU250" t="s">
        <v>120</v>
      </c>
      <c r="AV250">
        <v>0</v>
      </c>
      <c r="AW250">
        <v>2</v>
      </c>
      <c r="AX250">
        <v>55934827</v>
      </c>
      <c r="AY250">
        <v>1</v>
      </c>
      <c r="AZ250">
        <v>0</v>
      </c>
      <c r="BA250">
        <v>291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ROUND(Y250*Source!I153,9)</f>
        <v>2.7999999999999998E-4</v>
      </c>
      <c r="CY250">
        <f t="shared" si="93"/>
        <v>1930745.04</v>
      </c>
      <c r="CZ250">
        <f t="shared" si="94"/>
        <v>64123.05</v>
      </c>
      <c r="DA250">
        <f t="shared" si="95"/>
        <v>30.11</v>
      </c>
      <c r="DB250">
        <f t="shared" si="96"/>
        <v>1.28</v>
      </c>
      <c r="DC250">
        <f t="shared" si="97"/>
        <v>0</v>
      </c>
      <c r="DD250" t="s">
        <v>3</v>
      </c>
      <c r="DE250" t="s">
        <v>3</v>
      </c>
      <c r="DF250">
        <f t="shared" si="98"/>
        <v>540.61</v>
      </c>
      <c r="DG250">
        <f t="shared" si="83"/>
        <v>0</v>
      </c>
      <c r="DH250">
        <f t="shared" si="84"/>
        <v>0</v>
      </c>
      <c r="DI250">
        <f t="shared" si="66"/>
        <v>0</v>
      </c>
      <c r="DJ250">
        <f t="shared" si="99"/>
        <v>540.61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ROW(Source!A153)</f>
        <v>153</v>
      </c>
      <c r="B251">
        <v>55934357</v>
      </c>
      <c r="C251">
        <v>55934781</v>
      </c>
      <c r="D251">
        <v>55459810</v>
      </c>
      <c r="E251">
        <v>1</v>
      </c>
      <c r="F251">
        <v>1</v>
      </c>
      <c r="G251">
        <v>1081</v>
      </c>
      <c r="H251">
        <v>3</v>
      </c>
      <c r="I251" t="s">
        <v>281</v>
      </c>
      <c r="J251" t="s">
        <v>282</v>
      </c>
      <c r="K251" t="s">
        <v>283</v>
      </c>
      <c r="L251">
        <v>1348</v>
      </c>
      <c r="N251">
        <v>1009</v>
      </c>
      <c r="O251" t="s">
        <v>232</v>
      </c>
      <c r="P251" t="s">
        <v>232</v>
      </c>
      <c r="Q251">
        <v>1000</v>
      </c>
      <c r="W251">
        <v>0</v>
      </c>
      <c r="X251">
        <v>-98394079</v>
      </c>
      <c r="Y251">
        <f t="shared" si="92"/>
        <v>1E-4</v>
      </c>
      <c r="AA251">
        <v>69285.98</v>
      </c>
      <c r="AB251">
        <v>0</v>
      </c>
      <c r="AC251">
        <v>0</v>
      </c>
      <c r="AD251">
        <v>0</v>
      </c>
      <c r="AE251">
        <v>9238.1299999999992</v>
      </c>
      <c r="AF251">
        <v>0</v>
      </c>
      <c r="AG251">
        <v>0</v>
      </c>
      <c r="AH251">
        <v>0</v>
      </c>
      <c r="AI251">
        <v>7.5</v>
      </c>
      <c r="AJ251">
        <v>1</v>
      </c>
      <c r="AK251">
        <v>1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1E-4</v>
      </c>
      <c r="AU251" t="s">
        <v>120</v>
      </c>
      <c r="AV251">
        <v>0</v>
      </c>
      <c r="AW251">
        <v>2</v>
      </c>
      <c r="AX251">
        <v>55934828</v>
      </c>
      <c r="AY251">
        <v>1</v>
      </c>
      <c r="AZ251">
        <v>0</v>
      </c>
      <c r="BA251">
        <v>292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ROUND(Y251*Source!I153,9)</f>
        <v>1.4E-3</v>
      </c>
      <c r="CY251">
        <f t="shared" si="93"/>
        <v>69285.98</v>
      </c>
      <c r="CZ251">
        <f t="shared" si="94"/>
        <v>9238.1299999999992</v>
      </c>
      <c r="DA251">
        <f t="shared" si="95"/>
        <v>7.5</v>
      </c>
      <c r="DB251">
        <f t="shared" si="96"/>
        <v>0.92</v>
      </c>
      <c r="DC251">
        <f t="shared" si="97"/>
        <v>0</v>
      </c>
      <c r="DD251" t="s">
        <v>3</v>
      </c>
      <c r="DE251" t="s">
        <v>3</v>
      </c>
      <c r="DF251">
        <f t="shared" si="98"/>
        <v>97</v>
      </c>
      <c r="DG251">
        <f t="shared" si="83"/>
        <v>0</v>
      </c>
      <c r="DH251">
        <f t="shared" si="84"/>
        <v>0</v>
      </c>
      <c r="DI251">
        <f t="shared" si="66"/>
        <v>0</v>
      </c>
      <c r="DJ251">
        <f t="shared" si="99"/>
        <v>97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ROW(Source!A153)</f>
        <v>153</v>
      </c>
      <c r="B252">
        <v>55934357</v>
      </c>
      <c r="C252">
        <v>55934781</v>
      </c>
      <c r="D252">
        <v>55482166</v>
      </c>
      <c r="E252">
        <v>1</v>
      </c>
      <c r="F252">
        <v>1</v>
      </c>
      <c r="G252">
        <v>1081</v>
      </c>
      <c r="H252">
        <v>3</v>
      </c>
      <c r="I252" t="s">
        <v>284</v>
      </c>
      <c r="J252" t="s">
        <v>285</v>
      </c>
      <c r="K252" t="s">
        <v>286</v>
      </c>
      <c r="L252">
        <v>1301</v>
      </c>
      <c r="N252">
        <v>1003</v>
      </c>
      <c r="O252" t="s">
        <v>266</v>
      </c>
      <c r="P252" t="s">
        <v>266</v>
      </c>
      <c r="Q252">
        <v>1</v>
      </c>
      <c r="W252">
        <v>0</v>
      </c>
      <c r="X252">
        <v>876831867</v>
      </c>
      <c r="Y252">
        <f t="shared" si="92"/>
        <v>1</v>
      </c>
      <c r="AA252">
        <v>4.76</v>
      </c>
      <c r="AB252">
        <v>0</v>
      </c>
      <c r="AC252">
        <v>0</v>
      </c>
      <c r="AD252">
        <v>0</v>
      </c>
      <c r="AE252">
        <v>0.69</v>
      </c>
      <c r="AF252">
        <v>0</v>
      </c>
      <c r="AG252">
        <v>0</v>
      </c>
      <c r="AH252">
        <v>0</v>
      </c>
      <c r="AI252">
        <v>6.9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1</v>
      </c>
      <c r="AU252" t="s">
        <v>120</v>
      </c>
      <c r="AV252">
        <v>0</v>
      </c>
      <c r="AW252">
        <v>2</v>
      </c>
      <c r="AX252">
        <v>55934829</v>
      </c>
      <c r="AY252">
        <v>1</v>
      </c>
      <c r="AZ252">
        <v>0</v>
      </c>
      <c r="BA252">
        <v>293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ROUND(Y252*Source!I153,9)</f>
        <v>14</v>
      </c>
      <c r="CY252">
        <f t="shared" si="93"/>
        <v>4.76</v>
      </c>
      <c r="CZ252">
        <f t="shared" si="94"/>
        <v>0.69</v>
      </c>
      <c r="DA252">
        <f t="shared" si="95"/>
        <v>6.9</v>
      </c>
      <c r="DB252">
        <f t="shared" si="96"/>
        <v>0.69</v>
      </c>
      <c r="DC252">
        <f t="shared" si="97"/>
        <v>0</v>
      </c>
      <c r="DD252" t="s">
        <v>3</v>
      </c>
      <c r="DE252" t="s">
        <v>3</v>
      </c>
      <c r="DF252">
        <f t="shared" si="98"/>
        <v>66.64</v>
      </c>
      <c r="DG252">
        <f t="shared" si="83"/>
        <v>0</v>
      </c>
      <c r="DH252">
        <f t="shared" si="84"/>
        <v>0</v>
      </c>
      <c r="DI252">
        <f t="shared" si="66"/>
        <v>0</v>
      </c>
      <c r="DJ252">
        <f t="shared" si="99"/>
        <v>66.64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ROW(Source!A153)</f>
        <v>153</v>
      </c>
      <c r="B253">
        <v>55934357</v>
      </c>
      <c r="C253">
        <v>55934781</v>
      </c>
      <c r="D253">
        <v>55482445</v>
      </c>
      <c r="E253">
        <v>1</v>
      </c>
      <c r="F253">
        <v>1</v>
      </c>
      <c r="G253">
        <v>1081</v>
      </c>
      <c r="H253">
        <v>3</v>
      </c>
      <c r="I253" t="s">
        <v>287</v>
      </c>
      <c r="J253" t="s">
        <v>288</v>
      </c>
      <c r="K253" t="s">
        <v>289</v>
      </c>
      <c r="L253">
        <v>1356</v>
      </c>
      <c r="N253">
        <v>1010</v>
      </c>
      <c r="O253" t="s">
        <v>246</v>
      </c>
      <c r="P253" t="s">
        <v>246</v>
      </c>
      <c r="Q253">
        <v>1000</v>
      </c>
      <c r="W253">
        <v>0</v>
      </c>
      <c r="X253">
        <v>-285397556</v>
      </c>
      <c r="Y253">
        <f t="shared" si="92"/>
        <v>0.01</v>
      </c>
      <c r="AA253">
        <v>1040.96</v>
      </c>
      <c r="AB253">
        <v>0</v>
      </c>
      <c r="AC253">
        <v>0</v>
      </c>
      <c r="AD253">
        <v>0</v>
      </c>
      <c r="AE253">
        <v>294.89</v>
      </c>
      <c r="AF253">
        <v>0</v>
      </c>
      <c r="AG253">
        <v>0</v>
      </c>
      <c r="AH253">
        <v>0</v>
      </c>
      <c r="AI253">
        <v>3.53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0.01</v>
      </c>
      <c r="AU253" t="s">
        <v>120</v>
      </c>
      <c r="AV253">
        <v>0</v>
      </c>
      <c r="AW253">
        <v>2</v>
      </c>
      <c r="AX253">
        <v>55934830</v>
      </c>
      <c r="AY253">
        <v>1</v>
      </c>
      <c r="AZ253">
        <v>0</v>
      </c>
      <c r="BA253">
        <v>294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ROUND(Y253*Source!I153,9)</f>
        <v>0.14000000000000001</v>
      </c>
      <c r="CY253">
        <f t="shared" si="93"/>
        <v>1040.96</v>
      </c>
      <c r="CZ253">
        <f t="shared" si="94"/>
        <v>294.89</v>
      </c>
      <c r="DA253">
        <f t="shared" si="95"/>
        <v>3.53</v>
      </c>
      <c r="DB253">
        <f t="shared" si="96"/>
        <v>2.95</v>
      </c>
      <c r="DC253">
        <f t="shared" si="97"/>
        <v>0</v>
      </c>
      <c r="DD253" t="s">
        <v>3</v>
      </c>
      <c r="DE253" t="s">
        <v>3</v>
      </c>
      <c r="DF253">
        <f t="shared" si="98"/>
        <v>145.72999999999999</v>
      </c>
      <c r="DG253">
        <f t="shared" si="83"/>
        <v>0</v>
      </c>
      <c r="DH253">
        <f t="shared" si="84"/>
        <v>0</v>
      </c>
      <c r="DI253">
        <f t="shared" si="66"/>
        <v>0</v>
      </c>
      <c r="DJ253">
        <f t="shared" si="99"/>
        <v>145.72999999999999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ROW(Source!A153)</f>
        <v>153</v>
      </c>
      <c r="B254">
        <v>55934357</v>
      </c>
      <c r="C254">
        <v>55934781</v>
      </c>
      <c r="D254">
        <v>55481518</v>
      </c>
      <c r="E254">
        <v>1</v>
      </c>
      <c r="F254">
        <v>1</v>
      </c>
      <c r="G254">
        <v>1081</v>
      </c>
      <c r="H254">
        <v>3</v>
      </c>
      <c r="I254" t="s">
        <v>290</v>
      </c>
      <c r="J254" t="s">
        <v>291</v>
      </c>
      <c r="K254" t="s">
        <v>292</v>
      </c>
      <c r="L254">
        <v>1354</v>
      </c>
      <c r="N254">
        <v>1010</v>
      </c>
      <c r="O254" t="s">
        <v>293</v>
      </c>
      <c r="P254" t="s">
        <v>293</v>
      </c>
      <c r="Q254">
        <v>1</v>
      </c>
      <c r="W254">
        <v>0</v>
      </c>
      <c r="X254">
        <v>55982921</v>
      </c>
      <c r="Y254">
        <f t="shared" si="92"/>
        <v>1</v>
      </c>
      <c r="AA254">
        <v>10.66</v>
      </c>
      <c r="AB254">
        <v>0</v>
      </c>
      <c r="AC254">
        <v>0</v>
      </c>
      <c r="AD254">
        <v>0</v>
      </c>
      <c r="AE254">
        <v>15.67</v>
      </c>
      <c r="AF254">
        <v>0</v>
      </c>
      <c r="AG254">
        <v>0</v>
      </c>
      <c r="AH254">
        <v>0</v>
      </c>
      <c r="AI254">
        <v>0.68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1</v>
      </c>
      <c r="AU254" t="s">
        <v>120</v>
      </c>
      <c r="AV254">
        <v>0</v>
      </c>
      <c r="AW254">
        <v>2</v>
      </c>
      <c r="AX254">
        <v>55934831</v>
      </c>
      <c r="AY254">
        <v>1</v>
      </c>
      <c r="AZ254">
        <v>0</v>
      </c>
      <c r="BA254">
        <v>295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ROUND(Y254*Source!I153,9)</f>
        <v>14</v>
      </c>
      <c r="CY254">
        <f t="shared" si="93"/>
        <v>10.66</v>
      </c>
      <c r="CZ254">
        <f t="shared" si="94"/>
        <v>15.67</v>
      </c>
      <c r="DA254">
        <f t="shared" si="95"/>
        <v>0.68</v>
      </c>
      <c r="DB254">
        <f t="shared" si="96"/>
        <v>15.67</v>
      </c>
      <c r="DC254">
        <f t="shared" si="97"/>
        <v>0</v>
      </c>
      <c r="DD254" t="s">
        <v>3</v>
      </c>
      <c r="DE254" t="s">
        <v>3</v>
      </c>
      <c r="DF254">
        <f t="shared" si="98"/>
        <v>149.24</v>
      </c>
      <c r="DG254">
        <f t="shared" si="83"/>
        <v>0</v>
      </c>
      <c r="DH254">
        <f t="shared" si="84"/>
        <v>0</v>
      </c>
      <c r="DI254">
        <f t="shared" si="66"/>
        <v>0</v>
      </c>
      <c r="DJ254">
        <f t="shared" si="99"/>
        <v>149.24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ROW(Source!A153)</f>
        <v>153</v>
      </c>
      <c r="B255">
        <v>55934357</v>
      </c>
      <c r="C255">
        <v>55934781</v>
      </c>
      <c r="D255">
        <v>0</v>
      </c>
      <c r="E255">
        <v>0</v>
      </c>
      <c r="F255">
        <v>1</v>
      </c>
      <c r="G255">
        <v>1081</v>
      </c>
      <c r="H255">
        <v>3</v>
      </c>
      <c r="I255" t="s">
        <v>314</v>
      </c>
      <c r="J255" t="s">
        <v>314</v>
      </c>
      <c r="K255" t="s">
        <v>183</v>
      </c>
      <c r="L255">
        <v>1371</v>
      </c>
      <c r="N255">
        <v>1013</v>
      </c>
      <c r="O255" t="s">
        <v>126</v>
      </c>
      <c r="P255" t="s">
        <v>126</v>
      </c>
      <c r="Q255">
        <v>1</v>
      </c>
      <c r="W255">
        <v>0</v>
      </c>
      <c r="X255">
        <v>394997729</v>
      </c>
      <c r="Y255">
        <f t="shared" si="92"/>
        <v>1</v>
      </c>
      <c r="AA255">
        <v>4918.68</v>
      </c>
      <c r="AB255">
        <v>0</v>
      </c>
      <c r="AC255">
        <v>0</v>
      </c>
      <c r="AD255">
        <v>0</v>
      </c>
      <c r="AE255">
        <v>649.7600000000001</v>
      </c>
      <c r="AF255">
        <v>0</v>
      </c>
      <c r="AG255">
        <v>0</v>
      </c>
      <c r="AH255">
        <v>0</v>
      </c>
      <c r="AI255">
        <v>7.57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1</v>
      </c>
      <c r="AU255" t="s">
        <v>120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ROUND(Y255*Source!I153,9)</f>
        <v>14</v>
      </c>
      <c r="CY255">
        <f t="shared" si="93"/>
        <v>4918.68</v>
      </c>
      <c r="CZ255">
        <f t="shared" si="94"/>
        <v>649.7600000000001</v>
      </c>
      <c r="DA255">
        <f t="shared" si="95"/>
        <v>7.57</v>
      </c>
      <c r="DB255">
        <f t="shared" si="96"/>
        <v>649.76</v>
      </c>
      <c r="DC255">
        <f t="shared" si="97"/>
        <v>0</v>
      </c>
      <c r="DD255" t="s">
        <v>3</v>
      </c>
      <c r="DE255" t="s">
        <v>3</v>
      </c>
      <c r="DF255">
        <f t="shared" si="98"/>
        <v>68861.52</v>
      </c>
      <c r="DG255">
        <f t="shared" si="83"/>
        <v>0</v>
      </c>
      <c r="DH255">
        <f t="shared" si="84"/>
        <v>0</v>
      </c>
      <c r="DI255">
        <f t="shared" si="66"/>
        <v>0</v>
      </c>
      <c r="DJ255">
        <f t="shared" si="99"/>
        <v>68861.52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ROW(Source!A153)</f>
        <v>153</v>
      </c>
      <c r="B256">
        <v>55934357</v>
      </c>
      <c r="C256">
        <v>55934781</v>
      </c>
      <c r="D256">
        <v>55424290</v>
      </c>
      <c r="E256">
        <v>1081</v>
      </c>
      <c r="F256">
        <v>1</v>
      </c>
      <c r="G256">
        <v>1081</v>
      </c>
      <c r="H256">
        <v>3</v>
      </c>
      <c r="I256" t="s">
        <v>247</v>
      </c>
      <c r="J256" t="s">
        <v>3</v>
      </c>
      <c r="K256" t="s">
        <v>248</v>
      </c>
      <c r="L256">
        <v>1348</v>
      </c>
      <c r="N256">
        <v>1009</v>
      </c>
      <c r="O256" t="s">
        <v>232</v>
      </c>
      <c r="P256" t="s">
        <v>232</v>
      </c>
      <c r="Q256">
        <v>1000</v>
      </c>
      <c r="W256">
        <v>0</v>
      </c>
      <c r="X256">
        <v>-783086922</v>
      </c>
      <c r="Y256">
        <f t="shared" si="92"/>
        <v>1E-3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9.84</v>
      </c>
      <c r="AJ256">
        <v>1</v>
      </c>
      <c r="AK256">
        <v>1</v>
      </c>
      <c r="AL256">
        <v>1</v>
      </c>
      <c r="AM256">
        <v>5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1E-3</v>
      </c>
      <c r="AU256" t="s">
        <v>120</v>
      </c>
      <c r="AV256">
        <v>0</v>
      </c>
      <c r="AW256">
        <v>2</v>
      </c>
      <c r="AX256">
        <v>55934834</v>
      </c>
      <c r="AY256">
        <v>1</v>
      </c>
      <c r="AZ256">
        <v>0</v>
      </c>
      <c r="BA256">
        <v>298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ROUND(Y256*Source!I153,9)</f>
        <v>1.4E-2</v>
      </c>
      <c r="CY256">
        <f t="shared" si="93"/>
        <v>0</v>
      </c>
      <c r="CZ256">
        <f t="shared" si="94"/>
        <v>0</v>
      </c>
      <c r="DA256">
        <f t="shared" si="95"/>
        <v>9.84</v>
      </c>
      <c r="DB256">
        <f t="shared" si="96"/>
        <v>0</v>
      </c>
      <c r="DC256">
        <f t="shared" si="97"/>
        <v>0</v>
      </c>
      <c r="DD256" t="s">
        <v>3</v>
      </c>
      <c r="DE256" t="s">
        <v>3</v>
      </c>
      <c r="DF256">
        <f t="shared" si="98"/>
        <v>0</v>
      </c>
      <c r="DG256">
        <f t="shared" si="83"/>
        <v>0</v>
      </c>
      <c r="DH256">
        <f t="shared" si="84"/>
        <v>0</v>
      </c>
      <c r="DI256">
        <f t="shared" si="66"/>
        <v>0</v>
      </c>
      <c r="DJ256">
        <f t="shared" si="99"/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ROW(Source!A191)</f>
        <v>191</v>
      </c>
      <c r="B257">
        <v>55934355</v>
      </c>
      <c r="C257">
        <v>55934900</v>
      </c>
      <c r="D257">
        <v>55424304</v>
      </c>
      <c r="E257">
        <v>1081</v>
      </c>
      <c r="F257">
        <v>1</v>
      </c>
      <c r="G257">
        <v>1081</v>
      </c>
      <c r="H257">
        <v>1</v>
      </c>
      <c r="I257" t="s">
        <v>221</v>
      </c>
      <c r="J257" t="s">
        <v>3</v>
      </c>
      <c r="K257" t="s">
        <v>222</v>
      </c>
      <c r="L257">
        <v>1191</v>
      </c>
      <c r="N257">
        <v>1013</v>
      </c>
      <c r="O257" t="s">
        <v>223</v>
      </c>
      <c r="P257" t="s">
        <v>223</v>
      </c>
      <c r="Q257">
        <v>1</v>
      </c>
      <c r="W257">
        <v>0</v>
      </c>
      <c r="X257">
        <v>476480486</v>
      </c>
      <c r="Y257">
        <f>(AT257*1.2)</f>
        <v>18.648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15.54</v>
      </c>
      <c r="AU257" t="s">
        <v>121</v>
      </c>
      <c r="AV257">
        <v>1</v>
      </c>
      <c r="AW257">
        <v>2</v>
      </c>
      <c r="AX257">
        <v>55934901</v>
      </c>
      <c r="AY257">
        <v>1</v>
      </c>
      <c r="AZ257">
        <v>0</v>
      </c>
      <c r="BA257">
        <v>299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ROUND(AT257*Source!I191*AH257*AL257,2)</f>
        <v>0</v>
      </c>
      <c r="CV257">
        <f>ROUND(Y257*Source!I191,9)</f>
        <v>151.0488</v>
      </c>
      <c r="CW257">
        <v>0</v>
      </c>
      <c r="CX257">
        <f>ROUND(Y257*Source!I191,9)</f>
        <v>151.0488</v>
      </c>
      <c r="CY257">
        <f>AD257</f>
        <v>0</v>
      </c>
      <c r="CZ257">
        <f>AH257</f>
        <v>0</v>
      </c>
      <c r="DA257">
        <f>AL257</f>
        <v>1</v>
      </c>
      <c r="DB257">
        <f>ROUND((ROUND(AT257*CZ257,2)*1.2),6)</f>
        <v>0</v>
      </c>
      <c r="DC257">
        <f>ROUND((ROUND(AT257*AG257,2)*1.2),6)</f>
        <v>0</v>
      </c>
      <c r="DD257" t="s">
        <v>3</v>
      </c>
      <c r="DE257" t="s">
        <v>3</v>
      </c>
      <c r="DF257">
        <f t="shared" ref="DF257:DF267" si="100">ROUND(ROUND(AE257,2)*CX257,2)</f>
        <v>0</v>
      </c>
      <c r="DG257">
        <f t="shared" ref="DG257:DG264" si="101">ROUND(ROUND(AF257,2)*CX257,2)</f>
        <v>0</v>
      </c>
      <c r="DH257">
        <f t="shared" ref="DH257:DH264" si="102">ROUND(ROUND(AG257,2)*CX257,2)</f>
        <v>0</v>
      </c>
      <c r="DI257">
        <f t="shared" ref="DI257:DI282" si="103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ROW(Source!A191)</f>
        <v>191</v>
      </c>
      <c r="B258">
        <v>55934355</v>
      </c>
      <c r="C258">
        <v>55934900</v>
      </c>
      <c r="D258">
        <v>55490209</v>
      </c>
      <c r="E258">
        <v>1</v>
      </c>
      <c r="F258">
        <v>1</v>
      </c>
      <c r="G258">
        <v>1081</v>
      </c>
      <c r="H258">
        <v>2</v>
      </c>
      <c r="I258" t="s">
        <v>294</v>
      </c>
      <c r="J258" t="s">
        <v>295</v>
      </c>
      <c r="K258" t="s">
        <v>296</v>
      </c>
      <c r="L258">
        <v>1368</v>
      </c>
      <c r="N258">
        <v>1011</v>
      </c>
      <c r="O258" t="s">
        <v>227</v>
      </c>
      <c r="P258" t="s">
        <v>227</v>
      </c>
      <c r="Q258">
        <v>1</v>
      </c>
      <c r="W258">
        <v>0</v>
      </c>
      <c r="X258">
        <v>874612079</v>
      </c>
      <c r="Y258">
        <f>(AT258*1.2)</f>
        <v>1.2E-2</v>
      </c>
      <c r="AA258">
        <v>0</v>
      </c>
      <c r="AB258">
        <v>87.01</v>
      </c>
      <c r="AC258">
        <v>13.21</v>
      </c>
      <c r="AD258">
        <v>0</v>
      </c>
      <c r="AE258">
        <v>0</v>
      </c>
      <c r="AF258">
        <v>83.1</v>
      </c>
      <c r="AG258">
        <v>12.62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-2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0.01</v>
      </c>
      <c r="AU258" t="s">
        <v>121</v>
      </c>
      <c r="AV258">
        <v>0</v>
      </c>
      <c r="AW258">
        <v>2</v>
      </c>
      <c r="AX258">
        <v>55934902</v>
      </c>
      <c r="AY258">
        <v>1</v>
      </c>
      <c r="AZ258">
        <v>0</v>
      </c>
      <c r="BA258">
        <v>300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ROUND(Y258*Source!I191*DO258,9)</f>
        <v>1.226664</v>
      </c>
      <c r="CX258">
        <f>ROUND(Y258*Source!I191,9)</f>
        <v>9.7199999999999995E-2</v>
      </c>
      <c r="CY258">
        <f>AB258</f>
        <v>87.01</v>
      </c>
      <c r="CZ258">
        <f>AF258</f>
        <v>83.1</v>
      </c>
      <c r="DA258">
        <f>AJ258</f>
        <v>1</v>
      </c>
      <c r="DB258">
        <f>ROUND((ROUND(AT258*CZ258,2)*1.2),6)</f>
        <v>0.996</v>
      </c>
      <c r="DC258">
        <f>ROUND((ROUND(AT258*AG258,2)*1.2),6)</f>
        <v>0.156</v>
      </c>
      <c r="DD258" t="s">
        <v>3</v>
      </c>
      <c r="DE258" t="s">
        <v>3</v>
      </c>
      <c r="DF258">
        <f t="shared" si="100"/>
        <v>0</v>
      </c>
      <c r="DG258">
        <f t="shared" si="101"/>
        <v>8.08</v>
      </c>
      <c r="DH258">
        <f t="shared" si="102"/>
        <v>1.23</v>
      </c>
      <c r="DI258">
        <f t="shared" si="103"/>
        <v>0</v>
      </c>
      <c r="DJ258">
        <f>DG258</f>
        <v>8.08</v>
      </c>
      <c r="DK258">
        <v>0</v>
      </c>
      <c r="DL258" t="s">
        <v>228</v>
      </c>
      <c r="DM258">
        <v>0</v>
      </c>
      <c r="DN258" t="s">
        <v>223</v>
      </c>
      <c r="DO258">
        <v>12.62</v>
      </c>
    </row>
    <row r="259" spans="1:119" x14ac:dyDescent="0.25">
      <c r="A259">
        <f>ROW(Source!A191)</f>
        <v>191</v>
      </c>
      <c r="B259">
        <v>55934355</v>
      </c>
      <c r="C259">
        <v>55934900</v>
      </c>
      <c r="D259">
        <v>55490263</v>
      </c>
      <c r="E259">
        <v>1</v>
      </c>
      <c r="F259">
        <v>1</v>
      </c>
      <c r="G259">
        <v>1081</v>
      </c>
      <c r="H259">
        <v>2</v>
      </c>
      <c r="I259" t="s">
        <v>297</v>
      </c>
      <c r="J259" t="s">
        <v>298</v>
      </c>
      <c r="K259" t="s">
        <v>299</v>
      </c>
      <c r="L259">
        <v>1368</v>
      </c>
      <c r="N259">
        <v>1011</v>
      </c>
      <c r="O259" t="s">
        <v>227</v>
      </c>
      <c r="P259" t="s">
        <v>227</v>
      </c>
      <c r="Q259">
        <v>1</v>
      </c>
      <c r="W259">
        <v>0</v>
      </c>
      <c r="X259">
        <v>-1895752648</v>
      </c>
      <c r="Y259">
        <f>(AT259*1.2)</f>
        <v>2.2440000000000002</v>
      </c>
      <c r="AA259">
        <v>0</v>
      </c>
      <c r="AB259">
        <v>0.81</v>
      </c>
      <c r="AC259">
        <v>0</v>
      </c>
      <c r="AD259">
        <v>0</v>
      </c>
      <c r="AE259">
        <v>0</v>
      </c>
      <c r="AF259">
        <v>0.77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-2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1.87</v>
      </c>
      <c r="AU259" t="s">
        <v>121</v>
      </c>
      <c r="AV259">
        <v>0</v>
      </c>
      <c r="AW259">
        <v>2</v>
      </c>
      <c r="AX259">
        <v>55934903</v>
      </c>
      <c r="AY259">
        <v>1</v>
      </c>
      <c r="AZ259">
        <v>0</v>
      </c>
      <c r="BA259">
        <v>301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f>ROUND(Y259*Source!I191*DO259,9)</f>
        <v>0</v>
      </c>
      <c r="CX259">
        <f>ROUND(Y259*Source!I191,9)</f>
        <v>18.176400000000001</v>
      </c>
      <c r="CY259">
        <f>AB259</f>
        <v>0.81</v>
      </c>
      <c r="CZ259">
        <f>AF259</f>
        <v>0.77</v>
      </c>
      <c r="DA259">
        <f>AJ259</f>
        <v>1</v>
      </c>
      <c r="DB259">
        <f>ROUND((ROUND(AT259*CZ259,2)*1.2),6)</f>
        <v>1.728</v>
      </c>
      <c r="DC259">
        <f>ROUND((ROUND(AT259*AG259,2)*1.2),6)</f>
        <v>0</v>
      </c>
      <c r="DD259" t="s">
        <v>3</v>
      </c>
      <c r="DE259" t="s">
        <v>3</v>
      </c>
      <c r="DF259">
        <f t="shared" si="100"/>
        <v>0</v>
      </c>
      <c r="DG259">
        <f t="shared" si="101"/>
        <v>14</v>
      </c>
      <c r="DH259">
        <f t="shared" si="102"/>
        <v>0</v>
      </c>
      <c r="DI259">
        <f t="shared" si="103"/>
        <v>0</v>
      </c>
      <c r="DJ259">
        <f>DG259</f>
        <v>14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ROW(Source!A191)</f>
        <v>191</v>
      </c>
      <c r="B260">
        <v>55934355</v>
      </c>
      <c r="C260">
        <v>55934900</v>
      </c>
      <c r="D260">
        <v>55490296</v>
      </c>
      <c r="E260">
        <v>1</v>
      </c>
      <c r="F260">
        <v>1</v>
      </c>
      <c r="G260">
        <v>1081</v>
      </c>
      <c r="H260">
        <v>2</v>
      </c>
      <c r="I260" t="s">
        <v>300</v>
      </c>
      <c r="J260" t="s">
        <v>301</v>
      </c>
      <c r="K260" t="s">
        <v>302</v>
      </c>
      <c r="L260">
        <v>1368</v>
      </c>
      <c r="N260">
        <v>1011</v>
      </c>
      <c r="O260" t="s">
        <v>227</v>
      </c>
      <c r="P260" t="s">
        <v>227</v>
      </c>
      <c r="Q260">
        <v>1</v>
      </c>
      <c r="W260">
        <v>0</v>
      </c>
      <c r="X260">
        <v>-643591644</v>
      </c>
      <c r="Y260">
        <f>(AT260*1.2)</f>
        <v>0.22799999999999998</v>
      </c>
      <c r="AA260">
        <v>0</v>
      </c>
      <c r="AB260">
        <v>0.49</v>
      </c>
      <c r="AC260">
        <v>0</v>
      </c>
      <c r="AD260">
        <v>0</v>
      </c>
      <c r="AE260">
        <v>0</v>
      </c>
      <c r="AF260">
        <v>0.47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-2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0.19</v>
      </c>
      <c r="AU260" t="s">
        <v>121</v>
      </c>
      <c r="AV260">
        <v>0</v>
      </c>
      <c r="AW260">
        <v>2</v>
      </c>
      <c r="AX260">
        <v>55934904</v>
      </c>
      <c r="AY260">
        <v>1</v>
      </c>
      <c r="AZ260">
        <v>0</v>
      </c>
      <c r="BA260">
        <v>302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f>ROUND(Y260*Source!I191*DO260,9)</f>
        <v>0</v>
      </c>
      <c r="CX260">
        <f>ROUND(Y260*Source!I191,9)</f>
        <v>1.8468</v>
      </c>
      <c r="CY260">
        <f>AB260</f>
        <v>0.49</v>
      </c>
      <c r="CZ260">
        <f>AF260</f>
        <v>0.47</v>
      </c>
      <c r="DA260">
        <f>AJ260</f>
        <v>1</v>
      </c>
      <c r="DB260">
        <f>ROUND((ROUND(AT260*CZ260,2)*1.2),6)</f>
        <v>0.108</v>
      </c>
      <c r="DC260">
        <f>ROUND((ROUND(AT260*AG260,2)*1.2),6)</f>
        <v>0</v>
      </c>
      <c r="DD260" t="s">
        <v>3</v>
      </c>
      <c r="DE260" t="s">
        <v>3</v>
      </c>
      <c r="DF260">
        <f t="shared" si="100"/>
        <v>0</v>
      </c>
      <c r="DG260">
        <f t="shared" si="101"/>
        <v>0.87</v>
      </c>
      <c r="DH260">
        <f t="shared" si="102"/>
        <v>0</v>
      </c>
      <c r="DI260">
        <f t="shared" si="103"/>
        <v>0</v>
      </c>
      <c r="DJ260">
        <f>DG260</f>
        <v>0.87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ROW(Source!A191)</f>
        <v>191</v>
      </c>
      <c r="B261">
        <v>55934355</v>
      </c>
      <c r="C261">
        <v>55934900</v>
      </c>
      <c r="D261">
        <v>55459340</v>
      </c>
      <c r="E261">
        <v>1</v>
      </c>
      <c r="F261">
        <v>1</v>
      </c>
      <c r="G261">
        <v>1081</v>
      </c>
      <c r="H261">
        <v>3</v>
      </c>
      <c r="I261" t="s">
        <v>303</v>
      </c>
      <c r="J261" t="s">
        <v>304</v>
      </c>
      <c r="K261" t="s">
        <v>305</v>
      </c>
      <c r="L261">
        <v>1354</v>
      </c>
      <c r="N261">
        <v>1010</v>
      </c>
      <c r="O261" t="s">
        <v>293</v>
      </c>
      <c r="P261" t="s">
        <v>293</v>
      </c>
      <c r="Q261">
        <v>1</v>
      </c>
      <c r="W261">
        <v>0</v>
      </c>
      <c r="X261">
        <v>-1352077490</v>
      </c>
      <c r="Y261">
        <f>(AT261*1)</f>
        <v>40</v>
      </c>
      <c r="AA261">
        <v>0.89</v>
      </c>
      <c r="AB261">
        <v>0</v>
      </c>
      <c r="AC261">
        <v>0</v>
      </c>
      <c r="AD261">
        <v>0</v>
      </c>
      <c r="AE261">
        <v>0.89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-2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40</v>
      </c>
      <c r="AU261" t="s">
        <v>120</v>
      </c>
      <c r="AV261">
        <v>0</v>
      </c>
      <c r="AW261">
        <v>2</v>
      </c>
      <c r="AX261">
        <v>55934905</v>
      </c>
      <c r="AY261">
        <v>1</v>
      </c>
      <c r="AZ261">
        <v>0</v>
      </c>
      <c r="BA261">
        <v>303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ROUND(Y261*Source!I191,9)</f>
        <v>324</v>
      </c>
      <c r="CY261">
        <f>AA261</f>
        <v>0.89</v>
      </c>
      <c r="CZ261">
        <f>AE261</f>
        <v>0.89</v>
      </c>
      <c r="DA261">
        <f>AI261</f>
        <v>1</v>
      </c>
      <c r="DB261">
        <f>ROUND((ROUND(AT261*CZ261,2)*1),6)</f>
        <v>35.6</v>
      </c>
      <c r="DC261">
        <f>ROUND((ROUND(AT261*AG261,2)*1),6)</f>
        <v>0</v>
      </c>
      <c r="DD261" t="s">
        <v>3</v>
      </c>
      <c r="DE261" t="s">
        <v>3</v>
      </c>
      <c r="DF261">
        <f t="shared" si="100"/>
        <v>288.36</v>
      </c>
      <c r="DG261">
        <f t="shared" si="101"/>
        <v>0</v>
      </c>
      <c r="DH261">
        <f t="shared" si="102"/>
        <v>0</v>
      </c>
      <c r="DI261">
        <f t="shared" si="103"/>
        <v>0</v>
      </c>
      <c r="DJ261">
        <f>DF261</f>
        <v>288.36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ROW(Source!A191)</f>
        <v>191</v>
      </c>
      <c r="B262">
        <v>55934355</v>
      </c>
      <c r="C262">
        <v>55934900</v>
      </c>
      <c r="D262">
        <v>55461503</v>
      </c>
      <c r="E262">
        <v>1</v>
      </c>
      <c r="F262">
        <v>1</v>
      </c>
      <c r="G262">
        <v>1081</v>
      </c>
      <c r="H262">
        <v>3</v>
      </c>
      <c r="I262" t="s">
        <v>306</v>
      </c>
      <c r="J262" t="s">
        <v>307</v>
      </c>
      <c r="K262" t="s">
        <v>308</v>
      </c>
      <c r="L262">
        <v>1355</v>
      </c>
      <c r="N262">
        <v>1010</v>
      </c>
      <c r="O262" t="s">
        <v>280</v>
      </c>
      <c r="P262" t="s">
        <v>280</v>
      </c>
      <c r="Q262">
        <v>100</v>
      </c>
      <c r="W262">
        <v>0</v>
      </c>
      <c r="X262">
        <v>-2062965048</v>
      </c>
      <c r="Y262">
        <f>(AT262*1)</f>
        <v>0.4</v>
      </c>
      <c r="AA262">
        <v>17.28</v>
      </c>
      <c r="AB262">
        <v>0</v>
      </c>
      <c r="AC262">
        <v>0</v>
      </c>
      <c r="AD262">
        <v>0</v>
      </c>
      <c r="AE262">
        <v>17.28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>
        <v>-2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0.4</v>
      </c>
      <c r="AU262" t="s">
        <v>120</v>
      </c>
      <c r="AV262">
        <v>0</v>
      </c>
      <c r="AW262">
        <v>2</v>
      </c>
      <c r="AX262">
        <v>55934906</v>
      </c>
      <c r="AY262">
        <v>1</v>
      </c>
      <c r="AZ262">
        <v>0</v>
      </c>
      <c r="BA262">
        <v>304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ROUND(Y262*Source!I191,9)</f>
        <v>3.24</v>
      </c>
      <c r="CY262">
        <f>AA262</f>
        <v>17.28</v>
      </c>
      <c r="CZ262">
        <f>AE262</f>
        <v>17.28</v>
      </c>
      <c r="DA262">
        <f>AI262</f>
        <v>1</v>
      </c>
      <c r="DB262">
        <f>ROUND((ROUND(AT262*CZ262,2)*1),6)</f>
        <v>6.91</v>
      </c>
      <c r="DC262">
        <f>ROUND((ROUND(AT262*AG262,2)*1),6)</f>
        <v>0</v>
      </c>
      <c r="DD262" t="s">
        <v>3</v>
      </c>
      <c r="DE262" t="s">
        <v>3</v>
      </c>
      <c r="DF262">
        <f t="shared" si="100"/>
        <v>55.99</v>
      </c>
      <c r="DG262">
        <f t="shared" si="101"/>
        <v>0</v>
      </c>
      <c r="DH262">
        <f t="shared" si="102"/>
        <v>0</v>
      </c>
      <c r="DI262">
        <f t="shared" si="103"/>
        <v>0</v>
      </c>
      <c r="DJ262">
        <f>DF262</f>
        <v>55.99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ROW(Source!A191)</f>
        <v>191</v>
      </c>
      <c r="B263">
        <v>55934355</v>
      </c>
      <c r="C263">
        <v>55934900</v>
      </c>
      <c r="D263">
        <v>0</v>
      </c>
      <c r="E263">
        <v>0</v>
      </c>
      <c r="F263">
        <v>1</v>
      </c>
      <c r="G263">
        <v>1081</v>
      </c>
      <c r="H263">
        <v>3</v>
      </c>
      <c r="I263" t="s">
        <v>315</v>
      </c>
      <c r="J263" t="s">
        <v>315</v>
      </c>
      <c r="K263" t="s">
        <v>316</v>
      </c>
      <c r="L263">
        <v>1371</v>
      </c>
      <c r="N263">
        <v>1013</v>
      </c>
      <c r="O263" t="s">
        <v>126</v>
      </c>
      <c r="P263" t="s">
        <v>126</v>
      </c>
      <c r="Q263">
        <v>1</v>
      </c>
      <c r="W263">
        <v>0</v>
      </c>
      <c r="X263">
        <v>1926331531</v>
      </c>
      <c r="Y263">
        <f>AT263</f>
        <v>10</v>
      </c>
      <c r="AA263">
        <v>3600.41</v>
      </c>
      <c r="AB263">
        <v>0</v>
      </c>
      <c r="AC263">
        <v>0</v>
      </c>
      <c r="AD263">
        <v>0</v>
      </c>
      <c r="AE263">
        <v>3600.41</v>
      </c>
      <c r="AF263">
        <v>0</v>
      </c>
      <c r="AG263">
        <v>0</v>
      </c>
      <c r="AH263">
        <v>0</v>
      </c>
      <c r="AI263">
        <v>1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10</v>
      </c>
      <c r="AU263" t="s">
        <v>3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ROUND(Y263*Source!I191,9)</f>
        <v>81</v>
      </c>
      <c r="CY263">
        <f>AA263</f>
        <v>3600.41</v>
      </c>
      <c r="CZ263">
        <f>AE263</f>
        <v>3600.41</v>
      </c>
      <c r="DA263">
        <f>AI263</f>
        <v>1</v>
      </c>
      <c r="DB263">
        <f>ROUND(ROUND(AT263*CZ263,2),6)</f>
        <v>36004.1</v>
      </c>
      <c r="DC263">
        <f>ROUND(ROUND(AT263*AG263,2),6)</f>
        <v>0</v>
      </c>
      <c r="DD263" t="s">
        <v>3</v>
      </c>
      <c r="DE263" t="s">
        <v>3</v>
      </c>
      <c r="DF263">
        <f t="shared" si="100"/>
        <v>291633.21000000002</v>
      </c>
      <c r="DG263">
        <f t="shared" si="101"/>
        <v>0</v>
      </c>
      <c r="DH263">
        <f t="shared" si="102"/>
        <v>0</v>
      </c>
      <c r="DI263">
        <f t="shared" si="103"/>
        <v>0</v>
      </c>
      <c r="DJ263">
        <f>DF263</f>
        <v>291633.21000000002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ROW(Source!A192)</f>
        <v>192</v>
      </c>
      <c r="B264">
        <v>55934357</v>
      </c>
      <c r="C264">
        <v>55934900</v>
      </c>
      <c r="D264">
        <v>55424304</v>
      </c>
      <c r="E264">
        <v>1081</v>
      </c>
      <c r="F264">
        <v>1</v>
      </c>
      <c r="G264">
        <v>1081</v>
      </c>
      <c r="H264">
        <v>1</v>
      </c>
      <c r="I264" t="s">
        <v>221</v>
      </c>
      <c r="J264" t="s">
        <v>3</v>
      </c>
      <c r="K264" t="s">
        <v>222</v>
      </c>
      <c r="L264">
        <v>1191</v>
      </c>
      <c r="N264">
        <v>1013</v>
      </c>
      <c r="O264" t="s">
        <v>223</v>
      </c>
      <c r="P264" t="s">
        <v>223</v>
      </c>
      <c r="Q264">
        <v>1</v>
      </c>
      <c r="W264">
        <v>0</v>
      </c>
      <c r="X264">
        <v>476480486</v>
      </c>
      <c r="Y264">
        <f>(AT264*1.2)</f>
        <v>18.648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5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15.54</v>
      </c>
      <c r="AU264" t="s">
        <v>121</v>
      </c>
      <c r="AV264">
        <v>1</v>
      </c>
      <c r="AW264">
        <v>2</v>
      </c>
      <c r="AX264">
        <v>55934901</v>
      </c>
      <c r="AY264">
        <v>1</v>
      </c>
      <c r="AZ264">
        <v>0</v>
      </c>
      <c r="BA264">
        <v>306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U264">
        <f>ROUND(AT264*Source!I192*AH264*AL264,2)</f>
        <v>0</v>
      </c>
      <c r="CV264">
        <f>ROUND(Y264*Source!I192,9)</f>
        <v>151.0488</v>
      </c>
      <c r="CW264">
        <v>0</v>
      </c>
      <c r="CX264">
        <f>ROUND(Y264*Source!I192,9)</f>
        <v>151.0488</v>
      </c>
      <c r="CY264">
        <f>AD264</f>
        <v>0</v>
      </c>
      <c r="CZ264">
        <f>AH264</f>
        <v>0</v>
      </c>
      <c r="DA264">
        <f>AL264</f>
        <v>1</v>
      </c>
      <c r="DB264">
        <f>ROUND((ROUND(AT264*CZ264,2)*1.2),6)</f>
        <v>0</v>
      </c>
      <c r="DC264">
        <f>ROUND((ROUND(AT264*AG264,2)*1.2),6)</f>
        <v>0</v>
      </c>
      <c r="DD264" t="s">
        <v>3</v>
      </c>
      <c r="DE264" t="s">
        <v>3</v>
      </c>
      <c r="DF264">
        <f t="shared" si="100"/>
        <v>0</v>
      </c>
      <c r="DG264">
        <f t="shared" si="101"/>
        <v>0</v>
      </c>
      <c r="DH264">
        <f t="shared" si="102"/>
        <v>0</v>
      </c>
      <c r="DI264">
        <f t="shared" si="103"/>
        <v>0</v>
      </c>
      <c r="DJ264">
        <f>DI264</f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ROW(Source!A192)</f>
        <v>192</v>
      </c>
      <c r="B265">
        <v>55934357</v>
      </c>
      <c r="C265">
        <v>55934900</v>
      </c>
      <c r="D265">
        <v>55490209</v>
      </c>
      <c r="E265">
        <v>1</v>
      </c>
      <c r="F265">
        <v>1</v>
      </c>
      <c r="G265">
        <v>1081</v>
      </c>
      <c r="H265">
        <v>2</v>
      </c>
      <c r="I265" t="s">
        <v>294</v>
      </c>
      <c r="J265" t="s">
        <v>295</v>
      </c>
      <c r="K265" t="s">
        <v>296</v>
      </c>
      <c r="L265">
        <v>1368</v>
      </c>
      <c r="N265">
        <v>1011</v>
      </c>
      <c r="O265" t="s">
        <v>227</v>
      </c>
      <c r="P265" t="s">
        <v>227</v>
      </c>
      <c r="Q265">
        <v>1</v>
      </c>
      <c r="W265">
        <v>0</v>
      </c>
      <c r="X265">
        <v>874612079</v>
      </c>
      <c r="Y265">
        <f>(AT265*1.2)</f>
        <v>1.2E-2</v>
      </c>
      <c r="AA265">
        <v>0</v>
      </c>
      <c r="AB265">
        <v>1485.19</v>
      </c>
      <c r="AC265">
        <v>744.56</v>
      </c>
      <c r="AD265">
        <v>0</v>
      </c>
      <c r="AE265">
        <v>0</v>
      </c>
      <c r="AF265">
        <v>83.1</v>
      </c>
      <c r="AG265">
        <v>12.62</v>
      </c>
      <c r="AH265">
        <v>0</v>
      </c>
      <c r="AI265">
        <v>1</v>
      </c>
      <c r="AJ265">
        <v>17.07</v>
      </c>
      <c r="AK265">
        <v>56.35</v>
      </c>
      <c r="AL265">
        <v>1</v>
      </c>
      <c r="AM265">
        <v>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0.01</v>
      </c>
      <c r="AU265" t="s">
        <v>121</v>
      </c>
      <c r="AV265">
        <v>0</v>
      </c>
      <c r="AW265">
        <v>2</v>
      </c>
      <c r="AX265">
        <v>55934902</v>
      </c>
      <c r="AY265">
        <v>1</v>
      </c>
      <c r="AZ265">
        <v>0</v>
      </c>
      <c r="BA265">
        <v>307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f>ROUND(Y265*Source!I192*DO265,9)</f>
        <v>1.226664</v>
      </c>
      <c r="CX265">
        <f>ROUND(Y265*Source!I192,9)</f>
        <v>9.7199999999999995E-2</v>
      </c>
      <c r="CY265">
        <f>AB265</f>
        <v>1485.19</v>
      </c>
      <c r="CZ265">
        <f>AF265</f>
        <v>83.1</v>
      </c>
      <c r="DA265">
        <f>AJ265</f>
        <v>17.07</v>
      </c>
      <c r="DB265">
        <f>ROUND((ROUND(AT265*CZ265,2)*1.2),6)</f>
        <v>0.996</v>
      </c>
      <c r="DC265">
        <f>ROUND((ROUND(AT265*AG265,2)*1.2),6)</f>
        <v>0.156</v>
      </c>
      <c r="DD265" t="s">
        <v>3</v>
      </c>
      <c r="DE265" t="s">
        <v>3</v>
      </c>
      <c r="DF265">
        <f t="shared" si="100"/>
        <v>0</v>
      </c>
      <c r="DG265">
        <f>ROUND(ROUND(AF265*AJ265,2)*CX265,2)</f>
        <v>137.88</v>
      </c>
      <c r="DH265">
        <f>ROUND(ROUND(AG265*AK265,2)*CX265,2)</f>
        <v>69.12</v>
      </c>
      <c r="DI265">
        <f t="shared" si="103"/>
        <v>0</v>
      </c>
      <c r="DJ265">
        <f>DG265</f>
        <v>137.88</v>
      </c>
      <c r="DK265">
        <v>0</v>
      </c>
      <c r="DL265" t="s">
        <v>228</v>
      </c>
      <c r="DM265">
        <v>0</v>
      </c>
      <c r="DN265" t="s">
        <v>223</v>
      </c>
      <c r="DO265">
        <v>12.62</v>
      </c>
    </row>
    <row r="266" spans="1:119" x14ac:dyDescent="0.25">
      <c r="A266">
        <f>ROW(Source!A192)</f>
        <v>192</v>
      </c>
      <c r="B266">
        <v>55934357</v>
      </c>
      <c r="C266">
        <v>55934900</v>
      </c>
      <c r="D266">
        <v>55490263</v>
      </c>
      <c r="E266">
        <v>1</v>
      </c>
      <c r="F266">
        <v>1</v>
      </c>
      <c r="G266">
        <v>1081</v>
      </c>
      <c r="H266">
        <v>2</v>
      </c>
      <c r="I266" t="s">
        <v>297</v>
      </c>
      <c r="J266" t="s">
        <v>298</v>
      </c>
      <c r="K266" t="s">
        <v>299</v>
      </c>
      <c r="L266">
        <v>1368</v>
      </c>
      <c r="N266">
        <v>1011</v>
      </c>
      <c r="O266" t="s">
        <v>227</v>
      </c>
      <c r="P266" t="s">
        <v>227</v>
      </c>
      <c r="Q266">
        <v>1</v>
      </c>
      <c r="W266">
        <v>0</v>
      </c>
      <c r="X266">
        <v>-1895752648</v>
      </c>
      <c r="Y266">
        <f>(AT266*1.2)</f>
        <v>2.2440000000000002</v>
      </c>
      <c r="AA266">
        <v>0</v>
      </c>
      <c r="AB266">
        <v>7.71</v>
      </c>
      <c r="AC266">
        <v>0</v>
      </c>
      <c r="AD266">
        <v>0</v>
      </c>
      <c r="AE266">
        <v>0</v>
      </c>
      <c r="AF266">
        <v>0.77</v>
      </c>
      <c r="AG266">
        <v>0</v>
      </c>
      <c r="AH266">
        <v>0</v>
      </c>
      <c r="AI266">
        <v>1</v>
      </c>
      <c r="AJ266">
        <v>9.56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1.87</v>
      </c>
      <c r="AU266" t="s">
        <v>121</v>
      </c>
      <c r="AV266">
        <v>0</v>
      </c>
      <c r="AW266">
        <v>2</v>
      </c>
      <c r="AX266">
        <v>55934903</v>
      </c>
      <c r="AY266">
        <v>1</v>
      </c>
      <c r="AZ266">
        <v>0</v>
      </c>
      <c r="BA266">
        <v>308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ROUND(Y266*Source!I192*DO266,9)</f>
        <v>0</v>
      </c>
      <c r="CX266">
        <f>ROUND(Y266*Source!I192,9)</f>
        <v>18.176400000000001</v>
      </c>
      <c r="CY266">
        <f>AB266</f>
        <v>7.71</v>
      </c>
      <c r="CZ266">
        <f>AF266</f>
        <v>0.77</v>
      </c>
      <c r="DA266">
        <f>AJ266</f>
        <v>9.56</v>
      </c>
      <c r="DB266">
        <f>ROUND((ROUND(AT266*CZ266,2)*1.2),6)</f>
        <v>1.728</v>
      </c>
      <c r="DC266">
        <f>ROUND((ROUND(AT266*AG266,2)*1.2),6)</f>
        <v>0</v>
      </c>
      <c r="DD266" t="s">
        <v>3</v>
      </c>
      <c r="DE266" t="s">
        <v>3</v>
      </c>
      <c r="DF266">
        <f t="shared" si="100"/>
        <v>0</v>
      </c>
      <c r="DG266">
        <f>ROUND(ROUND(AF266*AJ266,2)*CX266,2)</f>
        <v>133.78</v>
      </c>
      <c r="DH266">
        <f t="shared" ref="DH266:DH277" si="104">ROUND(ROUND(AG266,2)*CX266,2)</f>
        <v>0</v>
      </c>
      <c r="DI266">
        <f t="shared" si="103"/>
        <v>0</v>
      </c>
      <c r="DJ266">
        <f>DG266</f>
        <v>133.78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ROW(Source!A192)</f>
        <v>192</v>
      </c>
      <c r="B267">
        <v>55934357</v>
      </c>
      <c r="C267">
        <v>55934900</v>
      </c>
      <c r="D267">
        <v>55490296</v>
      </c>
      <c r="E267">
        <v>1</v>
      </c>
      <c r="F267">
        <v>1</v>
      </c>
      <c r="G267">
        <v>1081</v>
      </c>
      <c r="H267">
        <v>2</v>
      </c>
      <c r="I267" t="s">
        <v>300</v>
      </c>
      <c r="J267" t="s">
        <v>301</v>
      </c>
      <c r="K267" t="s">
        <v>302</v>
      </c>
      <c r="L267">
        <v>1368</v>
      </c>
      <c r="N267">
        <v>1011</v>
      </c>
      <c r="O267" t="s">
        <v>227</v>
      </c>
      <c r="P267" t="s">
        <v>227</v>
      </c>
      <c r="Q267">
        <v>1</v>
      </c>
      <c r="W267">
        <v>0</v>
      </c>
      <c r="X267">
        <v>-643591644</v>
      </c>
      <c r="Y267">
        <f>(AT267*1.2)</f>
        <v>0.22799999999999998</v>
      </c>
      <c r="AA267">
        <v>0</v>
      </c>
      <c r="AB267">
        <v>4.75</v>
      </c>
      <c r="AC267">
        <v>0</v>
      </c>
      <c r="AD267">
        <v>0</v>
      </c>
      <c r="AE267">
        <v>0</v>
      </c>
      <c r="AF267">
        <v>0.47</v>
      </c>
      <c r="AG267">
        <v>0</v>
      </c>
      <c r="AH267">
        <v>0</v>
      </c>
      <c r="AI267">
        <v>1</v>
      </c>
      <c r="AJ267">
        <v>9.66</v>
      </c>
      <c r="AK267">
        <v>1</v>
      </c>
      <c r="AL267">
        <v>1</v>
      </c>
      <c r="AM267">
        <v>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0.19</v>
      </c>
      <c r="AU267" t="s">
        <v>121</v>
      </c>
      <c r="AV267">
        <v>0</v>
      </c>
      <c r="AW267">
        <v>2</v>
      </c>
      <c r="AX267">
        <v>55934904</v>
      </c>
      <c r="AY267">
        <v>1</v>
      </c>
      <c r="AZ267">
        <v>0</v>
      </c>
      <c r="BA267">
        <v>309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ROUND(Y267*Source!I192*DO267,9)</f>
        <v>0</v>
      </c>
      <c r="CX267">
        <f>ROUND(Y267*Source!I192,9)</f>
        <v>1.8468</v>
      </c>
      <c r="CY267">
        <f>AB267</f>
        <v>4.75</v>
      </c>
      <c r="CZ267">
        <f>AF267</f>
        <v>0.47</v>
      </c>
      <c r="DA267">
        <f>AJ267</f>
        <v>9.66</v>
      </c>
      <c r="DB267">
        <f>ROUND((ROUND(AT267*CZ267,2)*1.2),6)</f>
        <v>0.108</v>
      </c>
      <c r="DC267">
        <f>ROUND((ROUND(AT267*AG267,2)*1.2),6)</f>
        <v>0</v>
      </c>
      <c r="DD267" t="s">
        <v>3</v>
      </c>
      <c r="DE267" t="s">
        <v>3</v>
      </c>
      <c r="DF267">
        <f t="shared" si="100"/>
        <v>0</v>
      </c>
      <c r="DG267">
        <f>ROUND(ROUND(AF267*AJ267,2)*CX267,2)</f>
        <v>8.3800000000000008</v>
      </c>
      <c r="DH267">
        <f t="shared" si="104"/>
        <v>0</v>
      </c>
      <c r="DI267">
        <f t="shared" si="103"/>
        <v>0</v>
      </c>
      <c r="DJ267">
        <f>DG267</f>
        <v>8.3800000000000008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ROW(Source!A192)</f>
        <v>192</v>
      </c>
      <c r="B268">
        <v>55934357</v>
      </c>
      <c r="C268">
        <v>55934900</v>
      </c>
      <c r="D268">
        <v>55459340</v>
      </c>
      <c r="E268">
        <v>1</v>
      </c>
      <c r="F268">
        <v>1</v>
      </c>
      <c r="G268">
        <v>1081</v>
      </c>
      <c r="H268">
        <v>3</v>
      </c>
      <c r="I268" t="s">
        <v>303</v>
      </c>
      <c r="J268" t="s">
        <v>304</v>
      </c>
      <c r="K268" t="s">
        <v>305</v>
      </c>
      <c r="L268">
        <v>1354</v>
      </c>
      <c r="N268">
        <v>1010</v>
      </c>
      <c r="O268" t="s">
        <v>293</v>
      </c>
      <c r="P268" t="s">
        <v>293</v>
      </c>
      <c r="Q268">
        <v>1</v>
      </c>
      <c r="W268">
        <v>0</v>
      </c>
      <c r="X268">
        <v>-1352077490</v>
      </c>
      <c r="Y268">
        <f>(AT268*1)</f>
        <v>40</v>
      </c>
      <c r="AA268">
        <v>0.83</v>
      </c>
      <c r="AB268">
        <v>0</v>
      </c>
      <c r="AC268">
        <v>0</v>
      </c>
      <c r="AD268">
        <v>0</v>
      </c>
      <c r="AE268">
        <v>0.89</v>
      </c>
      <c r="AF268">
        <v>0</v>
      </c>
      <c r="AG268">
        <v>0</v>
      </c>
      <c r="AH268">
        <v>0</v>
      </c>
      <c r="AI268">
        <v>0.93</v>
      </c>
      <c r="AJ268">
        <v>1</v>
      </c>
      <c r="AK268">
        <v>1</v>
      </c>
      <c r="AL268">
        <v>1</v>
      </c>
      <c r="AM268">
        <v>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40</v>
      </c>
      <c r="AU268" t="s">
        <v>120</v>
      </c>
      <c r="AV268">
        <v>0</v>
      </c>
      <c r="AW268">
        <v>2</v>
      </c>
      <c r="AX268">
        <v>55934905</v>
      </c>
      <c r="AY268">
        <v>1</v>
      </c>
      <c r="AZ268">
        <v>0</v>
      </c>
      <c r="BA268">
        <v>310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ROUND(Y268*Source!I192,9)</f>
        <v>324</v>
      </c>
      <c r="CY268">
        <f>AA268</f>
        <v>0.83</v>
      </c>
      <c r="CZ268">
        <f>AE268</f>
        <v>0.89</v>
      </c>
      <c r="DA268">
        <f>AI268</f>
        <v>0.93</v>
      </c>
      <c r="DB268">
        <f>ROUND((ROUND(AT268*CZ268,2)*1),6)</f>
        <v>35.6</v>
      </c>
      <c r="DC268">
        <f>ROUND((ROUND(AT268*AG268,2)*1),6)</f>
        <v>0</v>
      </c>
      <c r="DD268" t="s">
        <v>3</v>
      </c>
      <c r="DE268" t="s">
        <v>3</v>
      </c>
      <c r="DF268">
        <f>ROUND(ROUND(AE268*AI268,2)*CX268,2)</f>
        <v>268.92</v>
      </c>
      <c r="DG268">
        <f t="shared" ref="DG268:DG277" si="105">ROUND(ROUND(AF268,2)*CX268,2)</f>
        <v>0</v>
      </c>
      <c r="DH268">
        <f t="shared" si="104"/>
        <v>0</v>
      </c>
      <c r="DI268">
        <f t="shared" si="103"/>
        <v>0</v>
      </c>
      <c r="DJ268">
        <f>DF268</f>
        <v>268.92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ROW(Source!A192)</f>
        <v>192</v>
      </c>
      <c r="B269">
        <v>55934357</v>
      </c>
      <c r="C269">
        <v>55934900</v>
      </c>
      <c r="D269">
        <v>55461503</v>
      </c>
      <c r="E269">
        <v>1</v>
      </c>
      <c r="F269">
        <v>1</v>
      </c>
      <c r="G269">
        <v>1081</v>
      </c>
      <c r="H269">
        <v>3</v>
      </c>
      <c r="I269" t="s">
        <v>306</v>
      </c>
      <c r="J269" t="s">
        <v>307</v>
      </c>
      <c r="K269" t="s">
        <v>308</v>
      </c>
      <c r="L269">
        <v>1355</v>
      </c>
      <c r="N269">
        <v>1010</v>
      </c>
      <c r="O269" t="s">
        <v>280</v>
      </c>
      <c r="P269" t="s">
        <v>280</v>
      </c>
      <c r="Q269">
        <v>100</v>
      </c>
      <c r="W269">
        <v>0</v>
      </c>
      <c r="X269">
        <v>-2062965048</v>
      </c>
      <c r="Y269">
        <f>(AT269*1)</f>
        <v>0.4</v>
      </c>
      <c r="AA269">
        <v>112.15</v>
      </c>
      <c r="AB269">
        <v>0</v>
      </c>
      <c r="AC269">
        <v>0</v>
      </c>
      <c r="AD269">
        <v>0</v>
      </c>
      <c r="AE269">
        <v>17.28</v>
      </c>
      <c r="AF269">
        <v>0</v>
      </c>
      <c r="AG269">
        <v>0</v>
      </c>
      <c r="AH269">
        <v>0</v>
      </c>
      <c r="AI269">
        <v>6.49</v>
      </c>
      <c r="AJ269">
        <v>1</v>
      </c>
      <c r="AK269">
        <v>1</v>
      </c>
      <c r="AL269">
        <v>1</v>
      </c>
      <c r="AM269">
        <v>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0.4</v>
      </c>
      <c r="AU269" t="s">
        <v>120</v>
      </c>
      <c r="AV269">
        <v>0</v>
      </c>
      <c r="AW269">
        <v>2</v>
      </c>
      <c r="AX269">
        <v>55934906</v>
      </c>
      <c r="AY269">
        <v>1</v>
      </c>
      <c r="AZ269">
        <v>0</v>
      </c>
      <c r="BA269">
        <v>311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ROUND(Y269*Source!I192,9)</f>
        <v>3.24</v>
      </c>
      <c r="CY269">
        <f>AA269</f>
        <v>112.15</v>
      </c>
      <c r="CZ269">
        <f>AE269</f>
        <v>17.28</v>
      </c>
      <c r="DA269">
        <f>AI269</f>
        <v>6.49</v>
      </c>
      <c r="DB269">
        <f>ROUND((ROUND(AT269*CZ269,2)*1),6)</f>
        <v>6.91</v>
      </c>
      <c r="DC269">
        <f>ROUND((ROUND(AT269*AG269,2)*1),6)</f>
        <v>0</v>
      </c>
      <c r="DD269" t="s">
        <v>3</v>
      </c>
      <c r="DE269" t="s">
        <v>3</v>
      </c>
      <c r="DF269">
        <f>ROUND(ROUND(AE269*AI269,2)*CX269,2)</f>
        <v>363.37</v>
      </c>
      <c r="DG269">
        <f t="shared" si="105"/>
        <v>0</v>
      </c>
      <c r="DH269">
        <f t="shared" si="104"/>
        <v>0</v>
      </c>
      <c r="DI269">
        <f t="shared" si="103"/>
        <v>0</v>
      </c>
      <c r="DJ269">
        <f>DF269</f>
        <v>363.37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ROW(Source!A192)</f>
        <v>192</v>
      </c>
      <c r="B270">
        <v>55934357</v>
      </c>
      <c r="C270">
        <v>55934900</v>
      </c>
      <c r="D270">
        <v>0</v>
      </c>
      <c r="E270">
        <v>0</v>
      </c>
      <c r="F270">
        <v>1</v>
      </c>
      <c r="G270">
        <v>1081</v>
      </c>
      <c r="H270">
        <v>3</v>
      </c>
      <c r="I270" t="s">
        <v>315</v>
      </c>
      <c r="J270" t="s">
        <v>315</v>
      </c>
      <c r="K270" t="s">
        <v>316</v>
      </c>
      <c r="L270">
        <v>1371</v>
      </c>
      <c r="N270">
        <v>1013</v>
      </c>
      <c r="O270" t="s">
        <v>126</v>
      </c>
      <c r="P270" t="s">
        <v>126</v>
      </c>
      <c r="Q270">
        <v>1</v>
      </c>
      <c r="W270">
        <v>0</v>
      </c>
      <c r="X270">
        <v>1926331531</v>
      </c>
      <c r="Y270">
        <f>AT270</f>
        <v>10</v>
      </c>
      <c r="AA270">
        <v>27255.1</v>
      </c>
      <c r="AB270">
        <v>0</v>
      </c>
      <c r="AC270">
        <v>0</v>
      </c>
      <c r="AD270">
        <v>0</v>
      </c>
      <c r="AE270">
        <v>3600.41</v>
      </c>
      <c r="AF270">
        <v>0</v>
      </c>
      <c r="AG270">
        <v>0</v>
      </c>
      <c r="AH270">
        <v>0</v>
      </c>
      <c r="AI270">
        <v>7.57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ROUND(Y270*Source!I192,9)</f>
        <v>81</v>
      </c>
      <c r="CY270">
        <f>AA270</f>
        <v>27255.1</v>
      </c>
      <c r="CZ270">
        <f>AE270</f>
        <v>3600.41</v>
      </c>
      <c r="DA270">
        <f>AI270</f>
        <v>7.57</v>
      </c>
      <c r="DB270">
        <f>ROUND(ROUND(AT270*CZ270,2),6)</f>
        <v>36004.1</v>
      </c>
      <c r="DC270">
        <f>ROUND(ROUND(AT270*AG270,2),6)</f>
        <v>0</v>
      </c>
      <c r="DD270" t="s">
        <v>3</v>
      </c>
      <c r="DE270" t="s">
        <v>3</v>
      </c>
      <c r="DF270">
        <f>ROUND(ROUND(AE270*AI270,2)*CX270,2)</f>
        <v>2207663.1</v>
      </c>
      <c r="DG270">
        <f t="shared" si="105"/>
        <v>0</v>
      </c>
      <c r="DH270">
        <f t="shared" si="104"/>
        <v>0</v>
      </c>
      <c r="DI270">
        <f t="shared" si="103"/>
        <v>0</v>
      </c>
      <c r="DJ270">
        <f>DF270</f>
        <v>2207663.1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ROW(Source!A195)</f>
        <v>195</v>
      </c>
      <c r="B271">
        <v>55934355</v>
      </c>
      <c r="C271">
        <v>55934909</v>
      </c>
      <c r="D271">
        <v>55424304</v>
      </c>
      <c r="E271">
        <v>1081</v>
      </c>
      <c r="F271">
        <v>1</v>
      </c>
      <c r="G271">
        <v>1081</v>
      </c>
      <c r="H271">
        <v>1</v>
      </c>
      <c r="I271" t="s">
        <v>221</v>
      </c>
      <c r="J271" t="s">
        <v>3</v>
      </c>
      <c r="K271" t="s">
        <v>222</v>
      </c>
      <c r="L271">
        <v>1191</v>
      </c>
      <c r="N271">
        <v>1013</v>
      </c>
      <c r="O271" t="s">
        <v>223</v>
      </c>
      <c r="P271" t="s">
        <v>223</v>
      </c>
      <c r="Q271">
        <v>1</v>
      </c>
      <c r="W271">
        <v>0</v>
      </c>
      <c r="X271">
        <v>476480486</v>
      </c>
      <c r="Y271">
        <f>(AT271*1.2)</f>
        <v>30.395999999999997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25.33</v>
      </c>
      <c r="AU271" t="s">
        <v>121</v>
      </c>
      <c r="AV271">
        <v>1</v>
      </c>
      <c r="AW271">
        <v>2</v>
      </c>
      <c r="AX271">
        <v>55934910</v>
      </c>
      <c r="AY271">
        <v>1</v>
      </c>
      <c r="AZ271">
        <v>0</v>
      </c>
      <c r="BA271">
        <v>313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ROUND(AT271*Source!I195*AH271*AL271,2)</f>
        <v>0</v>
      </c>
      <c r="CV271">
        <f>ROUND(Y271*Source!I195,9)</f>
        <v>54.712800000000001</v>
      </c>
      <c r="CW271">
        <v>0</v>
      </c>
      <c r="CX271">
        <f>ROUND(Y271*Source!I195,9)</f>
        <v>54.712800000000001</v>
      </c>
      <c r="CY271">
        <f>AD271</f>
        <v>0</v>
      </c>
      <c r="CZ271">
        <f>AH271</f>
        <v>0</v>
      </c>
      <c r="DA271">
        <f>AL271</f>
        <v>1</v>
      </c>
      <c r="DB271">
        <f>ROUND((ROUND(AT271*CZ271,2)*1.2),6)</f>
        <v>0</v>
      </c>
      <c r="DC271">
        <f>ROUND((ROUND(AT271*AG271,2)*1.2),6)</f>
        <v>0</v>
      </c>
      <c r="DD271" t="s">
        <v>3</v>
      </c>
      <c r="DE271" t="s">
        <v>3</v>
      </c>
      <c r="DF271">
        <f t="shared" ref="DF271:DF280" si="106">ROUND(ROUND(AE271,2)*CX271,2)</f>
        <v>0</v>
      </c>
      <c r="DG271">
        <f t="shared" si="105"/>
        <v>0</v>
      </c>
      <c r="DH271">
        <f t="shared" si="104"/>
        <v>0</v>
      </c>
      <c r="DI271">
        <f t="shared" si="103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ROW(Source!A195)</f>
        <v>195</v>
      </c>
      <c r="B272">
        <v>55934355</v>
      </c>
      <c r="C272">
        <v>55934909</v>
      </c>
      <c r="D272">
        <v>55490209</v>
      </c>
      <c r="E272">
        <v>1</v>
      </c>
      <c r="F272">
        <v>1</v>
      </c>
      <c r="G272">
        <v>1081</v>
      </c>
      <c r="H272">
        <v>2</v>
      </c>
      <c r="I272" t="s">
        <v>294</v>
      </c>
      <c r="J272" t="s">
        <v>295</v>
      </c>
      <c r="K272" t="s">
        <v>296</v>
      </c>
      <c r="L272">
        <v>1368</v>
      </c>
      <c r="N272">
        <v>1011</v>
      </c>
      <c r="O272" t="s">
        <v>227</v>
      </c>
      <c r="P272" t="s">
        <v>227</v>
      </c>
      <c r="Q272">
        <v>1</v>
      </c>
      <c r="W272">
        <v>0</v>
      </c>
      <c r="X272">
        <v>874612079</v>
      </c>
      <c r="Y272">
        <f>(AT272*1.2)</f>
        <v>1.2E-2</v>
      </c>
      <c r="AA272">
        <v>0</v>
      </c>
      <c r="AB272">
        <v>87.01</v>
      </c>
      <c r="AC272">
        <v>13.21</v>
      </c>
      <c r="AD272">
        <v>0</v>
      </c>
      <c r="AE272">
        <v>0</v>
      </c>
      <c r="AF272">
        <v>83.1</v>
      </c>
      <c r="AG272">
        <v>12.62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0.01</v>
      </c>
      <c r="AU272" t="s">
        <v>121</v>
      </c>
      <c r="AV272">
        <v>0</v>
      </c>
      <c r="AW272">
        <v>2</v>
      </c>
      <c r="AX272">
        <v>55934911</v>
      </c>
      <c r="AY272">
        <v>1</v>
      </c>
      <c r="AZ272">
        <v>0</v>
      </c>
      <c r="BA272">
        <v>314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ROUND(Y272*Source!I195*DO272,9)</f>
        <v>0.272592</v>
      </c>
      <c r="CX272">
        <f>ROUND(Y272*Source!I195,9)</f>
        <v>2.1600000000000001E-2</v>
      </c>
      <c r="CY272">
        <f>AB272</f>
        <v>87.01</v>
      </c>
      <c r="CZ272">
        <f>AF272</f>
        <v>83.1</v>
      </c>
      <c r="DA272">
        <f>AJ272</f>
        <v>1</v>
      </c>
      <c r="DB272">
        <f>ROUND((ROUND(AT272*CZ272,2)*1.2),6)</f>
        <v>0.996</v>
      </c>
      <c r="DC272">
        <f>ROUND((ROUND(AT272*AG272,2)*1.2),6)</f>
        <v>0.156</v>
      </c>
      <c r="DD272" t="s">
        <v>3</v>
      </c>
      <c r="DE272" t="s">
        <v>3</v>
      </c>
      <c r="DF272">
        <f t="shared" si="106"/>
        <v>0</v>
      </c>
      <c r="DG272">
        <f t="shared" si="105"/>
        <v>1.79</v>
      </c>
      <c r="DH272">
        <f t="shared" si="104"/>
        <v>0.27</v>
      </c>
      <c r="DI272">
        <f t="shared" si="103"/>
        <v>0</v>
      </c>
      <c r="DJ272">
        <f>DG272</f>
        <v>1.79</v>
      </c>
      <c r="DK272">
        <v>0</v>
      </c>
      <c r="DL272" t="s">
        <v>228</v>
      </c>
      <c r="DM272">
        <v>0</v>
      </c>
      <c r="DN272" t="s">
        <v>223</v>
      </c>
      <c r="DO272">
        <v>12.62</v>
      </c>
    </row>
    <row r="273" spans="1:119" x14ac:dyDescent="0.25">
      <c r="A273">
        <f>ROW(Source!A195)</f>
        <v>195</v>
      </c>
      <c r="B273">
        <v>55934355</v>
      </c>
      <c r="C273">
        <v>55934909</v>
      </c>
      <c r="D273">
        <v>55490263</v>
      </c>
      <c r="E273">
        <v>1</v>
      </c>
      <c r="F273">
        <v>1</v>
      </c>
      <c r="G273">
        <v>1081</v>
      </c>
      <c r="H273">
        <v>2</v>
      </c>
      <c r="I273" t="s">
        <v>297</v>
      </c>
      <c r="J273" t="s">
        <v>298</v>
      </c>
      <c r="K273" t="s">
        <v>299</v>
      </c>
      <c r="L273">
        <v>1368</v>
      </c>
      <c r="N273">
        <v>1011</v>
      </c>
      <c r="O273" t="s">
        <v>227</v>
      </c>
      <c r="P273" t="s">
        <v>227</v>
      </c>
      <c r="Q273">
        <v>1</v>
      </c>
      <c r="W273">
        <v>0</v>
      </c>
      <c r="X273">
        <v>-1895752648</v>
      </c>
      <c r="Y273">
        <f>(AT273*1.2)</f>
        <v>2.2440000000000002</v>
      </c>
      <c r="AA273">
        <v>0</v>
      </c>
      <c r="AB273">
        <v>0.81</v>
      </c>
      <c r="AC273">
        <v>0</v>
      </c>
      <c r="AD273">
        <v>0</v>
      </c>
      <c r="AE273">
        <v>0</v>
      </c>
      <c r="AF273">
        <v>0.77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1.87</v>
      </c>
      <c r="AU273" t="s">
        <v>121</v>
      </c>
      <c r="AV273">
        <v>0</v>
      </c>
      <c r="AW273">
        <v>2</v>
      </c>
      <c r="AX273">
        <v>55934912</v>
      </c>
      <c r="AY273">
        <v>1</v>
      </c>
      <c r="AZ273">
        <v>0</v>
      </c>
      <c r="BA273">
        <v>315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f>ROUND(Y273*Source!I195*DO273,9)</f>
        <v>0</v>
      </c>
      <c r="CX273">
        <f>ROUND(Y273*Source!I195,9)</f>
        <v>4.0392000000000001</v>
      </c>
      <c r="CY273">
        <f>AB273</f>
        <v>0.81</v>
      </c>
      <c r="CZ273">
        <f>AF273</f>
        <v>0.77</v>
      </c>
      <c r="DA273">
        <f>AJ273</f>
        <v>1</v>
      </c>
      <c r="DB273">
        <f>ROUND((ROUND(AT273*CZ273,2)*1.2),6)</f>
        <v>1.728</v>
      </c>
      <c r="DC273">
        <f>ROUND((ROUND(AT273*AG273,2)*1.2),6)</f>
        <v>0</v>
      </c>
      <c r="DD273" t="s">
        <v>3</v>
      </c>
      <c r="DE273" t="s">
        <v>3</v>
      </c>
      <c r="DF273">
        <f t="shared" si="106"/>
        <v>0</v>
      </c>
      <c r="DG273">
        <f t="shared" si="105"/>
        <v>3.11</v>
      </c>
      <c r="DH273">
        <f t="shared" si="104"/>
        <v>0</v>
      </c>
      <c r="DI273">
        <f t="shared" si="103"/>
        <v>0</v>
      </c>
      <c r="DJ273">
        <f>DG273</f>
        <v>3.11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ROW(Source!A195)</f>
        <v>195</v>
      </c>
      <c r="B274">
        <v>55934355</v>
      </c>
      <c r="C274">
        <v>55934909</v>
      </c>
      <c r="D274">
        <v>55490296</v>
      </c>
      <c r="E274">
        <v>1</v>
      </c>
      <c r="F274">
        <v>1</v>
      </c>
      <c r="G274">
        <v>1081</v>
      </c>
      <c r="H274">
        <v>2</v>
      </c>
      <c r="I274" t="s">
        <v>300</v>
      </c>
      <c r="J274" t="s">
        <v>301</v>
      </c>
      <c r="K274" t="s">
        <v>302</v>
      </c>
      <c r="L274">
        <v>1368</v>
      </c>
      <c r="N274">
        <v>1011</v>
      </c>
      <c r="O274" t="s">
        <v>227</v>
      </c>
      <c r="P274" t="s">
        <v>227</v>
      </c>
      <c r="Q274">
        <v>1</v>
      </c>
      <c r="W274">
        <v>0</v>
      </c>
      <c r="X274">
        <v>-643591644</v>
      </c>
      <c r="Y274">
        <f>(AT274*1.2)</f>
        <v>0.22799999999999998</v>
      </c>
      <c r="AA274">
        <v>0</v>
      </c>
      <c r="AB274">
        <v>0.49</v>
      </c>
      <c r="AC274">
        <v>0</v>
      </c>
      <c r="AD274">
        <v>0</v>
      </c>
      <c r="AE274">
        <v>0</v>
      </c>
      <c r="AF274">
        <v>0.47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0.19</v>
      </c>
      <c r="AU274" t="s">
        <v>121</v>
      </c>
      <c r="AV274">
        <v>0</v>
      </c>
      <c r="AW274">
        <v>2</v>
      </c>
      <c r="AX274">
        <v>55934913</v>
      </c>
      <c r="AY274">
        <v>1</v>
      </c>
      <c r="AZ274">
        <v>0</v>
      </c>
      <c r="BA274">
        <v>316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f>ROUND(Y274*Source!I195*DO274,9)</f>
        <v>0</v>
      </c>
      <c r="CX274">
        <f>ROUND(Y274*Source!I195,9)</f>
        <v>0.41039999999999999</v>
      </c>
      <c r="CY274">
        <f>AB274</f>
        <v>0.49</v>
      </c>
      <c r="CZ274">
        <f>AF274</f>
        <v>0.47</v>
      </c>
      <c r="DA274">
        <f>AJ274</f>
        <v>1</v>
      </c>
      <c r="DB274">
        <f>ROUND((ROUND(AT274*CZ274,2)*1.2),6)</f>
        <v>0.108</v>
      </c>
      <c r="DC274">
        <f>ROUND((ROUND(AT274*AG274,2)*1.2),6)</f>
        <v>0</v>
      </c>
      <c r="DD274" t="s">
        <v>3</v>
      </c>
      <c r="DE274" t="s">
        <v>3</v>
      </c>
      <c r="DF274">
        <f t="shared" si="106"/>
        <v>0</v>
      </c>
      <c r="DG274">
        <f t="shared" si="105"/>
        <v>0.19</v>
      </c>
      <c r="DH274">
        <f t="shared" si="104"/>
        <v>0</v>
      </c>
      <c r="DI274">
        <f t="shared" si="103"/>
        <v>0</v>
      </c>
      <c r="DJ274">
        <f>DG274</f>
        <v>0.19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ROW(Source!A195)</f>
        <v>195</v>
      </c>
      <c r="B275">
        <v>55934355</v>
      </c>
      <c r="C275">
        <v>55934909</v>
      </c>
      <c r="D275">
        <v>55459340</v>
      </c>
      <c r="E275">
        <v>1</v>
      </c>
      <c r="F275">
        <v>1</v>
      </c>
      <c r="G275">
        <v>1081</v>
      </c>
      <c r="H275">
        <v>3</v>
      </c>
      <c r="I275" t="s">
        <v>303</v>
      </c>
      <c r="J275" t="s">
        <v>304</v>
      </c>
      <c r="K275" t="s">
        <v>305</v>
      </c>
      <c r="L275">
        <v>1354</v>
      </c>
      <c r="N275">
        <v>1010</v>
      </c>
      <c r="O275" t="s">
        <v>293</v>
      </c>
      <c r="P275" t="s">
        <v>293</v>
      </c>
      <c r="Q275">
        <v>1</v>
      </c>
      <c r="W275">
        <v>0</v>
      </c>
      <c r="X275">
        <v>-1352077490</v>
      </c>
      <c r="Y275">
        <f>(AT275*1)</f>
        <v>40</v>
      </c>
      <c r="AA275">
        <v>0.89</v>
      </c>
      <c r="AB275">
        <v>0</v>
      </c>
      <c r="AC275">
        <v>0</v>
      </c>
      <c r="AD275">
        <v>0</v>
      </c>
      <c r="AE275">
        <v>0.89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40</v>
      </c>
      <c r="AU275" t="s">
        <v>120</v>
      </c>
      <c r="AV275">
        <v>0</v>
      </c>
      <c r="AW275">
        <v>2</v>
      </c>
      <c r="AX275">
        <v>55934914</v>
      </c>
      <c r="AY275">
        <v>1</v>
      </c>
      <c r="AZ275">
        <v>0</v>
      </c>
      <c r="BA275">
        <v>317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ROUND(Y275*Source!I195,9)</f>
        <v>72</v>
      </c>
      <c r="CY275">
        <f>AA275</f>
        <v>0.89</v>
      </c>
      <c r="CZ275">
        <f>AE275</f>
        <v>0.89</v>
      </c>
      <c r="DA275">
        <f>AI275</f>
        <v>1</v>
      </c>
      <c r="DB275">
        <f>ROUND((ROUND(AT275*CZ275,2)*1),6)</f>
        <v>35.6</v>
      </c>
      <c r="DC275">
        <f>ROUND((ROUND(AT275*AG275,2)*1),6)</f>
        <v>0</v>
      </c>
      <c r="DD275" t="s">
        <v>3</v>
      </c>
      <c r="DE275" t="s">
        <v>3</v>
      </c>
      <c r="DF275">
        <f t="shared" si="106"/>
        <v>64.08</v>
      </c>
      <c r="DG275">
        <f t="shared" si="105"/>
        <v>0</v>
      </c>
      <c r="DH275">
        <f t="shared" si="104"/>
        <v>0</v>
      </c>
      <c r="DI275">
        <f t="shared" si="103"/>
        <v>0</v>
      </c>
      <c r="DJ275">
        <f>DF275</f>
        <v>64.08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ROW(Source!A195)</f>
        <v>195</v>
      </c>
      <c r="B276">
        <v>55934355</v>
      </c>
      <c r="C276">
        <v>55934909</v>
      </c>
      <c r="D276">
        <v>55461503</v>
      </c>
      <c r="E276">
        <v>1</v>
      </c>
      <c r="F276">
        <v>1</v>
      </c>
      <c r="G276">
        <v>1081</v>
      </c>
      <c r="H276">
        <v>3</v>
      </c>
      <c r="I276" t="s">
        <v>306</v>
      </c>
      <c r="J276" t="s">
        <v>307</v>
      </c>
      <c r="K276" t="s">
        <v>308</v>
      </c>
      <c r="L276">
        <v>1355</v>
      </c>
      <c r="N276">
        <v>1010</v>
      </c>
      <c r="O276" t="s">
        <v>280</v>
      </c>
      <c r="P276" t="s">
        <v>280</v>
      </c>
      <c r="Q276">
        <v>100</v>
      </c>
      <c r="W276">
        <v>0</v>
      </c>
      <c r="X276">
        <v>-2062965048</v>
      </c>
      <c r="Y276">
        <f>(AT276*1)</f>
        <v>0.4</v>
      </c>
      <c r="AA276">
        <v>17.28</v>
      </c>
      <c r="AB276">
        <v>0</v>
      </c>
      <c r="AC276">
        <v>0</v>
      </c>
      <c r="AD276">
        <v>0</v>
      </c>
      <c r="AE276">
        <v>17.28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0.4</v>
      </c>
      <c r="AU276" t="s">
        <v>120</v>
      </c>
      <c r="AV276">
        <v>0</v>
      </c>
      <c r="AW276">
        <v>2</v>
      </c>
      <c r="AX276">
        <v>55934915</v>
      </c>
      <c r="AY276">
        <v>1</v>
      </c>
      <c r="AZ276">
        <v>0</v>
      </c>
      <c r="BA276">
        <v>318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ROUND(Y276*Source!I195,9)</f>
        <v>0.72</v>
      </c>
      <c r="CY276">
        <f>AA276</f>
        <v>17.28</v>
      </c>
      <c r="CZ276">
        <f>AE276</f>
        <v>17.28</v>
      </c>
      <c r="DA276">
        <f>AI276</f>
        <v>1</v>
      </c>
      <c r="DB276">
        <f>ROUND((ROUND(AT276*CZ276,2)*1),6)</f>
        <v>6.91</v>
      </c>
      <c r="DC276">
        <f>ROUND((ROUND(AT276*AG276,2)*1),6)</f>
        <v>0</v>
      </c>
      <c r="DD276" t="s">
        <v>3</v>
      </c>
      <c r="DE276" t="s">
        <v>3</v>
      </c>
      <c r="DF276">
        <f t="shared" si="106"/>
        <v>12.44</v>
      </c>
      <c r="DG276">
        <f t="shared" si="105"/>
        <v>0</v>
      </c>
      <c r="DH276">
        <f t="shared" si="104"/>
        <v>0</v>
      </c>
      <c r="DI276">
        <f t="shared" si="103"/>
        <v>0</v>
      </c>
      <c r="DJ276">
        <f>DF276</f>
        <v>12.44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ROW(Source!A196)</f>
        <v>196</v>
      </c>
      <c r="B277">
        <v>55934357</v>
      </c>
      <c r="C277">
        <v>55934909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221</v>
      </c>
      <c r="J277" t="s">
        <v>3</v>
      </c>
      <c r="K277" t="s">
        <v>222</v>
      </c>
      <c r="L277">
        <v>1191</v>
      </c>
      <c r="N277">
        <v>1013</v>
      </c>
      <c r="O277" t="s">
        <v>223</v>
      </c>
      <c r="P277" t="s">
        <v>223</v>
      </c>
      <c r="Q277">
        <v>1</v>
      </c>
      <c r="W277">
        <v>0</v>
      </c>
      <c r="X277">
        <v>476480486</v>
      </c>
      <c r="Y277">
        <f>(AT277*1.2)</f>
        <v>30.395999999999997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5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25.33</v>
      </c>
      <c r="AU277" t="s">
        <v>121</v>
      </c>
      <c r="AV277">
        <v>1</v>
      </c>
      <c r="AW277">
        <v>2</v>
      </c>
      <c r="AX277">
        <v>55934910</v>
      </c>
      <c r="AY277">
        <v>1</v>
      </c>
      <c r="AZ277">
        <v>0</v>
      </c>
      <c r="BA277">
        <v>320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U277">
        <f>ROUND(AT277*Source!I196*AH277*AL277,2)</f>
        <v>0</v>
      </c>
      <c r="CV277">
        <f>ROUND(Y277*Source!I196,9)</f>
        <v>54.712800000000001</v>
      </c>
      <c r="CW277">
        <v>0</v>
      </c>
      <c r="CX277">
        <f>ROUND(Y277*Source!I196,9)</f>
        <v>54.712800000000001</v>
      </c>
      <c r="CY277">
        <f>AD277</f>
        <v>0</v>
      </c>
      <c r="CZ277">
        <f>AH277</f>
        <v>0</v>
      </c>
      <c r="DA277">
        <f>AL277</f>
        <v>1</v>
      </c>
      <c r="DB277">
        <f>ROUND((ROUND(AT277*CZ277,2)*1.2),6)</f>
        <v>0</v>
      </c>
      <c r="DC277">
        <f>ROUND((ROUND(AT277*AG277,2)*1.2),6)</f>
        <v>0</v>
      </c>
      <c r="DD277" t="s">
        <v>3</v>
      </c>
      <c r="DE277" t="s">
        <v>3</v>
      </c>
      <c r="DF277">
        <f t="shared" si="106"/>
        <v>0</v>
      </c>
      <c r="DG277">
        <f t="shared" si="105"/>
        <v>0</v>
      </c>
      <c r="DH277">
        <f t="shared" si="104"/>
        <v>0</v>
      </c>
      <c r="DI277">
        <f t="shared" si="103"/>
        <v>0</v>
      </c>
      <c r="DJ277">
        <f>DI277</f>
        <v>0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ROW(Source!A196)</f>
        <v>196</v>
      </c>
      <c r="B278">
        <v>55934357</v>
      </c>
      <c r="C278">
        <v>55934909</v>
      </c>
      <c r="D278">
        <v>55490209</v>
      </c>
      <c r="E278">
        <v>1</v>
      </c>
      <c r="F278">
        <v>1</v>
      </c>
      <c r="G278">
        <v>1081</v>
      </c>
      <c r="H278">
        <v>2</v>
      </c>
      <c r="I278" t="s">
        <v>294</v>
      </c>
      <c r="J278" t="s">
        <v>295</v>
      </c>
      <c r="K278" t="s">
        <v>296</v>
      </c>
      <c r="L278">
        <v>1368</v>
      </c>
      <c r="N278">
        <v>1011</v>
      </c>
      <c r="O278" t="s">
        <v>227</v>
      </c>
      <c r="P278" t="s">
        <v>227</v>
      </c>
      <c r="Q278">
        <v>1</v>
      </c>
      <c r="W278">
        <v>0</v>
      </c>
      <c r="X278">
        <v>874612079</v>
      </c>
      <c r="Y278">
        <f>(AT278*1.2)</f>
        <v>1.2E-2</v>
      </c>
      <c r="AA278">
        <v>0</v>
      </c>
      <c r="AB278">
        <v>1485.19</v>
      </c>
      <c r="AC278">
        <v>744.56</v>
      </c>
      <c r="AD278">
        <v>0</v>
      </c>
      <c r="AE278">
        <v>0</v>
      </c>
      <c r="AF278">
        <v>83.1</v>
      </c>
      <c r="AG278">
        <v>12.62</v>
      </c>
      <c r="AH278">
        <v>0</v>
      </c>
      <c r="AI278">
        <v>1</v>
      </c>
      <c r="AJ278">
        <v>17.07</v>
      </c>
      <c r="AK278">
        <v>56.35</v>
      </c>
      <c r="AL278">
        <v>1</v>
      </c>
      <c r="AM278">
        <v>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0.01</v>
      </c>
      <c r="AU278" t="s">
        <v>121</v>
      </c>
      <c r="AV278">
        <v>0</v>
      </c>
      <c r="AW278">
        <v>2</v>
      </c>
      <c r="AX278">
        <v>55934911</v>
      </c>
      <c r="AY278">
        <v>1</v>
      </c>
      <c r="AZ278">
        <v>0</v>
      </c>
      <c r="BA278">
        <v>321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f>ROUND(Y278*Source!I196*DO278,9)</f>
        <v>0.272592</v>
      </c>
      <c r="CX278">
        <f>ROUND(Y278*Source!I196,9)</f>
        <v>2.1600000000000001E-2</v>
      </c>
      <c r="CY278">
        <f>AB278</f>
        <v>1485.19</v>
      </c>
      <c r="CZ278">
        <f>AF278</f>
        <v>83.1</v>
      </c>
      <c r="DA278">
        <f>AJ278</f>
        <v>17.07</v>
      </c>
      <c r="DB278">
        <f>ROUND((ROUND(AT278*CZ278,2)*1.2),6)</f>
        <v>0.996</v>
      </c>
      <c r="DC278">
        <f>ROUND((ROUND(AT278*AG278,2)*1.2),6)</f>
        <v>0.156</v>
      </c>
      <c r="DD278" t="s">
        <v>3</v>
      </c>
      <c r="DE278" t="s">
        <v>3</v>
      </c>
      <c r="DF278">
        <f t="shared" si="106"/>
        <v>0</v>
      </c>
      <c r="DG278">
        <f>ROUND(ROUND(AF278*AJ278,2)*CX278,2)</f>
        <v>30.64</v>
      </c>
      <c r="DH278">
        <f>ROUND(ROUND(AG278*AK278,2)*CX278,2)</f>
        <v>15.36</v>
      </c>
      <c r="DI278">
        <f t="shared" si="103"/>
        <v>0</v>
      </c>
      <c r="DJ278">
        <f>DG278</f>
        <v>30.64</v>
      </c>
      <c r="DK278">
        <v>0</v>
      </c>
      <c r="DL278" t="s">
        <v>228</v>
      </c>
      <c r="DM278">
        <v>0</v>
      </c>
      <c r="DN278" t="s">
        <v>223</v>
      </c>
      <c r="DO278">
        <v>12.62</v>
      </c>
    </row>
    <row r="279" spans="1:119" x14ac:dyDescent="0.25">
      <c r="A279">
        <f>ROW(Source!A196)</f>
        <v>196</v>
      </c>
      <c r="B279">
        <v>55934357</v>
      </c>
      <c r="C279">
        <v>55934909</v>
      </c>
      <c r="D279">
        <v>55490263</v>
      </c>
      <c r="E279">
        <v>1</v>
      </c>
      <c r="F279">
        <v>1</v>
      </c>
      <c r="G279">
        <v>1081</v>
      </c>
      <c r="H279">
        <v>2</v>
      </c>
      <c r="I279" t="s">
        <v>297</v>
      </c>
      <c r="J279" t="s">
        <v>298</v>
      </c>
      <c r="K279" t="s">
        <v>299</v>
      </c>
      <c r="L279">
        <v>1368</v>
      </c>
      <c r="N279">
        <v>1011</v>
      </c>
      <c r="O279" t="s">
        <v>227</v>
      </c>
      <c r="P279" t="s">
        <v>227</v>
      </c>
      <c r="Q279">
        <v>1</v>
      </c>
      <c r="W279">
        <v>0</v>
      </c>
      <c r="X279">
        <v>-1895752648</v>
      </c>
      <c r="Y279">
        <f>(AT279*1.2)</f>
        <v>2.2440000000000002</v>
      </c>
      <c r="AA279">
        <v>0</v>
      </c>
      <c r="AB279">
        <v>7.71</v>
      </c>
      <c r="AC279">
        <v>0</v>
      </c>
      <c r="AD279">
        <v>0</v>
      </c>
      <c r="AE279">
        <v>0</v>
      </c>
      <c r="AF279">
        <v>0.77</v>
      </c>
      <c r="AG279">
        <v>0</v>
      </c>
      <c r="AH279">
        <v>0</v>
      </c>
      <c r="AI279">
        <v>1</v>
      </c>
      <c r="AJ279">
        <v>9.56</v>
      </c>
      <c r="AK279">
        <v>1</v>
      </c>
      <c r="AL279">
        <v>1</v>
      </c>
      <c r="AM279">
        <v>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1.87</v>
      </c>
      <c r="AU279" t="s">
        <v>121</v>
      </c>
      <c r="AV279">
        <v>0</v>
      </c>
      <c r="AW279">
        <v>2</v>
      </c>
      <c r="AX279">
        <v>55934912</v>
      </c>
      <c r="AY279">
        <v>1</v>
      </c>
      <c r="AZ279">
        <v>0</v>
      </c>
      <c r="BA279">
        <v>322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f>ROUND(Y279*Source!I196*DO279,9)</f>
        <v>0</v>
      </c>
      <c r="CX279">
        <f>ROUND(Y279*Source!I196,9)</f>
        <v>4.0392000000000001</v>
      </c>
      <c r="CY279">
        <f>AB279</f>
        <v>7.71</v>
      </c>
      <c r="CZ279">
        <f>AF279</f>
        <v>0.77</v>
      </c>
      <c r="DA279">
        <f>AJ279</f>
        <v>9.56</v>
      </c>
      <c r="DB279">
        <f>ROUND((ROUND(AT279*CZ279,2)*1.2),6)</f>
        <v>1.728</v>
      </c>
      <c r="DC279">
        <f>ROUND((ROUND(AT279*AG279,2)*1.2),6)</f>
        <v>0</v>
      </c>
      <c r="DD279" t="s">
        <v>3</v>
      </c>
      <c r="DE279" t="s">
        <v>3</v>
      </c>
      <c r="DF279">
        <f t="shared" si="106"/>
        <v>0</v>
      </c>
      <c r="DG279">
        <f>ROUND(ROUND(AF279*AJ279,2)*CX279,2)</f>
        <v>29.73</v>
      </c>
      <c r="DH279">
        <f>ROUND(ROUND(AG279,2)*CX279,2)</f>
        <v>0</v>
      </c>
      <c r="DI279">
        <f t="shared" si="103"/>
        <v>0</v>
      </c>
      <c r="DJ279">
        <f>DG279</f>
        <v>29.73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ROW(Source!A196)</f>
        <v>196</v>
      </c>
      <c r="B280">
        <v>55934357</v>
      </c>
      <c r="C280">
        <v>55934909</v>
      </c>
      <c r="D280">
        <v>55490296</v>
      </c>
      <c r="E280">
        <v>1</v>
      </c>
      <c r="F280">
        <v>1</v>
      </c>
      <c r="G280">
        <v>1081</v>
      </c>
      <c r="H280">
        <v>2</v>
      </c>
      <c r="I280" t="s">
        <v>300</v>
      </c>
      <c r="J280" t="s">
        <v>301</v>
      </c>
      <c r="K280" t="s">
        <v>302</v>
      </c>
      <c r="L280">
        <v>1368</v>
      </c>
      <c r="N280">
        <v>1011</v>
      </c>
      <c r="O280" t="s">
        <v>227</v>
      </c>
      <c r="P280" t="s">
        <v>227</v>
      </c>
      <c r="Q280">
        <v>1</v>
      </c>
      <c r="W280">
        <v>0</v>
      </c>
      <c r="X280">
        <v>-643591644</v>
      </c>
      <c r="Y280">
        <f>(AT280*1.2)</f>
        <v>0.22799999999999998</v>
      </c>
      <c r="AA280">
        <v>0</v>
      </c>
      <c r="AB280">
        <v>4.75</v>
      </c>
      <c r="AC280">
        <v>0</v>
      </c>
      <c r="AD280">
        <v>0</v>
      </c>
      <c r="AE280">
        <v>0</v>
      </c>
      <c r="AF280">
        <v>0.47</v>
      </c>
      <c r="AG280">
        <v>0</v>
      </c>
      <c r="AH280">
        <v>0</v>
      </c>
      <c r="AI280">
        <v>1</v>
      </c>
      <c r="AJ280">
        <v>9.66</v>
      </c>
      <c r="AK280">
        <v>1</v>
      </c>
      <c r="AL280">
        <v>1</v>
      </c>
      <c r="AM280">
        <v>2</v>
      </c>
      <c r="AN280">
        <v>0</v>
      </c>
      <c r="AO280">
        <v>1</v>
      </c>
      <c r="AP280">
        <v>1</v>
      </c>
      <c r="AQ280">
        <v>0</v>
      </c>
      <c r="AR280">
        <v>0</v>
      </c>
      <c r="AS280" t="s">
        <v>3</v>
      </c>
      <c r="AT280">
        <v>0.19</v>
      </c>
      <c r="AU280" t="s">
        <v>121</v>
      </c>
      <c r="AV280">
        <v>0</v>
      </c>
      <c r="AW280">
        <v>2</v>
      </c>
      <c r="AX280">
        <v>55934913</v>
      </c>
      <c r="AY280">
        <v>1</v>
      </c>
      <c r="AZ280">
        <v>0</v>
      </c>
      <c r="BA280">
        <v>323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f>ROUND(Y280*Source!I196*DO280,9)</f>
        <v>0</v>
      </c>
      <c r="CX280">
        <f>ROUND(Y280*Source!I196,9)</f>
        <v>0.41039999999999999</v>
      </c>
      <c r="CY280">
        <f>AB280</f>
        <v>4.75</v>
      </c>
      <c r="CZ280">
        <f>AF280</f>
        <v>0.47</v>
      </c>
      <c r="DA280">
        <f>AJ280</f>
        <v>9.66</v>
      </c>
      <c r="DB280">
        <f>ROUND((ROUND(AT280*CZ280,2)*1.2),6)</f>
        <v>0.108</v>
      </c>
      <c r="DC280">
        <f>ROUND((ROUND(AT280*AG280,2)*1.2),6)</f>
        <v>0</v>
      </c>
      <c r="DD280" t="s">
        <v>3</v>
      </c>
      <c r="DE280" t="s">
        <v>3</v>
      </c>
      <c r="DF280">
        <f t="shared" si="106"/>
        <v>0</v>
      </c>
      <c r="DG280">
        <f>ROUND(ROUND(AF280*AJ280,2)*CX280,2)</f>
        <v>1.86</v>
      </c>
      <c r="DH280">
        <f>ROUND(ROUND(AG280,2)*CX280,2)</f>
        <v>0</v>
      </c>
      <c r="DI280">
        <f t="shared" si="103"/>
        <v>0</v>
      </c>
      <c r="DJ280">
        <f>DG280</f>
        <v>1.86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ROW(Source!A196)</f>
        <v>196</v>
      </c>
      <c r="B281">
        <v>55934357</v>
      </c>
      <c r="C281">
        <v>55934909</v>
      </c>
      <c r="D281">
        <v>55459340</v>
      </c>
      <c r="E281">
        <v>1</v>
      </c>
      <c r="F281">
        <v>1</v>
      </c>
      <c r="G281">
        <v>1081</v>
      </c>
      <c r="H281">
        <v>3</v>
      </c>
      <c r="I281" t="s">
        <v>303</v>
      </c>
      <c r="J281" t="s">
        <v>304</v>
      </c>
      <c r="K281" t="s">
        <v>305</v>
      </c>
      <c r="L281">
        <v>1354</v>
      </c>
      <c r="N281">
        <v>1010</v>
      </c>
      <c r="O281" t="s">
        <v>293</v>
      </c>
      <c r="P281" t="s">
        <v>293</v>
      </c>
      <c r="Q281">
        <v>1</v>
      </c>
      <c r="W281">
        <v>0</v>
      </c>
      <c r="X281">
        <v>-1352077490</v>
      </c>
      <c r="Y281">
        <f>(AT281*1)</f>
        <v>40</v>
      </c>
      <c r="AA281">
        <v>0.83</v>
      </c>
      <c r="AB281">
        <v>0</v>
      </c>
      <c r="AC281">
        <v>0</v>
      </c>
      <c r="AD281">
        <v>0</v>
      </c>
      <c r="AE281">
        <v>0.89</v>
      </c>
      <c r="AF281">
        <v>0</v>
      </c>
      <c r="AG281">
        <v>0</v>
      </c>
      <c r="AH281">
        <v>0</v>
      </c>
      <c r="AI281">
        <v>0.93</v>
      </c>
      <c r="AJ281">
        <v>1</v>
      </c>
      <c r="AK281">
        <v>1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40</v>
      </c>
      <c r="AU281" t="s">
        <v>120</v>
      </c>
      <c r="AV281">
        <v>0</v>
      </c>
      <c r="AW281">
        <v>2</v>
      </c>
      <c r="AX281">
        <v>55934914</v>
      </c>
      <c r="AY281">
        <v>1</v>
      </c>
      <c r="AZ281">
        <v>0</v>
      </c>
      <c r="BA281">
        <v>324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ROUND(Y281*Source!I196,9)</f>
        <v>72</v>
      </c>
      <c r="CY281">
        <f>AA281</f>
        <v>0.83</v>
      </c>
      <c r="CZ281">
        <f>AE281</f>
        <v>0.89</v>
      </c>
      <c r="DA281">
        <f>AI281</f>
        <v>0.93</v>
      </c>
      <c r="DB281">
        <f>ROUND((ROUND(AT281*CZ281,2)*1),6)</f>
        <v>35.6</v>
      </c>
      <c r="DC281">
        <f>ROUND((ROUND(AT281*AG281,2)*1),6)</f>
        <v>0</v>
      </c>
      <c r="DD281" t="s">
        <v>3</v>
      </c>
      <c r="DE281" t="s">
        <v>3</v>
      </c>
      <c r="DF281">
        <f>ROUND(ROUND(AE281*AI281,2)*CX281,2)</f>
        <v>59.76</v>
      </c>
      <c r="DG281">
        <f>ROUND(ROUND(AF281,2)*CX281,2)</f>
        <v>0</v>
      </c>
      <c r="DH281">
        <f>ROUND(ROUND(AG281,2)*CX281,2)</f>
        <v>0</v>
      </c>
      <c r="DI281">
        <f t="shared" si="103"/>
        <v>0</v>
      </c>
      <c r="DJ281">
        <f>DF281</f>
        <v>59.76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ROW(Source!A196)</f>
        <v>196</v>
      </c>
      <c r="B282">
        <v>55934357</v>
      </c>
      <c r="C282">
        <v>55934909</v>
      </c>
      <c r="D282">
        <v>55461503</v>
      </c>
      <c r="E282">
        <v>1</v>
      </c>
      <c r="F282">
        <v>1</v>
      </c>
      <c r="G282">
        <v>1081</v>
      </c>
      <c r="H282">
        <v>3</v>
      </c>
      <c r="I282" t="s">
        <v>306</v>
      </c>
      <c r="J282" t="s">
        <v>307</v>
      </c>
      <c r="K282" t="s">
        <v>308</v>
      </c>
      <c r="L282">
        <v>1355</v>
      </c>
      <c r="N282">
        <v>1010</v>
      </c>
      <c r="O282" t="s">
        <v>280</v>
      </c>
      <c r="P282" t="s">
        <v>280</v>
      </c>
      <c r="Q282">
        <v>100</v>
      </c>
      <c r="W282">
        <v>0</v>
      </c>
      <c r="X282">
        <v>-2062965048</v>
      </c>
      <c r="Y282">
        <f>(AT282*1)</f>
        <v>0.4</v>
      </c>
      <c r="AA282">
        <v>112.15</v>
      </c>
      <c r="AB282">
        <v>0</v>
      </c>
      <c r="AC282">
        <v>0</v>
      </c>
      <c r="AD282">
        <v>0</v>
      </c>
      <c r="AE282">
        <v>17.28</v>
      </c>
      <c r="AF282">
        <v>0</v>
      </c>
      <c r="AG282">
        <v>0</v>
      </c>
      <c r="AH282">
        <v>0</v>
      </c>
      <c r="AI282">
        <v>6.49</v>
      </c>
      <c r="AJ282">
        <v>1</v>
      </c>
      <c r="AK282">
        <v>1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0.4</v>
      </c>
      <c r="AU282" t="s">
        <v>120</v>
      </c>
      <c r="AV282">
        <v>0</v>
      </c>
      <c r="AW282">
        <v>2</v>
      </c>
      <c r="AX282">
        <v>55934915</v>
      </c>
      <c r="AY282">
        <v>1</v>
      </c>
      <c r="AZ282">
        <v>0</v>
      </c>
      <c r="BA282">
        <v>325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ROUND(Y282*Source!I196,9)</f>
        <v>0.72</v>
      </c>
      <c r="CY282">
        <f>AA282</f>
        <v>112.15</v>
      </c>
      <c r="CZ282">
        <f>AE282</f>
        <v>17.28</v>
      </c>
      <c r="DA282">
        <f>AI282</f>
        <v>6.49</v>
      </c>
      <c r="DB282">
        <f>ROUND((ROUND(AT282*CZ282,2)*1),6)</f>
        <v>6.91</v>
      </c>
      <c r="DC282">
        <f>ROUND((ROUND(AT282*AG282,2)*1),6)</f>
        <v>0</v>
      </c>
      <c r="DD282" t="s">
        <v>3</v>
      </c>
      <c r="DE282" t="s">
        <v>3</v>
      </c>
      <c r="DF282">
        <f>ROUND(ROUND(AE282*AI282,2)*CX282,2)</f>
        <v>80.75</v>
      </c>
      <c r="DG282">
        <f>ROUND(ROUND(AF282,2)*CX282,2)</f>
        <v>0</v>
      </c>
      <c r="DH282">
        <f>ROUND(ROUND(AG282,2)*CX282,2)</f>
        <v>0</v>
      </c>
      <c r="DI282">
        <f t="shared" si="103"/>
        <v>0</v>
      </c>
      <c r="DJ282">
        <f>DF282</f>
        <v>80.75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32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55984019</v>
      </c>
      <c r="C1">
        <v>55984014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221</v>
      </c>
      <c r="J1" t="s">
        <v>3</v>
      </c>
      <c r="K1" t="s">
        <v>222</v>
      </c>
      <c r="L1">
        <v>1191</v>
      </c>
      <c r="N1">
        <v>1013</v>
      </c>
      <c r="O1" t="s">
        <v>223</v>
      </c>
      <c r="P1" t="s">
        <v>223</v>
      </c>
      <c r="Q1">
        <v>1</v>
      </c>
      <c r="X1">
        <v>6.2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2.2319999999999998</v>
      </c>
      <c r="AH1">
        <v>2</v>
      </c>
      <c r="AI1">
        <v>55984015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55984020</v>
      </c>
      <c r="C2">
        <v>55984014</v>
      </c>
      <c r="D2">
        <v>55489513</v>
      </c>
      <c r="E2">
        <v>1</v>
      </c>
      <c r="F2">
        <v>1</v>
      </c>
      <c r="G2">
        <v>1081</v>
      </c>
      <c r="H2">
        <v>2</v>
      </c>
      <c r="I2" t="s">
        <v>224</v>
      </c>
      <c r="J2" t="s">
        <v>225</v>
      </c>
      <c r="K2" t="s">
        <v>226</v>
      </c>
      <c r="L2">
        <v>1368</v>
      </c>
      <c r="N2">
        <v>1011</v>
      </c>
      <c r="O2" t="s">
        <v>227</v>
      </c>
      <c r="P2" t="s">
        <v>227</v>
      </c>
      <c r="Q2">
        <v>1</v>
      </c>
      <c r="X2">
        <v>0.25</v>
      </c>
      <c r="Y2">
        <v>0</v>
      </c>
      <c r="Z2">
        <v>114.83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29</v>
      </c>
      <c r="AG2">
        <v>0.09</v>
      </c>
      <c r="AH2">
        <v>2</v>
      </c>
      <c r="AI2">
        <v>55984016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55984021</v>
      </c>
      <c r="C3">
        <v>55984014</v>
      </c>
      <c r="D3">
        <v>55461719</v>
      </c>
      <c r="E3">
        <v>1</v>
      </c>
      <c r="F3">
        <v>1</v>
      </c>
      <c r="G3">
        <v>1081</v>
      </c>
      <c r="H3">
        <v>3</v>
      </c>
      <c r="I3" t="s">
        <v>229</v>
      </c>
      <c r="J3" t="s">
        <v>230</v>
      </c>
      <c r="K3" t="s">
        <v>231</v>
      </c>
      <c r="L3">
        <v>1348</v>
      </c>
      <c r="N3">
        <v>1009</v>
      </c>
      <c r="O3" t="s">
        <v>232</v>
      </c>
      <c r="P3" t="s">
        <v>232</v>
      </c>
      <c r="Q3">
        <v>1000</v>
      </c>
      <c r="X3">
        <v>1.1000000000000001E-3</v>
      </c>
      <c r="Y3">
        <v>10643.18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28</v>
      </c>
      <c r="AG3">
        <v>0</v>
      </c>
      <c r="AH3">
        <v>2</v>
      </c>
      <c r="AI3">
        <v>55984017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55984022</v>
      </c>
      <c r="C4">
        <v>55984014</v>
      </c>
      <c r="D4">
        <v>55459793</v>
      </c>
      <c r="E4">
        <v>1</v>
      </c>
      <c r="F4">
        <v>1</v>
      </c>
      <c r="G4">
        <v>1081</v>
      </c>
      <c r="H4">
        <v>3</v>
      </c>
      <c r="I4" t="s">
        <v>233</v>
      </c>
      <c r="J4" t="s">
        <v>234</v>
      </c>
      <c r="K4" t="s">
        <v>235</v>
      </c>
      <c r="L4">
        <v>1348</v>
      </c>
      <c r="N4">
        <v>1009</v>
      </c>
      <c r="O4" t="s">
        <v>232</v>
      </c>
      <c r="P4" t="s">
        <v>232</v>
      </c>
      <c r="Q4">
        <v>1000</v>
      </c>
      <c r="X4">
        <v>1.0000000000000001E-5</v>
      </c>
      <c r="Y4">
        <v>64123.05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28</v>
      </c>
      <c r="AG4">
        <v>0</v>
      </c>
      <c r="AH4">
        <v>2</v>
      </c>
      <c r="AI4">
        <v>55984018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55984023</v>
      </c>
      <c r="C5">
        <v>55984014</v>
      </c>
      <c r="D5">
        <v>55448109</v>
      </c>
      <c r="E5">
        <v>1081</v>
      </c>
      <c r="F5">
        <v>1</v>
      </c>
      <c r="G5">
        <v>1081</v>
      </c>
      <c r="H5">
        <v>3</v>
      </c>
      <c r="I5" t="s">
        <v>317</v>
      </c>
      <c r="J5" t="s">
        <v>3</v>
      </c>
      <c r="K5" t="s">
        <v>318</v>
      </c>
      <c r="L5">
        <v>1354</v>
      </c>
      <c r="N5">
        <v>1010</v>
      </c>
      <c r="O5" t="s">
        <v>293</v>
      </c>
      <c r="P5" t="s">
        <v>293</v>
      </c>
      <c r="Q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28</v>
      </c>
      <c r="AG5">
        <v>0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55984019</v>
      </c>
      <c r="C6">
        <v>55984014</v>
      </c>
      <c r="D6">
        <v>55424304</v>
      </c>
      <c r="E6">
        <v>1081</v>
      </c>
      <c r="F6">
        <v>1</v>
      </c>
      <c r="G6">
        <v>1081</v>
      </c>
      <c r="H6">
        <v>1</v>
      </c>
      <c r="I6" t="s">
        <v>221</v>
      </c>
      <c r="J6" t="s">
        <v>3</v>
      </c>
      <c r="K6" t="s">
        <v>222</v>
      </c>
      <c r="L6">
        <v>1191</v>
      </c>
      <c r="N6">
        <v>1013</v>
      </c>
      <c r="O6" t="s">
        <v>223</v>
      </c>
      <c r="P6" t="s">
        <v>223</v>
      </c>
      <c r="Q6">
        <v>1</v>
      </c>
      <c r="X6">
        <v>6.2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29</v>
      </c>
      <c r="AG6">
        <v>2.2319999999999998</v>
      </c>
      <c r="AH6">
        <v>2</v>
      </c>
      <c r="AI6">
        <v>55984015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55984020</v>
      </c>
      <c r="C7">
        <v>55984014</v>
      </c>
      <c r="D7">
        <v>55489513</v>
      </c>
      <c r="E7">
        <v>1</v>
      </c>
      <c r="F7">
        <v>1</v>
      </c>
      <c r="G7">
        <v>1081</v>
      </c>
      <c r="H7">
        <v>2</v>
      </c>
      <c r="I7" t="s">
        <v>224</v>
      </c>
      <c r="J7" t="s">
        <v>225</v>
      </c>
      <c r="K7" t="s">
        <v>226</v>
      </c>
      <c r="L7">
        <v>1368</v>
      </c>
      <c r="N7">
        <v>1011</v>
      </c>
      <c r="O7" t="s">
        <v>227</v>
      </c>
      <c r="P7" t="s">
        <v>227</v>
      </c>
      <c r="Q7">
        <v>1</v>
      </c>
      <c r="X7">
        <v>0.25</v>
      </c>
      <c r="Y7">
        <v>0</v>
      </c>
      <c r="Z7">
        <v>114.83</v>
      </c>
      <c r="AA7">
        <v>12.62</v>
      </c>
      <c r="AB7">
        <v>0</v>
      </c>
      <c r="AC7">
        <v>0</v>
      </c>
      <c r="AD7">
        <v>1</v>
      </c>
      <c r="AE7">
        <v>0</v>
      </c>
      <c r="AF7" t="s">
        <v>29</v>
      </c>
      <c r="AG7">
        <v>0.09</v>
      </c>
      <c r="AH7">
        <v>2</v>
      </c>
      <c r="AI7">
        <v>55984016</v>
      </c>
      <c r="AJ7">
        <v>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55984021</v>
      </c>
      <c r="C8">
        <v>55984014</v>
      </c>
      <c r="D8">
        <v>55461719</v>
      </c>
      <c r="E8">
        <v>1</v>
      </c>
      <c r="F8">
        <v>1</v>
      </c>
      <c r="G8">
        <v>1081</v>
      </c>
      <c r="H8">
        <v>3</v>
      </c>
      <c r="I8" t="s">
        <v>229</v>
      </c>
      <c r="J8" t="s">
        <v>230</v>
      </c>
      <c r="K8" t="s">
        <v>231</v>
      </c>
      <c r="L8">
        <v>1348</v>
      </c>
      <c r="N8">
        <v>1009</v>
      </c>
      <c r="O8" t="s">
        <v>232</v>
      </c>
      <c r="P8" t="s">
        <v>232</v>
      </c>
      <c r="Q8">
        <v>1000</v>
      </c>
      <c r="X8">
        <v>1.1000000000000001E-3</v>
      </c>
      <c r="Y8">
        <v>10643.18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28</v>
      </c>
      <c r="AG8">
        <v>0</v>
      </c>
      <c r="AH8">
        <v>2</v>
      </c>
      <c r="AI8">
        <v>55984017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55984022</v>
      </c>
      <c r="C9">
        <v>55984014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233</v>
      </c>
      <c r="J9" t="s">
        <v>234</v>
      </c>
      <c r="K9" t="s">
        <v>235</v>
      </c>
      <c r="L9">
        <v>1348</v>
      </c>
      <c r="N9">
        <v>1009</v>
      </c>
      <c r="O9" t="s">
        <v>232</v>
      </c>
      <c r="P9" t="s">
        <v>232</v>
      </c>
      <c r="Q9">
        <v>1000</v>
      </c>
      <c r="X9">
        <v>1.0000000000000001E-5</v>
      </c>
      <c r="Y9">
        <v>64123.05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28</v>
      </c>
      <c r="AG9">
        <v>0</v>
      </c>
      <c r="AH9">
        <v>2</v>
      </c>
      <c r="AI9">
        <v>55984018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55984023</v>
      </c>
      <c r="C10">
        <v>55984014</v>
      </c>
      <c r="D10">
        <v>55448109</v>
      </c>
      <c r="E10">
        <v>1081</v>
      </c>
      <c r="F10">
        <v>1</v>
      </c>
      <c r="G10">
        <v>1081</v>
      </c>
      <c r="H10">
        <v>3</v>
      </c>
      <c r="I10" t="s">
        <v>317</v>
      </c>
      <c r="J10" t="s">
        <v>3</v>
      </c>
      <c r="K10" t="s">
        <v>318</v>
      </c>
      <c r="L10">
        <v>1354</v>
      </c>
      <c r="N10">
        <v>1010</v>
      </c>
      <c r="O10" t="s">
        <v>293</v>
      </c>
      <c r="P10" t="s">
        <v>293</v>
      </c>
      <c r="Q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28</v>
      </c>
      <c r="AG10">
        <v>0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55984030</v>
      </c>
      <c r="C11">
        <v>55984024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221</v>
      </c>
      <c r="J11" t="s">
        <v>3</v>
      </c>
      <c r="K11" t="s">
        <v>222</v>
      </c>
      <c r="L11">
        <v>1191</v>
      </c>
      <c r="N11">
        <v>1013</v>
      </c>
      <c r="O11" t="s">
        <v>223</v>
      </c>
      <c r="P11" t="s">
        <v>223</v>
      </c>
      <c r="Q11">
        <v>1</v>
      </c>
      <c r="X11">
        <v>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29</v>
      </c>
      <c r="AG11">
        <v>2.88</v>
      </c>
      <c r="AH11">
        <v>2</v>
      </c>
      <c r="AI11">
        <v>55984025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ROW(Source!A30)</f>
        <v>30</v>
      </c>
      <c r="B12">
        <v>55984031</v>
      </c>
      <c r="C12">
        <v>55984024</v>
      </c>
      <c r="D12">
        <v>55459792</v>
      </c>
      <c r="E12">
        <v>1</v>
      </c>
      <c r="F12">
        <v>1</v>
      </c>
      <c r="G12">
        <v>1081</v>
      </c>
      <c r="H12">
        <v>3</v>
      </c>
      <c r="I12" t="s">
        <v>236</v>
      </c>
      <c r="J12" t="s">
        <v>237</v>
      </c>
      <c r="K12" t="s">
        <v>238</v>
      </c>
      <c r="L12">
        <v>1348</v>
      </c>
      <c r="N12">
        <v>1009</v>
      </c>
      <c r="O12" t="s">
        <v>232</v>
      </c>
      <c r="P12" t="s">
        <v>232</v>
      </c>
      <c r="Q12">
        <v>1000</v>
      </c>
      <c r="X12">
        <v>1.0000000000000001E-5</v>
      </c>
      <c r="Y12">
        <v>60960.43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28</v>
      </c>
      <c r="AG12">
        <v>0</v>
      </c>
      <c r="AH12">
        <v>2</v>
      </c>
      <c r="AI12">
        <v>55984026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55984032</v>
      </c>
      <c r="C13">
        <v>55984024</v>
      </c>
      <c r="D13">
        <v>55466338</v>
      </c>
      <c r="E13">
        <v>1</v>
      </c>
      <c r="F13">
        <v>1</v>
      </c>
      <c r="G13">
        <v>1081</v>
      </c>
      <c r="H13">
        <v>3</v>
      </c>
      <c r="I13" t="s">
        <v>239</v>
      </c>
      <c r="J13" t="s">
        <v>240</v>
      </c>
      <c r="K13" t="s">
        <v>241</v>
      </c>
      <c r="L13">
        <v>1349</v>
      </c>
      <c r="N13">
        <v>1009</v>
      </c>
      <c r="O13" t="s">
        <v>242</v>
      </c>
      <c r="P13" t="s">
        <v>242</v>
      </c>
      <c r="Q13">
        <v>1E-3</v>
      </c>
      <c r="X13">
        <v>0.5</v>
      </c>
      <c r="Y13">
        <v>7.0000000000000007E-2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28</v>
      </c>
      <c r="AG13">
        <v>0</v>
      </c>
      <c r="AH13">
        <v>2</v>
      </c>
      <c r="AI13">
        <v>55984027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55984033</v>
      </c>
      <c r="C14">
        <v>55984024</v>
      </c>
      <c r="D14">
        <v>55482203</v>
      </c>
      <c r="E14">
        <v>1</v>
      </c>
      <c r="F14">
        <v>1</v>
      </c>
      <c r="G14">
        <v>1081</v>
      </c>
      <c r="H14">
        <v>3</v>
      </c>
      <c r="I14" t="s">
        <v>243</v>
      </c>
      <c r="J14" t="s">
        <v>244</v>
      </c>
      <c r="K14" t="s">
        <v>245</v>
      </c>
      <c r="L14">
        <v>1356</v>
      </c>
      <c r="N14">
        <v>1010</v>
      </c>
      <c r="O14" t="s">
        <v>246</v>
      </c>
      <c r="P14" t="s">
        <v>246</v>
      </c>
      <c r="Q14">
        <v>1000</v>
      </c>
      <c r="X14">
        <v>2E-3</v>
      </c>
      <c r="Y14">
        <v>226.66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28</v>
      </c>
      <c r="AG14">
        <v>0</v>
      </c>
      <c r="AH14">
        <v>2</v>
      </c>
      <c r="AI14">
        <v>55984028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55984034</v>
      </c>
      <c r="C15">
        <v>55984024</v>
      </c>
      <c r="D15">
        <v>55433412</v>
      </c>
      <c r="E15">
        <v>1081</v>
      </c>
      <c r="F15">
        <v>1</v>
      </c>
      <c r="G15">
        <v>1081</v>
      </c>
      <c r="H15">
        <v>3</v>
      </c>
      <c r="I15" t="s">
        <v>319</v>
      </c>
      <c r="J15" t="s">
        <v>3</v>
      </c>
      <c r="K15" t="s">
        <v>320</v>
      </c>
      <c r="L15">
        <v>1354</v>
      </c>
      <c r="N15">
        <v>1010</v>
      </c>
      <c r="O15" t="s">
        <v>293</v>
      </c>
      <c r="P15" t="s">
        <v>293</v>
      </c>
      <c r="Q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28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ROW(Source!A30)</f>
        <v>30</v>
      </c>
      <c r="B16">
        <v>55984035</v>
      </c>
      <c r="C16">
        <v>55984024</v>
      </c>
      <c r="D16">
        <v>55455537</v>
      </c>
      <c r="E16">
        <v>1081</v>
      </c>
      <c r="F16">
        <v>1</v>
      </c>
      <c r="G16">
        <v>1081</v>
      </c>
      <c r="H16">
        <v>3</v>
      </c>
      <c r="I16" t="s">
        <v>321</v>
      </c>
      <c r="J16" t="s">
        <v>3</v>
      </c>
      <c r="K16" t="s">
        <v>322</v>
      </c>
      <c r="L16">
        <v>1052</v>
      </c>
      <c r="N16">
        <v>1013</v>
      </c>
      <c r="O16" t="s">
        <v>323</v>
      </c>
      <c r="P16" t="s">
        <v>323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28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ROW(Source!A30)</f>
        <v>30</v>
      </c>
      <c r="B17">
        <v>55984036</v>
      </c>
      <c r="C17">
        <v>55984024</v>
      </c>
      <c r="D17">
        <v>55424290</v>
      </c>
      <c r="E17">
        <v>1081</v>
      </c>
      <c r="F17">
        <v>1</v>
      </c>
      <c r="G17">
        <v>1081</v>
      </c>
      <c r="H17">
        <v>3</v>
      </c>
      <c r="I17" t="s">
        <v>247</v>
      </c>
      <c r="J17" t="s">
        <v>3</v>
      </c>
      <c r="K17" t="s">
        <v>248</v>
      </c>
      <c r="L17">
        <v>1348</v>
      </c>
      <c r="N17">
        <v>1009</v>
      </c>
      <c r="O17" t="s">
        <v>232</v>
      </c>
      <c r="P17" t="s">
        <v>232</v>
      </c>
      <c r="Q17">
        <v>1000</v>
      </c>
      <c r="X17">
        <v>3.4000000000000002E-2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28</v>
      </c>
      <c r="AG17">
        <v>0</v>
      </c>
      <c r="AH17">
        <v>2</v>
      </c>
      <c r="AI17">
        <v>55984029</v>
      </c>
      <c r="AJ17">
        <v>13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ROW(Source!A31)</f>
        <v>31</v>
      </c>
      <c r="B18">
        <v>55984030</v>
      </c>
      <c r="C18">
        <v>55984024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221</v>
      </c>
      <c r="J18" t="s">
        <v>3</v>
      </c>
      <c r="K18" t="s">
        <v>222</v>
      </c>
      <c r="L18">
        <v>1191</v>
      </c>
      <c r="N18">
        <v>1013</v>
      </c>
      <c r="O18" t="s">
        <v>223</v>
      </c>
      <c r="P18" t="s">
        <v>223</v>
      </c>
      <c r="Q18">
        <v>1</v>
      </c>
      <c r="X18">
        <v>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29</v>
      </c>
      <c r="AG18">
        <v>2.88</v>
      </c>
      <c r="AH18">
        <v>2</v>
      </c>
      <c r="AI18">
        <v>55984025</v>
      </c>
      <c r="AJ18">
        <v>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ROW(Source!A31)</f>
        <v>31</v>
      </c>
      <c r="B19">
        <v>55984031</v>
      </c>
      <c r="C19">
        <v>55984024</v>
      </c>
      <c r="D19">
        <v>55459792</v>
      </c>
      <c r="E19">
        <v>1</v>
      </c>
      <c r="F19">
        <v>1</v>
      </c>
      <c r="G19">
        <v>1081</v>
      </c>
      <c r="H19">
        <v>3</v>
      </c>
      <c r="I19" t="s">
        <v>236</v>
      </c>
      <c r="J19" t="s">
        <v>237</v>
      </c>
      <c r="K19" t="s">
        <v>238</v>
      </c>
      <c r="L19">
        <v>1348</v>
      </c>
      <c r="N19">
        <v>1009</v>
      </c>
      <c r="O19" t="s">
        <v>232</v>
      </c>
      <c r="P19" t="s">
        <v>232</v>
      </c>
      <c r="Q19">
        <v>1000</v>
      </c>
      <c r="X19">
        <v>1.0000000000000001E-5</v>
      </c>
      <c r="Y19">
        <v>60960.43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28</v>
      </c>
      <c r="AG19">
        <v>0</v>
      </c>
      <c r="AH19">
        <v>2</v>
      </c>
      <c r="AI19">
        <v>55984026</v>
      </c>
      <c r="AJ19">
        <v>15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ROW(Source!A31)</f>
        <v>31</v>
      </c>
      <c r="B20">
        <v>55984032</v>
      </c>
      <c r="C20">
        <v>55984024</v>
      </c>
      <c r="D20">
        <v>55466338</v>
      </c>
      <c r="E20">
        <v>1</v>
      </c>
      <c r="F20">
        <v>1</v>
      </c>
      <c r="G20">
        <v>1081</v>
      </c>
      <c r="H20">
        <v>3</v>
      </c>
      <c r="I20" t="s">
        <v>239</v>
      </c>
      <c r="J20" t="s">
        <v>240</v>
      </c>
      <c r="K20" t="s">
        <v>241</v>
      </c>
      <c r="L20">
        <v>1349</v>
      </c>
      <c r="N20">
        <v>1009</v>
      </c>
      <c r="O20" t="s">
        <v>242</v>
      </c>
      <c r="P20" t="s">
        <v>242</v>
      </c>
      <c r="Q20">
        <v>1E-3</v>
      </c>
      <c r="X20">
        <v>0.5</v>
      </c>
      <c r="Y20">
        <v>7.0000000000000007E-2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28</v>
      </c>
      <c r="AG20">
        <v>0</v>
      </c>
      <c r="AH20">
        <v>2</v>
      </c>
      <c r="AI20">
        <v>55984027</v>
      </c>
      <c r="AJ20">
        <v>16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ROW(Source!A31)</f>
        <v>31</v>
      </c>
      <c r="B21">
        <v>55984033</v>
      </c>
      <c r="C21">
        <v>55984024</v>
      </c>
      <c r="D21">
        <v>55482203</v>
      </c>
      <c r="E21">
        <v>1</v>
      </c>
      <c r="F21">
        <v>1</v>
      </c>
      <c r="G21">
        <v>1081</v>
      </c>
      <c r="H21">
        <v>3</v>
      </c>
      <c r="I21" t="s">
        <v>243</v>
      </c>
      <c r="J21" t="s">
        <v>244</v>
      </c>
      <c r="K21" t="s">
        <v>245</v>
      </c>
      <c r="L21">
        <v>1356</v>
      </c>
      <c r="N21">
        <v>1010</v>
      </c>
      <c r="O21" t="s">
        <v>246</v>
      </c>
      <c r="P21" t="s">
        <v>246</v>
      </c>
      <c r="Q21">
        <v>1000</v>
      </c>
      <c r="X21">
        <v>2E-3</v>
      </c>
      <c r="Y21">
        <v>226.66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28</v>
      </c>
      <c r="AG21">
        <v>0</v>
      </c>
      <c r="AH21">
        <v>2</v>
      </c>
      <c r="AI21">
        <v>55984028</v>
      </c>
      <c r="AJ21">
        <v>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ROW(Source!A31)</f>
        <v>31</v>
      </c>
      <c r="B22">
        <v>55984034</v>
      </c>
      <c r="C22">
        <v>55984024</v>
      </c>
      <c r="D22">
        <v>55433412</v>
      </c>
      <c r="E22">
        <v>1081</v>
      </c>
      <c r="F22">
        <v>1</v>
      </c>
      <c r="G22">
        <v>1081</v>
      </c>
      <c r="H22">
        <v>3</v>
      </c>
      <c r="I22" t="s">
        <v>319</v>
      </c>
      <c r="J22" t="s">
        <v>3</v>
      </c>
      <c r="K22" t="s">
        <v>320</v>
      </c>
      <c r="L22">
        <v>1354</v>
      </c>
      <c r="N22">
        <v>1010</v>
      </c>
      <c r="O22" t="s">
        <v>293</v>
      </c>
      <c r="P22" t="s">
        <v>293</v>
      </c>
      <c r="Q22">
        <v>1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28</v>
      </c>
      <c r="AG22">
        <v>0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ROW(Source!A31)</f>
        <v>31</v>
      </c>
      <c r="B23">
        <v>55984035</v>
      </c>
      <c r="C23">
        <v>55984024</v>
      </c>
      <c r="D23">
        <v>55455537</v>
      </c>
      <c r="E23">
        <v>1081</v>
      </c>
      <c r="F23">
        <v>1</v>
      </c>
      <c r="G23">
        <v>1081</v>
      </c>
      <c r="H23">
        <v>3</v>
      </c>
      <c r="I23" t="s">
        <v>321</v>
      </c>
      <c r="J23" t="s">
        <v>3</v>
      </c>
      <c r="K23" t="s">
        <v>322</v>
      </c>
      <c r="L23">
        <v>1052</v>
      </c>
      <c r="N23">
        <v>1013</v>
      </c>
      <c r="O23" t="s">
        <v>323</v>
      </c>
      <c r="P23" t="s">
        <v>323</v>
      </c>
      <c r="Q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28</v>
      </c>
      <c r="AG23">
        <v>0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ROW(Source!A31)</f>
        <v>31</v>
      </c>
      <c r="B24">
        <v>55984036</v>
      </c>
      <c r="C24">
        <v>55984024</v>
      </c>
      <c r="D24">
        <v>55424290</v>
      </c>
      <c r="E24">
        <v>1081</v>
      </c>
      <c r="F24">
        <v>1</v>
      </c>
      <c r="G24">
        <v>1081</v>
      </c>
      <c r="H24">
        <v>3</v>
      </c>
      <c r="I24" t="s">
        <v>247</v>
      </c>
      <c r="J24" t="s">
        <v>3</v>
      </c>
      <c r="K24" t="s">
        <v>248</v>
      </c>
      <c r="L24">
        <v>1348</v>
      </c>
      <c r="N24">
        <v>1009</v>
      </c>
      <c r="O24" t="s">
        <v>232</v>
      </c>
      <c r="P24" t="s">
        <v>232</v>
      </c>
      <c r="Q24">
        <v>1000</v>
      </c>
      <c r="X24">
        <v>3.4000000000000002E-2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28</v>
      </c>
      <c r="AG24">
        <v>0</v>
      </c>
      <c r="AH24">
        <v>2</v>
      </c>
      <c r="AI24">
        <v>55984029</v>
      </c>
      <c r="AJ24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ROW(Source!A32)</f>
        <v>32</v>
      </c>
      <c r="B25">
        <v>55984043</v>
      </c>
      <c r="C25">
        <v>55984037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221</v>
      </c>
      <c r="J25" t="s">
        <v>3</v>
      </c>
      <c r="K25" t="s">
        <v>222</v>
      </c>
      <c r="L25">
        <v>1191</v>
      </c>
      <c r="N25">
        <v>1013</v>
      </c>
      <c r="O25" t="s">
        <v>223</v>
      </c>
      <c r="P25" t="s">
        <v>223</v>
      </c>
      <c r="Q25">
        <v>1</v>
      </c>
      <c r="X25">
        <v>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29</v>
      </c>
      <c r="AG25">
        <v>2.88</v>
      </c>
      <c r="AH25">
        <v>2</v>
      </c>
      <c r="AI25">
        <v>55984038</v>
      </c>
      <c r="AJ25">
        <v>19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ROW(Source!A32)</f>
        <v>32</v>
      </c>
      <c r="B26">
        <v>55984044</v>
      </c>
      <c r="C26">
        <v>55984037</v>
      </c>
      <c r="D26">
        <v>55459792</v>
      </c>
      <c r="E26">
        <v>1</v>
      </c>
      <c r="F26">
        <v>1</v>
      </c>
      <c r="G26">
        <v>1081</v>
      </c>
      <c r="H26">
        <v>3</v>
      </c>
      <c r="I26" t="s">
        <v>236</v>
      </c>
      <c r="J26" t="s">
        <v>237</v>
      </c>
      <c r="K26" t="s">
        <v>238</v>
      </c>
      <c r="L26">
        <v>1348</v>
      </c>
      <c r="N26">
        <v>1009</v>
      </c>
      <c r="O26" t="s">
        <v>232</v>
      </c>
      <c r="P26" t="s">
        <v>232</v>
      </c>
      <c r="Q26">
        <v>1000</v>
      </c>
      <c r="X26">
        <v>1.0000000000000001E-5</v>
      </c>
      <c r="Y26">
        <v>60960.43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28</v>
      </c>
      <c r="AG26">
        <v>0</v>
      </c>
      <c r="AH26">
        <v>2</v>
      </c>
      <c r="AI26">
        <v>55984039</v>
      </c>
      <c r="AJ26">
        <v>20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ROW(Source!A32)</f>
        <v>32</v>
      </c>
      <c r="B27">
        <v>55984045</v>
      </c>
      <c r="C27">
        <v>55984037</v>
      </c>
      <c r="D27">
        <v>55466338</v>
      </c>
      <c r="E27">
        <v>1</v>
      </c>
      <c r="F27">
        <v>1</v>
      </c>
      <c r="G27">
        <v>1081</v>
      </c>
      <c r="H27">
        <v>3</v>
      </c>
      <c r="I27" t="s">
        <v>239</v>
      </c>
      <c r="J27" t="s">
        <v>240</v>
      </c>
      <c r="K27" t="s">
        <v>241</v>
      </c>
      <c r="L27">
        <v>1349</v>
      </c>
      <c r="N27">
        <v>1009</v>
      </c>
      <c r="O27" t="s">
        <v>242</v>
      </c>
      <c r="P27" t="s">
        <v>242</v>
      </c>
      <c r="Q27">
        <v>1E-3</v>
      </c>
      <c r="X27">
        <v>0.5</v>
      </c>
      <c r="Y27">
        <v>7.0000000000000007E-2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28</v>
      </c>
      <c r="AG27">
        <v>0</v>
      </c>
      <c r="AH27">
        <v>2</v>
      </c>
      <c r="AI27">
        <v>55984040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ROW(Source!A32)</f>
        <v>32</v>
      </c>
      <c r="B28">
        <v>55984046</v>
      </c>
      <c r="C28">
        <v>55984037</v>
      </c>
      <c r="D28">
        <v>55482203</v>
      </c>
      <c r="E28">
        <v>1</v>
      </c>
      <c r="F28">
        <v>1</v>
      </c>
      <c r="G28">
        <v>1081</v>
      </c>
      <c r="H28">
        <v>3</v>
      </c>
      <c r="I28" t="s">
        <v>243</v>
      </c>
      <c r="J28" t="s">
        <v>244</v>
      </c>
      <c r="K28" t="s">
        <v>245</v>
      </c>
      <c r="L28">
        <v>1356</v>
      </c>
      <c r="N28">
        <v>1010</v>
      </c>
      <c r="O28" t="s">
        <v>246</v>
      </c>
      <c r="P28" t="s">
        <v>246</v>
      </c>
      <c r="Q28">
        <v>1000</v>
      </c>
      <c r="X28">
        <v>2E-3</v>
      </c>
      <c r="Y28">
        <v>226.66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28</v>
      </c>
      <c r="AG28">
        <v>0</v>
      </c>
      <c r="AH28">
        <v>2</v>
      </c>
      <c r="AI28">
        <v>55984041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ROW(Source!A32)</f>
        <v>32</v>
      </c>
      <c r="B29">
        <v>55984047</v>
      </c>
      <c r="C29">
        <v>55984037</v>
      </c>
      <c r="D29">
        <v>55433412</v>
      </c>
      <c r="E29">
        <v>1081</v>
      </c>
      <c r="F29">
        <v>1</v>
      </c>
      <c r="G29">
        <v>1081</v>
      </c>
      <c r="H29">
        <v>3</v>
      </c>
      <c r="I29" t="s">
        <v>319</v>
      </c>
      <c r="J29" t="s">
        <v>3</v>
      </c>
      <c r="K29" t="s">
        <v>320</v>
      </c>
      <c r="L29">
        <v>1354</v>
      </c>
      <c r="N29">
        <v>1010</v>
      </c>
      <c r="O29" t="s">
        <v>293</v>
      </c>
      <c r="P29" t="s">
        <v>293</v>
      </c>
      <c r="Q29">
        <v>1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28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ROW(Source!A32)</f>
        <v>32</v>
      </c>
      <c r="B30">
        <v>55984048</v>
      </c>
      <c r="C30">
        <v>55984037</v>
      </c>
      <c r="D30">
        <v>55455537</v>
      </c>
      <c r="E30">
        <v>1081</v>
      </c>
      <c r="F30">
        <v>1</v>
      </c>
      <c r="G30">
        <v>1081</v>
      </c>
      <c r="H30">
        <v>3</v>
      </c>
      <c r="I30" t="s">
        <v>321</v>
      </c>
      <c r="J30" t="s">
        <v>3</v>
      </c>
      <c r="K30" t="s">
        <v>322</v>
      </c>
      <c r="L30">
        <v>1052</v>
      </c>
      <c r="N30">
        <v>1013</v>
      </c>
      <c r="O30" t="s">
        <v>323</v>
      </c>
      <c r="P30" t="s">
        <v>323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28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ROW(Source!A32)</f>
        <v>32</v>
      </c>
      <c r="B31">
        <v>55984049</v>
      </c>
      <c r="C31">
        <v>55984037</v>
      </c>
      <c r="D31">
        <v>55424290</v>
      </c>
      <c r="E31">
        <v>1081</v>
      </c>
      <c r="F31">
        <v>1</v>
      </c>
      <c r="G31">
        <v>1081</v>
      </c>
      <c r="H31">
        <v>3</v>
      </c>
      <c r="I31" t="s">
        <v>247</v>
      </c>
      <c r="J31" t="s">
        <v>3</v>
      </c>
      <c r="K31" t="s">
        <v>248</v>
      </c>
      <c r="L31">
        <v>1348</v>
      </c>
      <c r="N31">
        <v>1009</v>
      </c>
      <c r="O31" t="s">
        <v>232</v>
      </c>
      <c r="P31" t="s">
        <v>232</v>
      </c>
      <c r="Q31">
        <v>1000</v>
      </c>
      <c r="X31">
        <v>3.4000000000000002E-2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28</v>
      </c>
      <c r="AG31">
        <v>0</v>
      </c>
      <c r="AH31">
        <v>2</v>
      </c>
      <c r="AI31">
        <v>55984042</v>
      </c>
      <c r="AJ31">
        <v>23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ROW(Source!A33)</f>
        <v>33</v>
      </c>
      <c r="B32">
        <v>55984043</v>
      </c>
      <c r="C32">
        <v>55984037</v>
      </c>
      <c r="D32">
        <v>55424304</v>
      </c>
      <c r="E32">
        <v>1081</v>
      </c>
      <c r="F32">
        <v>1</v>
      </c>
      <c r="G32">
        <v>1081</v>
      </c>
      <c r="H32">
        <v>1</v>
      </c>
      <c r="I32" t="s">
        <v>221</v>
      </c>
      <c r="J32" t="s">
        <v>3</v>
      </c>
      <c r="K32" t="s">
        <v>222</v>
      </c>
      <c r="L32">
        <v>1191</v>
      </c>
      <c r="N32">
        <v>1013</v>
      </c>
      <c r="O32" t="s">
        <v>223</v>
      </c>
      <c r="P32" t="s">
        <v>223</v>
      </c>
      <c r="Q32">
        <v>1</v>
      </c>
      <c r="X32">
        <v>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29</v>
      </c>
      <c r="AG32">
        <v>2.88</v>
      </c>
      <c r="AH32">
        <v>2</v>
      </c>
      <c r="AI32">
        <v>55984038</v>
      </c>
      <c r="AJ32">
        <v>24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ROW(Source!A33)</f>
        <v>33</v>
      </c>
      <c r="B33">
        <v>55984044</v>
      </c>
      <c r="C33">
        <v>55984037</v>
      </c>
      <c r="D33">
        <v>55459792</v>
      </c>
      <c r="E33">
        <v>1</v>
      </c>
      <c r="F33">
        <v>1</v>
      </c>
      <c r="G33">
        <v>1081</v>
      </c>
      <c r="H33">
        <v>3</v>
      </c>
      <c r="I33" t="s">
        <v>236</v>
      </c>
      <c r="J33" t="s">
        <v>237</v>
      </c>
      <c r="K33" t="s">
        <v>238</v>
      </c>
      <c r="L33">
        <v>1348</v>
      </c>
      <c r="N33">
        <v>1009</v>
      </c>
      <c r="O33" t="s">
        <v>232</v>
      </c>
      <c r="P33" t="s">
        <v>232</v>
      </c>
      <c r="Q33">
        <v>1000</v>
      </c>
      <c r="X33">
        <v>1.0000000000000001E-5</v>
      </c>
      <c r="Y33">
        <v>60960.43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28</v>
      </c>
      <c r="AG33">
        <v>0</v>
      </c>
      <c r="AH33">
        <v>2</v>
      </c>
      <c r="AI33">
        <v>55984039</v>
      </c>
      <c r="AJ33">
        <v>25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ROW(Source!A33)</f>
        <v>33</v>
      </c>
      <c r="B34">
        <v>55984045</v>
      </c>
      <c r="C34">
        <v>55984037</v>
      </c>
      <c r="D34">
        <v>55466338</v>
      </c>
      <c r="E34">
        <v>1</v>
      </c>
      <c r="F34">
        <v>1</v>
      </c>
      <c r="G34">
        <v>1081</v>
      </c>
      <c r="H34">
        <v>3</v>
      </c>
      <c r="I34" t="s">
        <v>239</v>
      </c>
      <c r="J34" t="s">
        <v>240</v>
      </c>
      <c r="K34" t="s">
        <v>241</v>
      </c>
      <c r="L34">
        <v>1349</v>
      </c>
      <c r="N34">
        <v>1009</v>
      </c>
      <c r="O34" t="s">
        <v>242</v>
      </c>
      <c r="P34" t="s">
        <v>242</v>
      </c>
      <c r="Q34">
        <v>1E-3</v>
      </c>
      <c r="X34">
        <v>0.5</v>
      </c>
      <c r="Y34">
        <v>7.0000000000000007E-2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28</v>
      </c>
      <c r="AG34">
        <v>0</v>
      </c>
      <c r="AH34">
        <v>2</v>
      </c>
      <c r="AI34">
        <v>55984040</v>
      </c>
      <c r="AJ34">
        <v>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ROW(Source!A33)</f>
        <v>33</v>
      </c>
      <c r="B35">
        <v>55984046</v>
      </c>
      <c r="C35">
        <v>55984037</v>
      </c>
      <c r="D35">
        <v>55482203</v>
      </c>
      <c r="E35">
        <v>1</v>
      </c>
      <c r="F35">
        <v>1</v>
      </c>
      <c r="G35">
        <v>1081</v>
      </c>
      <c r="H35">
        <v>3</v>
      </c>
      <c r="I35" t="s">
        <v>243</v>
      </c>
      <c r="J35" t="s">
        <v>244</v>
      </c>
      <c r="K35" t="s">
        <v>245</v>
      </c>
      <c r="L35">
        <v>1356</v>
      </c>
      <c r="N35">
        <v>1010</v>
      </c>
      <c r="O35" t="s">
        <v>246</v>
      </c>
      <c r="P35" t="s">
        <v>246</v>
      </c>
      <c r="Q35">
        <v>1000</v>
      </c>
      <c r="X35">
        <v>2E-3</v>
      </c>
      <c r="Y35">
        <v>226.66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28</v>
      </c>
      <c r="AG35">
        <v>0</v>
      </c>
      <c r="AH35">
        <v>2</v>
      </c>
      <c r="AI35">
        <v>55984041</v>
      </c>
      <c r="AJ35">
        <v>27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ROW(Source!A33)</f>
        <v>33</v>
      </c>
      <c r="B36">
        <v>55984047</v>
      </c>
      <c r="C36">
        <v>55984037</v>
      </c>
      <c r="D36">
        <v>55433412</v>
      </c>
      <c r="E36">
        <v>1081</v>
      </c>
      <c r="F36">
        <v>1</v>
      </c>
      <c r="G36">
        <v>1081</v>
      </c>
      <c r="H36">
        <v>3</v>
      </c>
      <c r="I36" t="s">
        <v>319</v>
      </c>
      <c r="J36" t="s">
        <v>3</v>
      </c>
      <c r="K36" t="s">
        <v>320</v>
      </c>
      <c r="L36">
        <v>1354</v>
      </c>
      <c r="N36">
        <v>1010</v>
      </c>
      <c r="O36" t="s">
        <v>293</v>
      </c>
      <c r="P36" t="s">
        <v>293</v>
      </c>
      <c r="Q36">
        <v>1</v>
      </c>
      <c r="X36">
        <v>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28</v>
      </c>
      <c r="AG36">
        <v>0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ROW(Source!A33)</f>
        <v>33</v>
      </c>
      <c r="B37">
        <v>55984048</v>
      </c>
      <c r="C37">
        <v>55984037</v>
      </c>
      <c r="D37">
        <v>55455537</v>
      </c>
      <c r="E37">
        <v>1081</v>
      </c>
      <c r="F37">
        <v>1</v>
      </c>
      <c r="G37">
        <v>1081</v>
      </c>
      <c r="H37">
        <v>3</v>
      </c>
      <c r="I37" t="s">
        <v>321</v>
      </c>
      <c r="J37" t="s">
        <v>3</v>
      </c>
      <c r="K37" t="s">
        <v>322</v>
      </c>
      <c r="L37">
        <v>1052</v>
      </c>
      <c r="N37">
        <v>1013</v>
      </c>
      <c r="O37" t="s">
        <v>323</v>
      </c>
      <c r="P37" t="s">
        <v>323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28</v>
      </c>
      <c r="AG37">
        <v>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ROW(Source!A33)</f>
        <v>33</v>
      </c>
      <c r="B38">
        <v>55984049</v>
      </c>
      <c r="C38">
        <v>55984037</v>
      </c>
      <c r="D38">
        <v>55424290</v>
      </c>
      <c r="E38">
        <v>1081</v>
      </c>
      <c r="F38">
        <v>1</v>
      </c>
      <c r="G38">
        <v>1081</v>
      </c>
      <c r="H38">
        <v>3</v>
      </c>
      <c r="I38" t="s">
        <v>247</v>
      </c>
      <c r="J38" t="s">
        <v>3</v>
      </c>
      <c r="K38" t="s">
        <v>248</v>
      </c>
      <c r="L38">
        <v>1348</v>
      </c>
      <c r="N38">
        <v>1009</v>
      </c>
      <c r="O38" t="s">
        <v>232</v>
      </c>
      <c r="P38" t="s">
        <v>232</v>
      </c>
      <c r="Q38">
        <v>1000</v>
      </c>
      <c r="X38">
        <v>3.4000000000000002E-2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28</v>
      </c>
      <c r="AG38">
        <v>0</v>
      </c>
      <c r="AH38">
        <v>2</v>
      </c>
      <c r="AI38">
        <v>55984042</v>
      </c>
      <c r="AJ38">
        <v>28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ROW(Source!A34)</f>
        <v>34</v>
      </c>
      <c r="B39">
        <v>55984056</v>
      </c>
      <c r="C39">
        <v>55984050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221</v>
      </c>
      <c r="J39" t="s">
        <v>3</v>
      </c>
      <c r="K39" t="s">
        <v>222</v>
      </c>
      <c r="L39">
        <v>1191</v>
      </c>
      <c r="N39">
        <v>1013</v>
      </c>
      <c r="O39" t="s">
        <v>223</v>
      </c>
      <c r="P39" t="s">
        <v>223</v>
      </c>
      <c r="Q39">
        <v>1</v>
      </c>
      <c r="X39">
        <v>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29</v>
      </c>
      <c r="AG39">
        <v>2.52</v>
      </c>
      <c r="AH39">
        <v>2</v>
      </c>
      <c r="AI39">
        <v>55984051</v>
      </c>
      <c r="AJ39">
        <v>29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ROW(Source!A34)</f>
        <v>34</v>
      </c>
      <c r="B40">
        <v>55984057</v>
      </c>
      <c r="C40">
        <v>55984050</v>
      </c>
      <c r="D40">
        <v>55459793</v>
      </c>
      <c r="E40">
        <v>1</v>
      </c>
      <c r="F40">
        <v>1</v>
      </c>
      <c r="G40">
        <v>1081</v>
      </c>
      <c r="H40">
        <v>3</v>
      </c>
      <c r="I40" t="s">
        <v>233</v>
      </c>
      <c r="J40" t="s">
        <v>234</v>
      </c>
      <c r="K40" t="s">
        <v>235</v>
      </c>
      <c r="L40">
        <v>1348</v>
      </c>
      <c r="N40">
        <v>1009</v>
      </c>
      <c r="O40" t="s">
        <v>232</v>
      </c>
      <c r="P40" t="s">
        <v>232</v>
      </c>
      <c r="Q40">
        <v>1000</v>
      </c>
      <c r="X40">
        <v>1.2E-5</v>
      </c>
      <c r="Y40">
        <v>64123.05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28</v>
      </c>
      <c r="AG40">
        <v>0</v>
      </c>
      <c r="AH40">
        <v>2</v>
      </c>
      <c r="AI40">
        <v>55984052</v>
      </c>
      <c r="AJ40">
        <v>30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ROW(Source!A34)</f>
        <v>34</v>
      </c>
      <c r="B41">
        <v>55984058</v>
      </c>
      <c r="C41">
        <v>55984050</v>
      </c>
      <c r="D41">
        <v>55466338</v>
      </c>
      <c r="E41">
        <v>1</v>
      </c>
      <c r="F41">
        <v>1</v>
      </c>
      <c r="G41">
        <v>1081</v>
      </c>
      <c r="H41">
        <v>3</v>
      </c>
      <c r="I41" t="s">
        <v>239</v>
      </c>
      <c r="J41" t="s">
        <v>240</v>
      </c>
      <c r="K41" t="s">
        <v>241</v>
      </c>
      <c r="L41">
        <v>1349</v>
      </c>
      <c r="N41">
        <v>1009</v>
      </c>
      <c r="O41" t="s">
        <v>242</v>
      </c>
      <c r="P41" t="s">
        <v>242</v>
      </c>
      <c r="Q41">
        <v>1E-3</v>
      </c>
      <c r="X41">
        <v>2</v>
      </c>
      <c r="Y41">
        <v>7.0000000000000007E-2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28</v>
      </c>
      <c r="AG41">
        <v>0</v>
      </c>
      <c r="AH41">
        <v>2</v>
      </c>
      <c r="AI41">
        <v>55984053</v>
      </c>
      <c r="AJ41">
        <v>31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ROW(Source!A34)</f>
        <v>34</v>
      </c>
      <c r="B42">
        <v>55984059</v>
      </c>
      <c r="C42">
        <v>55984050</v>
      </c>
      <c r="D42">
        <v>55482233</v>
      </c>
      <c r="E42">
        <v>1</v>
      </c>
      <c r="F42">
        <v>1</v>
      </c>
      <c r="G42">
        <v>1081</v>
      </c>
      <c r="H42">
        <v>3</v>
      </c>
      <c r="I42" t="s">
        <v>249</v>
      </c>
      <c r="J42" t="s">
        <v>250</v>
      </c>
      <c r="K42" t="s">
        <v>251</v>
      </c>
      <c r="L42">
        <v>1346</v>
      </c>
      <c r="N42">
        <v>1009</v>
      </c>
      <c r="O42" t="s">
        <v>252</v>
      </c>
      <c r="P42" t="s">
        <v>252</v>
      </c>
      <c r="Q42">
        <v>1</v>
      </c>
      <c r="X42">
        <v>6.0000000000000001E-3</v>
      </c>
      <c r="Y42">
        <v>493.08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28</v>
      </c>
      <c r="AG42">
        <v>0</v>
      </c>
      <c r="AH42">
        <v>2</v>
      </c>
      <c r="AI42">
        <v>55984054</v>
      </c>
      <c r="AJ42">
        <v>32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ROW(Source!A34)</f>
        <v>34</v>
      </c>
      <c r="B43">
        <v>55984060</v>
      </c>
      <c r="C43">
        <v>55984050</v>
      </c>
      <c r="D43">
        <v>55487942</v>
      </c>
      <c r="E43">
        <v>1</v>
      </c>
      <c r="F43">
        <v>1</v>
      </c>
      <c r="G43">
        <v>1081</v>
      </c>
      <c r="H43">
        <v>3</v>
      </c>
      <c r="I43" t="s">
        <v>253</v>
      </c>
      <c r="J43" t="s">
        <v>254</v>
      </c>
      <c r="K43" t="s">
        <v>255</v>
      </c>
      <c r="L43">
        <v>1303</v>
      </c>
      <c r="N43">
        <v>1003</v>
      </c>
      <c r="O43" t="s">
        <v>256</v>
      </c>
      <c r="P43" t="s">
        <v>256</v>
      </c>
      <c r="Q43">
        <v>1000</v>
      </c>
      <c r="X43">
        <v>0.06</v>
      </c>
      <c r="Y43">
        <v>516.63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28</v>
      </c>
      <c r="AG43">
        <v>0</v>
      </c>
      <c r="AH43">
        <v>2</v>
      </c>
      <c r="AI43">
        <v>55984055</v>
      </c>
      <c r="AJ43">
        <v>33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ROW(Source!A34)</f>
        <v>34</v>
      </c>
      <c r="B44">
        <v>55984061</v>
      </c>
      <c r="C44">
        <v>55984050</v>
      </c>
      <c r="D44">
        <v>55448092</v>
      </c>
      <c r="E44">
        <v>1081</v>
      </c>
      <c r="F44">
        <v>1</v>
      </c>
      <c r="G44">
        <v>1081</v>
      </c>
      <c r="H44">
        <v>3</v>
      </c>
      <c r="I44" t="s">
        <v>324</v>
      </c>
      <c r="J44" t="s">
        <v>3</v>
      </c>
      <c r="K44" t="s">
        <v>325</v>
      </c>
      <c r="L44">
        <v>1346</v>
      </c>
      <c r="N44">
        <v>1009</v>
      </c>
      <c r="O44" t="s">
        <v>252</v>
      </c>
      <c r="P44" t="s">
        <v>252</v>
      </c>
      <c r="Q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28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ROW(Source!A34)</f>
        <v>34</v>
      </c>
      <c r="B45">
        <v>55984062</v>
      </c>
      <c r="C45">
        <v>55984050</v>
      </c>
      <c r="D45">
        <v>55448129</v>
      </c>
      <c r="E45">
        <v>1081</v>
      </c>
      <c r="F45">
        <v>1</v>
      </c>
      <c r="G45">
        <v>1081</v>
      </c>
      <c r="H45">
        <v>3</v>
      </c>
      <c r="I45" t="s">
        <v>326</v>
      </c>
      <c r="J45" t="s">
        <v>3</v>
      </c>
      <c r="K45" t="s">
        <v>327</v>
      </c>
      <c r="L45">
        <v>1354</v>
      </c>
      <c r="N45">
        <v>1010</v>
      </c>
      <c r="O45" t="s">
        <v>293</v>
      </c>
      <c r="P45" t="s">
        <v>293</v>
      </c>
      <c r="Q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28</v>
      </c>
      <c r="AG45">
        <v>0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ROW(Source!A35)</f>
        <v>35</v>
      </c>
      <c r="B46">
        <v>55984056</v>
      </c>
      <c r="C46">
        <v>55984050</v>
      </c>
      <c r="D46">
        <v>55424304</v>
      </c>
      <c r="E46">
        <v>1081</v>
      </c>
      <c r="F46">
        <v>1</v>
      </c>
      <c r="G46">
        <v>1081</v>
      </c>
      <c r="H46">
        <v>1</v>
      </c>
      <c r="I46" t="s">
        <v>221</v>
      </c>
      <c r="J46" t="s">
        <v>3</v>
      </c>
      <c r="K46" t="s">
        <v>222</v>
      </c>
      <c r="L46">
        <v>1191</v>
      </c>
      <c r="N46">
        <v>1013</v>
      </c>
      <c r="O46" t="s">
        <v>223</v>
      </c>
      <c r="P46" t="s">
        <v>223</v>
      </c>
      <c r="Q46">
        <v>1</v>
      </c>
      <c r="X46">
        <v>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29</v>
      </c>
      <c r="AG46">
        <v>2.52</v>
      </c>
      <c r="AH46">
        <v>2</v>
      </c>
      <c r="AI46">
        <v>55984051</v>
      </c>
      <c r="AJ46">
        <v>34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ROW(Source!A35)</f>
        <v>35</v>
      </c>
      <c r="B47">
        <v>55984057</v>
      </c>
      <c r="C47">
        <v>55984050</v>
      </c>
      <c r="D47">
        <v>55459793</v>
      </c>
      <c r="E47">
        <v>1</v>
      </c>
      <c r="F47">
        <v>1</v>
      </c>
      <c r="G47">
        <v>1081</v>
      </c>
      <c r="H47">
        <v>3</v>
      </c>
      <c r="I47" t="s">
        <v>233</v>
      </c>
      <c r="J47" t="s">
        <v>234</v>
      </c>
      <c r="K47" t="s">
        <v>235</v>
      </c>
      <c r="L47">
        <v>1348</v>
      </c>
      <c r="N47">
        <v>1009</v>
      </c>
      <c r="O47" t="s">
        <v>232</v>
      </c>
      <c r="P47" t="s">
        <v>232</v>
      </c>
      <c r="Q47">
        <v>1000</v>
      </c>
      <c r="X47">
        <v>1.2E-5</v>
      </c>
      <c r="Y47">
        <v>64123.05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28</v>
      </c>
      <c r="AG47">
        <v>0</v>
      </c>
      <c r="AH47">
        <v>2</v>
      </c>
      <c r="AI47">
        <v>55984052</v>
      </c>
      <c r="AJ47">
        <v>35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ROW(Source!A35)</f>
        <v>35</v>
      </c>
      <c r="B48">
        <v>55984058</v>
      </c>
      <c r="C48">
        <v>55984050</v>
      </c>
      <c r="D48">
        <v>55466338</v>
      </c>
      <c r="E48">
        <v>1</v>
      </c>
      <c r="F48">
        <v>1</v>
      </c>
      <c r="G48">
        <v>1081</v>
      </c>
      <c r="H48">
        <v>3</v>
      </c>
      <c r="I48" t="s">
        <v>239</v>
      </c>
      <c r="J48" t="s">
        <v>240</v>
      </c>
      <c r="K48" t="s">
        <v>241</v>
      </c>
      <c r="L48">
        <v>1349</v>
      </c>
      <c r="N48">
        <v>1009</v>
      </c>
      <c r="O48" t="s">
        <v>242</v>
      </c>
      <c r="P48" t="s">
        <v>242</v>
      </c>
      <c r="Q48">
        <v>1E-3</v>
      </c>
      <c r="X48">
        <v>2</v>
      </c>
      <c r="Y48">
        <v>7.0000000000000007E-2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28</v>
      </c>
      <c r="AG48">
        <v>0</v>
      </c>
      <c r="AH48">
        <v>2</v>
      </c>
      <c r="AI48">
        <v>55984053</v>
      </c>
      <c r="AJ48">
        <v>36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ROW(Source!A35)</f>
        <v>35</v>
      </c>
      <c r="B49">
        <v>55984059</v>
      </c>
      <c r="C49">
        <v>55984050</v>
      </c>
      <c r="D49">
        <v>55482233</v>
      </c>
      <c r="E49">
        <v>1</v>
      </c>
      <c r="F49">
        <v>1</v>
      </c>
      <c r="G49">
        <v>1081</v>
      </c>
      <c r="H49">
        <v>3</v>
      </c>
      <c r="I49" t="s">
        <v>249</v>
      </c>
      <c r="J49" t="s">
        <v>250</v>
      </c>
      <c r="K49" t="s">
        <v>251</v>
      </c>
      <c r="L49">
        <v>1346</v>
      </c>
      <c r="N49">
        <v>1009</v>
      </c>
      <c r="O49" t="s">
        <v>252</v>
      </c>
      <c r="P49" t="s">
        <v>252</v>
      </c>
      <c r="Q49">
        <v>1</v>
      </c>
      <c r="X49">
        <v>6.0000000000000001E-3</v>
      </c>
      <c r="Y49">
        <v>493.08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28</v>
      </c>
      <c r="AG49">
        <v>0</v>
      </c>
      <c r="AH49">
        <v>2</v>
      </c>
      <c r="AI49">
        <v>55984054</v>
      </c>
      <c r="AJ49">
        <v>37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ROW(Source!A35)</f>
        <v>35</v>
      </c>
      <c r="B50">
        <v>55984060</v>
      </c>
      <c r="C50">
        <v>55984050</v>
      </c>
      <c r="D50">
        <v>55487942</v>
      </c>
      <c r="E50">
        <v>1</v>
      </c>
      <c r="F50">
        <v>1</v>
      </c>
      <c r="G50">
        <v>1081</v>
      </c>
      <c r="H50">
        <v>3</v>
      </c>
      <c r="I50" t="s">
        <v>253</v>
      </c>
      <c r="J50" t="s">
        <v>254</v>
      </c>
      <c r="K50" t="s">
        <v>255</v>
      </c>
      <c r="L50">
        <v>1303</v>
      </c>
      <c r="N50">
        <v>1003</v>
      </c>
      <c r="O50" t="s">
        <v>256</v>
      </c>
      <c r="P50" t="s">
        <v>256</v>
      </c>
      <c r="Q50">
        <v>1000</v>
      </c>
      <c r="X50">
        <v>0.06</v>
      </c>
      <c r="Y50">
        <v>516.63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28</v>
      </c>
      <c r="AG50">
        <v>0</v>
      </c>
      <c r="AH50">
        <v>2</v>
      </c>
      <c r="AI50">
        <v>55984055</v>
      </c>
      <c r="AJ50">
        <v>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ROW(Source!A35)</f>
        <v>35</v>
      </c>
      <c r="B51">
        <v>55984061</v>
      </c>
      <c r="C51">
        <v>55984050</v>
      </c>
      <c r="D51">
        <v>55448092</v>
      </c>
      <c r="E51">
        <v>1081</v>
      </c>
      <c r="F51">
        <v>1</v>
      </c>
      <c r="G51">
        <v>1081</v>
      </c>
      <c r="H51">
        <v>3</v>
      </c>
      <c r="I51" t="s">
        <v>324</v>
      </c>
      <c r="J51" t="s">
        <v>3</v>
      </c>
      <c r="K51" t="s">
        <v>325</v>
      </c>
      <c r="L51">
        <v>1346</v>
      </c>
      <c r="N51">
        <v>1009</v>
      </c>
      <c r="O51" t="s">
        <v>252</v>
      </c>
      <c r="P51" t="s">
        <v>252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28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ROW(Source!A35)</f>
        <v>35</v>
      </c>
      <c r="B52">
        <v>55984062</v>
      </c>
      <c r="C52">
        <v>55984050</v>
      </c>
      <c r="D52">
        <v>55448129</v>
      </c>
      <c r="E52">
        <v>1081</v>
      </c>
      <c r="F52">
        <v>1</v>
      </c>
      <c r="G52">
        <v>1081</v>
      </c>
      <c r="H52">
        <v>3</v>
      </c>
      <c r="I52" t="s">
        <v>326</v>
      </c>
      <c r="J52" t="s">
        <v>3</v>
      </c>
      <c r="K52" t="s">
        <v>327</v>
      </c>
      <c r="L52">
        <v>1354</v>
      </c>
      <c r="N52">
        <v>1010</v>
      </c>
      <c r="O52" t="s">
        <v>293</v>
      </c>
      <c r="P52" t="s">
        <v>293</v>
      </c>
      <c r="Q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28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ROW(Source!A36)</f>
        <v>36</v>
      </c>
      <c r="B53">
        <v>55984079</v>
      </c>
      <c r="C53">
        <v>55984063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221</v>
      </c>
      <c r="J53" t="s">
        <v>3</v>
      </c>
      <c r="K53" t="s">
        <v>222</v>
      </c>
      <c r="L53">
        <v>1191</v>
      </c>
      <c r="N53">
        <v>1013</v>
      </c>
      <c r="O53" t="s">
        <v>223</v>
      </c>
      <c r="P53" t="s">
        <v>223</v>
      </c>
      <c r="Q53">
        <v>1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29</v>
      </c>
      <c r="AG53">
        <v>1.0799999999999998</v>
      </c>
      <c r="AH53">
        <v>2</v>
      </c>
      <c r="AI53">
        <v>55984064</v>
      </c>
      <c r="AJ53">
        <v>39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ROW(Source!A36)</f>
        <v>36</v>
      </c>
      <c r="B54">
        <v>55984080</v>
      </c>
      <c r="C54">
        <v>55984063</v>
      </c>
      <c r="D54">
        <v>55459894</v>
      </c>
      <c r="E54">
        <v>1</v>
      </c>
      <c r="F54">
        <v>1</v>
      </c>
      <c r="G54">
        <v>1081</v>
      </c>
      <c r="H54">
        <v>3</v>
      </c>
      <c r="I54" t="s">
        <v>257</v>
      </c>
      <c r="J54" t="s">
        <v>258</v>
      </c>
      <c r="K54" t="s">
        <v>259</v>
      </c>
      <c r="L54">
        <v>1348</v>
      </c>
      <c r="N54">
        <v>1009</v>
      </c>
      <c r="O54" t="s">
        <v>232</v>
      </c>
      <c r="P54" t="s">
        <v>232</v>
      </c>
      <c r="Q54">
        <v>1000</v>
      </c>
      <c r="X54">
        <v>1E-3</v>
      </c>
      <c r="Y54">
        <v>15319.65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28</v>
      </c>
      <c r="AG54">
        <v>0</v>
      </c>
      <c r="AH54">
        <v>2</v>
      </c>
      <c r="AI54">
        <v>55984065</v>
      </c>
      <c r="AJ54">
        <v>40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ROW(Source!A36)</f>
        <v>36</v>
      </c>
      <c r="B55">
        <v>55984081</v>
      </c>
      <c r="C55">
        <v>55984063</v>
      </c>
      <c r="D55">
        <v>55459261</v>
      </c>
      <c r="E55">
        <v>1</v>
      </c>
      <c r="F55">
        <v>1</v>
      </c>
      <c r="G55">
        <v>1081</v>
      </c>
      <c r="H55">
        <v>3</v>
      </c>
      <c r="I55" t="s">
        <v>260</v>
      </c>
      <c r="J55" t="s">
        <v>261</v>
      </c>
      <c r="K55" t="s">
        <v>262</v>
      </c>
      <c r="L55">
        <v>1348</v>
      </c>
      <c r="N55">
        <v>1009</v>
      </c>
      <c r="O55" t="s">
        <v>232</v>
      </c>
      <c r="P55" t="s">
        <v>232</v>
      </c>
      <c r="Q55">
        <v>1000</v>
      </c>
      <c r="X55">
        <v>5.0000000000000002E-5</v>
      </c>
      <c r="Y55">
        <v>1219.68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28</v>
      </c>
      <c r="AG55">
        <v>0</v>
      </c>
      <c r="AH55">
        <v>2</v>
      </c>
      <c r="AI55">
        <v>55984066</v>
      </c>
      <c r="AJ55">
        <v>41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ROW(Source!A36)</f>
        <v>36</v>
      </c>
      <c r="B56">
        <v>55984082</v>
      </c>
      <c r="C56">
        <v>55984063</v>
      </c>
      <c r="D56">
        <v>55460328</v>
      </c>
      <c r="E56">
        <v>1</v>
      </c>
      <c r="F56">
        <v>1</v>
      </c>
      <c r="G56">
        <v>1081</v>
      </c>
      <c r="H56">
        <v>3</v>
      </c>
      <c r="I56" t="s">
        <v>263</v>
      </c>
      <c r="J56" t="s">
        <v>264</v>
      </c>
      <c r="K56" t="s">
        <v>265</v>
      </c>
      <c r="L56">
        <v>1301</v>
      </c>
      <c r="N56">
        <v>1003</v>
      </c>
      <c r="O56" t="s">
        <v>266</v>
      </c>
      <c r="P56" t="s">
        <v>266</v>
      </c>
      <c r="Q56">
        <v>1</v>
      </c>
      <c r="X56">
        <v>5</v>
      </c>
      <c r="Y56">
        <v>0.39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28</v>
      </c>
      <c r="AG56">
        <v>0</v>
      </c>
      <c r="AH56">
        <v>2</v>
      </c>
      <c r="AI56">
        <v>55984067</v>
      </c>
      <c r="AJ56">
        <v>42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ROW(Source!A36)</f>
        <v>36</v>
      </c>
      <c r="B57">
        <v>55984083</v>
      </c>
      <c r="C57">
        <v>55984063</v>
      </c>
      <c r="D57">
        <v>55459312</v>
      </c>
      <c r="E57">
        <v>1</v>
      </c>
      <c r="F57">
        <v>1</v>
      </c>
      <c r="G57">
        <v>1081</v>
      </c>
      <c r="H57">
        <v>3</v>
      </c>
      <c r="I57" t="s">
        <v>267</v>
      </c>
      <c r="J57" t="s">
        <v>268</v>
      </c>
      <c r="K57" t="s">
        <v>269</v>
      </c>
      <c r="L57">
        <v>1339</v>
      </c>
      <c r="N57">
        <v>1007</v>
      </c>
      <c r="O57" t="s">
        <v>270</v>
      </c>
      <c r="P57" t="s">
        <v>270</v>
      </c>
      <c r="Q57">
        <v>1</v>
      </c>
      <c r="X57">
        <v>1E-3</v>
      </c>
      <c r="Y57">
        <v>1176.3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28</v>
      </c>
      <c r="AG57">
        <v>0</v>
      </c>
      <c r="AH57">
        <v>2</v>
      </c>
      <c r="AI57">
        <v>55984068</v>
      </c>
      <c r="AJ57">
        <v>43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ROW(Source!A36)</f>
        <v>36</v>
      </c>
      <c r="B58">
        <v>55984084</v>
      </c>
      <c r="C58">
        <v>55984063</v>
      </c>
      <c r="D58">
        <v>55461230</v>
      </c>
      <c r="E58">
        <v>1</v>
      </c>
      <c r="F58">
        <v>1</v>
      </c>
      <c r="G58">
        <v>1081</v>
      </c>
      <c r="H58">
        <v>3</v>
      </c>
      <c r="I58" t="s">
        <v>271</v>
      </c>
      <c r="J58" t="s">
        <v>272</v>
      </c>
      <c r="K58" t="s">
        <v>273</v>
      </c>
      <c r="L58">
        <v>1346</v>
      </c>
      <c r="N58">
        <v>1009</v>
      </c>
      <c r="O58" t="s">
        <v>252</v>
      </c>
      <c r="P58" t="s">
        <v>252</v>
      </c>
      <c r="Q58">
        <v>1</v>
      </c>
      <c r="X58">
        <v>0.01</v>
      </c>
      <c r="Y58">
        <v>15.11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28</v>
      </c>
      <c r="AG58">
        <v>0</v>
      </c>
      <c r="AH58">
        <v>2</v>
      </c>
      <c r="AI58">
        <v>55984069</v>
      </c>
      <c r="AJ58">
        <v>44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ROW(Source!A36)</f>
        <v>36</v>
      </c>
      <c r="B59">
        <v>55984085</v>
      </c>
      <c r="C59">
        <v>55984063</v>
      </c>
      <c r="D59">
        <v>55459400</v>
      </c>
      <c r="E59">
        <v>1</v>
      </c>
      <c r="F59">
        <v>1</v>
      </c>
      <c r="G59">
        <v>1081</v>
      </c>
      <c r="H59">
        <v>3</v>
      </c>
      <c r="I59" t="s">
        <v>274</v>
      </c>
      <c r="J59" t="s">
        <v>275</v>
      </c>
      <c r="K59" t="s">
        <v>276</v>
      </c>
      <c r="L59">
        <v>1346</v>
      </c>
      <c r="N59">
        <v>1009</v>
      </c>
      <c r="O59" t="s">
        <v>252</v>
      </c>
      <c r="P59" t="s">
        <v>252</v>
      </c>
      <c r="Q59">
        <v>1</v>
      </c>
      <c r="X59">
        <v>0.01</v>
      </c>
      <c r="Y59">
        <v>16.690000000000001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28</v>
      </c>
      <c r="AG59">
        <v>0</v>
      </c>
      <c r="AH59">
        <v>2</v>
      </c>
      <c r="AI59">
        <v>55984070</v>
      </c>
      <c r="AJ59">
        <v>45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ROW(Source!A36)</f>
        <v>36</v>
      </c>
      <c r="B60">
        <v>55984086</v>
      </c>
      <c r="C60">
        <v>55984063</v>
      </c>
      <c r="D60">
        <v>55461719</v>
      </c>
      <c r="E60">
        <v>1</v>
      </c>
      <c r="F60">
        <v>1</v>
      </c>
      <c r="G60">
        <v>1081</v>
      </c>
      <c r="H60">
        <v>3</v>
      </c>
      <c r="I60" t="s">
        <v>229</v>
      </c>
      <c r="J60" t="s">
        <v>230</v>
      </c>
      <c r="K60" t="s">
        <v>231</v>
      </c>
      <c r="L60">
        <v>1348</v>
      </c>
      <c r="N60">
        <v>1009</v>
      </c>
      <c r="O60" t="s">
        <v>232</v>
      </c>
      <c r="P60" t="s">
        <v>232</v>
      </c>
      <c r="Q60">
        <v>1000</v>
      </c>
      <c r="X60">
        <v>1E-4</v>
      </c>
      <c r="Y60">
        <v>10643.18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28</v>
      </c>
      <c r="AG60">
        <v>0</v>
      </c>
      <c r="AH60">
        <v>2</v>
      </c>
      <c r="AI60">
        <v>55984071</v>
      </c>
      <c r="AJ60">
        <v>46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ROW(Source!A36)</f>
        <v>36</v>
      </c>
      <c r="B61">
        <v>55984087</v>
      </c>
      <c r="C61">
        <v>55984063</v>
      </c>
      <c r="D61">
        <v>55466000</v>
      </c>
      <c r="E61">
        <v>1</v>
      </c>
      <c r="F61">
        <v>1</v>
      </c>
      <c r="G61">
        <v>1081</v>
      </c>
      <c r="H61">
        <v>3</v>
      </c>
      <c r="I61" t="s">
        <v>277</v>
      </c>
      <c r="J61" t="s">
        <v>278</v>
      </c>
      <c r="K61" t="s">
        <v>279</v>
      </c>
      <c r="L61">
        <v>1355</v>
      </c>
      <c r="N61">
        <v>1010</v>
      </c>
      <c r="O61" t="s">
        <v>280</v>
      </c>
      <c r="P61" t="s">
        <v>280</v>
      </c>
      <c r="Q61">
        <v>100</v>
      </c>
      <c r="X61">
        <v>0.01</v>
      </c>
      <c r="Y61">
        <v>120.19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28</v>
      </c>
      <c r="AG61">
        <v>0</v>
      </c>
      <c r="AH61">
        <v>2</v>
      </c>
      <c r="AI61">
        <v>55984072</v>
      </c>
      <c r="AJ61">
        <v>47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ROW(Source!A36)</f>
        <v>36</v>
      </c>
      <c r="B62">
        <v>55984088</v>
      </c>
      <c r="C62">
        <v>55984063</v>
      </c>
      <c r="D62">
        <v>55459793</v>
      </c>
      <c r="E62">
        <v>1</v>
      </c>
      <c r="F62">
        <v>1</v>
      </c>
      <c r="G62">
        <v>1081</v>
      </c>
      <c r="H62">
        <v>3</v>
      </c>
      <c r="I62" t="s">
        <v>233</v>
      </c>
      <c r="J62" t="s">
        <v>234</v>
      </c>
      <c r="K62" t="s">
        <v>235</v>
      </c>
      <c r="L62">
        <v>1348</v>
      </c>
      <c r="N62">
        <v>1009</v>
      </c>
      <c r="O62" t="s">
        <v>232</v>
      </c>
      <c r="P62" t="s">
        <v>232</v>
      </c>
      <c r="Q62">
        <v>1000</v>
      </c>
      <c r="X62">
        <v>2.0000000000000002E-5</v>
      </c>
      <c r="Y62">
        <v>64123.05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28</v>
      </c>
      <c r="AG62">
        <v>0</v>
      </c>
      <c r="AH62">
        <v>2</v>
      </c>
      <c r="AI62">
        <v>55984073</v>
      </c>
      <c r="AJ62">
        <v>48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ROW(Source!A36)</f>
        <v>36</v>
      </c>
      <c r="B63">
        <v>55984089</v>
      </c>
      <c r="C63">
        <v>55984063</v>
      </c>
      <c r="D63">
        <v>55459810</v>
      </c>
      <c r="E63">
        <v>1</v>
      </c>
      <c r="F63">
        <v>1</v>
      </c>
      <c r="G63">
        <v>1081</v>
      </c>
      <c r="H63">
        <v>3</v>
      </c>
      <c r="I63" t="s">
        <v>281</v>
      </c>
      <c r="J63" t="s">
        <v>282</v>
      </c>
      <c r="K63" t="s">
        <v>283</v>
      </c>
      <c r="L63">
        <v>1348</v>
      </c>
      <c r="N63">
        <v>1009</v>
      </c>
      <c r="O63" t="s">
        <v>232</v>
      </c>
      <c r="P63" t="s">
        <v>232</v>
      </c>
      <c r="Q63">
        <v>1000</v>
      </c>
      <c r="X63">
        <v>1E-4</v>
      </c>
      <c r="Y63">
        <v>9238.1299999999992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28</v>
      </c>
      <c r="AG63">
        <v>0</v>
      </c>
      <c r="AH63">
        <v>2</v>
      </c>
      <c r="AI63">
        <v>55984074</v>
      </c>
      <c r="AJ63">
        <v>49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ROW(Source!A36)</f>
        <v>36</v>
      </c>
      <c r="B64">
        <v>55984090</v>
      </c>
      <c r="C64">
        <v>55984063</v>
      </c>
      <c r="D64">
        <v>55482166</v>
      </c>
      <c r="E64">
        <v>1</v>
      </c>
      <c r="F64">
        <v>1</v>
      </c>
      <c r="G64">
        <v>1081</v>
      </c>
      <c r="H64">
        <v>3</v>
      </c>
      <c r="I64" t="s">
        <v>284</v>
      </c>
      <c r="J64" t="s">
        <v>285</v>
      </c>
      <c r="K64" t="s">
        <v>286</v>
      </c>
      <c r="L64">
        <v>1301</v>
      </c>
      <c r="N64">
        <v>1003</v>
      </c>
      <c r="O64" t="s">
        <v>266</v>
      </c>
      <c r="P64" t="s">
        <v>266</v>
      </c>
      <c r="Q64">
        <v>1</v>
      </c>
      <c r="X64">
        <v>1</v>
      </c>
      <c r="Y64">
        <v>0.69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28</v>
      </c>
      <c r="AG64">
        <v>0</v>
      </c>
      <c r="AH64">
        <v>2</v>
      </c>
      <c r="AI64">
        <v>55984075</v>
      </c>
      <c r="AJ64">
        <v>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ROW(Source!A36)</f>
        <v>36</v>
      </c>
      <c r="B65">
        <v>55984091</v>
      </c>
      <c r="C65">
        <v>55984063</v>
      </c>
      <c r="D65">
        <v>55482445</v>
      </c>
      <c r="E65">
        <v>1</v>
      </c>
      <c r="F65">
        <v>1</v>
      </c>
      <c r="G65">
        <v>1081</v>
      </c>
      <c r="H65">
        <v>3</v>
      </c>
      <c r="I65" t="s">
        <v>287</v>
      </c>
      <c r="J65" t="s">
        <v>288</v>
      </c>
      <c r="K65" t="s">
        <v>289</v>
      </c>
      <c r="L65">
        <v>1356</v>
      </c>
      <c r="N65">
        <v>1010</v>
      </c>
      <c r="O65" t="s">
        <v>246</v>
      </c>
      <c r="P65" t="s">
        <v>246</v>
      </c>
      <c r="Q65">
        <v>1000</v>
      </c>
      <c r="X65">
        <v>0.01</v>
      </c>
      <c r="Y65">
        <v>294.89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28</v>
      </c>
      <c r="AG65">
        <v>0</v>
      </c>
      <c r="AH65">
        <v>2</v>
      </c>
      <c r="AI65">
        <v>55984076</v>
      </c>
      <c r="AJ65">
        <v>51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ROW(Source!A36)</f>
        <v>36</v>
      </c>
      <c r="B66">
        <v>55984092</v>
      </c>
      <c r="C66">
        <v>55984063</v>
      </c>
      <c r="D66">
        <v>55481518</v>
      </c>
      <c r="E66">
        <v>1</v>
      </c>
      <c r="F66">
        <v>1</v>
      </c>
      <c r="G66">
        <v>1081</v>
      </c>
      <c r="H66">
        <v>3</v>
      </c>
      <c r="I66" t="s">
        <v>290</v>
      </c>
      <c r="J66" t="s">
        <v>291</v>
      </c>
      <c r="K66" t="s">
        <v>292</v>
      </c>
      <c r="L66">
        <v>1354</v>
      </c>
      <c r="N66">
        <v>1010</v>
      </c>
      <c r="O66" t="s">
        <v>293</v>
      </c>
      <c r="P66" t="s">
        <v>293</v>
      </c>
      <c r="Q66">
        <v>1</v>
      </c>
      <c r="X66">
        <v>1</v>
      </c>
      <c r="Y66">
        <v>15.67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28</v>
      </c>
      <c r="AG66">
        <v>0</v>
      </c>
      <c r="AH66">
        <v>2</v>
      </c>
      <c r="AI66">
        <v>55984077</v>
      </c>
      <c r="AJ66">
        <v>52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ROW(Source!A36)</f>
        <v>36</v>
      </c>
      <c r="B67">
        <v>55984093</v>
      </c>
      <c r="C67">
        <v>55984063</v>
      </c>
      <c r="D67">
        <v>55416982</v>
      </c>
      <c r="E67">
        <v>1081</v>
      </c>
      <c r="F67">
        <v>1</v>
      </c>
      <c r="G67">
        <v>1081</v>
      </c>
      <c r="H67">
        <v>3</v>
      </c>
      <c r="I67" t="s">
        <v>328</v>
      </c>
      <c r="J67" t="s">
        <v>3</v>
      </c>
      <c r="K67" t="s">
        <v>329</v>
      </c>
      <c r="L67">
        <v>1346</v>
      </c>
      <c r="N67">
        <v>1009</v>
      </c>
      <c r="O67" t="s">
        <v>252</v>
      </c>
      <c r="P67" t="s">
        <v>252</v>
      </c>
      <c r="Q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28</v>
      </c>
      <c r="AG67">
        <v>0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ROW(Source!A36)</f>
        <v>36</v>
      </c>
      <c r="B68">
        <v>55984094</v>
      </c>
      <c r="C68">
        <v>55984063</v>
      </c>
      <c r="D68">
        <v>55455661</v>
      </c>
      <c r="E68">
        <v>1081</v>
      </c>
      <c r="F68">
        <v>1</v>
      </c>
      <c r="G68">
        <v>1081</v>
      </c>
      <c r="H68">
        <v>3</v>
      </c>
      <c r="I68" t="s">
        <v>330</v>
      </c>
      <c r="J68" t="s">
        <v>3</v>
      </c>
      <c r="K68" t="s">
        <v>331</v>
      </c>
      <c r="L68">
        <v>1391</v>
      </c>
      <c r="N68">
        <v>1013</v>
      </c>
      <c r="O68" t="s">
        <v>142</v>
      </c>
      <c r="P68" t="s">
        <v>142</v>
      </c>
      <c r="Q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28</v>
      </c>
      <c r="AG68">
        <v>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ROW(Source!A36)</f>
        <v>36</v>
      </c>
      <c r="B69">
        <v>55984095</v>
      </c>
      <c r="C69">
        <v>55984063</v>
      </c>
      <c r="D69">
        <v>55424290</v>
      </c>
      <c r="E69">
        <v>1081</v>
      </c>
      <c r="F69">
        <v>1</v>
      </c>
      <c r="G69">
        <v>1081</v>
      </c>
      <c r="H69">
        <v>3</v>
      </c>
      <c r="I69" t="s">
        <v>247</v>
      </c>
      <c r="J69" t="s">
        <v>3</v>
      </c>
      <c r="K69" t="s">
        <v>248</v>
      </c>
      <c r="L69">
        <v>1348</v>
      </c>
      <c r="N69">
        <v>1009</v>
      </c>
      <c r="O69" t="s">
        <v>232</v>
      </c>
      <c r="P69" t="s">
        <v>232</v>
      </c>
      <c r="Q69">
        <v>1000</v>
      </c>
      <c r="X69">
        <v>1E-3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28</v>
      </c>
      <c r="AG69">
        <v>0</v>
      </c>
      <c r="AH69">
        <v>2</v>
      </c>
      <c r="AI69">
        <v>55984078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ROW(Source!A37)</f>
        <v>37</v>
      </c>
      <c r="B70">
        <v>55984079</v>
      </c>
      <c r="C70">
        <v>55984063</v>
      </c>
      <c r="D70">
        <v>55424304</v>
      </c>
      <c r="E70">
        <v>1081</v>
      </c>
      <c r="F70">
        <v>1</v>
      </c>
      <c r="G70">
        <v>1081</v>
      </c>
      <c r="H70">
        <v>1</v>
      </c>
      <c r="I70" t="s">
        <v>221</v>
      </c>
      <c r="J70" t="s">
        <v>3</v>
      </c>
      <c r="K70" t="s">
        <v>222</v>
      </c>
      <c r="L70">
        <v>1191</v>
      </c>
      <c r="N70">
        <v>1013</v>
      </c>
      <c r="O70" t="s">
        <v>223</v>
      </c>
      <c r="P70" t="s">
        <v>223</v>
      </c>
      <c r="Q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 t="s">
        <v>29</v>
      </c>
      <c r="AG70">
        <v>1.0799999999999998</v>
      </c>
      <c r="AH70">
        <v>2</v>
      </c>
      <c r="AI70">
        <v>55984064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ROW(Source!A37)</f>
        <v>37</v>
      </c>
      <c r="B71">
        <v>55984080</v>
      </c>
      <c r="C71">
        <v>55984063</v>
      </c>
      <c r="D71">
        <v>55459894</v>
      </c>
      <c r="E71">
        <v>1</v>
      </c>
      <c r="F71">
        <v>1</v>
      </c>
      <c r="G71">
        <v>1081</v>
      </c>
      <c r="H71">
        <v>3</v>
      </c>
      <c r="I71" t="s">
        <v>257</v>
      </c>
      <c r="J71" t="s">
        <v>258</v>
      </c>
      <c r="K71" t="s">
        <v>259</v>
      </c>
      <c r="L71">
        <v>1348</v>
      </c>
      <c r="N71">
        <v>1009</v>
      </c>
      <c r="O71" t="s">
        <v>232</v>
      </c>
      <c r="P71" t="s">
        <v>232</v>
      </c>
      <c r="Q71">
        <v>1000</v>
      </c>
      <c r="X71">
        <v>1E-3</v>
      </c>
      <c r="Y71">
        <v>15319.65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28</v>
      </c>
      <c r="AG71">
        <v>0</v>
      </c>
      <c r="AH71">
        <v>2</v>
      </c>
      <c r="AI71">
        <v>55984065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ROW(Source!A37)</f>
        <v>37</v>
      </c>
      <c r="B72">
        <v>55984081</v>
      </c>
      <c r="C72">
        <v>55984063</v>
      </c>
      <c r="D72">
        <v>55459261</v>
      </c>
      <c r="E72">
        <v>1</v>
      </c>
      <c r="F72">
        <v>1</v>
      </c>
      <c r="G72">
        <v>1081</v>
      </c>
      <c r="H72">
        <v>3</v>
      </c>
      <c r="I72" t="s">
        <v>260</v>
      </c>
      <c r="J72" t="s">
        <v>261</v>
      </c>
      <c r="K72" t="s">
        <v>262</v>
      </c>
      <c r="L72">
        <v>1348</v>
      </c>
      <c r="N72">
        <v>1009</v>
      </c>
      <c r="O72" t="s">
        <v>232</v>
      </c>
      <c r="P72" t="s">
        <v>232</v>
      </c>
      <c r="Q72">
        <v>1000</v>
      </c>
      <c r="X72">
        <v>5.0000000000000002E-5</v>
      </c>
      <c r="Y72">
        <v>1219.68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28</v>
      </c>
      <c r="AG72">
        <v>0</v>
      </c>
      <c r="AH72">
        <v>2</v>
      </c>
      <c r="AI72">
        <v>55984066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ROW(Source!A37)</f>
        <v>37</v>
      </c>
      <c r="B73">
        <v>55984082</v>
      </c>
      <c r="C73">
        <v>55984063</v>
      </c>
      <c r="D73">
        <v>55460328</v>
      </c>
      <c r="E73">
        <v>1</v>
      </c>
      <c r="F73">
        <v>1</v>
      </c>
      <c r="G73">
        <v>1081</v>
      </c>
      <c r="H73">
        <v>3</v>
      </c>
      <c r="I73" t="s">
        <v>263</v>
      </c>
      <c r="J73" t="s">
        <v>264</v>
      </c>
      <c r="K73" t="s">
        <v>265</v>
      </c>
      <c r="L73">
        <v>1301</v>
      </c>
      <c r="N73">
        <v>1003</v>
      </c>
      <c r="O73" t="s">
        <v>266</v>
      </c>
      <c r="P73" t="s">
        <v>266</v>
      </c>
      <c r="Q73">
        <v>1</v>
      </c>
      <c r="X73">
        <v>5</v>
      </c>
      <c r="Y73">
        <v>0.39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28</v>
      </c>
      <c r="AG73">
        <v>0</v>
      </c>
      <c r="AH73">
        <v>2</v>
      </c>
      <c r="AI73">
        <v>55984067</v>
      </c>
      <c r="AJ73">
        <v>57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ROW(Source!A37)</f>
        <v>37</v>
      </c>
      <c r="B74">
        <v>55984083</v>
      </c>
      <c r="C74">
        <v>55984063</v>
      </c>
      <c r="D74">
        <v>55459312</v>
      </c>
      <c r="E74">
        <v>1</v>
      </c>
      <c r="F74">
        <v>1</v>
      </c>
      <c r="G74">
        <v>1081</v>
      </c>
      <c r="H74">
        <v>3</v>
      </c>
      <c r="I74" t="s">
        <v>267</v>
      </c>
      <c r="J74" t="s">
        <v>268</v>
      </c>
      <c r="K74" t="s">
        <v>269</v>
      </c>
      <c r="L74">
        <v>1339</v>
      </c>
      <c r="N74">
        <v>1007</v>
      </c>
      <c r="O74" t="s">
        <v>270</v>
      </c>
      <c r="P74" t="s">
        <v>270</v>
      </c>
      <c r="Q74">
        <v>1</v>
      </c>
      <c r="X74">
        <v>1E-3</v>
      </c>
      <c r="Y74">
        <v>1176.3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28</v>
      </c>
      <c r="AG74">
        <v>0</v>
      </c>
      <c r="AH74">
        <v>2</v>
      </c>
      <c r="AI74">
        <v>55984068</v>
      </c>
      <c r="AJ74">
        <v>58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ROW(Source!A37)</f>
        <v>37</v>
      </c>
      <c r="B75">
        <v>55984084</v>
      </c>
      <c r="C75">
        <v>55984063</v>
      </c>
      <c r="D75">
        <v>55461230</v>
      </c>
      <c r="E75">
        <v>1</v>
      </c>
      <c r="F75">
        <v>1</v>
      </c>
      <c r="G75">
        <v>1081</v>
      </c>
      <c r="H75">
        <v>3</v>
      </c>
      <c r="I75" t="s">
        <v>271</v>
      </c>
      <c r="J75" t="s">
        <v>272</v>
      </c>
      <c r="K75" t="s">
        <v>273</v>
      </c>
      <c r="L75">
        <v>1346</v>
      </c>
      <c r="N75">
        <v>1009</v>
      </c>
      <c r="O75" t="s">
        <v>252</v>
      </c>
      <c r="P75" t="s">
        <v>252</v>
      </c>
      <c r="Q75">
        <v>1</v>
      </c>
      <c r="X75">
        <v>0.01</v>
      </c>
      <c r="Y75">
        <v>15.11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28</v>
      </c>
      <c r="AG75">
        <v>0</v>
      </c>
      <c r="AH75">
        <v>2</v>
      </c>
      <c r="AI75">
        <v>55984069</v>
      </c>
      <c r="AJ75">
        <v>59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ROW(Source!A37)</f>
        <v>37</v>
      </c>
      <c r="B76">
        <v>55984085</v>
      </c>
      <c r="C76">
        <v>55984063</v>
      </c>
      <c r="D76">
        <v>55459400</v>
      </c>
      <c r="E76">
        <v>1</v>
      </c>
      <c r="F76">
        <v>1</v>
      </c>
      <c r="G76">
        <v>1081</v>
      </c>
      <c r="H76">
        <v>3</v>
      </c>
      <c r="I76" t="s">
        <v>274</v>
      </c>
      <c r="J76" t="s">
        <v>275</v>
      </c>
      <c r="K76" t="s">
        <v>276</v>
      </c>
      <c r="L76">
        <v>1346</v>
      </c>
      <c r="N76">
        <v>1009</v>
      </c>
      <c r="O76" t="s">
        <v>252</v>
      </c>
      <c r="P76" t="s">
        <v>252</v>
      </c>
      <c r="Q76">
        <v>1</v>
      </c>
      <c r="X76">
        <v>0.01</v>
      </c>
      <c r="Y76">
        <v>16.690000000000001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28</v>
      </c>
      <c r="AG76">
        <v>0</v>
      </c>
      <c r="AH76">
        <v>2</v>
      </c>
      <c r="AI76">
        <v>55984070</v>
      </c>
      <c r="AJ76">
        <v>60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ROW(Source!A37)</f>
        <v>37</v>
      </c>
      <c r="B77">
        <v>55984086</v>
      </c>
      <c r="C77">
        <v>55984063</v>
      </c>
      <c r="D77">
        <v>55461719</v>
      </c>
      <c r="E77">
        <v>1</v>
      </c>
      <c r="F77">
        <v>1</v>
      </c>
      <c r="G77">
        <v>1081</v>
      </c>
      <c r="H77">
        <v>3</v>
      </c>
      <c r="I77" t="s">
        <v>229</v>
      </c>
      <c r="J77" t="s">
        <v>230</v>
      </c>
      <c r="K77" t="s">
        <v>231</v>
      </c>
      <c r="L77">
        <v>1348</v>
      </c>
      <c r="N77">
        <v>1009</v>
      </c>
      <c r="O77" t="s">
        <v>232</v>
      </c>
      <c r="P77" t="s">
        <v>232</v>
      </c>
      <c r="Q77">
        <v>1000</v>
      </c>
      <c r="X77">
        <v>1E-4</v>
      </c>
      <c r="Y77">
        <v>10643.18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28</v>
      </c>
      <c r="AG77">
        <v>0</v>
      </c>
      <c r="AH77">
        <v>2</v>
      </c>
      <c r="AI77">
        <v>55984071</v>
      </c>
      <c r="AJ77">
        <v>61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ROW(Source!A37)</f>
        <v>37</v>
      </c>
      <c r="B78">
        <v>55984087</v>
      </c>
      <c r="C78">
        <v>55984063</v>
      </c>
      <c r="D78">
        <v>55466000</v>
      </c>
      <c r="E78">
        <v>1</v>
      </c>
      <c r="F78">
        <v>1</v>
      </c>
      <c r="G78">
        <v>1081</v>
      </c>
      <c r="H78">
        <v>3</v>
      </c>
      <c r="I78" t="s">
        <v>277</v>
      </c>
      <c r="J78" t="s">
        <v>278</v>
      </c>
      <c r="K78" t="s">
        <v>279</v>
      </c>
      <c r="L78">
        <v>1355</v>
      </c>
      <c r="N78">
        <v>1010</v>
      </c>
      <c r="O78" t="s">
        <v>280</v>
      </c>
      <c r="P78" t="s">
        <v>280</v>
      </c>
      <c r="Q78">
        <v>100</v>
      </c>
      <c r="X78">
        <v>0.01</v>
      </c>
      <c r="Y78">
        <v>120.19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28</v>
      </c>
      <c r="AG78">
        <v>0</v>
      </c>
      <c r="AH78">
        <v>2</v>
      </c>
      <c r="AI78">
        <v>55984072</v>
      </c>
      <c r="AJ78">
        <v>62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ROW(Source!A37)</f>
        <v>37</v>
      </c>
      <c r="B79">
        <v>55984088</v>
      </c>
      <c r="C79">
        <v>55984063</v>
      </c>
      <c r="D79">
        <v>55459793</v>
      </c>
      <c r="E79">
        <v>1</v>
      </c>
      <c r="F79">
        <v>1</v>
      </c>
      <c r="G79">
        <v>1081</v>
      </c>
      <c r="H79">
        <v>3</v>
      </c>
      <c r="I79" t="s">
        <v>233</v>
      </c>
      <c r="J79" t="s">
        <v>234</v>
      </c>
      <c r="K79" t="s">
        <v>235</v>
      </c>
      <c r="L79">
        <v>1348</v>
      </c>
      <c r="N79">
        <v>1009</v>
      </c>
      <c r="O79" t="s">
        <v>232</v>
      </c>
      <c r="P79" t="s">
        <v>232</v>
      </c>
      <c r="Q79">
        <v>1000</v>
      </c>
      <c r="X79">
        <v>2.0000000000000002E-5</v>
      </c>
      <c r="Y79">
        <v>64123.05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28</v>
      </c>
      <c r="AG79">
        <v>0</v>
      </c>
      <c r="AH79">
        <v>2</v>
      </c>
      <c r="AI79">
        <v>55984073</v>
      </c>
      <c r="AJ79">
        <v>63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ROW(Source!A37)</f>
        <v>37</v>
      </c>
      <c r="B80">
        <v>55984089</v>
      </c>
      <c r="C80">
        <v>55984063</v>
      </c>
      <c r="D80">
        <v>55459810</v>
      </c>
      <c r="E80">
        <v>1</v>
      </c>
      <c r="F80">
        <v>1</v>
      </c>
      <c r="G80">
        <v>1081</v>
      </c>
      <c r="H80">
        <v>3</v>
      </c>
      <c r="I80" t="s">
        <v>281</v>
      </c>
      <c r="J80" t="s">
        <v>282</v>
      </c>
      <c r="K80" t="s">
        <v>283</v>
      </c>
      <c r="L80">
        <v>1348</v>
      </c>
      <c r="N80">
        <v>1009</v>
      </c>
      <c r="O80" t="s">
        <v>232</v>
      </c>
      <c r="P80" t="s">
        <v>232</v>
      </c>
      <c r="Q80">
        <v>1000</v>
      </c>
      <c r="X80">
        <v>1E-4</v>
      </c>
      <c r="Y80">
        <v>9238.1299999999992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28</v>
      </c>
      <c r="AG80">
        <v>0</v>
      </c>
      <c r="AH80">
        <v>2</v>
      </c>
      <c r="AI80">
        <v>55984074</v>
      </c>
      <c r="AJ80">
        <v>64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ROW(Source!A37)</f>
        <v>37</v>
      </c>
      <c r="B81">
        <v>55984090</v>
      </c>
      <c r="C81">
        <v>55984063</v>
      </c>
      <c r="D81">
        <v>55482166</v>
      </c>
      <c r="E81">
        <v>1</v>
      </c>
      <c r="F81">
        <v>1</v>
      </c>
      <c r="G81">
        <v>1081</v>
      </c>
      <c r="H81">
        <v>3</v>
      </c>
      <c r="I81" t="s">
        <v>284</v>
      </c>
      <c r="J81" t="s">
        <v>285</v>
      </c>
      <c r="K81" t="s">
        <v>286</v>
      </c>
      <c r="L81">
        <v>1301</v>
      </c>
      <c r="N81">
        <v>1003</v>
      </c>
      <c r="O81" t="s">
        <v>266</v>
      </c>
      <c r="P81" t="s">
        <v>266</v>
      </c>
      <c r="Q81">
        <v>1</v>
      </c>
      <c r="X81">
        <v>1</v>
      </c>
      <c r="Y81">
        <v>0.69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28</v>
      </c>
      <c r="AG81">
        <v>0</v>
      </c>
      <c r="AH81">
        <v>2</v>
      </c>
      <c r="AI81">
        <v>55984075</v>
      </c>
      <c r="AJ81">
        <v>65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ROW(Source!A37)</f>
        <v>37</v>
      </c>
      <c r="B82">
        <v>55984091</v>
      </c>
      <c r="C82">
        <v>55984063</v>
      </c>
      <c r="D82">
        <v>55482445</v>
      </c>
      <c r="E82">
        <v>1</v>
      </c>
      <c r="F82">
        <v>1</v>
      </c>
      <c r="G82">
        <v>1081</v>
      </c>
      <c r="H82">
        <v>3</v>
      </c>
      <c r="I82" t="s">
        <v>287</v>
      </c>
      <c r="J82" t="s">
        <v>288</v>
      </c>
      <c r="K82" t="s">
        <v>289</v>
      </c>
      <c r="L82">
        <v>1356</v>
      </c>
      <c r="N82">
        <v>1010</v>
      </c>
      <c r="O82" t="s">
        <v>246</v>
      </c>
      <c r="P82" t="s">
        <v>246</v>
      </c>
      <c r="Q82">
        <v>1000</v>
      </c>
      <c r="X82">
        <v>0.01</v>
      </c>
      <c r="Y82">
        <v>294.89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28</v>
      </c>
      <c r="AG82">
        <v>0</v>
      </c>
      <c r="AH82">
        <v>2</v>
      </c>
      <c r="AI82">
        <v>55984076</v>
      </c>
      <c r="AJ82">
        <v>66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ROW(Source!A37)</f>
        <v>37</v>
      </c>
      <c r="B83">
        <v>55984092</v>
      </c>
      <c r="C83">
        <v>55984063</v>
      </c>
      <c r="D83">
        <v>55481518</v>
      </c>
      <c r="E83">
        <v>1</v>
      </c>
      <c r="F83">
        <v>1</v>
      </c>
      <c r="G83">
        <v>1081</v>
      </c>
      <c r="H83">
        <v>3</v>
      </c>
      <c r="I83" t="s">
        <v>290</v>
      </c>
      <c r="J83" t="s">
        <v>291</v>
      </c>
      <c r="K83" t="s">
        <v>292</v>
      </c>
      <c r="L83">
        <v>1354</v>
      </c>
      <c r="N83">
        <v>1010</v>
      </c>
      <c r="O83" t="s">
        <v>293</v>
      </c>
      <c r="P83" t="s">
        <v>293</v>
      </c>
      <c r="Q83">
        <v>1</v>
      </c>
      <c r="X83">
        <v>1</v>
      </c>
      <c r="Y83">
        <v>15.67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28</v>
      </c>
      <c r="AG83">
        <v>0</v>
      </c>
      <c r="AH83">
        <v>2</v>
      </c>
      <c r="AI83">
        <v>55984077</v>
      </c>
      <c r="AJ83">
        <v>67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ROW(Source!A37)</f>
        <v>37</v>
      </c>
      <c r="B84">
        <v>55984093</v>
      </c>
      <c r="C84">
        <v>55984063</v>
      </c>
      <c r="D84">
        <v>55416982</v>
      </c>
      <c r="E84">
        <v>1081</v>
      </c>
      <c r="F84">
        <v>1</v>
      </c>
      <c r="G84">
        <v>1081</v>
      </c>
      <c r="H84">
        <v>3</v>
      </c>
      <c r="I84" t="s">
        <v>328</v>
      </c>
      <c r="J84" t="s">
        <v>3</v>
      </c>
      <c r="K84" t="s">
        <v>329</v>
      </c>
      <c r="L84">
        <v>1346</v>
      </c>
      <c r="N84">
        <v>1009</v>
      </c>
      <c r="O84" t="s">
        <v>252</v>
      </c>
      <c r="P84" t="s">
        <v>252</v>
      </c>
      <c r="Q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28</v>
      </c>
      <c r="AG84">
        <v>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ROW(Source!A37)</f>
        <v>37</v>
      </c>
      <c r="B85">
        <v>55984094</v>
      </c>
      <c r="C85">
        <v>55984063</v>
      </c>
      <c r="D85">
        <v>55455661</v>
      </c>
      <c r="E85">
        <v>1081</v>
      </c>
      <c r="F85">
        <v>1</v>
      </c>
      <c r="G85">
        <v>1081</v>
      </c>
      <c r="H85">
        <v>3</v>
      </c>
      <c r="I85" t="s">
        <v>330</v>
      </c>
      <c r="J85" t="s">
        <v>3</v>
      </c>
      <c r="K85" t="s">
        <v>331</v>
      </c>
      <c r="L85">
        <v>1391</v>
      </c>
      <c r="N85">
        <v>1013</v>
      </c>
      <c r="O85" t="s">
        <v>142</v>
      </c>
      <c r="P85" t="s">
        <v>142</v>
      </c>
      <c r="Q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28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ROW(Source!A37)</f>
        <v>37</v>
      </c>
      <c r="B86">
        <v>55984095</v>
      </c>
      <c r="C86">
        <v>55984063</v>
      </c>
      <c r="D86">
        <v>55424290</v>
      </c>
      <c r="E86">
        <v>1081</v>
      </c>
      <c r="F86">
        <v>1</v>
      </c>
      <c r="G86">
        <v>1081</v>
      </c>
      <c r="H86">
        <v>3</v>
      </c>
      <c r="I86" t="s">
        <v>247</v>
      </c>
      <c r="J86" t="s">
        <v>3</v>
      </c>
      <c r="K86" t="s">
        <v>248</v>
      </c>
      <c r="L86">
        <v>1348</v>
      </c>
      <c r="N86">
        <v>1009</v>
      </c>
      <c r="O86" t="s">
        <v>232</v>
      </c>
      <c r="P86" t="s">
        <v>232</v>
      </c>
      <c r="Q86">
        <v>1000</v>
      </c>
      <c r="X86">
        <v>1E-3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28</v>
      </c>
      <c r="AG86">
        <v>0</v>
      </c>
      <c r="AH86">
        <v>2</v>
      </c>
      <c r="AI86">
        <v>55984078</v>
      </c>
      <c r="AJ86">
        <v>68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ROW(Source!A38)</f>
        <v>38</v>
      </c>
      <c r="B87">
        <v>55984112</v>
      </c>
      <c r="C87">
        <v>55984096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221</v>
      </c>
      <c r="J87" t="s">
        <v>3</v>
      </c>
      <c r="K87" t="s">
        <v>222</v>
      </c>
      <c r="L87">
        <v>1191</v>
      </c>
      <c r="N87">
        <v>1013</v>
      </c>
      <c r="O87" t="s">
        <v>223</v>
      </c>
      <c r="P87" t="s">
        <v>223</v>
      </c>
      <c r="Q87">
        <v>1</v>
      </c>
      <c r="X87">
        <v>3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29</v>
      </c>
      <c r="AG87">
        <v>1.0799999999999998</v>
      </c>
      <c r="AH87">
        <v>2</v>
      </c>
      <c r="AI87">
        <v>55984097</v>
      </c>
      <c r="AJ87">
        <v>69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ROW(Source!A38)</f>
        <v>38</v>
      </c>
      <c r="B88">
        <v>55984113</v>
      </c>
      <c r="C88">
        <v>55984096</v>
      </c>
      <c r="D88">
        <v>55459894</v>
      </c>
      <c r="E88">
        <v>1</v>
      </c>
      <c r="F88">
        <v>1</v>
      </c>
      <c r="G88">
        <v>1081</v>
      </c>
      <c r="H88">
        <v>3</v>
      </c>
      <c r="I88" t="s">
        <v>257</v>
      </c>
      <c r="J88" t="s">
        <v>258</v>
      </c>
      <c r="K88" t="s">
        <v>259</v>
      </c>
      <c r="L88">
        <v>1348</v>
      </c>
      <c r="N88">
        <v>1009</v>
      </c>
      <c r="O88" t="s">
        <v>232</v>
      </c>
      <c r="P88" t="s">
        <v>232</v>
      </c>
      <c r="Q88">
        <v>1000</v>
      </c>
      <c r="X88">
        <v>1E-3</v>
      </c>
      <c r="Y88">
        <v>15319.65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28</v>
      </c>
      <c r="AG88">
        <v>0</v>
      </c>
      <c r="AH88">
        <v>2</v>
      </c>
      <c r="AI88">
        <v>55984098</v>
      </c>
      <c r="AJ88">
        <v>70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ROW(Source!A38)</f>
        <v>38</v>
      </c>
      <c r="B89">
        <v>55984114</v>
      </c>
      <c r="C89">
        <v>55984096</v>
      </c>
      <c r="D89">
        <v>55459261</v>
      </c>
      <c r="E89">
        <v>1</v>
      </c>
      <c r="F89">
        <v>1</v>
      </c>
      <c r="G89">
        <v>1081</v>
      </c>
      <c r="H89">
        <v>3</v>
      </c>
      <c r="I89" t="s">
        <v>260</v>
      </c>
      <c r="J89" t="s">
        <v>261</v>
      </c>
      <c r="K89" t="s">
        <v>262</v>
      </c>
      <c r="L89">
        <v>1348</v>
      </c>
      <c r="N89">
        <v>1009</v>
      </c>
      <c r="O89" t="s">
        <v>232</v>
      </c>
      <c r="P89" t="s">
        <v>232</v>
      </c>
      <c r="Q89">
        <v>1000</v>
      </c>
      <c r="X89">
        <v>5.0000000000000002E-5</v>
      </c>
      <c r="Y89">
        <v>1219.68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28</v>
      </c>
      <c r="AG89">
        <v>0</v>
      </c>
      <c r="AH89">
        <v>2</v>
      </c>
      <c r="AI89">
        <v>55984099</v>
      </c>
      <c r="AJ89">
        <v>71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ROW(Source!A38)</f>
        <v>38</v>
      </c>
      <c r="B90">
        <v>55984115</v>
      </c>
      <c r="C90">
        <v>55984096</v>
      </c>
      <c r="D90">
        <v>55460328</v>
      </c>
      <c r="E90">
        <v>1</v>
      </c>
      <c r="F90">
        <v>1</v>
      </c>
      <c r="G90">
        <v>1081</v>
      </c>
      <c r="H90">
        <v>3</v>
      </c>
      <c r="I90" t="s">
        <v>263</v>
      </c>
      <c r="J90" t="s">
        <v>264</v>
      </c>
      <c r="K90" t="s">
        <v>265</v>
      </c>
      <c r="L90">
        <v>1301</v>
      </c>
      <c r="N90">
        <v>1003</v>
      </c>
      <c r="O90" t="s">
        <v>266</v>
      </c>
      <c r="P90" t="s">
        <v>266</v>
      </c>
      <c r="Q90">
        <v>1</v>
      </c>
      <c r="X90">
        <v>5</v>
      </c>
      <c r="Y90">
        <v>0.39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28</v>
      </c>
      <c r="AG90">
        <v>0</v>
      </c>
      <c r="AH90">
        <v>2</v>
      </c>
      <c r="AI90">
        <v>55984100</v>
      </c>
      <c r="AJ90">
        <v>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ROW(Source!A38)</f>
        <v>38</v>
      </c>
      <c r="B91">
        <v>55984116</v>
      </c>
      <c r="C91">
        <v>55984096</v>
      </c>
      <c r="D91">
        <v>55459312</v>
      </c>
      <c r="E91">
        <v>1</v>
      </c>
      <c r="F91">
        <v>1</v>
      </c>
      <c r="G91">
        <v>1081</v>
      </c>
      <c r="H91">
        <v>3</v>
      </c>
      <c r="I91" t="s">
        <v>267</v>
      </c>
      <c r="J91" t="s">
        <v>268</v>
      </c>
      <c r="K91" t="s">
        <v>269</v>
      </c>
      <c r="L91">
        <v>1339</v>
      </c>
      <c r="N91">
        <v>1007</v>
      </c>
      <c r="O91" t="s">
        <v>270</v>
      </c>
      <c r="P91" t="s">
        <v>270</v>
      </c>
      <c r="Q91">
        <v>1</v>
      </c>
      <c r="X91">
        <v>1E-3</v>
      </c>
      <c r="Y91">
        <v>1176.3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28</v>
      </c>
      <c r="AG91">
        <v>0</v>
      </c>
      <c r="AH91">
        <v>2</v>
      </c>
      <c r="AI91">
        <v>55984101</v>
      </c>
      <c r="AJ91">
        <v>73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ROW(Source!A38)</f>
        <v>38</v>
      </c>
      <c r="B92">
        <v>55984117</v>
      </c>
      <c r="C92">
        <v>55984096</v>
      </c>
      <c r="D92">
        <v>55461230</v>
      </c>
      <c r="E92">
        <v>1</v>
      </c>
      <c r="F92">
        <v>1</v>
      </c>
      <c r="G92">
        <v>1081</v>
      </c>
      <c r="H92">
        <v>3</v>
      </c>
      <c r="I92" t="s">
        <v>271</v>
      </c>
      <c r="J92" t="s">
        <v>272</v>
      </c>
      <c r="K92" t="s">
        <v>273</v>
      </c>
      <c r="L92">
        <v>1346</v>
      </c>
      <c r="N92">
        <v>1009</v>
      </c>
      <c r="O92" t="s">
        <v>252</v>
      </c>
      <c r="P92" t="s">
        <v>252</v>
      </c>
      <c r="Q92">
        <v>1</v>
      </c>
      <c r="X92">
        <v>0.01</v>
      </c>
      <c r="Y92">
        <v>15.11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28</v>
      </c>
      <c r="AG92">
        <v>0</v>
      </c>
      <c r="AH92">
        <v>2</v>
      </c>
      <c r="AI92">
        <v>55984102</v>
      </c>
      <c r="AJ92">
        <v>74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ROW(Source!A38)</f>
        <v>38</v>
      </c>
      <c r="B93">
        <v>55984118</v>
      </c>
      <c r="C93">
        <v>55984096</v>
      </c>
      <c r="D93">
        <v>55459400</v>
      </c>
      <c r="E93">
        <v>1</v>
      </c>
      <c r="F93">
        <v>1</v>
      </c>
      <c r="G93">
        <v>1081</v>
      </c>
      <c r="H93">
        <v>3</v>
      </c>
      <c r="I93" t="s">
        <v>274</v>
      </c>
      <c r="J93" t="s">
        <v>275</v>
      </c>
      <c r="K93" t="s">
        <v>276</v>
      </c>
      <c r="L93">
        <v>1346</v>
      </c>
      <c r="N93">
        <v>1009</v>
      </c>
      <c r="O93" t="s">
        <v>252</v>
      </c>
      <c r="P93" t="s">
        <v>252</v>
      </c>
      <c r="Q93">
        <v>1</v>
      </c>
      <c r="X93">
        <v>0.01</v>
      </c>
      <c r="Y93">
        <v>16.690000000000001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28</v>
      </c>
      <c r="AG93">
        <v>0</v>
      </c>
      <c r="AH93">
        <v>2</v>
      </c>
      <c r="AI93">
        <v>55984103</v>
      </c>
      <c r="AJ93">
        <v>75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ROW(Source!A38)</f>
        <v>38</v>
      </c>
      <c r="B94">
        <v>55984119</v>
      </c>
      <c r="C94">
        <v>55984096</v>
      </c>
      <c r="D94">
        <v>55461719</v>
      </c>
      <c r="E94">
        <v>1</v>
      </c>
      <c r="F94">
        <v>1</v>
      </c>
      <c r="G94">
        <v>1081</v>
      </c>
      <c r="H94">
        <v>3</v>
      </c>
      <c r="I94" t="s">
        <v>229</v>
      </c>
      <c r="J94" t="s">
        <v>230</v>
      </c>
      <c r="K94" t="s">
        <v>231</v>
      </c>
      <c r="L94">
        <v>1348</v>
      </c>
      <c r="N94">
        <v>1009</v>
      </c>
      <c r="O94" t="s">
        <v>232</v>
      </c>
      <c r="P94" t="s">
        <v>232</v>
      </c>
      <c r="Q94">
        <v>1000</v>
      </c>
      <c r="X94">
        <v>1E-4</v>
      </c>
      <c r="Y94">
        <v>10643.18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28</v>
      </c>
      <c r="AG94">
        <v>0</v>
      </c>
      <c r="AH94">
        <v>2</v>
      </c>
      <c r="AI94">
        <v>55984104</v>
      </c>
      <c r="AJ94">
        <v>76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ROW(Source!A38)</f>
        <v>38</v>
      </c>
      <c r="B95">
        <v>55984120</v>
      </c>
      <c r="C95">
        <v>55984096</v>
      </c>
      <c r="D95">
        <v>55466000</v>
      </c>
      <c r="E95">
        <v>1</v>
      </c>
      <c r="F95">
        <v>1</v>
      </c>
      <c r="G95">
        <v>1081</v>
      </c>
      <c r="H95">
        <v>3</v>
      </c>
      <c r="I95" t="s">
        <v>277</v>
      </c>
      <c r="J95" t="s">
        <v>278</v>
      </c>
      <c r="K95" t="s">
        <v>279</v>
      </c>
      <c r="L95">
        <v>1355</v>
      </c>
      <c r="N95">
        <v>1010</v>
      </c>
      <c r="O95" t="s">
        <v>280</v>
      </c>
      <c r="P95" t="s">
        <v>280</v>
      </c>
      <c r="Q95">
        <v>100</v>
      </c>
      <c r="X95">
        <v>0.01</v>
      </c>
      <c r="Y95">
        <v>120.19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28</v>
      </c>
      <c r="AG95">
        <v>0</v>
      </c>
      <c r="AH95">
        <v>2</v>
      </c>
      <c r="AI95">
        <v>55984105</v>
      </c>
      <c r="AJ95">
        <v>77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ROW(Source!A38)</f>
        <v>38</v>
      </c>
      <c r="B96">
        <v>55984121</v>
      </c>
      <c r="C96">
        <v>55984096</v>
      </c>
      <c r="D96">
        <v>55459793</v>
      </c>
      <c r="E96">
        <v>1</v>
      </c>
      <c r="F96">
        <v>1</v>
      </c>
      <c r="G96">
        <v>1081</v>
      </c>
      <c r="H96">
        <v>3</v>
      </c>
      <c r="I96" t="s">
        <v>233</v>
      </c>
      <c r="J96" t="s">
        <v>234</v>
      </c>
      <c r="K96" t="s">
        <v>235</v>
      </c>
      <c r="L96">
        <v>1348</v>
      </c>
      <c r="N96">
        <v>1009</v>
      </c>
      <c r="O96" t="s">
        <v>232</v>
      </c>
      <c r="P96" t="s">
        <v>232</v>
      </c>
      <c r="Q96">
        <v>1000</v>
      </c>
      <c r="X96">
        <v>2.0000000000000002E-5</v>
      </c>
      <c r="Y96">
        <v>64123.05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28</v>
      </c>
      <c r="AG96">
        <v>0</v>
      </c>
      <c r="AH96">
        <v>2</v>
      </c>
      <c r="AI96">
        <v>55984106</v>
      </c>
      <c r="AJ96">
        <v>78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ROW(Source!A38)</f>
        <v>38</v>
      </c>
      <c r="B97">
        <v>55984122</v>
      </c>
      <c r="C97">
        <v>55984096</v>
      </c>
      <c r="D97">
        <v>55459810</v>
      </c>
      <c r="E97">
        <v>1</v>
      </c>
      <c r="F97">
        <v>1</v>
      </c>
      <c r="G97">
        <v>1081</v>
      </c>
      <c r="H97">
        <v>3</v>
      </c>
      <c r="I97" t="s">
        <v>281</v>
      </c>
      <c r="J97" t="s">
        <v>282</v>
      </c>
      <c r="K97" t="s">
        <v>283</v>
      </c>
      <c r="L97">
        <v>1348</v>
      </c>
      <c r="N97">
        <v>1009</v>
      </c>
      <c r="O97" t="s">
        <v>232</v>
      </c>
      <c r="P97" t="s">
        <v>232</v>
      </c>
      <c r="Q97">
        <v>1000</v>
      </c>
      <c r="X97">
        <v>1E-4</v>
      </c>
      <c r="Y97">
        <v>9238.1299999999992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28</v>
      </c>
      <c r="AG97">
        <v>0</v>
      </c>
      <c r="AH97">
        <v>2</v>
      </c>
      <c r="AI97">
        <v>55984107</v>
      </c>
      <c r="AJ97">
        <v>79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ROW(Source!A38)</f>
        <v>38</v>
      </c>
      <c r="B98">
        <v>55984123</v>
      </c>
      <c r="C98">
        <v>55984096</v>
      </c>
      <c r="D98">
        <v>55482166</v>
      </c>
      <c r="E98">
        <v>1</v>
      </c>
      <c r="F98">
        <v>1</v>
      </c>
      <c r="G98">
        <v>1081</v>
      </c>
      <c r="H98">
        <v>3</v>
      </c>
      <c r="I98" t="s">
        <v>284</v>
      </c>
      <c r="J98" t="s">
        <v>285</v>
      </c>
      <c r="K98" t="s">
        <v>286</v>
      </c>
      <c r="L98">
        <v>1301</v>
      </c>
      <c r="N98">
        <v>1003</v>
      </c>
      <c r="O98" t="s">
        <v>266</v>
      </c>
      <c r="P98" t="s">
        <v>266</v>
      </c>
      <c r="Q98">
        <v>1</v>
      </c>
      <c r="X98">
        <v>1</v>
      </c>
      <c r="Y98">
        <v>0.69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28</v>
      </c>
      <c r="AG98">
        <v>0</v>
      </c>
      <c r="AH98">
        <v>2</v>
      </c>
      <c r="AI98">
        <v>55984108</v>
      </c>
      <c r="AJ98">
        <v>80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ROW(Source!A38)</f>
        <v>38</v>
      </c>
      <c r="B99">
        <v>55984124</v>
      </c>
      <c r="C99">
        <v>55984096</v>
      </c>
      <c r="D99">
        <v>55482445</v>
      </c>
      <c r="E99">
        <v>1</v>
      </c>
      <c r="F99">
        <v>1</v>
      </c>
      <c r="G99">
        <v>1081</v>
      </c>
      <c r="H99">
        <v>3</v>
      </c>
      <c r="I99" t="s">
        <v>287</v>
      </c>
      <c r="J99" t="s">
        <v>288</v>
      </c>
      <c r="K99" t="s">
        <v>289</v>
      </c>
      <c r="L99">
        <v>1356</v>
      </c>
      <c r="N99">
        <v>1010</v>
      </c>
      <c r="O99" t="s">
        <v>246</v>
      </c>
      <c r="P99" t="s">
        <v>246</v>
      </c>
      <c r="Q99">
        <v>1000</v>
      </c>
      <c r="X99">
        <v>0.01</v>
      </c>
      <c r="Y99">
        <v>294.89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28</v>
      </c>
      <c r="AG99">
        <v>0</v>
      </c>
      <c r="AH99">
        <v>2</v>
      </c>
      <c r="AI99">
        <v>55984109</v>
      </c>
      <c r="AJ99">
        <v>81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ROW(Source!A38)</f>
        <v>38</v>
      </c>
      <c r="B100">
        <v>55984125</v>
      </c>
      <c r="C100">
        <v>55984096</v>
      </c>
      <c r="D100">
        <v>55481518</v>
      </c>
      <c r="E100">
        <v>1</v>
      </c>
      <c r="F100">
        <v>1</v>
      </c>
      <c r="G100">
        <v>1081</v>
      </c>
      <c r="H100">
        <v>3</v>
      </c>
      <c r="I100" t="s">
        <v>290</v>
      </c>
      <c r="J100" t="s">
        <v>291</v>
      </c>
      <c r="K100" t="s">
        <v>292</v>
      </c>
      <c r="L100">
        <v>1354</v>
      </c>
      <c r="N100">
        <v>1010</v>
      </c>
      <c r="O100" t="s">
        <v>293</v>
      </c>
      <c r="P100" t="s">
        <v>293</v>
      </c>
      <c r="Q100">
        <v>1</v>
      </c>
      <c r="X100">
        <v>1</v>
      </c>
      <c r="Y100">
        <v>15.67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28</v>
      </c>
      <c r="AG100">
        <v>0</v>
      </c>
      <c r="AH100">
        <v>2</v>
      </c>
      <c r="AI100">
        <v>55984110</v>
      </c>
      <c r="AJ100">
        <v>82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ROW(Source!A38)</f>
        <v>38</v>
      </c>
      <c r="B101">
        <v>55984126</v>
      </c>
      <c r="C101">
        <v>55984096</v>
      </c>
      <c r="D101">
        <v>55416982</v>
      </c>
      <c r="E101">
        <v>1081</v>
      </c>
      <c r="F101">
        <v>1</v>
      </c>
      <c r="G101">
        <v>1081</v>
      </c>
      <c r="H101">
        <v>3</v>
      </c>
      <c r="I101" t="s">
        <v>328</v>
      </c>
      <c r="J101" t="s">
        <v>3</v>
      </c>
      <c r="K101" t="s">
        <v>329</v>
      </c>
      <c r="L101">
        <v>1346</v>
      </c>
      <c r="N101">
        <v>1009</v>
      </c>
      <c r="O101" t="s">
        <v>252</v>
      </c>
      <c r="P101" t="s">
        <v>252</v>
      </c>
      <c r="Q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28</v>
      </c>
      <c r="AG101">
        <v>0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ROW(Source!A38)</f>
        <v>38</v>
      </c>
      <c r="B102">
        <v>55984127</v>
      </c>
      <c r="C102">
        <v>55984096</v>
      </c>
      <c r="D102">
        <v>55455661</v>
      </c>
      <c r="E102">
        <v>1081</v>
      </c>
      <c r="F102">
        <v>1</v>
      </c>
      <c r="G102">
        <v>1081</v>
      </c>
      <c r="H102">
        <v>3</v>
      </c>
      <c r="I102" t="s">
        <v>330</v>
      </c>
      <c r="J102" t="s">
        <v>3</v>
      </c>
      <c r="K102" t="s">
        <v>331</v>
      </c>
      <c r="L102">
        <v>1391</v>
      </c>
      <c r="N102">
        <v>1013</v>
      </c>
      <c r="O102" t="s">
        <v>142</v>
      </c>
      <c r="P102" t="s">
        <v>142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28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ROW(Source!A38)</f>
        <v>38</v>
      </c>
      <c r="B103">
        <v>55984128</v>
      </c>
      <c r="C103">
        <v>55984096</v>
      </c>
      <c r="D103">
        <v>55424290</v>
      </c>
      <c r="E103">
        <v>1081</v>
      </c>
      <c r="F103">
        <v>1</v>
      </c>
      <c r="G103">
        <v>1081</v>
      </c>
      <c r="H103">
        <v>3</v>
      </c>
      <c r="I103" t="s">
        <v>247</v>
      </c>
      <c r="J103" t="s">
        <v>3</v>
      </c>
      <c r="K103" t="s">
        <v>248</v>
      </c>
      <c r="L103">
        <v>1348</v>
      </c>
      <c r="N103">
        <v>1009</v>
      </c>
      <c r="O103" t="s">
        <v>232</v>
      </c>
      <c r="P103" t="s">
        <v>232</v>
      </c>
      <c r="Q103">
        <v>1000</v>
      </c>
      <c r="X103">
        <v>1E-3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28</v>
      </c>
      <c r="AG103">
        <v>0</v>
      </c>
      <c r="AH103">
        <v>2</v>
      </c>
      <c r="AI103">
        <v>55984111</v>
      </c>
      <c r="AJ103">
        <v>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ROW(Source!A39)</f>
        <v>39</v>
      </c>
      <c r="B104">
        <v>55984112</v>
      </c>
      <c r="C104">
        <v>55984096</v>
      </c>
      <c r="D104">
        <v>55424304</v>
      </c>
      <c r="E104">
        <v>1081</v>
      </c>
      <c r="F104">
        <v>1</v>
      </c>
      <c r="G104">
        <v>1081</v>
      </c>
      <c r="H104">
        <v>1</v>
      </c>
      <c r="I104" t="s">
        <v>221</v>
      </c>
      <c r="J104" t="s">
        <v>3</v>
      </c>
      <c r="K104" t="s">
        <v>222</v>
      </c>
      <c r="L104">
        <v>1191</v>
      </c>
      <c r="N104">
        <v>1013</v>
      </c>
      <c r="O104" t="s">
        <v>223</v>
      </c>
      <c r="P104" t="s">
        <v>223</v>
      </c>
      <c r="Q104">
        <v>1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 t="s">
        <v>29</v>
      </c>
      <c r="AG104">
        <v>1.0799999999999998</v>
      </c>
      <c r="AH104">
        <v>2</v>
      </c>
      <c r="AI104">
        <v>55984097</v>
      </c>
      <c r="AJ104">
        <v>84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ROW(Source!A39)</f>
        <v>39</v>
      </c>
      <c r="B105">
        <v>55984113</v>
      </c>
      <c r="C105">
        <v>55984096</v>
      </c>
      <c r="D105">
        <v>55459894</v>
      </c>
      <c r="E105">
        <v>1</v>
      </c>
      <c r="F105">
        <v>1</v>
      </c>
      <c r="G105">
        <v>1081</v>
      </c>
      <c r="H105">
        <v>3</v>
      </c>
      <c r="I105" t="s">
        <v>257</v>
      </c>
      <c r="J105" t="s">
        <v>258</v>
      </c>
      <c r="K105" t="s">
        <v>259</v>
      </c>
      <c r="L105">
        <v>1348</v>
      </c>
      <c r="N105">
        <v>1009</v>
      </c>
      <c r="O105" t="s">
        <v>232</v>
      </c>
      <c r="P105" t="s">
        <v>232</v>
      </c>
      <c r="Q105">
        <v>1000</v>
      </c>
      <c r="X105">
        <v>1E-3</v>
      </c>
      <c r="Y105">
        <v>15319.65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28</v>
      </c>
      <c r="AG105">
        <v>0</v>
      </c>
      <c r="AH105">
        <v>2</v>
      </c>
      <c r="AI105">
        <v>55984098</v>
      </c>
      <c r="AJ105">
        <v>85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ROW(Source!A39)</f>
        <v>39</v>
      </c>
      <c r="B106">
        <v>55984114</v>
      </c>
      <c r="C106">
        <v>55984096</v>
      </c>
      <c r="D106">
        <v>55459261</v>
      </c>
      <c r="E106">
        <v>1</v>
      </c>
      <c r="F106">
        <v>1</v>
      </c>
      <c r="G106">
        <v>1081</v>
      </c>
      <c r="H106">
        <v>3</v>
      </c>
      <c r="I106" t="s">
        <v>260</v>
      </c>
      <c r="J106" t="s">
        <v>261</v>
      </c>
      <c r="K106" t="s">
        <v>262</v>
      </c>
      <c r="L106">
        <v>1348</v>
      </c>
      <c r="N106">
        <v>1009</v>
      </c>
      <c r="O106" t="s">
        <v>232</v>
      </c>
      <c r="P106" t="s">
        <v>232</v>
      </c>
      <c r="Q106">
        <v>1000</v>
      </c>
      <c r="X106">
        <v>5.0000000000000002E-5</v>
      </c>
      <c r="Y106">
        <v>1219.68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28</v>
      </c>
      <c r="AG106">
        <v>0</v>
      </c>
      <c r="AH106">
        <v>2</v>
      </c>
      <c r="AI106">
        <v>55984099</v>
      </c>
      <c r="AJ106">
        <v>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ROW(Source!A39)</f>
        <v>39</v>
      </c>
      <c r="B107">
        <v>55984115</v>
      </c>
      <c r="C107">
        <v>55984096</v>
      </c>
      <c r="D107">
        <v>55460328</v>
      </c>
      <c r="E107">
        <v>1</v>
      </c>
      <c r="F107">
        <v>1</v>
      </c>
      <c r="G107">
        <v>1081</v>
      </c>
      <c r="H107">
        <v>3</v>
      </c>
      <c r="I107" t="s">
        <v>263</v>
      </c>
      <c r="J107" t="s">
        <v>264</v>
      </c>
      <c r="K107" t="s">
        <v>265</v>
      </c>
      <c r="L107">
        <v>1301</v>
      </c>
      <c r="N107">
        <v>1003</v>
      </c>
      <c r="O107" t="s">
        <v>266</v>
      </c>
      <c r="P107" t="s">
        <v>266</v>
      </c>
      <c r="Q107">
        <v>1</v>
      </c>
      <c r="X107">
        <v>5</v>
      </c>
      <c r="Y107">
        <v>0.39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28</v>
      </c>
      <c r="AG107">
        <v>0</v>
      </c>
      <c r="AH107">
        <v>2</v>
      </c>
      <c r="AI107">
        <v>55984100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ROW(Source!A39)</f>
        <v>39</v>
      </c>
      <c r="B108">
        <v>55984116</v>
      </c>
      <c r="C108">
        <v>55984096</v>
      </c>
      <c r="D108">
        <v>55459312</v>
      </c>
      <c r="E108">
        <v>1</v>
      </c>
      <c r="F108">
        <v>1</v>
      </c>
      <c r="G108">
        <v>1081</v>
      </c>
      <c r="H108">
        <v>3</v>
      </c>
      <c r="I108" t="s">
        <v>267</v>
      </c>
      <c r="J108" t="s">
        <v>268</v>
      </c>
      <c r="K108" t="s">
        <v>269</v>
      </c>
      <c r="L108">
        <v>1339</v>
      </c>
      <c r="N108">
        <v>1007</v>
      </c>
      <c r="O108" t="s">
        <v>270</v>
      </c>
      <c r="P108" t="s">
        <v>270</v>
      </c>
      <c r="Q108">
        <v>1</v>
      </c>
      <c r="X108">
        <v>1E-3</v>
      </c>
      <c r="Y108">
        <v>1176.3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28</v>
      </c>
      <c r="AG108">
        <v>0</v>
      </c>
      <c r="AH108">
        <v>2</v>
      </c>
      <c r="AI108">
        <v>55984101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ROW(Source!A39)</f>
        <v>39</v>
      </c>
      <c r="B109">
        <v>55984117</v>
      </c>
      <c r="C109">
        <v>55984096</v>
      </c>
      <c r="D109">
        <v>55461230</v>
      </c>
      <c r="E109">
        <v>1</v>
      </c>
      <c r="F109">
        <v>1</v>
      </c>
      <c r="G109">
        <v>1081</v>
      </c>
      <c r="H109">
        <v>3</v>
      </c>
      <c r="I109" t="s">
        <v>271</v>
      </c>
      <c r="J109" t="s">
        <v>272</v>
      </c>
      <c r="K109" t="s">
        <v>273</v>
      </c>
      <c r="L109">
        <v>1346</v>
      </c>
      <c r="N109">
        <v>1009</v>
      </c>
      <c r="O109" t="s">
        <v>252</v>
      </c>
      <c r="P109" t="s">
        <v>252</v>
      </c>
      <c r="Q109">
        <v>1</v>
      </c>
      <c r="X109">
        <v>0.01</v>
      </c>
      <c r="Y109">
        <v>15.11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28</v>
      </c>
      <c r="AG109">
        <v>0</v>
      </c>
      <c r="AH109">
        <v>2</v>
      </c>
      <c r="AI109">
        <v>55984102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ROW(Source!A39)</f>
        <v>39</v>
      </c>
      <c r="B110">
        <v>55984118</v>
      </c>
      <c r="C110">
        <v>55984096</v>
      </c>
      <c r="D110">
        <v>55459400</v>
      </c>
      <c r="E110">
        <v>1</v>
      </c>
      <c r="F110">
        <v>1</v>
      </c>
      <c r="G110">
        <v>1081</v>
      </c>
      <c r="H110">
        <v>3</v>
      </c>
      <c r="I110" t="s">
        <v>274</v>
      </c>
      <c r="J110" t="s">
        <v>275</v>
      </c>
      <c r="K110" t="s">
        <v>276</v>
      </c>
      <c r="L110">
        <v>1346</v>
      </c>
      <c r="N110">
        <v>1009</v>
      </c>
      <c r="O110" t="s">
        <v>252</v>
      </c>
      <c r="P110" t="s">
        <v>252</v>
      </c>
      <c r="Q110">
        <v>1</v>
      </c>
      <c r="X110">
        <v>0.01</v>
      </c>
      <c r="Y110">
        <v>16.690000000000001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28</v>
      </c>
      <c r="AG110">
        <v>0</v>
      </c>
      <c r="AH110">
        <v>2</v>
      </c>
      <c r="AI110">
        <v>55984103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ROW(Source!A39)</f>
        <v>39</v>
      </c>
      <c r="B111">
        <v>55984119</v>
      </c>
      <c r="C111">
        <v>55984096</v>
      </c>
      <c r="D111">
        <v>55461719</v>
      </c>
      <c r="E111">
        <v>1</v>
      </c>
      <c r="F111">
        <v>1</v>
      </c>
      <c r="G111">
        <v>1081</v>
      </c>
      <c r="H111">
        <v>3</v>
      </c>
      <c r="I111" t="s">
        <v>229</v>
      </c>
      <c r="J111" t="s">
        <v>230</v>
      </c>
      <c r="K111" t="s">
        <v>231</v>
      </c>
      <c r="L111">
        <v>1348</v>
      </c>
      <c r="N111">
        <v>1009</v>
      </c>
      <c r="O111" t="s">
        <v>232</v>
      </c>
      <c r="P111" t="s">
        <v>232</v>
      </c>
      <c r="Q111">
        <v>1000</v>
      </c>
      <c r="X111">
        <v>1E-4</v>
      </c>
      <c r="Y111">
        <v>10643.18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28</v>
      </c>
      <c r="AG111">
        <v>0</v>
      </c>
      <c r="AH111">
        <v>2</v>
      </c>
      <c r="AI111">
        <v>55984104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ROW(Source!A39)</f>
        <v>39</v>
      </c>
      <c r="B112">
        <v>55984120</v>
      </c>
      <c r="C112">
        <v>55984096</v>
      </c>
      <c r="D112">
        <v>55466000</v>
      </c>
      <c r="E112">
        <v>1</v>
      </c>
      <c r="F112">
        <v>1</v>
      </c>
      <c r="G112">
        <v>1081</v>
      </c>
      <c r="H112">
        <v>3</v>
      </c>
      <c r="I112" t="s">
        <v>277</v>
      </c>
      <c r="J112" t="s">
        <v>278</v>
      </c>
      <c r="K112" t="s">
        <v>279</v>
      </c>
      <c r="L112">
        <v>1355</v>
      </c>
      <c r="N112">
        <v>1010</v>
      </c>
      <c r="O112" t="s">
        <v>280</v>
      </c>
      <c r="P112" t="s">
        <v>280</v>
      </c>
      <c r="Q112">
        <v>100</v>
      </c>
      <c r="X112">
        <v>0.01</v>
      </c>
      <c r="Y112">
        <v>120.19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28</v>
      </c>
      <c r="AG112">
        <v>0</v>
      </c>
      <c r="AH112">
        <v>2</v>
      </c>
      <c r="AI112">
        <v>55984105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ROW(Source!A39)</f>
        <v>39</v>
      </c>
      <c r="B113">
        <v>55984121</v>
      </c>
      <c r="C113">
        <v>55984096</v>
      </c>
      <c r="D113">
        <v>55459793</v>
      </c>
      <c r="E113">
        <v>1</v>
      </c>
      <c r="F113">
        <v>1</v>
      </c>
      <c r="G113">
        <v>1081</v>
      </c>
      <c r="H113">
        <v>3</v>
      </c>
      <c r="I113" t="s">
        <v>233</v>
      </c>
      <c r="J113" t="s">
        <v>234</v>
      </c>
      <c r="K113" t="s">
        <v>235</v>
      </c>
      <c r="L113">
        <v>1348</v>
      </c>
      <c r="N113">
        <v>1009</v>
      </c>
      <c r="O113" t="s">
        <v>232</v>
      </c>
      <c r="P113" t="s">
        <v>232</v>
      </c>
      <c r="Q113">
        <v>1000</v>
      </c>
      <c r="X113">
        <v>2.0000000000000002E-5</v>
      </c>
      <c r="Y113">
        <v>64123.05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28</v>
      </c>
      <c r="AG113">
        <v>0</v>
      </c>
      <c r="AH113">
        <v>2</v>
      </c>
      <c r="AI113">
        <v>55984106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ROW(Source!A39)</f>
        <v>39</v>
      </c>
      <c r="B114">
        <v>55984122</v>
      </c>
      <c r="C114">
        <v>55984096</v>
      </c>
      <c r="D114">
        <v>55459810</v>
      </c>
      <c r="E114">
        <v>1</v>
      </c>
      <c r="F114">
        <v>1</v>
      </c>
      <c r="G114">
        <v>1081</v>
      </c>
      <c r="H114">
        <v>3</v>
      </c>
      <c r="I114" t="s">
        <v>281</v>
      </c>
      <c r="J114" t="s">
        <v>282</v>
      </c>
      <c r="K114" t="s">
        <v>283</v>
      </c>
      <c r="L114">
        <v>1348</v>
      </c>
      <c r="N114">
        <v>1009</v>
      </c>
      <c r="O114" t="s">
        <v>232</v>
      </c>
      <c r="P114" t="s">
        <v>232</v>
      </c>
      <c r="Q114">
        <v>1000</v>
      </c>
      <c r="X114">
        <v>1E-4</v>
      </c>
      <c r="Y114">
        <v>9238.1299999999992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28</v>
      </c>
      <c r="AG114">
        <v>0</v>
      </c>
      <c r="AH114">
        <v>2</v>
      </c>
      <c r="AI114">
        <v>55984107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ROW(Source!A39)</f>
        <v>39</v>
      </c>
      <c r="B115">
        <v>55984123</v>
      </c>
      <c r="C115">
        <v>55984096</v>
      </c>
      <c r="D115">
        <v>55482166</v>
      </c>
      <c r="E115">
        <v>1</v>
      </c>
      <c r="F115">
        <v>1</v>
      </c>
      <c r="G115">
        <v>1081</v>
      </c>
      <c r="H115">
        <v>3</v>
      </c>
      <c r="I115" t="s">
        <v>284</v>
      </c>
      <c r="J115" t="s">
        <v>285</v>
      </c>
      <c r="K115" t="s">
        <v>286</v>
      </c>
      <c r="L115">
        <v>1301</v>
      </c>
      <c r="N115">
        <v>1003</v>
      </c>
      <c r="O115" t="s">
        <v>266</v>
      </c>
      <c r="P115" t="s">
        <v>266</v>
      </c>
      <c r="Q115">
        <v>1</v>
      </c>
      <c r="X115">
        <v>1</v>
      </c>
      <c r="Y115">
        <v>0.69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28</v>
      </c>
      <c r="AG115">
        <v>0</v>
      </c>
      <c r="AH115">
        <v>2</v>
      </c>
      <c r="AI115">
        <v>55984108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ROW(Source!A39)</f>
        <v>39</v>
      </c>
      <c r="B116">
        <v>55984124</v>
      </c>
      <c r="C116">
        <v>55984096</v>
      </c>
      <c r="D116">
        <v>55482445</v>
      </c>
      <c r="E116">
        <v>1</v>
      </c>
      <c r="F116">
        <v>1</v>
      </c>
      <c r="G116">
        <v>1081</v>
      </c>
      <c r="H116">
        <v>3</v>
      </c>
      <c r="I116" t="s">
        <v>287</v>
      </c>
      <c r="J116" t="s">
        <v>288</v>
      </c>
      <c r="K116" t="s">
        <v>289</v>
      </c>
      <c r="L116">
        <v>1356</v>
      </c>
      <c r="N116">
        <v>1010</v>
      </c>
      <c r="O116" t="s">
        <v>246</v>
      </c>
      <c r="P116" t="s">
        <v>246</v>
      </c>
      <c r="Q116">
        <v>1000</v>
      </c>
      <c r="X116">
        <v>0.01</v>
      </c>
      <c r="Y116">
        <v>294.89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28</v>
      </c>
      <c r="AG116">
        <v>0</v>
      </c>
      <c r="AH116">
        <v>2</v>
      </c>
      <c r="AI116">
        <v>55984109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ROW(Source!A39)</f>
        <v>39</v>
      </c>
      <c r="B117">
        <v>55984125</v>
      </c>
      <c r="C117">
        <v>55984096</v>
      </c>
      <c r="D117">
        <v>55481518</v>
      </c>
      <c r="E117">
        <v>1</v>
      </c>
      <c r="F117">
        <v>1</v>
      </c>
      <c r="G117">
        <v>1081</v>
      </c>
      <c r="H117">
        <v>3</v>
      </c>
      <c r="I117" t="s">
        <v>290</v>
      </c>
      <c r="J117" t="s">
        <v>291</v>
      </c>
      <c r="K117" t="s">
        <v>292</v>
      </c>
      <c r="L117">
        <v>1354</v>
      </c>
      <c r="N117">
        <v>1010</v>
      </c>
      <c r="O117" t="s">
        <v>293</v>
      </c>
      <c r="P117" t="s">
        <v>293</v>
      </c>
      <c r="Q117">
        <v>1</v>
      </c>
      <c r="X117">
        <v>1</v>
      </c>
      <c r="Y117">
        <v>15.67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28</v>
      </c>
      <c r="AG117">
        <v>0</v>
      </c>
      <c r="AH117">
        <v>2</v>
      </c>
      <c r="AI117">
        <v>55984110</v>
      </c>
      <c r="AJ117">
        <v>97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ROW(Source!A39)</f>
        <v>39</v>
      </c>
      <c r="B118">
        <v>55984126</v>
      </c>
      <c r="C118">
        <v>55984096</v>
      </c>
      <c r="D118">
        <v>55416982</v>
      </c>
      <c r="E118">
        <v>1081</v>
      </c>
      <c r="F118">
        <v>1</v>
      </c>
      <c r="G118">
        <v>1081</v>
      </c>
      <c r="H118">
        <v>3</v>
      </c>
      <c r="I118" t="s">
        <v>328</v>
      </c>
      <c r="J118" t="s">
        <v>3</v>
      </c>
      <c r="K118" t="s">
        <v>329</v>
      </c>
      <c r="L118">
        <v>1346</v>
      </c>
      <c r="N118">
        <v>1009</v>
      </c>
      <c r="O118" t="s">
        <v>252</v>
      </c>
      <c r="P118" t="s">
        <v>252</v>
      </c>
      <c r="Q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28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ROW(Source!A39)</f>
        <v>39</v>
      </c>
      <c r="B119">
        <v>55984127</v>
      </c>
      <c r="C119">
        <v>55984096</v>
      </c>
      <c r="D119">
        <v>55455661</v>
      </c>
      <c r="E119">
        <v>1081</v>
      </c>
      <c r="F119">
        <v>1</v>
      </c>
      <c r="G119">
        <v>1081</v>
      </c>
      <c r="H119">
        <v>3</v>
      </c>
      <c r="I119" t="s">
        <v>330</v>
      </c>
      <c r="J119" t="s">
        <v>3</v>
      </c>
      <c r="K119" t="s">
        <v>331</v>
      </c>
      <c r="L119">
        <v>1391</v>
      </c>
      <c r="N119">
        <v>1013</v>
      </c>
      <c r="O119" t="s">
        <v>142</v>
      </c>
      <c r="P119" t="s">
        <v>142</v>
      </c>
      <c r="Q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28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ROW(Source!A39)</f>
        <v>39</v>
      </c>
      <c r="B120">
        <v>55984128</v>
      </c>
      <c r="C120">
        <v>55984096</v>
      </c>
      <c r="D120">
        <v>55424290</v>
      </c>
      <c r="E120">
        <v>1081</v>
      </c>
      <c r="F120">
        <v>1</v>
      </c>
      <c r="G120">
        <v>1081</v>
      </c>
      <c r="H120">
        <v>3</v>
      </c>
      <c r="I120" t="s">
        <v>247</v>
      </c>
      <c r="J120" t="s">
        <v>3</v>
      </c>
      <c r="K120" t="s">
        <v>248</v>
      </c>
      <c r="L120">
        <v>1348</v>
      </c>
      <c r="N120">
        <v>1009</v>
      </c>
      <c r="O120" t="s">
        <v>232</v>
      </c>
      <c r="P120" t="s">
        <v>232</v>
      </c>
      <c r="Q120">
        <v>1000</v>
      </c>
      <c r="X120">
        <v>1E-3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28</v>
      </c>
      <c r="AG120">
        <v>0</v>
      </c>
      <c r="AH120">
        <v>2</v>
      </c>
      <c r="AI120">
        <v>55984111</v>
      </c>
      <c r="AJ120">
        <v>98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ROW(Source!A40)</f>
        <v>40</v>
      </c>
      <c r="B121">
        <v>55984136</v>
      </c>
      <c r="C121">
        <v>55984129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221</v>
      </c>
      <c r="J121" t="s">
        <v>3</v>
      </c>
      <c r="K121" t="s">
        <v>222</v>
      </c>
      <c r="L121">
        <v>1191</v>
      </c>
      <c r="N121">
        <v>1013</v>
      </c>
      <c r="O121" t="s">
        <v>223</v>
      </c>
      <c r="P121" t="s">
        <v>223</v>
      </c>
      <c r="Q121">
        <v>1</v>
      </c>
      <c r="X121">
        <v>15.54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29</v>
      </c>
      <c r="AG121">
        <v>5.5943999999999994</v>
      </c>
      <c r="AH121">
        <v>2</v>
      </c>
      <c r="AI121">
        <v>55984130</v>
      </c>
      <c r="AJ121">
        <v>99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ROW(Source!A40)</f>
        <v>40</v>
      </c>
      <c r="B122">
        <v>55984137</v>
      </c>
      <c r="C122">
        <v>55984129</v>
      </c>
      <c r="D122">
        <v>55490209</v>
      </c>
      <c r="E122">
        <v>1</v>
      </c>
      <c r="F122">
        <v>1</v>
      </c>
      <c r="G122">
        <v>1081</v>
      </c>
      <c r="H122">
        <v>2</v>
      </c>
      <c r="I122" t="s">
        <v>294</v>
      </c>
      <c r="J122" t="s">
        <v>295</v>
      </c>
      <c r="K122" t="s">
        <v>296</v>
      </c>
      <c r="L122">
        <v>1368</v>
      </c>
      <c r="N122">
        <v>1011</v>
      </c>
      <c r="O122" t="s">
        <v>227</v>
      </c>
      <c r="P122" t="s">
        <v>227</v>
      </c>
      <c r="Q122">
        <v>1</v>
      </c>
      <c r="X122">
        <v>0.01</v>
      </c>
      <c r="Y122">
        <v>0</v>
      </c>
      <c r="Z122">
        <v>83.1</v>
      </c>
      <c r="AA122">
        <v>12.62</v>
      </c>
      <c r="AB122">
        <v>0</v>
      </c>
      <c r="AC122">
        <v>0</v>
      </c>
      <c r="AD122">
        <v>1</v>
      </c>
      <c r="AE122">
        <v>0</v>
      </c>
      <c r="AF122" t="s">
        <v>29</v>
      </c>
      <c r="AG122">
        <v>3.5999999999999999E-3</v>
      </c>
      <c r="AH122">
        <v>2</v>
      </c>
      <c r="AI122">
        <v>55984131</v>
      </c>
      <c r="AJ122">
        <v>100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ROW(Source!A40)</f>
        <v>40</v>
      </c>
      <c r="B123">
        <v>55984138</v>
      </c>
      <c r="C123">
        <v>55984129</v>
      </c>
      <c r="D123">
        <v>55490263</v>
      </c>
      <c r="E123">
        <v>1</v>
      </c>
      <c r="F123">
        <v>1</v>
      </c>
      <c r="G123">
        <v>1081</v>
      </c>
      <c r="H123">
        <v>2</v>
      </c>
      <c r="I123" t="s">
        <v>297</v>
      </c>
      <c r="J123" t="s">
        <v>298</v>
      </c>
      <c r="K123" t="s">
        <v>299</v>
      </c>
      <c r="L123">
        <v>1368</v>
      </c>
      <c r="N123">
        <v>1011</v>
      </c>
      <c r="O123" t="s">
        <v>227</v>
      </c>
      <c r="P123" t="s">
        <v>227</v>
      </c>
      <c r="Q123">
        <v>1</v>
      </c>
      <c r="X123">
        <v>1.87</v>
      </c>
      <c r="Y123">
        <v>0</v>
      </c>
      <c r="Z123">
        <v>0.77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29</v>
      </c>
      <c r="AG123">
        <v>0.67320000000000002</v>
      </c>
      <c r="AH123">
        <v>2</v>
      </c>
      <c r="AI123">
        <v>55984132</v>
      </c>
      <c r="AJ123">
        <v>101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ROW(Source!A40)</f>
        <v>40</v>
      </c>
      <c r="B124">
        <v>55984139</v>
      </c>
      <c r="C124">
        <v>55984129</v>
      </c>
      <c r="D124">
        <v>55490296</v>
      </c>
      <c r="E124">
        <v>1</v>
      </c>
      <c r="F124">
        <v>1</v>
      </c>
      <c r="G124">
        <v>1081</v>
      </c>
      <c r="H124">
        <v>2</v>
      </c>
      <c r="I124" t="s">
        <v>300</v>
      </c>
      <c r="J124" t="s">
        <v>301</v>
      </c>
      <c r="K124" t="s">
        <v>302</v>
      </c>
      <c r="L124">
        <v>1368</v>
      </c>
      <c r="N124">
        <v>1011</v>
      </c>
      <c r="O124" t="s">
        <v>227</v>
      </c>
      <c r="P124" t="s">
        <v>227</v>
      </c>
      <c r="Q124">
        <v>1</v>
      </c>
      <c r="X124">
        <v>0.19</v>
      </c>
      <c r="Y124">
        <v>0</v>
      </c>
      <c r="Z124">
        <v>0.47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29</v>
      </c>
      <c r="AG124">
        <v>6.8399999999999989E-2</v>
      </c>
      <c r="AH124">
        <v>2</v>
      </c>
      <c r="AI124">
        <v>55984133</v>
      </c>
      <c r="AJ124">
        <v>102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ROW(Source!A40)</f>
        <v>40</v>
      </c>
      <c r="B125">
        <v>55984140</v>
      </c>
      <c r="C125">
        <v>55984129</v>
      </c>
      <c r="D125">
        <v>55459340</v>
      </c>
      <c r="E125">
        <v>1</v>
      </c>
      <c r="F125">
        <v>1</v>
      </c>
      <c r="G125">
        <v>1081</v>
      </c>
      <c r="H125">
        <v>3</v>
      </c>
      <c r="I125" t="s">
        <v>303</v>
      </c>
      <c r="J125" t="s">
        <v>304</v>
      </c>
      <c r="K125" t="s">
        <v>305</v>
      </c>
      <c r="L125">
        <v>1354</v>
      </c>
      <c r="N125">
        <v>1010</v>
      </c>
      <c r="O125" t="s">
        <v>293</v>
      </c>
      <c r="P125" t="s">
        <v>293</v>
      </c>
      <c r="Q125">
        <v>1</v>
      </c>
      <c r="X125">
        <v>40</v>
      </c>
      <c r="Y125">
        <v>0.89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28</v>
      </c>
      <c r="AG125">
        <v>0</v>
      </c>
      <c r="AH125">
        <v>2</v>
      </c>
      <c r="AI125">
        <v>55984134</v>
      </c>
      <c r="AJ125">
        <v>103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ROW(Source!A40)</f>
        <v>40</v>
      </c>
      <c r="B126">
        <v>55984141</v>
      </c>
      <c r="C126">
        <v>55984129</v>
      </c>
      <c r="D126">
        <v>55461503</v>
      </c>
      <c r="E126">
        <v>1</v>
      </c>
      <c r="F126">
        <v>1</v>
      </c>
      <c r="G126">
        <v>1081</v>
      </c>
      <c r="H126">
        <v>3</v>
      </c>
      <c r="I126" t="s">
        <v>306</v>
      </c>
      <c r="J126" t="s">
        <v>307</v>
      </c>
      <c r="K126" t="s">
        <v>308</v>
      </c>
      <c r="L126">
        <v>1355</v>
      </c>
      <c r="N126">
        <v>1010</v>
      </c>
      <c r="O126" t="s">
        <v>280</v>
      </c>
      <c r="P126" t="s">
        <v>280</v>
      </c>
      <c r="Q126">
        <v>100</v>
      </c>
      <c r="X126">
        <v>0.4</v>
      </c>
      <c r="Y126">
        <v>17.28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28</v>
      </c>
      <c r="AG126">
        <v>0</v>
      </c>
      <c r="AH126">
        <v>2</v>
      </c>
      <c r="AI126">
        <v>55984135</v>
      </c>
      <c r="AJ126">
        <v>104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ROW(Source!A40)</f>
        <v>40</v>
      </c>
      <c r="B127">
        <v>55984142</v>
      </c>
      <c r="C127">
        <v>55984129</v>
      </c>
      <c r="D127">
        <v>55441140</v>
      </c>
      <c r="E127">
        <v>1081</v>
      </c>
      <c r="F127">
        <v>1</v>
      </c>
      <c r="G127">
        <v>1081</v>
      </c>
      <c r="H127">
        <v>3</v>
      </c>
      <c r="I127" t="s">
        <v>332</v>
      </c>
      <c r="J127" t="s">
        <v>3</v>
      </c>
      <c r="K127" t="s">
        <v>333</v>
      </c>
      <c r="L127">
        <v>1358</v>
      </c>
      <c r="N127">
        <v>1010</v>
      </c>
      <c r="O127" t="s">
        <v>57</v>
      </c>
      <c r="P127" t="s">
        <v>57</v>
      </c>
      <c r="Q127">
        <v>10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28</v>
      </c>
      <c r="AG127">
        <v>0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ROW(Source!A41)</f>
        <v>41</v>
      </c>
      <c r="B128">
        <v>55984136</v>
      </c>
      <c r="C128">
        <v>55984129</v>
      </c>
      <c r="D128">
        <v>55424304</v>
      </c>
      <c r="E128">
        <v>1081</v>
      </c>
      <c r="F128">
        <v>1</v>
      </c>
      <c r="G128">
        <v>1081</v>
      </c>
      <c r="H128">
        <v>1</v>
      </c>
      <c r="I128" t="s">
        <v>221</v>
      </c>
      <c r="J128" t="s">
        <v>3</v>
      </c>
      <c r="K128" t="s">
        <v>222</v>
      </c>
      <c r="L128">
        <v>1191</v>
      </c>
      <c r="N128">
        <v>1013</v>
      </c>
      <c r="O128" t="s">
        <v>223</v>
      </c>
      <c r="P128" t="s">
        <v>223</v>
      </c>
      <c r="Q128">
        <v>1</v>
      </c>
      <c r="X128">
        <v>15.54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 t="s">
        <v>29</v>
      </c>
      <c r="AG128">
        <v>5.5943999999999994</v>
      </c>
      <c r="AH128">
        <v>2</v>
      </c>
      <c r="AI128">
        <v>55984130</v>
      </c>
      <c r="AJ128">
        <v>105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ROW(Source!A41)</f>
        <v>41</v>
      </c>
      <c r="B129">
        <v>55984137</v>
      </c>
      <c r="C129">
        <v>55984129</v>
      </c>
      <c r="D129">
        <v>55490209</v>
      </c>
      <c r="E129">
        <v>1</v>
      </c>
      <c r="F129">
        <v>1</v>
      </c>
      <c r="G129">
        <v>1081</v>
      </c>
      <c r="H129">
        <v>2</v>
      </c>
      <c r="I129" t="s">
        <v>294</v>
      </c>
      <c r="J129" t="s">
        <v>295</v>
      </c>
      <c r="K129" t="s">
        <v>296</v>
      </c>
      <c r="L129">
        <v>1368</v>
      </c>
      <c r="N129">
        <v>1011</v>
      </c>
      <c r="O129" t="s">
        <v>227</v>
      </c>
      <c r="P129" t="s">
        <v>227</v>
      </c>
      <c r="Q129">
        <v>1</v>
      </c>
      <c r="X129">
        <v>0.01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29</v>
      </c>
      <c r="AG129">
        <v>3.5999999999999999E-3</v>
      </c>
      <c r="AH129">
        <v>2</v>
      </c>
      <c r="AI129">
        <v>55984131</v>
      </c>
      <c r="AJ129">
        <v>106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ROW(Source!A41)</f>
        <v>41</v>
      </c>
      <c r="B130">
        <v>55984138</v>
      </c>
      <c r="C130">
        <v>55984129</v>
      </c>
      <c r="D130">
        <v>55490263</v>
      </c>
      <c r="E130">
        <v>1</v>
      </c>
      <c r="F130">
        <v>1</v>
      </c>
      <c r="G130">
        <v>1081</v>
      </c>
      <c r="H130">
        <v>2</v>
      </c>
      <c r="I130" t="s">
        <v>297</v>
      </c>
      <c r="J130" t="s">
        <v>298</v>
      </c>
      <c r="K130" t="s">
        <v>299</v>
      </c>
      <c r="L130">
        <v>1368</v>
      </c>
      <c r="N130">
        <v>1011</v>
      </c>
      <c r="O130" t="s">
        <v>227</v>
      </c>
      <c r="P130" t="s">
        <v>227</v>
      </c>
      <c r="Q130">
        <v>1</v>
      </c>
      <c r="X130">
        <v>1.87</v>
      </c>
      <c r="Y130">
        <v>0</v>
      </c>
      <c r="Z130">
        <v>0.77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29</v>
      </c>
      <c r="AG130">
        <v>0.67320000000000002</v>
      </c>
      <c r="AH130">
        <v>2</v>
      </c>
      <c r="AI130">
        <v>55984132</v>
      </c>
      <c r="AJ130">
        <v>107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ROW(Source!A41)</f>
        <v>41</v>
      </c>
      <c r="B131">
        <v>55984139</v>
      </c>
      <c r="C131">
        <v>55984129</v>
      </c>
      <c r="D131">
        <v>55490296</v>
      </c>
      <c r="E131">
        <v>1</v>
      </c>
      <c r="F131">
        <v>1</v>
      </c>
      <c r="G131">
        <v>1081</v>
      </c>
      <c r="H131">
        <v>2</v>
      </c>
      <c r="I131" t="s">
        <v>300</v>
      </c>
      <c r="J131" t="s">
        <v>301</v>
      </c>
      <c r="K131" t="s">
        <v>302</v>
      </c>
      <c r="L131">
        <v>1368</v>
      </c>
      <c r="N131">
        <v>1011</v>
      </c>
      <c r="O131" t="s">
        <v>227</v>
      </c>
      <c r="P131" t="s">
        <v>227</v>
      </c>
      <c r="Q131">
        <v>1</v>
      </c>
      <c r="X131">
        <v>0.19</v>
      </c>
      <c r="Y131">
        <v>0</v>
      </c>
      <c r="Z131">
        <v>0.47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29</v>
      </c>
      <c r="AG131">
        <v>6.8399999999999989E-2</v>
      </c>
      <c r="AH131">
        <v>2</v>
      </c>
      <c r="AI131">
        <v>55984133</v>
      </c>
      <c r="AJ131">
        <v>108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ROW(Source!A41)</f>
        <v>41</v>
      </c>
      <c r="B132">
        <v>55984140</v>
      </c>
      <c r="C132">
        <v>55984129</v>
      </c>
      <c r="D132">
        <v>55459340</v>
      </c>
      <c r="E132">
        <v>1</v>
      </c>
      <c r="F132">
        <v>1</v>
      </c>
      <c r="G132">
        <v>1081</v>
      </c>
      <c r="H132">
        <v>3</v>
      </c>
      <c r="I132" t="s">
        <v>303</v>
      </c>
      <c r="J132" t="s">
        <v>304</v>
      </c>
      <c r="K132" t="s">
        <v>305</v>
      </c>
      <c r="L132">
        <v>1354</v>
      </c>
      <c r="N132">
        <v>1010</v>
      </c>
      <c r="O132" t="s">
        <v>293</v>
      </c>
      <c r="P132" t="s">
        <v>293</v>
      </c>
      <c r="Q132">
        <v>1</v>
      </c>
      <c r="X132">
        <v>40</v>
      </c>
      <c r="Y132">
        <v>0.89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28</v>
      </c>
      <c r="AG132">
        <v>0</v>
      </c>
      <c r="AH132">
        <v>2</v>
      </c>
      <c r="AI132">
        <v>55984134</v>
      </c>
      <c r="AJ132">
        <v>109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ROW(Source!A41)</f>
        <v>41</v>
      </c>
      <c r="B133">
        <v>55984141</v>
      </c>
      <c r="C133">
        <v>55984129</v>
      </c>
      <c r="D133">
        <v>55461503</v>
      </c>
      <c r="E133">
        <v>1</v>
      </c>
      <c r="F133">
        <v>1</v>
      </c>
      <c r="G133">
        <v>1081</v>
      </c>
      <c r="H133">
        <v>3</v>
      </c>
      <c r="I133" t="s">
        <v>306</v>
      </c>
      <c r="J133" t="s">
        <v>307</v>
      </c>
      <c r="K133" t="s">
        <v>308</v>
      </c>
      <c r="L133">
        <v>1355</v>
      </c>
      <c r="N133">
        <v>1010</v>
      </c>
      <c r="O133" t="s">
        <v>280</v>
      </c>
      <c r="P133" t="s">
        <v>280</v>
      </c>
      <c r="Q133">
        <v>100</v>
      </c>
      <c r="X133">
        <v>0.4</v>
      </c>
      <c r="Y133">
        <v>17.28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28</v>
      </c>
      <c r="AG133">
        <v>0</v>
      </c>
      <c r="AH133">
        <v>2</v>
      </c>
      <c r="AI133">
        <v>55984135</v>
      </c>
      <c r="AJ133">
        <v>110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ROW(Source!A41)</f>
        <v>41</v>
      </c>
      <c r="B134">
        <v>55984142</v>
      </c>
      <c r="C134">
        <v>55984129</v>
      </c>
      <c r="D134">
        <v>55441140</v>
      </c>
      <c r="E134">
        <v>1081</v>
      </c>
      <c r="F134">
        <v>1</v>
      </c>
      <c r="G134">
        <v>1081</v>
      </c>
      <c r="H134">
        <v>3</v>
      </c>
      <c r="I134" t="s">
        <v>332</v>
      </c>
      <c r="J134" t="s">
        <v>3</v>
      </c>
      <c r="K134" t="s">
        <v>333</v>
      </c>
      <c r="L134">
        <v>1358</v>
      </c>
      <c r="N134">
        <v>1010</v>
      </c>
      <c r="O134" t="s">
        <v>57</v>
      </c>
      <c r="P134" t="s">
        <v>57</v>
      </c>
      <c r="Q134">
        <v>10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28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ROW(Source!A42)</f>
        <v>42</v>
      </c>
      <c r="B135">
        <v>55984150</v>
      </c>
      <c r="C135">
        <v>55984143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221</v>
      </c>
      <c r="J135" t="s">
        <v>3</v>
      </c>
      <c r="K135" t="s">
        <v>222</v>
      </c>
      <c r="L135">
        <v>1191</v>
      </c>
      <c r="N135">
        <v>1013</v>
      </c>
      <c r="O135" t="s">
        <v>223</v>
      </c>
      <c r="P135" t="s">
        <v>223</v>
      </c>
      <c r="Q135">
        <v>1</v>
      </c>
      <c r="X135">
        <v>25.33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29</v>
      </c>
      <c r="AG135">
        <v>9.1187999999999985</v>
      </c>
      <c r="AH135">
        <v>2</v>
      </c>
      <c r="AI135">
        <v>55984144</v>
      </c>
      <c r="AJ135">
        <v>111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ROW(Source!A42)</f>
        <v>42</v>
      </c>
      <c r="B136">
        <v>55984151</v>
      </c>
      <c r="C136">
        <v>55984143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294</v>
      </c>
      <c r="J136" t="s">
        <v>295</v>
      </c>
      <c r="K136" t="s">
        <v>296</v>
      </c>
      <c r="L136">
        <v>1368</v>
      </c>
      <c r="N136">
        <v>1011</v>
      </c>
      <c r="O136" t="s">
        <v>227</v>
      </c>
      <c r="P136" t="s">
        <v>227</v>
      </c>
      <c r="Q136">
        <v>1</v>
      </c>
      <c r="X136">
        <v>0.01</v>
      </c>
      <c r="Y136">
        <v>0</v>
      </c>
      <c r="Z136">
        <v>83.1</v>
      </c>
      <c r="AA136">
        <v>12.62</v>
      </c>
      <c r="AB136">
        <v>0</v>
      </c>
      <c r="AC136">
        <v>0</v>
      </c>
      <c r="AD136">
        <v>1</v>
      </c>
      <c r="AE136">
        <v>0</v>
      </c>
      <c r="AF136" t="s">
        <v>29</v>
      </c>
      <c r="AG136">
        <v>3.5999999999999999E-3</v>
      </c>
      <c r="AH136">
        <v>2</v>
      </c>
      <c r="AI136">
        <v>55984145</v>
      </c>
      <c r="AJ136">
        <v>112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ROW(Source!A42)</f>
        <v>42</v>
      </c>
      <c r="B137">
        <v>55984152</v>
      </c>
      <c r="C137">
        <v>55984143</v>
      </c>
      <c r="D137">
        <v>55490263</v>
      </c>
      <c r="E137">
        <v>1</v>
      </c>
      <c r="F137">
        <v>1</v>
      </c>
      <c r="G137">
        <v>1081</v>
      </c>
      <c r="H137">
        <v>2</v>
      </c>
      <c r="I137" t="s">
        <v>297</v>
      </c>
      <c r="J137" t="s">
        <v>298</v>
      </c>
      <c r="K137" t="s">
        <v>299</v>
      </c>
      <c r="L137">
        <v>1368</v>
      </c>
      <c r="N137">
        <v>1011</v>
      </c>
      <c r="O137" t="s">
        <v>227</v>
      </c>
      <c r="P137" t="s">
        <v>227</v>
      </c>
      <c r="Q137">
        <v>1</v>
      </c>
      <c r="X137">
        <v>1.87</v>
      </c>
      <c r="Y137">
        <v>0</v>
      </c>
      <c r="Z137">
        <v>0.77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29</v>
      </c>
      <c r="AG137">
        <v>0.67320000000000002</v>
      </c>
      <c r="AH137">
        <v>2</v>
      </c>
      <c r="AI137">
        <v>55984146</v>
      </c>
      <c r="AJ137">
        <v>113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ROW(Source!A42)</f>
        <v>42</v>
      </c>
      <c r="B138">
        <v>55984153</v>
      </c>
      <c r="C138">
        <v>55984143</v>
      </c>
      <c r="D138">
        <v>55490296</v>
      </c>
      <c r="E138">
        <v>1</v>
      </c>
      <c r="F138">
        <v>1</v>
      </c>
      <c r="G138">
        <v>1081</v>
      </c>
      <c r="H138">
        <v>2</v>
      </c>
      <c r="I138" t="s">
        <v>300</v>
      </c>
      <c r="J138" t="s">
        <v>301</v>
      </c>
      <c r="K138" t="s">
        <v>302</v>
      </c>
      <c r="L138">
        <v>1368</v>
      </c>
      <c r="N138">
        <v>1011</v>
      </c>
      <c r="O138" t="s">
        <v>227</v>
      </c>
      <c r="P138" t="s">
        <v>227</v>
      </c>
      <c r="Q138">
        <v>1</v>
      </c>
      <c r="X138">
        <v>0.19</v>
      </c>
      <c r="Y138">
        <v>0</v>
      </c>
      <c r="Z138">
        <v>0.47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29</v>
      </c>
      <c r="AG138">
        <v>6.8399999999999989E-2</v>
      </c>
      <c r="AH138">
        <v>2</v>
      </c>
      <c r="AI138">
        <v>55984147</v>
      </c>
      <c r="AJ138">
        <v>114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ROW(Source!A42)</f>
        <v>42</v>
      </c>
      <c r="B139">
        <v>55984154</v>
      </c>
      <c r="C139">
        <v>55984143</v>
      </c>
      <c r="D139">
        <v>55459340</v>
      </c>
      <c r="E139">
        <v>1</v>
      </c>
      <c r="F139">
        <v>1</v>
      </c>
      <c r="G139">
        <v>1081</v>
      </c>
      <c r="H139">
        <v>3</v>
      </c>
      <c r="I139" t="s">
        <v>303</v>
      </c>
      <c r="J139" t="s">
        <v>304</v>
      </c>
      <c r="K139" t="s">
        <v>305</v>
      </c>
      <c r="L139">
        <v>1354</v>
      </c>
      <c r="N139">
        <v>1010</v>
      </c>
      <c r="O139" t="s">
        <v>293</v>
      </c>
      <c r="P139" t="s">
        <v>293</v>
      </c>
      <c r="Q139">
        <v>1</v>
      </c>
      <c r="X139">
        <v>40</v>
      </c>
      <c r="Y139">
        <v>0.89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28</v>
      </c>
      <c r="AG139">
        <v>0</v>
      </c>
      <c r="AH139">
        <v>2</v>
      </c>
      <c r="AI139">
        <v>55984148</v>
      </c>
      <c r="AJ139">
        <v>115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ROW(Source!A42)</f>
        <v>42</v>
      </c>
      <c r="B140">
        <v>55984155</v>
      </c>
      <c r="C140">
        <v>55984143</v>
      </c>
      <c r="D140">
        <v>55461503</v>
      </c>
      <c r="E140">
        <v>1</v>
      </c>
      <c r="F140">
        <v>1</v>
      </c>
      <c r="G140">
        <v>1081</v>
      </c>
      <c r="H140">
        <v>3</v>
      </c>
      <c r="I140" t="s">
        <v>306</v>
      </c>
      <c r="J140" t="s">
        <v>307</v>
      </c>
      <c r="K140" t="s">
        <v>308</v>
      </c>
      <c r="L140">
        <v>1355</v>
      </c>
      <c r="N140">
        <v>1010</v>
      </c>
      <c r="O140" t="s">
        <v>280</v>
      </c>
      <c r="P140" t="s">
        <v>280</v>
      </c>
      <c r="Q140">
        <v>100</v>
      </c>
      <c r="X140">
        <v>0.4</v>
      </c>
      <c r="Y140">
        <v>17.28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28</v>
      </c>
      <c r="AG140">
        <v>0</v>
      </c>
      <c r="AH140">
        <v>2</v>
      </c>
      <c r="AI140">
        <v>55984149</v>
      </c>
      <c r="AJ140">
        <v>116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ROW(Source!A42)</f>
        <v>42</v>
      </c>
      <c r="B141">
        <v>55984156</v>
      </c>
      <c r="C141">
        <v>55984143</v>
      </c>
      <c r="D141">
        <v>55441140</v>
      </c>
      <c r="E141">
        <v>1081</v>
      </c>
      <c r="F141">
        <v>1</v>
      </c>
      <c r="G141">
        <v>1081</v>
      </c>
      <c r="H141">
        <v>3</v>
      </c>
      <c r="I141" t="s">
        <v>332</v>
      </c>
      <c r="J141" t="s">
        <v>3</v>
      </c>
      <c r="K141" t="s">
        <v>334</v>
      </c>
      <c r="L141">
        <v>1358</v>
      </c>
      <c r="N141">
        <v>1010</v>
      </c>
      <c r="O141" t="s">
        <v>57</v>
      </c>
      <c r="P141" t="s">
        <v>57</v>
      </c>
      <c r="Q141">
        <v>10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28</v>
      </c>
      <c r="AG141">
        <v>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ROW(Source!A43)</f>
        <v>43</v>
      </c>
      <c r="B142">
        <v>55984150</v>
      </c>
      <c r="C142">
        <v>55984143</v>
      </c>
      <c r="D142">
        <v>55424304</v>
      </c>
      <c r="E142">
        <v>1081</v>
      </c>
      <c r="F142">
        <v>1</v>
      </c>
      <c r="G142">
        <v>1081</v>
      </c>
      <c r="H142">
        <v>1</v>
      </c>
      <c r="I142" t="s">
        <v>221</v>
      </c>
      <c r="J142" t="s">
        <v>3</v>
      </c>
      <c r="K142" t="s">
        <v>222</v>
      </c>
      <c r="L142">
        <v>1191</v>
      </c>
      <c r="N142">
        <v>1013</v>
      </c>
      <c r="O142" t="s">
        <v>223</v>
      </c>
      <c r="P142" t="s">
        <v>223</v>
      </c>
      <c r="Q142">
        <v>1</v>
      </c>
      <c r="X142">
        <v>25.33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29</v>
      </c>
      <c r="AG142">
        <v>9.1187999999999985</v>
      </c>
      <c r="AH142">
        <v>2</v>
      </c>
      <c r="AI142">
        <v>55984144</v>
      </c>
      <c r="AJ142">
        <v>117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ROW(Source!A43)</f>
        <v>43</v>
      </c>
      <c r="B143">
        <v>55984151</v>
      </c>
      <c r="C143">
        <v>55984143</v>
      </c>
      <c r="D143">
        <v>55490209</v>
      </c>
      <c r="E143">
        <v>1</v>
      </c>
      <c r="F143">
        <v>1</v>
      </c>
      <c r="G143">
        <v>1081</v>
      </c>
      <c r="H143">
        <v>2</v>
      </c>
      <c r="I143" t="s">
        <v>294</v>
      </c>
      <c r="J143" t="s">
        <v>295</v>
      </c>
      <c r="K143" t="s">
        <v>296</v>
      </c>
      <c r="L143">
        <v>1368</v>
      </c>
      <c r="N143">
        <v>1011</v>
      </c>
      <c r="O143" t="s">
        <v>227</v>
      </c>
      <c r="P143" t="s">
        <v>227</v>
      </c>
      <c r="Q143">
        <v>1</v>
      </c>
      <c r="X143">
        <v>0.01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29</v>
      </c>
      <c r="AG143">
        <v>3.5999999999999999E-3</v>
      </c>
      <c r="AH143">
        <v>2</v>
      </c>
      <c r="AI143">
        <v>55984145</v>
      </c>
      <c r="AJ143">
        <v>118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ROW(Source!A43)</f>
        <v>43</v>
      </c>
      <c r="B144">
        <v>55984152</v>
      </c>
      <c r="C144">
        <v>55984143</v>
      </c>
      <c r="D144">
        <v>55490263</v>
      </c>
      <c r="E144">
        <v>1</v>
      </c>
      <c r="F144">
        <v>1</v>
      </c>
      <c r="G144">
        <v>1081</v>
      </c>
      <c r="H144">
        <v>2</v>
      </c>
      <c r="I144" t="s">
        <v>297</v>
      </c>
      <c r="J144" t="s">
        <v>298</v>
      </c>
      <c r="K144" t="s">
        <v>299</v>
      </c>
      <c r="L144">
        <v>1368</v>
      </c>
      <c r="N144">
        <v>1011</v>
      </c>
      <c r="O144" t="s">
        <v>227</v>
      </c>
      <c r="P144" t="s">
        <v>227</v>
      </c>
      <c r="Q144">
        <v>1</v>
      </c>
      <c r="X144">
        <v>1.87</v>
      </c>
      <c r="Y144">
        <v>0</v>
      </c>
      <c r="Z144">
        <v>0.77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29</v>
      </c>
      <c r="AG144">
        <v>0.67320000000000002</v>
      </c>
      <c r="AH144">
        <v>2</v>
      </c>
      <c r="AI144">
        <v>55984146</v>
      </c>
      <c r="AJ144">
        <v>119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ROW(Source!A43)</f>
        <v>43</v>
      </c>
      <c r="B145">
        <v>55984153</v>
      </c>
      <c r="C145">
        <v>55984143</v>
      </c>
      <c r="D145">
        <v>55490296</v>
      </c>
      <c r="E145">
        <v>1</v>
      </c>
      <c r="F145">
        <v>1</v>
      </c>
      <c r="G145">
        <v>1081</v>
      </c>
      <c r="H145">
        <v>2</v>
      </c>
      <c r="I145" t="s">
        <v>300</v>
      </c>
      <c r="J145" t="s">
        <v>301</v>
      </c>
      <c r="K145" t="s">
        <v>302</v>
      </c>
      <c r="L145">
        <v>1368</v>
      </c>
      <c r="N145">
        <v>1011</v>
      </c>
      <c r="O145" t="s">
        <v>227</v>
      </c>
      <c r="P145" t="s">
        <v>227</v>
      </c>
      <c r="Q145">
        <v>1</v>
      </c>
      <c r="X145">
        <v>0.19</v>
      </c>
      <c r="Y145">
        <v>0</v>
      </c>
      <c r="Z145">
        <v>0.47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29</v>
      </c>
      <c r="AG145">
        <v>6.8399999999999989E-2</v>
      </c>
      <c r="AH145">
        <v>2</v>
      </c>
      <c r="AI145">
        <v>55984147</v>
      </c>
      <c r="AJ145">
        <v>120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ROW(Source!A43)</f>
        <v>43</v>
      </c>
      <c r="B146">
        <v>55984154</v>
      </c>
      <c r="C146">
        <v>55984143</v>
      </c>
      <c r="D146">
        <v>55459340</v>
      </c>
      <c r="E146">
        <v>1</v>
      </c>
      <c r="F146">
        <v>1</v>
      </c>
      <c r="G146">
        <v>1081</v>
      </c>
      <c r="H146">
        <v>3</v>
      </c>
      <c r="I146" t="s">
        <v>303</v>
      </c>
      <c r="J146" t="s">
        <v>304</v>
      </c>
      <c r="K146" t="s">
        <v>305</v>
      </c>
      <c r="L146">
        <v>1354</v>
      </c>
      <c r="N146">
        <v>1010</v>
      </c>
      <c r="O146" t="s">
        <v>293</v>
      </c>
      <c r="P146" t="s">
        <v>293</v>
      </c>
      <c r="Q146">
        <v>1</v>
      </c>
      <c r="X146">
        <v>40</v>
      </c>
      <c r="Y146">
        <v>0.89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28</v>
      </c>
      <c r="AG146">
        <v>0</v>
      </c>
      <c r="AH146">
        <v>2</v>
      </c>
      <c r="AI146">
        <v>55984148</v>
      </c>
      <c r="AJ146">
        <v>121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ROW(Source!A43)</f>
        <v>43</v>
      </c>
      <c r="B147">
        <v>55984155</v>
      </c>
      <c r="C147">
        <v>55984143</v>
      </c>
      <c r="D147">
        <v>55461503</v>
      </c>
      <c r="E147">
        <v>1</v>
      </c>
      <c r="F147">
        <v>1</v>
      </c>
      <c r="G147">
        <v>1081</v>
      </c>
      <c r="H147">
        <v>3</v>
      </c>
      <c r="I147" t="s">
        <v>306</v>
      </c>
      <c r="J147" t="s">
        <v>307</v>
      </c>
      <c r="K147" t="s">
        <v>308</v>
      </c>
      <c r="L147">
        <v>1355</v>
      </c>
      <c r="N147">
        <v>1010</v>
      </c>
      <c r="O147" t="s">
        <v>280</v>
      </c>
      <c r="P147" t="s">
        <v>280</v>
      </c>
      <c r="Q147">
        <v>100</v>
      </c>
      <c r="X147">
        <v>0.4</v>
      </c>
      <c r="Y147">
        <v>17.28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28</v>
      </c>
      <c r="AG147">
        <v>0</v>
      </c>
      <c r="AH147">
        <v>2</v>
      </c>
      <c r="AI147">
        <v>55984149</v>
      </c>
      <c r="AJ147">
        <v>122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ROW(Source!A43)</f>
        <v>43</v>
      </c>
      <c r="B148">
        <v>55984156</v>
      </c>
      <c r="C148">
        <v>55984143</v>
      </c>
      <c r="D148">
        <v>55441140</v>
      </c>
      <c r="E148">
        <v>1081</v>
      </c>
      <c r="F148">
        <v>1</v>
      </c>
      <c r="G148">
        <v>1081</v>
      </c>
      <c r="H148">
        <v>3</v>
      </c>
      <c r="I148" t="s">
        <v>332</v>
      </c>
      <c r="J148" t="s">
        <v>3</v>
      </c>
      <c r="K148" t="s">
        <v>334</v>
      </c>
      <c r="L148">
        <v>1358</v>
      </c>
      <c r="N148">
        <v>1010</v>
      </c>
      <c r="O148" t="s">
        <v>57</v>
      </c>
      <c r="P148" t="s">
        <v>57</v>
      </c>
      <c r="Q148">
        <v>10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28</v>
      </c>
      <c r="AG148">
        <v>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ROW(Source!A79)</f>
        <v>79</v>
      </c>
      <c r="B149">
        <v>55934540</v>
      </c>
      <c r="C149">
        <v>55934539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221</v>
      </c>
      <c r="J149" t="s">
        <v>3</v>
      </c>
      <c r="K149" t="s">
        <v>222</v>
      </c>
      <c r="L149">
        <v>1191</v>
      </c>
      <c r="N149">
        <v>1013</v>
      </c>
      <c r="O149" t="s">
        <v>223</v>
      </c>
      <c r="P149" t="s">
        <v>223</v>
      </c>
      <c r="Q149">
        <v>1</v>
      </c>
      <c r="X149">
        <v>6.2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121</v>
      </c>
      <c r="AG149">
        <v>7.4399999999999995</v>
      </c>
      <c r="AH149">
        <v>2</v>
      </c>
      <c r="AI149">
        <v>55934540</v>
      </c>
      <c r="AJ149">
        <v>123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ROW(Source!A79)</f>
        <v>79</v>
      </c>
      <c r="B150">
        <v>55934541</v>
      </c>
      <c r="C150">
        <v>55934539</v>
      </c>
      <c r="D150">
        <v>55489513</v>
      </c>
      <c r="E150">
        <v>1</v>
      </c>
      <c r="F150">
        <v>1</v>
      </c>
      <c r="G150">
        <v>1081</v>
      </c>
      <c r="H150">
        <v>2</v>
      </c>
      <c r="I150" t="s">
        <v>224</v>
      </c>
      <c r="J150" t="s">
        <v>225</v>
      </c>
      <c r="K150" t="s">
        <v>226</v>
      </c>
      <c r="L150">
        <v>1368</v>
      </c>
      <c r="N150">
        <v>1011</v>
      </c>
      <c r="O150" t="s">
        <v>227</v>
      </c>
      <c r="P150" t="s">
        <v>227</v>
      </c>
      <c r="Q150">
        <v>1</v>
      </c>
      <c r="X150">
        <v>0.25</v>
      </c>
      <c r="Y150">
        <v>0</v>
      </c>
      <c r="Z150">
        <v>114.83</v>
      </c>
      <c r="AA150">
        <v>12.62</v>
      </c>
      <c r="AB150">
        <v>0</v>
      </c>
      <c r="AC150">
        <v>0</v>
      </c>
      <c r="AD150">
        <v>1</v>
      </c>
      <c r="AE150">
        <v>0</v>
      </c>
      <c r="AF150" t="s">
        <v>121</v>
      </c>
      <c r="AG150">
        <v>0.3</v>
      </c>
      <c r="AH150">
        <v>2</v>
      </c>
      <c r="AI150">
        <v>55934541</v>
      </c>
      <c r="AJ150">
        <v>124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ROW(Source!A79)</f>
        <v>79</v>
      </c>
      <c r="B151">
        <v>55934542</v>
      </c>
      <c r="C151">
        <v>55934539</v>
      </c>
      <c r="D151">
        <v>55461719</v>
      </c>
      <c r="E151">
        <v>1</v>
      </c>
      <c r="F151">
        <v>1</v>
      </c>
      <c r="G151">
        <v>1081</v>
      </c>
      <c r="H151">
        <v>3</v>
      </c>
      <c r="I151" t="s">
        <v>229</v>
      </c>
      <c r="J151" t="s">
        <v>230</v>
      </c>
      <c r="K151" t="s">
        <v>231</v>
      </c>
      <c r="L151">
        <v>1348</v>
      </c>
      <c r="N151">
        <v>1009</v>
      </c>
      <c r="O151" t="s">
        <v>232</v>
      </c>
      <c r="P151" t="s">
        <v>232</v>
      </c>
      <c r="Q151">
        <v>1000</v>
      </c>
      <c r="X151">
        <v>1.1000000000000001E-3</v>
      </c>
      <c r="Y151">
        <v>10643.18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120</v>
      </c>
      <c r="AG151">
        <v>1.1000000000000001E-3</v>
      </c>
      <c r="AH151">
        <v>2</v>
      </c>
      <c r="AI151">
        <v>55934542</v>
      </c>
      <c r="AJ151">
        <v>125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ROW(Source!A79)</f>
        <v>79</v>
      </c>
      <c r="B152">
        <v>55934543</v>
      </c>
      <c r="C152">
        <v>55934539</v>
      </c>
      <c r="D152">
        <v>55459793</v>
      </c>
      <c r="E152">
        <v>1</v>
      </c>
      <c r="F152">
        <v>1</v>
      </c>
      <c r="G152">
        <v>1081</v>
      </c>
      <c r="H152">
        <v>3</v>
      </c>
      <c r="I152" t="s">
        <v>233</v>
      </c>
      <c r="J152" t="s">
        <v>234</v>
      </c>
      <c r="K152" t="s">
        <v>235</v>
      </c>
      <c r="L152">
        <v>1348</v>
      </c>
      <c r="N152">
        <v>1009</v>
      </c>
      <c r="O152" t="s">
        <v>232</v>
      </c>
      <c r="P152" t="s">
        <v>232</v>
      </c>
      <c r="Q152">
        <v>1000</v>
      </c>
      <c r="X152">
        <v>1.0000000000000001E-5</v>
      </c>
      <c r="Y152">
        <v>64123.05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120</v>
      </c>
      <c r="AG152">
        <v>1.0000000000000001E-5</v>
      </c>
      <c r="AH152">
        <v>2</v>
      </c>
      <c r="AI152">
        <v>55934543</v>
      </c>
      <c r="AJ152">
        <v>126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ROW(Source!A79)</f>
        <v>79</v>
      </c>
      <c r="B153">
        <v>55934544</v>
      </c>
      <c r="C153">
        <v>55934539</v>
      </c>
      <c r="D153">
        <v>55448114</v>
      </c>
      <c r="E153">
        <v>1081</v>
      </c>
      <c r="F153">
        <v>1</v>
      </c>
      <c r="G153">
        <v>1081</v>
      </c>
      <c r="H153">
        <v>3</v>
      </c>
      <c r="I153" t="s">
        <v>317</v>
      </c>
      <c r="J153" t="s">
        <v>3</v>
      </c>
      <c r="K153" t="s">
        <v>318</v>
      </c>
      <c r="L153">
        <v>1354</v>
      </c>
      <c r="N153">
        <v>1010</v>
      </c>
      <c r="O153" t="s">
        <v>293</v>
      </c>
      <c r="P153" t="s">
        <v>293</v>
      </c>
      <c r="Q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120</v>
      </c>
      <c r="AG153">
        <v>1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ROW(Source!A80)</f>
        <v>80</v>
      </c>
      <c r="B154">
        <v>55934540</v>
      </c>
      <c r="C154">
        <v>55934539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221</v>
      </c>
      <c r="J154" t="s">
        <v>3</v>
      </c>
      <c r="K154" t="s">
        <v>222</v>
      </c>
      <c r="L154">
        <v>1191</v>
      </c>
      <c r="N154">
        <v>1013</v>
      </c>
      <c r="O154" t="s">
        <v>223</v>
      </c>
      <c r="P154" t="s">
        <v>223</v>
      </c>
      <c r="Q154">
        <v>1</v>
      </c>
      <c r="X154">
        <v>6.2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121</v>
      </c>
      <c r="AG154">
        <v>7.4399999999999995</v>
      </c>
      <c r="AH154">
        <v>2</v>
      </c>
      <c r="AI154">
        <v>55934540</v>
      </c>
      <c r="AJ154">
        <v>128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ROW(Source!A80)</f>
        <v>80</v>
      </c>
      <c r="B155">
        <v>55934541</v>
      </c>
      <c r="C155">
        <v>55934539</v>
      </c>
      <c r="D155">
        <v>55489513</v>
      </c>
      <c r="E155">
        <v>1</v>
      </c>
      <c r="F155">
        <v>1</v>
      </c>
      <c r="G155">
        <v>1081</v>
      </c>
      <c r="H155">
        <v>2</v>
      </c>
      <c r="I155" t="s">
        <v>224</v>
      </c>
      <c r="J155" t="s">
        <v>225</v>
      </c>
      <c r="K155" t="s">
        <v>226</v>
      </c>
      <c r="L155">
        <v>1368</v>
      </c>
      <c r="N155">
        <v>1011</v>
      </c>
      <c r="O155" t="s">
        <v>227</v>
      </c>
      <c r="P155" t="s">
        <v>227</v>
      </c>
      <c r="Q155">
        <v>1</v>
      </c>
      <c r="X155">
        <v>0.25</v>
      </c>
      <c r="Y155">
        <v>0</v>
      </c>
      <c r="Z155">
        <v>114.83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121</v>
      </c>
      <c r="AG155">
        <v>0.3</v>
      </c>
      <c r="AH155">
        <v>2</v>
      </c>
      <c r="AI155">
        <v>55934541</v>
      </c>
      <c r="AJ155">
        <v>129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ROW(Source!A80)</f>
        <v>80</v>
      </c>
      <c r="B156">
        <v>55934542</v>
      </c>
      <c r="C156">
        <v>55934539</v>
      </c>
      <c r="D156">
        <v>55461719</v>
      </c>
      <c r="E156">
        <v>1</v>
      </c>
      <c r="F156">
        <v>1</v>
      </c>
      <c r="G156">
        <v>1081</v>
      </c>
      <c r="H156">
        <v>3</v>
      </c>
      <c r="I156" t="s">
        <v>229</v>
      </c>
      <c r="J156" t="s">
        <v>230</v>
      </c>
      <c r="K156" t="s">
        <v>231</v>
      </c>
      <c r="L156">
        <v>1348</v>
      </c>
      <c r="N156">
        <v>1009</v>
      </c>
      <c r="O156" t="s">
        <v>232</v>
      </c>
      <c r="P156" t="s">
        <v>232</v>
      </c>
      <c r="Q156">
        <v>1000</v>
      </c>
      <c r="X156">
        <v>1.1000000000000001E-3</v>
      </c>
      <c r="Y156">
        <v>10643.18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120</v>
      </c>
      <c r="AG156">
        <v>1.1000000000000001E-3</v>
      </c>
      <c r="AH156">
        <v>2</v>
      </c>
      <c r="AI156">
        <v>55934542</v>
      </c>
      <c r="AJ156">
        <v>130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ROW(Source!A80)</f>
        <v>80</v>
      </c>
      <c r="B157">
        <v>55934543</v>
      </c>
      <c r="C157">
        <v>55934539</v>
      </c>
      <c r="D157">
        <v>55459793</v>
      </c>
      <c r="E157">
        <v>1</v>
      </c>
      <c r="F157">
        <v>1</v>
      </c>
      <c r="G157">
        <v>1081</v>
      </c>
      <c r="H157">
        <v>3</v>
      </c>
      <c r="I157" t="s">
        <v>233</v>
      </c>
      <c r="J157" t="s">
        <v>234</v>
      </c>
      <c r="K157" t="s">
        <v>235</v>
      </c>
      <c r="L157">
        <v>1348</v>
      </c>
      <c r="N157">
        <v>1009</v>
      </c>
      <c r="O157" t="s">
        <v>232</v>
      </c>
      <c r="P157" t="s">
        <v>232</v>
      </c>
      <c r="Q157">
        <v>1000</v>
      </c>
      <c r="X157">
        <v>1.0000000000000001E-5</v>
      </c>
      <c r="Y157">
        <v>64123.05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120</v>
      </c>
      <c r="AG157">
        <v>1.0000000000000001E-5</v>
      </c>
      <c r="AH157">
        <v>2</v>
      </c>
      <c r="AI157">
        <v>55934543</v>
      </c>
      <c r="AJ157">
        <v>131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ROW(Source!A80)</f>
        <v>80</v>
      </c>
      <c r="B158">
        <v>55934544</v>
      </c>
      <c r="C158">
        <v>55934539</v>
      </c>
      <c r="D158">
        <v>55448114</v>
      </c>
      <c r="E158">
        <v>1081</v>
      </c>
      <c r="F158">
        <v>1</v>
      </c>
      <c r="G158">
        <v>1081</v>
      </c>
      <c r="H158">
        <v>3</v>
      </c>
      <c r="I158" t="s">
        <v>317</v>
      </c>
      <c r="J158" t="s">
        <v>3</v>
      </c>
      <c r="K158" t="s">
        <v>318</v>
      </c>
      <c r="L158">
        <v>1354</v>
      </c>
      <c r="N158">
        <v>1010</v>
      </c>
      <c r="O158" t="s">
        <v>293</v>
      </c>
      <c r="P158" t="s">
        <v>293</v>
      </c>
      <c r="Q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120</v>
      </c>
      <c r="AG158">
        <v>1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ROW(Source!A83)</f>
        <v>83</v>
      </c>
      <c r="B159">
        <v>55934573</v>
      </c>
      <c r="C159">
        <v>55934571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221</v>
      </c>
      <c r="J159" t="s">
        <v>3</v>
      </c>
      <c r="K159" t="s">
        <v>222</v>
      </c>
      <c r="L159">
        <v>1191</v>
      </c>
      <c r="N159">
        <v>1013</v>
      </c>
      <c r="O159" t="s">
        <v>223</v>
      </c>
      <c r="P159" t="s">
        <v>223</v>
      </c>
      <c r="Q159">
        <v>1</v>
      </c>
      <c r="X159">
        <v>23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121</v>
      </c>
      <c r="AG159">
        <v>27.599999999999998</v>
      </c>
      <c r="AH159">
        <v>2</v>
      </c>
      <c r="AI159">
        <v>55934572</v>
      </c>
      <c r="AJ159">
        <v>133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ROW(Source!A84)</f>
        <v>84</v>
      </c>
      <c r="B160">
        <v>55934573</v>
      </c>
      <c r="C160">
        <v>55934571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221</v>
      </c>
      <c r="J160" t="s">
        <v>3</v>
      </c>
      <c r="K160" t="s">
        <v>222</v>
      </c>
      <c r="L160">
        <v>1191</v>
      </c>
      <c r="N160">
        <v>1013</v>
      </c>
      <c r="O160" t="s">
        <v>223</v>
      </c>
      <c r="P160" t="s">
        <v>223</v>
      </c>
      <c r="Q160">
        <v>1</v>
      </c>
      <c r="X160">
        <v>23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121</v>
      </c>
      <c r="AG160">
        <v>27.599999999999998</v>
      </c>
      <c r="AH160">
        <v>2</v>
      </c>
      <c r="AI160">
        <v>55934572</v>
      </c>
      <c r="AJ160">
        <v>134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ROW(Source!A85)</f>
        <v>85</v>
      </c>
      <c r="B161">
        <v>55934581</v>
      </c>
      <c r="C161">
        <v>55934580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221</v>
      </c>
      <c r="J161" t="s">
        <v>3</v>
      </c>
      <c r="K161" t="s">
        <v>222</v>
      </c>
      <c r="L161">
        <v>1191</v>
      </c>
      <c r="N161">
        <v>1013</v>
      </c>
      <c r="O161" t="s">
        <v>223</v>
      </c>
      <c r="P161" t="s">
        <v>223</v>
      </c>
      <c r="Q161">
        <v>1</v>
      </c>
      <c r="X161">
        <v>8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121</v>
      </c>
      <c r="AG161">
        <v>9.6</v>
      </c>
      <c r="AH161">
        <v>2</v>
      </c>
      <c r="AI161">
        <v>55934581</v>
      </c>
      <c r="AJ161">
        <v>135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ROW(Source!A85)</f>
        <v>85</v>
      </c>
      <c r="B162">
        <v>55934582</v>
      </c>
      <c r="C162">
        <v>55934580</v>
      </c>
      <c r="D162">
        <v>55459792</v>
      </c>
      <c r="E162">
        <v>1</v>
      </c>
      <c r="F162">
        <v>1</v>
      </c>
      <c r="G162">
        <v>1081</v>
      </c>
      <c r="H162">
        <v>3</v>
      </c>
      <c r="I162" t="s">
        <v>236</v>
      </c>
      <c r="J162" t="s">
        <v>237</v>
      </c>
      <c r="K162" t="s">
        <v>238</v>
      </c>
      <c r="L162">
        <v>1348</v>
      </c>
      <c r="N162">
        <v>1009</v>
      </c>
      <c r="O162" t="s">
        <v>232</v>
      </c>
      <c r="P162" t="s">
        <v>232</v>
      </c>
      <c r="Q162">
        <v>1000</v>
      </c>
      <c r="X162">
        <v>1.0000000000000001E-5</v>
      </c>
      <c r="Y162">
        <v>60960.43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120</v>
      </c>
      <c r="AG162">
        <v>1.0000000000000001E-5</v>
      </c>
      <c r="AH162">
        <v>2</v>
      </c>
      <c r="AI162">
        <v>55934582</v>
      </c>
      <c r="AJ162">
        <v>136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ROW(Source!A85)</f>
        <v>85</v>
      </c>
      <c r="B163">
        <v>55934583</v>
      </c>
      <c r="C163">
        <v>55934580</v>
      </c>
      <c r="D163">
        <v>55466338</v>
      </c>
      <c r="E163">
        <v>1</v>
      </c>
      <c r="F163">
        <v>1</v>
      </c>
      <c r="G163">
        <v>1081</v>
      </c>
      <c r="H163">
        <v>3</v>
      </c>
      <c r="I163" t="s">
        <v>239</v>
      </c>
      <c r="J163" t="s">
        <v>240</v>
      </c>
      <c r="K163" t="s">
        <v>241</v>
      </c>
      <c r="L163">
        <v>1349</v>
      </c>
      <c r="N163">
        <v>1009</v>
      </c>
      <c r="O163" t="s">
        <v>242</v>
      </c>
      <c r="P163" t="s">
        <v>242</v>
      </c>
      <c r="Q163">
        <v>1E-3</v>
      </c>
      <c r="X163">
        <v>0.5</v>
      </c>
      <c r="Y163">
        <v>7.0000000000000007E-2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120</v>
      </c>
      <c r="AG163">
        <v>0.5</v>
      </c>
      <c r="AH163">
        <v>2</v>
      </c>
      <c r="AI163">
        <v>55934583</v>
      </c>
      <c r="AJ163">
        <v>137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ROW(Source!A85)</f>
        <v>85</v>
      </c>
      <c r="B164">
        <v>55934584</v>
      </c>
      <c r="C164">
        <v>55934580</v>
      </c>
      <c r="D164">
        <v>55482203</v>
      </c>
      <c r="E164">
        <v>1</v>
      </c>
      <c r="F164">
        <v>1</v>
      </c>
      <c r="G164">
        <v>1081</v>
      </c>
      <c r="H164">
        <v>3</v>
      </c>
      <c r="I164" t="s">
        <v>243</v>
      </c>
      <c r="J164" t="s">
        <v>244</v>
      </c>
      <c r="K164" t="s">
        <v>245</v>
      </c>
      <c r="L164">
        <v>1356</v>
      </c>
      <c r="N164">
        <v>1010</v>
      </c>
      <c r="O164" t="s">
        <v>246</v>
      </c>
      <c r="P164" t="s">
        <v>246</v>
      </c>
      <c r="Q164">
        <v>1000</v>
      </c>
      <c r="X164">
        <v>2E-3</v>
      </c>
      <c r="Y164">
        <v>226.66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120</v>
      </c>
      <c r="AG164">
        <v>2E-3</v>
      </c>
      <c r="AH164">
        <v>2</v>
      </c>
      <c r="AI164">
        <v>55934584</v>
      </c>
      <c r="AJ164">
        <v>138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ROW(Source!A85)</f>
        <v>85</v>
      </c>
      <c r="B165">
        <v>55934585</v>
      </c>
      <c r="C165">
        <v>55934580</v>
      </c>
      <c r="D165">
        <v>55433412</v>
      </c>
      <c r="E165">
        <v>1081</v>
      </c>
      <c r="F165">
        <v>1</v>
      </c>
      <c r="G165">
        <v>1081</v>
      </c>
      <c r="H165">
        <v>3</v>
      </c>
      <c r="I165" t="s">
        <v>319</v>
      </c>
      <c r="J165" t="s">
        <v>3</v>
      </c>
      <c r="K165" t="s">
        <v>320</v>
      </c>
      <c r="L165">
        <v>1354</v>
      </c>
      <c r="N165">
        <v>1010</v>
      </c>
      <c r="O165" t="s">
        <v>293</v>
      </c>
      <c r="P165" t="s">
        <v>293</v>
      </c>
      <c r="Q165">
        <v>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120</v>
      </c>
      <c r="AG165">
        <v>2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ROW(Source!A85)</f>
        <v>85</v>
      </c>
      <c r="B166">
        <v>55934586</v>
      </c>
      <c r="C166">
        <v>55934580</v>
      </c>
      <c r="D166">
        <v>55455547</v>
      </c>
      <c r="E166">
        <v>1081</v>
      </c>
      <c r="F166">
        <v>1</v>
      </c>
      <c r="G166">
        <v>1081</v>
      </c>
      <c r="H166">
        <v>3</v>
      </c>
      <c r="I166" t="s">
        <v>321</v>
      </c>
      <c r="J166" t="s">
        <v>3</v>
      </c>
      <c r="K166" t="s">
        <v>322</v>
      </c>
      <c r="L166">
        <v>1052</v>
      </c>
      <c r="N166">
        <v>1013</v>
      </c>
      <c r="O166" t="s">
        <v>323</v>
      </c>
      <c r="P166" t="s">
        <v>323</v>
      </c>
      <c r="Q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120</v>
      </c>
      <c r="AG166">
        <v>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ROW(Source!A85)</f>
        <v>85</v>
      </c>
      <c r="B167">
        <v>55934587</v>
      </c>
      <c r="C167">
        <v>55934580</v>
      </c>
      <c r="D167">
        <v>55424290</v>
      </c>
      <c r="E167">
        <v>1081</v>
      </c>
      <c r="F167">
        <v>1</v>
      </c>
      <c r="G167">
        <v>1081</v>
      </c>
      <c r="H167">
        <v>3</v>
      </c>
      <c r="I167" t="s">
        <v>247</v>
      </c>
      <c r="J167" t="s">
        <v>3</v>
      </c>
      <c r="K167" t="s">
        <v>248</v>
      </c>
      <c r="L167">
        <v>1348</v>
      </c>
      <c r="N167">
        <v>1009</v>
      </c>
      <c r="O167" t="s">
        <v>232</v>
      </c>
      <c r="P167" t="s">
        <v>232</v>
      </c>
      <c r="Q167">
        <v>1000</v>
      </c>
      <c r="X167">
        <v>3.4000000000000002E-2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120</v>
      </c>
      <c r="AG167">
        <v>3.4000000000000002E-2</v>
      </c>
      <c r="AH167">
        <v>2</v>
      </c>
      <c r="AI167">
        <v>55934587</v>
      </c>
      <c r="AJ167">
        <v>139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ROW(Source!A86)</f>
        <v>86</v>
      </c>
      <c r="B168">
        <v>55934581</v>
      </c>
      <c r="C168">
        <v>55934580</v>
      </c>
      <c r="D168">
        <v>55424304</v>
      </c>
      <c r="E168">
        <v>1081</v>
      </c>
      <c r="F168">
        <v>1</v>
      </c>
      <c r="G168">
        <v>1081</v>
      </c>
      <c r="H168">
        <v>1</v>
      </c>
      <c r="I168" t="s">
        <v>221</v>
      </c>
      <c r="J168" t="s">
        <v>3</v>
      </c>
      <c r="K168" t="s">
        <v>222</v>
      </c>
      <c r="L168">
        <v>1191</v>
      </c>
      <c r="N168">
        <v>1013</v>
      </c>
      <c r="O168" t="s">
        <v>223</v>
      </c>
      <c r="P168" t="s">
        <v>223</v>
      </c>
      <c r="Q168">
        <v>1</v>
      </c>
      <c r="X168">
        <v>8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121</v>
      </c>
      <c r="AG168">
        <v>9.6</v>
      </c>
      <c r="AH168">
        <v>2</v>
      </c>
      <c r="AI168">
        <v>55934581</v>
      </c>
      <c r="AJ168">
        <v>140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ROW(Source!A86)</f>
        <v>86</v>
      </c>
      <c r="B169">
        <v>55934582</v>
      </c>
      <c r="C169">
        <v>55934580</v>
      </c>
      <c r="D169">
        <v>55459792</v>
      </c>
      <c r="E169">
        <v>1</v>
      </c>
      <c r="F169">
        <v>1</v>
      </c>
      <c r="G169">
        <v>1081</v>
      </c>
      <c r="H169">
        <v>3</v>
      </c>
      <c r="I169" t="s">
        <v>236</v>
      </c>
      <c r="J169" t="s">
        <v>237</v>
      </c>
      <c r="K169" t="s">
        <v>238</v>
      </c>
      <c r="L169">
        <v>1348</v>
      </c>
      <c r="N169">
        <v>1009</v>
      </c>
      <c r="O169" t="s">
        <v>232</v>
      </c>
      <c r="P169" t="s">
        <v>232</v>
      </c>
      <c r="Q169">
        <v>1000</v>
      </c>
      <c r="X169">
        <v>1.0000000000000001E-5</v>
      </c>
      <c r="Y169">
        <v>60960.43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120</v>
      </c>
      <c r="AG169">
        <v>1.0000000000000001E-5</v>
      </c>
      <c r="AH169">
        <v>2</v>
      </c>
      <c r="AI169">
        <v>55934582</v>
      </c>
      <c r="AJ169">
        <v>141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ROW(Source!A86)</f>
        <v>86</v>
      </c>
      <c r="B170">
        <v>55934583</v>
      </c>
      <c r="C170">
        <v>55934580</v>
      </c>
      <c r="D170">
        <v>55466338</v>
      </c>
      <c r="E170">
        <v>1</v>
      </c>
      <c r="F170">
        <v>1</v>
      </c>
      <c r="G170">
        <v>1081</v>
      </c>
      <c r="H170">
        <v>3</v>
      </c>
      <c r="I170" t="s">
        <v>239</v>
      </c>
      <c r="J170" t="s">
        <v>240</v>
      </c>
      <c r="K170" t="s">
        <v>241</v>
      </c>
      <c r="L170">
        <v>1349</v>
      </c>
      <c r="N170">
        <v>1009</v>
      </c>
      <c r="O170" t="s">
        <v>242</v>
      </c>
      <c r="P170" t="s">
        <v>242</v>
      </c>
      <c r="Q170">
        <v>1E-3</v>
      </c>
      <c r="X170">
        <v>0.5</v>
      </c>
      <c r="Y170">
        <v>7.0000000000000007E-2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120</v>
      </c>
      <c r="AG170">
        <v>0.5</v>
      </c>
      <c r="AH170">
        <v>2</v>
      </c>
      <c r="AI170">
        <v>55934583</v>
      </c>
      <c r="AJ170">
        <v>142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ROW(Source!A86)</f>
        <v>86</v>
      </c>
      <c r="B171">
        <v>55934584</v>
      </c>
      <c r="C171">
        <v>55934580</v>
      </c>
      <c r="D171">
        <v>55482203</v>
      </c>
      <c r="E171">
        <v>1</v>
      </c>
      <c r="F171">
        <v>1</v>
      </c>
      <c r="G171">
        <v>1081</v>
      </c>
      <c r="H171">
        <v>3</v>
      </c>
      <c r="I171" t="s">
        <v>243</v>
      </c>
      <c r="J171" t="s">
        <v>244</v>
      </c>
      <c r="K171" t="s">
        <v>245</v>
      </c>
      <c r="L171">
        <v>1356</v>
      </c>
      <c r="N171">
        <v>1010</v>
      </c>
      <c r="O171" t="s">
        <v>246</v>
      </c>
      <c r="P171" t="s">
        <v>246</v>
      </c>
      <c r="Q171">
        <v>1000</v>
      </c>
      <c r="X171">
        <v>2E-3</v>
      </c>
      <c r="Y171">
        <v>226.66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120</v>
      </c>
      <c r="AG171">
        <v>2E-3</v>
      </c>
      <c r="AH171">
        <v>2</v>
      </c>
      <c r="AI171">
        <v>55934584</v>
      </c>
      <c r="AJ171">
        <v>143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ROW(Source!A86)</f>
        <v>86</v>
      </c>
      <c r="B172">
        <v>55934585</v>
      </c>
      <c r="C172">
        <v>55934580</v>
      </c>
      <c r="D172">
        <v>55433412</v>
      </c>
      <c r="E172">
        <v>1081</v>
      </c>
      <c r="F172">
        <v>1</v>
      </c>
      <c r="G172">
        <v>1081</v>
      </c>
      <c r="H172">
        <v>3</v>
      </c>
      <c r="I172" t="s">
        <v>319</v>
      </c>
      <c r="J172" t="s">
        <v>3</v>
      </c>
      <c r="K172" t="s">
        <v>320</v>
      </c>
      <c r="L172">
        <v>1354</v>
      </c>
      <c r="N172">
        <v>1010</v>
      </c>
      <c r="O172" t="s">
        <v>293</v>
      </c>
      <c r="P172" t="s">
        <v>293</v>
      </c>
      <c r="Q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120</v>
      </c>
      <c r="AG172">
        <v>2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ROW(Source!A86)</f>
        <v>86</v>
      </c>
      <c r="B173">
        <v>55934586</v>
      </c>
      <c r="C173">
        <v>55934580</v>
      </c>
      <c r="D173">
        <v>55455547</v>
      </c>
      <c r="E173">
        <v>1081</v>
      </c>
      <c r="F173">
        <v>1</v>
      </c>
      <c r="G173">
        <v>1081</v>
      </c>
      <c r="H173">
        <v>3</v>
      </c>
      <c r="I173" t="s">
        <v>321</v>
      </c>
      <c r="J173" t="s">
        <v>3</v>
      </c>
      <c r="K173" t="s">
        <v>322</v>
      </c>
      <c r="L173">
        <v>1052</v>
      </c>
      <c r="N173">
        <v>1013</v>
      </c>
      <c r="O173" t="s">
        <v>323</v>
      </c>
      <c r="P173" t="s">
        <v>323</v>
      </c>
      <c r="Q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120</v>
      </c>
      <c r="AG173">
        <v>1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ROW(Source!A86)</f>
        <v>86</v>
      </c>
      <c r="B174">
        <v>55934587</v>
      </c>
      <c r="C174">
        <v>55934580</v>
      </c>
      <c r="D174">
        <v>55424290</v>
      </c>
      <c r="E174">
        <v>1081</v>
      </c>
      <c r="F174">
        <v>1</v>
      </c>
      <c r="G174">
        <v>1081</v>
      </c>
      <c r="H174">
        <v>3</v>
      </c>
      <c r="I174" t="s">
        <v>247</v>
      </c>
      <c r="J174" t="s">
        <v>3</v>
      </c>
      <c r="K174" t="s">
        <v>248</v>
      </c>
      <c r="L174">
        <v>1348</v>
      </c>
      <c r="N174">
        <v>1009</v>
      </c>
      <c r="O174" t="s">
        <v>232</v>
      </c>
      <c r="P174" t="s">
        <v>232</v>
      </c>
      <c r="Q174">
        <v>1000</v>
      </c>
      <c r="X174">
        <v>3.4000000000000002E-2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120</v>
      </c>
      <c r="AG174">
        <v>3.4000000000000002E-2</v>
      </c>
      <c r="AH174">
        <v>2</v>
      </c>
      <c r="AI174">
        <v>55934587</v>
      </c>
      <c r="AJ174">
        <v>144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ROW(Source!A91)</f>
        <v>91</v>
      </c>
      <c r="B175">
        <v>55934602</v>
      </c>
      <c r="C175">
        <v>55934592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221</v>
      </c>
      <c r="J175" t="s">
        <v>3</v>
      </c>
      <c r="K175" t="s">
        <v>222</v>
      </c>
      <c r="L175">
        <v>1191</v>
      </c>
      <c r="N175">
        <v>1013</v>
      </c>
      <c r="O175" t="s">
        <v>223</v>
      </c>
      <c r="P175" t="s">
        <v>223</v>
      </c>
      <c r="Q175">
        <v>1</v>
      </c>
      <c r="X175">
        <v>6.2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121</v>
      </c>
      <c r="AG175">
        <v>7.4399999999999995</v>
      </c>
      <c r="AH175">
        <v>2</v>
      </c>
      <c r="AI175">
        <v>55934602</v>
      </c>
      <c r="AJ175">
        <v>145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ROW(Source!A91)</f>
        <v>91</v>
      </c>
      <c r="B176">
        <v>55934603</v>
      </c>
      <c r="C176">
        <v>55934592</v>
      </c>
      <c r="D176">
        <v>55489513</v>
      </c>
      <c r="E176">
        <v>1</v>
      </c>
      <c r="F176">
        <v>1</v>
      </c>
      <c r="G176">
        <v>1081</v>
      </c>
      <c r="H176">
        <v>2</v>
      </c>
      <c r="I176" t="s">
        <v>224</v>
      </c>
      <c r="J176" t="s">
        <v>225</v>
      </c>
      <c r="K176" t="s">
        <v>226</v>
      </c>
      <c r="L176">
        <v>1368</v>
      </c>
      <c r="N176">
        <v>1011</v>
      </c>
      <c r="O176" t="s">
        <v>227</v>
      </c>
      <c r="P176" t="s">
        <v>227</v>
      </c>
      <c r="Q176">
        <v>1</v>
      </c>
      <c r="X176">
        <v>0.25</v>
      </c>
      <c r="Y176">
        <v>0</v>
      </c>
      <c r="Z176">
        <v>114.83</v>
      </c>
      <c r="AA176">
        <v>12.62</v>
      </c>
      <c r="AB176">
        <v>0</v>
      </c>
      <c r="AC176">
        <v>0</v>
      </c>
      <c r="AD176">
        <v>1</v>
      </c>
      <c r="AE176">
        <v>0</v>
      </c>
      <c r="AF176" t="s">
        <v>121</v>
      </c>
      <c r="AG176">
        <v>0.3</v>
      </c>
      <c r="AH176">
        <v>2</v>
      </c>
      <c r="AI176">
        <v>55934603</v>
      </c>
      <c r="AJ176">
        <v>146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ROW(Source!A91)</f>
        <v>91</v>
      </c>
      <c r="B177">
        <v>55934604</v>
      </c>
      <c r="C177">
        <v>55934592</v>
      </c>
      <c r="D177">
        <v>55461719</v>
      </c>
      <c r="E177">
        <v>1</v>
      </c>
      <c r="F177">
        <v>1</v>
      </c>
      <c r="G177">
        <v>1081</v>
      </c>
      <c r="H177">
        <v>3</v>
      </c>
      <c r="I177" t="s">
        <v>229</v>
      </c>
      <c r="J177" t="s">
        <v>230</v>
      </c>
      <c r="K177" t="s">
        <v>231</v>
      </c>
      <c r="L177">
        <v>1348</v>
      </c>
      <c r="N177">
        <v>1009</v>
      </c>
      <c r="O177" t="s">
        <v>232</v>
      </c>
      <c r="P177" t="s">
        <v>232</v>
      </c>
      <c r="Q177">
        <v>1000</v>
      </c>
      <c r="X177">
        <v>1.1000000000000001E-3</v>
      </c>
      <c r="Y177">
        <v>10643.18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120</v>
      </c>
      <c r="AG177">
        <v>1.1000000000000001E-3</v>
      </c>
      <c r="AH177">
        <v>2</v>
      </c>
      <c r="AI177">
        <v>55934604</v>
      </c>
      <c r="AJ177">
        <v>147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ROW(Source!A91)</f>
        <v>91</v>
      </c>
      <c r="B178">
        <v>55934605</v>
      </c>
      <c r="C178">
        <v>55934592</v>
      </c>
      <c r="D178">
        <v>55459793</v>
      </c>
      <c r="E178">
        <v>1</v>
      </c>
      <c r="F178">
        <v>1</v>
      </c>
      <c r="G178">
        <v>1081</v>
      </c>
      <c r="H178">
        <v>3</v>
      </c>
      <c r="I178" t="s">
        <v>233</v>
      </c>
      <c r="J178" t="s">
        <v>234</v>
      </c>
      <c r="K178" t="s">
        <v>235</v>
      </c>
      <c r="L178">
        <v>1348</v>
      </c>
      <c r="N178">
        <v>1009</v>
      </c>
      <c r="O178" t="s">
        <v>232</v>
      </c>
      <c r="P178" t="s">
        <v>232</v>
      </c>
      <c r="Q178">
        <v>1000</v>
      </c>
      <c r="X178">
        <v>1.0000000000000001E-5</v>
      </c>
      <c r="Y178">
        <v>64123.05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120</v>
      </c>
      <c r="AG178">
        <v>1.0000000000000001E-5</v>
      </c>
      <c r="AH178">
        <v>2</v>
      </c>
      <c r="AI178">
        <v>55934605</v>
      </c>
      <c r="AJ178">
        <v>148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ROW(Source!A91)</f>
        <v>91</v>
      </c>
      <c r="B179">
        <v>55934606</v>
      </c>
      <c r="C179">
        <v>55934592</v>
      </c>
      <c r="D179">
        <v>55448114</v>
      </c>
      <c r="E179">
        <v>1081</v>
      </c>
      <c r="F179">
        <v>1</v>
      </c>
      <c r="G179">
        <v>1081</v>
      </c>
      <c r="H179">
        <v>3</v>
      </c>
      <c r="I179" t="s">
        <v>317</v>
      </c>
      <c r="J179" t="s">
        <v>3</v>
      </c>
      <c r="K179" t="s">
        <v>318</v>
      </c>
      <c r="L179">
        <v>1354</v>
      </c>
      <c r="N179">
        <v>1010</v>
      </c>
      <c r="O179" t="s">
        <v>293</v>
      </c>
      <c r="P179" t="s">
        <v>293</v>
      </c>
      <c r="Q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120</v>
      </c>
      <c r="AG179">
        <v>1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ROW(Source!A92)</f>
        <v>92</v>
      </c>
      <c r="B180">
        <v>55934602</v>
      </c>
      <c r="C180">
        <v>55934592</v>
      </c>
      <c r="D180">
        <v>55424304</v>
      </c>
      <c r="E180">
        <v>1081</v>
      </c>
      <c r="F180">
        <v>1</v>
      </c>
      <c r="G180">
        <v>1081</v>
      </c>
      <c r="H180">
        <v>1</v>
      </c>
      <c r="I180" t="s">
        <v>221</v>
      </c>
      <c r="J180" t="s">
        <v>3</v>
      </c>
      <c r="K180" t="s">
        <v>222</v>
      </c>
      <c r="L180">
        <v>1191</v>
      </c>
      <c r="N180">
        <v>1013</v>
      </c>
      <c r="O180" t="s">
        <v>223</v>
      </c>
      <c r="P180" t="s">
        <v>223</v>
      </c>
      <c r="Q180">
        <v>1</v>
      </c>
      <c r="X180">
        <v>6.2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121</v>
      </c>
      <c r="AG180">
        <v>7.4399999999999995</v>
      </c>
      <c r="AH180">
        <v>2</v>
      </c>
      <c r="AI180">
        <v>55934602</v>
      </c>
      <c r="AJ180">
        <v>150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ROW(Source!A92)</f>
        <v>92</v>
      </c>
      <c r="B181">
        <v>55934603</v>
      </c>
      <c r="C181">
        <v>55934592</v>
      </c>
      <c r="D181">
        <v>55489513</v>
      </c>
      <c r="E181">
        <v>1</v>
      </c>
      <c r="F181">
        <v>1</v>
      </c>
      <c r="G181">
        <v>1081</v>
      </c>
      <c r="H181">
        <v>2</v>
      </c>
      <c r="I181" t="s">
        <v>224</v>
      </c>
      <c r="J181" t="s">
        <v>225</v>
      </c>
      <c r="K181" t="s">
        <v>226</v>
      </c>
      <c r="L181">
        <v>1368</v>
      </c>
      <c r="N181">
        <v>1011</v>
      </c>
      <c r="O181" t="s">
        <v>227</v>
      </c>
      <c r="P181" t="s">
        <v>227</v>
      </c>
      <c r="Q181">
        <v>1</v>
      </c>
      <c r="X181">
        <v>0.25</v>
      </c>
      <c r="Y181">
        <v>0</v>
      </c>
      <c r="Z181">
        <v>114.83</v>
      </c>
      <c r="AA181">
        <v>12.62</v>
      </c>
      <c r="AB181">
        <v>0</v>
      </c>
      <c r="AC181">
        <v>0</v>
      </c>
      <c r="AD181">
        <v>1</v>
      </c>
      <c r="AE181">
        <v>0</v>
      </c>
      <c r="AF181" t="s">
        <v>121</v>
      </c>
      <c r="AG181">
        <v>0.3</v>
      </c>
      <c r="AH181">
        <v>2</v>
      </c>
      <c r="AI181">
        <v>55934603</v>
      </c>
      <c r="AJ181">
        <v>151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ROW(Source!A92)</f>
        <v>92</v>
      </c>
      <c r="B182">
        <v>55934604</v>
      </c>
      <c r="C182">
        <v>55934592</v>
      </c>
      <c r="D182">
        <v>55461719</v>
      </c>
      <c r="E182">
        <v>1</v>
      </c>
      <c r="F182">
        <v>1</v>
      </c>
      <c r="G182">
        <v>1081</v>
      </c>
      <c r="H182">
        <v>3</v>
      </c>
      <c r="I182" t="s">
        <v>229</v>
      </c>
      <c r="J182" t="s">
        <v>230</v>
      </c>
      <c r="K182" t="s">
        <v>231</v>
      </c>
      <c r="L182">
        <v>1348</v>
      </c>
      <c r="N182">
        <v>1009</v>
      </c>
      <c r="O182" t="s">
        <v>232</v>
      </c>
      <c r="P182" t="s">
        <v>232</v>
      </c>
      <c r="Q182">
        <v>1000</v>
      </c>
      <c r="X182">
        <v>1.1000000000000001E-3</v>
      </c>
      <c r="Y182">
        <v>10643.18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120</v>
      </c>
      <c r="AG182">
        <v>1.1000000000000001E-3</v>
      </c>
      <c r="AH182">
        <v>2</v>
      </c>
      <c r="AI182">
        <v>55934604</v>
      </c>
      <c r="AJ182">
        <v>152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ROW(Source!A92)</f>
        <v>92</v>
      </c>
      <c r="B183">
        <v>55934605</v>
      </c>
      <c r="C183">
        <v>55934592</v>
      </c>
      <c r="D183">
        <v>55459793</v>
      </c>
      <c r="E183">
        <v>1</v>
      </c>
      <c r="F183">
        <v>1</v>
      </c>
      <c r="G183">
        <v>1081</v>
      </c>
      <c r="H183">
        <v>3</v>
      </c>
      <c r="I183" t="s">
        <v>233</v>
      </c>
      <c r="J183" t="s">
        <v>234</v>
      </c>
      <c r="K183" t="s">
        <v>235</v>
      </c>
      <c r="L183">
        <v>1348</v>
      </c>
      <c r="N183">
        <v>1009</v>
      </c>
      <c r="O183" t="s">
        <v>232</v>
      </c>
      <c r="P183" t="s">
        <v>232</v>
      </c>
      <c r="Q183">
        <v>1000</v>
      </c>
      <c r="X183">
        <v>1.0000000000000001E-5</v>
      </c>
      <c r="Y183">
        <v>64123.05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120</v>
      </c>
      <c r="AG183">
        <v>1.0000000000000001E-5</v>
      </c>
      <c r="AH183">
        <v>2</v>
      </c>
      <c r="AI183">
        <v>55934605</v>
      </c>
      <c r="AJ183">
        <v>153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ROW(Source!A92)</f>
        <v>92</v>
      </c>
      <c r="B184">
        <v>55934606</v>
      </c>
      <c r="C184">
        <v>55934592</v>
      </c>
      <c r="D184">
        <v>55448114</v>
      </c>
      <c r="E184">
        <v>1081</v>
      </c>
      <c r="F184">
        <v>1</v>
      </c>
      <c r="G184">
        <v>1081</v>
      </c>
      <c r="H184">
        <v>3</v>
      </c>
      <c r="I184" t="s">
        <v>317</v>
      </c>
      <c r="J184" t="s">
        <v>3</v>
      </c>
      <c r="K184" t="s">
        <v>318</v>
      </c>
      <c r="L184">
        <v>1354</v>
      </c>
      <c r="N184">
        <v>1010</v>
      </c>
      <c r="O184" t="s">
        <v>293</v>
      </c>
      <c r="P184" t="s">
        <v>293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120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ROW(Source!A95)</f>
        <v>95</v>
      </c>
      <c r="B185">
        <v>55934634</v>
      </c>
      <c r="C185">
        <v>55934622</v>
      </c>
      <c r="D185">
        <v>55424304</v>
      </c>
      <c r="E185">
        <v>1081</v>
      </c>
      <c r="F185">
        <v>1</v>
      </c>
      <c r="G185">
        <v>1081</v>
      </c>
      <c r="H185">
        <v>1</v>
      </c>
      <c r="I185" t="s">
        <v>221</v>
      </c>
      <c r="J185" t="s">
        <v>3</v>
      </c>
      <c r="K185" t="s">
        <v>222</v>
      </c>
      <c r="L185">
        <v>1191</v>
      </c>
      <c r="N185">
        <v>1013</v>
      </c>
      <c r="O185" t="s">
        <v>223</v>
      </c>
      <c r="P185" t="s">
        <v>223</v>
      </c>
      <c r="Q185">
        <v>1</v>
      </c>
      <c r="X185">
        <v>6.2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 t="s">
        <v>121</v>
      </c>
      <c r="AG185">
        <v>7.4399999999999995</v>
      </c>
      <c r="AH185">
        <v>2</v>
      </c>
      <c r="AI185">
        <v>55934634</v>
      </c>
      <c r="AJ185">
        <v>155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ROW(Source!A95)</f>
        <v>95</v>
      </c>
      <c r="B186">
        <v>55934635</v>
      </c>
      <c r="C186">
        <v>55934622</v>
      </c>
      <c r="D186">
        <v>55489513</v>
      </c>
      <c r="E186">
        <v>1</v>
      </c>
      <c r="F186">
        <v>1</v>
      </c>
      <c r="G186">
        <v>1081</v>
      </c>
      <c r="H186">
        <v>2</v>
      </c>
      <c r="I186" t="s">
        <v>224</v>
      </c>
      <c r="J186" t="s">
        <v>225</v>
      </c>
      <c r="K186" t="s">
        <v>226</v>
      </c>
      <c r="L186">
        <v>1368</v>
      </c>
      <c r="N186">
        <v>1011</v>
      </c>
      <c r="O186" t="s">
        <v>227</v>
      </c>
      <c r="P186" t="s">
        <v>227</v>
      </c>
      <c r="Q186">
        <v>1</v>
      </c>
      <c r="X186">
        <v>0.25</v>
      </c>
      <c r="Y186">
        <v>0</v>
      </c>
      <c r="Z186">
        <v>114.83</v>
      </c>
      <c r="AA186">
        <v>12.62</v>
      </c>
      <c r="AB186">
        <v>0</v>
      </c>
      <c r="AC186">
        <v>0</v>
      </c>
      <c r="AD186">
        <v>1</v>
      </c>
      <c r="AE186">
        <v>0</v>
      </c>
      <c r="AF186" t="s">
        <v>121</v>
      </c>
      <c r="AG186">
        <v>0.3</v>
      </c>
      <c r="AH186">
        <v>2</v>
      </c>
      <c r="AI186">
        <v>55934635</v>
      </c>
      <c r="AJ186">
        <v>156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ROW(Source!A95)</f>
        <v>95</v>
      </c>
      <c r="B187">
        <v>55934636</v>
      </c>
      <c r="C187">
        <v>55934622</v>
      </c>
      <c r="D187">
        <v>55461719</v>
      </c>
      <c r="E187">
        <v>1</v>
      </c>
      <c r="F187">
        <v>1</v>
      </c>
      <c r="G187">
        <v>1081</v>
      </c>
      <c r="H187">
        <v>3</v>
      </c>
      <c r="I187" t="s">
        <v>229</v>
      </c>
      <c r="J187" t="s">
        <v>230</v>
      </c>
      <c r="K187" t="s">
        <v>231</v>
      </c>
      <c r="L187">
        <v>1348</v>
      </c>
      <c r="N187">
        <v>1009</v>
      </c>
      <c r="O187" t="s">
        <v>232</v>
      </c>
      <c r="P187" t="s">
        <v>232</v>
      </c>
      <c r="Q187">
        <v>1000</v>
      </c>
      <c r="X187">
        <v>1.1000000000000001E-3</v>
      </c>
      <c r="Y187">
        <v>10643.18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120</v>
      </c>
      <c r="AG187">
        <v>1.1000000000000001E-3</v>
      </c>
      <c r="AH187">
        <v>2</v>
      </c>
      <c r="AI187">
        <v>55934636</v>
      </c>
      <c r="AJ187">
        <v>157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ROW(Source!A95)</f>
        <v>95</v>
      </c>
      <c r="B188">
        <v>55934637</v>
      </c>
      <c r="C188">
        <v>55934622</v>
      </c>
      <c r="D188">
        <v>55459793</v>
      </c>
      <c r="E188">
        <v>1</v>
      </c>
      <c r="F188">
        <v>1</v>
      </c>
      <c r="G188">
        <v>1081</v>
      </c>
      <c r="H188">
        <v>3</v>
      </c>
      <c r="I188" t="s">
        <v>233</v>
      </c>
      <c r="J188" t="s">
        <v>234</v>
      </c>
      <c r="K188" t="s">
        <v>235</v>
      </c>
      <c r="L188">
        <v>1348</v>
      </c>
      <c r="N188">
        <v>1009</v>
      </c>
      <c r="O188" t="s">
        <v>232</v>
      </c>
      <c r="P188" t="s">
        <v>232</v>
      </c>
      <c r="Q188">
        <v>1000</v>
      </c>
      <c r="X188">
        <v>1.0000000000000001E-5</v>
      </c>
      <c r="Y188">
        <v>64123.05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120</v>
      </c>
      <c r="AG188">
        <v>1.0000000000000001E-5</v>
      </c>
      <c r="AH188">
        <v>2</v>
      </c>
      <c r="AI188">
        <v>55934637</v>
      </c>
      <c r="AJ188">
        <v>158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ROW(Source!A95)</f>
        <v>95</v>
      </c>
      <c r="B189">
        <v>55934638</v>
      </c>
      <c r="C189">
        <v>55934622</v>
      </c>
      <c r="D189">
        <v>55448114</v>
      </c>
      <c r="E189">
        <v>1081</v>
      </c>
      <c r="F189">
        <v>1</v>
      </c>
      <c r="G189">
        <v>1081</v>
      </c>
      <c r="H189">
        <v>3</v>
      </c>
      <c r="I189" t="s">
        <v>317</v>
      </c>
      <c r="J189" t="s">
        <v>3</v>
      </c>
      <c r="K189" t="s">
        <v>318</v>
      </c>
      <c r="L189">
        <v>1354</v>
      </c>
      <c r="N189">
        <v>1010</v>
      </c>
      <c r="O189" t="s">
        <v>293</v>
      </c>
      <c r="P189" t="s">
        <v>293</v>
      </c>
      <c r="Q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120</v>
      </c>
      <c r="AG189">
        <v>1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ROW(Source!A96)</f>
        <v>96</v>
      </c>
      <c r="B190">
        <v>55934634</v>
      </c>
      <c r="C190">
        <v>55934622</v>
      </c>
      <c r="D190">
        <v>55424304</v>
      </c>
      <c r="E190">
        <v>1081</v>
      </c>
      <c r="F190">
        <v>1</v>
      </c>
      <c r="G190">
        <v>1081</v>
      </c>
      <c r="H190">
        <v>1</v>
      </c>
      <c r="I190" t="s">
        <v>221</v>
      </c>
      <c r="J190" t="s">
        <v>3</v>
      </c>
      <c r="K190" t="s">
        <v>222</v>
      </c>
      <c r="L190">
        <v>1191</v>
      </c>
      <c r="N190">
        <v>1013</v>
      </c>
      <c r="O190" t="s">
        <v>223</v>
      </c>
      <c r="P190" t="s">
        <v>223</v>
      </c>
      <c r="Q190">
        <v>1</v>
      </c>
      <c r="X190">
        <v>6.2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121</v>
      </c>
      <c r="AG190">
        <v>7.4399999999999995</v>
      </c>
      <c r="AH190">
        <v>2</v>
      </c>
      <c r="AI190">
        <v>55934634</v>
      </c>
      <c r="AJ190">
        <v>160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ROW(Source!A96)</f>
        <v>96</v>
      </c>
      <c r="B191">
        <v>55934635</v>
      </c>
      <c r="C191">
        <v>55934622</v>
      </c>
      <c r="D191">
        <v>55489513</v>
      </c>
      <c r="E191">
        <v>1</v>
      </c>
      <c r="F191">
        <v>1</v>
      </c>
      <c r="G191">
        <v>1081</v>
      </c>
      <c r="H191">
        <v>2</v>
      </c>
      <c r="I191" t="s">
        <v>224</v>
      </c>
      <c r="J191" t="s">
        <v>225</v>
      </c>
      <c r="K191" t="s">
        <v>226</v>
      </c>
      <c r="L191">
        <v>1368</v>
      </c>
      <c r="N191">
        <v>1011</v>
      </c>
      <c r="O191" t="s">
        <v>227</v>
      </c>
      <c r="P191" t="s">
        <v>227</v>
      </c>
      <c r="Q191">
        <v>1</v>
      </c>
      <c r="X191">
        <v>0.25</v>
      </c>
      <c r="Y191">
        <v>0</v>
      </c>
      <c r="Z191">
        <v>114.83</v>
      </c>
      <c r="AA191">
        <v>12.62</v>
      </c>
      <c r="AB191">
        <v>0</v>
      </c>
      <c r="AC191">
        <v>0</v>
      </c>
      <c r="AD191">
        <v>1</v>
      </c>
      <c r="AE191">
        <v>0</v>
      </c>
      <c r="AF191" t="s">
        <v>121</v>
      </c>
      <c r="AG191">
        <v>0.3</v>
      </c>
      <c r="AH191">
        <v>2</v>
      </c>
      <c r="AI191">
        <v>55934635</v>
      </c>
      <c r="AJ191">
        <v>161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ROW(Source!A96)</f>
        <v>96</v>
      </c>
      <c r="B192">
        <v>55934636</v>
      </c>
      <c r="C192">
        <v>55934622</v>
      </c>
      <c r="D192">
        <v>55461719</v>
      </c>
      <c r="E192">
        <v>1</v>
      </c>
      <c r="F192">
        <v>1</v>
      </c>
      <c r="G192">
        <v>1081</v>
      </c>
      <c r="H192">
        <v>3</v>
      </c>
      <c r="I192" t="s">
        <v>229</v>
      </c>
      <c r="J192" t="s">
        <v>230</v>
      </c>
      <c r="K192" t="s">
        <v>231</v>
      </c>
      <c r="L192">
        <v>1348</v>
      </c>
      <c r="N192">
        <v>1009</v>
      </c>
      <c r="O192" t="s">
        <v>232</v>
      </c>
      <c r="P192" t="s">
        <v>232</v>
      </c>
      <c r="Q192">
        <v>1000</v>
      </c>
      <c r="X192">
        <v>1.1000000000000001E-3</v>
      </c>
      <c r="Y192">
        <v>10643.18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120</v>
      </c>
      <c r="AG192">
        <v>1.1000000000000001E-3</v>
      </c>
      <c r="AH192">
        <v>2</v>
      </c>
      <c r="AI192">
        <v>55934636</v>
      </c>
      <c r="AJ192">
        <v>162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ROW(Source!A96)</f>
        <v>96</v>
      </c>
      <c r="B193">
        <v>55934637</v>
      </c>
      <c r="C193">
        <v>55934622</v>
      </c>
      <c r="D193">
        <v>55459793</v>
      </c>
      <c r="E193">
        <v>1</v>
      </c>
      <c r="F193">
        <v>1</v>
      </c>
      <c r="G193">
        <v>1081</v>
      </c>
      <c r="H193">
        <v>3</v>
      </c>
      <c r="I193" t="s">
        <v>233</v>
      </c>
      <c r="J193" t="s">
        <v>234</v>
      </c>
      <c r="K193" t="s">
        <v>235</v>
      </c>
      <c r="L193">
        <v>1348</v>
      </c>
      <c r="N193">
        <v>1009</v>
      </c>
      <c r="O193" t="s">
        <v>232</v>
      </c>
      <c r="P193" t="s">
        <v>232</v>
      </c>
      <c r="Q193">
        <v>1000</v>
      </c>
      <c r="X193">
        <v>1.0000000000000001E-5</v>
      </c>
      <c r="Y193">
        <v>64123.05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120</v>
      </c>
      <c r="AG193">
        <v>1.0000000000000001E-5</v>
      </c>
      <c r="AH193">
        <v>2</v>
      </c>
      <c r="AI193">
        <v>55934637</v>
      </c>
      <c r="AJ193">
        <v>163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ROW(Source!A96)</f>
        <v>96</v>
      </c>
      <c r="B194">
        <v>55934638</v>
      </c>
      <c r="C194">
        <v>55934622</v>
      </c>
      <c r="D194">
        <v>55448114</v>
      </c>
      <c r="E194">
        <v>1081</v>
      </c>
      <c r="F194">
        <v>1</v>
      </c>
      <c r="G194">
        <v>1081</v>
      </c>
      <c r="H194">
        <v>3</v>
      </c>
      <c r="I194" t="s">
        <v>317</v>
      </c>
      <c r="J194" t="s">
        <v>3</v>
      </c>
      <c r="K194" t="s">
        <v>318</v>
      </c>
      <c r="L194">
        <v>1354</v>
      </c>
      <c r="N194">
        <v>1010</v>
      </c>
      <c r="O194" t="s">
        <v>293</v>
      </c>
      <c r="P194" t="s">
        <v>293</v>
      </c>
      <c r="Q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120</v>
      </c>
      <c r="AG194">
        <v>1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ROW(Source!A99)</f>
        <v>99</v>
      </c>
      <c r="B195">
        <v>55934642</v>
      </c>
      <c r="C195">
        <v>55934640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221</v>
      </c>
      <c r="J195" t="s">
        <v>3</v>
      </c>
      <c r="K195" t="s">
        <v>222</v>
      </c>
      <c r="L195">
        <v>1191</v>
      </c>
      <c r="N195">
        <v>1013</v>
      </c>
      <c r="O195" t="s">
        <v>223</v>
      </c>
      <c r="P195" t="s">
        <v>223</v>
      </c>
      <c r="Q195">
        <v>1</v>
      </c>
      <c r="X195">
        <v>23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121</v>
      </c>
      <c r="AG195">
        <v>27.599999999999998</v>
      </c>
      <c r="AH195">
        <v>2</v>
      </c>
      <c r="AI195">
        <v>55934641</v>
      </c>
      <c r="AJ195">
        <v>165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ROW(Source!A100)</f>
        <v>100</v>
      </c>
      <c r="B196">
        <v>55934642</v>
      </c>
      <c r="C196">
        <v>55934640</v>
      </c>
      <c r="D196">
        <v>55424304</v>
      </c>
      <c r="E196">
        <v>1081</v>
      </c>
      <c r="F196">
        <v>1</v>
      </c>
      <c r="G196">
        <v>1081</v>
      </c>
      <c r="H196">
        <v>1</v>
      </c>
      <c r="I196" t="s">
        <v>221</v>
      </c>
      <c r="J196" t="s">
        <v>3</v>
      </c>
      <c r="K196" t="s">
        <v>222</v>
      </c>
      <c r="L196">
        <v>1191</v>
      </c>
      <c r="N196">
        <v>1013</v>
      </c>
      <c r="O196" t="s">
        <v>223</v>
      </c>
      <c r="P196" t="s">
        <v>223</v>
      </c>
      <c r="Q196">
        <v>1</v>
      </c>
      <c r="X196">
        <v>23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 t="s">
        <v>121</v>
      </c>
      <c r="AG196">
        <v>27.599999999999998</v>
      </c>
      <c r="AH196">
        <v>2</v>
      </c>
      <c r="AI196">
        <v>55934641</v>
      </c>
      <c r="AJ196">
        <v>166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ROW(Source!A101)</f>
        <v>101</v>
      </c>
      <c r="B197">
        <v>55934662</v>
      </c>
      <c r="C197">
        <v>55934655</v>
      </c>
      <c r="D197">
        <v>55424304</v>
      </c>
      <c r="E197">
        <v>1081</v>
      </c>
      <c r="F197">
        <v>1</v>
      </c>
      <c r="G197">
        <v>1081</v>
      </c>
      <c r="H197">
        <v>1</v>
      </c>
      <c r="I197" t="s">
        <v>221</v>
      </c>
      <c r="J197" t="s">
        <v>3</v>
      </c>
      <c r="K197" t="s">
        <v>222</v>
      </c>
      <c r="L197">
        <v>1191</v>
      </c>
      <c r="N197">
        <v>1013</v>
      </c>
      <c r="O197" t="s">
        <v>223</v>
      </c>
      <c r="P197" t="s">
        <v>223</v>
      </c>
      <c r="Q197">
        <v>1</v>
      </c>
      <c r="X197">
        <v>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121</v>
      </c>
      <c r="AG197">
        <v>9.6</v>
      </c>
      <c r="AH197">
        <v>2</v>
      </c>
      <c r="AI197">
        <v>55934656</v>
      </c>
      <c r="AJ197">
        <v>167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ROW(Source!A101)</f>
        <v>101</v>
      </c>
      <c r="B198">
        <v>55934663</v>
      </c>
      <c r="C198">
        <v>55934655</v>
      </c>
      <c r="D198">
        <v>55459792</v>
      </c>
      <c r="E198">
        <v>1</v>
      </c>
      <c r="F198">
        <v>1</v>
      </c>
      <c r="G198">
        <v>1081</v>
      </c>
      <c r="H198">
        <v>3</v>
      </c>
      <c r="I198" t="s">
        <v>236</v>
      </c>
      <c r="J198" t="s">
        <v>237</v>
      </c>
      <c r="K198" t="s">
        <v>238</v>
      </c>
      <c r="L198">
        <v>1348</v>
      </c>
      <c r="N198">
        <v>1009</v>
      </c>
      <c r="O198" t="s">
        <v>232</v>
      </c>
      <c r="P198" t="s">
        <v>232</v>
      </c>
      <c r="Q198">
        <v>1000</v>
      </c>
      <c r="X198">
        <v>1.0000000000000001E-5</v>
      </c>
      <c r="Y198">
        <v>60960.43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120</v>
      </c>
      <c r="AG198">
        <v>1.0000000000000001E-5</v>
      </c>
      <c r="AH198">
        <v>2</v>
      </c>
      <c r="AI198">
        <v>55934657</v>
      </c>
      <c r="AJ198">
        <v>168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ROW(Source!A101)</f>
        <v>101</v>
      </c>
      <c r="B199">
        <v>55934664</v>
      </c>
      <c r="C199">
        <v>55934655</v>
      </c>
      <c r="D199">
        <v>55466338</v>
      </c>
      <c r="E199">
        <v>1</v>
      </c>
      <c r="F199">
        <v>1</v>
      </c>
      <c r="G199">
        <v>1081</v>
      </c>
      <c r="H199">
        <v>3</v>
      </c>
      <c r="I199" t="s">
        <v>239</v>
      </c>
      <c r="J199" t="s">
        <v>240</v>
      </c>
      <c r="K199" t="s">
        <v>241</v>
      </c>
      <c r="L199">
        <v>1349</v>
      </c>
      <c r="N199">
        <v>1009</v>
      </c>
      <c r="O199" t="s">
        <v>242</v>
      </c>
      <c r="P199" t="s">
        <v>242</v>
      </c>
      <c r="Q199">
        <v>1E-3</v>
      </c>
      <c r="X199">
        <v>0.5</v>
      </c>
      <c r="Y199">
        <v>7.0000000000000007E-2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120</v>
      </c>
      <c r="AG199">
        <v>0.5</v>
      </c>
      <c r="AH199">
        <v>2</v>
      </c>
      <c r="AI199">
        <v>55934658</v>
      </c>
      <c r="AJ199">
        <v>169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ROW(Source!A101)</f>
        <v>101</v>
      </c>
      <c r="B200">
        <v>55934665</v>
      </c>
      <c r="C200">
        <v>55934655</v>
      </c>
      <c r="D200">
        <v>55482203</v>
      </c>
      <c r="E200">
        <v>1</v>
      </c>
      <c r="F200">
        <v>1</v>
      </c>
      <c r="G200">
        <v>1081</v>
      </c>
      <c r="H200">
        <v>3</v>
      </c>
      <c r="I200" t="s">
        <v>243</v>
      </c>
      <c r="J200" t="s">
        <v>244</v>
      </c>
      <c r="K200" t="s">
        <v>245</v>
      </c>
      <c r="L200">
        <v>1356</v>
      </c>
      <c r="N200">
        <v>1010</v>
      </c>
      <c r="O200" t="s">
        <v>246</v>
      </c>
      <c r="P200" t="s">
        <v>246</v>
      </c>
      <c r="Q200">
        <v>1000</v>
      </c>
      <c r="X200">
        <v>2E-3</v>
      </c>
      <c r="Y200">
        <v>226.66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120</v>
      </c>
      <c r="AG200">
        <v>2E-3</v>
      </c>
      <c r="AH200">
        <v>2</v>
      </c>
      <c r="AI200">
        <v>55934659</v>
      </c>
      <c r="AJ200">
        <v>170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ROW(Source!A101)</f>
        <v>101</v>
      </c>
      <c r="B201">
        <v>55934666</v>
      </c>
      <c r="C201">
        <v>55934655</v>
      </c>
      <c r="D201">
        <v>55433412</v>
      </c>
      <c r="E201">
        <v>1081</v>
      </c>
      <c r="F201">
        <v>1</v>
      </c>
      <c r="G201">
        <v>1081</v>
      </c>
      <c r="H201">
        <v>3</v>
      </c>
      <c r="I201" t="s">
        <v>319</v>
      </c>
      <c r="J201" t="s">
        <v>3</v>
      </c>
      <c r="K201" t="s">
        <v>320</v>
      </c>
      <c r="L201">
        <v>1354</v>
      </c>
      <c r="N201">
        <v>1010</v>
      </c>
      <c r="O201" t="s">
        <v>293</v>
      </c>
      <c r="P201" t="s">
        <v>293</v>
      </c>
      <c r="Q201">
        <v>1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120</v>
      </c>
      <c r="AG201">
        <v>2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ROW(Source!A101)</f>
        <v>101</v>
      </c>
      <c r="B202">
        <v>55934667</v>
      </c>
      <c r="C202">
        <v>55934655</v>
      </c>
      <c r="D202">
        <v>55455537</v>
      </c>
      <c r="E202">
        <v>1081</v>
      </c>
      <c r="F202">
        <v>1</v>
      </c>
      <c r="G202">
        <v>1081</v>
      </c>
      <c r="H202">
        <v>3</v>
      </c>
      <c r="I202" t="s">
        <v>321</v>
      </c>
      <c r="J202" t="s">
        <v>3</v>
      </c>
      <c r="K202" t="s">
        <v>322</v>
      </c>
      <c r="L202">
        <v>1052</v>
      </c>
      <c r="N202">
        <v>1013</v>
      </c>
      <c r="O202" t="s">
        <v>323</v>
      </c>
      <c r="P202" t="s">
        <v>323</v>
      </c>
      <c r="Q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120</v>
      </c>
      <c r="AG202">
        <v>1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ROW(Source!A101)</f>
        <v>101</v>
      </c>
      <c r="B203">
        <v>55934668</v>
      </c>
      <c r="C203">
        <v>55934655</v>
      </c>
      <c r="D203">
        <v>55424290</v>
      </c>
      <c r="E203">
        <v>1081</v>
      </c>
      <c r="F203">
        <v>1</v>
      </c>
      <c r="G203">
        <v>1081</v>
      </c>
      <c r="H203">
        <v>3</v>
      </c>
      <c r="I203" t="s">
        <v>247</v>
      </c>
      <c r="J203" t="s">
        <v>3</v>
      </c>
      <c r="K203" t="s">
        <v>248</v>
      </c>
      <c r="L203">
        <v>1348</v>
      </c>
      <c r="N203">
        <v>1009</v>
      </c>
      <c r="O203" t="s">
        <v>232</v>
      </c>
      <c r="P203" t="s">
        <v>232</v>
      </c>
      <c r="Q203">
        <v>1000</v>
      </c>
      <c r="X203">
        <v>3.4000000000000002E-2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120</v>
      </c>
      <c r="AG203">
        <v>3.4000000000000002E-2</v>
      </c>
      <c r="AH203">
        <v>2</v>
      </c>
      <c r="AI203">
        <v>55934661</v>
      </c>
      <c r="AJ203">
        <v>171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ROW(Source!A102)</f>
        <v>102</v>
      </c>
      <c r="B204">
        <v>55934662</v>
      </c>
      <c r="C204">
        <v>55934655</v>
      </c>
      <c r="D204">
        <v>55424304</v>
      </c>
      <c r="E204">
        <v>1081</v>
      </c>
      <c r="F204">
        <v>1</v>
      </c>
      <c r="G204">
        <v>1081</v>
      </c>
      <c r="H204">
        <v>1</v>
      </c>
      <c r="I204" t="s">
        <v>221</v>
      </c>
      <c r="J204" t="s">
        <v>3</v>
      </c>
      <c r="K204" t="s">
        <v>222</v>
      </c>
      <c r="L204">
        <v>1191</v>
      </c>
      <c r="N204">
        <v>1013</v>
      </c>
      <c r="O204" t="s">
        <v>223</v>
      </c>
      <c r="P204" t="s">
        <v>223</v>
      </c>
      <c r="Q204">
        <v>1</v>
      </c>
      <c r="X204">
        <v>8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121</v>
      </c>
      <c r="AG204">
        <v>9.6</v>
      </c>
      <c r="AH204">
        <v>2</v>
      </c>
      <c r="AI204">
        <v>55934656</v>
      </c>
      <c r="AJ204">
        <v>172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ROW(Source!A102)</f>
        <v>102</v>
      </c>
      <c r="B205">
        <v>55934663</v>
      </c>
      <c r="C205">
        <v>55934655</v>
      </c>
      <c r="D205">
        <v>55459792</v>
      </c>
      <c r="E205">
        <v>1</v>
      </c>
      <c r="F205">
        <v>1</v>
      </c>
      <c r="G205">
        <v>1081</v>
      </c>
      <c r="H205">
        <v>3</v>
      </c>
      <c r="I205" t="s">
        <v>236</v>
      </c>
      <c r="J205" t="s">
        <v>237</v>
      </c>
      <c r="K205" t="s">
        <v>238</v>
      </c>
      <c r="L205">
        <v>1348</v>
      </c>
      <c r="N205">
        <v>1009</v>
      </c>
      <c r="O205" t="s">
        <v>232</v>
      </c>
      <c r="P205" t="s">
        <v>232</v>
      </c>
      <c r="Q205">
        <v>1000</v>
      </c>
      <c r="X205">
        <v>1.0000000000000001E-5</v>
      </c>
      <c r="Y205">
        <v>60960.43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120</v>
      </c>
      <c r="AG205">
        <v>1.0000000000000001E-5</v>
      </c>
      <c r="AH205">
        <v>2</v>
      </c>
      <c r="AI205">
        <v>55934657</v>
      </c>
      <c r="AJ205">
        <v>173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ROW(Source!A102)</f>
        <v>102</v>
      </c>
      <c r="B206">
        <v>55934664</v>
      </c>
      <c r="C206">
        <v>55934655</v>
      </c>
      <c r="D206">
        <v>55466338</v>
      </c>
      <c r="E206">
        <v>1</v>
      </c>
      <c r="F206">
        <v>1</v>
      </c>
      <c r="G206">
        <v>1081</v>
      </c>
      <c r="H206">
        <v>3</v>
      </c>
      <c r="I206" t="s">
        <v>239</v>
      </c>
      <c r="J206" t="s">
        <v>240</v>
      </c>
      <c r="K206" t="s">
        <v>241</v>
      </c>
      <c r="L206">
        <v>1349</v>
      </c>
      <c r="N206">
        <v>1009</v>
      </c>
      <c r="O206" t="s">
        <v>242</v>
      </c>
      <c r="P206" t="s">
        <v>242</v>
      </c>
      <c r="Q206">
        <v>1E-3</v>
      </c>
      <c r="X206">
        <v>0.5</v>
      </c>
      <c r="Y206">
        <v>7.0000000000000007E-2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120</v>
      </c>
      <c r="AG206">
        <v>0.5</v>
      </c>
      <c r="AH206">
        <v>2</v>
      </c>
      <c r="AI206">
        <v>55934658</v>
      </c>
      <c r="AJ206">
        <v>174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ROW(Source!A102)</f>
        <v>102</v>
      </c>
      <c r="B207">
        <v>55934665</v>
      </c>
      <c r="C207">
        <v>55934655</v>
      </c>
      <c r="D207">
        <v>55482203</v>
      </c>
      <c r="E207">
        <v>1</v>
      </c>
      <c r="F207">
        <v>1</v>
      </c>
      <c r="G207">
        <v>1081</v>
      </c>
      <c r="H207">
        <v>3</v>
      </c>
      <c r="I207" t="s">
        <v>243</v>
      </c>
      <c r="J207" t="s">
        <v>244</v>
      </c>
      <c r="K207" t="s">
        <v>245</v>
      </c>
      <c r="L207">
        <v>1356</v>
      </c>
      <c r="N207">
        <v>1010</v>
      </c>
      <c r="O207" t="s">
        <v>246</v>
      </c>
      <c r="P207" t="s">
        <v>246</v>
      </c>
      <c r="Q207">
        <v>1000</v>
      </c>
      <c r="X207">
        <v>2E-3</v>
      </c>
      <c r="Y207">
        <v>226.66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120</v>
      </c>
      <c r="AG207">
        <v>2E-3</v>
      </c>
      <c r="AH207">
        <v>2</v>
      </c>
      <c r="AI207">
        <v>55934659</v>
      </c>
      <c r="AJ207">
        <v>175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ROW(Source!A102)</f>
        <v>102</v>
      </c>
      <c r="B208">
        <v>55934666</v>
      </c>
      <c r="C208">
        <v>55934655</v>
      </c>
      <c r="D208">
        <v>55433412</v>
      </c>
      <c r="E208">
        <v>1081</v>
      </c>
      <c r="F208">
        <v>1</v>
      </c>
      <c r="G208">
        <v>1081</v>
      </c>
      <c r="H208">
        <v>3</v>
      </c>
      <c r="I208" t="s">
        <v>319</v>
      </c>
      <c r="J208" t="s">
        <v>3</v>
      </c>
      <c r="K208" t="s">
        <v>320</v>
      </c>
      <c r="L208">
        <v>1354</v>
      </c>
      <c r="N208">
        <v>1010</v>
      </c>
      <c r="O208" t="s">
        <v>293</v>
      </c>
      <c r="P208" t="s">
        <v>293</v>
      </c>
      <c r="Q208">
        <v>1</v>
      </c>
      <c r="X208">
        <v>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120</v>
      </c>
      <c r="AG208">
        <v>2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ROW(Source!A102)</f>
        <v>102</v>
      </c>
      <c r="B209">
        <v>55934667</v>
      </c>
      <c r="C209">
        <v>55934655</v>
      </c>
      <c r="D209">
        <v>55455537</v>
      </c>
      <c r="E209">
        <v>1081</v>
      </c>
      <c r="F209">
        <v>1</v>
      </c>
      <c r="G209">
        <v>1081</v>
      </c>
      <c r="H209">
        <v>3</v>
      </c>
      <c r="I209" t="s">
        <v>321</v>
      </c>
      <c r="J209" t="s">
        <v>3</v>
      </c>
      <c r="K209" t="s">
        <v>322</v>
      </c>
      <c r="L209">
        <v>1052</v>
      </c>
      <c r="N209">
        <v>1013</v>
      </c>
      <c r="O209" t="s">
        <v>323</v>
      </c>
      <c r="P209" t="s">
        <v>323</v>
      </c>
      <c r="Q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120</v>
      </c>
      <c r="AG209">
        <v>1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ROW(Source!A102)</f>
        <v>102</v>
      </c>
      <c r="B210">
        <v>55934668</v>
      </c>
      <c r="C210">
        <v>55934655</v>
      </c>
      <c r="D210">
        <v>55424290</v>
      </c>
      <c r="E210">
        <v>1081</v>
      </c>
      <c r="F210">
        <v>1</v>
      </c>
      <c r="G210">
        <v>1081</v>
      </c>
      <c r="H210">
        <v>3</v>
      </c>
      <c r="I210" t="s">
        <v>247</v>
      </c>
      <c r="J210" t="s">
        <v>3</v>
      </c>
      <c r="K210" t="s">
        <v>248</v>
      </c>
      <c r="L210">
        <v>1348</v>
      </c>
      <c r="N210">
        <v>1009</v>
      </c>
      <c r="O210" t="s">
        <v>232</v>
      </c>
      <c r="P210" t="s">
        <v>232</v>
      </c>
      <c r="Q210">
        <v>1000</v>
      </c>
      <c r="X210">
        <v>3.4000000000000002E-2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120</v>
      </c>
      <c r="AG210">
        <v>3.4000000000000002E-2</v>
      </c>
      <c r="AH210">
        <v>2</v>
      </c>
      <c r="AI210">
        <v>55934661</v>
      </c>
      <c r="AJ210">
        <v>176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ROW(Source!A105)</f>
        <v>105</v>
      </c>
      <c r="B211">
        <v>55934677</v>
      </c>
      <c r="C211">
        <v>55934676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221</v>
      </c>
      <c r="J211" t="s">
        <v>3</v>
      </c>
      <c r="K211" t="s">
        <v>222</v>
      </c>
      <c r="L211">
        <v>1191</v>
      </c>
      <c r="N211">
        <v>1013</v>
      </c>
      <c r="O211" t="s">
        <v>223</v>
      </c>
      <c r="P211" t="s">
        <v>223</v>
      </c>
      <c r="Q211">
        <v>1</v>
      </c>
      <c r="X211">
        <v>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121</v>
      </c>
      <c r="AG211">
        <v>8.4</v>
      </c>
      <c r="AH211">
        <v>2</v>
      </c>
      <c r="AI211">
        <v>55934677</v>
      </c>
      <c r="AJ211">
        <v>177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ROW(Source!A105)</f>
        <v>105</v>
      </c>
      <c r="B212">
        <v>55934678</v>
      </c>
      <c r="C212">
        <v>55934676</v>
      </c>
      <c r="D212">
        <v>55459793</v>
      </c>
      <c r="E212">
        <v>1</v>
      </c>
      <c r="F212">
        <v>1</v>
      </c>
      <c r="G212">
        <v>1081</v>
      </c>
      <c r="H212">
        <v>3</v>
      </c>
      <c r="I212" t="s">
        <v>233</v>
      </c>
      <c r="J212" t="s">
        <v>234</v>
      </c>
      <c r="K212" t="s">
        <v>235</v>
      </c>
      <c r="L212">
        <v>1348</v>
      </c>
      <c r="N212">
        <v>1009</v>
      </c>
      <c r="O212" t="s">
        <v>232</v>
      </c>
      <c r="P212" t="s">
        <v>232</v>
      </c>
      <c r="Q212">
        <v>1000</v>
      </c>
      <c r="X212">
        <v>1.2E-5</v>
      </c>
      <c r="Y212">
        <v>64123.05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120</v>
      </c>
      <c r="AG212">
        <v>1.2E-5</v>
      </c>
      <c r="AH212">
        <v>2</v>
      </c>
      <c r="AI212">
        <v>55934678</v>
      </c>
      <c r="AJ212">
        <v>178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ROW(Source!A105)</f>
        <v>105</v>
      </c>
      <c r="B213">
        <v>55934679</v>
      </c>
      <c r="C213">
        <v>55934676</v>
      </c>
      <c r="D213">
        <v>55466338</v>
      </c>
      <c r="E213">
        <v>1</v>
      </c>
      <c r="F213">
        <v>1</v>
      </c>
      <c r="G213">
        <v>1081</v>
      </c>
      <c r="H213">
        <v>3</v>
      </c>
      <c r="I213" t="s">
        <v>239</v>
      </c>
      <c r="J213" t="s">
        <v>240</v>
      </c>
      <c r="K213" t="s">
        <v>241</v>
      </c>
      <c r="L213">
        <v>1349</v>
      </c>
      <c r="N213">
        <v>1009</v>
      </c>
      <c r="O213" t="s">
        <v>242</v>
      </c>
      <c r="P213" t="s">
        <v>242</v>
      </c>
      <c r="Q213">
        <v>1E-3</v>
      </c>
      <c r="X213">
        <v>2</v>
      </c>
      <c r="Y213">
        <v>7.0000000000000007E-2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120</v>
      </c>
      <c r="AG213">
        <v>2</v>
      </c>
      <c r="AH213">
        <v>2</v>
      </c>
      <c r="AI213">
        <v>55934679</v>
      </c>
      <c r="AJ213">
        <v>179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ROW(Source!A105)</f>
        <v>105</v>
      </c>
      <c r="B214">
        <v>55934680</v>
      </c>
      <c r="C214">
        <v>55934676</v>
      </c>
      <c r="D214">
        <v>55482233</v>
      </c>
      <c r="E214">
        <v>1</v>
      </c>
      <c r="F214">
        <v>1</v>
      </c>
      <c r="G214">
        <v>1081</v>
      </c>
      <c r="H214">
        <v>3</v>
      </c>
      <c r="I214" t="s">
        <v>249</v>
      </c>
      <c r="J214" t="s">
        <v>250</v>
      </c>
      <c r="K214" t="s">
        <v>251</v>
      </c>
      <c r="L214">
        <v>1346</v>
      </c>
      <c r="N214">
        <v>1009</v>
      </c>
      <c r="O214" t="s">
        <v>252</v>
      </c>
      <c r="P214" t="s">
        <v>252</v>
      </c>
      <c r="Q214">
        <v>1</v>
      </c>
      <c r="X214">
        <v>6.0000000000000001E-3</v>
      </c>
      <c r="Y214">
        <v>493.08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120</v>
      </c>
      <c r="AG214">
        <v>6.0000000000000001E-3</v>
      </c>
      <c r="AH214">
        <v>2</v>
      </c>
      <c r="AI214">
        <v>55934680</v>
      </c>
      <c r="AJ214">
        <v>180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ROW(Source!A105)</f>
        <v>105</v>
      </c>
      <c r="B215">
        <v>55934681</v>
      </c>
      <c r="C215">
        <v>55934676</v>
      </c>
      <c r="D215">
        <v>55487942</v>
      </c>
      <c r="E215">
        <v>1</v>
      </c>
      <c r="F215">
        <v>1</v>
      </c>
      <c r="G215">
        <v>1081</v>
      </c>
      <c r="H215">
        <v>3</v>
      </c>
      <c r="I215" t="s">
        <v>253</v>
      </c>
      <c r="J215" t="s">
        <v>254</v>
      </c>
      <c r="K215" t="s">
        <v>255</v>
      </c>
      <c r="L215">
        <v>1303</v>
      </c>
      <c r="N215">
        <v>1003</v>
      </c>
      <c r="O215" t="s">
        <v>256</v>
      </c>
      <c r="P215" t="s">
        <v>256</v>
      </c>
      <c r="Q215">
        <v>1000</v>
      </c>
      <c r="X215">
        <v>0.06</v>
      </c>
      <c r="Y215">
        <v>516.63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120</v>
      </c>
      <c r="AG215">
        <v>0.06</v>
      </c>
      <c r="AH215">
        <v>2</v>
      </c>
      <c r="AI215">
        <v>55934681</v>
      </c>
      <c r="AJ215">
        <v>181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ROW(Source!A105)</f>
        <v>105</v>
      </c>
      <c r="B216">
        <v>55934682</v>
      </c>
      <c r="C216">
        <v>55934676</v>
      </c>
      <c r="D216">
        <v>55448093</v>
      </c>
      <c r="E216">
        <v>1081</v>
      </c>
      <c r="F216">
        <v>1</v>
      </c>
      <c r="G216">
        <v>1081</v>
      </c>
      <c r="H216">
        <v>3</v>
      </c>
      <c r="I216" t="s">
        <v>324</v>
      </c>
      <c r="J216" t="s">
        <v>3</v>
      </c>
      <c r="K216" t="s">
        <v>325</v>
      </c>
      <c r="L216">
        <v>1346</v>
      </c>
      <c r="N216">
        <v>1009</v>
      </c>
      <c r="O216" t="s">
        <v>252</v>
      </c>
      <c r="P216" t="s">
        <v>252</v>
      </c>
      <c r="Q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120</v>
      </c>
      <c r="AG216">
        <v>0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ROW(Source!A105)</f>
        <v>105</v>
      </c>
      <c r="B217">
        <v>55934683</v>
      </c>
      <c r="C217">
        <v>55934676</v>
      </c>
      <c r="D217">
        <v>55448150</v>
      </c>
      <c r="E217">
        <v>1081</v>
      </c>
      <c r="F217">
        <v>1</v>
      </c>
      <c r="G217">
        <v>1081</v>
      </c>
      <c r="H217">
        <v>3</v>
      </c>
      <c r="I217" t="s">
        <v>326</v>
      </c>
      <c r="J217" t="s">
        <v>3</v>
      </c>
      <c r="K217" t="s">
        <v>327</v>
      </c>
      <c r="L217">
        <v>1354</v>
      </c>
      <c r="N217">
        <v>1010</v>
      </c>
      <c r="O217" t="s">
        <v>293</v>
      </c>
      <c r="P217" t="s">
        <v>293</v>
      </c>
      <c r="Q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120</v>
      </c>
      <c r="AG217">
        <v>1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ROW(Source!A106)</f>
        <v>106</v>
      </c>
      <c r="B218">
        <v>55934677</v>
      </c>
      <c r="C218">
        <v>55934676</v>
      </c>
      <c r="D218">
        <v>55424304</v>
      </c>
      <c r="E218">
        <v>1081</v>
      </c>
      <c r="F218">
        <v>1</v>
      </c>
      <c r="G218">
        <v>1081</v>
      </c>
      <c r="H218">
        <v>1</v>
      </c>
      <c r="I218" t="s">
        <v>221</v>
      </c>
      <c r="J218" t="s">
        <v>3</v>
      </c>
      <c r="K218" t="s">
        <v>222</v>
      </c>
      <c r="L218">
        <v>1191</v>
      </c>
      <c r="N218">
        <v>1013</v>
      </c>
      <c r="O218" t="s">
        <v>223</v>
      </c>
      <c r="P218" t="s">
        <v>223</v>
      </c>
      <c r="Q218">
        <v>1</v>
      </c>
      <c r="X218">
        <v>7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121</v>
      </c>
      <c r="AG218">
        <v>8.4</v>
      </c>
      <c r="AH218">
        <v>2</v>
      </c>
      <c r="AI218">
        <v>55934677</v>
      </c>
      <c r="AJ218">
        <v>183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ROW(Source!A106)</f>
        <v>106</v>
      </c>
      <c r="B219">
        <v>55934678</v>
      </c>
      <c r="C219">
        <v>55934676</v>
      </c>
      <c r="D219">
        <v>55459793</v>
      </c>
      <c r="E219">
        <v>1</v>
      </c>
      <c r="F219">
        <v>1</v>
      </c>
      <c r="G219">
        <v>1081</v>
      </c>
      <c r="H219">
        <v>3</v>
      </c>
      <c r="I219" t="s">
        <v>233</v>
      </c>
      <c r="J219" t="s">
        <v>234</v>
      </c>
      <c r="K219" t="s">
        <v>235</v>
      </c>
      <c r="L219">
        <v>1348</v>
      </c>
      <c r="N219">
        <v>1009</v>
      </c>
      <c r="O219" t="s">
        <v>232</v>
      </c>
      <c r="P219" t="s">
        <v>232</v>
      </c>
      <c r="Q219">
        <v>1000</v>
      </c>
      <c r="X219">
        <v>1.2E-5</v>
      </c>
      <c r="Y219">
        <v>64123.05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120</v>
      </c>
      <c r="AG219">
        <v>1.2E-5</v>
      </c>
      <c r="AH219">
        <v>2</v>
      </c>
      <c r="AI219">
        <v>55934678</v>
      </c>
      <c r="AJ219">
        <v>184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ROW(Source!A106)</f>
        <v>106</v>
      </c>
      <c r="B220">
        <v>55934679</v>
      </c>
      <c r="C220">
        <v>55934676</v>
      </c>
      <c r="D220">
        <v>55466338</v>
      </c>
      <c r="E220">
        <v>1</v>
      </c>
      <c r="F220">
        <v>1</v>
      </c>
      <c r="G220">
        <v>1081</v>
      </c>
      <c r="H220">
        <v>3</v>
      </c>
      <c r="I220" t="s">
        <v>239</v>
      </c>
      <c r="J220" t="s">
        <v>240</v>
      </c>
      <c r="K220" t="s">
        <v>241</v>
      </c>
      <c r="L220">
        <v>1349</v>
      </c>
      <c r="N220">
        <v>1009</v>
      </c>
      <c r="O220" t="s">
        <v>242</v>
      </c>
      <c r="P220" t="s">
        <v>242</v>
      </c>
      <c r="Q220">
        <v>1E-3</v>
      </c>
      <c r="X220">
        <v>2</v>
      </c>
      <c r="Y220">
        <v>7.0000000000000007E-2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120</v>
      </c>
      <c r="AG220">
        <v>2</v>
      </c>
      <c r="AH220">
        <v>2</v>
      </c>
      <c r="AI220">
        <v>55934679</v>
      </c>
      <c r="AJ220">
        <v>185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ROW(Source!A106)</f>
        <v>106</v>
      </c>
      <c r="B221">
        <v>55934680</v>
      </c>
      <c r="C221">
        <v>55934676</v>
      </c>
      <c r="D221">
        <v>55482233</v>
      </c>
      <c r="E221">
        <v>1</v>
      </c>
      <c r="F221">
        <v>1</v>
      </c>
      <c r="G221">
        <v>1081</v>
      </c>
      <c r="H221">
        <v>3</v>
      </c>
      <c r="I221" t="s">
        <v>249</v>
      </c>
      <c r="J221" t="s">
        <v>250</v>
      </c>
      <c r="K221" t="s">
        <v>251</v>
      </c>
      <c r="L221">
        <v>1346</v>
      </c>
      <c r="N221">
        <v>1009</v>
      </c>
      <c r="O221" t="s">
        <v>252</v>
      </c>
      <c r="P221" t="s">
        <v>252</v>
      </c>
      <c r="Q221">
        <v>1</v>
      </c>
      <c r="X221">
        <v>6.0000000000000001E-3</v>
      </c>
      <c r="Y221">
        <v>493.08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120</v>
      </c>
      <c r="AG221">
        <v>6.0000000000000001E-3</v>
      </c>
      <c r="AH221">
        <v>2</v>
      </c>
      <c r="AI221">
        <v>55934680</v>
      </c>
      <c r="AJ221">
        <v>186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ROW(Source!A106)</f>
        <v>106</v>
      </c>
      <c r="B222">
        <v>55934681</v>
      </c>
      <c r="C222">
        <v>55934676</v>
      </c>
      <c r="D222">
        <v>55487942</v>
      </c>
      <c r="E222">
        <v>1</v>
      </c>
      <c r="F222">
        <v>1</v>
      </c>
      <c r="G222">
        <v>1081</v>
      </c>
      <c r="H222">
        <v>3</v>
      </c>
      <c r="I222" t="s">
        <v>253</v>
      </c>
      <c r="J222" t="s">
        <v>254</v>
      </c>
      <c r="K222" t="s">
        <v>255</v>
      </c>
      <c r="L222">
        <v>1303</v>
      </c>
      <c r="N222">
        <v>1003</v>
      </c>
      <c r="O222" t="s">
        <v>256</v>
      </c>
      <c r="P222" t="s">
        <v>256</v>
      </c>
      <c r="Q222">
        <v>1000</v>
      </c>
      <c r="X222">
        <v>0.06</v>
      </c>
      <c r="Y222">
        <v>516.63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120</v>
      </c>
      <c r="AG222">
        <v>0.06</v>
      </c>
      <c r="AH222">
        <v>2</v>
      </c>
      <c r="AI222">
        <v>55934681</v>
      </c>
      <c r="AJ222">
        <v>187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ROW(Source!A106)</f>
        <v>106</v>
      </c>
      <c r="B223">
        <v>55934682</v>
      </c>
      <c r="C223">
        <v>55934676</v>
      </c>
      <c r="D223">
        <v>55448093</v>
      </c>
      <c r="E223">
        <v>1081</v>
      </c>
      <c r="F223">
        <v>1</v>
      </c>
      <c r="G223">
        <v>1081</v>
      </c>
      <c r="H223">
        <v>3</v>
      </c>
      <c r="I223" t="s">
        <v>324</v>
      </c>
      <c r="J223" t="s">
        <v>3</v>
      </c>
      <c r="K223" t="s">
        <v>325</v>
      </c>
      <c r="L223">
        <v>1346</v>
      </c>
      <c r="N223">
        <v>1009</v>
      </c>
      <c r="O223" t="s">
        <v>252</v>
      </c>
      <c r="P223" t="s">
        <v>252</v>
      </c>
      <c r="Q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120</v>
      </c>
      <c r="AG223">
        <v>0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ROW(Source!A106)</f>
        <v>106</v>
      </c>
      <c r="B224">
        <v>55934683</v>
      </c>
      <c r="C224">
        <v>55934676</v>
      </c>
      <c r="D224">
        <v>55448150</v>
      </c>
      <c r="E224">
        <v>1081</v>
      </c>
      <c r="F224">
        <v>1</v>
      </c>
      <c r="G224">
        <v>1081</v>
      </c>
      <c r="H224">
        <v>3</v>
      </c>
      <c r="I224" t="s">
        <v>326</v>
      </c>
      <c r="J224" t="s">
        <v>3</v>
      </c>
      <c r="K224" t="s">
        <v>327</v>
      </c>
      <c r="L224">
        <v>1354</v>
      </c>
      <c r="N224">
        <v>1010</v>
      </c>
      <c r="O224" t="s">
        <v>293</v>
      </c>
      <c r="P224" t="s">
        <v>293</v>
      </c>
      <c r="Q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120</v>
      </c>
      <c r="AG224">
        <v>1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ROW(Source!A144)</f>
        <v>144</v>
      </c>
      <c r="B225">
        <v>57036840</v>
      </c>
      <c r="C225">
        <v>57036839</v>
      </c>
      <c r="D225">
        <v>55424304</v>
      </c>
      <c r="E225">
        <v>1081</v>
      </c>
      <c r="F225">
        <v>1</v>
      </c>
      <c r="G225">
        <v>1081</v>
      </c>
      <c r="H225">
        <v>1</v>
      </c>
      <c r="I225" t="s">
        <v>221</v>
      </c>
      <c r="J225" t="s">
        <v>3</v>
      </c>
      <c r="K225" t="s">
        <v>222</v>
      </c>
      <c r="L225">
        <v>1191</v>
      </c>
      <c r="N225">
        <v>1013</v>
      </c>
      <c r="O225" t="s">
        <v>223</v>
      </c>
      <c r="P225" t="s">
        <v>223</v>
      </c>
      <c r="Q225">
        <v>1</v>
      </c>
      <c r="X225">
        <v>1.03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 t="s">
        <v>121</v>
      </c>
      <c r="AG225">
        <v>1.236</v>
      </c>
      <c r="AH225">
        <v>2</v>
      </c>
      <c r="AI225">
        <v>57036840</v>
      </c>
      <c r="AJ225">
        <v>189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ROW(Source!A144)</f>
        <v>144</v>
      </c>
      <c r="B226">
        <v>57036841</v>
      </c>
      <c r="C226">
        <v>57036839</v>
      </c>
      <c r="D226">
        <v>55490209</v>
      </c>
      <c r="E226">
        <v>1</v>
      </c>
      <c r="F226">
        <v>1</v>
      </c>
      <c r="G226">
        <v>1081</v>
      </c>
      <c r="H226">
        <v>2</v>
      </c>
      <c r="I226" t="s">
        <v>294</v>
      </c>
      <c r="J226" t="s">
        <v>295</v>
      </c>
      <c r="K226" t="s">
        <v>296</v>
      </c>
      <c r="L226">
        <v>1368</v>
      </c>
      <c r="N226">
        <v>1011</v>
      </c>
      <c r="O226" t="s">
        <v>227</v>
      </c>
      <c r="P226" t="s">
        <v>227</v>
      </c>
      <c r="Q226">
        <v>1</v>
      </c>
      <c r="X226">
        <v>6.0000000000000001E-3</v>
      </c>
      <c r="Y226">
        <v>0</v>
      </c>
      <c r="Z226">
        <v>83.1</v>
      </c>
      <c r="AA226">
        <v>12.62</v>
      </c>
      <c r="AB226">
        <v>0</v>
      </c>
      <c r="AC226">
        <v>0</v>
      </c>
      <c r="AD226">
        <v>1</v>
      </c>
      <c r="AE226">
        <v>0</v>
      </c>
      <c r="AF226" t="s">
        <v>121</v>
      </c>
      <c r="AG226">
        <v>7.1999999999999998E-3</v>
      </c>
      <c r="AH226">
        <v>2</v>
      </c>
      <c r="AI226">
        <v>57036841</v>
      </c>
      <c r="AJ226">
        <v>190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ROW(Source!A144)</f>
        <v>144</v>
      </c>
      <c r="B227">
        <v>57036842</v>
      </c>
      <c r="C227">
        <v>57036839</v>
      </c>
      <c r="D227">
        <v>55440939</v>
      </c>
      <c r="E227">
        <v>1081</v>
      </c>
      <c r="F227">
        <v>1</v>
      </c>
      <c r="G227">
        <v>1081</v>
      </c>
      <c r="H227">
        <v>3</v>
      </c>
      <c r="I227" t="s">
        <v>335</v>
      </c>
      <c r="J227" t="s">
        <v>3</v>
      </c>
      <c r="K227" t="s">
        <v>336</v>
      </c>
      <c r="L227">
        <v>1354</v>
      </c>
      <c r="N227">
        <v>1010</v>
      </c>
      <c r="O227" t="s">
        <v>293</v>
      </c>
      <c r="P227" t="s">
        <v>293</v>
      </c>
      <c r="Q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120</v>
      </c>
      <c r="AG227">
        <v>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ROW(Source!A145)</f>
        <v>145</v>
      </c>
      <c r="B228">
        <v>57036840</v>
      </c>
      <c r="C228">
        <v>57036839</v>
      </c>
      <c r="D228">
        <v>55424304</v>
      </c>
      <c r="E228">
        <v>1081</v>
      </c>
      <c r="F228">
        <v>1</v>
      </c>
      <c r="G228">
        <v>1081</v>
      </c>
      <c r="H228">
        <v>1</v>
      </c>
      <c r="I228" t="s">
        <v>221</v>
      </c>
      <c r="J228" t="s">
        <v>3</v>
      </c>
      <c r="K228" t="s">
        <v>222</v>
      </c>
      <c r="L228">
        <v>1191</v>
      </c>
      <c r="N228">
        <v>1013</v>
      </c>
      <c r="O228" t="s">
        <v>223</v>
      </c>
      <c r="P228" t="s">
        <v>223</v>
      </c>
      <c r="Q228">
        <v>1</v>
      </c>
      <c r="X228">
        <v>1.03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 t="s">
        <v>121</v>
      </c>
      <c r="AG228">
        <v>1.236</v>
      </c>
      <c r="AH228">
        <v>2</v>
      </c>
      <c r="AI228">
        <v>57036840</v>
      </c>
      <c r="AJ228">
        <v>191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ROW(Source!A145)</f>
        <v>145</v>
      </c>
      <c r="B229">
        <v>57036841</v>
      </c>
      <c r="C229">
        <v>57036839</v>
      </c>
      <c r="D229">
        <v>55490209</v>
      </c>
      <c r="E229">
        <v>1</v>
      </c>
      <c r="F229">
        <v>1</v>
      </c>
      <c r="G229">
        <v>1081</v>
      </c>
      <c r="H229">
        <v>2</v>
      </c>
      <c r="I229" t="s">
        <v>294</v>
      </c>
      <c r="J229" t="s">
        <v>295</v>
      </c>
      <c r="K229" t="s">
        <v>296</v>
      </c>
      <c r="L229">
        <v>1368</v>
      </c>
      <c r="N229">
        <v>1011</v>
      </c>
      <c r="O229" t="s">
        <v>227</v>
      </c>
      <c r="P229" t="s">
        <v>227</v>
      </c>
      <c r="Q229">
        <v>1</v>
      </c>
      <c r="X229">
        <v>6.0000000000000001E-3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121</v>
      </c>
      <c r="AG229">
        <v>7.1999999999999998E-3</v>
      </c>
      <c r="AH229">
        <v>2</v>
      </c>
      <c r="AI229">
        <v>57036841</v>
      </c>
      <c r="AJ229">
        <v>192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ROW(Source!A145)</f>
        <v>145</v>
      </c>
      <c r="B230">
        <v>57036842</v>
      </c>
      <c r="C230">
        <v>57036839</v>
      </c>
      <c r="D230">
        <v>55440939</v>
      </c>
      <c r="E230">
        <v>1081</v>
      </c>
      <c r="F230">
        <v>1</v>
      </c>
      <c r="G230">
        <v>1081</v>
      </c>
      <c r="H230">
        <v>3</v>
      </c>
      <c r="I230" t="s">
        <v>335</v>
      </c>
      <c r="J230" t="s">
        <v>3</v>
      </c>
      <c r="K230" t="s">
        <v>336</v>
      </c>
      <c r="L230">
        <v>1354</v>
      </c>
      <c r="N230">
        <v>1010</v>
      </c>
      <c r="O230" t="s">
        <v>293</v>
      </c>
      <c r="P230" t="s">
        <v>293</v>
      </c>
      <c r="Q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120</v>
      </c>
      <c r="AG230">
        <v>1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ROW(Source!A148)</f>
        <v>148</v>
      </c>
      <c r="B231">
        <v>55934752</v>
      </c>
      <c r="C231">
        <v>55934751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221</v>
      </c>
      <c r="J231" t="s">
        <v>3</v>
      </c>
      <c r="K231" t="s">
        <v>222</v>
      </c>
      <c r="L231">
        <v>1191</v>
      </c>
      <c r="N231">
        <v>1013</v>
      </c>
      <c r="O231" t="s">
        <v>223</v>
      </c>
      <c r="P231" t="s">
        <v>223</v>
      </c>
      <c r="Q231">
        <v>1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121</v>
      </c>
      <c r="AG231">
        <v>3.5999999999999996</v>
      </c>
      <c r="AH231">
        <v>2</v>
      </c>
      <c r="AI231">
        <v>55934752</v>
      </c>
      <c r="AJ231">
        <v>193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ROW(Source!A148)</f>
        <v>148</v>
      </c>
      <c r="B232">
        <v>55934753</v>
      </c>
      <c r="C232">
        <v>55934751</v>
      </c>
      <c r="D232">
        <v>55459894</v>
      </c>
      <c r="E232">
        <v>1</v>
      </c>
      <c r="F232">
        <v>1</v>
      </c>
      <c r="G232">
        <v>1081</v>
      </c>
      <c r="H232">
        <v>3</v>
      </c>
      <c r="I232" t="s">
        <v>257</v>
      </c>
      <c r="J232" t="s">
        <v>258</v>
      </c>
      <c r="K232" t="s">
        <v>259</v>
      </c>
      <c r="L232">
        <v>1348</v>
      </c>
      <c r="N232">
        <v>1009</v>
      </c>
      <c r="O232" t="s">
        <v>232</v>
      </c>
      <c r="P232" t="s">
        <v>232</v>
      </c>
      <c r="Q232">
        <v>1000</v>
      </c>
      <c r="X232">
        <v>1E-3</v>
      </c>
      <c r="Y232">
        <v>15319.65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120</v>
      </c>
      <c r="AG232">
        <v>1E-3</v>
      </c>
      <c r="AH232">
        <v>2</v>
      </c>
      <c r="AI232">
        <v>55934753</v>
      </c>
      <c r="AJ232">
        <v>194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ROW(Source!A148)</f>
        <v>148</v>
      </c>
      <c r="B233">
        <v>55934754</v>
      </c>
      <c r="C233">
        <v>55934751</v>
      </c>
      <c r="D233">
        <v>55459261</v>
      </c>
      <c r="E233">
        <v>1</v>
      </c>
      <c r="F233">
        <v>1</v>
      </c>
      <c r="G233">
        <v>1081</v>
      </c>
      <c r="H233">
        <v>3</v>
      </c>
      <c r="I233" t="s">
        <v>260</v>
      </c>
      <c r="J233" t="s">
        <v>261</v>
      </c>
      <c r="K233" t="s">
        <v>262</v>
      </c>
      <c r="L233">
        <v>1348</v>
      </c>
      <c r="N233">
        <v>1009</v>
      </c>
      <c r="O233" t="s">
        <v>232</v>
      </c>
      <c r="P233" t="s">
        <v>232</v>
      </c>
      <c r="Q233">
        <v>1000</v>
      </c>
      <c r="X233">
        <v>5.0000000000000002E-5</v>
      </c>
      <c r="Y233">
        <v>1219.68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120</v>
      </c>
      <c r="AG233">
        <v>5.0000000000000002E-5</v>
      </c>
      <c r="AH233">
        <v>2</v>
      </c>
      <c r="AI233">
        <v>55934754</v>
      </c>
      <c r="AJ233">
        <v>195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ROW(Source!A148)</f>
        <v>148</v>
      </c>
      <c r="B234">
        <v>55934755</v>
      </c>
      <c r="C234">
        <v>55934751</v>
      </c>
      <c r="D234">
        <v>55460328</v>
      </c>
      <c r="E234">
        <v>1</v>
      </c>
      <c r="F234">
        <v>1</v>
      </c>
      <c r="G234">
        <v>1081</v>
      </c>
      <c r="H234">
        <v>3</v>
      </c>
      <c r="I234" t="s">
        <v>263</v>
      </c>
      <c r="J234" t="s">
        <v>264</v>
      </c>
      <c r="K234" t="s">
        <v>265</v>
      </c>
      <c r="L234">
        <v>1301</v>
      </c>
      <c r="N234">
        <v>1003</v>
      </c>
      <c r="O234" t="s">
        <v>266</v>
      </c>
      <c r="P234" t="s">
        <v>266</v>
      </c>
      <c r="Q234">
        <v>1</v>
      </c>
      <c r="X234">
        <v>5</v>
      </c>
      <c r="Y234">
        <v>0.39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120</v>
      </c>
      <c r="AG234">
        <v>5</v>
      </c>
      <c r="AH234">
        <v>2</v>
      </c>
      <c r="AI234">
        <v>55934755</v>
      </c>
      <c r="AJ234">
        <v>196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ROW(Source!A148)</f>
        <v>148</v>
      </c>
      <c r="B235">
        <v>55934756</v>
      </c>
      <c r="C235">
        <v>55934751</v>
      </c>
      <c r="D235">
        <v>55459312</v>
      </c>
      <c r="E235">
        <v>1</v>
      </c>
      <c r="F235">
        <v>1</v>
      </c>
      <c r="G235">
        <v>1081</v>
      </c>
      <c r="H235">
        <v>3</v>
      </c>
      <c r="I235" t="s">
        <v>267</v>
      </c>
      <c r="J235" t="s">
        <v>268</v>
      </c>
      <c r="K235" t="s">
        <v>269</v>
      </c>
      <c r="L235">
        <v>1339</v>
      </c>
      <c r="N235">
        <v>1007</v>
      </c>
      <c r="O235" t="s">
        <v>270</v>
      </c>
      <c r="P235" t="s">
        <v>270</v>
      </c>
      <c r="Q235">
        <v>1</v>
      </c>
      <c r="X235">
        <v>1E-3</v>
      </c>
      <c r="Y235">
        <v>1176.3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120</v>
      </c>
      <c r="AG235">
        <v>1E-3</v>
      </c>
      <c r="AH235">
        <v>2</v>
      </c>
      <c r="AI235">
        <v>55934756</v>
      </c>
      <c r="AJ235">
        <v>197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ROW(Source!A148)</f>
        <v>148</v>
      </c>
      <c r="B236">
        <v>55934757</v>
      </c>
      <c r="C236">
        <v>55934751</v>
      </c>
      <c r="D236">
        <v>55461230</v>
      </c>
      <c r="E236">
        <v>1</v>
      </c>
      <c r="F236">
        <v>1</v>
      </c>
      <c r="G236">
        <v>1081</v>
      </c>
      <c r="H236">
        <v>3</v>
      </c>
      <c r="I236" t="s">
        <v>271</v>
      </c>
      <c r="J236" t="s">
        <v>272</v>
      </c>
      <c r="K236" t="s">
        <v>273</v>
      </c>
      <c r="L236">
        <v>1346</v>
      </c>
      <c r="N236">
        <v>1009</v>
      </c>
      <c r="O236" t="s">
        <v>252</v>
      </c>
      <c r="P236" t="s">
        <v>252</v>
      </c>
      <c r="Q236">
        <v>1</v>
      </c>
      <c r="X236">
        <v>0.01</v>
      </c>
      <c r="Y236">
        <v>15.11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120</v>
      </c>
      <c r="AG236">
        <v>0.01</v>
      </c>
      <c r="AH236">
        <v>2</v>
      </c>
      <c r="AI236">
        <v>55934757</v>
      </c>
      <c r="AJ236">
        <v>198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ROW(Source!A148)</f>
        <v>148</v>
      </c>
      <c r="B237">
        <v>55934758</v>
      </c>
      <c r="C237">
        <v>55934751</v>
      </c>
      <c r="D237">
        <v>55459400</v>
      </c>
      <c r="E237">
        <v>1</v>
      </c>
      <c r="F237">
        <v>1</v>
      </c>
      <c r="G237">
        <v>1081</v>
      </c>
      <c r="H237">
        <v>3</v>
      </c>
      <c r="I237" t="s">
        <v>274</v>
      </c>
      <c r="J237" t="s">
        <v>275</v>
      </c>
      <c r="K237" t="s">
        <v>276</v>
      </c>
      <c r="L237">
        <v>1346</v>
      </c>
      <c r="N237">
        <v>1009</v>
      </c>
      <c r="O237" t="s">
        <v>252</v>
      </c>
      <c r="P237" t="s">
        <v>252</v>
      </c>
      <c r="Q237">
        <v>1</v>
      </c>
      <c r="X237">
        <v>0.01</v>
      </c>
      <c r="Y237">
        <v>16.690000000000001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120</v>
      </c>
      <c r="AG237">
        <v>0.01</v>
      </c>
      <c r="AH237">
        <v>2</v>
      </c>
      <c r="AI237">
        <v>55934758</v>
      </c>
      <c r="AJ237">
        <v>199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ROW(Source!A148)</f>
        <v>148</v>
      </c>
      <c r="B238">
        <v>55934759</v>
      </c>
      <c r="C238">
        <v>55934751</v>
      </c>
      <c r="D238">
        <v>55461719</v>
      </c>
      <c r="E238">
        <v>1</v>
      </c>
      <c r="F238">
        <v>1</v>
      </c>
      <c r="G238">
        <v>1081</v>
      </c>
      <c r="H238">
        <v>3</v>
      </c>
      <c r="I238" t="s">
        <v>229</v>
      </c>
      <c r="J238" t="s">
        <v>230</v>
      </c>
      <c r="K238" t="s">
        <v>231</v>
      </c>
      <c r="L238">
        <v>1348</v>
      </c>
      <c r="N238">
        <v>1009</v>
      </c>
      <c r="O238" t="s">
        <v>232</v>
      </c>
      <c r="P238" t="s">
        <v>232</v>
      </c>
      <c r="Q238">
        <v>1000</v>
      </c>
      <c r="X238">
        <v>1E-4</v>
      </c>
      <c r="Y238">
        <v>10643.18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120</v>
      </c>
      <c r="AG238">
        <v>1E-4</v>
      </c>
      <c r="AH238">
        <v>2</v>
      </c>
      <c r="AI238">
        <v>55934759</v>
      </c>
      <c r="AJ238">
        <v>200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ROW(Source!A148)</f>
        <v>148</v>
      </c>
      <c r="B239">
        <v>55934760</v>
      </c>
      <c r="C239">
        <v>55934751</v>
      </c>
      <c r="D239">
        <v>55466000</v>
      </c>
      <c r="E239">
        <v>1</v>
      </c>
      <c r="F239">
        <v>1</v>
      </c>
      <c r="G239">
        <v>1081</v>
      </c>
      <c r="H239">
        <v>3</v>
      </c>
      <c r="I239" t="s">
        <v>277</v>
      </c>
      <c r="J239" t="s">
        <v>278</v>
      </c>
      <c r="K239" t="s">
        <v>279</v>
      </c>
      <c r="L239">
        <v>1355</v>
      </c>
      <c r="N239">
        <v>1010</v>
      </c>
      <c r="O239" t="s">
        <v>280</v>
      </c>
      <c r="P239" t="s">
        <v>280</v>
      </c>
      <c r="Q239">
        <v>100</v>
      </c>
      <c r="X239">
        <v>0.01</v>
      </c>
      <c r="Y239">
        <v>120.19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120</v>
      </c>
      <c r="AG239">
        <v>0.01</v>
      </c>
      <c r="AH239">
        <v>2</v>
      </c>
      <c r="AI239">
        <v>55934760</v>
      </c>
      <c r="AJ239">
        <v>201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ROW(Source!A148)</f>
        <v>148</v>
      </c>
      <c r="B240">
        <v>55934761</v>
      </c>
      <c r="C240">
        <v>55934751</v>
      </c>
      <c r="D240">
        <v>55459793</v>
      </c>
      <c r="E240">
        <v>1</v>
      </c>
      <c r="F240">
        <v>1</v>
      </c>
      <c r="G240">
        <v>1081</v>
      </c>
      <c r="H240">
        <v>3</v>
      </c>
      <c r="I240" t="s">
        <v>233</v>
      </c>
      <c r="J240" t="s">
        <v>234</v>
      </c>
      <c r="K240" t="s">
        <v>235</v>
      </c>
      <c r="L240">
        <v>1348</v>
      </c>
      <c r="N240">
        <v>1009</v>
      </c>
      <c r="O240" t="s">
        <v>232</v>
      </c>
      <c r="P240" t="s">
        <v>232</v>
      </c>
      <c r="Q240">
        <v>1000</v>
      </c>
      <c r="X240">
        <v>2.0000000000000002E-5</v>
      </c>
      <c r="Y240">
        <v>64123.05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120</v>
      </c>
      <c r="AG240">
        <v>2.0000000000000002E-5</v>
      </c>
      <c r="AH240">
        <v>2</v>
      </c>
      <c r="AI240">
        <v>55934761</v>
      </c>
      <c r="AJ240">
        <v>202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ROW(Source!A148)</f>
        <v>148</v>
      </c>
      <c r="B241">
        <v>55934762</v>
      </c>
      <c r="C241">
        <v>55934751</v>
      </c>
      <c r="D241">
        <v>55459810</v>
      </c>
      <c r="E241">
        <v>1</v>
      </c>
      <c r="F241">
        <v>1</v>
      </c>
      <c r="G241">
        <v>1081</v>
      </c>
      <c r="H241">
        <v>3</v>
      </c>
      <c r="I241" t="s">
        <v>281</v>
      </c>
      <c r="J241" t="s">
        <v>282</v>
      </c>
      <c r="K241" t="s">
        <v>283</v>
      </c>
      <c r="L241">
        <v>1348</v>
      </c>
      <c r="N241">
        <v>1009</v>
      </c>
      <c r="O241" t="s">
        <v>232</v>
      </c>
      <c r="P241" t="s">
        <v>232</v>
      </c>
      <c r="Q241">
        <v>1000</v>
      </c>
      <c r="X241">
        <v>1E-4</v>
      </c>
      <c r="Y241">
        <v>9238.1299999999992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120</v>
      </c>
      <c r="AG241">
        <v>1E-4</v>
      </c>
      <c r="AH241">
        <v>2</v>
      </c>
      <c r="AI241">
        <v>55934762</v>
      </c>
      <c r="AJ241">
        <v>203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ROW(Source!A148)</f>
        <v>148</v>
      </c>
      <c r="B242">
        <v>55934763</v>
      </c>
      <c r="C242">
        <v>55934751</v>
      </c>
      <c r="D242">
        <v>55482166</v>
      </c>
      <c r="E242">
        <v>1</v>
      </c>
      <c r="F242">
        <v>1</v>
      </c>
      <c r="G242">
        <v>1081</v>
      </c>
      <c r="H242">
        <v>3</v>
      </c>
      <c r="I242" t="s">
        <v>284</v>
      </c>
      <c r="J242" t="s">
        <v>285</v>
      </c>
      <c r="K242" t="s">
        <v>286</v>
      </c>
      <c r="L242">
        <v>1301</v>
      </c>
      <c r="N242">
        <v>1003</v>
      </c>
      <c r="O242" t="s">
        <v>266</v>
      </c>
      <c r="P242" t="s">
        <v>266</v>
      </c>
      <c r="Q242">
        <v>1</v>
      </c>
      <c r="X242">
        <v>1</v>
      </c>
      <c r="Y242">
        <v>0.69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120</v>
      </c>
      <c r="AG242">
        <v>1</v>
      </c>
      <c r="AH242">
        <v>2</v>
      </c>
      <c r="AI242">
        <v>55934763</v>
      </c>
      <c r="AJ242">
        <v>204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ROW(Source!A148)</f>
        <v>148</v>
      </c>
      <c r="B243">
        <v>55934764</v>
      </c>
      <c r="C243">
        <v>55934751</v>
      </c>
      <c r="D243">
        <v>55482445</v>
      </c>
      <c r="E243">
        <v>1</v>
      </c>
      <c r="F243">
        <v>1</v>
      </c>
      <c r="G243">
        <v>1081</v>
      </c>
      <c r="H243">
        <v>3</v>
      </c>
      <c r="I243" t="s">
        <v>287</v>
      </c>
      <c r="J243" t="s">
        <v>288</v>
      </c>
      <c r="K243" t="s">
        <v>289</v>
      </c>
      <c r="L243">
        <v>1356</v>
      </c>
      <c r="N243">
        <v>1010</v>
      </c>
      <c r="O243" t="s">
        <v>246</v>
      </c>
      <c r="P243" t="s">
        <v>246</v>
      </c>
      <c r="Q243">
        <v>1000</v>
      </c>
      <c r="X243">
        <v>0.01</v>
      </c>
      <c r="Y243">
        <v>294.89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120</v>
      </c>
      <c r="AG243">
        <v>0.01</v>
      </c>
      <c r="AH243">
        <v>2</v>
      </c>
      <c r="AI243">
        <v>55934764</v>
      </c>
      <c r="AJ243">
        <v>205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ROW(Source!A148)</f>
        <v>148</v>
      </c>
      <c r="B244">
        <v>55934765</v>
      </c>
      <c r="C244">
        <v>55934751</v>
      </c>
      <c r="D244">
        <v>55481518</v>
      </c>
      <c r="E244">
        <v>1</v>
      </c>
      <c r="F244">
        <v>1</v>
      </c>
      <c r="G244">
        <v>1081</v>
      </c>
      <c r="H244">
        <v>3</v>
      </c>
      <c r="I244" t="s">
        <v>290</v>
      </c>
      <c r="J244" t="s">
        <v>291</v>
      </c>
      <c r="K244" t="s">
        <v>292</v>
      </c>
      <c r="L244">
        <v>1354</v>
      </c>
      <c r="N244">
        <v>1010</v>
      </c>
      <c r="O244" t="s">
        <v>293</v>
      </c>
      <c r="P244" t="s">
        <v>293</v>
      </c>
      <c r="Q244">
        <v>1</v>
      </c>
      <c r="X244">
        <v>1</v>
      </c>
      <c r="Y244">
        <v>15.67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120</v>
      </c>
      <c r="AG244">
        <v>1</v>
      </c>
      <c r="AH244">
        <v>2</v>
      </c>
      <c r="AI244">
        <v>55934765</v>
      </c>
      <c r="AJ244">
        <v>206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ROW(Source!A148)</f>
        <v>148</v>
      </c>
      <c r="B245">
        <v>55934766</v>
      </c>
      <c r="C245">
        <v>55934751</v>
      </c>
      <c r="D245">
        <v>55417010</v>
      </c>
      <c r="E245">
        <v>1081</v>
      </c>
      <c r="F245">
        <v>1</v>
      </c>
      <c r="G245">
        <v>1081</v>
      </c>
      <c r="H245">
        <v>3</v>
      </c>
      <c r="I245" t="s">
        <v>328</v>
      </c>
      <c r="J245" t="s">
        <v>3</v>
      </c>
      <c r="K245" t="s">
        <v>329</v>
      </c>
      <c r="L245">
        <v>1346</v>
      </c>
      <c r="N245">
        <v>1009</v>
      </c>
      <c r="O245" t="s">
        <v>252</v>
      </c>
      <c r="P245" t="s">
        <v>252</v>
      </c>
      <c r="Q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120</v>
      </c>
      <c r="AG245">
        <v>0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ROW(Source!A148)</f>
        <v>148</v>
      </c>
      <c r="B246">
        <v>55934767</v>
      </c>
      <c r="C246">
        <v>55934751</v>
      </c>
      <c r="D246">
        <v>55455661</v>
      </c>
      <c r="E246">
        <v>1081</v>
      </c>
      <c r="F246">
        <v>1</v>
      </c>
      <c r="G246">
        <v>1081</v>
      </c>
      <c r="H246">
        <v>3</v>
      </c>
      <c r="I246" t="s">
        <v>330</v>
      </c>
      <c r="J246" t="s">
        <v>3</v>
      </c>
      <c r="K246" t="s">
        <v>331</v>
      </c>
      <c r="L246">
        <v>1391</v>
      </c>
      <c r="N246">
        <v>1013</v>
      </c>
      <c r="O246" t="s">
        <v>142</v>
      </c>
      <c r="P246" t="s">
        <v>142</v>
      </c>
      <c r="Q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120</v>
      </c>
      <c r="AG246">
        <v>1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ROW(Source!A148)</f>
        <v>148</v>
      </c>
      <c r="B247">
        <v>55934768</v>
      </c>
      <c r="C247">
        <v>55934751</v>
      </c>
      <c r="D247">
        <v>55424290</v>
      </c>
      <c r="E247">
        <v>1081</v>
      </c>
      <c r="F247">
        <v>1</v>
      </c>
      <c r="G247">
        <v>1081</v>
      </c>
      <c r="H247">
        <v>3</v>
      </c>
      <c r="I247" t="s">
        <v>247</v>
      </c>
      <c r="J247" t="s">
        <v>3</v>
      </c>
      <c r="K247" t="s">
        <v>248</v>
      </c>
      <c r="L247">
        <v>1348</v>
      </c>
      <c r="N247">
        <v>1009</v>
      </c>
      <c r="O247" t="s">
        <v>232</v>
      </c>
      <c r="P247" t="s">
        <v>232</v>
      </c>
      <c r="Q247">
        <v>1000</v>
      </c>
      <c r="X247">
        <v>1E-3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120</v>
      </c>
      <c r="AG247">
        <v>1E-3</v>
      </c>
      <c r="AH247">
        <v>2</v>
      </c>
      <c r="AI247">
        <v>55934768</v>
      </c>
      <c r="AJ247">
        <v>208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ROW(Source!A149)</f>
        <v>149</v>
      </c>
      <c r="B248">
        <v>55934752</v>
      </c>
      <c r="C248">
        <v>55934751</v>
      </c>
      <c r="D248">
        <v>55424304</v>
      </c>
      <c r="E248">
        <v>1081</v>
      </c>
      <c r="F248">
        <v>1</v>
      </c>
      <c r="G248">
        <v>1081</v>
      </c>
      <c r="H248">
        <v>1</v>
      </c>
      <c r="I248" t="s">
        <v>221</v>
      </c>
      <c r="J248" t="s">
        <v>3</v>
      </c>
      <c r="K248" t="s">
        <v>222</v>
      </c>
      <c r="L248">
        <v>1191</v>
      </c>
      <c r="N248">
        <v>1013</v>
      </c>
      <c r="O248" t="s">
        <v>223</v>
      </c>
      <c r="P248" t="s">
        <v>223</v>
      </c>
      <c r="Q248">
        <v>1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121</v>
      </c>
      <c r="AG248">
        <v>3.5999999999999996</v>
      </c>
      <c r="AH248">
        <v>2</v>
      </c>
      <c r="AI248">
        <v>55934752</v>
      </c>
      <c r="AJ248">
        <v>209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ROW(Source!A149)</f>
        <v>149</v>
      </c>
      <c r="B249">
        <v>55934753</v>
      </c>
      <c r="C249">
        <v>55934751</v>
      </c>
      <c r="D249">
        <v>55459894</v>
      </c>
      <c r="E249">
        <v>1</v>
      </c>
      <c r="F249">
        <v>1</v>
      </c>
      <c r="G249">
        <v>1081</v>
      </c>
      <c r="H249">
        <v>3</v>
      </c>
      <c r="I249" t="s">
        <v>257</v>
      </c>
      <c r="J249" t="s">
        <v>258</v>
      </c>
      <c r="K249" t="s">
        <v>259</v>
      </c>
      <c r="L249">
        <v>1348</v>
      </c>
      <c r="N249">
        <v>1009</v>
      </c>
      <c r="O249" t="s">
        <v>232</v>
      </c>
      <c r="P249" t="s">
        <v>232</v>
      </c>
      <c r="Q249">
        <v>1000</v>
      </c>
      <c r="X249">
        <v>1E-3</v>
      </c>
      <c r="Y249">
        <v>15319.65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120</v>
      </c>
      <c r="AG249">
        <v>1E-3</v>
      </c>
      <c r="AH249">
        <v>2</v>
      </c>
      <c r="AI249">
        <v>55934753</v>
      </c>
      <c r="AJ249">
        <v>210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ROW(Source!A149)</f>
        <v>149</v>
      </c>
      <c r="B250">
        <v>55934754</v>
      </c>
      <c r="C250">
        <v>55934751</v>
      </c>
      <c r="D250">
        <v>55459261</v>
      </c>
      <c r="E250">
        <v>1</v>
      </c>
      <c r="F250">
        <v>1</v>
      </c>
      <c r="G250">
        <v>1081</v>
      </c>
      <c r="H250">
        <v>3</v>
      </c>
      <c r="I250" t="s">
        <v>260</v>
      </c>
      <c r="J250" t="s">
        <v>261</v>
      </c>
      <c r="K250" t="s">
        <v>262</v>
      </c>
      <c r="L250">
        <v>1348</v>
      </c>
      <c r="N250">
        <v>1009</v>
      </c>
      <c r="O250" t="s">
        <v>232</v>
      </c>
      <c r="P250" t="s">
        <v>232</v>
      </c>
      <c r="Q250">
        <v>1000</v>
      </c>
      <c r="X250">
        <v>5.0000000000000002E-5</v>
      </c>
      <c r="Y250">
        <v>1219.68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120</v>
      </c>
      <c r="AG250">
        <v>5.0000000000000002E-5</v>
      </c>
      <c r="AH250">
        <v>2</v>
      </c>
      <c r="AI250">
        <v>55934754</v>
      </c>
      <c r="AJ250">
        <v>211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ROW(Source!A149)</f>
        <v>149</v>
      </c>
      <c r="B251">
        <v>55934755</v>
      </c>
      <c r="C251">
        <v>55934751</v>
      </c>
      <c r="D251">
        <v>55460328</v>
      </c>
      <c r="E251">
        <v>1</v>
      </c>
      <c r="F251">
        <v>1</v>
      </c>
      <c r="G251">
        <v>1081</v>
      </c>
      <c r="H251">
        <v>3</v>
      </c>
      <c r="I251" t="s">
        <v>263</v>
      </c>
      <c r="J251" t="s">
        <v>264</v>
      </c>
      <c r="K251" t="s">
        <v>265</v>
      </c>
      <c r="L251">
        <v>1301</v>
      </c>
      <c r="N251">
        <v>1003</v>
      </c>
      <c r="O251" t="s">
        <v>266</v>
      </c>
      <c r="P251" t="s">
        <v>266</v>
      </c>
      <c r="Q251">
        <v>1</v>
      </c>
      <c r="X251">
        <v>5</v>
      </c>
      <c r="Y251">
        <v>0.39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120</v>
      </c>
      <c r="AG251">
        <v>5</v>
      </c>
      <c r="AH251">
        <v>2</v>
      </c>
      <c r="AI251">
        <v>55934755</v>
      </c>
      <c r="AJ251">
        <v>212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ROW(Source!A149)</f>
        <v>149</v>
      </c>
      <c r="B252">
        <v>55934756</v>
      </c>
      <c r="C252">
        <v>55934751</v>
      </c>
      <c r="D252">
        <v>55459312</v>
      </c>
      <c r="E252">
        <v>1</v>
      </c>
      <c r="F252">
        <v>1</v>
      </c>
      <c r="G252">
        <v>1081</v>
      </c>
      <c r="H252">
        <v>3</v>
      </c>
      <c r="I252" t="s">
        <v>267</v>
      </c>
      <c r="J252" t="s">
        <v>268</v>
      </c>
      <c r="K252" t="s">
        <v>269</v>
      </c>
      <c r="L252">
        <v>1339</v>
      </c>
      <c r="N252">
        <v>1007</v>
      </c>
      <c r="O252" t="s">
        <v>270</v>
      </c>
      <c r="P252" t="s">
        <v>270</v>
      </c>
      <c r="Q252">
        <v>1</v>
      </c>
      <c r="X252">
        <v>1E-3</v>
      </c>
      <c r="Y252">
        <v>1176.3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120</v>
      </c>
      <c r="AG252">
        <v>1E-3</v>
      </c>
      <c r="AH252">
        <v>2</v>
      </c>
      <c r="AI252">
        <v>55934756</v>
      </c>
      <c r="AJ252">
        <v>213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ROW(Source!A149)</f>
        <v>149</v>
      </c>
      <c r="B253">
        <v>55934757</v>
      </c>
      <c r="C253">
        <v>55934751</v>
      </c>
      <c r="D253">
        <v>55461230</v>
      </c>
      <c r="E253">
        <v>1</v>
      </c>
      <c r="F253">
        <v>1</v>
      </c>
      <c r="G253">
        <v>1081</v>
      </c>
      <c r="H253">
        <v>3</v>
      </c>
      <c r="I253" t="s">
        <v>271</v>
      </c>
      <c r="J253" t="s">
        <v>272</v>
      </c>
      <c r="K253" t="s">
        <v>273</v>
      </c>
      <c r="L253">
        <v>1346</v>
      </c>
      <c r="N253">
        <v>1009</v>
      </c>
      <c r="O253" t="s">
        <v>252</v>
      </c>
      <c r="P253" t="s">
        <v>252</v>
      </c>
      <c r="Q253">
        <v>1</v>
      </c>
      <c r="X253">
        <v>0.01</v>
      </c>
      <c r="Y253">
        <v>15.11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120</v>
      </c>
      <c r="AG253">
        <v>0.01</v>
      </c>
      <c r="AH253">
        <v>2</v>
      </c>
      <c r="AI253">
        <v>55934757</v>
      </c>
      <c r="AJ253">
        <v>214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ROW(Source!A149)</f>
        <v>149</v>
      </c>
      <c r="B254">
        <v>55934758</v>
      </c>
      <c r="C254">
        <v>55934751</v>
      </c>
      <c r="D254">
        <v>55459400</v>
      </c>
      <c r="E254">
        <v>1</v>
      </c>
      <c r="F254">
        <v>1</v>
      </c>
      <c r="G254">
        <v>1081</v>
      </c>
      <c r="H254">
        <v>3</v>
      </c>
      <c r="I254" t="s">
        <v>274</v>
      </c>
      <c r="J254" t="s">
        <v>275</v>
      </c>
      <c r="K254" t="s">
        <v>276</v>
      </c>
      <c r="L254">
        <v>1346</v>
      </c>
      <c r="N254">
        <v>1009</v>
      </c>
      <c r="O254" t="s">
        <v>252</v>
      </c>
      <c r="P254" t="s">
        <v>252</v>
      </c>
      <c r="Q254">
        <v>1</v>
      </c>
      <c r="X254">
        <v>0.01</v>
      </c>
      <c r="Y254">
        <v>16.690000000000001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120</v>
      </c>
      <c r="AG254">
        <v>0.01</v>
      </c>
      <c r="AH254">
        <v>2</v>
      </c>
      <c r="AI254">
        <v>55934758</v>
      </c>
      <c r="AJ254">
        <v>215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ROW(Source!A149)</f>
        <v>149</v>
      </c>
      <c r="B255">
        <v>55934759</v>
      </c>
      <c r="C255">
        <v>55934751</v>
      </c>
      <c r="D255">
        <v>55461719</v>
      </c>
      <c r="E255">
        <v>1</v>
      </c>
      <c r="F255">
        <v>1</v>
      </c>
      <c r="G255">
        <v>1081</v>
      </c>
      <c r="H255">
        <v>3</v>
      </c>
      <c r="I255" t="s">
        <v>229</v>
      </c>
      <c r="J255" t="s">
        <v>230</v>
      </c>
      <c r="K255" t="s">
        <v>231</v>
      </c>
      <c r="L255">
        <v>1348</v>
      </c>
      <c r="N255">
        <v>1009</v>
      </c>
      <c r="O255" t="s">
        <v>232</v>
      </c>
      <c r="P255" t="s">
        <v>232</v>
      </c>
      <c r="Q255">
        <v>1000</v>
      </c>
      <c r="X255">
        <v>1E-4</v>
      </c>
      <c r="Y255">
        <v>10643.18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120</v>
      </c>
      <c r="AG255">
        <v>1E-4</v>
      </c>
      <c r="AH255">
        <v>2</v>
      </c>
      <c r="AI255">
        <v>55934759</v>
      </c>
      <c r="AJ255">
        <v>216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ROW(Source!A149)</f>
        <v>149</v>
      </c>
      <c r="B256">
        <v>55934760</v>
      </c>
      <c r="C256">
        <v>55934751</v>
      </c>
      <c r="D256">
        <v>55466000</v>
      </c>
      <c r="E256">
        <v>1</v>
      </c>
      <c r="F256">
        <v>1</v>
      </c>
      <c r="G256">
        <v>1081</v>
      </c>
      <c r="H256">
        <v>3</v>
      </c>
      <c r="I256" t="s">
        <v>277</v>
      </c>
      <c r="J256" t="s">
        <v>278</v>
      </c>
      <c r="K256" t="s">
        <v>279</v>
      </c>
      <c r="L256">
        <v>1355</v>
      </c>
      <c r="N256">
        <v>1010</v>
      </c>
      <c r="O256" t="s">
        <v>280</v>
      </c>
      <c r="P256" t="s">
        <v>280</v>
      </c>
      <c r="Q256">
        <v>100</v>
      </c>
      <c r="X256">
        <v>0.01</v>
      </c>
      <c r="Y256">
        <v>120.19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120</v>
      </c>
      <c r="AG256">
        <v>0.01</v>
      </c>
      <c r="AH256">
        <v>2</v>
      </c>
      <c r="AI256">
        <v>55934760</v>
      </c>
      <c r="AJ256">
        <v>217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ROW(Source!A149)</f>
        <v>149</v>
      </c>
      <c r="B257">
        <v>55934761</v>
      </c>
      <c r="C257">
        <v>55934751</v>
      </c>
      <c r="D257">
        <v>55459793</v>
      </c>
      <c r="E257">
        <v>1</v>
      </c>
      <c r="F257">
        <v>1</v>
      </c>
      <c r="G257">
        <v>1081</v>
      </c>
      <c r="H257">
        <v>3</v>
      </c>
      <c r="I257" t="s">
        <v>233</v>
      </c>
      <c r="J257" t="s">
        <v>234</v>
      </c>
      <c r="K257" t="s">
        <v>235</v>
      </c>
      <c r="L257">
        <v>1348</v>
      </c>
      <c r="N257">
        <v>1009</v>
      </c>
      <c r="O257" t="s">
        <v>232</v>
      </c>
      <c r="P257" t="s">
        <v>232</v>
      </c>
      <c r="Q257">
        <v>1000</v>
      </c>
      <c r="X257">
        <v>2.0000000000000002E-5</v>
      </c>
      <c r="Y257">
        <v>64123.05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120</v>
      </c>
      <c r="AG257">
        <v>2.0000000000000002E-5</v>
      </c>
      <c r="AH257">
        <v>2</v>
      </c>
      <c r="AI257">
        <v>55934761</v>
      </c>
      <c r="AJ257">
        <v>218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ROW(Source!A149)</f>
        <v>149</v>
      </c>
      <c r="B258">
        <v>55934762</v>
      </c>
      <c r="C258">
        <v>55934751</v>
      </c>
      <c r="D258">
        <v>55459810</v>
      </c>
      <c r="E258">
        <v>1</v>
      </c>
      <c r="F258">
        <v>1</v>
      </c>
      <c r="G258">
        <v>1081</v>
      </c>
      <c r="H258">
        <v>3</v>
      </c>
      <c r="I258" t="s">
        <v>281</v>
      </c>
      <c r="J258" t="s">
        <v>282</v>
      </c>
      <c r="K258" t="s">
        <v>283</v>
      </c>
      <c r="L258">
        <v>1348</v>
      </c>
      <c r="N258">
        <v>1009</v>
      </c>
      <c r="O258" t="s">
        <v>232</v>
      </c>
      <c r="P258" t="s">
        <v>232</v>
      </c>
      <c r="Q258">
        <v>1000</v>
      </c>
      <c r="X258">
        <v>1E-4</v>
      </c>
      <c r="Y258">
        <v>9238.1299999999992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120</v>
      </c>
      <c r="AG258">
        <v>1E-4</v>
      </c>
      <c r="AH258">
        <v>2</v>
      </c>
      <c r="AI258">
        <v>55934762</v>
      </c>
      <c r="AJ258">
        <v>219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ROW(Source!A149)</f>
        <v>149</v>
      </c>
      <c r="B259">
        <v>55934763</v>
      </c>
      <c r="C259">
        <v>55934751</v>
      </c>
      <c r="D259">
        <v>55482166</v>
      </c>
      <c r="E259">
        <v>1</v>
      </c>
      <c r="F259">
        <v>1</v>
      </c>
      <c r="G259">
        <v>1081</v>
      </c>
      <c r="H259">
        <v>3</v>
      </c>
      <c r="I259" t="s">
        <v>284</v>
      </c>
      <c r="J259" t="s">
        <v>285</v>
      </c>
      <c r="K259" t="s">
        <v>286</v>
      </c>
      <c r="L259">
        <v>1301</v>
      </c>
      <c r="N259">
        <v>1003</v>
      </c>
      <c r="O259" t="s">
        <v>266</v>
      </c>
      <c r="P259" t="s">
        <v>266</v>
      </c>
      <c r="Q259">
        <v>1</v>
      </c>
      <c r="X259">
        <v>1</v>
      </c>
      <c r="Y259">
        <v>0.69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120</v>
      </c>
      <c r="AG259">
        <v>1</v>
      </c>
      <c r="AH259">
        <v>2</v>
      </c>
      <c r="AI259">
        <v>55934763</v>
      </c>
      <c r="AJ259">
        <v>220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ROW(Source!A149)</f>
        <v>149</v>
      </c>
      <c r="B260">
        <v>55934764</v>
      </c>
      <c r="C260">
        <v>55934751</v>
      </c>
      <c r="D260">
        <v>55482445</v>
      </c>
      <c r="E260">
        <v>1</v>
      </c>
      <c r="F260">
        <v>1</v>
      </c>
      <c r="G260">
        <v>1081</v>
      </c>
      <c r="H260">
        <v>3</v>
      </c>
      <c r="I260" t="s">
        <v>287</v>
      </c>
      <c r="J260" t="s">
        <v>288</v>
      </c>
      <c r="K260" t="s">
        <v>289</v>
      </c>
      <c r="L260">
        <v>1356</v>
      </c>
      <c r="N260">
        <v>1010</v>
      </c>
      <c r="O260" t="s">
        <v>246</v>
      </c>
      <c r="P260" t="s">
        <v>246</v>
      </c>
      <c r="Q260">
        <v>1000</v>
      </c>
      <c r="X260">
        <v>0.01</v>
      </c>
      <c r="Y260">
        <v>294.89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120</v>
      </c>
      <c r="AG260">
        <v>0.01</v>
      </c>
      <c r="AH260">
        <v>2</v>
      </c>
      <c r="AI260">
        <v>55934764</v>
      </c>
      <c r="AJ260">
        <v>221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ROW(Source!A149)</f>
        <v>149</v>
      </c>
      <c r="B261">
        <v>55934765</v>
      </c>
      <c r="C261">
        <v>55934751</v>
      </c>
      <c r="D261">
        <v>55481518</v>
      </c>
      <c r="E261">
        <v>1</v>
      </c>
      <c r="F261">
        <v>1</v>
      </c>
      <c r="G261">
        <v>1081</v>
      </c>
      <c r="H261">
        <v>3</v>
      </c>
      <c r="I261" t="s">
        <v>290</v>
      </c>
      <c r="J261" t="s">
        <v>291</v>
      </c>
      <c r="K261" t="s">
        <v>292</v>
      </c>
      <c r="L261">
        <v>1354</v>
      </c>
      <c r="N261">
        <v>1010</v>
      </c>
      <c r="O261" t="s">
        <v>293</v>
      </c>
      <c r="P261" t="s">
        <v>293</v>
      </c>
      <c r="Q261">
        <v>1</v>
      </c>
      <c r="X261">
        <v>1</v>
      </c>
      <c r="Y261">
        <v>15.67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120</v>
      </c>
      <c r="AG261">
        <v>1</v>
      </c>
      <c r="AH261">
        <v>2</v>
      </c>
      <c r="AI261">
        <v>55934765</v>
      </c>
      <c r="AJ261">
        <v>222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ROW(Source!A149)</f>
        <v>149</v>
      </c>
      <c r="B262">
        <v>55934766</v>
      </c>
      <c r="C262">
        <v>55934751</v>
      </c>
      <c r="D262">
        <v>55417010</v>
      </c>
      <c r="E262">
        <v>1081</v>
      </c>
      <c r="F262">
        <v>1</v>
      </c>
      <c r="G262">
        <v>1081</v>
      </c>
      <c r="H262">
        <v>3</v>
      </c>
      <c r="I262" t="s">
        <v>328</v>
      </c>
      <c r="J262" t="s">
        <v>3</v>
      </c>
      <c r="K262" t="s">
        <v>329</v>
      </c>
      <c r="L262">
        <v>1346</v>
      </c>
      <c r="N262">
        <v>1009</v>
      </c>
      <c r="O262" t="s">
        <v>252</v>
      </c>
      <c r="P262" t="s">
        <v>252</v>
      </c>
      <c r="Q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120</v>
      </c>
      <c r="AG262">
        <v>0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ROW(Source!A149)</f>
        <v>149</v>
      </c>
      <c r="B263">
        <v>55934767</v>
      </c>
      <c r="C263">
        <v>55934751</v>
      </c>
      <c r="D263">
        <v>55455661</v>
      </c>
      <c r="E263">
        <v>1081</v>
      </c>
      <c r="F263">
        <v>1</v>
      </c>
      <c r="G263">
        <v>1081</v>
      </c>
      <c r="H263">
        <v>3</v>
      </c>
      <c r="I263" t="s">
        <v>330</v>
      </c>
      <c r="J263" t="s">
        <v>3</v>
      </c>
      <c r="K263" t="s">
        <v>331</v>
      </c>
      <c r="L263">
        <v>1391</v>
      </c>
      <c r="N263">
        <v>1013</v>
      </c>
      <c r="O263" t="s">
        <v>142</v>
      </c>
      <c r="P263" t="s">
        <v>142</v>
      </c>
      <c r="Q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120</v>
      </c>
      <c r="AG263">
        <v>1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ROW(Source!A149)</f>
        <v>149</v>
      </c>
      <c r="B264">
        <v>55934768</v>
      </c>
      <c r="C264">
        <v>55934751</v>
      </c>
      <c r="D264">
        <v>55424290</v>
      </c>
      <c r="E264">
        <v>1081</v>
      </c>
      <c r="F264">
        <v>1</v>
      </c>
      <c r="G264">
        <v>1081</v>
      </c>
      <c r="H264">
        <v>3</v>
      </c>
      <c r="I264" t="s">
        <v>247</v>
      </c>
      <c r="J264" t="s">
        <v>3</v>
      </c>
      <c r="K264" t="s">
        <v>248</v>
      </c>
      <c r="L264">
        <v>1348</v>
      </c>
      <c r="N264">
        <v>1009</v>
      </c>
      <c r="O264" t="s">
        <v>232</v>
      </c>
      <c r="P264" t="s">
        <v>232</v>
      </c>
      <c r="Q264">
        <v>1000</v>
      </c>
      <c r="X264">
        <v>1E-3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120</v>
      </c>
      <c r="AG264">
        <v>1E-3</v>
      </c>
      <c r="AH264">
        <v>2</v>
      </c>
      <c r="AI264">
        <v>55934768</v>
      </c>
      <c r="AJ264">
        <v>224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ROW(Source!A152)</f>
        <v>152</v>
      </c>
      <c r="B265">
        <v>55934818</v>
      </c>
      <c r="C265">
        <v>55934781</v>
      </c>
      <c r="D265">
        <v>55424304</v>
      </c>
      <c r="E265">
        <v>1081</v>
      </c>
      <c r="F265">
        <v>1</v>
      </c>
      <c r="G265">
        <v>1081</v>
      </c>
      <c r="H265">
        <v>1</v>
      </c>
      <c r="I265" t="s">
        <v>221</v>
      </c>
      <c r="J265" t="s">
        <v>3</v>
      </c>
      <c r="K265" t="s">
        <v>222</v>
      </c>
      <c r="L265">
        <v>1191</v>
      </c>
      <c r="N265">
        <v>1013</v>
      </c>
      <c r="O265" t="s">
        <v>223</v>
      </c>
      <c r="P265" t="s">
        <v>223</v>
      </c>
      <c r="Q265">
        <v>1</v>
      </c>
      <c r="X265">
        <v>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121</v>
      </c>
      <c r="AG265">
        <v>3.5999999999999996</v>
      </c>
      <c r="AH265">
        <v>2</v>
      </c>
      <c r="AI265">
        <v>55934818</v>
      </c>
      <c r="AJ265">
        <v>225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ROW(Source!A152)</f>
        <v>152</v>
      </c>
      <c r="B266">
        <v>55934819</v>
      </c>
      <c r="C266">
        <v>55934781</v>
      </c>
      <c r="D266">
        <v>55459894</v>
      </c>
      <c r="E266">
        <v>1</v>
      </c>
      <c r="F266">
        <v>1</v>
      </c>
      <c r="G266">
        <v>1081</v>
      </c>
      <c r="H266">
        <v>3</v>
      </c>
      <c r="I266" t="s">
        <v>257</v>
      </c>
      <c r="J266" t="s">
        <v>258</v>
      </c>
      <c r="K266" t="s">
        <v>259</v>
      </c>
      <c r="L266">
        <v>1348</v>
      </c>
      <c r="N266">
        <v>1009</v>
      </c>
      <c r="O266" t="s">
        <v>232</v>
      </c>
      <c r="P266" t="s">
        <v>232</v>
      </c>
      <c r="Q266">
        <v>1000</v>
      </c>
      <c r="X266">
        <v>1E-3</v>
      </c>
      <c r="Y266">
        <v>15319.65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120</v>
      </c>
      <c r="AG266">
        <v>1E-3</v>
      </c>
      <c r="AH266">
        <v>2</v>
      </c>
      <c r="AI266">
        <v>55934819</v>
      </c>
      <c r="AJ266">
        <v>226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ROW(Source!A152)</f>
        <v>152</v>
      </c>
      <c r="B267">
        <v>55934820</v>
      </c>
      <c r="C267">
        <v>55934781</v>
      </c>
      <c r="D267">
        <v>55459261</v>
      </c>
      <c r="E267">
        <v>1</v>
      </c>
      <c r="F267">
        <v>1</v>
      </c>
      <c r="G267">
        <v>1081</v>
      </c>
      <c r="H267">
        <v>3</v>
      </c>
      <c r="I267" t="s">
        <v>260</v>
      </c>
      <c r="J267" t="s">
        <v>261</v>
      </c>
      <c r="K267" t="s">
        <v>262</v>
      </c>
      <c r="L267">
        <v>1348</v>
      </c>
      <c r="N267">
        <v>1009</v>
      </c>
      <c r="O267" t="s">
        <v>232</v>
      </c>
      <c r="P267" t="s">
        <v>232</v>
      </c>
      <c r="Q267">
        <v>1000</v>
      </c>
      <c r="X267">
        <v>5.0000000000000002E-5</v>
      </c>
      <c r="Y267">
        <v>1219.68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120</v>
      </c>
      <c r="AG267">
        <v>5.0000000000000002E-5</v>
      </c>
      <c r="AH267">
        <v>2</v>
      </c>
      <c r="AI267">
        <v>55934820</v>
      </c>
      <c r="AJ267">
        <v>227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ROW(Source!A152)</f>
        <v>152</v>
      </c>
      <c r="B268">
        <v>55934821</v>
      </c>
      <c r="C268">
        <v>55934781</v>
      </c>
      <c r="D268">
        <v>55460328</v>
      </c>
      <c r="E268">
        <v>1</v>
      </c>
      <c r="F268">
        <v>1</v>
      </c>
      <c r="G268">
        <v>1081</v>
      </c>
      <c r="H268">
        <v>3</v>
      </c>
      <c r="I268" t="s">
        <v>263</v>
      </c>
      <c r="J268" t="s">
        <v>264</v>
      </c>
      <c r="K268" t="s">
        <v>265</v>
      </c>
      <c r="L268">
        <v>1301</v>
      </c>
      <c r="N268">
        <v>1003</v>
      </c>
      <c r="O268" t="s">
        <v>266</v>
      </c>
      <c r="P268" t="s">
        <v>266</v>
      </c>
      <c r="Q268">
        <v>1</v>
      </c>
      <c r="X268">
        <v>5</v>
      </c>
      <c r="Y268">
        <v>0.39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120</v>
      </c>
      <c r="AG268">
        <v>5</v>
      </c>
      <c r="AH268">
        <v>2</v>
      </c>
      <c r="AI268">
        <v>55934821</v>
      </c>
      <c r="AJ268">
        <v>228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ROW(Source!A152)</f>
        <v>152</v>
      </c>
      <c r="B269">
        <v>55934822</v>
      </c>
      <c r="C269">
        <v>55934781</v>
      </c>
      <c r="D269">
        <v>55459312</v>
      </c>
      <c r="E269">
        <v>1</v>
      </c>
      <c r="F269">
        <v>1</v>
      </c>
      <c r="G269">
        <v>1081</v>
      </c>
      <c r="H269">
        <v>3</v>
      </c>
      <c r="I269" t="s">
        <v>267</v>
      </c>
      <c r="J269" t="s">
        <v>268</v>
      </c>
      <c r="K269" t="s">
        <v>269</v>
      </c>
      <c r="L269">
        <v>1339</v>
      </c>
      <c r="N269">
        <v>1007</v>
      </c>
      <c r="O269" t="s">
        <v>270</v>
      </c>
      <c r="P269" t="s">
        <v>270</v>
      </c>
      <c r="Q269">
        <v>1</v>
      </c>
      <c r="X269">
        <v>1E-3</v>
      </c>
      <c r="Y269">
        <v>1176.3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120</v>
      </c>
      <c r="AG269">
        <v>1E-3</v>
      </c>
      <c r="AH269">
        <v>2</v>
      </c>
      <c r="AI269">
        <v>55934822</v>
      </c>
      <c r="AJ269">
        <v>229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ROW(Source!A152)</f>
        <v>152</v>
      </c>
      <c r="B270">
        <v>55934823</v>
      </c>
      <c r="C270">
        <v>55934781</v>
      </c>
      <c r="D270">
        <v>55461230</v>
      </c>
      <c r="E270">
        <v>1</v>
      </c>
      <c r="F270">
        <v>1</v>
      </c>
      <c r="G270">
        <v>1081</v>
      </c>
      <c r="H270">
        <v>3</v>
      </c>
      <c r="I270" t="s">
        <v>271</v>
      </c>
      <c r="J270" t="s">
        <v>272</v>
      </c>
      <c r="K270" t="s">
        <v>273</v>
      </c>
      <c r="L270">
        <v>1346</v>
      </c>
      <c r="N270">
        <v>1009</v>
      </c>
      <c r="O270" t="s">
        <v>252</v>
      </c>
      <c r="P270" t="s">
        <v>252</v>
      </c>
      <c r="Q270">
        <v>1</v>
      </c>
      <c r="X270">
        <v>0.01</v>
      </c>
      <c r="Y270">
        <v>15.11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120</v>
      </c>
      <c r="AG270">
        <v>0.01</v>
      </c>
      <c r="AH270">
        <v>2</v>
      </c>
      <c r="AI270">
        <v>55934823</v>
      </c>
      <c r="AJ270">
        <v>230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ROW(Source!A152)</f>
        <v>152</v>
      </c>
      <c r="B271">
        <v>55934824</v>
      </c>
      <c r="C271">
        <v>55934781</v>
      </c>
      <c r="D271">
        <v>55459400</v>
      </c>
      <c r="E271">
        <v>1</v>
      </c>
      <c r="F271">
        <v>1</v>
      </c>
      <c r="G271">
        <v>1081</v>
      </c>
      <c r="H271">
        <v>3</v>
      </c>
      <c r="I271" t="s">
        <v>274</v>
      </c>
      <c r="J271" t="s">
        <v>275</v>
      </c>
      <c r="K271" t="s">
        <v>276</v>
      </c>
      <c r="L271">
        <v>1346</v>
      </c>
      <c r="N271">
        <v>1009</v>
      </c>
      <c r="O271" t="s">
        <v>252</v>
      </c>
      <c r="P271" t="s">
        <v>252</v>
      </c>
      <c r="Q271">
        <v>1</v>
      </c>
      <c r="X271">
        <v>0.01</v>
      </c>
      <c r="Y271">
        <v>16.690000000000001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120</v>
      </c>
      <c r="AG271">
        <v>0.01</v>
      </c>
      <c r="AH271">
        <v>2</v>
      </c>
      <c r="AI271">
        <v>55934824</v>
      </c>
      <c r="AJ271">
        <v>231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ROW(Source!A152)</f>
        <v>152</v>
      </c>
      <c r="B272">
        <v>55934825</v>
      </c>
      <c r="C272">
        <v>55934781</v>
      </c>
      <c r="D272">
        <v>55461719</v>
      </c>
      <c r="E272">
        <v>1</v>
      </c>
      <c r="F272">
        <v>1</v>
      </c>
      <c r="G272">
        <v>1081</v>
      </c>
      <c r="H272">
        <v>3</v>
      </c>
      <c r="I272" t="s">
        <v>229</v>
      </c>
      <c r="J272" t="s">
        <v>230</v>
      </c>
      <c r="K272" t="s">
        <v>231</v>
      </c>
      <c r="L272">
        <v>1348</v>
      </c>
      <c r="N272">
        <v>1009</v>
      </c>
      <c r="O272" t="s">
        <v>232</v>
      </c>
      <c r="P272" t="s">
        <v>232</v>
      </c>
      <c r="Q272">
        <v>1000</v>
      </c>
      <c r="X272">
        <v>1E-4</v>
      </c>
      <c r="Y272">
        <v>10643.18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120</v>
      </c>
      <c r="AG272">
        <v>1E-4</v>
      </c>
      <c r="AH272">
        <v>2</v>
      </c>
      <c r="AI272">
        <v>55934825</v>
      </c>
      <c r="AJ272">
        <v>232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ROW(Source!A152)</f>
        <v>152</v>
      </c>
      <c r="B273">
        <v>55934826</v>
      </c>
      <c r="C273">
        <v>55934781</v>
      </c>
      <c r="D273">
        <v>55466000</v>
      </c>
      <c r="E273">
        <v>1</v>
      </c>
      <c r="F273">
        <v>1</v>
      </c>
      <c r="G273">
        <v>1081</v>
      </c>
      <c r="H273">
        <v>3</v>
      </c>
      <c r="I273" t="s">
        <v>277</v>
      </c>
      <c r="J273" t="s">
        <v>278</v>
      </c>
      <c r="K273" t="s">
        <v>279</v>
      </c>
      <c r="L273">
        <v>1355</v>
      </c>
      <c r="N273">
        <v>1010</v>
      </c>
      <c r="O273" t="s">
        <v>280</v>
      </c>
      <c r="P273" t="s">
        <v>280</v>
      </c>
      <c r="Q273">
        <v>100</v>
      </c>
      <c r="X273">
        <v>0.01</v>
      </c>
      <c r="Y273">
        <v>120.19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120</v>
      </c>
      <c r="AG273">
        <v>0.01</v>
      </c>
      <c r="AH273">
        <v>2</v>
      </c>
      <c r="AI273">
        <v>55934826</v>
      </c>
      <c r="AJ273">
        <v>233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ROW(Source!A152)</f>
        <v>152</v>
      </c>
      <c r="B274">
        <v>55934827</v>
      </c>
      <c r="C274">
        <v>55934781</v>
      </c>
      <c r="D274">
        <v>55459793</v>
      </c>
      <c r="E274">
        <v>1</v>
      </c>
      <c r="F274">
        <v>1</v>
      </c>
      <c r="G274">
        <v>1081</v>
      </c>
      <c r="H274">
        <v>3</v>
      </c>
      <c r="I274" t="s">
        <v>233</v>
      </c>
      <c r="J274" t="s">
        <v>234</v>
      </c>
      <c r="K274" t="s">
        <v>235</v>
      </c>
      <c r="L274">
        <v>1348</v>
      </c>
      <c r="N274">
        <v>1009</v>
      </c>
      <c r="O274" t="s">
        <v>232</v>
      </c>
      <c r="P274" t="s">
        <v>232</v>
      </c>
      <c r="Q274">
        <v>1000</v>
      </c>
      <c r="X274">
        <v>2.0000000000000002E-5</v>
      </c>
      <c r="Y274">
        <v>64123.05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120</v>
      </c>
      <c r="AG274">
        <v>2.0000000000000002E-5</v>
      </c>
      <c r="AH274">
        <v>2</v>
      </c>
      <c r="AI274">
        <v>55934827</v>
      </c>
      <c r="AJ274">
        <v>234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ROW(Source!A152)</f>
        <v>152</v>
      </c>
      <c r="B275">
        <v>55934828</v>
      </c>
      <c r="C275">
        <v>55934781</v>
      </c>
      <c r="D275">
        <v>55459810</v>
      </c>
      <c r="E275">
        <v>1</v>
      </c>
      <c r="F275">
        <v>1</v>
      </c>
      <c r="G275">
        <v>1081</v>
      </c>
      <c r="H275">
        <v>3</v>
      </c>
      <c r="I275" t="s">
        <v>281</v>
      </c>
      <c r="J275" t="s">
        <v>282</v>
      </c>
      <c r="K275" t="s">
        <v>283</v>
      </c>
      <c r="L275">
        <v>1348</v>
      </c>
      <c r="N275">
        <v>1009</v>
      </c>
      <c r="O275" t="s">
        <v>232</v>
      </c>
      <c r="P275" t="s">
        <v>232</v>
      </c>
      <c r="Q275">
        <v>1000</v>
      </c>
      <c r="X275">
        <v>1E-4</v>
      </c>
      <c r="Y275">
        <v>9238.1299999999992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120</v>
      </c>
      <c r="AG275">
        <v>1E-4</v>
      </c>
      <c r="AH275">
        <v>2</v>
      </c>
      <c r="AI275">
        <v>55934828</v>
      </c>
      <c r="AJ275">
        <v>235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ROW(Source!A152)</f>
        <v>152</v>
      </c>
      <c r="B276">
        <v>55934829</v>
      </c>
      <c r="C276">
        <v>55934781</v>
      </c>
      <c r="D276">
        <v>55482166</v>
      </c>
      <c r="E276">
        <v>1</v>
      </c>
      <c r="F276">
        <v>1</v>
      </c>
      <c r="G276">
        <v>1081</v>
      </c>
      <c r="H276">
        <v>3</v>
      </c>
      <c r="I276" t="s">
        <v>284</v>
      </c>
      <c r="J276" t="s">
        <v>285</v>
      </c>
      <c r="K276" t="s">
        <v>286</v>
      </c>
      <c r="L276">
        <v>1301</v>
      </c>
      <c r="N276">
        <v>1003</v>
      </c>
      <c r="O276" t="s">
        <v>266</v>
      </c>
      <c r="P276" t="s">
        <v>266</v>
      </c>
      <c r="Q276">
        <v>1</v>
      </c>
      <c r="X276">
        <v>1</v>
      </c>
      <c r="Y276">
        <v>0.69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120</v>
      </c>
      <c r="AG276">
        <v>1</v>
      </c>
      <c r="AH276">
        <v>2</v>
      </c>
      <c r="AI276">
        <v>55934829</v>
      </c>
      <c r="AJ276">
        <v>236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ROW(Source!A152)</f>
        <v>152</v>
      </c>
      <c r="B277">
        <v>55934830</v>
      </c>
      <c r="C277">
        <v>55934781</v>
      </c>
      <c r="D277">
        <v>55482445</v>
      </c>
      <c r="E277">
        <v>1</v>
      </c>
      <c r="F277">
        <v>1</v>
      </c>
      <c r="G277">
        <v>1081</v>
      </c>
      <c r="H277">
        <v>3</v>
      </c>
      <c r="I277" t="s">
        <v>287</v>
      </c>
      <c r="J277" t="s">
        <v>288</v>
      </c>
      <c r="K277" t="s">
        <v>289</v>
      </c>
      <c r="L277">
        <v>1356</v>
      </c>
      <c r="N277">
        <v>1010</v>
      </c>
      <c r="O277" t="s">
        <v>246</v>
      </c>
      <c r="P277" t="s">
        <v>246</v>
      </c>
      <c r="Q277">
        <v>1000</v>
      </c>
      <c r="X277">
        <v>0.01</v>
      </c>
      <c r="Y277">
        <v>294.89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120</v>
      </c>
      <c r="AG277">
        <v>0.01</v>
      </c>
      <c r="AH277">
        <v>2</v>
      </c>
      <c r="AI277">
        <v>55934830</v>
      </c>
      <c r="AJ277">
        <v>237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ROW(Source!A152)</f>
        <v>152</v>
      </c>
      <c r="B278">
        <v>55934831</v>
      </c>
      <c r="C278">
        <v>55934781</v>
      </c>
      <c r="D278">
        <v>55481518</v>
      </c>
      <c r="E278">
        <v>1</v>
      </c>
      <c r="F278">
        <v>1</v>
      </c>
      <c r="G278">
        <v>1081</v>
      </c>
      <c r="H278">
        <v>3</v>
      </c>
      <c r="I278" t="s">
        <v>290</v>
      </c>
      <c r="J278" t="s">
        <v>291</v>
      </c>
      <c r="K278" t="s">
        <v>292</v>
      </c>
      <c r="L278">
        <v>1354</v>
      </c>
      <c r="N278">
        <v>1010</v>
      </c>
      <c r="O278" t="s">
        <v>293</v>
      </c>
      <c r="P278" t="s">
        <v>293</v>
      </c>
      <c r="Q278">
        <v>1</v>
      </c>
      <c r="X278">
        <v>1</v>
      </c>
      <c r="Y278">
        <v>15.67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 t="s">
        <v>120</v>
      </c>
      <c r="AG278">
        <v>1</v>
      </c>
      <c r="AH278">
        <v>2</v>
      </c>
      <c r="AI278">
        <v>55934831</v>
      </c>
      <c r="AJ278">
        <v>238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ROW(Source!A152)</f>
        <v>152</v>
      </c>
      <c r="B279">
        <v>55934832</v>
      </c>
      <c r="C279">
        <v>55934781</v>
      </c>
      <c r="D279">
        <v>55417010</v>
      </c>
      <c r="E279">
        <v>1081</v>
      </c>
      <c r="F279">
        <v>1</v>
      </c>
      <c r="G279">
        <v>1081</v>
      </c>
      <c r="H279">
        <v>3</v>
      </c>
      <c r="I279" t="s">
        <v>328</v>
      </c>
      <c r="J279" t="s">
        <v>3</v>
      </c>
      <c r="K279" t="s">
        <v>329</v>
      </c>
      <c r="L279">
        <v>1346</v>
      </c>
      <c r="N279">
        <v>1009</v>
      </c>
      <c r="O279" t="s">
        <v>252</v>
      </c>
      <c r="P279" t="s">
        <v>252</v>
      </c>
      <c r="Q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120</v>
      </c>
      <c r="AG279">
        <v>0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ROW(Source!A152)</f>
        <v>152</v>
      </c>
      <c r="B280">
        <v>55934833</v>
      </c>
      <c r="C280">
        <v>55934781</v>
      </c>
      <c r="D280">
        <v>55455661</v>
      </c>
      <c r="E280">
        <v>1081</v>
      </c>
      <c r="F280">
        <v>1</v>
      </c>
      <c r="G280">
        <v>1081</v>
      </c>
      <c r="H280">
        <v>3</v>
      </c>
      <c r="I280" t="s">
        <v>330</v>
      </c>
      <c r="J280" t="s">
        <v>3</v>
      </c>
      <c r="K280" t="s">
        <v>331</v>
      </c>
      <c r="L280">
        <v>1391</v>
      </c>
      <c r="N280">
        <v>1013</v>
      </c>
      <c r="O280" t="s">
        <v>142</v>
      </c>
      <c r="P280" t="s">
        <v>142</v>
      </c>
      <c r="Q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120</v>
      </c>
      <c r="AG280">
        <v>1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ROW(Source!A152)</f>
        <v>152</v>
      </c>
      <c r="B281">
        <v>55934834</v>
      </c>
      <c r="C281">
        <v>55934781</v>
      </c>
      <c r="D281">
        <v>55424290</v>
      </c>
      <c r="E281">
        <v>1081</v>
      </c>
      <c r="F281">
        <v>1</v>
      </c>
      <c r="G281">
        <v>1081</v>
      </c>
      <c r="H281">
        <v>3</v>
      </c>
      <c r="I281" t="s">
        <v>247</v>
      </c>
      <c r="J281" t="s">
        <v>3</v>
      </c>
      <c r="K281" t="s">
        <v>248</v>
      </c>
      <c r="L281">
        <v>1348</v>
      </c>
      <c r="N281">
        <v>1009</v>
      </c>
      <c r="O281" t="s">
        <v>232</v>
      </c>
      <c r="P281" t="s">
        <v>232</v>
      </c>
      <c r="Q281">
        <v>1000</v>
      </c>
      <c r="X281">
        <v>1E-3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120</v>
      </c>
      <c r="AG281">
        <v>1E-3</v>
      </c>
      <c r="AH281">
        <v>2</v>
      </c>
      <c r="AI281">
        <v>55934834</v>
      </c>
      <c r="AJ281">
        <v>240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ROW(Source!A153)</f>
        <v>153</v>
      </c>
      <c r="B282">
        <v>55934818</v>
      </c>
      <c r="C282">
        <v>55934781</v>
      </c>
      <c r="D282">
        <v>55424304</v>
      </c>
      <c r="E282">
        <v>1081</v>
      </c>
      <c r="F282">
        <v>1</v>
      </c>
      <c r="G282">
        <v>1081</v>
      </c>
      <c r="H282">
        <v>1</v>
      </c>
      <c r="I282" t="s">
        <v>221</v>
      </c>
      <c r="J282" t="s">
        <v>3</v>
      </c>
      <c r="K282" t="s">
        <v>222</v>
      </c>
      <c r="L282">
        <v>1191</v>
      </c>
      <c r="N282">
        <v>1013</v>
      </c>
      <c r="O282" t="s">
        <v>223</v>
      </c>
      <c r="P282" t="s">
        <v>223</v>
      </c>
      <c r="Q282">
        <v>1</v>
      </c>
      <c r="X282">
        <v>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 t="s">
        <v>121</v>
      </c>
      <c r="AG282">
        <v>3.5999999999999996</v>
      </c>
      <c r="AH282">
        <v>2</v>
      </c>
      <c r="AI282">
        <v>55934818</v>
      </c>
      <c r="AJ282">
        <v>241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ROW(Source!A153)</f>
        <v>153</v>
      </c>
      <c r="B283">
        <v>55934819</v>
      </c>
      <c r="C283">
        <v>55934781</v>
      </c>
      <c r="D283">
        <v>55459894</v>
      </c>
      <c r="E283">
        <v>1</v>
      </c>
      <c r="F283">
        <v>1</v>
      </c>
      <c r="G283">
        <v>1081</v>
      </c>
      <c r="H283">
        <v>3</v>
      </c>
      <c r="I283" t="s">
        <v>257</v>
      </c>
      <c r="J283" t="s">
        <v>258</v>
      </c>
      <c r="K283" t="s">
        <v>259</v>
      </c>
      <c r="L283">
        <v>1348</v>
      </c>
      <c r="N283">
        <v>1009</v>
      </c>
      <c r="O283" t="s">
        <v>232</v>
      </c>
      <c r="P283" t="s">
        <v>232</v>
      </c>
      <c r="Q283">
        <v>1000</v>
      </c>
      <c r="X283">
        <v>1E-3</v>
      </c>
      <c r="Y283">
        <v>15319.65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120</v>
      </c>
      <c r="AG283">
        <v>1E-3</v>
      </c>
      <c r="AH283">
        <v>2</v>
      </c>
      <c r="AI283">
        <v>55934819</v>
      </c>
      <c r="AJ283">
        <v>242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ROW(Source!A153)</f>
        <v>153</v>
      </c>
      <c r="B284">
        <v>55934820</v>
      </c>
      <c r="C284">
        <v>55934781</v>
      </c>
      <c r="D284">
        <v>55459261</v>
      </c>
      <c r="E284">
        <v>1</v>
      </c>
      <c r="F284">
        <v>1</v>
      </c>
      <c r="G284">
        <v>1081</v>
      </c>
      <c r="H284">
        <v>3</v>
      </c>
      <c r="I284" t="s">
        <v>260</v>
      </c>
      <c r="J284" t="s">
        <v>261</v>
      </c>
      <c r="K284" t="s">
        <v>262</v>
      </c>
      <c r="L284">
        <v>1348</v>
      </c>
      <c r="N284">
        <v>1009</v>
      </c>
      <c r="O284" t="s">
        <v>232</v>
      </c>
      <c r="P284" t="s">
        <v>232</v>
      </c>
      <c r="Q284">
        <v>1000</v>
      </c>
      <c r="X284">
        <v>5.0000000000000002E-5</v>
      </c>
      <c r="Y284">
        <v>1219.68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120</v>
      </c>
      <c r="AG284">
        <v>5.0000000000000002E-5</v>
      </c>
      <c r="AH284">
        <v>2</v>
      </c>
      <c r="AI284">
        <v>55934820</v>
      </c>
      <c r="AJ284">
        <v>243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ROW(Source!A153)</f>
        <v>153</v>
      </c>
      <c r="B285">
        <v>55934821</v>
      </c>
      <c r="C285">
        <v>55934781</v>
      </c>
      <c r="D285">
        <v>55460328</v>
      </c>
      <c r="E285">
        <v>1</v>
      </c>
      <c r="F285">
        <v>1</v>
      </c>
      <c r="G285">
        <v>1081</v>
      </c>
      <c r="H285">
        <v>3</v>
      </c>
      <c r="I285" t="s">
        <v>263</v>
      </c>
      <c r="J285" t="s">
        <v>264</v>
      </c>
      <c r="K285" t="s">
        <v>265</v>
      </c>
      <c r="L285">
        <v>1301</v>
      </c>
      <c r="N285">
        <v>1003</v>
      </c>
      <c r="O285" t="s">
        <v>266</v>
      </c>
      <c r="P285" t="s">
        <v>266</v>
      </c>
      <c r="Q285">
        <v>1</v>
      </c>
      <c r="X285">
        <v>5</v>
      </c>
      <c r="Y285">
        <v>0.39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120</v>
      </c>
      <c r="AG285">
        <v>5</v>
      </c>
      <c r="AH285">
        <v>2</v>
      </c>
      <c r="AI285">
        <v>55934821</v>
      </c>
      <c r="AJ285">
        <v>244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ROW(Source!A153)</f>
        <v>153</v>
      </c>
      <c r="B286">
        <v>55934822</v>
      </c>
      <c r="C286">
        <v>55934781</v>
      </c>
      <c r="D286">
        <v>55459312</v>
      </c>
      <c r="E286">
        <v>1</v>
      </c>
      <c r="F286">
        <v>1</v>
      </c>
      <c r="G286">
        <v>1081</v>
      </c>
      <c r="H286">
        <v>3</v>
      </c>
      <c r="I286" t="s">
        <v>267</v>
      </c>
      <c r="J286" t="s">
        <v>268</v>
      </c>
      <c r="K286" t="s">
        <v>269</v>
      </c>
      <c r="L286">
        <v>1339</v>
      </c>
      <c r="N286">
        <v>1007</v>
      </c>
      <c r="O286" t="s">
        <v>270</v>
      </c>
      <c r="P286" t="s">
        <v>270</v>
      </c>
      <c r="Q286">
        <v>1</v>
      </c>
      <c r="X286">
        <v>1E-3</v>
      </c>
      <c r="Y286">
        <v>1176.3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120</v>
      </c>
      <c r="AG286">
        <v>1E-3</v>
      </c>
      <c r="AH286">
        <v>2</v>
      </c>
      <c r="AI286">
        <v>55934822</v>
      </c>
      <c r="AJ286">
        <v>245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ROW(Source!A153)</f>
        <v>153</v>
      </c>
      <c r="B287">
        <v>55934823</v>
      </c>
      <c r="C287">
        <v>55934781</v>
      </c>
      <c r="D287">
        <v>55461230</v>
      </c>
      <c r="E287">
        <v>1</v>
      </c>
      <c r="F287">
        <v>1</v>
      </c>
      <c r="G287">
        <v>1081</v>
      </c>
      <c r="H287">
        <v>3</v>
      </c>
      <c r="I287" t="s">
        <v>271</v>
      </c>
      <c r="J287" t="s">
        <v>272</v>
      </c>
      <c r="K287" t="s">
        <v>273</v>
      </c>
      <c r="L287">
        <v>1346</v>
      </c>
      <c r="N287">
        <v>1009</v>
      </c>
      <c r="O287" t="s">
        <v>252</v>
      </c>
      <c r="P287" t="s">
        <v>252</v>
      </c>
      <c r="Q287">
        <v>1</v>
      </c>
      <c r="X287">
        <v>0.01</v>
      </c>
      <c r="Y287">
        <v>15.11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120</v>
      </c>
      <c r="AG287">
        <v>0.01</v>
      </c>
      <c r="AH287">
        <v>2</v>
      </c>
      <c r="AI287">
        <v>55934823</v>
      </c>
      <c r="AJ287">
        <v>246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ROW(Source!A153)</f>
        <v>153</v>
      </c>
      <c r="B288">
        <v>55934824</v>
      </c>
      <c r="C288">
        <v>55934781</v>
      </c>
      <c r="D288">
        <v>55459400</v>
      </c>
      <c r="E288">
        <v>1</v>
      </c>
      <c r="F288">
        <v>1</v>
      </c>
      <c r="G288">
        <v>1081</v>
      </c>
      <c r="H288">
        <v>3</v>
      </c>
      <c r="I288" t="s">
        <v>274</v>
      </c>
      <c r="J288" t="s">
        <v>275</v>
      </c>
      <c r="K288" t="s">
        <v>276</v>
      </c>
      <c r="L288">
        <v>1346</v>
      </c>
      <c r="N288">
        <v>1009</v>
      </c>
      <c r="O288" t="s">
        <v>252</v>
      </c>
      <c r="P288" t="s">
        <v>252</v>
      </c>
      <c r="Q288">
        <v>1</v>
      </c>
      <c r="X288">
        <v>0.01</v>
      </c>
      <c r="Y288">
        <v>16.690000000000001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120</v>
      </c>
      <c r="AG288">
        <v>0.01</v>
      </c>
      <c r="AH288">
        <v>2</v>
      </c>
      <c r="AI288">
        <v>55934824</v>
      </c>
      <c r="AJ288">
        <v>247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ROW(Source!A153)</f>
        <v>153</v>
      </c>
      <c r="B289">
        <v>55934825</v>
      </c>
      <c r="C289">
        <v>55934781</v>
      </c>
      <c r="D289">
        <v>55461719</v>
      </c>
      <c r="E289">
        <v>1</v>
      </c>
      <c r="F289">
        <v>1</v>
      </c>
      <c r="G289">
        <v>1081</v>
      </c>
      <c r="H289">
        <v>3</v>
      </c>
      <c r="I289" t="s">
        <v>229</v>
      </c>
      <c r="J289" t="s">
        <v>230</v>
      </c>
      <c r="K289" t="s">
        <v>231</v>
      </c>
      <c r="L289">
        <v>1348</v>
      </c>
      <c r="N289">
        <v>1009</v>
      </c>
      <c r="O289" t="s">
        <v>232</v>
      </c>
      <c r="P289" t="s">
        <v>232</v>
      </c>
      <c r="Q289">
        <v>1000</v>
      </c>
      <c r="X289">
        <v>1E-4</v>
      </c>
      <c r="Y289">
        <v>10643.18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120</v>
      </c>
      <c r="AG289">
        <v>1E-4</v>
      </c>
      <c r="AH289">
        <v>2</v>
      </c>
      <c r="AI289">
        <v>55934825</v>
      </c>
      <c r="AJ289">
        <v>248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ROW(Source!A153)</f>
        <v>153</v>
      </c>
      <c r="B290">
        <v>55934826</v>
      </c>
      <c r="C290">
        <v>55934781</v>
      </c>
      <c r="D290">
        <v>55466000</v>
      </c>
      <c r="E290">
        <v>1</v>
      </c>
      <c r="F290">
        <v>1</v>
      </c>
      <c r="G290">
        <v>1081</v>
      </c>
      <c r="H290">
        <v>3</v>
      </c>
      <c r="I290" t="s">
        <v>277</v>
      </c>
      <c r="J290" t="s">
        <v>278</v>
      </c>
      <c r="K290" t="s">
        <v>279</v>
      </c>
      <c r="L290">
        <v>1355</v>
      </c>
      <c r="N290">
        <v>1010</v>
      </c>
      <c r="O290" t="s">
        <v>280</v>
      </c>
      <c r="P290" t="s">
        <v>280</v>
      </c>
      <c r="Q290">
        <v>100</v>
      </c>
      <c r="X290">
        <v>0.01</v>
      </c>
      <c r="Y290">
        <v>120.19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120</v>
      </c>
      <c r="AG290">
        <v>0.01</v>
      </c>
      <c r="AH290">
        <v>2</v>
      </c>
      <c r="AI290">
        <v>55934826</v>
      </c>
      <c r="AJ290">
        <v>249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ROW(Source!A153)</f>
        <v>153</v>
      </c>
      <c r="B291">
        <v>55934827</v>
      </c>
      <c r="C291">
        <v>55934781</v>
      </c>
      <c r="D291">
        <v>55459793</v>
      </c>
      <c r="E291">
        <v>1</v>
      </c>
      <c r="F291">
        <v>1</v>
      </c>
      <c r="G291">
        <v>1081</v>
      </c>
      <c r="H291">
        <v>3</v>
      </c>
      <c r="I291" t="s">
        <v>233</v>
      </c>
      <c r="J291" t="s">
        <v>234</v>
      </c>
      <c r="K291" t="s">
        <v>235</v>
      </c>
      <c r="L291">
        <v>1348</v>
      </c>
      <c r="N291">
        <v>1009</v>
      </c>
      <c r="O291" t="s">
        <v>232</v>
      </c>
      <c r="P291" t="s">
        <v>232</v>
      </c>
      <c r="Q291">
        <v>1000</v>
      </c>
      <c r="X291">
        <v>2.0000000000000002E-5</v>
      </c>
      <c r="Y291">
        <v>64123.05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120</v>
      </c>
      <c r="AG291">
        <v>2.0000000000000002E-5</v>
      </c>
      <c r="AH291">
        <v>2</v>
      </c>
      <c r="AI291">
        <v>55934827</v>
      </c>
      <c r="AJ291">
        <v>250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ROW(Source!A153)</f>
        <v>153</v>
      </c>
      <c r="B292">
        <v>55934828</v>
      </c>
      <c r="C292">
        <v>55934781</v>
      </c>
      <c r="D292">
        <v>55459810</v>
      </c>
      <c r="E292">
        <v>1</v>
      </c>
      <c r="F292">
        <v>1</v>
      </c>
      <c r="G292">
        <v>1081</v>
      </c>
      <c r="H292">
        <v>3</v>
      </c>
      <c r="I292" t="s">
        <v>281</v>
      </c>
      <c r="J292" t="s">
        <v>282</v>
      </c>
      <c r="K292" t="s">
        <v>283</v>
      </c>
      <c r="L292">
        <v>1348</v>
      </c>
      <c r="N292">
        <v>1009</v>
      </c>
      <c r="O292" t="s">
        <v>232</v>
      </c>
      <c r="P292" t="s">
        <v>232</v>
      </c>
      <c r="Q292">
        <v>1000</v>
      </c>
      <c r="X292">
        <v>1E-4</v>
      </c>
      <c r="Y292">
        <v>9238.1299999999992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120</v>
      </c>
      <c r="AG292">
        <v>1E-4</v>
      </c>
      <c r="AH292">
        <v>2</v>
      </c>
      <c r="AI292">
        <v>55934828</v>
      </c>
      <c r="AJ292">
        <v>251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ROW(Source!A153)</f>
        <v>153</v>
      </c>
      <c r="B293">
        <v>55934829</v>
      </c>
      <c r="C293">
        <v>55934781</v>
      </c>
      <c r="D293">
        <v>55482166</v>
      </c>
      <c r="E293">
        <v>1</v>
      </c>
      <c r="F293">
        <v>1</v>
      </c>
      <c r="G293">
        <v>1081</v>
      </c>
      <c r="H293">
        <v>3</v>
      </c>
      <c r="I293" t="s">
        <v>284</v>
      </c>
      <c r="J293" t="s">
        <v>285</v>
      </c>
      <c r="K293" t="s">
        <v>286</v>
      </c>
      <c r="L293">
        <v>1301</v>
      </c>
      <c r="N293">
        <v>1003</v>
      </c>
      <c r="O293" t="s">
        <v>266</v>
      </c>
      <c r="P293" t="s">
        <v>266</v>
      </c>
      <c r="Q293">
        <v>1</v>
      </c>
      <c r="X293">
        <v>1</v>
      </c>
      <c r="Y293">
        <v>0.69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120</v>
      </c>
      <c r="AG293">
        <v>1</v>
      </c>
      <c r="AH293">
        <v>2</v>
      </c>
      <c r="AI293">
        <v>55934829</v>
      </c>
      <c r="AJ293">
        <v>252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ROW(Source!A153)</f>
        <v>153</v>
      </c>
      <c r="B294">
        <v>55934830</v>
      </c>
      <c r="C294">
        <v>55934781</v>
      </c>
      <c r="D294">
        <v>55482445</v>
      </c>
      <c r="E294">
        <v>1</v>
      </c>
      <c r="F294">
        <v>1</v>
      </c>
      <c r="G294">
        <v>1081</v>
      </c>
      <c r="H294">
        <v>3</v>
      </c>
      <c r="I294" t="s">
        <v>287</v>
      </c>
      <c r="J294" t="s">
        <v>288</v>
      </c>
      <c r="K294" t="s">
        <v>289</v>
      </c>
      <c r="L294">
        <v>1356</v>
      </c>
      <c r="N294">
        <v>1010</v>
      </c>
      <c r="O294" t="s">
        <v>246</v>
      </c>
      <c r="P294" t="s">
        <v>246</v>
      </c>
      <c r="Q294">
        <v>1000</v>
      </c>
      <c r="X294">
        <v>0.01</v>
      </c>
      <c r="Y294">
        <v>294.89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120</v>
      </c>
      <c r="AG294">
        <v>0.01</v>
      </c>
      <c r="AH294">
        <v>2</v>
      </c>
      <c r="AI294">
        <v>55934830</v>
      </c>
      <c r="AJ294">
        <v>253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ROW(Source!A153)</f>
        <v>153</v>
      </c>
      <c r="B295">
        <v>55934831</v>
      </c>
      <c r="C295">
        <v>55934781</v>
      </c>
      <c r="D295">
        <v>55481518</v>
      </c>
      <c r="E295">
        <v>1</v>
      </c>
      <c r="F295">
        <v>1</v>
      </c>
      <c r="G295">
        <v>1081</v>
      </c>
      <c r="H295">
        <v>3</v>
      </c>
      <c r="I295" t="s">
        <v>290</v>
      </c>
      <c r="J295" t="s">
        <v>291</v>
      </c>
      <c r="K295" t="s">
        <v>292</v>
      </c>
      <c r="L295">
        <v>1354</v>
      </c>
      <c r="N295">
        <v>1010</v>
      </c>
      <c r="O295" t="s">
        <v>293</v>
      </c>
      <c r="P295" t="s">
        <v>293</v>
      </c>
      <c r="Q295">
        <v>1</v>
      </c>
      <c r="X295">
        <v>1</v>
      </c>
      <c r="Y295">
        <v>15.67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120</v>
      </c>
      <c r="AG295">
        <v>1</v>
      </c>
      <c r="AH295">
        <v>2</v>
      </c>
      <c r="AI295">
        <v>55934831</v>
      </c>
      <c r="AJ295">
        <v>254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ROW(Source!A153)</f>
        <v>153</v>
      </c>
      <c r="B296">
        <v>55934832</v>
      </c>
      <c r="C296">
        <v>55934781</v>
      </c>
      <c r="D296">
        <v>55417010</v>
      </c>
      <c r="E296">
        <v>1081</v>
      </c>
      <c r="F296">
        <v>1</v>
      </c>
      <c r="G296">
        <v>1081</v>
      </c>
      <c r="H296">
        <v>3</v>
      </c>
      <c r="I296" t="s">
        <v>328</v>
      </c>
      <c r="J296" t="s">
        <v>3</v>
      </c>
      <c r="K296" t="s">
        <v>329</v>
      </c>
      <c r="L296">
        <v>1346</v>
      </c>
      <c r="N296">
        <v>1009</v>
      </c>
      <c r="O296" t="s">
        <v>252</v>
      </c>
      <c r="P296" t="s">
        <v>252</v>
      </c>
      <c r="Q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120</v>
      </c>
      <c r="AG296">
        <v>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ROW(Source!A153)</f>
        <v>153</v>
      </c>
      <c r="B297">
        <v>55934833</v>
      </c>
      <c r="C297">
        <v>55934781</v>
      </c>
      <c r="D297">
        <v>55455661</v>
      </c>
      <c r="E297">
        <v>1081</v>
      </c>
      <c r="F297">
        <v>1</v>
      </c>
      <c r="G297">
        <v>1081</v>
      </c>
      <c r="H297">
        <v>3</v>
      </c>
      <c r="I297" t="s">
        <v>330</v>
      </c>
      <c r="J297" t="s">
        <v>3</v>
      </c>
      <c r="K297" t="s">
        <v>331</v>
      </c>
      <c r="L297">
        <v>1391</v>
      </c>
      <c r="N297">
        <v>1013</v>
      </c>
      <c r="O297" t="s">
        <v>142</v>
      </c>
      <c r="P297" t="s">
        <v>142</v>
      </c>
      <c r="Q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120</v>
      </c>
      <c r="AG297">
        <v>1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ROW(Source!A153)</f>
        <v>153</v>
      </c>
      <c r="B298">
        <v>55934834</v>
      </c>
      <c r="C298">
        <v>55934781</v>
      </c>
      <c r="D298">
        <v>55424290</v>
      </c>
      <c r="E298">
        <v>1081</v>
      </c>
      <c r="F298">
        <v>1</v>
      </c>
      <c r="G298">
        <v>1081</v>
      </c>
      <c r="H298">
        <v>3</v>
      </c>
      <c r="I298" t="s">
        <v>247</v>
      </c>
      <c r="J298" t="s">
        <v>3</v>
      </c>
      <c r="K298" t="s">
        <v>248</v>
      </c>
      <c r="L298">
        <v>1348</v>
      </c>
      <c r="N298">
        <v>1009</v>
      </c>
      <c r="O298" t="s">
        <v>232</v>
      </c>
      <c r="P298" t="s">
        <v>232</v>
      </c>
      <c r="Q298">
        <v>1000</v>
      </c>
      <c r="X298">
        <v>1E-3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120</v>
      </c>
      <c r="AG298">
        <v>1E-3</v>
      </c>
      <c r="AH298">
        <v>2</v>
      </c>
      <c r="AI298">
        <v>55934834</v>
      </c>
      <c r="AJ298">
        <v>256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ROW(Source!A191)</f>
        <v>191</v>
      </c>
      <c r="B299">
        <v>55934901</v>
      </c>
      <c r="C299">
        <v>55934900</v>
      </c>
      <c r="D299">
        <v>55424304</v>
      </c>
      <c r="E299">
        <v>1081</v>
      </c>
      <c r="F299">
        <v>1</v>
      </c>
      <c r="G299">
        <v>1081</v>
      </c>
      <c r="H299">
        <v>1</v>
      </c>
      <c r="I299" t="s">
        <v>221</v>
      </c>
      <c r="J299" t="s">
        <v>3</v>
      </c>
      <c r="K299" t="s">
        <v>222</v>
      </c>
      <c r="L299">
        <v>1191</v>
      </c>
      <c r="N299">
        <v>1013</v>
      </c>
      <c r="O299" t="s">
        <v>223</v>
      </c>
      <c r="P299" t="s">
        <v>223</v>
      </c>
      <c r="Q299">
        <v>1</v>
      </c>
      <c r="X299">
        <v>15.54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 t="s">
        <v>121</v>
      </c>
      <c r="AG299">
        <v>18.648</v>
      </c>
      <c r="AH299">
        <v>2</v>
      </c>
      <c r="AI299">
        <v>55934901</v>
      </c>
      <c r="AJ299">
        <v>257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ROW(Source!A191)</f>
        <v>191</v>
      </c>
      <c r="B300">
        <v>55934902</v>
      </c>
      <c r="C300">
        <v>55934900</v>
      </c>
      <c r="D300">
        <v>55490209</v>
      </c>
      <c r="E300">
        <v>1</v>
      </c>
      <c r="F300">
        <v>1</v>
      </c>
      <c r="G300">
        <v>1081</v>
      </c>
      <c r="H300">
        <v>2</v>
      </c>
      <c r="I300" t="s">
        <v>294</v>
      </c>
      <c r="J300" t="s">
        <v>295</v>
      </c>
      <c r="K300" t="s">
        <v>296</v>
      </c>
      <c r="L300">
        <v>1368</v>
      </c>
      <c r="N300">
        <v>1011</v>
      </c>
      <c r="O300" t="s">
        <v>227</v>
      </c>
      <c r="P300" t="s">
        <v>227</v>
      </c>
      <c r="Q300">
        <v>1</v>
      </c>
      <c r="X300">
        <v>0.01</v>
      </c>
      <c r="Y300">
        <v>0</v>
      </c>
      <c r="Z300">
        <v>83.1</v>
      </c>
      <c r="AA300">
        <v>12.62</v>
      </c>
      <c r="AB300">
        <v>0</v>
      </c>
      <c r="AC300">
        <v>0</v>
      </c>
      <c r="AD300">
        <v>1</v>
      </c>
      <c r="AE300">
        <v>0</v>
      </c>
      <c r="AF300" t="s">
        <v>121</v>
      </c>
      <c r="AG300">
        <v>1.2E-2</v>
      </c>
      <c r="AH300">
        <v>2</v>
      </c>
      <c r="AI300">
        <v>55934902</v>
      </c>
      <c r="AJ300">
        <v>258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ROW(Source!A191)</f>
        <v>191</v>
      </c>
      <c r="B301">
        <v>55934903</v>
      </c>
      <c r="C301">
        <v>55934900</v>
      </c>
      <c r="D301">
        <v>55490263</v>
      </c>
      <c r="E301">
        <v>1</v>
      </c>
      <c r="F301">
        <v>1</v>
      </c>
      <c r="G301">
        <v>1081</v>
      </c>
      <c r="H301">
        <v>2</v>
      </c>
      <c r="I301" t="s">
        <v>297</v>
      </c>
      <c r="J301" t="s">
        <v>298</v>
      </c>
      <c r="K301" t="s">
        <v>299</v>
      </c>
      <c r="L301">
        <v>1368</v>
      </c>
      <c r="N301">
        <v>1011</v>
      </c>
      <c r="O301" t="s">
        <v>227</v>
      </c>
      <c r="P301" t="s">
        <v>227</v>
      </c>
      <c r="Q301">
        <v>1</v>
      </c>
      <c r="X301">
        <v>1.87</v>
      </c>
      <c r="Y301">
        <v>0</v>
      </c>
      <c r="Z301">
        <v>0.77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121</v>
      </c>
      <c r="AG301">
        <v>2.2440000000000002</v>
      </c>
      <c r="AH301">
        <v>2</v>
      </c>
      <c r="AI301">
        <v>55934903</v>
      </c>
      <c r="AJ301">
        <v>259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ROW(Source!A191)</f>
        <v>191</v>
      </c>
      <c r="B302">
        <v>55934904</v>
      </c>
      <c r="C302">
        <v>55934900</v>
      </c>
      <c r="D302">
        <v>55490296</v>
      </c>
      <c r="E302">
        <v>1</v>
      </c>
      <c r="F302">
        <v>1</v>
      </c>
      <c r="G302">
        <v>1081</v>
      </c>
      <c r="H302">
        <v>2</v>
      </c>
      <c r="I302" t="s">
        <v>300</v>
      </c>
      <c r="J302" t="s">
        <v>301</v>
      </c>
      <c r="K302" t="s">
        <v>302</v>
      </c>
      <c r="L302">
        <v>1368</v>
      </c>
      <c r="N302">
        <v>1011</v>
      </c>
      <c r="O302" t="s">
        <v>227</v>
      </c>
      <c r="P302" t="s">
        <v>227</v>
      </c>
      <c r="Q302">
        <v>1</v>
      </c>
      <c r="X302">
        <v>0.19</v>
      </c>
      <c r="Y302">
        <v>0</v>
      </c>
      <c r="Z302">
        <v>0.47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121</v>
      </c>
      <c r="AG302">
        <v>0.22799999999999998</v>
      </c>
      <c r="AH302">
        <v>2</v>
      </c>
      <c r="AI302">
        <v>55934904</v>
      </c>
      <c r="AJ302">
        <v>260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ROW(Source!A191)</f>
        <v>191</v>
      </c>
      <c r="B303">
        <v>55934905</v>
      </c>
      <c r="C303">
        <v>55934900</v>
      </c>
      <c r="D303">
        <v>55459340</v>
      </c>
      <c r="E303">
        <v>1</v>
      </c>
      <c r="F303">
        <v>1</v>
      </c>
      <c r="G303">
        <v>1081</v>
      </c>
      <c r="H303">
        <v>3</v>
      </c>
      <c r="I303" t="s">
        <v>303</v>
      </c>
      <c r="J303" t="s">
        <v>304</v>
      </c>
      <c r="K303" t="s">
        <v>305</v>
      </c>
      <c r="L303">
        <v>1354</v>
      </c>
      <c r="N303">
        <v>1010</v>
      </c>
      <c r="O303" t="s">
        <v>293</v>
      </c>
      <c r="P303" t="s">
        <v>293</v>
      </c>
      <c r="Q303">
        <v>1</v>
      </c>
      <c r="X303">
        <v>40</v>
      </c>
      <c r="Y303">
        <v>0.89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120</v>
      </c>
      <c r="AG303">
        <v>40</v>
      </c>
      <c r="AH303">
        <v>2</v>
      </c>
      <c r="AI303">
        <v>55934905</v>
      </c>
      <c r="AJ303">
        <v>261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ROW(Source!A191)</f>
        <v>191</v>
      </c>
      <c r="B304">
        <v>55934906</v>
      </c>
      <c r="C304">
        <v>55934900</v>
      </c>
      <c r="D304">
        <v>55461503</v>
      </c>
      <c r="E304">
        <v>1</v>
      </c>
      <c r="F304">
        <v>1</v>
      </c>
      <c r="G304">
        <v>1081</v>
      </c>
      <c r="H304">
        <v>3</v>
      </c>
      <c r="I304" t="s">
        <v>306</v>
      </c>
      <c r="J304" t="s">
        <v>307</v>
      </c>
      <c r="K304" t="s">
        <v>308</v>
      </c>
      <c r="L304">
        <v>1355</v>
      </c>
      <c r="N304">
        <v>1010</v>
      </c>
      <c r="O304" t="s">
        <v>280</v>
      </c>
      <c r="P304" t="s">
        <v>280</v>
      </c>
      <c r="Q304">
        <v>100</v>
      </c>
      <c r="X304">
        <v>0.4</v>
      </c>
      <c r="Y304">
        <v>17.28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120</v>
      </c>
      <c r="AG304">
        <v>0.4</v>
      </c>
      <c r="AH304">
        <v>2</v>
      </c>
      <c r="AI304">
        <v>55934906</v>
      </c>
      <c r="AJ304">
        <v>262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ROW(Source!A191)</f>
        <v>191</v>
      </c>
      <c r="B305">
        <v>55934907</v>
      </c>
      <c r="C305">
        <v>55934900</v>
      </c>
      <c r="D305">
        <v>55441141</v>
      </c>
      <c r="E305">
        <v>1081</v>
      </c>
      <c r="F305">
        <v>1</v>
      </c>
      <c r="G305">
        <v>1081</v>
      </c>
      <c r="H305">
        <v>3</v>
      </c>
      <c r="I305" t="s">
        <v>332</v>
      </c>
      <c r="J305" t="s">
        <v>3</v>
      </c>
      <c r="K305" t="s">
        <v>333</v>
      </c>
      <c r="L305">
        <v>1358</v>
      </c>
      <c r="N305">
        <v>1010</v>
      </c>
      <c r="O305" t="s">
        <v>57</v>
      </c>
      <c r="P305" t="s">
        <v>57</v>
      </c>
      <c r="Q305">
        <v>10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120</v>
      </c>
      <c r="AG305">
        <v>1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ROW(Source!A192)</f>
        <v>192</v>
      </c>
      <c r="B306">
        <v>55934901</v>
      </c>
      <c r="C306">
        <v>55934900</v>
      </c>
      <c r="D306">
        <v>55424304</v>
      </c>
      <c r="E306">
        <v>1081</v>
      </c>
      <c r="F306">
        <v>1</v>
      </c>
      <c r="G306">
        <v>1081</v>
      </c>
      <c r="H306">
        <v>1</v>
      </c>
      <c r="I306" t="s">
        <v>221</v>
      </c>
      <c r="J306" t="s">
        <v>3</v>
      </c>
      <c r="K306" t="s">
        <v>222</v>
      </c>
      <c r="L306">
        <v>1191</v>
      </c>
      <c r="N306">
        <v>1013</v>
      </c>
      <c r="O306" t="s">
        <v>223</v>
      </c>
      <c r="P306" t="s">
        <v>223</v>
      </c>
      <c r="Q306">
        <v>1</v>
      </c>
      <c r="X306">
        <v>15.54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121</v>
      </c>
      <c r="AG306">
        <v>18.648</v>
      </c>
      <c r="AH306">
        <v>2</v>
      </c>
      <c r="AI306">
        <v>55934901</v>
      </c>
      <c r="AJ306">
        <v>264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ROW(Source!A192)</f>
        <v>192</v>
      </c>
      <c r="B307">
        <v>55934902</v>
      </c>
      <c r="C307">
        <v>55934900</v>
      </c>
      <c r="D307">
        <v>55490209</v>
      </c>
      <c r="E307">
        <v>1</v>
      </c>
      <c r="F307">
        <v>1</v>
      </c>
      <c r="G307">
        <v>1081</v>
      </c>
      <c r="H307">
        <v>2</v>
      </c>
      <c r="I307" t="s">
        <v>294</v>
      </c>
      <c r="J307" t="s">
        <v>295</v>
      </c>
      <c r="K307" t="s">
        <v>296</v>
      </c>
      <c r="L307">
        <v>1368</v>
      </c>
      <c r="N307">
        <v>1011</v>
      </c>
      <c r="O307" t="s">
        <v>227</v>
      </c>
      <c r="P307" t="s">
        <v>227</v>
      </c>
      <c r="Q307">
        <v>1</v>
      </c>
      <c r="X307">
        <v>0.01</v>
      </c>
      <c r="Y307">
        <v>0</v>
      </c>
      <c r="Z307">
        <v>83.1</v>
      </c>
      <c r="AA307">
        <v>12.62</v>
      </c>
      <c r="AB307">
        <v>0</v>
      </c>
      <c r="AC307">
        <v>0</v>
      </c>
      <c r="AD307">
        <v>1</v>
      </c>
      <c r="AE307">
        <v>0</v>
      </c>
      <c r="AF307" t="s">
        <v>121</v>
      </c>
      <c r="AG307">
        <v>1.2E-2</v>
      </c>
      <c r="AH307">
        <v>2</v>
      </c>
      <c r="AI307">
        <v>55934902</v>
      </c>
      <c r="AJ307">
        <v>265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ROW(Source!A192)</f>
        <v>192</v>
      </c>
      <c r="B308">
        <v>55934903</v>
      </c>
      <c r="C308">
        <v>55934900</v>
      </c>
      <c r="D308">
        <v>55490263</v>
      </c>
      <c r="E308">
        <v>1</v>
      </c>
      <c r="F308">
        <v>1</v>
      </c>
      <c r="G308">
        <v>1081</v>
      </c>
      <c r="H308">
        <v>2</v>
      </c>
      <c r="I308" t="s">
        <v>297</v>
      </c>
      <c r="J308" t="s">
        <v>298</v>
      </c>
      <c r="K308" t="s">
        <v>299</v>
      </c>
      <c r="L308">
        <v>1368</v>
      </c>
      <c r="N308">
        <v>1011</v>
      </c>
      <c r="O308" t="s">
        <v>227</v>
      </c>
      <c r="P308" t="s">
        <v>227</v>
      </c>
      <c r="Q308">
        <v>1</v>
      </c>
      <c r="X308">
        <v>1.87</v>
      </c>
      <c r="Y308">
        <v>0</v>
      </c>
      <c r="Z308">
        <v>0.77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121</v>
      </c>
      <c r="AG308">
        <v>2.2440000000000002</v>
      </c>
      <c r="AH308">
        <v>2</v>
      </c>
      <c r="AI308">
        <v>55934903</v>
      </c>
      <c r="AJ308">
        <v>266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ROW(Source!A192)</f>
        <v>192</v>
      </c>
      <c r="B309">
        <v>55934904</v>
      </c>
      <c r="C309">
        <v>55934900</v>
      </c>
      <c r="D309">
        <v>55490296</v>
      </c>
      <c r="E309">
        <v>1</v>
      </c>
      <c r="F309">
        <v>1</v>
      </c>
      <c r="G309">
        <v>1081</v>
      </c>
      <c r="H309">
        <v>2</v>
      </c>
      <c r="I309" t="s">
        <v>300</v>
      </c>
      <c r="J309" t="s">
        <v>301</v>
      </c>
      <c r="K309" t="s">
        <v>302</v>
      </c>
      <c r="L309">
        <v>1368</v>
      </c>
      <c r="N309">
        <v>1011</v>
      </c>
      <c r="O309" t="s">
        <v>227</v>
      </c>
      <c r="P309" t="s">
        <v>227</v>
      </c>
      <c r="Q309">
        <v>1</v>
      </c>
      <c r="X309">
        <v>0.19</v>
      </c>
      <c r="Y309">
        <v>0</v>
      </c>
      <c r="Z309">
        <v>0.47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121</v>
      </c>
      <c r="AG309">
        <v>0.22799999999999998</v>
      </c>
      <c r="AH309">
        <v>2</v>
      </c>
      <c r="AI309">
        <v>55934904</v>
      </c>
      <c r="AJ309">
        <v>267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ROW(Source!A192)</f>
        <v>192</v>
      </c>
      <c r="B310">
        <v>55934905</v>
      </c>
      <c r="C310">
        <v>55934900</v>
      </c>
      <c r="D310">
        <v>55459340</v>
      </c>
      <c r="E310">
        <v>1</v>
      </c>
      <c r="F310">
        <v>1</v>
      </c>
      <c r="G310">
        <v>1081</v>
      </c>
      <c r="H310">
        <v>3</v>
      </c>
      <c r="I310" t="s">
        <v>303</v>
      </c>
      <c r="J310" t="s">
        <v>304</v>
      </c>
      <c r="K310" t="s">
        <v>305</v>
      </c>
      <c r="L310">
        <v>1354</v>
      </c>
      <c r="N310">
        <v>1010</v>
      </c>
      <c r="O310" t="s">
        <v>293</v>
      </c>
      <c r="P310" t="s">
        <v>293</v>
      </c>
      <c r="Q310">
        <v>1</v>
      </c>
      <c r="X310">
        <v>40</v>
      </c>
      <c r="Y310">
        <v>0.89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120</v>
      </c>
      <c r="AG310">
        <v>40</v>
      </c>
      <c r="AH310">
        <v>2</v>
      </c>
      <c r="AI310">
        <v>55934905</v>
      </c>
      <c r="AJ310">
        <v>268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ROW(Source!A192)</f>
        <v>192</v>
      </c>
      <c r="B311">
        <v>55934906</v>
      </c>
      <c r="C311">
        <v>55934900</v>
      </c>
      <c r="D311">
        <v>55461503</v>
      </c>
      <c r="E311">
        <v>1</v>
      </c>
      <c r="F311">
        <v>1</v>
      </c>
      <c r="G311">
        <v>1081</v>
      </c>
      <c r="H311">
        <v>3</v>
      </c>
      <c r="I311" t="s">
        <v>306</v>
      </c>
      <c r="J311" t="s">
        <v>307</v>
      </c>
      <c r="K311" t="s">
        <v>308</v>
      </c>
      <c r="L311">
        <v>1355</v>
      </c>
      <c r="N311">
        <v>1010</v>
      </c>
      <c r="O311" t="s">
        <v>280</v>
      </c>
      <c r="P311" t="s">
        <v>280</v>
      </c>
      <c r="Q311">
        <v>100</v>
      </c>
      <c r="X311">
        <v>0.4</v>
      </c>
      <c r="Y311">
        <v>17.28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120</v>
      </c>
      <c r="AG311">
        <v>0.4</v>
      </c>
      <c r="AH311">
        <v>2</v>
      </c>
      <c r="AI311">
        <v>55934906</v>
      </c>
      <c r="AJ311">
        <v>269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ROW(Source!A192)</f>
        <v>192</v>
      </c>
      <c r="B312">
        <v>55934907</v>
      </c>
      <c r="C312">
        <v>55934900</v>
      </c>
      <c r="D312">
        <v>55441141</v>
      </c>
      <c r="E312">
        <v>1081</v>
      </c>
      <c r="F312">
        <v>1</v>
      </c>
      <c r="G312">
        <v>1081</v>
      </c>
      <c r="H312">
        <v>3</v>
      </c>
      <c r="I312" t="s">
        <v>332</v>
      </c>
      <c r="J312" t="s">
        <v>3</v>
      </c>
      <c r="K312" t="s">
        <v>333</v>
      </c>
      <c r="L312">
        <v>1358</v>
      </c>
      <c r="N312">
        <v>1010</v>
      </c>
      <c r="O312" t="s">
        <v>57</v>
      </c>
      <c r="P312" t="s">
        <v>57</v>
      </c>
      <c r="Q312">
        <v>10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120</v>
      </c>
      <c r="AG312">
        <v>1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ROW(Source!A195)</f>
        <v>195</v>
      </c>
      <c r="B313">
        <v>55934910</v>
      </c>
      <c r="C313">
        <v>55934909</v>
      </c>
      <c r="D313">
        <v>55424304</v>
      </c>
      <c r="E313">
        <v>1081</v>
      </c>
      <c r="F313">
        <v>1</v>
      </c>
      <c r="G313">
        <v>1081</v>
      </c>
      <c r="H313">
        <v>1</v>
      </c>
      <c r="I313" t="s">
        <v>221</v>
      </c>
      <c r="J313" t="s">
        <v>3</v>
      </c>
      <c r="K313" t="s">
        <v>222</v>
      </c>
      <c r="L313">
        <v>1191</v>
      </c>
      <c r="N313">
        <v>1013</v>
      </c>
      <c r="O313" t="s">
        <v>223</v>
      </c>
      <c r="P313" t="s">
        <v>223</v>
      </c>
      <c r="Q313">
        <v>1</v>
      </c>
      <c r="X313">
        <v>25.33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121</v>
      </c>
      <c r="AG313">
        <v>30.395999999999997</v>
      </c>
      <c r="AH313">
        <v>2</v>
      </c>
      <c r="AI313">
        <v>55934910</v>
      </c>
      <c r="AJ313">
        <v>271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ROW(Source!A195)</f>
        <v>195</v>
      </c>
      <c r="B314">
        <v>55934911</v>
      </c>
      <c r="C314">
        <v>55934909</v>
      </c>
      <c r="D314">
        <v>55490209</v>
      </c>
      <c r="E314">
        <v>1</v>
      </c>
      <c r="F314">
        <v>1</v>
      </c>
      <c r="G314">
        <v>1081</v>
      </c>
      <c r="H314">
        <v>2</v>
      </c>
      <c r="I314" t="s">
        <v>294</v>
      </c>
      <c r="J314" t="s">
        <v>295</v>
      </c>
      <c r="K314" t="s">
        <v>296</v>
      </c>
      <c r="L314">
        <v>1368</v>
      </c>
      <c r="N314">
        <v>1011</v>
      </c>
      <c r="O314" t="s">
        <v>227</v>
      </c>
      <c r="P314" t="s">
        <v>227</v>
      </c>
      <c r="Q314">
        <v>1</v>
      </c>
      <c r="X314">
        <v>0.01</v>
      </c>
      <c r="Y314">
        <v>0</v>
      </c>
      <c r="Z314">
        <v>83.1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121</v>
      </c>
      <c r="AG314">
        <v>1.2E-2</v>
      </c>
      <c r="AH314">
        <v>2</v>
      </c>
      <c r="AI314">
        <v>55934911</v>
      </c>
      <c r="AJ314">
        <v>272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ROW(Source!A195)</f>
        <v>195</v>
      </c>
      <c r="B315">
        <v>55934912</v>
      </c>
      <c r="C315">
        <v>55934909</v>
      </c>
      <c r="D315">
        <v>55490263</v>
      </c>
      <c r="E315">
        <v>1</v>
      </c>
      <c r="F315">
        <v>1</v>
      </c>
      <c r="G315">
        <v>1081</v>
      </c>
      <c r="H315">
        <v>2</v>
      </c>
      <c r="I315" t="s">
        <v>297</v>
      </c>
      <c r="J315" t="s">
        <v>298</v>
      </c>
      <c r="K315" t="s">
        <v>299</v>
      </c>
      <c r="L315">
        <v>1368</v>
      </c>
      <c r="N315">
        <v>1011</v>
      </c>
      <c r="O315" t="s">
        <v>227</v>
      </c>
      <c r="P315" t="s">
        <v>227</v>
      </c>
      <c r="Q315">
        <v>1</v>
      </c>
      <c r="X315">
        <v>1.87</v>
      </c>
      <c r="Y315">
        <v>0</v>
      </c>
      <c r="Z315">
        <v>0.77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121</v>
      </c>
      <c r="AG315">
        <v>2.2440000000000002</v>
      </c>
      <c r="AH315">
        <v>2</v>
      </c>
      <c r="AI315">
        <v>55934912</v>
      </c>
      <c r="AJ315">
        <v>273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ROW(Source!A195)</f>
        <v>195</v>
      </c>
      <c r="B316">
        <v>55934913</v>
      </c>
      <c r="C316">
        <v>55934909</v>
      </c>
      <c r="D316">
        <v>55490296</v>
      </c>
      <c r="E316">
        <v>1</v>
      </c>
      <c r="F316">
        <v>1</v>
      </c>
      <c r="G316">
        <v>1081</v>
      </c>
      <c r="H316">
        <v>2</v>
      </c>
      <c r="I316" t="s">
        <v>300</v>
      </c>
      <c r="J316" t="s">
        <v>301</v>
      </c>
      <c r="K316" t="s">
        <v>302</v>
      </c>
      <c r="L316">
        <v>1368</v>
      </c>
      <c r="N316">
        <v>1011</v>
      </c>
      <c r="O316" t="s">
        <v>227</v>
      </c>
      <c r="P316" t="s">
        <v>227</v>
      </c>
      <c r="Q316">
        <v>1</v>
      </c>
      <c r="X316">
        <v>0.19</v>
      </c>
      <c r="Y316">
        <v>0</v>
      </c>
      <c r="Z316">
        <v>0.47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121</v>
      </c>
      <c r="AG316">
        <v>0.22799999999999998</v>
      </c>
      <c r="AH316">
        <v>2</v>
      </c>
      <c r="AI316">
        <v>55934913</v>
      </c>
      <c r="AJ316">
        <v>274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ROW(Source!A195)</f>
        <v>195</v>
      </c>
      <c r="B317">
        <v>55934914</v>
      </c>
      <c r="C317">
        <v>55934909</v>
      </c>
      <c r="D317">
        <v>55459340</v>
      </c>
      <c r="E317">
        <v>1</v>
      </c>
      <c r="F317">
        <v>1</v>
      </c>
      <c r="G317">
        <v>1081</v>
      </c>
      <c r="H317">
        <v>3</v>
      </c>
      <c r="I317" t="s">
        <v>303</v>
      </c>
      <c r="J317" t="s">
        <v>304</v>
      </c>
      <c r="K317" t="s">
        <v>305</v>
      </c>
      <c r="L317">
        <v>1354</v>
      </c>
      <c r="N317">
        <v>1010</v>
      </c>
      <c r="O317" t="s">
        <v>293</v>
      </c>
      <c r="P317" t="s">
        <v>293</v>
      </c>
      <c r="Q317">
        <v>1</v>
      </c>
      <c r="X317">
        <v>40</v>
      </c>
      <c r="Y317">
        <v>0.89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120</v>
      </c>
      <c r="AG317">
        <v>40</v>
      </c>
      <c r="AH317">
        <v>2</v>
      </c>
      <c r="AI317">
        <v>55934914</v>
      </c>
      <c r="AJ317">
        <v>275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ROW(Source!A195)</f>
        <v>195</v>
      </c>
      <c r="B318">
        <v>55934915</v>
      </c>
      <c r="C318">
        <v>55934909</v>
      </c>
      <c r="D318">
        <v>55461503</v>
      </c>
      <c r="E318">
        <v>1</v>
      </c>
      <c r="F318">
        <v>1</v>
      </c>
      <c r="G318">
        <v>1081</v>
      </c>
      <c r="H318">
        <v>3</v>
      </c>
      <c r="I318" t="s">
        <v>306</v>
      </c>
      <c r="J318" t="s">
        <v>307</v>
      </c>
      <c r="K318" t="s">
        <v>308</v>
      </c>
      <c r="L318">
        <v>1355</v>
      </c>
      <c r="N318">
        <v>1010</v>
      </c>
      <c r="O318" t="s">
        <v>280</v>
      </c>
      <c r="P318" t="s">
        <v>280</v>
      </c>
      <c r="Q318">
        <v>100</v>
      </c>
      <c r="X318">
        <v>0.4</v>
      </c>
      <c r="Y318">
        <v>17.28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120</v>
      </c>
      <c r="AG318">
        <v>0.4</v>
      </c>
      <c r="AH318">
        <v>2</v>
      </c>
      <c r="AI318">
        <v>55934915</v>
      </c>
      <c r="AJ318">
        <v>276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ROW(Source!A195)</f>
        <v>195</v>
      </c>
      <c r="B319">
        <v>55934916</v>
      </c>
      <c r="C319">
        <v>55934909</v>
      </c>
      <c r="D319">
        <v>55441142</v>
      </c>
      <c r="E319">
        <v>1081</v>
      </c>
      <c r="F319">
        <v>1</v>
      </c>
      <c r="G319">
        <v>1081</v>
      </c>
      <c r="H319">
        <v>3</v>
      </c>
      <c r="I319" t="s">
        <v>332</v>
      </c>
      <c r="J319" t="s">
        <v>3</v>
      </c>
      <c r="K319" t="s">
        <v>334</v>
      </c>
      <c r="L319">
        <v>1358</v>
      </c>
      <c r="N319">
        <v>1010</v>
      </c>
      <c r="O319" t="s">
        <v>57</v>
      </c>
      <c r="P319" t="s">
        <v>57</v>
      </c>
      <c r="Q319">
        <v>10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120</v>
      </c>
      <c r="AG319">
        <v>1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ROW(Source!A196)</f>
        <v>196</v>
      </c>
      <c r="B320">
        <v>55934910</v>
      </c>
      <c r="C320">
        <v>55934909</v>
      </c>
      <c r="D320">
        <v>55424304</v>
      </c>
      <c r="E320">
        <v>1081</v>
      </c>
      <c r="F320">
        <v>1</v>
      </c>
      <c r="G320">
        <v>1081</v>
      </c>
      <c r="H320">
        <v>1</v>
      </c>
      <c r="I320" t="s">
        <v>221</v>
      </c>
      <c r="J320" t="s">
        <v>3</v>
      </c>
      <c r="K320" t="s">
        <v>222</v>
      </c>
      <c r="L320">
        <v>1191</v>
      </c>
      <c r="N320">
        <v>1013</v>
      </c>
      <c r="O320" t="s">
        <v>223</v>
      </c>
      <c r="P320" t="s">
        <v>223</v>
      </c>
      <c r="Q320">
        <v>1</v>
      </c>
      <c r="X320">
        <v>25.33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 t="s">
        <v>121</v>
      </c>
      <c r="AG320">
        <v>30.395999999999997</v>
      </c>
      <c r="AH320">
        <v>2</v>
      </c>
      <c r="AI320">
        <v>55934910</v>
      </c>
      <c r="AJ320">
        <v>277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ROW(Source!A196)</f>
        <v>196</v>
      </c>
      <c r="B321">
        <v>55934911</v>
      </c>
      <c r="C321">
        <v>55934909</v>
      </c>
      <c r="D321">
        <v>55490209</v>
      </c>
      <c r="E321">
        <v>1</v>
      </c>
      <c r="F321">
        <v>1</v>
      </c>
      <c r="G321">
        <v>1081</v>
      </c>
      <c r="H321">
        <v>2</v>
      </c>
      <c r="I321" t="s">
        <v>294</v>
      </c>
      <c r="J321" t="s">
        <v>295</v>
      </c>
      <c r="K321" t="s">
        <v>296</v>
      </c>
      <c r="L321">
        <v>1368</v>
      </c>
      <c r="N321">
        <v>1011</v>
      </c>
      <c r="O321" t="s">
        <v>227</v>
      </c>
      <c r="P321" t="s">
        <v>227</v>
      </c>
      <c r="Q321">
        <v>1</v>
      </c>
      <c r="X321">
        <v>0.01</v>
      </c>
      <c r="Y321">
        <v>0</v>
      </c>
      <c r="Z321">
        <v>83.1</v>
      </c>
      <c r="AA321">
        <v>12.62</v>
      </c>
      <c r="AB321">
        <v>0</v>
      </c>
      <c r="AC321">
        <v>0</v>
      </c>
      <c r="AD321">
        <v>1</v>
      </c>
      <c r="AE321">
        <v>0</v>
      </c>
      <c r="AF321" t="s">
        <v>121</v>
      </c>
      <c r="AG321">
        <v>1.2E-2</v>
      </c>
      <c r="AH321">
        <v>2</v>
      </c>
      <c r="AI321">
        <v>55934911</v>
      </c>
      <c r="AJ321">
        <v>278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ROW(Source!A196)</f>
        <v>196</v>
      </c>
      <c r="B322">
        <v>55934912</v>
      </c>
      <c r="C322">
        <v>55934909</v>
      </c>
      <c r="D322">
        <v>55490263</v>
      </c>
      <c r="E322">
        <v>1</v>
      </c>
      <c r="F322">
        <v>1</v>
      </c>
      <c r="G322">
        <v>1081</v>
      </c>
      <c r="H322">
        <v>2</v>
      </c>
      <c r="I322" t="s">
        <v>297</v>
      </c>
      <c r="J322" t="s">
        <v>298</v>
      </c>
      <c r="K322" t="s">
        <v>299</v>
      </c>
      <c r="L322">
        <v>1368</v>
      </c>
      <c r="N322">
        <v>1011</v>
      </c>
      <c r="O322" t="s">
        <v>227</v>
      </c>
      <c r="P322" t="s">
        <v>227</v>
      </c>
      <c r="Q322">
        <v>1</v>
      </c>
      <c r="X322">
        <v>1.87</v>
      </c>
      <c r="Y322">
        <v>0</v>
      </c>
      <c r="Z322">
        <v>0.77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121</v>
      </c>
      <c r="AG322">
        <v>2.2440000000000002</v>
      </c>
      <c r="AH322">
        <v>2</v>
      </c>
      <c r="AI322">
        <v>55934912</v>
      </c>
      <c r="AJ322">
        <v>279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ROW(Source!A196)</f>
        <v>196</v>
      </c>
      <c r="B323">
        <v>55934913</v>
      </c>
      <c r="C323">
        <v>55934909</v>
      </c>
      <c r="D323">
        <v>55490296</v>
      </c>
      <c r="E323">
        <v>1</v>
      </c>
      <c r="F323">
        <v>1</v>
      </c>
      <c r="G323">
        <v>1081</v>
      </c>
      <c r="H323">
        <v>2</v>
      </c>
      <c r="I323" t="s">
        <v>300</v>
      </c>
      <c r="J323" t="s">
        <v>301</v>
      </c>
      <c r="K323" t="s">
        <v>302</v>
      </c>
      <c r="L323">
        <v>1368</v>
      </c>
      <c r="N323">
        <v>1011</v>
      </c>
      <c r="O323" t="s">
        <v>227</v>
      </c>
      <c r="P323" t="s">
        <v>227</v>
      </c>
      <c r="Q323">
        <v>1</v>
      </c>
      <c r="X323">
        <v>0.19</v>
      </c>
      <c r="Y323">
        <v>0</v>
      </c>
      <c r="Z323">
        <v>0.47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121</v>
      </c>
      <c r="AG323">
        <v>0.22799999999999998</v>
      </c>
      <c r="AH323">
        <v>2</v>
      </c>
      <c r="AI323">
        <v>55934913</v>
      </c>
      <c r="AJ323">
        <v>280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ROW(Source!A196)</f>
        <v>196</v>
      </c>
      <c r="B324">
        <v>55934914</v>
      </c>
      <c r="C324">
        <v>55934909</v>
      </c>
      <c r="D324">
        <v>55459340</v>
      </c>
      <c r="E324">
        <v>1</v>
      </c>
      <c r="F324">
        <v>1</v>
      </c>
      <c r="G324">
        <v>1081</v>
      </c>
      <c r="H324">
        <v>3</v>
      </c>
      <c r="I324" t="s">
        <v>303</v>
      </c>
      <c r="J324" t="s">
        <v>304</v>
      </c>
      <c r="K324" t="s">
        <v>305</v>
      </c>
      <c r="L324">
        <v>1354</v>
      </c>
      <c r="N324">
        <v>1010</v>
      </c>
      <c r="O324" t="s">
        <v>293</v>
      </c>
      <c r="P324" t="s">
        <v>293</v>
      </c>
      <c r="Q324">
        <v>1</v>
      </c>
      <c r="X324">
        <v>40</v>
      </c>
      <c r="Y324">
        <v>0.89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120</v>
      </c>
      <c r="AG324">
        <v>40</v>
      </c>
      <c r="AH324">
        <v>2</v>
      </c>
      <c r="AI324">
        <v>55934914</v>
      </c>
      <c r="AJ324">
        <v>281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ROW(Source!A196)</f>
        <v>196</v>
      </c>
      <c r="B325">
        <v>55934915</v>
      </c>
      <c r="C325">
        <v>55934909</v>
      </c>
      <c r="D325">
        <v>55461503</v>
      </c>
      <c r="E325">
        <v>1</v>
      </c>
      <c r="F325">
        <v>1</v>
      </c>
      <c r="G325">
        <v>1081</v>
      </c>
      <c r="H325">
        <v>3</v>
      </c>
      <c r="I325" t="s">
        <v>306</v>
      </c>
      <c r="J325" t="s">
        <v>307</v>
      </c>
      <c r="K325" t="s">
        <v>308</v>
      </c>
      <c r="L325">
        <v>1355</v>
      </c>
      <c r="N325">
        <v>1010</v>
      </c>
      <c r="O325" t="s">
        <v>280</v>
      </c>
      <c r="P325" t="s">
        <v>280</v>
      </c>
      <c r="Q325">
        <v>100</v>
      </c>
      <c r="X325">
        <v>0.4</v>
      </c>
      <c r="Y325">
        <v>17.28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120</v>
      </c>
      <c r="AG325">
        <v>0.4</v>
      </c>
      <c r="AH325">
        <v>2</v>
      </c>
      <c r="AI325">
        <v>55934915</v>
      </c>
      <c r="AJ325">
        <v>282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ROW(Source!A196)</f>
        <v>196</v>
      </c>
      <c r="B326">
        <v>55934916</v>
      </c>
      <c r="C326">
        <v>55934909</v>
      </c>
      <c r="D326">
        <v>55441142</v>
      </c>
      <c r="E326">
        <v>1081</v>
      </c>
      <c r="F326">
        <v>1</v>
      </c>
      <c r="G326">
        <v>1081</v>
      </c>
      <c r="H326">
        <v>3</v>
      </c>
      <c r="I326" t="s">
        <v>332</v>
      </c>
      <c r="J326" t="s">
        <v>3</v>
      </c>
      <c r="K326" t="s">
        <v>334</v>
      </c>
      <c r="L326">
        <v>1358</v>
      </c>
      <c r="N326">
        <v>1010</v>
      </c>
      <c r="O326" t="s">
        <v>57</v>
      </c>
      <c r="P326" t="s">
        <v>57</v>
      </c>
      <c r="Q326">
        <v>10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120</v>
      </c>
      <c r="AG326">
        <v>1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120</v>
      </c>
      <c r="E1" t="s">
        <v>121</v>
      </c>
      <c r="F1" t="s">
        <v>121</v>
      </c>
      <c r="G1" t="s">
        <v>121</v>
      </c>
      <c r="H1" t="s">
        <v>3</v>
      </c>
      <c r="I1" t="s">
        <v>121</v>
      </c>
      <c r="J1" t="s">
        <v>121</v>
      </c>
      <c r="K1" t="s">
        <v>3</v>
      </c>
      <c r="L1" t="s">
        <v>3</v>
      </c>
      <c r="M1" t="s">
        <v>3</v>
      </c>
      <c r="N1" t="s">
        <v>120</v>
      </c>
      <c r="O1" t="s">
        <v>121</v>
      </c>
      <c r="P1" t="s">
        <v>3</v>
      </c>
      <c r="Q1" t="s">
        <v>3</v>
      </c>
      <c r="R1" t="s">
        <v>3</v>
      </c>
      <c r="S1" t="s">
        <v>337</v>
      </c>
      <c r="T1" t="s">
        <v>338</v>
      </c>
      <c r="U1" t="s">
        <v>339</v>
      </c>
    </row>
    <row r="2" spans="1:21" x14ac:dyDescent="0.25">
      <c r="A2">
        <v>28</v>
      </c>
      <c r="B2">
        <v>1</v>
      </c>
      <c r="C2" t="s">
        <v>3</v>
      </c>
      <c r="D2" t="s">
        <v>340</v>
      </c>
      <c r="E2" t="s">
        <v>341</v>
      </c>
      <c r="F2" t="s">
        <v>341</v>
      </c>
      <c r="G2" t="s">
        <v>341</v>
      </c>
      <c r="H2" t="s">
        <v>3</v>
      </c>
      <c r="I2" t="s">
        <v>341</v>
      </c>
      <c r="J2" t="s">
        <v>341</v>
      </c>
      <c r="K2" t="s">
        <v>3</v>
      </c>
      <c r="L2" t="s">
        <v>3</v>
      </c>
      <c r="M2" t="s">
        <v>3</v>
      </c>
      <c r="N2" t="s">
        <v>340</v>
      </c>
      <c r="O2" t="s">
        <v>341</v>
      </c>
      <c r="P2" t="s">
        <v>3</v>
      </c>
      <c r="Q2" t="s">
        <v>3</v>
      </c>
      <c r="R2" t="s">
        <v>3</v>
      </c>
      <c r="S2" t="s">
        <v>342</v>
      </c>
      <c r="T2" t="s">
        <v>343</v>
      </c>
      <c r="U2" t="s">
        <v>344</v>
      </c>
    </row>
    <row r="3" spans="1:21" x14ac:dyDescent="0.25">
      <c r="A3">
        <v>29</v>
      </c>
      <c r="B3">
        <v>1</v>
      </c>
      <c r="C3" t="s">
        <v>3</v>
      </c>
      <c r="D3" t="s">
        <v>120</v>
      </c>
      <c r="E3" t="s">
        <v>121</v>
      </c>
      <c r="F3" t="s">
        <v>121</v>
      </c>
      <c r="G3" t="s">
        <v>121</v>
      </c>
      <c r="H3" t="s">
        <v>3</v>
      </c>
      <c r="I3" t="s">
        <v>121</v>
      </c>
      <c r="J3" t="s">
        <v>121</v>
      </c>
      <c r="K3" t="s">
        <v>3</v>
      </c>
      <c r="L3" t="s">
        <v>3</v>
      </c>
      <c r="M3" t="s">
        <v>3</v>
      </c>
      <c r="N3" t="s">
        <v>120</v>
      </c>
      <c r="O3" t="s">
        <v>121</v>
      </c>
      <c r="P3" t="s">
        <v>3</v>
      </c>
      <c r="Q3" t="s">
        <v>3</v>
      </c>
      <c r="R3" t="s">
        <v>3</v>
      </c>
      <c r="S3" t="s">
        <v>337</v>
      </c>
      <c r="T3" t="s">
        <v>338</v>
      </c>
      <c r="U3" t="s">
        <v>339</v>
      </c>
    </row>
    <row r="4" spans="1:21" x14ac:dyDescent="0.25">
      <c r="A4">
        <v>29</v>
      </c>
      <c r="B4">
        <v>1</v>
      </c>
      <c r="C4" t="s">
        <v>3</v>
      </c>
      <c r="D4" t="s">
        <v>340</v>
      </c>
      <c r="E4" t="s">
        <v>341</v>
      </c>
      <c r="F4" t="s">
        <v>341</v>
      </c>
      <c r="G4" t="s">
        <v>341</v>
      </c>
      <c r="H4" t="s">
        <v>3</v>
      </c>
      <c r="I4" t="s">
        <v>341</v>
      </c>
      <c r="J4" t="s">
        <v>341</v>
      </c>
      <c r="K4" t="s">
        <v>3</v>
      </c>
      <c r="L4" t="s">
        <v>3</v>
      </c>
      <c r="M4" t="s">
        <v>3</v>
      </c>
      <c r="N4" t="s">
        <v>340</v>
      </c>
      <c r="O4" t="s">
        <v>341</v>
      </c>
      <c r="P4" t="s">
        <v>3</v>
      </c>
      <c r="Q4" t="s">
        <v>3</v>
      </c>
      <c r="R4" t="s">
        <v>3</v>
      </c>
      <c r="S4" t="s">
        <v>342</v>
      </c>
      <c r="T4" t="s">
        <v>343</v>
      </c>
      <c r="U4" t="s">
        <v>344</v>
      </c>
    </row>
    <row r="5" spans="1:21" x14ac:dyDescent="0.25">
      <c r="A5">
        <v>30</v>
      </c>
      <c r="B5">
        <v>1</v>
      </c>
      <c r="C5" t="s">
        <v>3</v>
      </c>
      <c r="D5" t="s">
        <v>120</v>
      </c>
      <c r="E5" t="s">
        <v>121</v>
      </c>
      <c r="F5" t="s">
        <v>121</v>
      </c>
      <c r="G5" t="s">
        <v>121</v>
      </c>
      <c r="H5" t="s">
        <v>3</v>
      </c>
      <c r="I5" t="s">
        <v>121</v>
      </c>
      <c r="J5" t="s">
        <v>121</v>
      </c>
      <c r="K5" t="s">
        <v>3</v>
      </c>
      <c r="L5" t="s">
        <v>3</v>
      </c>
      <c r="M5" t="s">
        <v>3</v>
      </c>
      <c r="N5" t="s">
        <v>120</v>
      </c>
      <c r="O5" t="s">
        <v>121</v>
      </c>
      <c r="P5" t="s">
        <v>3</v>
      </c>
      <c r="Q5" t="s">
        <v>3</v>
      </c>
      <c r="R5" t="s">
        <v>3</v>
      </c>
      <c r="S5" t="s">
        <v>337</v>
      </c>
      <c r="T5" t="s">
        <v>338</v>
      </c>
      <c r="U5" t="s">
        <v>339</v>
      </c>
    </row>
    <row r="6" spans="1:21" x14ac:dyDescent="0.25">
      <c r="A6">
        <v>30</v>
      </c>
      <c r="B6">
        <v>1</v>
      </c>
      <c r="C6" t="s">
        <v>3</v>
      </c>
      <c r="D6" t="s">
        <v>340</v>
      </c>
      <c r="E6" t="s">
        <v>341</v>
      </c>
      <c r="F6" t="s">
        <v>341</v>
      </c>
      <c r="G6" t="s">
        <v>341</v>
      </c>
      <c r="H6" t="s">
        <v>3</v>
      </c>
      <c r="I6" t="s">
        <v>341</v>
      </c>
      <c r="J6" t="s">
        <v>341</v>
      </c>
      <c r="K6" t="s">
        <v>3</v>
      </c>
      <c r="L6" t="s">
        <v>3</v>
      </c>
      <c r="M6" t="s">
        <v>3</v>
      </c>
      <c r="N6" t="s">
        <v>340</v>
      </c>
      <c r="O6" t="s">
        <v>341</v>
      </c>
      <c r="P6" t="s">
        <v>3</v>
      </c>
      <c r="Q6" t="s">
        <v>3</v>
      </c>
      <c r="R6" t="s">
        <v>3</v>
      </c>
      <c r="S6" t="s">
        <v>342</v>
      </c>
      <c r="T6" t="s">
        <v>343</v>
      </c>
      <c r="U6" t="s">
        <v>344</v>
      </c>
    </row>
    <row r="7" spans="1:21" x14ac:dyDescent="0.25">
      <c r="A7">
        <v>31</v>
      </c>
      <c r="B7">
        <v>1</v>
      </c>
      <c r="C7" t="s">
        <v>3</v>
      </c>
      <c r="D7" t="s">
        <v>120</v>
      </c>
      <c r="E7" t="s">
        <v>121</v>
      </c>
      <c r="F7" t="s">
        <v>121</v>
      </c>
      <c r="G7" t="s">
        <v>121</v>
      </c>
      <c r="H7" t="s">
        <v>3</v>
      </c>
      <c r="I7" t="s">
        <v>121</v>
      </c>
      <c r="J7" t="s">
        <v>121</v>
      </c>
      <c r="K7" t="s">
        <v>3</v>
      </c>
      <c r="L7" t="s">
        <v>3</v>
      </c>
      <c r="M7" t="s">
        <v>3</v>
      </c>
      <c r="N7" t="s">
        <v>120</v>
      </c>
      <c r="O7" t="s">
        <v>121</v>
      </c>
      <c r="P7" t="s">
        <v>3</v>
      </c>
      <c r="Q7" t="s">
        <v>3</v>
      </c>
      <c r="R7" t="s">
        <v>3</v>
      </c>
      <c r="S7" t="s">
        <v>337</v>
      </c>
      <c r="T7" t="s">
        <v>338</v>
      </c>
      <c r="U7" t="s">
        <v>339</v>
      </c>
    </row>
    <row r="8" spans="1:21" x14ac:dyDescent="0.25">
      <c r="A8">
        <v>31</v>
      </c>
      <c r="B8">
        <v>1</v>
      </c>
      <c r="C8" t="s">
        <v>3</v>
      </c>
      <c r="D8" t="s">
        <v>340</v>
      </c>
      <c r="E8" t="s">
        <v>341</v>
      </c>
      <c r="F8" t="s">
        <v>341</v>
      </c>
      <c r="G8" t="s">
        <v>341</v>
      </c>
      <c r="H8" t="s">
        <v>3</v>
      </c>
      <c r="I8" t="s">
        <v>341</v>
      </c>
      <c r="J8" t="s">
        <v>341</v>
      </c>
      <c r="K8" t="s">
        <v>3</v>
      </c>
      <c r="L8" t="s">
        <v>3</v>
      </c>
      <c r="M8" t="s">
        <v>3</v>
      </c>
      <c r="N8" t="s">
        <v>340</v>
      </c>
      <c r="O8" t="s">
        <v>341</v>
      </c>
      <c r="P8" t="s">
        <v>3</v>
      </c>
      <c r="Q8" t="s">
        <v>3</v>
      </c>
      <c r="R8" t="s">
        <v>3</v>
      </c>
      <c r="S8" t="s">
        <v>342</v>
      </c>
      <c r="T8" t="s">
        <v>343</v>
      </c>
      <c r="U8" t="s">
        <v>344</v>
      </c>
    </row>
    <row r="9" spans="1:21" x14ac:dyDescent="0.25">
      <c r="A9">
        <v>32</v>
      </c>
      <c r="B9">
        <v>1</v>
      </c>
      <c r="C9" t="s">
        <v>3</v>
      </c>
      <c r="D9" t="s">
        <v>120</v>
      </c>
      <c r="E9" t="s">
        <v>121</v>
      </c>
      <c r="F9" t="s">
        <v>121</v>
      </c>
      <c r="G9" t="s">
        <v>121</v>
      </c>
      <c r="H9" t="s">
        <v>3</v>
      </c>
      <c r="I9" t="s">
        <v>121</v>
      </c>
      <c r="J9" t="s">
        <v>121</v>
      </c>
      <c r="K9" t="s">
        <v>3</v>
      </c>
      <c r="L9" t="s">
        <v>3</v>
      </c>
      <c r="M9" t="s">
        <v>3</v>
      </c>
      <c r="N9" t="s">
        <v>120</v>
      </c>
      <c r="O9" t="s">
        <v>121</v>
      </c>
      <c r="P9" t="s">
        <v>3</v>
      </c>
      <c r="Q9" t="s">
        <v>3</v>
      </c>
      <c r="R9" t="s">
        <v>3</v>
      </c>
      <c r="S9" t="s">
        <v>337</v>
      </c>
      <c r="T9" t="s">
        <v>338</v>
      </c>
      <c r="U9" t="s">
        <v>339</v>
      </c>
    </row>
    <row r="10" spans="1:21" x14ac:dyDescent="0.25">
      <c r="A10">
        <v>32</v>
      </c>
      <c r="B10">
        <v>1</v>
      </c>
      <c r="C10" t="s">
        <v>3</v>
      </c>
      <c r="D10" t="s">
        <v>340</v>
      </c>
      <c r="E10" t="s">
        <v>341</v>
      </c>
      <c r="F10" t="s">
        <v>341</v>
      </c>
      <c r="G10" t="s">
        <v>341</v>
      </c>
      <c r="H10" t="s">
        <v>3</v>
      </c>
      <c r="I10" t="s">
        <v>341</v>
      </c>
      <c r="J10" t="s">
        <v>341</v>
      </c>
      <c r="K10" t="s">
        <v>3</v>
      </c>
      <c r="L10" t="s">
        <v>3</v>
      </c>
      <c r="M10" t="s">
        <v>3</v>
      </c>
      <c r="N10" t="s">
        <v>340</v>
      </c>
      <c r="O10" t="s">
        <v>341</v>
      </c>
      <c r="P10" t="s">
        <v>3</v>
      </c>
      <c r="Q10" t="s">
        <v>3</v>
      </c>
      <c r="R10" t="s">
        <v>3</v>
      </c>
      <c r="S10" t="s">
        <v>342</v>
      </c>
      <c r="T10" t="s">
        <v>343</v>
      </c>
      <c r="U10" t="s">
        <v>344</v>
      </c>
    </row>
    <row r="11" spans="1:21" x14ac:dyDescent="0.25">
      <c r="A11">
        <v>33</v>
      </c>
      <c r="B11">
        <v>1</v>
      </c>
      <c r="C11" t="s">
        <v>3</v>
      </c>
      <c r="D11" t="s">
        <v>120</v>
      </c>
      <c r="E11" t="s">
        <v>121</v>
      </c>
      <c r="F11" t="s">
        <v>121</v>
      </c>
      <c r="G11" t="s">
        <v>121</v>
      </c>
      <c r="H11" t="s">
        <v>3</v>
      </c>
      <c r="I11" t="s">
        <v>121</v>
      </c>
      <c r="J11" t="s">
        <v>121</v>
      </c>
      <c r="K11" t="s">
        <v>3</v>
      </c>
      <c r="L11" t="s">
        <v>3</v>
      </c>
      <c r="M11" t="s">
        <v>3</v>
      </c>
      <c r="N11" t="s">
        <v>120</v>
      </c>
      <c r="O11" t="s">
        <v>121</v>
      </c>
      <c r="P11" t="s">
        <v>3</v>
      </c>
      <c r="Q11" t="s">
        <v>3</v>
      </c>
      <c r="R11" t="s">
        <v>3</v>
      </c>
      <c r="S11" t="s">
        <v>337</v>
      </c>
      <c r="T11" t="s">
        <v>338</v>
      </c>
      <c r="U11" t="s">
        <v>339</v>
      </c>
    </row>
    <row r="12" spans="1:21" x14ac:dyDescent="0.25">
      <c r="A12">
        <v>33</v>
      </c>
      <c r="B12">
        <v>1</v>
      </c>
      <c r="C12" t="s">
        <v>3</v>
      </c>
      <c r="D12" t="s">
        <v>340</v>
      </c>
      <c r="E12" t="s">
        <v>341</v>
      </c>
      <c r="F12" t="s">
        <v>341</v>
      </c>
      <c r="G12" t="s">
        <v>341</v>
      </c>
      <c r="H12" t="s">
        <v>3</v>
      </c>
      <c r="I12" t="s">
        <v>341</v>
      </c>
      <c r="J12" t="s">
        <v>341</v>
      </c>
      <c r="K12" t="s">
        <v>3</v>
      </c>
      <c r="L12" t="s">
        <v>3</v>
      </c>
      <c r="M12" t="s">
        <v>3</v>
      </c>
      <c r="N12" t="s">
        <v>340</v>
      </c>
      <c r="O12" t="s">
        <v>341</v>
      </c>
      <c r="P12" t="s">
        <v>3</v>
      </c>
      <c r="Q12" t="s">
        <v>3</v>
      </c>
      <c r="R12" t="s">
        <v>3</v>
      </c>
      <c r="S12" t="s">
        <v>342</v>
      </c>
      <c r="T12" t="s">
        <v>343</v>
      </c>
      <c r="U12" t="s">
        <v>344</v>
      </c>
    </row>
    <row r="13" spans="1:21" x14ac:dyDescent="0.25">
      <c r="A13">
        <v>34</v>
      </c>
      <c r="B13">
        <v>1</v>
      </c>
      <c r="C13" t="s">
        <v>3</v>
      </c>
      <c r="D13" t="s">
        <v>120</v>
      </c>
      <c r="E13" t="s">
        <v>121</v>
      </c>
      <c r="F13" t="s">
        <v>121</v>
      </c>
      <c r="G13" t="s">
        <v>121</v>
      </c>
      <c r="H13" t="s">
        <v>3</v>
      </c>
      <c r="I13" t="s">
        <v>121</v>
      </c>
      <c r="J13" t="s">
        <v>121</v>
      </c>
      <c r="K13" t="s">
        <v>3</v>
      </c>
      <c r="L13" t="s">
        <v>3</v>
      </c>
      <c r="M13" t="s">
        <v>3</v>
      </c>
      <c r="N13" t="s">
        <v>120</v>
      </c>
      <c r="O13" t="s">
        <v>121</v>
      </c>
      <c r="P13" t="s">
        <v>3</v>
      </c>
      <c r="Q13" t="s">
        <v>3</v>
      </c>
      <c r="R13" t="s">
        <v>3</v>
      </c>
      <c r="S13" t="s">
        <v>337</v>
      </c>
      <c r="T13" t="s">
        <v>338</v>
      </c>
      <c r="U13" t="s">
        <v>339</v>
      </c>
    </row>
    <row r="14" spans="1:21" x14ac:dyDescent="0.25">
      <c r="A14">
        <v>34</v>
      </c>
      <c r="B14">
        <v>1</v>
      </c>
      <c r="C14" t="s">
        <v>3</v>
      </c>
      <c r="D14" t="s">
        <v>340</v>
      </c>
      <c r="E14" t="s">
        <v>341</v>
      </c>
      <c r="F14" t="s">
        <v>341</v>
      </c>
      <c r="G14" t="s">
        <v>341</v>
      </c>
      <c r="H14" t="s">
        <v>3</v>
      </c>
      <c r="I14" t="s">
        <v>341</v>
      </c>
      <c r="J14" t="s">
        <v>341</v>
      </c>
      <c r="K14" t="s">
        <v>3</v>
      </c>
      <c r="L14" t="s">
        <v>3</v>
      </c>
      <c r="M14" t="s">
        <v>3</v>
      </c>
      <c r="N14" t="s">
        <v>340</v>
      </c>
      <c r="O14" t="s">
        <v>341</v>
      </c>
      <c r="P14" t="s">
        <v>3</v>
      </c>
      <c r="Q14" t="s">
        <v>3</v>
      </c>
      <c r="R14" t="s">
        <v>3</v>
      </c>
      <c r="S14" t="s">
        <v>342</v>
      </c>
      <c r="T14" t="s">
        <v>343</v>
      </c>
      <c r="U14" t="s">
        <v>344</v>
      </c>
    </row>
    <row r="15" spans="1:21" x14ac:dyDescent="0.25">
      <c r="A15">
        <v>35</v>
      </c>
      <c r="B15">
        <v>1</v>
      </c>
      <c r="C15" t="s">
        <v>3</v>
      </c>
      <c r="D15" t="s">
        <v>120</v>
      </c>
      <c r="E15" t="s">
        <v>121</v>
      </c>
      <c r="F15" t="s">
        <v>121</v>
      </c>
      <c r="G15" t="s">
        <v>121</v>
      </c>
      <c r="H15" t="s">
        <v>3</v>
      </c>
      <c r="I15" t="s">
        <v>121</v>
      </c>
      <c r="J15" t="s">
        <v>121</v>
      </c>
      <c r="K15" t="s">
        <v>3</v>
      </c>
      <c r="L15" t="s">
        <v>3</v>
      </c>
      <c r="M15" t="s">
        <v>3</v>
      </c>
      <c r="N15" t="s">
        <v>120</v>
      </c>
      <c r="O15" t="s">
        <v>121</v>
      </c>
      <c r="P15" t="s">
        <v>3</v>
      </c>
      <c r="Q15" t="s">
        <v>3</v>
      </c>
      <c r="R15" t="s">
        <v>3</v>
      </c>
      <c r="S15" t="s">
        <v>337</v>
      </c>
      <c r="T15" t="s">
        <v>338</v>
      </c>
      <c r="U15" t="s">
        <v>339</v>
      </c>
    </row>
    <row r="16" spans="1:21" x14ac:dyDescent="0.25">
      <c r="A16">
        <v>35</v>
      </c>
      <c r="B16">
        <v>1</v>
      </c>
      <c r="C16" t="s">
        <v>3</v>
      </c>
      <c r="D16" t="s">
        <v>340</v>
      </c>
      <c r="E16" t="s">
        <v>341</v>
      </c>
      <c r="F16" t="s">
        <v>341</v>
      </c>
      <c r="G16" t="s">
        <v>341</v>
      </c>
      <c r="H16" t="s">
        <v>3</v>
      </c>
      <c r="I16" t="s">
        <v>341</v>
      </c>
      <c r="J16" t="s">
        <v>341</v>
      </c>
      <c r="K16" t="s">
        <v>3</v>
      </c>
      <c r="L16" t="s">
        <v>3</v>
      </c>
      <c r="M16" t="s">
        <v>3</v>
      </c>
      <c r="N16" t="s">
        <v>340</v>
      </c>
      <c r="O16" t="s">
        <v>341</v>
      </c>
      <c r="P16" t="s">
        <v>3</v>
      </c>
      <c r="Q16" t="s">
        <v>3</v>
      </c>
      <c r="R16" t="s">
        <v>3</v>
      </c>
      <c r="S16" t="s">
        <v>342</v>
      </c>
      <c r="T16" t="s">
        <v>343</v>
      </c>
      <c r="U16" t="s">
        <v>344</v>
      </c>
    </row>
    <row r="17" spans="1:21" x14ac:dyDescent="0.25">
      <c r="A17">
        <v>36</v>
      </c>
      <c r="B17">
        <v>1</v>
      </c>
      <c r="C17" t="s">
        <v>3</v>
      </c>
      <c r="D17" t="s">
        <v>120</v>
      </c>
      <c r="E17" t="s">
        <v>121</v>
      </c>
      <c r="F17" t="s">
        <v>121</v>
      </c>
      <c r="G17" t="s">
        <v>121</v>
      </c>
      <c r="H17" t="s">
        <v>3</v>
      </c>
      <c r="I17" t="s">
        <v>121</v>
      </c>
      <c r="J17" t="s">
        <v>121</v>
      </c>
      <c r="K17" t="s">
        <v>3</v>
      </c>
      <c r="L17" t="s">
        <v>3</v>
      </c>
      <c r="M17" t="s">
        <v>3</v>
      </c>
      <c r="N17" t="s">
        <v>120</v>
      </c>
      <c r="O17" t="s">
        <v>121</v>
      </c>
      <c r="P17" t="s">
        <v>3</v>
      </c>
      <c r="Q17" t="s">
        <v>3</v>
      </c>
      <c r="R17" t="s">
        <v>3</v>
      </c>
      <c r="S17" t="s">
        <v>337</v>
      </c>
      <c r="T17" t="s">
        <v>338</v>
      </c>
      <c r="U17" t="s">
        <v>339</v>
      </c>
    </row>
    <row r="18" spans="1:21" x14ac:dyDescent="0.25">
      <c r="A18">
        <v>36</v>
      </c>
      <c r="B18">
        <v>1</v>
      </c>
      <c r="C18" t="s">
        <v>3</v>
      </c>
      <c r="D18" t="s">
        <v>340</v>
      </c>
      <c r="E18" t="s">
        <v>341</v>
      </c>
      <c r="F18" t="s">
        <v>341</v>
      </c>
      <c r="G18" t="s">
        <v>341</v>
      </c>
      <c r="H18" t="s">
        <v>3</v>
      </c>
      <c r="I18" t="s">
        <v>341</v>
      </c>
      <c r="J18" t="s">
        <v>341</v>
      </c>
      <c r="K18" t="s">
        <v>3</v>
      </c>
      <c r="L18" t="s">
        <v>3</v>
      </c>
      <c r="M18" t="s">
        <v>3</v>
      </c>
      <c r="N18" t="s">
        <v>340</v>
      </c>
      <c r="O18" t="s">
        <v>341</v>
      </c>
      <c r="P18" t="s">
        <v>3</v>
      </c>
      <c r="Q18" t="s">
        <v>3</v>
      </c>
      <c r="R18" t="s">
        <v>3</v>
      </c>
      <c r="S18" t="s">
        <v>342</v>
      </c>
      <c r="T18" t="s">
        <v>343</v>
      </c>
      <c r="U18" t="s">
        <v>344</v>
      </c>
    </row>
    <row r="19" spans="1:21" x14ac:dyDescent="0.25">
      <c r="A19">
        <v>37</v>
      </c>
      <c r="B19">
        <v>1</v>
      </c>
      <c r="C19" t="s">
        <v>3</v>
      </c>
      <c r="D19" t="s">
        <v>120</v>
      </c>
      <c r="E19" t="s">
        <v>121</v>
      </c>
      <c r="F19" t="s">
        <v>121</v>
      </c>
      <c r="G19" t="s">
        <v>121</v>
      </c>
      <c r="H19" t="s">
        <v>3</v>
      </c>
      <c r="I19" t="s">
        <v>121</v>
      </c>
      <c r="J19" t="s">
        <v>121</v>
      </c>
      <c r="K19" t="s">
        <v>3</v>
      </c>
      <c r="L19" t="s">
        <v>3</v>
      </c>
      <c r="M19" t="s">
        <v>3</v>
      </c>
      <c r="N19" t="s">
        <v>120</v>
      </c>
      <c r="O19" t="s">
        <v>121</v>
      </c>
      <c r="P19" t="s">
        <v>3</v>
      </c>
      <c r="Q19" t="s">
        <v>3</v>
      </c>
      <c r="R19" t="s">
        <v>3</v>
      </c>
      <c r="S19" t="s">
        <v>337</v>
      </c>
      <c r="T19" t="s">
        <v>338</v>
      </c>
      <c r="U19" t="s">
        <v>339</v>
      </c>
    </row>
    <row r="20" spans="1:21" x14ac:dyDescent="0.25">
      <c r="A20">
        <v>37</v>
      </c>
      <c r="B20">
        <v>1</v>
      </c>
      <c r="C20" t="s">
        <v>3</v>
      </c>
      <c r="D20" t="s">
        <v>340</v>
      </c>
      <c r="E20" t="s">
        <v>341</v>
      </c>
      <c r="F20" t="s">
        <v>341</v>
      </c>
      <c r="G20" t="s">
        <v>341</v>
      </c>
      <c r="H20" t="s">
        <v>3</v>
      </c>
      <c r="I20" t="s">
        <v>341</v>
      </c>
      <c r="J20" t="s">
        <v>341</v>
      </c>
      <c r="K20" t="s">
        <v>3</v>
      </c>
      <c r="L20" t="s">
        <v>3</v>
      </c>
      <c r="M20" t="s">
        <v>3</v>
      </c>
      <c r="N20" t="s">
        <v>340</v>
      </c>
      <c r="O20" t="s">
        <v>341</v>
      </c>
      <c r="P20" t="s">
        <v>3</v>
      </c>
      <c r="Q20" t="s">
        <v>3</v>
      </c>
      <c r="R20" t="s">
        <v>3</v>
      </c>
      <c r="S20" t="s">
        <v>342</v>
      </c>
      <c r="T20" t="s">
        <v>343</v>
      </c>
      <c r="U20" t="s">
        <v>344</v>
      </c>
    </row>
    <row r="21" spans="1:21" x14ac:dyDescent="0.25">
      <c r="A21">
        <v>38</v>
      </c>
      <c r="B21">
        <v>1</v>
      </c>
      <c r="C21" t="s">
        <v>3</v>
      </c>
      <c r="D21" t="s">
        <v>120</v>
      </c>
      <c r="E21" t="s">
        <v>121</v>
      </c>
      <c r="F21" t="s">
        <v>121</v>
      </c>
      <c r="G21" t="s">
        <v>121</v>
      </c>
      <c r="H21" t="s">
        <v>3</v>
      </c>
      <c r="I21" t="s">
        <v>121</v>
      </c>
      <c r="J21" t="s">
        <v>121</v>
      </c>
      <c r="K21" t="s">
        <v>3</v>
      </c>
      <c r="L21" t="s">
        <v>3</v>
      </c>
      <c r="M21" t="s">
        <v>3</v>
      </c>
      <c r="N21" t="s">
        <v>120</v>
      </c>
      <c r="O21" t="s">
        <v>121</v>
      </c>
      <c r="P21" t="s">
        <v>3</v>
      </c>
      <c r="Q21" t="s">
        <v>3</v>
      </c>
      <c r="R21" t="s">
        <v>3</v>
      </c>
      <c r="S21" t="s">
        <v>337</v>
      </c>
      <c r="T21" t="s">
        <v>338</v>
      </c>
      <c r="U21" t="s">
        <v>339</v>
      </c>
    </row>
    <row r="22" spans="1:21" x14ac:dyDescent="0.25">
      <c r="A22">
        <v>38</v>
      </c>
      <c r="B22">
        <v>1</v>
      </c>
      <c r="C22" t="s">
        <v>3</v>
      </c>
      <c r="D22" t="s">
        <v>340</v>
      </c>
      <c r="E22" t="s">
        <v>341</v>
      </c>
      <c r="F22" t="s">
        <v>341</v>
      </c>
      <c r="G22" t="s">
        <v>341</v>
      </c>
      <c r="H22" t="s">
        <v>3</v>
      </c>
      <c r="I22" t="s">
        <v>341</v>
      </c>
      <c r="J22" t="s">
        <v>341</v>
      </c>
      <c r="K22" t="s">
        <v>3</v>
      </c>
      <c r="L22" t="s">
        <v>3</v>
      </c>
      <c r="M22" t="s">
        <v>3</v>
      </c>
      <c r="N22" t="s">
        <v>340</v>
      </c>
      <c r="O22" t="s">
        <v>341</v>
      </c>
      <c r="P22" t="s">
        <v>3</v>
      </c>
      <c r="Q22" t="s">
        <v>3</v>
      </c>
      <c r="R22" t="s">
        <v>3</v>
      </c>
      <c r="S22" t="s">
        <v>342</v>
      </c>
      <c r="T22" t="s">
        <v>343</v>
      </c>
      <c r="U22" t="s">
        <v>344</v>
      </c>
    </row>
    <row r="23" spans="1:21" x14ac:dyDescent="0.25">
      <c r="A23">
        <v>39</v>
      </c>
      <c r="B23">
        <v>1</v>
      </c>
      <c r="C23" t="s">
        <v>3</v>
      </c>
      <c r="D23" t="s">
        <v>120</v>
      </c>
      <c r="E23" t="s">
        <v>121</v>
      </c>
      <c r="F23" t="s">
        <v>121</v>
      </c>
      <c r="G23" t="s">
        <v>121</v>
      </c>
      <c r="H23" t="s">
        <v>3</v>
      </c>
      <c r="I23" t="s">
        <v>121</v>
      </c>
      <c r="J23" t="s">
        <v>121</v>
      </c>
      <c r="K23" t="s">
        <v>3</v>
      </c>
      <c r="L23" t="s">
        <v>3</v>
      </c>
      <c r="M23" t="s">
        <v>3</v>
      </c>
      <c r="N23" t="s">
        <v>120</v>
      </c>
      <c r="O23" t="s">
        <v>121</v>
      </c>
      <c r="P23" t="s">
        <v>3</v>
      </c>
      <c r="Q23" t="s">
        <v>3</v>
      </c>
      <c r="R23" t="s">
        <v>3</v>
      </c>
      <c r="S23" t="s">
        <v>337</v>
      </c>
      <c r="T23" t="s">
        <v>338</v>
      </c>
      <c r="U23" t="s">
        <v>339</v>
      </c>
    </row>
    <row r="24" spans="1:21" x14ac:dyDescent="0.25">
      <c r="A24">
        <v>39</v>
      </c>
      <c r="B24">
        <v>1</v>
      </c>
      <c r="C24" t="s">
        <v>3</v>
      </c>
      <c r="D24" t="s">
        <v>340</v>
      </c>
      <c r="E24" t="s">
        <v>341</v>
      </c>
      <c r="F24" t="s">
        <v>341</v>
      </c>
      <c r="G24" t="s">
        <v>341</v>
      </c>
      <c r="H24" t="s">
        <v>3</v>
      </c>
      <c r="I24" t="s">
        <v>341</v>
      </c>
      <c r="J24" t="s">
        <v>341</v>
      </c>
      <c r="K24" t="s">
        <v>3</v>
      </c>
      <c r="L24" t="s">
        <v>3</v>
      </c>
      <c r="M24" t="s">
        <v>3</v>
      </c>
      <c r="N24" t="s">
        <v>340</v>
      </c>
      <c r="O24" t="s">
        <v>341</v>
      </c>
      <c r="P24" t="s">
        <v>3</v>
      </c>
      <c r="Q24" t="s">
        <v>3</v>
      </c>
      <c r="R24" t="s">
        <v>3</v>
      </c>
      <c r="S24" t="s">
        <v>342</v>
      </c>
      <c r="T24" t="s">
        <v>343</v>
      </c>
      <c r="U24" t="s">
        <v>344</v>
      </c>
    </row>
    <row r="25" spans="1:21" x14ac:dyDescent="0.25">
      <c r="A25">
        <v>40</v>
      </c>
      <c r="B25">
        <v>1</v>
      </c>
      <c r="C25" t="s">
        <v>3</v>
      </c>
      <c r="D25" t="s">
        <v>120</v>
      </c>
      <c r="E25" t="s">
        <v>121</v>
      </c>
      <c r="F25" t="s">
        <v>121</v>
      </c>
      <c r="G25" t="s">
        <v>121</v>
      </c>
      <c r="H25" t="s">
        <v>3</v>
      </c>
      <c r="I25" t="s">
        <v>121</v>
      </c>
      <c r="J25" t="s">
        <v>121</v>
      </c>
      <c r="K25" t="s">
        <v>3</v>
      </c>
      <c r="L25" t="s">
        <v>3</v>
      </c>
      <c r="M25" t="s">
        <v>3</v>
      </c>
      <c r="N25" t="s">
        <v>120</v>
      </c>
      <c r="O25" t="s">
        <v>121</v>
      </c>
      <c r="P25" t="s">
        <v>3</v>
      </c>
      <c r="Q25" t="s">
        <v>3</v>
      </c>
      <c r="R25" t="s">
        <v>3</v>
      </c>
      <c r="S25" t="s">
        <v>337</v>
      </c>
      <c r="T25" t="s">
        <v>338</v>
      </c>
      <c r="U25" t="s">
        <v>339</v>
      </c>
    </row>
    <row r="26" spans="1:21" x14ac:dyDescent="0.25">
      <c r="A26">
        <v>40</v>
      </c>
      <c r="B26">
        <v>1</v>
      </c>
      <c r="C26" t="s">
        <v>3</v>
      </c>
      <c r="D26" t="s">
        <v>340</v>
      </c>
      <c r="E26" t="s">
        <v>341</v>
      </c>
      <c r="F26" t="s">
        <v>341</v>
      </c>
      <c r="G26" t="s">
        <v>341</v>
      </c>
      <c r="H26" t="s">
        <v>3</v>
      </c>
      <c r="I26" t="s">
        <v>341</v>
      </c>
      <c r="J26" t="s">
        <v>341</v>
      </c>
      <c r="K26" t="s">
        <v>3</v>
      </c>
      <c r="L26" t="s">
        <v>3</v>
      </c>
      <c r="M26" t="s">
        <v>3</v>
      </c>
      <c r="N26" t="s">
        <v>340</v>
      </c>
      <c r="O26" t="s">
        <v>341</v>
      </c>
      <c r="P26" t="s">
        <v>3</v>
      </c>
      <c r="Q26" t="s">
        <v>3</v>
      </c>
      <c r="R26" t="s">
        <v>3</v>
      </c>
      <c r="S26" t="s">
        <v>342</v>
      </c>
      <c r="T26" t="s">
        <v>343</v>
      </c>
      <c r="U26" t="s">
        <v>344</v>
      </c>
    </row>
    <row r="27" spans="1:21" x14ac:dyDescent="0.25">
      <c r="A27">
        <v>41</v>
      </c>
      <c r="B27">
        <v>1</v>
      </c>
      <c r="C27" t="s">
        <v>3</v>
      </c>
      <c r="D27" t="s">
        <v>120</v>
      </c>
      <c r="E27" t="s">
        <v>121</v>
      </c>
      <c r="F27" t="s">
        <v>121</v>
      </c>
      <c r="G27" t="s">
        <v>121</v>
      </c>
      <c r="H27" t="s">
        <v>3</v>
      </c>
      <c r="I27" t="s">
        <v>121</v>
      </c>
      <c r="J27" t="s">
        <v>121</v>
      </c>
      <c r="K27" t="s">
        <v>3</v>
      </c>
      <c r="L27" t="s">
        <v>3</v>
      </c>
      <c r="M27" t="s">
        <v>3</v>
      </c>
      <c r="N27" t="s">
        <v>120</v>
      </c>
      <c r="O27" t="s">
        <v>121</v>
      </c>
      <c r="P27" t="s">
        <v>3</v>
      </c>
      <c r="Q27" t="s">
        <v>3</v>
      </c>
      <c r="R27" t="s">
        <v>3</v>
      </c>
      <c r="S27" t="s">
        <v>337</v>
      </c>
      <c r="T27" t="s">
        <v>338</v>
      </c>
      <c r="U27" t="s">
        <v>339</v>
      </c>
    </row>
    <row r="28" spans="1:21" x14ac:dyDescent="0.25">
      <c r="A28">
        <v>41</v>
      </c>
      <c r="B28">
        <v>1</v>
      </c>
      <c r="C28" t="s">
        <v>3</v>
      </c>
      <c r="D28" t="s">
        <v>340</v>
      </c>
      <c r="E28" t="s">
        <v>341</v>
      </c>
      <c r="F28" t="s">
        <v>341</v>
      </c>
      <c r="G28" t="s">
        <v>341</v>
      </c>
      <c r="H28" t="s">
        <v>3</v>
      </c>
      <c r="I28" t="s">
        <v>341</v>
      </c>
      <c r="J28" t="s">
        <v>341</v>
      </c>
      <c r="K28" t="s">
        <v>3</v>
      </c>
      <c r="L28" t="s">
        <v>3</v>
      </c>
      <c r="M28" t="s">
        <v>3</v>
      </c>
      <c r="N28" t="s">
        <v>340</v>
      </c>
      <c r="O28" t="s">
        <v>341</v>
      </c>
      <c r="P28" t="s">
        <v>3</v>
      </c>
      <c r="Q28" t="s">
        <v>3</v>
      </c>
      <c r="R28" t="s">
        <v>3</v>
      </c>
      <c r="S28" t="s">
        <v>342</v>
      </c>
      <c r="T28" t="s">
        <v>343</v>
      </c>
      <c r="U28" t="s">
        <v>344</v>
      </c>
    </row>
    <row r="29" spans="1:21" x14ac:dyDescent="0.25">
      <c r="A29">
        <v>42</v>
      </c>
      <c r="B29">
        <v>1</v>
      </c>
      <c r="C29" t="s">
        <v>3</v>
      </c>
      <c r="D29" t="s">
        <v>120</v>
      </c>
      <c r="E29" t="s">
        <v>121</v>
      </c>
      <c r="F29" t="s">
        <v>121</v>
      </c>
      <c r="G29" t="s">
        <v>121</v>
      </c>
      <c r="H29" t="s">
        <v>3</v>
      </c>
      <c r="I29" t="s">
        <v>121</v>
      </c>
      <c r="J29" t="s">
        <v>121</v>
      </c>
      <c r="K29" t="s">
        <v>3</v>
      </c>
      <c r="L29" t="s">
        <v>3</v>
      </c>
      <c r="M29" t="s">
        <v>3</v>
      </c>
      <c r="N29" t="s">
        <v>120</v>
      </c>
      <c r="O29" t="s">
        <v>121</v>
      </c>
      <c r="P29" t="s">
        <v>3</v>
      </c>
      <c r="Q29" t="s">
        <v>3</v>
      </c>
      <c r="R29" t="s">
        <v>3</v>
      </c>
      <c r="S29" t="s">
        <v>337</v>
      </c>
      <c r="T29" t="s">
        <v>338</v>
      </c>
      <c r="U29" t="s">
        <v>339</v>
      </c>
    </row>
    <row r="30" spans="1:21" x14ac:dyDescent="0.25">
      <c r="A30">
        <v>42</v>
      </c>
      <c r="B30">
        <v>1</v>
      </c>
      <c r="C30" t="s">
        <v>3</v>
      </c>
      <c r="D30" t="s">
        <v>340</v>
      </c>
      <c r="E30" t="s">
        <v>341</v>
      </c>
      <c r="F30" t="s">
        <v>341</v>
      </c>
      <c r="G30" t="s">
        <v>341</v>
      </c>
      <c r="H30" t="s">
        <v>3</v>
      </c>
      <c r="I30" t="s">
        <v>341</v>
      </c>
      <c r="J30" t="s">
        <v>341</v>
      </c>
      <c r="K30" t="s">
        <v>3</v>
      </c>
      <c r="L30" t="s">
        <v>3</v>
      </c>
      <c r="M30" t="s">
        <v>3</v>
      </c>
      <c r="N30" t="s">
        <v>340</v>
      </c>
      <c r="O30" t="s">
        <v>341</v>
      </c>
      <c r="P30" t="s">
        <v>3</v>
      </c>
      <c r="Q30" t="s">
        <v>3</v>
      </c>
      <c r="R30" t="s">
        <v>3</v>
      </c>
      <c r="S30" t="s">
        <v>342</v>
      </c>
      <c r="T30" t="s">
        <v>343</v>
      </c>
      <c r="U30" t="s">
        <v>344</v>
      </c>
    </row>
    <row r="31" spans="1:21" x14ac:dyDescent="0.25">
      <c r="A31">
        <v>43</v>
      </c>
      <c r="B31">
        <v>1</v>
      </c>
      <c r="C31" t="s">
        <v>3</v>
      </c>
      <c r="D31" t="s">
        <v>120</v>
      </c>
      <c r="E31" t="s">
        <v>121</v>
      </c>
      <c r="F31" t="s">
        <v>121</v>
      </c>
      <c r="G31" t="s">
        <v>121</v>
      </c>
      <c r="H31" t="s">
        <v>3</v>
      </c>
      <c r="I31" t="s">
        <v>121</v>
      </c>
      <c r="J31" t="s">
        <v>121</v>
      </c>
      <c r="K31" t="s">
        <v>3</v>
      </c>
      <c r="L31" t="s">
        <v>3</v>
      </c>
      <c r="M31" t="s">
        <v>3</v>
      </c>
      <c r="N31" t="s">
        <v>120</v>
      </c>
      <c r="O31" t="s">
        <v>121</v>
      </c>
      <c r="P31" t="s">
        <v>3</v>
      </c>
      <c r="Q31" t="s">
        <v>3</v>
      </c>
      <c r="R31" t="s">
        <v>3</v>
      </c>
      <c r="S31" t="s">
        <v>337</v>
      </c>
      <c r="T31" t="s">
        <v>338</v>
      </c>
      <c r="U31" t="s">
        <v>339</v>
      </c>
    </row>
    <row r="32" spans="1:21" x14ac:dyDescent="0.25">
      <c r="A32">
        <v>43</v>
      </c>
      <c r="B32">
        <v>1</v>
      </c>
      <c r="C32" t="s">
        <v>3</v>
      </c>
      <c r="D32" t="s">
        <v>340</v>
      </c>
      <c r="E32" t="s">
        <v>341</v>
      </c>
      <c r="F32" t="s">
        <v>341</v>
      </c>
      <c r="G32" t="s">
        <v>341</v>
      </c>
      <c r="H32" t="s">
        <v>3</v>
      </c>
      <c r="I32" t="s">
        <v>341</v>
      </c>
      <c r="J32" t="s">
        <v>341</v>
      </c>
      <c r="K32" t="s">
        <v>3</v>
      </c>
      <c r="L32" t="s">
        <v>3</v>
      </c>
      <c r="M32" t="s">
        <v>3</v>
      </c>
      <c r="N32" t="s">
        <v>340</v>
      </c>
      <c r="O32" t="s">
        <v>341</v>
      </c>
      <c r="P32" t="s">
        <v>3</v>
      </c>
      <c r="Q32" t="s">
        <v>3</v>
      </c>
      <c r="R32" t="s">
        <v>3</v>
      </c>
      <c r="S32" t="s">
        <v>342</v>
      </c>
      <c r="T32" t="s">
        <v>343</v>
      </c>
      <c r="U32" t="s">
        <v>344</v>
      </c>
    </row>
    <row r="33" spans="1:21" x14ac:dyDescent="0.25">
      <c r="A33">
        <v>79</v>
      </c>
      <c r="B33">
        <v>1</v>
      </c>
      <c r="C33" t="s">
        <v>3</v>
      </c>
      <c r="D33" t="s">
        <v>120</v>
      </c>
      <c r="E33" t="s">
        <v>121</v>
      </c>
      <c r="F33" t="s">
        <v>121</v>
      </c>
      <c r="G33" t="s">
        <v>121</v>
      </c>
      <c r="H33" t="s">
        <v>3</v>
      </c>
      <c r="I33" t="s">
        <v>121</v>
      </c>
      <c r="J33" t="s">
        <v>121</v>
      </c>
      <c r="K33" t="s">
        <v>3</v>
      </c>
      <c r="L33" t="s">
        <v>3</v>
      </c>
      <c r="M33" t="s">
        <v>3</v>
      </c>
      <c r="N33" t="s">
        <v>120</v>
      </c>
      <c r="O33" t="s">
        <v>121</v>
      </c>
      <c r="P33" t="s">
        <v>3</v>
      </c>
      <c r="Q33" t="s">
        <v>3</v>
      </c>
      <c r="R33" t="s">
        <v>3</v>
      </c>
      <c r="S33" t="s">
        <v>337</v>
      </c>
      <c r="T33" t="s">
        <v>338</v>
      </c>
      <c r="U33" t="s">
        <v>339</v>
      </c>
    </row>
    <row r="34" spans="1:21" x14ac:dyDescent="0.25">
      <c r="A34">
        <v>80</v>
      </c>
      <c r="B34">
        <v>1</v>
      </c>
      <c r="C34" t="s">
        <v>3</v>
      </c>
      <c r="D34" t="s">
        <v>120</v>
      </c>
      <c r="E34" t="s">
        <v>121</v>
      </c>
      <c r="F34" t="s">
        <v>121</v>
      </c>
      <c r="G34" t="s">
        <v>121</v>
      </c>
      <c r="H34" t="s">
        <v>3</v>
      </c>
      <c r="I34" t="s">
        <v>121</v>
      </c>
      <c r="J34" t="s">
        <v>121</v>
      </c>
      <c r="K34" t="s">
        <v>3</v>
      </c>
      <c r="L34" t="s">
        <v>3</v>
      </c>
      <c r="M34" t="s">
        <v>3</v>
      </c>
      <c r="N34" t="s">
        <v>120</v>
      </c>
      <c r="O34" t="s">
        <v>121</v>
      </c>
      <c r="P34" t="s">
        <v>3</v>
      </c>
      <c r="Q34" t="s">
        <v>3</v>
      </c>
      <c r="R34" t="s">
        <v>3</v>
      </c>
      <c r="S34" t="s">
        <v>337</v>
      </c>
      <c r="T34" t="s">
        <v>338</v>
      </c>
      <c r="U34" t="s">
        <v>339</v>
      </c>
    </row>
    <row r="35" spans="1:21" x14ac:dyDescent="0.25">
      <c r="A35">
        <v>83</v>
      </c>
      <c r="B35">
        <v>1</v>
      </c>
      <c r="C35" t="s">
        <v>3</v>
      </c>
      <c r="D35" t="s">
        <v>120</v>
      </c>
      <c r="E35" t="s">
        <v>121</v>
      </c>
      <c r="F35" t="s">
        <v>121</v>
      </c>
      <c r="G35" t="s">
        <v>121</v>
      </c>
      <c r="H35" t="s">
        <v>3</v>
      </c>
      <c r="I35" t="s">
        <v>121</v>
      </c>
      <c r="J35" t="s">
        <v>121</v>
      </c>
      <c r="K35" t="s">
        <v>3</v>
      </c>
      <c r="L35" t="s">
        <v>3</v>
      </c>
      <c r="M35" t="s">
        <v>3</v>
      </c>
      <c r="N35" t="s">
        <v>120</v>
      </c>
      <c r="O35" t="s">
        <v>121</v>
      </c>
      <c r="P35" t="s">
        <v>3</v>
      </c>
      <c r="Q35" t="s">
        <v>3</v>
      </c>
      <c r="R35" t="s">
        <v>3</v>
      </c>
      <c r="S35" t="s">
        <v>337</v>
      </c>
      <c r="T35" t="s">
        <v>338</v>
      </c>
      <c r="U35" t="s">
        <v>339</v>
      </c>
    </row>
    <row r="36" spans="1:21" x14ac:dyDescent="0.25">
      <c r="A36">
        <v>84</v>
      </c>
      <c r="B36">
        <v>1</v>
      </c>
      <c r="C36" t="s">
        <v>3</v>
      </c>
      <c r="D36" t="s">
        <v>120</v>
      </c>
      <c r="E36" t="s">
        <v>121</v>
      </c>
      <c r="F36" t="s">
        <v>121</v>
      </c>
      <c r="G36" t="s">
        <v>121</v>
      </c>
      <c r="H36" t="s">
        <v>3</v>
      </c>
      <c r="I36" t="s">
        <v>121</v>
      </c>
      <c r="J36" t="s">
        <v>121</v>
      </c>
      <c r="K36" t="s">
        <v>3</v>
      </c>
      <c r="L36" t="s">
        <v>3</v>
      </c>
      <c r="M36" t="s">
        <v>3</v>
      </c>
      <c r="N36" t="s">
        <v>120</v>
      </c>
      <c r="O36" t="s">
        <v>121</v>
      </c>
      <c r="P36" t="s">
        <v>3</v>
      </c>
      <c r="Q36" t="s">
        <v>3</v>
      </c>
      <c r="R36" t="s">
        <v>3</v>
      </c>
      <c r="S36" t="s">
        <v>337</v>
      </c>
      <c r="T36" t="s">
        <v>338</v>
      </c>
      <c r="U36" t="s">
        <v>339</v>
      </c>
    </row>
    <row r="37" spans="1:21" x14ac:dyDescent="0.25">
      <c r="A37">
        <v>85</v>
      </c>
      <c r="B37">
        <v>1</v>
      </c>
      <c r="C37" t="s">
        <v>3</v>
      </c>
      <c r="D37" t="s">
        <v>120</v>
      </c>
      <c r="E37" t="s">
        <v>121</v>
      </c>
      <c r="F37" t="s">
        <v>121</v>
      </c>
      <c r="G37" t="s">
        <v>121</v>
      </c>
      <c r="H37" t="s">
        <v>3</v>
      </c>
      <c r="I37" t="s">
        <v>121</v>
      </c>
      <c r="J37" t="s">
        <v>121</v>
      </c>
      <c r="K37" t="s">
        <v>3</v>
      </c>
      <c r="L37" t="s">
        <v>3</v>
      </c>
      <c r="M37" t="s">
        <v>3</v>
      </c>
      <c r="N37" t="s">
        <v>120</v>
      </c>
      <c r="O37" t="s">
        <v>121</v>
      </c>
      <c r="P37" t="s">
        <v>3</v>
      </c>
      <c r="Q37" t="s">
        <v>3</v>
      </c>
      <c r="R37" t="s">
        <v>3</v>
      </c>
      <c r="S37" t="s">
        <v>337</v>
      </c>
      <c r="T37" t="s">
        <v>338</v>
      </c>
      <c r="U37" t="s">
        <v>339</v>
      </c>
    </row>
    <row r="38" spans="1:21" x14ac:dyDescent="0.25">
      <c r="A38">
        <v>86</v>
      </c>
      <c r="B38">
        <v>1</v>
      </c>
      <c r="C38" t="s">
        <v>3</v>
      </c>
      <c r="D38" t="s">
        <v>120</v>
      </c>
      <c r="E38" t="s">
        <v>121</v>
      </c>
      <c r="F38" t="s">
        <v>121</v>
      </c>
      <c r="G38" t="s">
        <v>121</v>
      </c>
      <c r="H38" t="s">
        <v>3</v>
      </c>
      <c r="I38" t="s">
        <v>121</v>
      </c>
      <c r="J38" t="s">
        <v>121</v>
      </c>
      <c r="K38" t="s">
        <v>3</v>
      </c>
      <c r="L38" t="s">
        <v>3</v>
      </c>
      <c r="M38" t="s">
        <v>3</v>
      </c>
      <c r="N38" t="s">
        <v>120</v>
      </c>
      <c r="O38" t="s">
        <v>121</v>
      </c>
      <c r="P38" t="s">
        <v>3</v>
      </c>
      <c r="Q38" t="s">
        <v>3</v>
      </c>
      <c r="R38" t="s">
        <v>3</v>
      </c>
      <c r="S38" t="s">
        <v>337</v>
      </c>
      <c r="T38" t="s">
        <v>338</v>
      </c>
      <c r="U38" t="s">
        <v>339</v>
      </c>
    </row>
    <row r="39" spans="1:21" x14ac:dyDescent="0.25">
      <c r="A39">
        <v>91</v>
      </c>
      <c r="B39">
        <v>1</v>
      </c>
      <c r="C39" t="s">
        <v>3</v>
      </c>
      <c r="D39" t="s">
        <v>120</v>
      </c>
      <c r="E39" t="s">
        <v>121</v>
      </c>
      <c r="F39" t="s">
        <v>121</v>
      </c>
      <c r="G39" t="s">
        <v>121</v>
      </c>
      <c r="H39" t="s">
        <v>3</v>
      </c>
      <c r="I39" t="s">
        <v>121</v>
      </c>
      <c r="J39" t="s">
        <v>121</v>
      </c>
      <c r="K39" t="s">
        <v>3</v>
      </c>
      <c r="L39" t="s">
        <v>3</v>
      </c>
      <c r="M39" t="s">
        <v>3</v>
      </c>
      <c r="N39" t="s">
        <v>120</v>
      </c>
      <c r="O39" t="s">
        <v>121</v>
      </c>
      <c r="P39" t="s">
        <v>3</v>
      </c>
      <c r="Q39" t="s">
        <v>3</v>
      </c>
      <c r="R39" t="s">
        <v>3</v>
      </c>
      <c r="S39" t="s">
        <v>337</v>
      </c>
      <c r="T39" t="s">
        <v>338</v>
      </c>
      <c r="U39" t="s">
        <v>339</v>
      </c>
    </row>
    <row r="40" spans="1:21" x14ac:dyDescent="0.25">
      <c r="A40">
        <v>92</v>
      </c>
      <c r="B40">
        <v>1</v>
      </c>
      <c r="C40" t="s">
        <v>3</v>
      </c>
      <c r="D40" t="s">
        <v>120</v>
      </c>
      <c r="E40" t="s">
        <v>121</v>
      </c>
      <c r="F40" t="s">
        <v>121</v>
      </c>
      <c r="G40" t="s">
        <v>121</v>
      </c>
      <c r="H40" t="s">
        <v>3</v>
      </c>
      <c r="I40" t="s">
        <v>121</v>
      </c>
      <c r="J40" t="s">
        <v>121</v>
      </c>
      <c r="K40" t="s">
        <v>3</v>
      </c>
      <c r="L40" t="s">
        <v>3</v>
      </c>
      <c r="M40" t="s">
        <v>3</v>
      </c>
      <c r="N40" t="s">
        <v>120</v>
      </c>
      <c r="O40" t="s">
        <v>121</v>
      </c>
      <c r="P40" t="s">
        <v>3</v>
      </c>
      <c r="Q40" t="s">
        <v>3</v>
      </c>
      <c r="R40" t="s">
        <v>3</v>
      </c>
      <c r="S40" t="s">
        <v>337</v>
      </c>
      <c r="T40" t="s">
        <v>338</v>
      </c>
      <c r="U40" t="s">
        <v>339</v>
      </c>
    </row>
    <row r="41" spans="1:21" x14ac:dyDescent="0.25">
      <c r="A41">
        <v>95</v>
      </c>
      <c r="B41">
        <v>1</v>
      </c>
      <c r="C41" t="s">
        <v>3</v>
      </c>
      <c r="D41" t="s">
        <v>120</v>
      </c>
      <c r="E41" t="s">
        <v>121</v>
      </c>
      <c r="F41" t="s">
        <v>121</v>
      </c>
      <c r="G41" t="s">
        <v>121</v>
      </c>
      <c r="H41" t="s">
        <v>3</v>
      </c>
      <c r="I41" t="s">
        <v>121</v>
      </c>
      <c r="J41" t="s">
        <v>121</v>
      </c>
      <c r="K41" t="s">
        <v>3</v>
      </c>
      <c r="L41" t="s">
        <v>3</v>
      </c>
      <c r="M41" t="s">
        <v>3</v>
      </c>
      <c r="N41" t="s">
        <v>120</v>
      </c>
      <c r="O41" t="s">
        <v>121</v>
      </c>
      <c r="P41" t="s">
        <v>3</v>
      </c>
      <c r="Q41" t="s">
        <v>3</v>
      </c>
      <c r="R41" t="s">
        <v>3</v>
      </c>
      <c r="S41" t="s">
        <v>337</v>
      </c>
      <c r="T41" t="s">
        <v>338</v>
      </c>
      <c r="U41" t="s">
        <v>339</v>
      </c>
    </row>
    <row r="42" spans="1:21" x14ac:dyDescent="0.25">
      <c r="A42">
        <v>96</v>
      </c>
      <c r="B42">
        <v>1</v>
      </c>
      <c r="C42" t="s">
        <v>3</v>
      </c>
      <c r="D42" t="s">
        <v>120</v>
      </c>
      <c r="E42" t="s">
        <v>121</v>
      </c>
      <c r="F42" t="s">
        <v>121</v>
      </c>
      <c r="G42" t="s">
        <v>121</v>
      </c>
      <c r="H42" t="s">
        <v>3</v>
      </c>
      <c r="I42" t="s">
        <v>121</v>
      </c>
      <c r="J42" t="s">
        <v>121</v>
      </c>
      <c r="K42" t="s">
        <v>3</v>
      </c>
      <c r="L42" t="s">
        <v>3</v>
      </c>
      <c r="M42" t="s">
        <v>3</v>
      </c>
      <c r="N42" t="s">
        <v>120</v>
      </c>
      <c r="O42" t="s">
        <v>121</v>
      </c>
      <c r="P42" t="s">
        <v>3</v>
      </c>
      <c r="Q42" t="s">
        <v>3</v>
      </c>
      <c r="R42" t="s">
        <v>3</v>
      </c>
      <c r="S42" t="s">
        <v>337</v>
      </c>
      <c r="T42" t="s">
        <v>338</v>
      </c>
      <c r="U42" t="s">
        <v>339</v>
      </c>
    </row>
    <row r="43" spans="1:21" x14ac:dyDescent="0.25">
      <c r="A43">
        <v>99</v>
      </c>
      <c r="B43">
        <v>1</v>
      </c>
      <c r="C43" t="s">
        <v>3</v>
      </c>
      <c r="D43" t="s">
        <v>120</v>
      </c>
      <c r="E43" t="s">
        <v>121</v>
      </c>
      <c r="F43" t="s">
        <v>121</v>
      </c>
      <c r="G43" t="s">
        <v>121</v>
      </c>
      <c r="H43" t="s">
        <v>3</v>
      </c>
      <c r="I43" t="s">
        <v>121</v>
      </c>
      <c r="J43" t="s">
        <v>121</v>
      </c>
      <c r="K43" t="s">
        <v>3</v>
      </c>
      <c r="L43" t="s">
        <v>3</v>
      </c>
      <c r="M43" t="s">
        <v>3</v>
      </c>
      <c r="N43" t="s">
        <v>120</v>
      </c>
      <c r="O43" t="s">
        <v>121</v>
      </c>
      <c r="P43" t="s">
        <v>3</v>
      </c>
      <c r="Q43" t="s">
        <v>3</v>
      </c>
      <c r="R43" t="s">
        <v>3</v>
      </c>
      <c r="S43" t="s">
        <v>337</v>
      </c>
      <c r="T43" t="s">
        <v>338</v>
      </c>
      <c r="U43" t="s">
        <v>339</v>
      </c>
    </row>
    <row r="44" spans="1:21" x14ac:dyDescent="0.25">
      <c r="A44">
        <v>100</v>
      </c>
      <c r="B44">
        <v>1</v>
      </c>
      <c r="C44" t="s">
        <v>3</v>
      </c>
      <c r="D44" t="s">
        <v>120</v>
      </c>
      <c r="E44" t="s">
        <v>121</v>
      </c>
      <c r="F44" t="s">
        <v>121</v>
      </c>
      <c r="G44" t="s">
        <v>121</v>
      </c>
      <c r="H44" t="s">
        <v>3</v>
      </c>
      <c r="I44" t="s">
        <v>121</v>
      </c>
      <c r="J44" t="s">
        <v>121</v>
      </c>
      <c r="K44" t="s">
        <v>3</v>
      </c>
      <c r="L44" t="s">
        <v>3</v>
      </c>
      <c r="M44" t="s">
        <v>3</v>
      </c>
      <c r="N44" t="s">
        <v>120</v>
      </c>
      <c r="O44" t="s">
        <v>121</v>
      </c>
      <c r="P44" t="s">
        <v>3</v>
      </c>
      <c r="Q44" t="s">
        <v>3</v>
      </c>
      <c r="R44" t="s">
        <v>3</v>
      </c>
      <c r="S44" t="s">
        <v>337</v>
      </c>
      <c r="T44" t="s">
        <v>338</v>
      </c>
      <c r="U44" t="s">
        <v>339</v>
      </c>
    </row>
    <row r="45" spans="1:21" x14ac:dyDescent="0.25">
      <c r="A45">
        <v>101</v>
      </c>
      <c r="B45">
        <v>1</v>
      </c>
      <c r="C45" t="s">
        <v>3</v>
      </c>
      <c r="D45" t="s">
        <v>120</v>
      </c>
      <c r="E45" t="s">
        <v>121</v>
      </c>
      <c r="F45" t="s">
        <v>121</v>
      </c>
      <c r="G45" t="s">
        <v>121</v>
      </c>
      <c r="H45" t="s">
        <v>3</v>
      </c>
      <c r="I45" t="s">
        <v>121</v>
      </c>
      <c r="J45" t="s">
        <v>121</v>
      </c>
      <c r="K45" t="s">
        <v>3</v>
      </c>
      <c r="L45" t="s">
        <v>3</v>
      </c>
      <c r="M45" t="s">
        <v>3</v>
      </c>
      <c r="N45" t="s">
        <v>120</v>
      </c>
      <c r="O45" t="s">
        <v>121</v>
      </c>
      <c r="P45" t="s">
        <v>3</v>
      </c>
      <c r="Q45" t="s">
        <v>3</v>
      </c>
      <c r="R45" t="s">
        <v>3</v>
      </c>
      <c r="S45" t="s">
        <v>337</v>
      </c>
      <c r="T45" t="s">
        <v>338</v>
      </c>
      <c r="U45" t="s">
        <v>339</v>
      </c>
    </row>
    <row r="46" spans="1:21" x14ac:dyDescent="0.25">
      <c r="A46">
        <v>102</v>
      </c>
      <c r="B46">
        <v>1</v>
      </c>
      <c r="C46" t="s">
        <v>3</v>
      </c>
      <c r="D46" t="s">
        <v>120</v>
      </c>
      <c r="E46" t="s">
        <v>121</v>
      </c>
      <c r="F46" t="s">
        <v>121</v>
      </c>
      <c r="G46" t="s">
        <v>121</v>
      </c>
      <c r="H46" t="s">
        <v>3</v>
      </c>
      <c r="I46" t="s">
        <v>121</v>
      </c>
      <c r="J46" t="s">
        <v>121</v>
      </c>
      <c r="K46" t="s">
        <v>3</v>
      </c>
      <c r="L46" t="s">
        <v>3</v>
      </c>
      <c r="M46" t="s">
        <v>3</v>
      </c>
      <c r="N46" t="s">
        <v>120</v>
      </c>
      <c r="O46" t="s">
        <v>121</v>
      </c>
      <c r="P46" t="s">
        <v>3</v>
      </c>
      <c r="Q46" t="s">
        <v>3</v>
      </c>
      <c r="R46" t="s">
        <v>3</v>
      </c>
      <c r="S46" t="s">
        <v>337</v>
      </c>
      <c r="T46" t="s">
        <v>338</v>
      </c>
      <c r="U46" t="s">
        <v>339</v>
      </c>
    </row>
    <row r="47" spans="1:21" x14ac:dyDescent="0.25">
      <c r="A47">
        <v>105</v>
      </c>
      <c r="B47">
        <v>1</v>
      </c>
      <c r="C47" t="s">
        <v>3</v>
      </c>
      <c r="D47" t="s">
        <v>120</v>
      </c>
      <c r="E47" t="s">
        <v>121</v>
      </c>
      <c r="F47" t="s">
        <v>121</v>
      </c>
      <c r="G47" t="s">
        <v>121</v>
      </c>
      <c r="H47" t="s">
        <v>3</v>
      </c>
      <c r="I47" t="s">
        <v>121</v>
      </c>
      <c r="J47" t="s">
        <v>121</v>
      </c>
      <c r="K47" t="s">
        <v>3</v>
      </c>
      <c r="L47" t="s">
        <v>3</v>
      </c>
      <c r="M47" t="s">
        <v>3</v>
      </c>
      <c r="N47" t="s">
        <v>120</v>
      </c>
      <c r="O47" t="s">
        <v>121</v>
      </c>
      <c r="P47" t="s">
        <v>3</v>
      </c>
      <c r="Q47" t="s">
        <v>3</v>
      </c>
      <c r="R47" t="s">
        <v>3</v>
      </c>
      <c r="S47" t="s">
        <v>337</v>
      </c>
      <c r="T47" t="s">
        <v>338</v>
      </c>
      <c r="U47" t="s">
        <v>339</v>
      </c>
    </row>
    <row r="48" spans="1:21" x14ac:dyDescent="0.25">
      <c r="A48">
        <v>106</v>
      </c>
      <c r="B48">
        <v>1</v>
      </c>
      <c r="C48" t="s">
        <v>3</v>
      </c>
      <c r="D48" t="s">
        <v>120</v>
      </c>
      <c r="E48" t="s">
        <v>121</v>
      </c>
      <c r="F48" t="s">
        <v>121</v>
      </c>
      <c r="G48" t="s">
        <v>121</v>
      </c>
      <c r="H48" t="s">
        <v>3</v>
      </c>
      <c r="I48" t="s">
        <v>121</v>
      </c>
      <c r="J48" t="s">
        <v>121</v>
      </c>
      <c r="K48" t="s">
        <v>3</v>
      </c>
      <c r="L48" t="s">
        <v>3</v>
      </c>
      <c r="M48" t="s">
        <v>3</v>
      </c>
      <c r="N48" t="s">
        <v>120</v>
      </c>
      <c r="O48" t="s">
        <v>121</v>
      </c>
      <c r="P48" t="s">
        <v>3</v>
      </c>
      <c r="Q48" t="s">
        <v>3</v>
      </c>
      <c r="R48" t="s">
        <v>3</v>
      </c>
      <c r="S48" t="s">
        <v>337</v>
      </c>
      <c r="T48" t="s">
        <v>338</v>
      </c>
      <c r="U48" t="s">
        <v>339</v>
      </c>
    </row>
    <row r="49" spans="1:21" x14ac:dyDescent="0.25">
      <c r="A49">
        <v>144</v>
      </c>
      <c r="B49">
        <v>1</v>
      </c>
      <c r="C49" t="s">
        <v>3</v>
      </c>
      <c r="D49" t="s">
        <v>120</v>
      </c>
      <c r="E49" t="s">
        <v>121</v>
      </c>
      <c r="F49" t="s">
        <v>121</v>
      </c>
      <c r="G49" t="s">
        <v>121</v>
      </c>
      <c r="H49" t="s">
        <v>3</v>
      </c>
      <c r="I49" t="s">
        <v>121</v>
      </c>
      <c r="J49" t="s">
        <v>121</v>
      </c>
      <c r="K49" t="s">
        <v>3</v>
      </c>
      <c r="L49" t="s">
        <v>3</v>
      </c>
      <c r="M49" t="s">
        <v>3</v>
      </c>
      <c r="N49" t="s">
        <v>120</v>
      </c>
      <c r="O49" t="s">
        <v>121</v>
      </c>
      <c r="P49" t="s">
        <v>3</v>
      </c>
      <c r="Q49" t="s">
        <v>3</v>
      </c>
      <c r="R49" t="s">
        <v>3</v>
      </c>
      <c r="S49" t="s">
        <v>337</v>
      </c>
      <c r="T49" t="s">
        <v>338</v>
      </c>
      <c r="U49" t="s">
        <v>339</v>
      </c>
    </row>
    <row r="50" spans="1:21" x14ac:dyDescent="0.25">
      <c r="A50">
        <v>145</v>
      </c>
      <c r="B50">
        <v>1</v>
      </c>
      <c r="C50" t="s">
        <v>3</v>
      </c>
      <c r="D50" t="s">
        <v>120</v>
      </c>
      <c r="E50" t="s">
        <v>121</v>
      </c>
      <c r="F50" t="s">
        <v>121</v>
      </c>
      <c r="G50" t="s">
        <v>121</v>
      </c>
      <c r="H50" t="s">
        <v>3</v>
      </c>
      <c r="I50" t="s">
        <v>121</v>
      </c>
      <c r="J50" t="s">
        <v>121</v>
      </c>
      <c r="K50" t="s">
        <v>3</v>
      </c>
      <c r="L50" t="s">
        <v>3</v>
      </c>
      <c r="M50" t="s">
        <v>3</v>
      </c>
      <c r="N50" t="s">
        <v>120</v>
      </c>
      <c r="O50" t="s">
        <v>121</v>
      </c>
      <c r="P50" t="s">
        <v>3</v>
      </c>
      <c r="Q50" t="s">
        <v>3</v>
      </c>
      <c r="R50" t="s">
        <v>3</v>
      </c>
      <c r="S50" t="s">
        <v>337</v>
      </c>
      <c r="T50" t="s">
        <v>338</v>
      </c>
      <c r="U50" t="s">
        <v>339</v>
      </c>
    </row>
    <row r="51" spans="1:21" x14ac:dyDescent="0.25">
      <c r="A51">
        <v>148</v>
      </c>
      <c r="B51">
        <v>1</v>
      </c>
      <c r="C51" t="s">
        <v>3</v>
      </c>
      <c r="D51" t="s">
        <v>120</v>
      </c>
      <c r="E51" t="s">
        <v>121</v>
      </c>
      <c r="F51" t="s">
        <v>121</v>
      </c>
      <c r="G51" t="s">
        <v>121</v>
      </c>
      <c r="H51" t="s">
        <v>3</v>
      </c>
      <c r="I51" t="s">
        <v>121</v>
      </c>
      <c r="J51" t="s">
        <v>121</v>
      </c>
      <c r="K51" t="s">
        <v>3</v>
      </c>
      <c r="L51" t="s">
        <v>3</v>
      </c>
      <c r="M51" t="s">
        <v>3</v>
      </c>
      <c r="N51" t="s">
        <v>120</v>
      </c>
      <c r="O51" t="s">
        <v>121</v>
      </c>
      <c r="P51" t="s">
        <v>3</v>
      </c>
      <c r="Q51" t="s">
        <v>3</v>
      </c>
      <c r="R51" t="s">
        <v>3</v>
      </c>
      <c r="S51" t="s">
        <v>337</v>
      </c>
      <c r="T51" t="s">
        <v>338</v>
      </c>
      <c r="U51" t="s">
        <v>339</v>
      </c>
    </row>
    <row r="52" spans="1:21" x14ac:dyDescent="0.25">
      <c r="A52">
        <v>149</v>
      </c>
      <c r="B52">
        <v>1</v>
      </c>
      <c r="C52" t="s">
        <v>3</v>
      </c>
      <c r="D52" t="s">
        <v>120</v>
      </c>
      <c r="E52" t="s">
        <v>121</v>
      </c>
      <c r="F52" t="s">
        <v>121</v>
      </c>
      <c r="G52" t="s">
        <v>121</v>
      </c>
      <c r="H52" t="s">
        <v>3</v>
      </c>
      <c r="I52" t="s">
        <v>121</v>
      </c>
      <c r="J52" t="s">
        <v>121</v>
      </c>
      <c r="K52" t="s">
        <v>3</v>
      </c>
      <c r="L52" t="s">
        <v>3</v>
      </c>
      <c r="M52" t="s">
        <v>3</v>
      </c>
      <c r="N52" t="s">
        <v>120</v>
      </c>
      <c r="O52" t="s">
        <v>121</v>
      </c>
      <c r="P52" t="s">
        <v>3</v>
      </c>
      <c r="Q52" t="s">
        <v>3</v>
      </c>
      <c r="R52" t="s">
        <v>3</v>
      </c>
      <c r="S52" t="s">
        <v>337</v>
      </c>
      <c r="T52" t="s">
        <v>338</v>
      </c>
      <c r="U52" t="s">
        <v>339</v>
      </c>
    </row>
    <row r="53" spans="1:21" x14ac:dyDescent="0.25">
      <c r="A53">
        <v>152</v>
      </c>
      <c r="B53">
        <v>1</v>
      </c>
      <c r="C53" t="s">
        <v>3</v>
      </c>
      <c r="D53" t="s">
        <v>120</v>
      </c>
      <c r="E53" t="s">
        <v>121</v>
      </c>
      <c r="F53" t="s">
        <v>121</v>
      </c>
      <c r="G53" t="s">
        <v>121</v>
      </c>
      <c r="H53" t="s">
        <v>3</v>
      </c>
      <c r="I53" t="s">
        <v>121</v>
      </c>
      <c r="J53" t="s">
        <v>121</v>
      </c>
      <c r="K53" t="s">
        <v>3</v>
      </c>
      <c r="L53" t="s">
        <v>3</v>
      </c>
      <c r="M53" t="s">
        <v>3</v>
      </c>
      <c r="N53" t="s">
        <v>120</v>
      </c>
      <c r="O53" t="s">
        <v>121</v>
      </c>
      <c r="P53" t="s">
        <v>3</v>
      </c>
      <c r="Q53" t="s">
        <v>3</v>
      </c>
      <c r="R53" t="s">
        <v>3</v>
      </c>
      <c r="S53" t="s">
        <v>337</v>
      </c>
      <c r="T53" t="s">
        <v>338</v>
      </c>
      <c r="U53" t="s">
        <v>339</v>
      </c>
    </row>
    <row r="54" spans="1:21" x14ac:dyDescent="0.25">
      <c r="A54">
        <v>153</v>
      </c>
      <c r="B54">
        <v>1</v>
      </c>
      <c r="C54" t="s">
        <v>3</v>
      </c>
      <c r="D54" t="s">
        <v>120</v>
      </c>
      <c r="E54" t="s">
        <v>121</v>
      </c>
      <c r="F54" t="s">
        <v>121</v>
      </c>
      <c r="G54" t="s">
        <v>121</v>
      </c>
      <c r="H54" t="s">
        <v>3</v>
      </c>
      <c r="I54" t="s">
        <v>121</v>
      </c>
      <c r="J54" t="s">
        <v>121</v>
      </c>
      <c r="K54" t="s">
        <v>3</v>
      </c>
      <c r="L54" t="s">
        <v>3</v>
      </c>
      <c r="M54" t="s">
        <v>3</v>
      </c>
      <c r="N54" t="s">
        <v>120</v>
      </c>
      <c r="O54" t="s">
        <v>121</v>
      </c>
      <c r="P54" t="s">
        <v>3</v>
      </c>
      <c r="Q54" t="s">
        <v>3</v>
      </c>
      <c r="R54" t="s">
        <v>3</v>
      </c>
      <c r="S54" t="s">
        <v>337</v>
      </c>
      <c r="T54" t="s">
        <v>338</v>
      </c>
      <c r="U54" t="s">
        <v>339</v>
      </c>
    </row>
    <row r="55" spans="1:21" x14ac:dyDescent="0.25">
      <c r="A55">
        <v>191</v>
      </c>
      <c r="B55">
        <v>1</v>
      </c>
      <c r="C55" t="s">
        <v>3</v>
      </c>
      <c r="D55" t="s">
        <v>120</v>
      </c>
      <c r="E55" t="s">
        <v>121</v>
      </c>
      <c r="F55" t="s">
        <v>121</v>
      </c>
      <c r="G55" t="s">
        <v>121</v>
      </c>
      <c r="H55" t="s">
        <v>3</v>
      </c>
      <c r="I55" t="s">
        <v>121</v>
      </c>
      <c r="J55" t="s">
        <v>121</v>
      </c>
      <c r="K55" t="s">
        <v>3</v>
      </c>
      <c r="L55" t="s">
        <v>3</v>
      </c>
      <c r="M55" t="s">
        <v>3</v>
      </c>
      <c r="N55" t="s">
        <v>120</v>
      </c>
      <c r="O55" t="s">
        <v>121</v>
      </c>
      <c r="P55" t="s">
        <v>3</v>
      </c>
      <c r="Q55" t="s">
        <v>3</v>
      </c>
      <c r="R55" t="s">
        <v>3</v>
      </c>
      <c r="S55" t="s">
        <v>337</v>
      </c>
      <c r="T55" t="s">
        <v>338</v>
      </c>
      <c r="U55" t="s">
        <v>339</v>
      </c>
    </row>
    <row r="56" spans="1:21" x14ac:dyDescent="0.25">
      <c r="A56">
        <v>192</v>
      </c>
      <c r="B56">
        <v>1</v>
      </c>
      <c r="C56" t="s">
        <v>3</v>
      </c>
      <c r="D56" t="s">
        <v>120</v>
      </c>
      <c r="E56" t="s">
        <v>121</v>
      </c>
      <c r="F56" t="s">
        <v>121</v>
      </c>
      <c r="G56" t="s">
        <v>121</v>
      </c>
      <c r="H56" t="s">
        <v>3</v>
      </c>
      <c r="I56" t="s">
        <v>121</v>
      </c>
      <c r="J56" t="s">
        <v>121</v>
      </c>
      <c r="K56" t="s">
        <v>3</v>
      </c>
      <c r="L56" t="s">
        <v>3</v>
      </c>
      <c r="M56" t="s">
        <v>3</v>
      </c>
      <c r="N56" t="s">
        <v>120</v>
      </c>
      <c r="O56" t="s">
        <v>121</v>
      </c>
      <c r="P56" t="s">
        <v>3</v>
      </c>
      <c r="Q56" t="s">
        <v>3</v>
      </c>
      <c r="R56" t="s">
        <v>3</v>
      </c>
      <c r="S56" t="s">
        <v>337</v>
      </c>
      <c r="T56" t="s">
        <v>338</v>
      </c>
      <c r="U56" t="s">
        <v>339</v>
      </c>
    </row>
    <row r="57" spans="1:21" x14ac:dyDescent="0.25">
      <c r="A57">
        <v>195</v>
      </c>
      <c r="B57">
        <v>1</v>
      </c>
      <c r="C57" t="s">
        <v>3</v>
      </c>
      <c r="D57" t="s">
        <v>120</v>
      </c>
      <c r="E57" t="s">
        <v>121</v>
      </c>
      <c r="F57" t="s">
        <v>121</v>
      </c>
      <c r="G57" t="s">
        <v>121</v>
      </c>
      <c r="H57" t="s">
        <v>3</v>
      </c>
      <c r="I57" t="s">
        <v>121</v>
      </c>
      <c r="J57" t="s">
        <v>121</v>
      </c>
      <c r="K57" t="s">
        <v>3</v>
      </c>
      <c r="L57" t="s">
        <v>3</v>
      </c>
      <c r="M57" t="s">
        <v>3</v>
      </c>
      <c r="N57" t="s">
        <v>120</v>
      </c>
      <c r="O57" t="s">
        <v>121</v>
      </c>
      <c r="P57" t="s">
        <v>3</v>
      </c>
      <c r="Q57" t="s">
        <v>3</v>
      </c>
      <c r="R57" t="s">
        <v>3</v>
      </c>
      <c r="S57" t="s">
        <v>337</v>
      </c>
      <c r="T57" t="s">
        <v>338</v>
      </c>
      <c r="U57" t="s">
        <v>339</v>
      </c>
    </row>
    <row r="58" spans="1:21" x14ac:dyDescent="0.25">
      <c r="A58">
        <v>196</v>
      </c>
      <c r="B58">
        <v>1</v>
      </c>
      <c r="C58" t="s">
        <v>3</v>
      </c>
      <c r="D58" t="s">
        <v>120</v>
      </c>
      <c r="E58" t="s">
        <v>121</v>
      </c>
      <c r="F58" t="s">
        <v>121</v>
      </c>
      <c r="G58" t="s">
        <v>121</v>
      </c>
      <c r="H58" t="s">
        <v>3</v>
      </c>
      <c r="I58" t="s">
        <v>121</v>
      </c>
      <c r="J58" t="s">
        <v>121</v>
      </c>
      <c r="K58" t="s">
        <v>3</v>
      </c>
      <c r="L58" t="s">
        <v>3</v>
      </c>
      <c r="M58" t="s">
        <v>3</v>
      </c>
      <c r="N58" t="s">
        <v>120</v>
      </c>
      <c r="O58" t="s">
        <v>121</v>
      </c>
      <c r="P58" t="s">
        <v>3</v>
      </c>
      <c r="Q58" t="s">
        <v>3</v>
      </c>
      <c r="R58" t="s">
        <v>3</v>
      </c>
      <c r="S58" t="s">
        <v>337</v>
      </c>
      <c r="T58" t="s">
        <v>338</v>
      </c>
      <c r="U58" t="s">
        <v>339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47"/>
  <sheetViews>
    <sheetView workbookViewId="0"/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0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12" spans="1:103" x14ac:dyDescent="0.25">
      <c r="F12" s="3" t="str">
        <f>Source!F12</f>
        <v>02-01-14</v>
      </c>
      <c r="G12" s="3" t="str">
        <f>Source!G12</f>
        <v>02-01-14 СОТ 20.07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>
        <v>0</v>
      </c>
      <c r="AK12" s="3" t="s">
        <v>3</v>
      </c>
      <c r="AL12" s="3" t="s">
        <v>3</v>
      </c>
      <c r="AM12" s="3" t="s">
        <v>3</v>
      </c>
      <c r="CY12" s="3">
        <v>0</v>
      </c>
    </row>
    <row r="14" spans="1:103" x14ac:dyDescent="0.25">
      <c r="D14" s="3" t="s">
        <v>5</v>
      </c>
      <c r="E14" s="3" t="s">
        <v>20</v>
      </c>
      <c r="AD14" s="3">
        <v>3</v>
      </c>
    </row>
    <row r="15" spans="1:103" x14ac:dyDescent="0.25">
      <c r="B15" s="3" t="s">
        <v>345</v>
      </c>
      <c r="C15" s="3">
        <v>0</v>
      </c>
      <c r="D15" s="3" t="s">
        <v>124</v>
      </c>
      <c r="E15" s="3" t="s">
        <v>3</v>
      </c>
      <c r="F15" s="3" t="s">
        <v>346</v>
      </c>
      <c r="G15" s="3" t="s">
        <v>3</v>
      </c>
      <c r="H15" s="3">
        <v>579036</v>
      </c>
      <c r="I15" s="3">
        <v>579036</v>
      </c>
      <c r="J15" s="3">
        <v>0</v>
      </c>
      <c r="K15" s="3">
        <v>579036</v>
      </c>
      <c r="L15" s="3">
        <v>0</v>
      </c>
      <c r="M15" s="3">
        <v>0</v>
      </c>
      <c r="N15" s="3">
        <v>0</v>
      </c>
      <c r="O15" s="3" t="s">
        <v>347</v>
      </c>
      <c r="P15" s="3" t="s">
        <v>3</v>
      </c>
      <c r="Q15" s="3" t="s">
        <v>348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  <c r="X15" s="3">
        <v>0</v>
      </c>
      <c r="Y15" s="3" t="s">
        <v>3</v>
      </c>
      <c r="Z15" s="3" t="s">
        <v>3</v>
      </c>
      <c r="AA15" s="3">
        <v>0</v>
      </c>
      <c r="AB15" s="3" t="s">
        <v>3</v>
      </c>
      <c r="AC15" s="3">
        <v>579036</v>
      </c>
      <c r="AD15" s="3">
        <v>1</v>
      </c>
      <c r="AE15" s="3">
        <v>0</v>
      </c>
      <c r="AF15" s="3">
        <v>3</v>
      </c>
      <c r="AG15" s="3">
        <v>3</v>
      </c>
      <c r="AH15" s="3" t="s">
        <v>126</v>
      </c>
      <c r="AI15" s="3" t="s">
        <v>125</v>
      </c>
      <c r="AJ15" s="3">
        <v>46223.48027777778</v>
      </c>
      <c r="AK15" s="3">
        <v>55934574</v>
      </c>
      <c r="AL15" s="3">
        <v>0</v>
      </c>
      <c r="AM15" s="3">
        <v>0</v>
      </c>
      <c r="AN15" s="3">
        <v>0</v>
      </c>
      <c r="AO15" s="3">
        <v>46073</v>
      </c>
      <c r="AP15" s="3">
        <v>448348</v>
      </c>
      <c r="AQ15" s="3">
        <v>1</v>
      </c>
      <c r="AR15" s="3">
        <v>0</v>
      </c>
      <c r="AS15" s="3" t="s">
        <v>349</v>
      </c>
      <c r="AT15" s="3">
        <v>1</v>
      </c>
      <c r="AU15" s="3">
        <v>1</v>
      </c>
    </row>
    <row r="16" spans="1:103" x14ac:dyDescent="0.25">
      <c r="B16" s="3" t="s">
        <v>350</v>
      </c>
      <c r="C16" s="3">
        <v>0</v>
      </c>
      <c r="D16" s="3" t="s">
        <v>124</v>
      </c>
      <c r="E16" s="3" t="s">
        <v>3</v>
      </c>
      <c r="F16" s="3" t="s">
        <v>346</v>
      </c>
      <c r="G16" s="3" t="s">
        <v>3</v>
      </c>
      <c r="H16" s="3">
        <v>607987</v>
      </c>
      <c r="I16" s="3">
        <v>607987</v>
      </c>
      <c r="J16" s="3">
        <v>0</v>
      </c>
      <c r="K16" s="3">
        <v>607987</v>
      </c>
      <c r="L16" s="3">
        <v>0</v>
      </c>
      <c r="M16" s="3">
        <v>0</v>
      </c>
      <c r="N16" s="3">
        <v>0</v>
      </c>
      <c r="O16" s="3" t="s">
        <v>351</v>
      </c>
      <c r="P16" s="3" t="s">
        <v>3</v>
      </c>
      <c r="Q16" s="3" t="s">
        <v>352</v>
      </c>
      <c r="R16" s="3" t="s">
        <v>3</v>
      </c>
      <c r="S16" s="3" t="s">
        <v>3</v>
      </c>
      <c r="T16" s="3" t="s">
        <v>3</v>
      </c>
      <c r="U16" s="3">
        <v>0</v>
      </c>
      <c r="V16" s="3">
        <v>0</v>
      </c>
      <c r="W16" s="3">
        <v>0</v>
      </c>
      <c r="X16" s="3">
        <v>0</v>
      </c>
      <c r="Y16" s="3" t="s">
        <v>3</v>
      </c>
      <c r="Z16" s="3" t="s">
        <v>3</v>
      </c>
      <c r="AA16" s="3">
        <v>0</v>
      </c>
      <c r="AB16" s="3" t="s">
        <v>3</v>
      </c>
      <c r="AC16" s="3">
        <v>607987</v>
      </c>
      <c r="AD16" s="3">
        <v>1</v>
      </c>
      <c r="AE16" s="3">
        <v>0</v>
      </c>
      <c r="AF16" s="3">
        <v>3</v>
      </c>
      <c r="AG16" s="3">
        <v>3</v>
      </c>
      <c r="AH16" s="3" t="s">
        <v>126</v>
      </c>
      <c r="AI16" s="3" t="s">
        <v>125</v>
      </c>
      <c r="AJ16" s="3">
        <v>46223.48027777778</v>
      </c>
      <c r="AK16" s="3">
        <v>55934574</v>
      </c>
      <c r="AL16" s="3">
        <v>0</v>
      </c>
      <c r="AM16" s="3">
        <v>0</v>
      </c>
      <c r="AN16" s="3">
        <v>0</v>
      </c>
      <c r="AO16" s="3">
        <v>46073</v>
      </c>
      <c r="AP16" s="3">
        <v>448348</v>
      </c>
      <c r="AQ16" s="3">
        <v>1</v>
      </c>
      <c r="AR16" s="3">
        <v>0</v>
      </c>
      <c r="AS16" s="3" t="s">
        <v>3</v>
      </c>
      <c r="AT16" s="3">
        <v>1</v>
      </c>
      <c r="AU16" s="3">
        <v>1</v>
      </c>
    </row>
    <row r="17" spans="2:47" x14ac:dyDescent="0.25">
      <c r="B17" s="3" t="s">
        <v>353</v>
      </c>
      <c r="C17" s="3">
        <v>0</v>
      </c>
      <c r="D17" s="3" t="s">
        <v>124</v>
      </c>
      <c r="E17" s="3" t="s">
        <v>3</v>
      </c>
      <c r="F17" s="3" t="s">
        <v>346</v>
      </c>
      <c r="G17" s="3" t="s">
        <v>3</v>
      </c>
      <c r="H17" s="3">
        <v>526396</v>
      </c>
      <c r="I17" s="3">
        <v>526396</v>
      </c>
      <c r="J17" s="3">
        <v>0</v>
      </c>
      <c r="K17" s="3">
        <v>526396</v>
      </c>
      <c r="L17" s="3">
        <v>0</v>
      </c>
      <c r="M17" s="3">
        <v>0</v>
      </c>
      <c r="N17" s="3">
        <v>0</v>
      </c>
      <c r="O17" s="3" t="s">
        <v>354</v>
      </c>
      <c r="P17" s="3" t="s">
        <v>3</v>
      </c>
      <c r="Q17" s="3" t="s">
        <v>355</v>
      </c>
      <c r="R17" s="3" t="s">
        <v>3</v>
      </c>
      <c r="S17" s="3" t="s">
        <v>3</v>
      </c>
      <c r="T17" s="3" t="s">
        <v>3</v>
      </c>
      <c r="U17" s="3">
        <v>0</v>
      </c>
      <c r="V17" s="3">
        <v>0</v>
      </c>
      <c r="W17" s="3">
        <v>0</v>
      </c>
      <c r="X17" s="3">
        <v>0</v>
      </c>
      <c r="Y17" s="3" t="s">
        <v>3</v>
      </c>
      <c r="Z17" s="3" t="s">
        <v>3</v>
      </c>
      <c r="AA17" s="3">
        <v>0</v>
      </c>
      <c r="AB17" s="3" t="s">
        <v>3</v>
      </c>
      <c r="AC17" s="3">
        <v>526396</v>
      </c>
      <c r="AD17" s="3">
        <v>1</v>
      </c>
      <c r="AE17" s="3">
        <v>0</v>
      </c>
      <c r="AF17" s="3">
        <v>3</v>
      </c>
      <c r="AG17" s="3">
        <v>3</v>
      </c>
      <c r="AH17" s="3" t="s">
        <v>126</v>
      </c>
      <c r="AI17" s="3" t="s">
        <v>125</v>
      </c>
      <c r="AJ17" s="3">
        <v>46223.48027777778</v>
      </c>
      <c r="AK17" s="3">
        <v>55934574</v>
      </c>
      <c r="AL17" s="3">
        <v>0</v>
      </c>
      <c r="AM17" s="3">
        <v>0</v>
      </c>
      <c r="AN17" s="3">
        <v>0</v>
      </c>
      <c r="AO17" s="3">
        <v>46073</v>
      </c>
      <c r="AP17" s="3">
        <v>448348</v>
      </c>
      <c r="AQ17" s="3">
        <v>1</v>
      </c>
      <c r="AR17" s="3">
        <v>0</v>
      </c>
      <c r="AS17" s="3" t="s">
        <v>3</v>
      </c>
      <c r="AT17" s="3">
        <v>1</v>
      </c>
      <c r="AU17" s="3">
        <v>1</v>
      </c>
    </row>
    <row r="18" spans="2:47" x14ac:dyDescent="0.25">
      <c r="B18" s="3" t="s">
        <v>356</v>
      </c>
      <c r="C18" s="3">
        <v>1</v>
      </c>
      <c r="D18" s="3" t="s">
        <v>139</v>
      </c>
      <c r="E18" s="3" t="s">
        <v>3</v>
      </c>
      <c r="F18" s="3" t="s">
        <v>346</v>
      </c>
      <c r="G18" s="3" t="s">
        <v>3</v>
      </c>
      <c r="H18" s="3">
        <v>4120222</v>
      </c>
      <c r="I18" s="3">
        <v>4120222</v>
      </c>
      <c r="J18" s="3">
        <v>0</v>
      </c>
      <c r="K18" s="3">
        <v>4120222</v>
      </c>
      <c r="L18" s="3">
        <v>0</v>
      </c>
      <c r="M18" s="3">
        <v>0</v>
      </c>
      <c r="N18" s="3">
        <v>0</v>
      </c>
      <c r="O18" s="3" t="s">
        <v>357</v>
      </c>
      <c r="P18" s="3" t="s">
        <v>3</v>
      </c>
      <c r="Q18" s="3" t="s">
        <v>358</v>
      </c>
      <c r="R18" s="3" t="s">
        <v>3</v>
      </c>
      <c r="S18" s="3" t="s">
        <v>3</v>
      </c>
      <c r="T18" s="3" t="s">
        <v>3</v>
      </c>
      <c r="U18" s="3">
        <v>0</v>
      </c>
      <c r="V18" s="3">
        <v>0</v>
      </c>
      <c r="W18" s="3">
        <v>0</v>
      </c>
      <c r="X18" s="3">
        <v>0</v>
      </c>
      <c r="Y18" s="3" t="s">
        <v>3</v>
      </c>
      <c r="Z18" s="3" t="s">
        <v>3</v>
      </c>
      <c r="AA18" s="3">
        <v>0</v>
      </c>
      <c r="AB18" s="3" t="s">
        <v>3</v>
      </c>
      <c r="AC18" s="3">
        <v>4120222</v>
      </c>
      <c r="AD18" s="3">
        <v>1</v>
      </c>
      <c r="AE18" s="3">
        <v>0</v>
      </c>
      <c r="AF18" s="3">
        <v>3</v>
      </c>
      <c r="AG18" s="3">
        <v>3</v>
      </c>
      <c r="AH18" s="3" t="s">
        <v>126</v>
      </c>
      <c r="AI18" s="3" t="s">
        <v>421</v>
      </c>
      <c r="AJ18" s="3">
        <v>46156.409907407404</v>
      </c>
      <c r="AK18" s="3">
        <v>55934612</v>
      </c>
      <c r="AL18" s="3">
        <v>0</v>
      </c>
      <c r="AM18" s="3">
        <v>0</v>
      </c>
      <c r="AN18" s="3">
        <v>0</v>
      </c>
      <c r="AO18" s="3">
        <v>46073</v>
      </c>
      <c r="AP18" s="3">
        <v>0</v>
      </c>
      <c r="AQ18" s="3">
        <v>1</v>
      </c>
      <c r="AR18" s="3">
        <v>0</v>
      </c>
      <c r="AS18" s="3" t="s">
        <v>349</v>
      </c>
      <c r="AT18" s="3">
        <v>1</v>
      </c>
      <c r="AU18" s="3">
        <v>1</v>
      </c>
    </row>
    <row r="19" spans="2:47" x14ac:dyDescent="0.25">
      <c r="B19" s="3" t="s">
        <v>359</v>
      </c>
      <c r="C19" s="3">
        <v>0</v>
      </c>
      <c r="D19" s="3" t="s">
        <v>139</v>
      </c>
      <c r="E19" s="3" t="s">
        <v>3</v>
      </c>
      <c r="F19" s="3" t="s">
        <v>346</v>
      </c>
      <c r="G19" s="3" t="s">
        <v>3</v>
      </c>
      <c r="H19" s="3">
        <v>4326233.0999999996</v>
      </c>
      <c r="I19" s="3">
        <v>4326233.0999999996</v>
      </c>
      <c r="J19" s="3">
        <v>0</v>
      </c>
      <c r="K19" s="3">
        <v>4326233.0999999996</v>
      </c>
      <c r="L19" s="3">
        <v>0</v>
      </c>
      <c r="M19" s="3">
        <v>0</v>
      </c>
      <c r="N19" s="3">
        <v>0</v>
      </c>
      <c r="O19" s="3" t="s">
        <v>360</v>
      </c>
      <c r="P19" s="3" t="s">
        <v>3</v>
      </c>
      <c r="Q19" s="3" t="s">
        <v>361</v>
      </c>
      <c r="R19" s="3" t="s">
        <v>3</v>
      </c>
      <c r="S19" s="3" t="s">
        <v>3</v>
      </c>
      <c r="T19" s="3" t="s">
        <v>3</v>
      </c>
      <c r="U19" s="3">
        <v>0</v>
      </c>
      <c r="V19" s="3">
        <v>0</v>
      </c>
      <c r="W19" s="3">
        <v>0</v>
      </c>
      <c r="X19" s="3">
        <v>0</v>
      </c>
      <c r="Y19" s="3" t="s">
        <v>3</v>
      </c>
      <c r="Z19" s="3" t="s">
        <v>3</v>
      </c>
      <c r="AA19" s="3">
        <v>0</v>
      </c>
      <c r="AB19" s="3" t="s">
        <v>3</v>
      </c>
      <c r="AC19" s="3">
        <v>4326233.0999999996</v>
      </c>
      <c r="AD19" s="3">
        <v>1</v>
      </c>
      <c r="AE19" s="3">
        <v>0</v>
      </c>
      <c r="AF19" s="3">
        <v>3</v>
      </c>
      <c r="AG19" s="3">
        <v>3</v>
      </c>
      <c r="AH19" s="3" t="s">
        <v>126</v>
      </c>
      <c r="AI19" s="3" t="s">
        <v>421</v>
      </c>
      <c r="AJ19" s="3">
        <v>46156.409907407404</v>
      </c>
      <c r="AK19" s="3">
        <v>55934612</v>
      </c>
      <c r="AL19" s="3">
        <v>0</v>
      </c>
      <c r="AM19" s="3">
        <v>0</v>
      </c>
      <c r="AN19" s="3">
        <v>0</v>
      </c>
      <c r="AO19" s="3">
        <v>46073</v>
      </c>
      <c r="AP19" s="3">
        <v>0</v>
      </c>
      <c r="AQ19" s="3">
        <v>1</v>
      </c>
      <c r="AR19" s="3">
        <v>0</v>
      </c>
      <c r="AS19" s="3" t="s">
        <v>3</v>
      </c>
      <c r="AT19" s="3">
        <v>1</v>
      </c>
      <c r="AU19" s="3">
        <v>1</v>
      </c>
    </row>
    <row r="20" spans="2:47" x14ac:dyDescent="0.25">
      <c r="B20" s="3" t="s">
        <v>362</v>
      </c>
      <c r="C20" s="3">
        <v>0</v>
      </c>
      <c r="D20" s="3" t="s">
        <v>139</v>
      </c>
      <c r="E20" s="3" t="s">
        <v>3</v>
      </c>
      <c r="F20" s="3" t="s">
        <v>346</v>
      </c>
      <c r="G20" s="3" t="s">
        <v>3</v>
      </c>
      <c r="H20" s="3">
        <v>4629069.42</v>
      </c>
      <c r="I20" s="3">
        <v>4629069.42</v>
      </c>
      <c r="J20" s="3">
        <v>0</v>
      </c>
      <c r="K20" s="3">
        <v>4629069.42</v>
      </c>
      <c r="L20" s="3">
        <v>0</v>
      </c>
      <c r="M20" s="3">
        <v>0</v>
      </c>
      <c r="N20" s="3">
        <v>0</v>
      </c>
      <c r="O20" s="3" t="s">
        <v>363</v>
      </c>
      <c r="P20" s="3" t="s">
        <v>3</v>
      </c>
      <c r="Q20" s="3" t="s">
        <v>364</v>
      </c>
      <c r="R20" s="3" t="s">
        <v>3</v>
      </c>
      <c r="S20" s="3" t="s">
        <v>3</v>
      </c>
      <c r="T20" s="3" t="s">
        <v>3</v>
      </c>
      <c r="U20" s="3">
        <v>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  <c r="AA20" s="3">
        <v>0</v>
      </c>
      <c r="AB20" s="3" t="s">
        <v>3</v>
      </c>
      <c r="AC20" s="3">
        <v>4629069.42</v>
      </c>
      <c r="AD20" s="3">
        <v>1</v>
      </c>
      <c r="AE20" s="3">
        <v>0</v>
      </c>
      <c r="AF20" s="3">
        <v>3</v>
      </c>
      <c r="AG20" s="3">
        <v>3</v>
      </c>
      <c r="AH20" s="3" t="s">
        <v>126</v>
      </c>
      <c r="AI20" s="3" t="s">
        <v>421</v>
      </c>
      <c r="AJ20" s="3">
        <v>46156.409907407404</v>
      </c>
      <c r="AK20" s="3">
        <v>55934612</v>
      </c>
      <c r="AL20" s="3">
        <v>0</v>
      </c>
      <c r="AM20" s="3">
        <v>0</v>
      </c>
      <c r="AN20" s="3">
        <v>0</v>
      </c>
      <c r="AO20" s="3">
        <v>46073</v>
      </c>
      <c r="AP20" s="3">
        <v>0</v>
      </c>
      <c r="AQ20" s="3">
        <v>1</v>
      </c>
      <c r="AR20" s="3">
        <v>0</v>
      </c>
      <c r="AS20" s="3" t="s">
        <v>3</v>
      </c>
      <c r="AT20" s="3">
        <v>1</v>
      </c>
      <c r="AU20" s="3">
        <v>1</v>
      </c>
    </row>
    <row r="21" spans="2:47" x14ac:dyDescent="0.25">
      <c r="B21" s="3" t="s">
        <v>365</v>
      </c>
      <c r="C21" s="3">
        <v>1</v>
      </c>
      <c r="D21" s="3" t="s">
        <v>149</v>
      </c>
      <c r="E21" s="3" t="s">
        <v>3</v>
      </c>
      <c r="F21" s="3" t="s">
        <v>346</v>
      </c>
      <c r="G21" s="3" t="s">
        <v>3</v>
      </c>
      <c r="H21" s="3">
        <v>212043</v>
      </c>
      <c r="I21" s="3">
        <v>212043</v>
      </c>
      <c r="J21" s="3">
        <v>0</v>
      </c>
      <c r="K21" s="3">
        <v>212043</v>
      </c>
      <c r="L21" s="3">
        <v>0</v>
      </c>
      <c r="M21" s="3">
        <v>0</v>
      </c>
      <c r="N21" s="3">
        <v>0</v>
      </c>
      <c r="O21" s="3" t="s">
        <v>347</v>
      </c>
      <c r="P21" s="3" t="s">
        <v>3</v>
      </c>
      <c r="Q21" s="3" t="s">
        <v>348</v>
      </c>
      <c r="R21" s="3" t="s">
        <v>3</v>
      </c>
      <c r="S21" s="3" t="s">
        <v>3</v>
      </c>
      <c r="T21" s="3" t="s">
        <v>3</v>
      </c>
      <c r="U21" s="3">
        <v>0</v>
      </c>
      <c r="V21" s="3">
        <v>0</v>
      </c>
      <c r="W21" s="3">
        <v>0</v>
      </c>
      <c r="X21" s="3">
        <v>0</v>
      </c>
      <c r="Y21" s="3" t="s">
        <v>3</v>
      </c>
      <c r="Z21" s="3" t="s">
        <v>3</v>
      </c>
      <c r="AA21" s="3">
        <v>0</v>
      </c>
      <c r="AB21" s="3" t="s">
        <v>3</v>
      </c>
      <c r="AC21" s="3">
        <v>212043</v>
      </c>
      <c r="AD21" s="3">
        <v>1</v>
      </c>
      <c r="AE21" s="3">
        <v>0</v>
      </c>
      <c r="AF21" s="3">
        <v>3</v>
      </c>
      <c r="AG21" s="3">
        <v>3</v>
      </c>
      <c r="AH21" s="3" t="s">
        <v>126</v>
      </c>
      <c r="AI21" s="3" t="s">
        <v>150</v>
      </c>
      <c r="AJ21" s="3">
        <v>46156.409942129627</v>
      </c>
      <c r="AK21" s="3">
        <v>55934608</v>
      </c>
      <c r="AL21" s="3">
        <v>0</v>
      </c>
      <c r="AM21" s="3">
        <v>0</v>
      </c>
      <c r="AN21" s="3">
        <v>0</v>
      </c>
      <c r="AO21" s="3">
        <v>46073</v>
      </c>
      <c r="AP21" s="3">
        <v>0</v>
      </c>
      <c r="AQ21" s="3">
        <v>1</v>
      </c>
      <c r="AR21" s="3">
        <v>0</v>
      </c>
      <c r="AS21" s="3" t="s">
        <v>349</v>
      </c>
      <c r="AT21" s="3">
        <v>1</v>
      </c>
      <c r="AU21" s="3">
        <v>1</v>
      </c>
    </row>
    <row r="22" spans="2:47" x14ac:dyDescent="0.25">
      <c r="B22" s="3" t="s">
        <v>366</v>
      </c>
      <c r="C22" s="3">
        <v>0</v>
      </c>
      <c r="D22" s="3" t="s">
        <v>149</v>
      </c>
      <c r="E22" s="3" t="s">
        <v>3</v>
      </c>
      <c r="F22" s="3" t="s">
        <v>346</v>
      </c>
      <c r="G22" s="3" t="s">
        <v>3</v>
      </c>
      <c r="H22" s="3">
        <v>222645</v>
      </c>
      <c r="I22" s="3">
        <v>222645</v>
      </c>
      <c r="J22" s="3">
        <v>0</v>
      </c>
      <c r="K22" s="3">
        <v>222645</v>
      </c>
      <c r="L22" s="3">
        <v>0</v>
      </c>
      <c r="M22" s="3">
        <v>0</v>
      </c>
      <c r="N22" s="3">
        <v>0</v>
      </c>
      <c r="O22" s="3" t="s">
        <v>351</v>
      </c>
      <c r="P22" s="3" t="s">
        <v>3</v>
      </c>
      <c r="Q22" s="3" t="s">
        <v>352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  <c r="AA22" s="3">
        <v>0</v>
      </c>
      <c r="AB22" s="3" t="s">
        <v>3</v>
      </c>
      <c r="AC22" s="3">
        <v>222645</v>
      </c>
      <c r="AD22" s="3">
        <v>1</v>
      </c>
      <c r="AE22" s="3">
        <v>0</v>
      </c>
      <c r="AF22" s="3">
        <v>3</v>
      </c>
      <c r="AG22" s="3">
        <v>3</v>
      </c>
      <c r="AH22" s="3" t="s">
        <v>126</v>
      </c>
      <c r="AI22" s="3" t="s">
        <v>150</v>
      </c>
      <c r="AJ22" s="3">
        <v>46156.409942129627</v>
      </c>
      <c r="AK22" s="3">
        <v>55934608</v>
      </c>
      <c r="AL22" s="3">
        <v>0</v>
      </c>
      <c r="AM22" s="3">
        <v>0</v>
      </c>
      <c r="AN22" s="3">
        <v>0</v>
      </c>
      <c r="AO22" s="3">
        <v>46073</v>
      </c>
      <c r="AP22" s="3">
        <v>0</v>
      </c>
      <c r="AQ22" s="3">
        <v>1</v>
      </c>
      <c r="AR22" s="3">
        <v>0</v>
      </c>
      <c r="AS22" s="3" t="s">
        <v>3</v>
      </c>
      <c r="AT22" s="3">
        <v>1</v>
      </c>
      <c r="AU22" s="3">
        <v>1</v>
      </c>
    </row>
    <row r="23" spans="2:47" x14ac:dyDescent="0.25">
      <c r="B23" s="3" t="s">
        <v>367</v>
      </c>
      <c r="C23" s="3">
        <v>0</v>
      </c>
      <c r="D23" s="3" t="s">
        <v>149</v>
      </c>
      <c r="E23" s="3" t="s">
        <v>3</v>
      </c>
      <c r="F23" s="3" t="s">
        <v>346</v>
      </c>
      <c r="G23" s="3" t="s">
        <v>3</v>
      </c>
      <c r="H23" s="3">
        <v>212043</v>
      </c>
      <c r="I23" s="3">
        <v>212043</v>
      </c>
      <c r="J23" s="3">
        <v>0</v>
      </c>
      <c r="K23" s="3">
        <v>212043</v>
      </c>
      <c r="L23" s="3">
        <v>0</v>
      </c>
      <c r="M23" s="3">
        <v>0</v>
      </c>
      <c r="N23" s="3">
        <v>0</v>
      </c>
      <c r="O23" s="3" t="s">
        <v>368</v>
      </c>
      <c r="P23" s="3" t="s">
        <v>3</v>
      </c>
      <c r="Q23" s="3" t="s">
        <v>369</v>
      </c>
      <c r="R23" s="3" t="s">
        <v>3</v>
      </c>
      <c r="S23" s="3" t="s">
        <v>3</v>
      </c>
      <c r="T23" s="3" t="s">
        <v>3</v>
      </c>
      <c r="U23" s="3">
        <v>0</v>
      </c>
      <c r="V23" s="3">
        <v>0</v>
      </c>
      <c r="W23" s="3">
        <v>0</v>
      </c>
      <c r="X23" s="3">
        <v>0</v>
      </c>
      <c r="Y23" s="3" t="s">
        <v>3</v>
      </c>
      <c r="Z23" s="3" t="s">
        <v>3</v>
      </c>
      <c r="AA23" s="3">
        <v>0</v>
      </c>
      <c r="AB23" s="3" t="s">
        <v>3</v>
      </c>
      <c r="AC23" s="3">
        <v>212043</v>
      </c>
      <c r="AD23" s="3">
        <v>1</v>
      </c>
      <c r="AE23" s="3">
        <v>0</v>
      </c>
      <c r="AF23" s="3">
        <v>3</v>
      </c>
      <c r="AG23" s="3">
        <v>3</v>
      </c>
      <c r="AH23" s="3" t="s">
        <v>126</v>
      </c>
      <c r="AI23" s="3" t="s">
        <v>150</v>
      </c>
      <c r="AJ23" s="3">
        <v>46156.409942129627</v>
      </c>
      <c r="AK23" s="3">
        <v>55934608</v>
      </c>
      <c r="AL23" s="3">
        <v>0</v>
      </c>
      <c r="AM23" s="3">
        <v>0</v>
      </c>
      <c r="AN23" s="3">
        <v>0</v>
      </c>
      <c r="AO23" s="3">
        <v>46073</v>
      </c>
      <c r="AP23" s="3">
        <v>0</v>
      </c>
      <c r="AQ23" s="3">
        <v>1</v>
      </c>
      <c r="AR23" s="3">
        <v>0</v>
      </c>
      <c r="AS23" s="3" t="s">
        <v>3</v>
      </c>
      <c r="AT23" s="3">
        <v>1</v>
      </c>
      <c r="AU23" s="3">
        <v>1</v>
      </c>
    </row>
    <row r="24" spans="2:47" x14ac:dyDescent="0.25">
      <c r="B24" s="3" t="s">
        <v>370</v>
      </c>
      <c r="C24" s="3">
        <v>0</v>
      </c>
      <c r="D24" s="3" t="s">
        <v>154</v>
      </c>
      <c r="E24" s="3" t="s">
        <v>3</v>
      </c>
      <c r="F24" s="3" t="s">
        <v>346</v>
      </c>
      <c r="G24" s="3" t="s">
        <v>3</v>
      </c>
      <c r="H24" s="3">
        <v>220423</v>
      </c>
      <c r="I24" s="3">
        <v>220423</v>
      </c>
      <c r="J24" s="3">
        <v>0</v>
      </c>
      <c r="K24" s="3">
        <v>220423</v>
      </c>
      <c r="L24" s="3">
        <v>0</v>
      </c>
      <c r="M24" s="3">
        <v>0</v>
      </c>
      <c r="N24" s="3">
        <v>0</v>
      </c>
      <c r="O24" s="3" t="s">
        <v>347</v>
      </c>
      <c r="P24" s="3" t="s">
        <v>3</v>
      </c>
      <c r="Q24" s="3" t="s">
        <v>348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 t="s">
        <v>3</v>
      </c>
      <c r="AA24" s="3">
        <v>0</v>
      </c>
      <c r="AB24" s="3" t="s">
        <v>3</v>
      </c>
      <c r="AC24" s="3">
        <v>220423</v>
      </c>
      <c r="AD24" s="3">
        <v>1</v>
      </c>
      <c r="AE24" s="3">
        <v>0</v>
      </c>
      <c r="AF24" s="3">
        <v>3</v>
      </c>
      <c r="AG24" s="3">
        <v>3</v>
      </c>
      <c r="AH24" s="3" t="s">
        <v>126</v>
      </c>
      <c r="AI24" s="3" t="s">
        <v>155</v>
      </c>
      <c r="AJ24" s="3">
        <v>46223.481053240743</v>
      </c>
      <c r="AK24" s="3">
        <v>55934647</v>
      </c>
      <c r="AL24" s="3">
        <v>0</v>
      </c>
      <c r="AM24" s="3">
        <v>0</v>
      </c>
      <c r="AN24" s="3">
        <v>0</v>
      </c>
      <c r="AO24" s="3">
        <v>46073</v>
      </c>
      <c r="AP24" s="3">
        <v>187408</v>
      </c>
      <c r="AQ24" s="3">
        <v>1</v>
      </c>
      <c r="AR24" s="3">
        <v>0</v>
      </c>
      <c r="AS24" s="3" t="s">
        <v>349</v>
      </c>
      <c r="AT24" s="3">
        <v>1</v>
      </c>
      <c r="AU24" s="3">
        <v>4</v>
      </c>
    </row>
    <row r="25" spans="2:47" x14ac:dyDescent="0.25">
      <c r="B25" s="3" t="s">
        <v>371</v>
      </c>
      <c r="C25" s="3">
        <v>0</v>
      </c>
      <c r="D25" s="3" t="s">
        <v>154</v>
      </c>
      <c r="E25" s="3" t="s">
        <v>3</v>
      </c>
      <c r="F25" s="3" t="s">
        <v>346</v>
      </c>
      <c r="G25" s="3" t="s">
        <v>3</v>
      </c>
      <c r="H25" s="3">
        <v>231444</v>
      </c>
      <c r="I25" s="3">
        <v>231444</v>
      </c>
      <c r="J25" s="3">
        <v>0</v>
      </c>
      <c r="K25" s="3">
        <v>231444</v>
      </c>
      <c r="L25" s="3">
        <v>0</v>
      </c>
      <c r="M25" s="3">
        <v>0</v>
      </c>
      <c r="N25" s="3">
        <v>0</v>
      </c>
      <c r="O25" s="3" t="s">
        <v>351</v>
      </c>
      <c r="P25" s="3" t="s">
        <v>3</v>
      </c>
      <c r="Q25" s="3" t="s">
        <v>352</v>
      </c>
      <c r="R25" s="3" t="s">
        <v>3</v>
      </c>
      <c r="S25" s="3" t="s">
        <v>3</v>
      </c>
      <c r="T25" s="3" t="s">
        <v>3</v>
      </c>
      <c r="U25" s="3">
        <v>0</v>
      </c>
      <c r="V25" s="3">
        <v>0</v>
      </c>
      <c r="W25" s="3">
        <v>0</v>
      </c>
      <c r="X25" s="3">
        <v>0</v>
      </c>
      <c r="Y25" s="3" t="s">
        <v>3</v>
      </c>
      <c r="Z25" s="3" t="s">
        <v>3</v>
      </c>
      <c r="AA25" s="3">
        <v>0</v>
      </c>
      <c r="AB25" s="3" t="s">
        <v>3</v>
      </c>
      <c r="AC25" s="3">
        <v>231444</v>
      </c>
      <c r="AD25" s="3">
        <v>1</v>
      </c>
      <c r="AE25" s="3">
        <v>0</v>
      </c>
      <c r="AF25" s="3">
        <v>3</v>
      </c>
      <c r="AG25" s="3">
        <v>3</v>
      </c>
      <c r="AH25" s="3" t="s">
        <v>126</v>
      </c>
      <c r="AI25" s="3" t="s">
        <v>155</v>
      </c>
      <c r="AJ25" s="3">
        <v>46223.481053240743</v>
      </c>
      <c r="AK25" s="3">
        <v>55934647</v>
      </c>
      <c r="AL25" s="3">
        <v>0</v>
      </c>
      <c r="AM25" s="3">
        <v>0</v>
      </c>
      <c r="AN25" s="3">
        <v>0</v>
      </c>
      <c r="AO25" s="3">
        <v>46073</v>
      </c>
      <c r="AP25" s="3">
        <v>187408</v>
      </c>
      <c r="AQ25" s="3">
        <v>1</v>
      </c>
      <c r="AR25" s="3">
        <v>0</v>
      </c>
      <c r="AS25" s="3" t="s">
        <v>3</v>
      </c>
      <c r="AT25" s="3">
        <v>1</v>
      </c>
      <c r="AU25" s="3">
        <v>4</v>
      </c>
    </row>
    <row r="26" spans="2:47" x14ac:dyDescent="0.25">
      <c r="B26" s="3" t="s">
        <v>372</v>
      </c>
      <c r="C26" s="3">
        <v>0</v>
      </c>
      <c r="D26" s="3" t="s">
        <v>154</v>
      </c>
      <c r="E26" s="3" t="s">
        <v>3</v>
      </c>
      <c r="F26" s="3" t="s">
        <v>346</v>
      </c>
      <c r="G26" s="3" t="s">
        <v>3</v>
      </c>
      <c r="H26" s="3">
        <v>220423</v>
      </c>
      <c r="I26" s="3">
        <v>220423</v>
      </c>
      <c r="J26" s="3">
        <v>0</v>
      </c>
      <c r="K26" s="3">
        <v>220423</v>
      </c>
      <c r="L26" s="3">
        <v>0</v>
      </c>
      <c r="M26" s="3">
        <v>0</v>
      </c>
      <c r="N26" s="3">
        <v>0</v>
      </c>
      <c r="O26" s="3" t="s">
        <v>373</v>
      </c>
      <c r="P26" s="3" t="s">
        <v>3</v>
      </c>
      <c r="Q26" s="3" t="s">
        <v>374</v>
      </c>
      <c r="R26" s="3" t="s">
        <v>3</v>
      </c>
      <c r="S26" s="3" t="s">
        <v>3</v>
      </c>
      <c r="T26" s="3" t="s">
        <v>3</v>
      </c>
      <c r="U26" s="3">
        <v>0</v>
      </c>
      <c r="V26" s="3">
        <v>0</v>
      </c>
      <c r="W26" s="3">
        <v>0</v>
      </c>
      <c r="X26" s="3">
        <v>0</v>
      </c>
      <c r="Y26" s="3" t="s">
        <v>3</v>
      </c>
      <c r="Z26" s="3" t="s">
        <v>3</v>
      </c>
      <c r="AA26" s="3">
        <v>0</v>
      </c>
      <c r="AB26" s="3" t="s">
        <v>3</v>
      </c>
      <c r="AC26" s="3">
        <v>220423</v>
      </c>
      <c r="AD26" s="3">
        <v>1</v>
      </c>
      <c r="AE26" s="3">
        <v>0</v>
      </c>
      <c r="AF26" s="3">
        <v>3</v>
      </c>
      <c r="AG26" s="3">
        <v>3</v>
      </c>
      <c r="AH26" s="3" t="s">
        <v>126</v>
      </c>
      <c r="AI26" s="3" t="s">
        <v>155</v>
      </c>
      <c r="AJ26" s="3">
        <v>46223.481053240743</v>
      </c>
      <c r="AK26" s="3">
        <v>55934647</v>
      </c>
      <c r="AL26" s="3">
        <v>0</v>
      </c>
      <c r="AM26" s="3">
        <v>0</v>
      </c>
      <c r="AN26" s="3">
        <v>0</v>
      </c>
      <c r="AO26" s="3">
        <v>46073</v>
      </c>
      <c r="AP26" s="3">
        <v>187408</v>
      </c>
      <c r="AQ26" s="3">
        <v>1</v>
      </c>
      <c r="AR26" s="3">
        <v>0</v>
      </c>
      <c r="AS26" s="3" t="s">
        <v>3</v>
      </c>
      <c r="AT26" s="3">
        <v>1</v>
      </c>
      <c r="AU26" s="3">
        <v>4</v>
      </c>
    </row>
    <row r="27" spans="2:47" x14ac:dyDescent="0.25">
      <c r="B27" s="3" t="s">
        <v>375</v>
      </c>
      <c r="C27" s="3">
        <v>1</v>
      </c>
      <c r="D27" s="3" t="s">
        <v>159</v>
      </c>
      <c r="E27" s="3" t="s">
        <v>3</v>
      </c>
      <c r="F27" s="3" t="s">
        <v>346</v>
      </c>
      <c r="G27" s="3" t="s">
        <v>3</v>
      </c>
      <c r="H27" s="3">
        <v>220000</v>
      </c>
      <c r="I27" s="3">
        <v>220000</v>
      </c>
      <c r="J27" s="3">
        <v>0</v>
      </c>
      <c r="K27" s="3">
        <v>220000</v>
      </c>
      <c r="L27" s="3">
        <v>0</v>
      </c>
      <c r="M27" s="3">
        <v>0</v>
      </c>
      <c r="N27" s="3">
        <v>0</v>
      </c>
      <c r="O27" s="3" t="s">
        <v>357</v>
      </c>
      <c r="P27" s="3" t="s">
        <v>3</v>
      </c>
      <c r="Q27" s="3" t="s">
        <v>358</v>
      </c>
      <c r="R27" s="3" t="s">
        <v>3</v>
      </c>
      <c r="S27" s="3" t="s">
        <v>3</v>
      </c>
      <c r="T27" s="3" t="s">
        <v>3</v>
      </c>
      <c r="U27" s="3">
        <v>0</v>
      </c>
      <c r="V27" s="3">
        <v>0</v>
      </c>
      <c r="W27" s="3">
        <v>0</v>
      </c>
      <c r="X27" s="3">
        <v>0</v>
      </c>
      <c r="Y27" s="3" t="s">
        <v>3</v>
      </c>
      <c r="Z27" s="3" t="s">
        <v>3</v>
      </c>
      <c r="AA27" s="3">
        <v>0</v>
      </c>
      <c r="AB27" s="3" t="s">
        <v>3</v>
      </c>
      <c r="AC27" s="3">
        <v>220000</v>
      </c>
      <c r="AD27" s="3">
        <v>1</v>
      </c>
      <c r="AE27" s="3">
        <v>0</v>
      </c>
      <c r="AF27" s="3">
        <v>3</v>
      </c>
      <c r="AG27" s="3">
        <v>3</v>
      </c>
      <c r="AH27" s="3" t="s">
        <v>126</v>
      </c>
      <c r="AI27" s="3" t="s">
        <v>160</v>
      </c>
      <c r="AJ27" s="3">
        <v>46156.41</v>
      </c>
      <c r="AK27" s="3">
        <v>55934670</v>
      </c>
      <c r="AL27" s="3">
        <v>0</v>
      </c>
      <c r="AM27" s="3">
        <v>0</v>
      </c>
      <c r="AN27" s="3">
        <v>0</v>
      </c>
      <c r="AO27" s="3">
        <v>46073</v>
      </c>
      <c r="AP27" s="3">
        <v>0</v>
      </c>
      <c r="AQ27" s="3">
        <v>1</v>
      </c>
      <c r="AR27" s="3">
        <v>0</v>
      </c>
      <c r="AS27" s="3" t="s">
        <v>349</v>
      </c>
      <c r="AT27" s="3">
        <v>1</v>
      </c>
      <c r="AU27" s="3">
        <v>1</v>
      </c>
    </row>
    <row r="28" spans="2:47" x14ac:dyDescent="0.25">
      <c r="B28" s="3" t="s">
        <v>376</v>
      </c>
      <c r="C28" s="3">
        <v>0</v>
      </c>
      <c r="D28" s="3" t="s">
        <v>159</v>
      </c>
      <c r="E28" s="3" t="s">
        <v>3</v>
      </c>
      <c r="F28" s="3" t="s">
        <v>346</v>
      </c>
      <c r="G28" s="3" t="s">
        <v>3</v>
      </c>
      <c r="H28" s="3">
        <v>231000</v>
      </c>
      <c r="I28" s="3">
        <v>231000</v>
      </c>
      <c r="J28" s="3">
        <v>0</v>
      </c>
      <c r="K28" s="3">
        <v>231000</v>
      </c>
      <c r="L28" s="3">
        <v>0</v>
      </c>
      <c r="M28" s="3">
        <v>0</v>
      </c>
      <c r="N28" s="3">
        <v>0</v>
      </c>
      <c r="O28" s="3" t="s">
        <v>360</v>
      </c>
      <c r="P28" s="3" t="s">
        <v>3</v>
      </c>
      <c r="Q28" s="3" t="s">
        <v>361</v>
      </c>
      <c r="R28" s="3" t="s">
        <v>3</v>
      </c>
      <c r="S28" s="3" t="s">
        <v>3</v>
      </c>
      <c r="T28" s="3" t="s">
        <v>3</v>
      </c>
      <c r="U28" s="3">
        <v>0</v>
      </c>
      <c r="V28" s="3">
        <v>0</v>
      </c>
      <c r="W28" s="3">
        <v>0</v>
      </c>
      <c r="X28" s="3">
        <v>0</v>
      </c>
      <c r="Y28" s="3" t="s">
        <v>3</v>
      </c>
      <c r="Z28" s="3" t="s">
        <v>3</v>
      </c>
      <c r="AA28" s="3">
        <v>0</v>
      </c>
      <c r="AB28" s="3" t="s">
        <v>3</v>
      </c>
      <c r="AC28" s="3">
        <v>231000</v>
      </c>
      <c r="AD28" s="3">
        <v>1</v>
      </c>
      <c r="AE28" s="3">
        <v>0</v>
      </c>
      <c r="AF28" s="3">
        <v>3</v>
      </c>
      <c r="AG28" s="3">
        <v>3</v>
      </c>
      <c r="AH28" s="3" t="s">
        <v>126</v>
      </c>
      <c r="AI28" s="3" t="s">
        <v>160</v>
      </c>
      <c r="AJ28" s="3">
        <v>46156.41</v>
      </c>
      <c r="AK28" s="3">
        <v>55934670</v>
      </c>
      <c r="AL28" s="3">
        <v>0</v>
      </c>
      <c r="AM28" s="3">
        <v>0</v>
      </c>
      <c r="AN28" s="3">
        <v>0</v>
      </c>
      <c r="AO28" s="3">
        <v>46073</v>
      </c>
      <c r="AP28" s="3">
        <v>0</v>
      </c>
      <c r="AQ28" s="3">
        <v>1</v>
      </c>
      <c r="AR28" s="3">
        <v>0</v>
      </c>
      <c r="AS28" s="3" t="s">
        <v>3</v>
      </c>
      <c r="AT28" s="3">
        <v>1</v>
      </c>
      <c r="AU28" s="3">
        <v>1</v>
      </c>
    </row>
    <row r="29" spans="2:47" x14ac:dyDescent="0.25">
      <c r="B29" s="3" t="s">
        <v>377</v>
      </c>
      <c r="C29" s="3">
        <v>0</v>
      </c>
      <c r="D29" s="3" t="s">
        <v>159</v>
      </c>
      <c r="E29" s="3" t="s">
        <v>3</v>
      </c>
      <c r="F29" s="3" t="s">
        <v>346</v>
      </c>
      <c r="G29" s="3" t="s">
        <v>3</v>
      </c>
      <c r="H29" s="3">
        <v>247170</v>
      </c>
      <c r="I29" s="3">
        <v>247170</v>
      </c>
      <c r="J29" s="3">
        <v>0</v>
      </c>
      <c r="K29" s="3">
        <v>247170</v>
      </c>
      <c r="L29" s="3">
        <v>0</v>
      </c>
      <c r="M29" s="3">
        <v>0</v>
      </c>
      <c r="N29" s="3">
        <v>0</v>
      </c>
      <c r="O29" s="3" t="s">
        <v>363</v>
      </c>
      <c r="P29" s="3" t="s">
        <v>3</v>
      </c>
      <c r="Q29" s="3" t="s">
        <v>364</v>
      </c>
      <c r="R29" s="3" t="s">
        <v>3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0</v>
      </c>
      <c r="Y29" s="3" t="s">
        <v>3</v>
      </c>
      <c r="Z29" s="3" t="s">
        <v>3</v>
      </c>
      <c r="AA29" s="3">
        <v>0</v>
      </c>
      <c r="AB29" s="3" t="s">
        <v>3</v>
      </c>
      <c r="AC29" s="3">
        <v>247170</v>
      </c>
      <c r="AD29" s="3">
        <v>1</v>
      </c>
      <c r="AE29" s="3">
        <v>0</v>
      </c>
      <c r="AF29" s="3">
        <v>3</v>
      </c>
      <c r="AG29" s="3">
        <v>3</v>
      </c>
      <c r="AH29" s="3" t="s">
        <v>126</v>
      </c>
      <c r="AI29" s="3" t="s">
        <v>160</v>
      </c>
      <c r="AJ29" s="3">
        <v>46156.41</v>
      </c>
      <c r="AK29" s="3">
        <v>55934670</v>
      </c>
      <c r="AL29" s="3">
        <v>0</v>
      </c>
      <c r="AM29" s="3">
        <v>0</v>
      </c>
      <c r="AN29" s="3">
        <v>0</v>
      </c>
      <c r="AO29" s="3">
        <v>46073</v>
      </c>
      <c r="AP29" s="3">
        <v>0</v>
      </c>
      <c r="AQ29" s="3">
        <v>1</v>
      </c>
      <c r="AR29" s="3">
        <v>0</v>
      </c>
      <c r="AS29" s="3" t="s">
        <v>3</v>
      </c>
      <c r="AT29" s="3">
        <v>1</v>
      </c>
      <c r="AU29" s="3">
        <v>1</v>
      </c>
    </row>
    <row r="30" spans="2:47" x14ac:dyDescent="0.25">
      <c r="B30" s="3" t="s">
        <v>378</v>
      </c>
      <c r="C30" s="3">
        <v>0</v>
      </c>
      <c r="D30" s="3" t="s">
        <v>165</v>
      </c>
      <c r="E30" s="3" t="s">
        <v>3</v>
      </c>
      <c r="F30" s="3" t="s">
        <v>346</v>
      </c>
      <c r="G30" s="3" t="s">
        <v>3</v>
      </c>
      <c r="H30" s="3">
        <v>34917</v>
      </c>
      <c r="I30" s="3">
        <v>34917</v>
      </c>
      <c r="J30" s="3">
        <v>0</v>
      </c>
      <c r="K30" s="3">
        <v>34917</v>
      </c>
      <c r="L30" s="3">
        <v>0</v>
      </c>
      <c r="M30" s="3">
        <v>0</v>
      </c>
      <c r="N30" s="3">
        <v>0</v>
      </c>
      <c r="O30" s="3" t="s">
        <v>379</v>
      </c>
      <c r="P30" s="3" t="s">
        <v>3</v>
      </c>
      <c r="Q30" s="3" t="s">
        <v>380</v>
      </c>
      <c r="R30" s="3" t="s">
        <v>3</v>
      </c>
      <c r="S30" s="3" t="s">
        <v>3</v>
      </c>
      <c r="T30" s="3" t="s">
        <v>3</v>
      </c>
      <c r="U30" s="3">
        <v>0</v>
      </c>
      <c r="V30" s="3">
        <v>0</v>
      </c>
      <c r="W30" s="3">
        <v>0</v>
      </c>
      <c r="X30" s="3">
        <v>0</v>
      </c>
      <c r="Y30" s="3" t="s">
        <v>3</v>
      </c>
      <c r="Z30" s="3" t="s">
        <v>3</v>
      </c>
      <c r="AA30" s="3">
        <v>0</v>
      </c>
      <c r="AB30" s="3" t="s">
        <v>3</v>
      </c>
      <c r="AC30" s="3">
        <v>34917</v>
      </c>
      <c r="AD30" s="3">
        <v>1</v>
      </c>
      <c r="AE30" s="3">
        <v>0</v>
      </c>
      <c r="AF30" s="3">
        <v>3</v>
      </c>
      <c r="AG30" s="3">
        <v>3</v>
      </c>
      <c r="AH30" s="3" t="s">
        <v>126</v>
      </c>
      <c r="AI30" s="3" t="s">
        <v>166</v>
      </c>
      <c r="AJ30" s="3">
        <v>46156.41002314815</v>
      </c>
      <c r="AK30" s="3">
        <v>55934686</v>
      </c>
      <c r="AL30" s="3">
        <v>0</v>
      </c>
      <c r="AM30" s="3">
        <v>0</v>
      </c>
      <c r="AN30" s="3">
        <v>0</v>
      </c>
      <c r="AO30" s="3">
        <v>46073</v>
      </c>
      <c r="AP30" s="3">
        <v>0</v>
      </c>
      <c r="AQ30" s="3">
        <v>1</v>
      </c>
      <c r="AR30" s="3">
        <v>0</v>
      </c>
      <c r="AS30" s="3" t="s">
        <v>349</v>
      </c>
      <c r="AT30" s="3">
        <v>1</v>
      </c>
      <c r="AU30" s="3">
        <v>2</v>
      </c>
    </row>
    <row r="31" spans="2:47" x14ac:dyDescent="0.25">
      <c r="B31" s="3" t="s">
        <v>381</v>
      </c>
      <c r="C31" s="3">
        <v>1</v>
      </c>
      <c r="D31" s="3" t="s">
        <v>165</v>
      </c>
      <c r="E31" s="3" t="s">
        <v>3</v>
      </c>
      <c r="F31" s="3" t="s">
        <v>346</v>
      </c>
      <c r="G31" s="3" t="s">
        <v>3</v>
      </c>
      <c r="H31" s="3">
        <v>31600</v>
      </c>
      <c r="I31" s="3">
        <v>31600</v>
      </c>
      <c r="J31" s="3">
        <v>0</v>
      </c>
      <c r="K31" s="3">
        <v>31600</v>
      </c>
      <c r="L31" s="3">
        <v>0</v>
      </c>
      <c r="M31" s="3">
        <v>0</v>
      </c>
      <c r="N31" s="3">
        <v>0</v>
      </c>
      <c r="O31" s="3" t="s">
        <v>382</v>
      </c>
      <c r="P31" s="3" t="s">
        <v>3</v>
      </c>
      <c r="Q31" s="3" t="s">
        <v>383</v>
      </c>
      <c r="R31" s="3" t="s">
        <v>3</v>
      </c>
      <c r="S31" s="3" t="s">
        <v>3</v>
      </c>
      <c r="T31" s="3" t="s">
        <v>3</v>
      </c>
      <c r="U31" s="3">
        <v>0</v>
      </c>
      <c r="V31" s="3">
        <v>0</v>
      </c>
      <c r="W31" s="3">
        <v>0</v>
      </c>
      <c r="X31" s="3">
        <v>0</v>
      </c>
      <c r="Y31" s="3" t="s">
        <v>3</v>
      </c>
      <c r="Z31" s="3" t="s">
        <v>3</v>
      </c>
      <c r="AA31" s="3">
        <v>0</v>
      </c>
      <c r="AB31" s="3" t="s">
        <v>3</v>
      </c>
      <c r="AC31" s="3">
        <v>31600</v>
      </c>
      <c r="AD31" s="3">
        <v>1</v>
      </c>
      <c r="AE31" s="3">
        <v>0</v>
      </c>
      <c r="AF31" s="3">
        <v>3</v>
      </c>
      <c r="AG31" s="3">
        <v>3</v>
      </c>
      <c r="AH31" s="3" t="s">
        <v>126</v>
      </c>
      <c r="AI31" s="3" t="s">
        <v>166</v>
      </c>
      <c r="AJ31" s="3">
        <v>46156.41002314815</v>
      </c>
      <c r="AK31" s="3">
        <v>55934686</v>
      </c>
      <c r="AL31" s="3">
        <v>0</v>
      </c>
      <c r="AM31" s="3">
        <v>0</v>
      </c>
      <c r="AN31" s="3">
        <v>0</v>
      </c>
      <c r="AO31" s="3">
        <v>46073</v>
      </c>
      <c r="AP31" s="3">
        <v>0</v>
      </c>
      <c r="AQ31" s="3">
        <v>1</v>
      </c>
      <c r="AR31" s="3">
        <v>0</v>
      </c>
      <c r="AS31" s="3" t="s">
        <v>3</v>
      </c>
      <c r="AT31" s="3">
        <v>1</v>
      </c>
      <c r="AU31" s="3">
        <v>2</v>
      </c>
    </row>
    <row r="32" spans="2:47" x14ac:dyDescent="0.25">
      <c r="B32" s="3" t="s">
        <v>384</v>
      </c>
      <c r="C32" s="3">
        <v>0</v>
      </c>
      <c r="D32" s="3" t="s">
        <v>165</v>
      </c>
      <c r="E32" s="3" t="s">
        <v>3</v>
      </c>
      <c r="F32" s="3" t="s">
        <v>346</v>
      </c>
      <c r="G32" s="3" t="s">
        <v>3</v>
      </c>
      <c r="H32" s="3">
        <v>34240</v>
      </c>
      <c r="I32" s="3">
        <v>34240</v>
      </c>
      <c r="J32" s="3">
        <v>0</v>
      </c>
      <c r="K32" s="3">
        <v>34240</v>
      </c>
      <c r="L32" s="3">
        <v>0</v>
      </c>
      <c r="M32" s="3">
        <v>0</v>
      </c>
      <c r="N32" s="3">
        <v>0</v>
      </c>
      <c r="O32" s="3" t="s">
        <v>385</v>
      </c>
      <c r="P32" s="3" t="s">
        <v>3</v>
      </c>
      <c r="Q32" s="3" t="s">
        <v>386</v>
      </c>
      <c r="R32" s="3" t="s">
        <v>3</v>
      </c>
      <c r="S32" s="3" t="s">
        <v>3</v>
      </c>
      <c r="T32" s="3" t="s">
        <v>3</v>
      </c>
      <c r="U32" s="3">
        <v>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  <c r="AA32" s="3">
        <v>0</v>
      </c>
      <c r="AB32" s="3" t="s">
        <v>3</v>
      </c>
      <c r="AC32" s="3">
        <v>34240</v>
      </c>
      <c r="AD32" s="3">
        <v>1</v>
      </c>
      <c r="AE32" s="3">
        <v>0</v>
      </c>
      <c r="AF32" s="3">
        <v>3</v>
      </c>
      <c r="AG32" s="3">
        <v>3</v>
      </c>
      <c r="AH32" s="3" t="s">
        <v>126</v>
      </c>
      <c r="AI32" s="3" t="s">
        <v>166</v>
      </c>
      <c r="AJ32" s="3">
        <v>46156.41002314815</v>
      </c>
      <c r="AK32" s="3">
        <v>55934686</v>
      </c>
      <c r="AL32" s="3">
        <v>0</v>
      </c>
      <c r="AM32" s="3">
        <v>0</v>
      </c>
      <c r="AN32" s="3">
        <v>0</v>
      </c>
      <c r="AO32" s="3">
        <v>46073</v>
      </c>
      <c r="AP32" s="3">
        <v>0</v>
      </c>
      <c r="AQ32" s="3">
        <v>1</v>
      </c>
      <c r="AR32" s="3">
        <v>0</v>
      </c>
      <c r="AS32" s="3" t="s">
        <v>3</v>
      </c>
      <c r="AT32" s="3">
        <v>1</v>
      </c>
      <c r="AU32" s="3">
        <v>2</v>
      </c>
    </row>
    <row r="33" spans="2:47" x14ac:dyDescent="0.25">
      <c r="B33" s="3" t="s">
        <v>387</v>
      </c>
      <c r="C33" s="3">
        <v>0</v>
      </c>
      <c r="D33" s="3" t="s">
        <v>176</v>
      </c>
      <c r="E33" s="3" t="s">
        <v>3</v>
      </c>
      <c r="F33" s="3" t="s">
        <v>346</v>
      </c>
      <c r="G33" s="3" t="s">
        <v>3</v>
      </c>
      <c r="H33" s="3">
        <v>91290</v>
      </c>
      <c r="I33" s="3">
        <v>91290</v>
      </c>
      <c r="J33" s="3">
        <v>0</v>
      </c>
      <c r="K33" s="3">
        <v>91290</v>
      </c>
      <c r="L33" s="3">
        <v>0</v>
      </c>
      <c r="M33" s="3">
        <v>0</v>
      </c>
      <c r="N33" s="3">
        <v>0</v>
      </c>
      <c r="O33" s="3" t="s">
        <v>385</v>
      </c>
      <c r="P33" s="3" t="s">
        <v>3</v>
      </c>
      <c r="Q33" s="3" t="s">
        <v>386</v>
      </c>
      <c r="R33" s="3" t="s">
        <v>3</v>
      </c>
      <c r="S33" s="3" t="s">
        <v>3</v>
      </c>
      <c r="T33" s="3" t="s">
        <v>3</v>
      </c>
      <c r="U33" s="3">
        <v>0</v>
      </c>
      <c r="V33" s="3">
        <v>0</v>
      </c>
      <c r="W33" s="3">
        <v>0</v>
      </c>
      <c r="X33" s="3">
        <v>0</v>
      </c>
      <c r="Y33" s="3" t="s">
        <v>3</v>
      </c>
      <c r="Z33" s="3" t="s">
        <v>3</v>
      </c>
      <c r="AA33" s="3">
        <v>0</v>
      </c>
      <c r="AB33" s="3" t="s">
        <v>3</v>
      </c>
      <c r="AC33" s="3">
        <v>91290</v>
      </c>
      <c r="AD33" s="3">
        <v>1</v>
      </c>
      <c r="AE33" s="3">
        <v>0</v>
      </c>
      <c r="AF33" s="3">
        <v>3</v>
      </c>
      <c r="AG33" s="3">
        <v>3</v>
      </c>
      <c r="AH33" s="3" t="s">
        <v>126</v>
      </c>
      <c r="AI33" s="3" t="s">
        <v>177</v>
      </c>
      <c r="AJ33" s="3">
        <v>46156.410046296296</v>
      </c>
      <c r="AK33" s="3">
        <v>55934776</v>
      </c>
      <c r="AL33" s="3">
        <v>0</v>
      </c>
      <c r="AM33" s="3">
        <v>0</v>
      </c>
      <c r="AN33" s="3">
        <v>0</v>
      </c>
      <c r="AO33" s="3">
        <v>46073</v>
      </c>
      <c r="AP33" s="3">
        <v>0</v>
      </c>
      <c r="AQ33" s="3">
        <v>1</v>
      </c>
      <c r="AR33" s="3">
        <v>0</v>
      </c>
      <c r="AS33" s="3" t="s">
        <v>349</v>
      </c>
      <c r="AT33" s="3">
        <v>2</v>
      </c>
      <c r="AU33" s="3">
        <v>2</v>
      </c>
    </row>
    <row r="34" spans="2:47" x14ac:dyDescent="0.25">
      <c r="B34" s="3" t="s">
        <v>388</v>
      </c>
      <c r="C34" s="3">
        <v>0</v>
      </c>
      <c r="D34" s="3" t="s">
        <v>176</v>
      </c>
      <c r="E34" s="3" t="s">
        <v>3</v>
      </c>
      <c r="F34" s="3" t="s">
        <v>346</v>
      </c>
      <c r="G34" s="3" t="s">
        <v>3</v>
      </c>
      <c r="H34" s="3">
        <v>80441</v>
      </c>
      <c r="I34" s="3">
        <v>80441</v>
      </c>
      <c r="J34" s="3">
        <v>0</v>
      </c>
      <c r="K34" s="3">
        <v>80441</v>
      </c>
      <c r="L34" s="3">
        <v>0</v>
      </c>
      <c r="M34" s="3">
        <v>0</v>
      </c>
      <c r="N34" s="3">
        <v>0</v>
      </c>
      <c r="O34" s="3" t="s">
        <v>389</v>
      </c>
      <c r="P34" s="3" t="s">
        <v>3</v>
      </c>
      <c r="Q34" s="3" t="s">
        <v>390</v>
      </c>
      <c r="R34" s="3" t="s">
        <v>3</v>
      </c>
      <c r="S34" s="3" t="s">
        <v>3</v>
      </c>
      <c r="T34" s="3" t="s">
        <v>3</v>
      </c>
      <c r="U34" s="3">
        <v>0</v>
      </c>
      <c r="V34" s="3">
        <v>0</v>
      </c>
      <c r="W34" s="3">
        <v>0</v>
      </c>
      <c r="X34" s="3">
        <v>0</v>
      </c>
      <c r="Y34" s="3" t="s">
        <v>3</v>
      </c>
      <c r="Z34" s="3" t="s">
        <v>3</v>
      </c>
      <c r="AA34" s="3">
        <v>0</v>
      </c>
      <c r="AB34" s="3" t="s">
        <v>3</v>
      </c>
      <c r="AC34" s="3">
        <v>80441</v>
      </c>
      <c r="AD34" s="3">
        <v>1</v>
      </c>
      <c r="AE34" s="3">
        <v>0</v>
      </c>
      <c r="AF34" s="3">
        <v>3</v>
      </c>
      <c r="AG34" s="3">
        <v>3</v>
      </c>
      <c r="AH34" s="3" t="s">
        <v>126</v>
      </c>
      <c r="AI34" s="3" t="s">
        <v>177</v>
      </c>
      <c r="AJ34" s="3">
        <v>46156.410046296296</v>
      </c>
      <c r="AK34" s="3">
        <v>55934776</v>
      </c>
      <c r="AL34" s="3">
        <v>0</v>
      </c>
      <c r="AM34" s="3">
        <v>0</v>
      </c>
      <c r="AN34" s="3">
        <v>0</v>
      </c>
      <c r="AO34" s="3">
        <v>46073</v>
      </c>
      <c r="AP34" s="3">
        <v>0</v>
      </c>
      <c r="AQ34" s="3">
        <v>1</v>
      </c>
      <c r="AR34" s="3">
        <v>0</v>
      </c>
      <c r="AS34" s="3" t="s">
        <v>3</v>
      </c>
      <c r="AT34" s="3">
        <v>2</v>
      </c>
      <c r="AU34" s="3">
        <v>2</v>
      </c>
    </row>
    <row r="35" spans="2:47" x14ac:dyDescent="0.25">
      <c r="B35" s="3" t="s">
        <v>391</v>
      </c>
      <c r="C35" s="3">
        <v>1</v>
      </c>
      <c r="D35" s="3" t="s">
        <v>176</v>
      </c>
      <c r="E35" s="3" t="s">
        <v>3</v>
      </c>
      <c r="F35" s="3" t="s">
        <v>346</v>
      </c>
      <c r="G35" s="3" t="s">
        <v>3</v>
      </c>
      <c r="H35" s="3">
        <v>76294.02</v>
      </c>
      <c r="I35" s="3">
        <v>76294.02</v>
      </c>
      <c r="J35" s="3">
        <v>0</v>
      </c>
      <c r="K35" s="3">
        <v>76294.02</v>
      </c>
      <c r="L35" s="3">
        <v>0</v>
      </c>
      <c r="M35" s="3">
        <v>0</v>
      </c>
      <c r="N35" s="3">
        <v>0</v>
      </c>
      <c r="O35" s="3" t="s">
        <v>392</v>
      </c>
      <c r="P35" s="3" t="s">
        <v>3</v>
      </c>
      <c r="Q35" s="3" t="s">
        <v>393</v>
      </c>
      <c r="R35" s="3" t="s">
        <v>3</v>
      </c>
      <c r="S35" s="3" t="s">
        <v>3</v>
      </c>
      <c r="T35" s="3" t="s">
        <v>3</v>
      </c>
      <c r="U35" s="3">
        <v>0</v>
      </c>
      <c r="V35" s="3">
        <v>0</v>
      </c>
      <c r="W35" s="3">
        <v>0</v>
      </c>
      <c r="X35" s="3">
        <v>0</v>
      </c>
      <c r="Y35" s="3" t="s">
        <v>3</v>
      </c>
      <c r="Z35" s="3" t="s">
        <v>3</v>
      </c>
      <c r="AA35" s="3">
        <v>0</v>
      </c>
      <c r="AB35" s="3" t="s">
        <v>3</v>
      </c>
      <c r="AC35" s="3">
        <v>76294.02</v>
      </c>
      <c r="AD35" s="3">
        <v>1</v>
      </c>
      <c r="AE35" s="3">
        <v>0</v>
      </c>
      <c r="AF35" s="3">
        <v>3</v>
      </c>
      <c r="AG35" s="3">
        <v>3</v>
      </c>
      <c r="AH35" s="3" t="s">
        <v>126</v>
      </c>
      <c r="AI35" s="3" t="s">
        <v>177</v>
      </c>
      <c r="AJ35" s="3">
        <v>46156.410046296296</v>
      </c>
      <c r="AK35" s="3">
        <v>55934776</v>
      </c>
      <c r="AL35" s="3">
        <v>0</v>
      </c>
      <c r="AM35" s="3">
        <v>0</v>
      </c>
      <c r="AN35" s="3">
        <v>0</v>
      </c>
      <c r="AO35" s="3">
        <v>46073</v>
      </c>
      <c r="AP35" s="3">
        <v>0</v>
      </c>
      <c r="AQ35" s="3">
        <v>1</v>
      </c>
      <c r="AR35" s="3">
        <v>0</v>
      </c>
      <c r="AS35" s="3" t="s">
        <v>3</v>
      </c>
      <c r="AT35" s="3">
        <v>2</v>
      </c>
      <c r="AU35" s="3">
        <v>2</v>
      </c>
    </row>
    <row r="36" spans="2:47" x14ac:dyDescent="0.25">
      <c r="B36" s="3" t="s">
        <v>394</v>
      </c>
      <c r="C36" s="3">
        <v>1</v>
      </c>
      <c r="D36" s="3" t="s">
        <v>182</v>
      </c>
      <c r="E36" s="3" t="s">
        <v>3</v>
      </c>
      <c r="F36" s="3" t="s">
        <v>346</v>
      </c>
      <c r="G36" s="3" t="s">
        <v>3</v>
      </c>
      <c r="H36" s="3">
        <v>5757</v>
      </c>
      <c r="I36" s="3">
        <v>5757</v>
      </c>
      <c r="J36" s="3">
        <v>0</v>
      </c>
      <c r="K36" s="3">
        <v>5757</v>
      </c>
      <c r="L36" s="3">
        <v>0</v>
      </c>
      <c r="M36" s="3">
        <v>0</v>
      </c>
      <c r="N36" s="3">
        <v>0</v>
      </c>
      <c r="O36" s="3" t="s">
        <v>395</v>
      </c>
      <c r="P36" s="3" t="s">
        <v>3</v>
      </c>
      <c r="Q36" s="3" t="s">
        <v>396</v>
      </c>
      <c r="R36" s="3" t="s">
        <v>3</v>
      </c>
      <c r="S36" s="3" t="s">
        <v>3</v>
      </c>
      <c r="T36" s="3" t="s">
        <v>3</v>
      </c>
      <c r="U36" s="3">
        <v>0</v>
      </c>
      <c r="V36" s="3">
        <v>0</v>
      </c>
      <c r="W36" s="3">
        <v>0</v>
      </c>
      <c r="X36" s="3">
        <v>0</v>
      </c>
      <c r="Y36" s="3" t="s">
        <v>3</v>
      </c>
      <c r="Z36" s="3" t="s">
        <v>3</v>
      </c>
      <c r="AA36" s="3">
        <v>0</v>
      </c>
      <c r="AB36" s="3" t="s">
        <v>3</v>
      </c>
      <c r="AC36" s="3">
        <v>5757</v>
      </c>
      <c r="AD36" s="3">
        <v>1</v>
      </c>
      <c r="AE36" s="3">
        <v>0</v>
      </c>
      <c r="AF36" s="3">
        <v>3</v>
      </c>
      <c r="AG36" s="3">
        <v>3</v>
      </c>
      <c r="AH36" s="3" t="s">
        <v>126</v>
      </c>
      <c r="AI36" s="3" t="s">
        <v>183</v>
      </c>
      <c r="AJ36" s="3">
        <v>46156.410069444442</v>
      </c>
      <c r="AK36" s="3">
        <v>55934837</v>
      </c>
      <c r="AL36" s="3">
        <v>0</v>
      </c>
      <c r="AM36" s="3">
        <v>0</v>
      </c>
      <c r="AN36" s="3">
        <v>0</v>
      </c>
      <c r="AO36" s="3">
        <v>46073</v>
      </c>
      <c r="AP36" s="3">
        <v>0</v>
      </c>
      <c r="AQ36" s="3">
        <v>1</v>
      </c>
      <c r="AR36" s="3">
        <v>0</v>
      </c>
      <c r="AS36" s="3" t="s">
        <v>349</v>
      </c>
      <c r="AT36" s="3">
        <v>1</v>
      </c>
      <c r="AU36" s="3">
        <v>14</v>
      </c>
    </row>
    <row r="37" spans="2:47" x14ac:dyDescent="0.25">
      <c r="B37" s="3" t="s">
        <v>397</v>
      </c>
      <c r="C37" s="3">
        <v>0</v>
      </c>
      <c r="D37" s="3" t="s">
        <v>182</v>
      </c>
      <c r="E37" s="3" t="s">
        <v>3</v>
      </c>
      <c r="F37" s="3" t="s">
        <v>346</v>
      </c>
      <c r="G37" s="3" t="s">
        <v>3</v>
      </c>
      <c r="H37" s="3">
        <v>5757</v>
      </c>
      <c r="I37" s="3">
        <v>5757</v>
      </c>
      <c r="J37" s="3">
        <v>0</v>
      </c>
      <c r="K37" s="3">
        <v>5757</v>
      </c>
      <c r="L37" s="3">
        <v>0</v>
      </c>
      <c r="M37" s="3">
        <v>0</v>
      </c>
      <c r="N37" s="3">
        <v>0</v>
      </c>
      <c r="O37" s="3" t="s">
        <v>398</v>
      </c>
      <c r="P37" s="3" t="s">
        <v>3</v>
      </c>
      <c r="Q37" s="3" t="s">
        <v>399</v>
      </c>
      <c r="R37" s="3" t="s">
        <v>3</v>
      </c>
      <c r="S37" s="3" t="s">
        <v>3</v>
      </c>
      <c r="T37" s="3" t="s">
        <v>3</v>
      </c>
      <c r="U37" s="3">
        <v>0</v>
      </c>
      <c r="V37" s="3">
        <v>0</v>
      </c>
      <c r="W37" s="3">
        <v>0</v>
      </c>
      <c r="X37" s="3">
        <v>0</v>
      </c>
      <c r="Y37" s="3" t="s">
        <v>3</v>
      </c>
      <c r="Z37" s="3" t="s">
        <v>3</v>
      </c>
      <c r="AA37" s="3">
        <v>0</v>
      </c>
      <c r="AB37" s="3" t="s">
        <v>3</v>
      </c>
      <c r="AC37" s="3">
        <v>5757</v>
      </c>
      <c r="AD37" s="3">
        <v>1</v>
      </c>
      <c r="AE37" s="3">
        <v>0</v>
      </c>
      <c r="AF37" s="3">
        <v>3</v>
      </c>
      <c r="AG37" s="3">
        <v>3</v>
      </c>
      <c r="AH37" s="3" t="s">
        <v>126</v>
      </c>
      <c r="AI37" s="3" t="s">
        <v>183</v>
      </c>
      <c r="AJ37" s="3">
        <v>46156.410069444442</v>
      </c>
      <c r="AK37" s="3">
        <v>55934837</v>
      </c>
      <c r="AL37" s="3">
        <v>0</v>
      </c>
      <c r="AM37" s="3">
        <v>0</v>
      </c>
      <c r="AN37" s="3">
        <v>0</v>
      </c>
      <c r="AO37" s="3">
        <v>46073</v>
      </c>
      <c r="AP37" s="3">
        <v>0</v>
      </c>
      <c r="AQ37" s="3">
        <v>1</v>
      </c>
      <c r="AR37" s="3">
        <v>0</v>
      </c>
      <c r="AS37" s="3" t="s">
        <v>3</v>
      </c>
      <c r="AT37" s="3">
        <v>1</v>
      </c>
      <c r="AU37" s="3">
        <v>14</v>
      </c>
    </row>
    <row r="38" spans="2:47" x14ac:dyDescent="0.25">
      <c r="B38" s="3" t="s">
        <v>400</v>
      </c>
      <c r="C38" s="3">
        <v>0</v>
      </c>
      <c r="D38" s="3" t="s">
        <v>182</v>
      </c>
      <c r="E38" s="3" t="s">
        <v>3</v>
      </c>
      <c r="F38" s="3" t="s">
        <v>346</v>
      </c>
      <c r="G38" s="3" t="s">
        <v>3</v>
      </c>
      <c r="H38" s="3">
        <v>5757</v>
      </c>
      <c r="I38" s="3">
        <v>5757</v>
      </c>
      <c r="J38" s="3">
        <v>0</v>
      </c>
      <c r="K38" s="3">
        <v>5757</v>
      </c>
      <c r="L38" s="3">
        <v>0</v>
      </c>
      <c r="M38" s="3">
        <v>0</v>
      </c>
      <c r="N38" s="3">
        <v>0</v>
      </c>
      <c r="O38" s="3" t="s">
        <v>392</v>
      </c>
      <c r="P38" s="3" t="s">
        <v>3</v>
      </c>
      <c r="Q38" s="3" t="s">
        <v>393</v>
      </c>
      <c r="R38" s="3" t="s">
        <v>3</v>
      </c>
      <c r="S38" s="3" t="s">
        <v>3</v>
      </c>
      <c r="T38" s="3" t="s">
        <v>3</v>
      </c>
      <c r="U38" s="3">
        <v>0</v>
      </c>
      <c r="V38" s="3">
        <v>0</v>
      </c>
      <c r="W38" s="3">
        <v>0</v>
      </c>
      <c r="X38" s="3">
        <v>0</v>
      </c>
      <c r="Y38" s="3" t="s">
        <v>3</v>
      </c>
      <c r="Z38" s="3" t="s">
        <v>3</v>
      </c>
      <c r="AA38" s="3">
        <v>0</v>
      </c>
      <c r="AB38" s="3" t="s">
        <v>3</v>
      </c>
      <c r="AC38" s="3">
        <v>5757</v>
      </c>
      <c r="AD38" s="3">
        <v>1</v>
      </c>
      <c r="AE38" s="3">
        <v>0</v>
      </c>
      <c r="AF38" s="3">
        <v>3</v>
      </c>
      <c r="AG38" s="3">
        <v>3</v>
      </c>
      <c r="AH38" s="3" t="s">
        <v>126</v>
      </c>
      <c r="AI38" s="3" t="s">
        <v>183</v>
      </c>
      <c r="AJ38" s="3">
        <v>46156.410069444442</v>
      </c>
      <c r="AK38" s="3">
        <v>55934837</v>
      </c>
      <c r="AL38" s="3">
        <v>0</v>
      </c>
      <c r="AM38" s="3">
        <v>0</v>
      </c>
      <c r="AN38" s="3">
        <v>0</v>
      </c>
      <c r="AO38" s="3">
        <v>46073</v>
      </c>
      <c r="AP38" s="3">
        <v>0</v>
      </c>
      <c r="AQ38" s="3">
        <v>1</v>
      </c>
      <c r="AR38" s="3">
        <v>0</v>
      </c>
      <c r="AS38" s="3" t="s">
        <v>3</v>
      </c>
      <c r="AT38" s="3">
        <v>1</v>
      </c>
      <c r="AU38" s="3">
        <v>14</v>
      </c>
    </row>
    <row r="39" spans="2:47" x14ac:dyDescent="0.25">
      <c r="B39" s="3" t="s">
        <v>401</v>
      </c>
      <c r="C39" s="3">
        <v>1</v>
      </c>
      <c r="D39" s="3" t="s">
        <v>189</v>
      </c>
      <c r="E39" s="3" t="s">
        <v>3</v>
      </c>
      <c r="F39" s="3" t="s">
        <v>346</v>
      </c>
      <c r="G39" s="3" t="s">
        <v>3</v>
      </c>
      <c r="H39" s="3">
        <v>31900</v>
      </c>
      <c r="I39" s="3">
        <v>31900</v>
      </c>
      <c r="J39" s="3">
        <v>0</v>
      </c>
      <c r="K39" s="3">
        <v>31900</v>
      </c>
      <c r="L39" s="3">
        <v>0</v>
      </c>
      <c r="M39" s="3">
        <v>0</v>
      </c>
      <c r="N39" s="3">
        <v>0</v>
      </c>
      <c r="O39" s="3" t="s">
        <v>392</v>
      </c>
      <c r="P39" s="3" t="s">
        <v>3</v>
      </c>
      <c r="Q39" s="3" t="s">
        <v>393</v>
      </c>
      <c r="R39" s="3" t="s">
        <v>3</v>
      </c>
      <c r="S39" s="3" t="s">
        <v>3</v>
      </c>
      <c r="T39" s="3" t="s">
        <v>3</v>
      </c>
      <c r="U39" s="3">
        <v>0</v>
      </c>
      <c r="V39" s="3">
        <v>0</v>
      </c>
      <c r="W39" s="3">
        <v>0</v>
      </c>
      <c r="X39" s="3">
        <v>0</v>
      </c>
      <c r="Y39" s="3" t="s">
        <v>3</v>
      </c>
      <c r="Z39" s="3" t="s">
        <v>3</v>
      </c>
      <c r="AA39" s="3">
        <v>0</v>
      </c>
      <c r="AB39" s="3" t="s">
        <v>3</v>
      </c>
      <c r="AC39" s="3">
        <v>31900</v>
      </c>
      <c r="AD39" s="3">
        <v>1</v>
      </c>
      <c r="AE39" s="3">
        <v>0</v>
      </c>
      <c r="AF39" s="3">
        <v>3</v>
      </c>
      <c r="AG39" s="3">
        <v>3</v>
      </c>
      <c r="AH39" s="3" t="s">
        <v>126</v>
      </c>
      <c r="AI39" s="3" t="s">
        <v>190</v>
      </c>
      <c r="AJ39" s="3">
        <v>46156.410092592596</v>
      </c>
      <c r="AK39" s="3">
        <v>55934918</v>
      </c>
      <c r="AL39" s="3">
        <v>0</v>
      </c>
      <c r="AM39" s="3">
        <v>0</v>
      </c>
      <c r="AN39" s="3">
        <v>0</v>
      </c>
      <c r="AO39" s="3">
        <v>46073</v>
      </c>
      <c r="AP39" s="3">
        <v>0</v>
      </c>
      <c r="AQ39" s="3">
        <v>1</v>
      </c>
      <c r="AR39" s="3">
        <v>0</v>
      </c>
      <c r="AS39" s="3" t="s">
        <v>349</v>
      </c>
      <c r="AT39" s="3">
        <v>1</v>
      </c>
      <c r="AU39" s="3">
        <v>81</v>
      </c>
    </row>
    <row r="40" spans="2:47" x14ac:dyDescent="0.25">
      <c r="B40" s="3" t="s">
        <v>402</v>
      </c>
      <c r="C40" s="3">
        <v>0</v>
      </c>
      <c r="D40" s="3" t="s">
        <v>189</v>
      </c>
      <c r="E40" s="3" t="s">
        <v>3</v>
      </c>
      <c r="F40" s="3" t="s">
        <v>346</v>
      </c>
      <c r="G40" s="3" t="s">
        <v>3</v>
      </c>
      <c r="H40" s="3">
        <v>31900</v>
      </c>
      <c r="I40" s="3">
        <v>31900</v>
      </c>
      <c r="J40" s="3">
        <v>0</v>
      </c>
      <c r="K40" s="3">
        <v>31900</v>
      </c>
      <c r="L40" s="3">
        <v>0</v>
      </c>
      <c r="M40" s="3">
        <v>0</v>
      </c>
      <c r="N40" s="3">
        <v>0</v>
      </c>
      <c r="O40" s="3" t="s">
        <v>403</v>
      </c>
      <c r="P40" s="3" t="s">
        <v>3</v>
      </c>
      <c r="Q40" s="3" t="s">
        <v>404</v>
      </c>
      <c r="R40" s="3" t="s">
        <v>3</v>
      </c>
      <c r="S40" s="3" t="s">
        <v>3</v>
      </c>
      <c r="T40" s="3" t="s">
        <v>3</v>
      </c>
      <c r="U40" s="3">
        <v>0</v>
      </c>
      <c r="V40" s="3">
        <v>0</v>
      </c>
      <c r="W40" s="3">
        <v>0</v>
      </c>
      <c r="X40" s="3">
        <v>0</v>
      </c>
      <c r="Y40" s="3" t="s">
        <v>3</v>
      </c>
      <c r="Z40" s="3" t="s">
        <v>3</v>
      </c>
      <c r="AA40" s="3">
        <v>0</v>
      </c>
      <c r="AB40" s="3" t="s">
        <v>3</v>
      </c>
      <c r="AC40" s="3">
        <v>31900</v>
      </c>
      <c r="AD40" s="3">
        <v>1</v>
      </c>
      <c r="AE40" s="3">
        <v>0</v>
      </c>
      <c r="AF40" s="3">
        <v>3</v>
      </c>
      <c r="AG40" s="3">
        <v>3</v>
      </c>
      <c r="AH40" s="3" t="s">
        <v>126</v>
      </c>
      <c r="AI40" s="3" t="s">
        <v>190</v>
      </c>
      <c r="AJ40" s="3">
        <v>46156.410092592596</v>
      </c>
      <c r="AK40" s="3">
        <v>55934918</v>
      </c>
      <c r="AL40" s="3">
        <v>0</v>
      </c>
      <c r="AM40" s="3">
        <v>0</v>
      </c>
      <c r="AN40" s="3">
        <v>0</v>
      </c>
      <c r="AO40" s="3">
        <v>46073</v>
      </c>
      <c r="AP40" s="3">
        <v>0</v>
      </c>
      <c r="AQ40" s="3">
        <v>1</v>
      </c>
      <c r="AR40" s="3">
        <v>0</v>
      </c>
      <c r="AS40" s="3" t="s">
        <v>3</v>
      </c>
      <c r="AT40" s="3">
        <v>1</v>
      </c>
      <c r="AU40" s="3">
        <v>81</v>
      </c>
    </row>
    <row r="41" spans="2:47" x14ac:dyDescent="0.25">
      <c r="B41" s="3" t="s">
        <v>405</v>
      </c>
      <c r="C41" s="3">
        <v>0</v>
      </c>
      <c r="D41" s="3" t="s">
        <v>189</v>
      </c>
      <c r="E41" s="3" t="s">
        <v>3</v>
      </c>
      <c r="F41" s="3" t="s">
        <v>346</v>
      </c>
      <c r="G41" s="3" t="s">
        <v>3</v>
      </c>
      <c r="H41" s="3">
        <v>31900</v>
      </c>
      <c r="I41" s="3">
        <v>31900</v>
      </c>
      <c r="J41" s="3">
        <v>0</v>
      </c>
      <c r="K41" s="3">
        <v>31900</v>
      </c>
      <c r="L41" s="3">
        <v>0</v>
      </c>
      <c r="M41" s="3">
        <v>0</v>
      </c>
      <c r="N41" s="3">
        <v>0</v>
      </c>
      <c r="O41" s="3" t="s">
        <v>389</v>
      </c>
      <c r="P41" s="3" t="s">
        <v>3</v>
      </c>
      <c r="Q41" s="3" t="s">
        <v>390</v>
      </c>
      <c r="R41" s="3" t="s">
        <v>3</v>
      </c>
      <c r="S41" s="3" t="s">
        <v>3</v>
      </c>
      <c r="T41" s="3" t="s">
        <v>3</v>
      </c>
      <c r="U41" s="3">
        <v>0</v>
      </c>
      <c r="V41" s="3">
        <v>0</v>
      </c>
      <c r="W41" s="3">
        <v>0</v>
      </c>
      <c r="X41" s="3">
        <v>0</v>
      </c>
      <c r="Y41" s="3" t="s">
        <v>3</v>
      </c>
      <c r="Z41" s="3" t="s">
        <v>3</v>
      </c>
      <c r="AA41" s="3">
        <v>0</v>
      </c>
      <c r="AB41" s="3" t="s">
        <v>3</v>
      </c>
      <c r="AC41" s="3">
        <v>31900</v>
      </c>
      <c r="AD41" s="3">
        <v>1</v>
      </c>
      <c r="AE41" s="3">
        <v>0</v>
      </c>
      <c r="AF41" s="3">
        <v>3</v>
      </c>
      <c r="AG41" s="3">
        <v>3</v>
      </c>
      <c r="AH41" s="3" t="s">
        <v>126</v>
      </c>
      <c r="AI41" s="3" t="s">
        <v>190</v>
      </c>
      <c r="AJ41" s="3">
        <v>46156.410092592596</v>
      </c>
      <c r="AK41" s="3">
        <v>55934918</v>
      </c>
      <c r="AL41" s="3">
        <v>0</v>
      </c>
      <c r="AM41" s="3">
        <v>0</v>
      </c>
      <c r="AN41" s="3">
        <v>0</v>
      </c>
      <c r="AO41" s="3">
        <v>46073</v>
      </c>
      <c r="AP41" s="3">
        <v>0</v>
      </c>
      <c r="AQ41" s="3">
        <v>1</v>
      </c>
      <c r="AR41" s="3">
        <v>0</v>
      </c>
      <c r="AS41" s="3" t="s">
        <v>3</v>
      </c>
      <c r="AT41" s="3">
        <v>1</v>
      </c>
      <c r="AU41" s="3">
        <v>81</v>
      </c>
    </row>
    <row r="42" spans="2:47" x14ac:dyDescent="0.25">
      <c r="B42" s="3" t="s">
        <v>406</v>
      </c>
      <c r="C42" s="3">
        <v>1</v>
      </c>
      <c r="D42" s="3" t="s">
        <v>195</v>
      </c>
      <c r="E42" s="3" t="s">
        <v>3</v>
      </c>
      <c r="F42" s="3" t="s">
        <v>346</v>
      </c>
      <c r="G42" s="3" t="s">
        <v>3</v>
      </c>
      <c r="H42" s="3">
        <v>33900</v>
      </c>
      <c r="I42" s="3">
        <v>33900</v>
      </c>
      <c r="J42" s="3">
        <v>0</v>
      </c>
      <c r="K42" s="3">
        <v>33900</v>
      </c>
      <c r="L42" s="3">
        <v>0</v>
      </c>
      <c r="M42" s="3">
        <v>0</v>
      </c>
      <c r="N42" s="3">
        <v>0</v>
      </c>
      <c r="O42" s="3" t="s">
        <v>392</v>
      </c>
      <c r="P42" s="3" t="s">
        <v>3</v>
      </c>
      <c r="Q42" s="3" t="s">
        <v>393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 t="s">
        <v>3</v>
      </c>
      <c r="Z42" s="3" t="s">
        <v>3</v>
      </c>
      <c r="AA42" s="3">
        <v>0</v>
      </c>
      <c r="AB42" s="3" t="s">
        <v>3</v>
      </c>
      <c r="AC42" s="3">
        <v>33900</v>
      </c>
      <c r="AD42" s="3">
        <v>1</v>
      </c>
      <c r="AE42" s="3">
        <v>0</v>
      </c>
      <c r="AF42" s="3">
        <v>3</v>
      </c>
      <c r="AG42" s="3">
        <v>3</v>
      </c>
      <c r="AH42" s="3" t="s">
        <v>126</v>
      </c>
      <c r="AI42" s="3" t="s">
        <v>196</v>
      </c>
      <c r="AJ42" s="3">
        <v>46156.410115740742</v>
      </c>
      <c r="AK42" s="3">
        <v>55934924</v>
      </c>
      <c r="AL42" s="3">
        <v>0</v>
      </c>
      <c r="AM42" s="3">
        <v>0</v>
      </c>
      <c r="AN42" s="3">
        <v>0</v>
      </c>
      <c r="AO42" s="3">
        <v>46073</v>
      </c>
      <c r="AP42" s="3">
        <v>0</v>
      </c>
      <c r="AQ42" s="3">
        <v>1</v>
      </c>
      <c r="AR42" s="3">
        <v>0</v>
      </c>
      <c r="AS42" s="3" t="s">
        <v>349</v>
      </c>
      <c r="AT42" s="3">
        <v>1</v>
      </c>
      <c r="AU42" s="3">
        <v>14</v>
      </c>
    </row>
    <row r="43" spans="2:47" x14ac:dyDescent="0.25">
      <c r="B43" s="3" t="s">
        <v>407</v>
      </c>
      <c r="C43" s="3">
        <v>0</v>
      </c>
      <c r="D43" s="3" t="s">
        <v>195</v>
      </c>
      <c r="E43" s="3" t="s">
        <v>3</v>
      </c>
      <c r="F43" s="3" t="s">
        <v>346</v>
      </c>
      <c r="G43" s="3" t="s">
        <v>3</v>
      </c>
      <c r="H43" s="3">
        <v>33900</v>
      </c>
      <c r="I43" s="3">
        <v>33900</v>
      </c>
      <c r="J43" s="3">
        <v>0</v>
      </c>
      <c r="K43" s="3">
        <v>33900</v>
      </c>
      <c r="L43" s="3">
        <v>0</v>
      </c>
      <c r="M43" s="3">
        <v>0</v>
      </c>
      <c r="N43" s="3">
        <v>0</v>
      </c>
      <c r="O43" s="3" t="s">
        <v>408</v>
      </c>
      <c r="P43" s="3" t="s">
        <v>3</v>
      </c>
      <c r="Q43" s="3" t="s">
        <v>409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 t="s">
        <v>3</v>
      </c>
      <c r="Z43" s="3" t="s">
        <v>3</v>
      </c>
      <c r="AA43" s="3">
        <v>0</v>
      </c>
      <c r="AB43" s="3" t="s">
        <v>3</v>
      </c>
      <c r="AC43" s="3">
        <v>33900</v>
      </c>
      <c r="AD43" s="3">
        <v>1</v>
      </c>
      <c r="AE43" s="3">
        <v>0</v>
      </c>
      <c r="AF43" s="3">
        <v>3</v>
      </c>
      <c r="AG43" s="3">
        <v>3</v>
      </c>
      <c r="AH43" s="3" t="s">
        <v>126</v>
      </c>
      <c r="AI43" s="3" t="s">
        <v>196</v>
      </c>
      <c r="AJ43" s="3">
        <v>46156.410115740742</v>
      </c>
      <c r="AK43" s="3">
        <v>55934924</v>
      </c>
      <c r="AL43" s="3">
        <v>0</v>
      </c>
      <c r="AM43" s="3">
        <v>0</v>
      </c>
      <c r="AN43" s="3">
        <v>0</v>
      </c>
      <c r="AO43" s="3">
        <v>46073</v>
      </c>
      <c r="AP43" s="3">
        <v>0</v>
      </c>
      <c r="AQ43" s="3">
        <v>1</v>
      </c>
      <c r="AR43" s="3">
        <v>0</v>
      </c>
      <c r="AS43" s="3" t="s">
        <v>3</v>
      </c>
      <c r="AT43" s="3">
        <v>1</v>
      </c>
      <c r="AU43" s="3">
        <v>14</v>
      </c>
    </row>
    <row r="44" spans="2:47" x14ac:dyDescent="0.25">
      <c r="B44" s="3" t="s">
        <v>410</v>
      </c>
      <c r="C44" s="3">
        <v>0</v>
      </c>
      <c r="D44" s="3" t="s">
        <v>195</v>
      </c>
      <c r="E44" s="3" t="s">
        <v>3</v>
      </c>
      <c r="F44" s="3" t="s">
        <v>346</v>
      </c>
      <c r="G44" s="3" t="s">
        <v>3</v>
      </c>
      <c r="H44" s="3">
        <v>33900</v>
      </c>
      <c r="I44" s="3">
        <v>33900</v>
      </c>
      <c r="J44" s="3">
        <v>0</v>
      </c>
      <c r="K44" s="3">
        <v>33900</v>
      </c>
      <c r="L44" s="3">
        <v>0</v>
      </c>
      <c r="M44" s="3">
        <v>0</v>
      </c>
      <c r="N44" s="3">
        <v>0</v>
      </c>
      <c r="O44" s="3" t="s">
        <v>389</v>
      </c>
      <c r="P44" s="3" t="s">
        <v>3</v>
      </c>
      <c r="Q44" s="3" t="s">
        <v>390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  <c r="W44" s="3">
        <v>0</v>
      </c>
      <c r="X44" s="3">
        <v>0</v>
      </c>
      <c r="Y44" s="3" t="s">
        <v>3</v>
      </c>
      <c r="Z44" s="3" t="s">
        <v>3</v>
      </c>
      <c r="AA44" s="3">
        <v>0</v>
      </c>
      <c r="AB44" s="3" t="s">
        <v>3</v>
      </c>
      <c r="AC44" s="3">
        <v>33900</v>
      </c>
      <c r="AD44" s="3">
        <v>1</v>
      </c>
      <c r="AE44" s="3">
        <v>0</v>
      </c>
      <c r="AF44" s="3">
        <v>3</v>
      </c>
      <c r="AG44" s="3">
        <v>3</v>
      </c>
      <c r="AH44" s="3" t="s">
        <v>126</v>
      </c>
      <c r="AI44" s="3" t="s">
        <v>196</v>
      </c>
      <c r="AJ44" s="3">
        <v>46156.410115740742</v>
      </c>
      <c r="AK44" s="3">
        <v>55934924</v>
      </c>
      <c r="AL44" s="3">
        <v>0</v>
      </c>
      <c r="AM44" s="3">
        <v>0</v>
      </c>
      <c r="AN44" s="3">
        <v>0</v>
      </c>
      <c r="AO44" s="3">
        <v>46073</v>
      </c>
      <c r="AP44" s="3">
        <v>0</v>
      </c>
      <c r="AQ44" s="3">
        <v>1</v>
      </c>
      <c r="AR44" s="3">
        <v>0</v>
      </c>
      <c r="AS44" s="3" t="s">
        <v>3</v>
      </c>
      <c r="AT44" s="3">
        <v>1</v>
      </c>
      <c r="AU44" s="3">
        <v>14</v>
      </c>
    </row>
    <row r="45" spans="2:47" x14ac:dyDescent="0.25">
      <c r="B45" s="3" t="s">
        <v>411</v>
      </c>
      <c r="C45" s="3">
        <v>0</v>
      </c>
      <c r="D45" s="3" t="s">
        <v>199</v>
      </c>
      <c r="E45" s="3" t="s">
        <v>3</v>
      </c>
      <c r="F45" s="3" t="s">
        <v>346</v>
      </c>
      <c r="G45" s="3" t="s">
        <v>3</v>
      </c>
      <c r="H45" s="3">
        <v>54699</v>
      </c>
      <c r="I45" s="3">
        <v>54699</v>
      </c>
      <c r="J45" s="3">
        <v>0</v>
      </c>
      <c r="K45" s="3">
        <v>54699</v>
      </c>
      <c r="L45" s="3">
        <v>0</v>
      </c>
      <c r="M45" s="3">
        <v>0</v>
      </c>
      <c r="N45" s="3">
        <v>0</v>
      </c>
      <c r="O45" s="3" t="s">
        <v>412</v>
      </c>
      <c r="P45" s="3" t="s">
        <v>3</v>
      </c>
      <c r="Q45" s="3" t="s">
        <v>413</v>
      </c>
      <c r="R45" s="3" t="s">
        <v>3</v>
      </c>
      <c r="S45" s="3" t="s">
        <v>3</v>
      </c>
      <c r="T45" s="3" t="s">
        <v>3</v>
      </c>
      <c r="U45" s="3">
        <v>0</v>
      </c>
      <c r="V45" s="3">
        <v>0</v>
      </c>
      <c r="W45" s="3">
        <v>0</v>
      </c>
      <c r="X45" s="3">
        <v>0</v>
      </c>
      <c r="Y45" s="3" t="s">
        <v>3</v>
      </c>
      <c r="Z45" s="3" t="s">
        <v>3</v>
      </c>
      <c r="AA45" s="3">
        <v>0</v>
      </c>
      <c r="AB45" s="3" t="s">
        <v>3</v>
      </c>
      <c r="AC45" s="3">
        <v>54699</v>
      </c>
      <c r="AD45" s="3">
        <v>1</v>
      </c>
      <c r="AE45" s="3">
        <v>0</v>
      </c>
      <c r="AF45" s="3">
        <v>3</v>
      </c>
      <c r="AG45" s="3">
        <v>3</v>
      </c>
      <c r="AH45" s="3" t="s">
        <v>126</v>
      </c>
      <c r="AI45" s="3" t="s">
        <v>200</v>
      </c>
      <c r="AJ45" s="3">
        <v>46156.410150462965</v>
      </c>
      <c r="AK45" s="3">
        <v>55936035</v>
      </c>
      <c r="AL45" s="3">
        <v>0</v>
      </c>
      <c r="AM45" s="3">
        <v>0</v>
      </c>
      <c r="AN45" s="3">
        <v>0</v>
      </c>
      <c r="AO45" s="3">
        <v>46073</v>
      </c>
      <c r="AP45" s="3">
        <v>0</v>
      </c>
      <c r="AQ45" s="3">
        <v>1</v>
      </c>
      <c r="AR45" s="3">
        <v>0</v>
      </c>
      <c r="AS45" s="3" t="s">
        <v>349</v>
      </c>
      <c r="AT45" s="3">
        <v>1</v>
      </c>
      <c r="AU45" s="3">
        <v>4</v>
      </c>
    </row>
    <row r="46" spans="2:47" x14ac:dyDescent="0.25">
      <c r="B46" s="3" t="s">
        <v>414</v>
      </c>
      <c r="C46" s="3">
        <v>1</v>
      </c>
      <c r="D46" s="3" t="s">
        <v>199</v>
      </c>
      <c r="E46" s="3" t="s">
        <v>3</v>
      </c>
      <c r="F46" s="3" t="s">
        <v>346</v>
      </c>
      <c r="G46" s="3" t="s">
        <v>3</v>
      </c>
      <c r="H46" s="3">
        <v>54650</v>
      </c>
      <c r="I46" s="3">
        <v>54650</v>
      </c>
      <c r="J46" s="3">
        <v>0</v>
      </c>
      <c r="K46" s="3">
        <v>54650</v>
      </c>
      <c r="L46" s="3">
        <v>0</v>
      </c>
      <c r="M46" s="3">
        <v>0</v>
      </c>
      <c r="N46" s="3">
        <v>0</v>
      </c>
      <c r="O46" s="3" t="s">
        <v>415</v>
      </c>
      <c r="P46" s="3" t="s">
        <v>3</v>
      </c>
      <c r="Q46" s="3" t="s">
        <v>416</v>
      </c>
      <c r="R46" s="3" t="s">
        <v>3</v>
      </c>
      <c r="S46" s="3" t="s">
        <v>3</v>
      </c>
      <c r="T46" s="3" t="s">
        <v>3</v>
      </c>
      <c r="U46" s="3">
        <v>0</v>
      </c>
      <c r="V46" s="3">
        <v>0</v>
      </c>
      <c r="W46" s="3">
        <v>0</v>
      </c>
      <c r="X46" s="3">
        <v>0</v>
      </c>
      <c r="Y46" s="3" t="s">
        <v>3</v>
      </c>
      <c r="Z46" s="3" t="s">
        <v>3</v>
      </c>
      <c r="AA46" s="3">
        <v>0</v>
      </c>
      <c r="AB46" s="3" t="s">
        <v>3</v>
      </c>
      <c r="AC46" s="3">
        <v>54650</v>
      </c>
      <c r="AD46" s="3">
        <v>1</v>
      </c>
      <c r="AE46" s="3">
        <v>0</v>
      </c>
      <c r="AF46" s="3">
        <v>3</v>
      </c>
      <c r="AG46" s="3">
        <v>3</v>
      </c>
      <c r="AH46" s="3" t="s">
        <v>126</v>
      </c>
      <c r="AI46" s="3" t="s">
        <v>200</v>
      </c>
      <c r="AJ46" s="3">
        <v>46156.410150462965</v>
      </c>
      <c r="AK46" s="3">
        <v>55936035</v>
      </c>
      <c r="AL46" s="3">
        <v>0</v>
      </c>
      <c r="AM46" s="3">
        <v>0</v>
      </c>
      <c r="AN46" s="3">
        <v>0</v>
      </c>
      <c r="AO46" s="3">
        <v>46073</v>
      </c>
      <c r="AP46" s="3">
        <v>0</v>
      </c>
      <c r="AQ46" s="3">
        <v>1</v>
      </c>
      <c r="AR46" s="3">
        <v>0</v>
      </c>
      <c r="AS46" s="3" t="s">
        <v>3</v>
      </c>
      <c r="AT46" s="3">
        <v>1</v>
      </c>
      <c r="AU46" s="3">
        <v>4</v>
      </c>
    </row>
    <row r="47" spans="2:47" x14ac:dyDescent="0.25">
      <c r="B47" s="3" t="s">
        <v>417</v>
      </c>
      <c r="C47" s="3">
        <v>0</v>
      </c>
      <c r="D47" s="3" t="s">
        <v>199</v>
      </c>
      <c r="E47" s="3" t="s">
        <v>3</v>
      </c>
      <c r="F47" s="3" t="s">
        <v>346</v>
      </c>
      <c r="G47" s="3" t="s">
        <v>3</v>
      </c>
      <c r="H47" s="3">
        <v>54750</v>
      </c>
      <c r="I47" s="3">
        <v>54750</v>
      </c>
      <c r="J47" s="3">
        <v>0</v>
      </c>
      <c r="K47" s="3">
        <v>54750</v>
      </c>
      <c r="L47" s="3">
        <v>0</v>
      </c>
      <c r="M47" s="3">
        <v>0</v>
      </c>
      <c r="N47" s="3">
        <v>0</v>
      </c>
      <c r="O47" s="3" t="s">
        <v>351</v>
      </c>
      <c r="P47" s="3" t="s">
        <v>3</v>
      </c>
      <c r="Q47" s="3" t="s">
        <v>352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 t="s">
        <v>3</v>
      </c>
      <c r="Z47" s="3" t="s">
        <v>3</v>
      </c>
      <c r="AA47" s="3">
        <v>0</v>
      </c>
      <c r="AB47" s="3" t="s">
        <v>3</v>
      </c>
      <c r="AC47" s="3">
        <v>54750</v>
      </c>
      <c r="AD47" s="3">
        <v>1</v>
      </c>
      <c r="AE47" s="3">
        <v>0</v>
      </c>
      <c r="AF47" s="3">
        <v>3</v>
      </c>
      <c r="AG47" s="3">
        <v>3</v>
      </c>
      <c r="AH47" s="3" t="s">
        <v>126</v>
      </c>
      <c r="AI47" s="3" t="s">
        <v>200</v>
      </c>
      <c r="AJ47" s="3">
        <v>46156.410150462965</v>
      </c>
      <c r="AK47" s="3">
        <v>55936035</v>
      </c>
      <c r="AL47" s="3">
        <v>0</v>
      </c>
      <c r="AM47" s="3">
        <v>0</v>
      </c>
      <c r="AN47" s="3">
        <v>0</v>
      </c>
      <c r="AO47" s="3">
        <v>46073</v>
      </c>
      <c r="AP47" s="3">
        <v>0</v>
      </c>
      <c r="AQ47" s="3">
        <v>1</v>
      </c>
      <c r="AR47" s="3">
        <v>0</v>
      </c>
      <c r="AS47" s="3" t="s">
        <v>3</v>
      </c>
      <c r="AT47" s="3">
        <v>1</v>
      </c>
      <c r="AU47" s="3">
        <v>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2026-07-20T14:07:45Z</dcterms:created>
  <dcterms:modified xsi:type="dcterms:W3CDTF">2026-07-20T14:11:21Z</dcterms:modified>
</cp:coreProperties>
</file>