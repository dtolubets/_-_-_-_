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из смету ру\"/>
    </mc:Choice>
  </mc:AlternateContent>
  <bookViews>
    <workbookView xWindow="0" yWindow="0" windowWidth="13665" windowHeight="5325"/>
  </bookViews>
  <sheets>
    <sheet name="02-01-13" sheetId="7" r:id="rId1"/>
    <sheet name="Ведомость объемов работ" sheetId="8" r:id="rId2"/>
    <sheet name="Source" sheetId="1" r:id="rId3"/>
    <sheet name="SourceObSm" sheetId="2" r:id="rId4"/>
    <sheet name="SmtRes" sheetId="3" r:id="rId5"/>
    <sheet name="EtalonRes" sheetId="4" r:id="rId6"/>
    <sheet name="SrcPoprs" sheetId="5" r:id="rId7"/>
    <sheet name="SrcKA" sheetId="6" r:id="rId8"/>
  </sheets>
  <definedNames>
    <definedName name="_xlnm.Print_Titles" localSheetId="0">'02-01-13'!$27:$27</definedName>
    <definedName name="_xlnm.Print_Titles" localSheetId="1">'Ведомость объемов работ'!$9:$9</definedName>
    <definedName name="_xlnm.Print_Area" localSheetId="0">'02-01-13'!$A$1:$K$113</definedName>
    <definedName name="_xlnm.Print_Area" localSheetId="1">'Ведомость объемов работ'!$A$1:$H$26</definedName>
  </definedNames>
  <calcPr calcId="162913" iterate="1"/>
</workbook>
</file>

<file path=xl/calcChain.xml><?xml version="1.0" encoding="utf-8"?>
<calcChain xmlns="http://schemas.openxmlformats.org/spreadsheetml/2006/main">
  <c r="D24" i="8" l="1"/>
  <c r="D22" i="8"/>
  <c r="G19" i="8"/>
  <c r="F19" i="8"/>
  <c r="E19" i="8"/>
  <c r="C19" i="8"/>
  <c r="B19" i="8"/>
  <c r="G18" i="8"/>
  <c r="F18" i="8"/>
  <c r="E18" i="8"/>
  <c r="C18" i="8"/>
  <c r="B18" i="8"/>
  <c r="G17" i="8"/>
  <c r="F17" i="8"/>
  <c r="E17" i="8"/>
  <c r="C17" i="8"/>
  <c r="B17" i="8"/>
  <c r="A16" i="8"/>
  <c r="G15" i="8"/>
  <c r="F15" i="8"/>
  <c r="E15" i="8"/>
  <c r="C15" i="8"/>
  <c r="B15" i="8"/>
  <c r="G14" i="8"/>
  <c r="F14" i="8"/>
  <c r="E14" i="8"/>
  <c r="C14" i="8"/>
  <c r="B14" i="8"/>
  <c r="G13" i="8"/>
  <c r="F13" i="8"/>
  <c r="E13" i="8"/>
  <c r="C13" i="8"/>
  <c r="B13" i="8"/>
  <c r="G12" i="8"/>
  <c r="F12" i="8"/>
  <c r="E12" i="8"/>
  <c r="C12" i="8"/>
  <c r="B12" i="8"/>
  <c r="A11" i="8"/>
  <c r="A10" i="8"/>
  <c r="B5" i="8"/>
  <c r="B4" i="8"/>
  <c r="A1" i="8"/>
  <c r="H111" i="7"/>
  <c r="H108" i="7"/>
  <c r="C111" i="7"/>
  <c r="C108" i="7"/>
  <c r="I105" i="7"/>
  <c r="J105" i="7"/>
  <c r="I104" i="7"/>
  <c r="J104" i="7"/>
  <c r="A103" i="7"/>
  <c r="J22" i="7"/>
  <c r="J19" i="7"/>
  <c r="J18" i="7"/>
  <c r="J17" i="7"/>
  <c r="J16" i="7"/>
  <c r="J14" i="7" s="1"/>
  <c r="J15" i="7"/>
  <c r="I22" i="7"/>
  <c r="I20" i="7"/>
  <c r="I19" i="7"/>
  <c r="I18" i="7"/>
  <c r="I17" i="7"/>
  <c r="I16" i="7"/>
  <c r="I14" i="7" s="1"/>
  <c r="I15" i="7"/>
  <c r="I101" i="7"/>
  <c r="J101" i="7"/>
  <c r="I100" i="7"/>
  <c r="J100" i="7"/>
  <c r="A99" i="7"/>
  <c r="I97" i="7"/>
  <c r="J97" i="7"/>
  <c r="I96" i="7"/>
  <c r="J96" i="7"/>
  <c r="A95" i="7"/>
  <c r="P92" i="7"/>
  <c r="J92" i="7"/>
  <c r="C91" i="7"/>
  <c r="K90" i="7"/>
  <c r="J90" i="7"/>
  <c r="I90" i="7"/>
  <c r="O92" i="7" s="1"/>
  <c r="H90" i="7"/>
  <c r="F90" i="7"/>
  <c r="V90" i="7"/>
  <c r="T90" i="7"/>
  <c r="R90" i="7"/>
  <c r="U90" i="7"/>
  <c r="S90" i="7"/>
  <c r="Q90" i="7"/>
  <c r="E90" i="7"/>
  <c r="D90" i="7"/>
  <c r="B90" i="7"/>
  <c r="H87" i="7"/>
  <c r="J87" i="7"/>
  <c r="I85" i="7"/>
  <c r="H85" i="7"/>
  <c r="E85" i="7"/>
  <c r="J84" i="7"/>
  <c r="E84" i="7"/>
  <c r="K83" i="7"/>
  <c r="J83" i="7"/>
  <c r="E83" i="7"/>
  <c r="K82" i="7"/>
  <c r="J82" i="7"/>
  <c r="I82" i="7"/>
  <c r="H82" i="7"/>
  <c r="F82" i="7"/>
  <c r="K81" i="7"/>
  <c r="J81" i="7"/>
  <c r="I81" i="7"/>
  <c r="H81" i="7"/>
  <c r="F81" i="7"/>
  <c r="K80" i="7"/>
  <c r="J80" i="7"/>
  <c r="I80" i="7"/>
  <c r="H80" i="7"/>
  <c r="F80" i="7"/>
  <c r="K79" i="7"/>
  <c r="J79" i="7"/>
  <c r="I79" i="7"/>
  <c r="H79" i="7"/>
  <c r="F79" i="7"/>
  <c r="C78" i="7"/>
  <c r="V77" i="7"/>
  <c r="T77" i="7"/>
  <c r="K84" i="7" s="1"/>
  <c r="P88" i="7" s="1"/>
  <c r="R77" i="7"/>
  <c r="U77" i="7"/>
  <c r="S77" i="7"/>
  <c r="I84" i="7" s="1"/>
  <c r="Q77" i="7"/>
  <c r="I83" i="7" s="1"/>
  <c r="E77" i="7"/>
  <c r="D77" i="7"/>
  <c r="B77" i="7"/>
  <c r="H74" i="7"/>
  <c r="J74" i="7"/>
  <c r="I72" i="7"/>
  <c r="H72" i="7"/>
  <c r="E72" i="7"/>
  <c r="J71" i="7"/>
  <c r="E71" i="7"/>
  <c r="J70" i="7"/>
  <c r="E70" i="7"/>
  <c r="K69" i="7"/>
  <c r="J69" i="7"/>
  <c r="H69" i="7"/>
  <c r="I69" i="7"/>
  <c r="F69" i="7"/>
  <c r="V69" i="7"/>
  <c r="T69" i="7"/>
  <c r="R69" i="7"/>
  <c r="U69" i="7"/>
  <c r="S69" i="7"/>
  <c r="Q69" i="7"/>
  <c r="E69" i="7"/>
  <c r="D69" i="7"/>
  <c r="B69" i="7"/>
  <c r="K68" i="7"/>
  <c r="J68" i="7"/>
  <c r="H68" i="7"/>
  <c r="I68" i="7"/>
  <c r="F68" i="7"/>
  <c r="V68" i="7"/>
  <c r="T68" i="7"/>
  <c r="K71" i="7" s="1"/>
  <c r="R68" i="7"/>
  <c r="U68" i="7"/>
  <c r="S68" i="7"/>
  <c r="Q68" i="7"/>
  <c r="E68" i="7"/>
  <c r="D68" i="7"/>
  <c r="B68" i="7"/>
  <c r="K67" i="7"/>
  <c r="J67" i="7"/>
  <c r="H67" i="7"/>
  <c r="I67" i="7"/>
  <c r="F67" i="7"/>
  <c r="V67" i="7"/>
  <c r="T67" i="7"/>
  <c r="R67" i="7"/>
  <c r="U67" i="7"/>
  <c r="S67" i="7"/>
  <c r="Q67" i="7"/>
  <c r="E67" i="7"/>
  <c r="D67" i="7"/>
  <c r="B67" i="7"/>
  <c r="K66" i="7"/>
  <c r="J66" i="7"/>
  <c r="I66" i="7"/>
  <c r="H73" i="7" s="1"/>
  <c r="H66" i="7"/>
  <c r="F66" i="7"/>
  <c r="K65" i="7"/>
  <c r="J65" i="7"/>
  <c r="I65" i="7"/>
  <c r="O75" i="7" s="1"/>
  <c r="H65" i="7"/>
  <c r="F65" i="7"/>
  <c r="K64" i="7"/>
  <c r="J64" i="7"/>
  <c r="I64" i="7"/>
  <c r="H64" i="7"/>
  <c r="F64" i="7"/>
  <c r="C63" i="7"/>
  <c r="V62" i="7"/>
  <c r="T62" i="7"/>
  <c r="R62" i="7"/>
  <c r="K70" i="7" s="1"/>
  <c r="U62" i="7"/>
  <c r="S62" i="7"/>
  <c r="I71" i="7" s="1"/>
  <c r="Q62" i="7"/>
  <c r="I70" i="7" s="1"/>
  <c r="E62" i="7"/>
  <c r="D62" i="7"/>
  <c r="B62" i="7"/>
  <c r="A61" i="7"/>
  <c r="I59" i="7"/>
  <c r="J59" i="7"/>
  <c r="I58" i="7"/>
  <c r="J58" i="7"/>
  <c r="A57" i="7"/>
  <c r="H54" i="7"/>
  <c r="P54" i="7"/>
  <c r="K53" i="7"/>
  <c r="J54" i="7" s="1"/>
  <c r="J53" i="7"/>
  <c r="I53" i="7"/>
  <c r="O54" i="7" s="1"/>
  <c r="H53" i="7"/>
  <c r="F53" i="7"/>
  <c r="V53" i="7"/>
  <c r="T53" i="7"/>
  <c r="R53" i="7"/>
  <c r="U53" i="7"/>
  <c r="S53" i="7"/>
  <c r="Q53" i="7"/>
  <c r="E53" i="7"/>
  <c r="D53" i="7"/>
  <c r="B53" i="7"/>
  <c r="H50" i="7"/>
  <c r="J50" i="7"/>
  <c r="I48" i="7"/>
  <c r="H48" i="7"/>
  <c r="E48" i="7"/>
  <c r="K47" i="7"/>
  <c r="J47" i="7"/>
  <c r="E47" i="7"/>
  <c r="J46" i="7"/>
  <c r="E46" i="7"/>
  <c r="K45" i="7"/>
  <c r="J45" i="7"/>
  <c r="I45" i="7"/>
  <c r="H45" i="7"/>
  <c r="F45" i="7"/>
  <c r="K44" i="7"/>
  <c r="P51" i="7" s="1"/>
  <c r="J44" i="7"/>
  <c r="I44" i="7"/>
  <c r="H44" i="7"/>
  <c r="F44" i="7"/>
  <c r="V43" i="7"/>
  <c r="T43" i="7"/>
  <c r="R43" i="7"/>
  <c r="K46" i="7" s="1"/>
  <c r="U43" i="7"/>
  <c r="S43" i="7"/>
  <c r="I47" i="7" s="1"/>
  <c r="Q43" i="7"/>
  <c r="I46" i="7" s="1"/>
  <c r="E43" i="7"/>
  <c r="D43" i="7"/>
  <c r="B43" i="7"/>
  <c r="H41" i="7"/>
  <c r="P41" i="7"/>
  <c r="K40" i="7"/>
  <c r="J41" i="7" s="1"/>
  <c r="J40" i="7"/>
  <c r="I40" i="7"/>
  <c r="O41" i="7" s="1"/>
  <c r="H40" i="7"/>
  <c r="F40" i="7"/>
  <c r="V40" i="7"/>
  <c r="T40" i="7"/>
  <c r="R40" i="7"/>
  <c r="U40" i="7"/>
  <c r="S40" i="7"/>
  <c r="Q40" i="7"/>
  <c r="E40" i="7"/>
  <c r="D40" i="7"/>
  <c r="B40" i="7"/>
  <c r="H37" i="7"/>
  <c r="J37" i="7"/>
  <c r="I35" i="7"/>
  <c r="H35" i="7"/>
  <c r="E35" i="7"/>
  <c r="K34" i="7"/>
  <c r="J34" i="7"/>
  <c r="E34" i="7"/>
  <c r="J33" i="7"/>
  <c r="E33" i="7"/>
  <c r="K32" i="7"/>
  <c r="J32" i="7"/>
  <c r="I32" i="7"/>
  <c r="H32" i="7"/>
  <c r="F32" i="7"/>
  <c r="K31" i="7"/>
  <c r="P38" i="7" s="1"/>
  <c r="J31" i="7"/>
  <c r="I31" i="7"/>
  <c r="H31" i="7"/>
  <c r="F31" i="7"/>
  <c r="V30" i="7"/>
  <c r="T30" i="7"/>
  <c r="R30" i="7"/>
  <c r="K33" i="7" s="1"/>
  <c r="U30" i="7"/>
  <c r="S30" i="7"/>
  <c r="I34" i="7" s="1"/>
  <c r="Q30" i="7"/>
  <c r="I33" i="7" s="1"/>
  <c r="E30" i="7"/>
  <c r="D30" i="7"/>
  <c r="B30" i="7"/>
  <c r="A29" i="7"/>
  <c r="A11" i="7"/>
  <c r="A8" i="7"/>
  <c r="A6" i="7"/>
  <c r="A1" i="7"/>
  <c r="P75" i="7" l="1"/>
  <c r="J95" i="7" s="1"/>
  <c r="O38" i="7"/>
  <c r="H36" i="7"/>
  <c r="H38" i="7"/>
  <c r="J49" i="7"/>
  <c r="J88" i="7"/>
  <c r="J57" i="7"/>
  <c r="J99" i="7"/>
  <c r="J103" i="7"/>
  <c r="J36" i="7"/>
  <c r="H49" i="7"/>
  <c r="O51" i="7"/>
  <c r="H75" i="7"/>
  <c r="H88" i="7"/>
  <c r="J86" i="7"/>
  <c r="H86" i="7"/>
  <c r="J73" i="7"/>
  <c r="O88" i="7"/>
  <c r="H95" i="7" s="1"/>
  <c r="J38" i="7"/>
  <c r="J51" i="7"/>
  <c r="H51" i="7"/>
  <c r="J75" i="7"/>
  <c r="H92" i="7"/>
  <c r="A1" i="4"/>
  <c r="A2" i="4"/>
  <c r="A3" i="4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1" i="3"/>
  <c r="Y1" i="3"/>
  <c r="CV1" i="3" s="1"/>
  <c r="CU1" i="3"/>
  <c r="CX1" i="3"/>
  <c r="DI1" i="3" s="1"/>
  <c r="DJ1" i="3" s="1"/>
  <c r="CY1" i="3"/>
  <c r="CZ1" i="3"/>
  <c r="DA1" i="3"/>
  <c r="DB1" i="3"/>
  <c r="DC1" i="3"/>
  <c r="DH1" i="3"/>
  <c r="A2" i="3"/>
  <c r="Y2" i="3"/>
  <c r="CV2" i="3" s="1"/>
  <c r="CU2" i="3"/>
  <c r="CY2" i="3"/>
  <c r="CZ2" i="3"/>
  <c r="DB2" i="3" s="1"/>
  <c r="DA2" i="3"/>
  <c r="DC2" i="3"/>
  <c r="A3" i="3"/>
  <c r="Y3" i="3"/>
  <c r="CU3" i="3"/>
  <c r="CV3" i="3"/>
  <c r="CX3" i="3"/>
  <c r="DG3" i="3" s="1"/>
  <c r="CY3" i="3"/>
  <c r="CZ3" i="3"/>
  <c r="DB3" i="3" s="1"/>
  <c r="DA3" i="3"/>
  <c r="DC3" i="3"/>
  <c r="DF3" i="3"/>
  <c r="DH3" i="3"/>
  <c r="A4" i="3"/>
  <c r="Y4" i="3"/>
  <c r="CX4" i="3" s="1"/>
  <c r="CU4" i="3"/>
  <c r="CV4" i="3"/>
  <c r="CY4" i="3"/>
  <c r="CZ4" i="3"/>
  <c r="DA4" i="3"/>
  <c r="DB4" i="3"/>
  <c r="DC4" i="3"/>
  <c r="A5" i="3"/>
  <c r="Y5" i="3"/>
  <c r="CY5" i="3"/>
  <c r="CZ5" i="3"/>
  <c r="DA5" i="3"/>
  <c r="DB5" i="3"/>
  <c r="DC5" i="3"/>
  <c r="A6" i="3"/>
  <c r="Y6" i="3"/>
  <c r="CY6" i="3"/>
  <c r="CZ6" i="3"/>
  <c r="DB6" i="3" s="1"/>
  <c r="DA6" i="3"/>
  <c r="DC6" i="3"/>
  <c r="A7" i="3"/>
  <c r="Y7" i="3"/>
  <c r="CY7" i="3"/>
  <c r="CZ7" i="3"/>
  <c r="DA7" i="3"/>
  <c r="DB7" i="3"/>
  <c r="DC7" i="3"/>
  <c r="A8" i="3"/>
  <c r="Y8" i="3"/>
  <c r="CY8" i="3"/>
  <c r="CZ8" i="3"/>
  <c r="DA8" i="3"/>
  <c r="DB8" i="3"/>
  <c r="DC8" i="3"/>
  <c r="A9" i="3"/>
  <c r="Y9" i="3"/>
  <c r="CY9" i="3"/>
  <c r="CZ9" i="3"/>
  <c r="DB9" i="3" s="1"/>
  <c r="DA9" i="3"/>
  <c r="DC9" i="3"/>
  <c r="A10" i="3"/>
  <c r="Y10" i="3"/>
  <c r="CY10" i="3"/>
  <c r="CZ10" i="3"/>
  <c r="DB10" i="3" s="1"/>
  <c r="DA10" i="3"/>
  <c r="DC10" i="3"/>
  <c r="A11" i="3"/>
  <c r="Y11" i="3"/>
  <c r="CY11" i="3"/>
  <c r="CZ11" i="3"/>
  <c r="DA11" i="3"/>
  <c r="DB11" i="3"/>
  <c r="DC11" i="3"/>
  <c r="A12" i="3"/>
  <c r="Y12" i="3"/>
  <c r="CY12" i="3"/>
  <c r="CZ12" i="3"/>
  <c r="DA12" i="3"/>
  <c r="DB12" i="3"/>
  <c r="DC12" i="3"/>
  <c r="A13" i="3"/>
  <c r="Y13" i="3"/>
  <c r="CY13" i="3"/>
  <c r="CZ13" i="3"/>
  <c r="DB13" i="3" s="1"/>
  <c r="DA13" i="3"/>
  <c r="DC13" i="3"/>
  <c r="A14" i="3"/>
  <c r="Y14" i="3"/>
  <c r="CY14" i="3"/>
  <c r="CZ14" i="3"/>
  <c r="DA14" i="3"/>
  <c r="DB14" i="3"/>
  <c r="DC14" i="3"/>
  <c r="A15" i="3"/>
  <c r="Y15" i="3"/>
  <c r="CY15" i="3"/>
  <c r="CZ15" i="3"/>
  <c r="DB15" i="3" s="1"/>
  <c r="DA15" i="3"/>
  <c r="DC15" i="3"/>
  <c r="A16" i="3"/>
  <c r="Y16" i="3"/>
  <c r="CY16" i="3"/>
  <c r="CZ16" i="3"/>
  <c r="DA16" i="3"/>
  <c r="DB16" i="3"/>
  <c r="DC16" i="3"/>
  <c r="A17" i="3"/>
  <c r="Y17" i="3"/>
  <c r="CY17" i="3"/>
  <c r="CZ17" i="3"/>
  <c r="DB17" i="3" s="1"/>
  <c r="DA17" i="3"/>
  <c r="DC17" i="3"/>
  <c r="A18" i="3"/>
  <c r="Y18" i="3"/>
  <c r="CY18" i="3"/>
  <c r="CZ18" i="3"/>
  <c r="DB18" i="3" s="1"/>
  <c r="DA18" i="3"/>
  <c r="DC18" i="3"/>
  <c r="A19" i="3"/>
  <c r="Y19" i="3"/>
  <c r="CY19" i="3"/>
  <c r="CZ19" i="3"/>
  <c r="DA19" i="3"/>
  <c r="DB19" i="3"/>
  <c r="DC19" i="3"/>
  <c r="A20" i="3"/>
  <c r="Y20" i="3"/>
  <c r="CY20" i="3"/>
  <c r="CZ20" i="3"/>
  <c r="DA20" i="3"/>
  <c r="DB20" i="3"/>
  <c r="DC20" i="3"/>
  <c r="A21" i="3"/>
  <c r="Y21" i="3"/>
  <c r="CY21" i="3"/>
  <c r="CZ21" i="3"/>
  <c r="DB21" i="3" s="1"/>
  <c r="DA21" i="3"/>
  <c r="DC21" i="3"/>
  <c r="A22" i="3"/>
  <c r="Y22" i="3"/>
  <c r="CY22" i="3"/>
  <c r="CZ22" i="3"/>
  <c r="DB22" i="3" s="1"/>
  <c r="DA22" i="3"/>
  <c r="DC22" i="3"/>
  <c r="A23" i="3"/>
  <c r="Y23" i="3"/>
  <c r="CY23" i="3"/>
  <c r="CZ23" i="3"/>
  <c r="DB23" i="3" s="1"/>
  <c r="DA23" i="3"/>
  <c r="DC23" i="3"/>
  <c r="A24" i="3"/>
  <c r="Y24" i="3"/>
  <c r="CY24" i="3"/>
  <c r="CZ24" i="3"/>
  <c r="DA24" i="3"/>
  <c r="DB24" i="3"/>
  <c r="DC24" i="3"/>
  <c r="A25" i="3"/>
  <c r="Y25" i="3"/>
  <c r="CY25" i="3"/>
  <c r="CZ25" i="3"/>
  <c r="DB25" i="3" s="1"/>
  <c r="DA25" i="3"/>
  <c r="DC25" i="3"/>
  <c r="A26" i="3"/>
  <c r="Y26" i="3"/>
  <c r="CY26" i="3"/>
  <c r="CZ26" i="3"/>
  <c r="DB26" i="3" s="1"/>
  <c r="DA26" i="3"/>
  <c r="DC26" i="3"/>
  <c r="A27" i="3"/>
  <c r="Y27" i="3"/>
  <c r="CY27" i="3"/>
  <c r="CZ27" i="3"/>
  <c r="DA27" i="3"/>
  <c r="DB27" i="3"/>
  <c r="DC27" i="3"/>
  <c r="A28" i="3"/>
  <c r="Y28" i="3"/>
  <c r="CY28" i="3"/>
  <c r="CZ28" i="3"/>
  <c r="DB28" i="3" s="1"/>
  <c r="DA28" i="3"/>
  <c r="DC28" i="3"/>
  <c r="A29" i="3"/>
  <c r="Y29" i="3"/>
  <c r="CY29" i="3"/>
  <c r="CZ29" i="3"/>
  <c r="DA29" i="3"/>
  <c r="DB29" i="3"/>
  <c r="DC29" i="3"/>
  <c r="A30" i="3"/>
  <c r="Y30" i="3"/>
  <c r="CY30" i="3"/>
  <c r="CZ30" i="3"/>
  <c r="DB30" i="3" s="1"/>
  <c r="DA30" i="3"/>
  <c r="DC30" i="3"/>
  <c r="A31" i="3"/>
  <c r="Y31" i="3"/>
  <c r="CY31" i="3"/>
  <c r="CZ31" i="3"/>
  <c r="DA31" i="3"/>
  <c r="DB31" i="3"/>
  <c r="DC31" i="3"/>
  <c r="A32" i="3"/>
  <c r="Y32" i="3"/>
  <c r="CY32" i="3"/>
  <c r="CZ32" i="3"/>
  <c r="DA32" i="3"/>
  <c r="DB32" i="3"/>
  <c r="DC32" i="3"/>
  <c r="D12" i="1"/>
  <c r="E18" i="1"/>
  <c r="Z18" i="1"/>
  <c r="AA18" i="1"/>
  <c r="AB18" i="1"/>
  <c r="AC18" i="1"/>
  <c r="AD18" i="1"/>
  <c r="AE18" i="1"/>
  <c r="AF18" i="1"/>
  <c r="AG18" i="1"/>
  <c r="AH18" i="1"/>
  <c r="AI18" i="1"/>
  <c r="AJ18" i="1"/>
  <c r="AK18" i="1"/>
  <c r="AL18" i="1"/>
  <c r="AM18" i="1"/>
  <c r="AN18" i="1"/>
  <c r="BE18" i="1"/>
  <c r="BF18" i="1"/>
  <c r="BG18" i="1"/>
  <c r="BH18" i="1"/>
  <c r="BI18" i="1"/>
  <c r="BJ18" i="1"/>
  <c r="BK18" i="1"/>
  <c r="BL18" i="1"/>
  <c r="BM18" i="1"/>
  <c r="BN18" i="1"/>
  <c r="BO18" i="1"/>
  <c r="BP18" i="1"/>
  <c r="BQ18" i="1"/>
  <c r="BR18" i="1"/>
  <c r="BS18" i="1"/>
  <c r="BT18" i="1"/>
  <c r="BU18" i="1"/>
  <c r="BV18" i="1"/>
  <c r="BW18" i="1"/>
  <c r="BX18" i="1"/>
  <c r="BY18" i="1"/>
  <c r="BZ18" i="1"/>
  <c r="CA18" i="1"/>
  <c r="CB18" i="1"/>
  <c r="CC18" i="1"/>
  <c r="CD18" i="1"/>
  <c r="CE18" i="1"/>
  <c r="CF18" i="1"/>
  <c r="CG18" i="1"/>
  <c r="CH18" i="1"/>
  <c r="CI18" i="1"/>
  <c r="CJ18" i="1"/>
  <c r="CK18" i="1"/>
  <c r="CL18" i="1"/>
  <c r="CM18" i="1"/>
  <c r="CN18" i="1"/>
  <c r="CO18" i="1"/>
  <c r="CP18" i="1"/>
  <c r="CQ18" i="1"/>
  <c r="CR18" i="1"/>
  <c r="CS18" i="1"/>
  <c r="CT18" i="1"/>
  <c r="CU18" i="1"/>
  <c r="CV18" i="1"/>
  <c r="CW18" i="1"/>
  <c r="CX18" i="1"/>
  <c r="CY18" i="1"/>
  <c r="CZ18" i="1"/>
  <c r="DA18" i="1"/>
  <c r="DB18" i="1"/>
  <c r="DC18" i="1"/>
  <c r="DD18" i="1"/>
  <c r="DE18" i="1"/>
  <c r="DF18" i="1"/>
  <c r="DR18" i="1"/>
  <c r="DS18" i="1"/>
  <c r="DT18" i="1"/>
  <c r="DU18" i="1"/>
  <c r="DV18" i="1"/>
  <c r="DW18" i="1"/>
  <c r="DX18" i="1"/>
  <c r="DY18" i="1"/>
  <c r="DZ18" i="1"/>
  <c r="EA18" i="1"/>
  <c r="EB18" i="1"/>
  <c r="EC18" i="1"/>
  <c r="ED18" i="1"/>
  <c r="EE18" i="1"/>
  <c r="EF18" i="1"/>
  <c r="EW18" i="1"/>
  <c r="EX18" i="1"/>
  <c r="EY18" i="1"/>
  <c r="EZ18" i="1"/>
  <c r="FA18" i="1"/>
  <c r="FB18" i="1"/>
  <c r="FC18" i="1"/>
  <c r="FD18" i="1"/>
  <c r="FE18" i="1"/>
  <c r="FF18" i="1"/>
  <c r="FG18" i="1"/>
  <c r="FH18" i="1"/>
  <c r="FI18" i="1"/>
  <c r="FJ18" i="1"/>
  <c r="FK18" i="1"/>
  <c r="FL18" i="1"/>
  <c r="FM18" i="1"/>
  <c r="FN18" i="1"/>
  <c r="FO18" i="1"/>
  <c r="FP18" i="1"/>
  <c r="FQ18" i="1"/>
  <c r="FR18" i="1"/>
  <c r="FS18" i="1"/>
  <c r="FT18" i="1"/>
  <c r="FU18" i="1"/>
  <c r="FV18" i="1"/>
  <c r="FW18" i="1"/>
  <c r="FX18" i="1"/>
  <c r="FY18" i="1"/>
  <c r="FZ18" i="1"/>
  <c r="GA18" i="1"/>
  <c r="GB18" i="1"/>
  <c r="GC18" i="1"/>
  <c r="GD18" i="1"/>
  <c r="GE18" i="1"/>
  <c r="GF18" i="1"/>
  <c r="GG18" i="1"/>
  <c r="GH18" i="1"/>
  <c r="GI18" i="1"/>
  <c r="GJ18" i="1"/>
  <c r="GK18" i="1"/>
  <c r="GL18" i="1"/>
  <c r="GM18" i="1"/>
  <c r="GN18" i="1"/>
  <c r="GO18" i="1"/>
  <c r="GP18" i="1"/>
  <c r="GQ18" i="1"/>
  <c r="GR18" i="1"/>
  <c r="GS18" i="1"/>
  <c r="GT18" i="1"/>
  <c r="GU18" i="1"/>
  <c r="GV18" i="1"/>
  <c r="GW18" i="1"/>
  <c r="GX18" i="1"/>
  <c r="D20" i="1"/>
  <c r="E22" i="1"/>
  <c r="Z22" i="1"/>
  <c r="AA22" i="1"/>
  <c r="AB22" i="1"/>
  <c r="AC22" i="1"/>
  <c r="AD22" i="1"/>
  <c r="AE22" i="1"/>
  <c r="AF22" i="1"/>
  <c r="AG22" i="1"/>
  <c r="AH22" i="1"/>
  <c r="AI22" i="1"/>
  <c r="AJ22" i="1"/>
  <c r="AK22" i="1"/>
  <c r="AL22" i="1"/>
  <c r="AM22" i="1"/>
  <c r="AN22" i="1"/>
  <c r="BE22" i="1"/>
  <c r="BF22" i="1"/>
  <c r="BG22" i="1"/>
  <c r="BH22" i="1"/>
  <c r="BI22" i="1"/>
  <c r="BJ22" i="1"/>
  <c r="BK22" i="1"/>
  <c r="BL22" i="1"/>
  <c r="BM22" i="1"/>
  <c r="BN22" i="1"/>
  <c r="BO22" i="1"/>
  <c r="BP22" i="1"/>
  <c r="BQ22" i="1"/>
  <c r="BR22" i="1"/>
  <c r="BS22" i="1"/>
  <c r="BT22" i="1"/>
  <c r="BU22" i="1"/>
  <c r="BV22" i="1"/>
  <c r="BW22" i="1"/>
  <c r="BX22" i="1"/>
  <c r="BY22" i="1"/>
  <c r="BZ22" i="1"/>
  <c r="CA22" i="1"/>
  <c r="CB22" i="1"/>
  <c r="CC22" i="1"/>
  <c r="CD22" i="1"/>
  <c r="CE22" i="1"/>
  <c r="CF22" i="1"/>
  <c r="CG22" i="1"/>
  <c r="CH22" i="1"/>
  <c r="CI22" i="1"/>
  <c r="CJ22" i="1"/>
  <c r="CK22" i="1"/>
  <c r="CL22" i="1"/>
  <c r="CM22" i="1"/>
  <c r="CN22" i="1"/>
  <c r="CO22" i="1"/>
  <c r="CP22" i="1"/>
  <c r="CQ22" i="1"/>
  <c r="CR22" i="1"/>
  <c r="CS22" i="1"/>
  <c r="CT22" i="1"/>
  <c r="CU22" i="1"/>
  <c r="CV22" i="1"/>
  <c r="CW22" i="1"/>
  <c r="CX22" i="1"/>
  <c r="CY22" i="1"/>
  <c r="CZ22" i="1"/>
  <c r="DA22" i="1"/>
  <c r="DB22" i="1"/>
  <c r="DC22" i="1"/>
  <c r="DD22" i="1"/>
  <c r="DE22" i="1"/>
  <c r="DF22" i="1"/>
  <c r="DR22" i="1"/>
  <c r="DS22" i="1"/>
  <c r="DT22" i="1"/>
  <c r="DU22" i="1"/>
  <c r="DV22" i="1"/>
  <c r="DW22" i="1"/>
  <c r="DX22" i="1"/>
  <c r="DY22" i="1"/>
  <c r="DZ22" i="1"/>
  <c r="EA22" i="1"/>
  <c r="EB22" i="1"/>
  <c r="EC22" i="1"/>
  <c r="ED22" i="1"/>
  <c r="EE22" i="1"/>
  <c r="EF22" i="1"/>
  <c r="EW22" i="1"/>
  <c r="EX22" i="1"/>
  <c r="EY22" i="1"/>
  <c r="EZ22" i="1"/>
  <c r="FA22" i="1"/>
  <c r="FB22" i="1"/>
  <c r="FC22" i="1"/>
  <c r="FD22" i="1"/>
  <c r="FE22" i="1"/>
  <c r="FF22" i="1"/>
  <c r="FG22" i="1"/>
  <c r="FH22" i="1"/>
  <c r="FI22" i="1"/>
  <c r="FJ22" i="1"/>
  <c r="FK22" i="1"/>
  <c r="FL22" i="1"/>
  <c r="FM22" i="1"/>
  <c r="FN22" i="1"/>
  <c r="FO22" i="1"/>
  <c r="FP22" i="1"/>
  <c r="FQ22" i="1"/>
  <c r="FR22" i="1"/>
  <c r="FS22" i="1"/>
  <c r="FT22" i="1"/>
  <c r="FU22" i="1"/>
  <c r="FV22" i="1"/>
  <c r="FW22" i="1"/>
  <c r="FX22" i="1"/>
  <c r="FY22" i="1"/>
  <c r="FZ22" i="1"/>
  <c r="GA22" i="1"/>
  <c r="GB22" i="1"/>
  <c r="GC22" i="1"/>
  <c r="GD22" i="1"/>
  <c r="GE22" i="1"/>
  <c r="GF22" i="1"/>
  <c r="GG22" i="1"/>
  <c r="GH22" i="1"/>
  <c r="GI22" i="1"/>
  <c r="GJ22" i="1"/>
  <c r="GK22" i="1"/>
  <c r="GL22" i="1"/>
  <c r="GM22" i="1"/>
  <c r="GN22" i="1"/>
  <c r="GO22" i="1"/>
  <c r="GP22" i="1"/>
  <c r="GQ22" i="1"/>
  <c r="GR22" i="1"/>
  <c r="GS22" i="1"/>
  <c r="GT22" i="1"/>
  <c r="GU22" i="1"/>
  <c r="GV22" i="1"/>
  <c r="GW22" i="1"/>
  <c r="GX22" i="1"/>
  <c r="D24" i="1"/>
  <c r="E26" i="1"/>
  <c r="Z26" i="1"/>
  <c r="AA26" i="1"/>
  <c r="AM26" i="1"/>
  <c r="AN26" i="1"/>
  <c r="BE26" i="1"/>
  <c r="BF26" i="1"/>
  <c r="BG26" i="1"/>
  <c r="BH26" i="1"/>
  <c r="BI26" i="1"/>
  <c r="BJ26" i="1"/>
  <c r="BK26" i="1"/>
  <c r="BL26" i="1"/>
  <c r="BM26" i="1"/>
  <c r="BN26" i="1"/>
  <c r="BO26" i="1"/>
  <c r="BP26" i="1"/>
  <c r="BQ26" i="1"/>
  <c r="BR26" i="1"/>
  <c r="BS26" i="1"/>
  <c r="BT26" i="1"/>
  <c r="BU26" i="1"/>
  <c r="BV26" i="1"/>
  <c r="BW26" i="1"/>
  <c r="CN26" i="1"/>
  <c r="CO26" i="1"/>
  <c r="CP26" i="1"/>
  <c r="CQ26" i="1"/>
  <c r="CR26" i="1"/>
  <c r="CS26" i="1"/>
  <c r="CT26" i="1"/>
  <c r="CU26" i="1"/>
  <c r="CV26" i="1"/>
  <c r="CW26" i="1"/>
  <c r="CX26" i="1"/>
  <c r="CY26" i="1"/>
  <c r="CZ26" i="1"/>
  <c r="DA26" i="1"/>
  <c r="DB26" i="1"/>
  <c r="DC26" i="1"/>
  <c r="DD26" i="1"/>
  <c r="DE26" i="1"/>
  <c r="DF26" i="1"/>
  <c r="DR26" i="1"/>
  <c r="DS26" i="1"/>
  <c r="EE26" i="1"/>
  <c r="EF26" i="1"/>
  <c r="EW26" i="1"/>
  <c r="EX26" i="1"/>
  <c r="EY26" i="1"/>
  <c r="EZ26" i="1"/>
  <c r="FA26" i="1"/>
  <c r="FB26" i="1"/>
  <c r="FC26" i="1"/>
  <c r="FD26" i="1"/>
  <c r="FE26" i="1"/>
  <c r="FF26" i="1"/>
  <c r="FG26" i="1"/>
  <c r="FH26" i="1"/>
  <c r="FI26" i="1"/>
  <c r="FJ26" i="1"/>
  <c r="FK26" i="1"/>
  <c r="FL26" i="1"/>
  <c r="FM26" i="1"/>
  <c r="FN26" i="1"/>
  <c r="FO26" i="1"/>
  <c r="GF26" i="1"/>
  <c r="GG26" i="1"/>
  <c r="GH26" i="1"/>
  <c r="GI26" i="1"/>
  <c r="GJ26" i="1"/>
  <c r="GK26" i="1"/>
  <c r="GL26" i="1"/>
  <c r="GM26" i="1"/>
  <c r="GN26" i="1"/>
  <c r="GO26" i="1"/>
  <c r="GP26" i="1"/>
  <c r="GQ26" i="1"/>
  <c r="GR26" i="1"/>
  <c r="GS26" i="1"/>
  <c r="GT26" i="1"/>
  <c r="GU26" i="1"/>
  <c r="GV26" i="1"/>
  <c r="GW26" i="1"/>
  <c r="GX26" i="1"/>
  <c r="C28" i="1"/>
  <c r="D28" i="1"/>
  <c r="R28" i="1"/>
  <c r="AC28" i="1"/>
  <c r="P28" i="1" s="1"/>
  <c r="AD28" i="1"/>
  <c r="AE28" i="1"/>
  <c r="Q28" i="1" s="1"/>
  <c r="AF28" i="1"/>
  <c r="AB28" i="1" s="1"/>
  <c r="AG28" i="1"/>
  <c r="AH28" i="1"/>
  <c r="CV28" i="1" s="1"/>
  <c r="U28" i="1" s="1"/>
  <c r="AI28" i="1"/>
  <c r="AJ28" i="1"/>
  <c r="CX28" i="1" s="1"/>
  <c r="W28" i="1" s="1"/>
  <c r="CQ28" i="1"/>
  <c r="CR28" i="1"/>
  <c r="CS28" i="1"/>
  <c r="CU28" i="1"/>
  <c r="T28" i="1" s="1"/>
  <c r="CW28" i="1"/>
  <c r="V28" i="1" s="1"/>
  <c r="GL28" i="1"/>
  <c r="GN28" i="1"/>
  <c r="GP28" i="1"/>
  <c r="GV28" i="1"/>
  <c r="GX28" i="1"/>
  <c r="HC28" i="1"/>
  <c r="C29" i="1"/>
  <c r="D29" i="1"/>
  <c r="S29" i="1"/>
  <c r="X29" i="1" s="1"/>
  <c r="AC29" i="1"/>
  <c r="P29" i="1" s="1"/>
  <c r="AE29" i="1"/>
  <c r="AD29" i="1" s="1"/>
  <c r="AF29" i="1"/>
  <c r="AG29" i="1"/>
  <c r="CU29" i="1" s="1"/>
  <c r="T29" i="1" s="1"/>
  <c r="AH29" i="1"/>
  <c r="AI29" i="1"/>
  <c r="CW29" i="1" s="1"/>
  <c r="V29" i="1" s="1"/>
  <c r="AJ29" i="1"/>
  <c r="CR29" i="1"/>
  <c r="CT29" i="1"/>
  <c r="CV29" i="1"/>
  <c r="U29" i="1" s="1"/>
  <c r="CX29" i="1"/>
  <c r="W29" i="1" s="1"/>
  <c r="CZ29" i="1"/>
  <c r="GL29" i="1"/>
  <c r="GN29" i="1"/>
  <c r="GP29" i="1"/>
  <c r="GV29" i="1"/>
  <c r="HC29" i="1"/>
  <c r="GX29" i="1" s="1"/>
  <c r="P30" i="1"/>
  <c r="R30" i="1"/>
  <c r="AC30" i="1"/>
  <c r="AD30" i="1"/>
  <c r="AE30" i="1"/>
  <c r="Q30" i="1" s="1"/>
  <c r="AF30" i="1"/>
  <c r="AB30" i="1" s="1"/>
  <c r="AG30" i="1"/>
  <c r="AH30" i="1"/>
  <c r="CV30" i="1" s="1"/>
  <c r="U30" i="1" s="1"/>
  <c r="AI30" i="1"/>
  <c r="AJ30" i="1"/>
  <c r="CX30" i="1" s="1"/>
  <c r="W30" i="1" s="1"/>
  <c r="CQ30" i="1"/>
  <c r="CR30" i="1"/>
  <c r="CS30" i="1"/>
  <c r="CU30" i="1"/>
  <c r="T30" i="1" s="1"/>
  <c r="CW30" i="1"/>
  <c r="V30" i="1" s="1"/>
  <c r="FR30" i="1"/>
  <c r="GL30" i="1"/>
  <c r="GN30" i="1"/>
  <c r="GO30" i="1"/>
  <c r="GP30" i="1"/>
  <c r="GV30" i="1"/>
  <c r="HC30" i="1"/>
  <c r="GX30" i="1" s="1"/>
  <c r="P31" i="1"/>
  <c r="R31" i="1"/>
  <c r="AC31" i="1"/>
  <c r="AD31" i="1"/>
  <c r="AE31" i="1"/>
  <c r="Q31" i="1" s="1"/>
  <c r="AF31" i="1"/>
  <c r="AB31" i="1" s="1"/>
  <c r="AG31" i="1"/>
  <c r="AH31" i="1"/>
  <c r="CV31" i="1" s="1"/>
  <c r="U31" i="1" s="1"/>
  <c r="AI31" i="1"/>
  <c r="AJ31" i="1"/>
  <c r="CX31" i="1" s="1"/>
  <c r="W31" i="1" s="1"/>
  <c r="CQ31" i="1"/>
  <c r="CR31" i="1"/>
  <c r="CS31" i="1"/>
  <c r="CU31" i="1"/>
  <c r="T31" i="1" s="1"/>
  <c r="CW31" i="1"/>
  <c r="V31" i="1" s="1"/>
  <c r="FR31" i="1"/>
  <c r="GL31" i="1"/>
  <c r="GN31" i="1"/>
  <c r="GO31" i="1"/>
  <c r="GP31" i="1"/>
  <c r="GV31" i="1"/>
  <c r="HC31" i="1"/>
  <c r="GX31" i="1" s="1"/>
  <c r="C32" i="1"/>
  <c r="D32" i="1"/>
  <c r="P32" i="1"/>
  <c r="R32" i="1"/>
  <c r="AC32" i="1"/>
  <c r="AD32" i="1"/>
  <c r="AB32" i="1" s="1"/>
  <c r="AE32" i="1"/>
  <c r="Q32" i="1" s="1"/>
  <c r="AF32" i="1"/>
  <c r="S32" i="1" s="1"/>
  <c r="CY32" i="1" s="1"/>
  <c r="AG32" i="1"/>
  <c r="AH32" i="1"/>
  <c r="CV32" i="1" s="1"/>
  <c r="U32" i="1" s="1"/>
  <c r="AI32" i="1"/>
  <c r="AJ32" i="1"/>
  <c r="CX32" i="1" s="1"/>
  <c r="W32" i="1" s="1"/>
  <c r="CQ32" i="1"/>
  <c r="CR32" i="1"/>
  <c r="CS32" i="1"/>
  <c r="CU32" i="1"/>
  <c r="T32" i="1" s="1"/>
  <c r="AG37" i="1" s="1"/>
  <c r="CW32" i="1"/>
  <c r="V32" i="1" s="1"/>
  <c r="GL32" i="1"/>
  <c r="GN32" i="1"/>
  <c r="GP32" i="1"/>
  <c r="GV32" i="1"/>
  <c r="GX32" i="1"/>
  <c r="HC32" i="1"/>
  <c r="C33" i="1"/>
  <c r="D33" i="1"/>
  <c r="Q33" i="1"/>
  <c r="S33" i="1"/>
  <c r="U33" i="1"/>
  <c r="Y33" i="1"/>
  <c r="AC33" i="1"/>
  <c r="AE33" i="1"/>
  <c r="AF33" i="1"/>
  <c r="AG33" i="1"/>
  <c r="CU33" i="1" s="1"/>
  <c r="T33" i="1" s="1"/>
  <c r="AH33" i="1"/>
  <c r="AI33" i="1"/>
  <c r="CW33" i="1" s="1"/>
  <c r="V33" i="1" s="1"/>
  <c r="AJ33" i="1"/>
  <c r="CR33" i="1"/>
  <c r="CT33" i="1"/>
  <c r="CV33" i="1"/>
  <c r="CX33" i="1"/>
  <c r="W33" i="1" s="1"/>
  <c r="CZ33" i="1"/>
  <c r="GL33" i="1"/>
  <c r="GN33" i="1"/>
  <c r="GP33" i="1"/>
  <c r="GV33" i="1"/>
  <c r="HC33" i="1"/>
  <c r="GX33" i="1" s="1"/>
  <c r="P34" i="1"/>
  <c r="CP34" i="1" s="1"/>
  <c r="O34" i="1" s="1"/>
  <c r="AC34" i="1"/>
  <c r="CQ34" i="1" s="1"/>
  <c r="AE34" i="1"/>
  <c r="Q34" i="1" s="1"/>
  <c r="AF34" i="1"/>
  <c r="S34" i="1" s="1"/>
  <c r="X34" i="1" s="1"/>
  <c r="AG34" i="1"/>
  <c r="CU34" i="1" s="1"/>
  <c r="T34" i="1" s="1"/>
  <c r="AH34" i="1"/>
  <c r="AI34" i="1"/>
  <c r="CW34" i="1" s="1"/>
  <c r="V34" i="1" s="1"/>
  <c r="AI37" i="1" s="1"/>
  <c r="AJ34" i="1"/>
  <c r="CX34" i="1" s="1"/>
  <c r="W34" i="1" s="1"/>
  <c r="AJ37" i="1" s="1"/>
  <c r="CR34" i="1"/>
  <c r="CV34" i="1"/>
  <c r="U34" i="1" s="1"/>
  <c r="AH37" i="1" s="1"/>
  <c r="CZ34" i="1"/>
  <c r="FR34" i="1"/>
  <c r="GL34" i="1"/>
  <c r="GN34" i="1"/>
  <c r="GO34" i="1"/>
  <c r="GP34" i="1"/>
  <c r="GV34" i="1"/>
  <c r="GX34" i="1"/>
  <c r="HC34" i="1"/>
  <c r="AC35" i="1"/>
  <c r="P35" i="1" s="1"/>
  <c r="AE35" i="1"/>
  <c r="Q35" i="1" s="1"/>
  <c r="AF35" i="1"/>
  <c r="S35" i="1" s="1"/>
  <c r="AG35" i="1"/>
  <c r="CU35" i="1" s="1"/>
  <c r="T35" i="1" s="1"/>
  <c r="DY37" i="1" s="1"/>
  <c r="AH35" i="1"/>
  <c r="AI35" i="1"/>
  <c r="CW35" i="1" s="1"/>
  <c r="V35" i="1" s="1"/>
  <c r="EA37" i="1" s="1"/>
  <c r="AJ35" i="1"/>
  <c r="CX35" i="1" s="1"/>
  <c r="W35" i="1" s="1"/>
  <c r="CR35" i="1"/>
  <c r="CV35" i="1"/>
  <c r="U35" i="1" s="1"/>
  <c r="DZ37" i="1" s="1"/>
  <c r="GL35" i="1"/>
  <c r="GN35" i="1"/>
  <c r="GO35" i="1"/>
  <c r="GP35" i="1"/>
  <c r="GV35" i="1"/>
  <c r="GX35" i="1"/>
  <c r="HC35" i="1"/>
  <c r="B37" i="1"/>
  <c r="B26" i="1" s="1"/>
  <c r="C37" i="1"/>
  <c r="C26" i="1" s="1"/>
  <c r="D37" i="1"/>
  <c r="D26" i="1" s="1"/>
  <c r="F37" i="1"/>
  <c r="F26" i="1" s="1"/>
  <c r="G37" i="1"/>
  <c r="G26" i="1" s="1"/>
  <c r="AC37" i="1"/>
  <c r="AC26" i="1" s="1"/>
  <c r="AD37" i="1"/>
  <c r="AD26" i="1" s="1"/>
  <c r="BX37" i="1"/>
  <c r="BX26" i="1" s="1"/>
  <c r="BY37" i="1"/>
  <c r="BY26" i="1" s="1"/>
  <c r="BZ37" i="1"/>
  <c r="BZ26" i="1" s="1"/>
  <c r="CB37" i="1"/>
  <c r="CB26" i="1" s="1"/>
  <c r="CD37" i="1"/>
  <c r="CD26" i="1" s="1"/>
  <c r="CE37" i="1"/>
  <c r="CE26" i="1" s="1"/>
  <c r="CF37" i="1"/>
  <c r="CF26" i="1" s="1"/>
  <c r="CG37" i="1"/>
  <c r="CG26" i="1" s="1"/>
  <c r="CH37" i="1"/>
  <c r="CH26" i="1" s="1"/>
  <c r="CI37" i="1"/>
  <c r="CI26" i="1" s="1"/>
  <c r="CJ37" i="1"/>
  <c r="CJ26" i="1" s="1"/>
  <c r="CK37" i="1"/>
  <c r="CK26" i="1" s="1"/>
  <c r="CL37" i="1"/>
  <c r="CL26" i="1" s="1"/>
  <c r="CM37" i="1"/>
  <c r="CM26" i="1" s="1"/>
  <c r="FP37" i="1"/>
  <c r="FP26" i="1" s="1"/>
  <c r="FR37" i="1"/>
  <c r="FR26" i="1" s="1"/>
  <c r="FT37" i="1"/>
  <c r="FT26" i="1" s="1"/>
  <c r="FV37" i="1"/>
  <c r="FV26" i="1" s="1"/>
  <c r="FY37" i="1"/>
  <c r="FY26" i="1" s="1"/>
  <c r="GB37" i="1"/>
  <c r="GB26" i="1" s="1"/>
  <c r="GC37" i="1"/>
  <c r="GC26" i="1" s="1"/>
  <c r="GD37" i="1"/>
  <c r="GD26" i="1" s="1"/>
  <c r="GE37" i="1"/>
  <c r="GE26" i="1" s="1"/>
  <c r="D67" i="1"/>
  <c r="E69" i="1"/>
  <c r="Z69" i="1"/>
  <c r="AA69" i="1"/>
  <c r="AM69" i="1"/>
  <c r="AN69" i="1"/>
  <c r="BE69" i="1"/>
  <c r="BF69" i="1"/>
  <c r="BG69" i="1"/>
  <c r="BH69" i="1"/>
  <c r="BI69" i="1"/>
  <c r="BJ69" i="1"/>
  <c r="BK69" i="1"/>
  <c r="BL69" i="1"/>
  <c r="BM69" i="1"/>
  <c r="BN69" i="1"/>
  <c r="BO69" i="1"/>
  <c r="BP69" i="1"/>
  <c r="BQ69" i="1"/>
  <c r="BR69" i="1"/>
  <c r="BS69" i="1"/>
  <c r="BT69" i="1"/>
  <c r="BU69" i="1"/>
  <c r="BV69" i="1"/>
  <c r="BW69" i="1"/>
  <c r="CN69" i="1"/>
  <c r="CO69" i="1"/>
  <c r="CP69" i="1"/>
  <c r="CQ69" i="1"/>
  <c r="CR69" i="1"/>
  <c r="CS69" i="1"/>
  <c r="CT69" i="1"/>
  <c r="CU69" i="1"/>
  <c r="CV69" i="1"/>
  <c r="CW69" i="1"/>
  <c r="CX69" i="1"/>
  <c r="CY69" i="1"/>
  <c r="CZ69" i="1"/>
  <c r="DA69" i="1"/>
  <c r="DB69" i="1"/>
  <c r="DC69" i="1"/>
  <c r="DD69" i="1"/>
  <c r="DE69" i="1"/>
  <c r="DF69" i="1"/>
  <c r="DR69" i="1"/>
  <c r="DS69" i="1"/>
  <c r="EE69" i="1"/>
  <c r="EF69" i="1"/>
  <c r="EW69" i="1"/>
  <c r="EX69" i="1"/>
  <c r="EY69" i="1"/>
  <c r="EZ69" i="1"/>
  <c r="FA69" i="1"/>
  <c r="FB69" i="1"/>
  <c r="FC69" i="1"/>
  <c r="FD69" i="1"/>
  <c r="FE69" i="1"/>
  <c r="FF69" i="1"/>
  <c r="FG69" i="1"/>
  <c r="FH69" i="1"/>
  <c r="FI69" i="1"/>
  <c r="FJ69" i="1"/>
  <c r="FK69" i="1"/>
  <c r="FL69" i="1"/>
  <c r="FM69" i="1"/>
  <c r="FN69" i="1"/>
  <c r="FO69" i="1"/>
  <c r="GF69" i="1"/>
  <c r="GG69" i="1"/>
  <c r="GH69" i="1"/>
  <c r="GI69" i="1"/>
  <c r="GJ69" i="1"/>
  <c r="GK69" i="1"/>
  <c r="GL69" i="1"/>
  <c r="GM69" i="1"/>
  <c r="GN69" i="1"/>
  <c r="GO69" i="1"/>
  <c r="GP69" i="1"/>
  <c r="GQ69" i="1"/>
  <c r="GR69" i="1"/>
  <c r="GS69" i="1"/>
  <c r="GT69" i="1"/>
  <c r="GU69" i="1"/>
  <c r="GV69" i="1"/>
  <c r="GW69" i="1"/>
  <c r="GX69" i="1"/>
  <c r="C71" i="1"/>
  <c r="D71" i="1"/>
  <c r="I71" i="1"/>
  <c r="K71" i="1"/>
  <c r="AC71" i="1"/>
  <c r="P71" i="1" s="1"/>
  <c r="AE71" i="1"/>
  <c r="AD71" i="1" s="1"/>
  <c r="AF71" i="1"/>
  <c r="S71" i="1" s="1"/>
  <c r="AG71" i="1"/>
  <c r="AH71" i="1"/>
  <c r="AI71" i="1"/>
  <c r="AJ71" i="1"/>
  <c r="CQ71" i="1"/>
  <c r="CR71" i="1"/>
  <c r="CS71" i="1"/>
  <c r="CT71" i="1"/>
  <c r="CU71" i="1"/>
  <c r="T71" i="1" s="1"/>
  <c r="CV71" i="1"/>
  <c r="U71" i="1" s="1"/>
  <c r="CW71" i="1"/>
  <c r="V71" i="1" s="1"/>
  <c r="CX71" i="1"/>
  <c r="W71" i="1" s="1"/>
  <c r="GL71" i="1"/>
  <c r="GN71" i="1"/>
  <c r="GP71" i="1"/>
  <c r="GV71" i="1"/>
  <c r="HC71" i="1"/>
  <c r="GX71" i="1" s="1"/>
  <c r="C72" i="1"/>
  <c r="D72" i="1"/>
  <c r="I72" i="1"/>
  <c r="K72" i="1"/>
  <c r="AC72" i="1"/>
  <c r="P72" i="1" s="1"/>
  <c r="AE72" i="1"/>
  <c r="AD72" i="1" s="1"/>
  <c r="AF72" i="1"/>
  <c r="S72" i="1" s="1"/>
  <c r="CZ72" i="1" s="1"/>
  <c r="AG72" i="1"/>
  <c r="CU72" i="1" s="1"/>
  <c r="T72" i="1" s="1"/>
  <c r="AH72" i="1"/>
  <c r="AI72" i="1"/>
  <c r="AJ72" i="1"/>
  <c r="CX72" i="1" s="1"/>
  <c r="W72" i="1" s="1"/>
  <c r="CR72" i="1"/>
  <c r="CS72" i="1"/>
  <c r="CV72" i="1"/>
  <c r="U72" i="1" s="1"/>
  <c r="CW72" i="1"/>
  <c r="V72" i="1" s="1"/>
  <c r="GL72" i="1"/>
  <c r="GN72" i="1"/>
  <c r="GP72" i="1"/>
  <c r="GV72" i="1"/>
  <c r="HC72" i="1"/>
  <c r="GX72" i="1" s="1"/>
  <c r="I73" i="1"/>
  <c r="R73" i="1" s="1"/>
  <c r="S73" i="1"/>
  <c r="X73" i="1" s="1"/>
  <c r="AC73" i="1"/>
  <c r="P73" i="1" s="1"/>
  <c r="AE73" i="1"/>
  <c r="Q73" i="1" s="1"/>
  <c r="CP73" i="1" s="1"/>
  <c r="O73" i="1" s="1"/>
  <c r="AF73" i="1"/>
  <c r="AG73" i="1"/>
  <c r="CU73" i="1" s="1"/>
  <c r="T73" i="1" s="1"/>
  <c r="AH73" i="1"/>
  <c r="AI73" i="1"/>
  <c r="CW73" i="1" s="1"/>
  <c r="V73" i="1" s="1"/>
  <c r="AJ73" i="1"/>
  <c r="CR73" i="1"/>
  <c r="CT73" i="1"/>
  <c r="CV73" i="1"/>
  <c r="U73" i="1" s="1"/>
  <c r="CX73" i="1"/>
  <c r="W73" i="1" s="1"/>
  <c r="CZ73" i="1"/>
  <c r="GL73" i="1"/>
  <c r="GN73" i="1"/>
  <c r="GP73" i="1"/>
  <c r="GV73" i="1"/>
  <c r="HC73" i="1"/>
  <c r="GX73" i="1" s="1"/>
  <c r="I74" i="1"/>
  <c r="S74" i="1"/>
  <c r="X74" i="1" s="1"/>
  <c r="AC74" i="1"/>
  <c r="AE74" i="1"/>
  <c r="Q74" i="1" s="1"/>
  <c r="AF74" i="1"/>
  <c r="AG74" i="1"/>
  <c r="CU74" i="1" s="1"/>
  <c r="T74" i="1" s="1"/>
  <c r="AH74" i="1"/>
  <c r="AI74" i="1"/>
  <c r="CW74" i="1" s="1"/>
  <c r="V74" i="1" s="1"/>
  <c r="AJ74" i="1"/>
  <c r="CR74" i="1"/>
  <c r="CT74" i="1"/>
  <c r="CV74" i="1"/>
  <c r="U74" i="1" s="1"/>
  <c r="CX74" i="1"/>
  <c r="W74" i="1" s="1"/>
  <c r="CZ74" i="1"/>
  <c r="GL74" i="1"/>
  <c r="GN74" i="1"/>
  <c r="GP74" i="1"/>
  <c r="GV74" i="1"/>
  <c r="HC74" i="1"/>
  <c r="GX74" i="1" s="1"/>
  <c r="I75" i="1"/>
  <c r="S75" i="1"/>
  <c r="X75" i="1" s="1"/>
  <c r="AC75" i="1"/>
  <c r="AE75" i="1"/>
  <c r="Q75" i="1" s="1"/>
  <c r="AF75" i="1"/>
  <c r="AG75" i="1"/>
  <c r="CU75" i="1" s="1"/>
  <c r="T75" i="1" s="1"/>
  <c r="AH75" i="1"/>
  <c r="AI75" i="1"/>
  <c r="CW75" i="1" s="1"/>
  <c r="V75" i="1" s="1"/>
  <c r="AJ75" i="1"/>
  <c r="CR75" i="1"/>
  <c r="CT75" i="1"/>
  <c r="CV75" i="1"/>
  <c r="U75" i="1" s="1"/>
  <c r="CX75" i="1"/>
  <c r="W75" i="1" s="1"/>
  <c r="CZ75" i="1"/>
  <c r="GL75" i="1"/>
  <c r="GN75" i="1"/>
  <c r="GP75" i="1"/>
  <c r="GV75" i="1"/>
  <c r="HC75" i="1"/>
  <c r="GX75" i="1" s="1"/>
  <c r="CJ84" i="1" s="1"/>
  <c r="I76" i="1"/>
  <c r="S76" i="1"/>
  <c r="X76" i="1" s="1"/>
  <c r="AC76" i="1"/>
  <c r="AE76" i="1"/>
  <c r="Q76" i="1" s="1"/>
  <c r="AF76" i="1"/>
  <c r="AG76" i="1"/>
  <c r="CU76" i="1" s="1"/>
  <c r="T76" i="1" s="1"/>
  <c r="AH76" i="1"/>
  <c r="AI76" i="1"/>
  <c r="CW76" i="1" s="1"/>
  <c r="V76" i="1" s="1"/>
  <c r="AJ76" i="1"/>
  <c r="CR76" i="1"/>
  <c r="CT76" i="1"/>
  <c r="CV76" i="1"/>
  <c r="U76" i="1" s="1"/>
  <c r="CX76" i="1"/>
  <c r="W76" i="1" s="1"/>
  <c r="CZ76" i="1"/>
  <c r="GL76" i="1"/>
  <c r="GN76" i="1"/>
  <c r="GP76" i="1"/>
  <c r="GV76" i="1"/>
  <c r="HC76" i="1"/>
  <c r="GX76" i="1" s="1"/>
  <c r="I77" i="1"/>
  <c r="Q77" i="1"/>
  <c r="S77" i="1"/>
  <c r="U77" i="1"/>
  <c r="AC77" i="1"/>
  <c r="AE77" i="1"/>
  <c r="AF77" i="1"/>
  <c r="AG77" i="1"/>
  <c r="CU77" i="1" s="1"/>
  <c r="T77" i="1" s="1"/>
  <c r="AH77" i="1"/>
  <c r="AI77" i="1"/>
  <c r="CW77" i="1" s="1"/>
  <c r="V77" i="1" s="1"/>
  <c r="AJ77" i="1"/>
  <c r="CT77" i="1"/>
  <c r="CV77" i="1"/>
  <c r="CX77" i="1"/>
  <c r="W77" i="1" s="1"/>
  <c r="GL77" i="1"/>
  <c r="GN77" i="1"/>
  <c r="GP77" i="1"/>
  <c r="GV77" i="1"/>
  <c r="HC77" i="1"/>
  <c r="GX77" i="1" s="1"/>
  <c r="I78" i="1"/>
  <c r="S78" i="1"/>
  <c r="Y78" i="1"/>
  <c r="AC78" i="1"/>
  <c r="AE78" i="1"/>
  <c r="AF78" i="1"/>
  <c r="AG78" i="1"/>
  <c r="CU78" i="1" s="1"/>
  <c r="T78" i="1" s="1"/>
  <c r="AH78" i="1"/>
  <c r="AI78" i="1"/>
  <c r="CW78" i="1" s="1"/>
  <c r="V78" i="1" s="1"/>
  <c r="AJ78" i="1"/>
  <c r="CR78" i="1"/>
  <c r="CT78" i="1"/>
  <c r="CV78" i="1"/>
  <c r="U78" i="1" s="1"/>
  <c r="CX78" i="1"/>
  <c r="W78" i="1" s="1"/>
  <c r="CZ78" i="1"/>
  <c r="GL78" i="1"/>
  <c r="GN78" i="1"/>
  <c r="GP78" i="1"/>
  <c r="GV78" i="1"/>
  <c r="HC78" i="1"/>
  <c r="GX78" i="1" s="1"/>
  <c r="C79" i="1"/>
  <c r="D79" i="1"/>
  <c r="I79" i="1"/>
  <c r="K79" i="1"/>
  <c r="P79" i="1"/>
  <c r="R79" i="1"/>
  <c r="AC79" i="1"/>
  <c r="AD79" i="1"/>
  <c r="AE79" i="1"/>
  <c r="Q79" i="1" s="1"/>
  <c r="AF79" i="1"/>
  <c r="AG79" i="1"/>
  <c r="AH79" i="1"/>
  <c r="CV79" i="1" s="1"/>
  <c r="U79" i="1" s="1"/>
  <c r="AI79" i="1"/>
  <c r="AJ79" i="1"/>
  <c r="CX79" i="1" s="1"/>
  <c r="W79" i="1" s="1"/>
  <c r="CQ79" i="1"/>
  <c r="CR79" i="1"/>
  <c r="CS79" i="1"/>
  <c r="CU79" i="1"/>
  <c r="T79" i="1" s="1"/>
  <c r="AG84" i="1" s="1"/>
  <c r="CW79" i="1"/>
  <c r="V79" i="1" s="1"/>
  <c r="GL79" i="1"/>
  <c r="GN79" i="1"/>
  <c r="GP79" i="1"/>
  <c r="GV79" i="1"/>
  <c r="GX79" i="1"/>
  <c r="HC79" i="1"/>
  <c r="C80" i="1"/>
  <c r="D80" i="1"/>
  <c r="I80" i="1"/>
  <c r="R80" i="1" s="1"/>
  <c r="K80" i="1"/>
  <c r="S80" i="1"/>
  <c r="AC80" i="1"/>
  <c r="AE80" i="1"/>
  <c r="AD80" i="1" s="1"/>
  <c r="AF80" i="1"/>
  <c r="AG80" i="1"/>
  <c r="CU80" i="1" s="1"/>
  <c r="T80" i="1" s="1"/>
  <c r="AH80" i="1"/>
  <c r="AI80" i="1"/>
  <c r="CW80" i="1" s="1"/>
  <c r="V80" i="1" s="1"/>
  <c r="AJ80" i="1"/>
  <c r="CR80" i="1"/>
  <c r="CT80" i="1"/>
  <c r="CV80" i="1"/>
  <c r="U80" i="1" s="1"/>
  <c r="CX80" i="1"/>
  <c r="W80" i="1" s="1"/>
  <c r="GL80" i="1"/>
  <c r="GN80" i="1"/>
  <c r="GP80" i="1"/>
  <c r="GV80" i="1"/>
  <c r="HC80" i="1" s="1"/>
  <c r="GX80" i="1" s="1"/>
  <c r="I81" i="1"/>
  <c r="K81" i="1"/>
  <c r="P81" i="1"/>
  <c r="R81" i="1"/>
  <c r="T81" i="1"/>
  <c r="AC81" i="1"/>
  <c r="AD81" i="1"/>
  <c r="AB81" i="1" s="1"/>
  <c r="AE81" i="1"/>
  <c r="Q81" i="1" s="1"/>
  <c r="AF81" i="1"/>
  <c r="AG81" i="1"/>
  <c r="AH81" i="1"/>
  <c r="CV81" i="1" s="1"/>
  <c r="U81" i="1" s="1"/>
  <c r="AI81" i="1"/>
  <c r="AJ81" i="1"/>
  <c r="CX81" i="1" s="1"/>
  <c r="W81" i="1" s="1"/>
  <c r="CQ81" i="1"/>
  <c r="CR81" i="1"/>
  <c r="CS81" i="1"/>
  <c r="CU81" i="1"/>
  <c r="CW81" i="1"/>
  <c r="V81" i="1" s="1"/>
  <c r="GL81" i="1"/>
  <c r="GN81" i="1"/>
  <c r="GP81" i="1"/>
  <c r="GV81" i="1"/>
  <c r="GX81" i="1"/>
  <c r="HC81" i="1"/>
  <c r="I82" i="1"/>
  <c r="R82" i="1" s="1"/>
  <c r="K82" i="1"/>
  <c r="S82" i="1"/>
  <c r="W82" i="1"/>
  <c r="AC82" i="1"/>
  <c r="AE82" i="1"/>
  <c r="AF82" i="1"/>
  <c r="AG82" i="1"/>
  <c r="CU82" i="1" s="1"/>
  <c r="AH82" i="1"/>
  <c r="AI82" i="1"/>
  <c r="CW82" i="1" s="1"/>
  <c r="AJ82" i="1"/>
  <c r="CR82" i="1"/>
  <c r="CT82" i="1"/>
  <c r="CV82" i="1"/>
  <c r="U82" i="1" s="1"/>
  <c r="CX82" i="1"/>
  <c r="CZ82" i="1"/>
  <c r="GL82" i="1"/>
  <c r="GN82" i="1"/>
  <c r="GP82" i="1"/>
  <c r="GV82" i="1"/>
  <c r="HC82" i="1" s="1"/>
  <c r="GX82" i="1" s="1"/>
  <c r="B84" i="1"/>
  <c r="B69" i="1" s="1"/>
  <c r="C84" i="1"/>
  <c r="C69" i="1" s="1"/>
  <c r="D84" i="1"/>
  <c r="D69" i="1" s="1"/>
  <c r="F84" i="1"/>
  <c r="F69" i="1" s="1"/>
  <c r="G84" i="1"/>
  <c r="G69" i="1" s="1"/>
  <c r="AS84" i="1"/>
  <c r="AS69" i="1" s="1"/>
  <c r="BC84" i="1"/>
  <c r="BC69" i="1" s="1"/>
  <c r="BX84" i="1"/>
  <c r="BY84" i="1"/>
  <c r="BY69" i="1" s="1"/>
  <c r="BZ84" i="1"/>
  <c r="BZ69" i="1" s="1"/>
  <c r="CB84" i="1"/>
  <c r="CB69" i="1" s="1"/>
  <c r="CD84" i="1"/>
  <c r="CD69" i="1" s="1"/>
  <c r="CK84" i="1"/>
  <c r="CK69" i="1" s="1"/>
  <c r="CL84" i="1"/>
  <c r="CL69" i="1" s="1"/>
  <c r="CM84" i="1"/>
  <c r="CM69" i="1" s="1"/>
  <c r="EK84" i="1"/>
  <c r="EK69" i="1" s="1"/>
  <c r="FP84" i="1"/>
  <c r="FQ84" i="1"/>
  <c r="FQ69" i="1" s="1"/>
  <c r="FR84" i="1"/>
  <c r="FT84" i="1"/>
  <c r="FT69" i="1" s="1"/>
  <c r="FV84" i="1"/>
  <c r="FV69" i="1" s="1"/>
  <c r="GC84" i="1"/>
  <c r="GC69" i="1" s="1"/>
  <c r="GD84" i="1"/>
  <c r="GD69" i="1" s="1"/>
  <c r="GE84" i="1"/>
  <c r="GE69" i="1" s="1"/>
  <c r="F100" i="1"/>
  <c r="B114" i="1"/>
  <c r="B22" i="1" s="1"/>
  <c r="C114" i="1"/>
  <c r="C22" i="1" s="1"/>
  <c r="D114" i="1"/>
  <c r="D22" i="1" s="1"/>
  <c r="F114" i="1"/>
  <c r="F22" i="1" s="1"/>
  <c r="G114" i="1"/>
  <c r="G22" i="1" s="1"/>
  <c r="B144" i="1"/>
  <c r="B18" i="1" s="1"/>
  <c r="C144" i="1"/>
  <c r="C18" i="1" s="1"/>
  <c r="D144" i="1"/>
  <c r="D18" i="1" s="1"/>
  <c r="F144" i="1"/>
  <c r="F18" i="1" s="1"/>
  <c r="G144" i="1"/>
  <c r="G18" i="1" s="1"/>
  <c r="F12" i="6"/>
  <c r="G12" i="6"/>
  <c r="H103" i="7" l="1"/>
  <c r="H57" i="7"/>
  <c r="H99" i="7"/>
  <c r="GB84" i="1"/>
  <c r="CJ69" i="1"/>
  <c r="BA84" i="1"/>
  <c r="AG69" i="1"/>
  <c r="T84" i="1"/>
  <c r="AI84" i="1"/>
  <c r="FP69" i="1"/>
  <c r="FY84" i="1"/>
  <c r="EG84" i="1"/>
  <c r="P101" i="1"/>
  <c r="EU84" i="1"/>
  <c r="EM84" i="1"/>
  <c r="AQ84" i="1"/>
  <c r="V82" i="1"/>
  <c r="EA84" i="1" s="1"/>
  <c r="CS82" i="1"/>
  <c r="AD82" i="1"/>
  <c r="X80" i="1"/>
  <c r="CY80" i="1"/>
  <c r="Y80" i="1"/>
  <c r="CZ80" i="1"/>
  <c r="DX84" i="1"/>
  <c r="CP79" i="1"/>
  <c r="O79" i="1" s="1"/>
  <c r="R77" i="1"/>
  <c r="CS77" i="1"/>
  <c r="AD77" i="1"/>
  <c r="X77" i="1"/>
  <c r="EB84" i="1"/>
  <c r="AH84" i="1"/>
  <c r="F101" i="1"/>
  <c r="BX69" i="1"/>
  <c r="CG84" i="1"/>
  <c r="AO84" i="1"/>
  <c r="AB82" i="1"/>
  <c r="P82" i="1"/>
  <c r="CP82" i="1" s="1"/>
  <c r="O82" i="1" s="1"/>
  <c r="CQ82" i="1"/>
  <c r="X82" i="1"/>
  <c r="CY82" i="1"/>
  <c r="S79" i="1"/>
  <c r="CT79" i="1"/>
  <c r="AB79" i="1"/>
  <c r="R78" i="1"/>
  <c r="CS78" i="1"/>
  <c r="AD78" i="1"/>
  <c r="X78" i="1"/>
  <c r="AB77" i="1"/>
  <c r="DZ84" i="1"/>
  <c r="FR69" i="1"/>
  <c r="GA84" i="1"/>
  <c r="EI84" i="1"/>
  <c r="AU84" i="1"/>
  <c r="T82" i="1"/>
  <c r="DY84" i="1" s="1"/>
  <c r="Y82" i="1"/>
  <c r="Q82" i="1"/>
  <c r="S81" i="1"/>
  <c r="CP81" i="1" s="1"/>
  <c r="O81" i="1" s="1"/>
  <c r="CT81" i="1"/>
  <c r="P80" i="1"/>
  <c r="CP80" i="1" s="1"/>
  <c r="O80" i="1" s="1"/>
  <c r="GM80" i="1" s="1"/>
  <c r="GO80" i="1" s="1"/>
  <c r="CQ80" i="1"/>
  <c r="AB80" i="1"/>
  <c r="AB78" i="1"/>
  <c r="Q78" i="1"/>
  <c r="CZ77" i="1"/>
  <c r="CR77" i="1"/>
  <c r="Y77" i="1"/>
  <c r="AB74" i="1"/>
  <c r="AJ84" i="1"/>
  <c r="ET84" i="1"/>
  <c r="EH84" i="1"/>
  <c r="CI84" i="1"/>
  <c r="BD84" i="1"/>
  <c r="CS80" i="1"/>
  <c r="CU23" i="3"/>
  <c r="CX24" i="3"/>
  <c r="CX27" i="3"/>
  <c r="CV23" i="3"/>
  <c r="CX23" i="3"/>
  <c r="CY78" i="1"/>
  <c r="CQ78" i="1"/>
  <c r="P78" i="1"/>
  <c r="CP78" i="1" s="1"/>
  <c r="O78" i="1" s="1"/>
  <c r="GM78" i="1" s="1"/>
  <c r="GO78" i="1" s="1"/>
  <c r="CY77" i="1"/>
  <c r="CQ77" i="1"/>
  <c r="P77" i="1"/>
  <c r="CP77" i="1" s="1"/>
  <c r="O77" i="1" s="1"/>
  <c r="CY76" i="1"/>
  <c r="CQ76" i="1"/>
  <c r="AD76" i="1"/>
  <c r="AB76" i="1" s="1"/>
  <c r="P76" i="1"/>
  <c r="CP76" i="1" s="1"/>
  <c r="O76" i="1" s="1"/>
  <c r="CY75" i="1"/>
  <c r="CQ75" i="1"/>
  <c r="AD75" i="1"/>
  <c r="AB75" i="1" s="1"/>
  <c r="P75" i="1"/>
  <c r="CY74" i="1"/>
  <c r="CQ74" i="1"/>
  <c r="AD74" i="1"/>
  <c r="P74" i="1"/>
  <c r="CY73" i="1"/>
  <c r="CQ73" i="1"/>
  <c r="AD73" i="1"/>
  <c r="DY26" i="1"/>
  <c r="DL37" i="1"/>
  <c r="AI26" i="1"/>
  <c r="V37" i="1"/>
  <c r="Q80" i="1"/>
  <c r="CW29" i="3"/>
  <c r="CX31" i="3"/>
  <c r="CU28" i="3"/>
  <c r="CX29" i="3"/>
  <c r="X72" i="1"/>
  <c r="EC84" i="1" s="1"/>
  <c r="CY72" i="1"/>
  <c r="Y72" i="1"/>
  <c r="X71" i="1"/>
  <c r="CY71" i="1"/>
  <c r="Y71" i="1"/>
  <c r="CZ71" i="1"/>
  <c r="Y35" i="1"/>
  <c r="CZ35" i="1"/>
  <c r="X35" i="1"/>
  <c r="CY35" i="1"/>
  <c r="AH26" i="1"/>
  <c r="U37" i="1"/>
  <c r="EB37" i="1"/>
  <c r="AG26" i="1"/>
  <c r="T37" i="1"/>
  <c r="EV84" i="1"/>
  <c r="BB84" i="1"/>
  <c r="AP84" i="1"/>
  <c r="CS76" i="1"/>
  <c r="R76" i="1"/>
  <c r="CS75" i="1"/>
  <c r="R75" i="1"/>
  <c r="CS74" i="1"/>
  <c r="R74" i="1"/>
  <c r="CS73" i="1"/>
  <c r="AB73" i="1"/>
  <c r="EA26" i="1"/>
  <c r="DN37" i="1"/>
  <c r="Y76" i="1"/>
  <c r="Y75" i="1"/>
  <c r="Y74" i="1"/>
  <c r="Y73" i="1"/>
  <c r="GM73" i="1" s="1"/>
  <c r="GO73" i="1" s="1"/>
  <c r="DZ26" i="1"/>
  <c r="DM37" i="1"/>
  <c r="FR35" i="1"/>
  <c r="FQ37" i="1" s="1"/>
  <c r="CP35" i="1"/>
  <c r="O35" i="1" s="1"/>
  <c r="GM35" i="1" s="1"/>
  <c r="AJ26" i="1"/>
  <c r="W37" i="1"/>
  <c r="CT72" i="1"/>
  <c r="AB71" i="1"/>
  <c r="R71" i="1"/>
  <c r="AE84" i="1" s="1"/>
  <c r="ES37" i="1"/>
  <c r="EK37" i="1"/>
  <c r="EG37" i="1"/>
  <c r="BC37" i="1"/>
  <c r="AY37" i="1"/>
  <c r="AU37" i="1"/>
  <c r="AQ37" i="1"/>
  <c r="CQ35" i="1"/>
  <c r="AD35" i="1"/>
  <c r="AB35" i="1" s="1"/>
  <c r="CY34" i="1"/>
  <c r="AD34" i="1"/>
  <c r="AB34" i="1" s="1"/>
  <c r="CP30" i="1"/>
  <c r="O30" i="1" s="1"/>
  <c r="AB72" i="1"/>
  <c r="R72" i="1"/>
  <c r="Q71" i="1"/>
  <c r="AD84" i="1" s="1"/>
  <c r="CX5" i="3"/>
  <c r="CX7" i="3"/>
  <c r="CX11" i="3"/>
  <c r="CU5" i="3"/>
  <c r="EV37" i="1"/>
  <c r="BB37" i="1"/>
  <c r="AX37" i="1"/>
  <c r="AP37" i="1"/>
  <c r="CT35" i="1"/>
  <c r="CT34" i="1"/>
  <c r="R34" i="1"/>
  <c r="AE37" i="1" s="1"/>
  <c r="R33" i="1"/>
  <c r="CS33" i="1"/>
  <c r="AD33" i="1"/>
  <c r="Q72" i="1"/>
  <c r="DV84" i="1" s="1"/>
  <c r="CV14" i="3"/>
  <c r="CW16" i="3"/>
  <c r="CX19" i="3"/>
  <c r="CX14" i="3"/>
  <c r="CX16" i="3"/>
  <c r="CU14" i="3"/>
  <c r="EU37" i="1"/>
  <c r="EM37" i="1"/>
  <c r="EI37" i="1"/>
  <c r="BA37" i="1"/>
  <c r="AW37" i="1"/>
  <c r="AS37" i="1"/>
  <c r="AO37" i="1"/>
  <c r="Q37" i="1"/>
  <c r="CS35" i="1"/>
  <c r="R35" i="1"/>
  <c r="CS34" i="1"/>
  <c r="AB33" i="1"/>
  <c r="P33" i="1"/>
  <c r="CQ33" i="1"/>
  <c r="X33" i="1"/>
  <c r="CY33" i="1"/>
  <c r="CP32" i="1"/>
  <c r="O32" i="1" s="1"/>
  <c r="CQ72" i="1"/>
  <c r="ET37" i="1"/>
  <c r="EP37" i="1"/>
  <c r="BD37" i="1"/>
  <c r="AZ37" i="1"/>
  <c r="AV37" i="1"/>
  <c r="P37" i="1"/>
  <c r="Y34" i="1"/>
  <c r="GM34" i="1" s="1"/>
  <c r="Y32" i="1"/>
  <c r="CZ32" i="1"/>
  <c r="X32" i="1"/>
  <c r="CV28" i="3"/>
  <c r="CX21" i="3"/>
  <c r="CX18" i="3"/>
  <c r="CX13" i="3"/>
  <c r="CX10" i="3"/>
  <c r="CW7" i="3"/>
  <c r="CT31" i="1"/>
  <c r="S31" i="1"/>
  <c r="CT30" i="1"/>
  <c r="S30" i="1"/>
  <c r="CS29" i="1"/>
  <c r="AB29" i="1"/>
  <c r="R29" i="1"/>
  <c r="DW37" i="1" s="1"/>
  <c r="CT28" i="1"/>
  <c r="S28" i="1"/>
  <c r="CX26" i="3"/>
  <c r="CX8" i="3"/>
  <c r="CV5" i="3"/>
  <c r="Y29" i="1"/>
  <c r="Q29" i="1"/>
  <c r="DV37" i="1" s="1"/>
  <c r="CX32" i="3"/>
  <c r="CW24" i="3"/>
  <c r="CX22" i="3"/>
  <c r="CX17" i="3"/>
  <c r="CX9" i="3"/>
  <c r="CW6" i="3"/>
  <c r="DG4" i="3"/>
  <c r="DH4" i="3"/>
  <c r="DI4" i="3"/>
  <c r="DJ4" i="3" s="1"/>
  <c r="DF4" i="3"/>
  <c r="CT32" i="1"/>
  <c r="CY29" i="1"/>
  <c r="CQ29" i="1"/>
  <c r="CW30" i="3"/>
  <c r="CW25" i="3"/>
  <c r="CX20" i="3"/>
  <c r="CW15" i="3"/>
  <c r="CX12" i="3"/>
  <c r="CX30" i="3"/>
  <c r="CX28" i="3"/>
  <c r="CX15" i="3"/>
  <c r="DI3" i="3"/>
  <c r="DJ3" i="3" s="1"/>
  <c r="CX2" i="3"/>
  <c r="DG1" i="3"/>
  <c r="CX25" i="3"/>
  <c r="CX6" i="3"/>
  <c r="DF1" i="3"/>
  <c r="DY69" i="1" l="1"/>
  <c r="DL84" i="1"/>
  <c r="DI15" i="3"/>
  <c r="DF15" i="3"/>
  <c r="DG15" i="3"/>
  <c r="DJ15" i="3" s="1"/>
  <c r="DH15" i="3"/>
  <c r="DG8" i="3"/>
  <c r="DH8" i="3"/>
  <c r="DI8" i="3"/>
  <c r="DF8" i="3"/>
  <c r="DJ8" i="3" s="1"/>
  <c r="DI10" i="3"/>
  <c r="DF10" i="3"/>
  <c r="DJ10" i="3" s="1"/>
  <c r="DG10" i="3"/>
  <c r="DH10" i="3"/>
  <c r="AE69" i="1"/>
  <c r="R84" i="1"/>
  <c r="DG20" i="3"/>
  <c r="DH20" i="3"/>
  <c r="DI20" i="3"/>
  <c r="DF20" i="3"/>
  <c r="DJ20" i="3" s="1"/>
  <c r="DI30" i="3"/>
  <c r="DF30" i="3"/>
  <c r="DG30" i="3"/>
  <c r="DJ30" i="3" s="1"/>
  <c r="DH30" i="3"/>
  <c r="DI22" i="3"/>
  <c r="DF22" i="3"/>
  <c r="DJ22" i="3" s="1"/>
  <c r="DG22" i="3"/>
  <c r="DH22" i="3"/>
  <c r="Y28" i="1"/>
  <c r="CZ28" i="1"/>
  <c r="X28" i="1"/>
  <c r="CY28" i="1"/>
  <c r="AF37" i="1"/>
  <c r="DF6" i="3"/>
  <c r="DG6" i="3"/>
  <c r="DJ6" i="3" s="1"/>
  <c r="DH6" i="3"/>
  <c r="DI6" i="3"/>
  <c r="DG12" i="3"/>
  <c r="DH12" i="3"/>
  <c r="DI12" i="3"/>
  <c r="DF12" i="3"/>
  <c r="DJ12" i="3" s="1"/>
  <c r="Y30" i="1"/>
  <c r="CZ30" i="1"/>
  <c r="X30" i="1"/>
  <c r="CY30" i="1"/>
  <c r="DF21" i="3"/>
  <c r="DJ21" i="3" s="1"/>
  <c r="DG21" i="3"/>
  <c r="DH21" i="3"/>
  <c r="DI21" i="3"/>
  <c r="AV26" i="1"/>
  <c r="F42" i="1"/>
  <c r="ET26" i="1"/>
  <c r="P50" i="1"/>
  <c r="ET114" i="1"/>
  <c r="Q26" i="1"/>
  <c r="F49" i="1"/>
  <c r="BA26" i="1"/>
  <c r="F57" i="1"/>
  <c r="BA114" i="1"/>
  <c r="BB26" i="1"/>
  <c r="F50" i="1"/>
  <c r="BB114" i="1"/>
  <c r="DH7" i="3"/>
  <c r="DI7" i="3"/>
  <c r="DF7" i="3"/>
  <c r="DG7" i="3"/>
  <c r="DJ7" i="3" s="1"/>
  <c r="AY26" i="1"/>
  <c r="F45" i="1"/>
  <c r="ES26" i="1"/>
  <c r="P57" i="1"/>
  <c r="W26" i="1"/>
  <c r="F61" i="1"/>
  <c r="DM26" i="1"/>
  <c r="P59" i="1"/>
  <c r="BB69" i="1"/>
  <c r="F97" i="1"/>
  <c r="EB26" i="1"/>
  <c r="DO37" i="1"/>
  <c r="DH31" i="3"/>
  <c r="DI31" i="3"/>
  <c r="DF31" i="3"/>
  <c r="DJ31" i="3" s="1"/>
  <c r="DG31" i="3"/>
  <c r="DF23" i="3"/>
  <c r="DG23" i="3"/>
  <c r="DH23" i="3"/>
  <c r="DI23" i="3"/>
  <c r="DJ23" i="3" s="1"/>
  <c r="EH69" i="1"/>
  <c r="P93" i="1"/>
  <c r="EI69" i="1"/>
  <c r="P94" i="1"/>
  <c r="EU69" i="1"/>
  <c r="P100" i="1"/>
  <c r="BA69" i="1"/>
  <c r="F104" i="1"/>
  <c r="DW26" i="1"/>
  <c r="DJ37" i="1"/>
  <c r="AZ26" i="1"/>
  <c r="F48" i="1"/>
  <c r="DG16" i="3"/>
  <c r="DJ16" i="3" s="1"/>
  <c r="DH16" i="3"/>
  <c r="DI16" i="3"/>
  <c r="DF16" i="3"/>
  <c r="DN26" i="1"/>
  <c r="P60" i="1"/>
  <c r="EV69" i="1"/>
  <c r="P109" i="1"/>
  <c r="EC69" i="1"/>
  <c r="DP84" i="1"/>
  <c r="DL26" i="1"/>
  <c r="P58" i="1"/>
  <c r="DL114" i="1"/>
  <c r="ET69" i="1"/>
  <c r="P97" i="1"/>
  <c r="GA69" i="1"/>
  <c r="ER84" i="1"/>
  <c r="AO69" i="1"/>
  <c r="F88" i="1"/>
  <c r="EA69" i="1"/>
  <c r="DN84" i="1"/>
  <c r="AI69" i="1"/>
  <c r="V84" i="1"/>
  <c r="DF25" i="3"/>
  <c r="DG25" i="3"/>
  <c r="DJ25" i="3" s="1"/>
  <c r="DH25" i="3"/>
  <c r="DI25" i="3"/>
  <c r="DF9" i="3"/>
  <c r="DJ9" i="3" s="1"/>
  <c r="DG9" i="3"/>
  <c r="DH9" i="3"/>
  <c r="DI9" i="3"/>
  <c r="EI26" i="1"/>
  <c r="P47" i="1"/>
  <c r="EI114" i="1"/>
  <c r="DH5" i="3"/>
  <c r="DI5" i="3"/>
  <c r="DJ5" i="3" s="1"/>
  <c r="DF5" i="3"/>
  <c r="DG5" i="3"/>
  <c r="U26" i="1"/>
  <c r="F59" i="1"/>
  <c r="DF17" i="3"/>
  <c r="DJ17" i="3" s="1"/>
  <c r="DG17" i="3"/>
  <c r="DH17" i="3"/>
  <c r="DI17" i="3"/>
  <c r="DV26" i="1"/>
  <c r="DI37" i="1"/>
  <c r="DI26" i="3"/>
  <c r="DF26" i="3"/>
  <c r="DJ26" i="3" s="1"/>
  <c r="DG26" i="3"/>
  <c r="DH26" i="3"/>
  <c r="Y31" i="1"/>
  <c r="CZ31" i="1"/>
  <c r="X31" i="1"/>
  <c r="EC37" i="1" s="1"/>
  <c r="CY31" i="1"/>
  <c r="DX37" i="1"/>
  <c r="DF13" i="3"/>
  <c r="DJ13" i="3" s="1"/>
  <c r="DG13" i="3"/>
  <c r="DH13" i="3"/>
  <c r="DI13" i="3"/>
  <c r="CP28" i="1"/>
  <c r="O28" i="1" s="1"/>
  <c r="BD26" i="1"/>
  <c r="F62" i="1"/>
  <c r="BD114" i="1"/>
  <c r="CP31" i="1"/>
  <c r="O31" i="1" s="1"/>
  <c r="GM31" i="1" s="1"/>
  <c r="AS26" i="1"/>
  <c r="F54" i="1"/>
  <c r="AS114" i="1"/>
  <c r="EM26" i="1"/>
  <c r="P56" i="1"/>
  <c r="EM114" i="1"/>
  <c r="DG14" i="3"/>
  <c r="DH14" i="3"/>
  <c r="DI14" i="3"/>
  <c r="DJ14" i="3" s="1"/>
  <c r="DF14" i="3"/>
  <c r="DV69" i="1"/>
  <c r="DI84" i="1"/>
  <c r="AP26" i="1"/>
  <c r="F46" i="1"/>
  <c r="AP114" i="1"/>
  <c r="AD69" i="1"/>
  <c r="Q84" i="1"/>
  <c r="AQ26" i="1"/>
  <c r="F47" i="1"/>
  <c r="AQ114" i="1"/>
  <c r="EG26" i="1"/>
  <c r="P41" i="1"/>
  <c r="EG114" i="1"/>
  <c r="CP71" i="1"/>
  <c r="O71" i="1" s="1"/>
  <c r="T26" i="1"/>
  <c r="F58" i="1"/>
  <c r="T114" i="1"/>
  <c r="DG29" i="3"/>
  <c r="DJ29" i="3" s="1"/>
  <c r="DH29" i="3"/>
  <c r="DI29" i="3"/>
  <c r="DF29" i="3"/>
  <c r="CP74" i="1"/>
  <c r="O74" i="1" s="1"/>
  <c r="GM74" i="1" s="1"/>
  <c r="GO74" i="1" s="1"/>
  <c r="DU84" i="1"/>
  <c r="CP75" i="1"/>
  <c r="O75" i="1" s="1"/>
  <c r="GM75" i="1" s="1"/>
  <c r="GO75" i="1" s="1"/>
  <c r="AC84" i="1"/>
  <c r="GM76" i="1"/>
  <c r="GO76" i="1" s="1"/>
  <c r="GM77" i="1"/>
  <c r="GO77" i="1" s="1"/>
  <c r="DH27" i="3"/>
  <c r="DI27" i="3"/>
  <c r="DF27" i="3"/>
  <c r="DJ27" i="3" s="1"/>
  <c r="DG27" i="3"/>
  <c r="BD69" i="1"/>
  <c r="F109" i="1"/>
  <c r="AJ69" i="1"/>
  <c r="W84" i="1"/>
  <c r="CG69" i="1"/>
  <c r="AX84" i="1"/>
  <c r="AH69" i="1"/>
  <c r="U84" i="1"/>
  <c r="DX69" i="1"/>
  <c r="DK84" i="1"/>
  <c r="AQ69" i="1"/>
  <c r="F94" i="1"/>
  <c r="EG69" i="1"/>
  <c r="P88" i="1"/>
  <c r="T69" i="1"/>
  <c r="F105" i="1"/>
  <c r="GB69" i="1"/>
  <c r="ES84" i="1"/>
  <c r="ES114" i="1" s="1"/>
  <c r="DG32" i="3"/>
  <c r="DH32" i="3"/>
  <c r="DI32" i="3"/>
  <c r="DF32" i="3"/>
  <c r="DJ32" i="3" s="1"/>
  <c r="AO26" i="1"/>
  <c r="F41" i="1"/>
  <c r="AO114" i="1"/>
  <c r="EV26" i="1"/>
  <c r="P62" i="1"/>
  <c r="EV114" i="1"/>
  <c r="GM30" i="1"/>
  <c r="BC26" i="1"/>
  <c r="F53" i="1"/>
  <c r="BC114" i="1"/>
  <c r="DI28" i="3"/>
  <c r="DJ28" i="3" s="1"/>
  <c r="DF28" i="3"/>
  <c r="DG28" i="3"/>
  <c r="DH28" i="3"/>
  <c r="DI2" i="3"/>
  <c r="DJ2" i="3" s="1"/>
  <c r="DF2" i="3"/>
  <c r="DG2" i="3"/>
  <c r="DH2" i="3"/>
  <c r="ED37" i="1"/>
  <c r="DI18" i="3"/>
  <c r="DF18" i="3"/>
  <c r="DJ18" i="3" s="1"/>
  <c r="DG18" i="3"/>
  <c r="DH18" i="3"/>
  <c r="P26" i="1"/>
  <c r="F40" i="1"/>
  <c r="EP26" i="1"/>
  <c r="P44" i="1"/>
  <c r="GM32" i="1"/>
  <c r="GO32" i="1" s="1"/>
  <c r="CP33" i="1"/>
  <c r="O33" i="1" s="1"/>
  <c r="GM33" i="1" s="1"/>
  <c r="GO33" i="1" s="1"/>
  <c r="DU37" i="1"/>
  <c r="AW26" i="1"/>
  <c r="F43" i="1"/>
  <c r="EU26" i="1"/>
  <c r="P53" i="1"/>
  <c r="EU114" i="1"/>
  <c r="DH19" i="3"/>
  <c r="DI19" i="3"/>
  <c r="DF19" i="3"/>
  <c r="DJ19" i="3" s="1"/>
  <c r="DG19" i="3"/>
  <c r="CP29" i="1"/>
  <c r="O29" i="1" s="1"/>
  <c r="AE26" i="1"/>
  <c r="R37" i="1"/>
  <c r="AX26" i="1"/>
  <c r="F44" i="1"/>
  <c r="AX114" i="1"/>
  <c r="DH11" i="3"/>
  <c r="DI11" i="3"/>
  <c r="DF11" i="3"/>
  <c r="DJ11" i="3" s="1"/>
  <c r="DG11" i="3"/>
  <c r="DW84" i="1"/>
  <c r="AU26" i="1"/>
  <c r="F56" i="1"/>
  <c r="AU114" i="1"/>
  <c r="EK26" i="1"/>
  <c r="P54" i="1"/>
  <c r="EK114" i="1"/>
  <c r="FQ26" i="1"/>
  <c r="EH37" i="1"/>
  <c r="GA37" i="1"/>
  <c r="CP72" i="1"/>
  <c r="O72" i="1" s="1"/>
  <c r="AP69" i="1"/>
  <c r="F93" i="1"/>
  <c r="ED84" i="1"/>
  <c r="V26" i="1"/>
  <c r="F60" i="1"/>
  <c r="V114" i="1"/>
  <c r="DH24" i="3"/>
  <c r="DI24" i="3"/>
  <c r="DF24" i="3"/>
  <c r="DG24" i="3"/>
  <c r="DJ24" i="3" s="1"/>
  <c r="CI69" i="1"/>
  <c r="AZ84" i="1"/>
  <c r="Y81" i="1"/>
  <c r="CZ81" i="1"/>
  <c r="X81" i="1"/>
  <c r="GM81" i="1" s="1"/>
  <c r="GO81" i="1" s="1"/>
  <c r="CY81" i="1"/>
  <c r="AU69" i="1"/>
  <c r="F103" i="1"/>
  <c r="DZ69" i="1"/>
  <c r="DM84" i="1"/>
  <c r="AF84" i="1"/>
  <c r="X79" i="1"/>
  <c r="AK84" i="1" s="1"/>
  <c r="CY79" i="1"/>
  <c r="Y79" i="1"/>
  <c r="AL84" i="1" s="1"/>
  <c r="CZ79" i="1"/>
  <c r="GM82" i="1"/>
  <c r="GO82" i="1" s="1"/>
  <c r="EB69" i="1"/>
  <c r="DO84" i="1"/>
  <c r="EM69" i="1"/>
  <c r="P103" i="1"/>
  <c r="FY69" i="1"/>
  <c r="EP84" i="1"/>
  <c r="AL69" i="1" l="1"/>
  <c r="Y84" i="1"/>
  <c r="ES22" i="1"/>
  <c r="P134" i="1"/>
  <c r="ES144" i="1"/>
  <c r="AK69" i="1"/>
  <c r="X84" i="1"/>
  <c r="EP69" i="1"/>
  <c r="P91" i="1"/>
  <c r="DO69" i="1"/>
  <c r="P108" i="1"/>
  <c r="AZ69" i="1"/>
  <c r="F95" i="1"/>
  <c r="ED69" i="1"/>
  <c r="DQ84" i="1"/>
  <c r="GA26" i="1"/>
  <c r="ER37" i="1"/>
  <c r="EU22" i="1"/>
  <c r="EU144" i="1"/>
  <c r="P130" i="1"/>
  <c r="BC22" i="1"/>
  <c r="F130" i="1"/>
  <c r="BC144" i="1"/>
  <c r="EV22" i="1"/>
  <c r="P139" i="1"/>
  <c r="EV144" i="1"/>
  <c r="U69" i="1"/>
  <c r="F106" i="1"/>
  <c r="W69" i="1"/>
  <c r="F108" i="1"/>
  <c r="DU69" i="1"/>
  <c r="DH84" i="1"/>
  <c r="FW84" i="1"/>
  <c r="FX84" i="1"/>
  <c r="FZ84" i="1"/>
  <c r="EM22" i="1"/>
  <c r="P133" i="1"/>
  <c r="EM144" i="1"/>
  <c r="DI26" i="1"/>
  <c r="P49" i="1"/>
  <c r="DI114" i="1"/>
  <c r="V69" i="1"/>
  <c r="F107" i="1"/>
  <c r="GM79" i="1"/>
  <c r="GO79" i="1" s="1"/>
  <c r="DJ26" i="1"/>
  <c r="P51" i="1"/>
  <c r="ET22" i="1"/>
  <c r="ET144" i="1"/>
  <c r="P127" i="1"/>
  <c r="AK37" i="1"/>
  <c r="V22" i="1"/>
  <c r="F137" i="1"/>
  <c r="V144" i="1"/>
  <c r="EH26" i="1"/>
  <c r="P46" i="1"/>
  <c r="EH114" i="1"/>
  <c r="DW69" i="1"/>
  <c r="DJ84" i="1"/>
  <c r="R26" i="1"/>
  <c r="F51" i="1"/>
  <c r="R114" i="1"/>
  <c r="EP114" i="1"/>
  <c r="Q69" i="1"/>
  <c r="F96" i="1"/>
  <c r="EC26" i="1"/>
  <c r="DP37" i="1"/>
  <c r="EI22" i="1"/>
  <c r="P124" i="1"/>
  <c r="EI144" i="1"/>
  <c r="AZ114" i="1"/>
  <c r="Q114" i="1"/>
  <c r="AF69" i="1"/>
  <c r="S84" i="1"/>
  <c r="AU22" i="1"/>
  <c r="F133" i="1"/>
  <c r="W16" i="2" s="1"/>
  <c r="AU144" i="1"/>
  <c r="AX22" i="1"/>
  <c r="F121" i="1"/>
  <c r="AX144" i="1"/>
  <c r="DU26" i="1"/>
  <c r="FZ37" i="1"/>
  <c r="DH37" i="1"/>
  <c r="FW37" i="1"/>
  <c r="FX37" i="1"/>
  <c r="ES69" i="1"/>
  <c r="P104" i="1"/>
  <c r="DK69" i="1"/>
  <c r="P99" i="1"/>
  <c r="AX69" i="1"/>
  <c r="F91" i="1"/>
  <c r="AC69" i="1"/>
  <c r="P84" i="1"/>
  <c r="CE84" i="1"/>
  <c r="CF84" i="1"/>
  <c r="CH84" i="1"/>
  <c r="GM71" i="1"/>
  <c r="AB84" i="1"/>
  <c r="AQ22" i="1"/>
  <c r="F124" i="1"/>
  <c r="AQ144" i="1"/>
  <c r="DI69" i="1"/>
  <c r="P96" i="1"/>
  <c r="GM28" i="1"/>
  <c r="AB37" i="1"/>
  <c r="U114" i="1"/>
  <c r="DN69" i="1"/>
  <c r="P107" i="1"/>
  <c r="DP69" i="1"/>
  <c r="P110" i="1"/>
  <c r="DN114" i="1"/>
  <c r="W114" i="1"/>
  <c r="BA22" i="1"/>
  <c r="BA144" i="1"/>
  <c r="F134" i="1"/>
  <c r="AF26" i="1"/>
  <c r="S37" i="1"/>
  <c r="AL37" i="1"/>
  <c r="DL69" i="1"/>
  <c r="P105" i="1"/>
  <c r="DM69" i="1"/>
  <c r="P106" i="1"/>
  <c r="GM72" i="1"/>
  <c r="DT84" i="1"/>
  <c r="EK22" i="1"/>
  <c r="P131" i="1"/>
  <c r="E16" i="2" s="1"/>
  <c r="EK144" i="1"/>
  <c r="GM29" i="1"/>
  <c r="DT37" i="1"/>
  <c r="ED26" i="1"/>
  <c r="DQ37" i="1"/>
  <c r="AO22" i="1"/>
  <c r="AO144" i="1"/>
  <c r="F118" i="1"/>
  <c r="T22" i="1"/>
  <c r="F135" i="1"/>
  <c r="T144" i="1"/>
  <c r="EG22" i="1"/>
  <c r="P118" i="1"/>
  <c r="EG144" i="1"/>
  <c r="AP22" i="1"/>
  <c r="F123" i="1"/>
  <c r="V16" i="2" s="1"/>
  <c r="AP144" i="1"/>
  <c r="AS22" i="1"/>
  <c r="F131" i="1"/>
  <c r="T16" i="2" s="1"/>
  <c r="AS144" i="1"/>
  <c r="BD22" i="1"/>
  <c r="F139" i="1"/>
  <c r="BD144" i="1"/>
  <c r="DX26" i="1"/>
  <c r="DK37" i="1"/>
  <c r="ER69" i="1"/>
  <c r="P95" i="1"/>
  <c r="DL22" i="1"/>
  <c r="DL144" i="1"/>
  <c r="P135" i="1"/>
  <c r="DO26" i="1"/>
  <c r="P61" i="1"/>
  <c r="DO114" i="1"/>
  <c r="DM114" i="1"/>
  <c r="BB22" i="1"/>
  <c r="F127" i="1"/>
  <c r="BB144" i="1"/>
  <c r="R69" i="1"/>
  <c r="F98" i="1"/>
  <c r="DM22" i="1" l="1"/>
  <c r="DM144" i="1"/>
  <c r="P136" i="1"/>
  <c r="GO29" i="1"/>
  <c r="FU37" i="1" s="1"/>
  <c r="FS37" i="1"/>
  <c r="GO28" i="1"/>
  <c r="CC37" i="1" s="1"/>
  <c r="CA37" i="1"/>
  <c r="DO22" i="1"/>
  <c r="DO144" i="1"/>
  <c r="P138" i="1"/>
  <c r="DQ26" i="1"/>
  <c r="P64" i="1"/>
  <c r="DQ114" i="1"/>
  <c r="DN22" i="1"/>
  <c r="DN144" i="1"/>
  <c r="P137" i="1"/>
  <c r="EP22" i="1"/>
  <c r="EP144" i="1"/>
  <c r="P121" i="1"/>
  <c r="FZ69" i="1"/>
  <c r="EQ84" i="1"/>
  <c r="EU18" i="1"/>
  <c r="P160" i="1"/>
  <c r="DQ69" i="1"/>
  <c r="P111" i="1"/>
  <c r="X69" i="1"/>
  <c r="F110" i="1"/>
  <c r="EG18" i="1"/>
  <c r="P148" i="1"/>
  <c r="FW26" i="1"/>
  <c r="EN37" i="1"/>
  <c r="Q22" i="1"/>
  <c r="Q144" i="1"/>
  <c r="F126" i="1"/>
  <c r="DH69" i="1"/>
  <c r="P87" i="1"/>
  <c r="DK26" i="1"/>
  <c r="P52" i="1"/>
  <c r="DK114" i="1"/>
  <c r="FS84" i="1"/>
  <c r="GO72" i="1"/>
  <c r="FU84" i="1" s="1"/>
  <c r="DH26" i="1"/>
  <c r="P40" i="1"/>
  <c r="DH114" i="1"/>
  <c r="AK26" i="1"/>
  <c r="X37" i="1"/>
  <c r="AS18" i="1"/>
  <c r="F161" i="1"/>
  <c r="AB69" i="1"/>
  <c r="O84" i="1"/>
  <c r="S69" i="1"/>
  <c r="F99" i="1"/>
  <c r="EM18" i="1"/>
  <c r="P163" i="1"/>
  <c r="Y69" i="1"/>
  <c r="F111" i="1"/>
  <c r="DT69" i="1"/>
  <c r="DG84" i="1"/>
  <c r="W22" i="1"/>
  <c r="W144" i="1"/>
  <c r="F138" i="1"/>
  <c r="CH69" i="1"/>
  <c r="AY84" i="1"/>
  <c r="AX18" i="1"/>
  <c r="F151" i="1"/>
  <c r="BB18" i="1"/>
  <c r="F157" i="1"/>
  <c r="DL18" i="1"/>
  <c r="P165" i="1"/>
  <c r="AP18" i="1"/>
  <c r="F153" i="1"/>
  <c r="EK18" i="1"/>
  <c r="P161" i="1"/>
  <c r="CF69" i="1"/>
  <c r="AW84" i="1"/>
  <c r="AZ22" i="1"/>
  <c r="F125" i="1"/>
  <c r="AZ144" i="1"/>
  <c r="DP26" i="1"/>
  <c r="P63" i="1"/>
  <c r="DP114" i="1"/>
  <c r="DJ69" i="1"/>
  <c r="P98" i="1"/>
  <c r="DJ114" i="1"/>
  <c r="BC18" i="1"/>
  <c r="F160" i="1"/>
  <c r="AL26" i="1"/>
  <c r="Y37" i="1"/>
  <c r="BA18" i="1"/>
  <c r="F164" i="1"/>
  <c r="U22" i="1"/>
  <c r="U144" i="1"/>
  <c r="F136" i="1"/>
  <c r="CE69" i="1"/>
  <c r="AV84" i="1"/>
  <c r="FZ26" i="1"/>
  <c r="EQ37" i="1"/>
  <c r="EI18" i="1"/>
  <c r="P154" i="1"/>
  <c r="R22" i="1"/>
  <c r="R144" i="1"/>
  <c r="F128" i="1"/>
  <c r="V18" i="1"/>
  <c r="F167" i="1"/>
  <c r="FX69" i="1"/>
  <c r="EO84" i="1"/>
  <c r="EV18" i="1"/>
  <c r="P169" i="1"/>
  <c r="BD18" i="1"/>
  <c r="F169" i="1"/>
  <c r="T18" i="1"/>
  <c r="F165" i="1"/>
  <c r="AO18" i="1"/>
  <c r="F148" i="1"/>
  <c r="DT26" i="1"/>
  <c r="DG37" i="1"/>
  <c r="S26" i="1"/>
  <c r="F52" i="1"/>
  <c r="S114" i="1"/>
  <c r="AB26" i="1"/>
  <c r="O37" i="1"/>
  <c r="AQ18" i="1"/>
  <c r="F154" i="1"/>
  <c r="GO71" i="1"/>
  <c r="CC84" i="1" s="1"/>
  <c r="CA84" i="1"/>
  <c r="P69" i="1"/>
  <c r="F87" i="1"/>
  <c r="P114" i="1"/>
  <c r="FX26" i="1"/>
  <c r="EO37" i="1"/>
  <c r="AU18" i="1"/>
  <c r="F163" i="1"/>
  <c r="EH22" i="1"/>
  <c r="EH144" i="1"/>
  <c r="P123" i="1"/>
  <c r="G16" i="2" s="1"/>
  <c r="ET18" i="1"/>
  <c r="P157" i="1"/>
  <c r="DI22" i="1"/>
  <c r="P126" i="1"/>
  <c r="DI144" i="1"/>
  <c r="H16" i="2"/>
  <c r="FW69" i="1"/>
  <c r="EN84" i="1"/>
  <c r="ER26" i="1"/>
  <c r="P48" i="1"/>
  <c r="ER114" i="1"/>
  <c r="ES18" i="1"/>
  <c r="P164" i="1"/>
  <c r="EN69" i="1" l="1"/>
  <c r="P89" i="1"/>
  <c r="S22" i="1"/>
  <c r="F129" i="1"/>
  <c r="Y16" i="2" s="1"/>
  <c r="S144" i="1"/>
  <c r="ER22" i="1"/>
  <c r="P125" i="1"/>
  <c r="ER144" i="1"/>
  <c r="EH18" i="1"/>
  <c r="P153" i="1"/>
  <c r="DJ22" i="1"/>
  <c r="P128" i="1"/>
  <c r="DJ144" i="1"/>
  <c r="W18" i="1"/>
  <c r="F168" i="1"/>
  <c r="FS69" i="1"/>
  <c r="EJ84" i="1"/>
  <c r="CA69" i="1"/>
  <c r="AR84" i="1"/>
  <c r="O26" i="1"/>
  <c r="F39" i="1"/>
  <c r="O114" i="1"/>
  <c r="EO69" i="1"/>
  <c r="P90" i="1"/>
  <c r="AW69" i="1"/>
  <c r="F90" i="1"/>
  <c r="AW114" i="1"/>
  <c r="AY69" i="1"/>
  <c r="F92" i="1"/>
  <c r="AY114" i="1"/>
  <c r="DK22" i="1"/>
  <c r="DK144" i="1"/>
  <c r="P129" i="1"/>
  <c r="J16" i="2" s="1"/>
  <c r="EN26" i="1"/>
  <c r="P42" i="1"/>
  <c r="EN114" i="1"/>
  <c r="DN18" i="1"/>
  <c r="P167" i="1"/>
  <c r="CA26" i="1"/>
  <c r="AR37" i="1"/>
  <c r="U18" i="1"/>
  <c r="F166" i="1"/>
  <c r="EO26" i="1"/>
  <c r="P43" i="1"/>
  <c r="EO114" i="1"/>
  <c r="AV69" i="1"/>
  <c r="F89" i="1"/>
  <c r="AV114" i="1"/>
  <c r="DH22" i="1"/>
  <c r="P117" i="1"/>
  <c r="DH144" i="1"/>
  <c r="FU26" i="1"/>
  <c r="EL37" i="1"/>
  <c r="DI18" i="1"/>
  <c r="P156" i="1"/>
  <c r="P22" i="1"/>
  <c r="F117" i="1"/>
  <c r="P144" i="1"/>
  <c r="CC69" i="1"/>
  <c r="AT84" i="1"/>
  <c r="DG26" i="1"/>
  <c r="P39" i="1"/>
  <c r="DG114" i="1"/>
  <c r="R18" i="1"/>
  <c r="F158" i="1"/>
  <c r="EQ26" i="1"/>
  <c r="P45" i="1"/>
  <c r="EQ114" i="1"/>
  <c r="AZ18" i="1"/>
  <c r="F155" i="1"/>
  <c r="DG69" i="1"/>
  <c r="P86" i="1"/>
  <c r="O69" i="1"/>
  <c r="F86" i="1"/>
  <c r="X26" i="1"/>
  <c r="F63" i="1"/>
  <c r="X114" i="1"/>
  <c r="EP18" i="1"/>
  <c r="P151" i="1"/>
  <c r="CC26" i="1"/>
  <c r="AT37" i="1"/>
  <c r="DM18" i="1"/>
  <c r="P166" i="1"/>
  <c r="Y26" i="1"/>
  <c r="F64" i="1"/>
  <c r="Y114" i="1"/>
  <c r="DP22" i="1"/>
  <c r="DP144" i="1"/>
  <c r="P140" i="1"/>
  <c r="FU69" i="1"/>
  <c r="EL84" i="1"/>
  <c r="Q18" i="1"/>
  <c r="F156" i="1"/>
  <c r="EQ69" i="1"/>
  <c r="P92" i="1"/>
  <c r="DQ22" i="1"/>
  <c r="P141" i="1"/>
  <c r="DQ144" i="1"/>
  <c r="DO18" i="1"/>
  <c r="P168" i="1"/>
  <c r="FS26" i="1"/>
  <c r="EJ37" i="1"/>
  <c r="AT26" i="1" l="1"/>
  <c r="F55" i="1"/>
  <c r="AT114" i="1"/>
  <c r="EO22" i="1"/>
  <c r="P120" i="1"/>
  <c r="EO144" i="1"/>
  <c r="EQ22" i="1"/>
  <c r="P122" i="1"/>
  <c r="EQ144" i="1"/>
  <c r="AR26" i="1"/>
  <c r="F65" i="1"/>
  <c r="AR114" i="1"/>
  <c r="DK18" i="1"/>
  <c r="P159" i="1"/>
  <c r="ER18" i="1"/>
  <c r="P155" i="1"/>
  <c r="EL69" i="1"/>
  <c r="P102" i="1"/>
  <c r="DG22" i="1"/>
  <c r="P116" i="1"/>
  <c r="DG144" i="1"/>
  <c r="DH18" i="1"/>
  <c r="P147" i="1"/>
  <c r="AW22" i="1"/>
  <c r="AW144" i="1"/>
  <c r="F120" i="1"/>
  <c r="AR69" i="1"/>
  <c r="F112" i="1"/>
  <c r="X22" i="1"/>
  <c r="F140" i="1"/>
  <c r="X144" i="1"/>
  <c r="EL26" i="1"/>
  <c r="P55" i="1"/>
  <c r="EL114" i="1"/>
  <c r="DP18" i="1"/>
  <c r="P170" i="1"/>
  <c r="AT69" i="1"/>
  <c r="F102" i="1"/>
  <c r="AV22" i="1"/>
  <c r="AV144" i="1"/>
  <c r="F119" i="1"/>
  <c r="EN22" i="1"/>
  <c r="P119" i="1"/>
  <c r="EN144" i="1"/>
  <c r="EJ26" i="1"/>
  <c r="P65" i="1"/>
  <c r="EJ114" i="1"/>
  <c r="DQ18" i="1"/>
  <c r="P171" i="1"/>
  <c r="Y22" i="1"/>
  <c r="F141" i="1"/>
  <c r="Y144" i="1"/>
  <c r="P18" i="1"/>
  <c r="F147" i="1"/>
  <c r="AY22" i="1"/>
  <c r="F122" i="1"/>
  <c r="AY144" i="1"/>
  <c r="O22" i="1"/>
  <c r="O144" i="1"/>
  <c r="F116" i="1"/>
  <c r="EJ69" i="1"/>
  <c r="P112" i="1"/>
  <c r="DJ18" i="1"/>
  <c r="P158" i="1"/>
  <c r="S18" i="1"/>
  <c r="F159" i="1"/>
  <c r="EN18" i="1" l="1"/>
  <c r="P149" i="1"/>
  <c r="AR22" i="1"/>
  <c r="AR144" i="1"/>
  <c r="F142" i="1"/>
  <c r="O18" i="1"/>
  <c r="F146" i="1"/>
  <c r="EJ22" i="1"/>
  <c r="EJ144" i="1"/>
  <c r="P142" i="1"/>
  <c r="X18" i="1"/>
  <c r="F170" i="1"/>
  <c r="AT22" i="1"/>
  <c r="AT144" i="1"/>
  <c r="F132" i="1"/>
  <c r="U16" i="2" s="1"/>
  <c r="X16" i="2" s="1"/>
  <c r="AC16" i="2" s="1"/>
  <c r="AV18" i="1"/>
  <c r="F149" i="1"/>
  <c r="Y18" i="1"/>
  <c r="F171" i="1"/>
  <c r="EL22" i="1"/>
  <c r="EL144" i="1"/>
  <c r="P132" i="1"/>
  <c r="F16" i="2" s="1"/>
  <c r="I16" i="2" s="1"/>
  <c r="N16" i="2" s="1"/>
  <c r="EO18" i="1"/>
  <c r="P150" i="1"/>
  <c r="AY18" i="1"/>
  <c r="F152" i="1"/>
  <c r="AW18" i="1"/>
  <c r="F150" i="1"/>
  <c r="DG18" i="1"/>
  <c r="P146" i="1"/>
  <c r="EQ18" i="1"/>
  <c r="P152" i="1"/>
  <c r="AT18" i="1" l="1"/>
  <c r="F162" i="1"/>
  <c r="AR18" i="1"/>
  <c r="F172" i="1"/>
  <c r="EL18" i="1"/>
  <c r="P162" i="1"/>
  <c r="EJ18" i="1"/>
  <c r="P172" i="1"/>
</calcChain>
</file>

<file path=xl/sharedStrings.xml><?xml version="1.0" encoding="utf-8"?>
<sst xmlns="http://schemas.openxmlformats.org/spreadsheetml/2006/main" count="2490" uniqueCount="260">
  <si>
    <t>Smeta.RU  (495) 974-1589</t>
  </si>
  <si>
    <t>_PS_</t>
  </si>
  <si>
    <t>Smeta.RU</t>
  </si>
  <si>
    <t/>
  </si>
  <si>
    <t>Капитальный ремонт здания Государственного бюджетного общеобразовательного учреждения города Москвы "Школа №236"  по адресу: г. Москва, улица Клязьминская, дом 7, корпус 4</t>
  </si>
  <si>
    <t>02-01-13 Электрочасофикация</t>
  </si>
  <si>
    <t>2024-00272-01-0-ИОС5.6</t>
  </si>
  <si>
    <t>Соколова И.Н.</t>
  </si>
  <si>
    <t>Сметные нормы списания</t>
  </si>
  <si>
    <t>Коды ОКП для ТСН-2001 МГЭ Дополнение 80</t>
  </si>
  <si>
    <t>Типовой расчет для ТСН-2001 МГЭ, Дополнение 80, строительство  (1)</t>
  </si>
  <si>
    <t>Территориальные сметные нормативы для Москвы ТСН-2001 (МГЭ), дополнение 80</t>
  </si>
  <si>
    <t>Поправки для ТСН-2001 от 28.11.2025 г. доп.79</t>
  </si>
  <si>
    <t>Территориальные сметные нормативы для Москвы (ТСН-2001)</t>
  </si>
  <si>
    <t>ТЕР</t>
  </si>
  <si>
    <t>02-01-13</t>
  </si>
  <si>
    <t>Электрочасофикация</t>
  </si>
  <si>
    <t>Оборудование</t>
  </si>
  <si>
    <t>1</t>
  </si>
  <si>
    <t>4.10-85-1</t>
  </si>
  <si>
    <t>Электрочасы первичные, часы первичные электрические показывающие кварцевые типа ПКЧЗ-2-РИ-Р24-Р6-1</t>
  </si>
  <si>
    <t>1  ШТ.</t>
  </si>
  <si>
    <t>ТСН-2001.4 Доп. 80, Сб. 10, т. 85, поз. 1</t>
  </si>
  <si>
    <t>*1</t>
  </si>
  <si>
    <t>*1,1</t>
  </si>
  <si>
    <t>Монтаж оборудования</t>
  </si>
  <si>
    <t>ТСН-2001.4-10. Прокладка и монтаж сетей связи</t>
  </si>
  <si>
    <t>ТСН-2001.4-10-1</t>
  </si>
  <si>
    <t>Поправка: Гл.12.Прил.8.п.8. 5_12.00.01.11.003</t>
  </si>
  <si>
    <t>2</t>
  </si>
  <si>
    <t>КА-1</t>
  </si>
  <si>
    <t>Часовая станция "Первичные часы" ПИК-2М-4002</t>
  </si>
  <si>
    <t>ШТ</t>
  </si>
  <si>
    <t>Сметная стоимость оборудования</t>
  </si>
  <si>
    <t>ТСН-2001.13. Сметная стоимость оборудования</t>
  </si>
  <si>
    <t>ТСН-2001.13</t>
  </si>
  <si>
    <t>[92 760 / 1,2 /  7,66] +  3% Трансп +  1,2% Заг.скл</t>
  </si>
  <si>
    <t>3</t>
  </si>
  <si>
    <t>1,2</t>
  </si>
  <si>
    <t>4.10-86-1</t>
  </si>
  <si>
    <t>Электрочасы вторичные для помещений, электрочасы односторонние на стене</t>
  </si>
  <si>
    <t>ТСН-2001.4. Доп. 1-42. Сб. 10, т. 86, поз. 1</t>
  </si>
  <si>
    <t>4</t>
  </si>
  <si>
    <t>13.1-2-211</t>
  </si>
  <si>
    <t>Часы электрические вторичные стрелочные, типа ВЧ03/03</t>
  </si>
  <si>
    <t>шт.</t>
  </si>
  <si>
    <t>ПЗ</t>
  </si>
  <si>
    <t>Прямые затраты</t>
  </si>
  <si>
    <t>СтМатОб</t>
  </si>
  <si>
    <t>Стоимость материальных ресурсов (всего)</t>
  </si>
  <si>
    <t>СтМатОбЗак</t>
  </si>
  <si>
    <t>Стоимость материалов и оборудования заказчика</t>
  </si>
  <si>
    <t>СтМатОбПод</t>
  </si>
  <si>
    <t>Стоимость материалов и оборудования подрядчика</t>
  </si>
  <si>
    <t>СтМат</t>
  </si>
  <si>
    <t>Стоимость материалов (всего)</t>
  </si>
  <si>
    <t>СтМатЗак</t>
  </si>
  <si>
    <t>Стоимость материалов заказчика</t>
  </si>
  <si>
    <t>СтМатПод</t>
  </si>
  <si>
    <t>Стоимость материалов подрядчика</t>
  </si>
  <si>
    <t>Оборуд</t>
  </si>
  <si>
    <t>Стоимость оборудования (всего)</t>
  </si>
  <si>
    <t>ОборудЗак</t>
  </si>
  <si>
    <t>Стоимость оборудования заказчика</t>
  </si>
  <si>
    <t>ОборудПод</t>
  </si>
  <si>
    <t>Стоимость оборудования подрядчика</t>
  </si>
  <si>
    <t>ЭММ</t>
  </si>
  <si>
    <t>Эксплуатация машин</t>
  </si>
  <si>
    <t>ЭММсНРиСП</t>
  </si>
  <si>
    <t>Эксплуатация машин по ТСН-2001.16</t>
  </si>
  <si>
    <t>ЗПМ</t>
  </si>
  <si>
    <t>ЗП машинистов</t>
  </si>
  <si>
    <t>ОЗП</t>
  </si>
  <si>
    <t>Основная ЗП рабочих</t>
  </si>
  <si>
    <t>ОЗПсНРиСП</t>
  </si>
  <si>
    <t>Основная ЗП рабочих по ТСН-2001.16</t>
  </si>
  <si>
    <t>Строит</t>
  </si>
  <si>
    <t>Строительные работы с НР и СП</t>
  </si>
  <si>
    <t>Монтаж</t>
  </si>
  <si>
    <t>Монтажные работы с НР и СП</t>
  </si>
  <si>
    <t>Прочие</t>
  </si>
  <si>
    <t>Прочие работы с НР и СП</t>
  </si>
  <si>
    <t>ПрочиеЗатр</t>
  </si>
  <si>
    <t>Прочие затраты по ТСН-2001.16</t>
  </si>
  <si>
    <t>ВозврМат</t>
  </si>
  <si>
    <t>Возврат материалов</t>
  </si>
  <si>
    <t>ТрудСтр</t>
  </si>
  <si>
    <t>Трудозатраты строителей</t>
  </si>
  <si>
    <t>ТрудМаш</t>
  </si>
  <si>
    <t>Трудозатраты машинистов</t>
  </si>
  <si>
    <t>ТранспМат</t>
  </si>
  <si>
    <t>Транспорт материалов</t>
  </si>
  <si>
    <t>Перевозка</t>
  </si>
  <si>
    <t>Перевозка грузов</t>
  </si>
  <si>
    <t>НР</t>
  </si>
  <si>
    <t>Накладные расходы</t>
  </si>
  <si>
    <t>СмПриб</t>
  </si>
  <si>
    <t>Сметная прибыль</t>
  </si>
  <si>
    <t>Всего</t>
  </si>
  <si>
    <t>Всего с НР и СП</t>
  </si>
  <si>
    <t>Кабельные изделия</t>
  </si>
  <si>
    <t>5</t>
  </si>
  <si>
    <t>4.10-185-3</t>
  </si>
  <si>
    <t>Прокладка кабеля связи огнестойкого в трубах гофрированных с использованием скобы СМО: по бетонным поверхностям</t>
  </si>
  <si>
    <t>100 м</t>
  </si>
  <si>
    <t>ТСН-2001.4 Доп. 80, Сб. 10, т. 185, поз. 3</t>
  </si>
  <si>
    <t>Поправка: О.П. п.3.4.30.в</t>
  </si>
  <si>
    <t>5,1</t>
  </si>
  <si>
    <t>1.12-5-371</t>
  </si>
  <si>
    <t>Трубы электротехнические, гофрированные, из ПВХ, негорючие, с зондом, наружный диаметр 16 мм</t>
  </si>
  <si>
    <t>м</t>
  </si>
  <si>
    <t>ТСН-2001.1 Доп. 67, Р. 12, о. 5, поз. 371</t>
  </si>
  <si>
    <t>5,2</t>
  </si>
  <si>
    <t>1.14-1-555</t>
  </si>
  <si>
    <t>Скобы крепежные для радиочастотного коаксиального кабеля с номинальным диаметром по изоляции от 4 до 6 мм</t>
  </si>
  <si>
    <t>100 шт.</t>
  </si>
  <si>
    <t>ТСН-2001.1 Доп. 73, Р. 14, о. 1, поз. 555</t>
  </si>
  <si>
    <t>5,3</t>
  </si>
  <si>
    <t>1.7-5-131</t>
  </si>
  <si>
    <t>Анкер забивной расклинивающийся из оцинкованной стали, с внутренней резьбой М12, длина 25 мм</t>
  </si>
  <si>
    <t>ТСН-2001.1 Доп. 79, Р. 7, о. 5, поз. 131</t>
  </si>
  <si>
    <t>6</t>
  </si>
  <si>
    <t>4.8-328-1</t>
  </si>
  <si>
    <t>Прокладка кабельного изделия по установленным конструкциям и лоткам, при массе 1 м кабельного изделия до 0,5 кг на высоте до 5 м</t>
  </si>
  <si>
    <t>ТСН-2001.4 Доп. 75, Сб. 8, т. 328, поз. 1</t>
  </si>
  <si>
    <t>ТСН-2001.4-8. Электротехнические установки</t>
  </si>
  <si>
    <t>ТСН-2001.4-8-1</t>
  </si>
  <si>
    <t>7</t>
  </si>
  <si>
    <t>КА-2</t>
  </si>
  <si>
    <t>Кабель КПСВВнг(А)-LSLTx 1x2x1,0</t>
  </si>
  <si>
    <t>км</t>
  </si>
  <si>
    <t>Материалы</t>
  </si>
  <si>
    <t>Материалы, изделия и конструкции</t>
  </si>
  <si>
    <t>[36 090 / 1,2 /  9,88] +  2% Заг.скл</t>
  </si>
  <si>
    <t>0</t>
  </si>
  <si>
    <t>ОБ_ПР</t>
  </si>
  <si>
    <t>Объект производственного назначения</t>
  </si>
  <si>
    <t>ОБ_НПР</t>
  </si>
  <si>
    <t>Объект непроизводственного назначения</t>
  </si>
  <si>
    <t>3.27_АВТО</t>
  </si>
  <si>
    <t>{вкл} - НР и СП по п.18.1 "Автомобильные дороги"  {выкл} - НР и СП по п.18.2 "Устройство покрытий дорожек, тротуаров, мостовых и площадок и прочее"  3.27 Табл. 3.27-121, расценки 3.27-26-1...4</t>
  </si>
  <si>
    <t>3.29_ЗАКР</t>
  </si>
  <si>
    <t>{вкл} - Тоннели и метрополитены: закрытый способ работ  {выкл} - Тоннели и метрополитены: открытый способ работ  3.29 Отдел 1.5; табл. 3.29-1905...1906</t>
  </si>
  <si>
    <t>4.10_МЕЖГ</t>
  </si>
  <si>
    <t>{вкл} - Прокладка и монтаж междугородных линий связи  {выкл} - Прокладка и монтаж сетей связи  4.10 Раздел 1.7.3...1.7.5</t>
  </si>
  <si>
    <t>Текущий уровень цен</t>
  </si>
  <si>
    <t>Сборник индексов</t>
  </si>
  <si>
    <t>Коэффициенты к ТСН-2001 МГЭ Дополнение 80, строительство</t>
  </si>
  <si>
    <t>217/80</t>
  </si>
  <si>
    <t>Коэффициенты к ТСН-2001.13-2 Дополнение 46</t>
  </si>
  <si>
    <t>62/46</t>
  </si>
  <si>
    <t>Базовый уровень цен</t>
  </si>
  <si>
    <t>_OBSM_</t>
  </si>
  <si>
    <t>9999990008</t>
  </si>
  <si>
    <t>Трудозатраты рабочих</t>
  </si>
  <si>
    <t>чел.-ч.</t>
  </si>
  <si>
    <t>2.1-30-10</t>
  </si>
  <si>
    <t>ТСН-2001.2. Доп. 68. п.1-30-10 (304101)</t>
  </si>
  <si>
    <t>Перфораторы, мощность до 800 Вт</t>
  </si>
  <si>
    <t>маш.-ч</t>
  </si>
  <si>
    <t>2.1-30-56</t>
  </si>
  <si>
    <t>ТСН-2001.2. Доп. 68. п.1-30-56 (309101)</t>
  </si>
  <si>
    <t>Шуруповерты</t>
  </si>
  <si>
    <t>1.21-5-1180</t>
  </si>
  <si>
    <t>ТСН-2001.1 Доп. 79, Р. 21, о. 5, поз. 1180</t>
  </si>
  <si>
    <t>Бирка маркировочная для кабелей и проводов, типа У134 У3,5</t>
  </si>
  <si>
    <t>1000 шт.</t>
  </si>
  <si>
    <t>1.21-5-926</t>
  </si>
  <si>
    <t>ТСН-2001.1 Доп. 67, Р. 21, о. 5, поз. 926</t>
  </si>
  <si>
    <t>Хомут (стяжка) кабельный из полиамида, размеры 3,6х200 мм</t>
  </si>
  <si>
    <t>1.7-3-122</t>
  </si>
  <si>
    <t>ТСН-2001.1 Доп. 79, Р. 7, о. 3, поз. 122</t>
  </si>
  <si>
    <t>Бур с наконечником из твердого сплава, с хвостовиком SDS-plus, диаметр 10 мм, длина 260 мм</t>
  </si>
  <si>
    <t>2.1-18-7</t>
  </si>
  <si>
    <t>ТСН-2001.2. Доп. 68. п.1-18-7 (183001)</t>
  </si>
  <si>
    <t>Автомобили грузовые бортовые, грузоподъемность до 5 т</t>
  </si>
  <si>
    <t>9999990009</t>
  </si>
  <si>
    <t>2.1-3-38</t>
  </si>
  <si>
    <t>ТСН-2001.2. Доп. 68. п.1-3-38 (032009)</t>
  </si>
  <si>
    <t>Краны на автомобильном ходу, грузоподъемность до 16 т</t>
  </si>
  <si>
    <t>1.21-5-1134</t>
  </si>
  <si>
    <t>ТСН-2001.1 Доп. 70, Р. 21, о. 5, поз. 1134</t>
  </si>
  <si>
    <t>Хомут (стяжка) кабельный из полиамида, размеры 4,8х300 мм</t>
  </si>
  <si>
    <t>1.21-5-1181</t>
  </si>
  <si>
    <t>ТСН-2001.1 Доп. 79, Р. 21, о. 5, поз. 1181</t>
  </si>
  <si>
    <t>Бирка маркировочная для кабелей и проводов, типа У153 У3,5</t>
  </si>
  <si>
    <t>2248200000</t>
  </si>
  <si>
    <t>Трубы электротехнические гофрированные (2248100000)</t>
  </si>
  <si>
    <t>3449953000</t>
  </si>
  <si>
    <t>Скобы для крепления кабеля</t>
  </si>
  <si>
    <t>3574000000</t>
  </si>
  <si>
    <t>Кабели связи огнестойкие</t>
  </si>
  <si>
    <t>5285920000</t>
  </si>
  <si>
    <t>Анкеры клиновые</t>
  </si>
  <si>
    <t>3500000000</t>
  </si>
  <si>
    <t>Кабели, провода</t>
  </si>
  <si>
    <t>Гл.12.Прил.8.п.8. 5_12.00.01.11.003</t>
  </si>
  <si>
    <t>Глава 12</t>
  </si>
  <si>
    <t>О.П. п.3.4.30.в</t>
  </si>
  <si>
    <t>При наличии усложненных условий производства работ (стесненность, сложность складирования и транспортной логистики, наличие в зоне производства работ действующего технологического оборудования или движения технологического транспорта и т.п.) для объектов, расположенных за пределами территории круговой магистральной системы улиц "Садовое кольцо" и за пределами Третьего транспортного кольца города Москвы пунктов "а" и "б", но в пределах Московской кольцевой автомобильной дороги</t>
  </si>
  <si>
    <t>Поправка: Гл.12.Прил.8.п.8. 5_12.00.01.11.003
Наименование: При наличии усложненных условий производства работ (стесненность, сложность складирования и транспортной логистики, наличие в зоне производства работ действующего технологического оборудования или движения технологического транспорта и т.п.) для объектов, расположенных за пределами территории круговой магистральной системы улиц "Садовое кольцо" и за пределами Третьего транспортного кольца города Москвы пунктов "а" и "б", но в пределах Московской кольцевой автомобильной дороги</t>
  </si>
  <si>
    <t>При применении территориальных сметных нормативов для города Москвы затраты, учитывающие напряженные и стесненные условия производства работ (стесненность, сложность складирования и транспортной логистики и т.п.), исчисляются с применением коэффициентов к затратам труда и заработной плате рабочих, машинистов, времени эксплуатации машин и механизмов, стоимости эксплуатации машин в размере: для объектов, расположенных за пределами Третьего транспортного кольца города Москвы, но в пределах Московской кольцевой автомобильной дороги</t>
  </si>
  <si>
    <t>Поправка: О.П. п.3.4.30.в
Наименование: При применении территориальных сметных нормативов для города Москвы затраты, учитывающие напряженные и стесненные условия производства работ (стесненность, сложность складирования и транспортной логистики и т.п.), исчисляются с применением коэффициентов к затратам труда и заработной плате рабочих, машинистов, времени эксплуатации машин и механизмов, стоимости эксплуатации машин в размере: для объектов, расположенных за пределами Третьего транспортного кольца города Москвы, но в пределах Московской кольцевой автомобильной дороги</t>
  </si>
  <si>
    <t>(наименование стройки и/или объекта)</t>
  </si>
  <si>
    <t>(наименование работ и затрат)</t>
  </si>
  <si>
    <t>В
базисном
уровне
цен</t>
  </si>
  <si>
    <t>В
текущем
уровне
цен</t>
  </si>
  <si>
    <t>Сметная стоимость</t>
  </si>
  <si>
    <t>Строительные работы</t>
  </si>
  <si>
    <t>Работы по монтажу оборудования</t>
  </si>
  <si>
    <t>Прочие работы и затраты</t>
  </si>
  <si>
    <t>Средства на оплату труда</t>
  </si>
  <si>
    <t>Затраты труда</t>
  </si>
  <si>
    <t xml:space="preserve">Кроме того: </t>
  </si>
  <si>
    <t>№ п/п</t>
  </si>
  <si>
    <t>Шифр расценки и коды ресурсов</t>
  </si>
  <si>
    <t>Наименование работ и затрат</t>
  </si>
  <si>
    <t>Ед. изм.</t>
  </si>
  <si>
    <t>Кол-во
единиц</t>
  </si>
  <si>
    <t>Цена на
ед. изм.,
руб.</t>
  </si>
  <si>
    <t>Попра-
вочные
коэффи-
циенты</t>
  </si>
  <si>
    <t>Коэффи-
циенты
зимних
удорожа-
ний</t>
  </si>
  <si>
    <t>Коэффи-
циенты
(индек-
сы) пере-
счета,
нормы
НР и СП</t>
  </si>
  <si>
    <t>ВСЕГО
затрат в
текущем
уровне цен,
руб.</t>
  </si>
  <si>
    <t>Форма № 4б</t>
  </si>
  <si>
    <t>Капитальный ремонт здания Государственного бюджетного общеобразовательного учреждения города Москвы "Школа №236"  по адресу: г. Москва, улица Клязьминская, дом 7, корпус 4. 02-01-13 Электрочасофикация</t>
  </si>
  <si>
    <t>Составлен(а) по ТСН-2001 с учетом Дополнения №: 80</t>
  </si>
  <si>
    <t>№ и период сборника коэффициентов (индексов) пересчета: Коэффициенты к ТСН-2001 МГЭ Дополнение 80, строительство №217/80 III квартал 2025 года и Коэффициенты к ТСН-2001.13-2 Дополнение 46 №62/46 III квартал 2025 года</t>
  </si>
  <si>
    <t>Всего в
ценах на
январь 2000 года,
руб.</t>
  </si>
  <si>
    <t>ЗП</t>
  </si>
  <si>
    <t>1,1</t>
  </si>
  <si>
    <t>МР</t>
  </si>
  <si>
    <t>НР от ФОТ</t>
  </si>
  <si>
    <t>%</t>
  </si>
  <si>
    <t>СП от ФОТ</t>
  </si>
  <si>
    <t>ЗТР</t>
  </si>
  <si>
    <t>чел-ч</t>
  </si>
  <si>
    <t>ВСЕГО работ по позиции:</t>
  </si>
  <si>
    <t>ВСЕГО оборудование по позиции:</t>
  </si>
  <si>
    <t>ВСЕГО по позиции:</t>
  </si>
  <si>
    <r>
      <t>ОБОРУДОВАНИЕ:_x000D_
Часовая станция "Первичные часы" ПИК-2М-4002</t>
    </r>
    <r>
      <rPr>
        <i/>
        <sz val="10"/>
        <color rgb="FF821E82"/>
        <rFont val="Arial"/>
        <family val="2"/>
        <charset val="204"/>
      </rPr>
      <t xml:space="preserve">
10 518,85 = [92 760 / 1,2 /  7,66] +  3% Трансп +  1,2% Заг.скл</t>
    </r>
  </si>
  <si>
    <t>ОБОРУДОВАНИЕ:_x000D_
Часы электрические вторичные стрелочные, типа ВЧ03/03</t>
  </si>
  <si>
    <t xml:space="preserve">   Итого по ТСН-2001.16</t>
  </si>
  <si>
    <t xml:space="preserve">   Итого возвратных сумм</t>
  </si>
  <si>
    <t>ЭМ</t>
  </si>
  <si>
    <t>в т.ч. ЗПМ</t>
  </si>
  <si>
    <r>
      <t>Кабель КПСВВнг(А)-LSLTx 1x2x1,0</t>
    </r>
    <r>
      <rPr>
        <i/>
        <sz val="10"/>
        <rFont val="Arial"/>
        <family val="2"/>
        <charset val="204"/>
      </rPr>
      <t xml:space="preserve">
3 104,91 = [36 090 / 1,2 /  9,88] +  2% Заг.скл</t>
    </r>
  </si>
  <si>
    <t xml:space="preserve"> тыс.руб.</t>
  </si>
  <si>
    <t xml:space="preserve">Составил   </t>
  </si>
  <si>
    <t>(должность, подпись, инициалы, фамилия)</t>
  </si>
  <si>
    <t xml:space="preserve">Проверил   </t>
  </si>
  <si>
    <t>№ в ЛСР</t>
  </si>
  <si>
    <t>Единица измерения</t>
  </si>
  <si>
    <t>Количество</t>
  </si>
  <si>
    <t>Ссылка на чертежи, спецификации</t>
  </si>
  <si>
    <t>Формула расчета, расчет объемов работ и расхода материалов</t>
  </si>
  <si>
    <t>Примечание</t>
  </si>
  <si>
    <t>Главный инженер проекта _________________</t>
  </si>
  <si>
    <t>Составил _________________</t>
  </si>
  <si>
    <t xml:space="preserve">Капитальный ремонт здания Государственного бюджетного общеобразовательного учреждения города Москвы "Школа №236"  по адресу: г. Москва, улица Клязьминская, дом 7, корпус 4.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</si>
</sst>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;[Red]\-\ #,##0.00"/>
  </numFmts>
  <fonts count="25" x14ac:knownFonts="1">
    <font>
      <sz val="10"/>
      <name val="Arial"/>
      <charset val="204"/>
    </font>
    <font>
      <b/>
      <sz val="10"/>
      <color indexed="12"/>
      <name val="Arial"/>
      <charset val="204"/>
    </font>
    <font>
      <sz val="10"/>
      <color indexed="18"/>
      <name val="Arial"/>
      <charset val="204"/>
    </font>
    <font>
      <b/>
      <sz val="10"/>
      <color indexed="16"/>
      <name val="Arial"/>
      <charset val="204"/>
    </font>
    <font>
      <b/>
      <sz val="10"/>
      <color indexed="20"/>
      <name val="Arial"/>
      <charset val="204"/>
    </font>
    <font>
      <b/>
      <sz val="10"/>
      <color indexed="17"/>
      <name val="Arial"/>
      <charset val="204"/>
    </font>
    <font>
      <sz val="10"/>
      <color indexed="17"/>
      <name val="Arial"/>
      <charset val="204"/>
    </font>
    <font>
      <sz val="10"/>
      <color indexed="12"/>
      <name val="Arial"/>
      <charset val="204"/>
    </font>
    <font>
      <sz val="10"/>
      <color indexed="14"/>
      <name val="Arial"/>
      <charset val="204"/>
    </font>
    <font>
      <sz val="10"/>
      <color indexed="16"/>
      <name val="Arial"/>
      <charset val="204"/>
    </font>
    <font>
      <sz val="10"/>
      <name val="Arial"/>
      <family val="2"/>
      <charset val="204"/>
    </font>
    <font>
      <sz val="9"/>
      <name val="Arial"/>
      <family val="2"/>
      <charset val="204"/>
    </font>
    <font>
      <sz val="11"/>
      <name val="Arial"/>
      <family val="2"/>
      <charset val="204"/>
    </font>
    <font>
      <b/>
      <sz val="12"/>
      <name val="Arial"/>
      <family val="2"/>
      <charset val="204"/>
    </font>
    <font>
      <sz val="12"/>
      <name val="Arial"/>
      <family val="2"/>
      <charset val="204"/>
    </font>
    <font>
      <b/>
      <sz val="14"/>
      <name val="Arial"/>
      <family val="2"/>
      <charset val="204"/>
    </font>
    <font>
      <b/>
      <sz val="11"/>
      <name val="Arial"/>
      <family val="2"/>
      <charset val="204"/>
    </font>
    <font>
      <b/>
      <sz val="13"/>
      <name val="Arial"/>
      <family val="2"/>
      <charset val="204"/>
    </font>
    <font>
      <i/>
      <sz val="11"/>
      <name val="Arial"/>
      <family val="2"/>
      <charset val="204"/>
    </font>
    <font>
      <sz val="11"/>
      <color rgb="FF821E82"/>
      <name val="Arial"/>
      <family val="2"/>
      <charset val="204"/>
    </font>
    <font>
      <i/>
      <sz val="11"/>
      <color rgb="FF821E82"/>
      <name val="Arial"/>
      <family val="2"/>
      <charset val="204"/>
    </font>
    <font>
      <i/>
      <sz val="10"/>
      <color rgb="FF821E82"/>
      <name val="Arial"/>
      <family val="2"/>
      <charset val="204"/>
    </font>
    <font>
      <sz val="10"/>
      <color rgb="FF821E82"/>
      <name val="Arial"/>
      <family val="2"/>
      <charset val="204"/>
    </font>
    <font>
      <b/>
      <sz val="11"/>
      <color rgb="FF821E82"/>
      <name val="Arial"/>
      <family val="2"/>
      <charset val="204"/>
    </font>
    <font>
      <i/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0" fillId="0" borderId="0"/>
  </cellStyleXfs>
  <cellXfs count="81">
    <xf numFmtId="0" fontId="0" fillId="0" borderId="0" xfId="0"/>
    <xf numFmtId="0" fontId="1" fillId="0" borderId="0" xfId="0" applyFont="1"/>
    <xf numFmtId="0" fontId="2" fillId="0" borderId="0" xfId="0" applyFont="1" applyAlignment="1"/>
    <xf numFmtId="0" fontId="0" fillId="0" borderId="0" xfId="0" applyAlignme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" fillId="0" borderId="0" xfId="0" applyFont="1" applyAlignment="1"/>
    <xf numFmtId="0" fontId="3" fillId="0" borderId="0" xfId="0" applyFont="1" applyAlignment="1"/>
    <xf numFmtId="0" fontId="4" fillId="0" borderId="0" xfId="0" applyFont="1" applyAlignment="1"/>
    <xf numFmtId="0" fontId="5" fillId="0" borderId="0" xfId="0" applyFont="1" applyAlignment="1"/>
    <xf numFmtId="0" fontId="6" fillId="0" borderId="0" xfId="0" applyFont="1" applyAlignment="1"/>
    <xf numFmtId="0" fontId="11" fillId="0" borderId="0" xfId="0" applyFont="1"/>
    <xf numFmtId="0" fontId="12" fillId="0" borderId="0" xfId="0" applyFont="1"/>
    <xf numFmtId="0" fontId="13" fillId="0" borderId="1" xfId="0" applyFont="1" applyBorder="1" applyAlignment="1">
      <alignment horizontal="center" wrapText="1"/>
    </xf>
    <xf numFmtId="0" fontId="11" fillId="0" borderId="2" xfId="0" applyFont="1" applyBorder="1" applyAlignment="1">
      <alignment horizontal="center"/>
    </xf>
    <xf numFmtId="0" fontId="14" fillId="0" borderId="1" xfId="0" applyFont="1" applyBorder="1" applyAlignment="1">
      <alignment horizontal="center" wrapText="1"/>
    </xf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center" wrapText="1"/>
    </xf>
    <xf numFmtId="0" fontId="0" fillId="0" borderId="0" xfId="0" applyAlignment="1"/>
    <xf numFmtId="0" fontId="12" fillId="0" borderId="1" xfId="0" applyFont="1" applyBorder="1" applyAlignment="1">
      <alignment horizontal="left" wrapText="1"/>
    </xf>
    <xf numFmtId="0" fontId="12" fillId="0" borderId="0" xfId="0" applyFont="1" applyBorder="1" applyAlignment="1">
      <alignment horizontal="left" wrapText="1"/>
    </xf>
    <xf numFmtId="0" fontId="12" fillId="0" borderId="0" xfId="0" applyFont="1" applyAlignment="1">
      <alignment horizontal="center" vertical="center" wrapText="1"/>
    </xf>
    <xf numFmtId="0" fontId="16" fillId="0" borderId="0" xfId="0" applyFont="1" applyAlignment="1">
      <alignment horizontal="left"/>
    </xf>
    <xf numFmtId="164" fontId="16" fillId="0" borderId="0" xfId="0" applyNumberFormat="1" applyFont="1"/>
    <xf numFmtId="0" fontId="16" fillId="0" borderId="0" xfId="0" applyFont="1"/>
    <xf numFmtId="0" fontId="12" fillId="0" borderId="0" xfId="0" applyFont="1" applyAlignment="1">
      <alignment horizontal="left"/>
    </xf>
    <xf numFmtId="164" fontId="12" fillId="0" borderId="0" xfId="0" applyNumberFormat="1" applyFont="1"/>
    <xf numFmtId="0" fontId="12" fillId="0" borderId="0" xfId="0" applyFont="1" applyFill="1" applyAlignment="1">
      <alignment horizontal="left"/>
    </xf>
    <xf numFmtId="0" fontId="12" fillId="0" borderId="0" xfId="1" applyFont="1" applyFill="1" applyAlignment="1">
      <alignment horizontal="left"/>
    </xf>
    <xf numFmtId="0" fontId="12" fillId="0" borderId="0" xfId="0" applyFont="1" applyAlignment="1">
      <alignment horizontal="left"/>
    </xf>
    <xf numFmtId="0" fontId="12" fillId="0" borderId="3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0" xfId="0" applyFont="1" applyAlignment="1">
      <alignment horizontal="right"/>
    </xf>
    <xf numFmtId="0" fontId="13" fillId="0" borderId="1" xfId="0" applyFont="1" applyBorder="1" applyAlignment="1">
      <alignment horizontal="center" wrapText="1"/>
    </xf>
    <xf numFmtId="0" fontId="12" fillId="0" borderId="1" xfId="0" applyFont="1" applyBorder="1" applyAlignment="1">
      <alignment horizontal="left" wrapText="1"/>
    </xf>
    <xf numFmtId="0" fontId="17" fillId="0" borderId="0" xfId="0" applyFont="1" applyAlignment="1">
      <alignment horizontal="center" vertical="top" wrapText="1"/>
    </xf>
    <xf numFmtId="0" fontId="12" fillId="0" borderId="0" xfId="0" applyFont="1" applyAlignment="1">
      <alignment horizontal="left" vertical="top" wrapText="1"/>
    </xf>
    <xf numFmtId="0" fontId="12" fillId="0" borderId="0" xfId="0" applyFont="1" applyAlignment="1">
      <alignment horizontal="right" vertical="top"/>
    </xf>
    <xf numFmtId="0" fontId="18" fillId="0" borderId="0" xfId="0" applyFont="1" applyAlignment="1">
      <alignment horizontal="right" vertical="top" wrapText="1"/>
    </xf>
    <xf numFmtId="0" fontId="12" fillId="0" borderId="0" xfId="0" applyFont="1" applyAlignment="1">
      <alignment horizontal="right" vertical="top" wrapText="1"/>
    </xf>
    <xf numFmtId="164" fontId="12" fillId="0" borderId="0" xfId="0" applyNumberFormat="1" applyFont="1" applyAlignment="1">
      <alignment horizontal="right" vertical="top"/>
    </xf>
    <xf numFmtId="0" fontId="12" fillId="0" borderId="1" xfId="0" applyFont="1" applyBorder="1" applyAlignment="1">
      <alignment horizontal="left" vertical="top" wrapText="1"/>
    </xf>
    <xf numFmtId="0" fontId="18" fillId="0" borderId="1" xfId="0" applyFont="1" applyBorder="1" applyAlignment="1">
      <alignment horizontal="right" vertical="top" wrapText="1"/>
    </xf>
    <xf numFmtId="0" fontId="12" fillId="0" borderId="1" xfId="0" applyFont="1" applyBorder="1" applyAlignment="1">
      <alignment horizontal="right" vertical="top"/>
    </xf>
    <xf numFmtId="164" fontId="12" fillId="0" borderId="1" xfId="0" applyNumberFormat="1" applyFont="1" applyBorder="1" applyAlignment="1">
      <alignment horizontal="right" vertical="top"/>
    </xf>
    <xf numFmtId="0" fontId="12" fillId="0" borderId="1" xfId="0" applyFont="1" applyBorder="1" applyAlignment="1">
      <alignment horizontal="right" vertical="top" wrapText="1"/>
    </xf>
    <xf numFmtId="0" fontId="16" fillId="0" borderId="0" xfId="0" applyFont="1" applyAlignment="1">
      <alignment vertical="top"/>
    </xf>
    <xf numFmtId="164" fontId="16" fillId="0" borderId="2" xfId="0" applyNumberFormat="1" applyFont="1" applyBorder="1" applyAlignment="1">
      <alignment horizontal="right" vertical="top"/>
    </xf>
    <xf numFmtId="0" fontId="16" fillId="0" borderId="0" xfId="0" applyFont="1" applyAlignment="1">
      <alignment horizontal="right" vertical="top"/>
    </xf>
    <xf numFmtId="164" fontId="16" fillId="0" borderId="0" xfId="0" applyNumberFormat="1" applyFont="1" applyAlignment="1">
      <alignment horizontal="right" vertical="top"/>
    </xf>
    <xf numFmtId="164" fontId="0" fillId="0" borderId="0" xfId="0" applyNumberFormat="1"/>
    <xf numFmtId="0" fontId="19" fillId="0" borderId="1" xfId="0" applyFont="1" applyBorder="1" applyAlignment="1">
      <alignment horizontal="left" vertical="top" wrapText="1"/>
    </xf>
    <xf numFmtId="0" fontId="20" fillId="0" borderId="1" xfId="0" applyFont="1" applyBorder="1" applyAlignment="1">
      <alignment horizontal="right" vertical="top" wrapText="1"/>
    </xf>
    <xf numFmtId="0" fontId="19" fillId="0" borderId="1" xfId="0" applyFont="1" applyBorder="1" applyAlignment="1">
      <alignment horizontal="right" vertical="top"/>
    </xf>
    <xf numFmtId="164" fontId="19" fillId="0" borderId="1" xfId="0" applyNumberFormat="1" applyFont="1" applyBorder="1" applyAlignment="1">
      <alignment horizontal="right" vertical="top"/>
    </xf>
    <xf numFmtId="0" fontId="19" fillId="0" borderId="1" xfId="0" applyFont="1" applyBorder="1" applyAlignment="1">
      <alignment horizontal="right" vertical="top" wrapText="1"/>
    </xf>
    <xf numFmtId="0" fontId="22" fillId="0" borderId="0" xfId="0" applyFont="1"/>
    <xf numFmtId="0" fontId="23" fillId="0" borderId="0" xfId="0" applyFont="1" applyAlignment="1">
      <alignment vertical="top"/>
    </xf>
    <xf numFmtId="164" fontId="23" fillId="0" borderId="2" xfId="0" applyNumberFormat="1" applyFont="1" applyBorder="1" applyAlignment="1">
      <alignment horizontal="right" vertical="top"/>
    </xf>
    <xf numFmtId="0" fontId="16" fillId="0" borderId="0" xfId="0" applyFont="1" applyAlignment="1">
      <alignment horizontal="left" wrapText="1"/>
    </xf>
    <xf numFmtId="0" fontId="10" fillId="0" borderId="0" xfId="0" applyFont="1" applyAlignment="1">
      <alignment vertical="top" wrapText="1"/>
    </xf>
    <xf numFmtId="0" fontId="12" fillId="0" borderId="0" xfId="0" quotePrefix="1" applyFont="1" applyAlignment="1">
      <alignment horizontal="right" vertical="top" wrapText="1"/>
    </xf>
    <xf numFmtId="164" fontId="18" fillId="0" borderId="0" xfId="0" applyNumberFormat="1" applyFont="1" applyAlignment="1">
      <alignment horizontal="right" vertical="top"/>
    </xf>
    <xf numFmtId="0" fontId="0" fillId="0" borderId="1" xfId="0" applyBorder="1"/>
    <xf numFmtId="0" fontId="10" fillId="0" borderId="1" xfId="0" applyFont="1" applyBorder="1" applyAlignment="1">
      <alignment vertical="top" wrapText="1"/>
    </xf>
    <xf numFmtId="0" fontId="12" fillId="0" borderId="0" xfId="0" applyFont="1" applyAlignment="1">
      <alignment horizontal="right" vertical="center"/>
    </xf>
    <xf numFmtId="0" fontId="12" fillId="0" borderId="1" xfId="0" applyFont="1" applyBorder="1"/>
    <xf numFmtId="0" fontId="13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7" fillId="0" borderId="4" xfId="0" applyFont="1" applyBorder="1" applyAlignment="1">
      <alignment horizontal="center" wrapText="1"/>
    </xf>
    <xf numFmtId="0" fontId="12" fillId="0" borderId="3" xfId="0" applyFont="1" applyBorder="1" applyAlignment="1">
      <alignment horizontal="left" vertical="center" wrapText="1"/>
    </xf>
    <xf numFmtId="0" fontId="12" fillId="0" borderId="3" xfId="0" applyFont="1" applyBorder="1" applyAlignment="1">
      <alignment horizontal="center" vertical="center"/>
    </xf>
    <xf numFmtId="0" fontId="12" fillId="0" borderId="4" xfId="0" applyFont="1" applyBorder="1" applyAlignment="1">
      <alignment horizontal="left" vertical="center" wrapText="1"/>
    </xf>
    <xf numFmtId="0" fontId="12" fillId="0" borderId="4" xfId="0" applyFont="1" applyBorder="1" applyAlignment="1">
      <alignment horizontal="center" vertical="center"/>
    </xf>
    <xf numFmtId="0" fontId="16" fillId="0" borderId="0" xfId="0" applyFont="1" applyAlignment="1">
      <alignment horizontal="left"/>
    </xf>
    <xf numFmtId="0" fontId="16" fillId="0" borderId="0" xfId="0" applyFont="1" applyBorder="1"/>
    <xf numFmtId="0" fontId="16" fillId="0" borderId="0" xfId="0" applyFont="1" applyBorder="1" applyAlignment="1">
      <alignment horizontal="left"/>
    </xf>
  </cellXfs>
  <cellStyles count="2">
    <cellStyle name="Обычный" xfId="0" builtinId="0"/>
    <cellStyle name="Обычный 4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P112"/>
  <sheetViews>
    <sheetView tabSelected="1" topLeftCell="A72" zoomScale="55" zoomScaleNormal="55" workbookViewId="0">
      <selection activeCell="AW9" sqref="AW9"/>
    </sheetView>
  </sheetViews>
  <sheetFormatPr defaultRowHeight="12.75" x14ac:dyDescent="0.2"/>
  <cols>
    <col min="1" max="1" width="5.7109375" customWidth="1"/>
    <col min="2" max="2" width="11.7109375" customWidth="1"/>
    <col min="3" max="3" width="40.7109375" customWidth="1"/>
    <col min="4" max="4" width="11.7109375" customWidth="1"/>
    <col min="5" max="5" width="8.140625" bestFit="1" customWidth="1"/>
    <col min="6" max="6" width="12.42578125" customWidth="1"/>
    <col min="7" max="7" width="8.5703125" bestFit="1" customWidth="1"/>
    <col min="9" max="9" width="11.7109375" customWidth="1"/>
    <col min="11" max="11" width="11.42578125" customWidth="1"/>
    <col min="15" max="41" width="0" hidden="1" customWidth="1"/>
    <col min="42" max="42" width="129.7109375" hidden="1" customWidth="1"/>
    <col min="43" max="47" width="0" hidden="1" customWidth="1"/>
  </cols>
  <sheetData>
    <row r="1" spans="1:42" x14ac:dyDescent="0.2">
      <c r="A1" s="15" t="str">
        <f>Source!B1</f>
        <v>Smeta.RU  (495) 974-1589</v>
      </c>
    </row>
    <row r="2" spans="1:42" ht="14.25" x14ac:dyDescent="0.2">
      <c r="A2" s="16"/>
      <c r="B2" s="16"/>
      <c r="C2" s="16"/>
      <c r="D2" s="16"/>
      <c r="E2" s="16"/>
      <c r="F2" s="16"/>
      <c r="G2" s="16"/>
      <c r="H2" s="16"/>
      <c r="I2" s="16"/>
      <c r="J2" s="36" t="s">
        <v>224</v>
      </c>
      <c r="K2" s="36"/>
    </row>
    <row r="3" spans="1:42" ht="47.25" x14ac:dyDescent="0.25">
      <c r="A3" s="17" t="s">
        <v>259</v>
      </c>
      <c r="B3" s="17"/>
      <c r="C3" s="17"/>
      <c r="D3" s="17"/>
      <c r="E3" s="17"/>
      <c r="F3" s="17"/>
      <c r="G3" s="17"/>
      <c r="H3" s="17"/>
      <c r="I3" s="17"/>
      <c r="J3" s="17"/>
      <c r="K3" s="17"/>
      <c r="AP3" s="37" t="s">
        <v>225</v>
      </c>
    </row>
    <row r="4" spans="1:42" x14ac:dyDescent="0.2">
      <c r="A4" s="18" t="s">
        <v>203</v>
      </c>
      <c r="B4" s="18"/>
      <c r="C4" s="18"/>
      <c r="D4" s="18"/>
      <c r="E4" s="18"/>
      <c r="F4" s="18"/>
      <c r="G4" s="18"/>
      <c r="H4" s="18"/>
      <c r="I4" s="18"/>
      <c r="J4" s="18"/>
      <c r="K4" s="18"/>
    </row>
    <row r="5" spans="1:42" ht="14.25" x14ac:dyDescent="0.2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</row>
    <row r="6" spans="1:42" ht="15.75" x14ac:dyDescent="0.25">
      <c r="A6" s="17" t="str">
        <f>CONCATENATE( "ЛОКАЛЬНАЯ СМЕТА № ",IF(Source!F20&lt;&gt;"Новая локальная смета", Source!F20, ""))</f>
        <v>ЛОКАЛЬНАЯ СМЕТА № 02-01-13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42" ht="14.25" x14ac:dyDescent="0.2">
      <c r="A7" s="16"/>
      <c r="B7" s="16"/>
      <c r="C7" s="16"/>
      <c r="D7" s="16"/>
      <c r="E7" s="16"/>
      <c r="F7" s="16"/>
      <c r="G7" s="16"/>
      <c r="H7" s="16"/>
      <c r="I7" s="16"/>
      <c r="J7" s="16"/>
      <c r="K7" s="16"/>
    </row>
    <row r="8" spans="1:42" ht="18" x14ac:dyDescent="0.25">
      <c r="A8" s="20" t="str">
        <f>IF(Source!G20&lt;&gt;"Новая локальная смета", Source!G20, "")</f>
        <v>Электрочасофикация</v>
      </c>
      <c r="B8" s="20"/>
      <c r="C8" s="20"/>
      <c r="D8" s="20"/>
      <c r="E8" s="20"/>
      <c r="F8" s="20"/>
      <c r="G8" s="20"/>
      <c r="H8" s="20"/>
      <c r="I8" s="20"/>
      <c r="J8" s="20"/>
      <c r="K8" s="20"/>
    </row>
    <row r="9" spans="1:42" x14ac:dyDescent="0.2">
      <c r="A9" s="21" t="s">
        <v>204</v>
      </c>
      <c r="B9" s="22"/>
      <c r="C9" s="22"/>
      <c r="D9" s="22"/>
      <c r="E9" s="22"/>
      <c r="F9" s="22"/>
      <c r="G9" s="22"/>
      <c r="H9" s="22"/>
      <c r="I9" s="22"/>
      <c r="J9" s="22"/>
      <c r="K9" s="22"/>
    </row>
    <row r="10" spans="1:42" ht="14.25" x14ac:dyDescent="0.2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</row>
    <row r="11" spans="1:42" ht="14.25" x14ac:dyDescent="0.2">
      <c r="A11" s="23" t="str">
        <f>CONCATENATE( "Основание: чертежи № ", Source!J20)</f>
        <v>Основание: чертежи № 2024-00272-01-0-ИОС5.6</v>
      </c>
      <c r="B11" s="23"/>
      <c r="C11" s="23"/>
      <c r="D11" s="23"/>
      <c r="E11" s="23"/>
      <c r="F11" s="23"/>
      <c r="G11" s="23"/>
      <c r="H11" s="23"/>
      <c r="I11" s="23"/>
      <c r="J11" s="23"/>
      <c r="K11" s="23"/>
    </row>
    <row r="12" spans="1:42" ht="14.25" x14ac:dyDescent="0.2">
      <c r="A12" s="24"/>
      <c r="B12" s="24"/>
      <c r="C12" s="24"/>
      <c r="D12" s="24"/>
      <c r="E12" s="24"/>
      <c r="F12" s="24"/>
      <c r="G12" s="24"/>
      <c r="H12" s="24"/>
      <c r="I12" s="24"/>
      <c r="J12" s="24"/>
      <c r="K12" s="24"/>
    </row>
    <row r="13" spans="1:42" ht="71.25" x14ac:dyDescent="0.2">
      <c r="A13" s="16"/>
      <c r="B13" s="16"/>
      <c r="C13" s="16"/>
      <c r="D13" s="16"/>
      <c r="E13" s="16"/>
      <c r="F13" s="16"/>
      <c r="G13" s="16"/>
      <c r="H13" s="16"/>
      <c r="I13" s="25" t="s">
        <v>205</v>
      </c>
      <c r="J13" s="25" t="s">
        <v>206</v>
      </c>
      <c r="K13" s="16"/>
    </row>
    <row r="14" spans="1:42" ht="15" x14ac:dyDescent="0.25">
      <c r="A14" s="16"/>
      <c r="B14" s="16"/>
      <c r="C14" s="16"/>
      <c r="D14" s="16"/>
      <c r="E14" s="26" t="s">
        <v>207</v>
      </c>
      <c r="F14" s="26"/>
      <c r="G14" s="26"/>
      <c r="H14" s="26"/>
      <c r="I14" s="27">
        <f>I15+I16+I17+I18</f>
        <v>14.83</v>
      </c>
      <c r="J14" s="27">
        <f>J15+J16+J17+J18</f>
        <v>140.65</v>
      </c>
      <c r="K14" s="28" t="s">
        <v>247</v>
      </c>
    </row>
    <row r="15" spans="1:42" ht="14.25" x14ac:dyDescent="0.2">
      <c r="A15" s="16"/>
      <c r="B15" s="16"/>
      <c r="C15" s="16"/>
      <c r="D15" s="16"/>
      <c r="E15" s="29" t="s">
        <v>208</v>
      </c>
      <c r="F15" s="29"/>
      <c r="G15" s="29"/>
      <c r="H15" s="29"/>
      <c r="I15" s="30">
        <f>ROUND((Source!F131)/1000, 2)</f>
        <v>0</v>
      </c>
      <c r="J15" s="30">
        <f>ROUND((Source!P131)/1000, 2)</f>
        <v>0</v>
      </c>
      <c r="K15" s="16" t="s">
        <v>247</v>
      </c>
    </row>
    <row r="16" spans="1:42" ht="14.25" x14ac:dyDescent="0.2">
      <c r="A16" s="16"/>
      <c r="B16" s="16"/>
      <c r="C16" s="16"/>
      <c r="D16" s="16"/>
      <c r="E16" s="29" t="s">
        <v>209</v>
      </c>
      <c r="F16" s="29"/>
      <c r="G16" s="29"/>
      <c r="H16" s="29"/>
      <c r="I16" s="30">
        <f>ROUND((Source!F132)/1000, 2)</f>
        <v>2.85</v>
      </c>
      <c r="J16" s="30">
        <f>ROUND((Source!P132)/1000, 2)</f>
        <v>52.48</v>
      </c>
      <c r="K16" s="16" t="s">
        <v>247</v>
      </c>
    </row>
    <row r="17" spans="1:42" ht="14.25" x14ac:dyDescent="0.2">
      <c r="A17" s="16"/>
      <c r="B17" s="16"/>
      <c r="C17" s="16"/>
      <c r="D17" s="16"/>
      <c r="E17" s="29" t="s">
        <v>17</v>
      </c>
      <c r="F17" s="29"/>
      <c r="G17" s="29"/>
      <c r="H17" s="29"/>
      <c r="I17" s="30">
        <f>ROUND((Source!F123)/1000, 2)</f>
        <v>11.98</v>
      </c>
      <c r="J17" s="30">
        <f>ROUND((Source!P123)/1000, 2)</f>
        <v>88.17</v>
      </c>
      <c r="K17" s="16" t="s">
        <v>247</v>
      </c>
    </row>
    <row r="18" spans="1:42" ht="14.25" x14ac:dyDescent="0.2">
      <c r="A18" s="16"/>
      <c r="B18" s="16"/>
      <c r="C18" s="16"/>
      <c r="D18" s="16"/>
      <c r="E18" s="29" t="s">
        <v>210</v>
      </c>
      <c r="F18" s="29"/>
      <c r="G18" s="29"/>
      <c r="H18" s="29"/>
      <c r="I18" s="30">
        <f>ROUND((Source!F133+Source!F134)/1000, 2)</f>
        <v>0</v>
      </c>
      <c r="J18" s="30">
        <f>ROUND((Source!P133+Source!P134)/1000, 2)</f>
        <v>0</v>
      </c>
      <c r="K18" s="16" t="s">
        <v>247</v>
      </c>
    </row>
    <row r="19" spans="1:42" ht="14.25" x14ac:dyDescent="0.2">
      <c r="A19" s="16"/>
      <c r="B19" s="16"/>
      <c r="C19" s="16"/>
      <c r="D19" s="16"/>
      <c r="E19" s="29" t="s">
        <v>211</v>
      </c>
      <c r="F19" s="29"/>
      <c r="G19" s="29"/>
      <c r="H19" s="29"/>
      <c r="I19" s="30">
        <f>(Source!F129+ Source!F128)/1000</f>
        <v>0.30977000000000005</v>
      </c>
      <c r="J19" s="30">
        <f>((Source!P129 + Source!P128)/1000)</f>
        <v>17.03425</v>
      </c>
      <c r="K19" s="16" t="s">
        <v>247</v>
      </c>
    </row>
    <row r="20" spans="1:42" ht="14.25" x14ac:dyDescent="0.2">
      <c r="A20" s="16"/>
      <c r="B20" s="16"/>
      <c r="C20" s="16"/>
      <c r="D20" s="16"/>
      <c r="E20" s="29" t="s">
        <v>212</v>
      </c>
      <c r="F20" s="29"/>
      <c r="G20" s="29"/>
      <c r="H20" s="29"/>
      <c r="I20" s="30">
        <f>Source!F136</f>
        <v>25.366192500000004</v>
      </c>
      <c r="J20" s="30"/>
      <c r="K20" s="16" t="s">
        <v>155</v>
      </c>
    </row>
    <row r="21" spans="1:42" ht="14.25" hidden="1" x14ac:dyDescent="0.2">
      <c r="A21" s="16"/>
      <c r="B21" s="16"/>
      <c r="C21" s="16"/>
      <c r="D21" s="16"/>
      <c r="E21" s="31" t="s">
        <v>213</v>
      </c>
      <c r="F21" s="31"/>
      <c r="G21" s="31"/>
      <c r="H21" s="31"/>
      <c r="I21" s="30"/>
      <c r="J21" s="30"/>
      <c r="K21" s="16"/>
    </row>
    <row r="22" spans="1:42" ht="14.25" hidden="1" x14ac:dyDescent="0.2">
      <c r="A22" s="16"/>
      <c r="B22" s="16"/>
      <c r="C22" s="16"/>
      <c r="D22" s="16"/>
      <c r="E22" s="32" t="s">
        <v>85</v>
      </c>
      <c r="F22" s="32"/>
      <c r="G22" s="32"/>
      <c r="H22" s="32"/>
      <c r="I22" s="30">
        <f>SUM(Y28:Y101)/1000</f>
        <v>0</v>
      </c>
      <c r="J22" s="30">
        <f>SUM(Z28:Z101)/1000</f>
        <v>0</v>
      </c>
      <c r="K22" s="16" t="s">
        <v>247</v>
      </c>
    </row>
    <row r="23" spans="1:42" ht="14.25" x14ac:dyDescent="0.2">
      <c r="A23" s="16"/>
      <c r="B23" s="16"/>
      <c r="C23" s="16"/>
      <c r="D23" s="16"/>
      <c r="E23" s="16"/>
      <c r="F23" s="33"/>
      <c r="G23" s="33"/>
      <c r="H23" s="33"/>
      <c r="I23" s="30"/>
      <c r="J23" s="30"/>
      <c r="K23" s="16"/>
    </row>
    <row r="24" spans="1:42" ht="14.25" x14ac:dyDescent="0.2">
      <c r="A24" s="16" t="s">
        <v>226</v>
      </c>
      <c r="B24" s="16"/>
      <c r="C24" s="16"/>
      <c r="D24" s="16"/>
      <c r="E24" s="16"/>
      <c r="F24" s="33"/>
      <c r="G24" s="33"/>
      <c r="H24" s="33"/>
      <c r="I24" s="30"/>
      <c r="J24" s="30"/>
      <c r="K24" s="16"/>
    </row>
    <row r="25" spans="1:42" ht="28.5" x14ac:dyDescent="0.2">
      <c r="A25" s="23" t="s">
        <v>227</v>
      </c>
      <c r="B25" s="23"/>
      <c r="C25" s="23"/>
      <c r="D25" s="23"/>
      <c r="E25" s="23"/>
      <c r="F25" s="23"/>
      <c r="G25" s="23"/>
      <c r="H25" s="23"/>
      <c r="I25" s="23"/>
      <c r="J25" s="23"/>
      <c r="K25" s="23"/>
      <c r="AP25" s="38" t="s">
        <v>227</v>
      </c>
    </row>
    <row r="26" spans="1:42" ht="114" x14ac:dyDescent="0.2">
      <c r="A26" s="34" t="s">
        <v>214</v>
      </c>
      <c r="B26" s="34" t="s">
        <v>215</v>
      </c>
      <c r="C26" s="34" t="s">
        <v>216</v>
      </c>
      <c r="D26" s="34" t="s">
        <v>217</v>
      </c>
      <c r="E26" s="34" t="s">
        <v>218</v>
      </c>
      <c r="F26" s="34" t="s">
        <v>219</v>
      </c>
      <c r="G26" s="35" t="s">
        <v>220</v>
      </c>
      <c r="H26" s="35" t="s">
        <v>221</v>
      </c>
      <c r="I26" s="34" t="s">
        <v>228</v>
      </c>
      <c r="J26" s="34" t="s">
        <v>222</v>
      </c>
      <c r="K26" s="34" t="s">
        <v>223</v>
      </c>
    </row>
    <row r="27" spans="1:42" ht="14.25" x14ac:dyDescent="0.2">
      <c r="A27" s="34">
        <v>1</v>
      </c>
      <c r="B27" s="34">
        <v>2</v>
      </c>
      <c r="C27" s="34">
        <v>3</v>
      </c>
      <c r="D27" s="34">
        <v>4</v>
      </c>
      <c r="E27" s="34">
        <v>5</v>
      </c>
      <c r="F27" s="34">
        <v>6</v>
      </c>
      <c r="G27" s="34">
        <v>7</v>
      </c>
      <c r="H27" s="34">
        <v>8</v>
      </c>
      <c r="I27" s="34">
        <v>9</v>
      </c>
      <c r="J27" s="34">
        <v>10</v>
      </c>
      <c r="K27" s="34">
        <v>11</v>
      </c>
    </row>
    <row r="29" spans="1:42" ht="16.5" x14ac:dyDescent="0.2">
      <c r="A29" s="39" t="str">
        <f>CONCATENATE("Раздел: ",IF(Source!G24&lt;&gt;"Новый раздел", Source!G24, ""))</f>
        <v>Раздел: Оборудование</v>
      </c>
      <c r="B29" s="39"/>
      <c r="C29" s="39"/>
      <c r="D29" s="39"/>
      <c r="E29" s="39"/>
      <c r="F29" s="39"/>
      <c r="G29" s="39"/>
      <c r="H29" s="39"/>
      <c r="I29" s="39"/>
      <c r="J29" s="39"/>
      <c r="K29" s="39"/>
    </row>
    <row r="30" spans="1:42" ht="57" x14ac:dyDescent="0.2">
      <c r="A30" s="40">
        <v>1</v>
      </c>
      <c r="B30" s="40" t="str">
        <f>Source!F28</f>
        <v>4.10-85-1</v>
      </c>
      <c r="C30" s="40" t="s">
        <v>20</v>
      </c>
      <c r="D30" s="42" t="str">
        <f>Source!H28</f>
        <v>1  ШТ.</v>
      </c>
      <c r="E30" s="41">
        <f>Source!I28</f>
        <v>1</v>
      </c>
      <c r="F30" s="44"/>
      <c r="G30" s="43"/>
      <c r="H30" s="41"/>
      <c r="I30" s="44"/>
      <c r="J30" s="41"/>
      <c r="K30" s="44"/>
      <c r="Q30">
        <f>Source!X28</f>
        <v>42.82</v>
      </c>
      <c r="R30">
        <f>Source!X29</f>
        <v>2354.7800000000002</v>
      </c>
      <c r="S30">
        <f>Source!Y28</f>
        <v>21.89</v>
      </c>
      <c r="T30">
        <f>Source!Y29</f>
        <v>1203.55</v>
      </c>
      <c r="U30">
        <f>ROUND((175/100)*ROUND(Source!R28, 2), 2)</f>
        <v>0</v>
      </c>
      <c r="V30">
        <f>ROUND((0/100)*ROUND(Source!R29, 2), 2)</f>
        <v>0</v>
      </c>
      <c r="AC30">
        <v>0</v>
      </c>
    </row>
    <row r="31" spans="1:42" ht="14.25" x14ac:dyDescent="0.2">
      <c r="A31" s="40"/>
      <c r="B31" s="40"/>
      <c r="C31" s="40" t="s">
        <v>229</v>
      </c>
      <c r="D31" s="42"/>
      <c r="E31" s="41"/>
      <c r="F31" s="44">
        <f>Source!AO28</f>
        <v>41.31</v>
      </c>
      <c r="G31" s="43" t="s">
        <v>230</v>
      </c>
      <c r="H31" s="41">
        <f>Source!AV29</f>
        <v>1.0469999999999999</v>
      </c>
      <c r="I31" s="44">
        <f>Source!S28</f>
        <v>47.58</v>
      </c>
      <c r="J31" s="41">
        <f>IF(Source!BA29&lt;&gt; 0, Source!BA29, 1)</f>
        <v>54.99</v>
      </c>
      <c r="K31" s="44">
        <f>Source!S29</f>
        <v>2616.42</v>
      </c>
    </row>
    <row r="32" spans="1:42" ht="14.25" x14ac:dyDescent="0.2">
      <c r="A32" s="40"/>
      <c r="B32" s="40"/>
      <c r="C32" s="40" t="s">
        <v>231</v>
      </c>
      <c r="D32" s="42"/>
      <c r="E32" s="41"/>
      <c r="F32" s="44">
        <f>Source!AL28</f>
        <v>0.49</v>
      </c>
      <c r="G32" s="43"/>
      <c r="H32" s="41">
        <f>Source!AW29</f>
        <v>1</v>
      </c>
      <c r="I32" s="44">
        <f>Source!P28</f>
        <v>0.49</v>
      </c>
      <c r="J32" s="41">
        <f>IF(Source!BC29&lt;&gt; 0, Source!BC29, 1)</f>
        <v>9.9</v>
      </c>
      <c r="K32" s="44">
        <f>Source!P29</f>
        <v>4.8499999999999996</v>
      </c>
    </row>
    <row r="33" spans="1:29" ht="14.25" x14ac:dyDescent="0.2">
      <c r="A33" s="40"/>
      <c r="B33" s="40"/>
      <c r="C33" s="40" t="s">
        <v>232</v>
      </c>
      <c r="D33" s="42" t="s">
        <v>233</v>
      </c>
      <c r="E33" s="41">
        <f>Source!BZ29</f>
        <v>90</v>
      </c>
      <c r="F33" s="44"/>
      <c r="G33" s="43"/>
      <c r="H33" s="41"/>
      <c r="I33" s="44">
        <f>SUM(Q30:Q32)</f>
        <v>42.82</v>
      </c>
      <c r="J33" s="41">
        <f>Source!AT29</f>
        <v>90</v>
      </c>
      <c r="K33" s="44">
        <f>SUM(R30:R32)</f>
        <v>2354.7800000000002</v>
      </c>
    </row>
    <row r="34" spans="1:29" ht="14.25" x14ac:dyDescent="0.2">
      <c r="A34" s="40"/>
      <c r="B34" s="40"/>
      <c r="C34" s="40" t="s">
        <v>234</v>
      </c>
      <c r="D34" s="42" t="s">
        <v>233</v>
      </c>
      <c r="E34" s="41">
        <f>Source!CA29</f>
        <v>46</v>
      </c>
      <c r="F34" s="44"/>
      <c r="G34" s="43"/>
      <c r="H34" s="41"/>
      <c r="I34" s="44">
        <f>SUM(S30:S33)</f>
        <v>21.89</v>
      </c>
      <c r="J34" s="41">
        <f>Source!AU29</f>
        <v>46</v>
      </c>
      <c r="K34" s="44">
        <f>SUM(T30:T33)</f>
        <v>1203.55</v>
      </c>
    </row>
    <row r="35" spans="1:29" ht="14.25" x14ac:dyDescent="0.2">
      <c r="A35" s="45"/>
      <c r="B35" s="45"/>
      <c r="C35" s="45" t="s">
        <v>235</v>
      </c>
      <c r="D35" s="46" t="s">
        <v>236</v>
      </c>
      <c r="E35" s="47">
        <f>Source!AQ28</f>
        <v>3</v>
      </c>
      <c r="F35" s="48"/>
      <c r="G35" s="49" t="s">
        <v>230</v>
      </c>
      <c r="H35" s="47">
        <f>Source!AV29</f>
        <v>1.0469999999999999</v>
      </c>
      <c r="I35" s="48">
        <f>Source!U28</f>
        <v>3.4550999999999998</v>
      </c>
      <c r="J35" s="47"/>
      <c r="K35" s="48"/>
    </row>
    <row r="36" spans="1:29" ht="15" x14ac:dyDescent="0.2">
      <c r="C36" s="50" t="s">
        <v>237</v>
      </c>
      <c r="H36" s="51">
        <f>I31+I32+I33+I34+0-0-0</f>
        <v>112.78</v>
      </c>
      <c r="I36" s="51"/>
      <c r="J36" s="51">
        <f>K31+K32+K33+K34+0-0-0</f>
        <v>6179.6</v>
      </c>
      <c r="K36" s="51"/>
    </row>
    <row r="37" spans="1:29" ht="15" hidden="1" x14ac:dyDescent="0.2">
      <c r="C37" s="50" t="s">
        <v>238</v>
      </c>
      <c r="H37" s="53">
        <f>0+0</f>
        <v>0</v>
      </c>
      <c r="I37" s="53"/>
      <c r="J37" s="53">
        <f>0+0</f>
        <v>0</v>
      </c>
      <c r="K37" s="53"/>
    </row>
    <row r="38" spans="1:29" ht="15" x14ac:dyDescent="0.2">
      <c r="C38" s="50" t="s">
        <v>239</v>
      </c>
      <c r="H38" s="53">
        <f>I31+I32+I33+I34+0</f>
        <v>112.78</v>
      </c>
      <c r="I38" s="53"/>
      <c r="J38" s="53">
        <f>K31+K32+K33+K34+0</f>
        <v>6179.6</v>
      </c>
      <c r="K38" s="53"/>
      <c r="O38" s="54">
        <f>I31+I32+I33+I34+0</f>
        <v>112.78</v>
      </c>
      <c r="P38" s="54">
        <f>K31+K32+K33+K34+0</f>
        <v>6179.6</v>
      </c>
    </row>
    <row r="40" spans="1:29" ht="68.25" x14ac:dyDescent="0.2">
      <c r="A40" s="55">
        <v>2</v>
      </c>
      <c r="B40" s="55" t="str">
        <f>Source!F30</f>
        <v>КА-1</v>
      </c>
      <c r="C40" s="55" t="s">
        <v>240</v>
      </c>
      <c r="D40" s="56" t="str">
        <f>Source!H30</f>
        <v>ШТ</v>
      </c>
      <c r="E40" s="57">
        <f>Source!I30</f>
        <v>1</v>
      </c>
      <c r="F40" s="58">
        <f>Source!AL30</f>
        <v>10518.849999999999</v>
      </c>
      <c r="G40" s="59"/>
      <c r="H40" s="57">
        <f>Source!AW31</f>
        <v>1</v>
      </c>
      <c r="I40" s="58">
        <f>Source!P30</f>
        <v>10518.85</v>
      </c>
      <c r="J40" s="57">
        <f>IF(Source!BC31&lt;&gt; 0, Source!BC31, 1)</f>
        <v>7.66</v>
      </c>
      <c r="K40" s="58">
        <f>Source!P31</f>
        <v>80574.39</v>
      </c>
      <c r="Q40">
        <f>Source!X30</f>
        <v>0</v>
      </c>
      <c r="R40">
        <f>Source!X31</f>
        <v>0</v>
      </c>
      <c r="S40">
        <f>Source!Y30</f>
        <v>0</v>
      </c>
      <c r="T40">
        <f>Source!Y31</f>
        <v>0</v>
      </c>
      <c r="U40">
        <f>ROUND((175/100)*ROUND(Source!R30, 2), 2)</f>
        <v>0</v>
      </c>
      <c r="V40">
        <f>ROUND((0/100)*ROUND(Source!R31, 2), 2)</f>
        <v>0</v>
      </c>
      <c r="AC40">
        <v>5</v>
      </c>
    </row>
    <row r="41" spans="1:29" ht="15" x14ac:dyDescent="0.2">
      <c r="A41" s="60"/>
      <c r="B41" s="60"/>
      <c r="C41" s="61" t="s">
        <v>239</v>
      </c>
      <c r="D41" s="60"/>
      <c r="E41" s="60"/>
      <c r="F41" s="60"/>
      <c r="G41" s="60"/>
      <c r="H41" s="62">
        <f>I40+0</f>
        <v>10518.85</v>
      </c>
      <c r="I41" s="62"/>
      <c r="J41" s="62">
        <f>K40+0</f>
        <v>80574.39</v>
      </c>
      <c r="K41" s="62"/>
      <c r="O41" s="54">
        <f>I40+0</f>
        <v>10518.85</v>
      </c>
      <c r="P41" s="54">
        <f>K40+0</f>
        <v>80574.39</v>
      </c>
    </row>
    <row r="43" spans="1:29" ht="42.75" x14ac:dyDescent="0.2">
      <c r="A43" s="40">
        <v>3</v>
      </c>
      <c r="B43" s="40" t="str">
        <f>Source!F32</f>
        <v>4.10-86-1</v>
      </c>
      <c r="C43" s="40" t="s">
        <v>40</v>
      </c>
      <c r="D43" s="42" t="str">
        <f>Source!H32</f>
        <v>1  ШТ.</v>
      </c>
      <c r="E43" s="41">
        <f>Source!I32</f>
        <v>2</v>
      </c>
      <c r="F43" s="44"/>
      <c r="G43" s="43"/>
      <c r="H43" s="41"/>
      <c r="I43" s="44"/>
      <c r="J43" s="41"/>
      <c r="K43" s="44"/>
      <c r="Q43">
        <f>Source!X32</f>
        <v>49.34</v>
      </c>
      <c r="R43">
        <f>Source!X33</f>
        <v>2713.1</v>
      </c>
      <c r="S43">
        <f>Source!Y32</f>
        <v>25.22</v>
      </c>
      <c r="T43">
        <f>Source!Y33</f>
        <v>1386.69</v>
      </c>
      <c r="U43">
        <f>ROUND((175/100)*ROUND(Source!R32, 2), 2)</f>
        <v>0</v>
      </c>
      <c r="V43">
        <f>ROUND((0/100)*ROUND(Source!R33, 2), 2)</f>
        <v>0</v>
      </c>
      <c r="AC43">
        <v>0</v>
      </c>
    </row>
    <row r="44" spans="1:29" ht="14.25" x14ac:dyDescent="0.2">
      <c r="A44" s="40"/>
      <c r="B44" s="40"/>
      <c r="C44" s="40" t="s">
        <v>229</v>
      </c>
      <c r="D44" s="42"/>
      <c r="E44" s="41"/>
      <c r="F44" s="44">
        <f>Source!AO32</f>
        <v>23.8</v>
      </c>
      <c r="G44" s="43" t="s">
        <v>230</v>
      </c>
      <c r="H44" s="41">
        <f>Source!AV33</f>
        <v>1.0469999999999999</v>
      </c>
      <c r="I44" s="44">
        <f>Source!S32</f>
        <v>54.82</v>
      </c>
      <c r="J44" s="41">
        <f>IF(Source!BA33&lt;&gt; 0, Source!BA33, 1)</f>
        <v>54.99</v>
      </c>
      <c r="K44" s="44">
        <f>Source!S33</f>
        <v>3014.55</v>
      </c>
    </row>
    <row r="45" spans="1:29" ht="14.25" x14ac:dyDescent="0.2">
      <c r="A45" s="40"/>
      <c r="B45" s="40"/>
      <c r="C45" s="40" t="s">
        <v>231</v>
      </c>
      <c r="D45" s="42"/>
      <c r="E45" s="41"/>
      <c r="F45" s="44">
        <f>Source!AL32</f>
        <v>0.28000000000000003</v>
      </c>
      <c r="G45" s="43"/>
      <c r="H45" s="41">
        <f>Source!AW33</f>
        <v>1</v>
      </c>
      <c r="I45" s="44">
        <f>Source!P32</f>
        <v>0.56000000000000005</v>
      </c>
      <c r="J45" s="41">
        <f>IF(Source!BC33&lt;&gt; 0, Source!BC33, 1)</f>
        <v>9.89</v>
      </c>
      <c r="K45" s="44">
        <f>Source!P33</f>
        <v>5.54</v>
      </c>
    </row>
    <row r="46" spans="1:29" ht="14.25" x14ac:dyDescent="0.2">
      <c r="A46" s="40"/>
      <c r="B46" s="40"/>
      <c r="C46" s="40" t="s">
        <v>232</v>
      </c>
      <c r="D46" s="42" t="s">
        <v>233</v>
      </c>
      <c r="E46" s="41">
        <f>Source!BZ33</f>
        <v>90</v>
      </c>
      <c r="F46" s="44"/>
      <c r="G46" s="43"/>
      <c r="H46" s="41"/>
      <c r="I46" s="44">
        <f>SUM(Q43:Q45)</f>
        <v>49.34</v>
      </c>
      <c r="J46" s="41">
        <f>Source!AT33</f>
        <v>90</v>
      </c>
      <c r="K46" s="44">
        <f>SUM(R43:R45)</f>
        <v>2713.1</v>
      </c>
    </row>
    <row r="47" spans="1:29" ht="14.25" x14ac:dyDescent="0.2">
      <c r="A47" s="40"/>
      <c r="B47" s="40"/>
      <c r="C47" s="40" t="s">
        <v>234</v>
      </c>
      <c r="D47" s="42" t="s">
        <v>233</v>
      </c>
      <c r="E47" s="41">
        <f>Source!CA33</f>
        <v>46</v>
      </c>
      <c r="F47" s="44"/>
      <c r="G47" s="43"/>
      <c r="H47" s="41"/>
      <c r="I47" s="44">
        <f>SUM(S43:S46)</f>
        <v>25.22</v>
      </c>
      <c r="J47" s="41">
        <f>Source!AU33</f>
        <v>46</v>
      </c>
      <c r="K47" s="44">
        <f>SUM(T43:T46)</f>
        <v>1386.69</v>
      </c>
    </row>
    <row r="48" spans="1:29" ht="14.25" x14ac:dyDescent="0.2">
      <c r="A48" s="45"/>
      <c r="B48" s="45"/>
      <c r="C48" s="45" t="s">
        <v>235</v>
      </c>
      <c r="D48" s="46" t="s">
        <v>236</v>
      </c>
      <c r="E48" s="47">
        <f>Source!AQ32</f>
        <v>2</v>
      </c>
      <c r="F48" s="48"/>
      <c r="G48" s="49" t="s">
        <v>230</v>
      </c>
      <c r="H48" s="47">
        <f>Source!AV33</f>
        <v>1.0469999999999999</v>
      </c>
      <c r="I48" s="48">
        <f>Source!U32</f>
        <v>4.6067999999999998</v>
      </c>
      <c r="J48" s="47"/>
      <c r="K48" s="48"/>
    </row>
    <row r="49" spans="1:29" ht="15" x14ac:dyDescent="0.2">
      <c r="C49" s="50" t="s">
        <v>237</v>
      </c>
      <c r="H49" s="51">
        <f>I44+I45+I46+I47+0-0-0</f>
        <v>129.94</v>
      </c>
      <c r="I49" s="51"/>
      <c r="J49" s="51">
        <f>K44+K45+K46+K47+0-0-0</f>
        <v>7119.880000000001</v>
      </c>
      <c r="K49" s="51"/>
    </row>
    <row r="50" spans="1:29" ht="15" hidden="1" x14ac:dyDescent="0.2">
      <c r="C50" s="50" t="s">
        <v>238</v>
      </c>
      <c r="H50" s="53">
        <f>0+0</f>
        <v>0</v>
      </c>
      <c r="I50" s="53"/>
      <c r="J50" s="53">
        <f>0+0</f>
        <v>0</v>
      </c>
      <c r="K50" s="53"/>
    </row>
    <row r="51" spans="1:29" ht="15" x14ac:dyDescent="0.2">
      <c r="C51" s="50" t="s">
        <v>239</v>
      </c>
      <c r="H51" s="53">
        <f>I44+I45+I46+I47+0</f>
        <v>129.94</v>
      </c>
      <c r="I51" s="53"/>
      <c r="J51" s="53">
        <f>K44+K45+K46+K47+0</f>
        <v>7119.880000000001</v>
      </c>
      <c r="K51" s="53"/>
      <c r="O51" s="54">
        <f>I44+I45+I46+I47+0</f>
        <v>129.94</v>
      </c>
      <c r="P51" s="54">
        <f>K44+K45+K46+K47+0</f>
        <v>7119.880000000001</v>
      </c>
    </row>
    <row r="53" spans="1:29" ht="42.75" x14ac:dyDescent="0.2">
      <c r="A53" s="55">
        <v>4</v>
      </c>
      <c r="B53" s="55" t="str">
        <f>Source!F34</f>
        <v>13.1-2-211</v>
      </c>
      <c r="C53" s="55" t="s">
        <v>241</v>
      </c>
      <c r="D53" s="56" t="str">
        <f>Source!H34</f>
        <v>шт.</v>
      </c>
      <c r="E53" s="57">
        <f>Source!I34</f>
        <v>2</v>
      </c>
      <c r="F53" s="58">
        <f>Source!AL34</f>
        <v>730.63</v>
      </c>
      <c r="G53" s="59"/>
      <c r="H53" s="57">
        <f>Source!AW35</f>
        <v>1</v>
      </c>
      <c r="I53" s="58">
        <f>Source!P34</f>
        <v>1461.26</v>
      </c>
      <c r="J53" s="57">
        <f>IF(Source!BC35&lt;&gt; 0, Source!BC35, 1)</f>
        <v>5.2</v>
      </c>
      <c r="K53" s="58">
        <f>Source!P35</f>
        <v>7598.55</v>
      </c>
      <c r="Q53">
        <f>Source!X34</f>
        <v>0</v>
      </c>
      <c r="R53">
        <f>Source!X35</f>
        <v>0</v>
      </c>
      <c r="S53">
        <f>Source!Y34</f>
        <v>0</v>
      </c>
      <c r="T53">
        <f>Source!Y35</f>
        <v>0</v>
      </c>
      <c r="U53">
        <f>ROUND((175/100)*ROUND(Source!R34, 2), 2)</f>
        <v>0</v>
      </c>
      <c r="V53">
        <f>ROUND((0/100)*ROUND(Source!R35, 2), 2)</f>
        <v>0</v>
      </c>
      <c r="AC53">
        <v>5</v>
      </c>
    </row>
    <row r="54" spans="1:29" ht="15" x14ac:dyDescent="0.2">
      <c r="A54" s="60"/>
      <c r="B54" s="60"/>
      <c r="C54" s="61" t="s">
        <v>239</v>
      </c>
      <c r="D54" s="60"/>
      <c r="E54" s="60"/>
      <c r="F54" s="60"/>
      <c r="G54" s="60"/>
      <c r="H54" s="62">
        <f>I53+0</f>
        <v>1461.26</v>
      </c>
      <c r="I54" s="62"/>
      <c r="J54" s="62">
        <f>K53+0</f>
        <v>7598.55</v>
      </c>
      <c r="K54" s="62"/>
      <c r="O54" s="54">
        <f>I53+0</f>
        <v>1461.26</v>
      </c>
      <c r="P54" s="54">
        <f>K53+0</f>
        <v>7598.55</v>
      </c>
    </row>
    <row r="57" spans="1:29" ht="15" x14ac:dyDescent="0.25">
      <c r="A57" s="63" t="str">
        <f>CONCATENATE("Итого по разделу: ",IF(Source!G37&lt;&gt;"Новый раздел", Source!G37, ""))</f>
        <v>Итого по разделу: Оборудование</v>
      </c>
      <c r="B57" s="63"/>
      <c r="C57" s="63"/>
      <c r="D57" s="63"/>
      <c r="E57" s="63"/>
      <c r="F57" s="63"/>
      <c r="G57" s="63"/>
      <c r="H57" s="53">
        <f>SUM(O29:O56)</f>
        <v>12222.830000000002</v>
      </c>
      <c r="I57" s="52"/>
      <c r="J57" s="53">
        <f>SUM(P29:P56)</f>
        <v>101472.42000000001</v>
      </c>
      <c r="K57" s="52"/>
    </row>
    <row r="58" spans="1:29" hidden="1" x14ac:dyDescent="0.2">
      <c r="A58" t="s">
        <v>242</v>
      </c>
      <c r="I58">
        <f>SUM(W29:W57)</f>
        <v>0</v>
      </c>
      <c r="J58">
        <f>SUM(X29:X57)</f>
        <v>0</v>
      </c>
    </row>
    <row r="59" spans="1:29" hidden="1" x14ac:dyDescent="0.2">
      <c r="A59" t="s">
        <v>243</v>
      </c>
      <c r="I59">
        <f>SUM(Y29:Y58)</f>
        <v>0</v>
      </c>
      <c r="J59">
        <f>SUM(Z29:Z58)</f>
        <v>0</v>
      </c>
    </row>
    <row r="61" spans="1:29" ht="16.5" x14ac:dyDescent="0.2">
      <c r="A61" s="39" t="str">
        <f>CONCATENATE("Раздел: ",IF(Source!G67&lt;&gt;"Новый раздел", Source!G67, ""))</f>
        <v>Раздел: Кабельные изделия</v>
      </c>
      <c r="B61" s="39"/>
      <c r="C61" s="39"/>
      <c r="D61" s="39"/>
      <c r="E61" s="39"/>
      <c r="F61" s="39"/>
      <c r="G61" s="39"/>
      <c r="H61" s="39"/>
      <c r="I61" s="39"/>
      <c r="J61" s="39"/>
      <c r="K61" s="39"/>
    </row>
    <row r="62" spans="1:29" ht="57" x14ac:dyDescent="0.2">
      <c r="A62" s="40">
        <v>5</v>
      </c>
      <c r="B62" s="40" t="str">
        <f>Source!F71</f>
        <v>4.10-185-3</v>
      </c>
      <c r="C62" s="40" t="s">
        <v>103</v>
      </c>
      <c r="D62" s="42" t="str">
        <f>Source!H71</f>
        <v>100 м</v>
      </c>
      <c r="E62" s="41">
        <f>Source!I71</f>
        <v>0.5</v>
      </c>
      <c r="F62" s="44"/>
      <c r="G62" s="43"/>
      <c r="H62" s="41"/>
      <c r="I62" s="44"/>
      <c r="J62" s="41"/>
      <c r="K62" s="44"/>
      <c r="Q62">
        <f>Source!X71</f>
        <v>152.47999999999999</v>
      </c>
      <c r="R62">
        <f>Source!X72</f>
        <v>8384.77</v>
      </c>
      <c r="S62">
        <f>Source!Y71</f>
        <v>77.930000000000007</v>
      </c>
      <c r="T62">
        <f>Source!Y72</f>
        <v>4285.55</v>
      </c>
      <c r="U62">
        <f>ROUND((175/100)*ROUND(Source!R71, 2), 2)</f>
        <v>0</v>
      </c>
      <c r="V62">
        <f>ROUND((0/100)*ROUND(Source!R72, 2), 2)</f>
        <v>0</v>
      </c>
      <c r="AC62">
        <v>0</v>
      </c>
    </row>
    <row r="63" spans="1:29" x14ac:dyDescent="0.2">
      <c r="C63" s="64" t="str">
        <f>"Объем: "&amp;Source!I71&amp;"=50/"&amp;"100"</f>
        <v>Объем: 0,5=50/100</v>
      </c>
    </row>
    <row r="64" spans="1:29" ht="14.25" x14ac:dyDescent="0.2">
      <c r="A64" s="40"/>
      <c r="B64" s="40"/>
      <c r="C64" s="40" t="s">
        <v>229</v>
      </c>
      <c r="D64" s="42"/>
      <c r="E64" s="41"/>
      <c r="F64" s="44">
        <f>Source!AO71</f>
        <v>294.20999999999998</v>
      </c>
      <c r="G64" s="43" t="s">
        <v>230</v>
      </c>
      <c r="H64" s="41">
        <f>Source!AV72</f>
        <v>1.0469999999999999</v>
      </c>
      <c r="I64" s="44">
        <f>Source!S71</f>
        <v>169.42</v>
      </c>
      <c r="J64" s="41">
        <f>IF(Source!BA72&lt;&gt; 0, Source!BA72, 1)</f>
        <v>54.99</v>
      </c>
      <c r="K64" s="44">
        <f>Source!S72</f>
        <v>9316.41</v>
      </c>
    </row>
    <row r="65" spans="1:29" ht="14.25" x14ac:dyDescent="0.2">
      <c r="A65" s="40"/>
      <c r="B65" s="40"/>
      <c r="C65" s="40" t="s">
        <v>244</v>
      </c>
      <c r="D65" s="42"/>
      <c r="E65" s="41"/>
      <c r="F65" s="44">
        <f>Source!AM71</f>
        <v>4.05</v>
      </c>
      <c r="G65" s="43" t="s">
        <v>230</v>
      </c>
      <c r="H65" s="41">
        <f>Source!AV72</f>
        <v>1.0469999999999999</v>
      </c>
      <c r="I65" s="44">
        <f>Source!Q71</f>
        <v>2.33</v>
      </c>
      <c r="J65" s="41">
        <f>IF(Source!BB72&lt;&gt; 0, Source!BB72, 1)</f>
        <v>8.7200000000000006</v>
      </c>
      <c r="K65" s="44">
        <f>Source!Q72</f>
        <v>20.32</v>
      </c>
    </row>
    <row r="66" spans="1:29" ht="14.25" x14ac:dyDescent="0.2">
      <c r="A66" s="40"/>
      <c r="B66" s="40"/>
      <c r="C66" s="40" t="s">
        <v>231</v>
      </c>
      <c r="D66" s="42"/>
      <c r="E66" s="41"/>
      <c r="F66" s="44">
        <f>Source!AL71</f>
        <v>19.420000000000002</v>
      </c>
      <c r="G66" s="43"/>
      <c r="H66" s="41">
        <f>Source!AW72</f>
        <v>1</v>
      </c>
      <c r="I66" s="44">
        <f>Source!P71</f>
        <v>9.7100000000000009</v>
      </c>
      <c r="J66" s="41">
        <f>IF(Source!BC72&lt;&gt; 0, Source!BC72, 1)</f>
        <v>6.66</v>
      </c>
      <c r="K66" s="44">
        <f>Source!P72</f>
        <v>64.67</v>
      </c>
    </row>
    <row r="67" spans="1:29" ht="42.75" x14ac:dyDescent="0.2">
      <c r="A67" s="40" t="s">
        <v>107</v>
      </c>
      <c r="B67" s="40" t="str">
        <f>Source!F73</f>
        <v>1.12-5-371</v>
      </c>
      <c r="C67" s="40" t="s">
        <v>109</v>
      </c>
      <c r="D67" s="42" t="str">
        <f>Source!H73</f>
        <v>м</v>
      </c>
      <c r="E67" s="41">
        <f>Source!I73</f>
        <v>51</v>
      </c>
      <c r="F67" s="44">
        <f>Source!AK73</f>
        <v>2.67</v>
      </c>
      <c r="G67" s="65" t="s">
        <v>3</v>
      </c>
      <c r="H67" s="41">
        <f>Source!AW74</f>
        <v>1</v>
      </c>
      <c r="I67" s="44">
        <f>Source!O73</f>
        <v>136.16999999999999</v>
      </c>
      <c r="J67" s="41">
        <f>IF(Source!BC74&lt;&gt; 0, Source!BC74, 1)</f>
        <v>3.83</v>
      </c>
      <c r="K67" s="44">
        <f>Source!O74</f>
        <v>521.53</v>
      </c>
      <c r="Q67">
        <f>Source!X73</f>
        <v>0</v>
      </c>
      <c r="R67">
        <f>Source!X74</f>
        <v>0</v>
      </c>
      <c r="S67">
        <f>Source!Y73</f>
        <v>0</v>
      </c>
      <c r="T67">
        <f>Source!Y74</f>
        <v>0</v>
      </c>
      <c r="U67">
        <f>ROUND((175/100)*ROUND(Source!R73, 2), 2)</f>
        <v>0</v>
      </c>
      <c r="V67">
        <f>ROUND((0/100)*ROUND(Source!R74, 2), 2)</f>
        <v>0</v>
      </c>
      <c r="AC67">
        <v>3</v>
      </c>
    </row>
    <row r="68" spans="1:29" ht="57" x14ac:dyDescent="0.2">
      <c r="A68" s="40" t="s">
        <v>112</v>
      </c>
      <c r="B68" s="40" t="str">
        <f>Source!F75</f>
        <v>1.14-1-555</v>
      </c>
      <c r="C68" s="40" t="s">
        <v>114</v>
      </c>
      <c r="D68" s="42" t="str">
        <f>Source!H75</f>
        <v>100 шт.</v>
      </c>
      <c r="E68" s="41">
        <f>Source!I75</f>
        <v>1.19</v>
      </c>
      <c r="F68" s="44">
        <f>Source!AK75</f>
        <v>46.63</v>
      </c>
      <c r="G68" s="65" t="s">
        <v>3</v>
      </c>
      <c r="H68" s="41">
        <f>Source!AW76</f>
        <v>1</v>
      </c>
      <c r="I68" s="44">
        <f>Source!O75</f>
        <v>55.49</v>
      </c>
      <c r="J68" s="41">
        <f>IF(Source!BC76&lt;&gt; 0, Source!BC76, 1)</f>
        <v>1.08</v>
      </c>
      <c r="K68" s="44">
        <f>Source!O76</f>
        <v>59.93</v>
      </c>
      <c r="Q68">
        <f>Source!X75</f>
        <v>0</v>
      </c>
      <c r="R68">
        <f>Source!X76</f>
        <v>0</v>
      </c>
      <c r="S68">
        <f>Source!Y75</f>
        <v>0</v>
      </c>
      <c r="T68">
        <f>Source!Y76</f>
        <v>0</v>
      </c>
      <c r="U68">
        <f>ROUND((175/100)*ROUND(Source!R75, 2), 2)</f>
        <v>0</v>
      </c>
      <c r="V68">
        <f>ROUND((0/100)*ROUND(Source!R76, 2), 2)</f>
        <v>0</v>
      </c>
      <c r="AC68">
        <v>3</v>
      </c>
    </row>
    <row r="69" spans="1:29" ht="42.75" x14ac:dyDescent="0.2">
      <c r="A69" s="40" t="s">
        <v>117</v>
      </c>
      <c r="B69" s="40" t="str">
        <f>Source!F77</f>
        <v>1.7-5-131</v>
      </c>
      <c r="C69" s="40" t="s">
        <v>119</v>
      </c>
      <c r="D69" s="42" t="str">
        <f>Source!H77</f>
        <v>100 шт.</v>
      </c>
      <c r="E69" s="41">
        <f>Source!I77</f>
        <v>1.18</v>
      </c>
      <c r="F69" s="44">
        <f>Source!AK77</f>
        <v>1297.23</v>
      </c>
      <c r="G69" s="65" t="s">
        <v>3</v>
      </c>
      <c r="H69" s="41">
        <f>Source!AW78</f>
        <v>1</v>
      </c>
      <c r="I69" s="44">
        <f>Source!O77</f>
        <v>1530.73</v>
      </c>
      <c r="J69" s="41">
        <f>IF(Source!BC78&lt;&gt; 0, Source!BC78, 1)</f>
        <v>5.2</v>
      </c>
      <c r="K69" s="44">
        <f>Source!O78</f>
        <v>7959.8</v>
      </c>
      <c r="Q69">
        <f>Source!X77</f>
        <v>0</v>
      </c>
      <c r="R69">
        <f>Source!X78</f>
        <v>0</v>
      </c>
      <c r="S69">
        <f>Source!Y77</f>
        <v>0</v>
      </c>
      <c r="T69">
        <f>Source!Y78</f>
        <v>0</v>
      </c>
      <c r="U69">
        <f>ROUND((175/100)*ROUND(Source!R77, 2), 2)</f>
        <v>0</v>
      </c>
      <c r="V69">
        <f>ROUND((0/100)*ROUND(Source!R78, 2), 2)</f>
        <v>0</v>
      </c>
      <c r="AC69">
        <v>3</v>
      </c>
    </row>
    <row r="70" spans="1:29" ht="14.25" x14ac:dyDescent="0.2">
      <c r="A70" s="40"/>
      <c r="B70" s="40"/>
      <c r="C70" s="40" t="s">
        <v>232</v>
      </c>
      <c r="D70" s="42" t="s">
        <v>233</v>
      </c>
      <c r="E70" s="41">
        <f>Source!BZ72</f>
        <v>90</v>
      </c>
      <c r="F70" s="44"/>
      <c r="G70" s="43"/>
      <c r="H70" s="41"/>
      <c r="I70" s="44">
        <f>SUM(Q62:Q69)</f>
        <v>152.47999999999999</v>
      </c>
      <c r="J70" s="41">
        <f>Source!AT72</f>
        <v>90</v>
      </c>
      <c r="K70" s="44">
        <f>SUM(R62:R69)</f>
        <v>8384.77</v>
      </c>
    </row>
    <row r="71" spans="1:29" ht="14.25" x14ac:dyDescent="0.2">
      <c r="A71" s="40"/>
      <c r="B71" s="40"/>
      <c r="C71" s="40" t="s">
        <v>234</v>
      </c>
      <c r="D71" s="42" t="s">
        <v>233</v>
      </c>
      <c r="E71" s="41">
        <f>Source!CA72</f>
        <v>46</v>
      </c>
      <c r="F71" s="44"/>
      <c r="G71" s="43"/>
      <c r="H71" s="41"/>
      <c r="I71" s="44">
        <f>SUM(S62:S70)</f>
        <v>77.930000000000007</v>
      </c>
      <c r="J71" s="41">
        <f>Source!AU72</f>
        <v>46</v>
      </c>
      <c r="K71" s="44">
        <f>SUM(T62:T70)</f>
        <v>4285.55</v>
      </c>
    </row>
    <row r="72" spans="1:29" ht="14.25" x14ac:dyDescent="0.2">
      <c r="A72" s="45"/>
      <c r="B72" s="45"/>
      <c r="C72" s="45" t="s">
        <v>235</v>
      </c>
      <c r="D72" s="46" t="s">
        <v>236</v>
      </c>
      <c r="E72" s="47">
        <f>Source!AQ71</f>
        <v>24.76</v>
      </c>
      <c r="F72" s="48"/>
      <c r="G72" s="49" t="s">
        <v>230</v>
      </c>
      <c r="H72" s="47">
        <f>Source!AV72</f>
        <v>1.0469999999999999</v>
      </c>
      <c r="I72" s="48">
        <f>Source!U71</f>
        <v>14.258046000000002</v>
      </c>
      <c r="J72" s="47"/>
      <c r="K72" s="48"/>
    </row>
    <row r="73" spans="1:29" ht="15" x14ac:dyDescent="0.2">
      <c r="C73" s="50" t="s">
        <v>237</v>
      </c>
      <c r="H73" s="51">
        <f>I64+I65+I66+I70+I71+SUM(I67:I69)-SUMIF(AC67:AC69, 5, I67:I69)-SUMIF(AC67:AC69, 6, I67:I69)</f>
        <v>2134.2600000000002</v>
      </c>
      <c r="I73" s="51"/>
      <c r="J73" s="51">
        <f>K64+K65+K66+K70+K71+SUM(K67:K69)-SUMIF(AC67:AC69, 5, K67:K69)-SUMIF(AC67:AC69, 6, K67:K69)</f>
        <v>30612.979999999996</v>
      </c>
      <c r="K73" s="51"/>
    </row>
    <row r="74" spans="1:29" ht="15" hidden="1" x14ac:dyDescent="0.2">
      <c r="C74" s="50" t="s">
        <v>238</v>
      </c>
      <c r="H74" s="53">
        <f>SUMIF(AC67:AC69, 5, I67:I69)+SUMIF(AC67:AC69, 6, I67:I69)</f>
        <v>0</v>
      </c>
      <c r="I74" s="53"/>
      <c r="J74" s="53">
        <f>SUMIF(AC67:AC69, 5, K67:K69)+SUMIF(AC67:AC69, 6, K67:K69)</f>
        <v>0</v>
      </c>
      <c r="K74" s="53"/>
    </row>
    <row r="75" spans="1:29" ht="15" x14ac:dyDescent="0.2">
      <c r="C75" s="50" t="s">
        <v>239</v>
      </c>
      <c r="H75" s="53">
        <f>I64+I65+I66+I70+I71+SUM(I67:I69)</f>
        <v>2134.2600000000002</v>
      </c>
      <c r="I75" s="53"/>
      <c r="J75" s="53">
        <f>K64+K65+K66+K70+K71+SUM(K67:K69)</f>
        <v>30612.979999999996</v>
      </c>
      <c r="K75" s="53"/>
      <c r="O75" s="54">
        <f>I64+I65+I66+I70+I71+SUM(I67:I69)</f>
        <v>2134.2600000000002</v>
      </c>
      <c r="P75" s="54">
        <f>K64+K65+K66+K70+K71+SUM(K67:K69)</f>
        <v>30612.979999999996</v>
      </c>
    </row>
    <row r="77" spans="1:29" ht="57" x14ac:dyDescent="0.2">
      <c r="A77" s="40">
        <v>6</v>
      </c>
      <c r="B77" s="40" t="str">
        <f>Source!F79</f>
        <v>4.8-328-1</v>
      </c>
      <c r="C77" s="40" t="s">
        <v>123</v>
      </c>
      <c r="D77" s="42" t="str">
        <f>Source!H79</f>
        <v>100 м</v>
      </c>
      <c r="E77" s="41">
        <f>Source!I79</f>
        <v>0.5</v>
      </c>
      <c r="F77" s="44"/>
      <c r="G77" s="43"/>
      <c r="H77" s="41"/>
      <c r="I77" s="44"/>
      <c r="J77" s="41"/>
      <c r="K77" s="44"/>
      <c r="Q77">
        <f>Source!X79</f>
        <v>36.81</v>
      </c>
      <c r="R77">
        <f>Source!X80</f>
        <v>2024.26</v>
      </c>
      <c r="S77">
        <f>Source!Y79</f>
        <v>19.350000000000001</v>
      </c>
      <c r="T77">
        <f>Source!Y80</f>
        <v>1064.3</v>
      </c>
      <c r="U77">
        <f>ROUND((175/100)*ROUND(Source!R79, 2), 2)</f>
        <v>0.3</v>
      </c>
      <c r="V77">
        <f>ROUND((0/100)*ROUND(Source!R80, 2), 2)</f>
        <v>0</v>
      </c>
      <c r="AC77">
        <v>0</v>
      </c>
    </row>
    <row r="78" spans="1:29" x14ac:dyDescent="0.2">
      <c r="C78" s="64" t="str">
        <f>"Объем: "&amp;Source!I79&amp;"=50/"&amp;"100"</f>
        <v>Объем: 0,5=50/100</v>
      </c>
    </row>
    <row r="79" spans="1:29" ht="14.25" x14ac:dyDescent="0.2">
      <c r="A79" s="40"/>
      <c r="B79" s="40"/>
      <c r="C79" s="40" t="s">
        <v>229</v>
      </c>
      <c r="D79" s="42"/>
      <c r="E79" s="41"/>
      <c r="F79" s="44">
        <f>Source!AO79</f>
        <v>65.599999999999994</v>
      </c>
      <c r="G79" s="43" t="s">
        <v>230</v>
      </c>
      <c r="H79" s="41">
        <f>Source!AV80</f>
        <v>1.0469999999999999</v>
      </c>
      <c r="I79" s="44">
        <f>Source!S79</f>
        <v>37.78</v>
      </c>
      <c r="J79" s="41">
        <f>IF(Source!BA80&lt;&gt; 0, Source!BA80, 1)</f>
        <v>54.99</v>
      </c>
      <c r="K79" s="44">
        <f>Source!S80</f>
        <v>2077.52</v>
      </c>
    </row>
    <row r="80" spans="1:29" ht="14.25" x14ac:dyDescent="0.2">
      <c r="A80" s="40"/>
      <c r="B80" s="40"/>
      <c r="C80" s="40" t="s">
        <v>244</v>
      </c>
      <c r="D80" s="42"/>
      <c r="E80" s="41"/>
      <c r="F80" s="44">
        <f>Source!AM79</f>
        <v>2.62</v>
      </c>
      <c r="G80" s="43" t="s">
        <v>230</v>
      </c>
      <c r="H80" s="41">
        <f>Source!AV80</f>
        <v>1.0469999999999999</v>
      </c>
      <c r="I80" s="44">
        <f>Source!Q79</f>
        <v>1.51</v>
      </c>
      <c r="J80" s="41">
        <f>IF(Source!BB80&lt;&gt; 0, Source!BB80, 1)</f>
        <v>14.57</v>
      </c>
      <c r="K80" s="44">
        <f>Source!Q80</f>
        <v>22</v>
      </c>
    </row>
    <row r="81" spans="1:29" ht="14.25" x14ac:dyDescent="0.2">
      <c r="A81" s="40"/>
      <c r="B81" s="40"/>
      <c r="C81" s="40" t="s">
        <v>245</v>
      </c>
      <c r="D81" s="42"/>
      <c r="E81" s="41"/>
      <c r="F81" s="44">
        <f>Source!AN79</f>
        <v>0.3</v>
      </c>
      <c r="G81" s="43" t="s">
        <v>230</v>
      </c>
      <c r="H81" s="41">
        <f>Source!AV80</f>
        <v>1.0469999999999999</v>
      </c>
      <c r="I81" s="66">
        <f>Source!R79</f>
        <v>0.17</v>
      </c>
      <c r="J81" s="41">
        <f>IF(Source!BS80&lt;&gt; 0, Source!BS80, 1)</f>
        <v>54.99</v>
      </c>
      <c r="K81" s="66">
        <f>Source!R80</f>
        <v>9.35</v>
      </c>
    </row>
    <row r="82" spans="1:29" ht="14.25" x14ac:dyDescent="0.2">
      <c r="A82" s="40"/>
      <c r="B82" s="40"/>
      <c r="C82" s="40" t="s">
        <v>231</v>
      </c>
      <c r="D82" s="42"/>
      <c r="E82" s="41"/>
      <c r="F82" s="44">
        <f>Source!AL79</f>
        <v>125.83</v>
      </c>
      <c r="G82" s="43"/>
      <c r="H82" s="41">
        <f>Source!AW80</f>
        <v>1</v>
      </c>
      <c r="I82" s="44">
        <f>Source!P79</f>
        <v>62.92</v>
      </c>
      <c r="J82" s="41">
        <f>IF(Source!BC80&lt;&gt; 0, Source!BC80, 1)</f>
        <v>3.96</v>
      </c>
      <c r="K82" s="44">
        <f>Source!P80</f>
        <v>249.16</v>
      </c>
    </row>
    <row r="83" spans="1:29" ht="14.25" x14ac:dyDescent="0.2">
      <c r="A83" s="40"/>
      <c r="B83" s="40"/>
      <c r="C83" s="40" t="s">
        <v>232</v>
      </c>
      <c r="D83" s="42" t="s">
        <v>233</v>
      </c>
      <c r="E83" s="41">
        <f>Source!BZ80</f>
        <v>97</v>
      </c>
      <c r="F83" s="44"/>
      <c r="G83" s="43"/>
      <c r="H83" s="41"/>
      <c r="I83" s="44">
        <f>SUM(Q77:Q82)</f>
        <v>36.81</v>
      </c>
      <c r="J83" s="41">
        <f>Source!AT80</f>
        <v>97</v>
      </c>
      <c r="K83" s="44">
        <f>SUM(R77:R82)</f>
        <v>2024.26</v>
      </c>
    </row>
    <row r="84" spans="1:29" ht="14.25" x14ac:dyDescent="0.2">
      <c r="A84" s="40"/>
      <c r="B84" s="40"/>
      <c r="C84" s="40" t="s">
        <v>234</v>
      </c>
      <c r="D84" s="42" t="s">
        <v>233</v>
      </c>
      <c r="E84" s="41">
        <f>Source!CA80</f>
        <v>51</v>
      </c>
      <c r="F84" s="44"/>
      <c r="G84" s="43"/>
      <c r="H84" s="41"/>
      <c r="I84" s="44">
        <f>SUM(S77:S83)</f>
        <v>19.350000000000001</v>
      </c>
      <c r="J84" s="41">
        <f>Source!AU80</f>
        <v>51</v>
      </c>
      <c r="K84" s="44">
        <f>SUM(T77:T83)</f>
        <v>1064.3</v>
      </c>
    </row>
    <row r="85" spans="1:29" ht="14.25" x14ac:dyDescent="0.2">
      <c r="A85" s="45"/>
      <c r="B85" s="45"/>
      <c r="C85" s="45" t="s">
        <v>235</v>
      </c>
      <c r="D85" s="46" t="s">
        <v>236</v>
      </c>
      <c r="E85" s="47">
        <f>Source!AQ79</f>
        <v>5.29</v>
      </c>
      <c r="F85" s="48"/>
      <c r="G85" s="49" t="s">
        <v>230</v>
      </c>
      <c r="H85" s="47">
        <f>Source!AV80</f>
        <v>1.0469999999999999</v>
      </c>
      <c r="I85" s="48">
        <f>Source!U79</f>
        <v>3.0462465000000001</v>
      </c>
      <c r="J85" s="47"/>
      <c r="K85" s="48"/>
    </row>
    <row r="86" spans="1:29" ht="15" x14ac:dyDescent="0.2">
      <c r="C86" s="50" t="s">
        <v>237</v>
      </c>
      <c r="H86" s="51">
        <f>I79+I80+I82+I83+I84+0-0-0</f>
        <v>158.37</v>
      </c>
      <c r="I86" s="51"/>
      <c r="J86" s="51">
        <f>K79+K80+K82+K83+K84+0-0-0</f>
        <v>5437.24</v>
      </c>
      <c r="K86" s="51"/>
    </row>
    <row r="87" spans="1:29" ht="15" hidden="1" x14ac:dyDescent="0.2">
      <c r="C87" s="50" t="s">
        <v>238</v>
      </c>
      <c r="H87" s="53">
        <f>0+0</f>
        <v>0</v>
      </c>
      <c r="I87" s="53"/>
      <c r="J87" s="53">
        <f>0+0</f>
        <v>0</v>
      </c>
      <c r="K87" s="53"/>
    </row>
    <row r="88" spans="1:29" ht="15" x14ac:dyDescent="0.2">
      <c r="C88" s="50" t="s">
        <v>239</v>
      </c>
      <c r="H88" s="53">
        <f>I79+I80+I82+I83+I84+0</f>
        <v>158.37</v>
      </c>
      <c r="I88" s="53"/>
      <c r="J88" s="53">
        <f>K79+K80+K82+K83+K84+0</f>
        <v>5437.24</v>
      </c>
      <c r="K88" s="53"/>
      <c r="O88" s="54">
        <f>I79+I80+I82+I83+I84+0</f>
        <v>158.37</v>
      </c>
      <c r="P88" s="54">
        <f>K79+K80+K82+K83+K84+0</f>
        <v>5437.24</v>
      </c>
    </row>
    <row r="90" spans="1:29" ht="39.75" x14ac:dyDescent="0.2">
      <c r="A90" s="40">
        <v>7</v>
      </c>
      <c r="B90" s="40" t="str">
        <f>Source!F81</f>
        <v>КА-2</v>
      </c>
      <c r="C90" s="40" t="s">
        <v>246</v>
      </c>
      <c r="D90" s="42" t="str">
        <f>Source!H81</f>
        <v>км</v>
      </c>
      <c r="E90" s="41">
        <f>Source!I81</f>
        <v>0.10199999999999999</v>
      </c>
      <c r="F90" s="44">
        <f>Source!AL81</f>
        <v>3104.9100000000003</v>
      </c>
      <c r="G90" s="43"/>
      <c r="H90" s="41">
        <f>Source!AW82</f>
        <v>1</v>
      </c>
      <c r="I90" s="44">
        <f>Source!P81</f>
        <v>316.7</v>
      </c>
      <c r="J90" s="41">
        <f>IF(Source!BC82&lt;&gt; 0, Source!BC82, 1)</f>
        <v>9.8800000000000008</v>
      </c>
      <c r="K90" s="44">
        <f>Source!P82</f>
        <v>3129</v>
      </c>
      <c r="Q90">
        <f>Source!X81</f>
        <v>0</v>
      </c>
      <c r="R90">
        <f>Source!X82</f>
        <v>0</v>
      </c>
      <c r="S90">
        <f>Source!Y81</f>
        <v>0</v>
      </c>
      <c r="T90">
        <f>Source!Y82</f>
        <v>0</v>
      </c>
      <c r="U90">
        <f>ROUND((175/100)*ROUND(Source!R81, 2), 2)</f>
        <v>0</v>
      </c>
      <c r="V90">
        <f>ROUND((0/100)*ROUND(Source!R82, 2), 2)</f>
        <v>0</v>
      </c>
      <c r="AC90">
        <v>3</v>
      </c>
    </row>
    <row r="91" spans="1:29" x14ac:dyDescent="0.2">
      <c r="A91" s="67"/>
      <c r="B91" s="67"/>
      <c r="C91" s="68" t="str">
        <f>"Объем: "&amp;Source!I81&amp;"=0,1*"&amp;"1,02"</f>
        <v>Объем: 0,102=0,1*1,02</v>
      </c>
      <c r="D91" s="67"/>
      <c r="E91" s="67"/>
      <c r="F91" s="67"/>
      <c r="G91" s="67"/>
      <c r="H91" s="67"/>
      <c r="I91" s="67"/>
      <c r="J91" s="67"/>
      <c r="K91" s="67"/>
    </row>
    <row r="92" spans="1:29" ht="15" x14ac:dyDescent="0.2">
      <c r="C92" s="50" t="s">
        <v>239</v>
      </c>
      <c r="H92" s="51">
        <f>I90+0</f>
        <v>316.7</v>
      </c>
      <c r="I92" s="51"/>
      <c r="J92" s="51">
        <f>K90+0</f>
        <v>3129</v>
      </c>
      <c r="K92" s="51"/>
      <c r="O92" s="54">
        <f>I90+0</f>
        <v>316.7</v>
      </c>
      <c r="P92" s="54">
        <f>K90+0</f>
        <v>3129</v>
      </c>
    </row>
    <row r="95" spans="1:29" ht="15" x14ac:dyDescent="0.25">
      <c r="A95" s="63" t="str">
        <f>CONCATENATE("Итого по разделу: ",IF(Source!G84&lt;&gt;"Новый раздел", Source!G84, ""))</f>
        <v>Итого по разделу: Кабельные изделия</v>
      </c>
      <c r="B95" s="63"/>
      <c r="C95" s="63"/>
      <c r="D95" s="63"/>
      <c r="E95" s="63"/>
      <c r="F95" s="63"/>
      <c r="G95" s="63"/>
      <c r="H95" s="53">
        <f>SUM(O61:O94)</f>
        <v>2609.33</v>
      </c>
      <c r="I95" s="52"/>
      <c r="J95" s="53">
        <f>SUM(P61:P94)</f>
        <v>39179.219999999994</v>
      </c>
      <c r="K95" s="52"/>
    </row>
    <row r="96" spans="1:29" hidden="1" x14ac:dyDescent="0.2">
      <c r="A96" t="s">
        <v>242</v>
      </c>
      <c r="I96">
        <f>SUM(W61:W95)</f>
        <v>0</v>
      </c>
      <c r="J96">
        <f>SUM(X61:X95)</f>
        <v>0</v>
      </c>
    </row>
    <row r="97" spans="1:11" hidden="1" x14ac:dyDescent="0.2">
      <c r="A97" t="s">
        <v>243</v>
      </c>
      <c r="I97">
        <f>SUM(Y61:Y96)</f>
        <v>0</v>
      </c>
      <c r="J97">
        <f>SUM(Z61:Z96)</f>
        <v>0</v>
      </c>
    </row>
    <row r="99" spans="1:11" ht="15" x14ac:dyDescent="0.25">
      <c r="A99" s="63" t="str">
        <f>CONCATENATE("Итого по локальной смете: ",IF(Source!G114&lt;&gt;"Новая локальная смета", Source!G114, ""))</f>
        <v>Итого по локальной смете: Электрочасофикация</v>
      </c>
      <c r="B99" s="63"/>
      <c r="C99" s="63"/>
      <c r="D99" s="63"/>
      <c r="E99" s="63"/>
      <c r="F99" s="63"/>
      <c r="G99" s="63"/>
      <c r="H99" s="53">
        <f>SUM(O28:O98)</f>
        <v>14832.160000000003</v>
      </c>
      <c r="I99" s="52"/>
      <c r="J99" s="53">
        <f>SUM(P28:P98)</f>
        <v>140651.64000000001</v>
      </c>
      <c r="K99" s="52"/>
    </row>
    <row r="100" spans="1:11" hidden="1" x14ac:dyDescent="0.2">
      <c r="A100" t="s">
        <v>242</v>
      </c>
      <c r="I100">
        <f>SUM(W28:W99)</f>
        <v>0</v>
      </c>
      <c r="J100">
        <f>SUM(X28:X99)</f>
        <v>0</v>
      </c>
    </row>
    <row r="101" spans="1:11" hidden="1" x14ac:dyDescent="0.2">
      <c r="A101" t="s">
        <v>243</v>
      </c>
      <c r="I101">
        <f>SUM(Y28:Y100)</f>
        <v>0</v>
      </c>
      <c r="J101">
        <f>SUM(Z28:Z100)</f>
        <v>0</v>
      </c>
    </row>
    <row r="103" spans="1:11" ht="15" x14ac:dyDescent="0.25">
      <c r="A103" s="63" t="str">
        <f>CONCATENATE("Итого по смете: ",IF(Source!G144&lt;&gt;"Новый объект", Source!G144, ""))</f>
        <v>Итого по смете: 02-01-13 Электрочасофикация</v>
      </c>
      <c r="B103" s="63"/>
      <c r="C103" s="63"/>
      <c r="D103" s="63"/>
      <c r="E103" s="63"/>
      <c r="F103" s="63"/>
      <c r="G103" s="63"/>
      <c r="H103" s="53">
        <f>SUM(O1:O102)</f>
        <v>14832.160000000003</v>
      </c>
      <c r="I103" s="52"/>
      <c r="J103" s="53">
        <f>SUM(P1:P102)</f>
        <v>140651.64000000001</v>
      </c>
      <c r="K103" s="52"/>
    </row>
    <row r="104" spans="1:11" hidden="1" x14ac:dyDescent="0.2">
      <c r="A104" t="s">
        <v>242</v>
      </c>
      <c r="I104">
        <f>SUM(W1:W103)</f>
        <v>0</v>
      </c>
      <c r="J104">
        <f>SUM(X1:X103)</f>
        <v>0</v>
      </c>
    </row>
    <row r="105" spans="1:11" hidden="1" x14ac:dyDescent="0.2">
      <c r="A105" t="s">
        <v>243</v>
      </c>
      <c r="I105">
        <f>SUM(Y1:Y104)</f>
        <v>0</v>
      </c>
      <c r="J105">
        <f>SUM(Z1:Z104)</f>
        <v>0</v>
      </c>
    </row>
    <row r="108" spans="1:11" ht="14.25" x14ac:dyDescent="0.2">
      <c r="A108" s="69" t="s">
        <v>248</v>
      </c>
      <c r="B108" s="69"/>
      <c r="C108" s="70" t="str">
        <f>IF(Source!AC12&lt;&gt;"", Source!AC12," ")</f>
        <v xml:space="preserve"> </v>
      </c>
      <c r="D108" s="70"/>
      <c r="E108" s="70"/>
      <c r="F108" s="70"/>
      <c r="G108" s="70"/>
      <c r="H108" s="29" t="str">
        <f>IF(Source!AB12&lt;&gt;"", Source!AB12," ")</f>
        <v>Соколова И.Н.</v>
      </c>
      <c r="I108" s="29"/>
      <c r="J108" s="29"/>
      <c r="K108" s="29"/>
    </row>
    <row r="109" spans="1:11" ht="14.25" x14ac:dyDescent="0.2">
      <c r="A109" s="16"/>
      <c r="B109" s="16"/>
      <c r="C109" s="18" t="s">
        <v>249</v>
      </c>
      <c r="D109" s="18"/>
      <c r="E109" s="18"/>
      <c r="F109" s="18"/>
      <c r="G109" s="18"/>
      <c r="H109" s="16"/>
      <c r="I109" s="16"/>
      <c r="J109" s="16"/>
      <c r="K109" s="16"/>
    </row>
    <row r="110" spans="1:11" ht="14.25" x14ac:dyDescent="0.2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</row>
    <row r="111" spans="1:11" ht="14.25" x14ac:dyDescent="0.2">
      <c r="A111" s="69" t="s">
        <v>250</v>
      </c>
      <c r="B111" s="69"/>
      <c r="C111" s="70" t="str">
        <f>IF(Source!AE12&lt;&gt;"", Source!AE12," ")</f>
        <v xml:space="preserve"> </v>
      </c>
      <c r="D111" s="70"/>
      <c r="E111" s="70"/>
      <c r="F111" s="70"/>
      <c r="G111" s="70"/>
      <c r="H111" s="29" t="str">
        <f>IF(Source!AD12&lt;&gt;"", Source!AD12," ")</f>
        <v xml:space="preserve"> </v>
      </c>
      <c r="I111" s="29"/>
      <c r="J111" s="29"/>
      <c r="K111" s="29"/>
    </row>
    <row r="112" spans="1:11" ht="14.25" x14ac:dyDescent="0.2">
      <c r="A112" s="16"/>
      <c r="B112" s="16"/>
      <c r="C112" s="18" t="s">
        <v>249</v>
      </c>
      <c r="D112" s="18"/>
      <c r="E112" s="18"/>
      <c r="F112" s="18"/>
      <c r="G112" s="18"/>
      <c r="H112" s="16"/>
      <c r="I112" s="16"/>
      <c r="J112" s="16"/>
      <c r="K112" s="16"/>
    </row>
  </sheetData>
  <mergeCells count="67">
    <mergeCell ref="A108:B108"/>
    <mergeCell ref="H108:K108"/>
    <mergeCell ref="C109:G109"/>
    <mergeCell ref="A111:B111"/>
    <mergeCell ref="H111:K111"/>
    <mergeCell ref="C112:G112"/>
    <mergeCell ref="A95:G95"/>
    <mergeCell ref="J99:K99"/>
    <mergeCell ref="H99:I99"/>
    <mergeCell ref="A99:G99"/>
    <mergeCell ref="J103:K103"/>
    <mergeCell ref="H103:I103"/>
    <mergeCell ref="A103:G103"/>
    <mergeCell ref="H88:I88"/>
    <mergeCell ref="J88:K88"/>
    <mergeCell ref="H92:I92"/>
    <mergeCell ref="J92:K92"/>
    <mergeCell ref="J95:K95"/>
    <mergeCell ref="H95:I95"/>
    <mergeCell ref="H75:I75"/>
    <mergeCell ref="J75:K75"/>
    <mergeCell ref="H86:I86"/>
    <mergeCell ref="J86:K86"/>
    <mergeCell ref="H87:I87"/>
    <mergeCell ref="J87:K87"/>
    <mergeCell ref="A57:G57"/>
    <mergeCell ref="A61:K61"/>
    <mergeCell ref="H73:I73"/>
    <mergeCell ref="J73:K73"/>
    <mergeCell ref="H74:I74"/>
    <mergeCell ref="J74:K74"/>
    <mergeCell ref="H51:I51"/>
    <mergeCell ref="J51:K51"/>
    <mergeCell ref="H54:I54"/>
    <mergeCell ref="J54:K54"/>
    <mergeCell ref="J57:K57"/>
    <mergeCell ref="H57:I57"/>
    <mergeCell ref="H41:I41"/>
    <mergeCell ref="J41:K41"/>
    <mergeCell ref="H49:I49"/>
    <mergeCell ref="J49:K49"/>
    <mergeCell ref="H50:I50"/>
    <mergeCell ref="J50:K50"/>
    <mergeCell ref="H36:I36"/>
    <mergeCell ref="J36:K36"/>
    <mergeCell ref="H37:I37"/>
    <mergeCell ref="J37:K37"/>
    <mergeCell ref="H38:I38"/>
    <mergeCell ref="J38:K38"/>
    <mergeCell ref="E20:H20"/>
    <mergeCell ref="E21:H21"/>
    <mergeCell ref="E22:H22"/>
    <mergeCell ref="A25:K25"/>
    <mergeCell ref="J2:K2"/>
    <mergeCell ref="A29:K29"/>
    <mergeCell ref="E14:H14"/>
    <mergeCell ref="E15:H15"/>
    <mergeCell ref="E16:H16"/>
    <mergeCell ref="E17:H17"/>
    <mergeCell ref="E18:H18"/>
    <mergeCell ref="E19:H19"/>
    <mergeCell ref="A3:K3"/>
    <mergeCell ref="A4:K4"/>
    <mergeCell ref="A6:K6"/>
    <mergeCell ref="A8:K8"/>
    <mergeCell ref="A9:K9"/>
    <mergeCell ref="A11:K11"/>
  </mergeCells>
  <pageMargins left="0.4" right="0.2" top="0.2" bottom="0.4" header="0.2" footer="0.2"/>
  <pageSetup paperSize="9" scale="71" fitToHeight="0" orientation="portrait" r:id="rId1"/>
  <headerFooter>
    <oddHeader>&amp;L&amp;8</oddHeader>
    <oddFooter>&amp;R&amp;P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4"/>
  <sheetViews>
    <sheetView zoomScaleNormal="100" workbookViewId="0"/>
  </sheetViews>
  <sheetFormatPr defaultRowHeight="12.75" x14ac:dyDescent="0.2"/>
  <cols>
    <col min="1" max="2" width="6.7109375" customWidth="1"/>
    <col min="3" max="3" width="75.7109375" customWidth="1"/>
    <col min="4" max="8" width="15.7109375" customWidth="1"/>
    <col min="30" max="32" width="0" hidden="1" customWidth="1"/>
  </cols>
  <sheetData>
    <row r="1" spans="1:8" x14ac:dyDescent="0.2">
      <c r="A1" s="15" t="str">
        <f>Source!B1</f>
        <v>Smeta.RU  (495) 974-1589</v>
      </c>
    </row>
    <row r="4" spans="1:8" ht="15.75" x14ac:dyDescent="0.2">
      <c r="B4" s="71" t="str">
        <f>CONCATENATE("Ведомость объемов работ ", IF(Source!AN15&lt;&gt;"", Source!AN15," "))</f>
        <v xml:space="preserve">Ведомость объемов работ  </v>
      </c>
      <c r="C4" s="71"/>
      <c r="D4" s="71"/>
      <c r="E4" s="71"/>
    </row>
    <row r="5" spans="1:8" ht="15" x14ac:dyDescent="0.2">
      <c r="B5" s="72" t="str">
        <f>CONCATENATE(Source!F12, " ", Source!G12)</f>
        <v xml:space="preserve"> 02-01-13 Электрочасофикация</v>
      </c>
      <c r="C5" s="72"/>
      <c r="D5" s="72"/>
      <c r="E5" s="72"/>
    </row>
    <row r="6" spans="1:8" hidden="1" x14ac:dyDescent="0.2"/>
    <row r="8" spans="1:8" ht="99.75" x14ac:dyDescent="0.2">
      <c r="A8" s="35" t="s">
        <v>214</v>
      </c>
      <c r="B8" s="35" t="s">
        <v>251</v>
      </c>
      <c r="C8" s="35" t="s">
        <v>216</v>
      </c>
      <c r="D8" s="35" t="s">
        <v>252</v>
      </c>
      <c r="E8" s="35" t="s">
        <v>253</v>
      </c>
      <c r="F8" s="35" t="s">
        <v>254</v>
      </c>
      <c r="G8" s="35" t="s">
        <v>255</v>
      </c>
      <c r="H8" s="35" t="s">
        <v>256</v>
      </c>
    </row>
    <row r="9" spans="1:8" ht="14.25" x14ac:dyDescent="0.2">
      <c r="A9" s="35">
        <v>1</v>
      </c>
      <c r="B9" s="35">
        <v>2</v>
      </c>
      <c r="C9" s="35">
        <v>3</v>
      </c>
      <c r="D9" s="35">
        <v>4</v>
      </c>
      <c r="E9" s="35">
        <v>5</v>
      </c>
      <c r="F9" s="35">
        <v>6</v>
      </c>
      <c r="G9" s="35">
        <v>7</v>
      </c>
      <c r="H9" s="35">
        <v>8</v>
      </c>
    </row>
    <row r="10" spans="1:8" ht="16.5" x14ac:dyDescent="0.25">
      <c r="A10" s="73" t="str">
        <f>CONCATENATE("Локальная смета: ", Source!G20)</f>
        <v>Локальная смета: Электрочасофикация</v>
      </c>
      <c r="B10" s="73"/>
      <c r="C10" s="73"/>
      <c r="D10" s="73"/>
      <c r="E10" s="73"/>
      <c r="F10" s="73"/>
      <c r="G10" s="73"/>
      <c r="H10" s="73"/>
    </row>
    <row r="11" spans="1:8" ht="16.5" x14ac:dyDescent="0.25">
      <c r="A11" s="73" t="str">
        <f>CONCATENATE("Раздел: ", Source!G24)</f>
        <v>Раздел: Оборудование</v>
      </c>
      <c r="B11" s="73"/>
      <c r="C11" s="73"/>
      <c r="D11" s="73"/>
      <c r="E11" s="73"/>
      <c r="F11" s="73"/>
      <c r="G11" s="73"/>
      <c r="H11" s="73"/>
    </row>
    <row r="12" spans="1:8" ht="28.5" x14ac:dyDescent="0.2">
      <c r="A12" s="35">
        <v>1</v>
      </c>
      <c r="B12" s="35" t="str">
        <f>Source!E28</f>
        <v>1</v>
      </c>
      <c r="C12" s="76" t="str">
        <f>Source!G28</f>
        <v>Электрочасы первичные, часы первичные электрические показывающие кварцевые типа ПКЧЗ-2-РИ-Р24-Р6-1</v>
      </c>
      <c r="D12" s="35" t="s">
        <v>21</v>
      </c>
      <c r="E12" s="77">
        <f>Source!I28</f>
        <v>1</v>
      </c>
      <c r="F12" s="35" t="str">
        <f>Source!U24</f>
        <v/>
      </c>
      <c r="G12" s="35">
        <f>Source!I28</f>
        <v>1</v>
      </c>
      <c r="H12" s="76"/>
    </row>
    <row r="13" spans="1:8" ht="14.25" x14ac:dyDescent="0.2">
      <c r="A13" s="35">
        <v>2</v>
      </c>
      <c r="B13" s="35" t="str">
        <f>Source!E30</f>
        <v>2</v>
      </c>
      <c r="C13" s="76" t="str">
        <f>Source!G30</f>
        <v>Часовая станция "Первичные часы" ПИК-2М-4002</v>
      </c>
      <c r="D13" s="35" t="s">
        <v>32</v>
      </c>
      <c r="E13" s="77">
        <f>Source!I30</f>
        <v>1</v>
      </c>
      <c r="F13" s="35" t="str">
        <f>Source!U24</f>
        <v/>
      </c>
      <c r="G13" s="35">
        <f>Source!I30</f>
        <v>1</v>
      </c>
      <c r="H13" s="76"/>
    </row>
    <row r="14" spans="1:8" ht="28.5" x14ac:dyDescent="0.2">
      <c r="A14" s="35">
        <v>3</v>
      </c>
      <c r="B14" s="35" t="str">
        <f>Source!E32</f>
        <v>3</v>
      </c>
      <c r="C14" s="76" t="str">
        <f>Source!G32</f>
        <v>Электрочасы вторичные для помещений, электрочасы односторонние на стене</v>
      </c>
      <c r="D14" s="35" t="s">
        <v>21</v>
      </c>
      <c r="E14" s="77">
        <f>Source!I32</f>
        <v>2</v>
      </c>
      <c r="F14" s="35" t="str">
        <f>Source!U24</f>
        <v/>
      </c>
      <c r="G14" s="35">
        <f>Source!I32</f>
        <v>2</v>
      </c>
      <c r="H14" s="76"/>
    </row>
    <row r="15" spans="1:8" ht="14.25" x14ac:dyDescent="0.2">
      <c r="A15" s="35">
        <v>4</v>
      </c>
      <c r="B15" s="35" t="str">
        <f>Source!E34</f>
        <v>4</v>
      </c>
      <c r="C15" s="76" t="str">
        <f>Source!G34</f>
        <v>Часы электрические вторичные стрелочные, типа ВЧ03/03</v>
      </c>
      <c r="D15" s="35" t="s">
        <v>45</v>
      </c>
      <c r="E15" s="77">
        <f>Source!I34</f>
        <v>2</v>
      </c>
      <c r="F15" s="35" t="str">
        <f>Source!U24</f>
        <v/>
      </c>
      <c r="G15" s="35">
        <f>Source!I34</f>
        <v>2</v>
      </c>
      <c r="H15" s="76"/>
    </row>
    <row r="16" spans="1:8" ht="16.5" x14ac:dyDescent="0.25">
      <c r="A16" s="73" t="str">
        <f>CONCATENATE("Раздел: ", Source!G67)</f>
        <v>Раздел: Кабельные изделия</v>
      </c>
      <c r="B16" s="73"/>
      <c r="C16" s="73"/>
      <c r="D16" s="73"/>
      <c r="E16" s="73"/>
      <c r="F16" s="73"/>
      <c r="G16" s="73"/>
      <c r="H16" s="73"/>
    </row>
    <row r="17" spans="1:8" ht="28.5" x14ac:dyDescent="0.2">
      <c r="A17" s="35">
        <v>5</v>
      </c>
      <c r="B17" s="35" t="str">
        <f>Source!E71</f>
        <v>5</v>
      </c>
      <c r="C17" s="76" t="str">
        <f>Source!G71</f>
        <v>Прокладка кабеля связи огнестойкого в трубах гофрированных с использованием скобы СМО: по бетонным поверхностям</v>
      </c>
      <c r="D17" s="35" t="s">
        <v>104</v>
      </c>
      <c r="E17" s="77">
        <f>Source!I71</f>
        <v>0.5</v>
      </c>
      <c r="F17" s="35" t="str">
        <f>Source!U67</f>
        <v/>
      </c>
      <c r="G17" s="35" t="str">
        <f>"=50/"&amp;"100"</f>
        <v>=50/100</v>
      </c>
      <c r="H17" s="76"/>
    </row>
    <row r="18" spans="1:8" ht="28.5" x14ac:dyDescent="0.2">
      <c r="A18" s="35">
        <v>6</v>
      </c>
      <c r="B18" s="35" t="str">
        <f>Source!E79</f>
        <v>6</v>
      </c>
      <c r="C18" s="76" t="str">
        <f>Source!G79</f>
        <v>Прокладка кабельного изделия по установленным конструкциям и лоткам, при массе 1 м кабельного изделия до 0,5 кг на высоте до 5 м</v>
      </c>
      <c r="D18" s="35" t="s">
        <v>104</v>
      </c>
      <c r="E18" s="77">
        <f>Source!I79</f>
        <v>0.5</v>
      </c>
      <c r="F18" s="35" t="str">
        <f>Source!U67</f>
        <v/>
      </c>
      <c r="G18" s="35" t="str">
        <f>"=50/"&amp;"100"</f>
        <v>=50/100</v>
      </c>
      <c r="H18" s="76"/>
    </row>
    <row r="19" spans="1:8" ht="14.25" x14ac:dyDescent="0.2">
      <c r="A19" s="34">
        <v>7</v>
      </c>
      <c r="B19" s="34" t="str">
        <f>Source!E81</f>
        <v>7</v>
      </c>
      <c r="C19" s="74" t="str">
        <f>Source!G81</f>
        <v>Кабель КПСВВнг(А)-LSLTx 1x2x1,0</v>
      </c>
      <c r="D19" s="34" t="s">
        <v>130</v>
      </c>
      <c r="E19" s="75">
        <f>Source!I81</f>
        <v>0.10199999999999999</v>
      </c>
      <c r="F19" s="34" t="str">
        <f>Source!U67</f>
        <v/>
      </c>
      <c r="G19" s="34" t="str">
        <f>"=0,1*"&amp;"1,02"</f>
        <v>=0,1*1,02</v>
      </c>
      <c r="H19" s="74"/>
    </row>
    <row r="22" spans="1:8" ht="15" x14ac:dyDescent="0.25">
      <c r="C22" s="78" t="s">
        <v>257</v>
      </c>
      <c r="D22" s="78" t="str">
        <f>IF(Source!X12&lt;&gt;"", Source!X12," ")</f>
        <v xml:space="preserve"> </v>
      </c>
      <c r="E22" s="79"/>
    </row>
    <row r="23" spans="1:8" ht="15" x14ac:dyDescent="0.25">
      <c r="C23" s="16"/>
      <c r="D23" s="79"/>
      <c r="E23" s="79"/>
    </row>
    <row r="24" spans="1:8" ht="15" x14ac:dyDescent="0.25">
      <c r="C24" s="80" t="s">
        <v>258</v>
      </c>
      <c r="D24" s="80" t="str">
        <f>IF(Source!AB12&lt;&gt;"", Source!AB12," ")</f>
        <v>Соколова И.Н.</v>
      </c>
      <c r="E24" s="79"/>
    </row>
  </sheetData>
  <mergeCells count="5">
    <mergeCell ref="B4:E4"/>
    <mergeCell ref="B5:E5"/>
    <mergeCell ref="A10:H10"/>
    <mergeCell ref="A11:H11"/>
    <mergeCell ref="A16:H16"/>
  </mergeCells>
  <pageMargins left="0.4" right="0.2" top="0.2" bottom="0.4" header="0.2" footer="0.2"/>
  <pageSetup paperSize="9" scale="59" fitToHeight="0" orientation="portrait" r:id="rId1"/>
  <headerFooter>
    <oddHeader>&amp;L&amp;8</oddHeader>
    <oddFooter>&amp;R&amp;P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U191"/>
  <sheetViews>
    <sheetView workbookViewId="0">
      <selection activeCell="A187" sqref="A187:AX187"/>
    </sheetView>
  </sheetViews>
  <sheetFormatPr defaultColWidth="9.140625" defaultRowHeight="12.75" x14ac:dyDescent="0.2"/>
  <cols>
    <col min="1" max="256" width="9.140625" style="3" customWidth="1"/>
    <col min="257" max="16384" width="9.140625" style="3"/>
  </cols>
  <sheetData>
    <row r="1" spans="1:133" x14ac:dyDescent="0.2">
      <c r="A1" s="3">
        <v>0</v>
      </c>
      <c r="B1" s="3" t="s">
        <v>0</v>
      </c>
      <c r="D1" s="3" t="s">
        <v>1</v>
      </c>
      <c r="F1" s="3">
        <v>0</v>
      </c>
      <c r="G1" s="3">
        <v>0</v>
      </c>
      <c r="H1" s="3">
        <v>0</v>
      </c>
      <c r="I1" s="3" t="s">
        <v>2</v>
      </c>
      <c r="J1" s="3" t="s">
        <v>3</v>
      </c>
      <c r="K1" s="3">
        <v>1</v>
      </c>
      <c r="L1" s="3">
        <v>74563</v>
      </c>
      <c r="M1" s="3">
        <v>10</v>
      </c>
      <c r="N1" s="3">
        <v>12</v>
      </c>
      <c r="O1" s="3">
        <v>1</v>
      </c>
      <c r="P1" s="3">
        <v>0</v>
      </c>
      <c r="Q1" s="3">
        <v>0</v>
      </c>
    </row>
    <row r="4" spans="1:133" x14ac:dyDescent="0.2">
      <c r="A4" s="10">
        <v>1</v>
      </c>
      <c r="B4" s="10">
        <v>1</v>
      </c>
      <c r="C4" s="10">
        <v>-1</v>
      </c>
      <c r="D4" s="10"/>
      <c r="E4" s="10"/>
      <c r="F4" s="10"/>
      <c r="G4" s="10" t="s">
        <v>4</v>
      </c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  <c r="CN4" s="10"/>
      <c r="CO4" s="10"/>
      <c r="CP4" s="10"/>
      <c r="CQ4" s="10"/>
      <c r="CR4" s="10"/>
      <c r="CS4" s="10"/>
      <c r="CT4" s="10"/>
      <c r="CU4" s="10"/>
      <c r="CV4" s="10"/>
      <c r="CW4" s="10"/>
      <c r="CX4" s="10"/>
      <c r="CY4" s="10"/>
      <c r="CZ4" s="10"/>
      <c r="DA4" s="10"/>
      <c r="DB4" s="10"/>
      <c r="DC4" s="10"/>
      <c r="DD4" s="10"/>
      <c r="DE4" s="10"/>
      <c r="DF4" s="10"/>
      <c r="DG4" s="10"/>
      <c r="DH4" s="10"/>
      <c r="DI4" s="10"/>
      <c r="DJ4" s="10"/>
      <c r="DK4" s="10"/>
      <c r="DL4" s="10"/>
      <c r="DM4" s="10"/>
      <c r="DN4" s="10"/>
      <c r="DO4" s="10"/>
      <c r="DP4" s="10"/>
      <c r="DQ4" s="10"/>
      <c r="DR4" s="10"/>
      <c r="DS4" s="10"/>
      <c r="DT4" s="10"/>
      <c r="DU4" s="10"/>
      <c r="DV4" s="10"/>
      <c r="DW4" s="10"/>
      <c r="DX4" s="10"/>
      <c r="DY4" s="10"/>
      <c r="DZ4" s="10"/>
      <c r="EA4" s="10"/>
      <c r="EB4" s="10"/>
      <c r="EC4" s="10">
        <v>0</v>
      </c>
    </row>
    <row r="12" spans="1:133" x14ac:dyDescent="0.2">
      <c r="A12" s="10">
        <v>1</v>
      </c>
      <c r="B12" s="10">
        <v>183</v>
      </c>
      <c r="C12" s="10">
        <v>0</v>
      </c>
      <c r="D12" s="10">
        <f>ROW(A144)</f>
        <v>144</v>
      </c>
      <c r="E12" s="10">
        <v>0</v>
      </c>
      <c r="F12" s="10" t="s">
        <v>3</v>
      </c>
      <c r="G12" s="10" t="s">
        <v>5</v>
      </c>
      <c r="H12" s="10" t="s">
        <v>3</v>
      </c>
      <c r="I12" s="10">
        <v>0</v>
      </c>
      <c r="J12" s="10" t="s">
        <v>6</v>
      </c>
      <c r="K12" s="10">
        <v>0</v>
      </c>
      <c r="L12" s="10">
        <v>0</v>
      </c>
      <c r="M12" s="10">
        <v>4098</v>
      </c>
      <c r="N12" s="10"/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1</v>
      </c>
      <c r="U12" s="10" t="s">
        <v>3</v>
      </c>
      <c r="V12" s="10">
        <v>0</v>
      </c>
      <c r="W12" s="10" t="s">
        <v>3</v>
      </c>
      <c r="X12" s="10" t="s">
        <v>3</v>
      </c>
      <c r="Y12" s="10" t="s">
        <v>3</v>
      </c>
      <c r="Z12" s="10" t="s">
        <v>3</v>
      </c>
      <c r="AA12" s="10" t="s">
        <v>3</v>
      </c>
      <c r="AB12" s="10" t="s">
        <v>7</v>
      </c>
      <c r="AC12" s="10" t="s">
        <v>3</v>
      </c>
      <c r="AD12" s="10" t="s">
        <v>3</v>
      </c>
      <c r="AE12" s="10" t="s">
        <v>3</v>
      </c>
      <c r="AF12" s="10" t="s">
        <v>3</v>
      </c>
      <c r="AG12" s="10" t="s">
        <v>3</v>
      </c>
      <c r="AH12" s="10" t="s">
        <v>3</v>
      </c>
      <c r="AI12" s="10" t="s">
        <v>3</v>
      </c>
      <c r="AJ12" s="10" t="s">
        <v>3</v>
      </c>
      <c r="AK12" s="10"/>
      <c r="AL12" s="10" t="s">
        <v>3</v>
      </c>
      <c r="AM12" s="10" t="s">
        <v>3</v>
      </c>
      <c r="AN12" s="10" t="s">
        <v>3</v>
      </c>
      <c r="AO12" s="10"/>
      <c r="AP12" s="10" t="s">
        <v>3</v>
      </c>
      <c r="AQ12" s="10" t="s">
        <v>3</v>
      </c>
      <c r="AR12" s="10" t="s">
        <v>3</v>
      </c>
      <c r="AS12" s="10"/>
      <c r="AT12" s="10"/>
      <c r="AU12" s="10"/>
      <c r="AV12" s="10"/>
      <c r="AW12" s="10"/>
      <c r="AX12" s="10" t="s">
        <v>3</v>
      </c>
      <c r="AY12" s="10" t="s">
        <v>3</v>
      </c>
      <c r="AZ12" s="10" t="s">
        <v>3</v>
      </c>
      <c r="BA12" s="10"/>
      <c r="BB12" s="10">
        <v>0</v>
      </c>
      <c r="BC12" s="10"/>
      <c r="BD12" s="10"/>
      <c r="BE12" s="10"/>
      <c r="BF12" s="10"/>
      <c r="BG12" s="10"/>
      <c r="BH12" s="10" t="s">
        <v>8</v>
      </c>
      <c r="BI12" s="10" t="s">
        <v>9</v>
      </c>
      <c r="BJ12" s="10">
        <v>1</v>
      </c>
      <c r="BK12" s="10">
        <v>1</v>
      </c>
      <c r="BL12" s="10">
        <v>0</v>
      </c>
      <c r="BM12" s="10">
        <v>0</v>
      </c>
      <c r="BN12" s="10">
        <v>1</v>
      </c>
      <c r="BO12" s="10">
        <v>0</v>
      </c>
      <c r="BP12" s="10">
        <v>6</v>
      </c>
      <c r="BQ12" s="10">
        <v>2</v>
      </c>
      <c r="BR12" s="10">
        <v>1</v>
      </c>
      <c r="BS12" s="10">
        <v>1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 t="s">
        <v>3</v>
      </c>
      <c r="BZ12" s="10" t="s">
        <v>10</v>
      </c>
      <c r="CA12" s="10" t="s">
        <v>11</v>
      </c>
      <c r="CB12" s="10" t="s">
        <v>11</v>
      </c>
      <c r="CC12" s="10" t="s">
        <v>11</v>
      </c>
      <c r="CD12" s="10" t="s">
        <v>11</v>
      </c>
      <c r="CE12" s="10" t="s">
        <v>12</v>
      </c>
      <c r="CF12" s="10">
        <v>0</v>
      </c>
      <c r="CG12" s="10">
        <v>0</v>
      </c>
      <c r="CH12" s="10">
        <v>8200</v>
      </c>
      <c r="CI12" s="10" t="s">
        <v>3</v>
      </c>
      <c r="CJ12" s="10" t="s">
        <v>3</v>
      </c>
      <c r="CK12" s="10">
        <v>81</v>
      </c>
      <c r="CL12" s="10"/>
      <c r="CM12" s="10"/>
      <c r="CN12" s="10"/>
      <c r="CO12" s="10"/>
      <c r="CP12" s="10"/>
      <c r="CQ12" s="10" t="s">
        <v>13</v>
      </c>
      <c r="CR12" s="10" t="s">
        <v>14</v>
      </c>
      <c r="CS12" s="10">
        <v>41660</v>
      </c>
      <c r="CT12" s="10">
        <v>1</v>
      </c>
      <c r="CU12" s="10">
        <v>80</v>
      </c>
      <c r="CV12" s="10"/>
      <c r="CW12" s="10"/>
      <c r="CX12" s="10"/>
      <c r="CY12" s="10">
        <v>0</v>
      </c>
      <c r="CZ12" s="10" t="s">
        <v>3</v>
      </c>
      <c r="DA12" s="10" t="s">
        <v>3</v>
      </c>
      <c r="DB12" s="10"/>
      <c r="DC12" s="10"/>
      <c r="DD12" s="10"/>
      <c r="DE12" s="10"/>
      <c r="DF12" s="10"/>
      <c r="DG12" s="10"/>
      <c r="DH12" s="10"/>
      <c r="DI12" s="10"/>
      <c r="DJ12" s="10"/>
      <c r="DK12" s="10"/>
      <c r="DL12" s="10"/>
      <c r="DM12" s="10"/>
      <c r="DN12" s="10"/>
      <c r="DO12" s="10"/>
      <c r="DP12" s="10"/>
      <c r="DQ12" s="10"/>
      <c r="DR12" s="10"/>
      <c r="DS12" s="10"/>
      <c r="DT12" s="10"/>
      <c r="DU12" s="10"/>
      <c r="DV12" s="10"/>
      <c r="DW12" s="10"/>
      <c r="DX12" s="10"/>
      <c r="DY12" s="10"/>
      <c r="DZ12" s="10"/>
      <c r="EA12" s="10"/>
      <c r="EB12" s="10"/>
      <c r="EC12" s="10">
        <v>0</v>
      </c>
    </row>
    <row r="15" spans="1:133" x14ac:dyDescent="0.2">
      <c r="A15" s="10">
        <v>15</v>
      </c>
      <c r="B15" s="10">
        <v>1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  <c r="BM15" s="10"/>
      <c r="BN15" s="10"/>
      <c r="BO15" s="10"/>
      <c r="BP15" s="10"/>
      <c r="BQ15" s="10"/>
      <c r="BR15" s="10"/>
      <c r="BS15" s="10"/>
      <c r="BT15" s="10"/>
      <c r="BU15" s="10"/>
      <c r="BV15" s="10"/>
      <c r="BW15" s="10"/>
      <c r="BX15" s="10"/>
      <c r="BY15" s="10"/>
      <c r="BZ15" s="10"/>
      <c r="CA15" s="10"/>
      <c r="CB15" s="10"/>
      <c r="CC15" s="10"/>
      <c r="CD15" s="10"/>
      <c r="CE15" s="10"/>
      <c r="CF15" s="10"/>
      <c r="CG15" s="10"/>
      <c r="CH15" s="10"/>
      <c r="CI15" s="10"/>
      <c r="CJ15" s="10"/>
      <c r="CK15" s="10"/>
      <c r="CL15" s="10"/>
      <c r="CM15" s="10"/>
      <c r="CN15" s="10"/>
      <c r="CO15" s="10"/>
      <c r="CP15" s="10"/>
      <c r="CQ15" s="10"/>
      <c r="CR15" s="10"/>
      <c r="CS15" s="10"/>
      <c r="CT15" s="10"/>
      <c r="CU15" s="10"/>
      <c r="CV15" s="10"/>
      <c r="CW15" s="10"/>
      <c r="CX15" s="10"/>
      <c r="CY15" s="10"/>
      <c r="CZ15" s="10"/>
      <c r="DA15" s="10"/>
      <c r="DB15" s="10"/>
      <c r="DC15" s="10"/>
      <c r="DD15" s="10"/>
      <c r="DE15" s="10"/>
      <c r="DF15" s="10"/>
      <c r="DG15" s="10"/>
      <c r="DH15" s="10"/>
      <c r="DI15" s="10"/>
      <c r="DJ15" s="10"/>
      <c r="DK15" s="10"/>
      <c r="DL15" s="10"/>
      <c r="DM15" s="10"/>
      <c r="DN15" s="10"/>
      <c r="DO15" s="10"/>
      <c r="DP15" s="10"/>
      <c r="DQ15" s="10"/>
      <c r="DR15" s="10"/>
      <c r="DS15" s="10"/>
      <c r="DT15" s="10"/>
      <c r="DU15" s="10"/>
      <c r="DV15" s="10"/>
      <c r="DW15" s="10"/>
      <c r="DX15" s="10"/>
      <c r="DY15" s="10"/>
      <c r="DZ15" s="10"/>
      <c r="EA15" s="10"/>
      <c r="EB15" s="10"/>
      <c r="EC15" s="10"/>
    </row>
    <row r="18" spans="1:255" x14ac:dyDescent="0.2">
      <c r="A18" s="11">
        <v>52</v>
      </c>
      <c r="B18" s="11">
        <f t="shared" ref="B18:G18" si="0">B144</f>
        <v>183</v>
      </c>
      <c r="C18" s="11">
        <f t="shared" si="0"/>
        <v>1</v>
      </c>
      <c r="D18" s="11">
        <f t="shared" si="0"/>
        <v>12</v>
      </c>
      <c r="E18" s="11">
        <f t="shared" si="0"/>
        <v>0</v>
      </c>
      <c r="F18" s="11" t="str">
        <f t="shared" si="0"/>
        <v/>
      </c>
      <c r="G18" s="11" t="str">
        <f t="shared" si="0"/>
        <v>02-01-13 Электрочасофикация</v>
      </c>
      <c r="H18" s="11"/>
      <c r="I18" s="11"/>
      <c r="J18" s="11"/>
      <c r="K18" s="11"/>
      <c r="L18" s="11"/>
      <c r="M18" s="11"/>
      <c r="N18" s="11"/>
      <c r="O18" s="11">
        <f t="shared" ref="O18:AT18" si="1">O144</f>
        <v>14406.32</v>
      </c>
      <c r="P18" s="11">
        <f t="shared" si="1"/>
        <v>14092.88</v>
      </c>
      <c r="Q18" s="11">
        <f t="shared" si="1"/>
        <v>3.84</v>
      </c>
      <c r="R18" s="11">
        <f t="shared" si="1"/>
        <v>0.17</v>
      </c>
      <c r="S18" s="11">
        <f t="shared" si="1"/>
        <v>309.60000000000002</v>
      </c>
      <c r="T18" s="11">
        <f t="shared" si="1"/>
        <v>0</v>
      </c>
      <c r="U18" s="11">
        <f t="shared" si="1"/>
        <v>25.366192500000004</v>
      </c>
      <c r="V18" s="11">
        <f t="shared" si="1"/>
        <v>0</v>
      </c>
      <c r="W18" s="11">
        <f t="shared" si="1"/>
        <v>0</v>
      </c>
      <c r="X18" s="11">
        <f t="shared" si="1"/>
        <v>281.45</v>
      </c>
      <c r="Y18" s="11">
        <f t="shared" si="1"/>
        <v>144.38999999999999</v>
      </c>
      <c r="Z18" s="11">
        <f t="shared" si="1"/>
        <v>0</v>
      </c>
      <c r="AA18" s="11">
        <f t="shared" si="1"/>
        <v>0</v>
      </c>
      <c r="AB18" s="11">
        <f t="shared" si="1"/>
        <v>0</v>
      </c>
      <c r="AC18" s="11">
        <f t="shared" si="1"/>
        <v>0</v>
      </c>
      <c r="AD18" s="11">
        <f t="shared" si="1"/>
        <v>0</v>
      </c>
      <c r="AE18" s="11">
        <f t="shared" si="1"/>
        <v>0</v>
      </c>
      <c r="AF18" s="11">
        <f t="shared" si="1"/>
        <v>0</v>
      </c>
      <c r="AG18" s="11">
        <f t="shared" si="1"/>
        <v>0</v>
      </c>
      <c r="AH18" s="11">
        <f t="shared" si="1"/>
        <v>0</v>
      </c>
      <c r="AI18" s="11">
        <f t="shared" si="1"/>
        <v>0</v>
      </c>
      <c r="AJ18" s="11">
        <f t="shared" si="1"/>
        <v>0</v>
      </c>
      <c r="AK18" s="11">
        <f t="shared" si="1"/>
        <v>0</v>
      </c>
      <c r="AL18" s="11">
        <f t="shared" si="1"/>
        <v>0</v>
      </c>
      <c r="AM18" s="11">
        <f t="shared" si="1"/>
        <v>0</v>
      </c>
      <c r="AN18" s="11">
        <f t="shared" si="1"/>
        <v>0</v>
      </c>
      <c r="AO18" s="11">
        <f t="shared" si="1"/>
        <v>0</v>
      </c>
      <c r="AP18" s="11">
        <f t="shared" si="1"/>
        <v>11980.11</v>
      </c>
      <c r="AQ18" s="11">
        <f t="shared" si="1"/>
        <v>0</v>
      </c>
      <c r="AR18" s="11">
        <f t="shared" si="1"/>
        <v>14832.16</v>
      </c>
      <c r="AS18" s="11">
        <f t="shared" si="1"/>
        <v>0</v>
      </c>
      <c r="AT18" s="11">
        <f t="shared" si="1"/>
        <v>2852.05</v>
      </c>
      <c r="AU18" s="11">
        <f t="shared" ref="AU18:BZ18" si="2">AU144</f>
        <v>0</v>
      </c>
      <c r="AV18" s="11">
        <f t="shared" si="2"/>
        <v>14092.88</v>
      </c>
      <c r="AW18" s="11">
        <f t="shared" si="2"/>
        <v>2112.77</v>
      </c>
      <c r="AX18" s="11">
        <f t="shared" si="2"/>
        <v>0</v>
      </c>
      <c r="AY18" s="11">
        <f t="shared" si="2"/>
        <v>2112.77</v>
      </c>
      <c r="AZ18" s="11">
        <f t="shared" si="2"/>
        <v>11980.11</v>
      </c>
      <c r="BA18" s="11">
        <f t="shared" si="2"/>
        <v>0</v>
      </c>
      <c r="BB18" s="11">
        <f t="shared" si="2"/>
        <v>0</v>
      </c>
      <c r="BC18" s="11">
        <f t="shared" si="2"/>
        <v>0</v>
      </c>
      <c r="BD18" s="11">
        <f t="shared" si="2"/>
        <v>0</v>
      </c>
      <c r="BE18" s="11">
        <f t="shared" si="2"/>
        <v>0</v>
      </c>
      <c r="BF18" s="11">
        <f t="shared" si="2"/>
        <v>0</v>
      </c>
      <c r="BG18" s="11">
        <f t="shared" si="2"/>
        <v>0</v>
      </c>
      <c r="BH18" s="11">
        <f t="shared" si="2"/>
        <v>0</v>
      </c>
      <c r="BI18" s="11">
        <f t="shared" si="2"/>
        <v>0</v>
      </c>
      <c r="BJ18" s="11">
        <f t="shared" si="2"/>
        <v>0</v>
      </c>
      <c r="BK18" s="11">
        <f t="shared" si="2"/>
        <v>0</v>
      </c>
      <c r="BL18" s="11">
        <f t="shared" si="2"/>
        <v>0</v>
      </c>
      <c r="BM18" s="11">
        <f t="shared" si="2"/>
        <v>0</v>
      </c>
      <c r="BN18" s="11">
        <f t="shared" si="2"/>
        <v>0</v>
      </c>
      <c r="BO18" s="11">
        <f t="shared" si="2"/>
        <v>0</v>
      </c>
      <c r="BP18" s="11">
        <f t="shared" si="2"/>
        <v>0</v>
      </c>
      <c r="BQ18" s="11">
        <f t="shared" si="2"/>
        <v>0</v>
      </c>
      <c r="BR18" s="11">
        <f t="shared" si="2"/>
        <v>0</v>
      </c>
      <c r="BS18" s="11">
        <f t="shared" si="2"/>
        <v>0</v>
      </c>
      <c r="BT18" s="11">
        <f t="shared" si="2"/>
        <v>0</v>
      </c>
      <c r="BU18" s="11">
        <f t="shared" si="2"/>
        <v>0</v>
      </c>
      <c r="BV18" s="11">
        <f t="shared" si="2"/>
        <v>0</v>
      </c>
      <c r="BW18" s="11">
        <f t="shared" si="2"/>
        <v>0</v>
      </c>
      <c r="BX18" s="11">
        <f t="shared" si="2"/>
        <v>0</v>
      </c>
      <c r="BY18" s="11">
        <f t="shared" si="2"/>
        <v>0</v>
      </c>
      <c r="BZ18" s="11">
        <f t="shared" si="2"/>
        <v>0</v>
      </c>
      <c r="CA18" s="11">
        <f t="shared" ref="CA18:DF18" si="3">CA144</f>
        <v>0</v>
      </c>
      <c r="CB18" s="11">
        <f t="shared" si="3"/>
        <v>0</v>
      </c>
      <c r="CC18" s="11">
        <f t="shared" si="3"/>
        <v>0</v>
      </c>
      <c r="CD18" s="11">
        <f t="shared" si="3"/>
        <v>0</v>
      </c>
      <c r="CE18" s="11">
        <f t="shared" si="3"/>
        <v>0</v>
      </c>
      <c r="CF18" s="11">
        <f t="shared" si="3"/>
        <v>0</v>
      </c>
      <c r="CG18" s="11">
        <f t="shared" si="3"/>
        <v>0</v>
      </c>
      <c r="CH18" s="11">
        <f t="shared" si="3"/>
        <v>0</v>
      </c>
      <c r="CI18" s="11">
        <f t="shared" si="3"/>
        <v>0</v>
      </c>
      <c r="CJ18" s="11">
        <f t="shared" si="3"/>
        <v>0</v>
      </c>
      <c r="CK18" s="11">
        <f t="shared" si="3"/>
        <v>0</v>
      </c>
      <c r="CL18" s="11">
        <f t="shared" si="3"/>
        <v>0</v>
      </c>
      <c r="CM18" s="11">
        <f t="shared" si="3"/>
        <v>0</v>
      </c>
      <c r="CN18" s="11">
        <f t="shared" si="3"/>
        <v>0</v>
      </c>
      <c r="CO18" s="11">
        <f t="shared" si="3"/>
        <v>0</v>
      </c>
      <c r="CP18" s="11">
        <f t="shared" si="3"/>
        <v>0</v>
      </c>
      <c r="CQ18" s="11">
        <f t="shared" si="3"/>
        <v>0</v>
      </c>
      <c r="CR18" s="11">
        <f t="shared" si="3"/>
        <v>0</v>
      </c>
      <c r="CS18" s="11">
        <f t="shared" si="3"/>
        <v>0</v>
      </c>
      <c r="CT18" s="11">
        <f t="shared" si="3"/>
        <v>0</v>
      </c>
      <c r="CU18" s="11">
        <f t="shared" si="3"/>
        <v>0</v>
      </c>
      <c r="CV18" s="11">
        <f t="shared" si="3"/>
        <v>0</v>
      </c>
      <c r="CW18" s="11">
        <f t="shared" si="3"/>
        <v>0</v>
      </c>
      <c r="CX18" s="11">
        <f t="shared" si="3"/>
        <v>0</v>
      </c>
      <c r="CY18" s="11">
        <f t="shared" si="3"/>
        <v>0</v>
      </c>
      <c r="CZ18" s="11">
        <f t="shared" si="3"/>
        <v>0</v>
      </c>
      <c r="DA18" s="11">
        <f t="shared" si="3"/>
        <v>0</v>
      </c>
      <c r="DB18" s="11">
        <f t="shared" si="3"/>
        <v>0</v>
      </c>
      <c r="DC18" s="11">
        <f t="shared" si="3"/>
        <v>0</v>
      </c>
      <c r="DD18" s="11">
        <f t="shared" si="3"/>
        <v>0</v>
      </c>
      <c r="DE18" s="11">
        <f t="shared" si="3"/>
        <v>0</v>
      </c>
      <c r="DF18" s="11">
        <f t="shared" si="3"/>
        <v>0</v>
      </c>
      <c r="DG18" s="12">
        <f t="shared" ref="DG18:EL18" si="4">DG144</f>
        <v>117234.64</v>
      </c>
      <c r="DH18" s="12">
        <f t="shared" si="4"/>
        <v>100167.42</v>
      </c>
      <c r="DI18" s="12">
        <f t="shared" si="4"/>
        <v>42.32</v>
      </c>
      <c r="DJ18" s="12">
        <f t="shared" si="4"/>
        <v>9.35</v>
      </c>
      <c r="DK18" s="12">
        <f t="shared" si="4"/>
        <v>17024.900000000001</v>
      </c>
      <c r="DL18" s="12">
        <f t="shared" si="4"/>
        <v>0</v>
      </c>
      <c r="DM18" s="12">
        <f t="shared" si="4"/>
        <v>25.366192500000004</v>
      </c>
      <c r="DN18" s="12">
        <f t="shared" si="4"/>
        <v>0</v>
      </c>
      <c r="DO18" s="12">
        <f t="shared" si="4"/>
        <v>0</v>
      </c>
      <c r="DP18" s="12">
        <f t="shared" si="4"/>
        <v>15476.91</v>
      </c>
      <c r="DQ18" s="12">
        <f t="shared" si="4"/>
        <v>7940.09</v>
      </c>
      <c r="DR18" s="12">
        <f t="shared" si="4"/>
        <v>0</v>
      </c>
      <c r="DS18" s="12">
        <f t="shared" si="4"/>
        <v>0</v>
      </c>
      <c r="DT18" s="12">
        <f t="shared" si="4"/>
        <v>0</v>
      </c>
      <c r="DU18" s="12">
        <f t="shared" si="4"/>
        <v>0</v>
      </c>
      <c r="DV18" s="12">
        <f t="shared" si="4"/>
        <v>0</v>
      </c>
      <c r="DW18" s="12">
        <f t="shared" si="4"/>
        <v>0</v>
      </c>
      <c r="DX18" s="12">
        <f t="shared" si="4"/>
        <v>0</v>
      </c>
      <c r="DY18" s="12">
        <f t="shared" si="4"/>
        <v>0</v>
      </c>
      <c r="DZ18" s="12">
        <f t="shared" si="4"/>
        <v>0</v>
      </c>
      <c r="EA18" s="12">
        <f t="shared" si="4"/>
        <v>0</v>
      </c>
      <c r="EB18" s="12">
        <f t="shared" si="4"/>
        <v>0</v>
      </c>
      <c r="EC18" s="12">
        <f t="shared" si="4"/>
        <v>0</v>
      </c>
      <c r="ED18" s="12">
        <f t="shared" si="4"/>
        <v>0</v>
      </c>
      <c r="EE18" s="12">
        <f t="shared" si="4"/>
        <v>0</v>
      </c>
      <c r="EF18" s="12">
        <f t="shared" si="4"/>
        <v>0</v>
      </c>
      <c r="EG18" s="12">
        <f t="shared" si="4"/>
        <v>0</v>
      </c>
      <c r="EH18" s="12">
        <f t="shared" si="4"/>
        <v>88172.94</v>
      </c>
      <c r="EI18" s="12">
        <f t="shared" si="4"/>
        <v>0</v>
      </c>
      <c r="EJ18" s="12">
        <f t="shared" si="4"/>
        <v>140651.64000000001</v>
      </c>
      <c r="EK18" s="12">
        <f t="shared" si="4"/>
        <v>0</v>
      </c>
      <c r="EL18" s="12">
        <f t="shared" si="4"/>
        <v>52478.7</v>
      </c>
      <c r="EM18" s="12">
        <f t="shared" ref="EM18:FR18" si="5">EM144</f>
        <v>0</v>
      </c>
      <c r="EN18" s="12">
        <f t="shared" si="5"/>
        <v>100167.42</v>
      </c>
      <c r="EO18" s="12">
        <f t="shared" si="5"/>
        <v>11994.48</v>
      </c>
      <c r="EP18" s="12">
        <f t="shared" si="5"/>
        <v>0</v>
      </c>
      <c r="EQ18" s="12">
        <f t="shared" si="5"/>
        <v>11994.48</v>
      </c>
      <c r="ER18" s="12">
        <f t="shared" si="5"/>
        <v>88172.94</v>
      </c>
      <c r="ES18" s="12">
        <f t="shared" si="5"/>
        <v>0</v>
      </c>
      <c r="ET18" s="12">
        <f t="shared" si="5"/>
        <v>0</v>
      </c>
      <c r="EU18" s="12">
        <f t="shared" si="5"/>
        <v>0</v>
      </c>
      <c r="EV18" s="12">
        <f t="shared" si="5"/>
        <v>0</v>
      </c>
      <c r="EW18" s="12">
        <f t="shared" si="5"/>
        <v>0</v>
      </c>
      <c r="EX18" s="12">
        <f t="shared" si="5"/>
        <v>0</v>
      </c>
      <c r="EY18" s="12">
        <f t="shared" si="5"/>
        <v>0</v>
      </c>
      <c r="EZ18" s="12">
        <f t="shared" si="5"/>
        <v>0</v>
      </c>
      <c r="FA18" s="12">
        <f t="shared" si="5"/>
        <v>0</v>
      </c>
      <c r="FB18" s="12">
        <f t="shared" si="5"/>
        <v>0</v>
      </c>
      <c r="FC18" s="12">
        <f t="shared" si="5"/>
        <v>0</v>
      </c>
      <c r="FD18" s="12">
        <f t="shared" si="5"/>
        <v>0</v>
      </c>
      <c r="FE18" s="12">
        <f t="shared" si="5"/>
        <v>0</v>
      </c>
      <c r="FF18" s="12">
        <f t="shared" si="5"/>
        <v>0</v>
      </c>
      <c r="FG18" s="12">
        <f t="shared" si="5"/>
        <v>0</v>
      </c>
      <c r="FH18" s="12">
        <f t="shared" si="5"/>
        <v>0</v>
      </c>
      <c r="FI18" s="12">
        <f t="shared" si="5"/>
        <v>0</v>
      </c>
      <c r="FJ18" s="12">
        <f t="shared" si="5"/>
        <v>0</v>
      </c>
      <c r="FK18" s="12">
        <f t="shared" si="5"/>
        <v>0</v>
      </c>
      <c r="FL18" s="12">
        <f t="shared" si="5"/>
        <v>0</v>
      </c>
      <c r="FM18" s="12">
        <f t="shared" si="5"/>
        <v>0</v>
      </c>
      <c r="FN18" s="12">
        <f t="shared" si="5"/>
        <v>0</v>
      </c>
      <c r="FO18" s="12">
        <f t="shared" si="5"/>
        <v>0</v>
      </c>
      <c r="FP18" s="12">
        <f t="shared" si="5"/>
        <v>0</v>
      </c>
      <c r="FQ18" s="12">
        <f t="shared" si="5"/>
        <v>0</v>
      </c>
      <c r="FR18" s="12">
        <f t="shared" si="5"/>
        <v>0</v>
      </c>
      <c r="FS18" s="12">
        <f t="shared" ref="FS18:GX18" si="6">FS144</f>
        <v>0</v>
      </c>
      <c r="FT18" s="12">
        <f t="shared" si="6"/>
        <v>0</v>
      </c>
      <c r="FU18" s="12">
        <f t="shared" si="6"/>
        <v>0</v>
      </c>
      <c r="FV18" s="12">
        <f t="shared" si="6"/>
        <v>0</v>
      </c>
      <c r="FW18" s="12">
        <f t="shared" si="6"/>
        <v>0</v>
      </c>
      <c r="FX18" s="12">
        <f t="shared" si="6"/>
        <v>0</v>
      </c>
      <c r="FY18" s="12">
        <f t="shared" si="6"/>
        <v>0</v>
      </c>
      <c r="FZ18" s="12">
        <f t="shared" si="6"/>
        <v>0</v>
      </c>
      <c r="GA18" s="12">
        <f t="shared" si="6"/>
        <v>0</v>
      </c>
      <c r="GB18" s="12">
        <f t="shared" si="6"/>
        <v>0</v>
      </c>
      <c r="GC18" s="12">
        <f t="shared" si="6"/>
        <v>0</v>
      </c>
      <c r="GD18" s="12">
        <f t="shared" si="6"/>
        <v>0</v>
      </c>
      <c r="GE18" s="12">
        <f t="shared" si="6"/>
        <v>0</v>
      </c>
      <c r="GF18" s="12">
        <f t="shared" si="6"/>
        <v>0</v>
      </c>
      <c r="GG18" s="12">
        <f t="shared" si="6"/>
        <v>0</v>
      </c>
      <c r="GH18" s="12">
        <f t="shared" si="6"/>
        <v>0</v>
      </c>
      <c r="GI18" s="12">
        <f t="shared" si="6"/>
        <v>0</v>
      </c>
      <c r="GJ18" s="12">
        <f t="shared" si="6"/>
        <v>0</v>
      </c>
      <c r="GK18" s="12">
        <f t="shared" si="6"/>
        <v>0</v>
      </c>
      <c r="GL18" s="12">
        <f t="shared" si="6"/>
        <v>0</v>
      </c>
      <c r="GM18" s="12">
        <f t="shared" si="6"/>
        <v>0</v>
      </c>
      <c r="GN18" s="12">
        <f t="shared" si="6"/>
        <v>0</v>
      </c>
      <c r="GO18" s="12">
        <f t="shared" si="6"/>
        <v>0</v>
      </c>
      <c r="GP18" s="12">
        <f t="shared" si="6"/>
        <v>0</v>
      </c>
      <c r="GQ18" s="12">
        <f t="shared" si="6"/>
        <v>0</v>
      </c>
      <c r="GR18" s="12">
        <f t="shared" si="6"/>
        <v>0</v>
      </c>
      <c r="GS18" s="12">
        <f t="shared" si="6"/>
        <v>0</v>
      </c>
      <c r="GT18" s="12">
        <f t="shared" si="6"/>
        <v>0</v>
      </c>
      <c r="GU18" s="12">
        <f t="shared" si="6"/>
        <v>0</v>
      </c>
      <c r="GV18" s="12">
        <f t="shared" si="6"/>
        <v>0</v>
      </c>
      <c r="GW18" s="12">
        <f t="shared" si="6"/>
        <v>0</v>
      </c>
      <c r="GX18" s="12">
        <f t="shared" si="6"/>
        <v>0</v>
      </c>
    </row>
    <row r="20" spans="1:255" x14ac:dyDescent="0.2">
      <c r="A20" s="10">
        <v>3</v>
      </c>
      <c r="B20" s="10">
        <v>1</v>
      </c>
      <c r="C20" s="10"/>
      <c r="D20" s="10">
        <f>ROW(A114)</f>
        <v>114</v>
      </c>
      <c r="E20" s="10"/>
      <c r="F20" s="10" t="s">
        <v>15</v>
      </c>
      <c r="G20" s="10" t="s">
        <v>16</v>
      </c>
      <c r="H20" s="10" t="s">
        <v>3</v>
      </c>
      <c r="I20" s="10">
        <v>0</v>
      </c>
      <c r="J20" s="10" t="s">
        <v>6</v>
      </c>
      <c r="K20" s="10">
        <v>-1</v>
      </c>
      <c r="L20" s="10" t="s">
        <v>15</v>
      </c>
      <c r="M20" s="10" t="s">
        <v>3</v>
      </c>
      <c r="N20" s="10"/>
      <c r="O20" s="10"/>
      <c r="P20" s="10"/>
      <c r="Q20" s="10"/>
      <c r="R20" s="10"/>
      <c r="S20" s="10">
        <v>0</v>
      </c>
      <c r="T20" s="10">
        <v>0</v>
      </c>
      <c r="U20" s="10" t="s">
        <v>3</v>
      </c>
      <c r="V20" s="10">
        <v>2</v>
      </c>
      <c r="W20" s="10"/>
      <c r="X20" s="10"/>
      <c r="Y20" s="10"/>
      <c r="Z20" s="10"/>
      <c r="AA20" s="10"/>
      <c r="AB20" s="10" t="s">
        <v>3</v>
      </c>
      <c r="AC20" s="10" t="s">
        <v>3</v>
      </c>
      <c r="AD20" s="10" t="s">
        <v>3</v>
      </c>
      <c r="AE20" s="10" t="s">
        <v>3</v>
      </c>
      <c r="AF20" s="10" t="s">
        <v>3</v>
      </c>
      <c r="AG20" s="10" t="s">
        <v>3</v>
      </c>
      <c r="AH20" s="10"/>
      <c r="AI20" s="10"/>
      <c r="AJ20" s="10"/>
      <c r="AK20" s="10"/>
      <c r="AL20" s="10"/>
      <c r="AM20" s="10"/>
      <c r="AN20" s="10"/>
      <c r="AO20" s="10"/>
      <c r="AP20" s="10" t="s">
        <v>3</v>
      </c>
      <c r="AQ20" s="10" t="s">
        <v>3</v>
      </c>
      <c r="AR20" s="10" t="s">
        <v>3</v>
      </c>
      <c r="AS20" s="10"/>
      <c r="AT20" s="10"/>
      <c r="AU20" s="10"/>
      <c r="AV20" s="10"/>
      <c r="AW20" s="10"/>
      <c r="AX20" s="10"/>
      <c r="AY20" s="10"/>
      <c r="AZ20" s="10" t="s">
        <v>3</v>
      </c>
      <c r="BA20" s="10"/>
      <c r="BB20" s="10" t="s">
        <v>3</v>
      </c>
      <c r="BC20" s="10" t="s">
        <v>3</v>
      </c>
      <c r="BD20" s="10" t="s">
        <v>3</v>
      </c>
      <c r="BE20" s="10" t="s">
        <v>3</v>
      </c>
      <c r="BF20" s="10" t="s">
        <v>3</v>
      </c>
      <c r="BG20" s="10" t="s">
        <v>3</v>
      </c>
      <c r="BH20" s="10" t="s">
        <v>3</v>
      </c>
      <c r="BI20" s="10" t="s">
        <v>3</v>
      </c>
      <c r="BJ20" s="10" t="s">
        <v>3</v>
      </c>
      <c r="BK20" s="10" t="s">
        <v>3</v>
      </c>
      <c r="BL20" s="10" t="s">
        <v>3</v>
      </c>
      <c r="BM20" s="10" t="s">
        <v>3</v>
      </c>
      <c r="BN20" s="10" t="s">
        <v>3</v>
      </c>
      <c r="BO20" s="10" t="s">
        <v>3</v>
      </c>
      <c r="BP20" s="10" t="s">
        <v>3</v>
      </c>
      <c r="BQ20" s="10"/>
      <c r="BR20" s="10"/>
      <c r="BS20" s="10"/>
      <c r="BT20" s="10"/>
      <c r="BU20" s="10"/>
      <c r="BV20" s="10"/>
      <c r="BW20" s="10"/>
      <c r="BX20" s="10">
        <v>0</v>
      </c>
      <c r="BY20" s="10"/>
      <c r="BZ20" s="10"/>
      <c r="CA20" s="10"/>
      <c r="CB20" s="10"/>
      <c r="CC20" s="10"/>
      <c r="CD20" s="10"/>
      <c r="CE20" s="10"/>
      <c r="CF20" s="10">
        <v>0</v>
      </c>
      <c r="CG20" s="10">
        <v>0</v>
      </c>
      <c r="CH20" s="10"/>
      <c r="CI20" s="10" t="s">
        <v>3</v>
      </c>
      <c r="CJ20" s="10" t="s">
        <v>3</v>
      </c>
      <c r="CK20" s="3" t="s">
        <v>3</v>
      </c>
      <c r="CL20" s="3" t="s">
        <v>3</v>
      </c>
      <c r="CM20" s="3" t="s">
        <v>3</v>
      </c>
      <c r="CN20" s="3" t="s">
        <v>3</v>
      </c>
      <c r="CO20" s="3" t="s">
        <v>3</v>
      </c>
      <c r="CP20" s="3" t="s">
        <v>3</v>
      </c>
      <c r="CQ20" s="3" t="s">
        <v>3</v>
      </c>
    </row>
    <row r="22" spans="1:255" x14ac:dyDescent="0.2">
      <c r="A22" s="11">
        <v>52</v>
      </c>
      <c r="B22" s="11">
        <f t="shared" ref="B22:G22" si="7">B114</f>
        <v>1</v>
      </c>
      <c r="C22" s="11">
        <f t="shared" si="7"/>
        <v>3</v>
      </c>
      <c r="D22" s="11">
        <f t="shared" si="7"/>
        <v>20</v>
      </c>
      <c r="E22" s="11">
        <f t="shared" si="7"/>
        <v>0</v>
      </c>
      <c r="F22" s="11" t="str">
        <f t="shared" si="7"/>
        <v>02-01-13</v>
      </c>
      <c r="G22" s="11" t="str">
        <f t="shared" si="7"/>
        <v>Электрочасофикация</v>
      </c>
      <c r="H22" s="11"/>
      <c r="I22" s="11"/>
      <c r="J22" s="11"/>
      <c r="K22" s="11"/>
      <c r="L22" s="11"/>
      <c r="M22" s="11"/>
      <c r="N22" s="11"/>
      <c r="O22" s="11">
        <f t="shared" ref="O22:AT22" si="8">O114</f>
        <v>14406.32</v>
      </c>
      <c r="P22" s="11">
        <f t="shared" si="8"/>
        <v>14092.88</v>
      </c>
      <c r="Q22" s="11">
        <f t="shared" si="8"/>
        <v>3.84</v>
      </c>
      <c r="R22" s="11">
        <f t="shared" si="8"/>
        <v>0.17</v>
      </c>
      <c r="S22" s="11">
        <f t="shared" si="8"/>
        <v>309.60000000000002</v>
      </c>
      <c r="T22" s="11">
        <f t="shared" si="8"/>
        <v>0</v>
      </c>
      <c r="U22" s="11">
        <f t="shared" si="8"/>
        <v>25.366192500000004</v>
      </c>
      <c r="V22" s="11">
        <f t="shared" si="8"/>
        <v>0</v>
      </c>
      <c r="W22" s="11">
        <f t="shared" si="8"/>
        <v>0</v>
      </c>
      <c r="X22" s="11">
        <f t="shared" si="8"/>
        <v>281.45</v>
      </c>
      <c r="Y22" s="11">
        <f t="shared" si="8"/>
        <v>144.38999999999999</v>
      </c>
      <c r="Z22" s="11">
        <f t="shared" si="8"/>
        <v>0</v>
      </c>
      <c r="AA22" s="11">
        <f t="shared" si="8"/>
        <v>0</v>
      </c>
      <c r="AB22" s="11">
        <f t="shared" si="8"/>
        <v>0</v>
      </c>
      <c r="AC22" s="11">
        <f t="shared" si="8"/>
        <v>0</v>
      </c>
      <c r="AD22" s="11">
        <f t="shared" si="8"/>
        <v>0</v>
      </c>
      <c r="AE22" s="11">
        <f t="shared" si="8"/>
        <v>0</v>
      </c>
      <c r="AF22" s="11">
        <f t="shared" si="8"/>
        <v>0</v>
      </c>
      <c r="AG22" s="11">
        <f t="shared" si="8"/>
        <v>0</v>
      </c>
      <c r="AH22" s="11">
        <f t="shared" si="8"/>
        <v>0</v>
      </c>
      <c r="AI22" s="11">
        <f t="shared" si="8"/>
        <v>0</v>
      </c>
      <c r="AJ22" s="11">
        <f t="shared" si="8"/>
        <v>0</v>
      </c>
      <c r="AK22" s="11">
        <f t="shared" si="8"/>
        <v>0</v>
      </c>
      <c r="AL22" s="11">
        <f t="shared" si="8"/>
        <v>0</v>
      </c>
      <c r="AM22" s="11">
        <f t="shared" si="8"/>
        <v>0</v>
      </c>
      <c r="AN22" s="11">
        <f t="shared" si="8"/>
        <v>0</v>
      </c>
      <c r="AO22" s="11">
        <f t="shared" si="8"/>
        <v>0</v>
      </c>
      <c r="AP22" s="11">
        <f t="shared" si="8"/>
        <v>11980.11</v>
      </c>
      <c r="AQ22" s="11">
        <f t="shared" si="8"/>
        <v>0</v>
      </c>
      <c r="AR22" s="11">
        <f t="shared" si="8"/>
        <v>14832.16</v>
      </c>
      <c r="AS22" s="11">
        <f t="shared" si="8"/>
        <v>0</v>
      </c>
      <c r="AT22" s="11">
        <f t="shared" si="8"/>
        <v>2852.05</v>
      </c>
      <c r="AU22" s="11">
        <f t="shared" ref="AU22:BZ22" si="9">AU114</f>
        <v>0</v>
      </c>
      <c r="AV22" s="11">
        <f t="shared" si="9"/>
        <v>14092.88</v>
      </c>
      <c r="AW22" s="11">
        <f t="shared" si="9"/>
        <v>2112.77</v>
      </c>
      <c r="AX22" s="11">
        <f t="shared" si="9"/>
        <v>0</v>
      </c>
      <c r="AY22" s="11">
        <f t="shared" si="9"/>
        <v>2112.77</v>
      </c>
      <c r="AZ22" s="11">
        <f t="shared" si="9"/>
        <v>11980.11</v>
      </c>
      <c r="BA22" s="11">
        <f t="shared" si="9"/>
        <v>0</v>
      </c>
      <c r="BB22" s="11">
        <f t="shared" si="9"/>
        <v>0</v>
      </c>
      <c r="BC22" s="11">
        <f t="shared" si="9"/>
        <v>0</v>
      </c>
      <c r="BD22" s="11">
        <f t="shared" si="9"/>
        <v>0</v>
      </c>
      <c r="BE22" s="11">
        <f t="shared" si="9"/>
        <v>0</v>
      </c>
      <c r="BF22" s="11">
        <f t="shared" si="9"/>
        <v>0</v>
      </c>
      <c r="BG22" s="11">
        <f t="shared" si="9"/>
        <v>0</v>
      </c>
      <c r="BH22" s="11">
        <f t="shared" si="9"/>
        <v>0</v>
      </c>
      <c r="BI22" s="11">
        <f t="shared" si="9"/>
        <v>0</v>
      </c>
      <c r="BJ22" s="11">
        <f t="shared" si="9"/>
        <v>0</v>
      </c>
      <c r="BK22" s="11">
        <f t="shared" si="9"/>
        <v>0</v>
      </c>
      <c r="BL22" s="11">
        <f t="shared" si="9"/>
        <v>0</v>
      </c>
      <c r="BM22" s="11">
        <f t="shared" si="9"/>
        <v>0</v>
      </c>
      <c r="BN22" s="11">
        <f t="shared" si="9"/>
        <v>0</v>
      </c>
      <c r="BO22" s="11">
        <f t="shared" si="9"/>
        <v>0</v>
      </c>
      <c r="BP22" s="11">
        <f t="shared" si="9"/>
        <v>0</v>
      </c>
      <c r="BQ22" s="11">
        <f t="shared" si="9"/>
        <v>0</v>
      </c>
      <c r="BR22" s="11">
        <f t="shared" si="9"/>
        <v>0</v>
      </c>
      <c r="BS22" s="11">
        <f t="shared" si="9"/>
        <v>0</v>
      </c>
      <c r="BT22" s="11">
        <f t="shared" si="9"/>
        <v>0</v>
      </c>
      <c r="BU22" s="11">
        <f t="shared" si="9"/>
        <v>0</v>
      </c>
      <c r="BV22" s="11">
        <f t="shared" si="9"/>
        <v>0</v>
      </c>
      <c r="BW22" s="11">
        <f t="shared" si="9"/>
        <v>0</v>
      </c>
      <c r="BX22" s="11">
        <f t="shared" si="9"/>
        <v>0</v>
      </c>
      <c r="BY22" s="11">
        <f t="shared" si="9"/>
        <v>0</v>
      </c>
      <c r="BZ22" s="11">
        <f t="shared" si="9"/>
        <v>0</v>
      </c>
      <c r="CA22" s="11">
        <f t="shared" ref="CA22:DF22" si="10">CA114</f>
        <v>0</v>
      </c>
      <c r="CB22" s="11">
        <f t="shared" si="10"/>
        <v>0</v>
      </c>
      <c r="CC22" s="11">
        <f t="shared" si="10"/>
        <v>0</v>
      </c>
      <c r="CD22" s="11">
        <f t="shared" si="10"/>
        <v>0</v>
      </c>
      <c r="CE22" s="11">
        <f t="shared" si="10"/>
        <v>0</v>
      </c>
      <c r="CF22" s="11">
        <f t="shared" si="10"/>
        <v>0</v>
      </c>
      <c r="CG22" s="11">
        <f t="shared" si="10"/>
        <v>0</v>
      </c>
      <c r="CH22" s="11">
        <f t="shared" si="10"/>
        <v>0</v>
      </c>
      <c r="CI22" s="11">
        <f t="shared" si="10"/>
        <v>0</v>
      </c>
      <c r="CJ22" s="11">
        <f t="shared" si="10"/>
        <v>0</v>
      </c>
      <c r="CK22" s="11">
        <f t="shared" si="10"/>
        <v>0</v>
      </c>
      <c r="CL22" s="11">
        <f t="shared" si="10"/>
        <v>0</v>
      </c>
      <c r="CM22" s="11">
        <f t="shared" si="10"/>
        <v>0</v>
      </c>
      <c r="CN22" s="11">
        <f t="shared" si="10"/>
        <v>0</v>
      </c>
      <c r="CO22" s="11">
        <f t="shared" si="10"/>
        <v>0</v>
      </c>
      <c r="CP22" s="11">
        <f t="shared" si="10"/>
        <v>0</v>
      </c>
      <c r="CQ22" s="11">
        <f t="shared" si="10"/>
        <v>0</v>
      </c>
      <c r="CR22" s="11">
        <f t="shared" si="10"/>
        <v>0</v>
      </c>
      <c r="CS22" s="11">
        <f t="shared" si="10"/>
        <v>0</v>
      </c>
      <c r="CT22" s="11">
        <f t="shared" si="10"/>
        <v>0</v>
      </c>
      <c r="CU22" s="11">
        <f t="shared" si="10"/>
        <v>0</v>
      </c>
      <c r="CV22" s="11">
        <f t="shared" si="10"/>
        <v>0</v>
      </c>
      <c r="CW22" s="11">
        <f t="shared" si="10"/>
        <v>0</v>
      </c>
      <c r="CX22" s="11">
        <f t="shared" si="10"/>
        <v>0</v>
      </c>
      <c r="CY22" s="11">
        <f t="shared" si="10"/>
        <v>0</v>
      </c>
      <c r="CZ22" s="11">
        <f t="shared" si="10"/>
        <v>0</v>
      </c>
      <c r="DA22" s="11">
        <f t="shared" si="10"/>
        <v>0</v>
      </c>
      <c r="DB22" s="11">
        <f t="shared" si="10"/>
        <v>0</v>
      </c>
      <c r="DC22" s="11">
        <f t="shared" si="10"/>
        <v>0</v>
      </c>
      <c r="DD22" s="11">
        <f t="shared" si="10"/>
        <v>0</v>
      </c>
      <c r="DE22" s="11">
        <f t="shared" si="10"/>
        <v>0</v>
      </c>
      <c r="DF22" s="11">
        <f t="shared" si="10"/>
        <v>0</v>
      </c>
      <c r="DG22" s="12">
        <f t="shared" ref="DG22:EL22" si="11">DG114</f>
        <v>117234.64</v>
      </c>
      <c r="DH22" s="12">
        <f t="shared" si="11"/>
        <v>100167.42</v>
      </c>
      <c r="DI22" s="12">
        <f t="shared" si="11"/>
        <v>42.32</v>
      </c>
      <c r="DJ22" s="12">
        <f t="shared" si="11"/>
        <v>9.35</v>
      </c>
      <c r="DK22" s="12">
        <f t="shared" si="11"/>
        <v>17024.900000000001</v>
      </c>
      <c r="DL22" s="12">
        <f t="shared" si="11"/>
        <v>0</v>
      </c>
      <c r="DM22" s="12">
        <f t="shared" si="11"/>
        <v>25.366192500000004</v>
      </c>
      <c r="DN22" s="12">
        <f t="shared" si="11"/>
        <v>0</v>
      </c>
      <c r="DO22" s="12">
        <f t="shared" si="11"/>
        <v>0</v>
      </c>
      <c r="DP22" s="12">
        <f t="shared" si="11"/>
        <v>15476.91</v>
      </c>
      <c r="DQ22" s="12">
        <f t="shared" si="11"/>
        <v>7940.09</v>
      </c>
      <c r="DR22" s="12">
        <f t="shared" si="11"/>
        <v>0</v>
      </c>
      <c r="DS22" s="12">
        <f t="shared" si="11"/>
        <v>0</v>
      </c>
      <c r="DT22" s="12">
        <f t="shared" si="11"/>
        <v>0</v>
      </c>
      <c r="DU22" s="12">
        <f t="shared" si="11"/>
        <v>0</v>
      </c>
      <c r="DV22" s="12">
        <f t="shared" si="11"/>
        <v>0</v>
      </c>
      <c r="DW22" s="12">
        <f t="shared" si="11"/>
        <v>0</v>
      </c>
      <c r="DX22" s="12">
        <f t="shared" si="11"/>
        <v>0</v>
      </c>
      <c r="DY22" s="12">
        <f t="shared" si="11"/>
        <v>0</v>
      </c>
      <c r="DZ22" s="12">
        <f t="shared" si="11"/>
        <v>0</v>
      </c>
      <c r="EA22" s="12">
        <f t="shared" si="11"/>
        <v>0</v>
      </c>
      <c r="EB22" s="12">
        <f t="shared" si="11"/>
        <v>0</v>
      </c>
      <c r="EC22" s="12">
        <f t="shared" si="11"/>
        <v>0</v>
      </c>
      <c r="ED22" s="12">
        <f t="shared" si="11"/>
        <v>0</v>
      </c>
      <c r="EE22" s="12">
        <f t="shared" si="11"/>
        <v>0</v>
      </c>
      <c r="EF22" s="12">
        <f t="shared" si="11"/>
        <v>0</v>
      </c>
      <c r="EG22" s="12">
        <f t="shared" si="11"/>
        <v>0</v>
      </c>
      <c r="EH22" s="12">
        <f t="shared" si="11"/>
        <v>88172.94</v>
      </c>
      <c r="EI22" s="12">
        <f t="shared" si="11"/>
        <v>0</v>
      </c>
      <c r="EJ22" s="12">
        <f t="shared" si="11"/>
        <v>140651.64000000001</v>
      </c>
      <c r="EK22" s="12">
        <f t="shared" si="11"/>
        <v>0</v>
      </c>
      <c r="EL22" s="12">
        <f t="shared" si="11"/>
        <v>52478.7</v>
      </c>
      <c r="EM22" s="12">
        <f t="shared" ref="EM22:FR22" si="12">EM114</f>
        <v>0</v>
      </c>
      <c r="EN22" s="12">
        <f t="shared" si="12"/>
        <v>100167.42</v>
      </c>
      <c r="EO22" s="12">
        <f t="shared" si="12"/>
        <v>11994.48</v>
      </c>
      <c r="EP22" s="12">
        <f t="shared" si="12"/>
        <v>0</v>
      </c>
      <c r="EQ22" s="12">
        <f t="shared" si="12"/>
        <v>11994.48</v>
      </c>
      <c r="ER22" s="12">
        <f t="shared" si="12"/>
        <v>88172.94</v>
      </c>
      <c r="ES22" s="12">
        <f t="shared" si="12"/>
        <v>0</v>
      </c>
      <c r="ET22" s="12">
        <f t="shared" si="12"/>
        <v>0</v>
      </c>
      <c r="EU22" s="12">
        <f t="shared" si="12"/>
        <v>0</v>
      </c>
      <c r="EV22" s="12">
        <f t="shared" si="12"/>
        <v>0</v>
      </c>
      <c r="EW22" s="12">
        <f t="shared" si="12"/>
        <v>0</v>
      </c>
      <c r="EX22" s="12">
        <f t="shared" si="12"/>
        <v>0</v>
      </c>
      <c r="EY22" s="12">
        <f t="shared" si="12"/>
        <v>0</v>
      </c>
      <c r="EZ22" s="12">
        <f t="shared" si="12"/>
        <v>0</v>
      </c>
      <c r="FA22" s="12">
        <f t="shared" si="12"/>
        <v>0</v>
      </c>
      <c r="FB22" s="12">
        <f t="shared" si="12"/>
        <v>0</v>
      </c>
      <c r="FC22" s="12">
        <f t="shared" si="12"/>
        <v>0</v>
      </c>
      <c r="FD22" s="12">
        <f t="shared" si="12"/>
        <v>0</v>
      </c>
      <c r="FE22" s="12">
        <f t="shared" si="12"/>
        <v>0</v>
      </c>
      <c r="FF22" s="12">
        <f t="shared" si="12"/>
        <v>0</v>
      </c>
      <c r="FG22" s="12">
        <f t="shared" si="12"/>
        <v>0</v>
      </c>
      <c r="FH22" s="12">
        <f t="shared" si="12"/>
        <v>0</v>
      </c>
      <c r="FI22" s="12">
        <f t="shared" si="12"/>
        <v>0</v>
      </c>
      <c r="FJ22" s="12">
        <f t="shared" si="12"/>
        <v>0</v>
      </c>
      <c r="FK22" s="12">
        <f t="shared" si="12"/>
        <v>0</v>
      </c>
      <c r="FL22" s="12">
        <f t="shared" si="12"/>
        <v>0</v>
      </c>
      <c r="FM22" s="12">
        <f t="shared" si="12"/>
        <v>0</v>
      </c>
      <c r="FN22" s="12">
        <f t="shared" si="12"/>
        <v>0</v>
      </c>
      <c r="FO22" s="12">
        <f t="shared" si="12"/>
        <v>0</v>
      </c>
      <c r="FP22" s="12">
        <f t="shared" si="12"/>
        <v>0</v>
      </c>
      <c r="FQ22" s="12">
        <f t="shared" si="12"/>
        <v>0</v>
      </c>
      <c r="FR22" s="12">
        <f t="shared" si="12"/>
        <v>0</v>
      </c>
      <c r="FS22" s="12">
        <f t="shared" ref="FS22:GX22" si="13">FS114</f>
        <v>0</v>
      </c>
      <c r="FT22" s="12">
        <f t="shared" si="13"/>
        <v>0</v>
      </c>
      <c r="FU22" s="12">
        <f t="shared" si="13"/>
        <v>0</v>
      </c>
      <c r="FV22" s="12">
        <f t="shared" si="13"/>
        <v>0</v>
      </c>
      <c r="FW22" s="12">
        <f t="shared" si="13"/>
        <v>0</v>
      </c>
      <c r="FX22" s="12">
        <f t="shared" si="13"/>
        <v>0</v>
      </c>
      <c r="FY22" s="12">
        <f t="shared" si="13"/>
        <v>0</v>
      </c>
      <c r="FZ22" s="12">
        <f t="shared" si="13"/>
        <v>0</v>
      </c>
      <c r="GA22" s="12">
        <f t="shared" si="13"/>
        <v>0</v>
      </c>
      <c r="GB22" s="12">
        <f t="shared" si="13"/>
        <v>0</v>
      </c>
      <c r="GC22" s="12">
        <f t="shared" si="13"/>
        <v>0</v>
      </c>
      <c r="GD22" s="12">
        <f t="shared" si="13"/>
        <v>0</v>
      </c>
      <c r="GE22" s="12">
        <f t="shared" si="13"/>
        <v>0</v>
      </c>
      <c r="GF22" s="12">
        <f t="shared" si="13"/>
        <v>0</v>
      </c>
      <c r="GG22" s="12">
        <f t="shared" si="13"/>
        <v>0</v>
      </c>
      <c r="GH22" s="12">
        <f t="shared" si="13"/>
        <v>0</v>
      </c>
      <c r="GI22" s="12">
        <f t="shared" si="13"/>
        <v>0</v>
      </c>
      <c r="GJ22" s="12">
        <f t="shared" si="13"/>
        <v>0</v>
      </c>
      <c r="GK22" s="12">
        <f t="shared" si="13"/>
        <v>0</v>
      </c>
      <c r="GL22" s="12">
        <f t="shared" si="13"/>
        <v>0</v>
      </c>
      <c r="GM22" s="12">
        <f t="shared" si="13"/>
        <v>0</v>
      </c>
      <c r="GN22" s="12">
        <f t="shared" si="13"/>
        <v>0</v>
      </c>
      <c r="GO22" s="12">
        <f t="shared" si="13"/>
        <v>0</v>
      </c>
      <c r="GP22" s="12">
        <f t="shared" si="13"/>
        <v>0</v>
      </c>
      <c r="GQ22" s="12">
        <f t="shared" si="13"/>
        <v>0</v>
      </c>
      <c r="GR22" s="12">
        <f t="shared" si="13"/>
        <v>0</v>
      </c>
      <c r="GS22" s="12">
        <f t="shared" si="13"/>
        <v>0</v>
      </c>
      <c r="GT22" s="12">
        <f t="shared" si="13"/>
        <v>0</v>
      </c>
      <c r="GU22" s="12">
        <f t="shared" si="13"/>
        <v>0</v>
      </c>
      <c r="GV22" s="12">
        <f t="shared" si="13"/>
        <v>0</v>
      </c>
      <c r="GW22" s="12">
        <f t="shared" si="13"/>
        <v>0</v>
      </c>
      <c r="GX22" s="12">
        <f t="shared" si="13"/>
        <v>0</v>
      </c>
    </row>
    <row r="24" spans="1:255" x14ac:dyDescent="0.2">
      <c r="A24" s="10">
        <v>4</v>
      </c>
      <c r="B24" s="10">
        <v>1</v>
      </c>
      <c r="C24" s="10"/>
      <c r="D24" s="10">
        <f>ROW(A37)</f>
        <v>37</v>
      </c>
      <c r="E24" s="10"/>
      <c r="F24" s="10" t="s">
        <v>3</v>
      </c>
      <c r="G24" s="10" t="s">
        <v>17</v>
      </c>
      <c r="H24" s="10" t="s">
        <v>3</v>
      </c>
      <c r="I24" s="10">
        <v>0</v>
      </c>
      <c r="J24" s="10"/>
      <c r="K24" s="10">
        <v>-1</v>
      </c>
      <c r="L24" s="10"/>
      <c r="M24" s="10" t="s">
        <v>3</v>
      </c>
      <c r="N24" s="10"/>
      <c r="O24" s="10"/>
      <c r="P24" s="10"/>
      <c r="Q24" s="10"/>
      <c r="R24" s="10"/>
      <c r="S24" s="10">
        <v>0</v>
      </c>
      <c r="T24" s="10">
        <v>0</v>
      </c>
      <c r="U24" s="10" t="s">
        <v>3</v>
      </c>
      <c r="V24" s="10">
        <v>2</v>
      </c>
      <c r="W24" s="10"/>
      <c r="X24" s="10"/>
      <c r="Y24" s="10"/>
      <c r="Z24" s="10"/>
      <c r="AA24" s="10"/>
      <c r="AB24" s="10" t="s">
        <v>3</v>
      </c>
      <c r="AC24" s="10" t="s">
        <v>3</v>
      </c>
      <c r="AD24" s="10" t="s">
        <v>3</v>
      </c>
      <c r="AE24" s="10" t="s">
        <v>3</v>
      </c>
      <c r="AF24" s="10" t="s">
        <v>3</v>
      </c>
      <c r="AG24" s="10" t="s">
        <v>3</v>
      </c>
      <c r="AH24" s="10"/>
      <c r="AI24" s="10"/>
      <c r="AJ24" s="10"/>
      <c r="AK24" s="10"/>
      <c r="AL24" s="10"/>
      <c r="AM24" s="10"/>
      <c r="AN24" s="10"/>
      <c r="AO24" s="10"/>
      <c r="AP24" s="10" t="s">
        <v>3</v>
      </c>
      <c r="AQ24" s="10" t="s">
        <v>3</v>
      </c>
      <c r="AR24" s="10" t="s">
        <v>3</v>
      </c>
      <c r="AS24" s="10"/>
      <c r="AT24" s="10"/>
      <c r="AU24" s="10"/>
      <c r="AV24" s="10"/>
      <c r="AW24" s="10"/>
      <c r="AX24" s="10"/>
      <c r="AY24" s="10"/>
      <c r="AZ24" s="10" t="s">
        <v>3</v>
      </c>
      <c r="BA24" s="10"/>
      <c r="BB24" s="10" t="s">
        <v>3</v>
      </c>
      <c r="BC24" s="10" t="s">
        <v>3</v>
      </c>
      <c r="BD24" s="10" t="s">
        <v>3</v>
      </c>
      <c r="BE24" s="10" t="s">
        <v>3</v>
      </c>
      <c r="BF24" s="10" t="s">
        <v>3</v>
      </c>
      <c r="BG24" s="10" t="s">
        <v>3</v>
      </c>
      <c r="BH24" s="10" t="s">
        <v>3</v>
      </c>
      <c r="BI24" s="10" t="s">
        <v>3</v>
      </c>
      <c r="BJ24" s="10" t="s">
        <v>3</v>
      </c>
      <c r="BK24" s="10" t="s">
        <v>3</v>
      </c>
      <c r="BL24" s="10" t="s">
        <v>3</v>
      </c>
      <c r="BM24" s="10" t="s">
        <v>3</v>
      </c>
      <c r="BN24" s="10" t="s">
        <v>3</v>
      </c>
      <c r="BO24" s="10" t="s">
        <v>3</v>
      </c>
      <c r="BP24" s="10" t="s">
        <v>3</v>
      </c>
      <c r="BQ24" s="10"/>
      <c r="BR24" s="10"/>
      <c r="BS24" s="10"/>
      <c r="BT24" s="10"/>
      <c r="BU24" s="10"/>
      <c r="BV24" s="10"/>
      <c r="BW24" s="10"/>
      <c r="BX24" s="10">
        <v>0</v>
      </c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>
        <v>0</v>
      </c>
    </row>
    <row r="26" spans="1:255" x14ac:dyDescent="0.2">
      <c r="A26" s="11">
        <v>52</v>
      </c>
      <c r="B26" s="11">
        <f t="shared" ref="B26:G26" si="14">B37</f>
        <v>1</v>
      </c>
      <c r="C26" s="11">
        <f t="shared" si="14"/>
        <v>4</v>
      </c>
      <c r="D26" s="11">
        <f t="shared" si="14"/>
        <v>24</v>
      </c>
      <c r="E26" s="11">
        <f t="shared" si="14"/>
        <v>0</v>
      </c>
      <c r="F26" s="11" t="str">
        <f t="shared" si="14"/>
        <v/>
      </c>
      <c r="G26" s="11" t="str">
        <f t="shared" si="14"/>
        <v>Оборудование</v>
      </c>
      <c r="H26" s="11"/>
      <c r="I26" s="11"/>
      <c r="J26" s="11"/>
      <c r="K26" s="11"/>
      <c r="L26" s="11"/>
      <c r="M26" s="11"/>
      <c r="N26" s="11"/>
      <c r="O26" s="11">
        <f t="shared" ref="O26:AT26" si="15">O37</f>
        <v>12083.56</v>
      </c>
      <c r="P26" s="11">
        <f t="shared" si="15"/>
        <v>11981.16</v>
      </c>
      <c r="Q26" s="11">
        <f t="shared" si="15"/>
        <v>0</v>
      </c>
      <c r="R26" s="11">
        <f t="shared" si="15"/>
        <v>0</v>
      </c>
      <c r="S26" s="11">
        <f t="shared" si="15"/>
        <v>102.4</v>
      </c>
      <c r="T26" s="11">
        <f t="shared" si="15"/>
        <v>0</v>
      </c>
      <c r="U26" s="11">
        <f t="shared" si="15"/>
        <v>8.0618999999999996</v>
      </c>
      <c r="V26" s="11">
        <f t="shared" si="15"/>
        <v>0</v>
      </c>
      <c r="W26" s="11">
        <f t="shared" si="15"/>
        <v>0</v>
      </c>
      <c r="X26" s="11">
        <f t="shared" si="15"/>
        <v>92.16</v>
      </c>
      <c r="Y26" s="11">
        <f t="shared" si="15"/>
        <v>47.11</v>
      </c>
      <c r="Z26" s="11">
        <f t="shared" si="15"/>
        <v>0</v>
      </c>
      <c r="AA26" s="11">
        <f t="shared" si="15"/>
        <v>0</v>
      </c>
      <c r="AB26" s="11">
        <f t="shared" si="15"/>
        <v>12083.56</v>
      </c>
      <c r="AC26" s="11">
        <f t="shared" si="15"/>
        <v>11981.16</v>
      </c>
      <c r="AD26" s="11">
        <f t="shared" si="15"/>
        <v>0</v>
      </c>
      <c r="AE26" s="11">
        <f t="shared" si="15"/>
        <v>0</v>
      </c>
      <c r="AF26" s="11">
        <f t="shared" si="15"/>
        <v>102.4</v>
      </c>
      <c r="AG26" s="11">
        <f t="shared" si="15"/>
        <v>0</v>
      </c>
      <c r="AH26" s="11">
        <f t="shared" si="15"/>
        <v>8.0618999999999996</v>
      </c>
      <c r="AI26" s="11">
        <f t="shared" si="15"/>
        <v>0</v>
      </c>
      <c r="AJ26" s="11">
        <f t="shared" si="15"/>
        <v>0</v>
      </c>
      <c r="AK26" s="11">
        <f t="shared" si="15"/>
        <v>92.16</v>
      </c>
      <c r="AL26" s="11">
        <f t="shared" si="15"/>
        <v>47.11</v>
      </c>
      <c r="AM26" s="11">
        <f t="shared" si="15"/>
        <v>0</v>
      </c>
      <c r="AN26" s="11">
        <f t="shared" si="15"/>
        <v>0</v>
      </c>
      <c r="AO26" s="11">
        <f t="shared" si="15"/>
        <v>0</v>
      </c>
      <c r="AP26" s="11">
        <f t="shared" si="15"/>
        <v>11980.11</v>
      </c>
      <c r="AQ26" s="11">
        <f t="shared" si="15"/>
        <v>0</v>
      </c>
      <c r="AR26" s="11">
        <f t="shared" si="15"/>
        <v>12222.83</v>
      </c>
      <c r="AS26" s="11">
        <f t="shared" si="15"/>
        <v>0</v>
      </c>
      <c r="AT26" s="11">
        <f t="shared" si="15"/>
        <v>242.72</v>
      </c>
      <c r="AU26" s="11">
        <f t="shared" ref="AU26:BZ26" si="16">AU37</f>
        <v>0</v>
      </c>
      <c r="AV26" s="11">
        <f t="shared" si="16"/>
        <v>11981.16</v>
      </c>
      <c r="AW26" s="11">
        <f t="shared" si="16"/>
        <v>1.05</v>
      </c>
      <c r="AX26" s="11">
        <f t="shared" si="16"/>
        <v>0</v>
      </c>
      <c r="AY26" s="11">
        <f t="shared" si="16"/>
        <v>1.05</v>
      </c>
      <c r="AZ26" s="11">
        <f t="shared" si="16"/>
        <v>11980.11</v>
      </c>
      <c r="BA26" s="11">
        <f t="shared" si="16"/>
        <v>0</v>
      </c>
      <c r="BB26" s="11">
        <f t="shared" si="16"/>
        <v>0</v>
      </c>
      <c r="BC26" s="11">
        <f t="shared" si="16"/>
        <v>0</v>
      </c>
      <c r="BD26" s="11">
        <f t="shared" si="16"/>
        <v>0</v>
      </c>
      <c r="BE26" s="11">
        <f t="shared" si="16"/>
        <v>0</v>
      </c>
      <c r="BF26" s="11">
        <f t="shared" si="16"/>
        <v>0</v>
      </c>
      <c r="BG26" s="11">
        <f t="shared" si="16"/>
        <v>0</v>
      </c>
      <c r="BH26" s="11">
        <f t="shared" si="16"/>
        <v>0</v>
      </c>
      <c r="BI26" s="11">
        <f t="shared" si="16"/>
        <v>0</v>
      </c>
      <c r="BJ26" s="11">
        <f t="shared" si="16"/>
        <v>0</v>
      </c>
      <c r="BK26" s="11">
        <f t="shared" si="16"/>
        <v>0</v>
      </c>
      <c r="BL26" s="11">
        <f t="shared" si="16"/>
        <v>0</v>
      </c>
      <c r="BM26" s="11">
        <f t="shared" si="16"/>
        <v>0</v>
      </c>
      <c r="BN26" s="11">
        <f t="shared" si="16"/>
        <v>0</v>
      </c>
      <c r="BO26" s="11">
        <f t="shared" si="16"/>
        <v>0</v>
      </c>
      <c r="BP26" s="11">
        <f t="shared" si="16"/>
        <v>0</v>
      </c>
      <c r="BQ26" s="11">
        <f t="shared" si="16"/>
        <v>0</v>
      </c>
      <c r="BR26" s="11">
        <f t="shared" si="16"/>
        <v>0</v>
      </c>
      <c r="BS26" s="11">
        <f t="shared" si="16"/>
        <v>0</v>
      </c>
      <c r="BT26" s="11">
        <f t="shared" si="16"/>
        <v>0</v>
      </c>
      <c r="BU26" s="11">
        <f t="shared" si="16"/>
        <v>0</v>
      </c>
      <c r="BV26" s="11">
        <f t="shared" si="16"/>
        <v>0</v>
      </c>
      <c r="BW26" s="11">
        <f t="shared" si="16"/>
        <v>0</v>
      </c>
      <c r="BX26" s="11">
        <f t="shared" si="16"/>
        <v>0</v>
      </c>
      <c r="BY26" s="11">
        <f t="shared" si="16"/>
        <v>11980.11</v>
      </c>
      <c r="BZ26" s="11">
        <f t="shared" si="16"/>
        <v>0</v>
      </c>
      <c r="CA26" s="11">
        <f t="shared" ref="CA26:DF26" si="17">CA37</f>
        <v>12222.83</v>
      </c>
      <c r="CB26" s="11">
        <f t="shared" si="17"/>
        <v>0</v>
      </c>
      <c r="CC26" s="11">
        <f t="shared" si="17"/>
        <v>242.72</v>
      </c>
      <c r="CD26" s="11">
        <f t="shared" si="17"/>
        <v>0</v>
      </c>
      <c r="CE26" s="11">
        <f t="shared" si="17"/>
        <v>11981.16</v>
      </c>
      <c r="CF26" s="11">
        <f t="shared" si="17"/>
        <v>1.0499999999992724</v>
      </c>
      <c r="CG26" s="11">
        <f t="shared" si="17"/>
        <v>0</v>
      </c>
      <c r="CH26" s="11">
        <f t="shared" si="17"/>
        <v>1.0499999999992724</v>
      </c>
      <c r="CI26" s="11">
        <f t="shared" si="17"/>
        <v>11980.11</v>
      </c>
      <c r="CJ26" s="11">
        <f t="shared" si="17"/>
        <v>0</v>
      </c>
      <c r="CK26" s="11">
        <f t="shared" si="17"/>
        <v>0</v>
      </c>
      <c r="CL26" s="11">
        <f t="shared" si="17"/>
        <v>0</v>
      </c>
      <c r="CM26" s="11">
        <f t="shared" si="17"/>
        <v>0</v>
      </c>
      <c r="CN26" s="11">
        <f t="shared" si="17"/>
        <v>0</v>
      </c>
      <c r="CO26" s="11">
        <f t="shared" si="17"/>
        <v>0</v>
      </c>
      <c r="CP26" s="11">
        <f t="shared" si="17"/>
        <v>0</v>
      </c>
      <c r="CQ26" s="11">
        <f t="shared" si="17"/>
        <v>0</v>
      </c>
      <c r="CR26" s="11">
        <f t="shared" si="17"/>
        <v>0</v>
      </c>
      <c r="CS26" s="11">
        <f t="shared" si="17"/>
        <v>0</v>
      </c>
      <c r="CT26" s="11">
        <f t="shared" si="17"/>
        <v>0</v>
      </c>
      <c r="CU26" s="11">
        <f t="shared" si="17"/>
        <v>0</v>
      </c>
      <c r="CV26" s="11">
        <f t="shared" si="17"/>
        <v>0</v>
      </c>
      <c r="CW26" s="11">
        <f t="shared" si="17"/>
        <v>0</v>
      </c>
      <c r="CX26" s="11">
        <f t="shared" si="17"/>
        <v>0</v>
      </c>
      <c r="CY26" s="11">
        <f t="shared" si="17"/>
        <v>0</v>
      </c>
      <c r="CZ26" s="11">
        <f t="shared" si="17"/>
        <v>0</v>
      </c>
      <c r="DA26" s="11">
        <f t="shared" si="17"/>
        <v>0</v>
      </c>
      <c r="DB26" s="11">
        <f t="shared" si="17"/>
        <v>0</v>
      </c>
      <c r="DC26" s="11">
        <f t="shared" si="17"/>
        <v>0</v>
      </c>
      <c r="DD26" s="11">
        <f t="shared" si="17"/>
        <v>0</v>
      </c>
      <c r="DE26" s="11">
        <f t="shared" si="17"/>
        <v>0</v>
      </c>
      <c r="DF26" s="11">
        <f t="shared" si="17"/>
        <v>0</v>
      </c>
      <c r="DG26" s="12">
        <f t="shared" ref="DG26:EL26" si="18">DG37</f>
        <v>93814.3</v>
      </c>
      <c r="DH26" s="12">
        <f t="shared" si="18"/>
        <v>88183.33</v>
      </c>
      <c r="DI26" s="12">
        <f t="shared" si="18"/>
        <v>0</v>
      </c>
      <c r="DJ26" s="12">
        <f t="shared" si="18"/>
        <v>0</v>
      </c>
      <c r="DK26" s="12">
        <f t="shared" si="18"/>
        <v>5630.97</v>
      </c>
      <c r="DL26" s="12">
        <f t="shared" si="18"/>
        <v>0</v>
      </c>
      <c r="DM26" s="12">
        <f t="shared" si="18"/>
        <v>8.0618999999999996</v>
      </c>
      <c r="DN26" s="12">
        <f t="shared" si="18"/>
        <v>0</v>
      </c>
      <c r="DO26" s="12">
        <f t="shared" si="18"/>
        <v>0</v>
      </c>
      <c r="DP26" s="12">
        <f t="shared" si="18"/>
        <v>5067.88</v>
      </c>
      <c r="DQ26" s="12">
        <f t="shared" si="18"/>
        <v>2590.2399999999998</v>
      </c>
      <c r="DR26" s="12">
        <f t="shared" si="18"/>
        <v>0</v>
      </c>
      <c r="DS26" s="12">
        <f t="shared" si="18"/>
        <v>0</v>
      </c>
      <c r="DT26" s="12">
        <f t="shared" si="18"/>
        <v>93814.3</v>
      </c>
      <c r="DU26" s="12">
        <f t="shared" si="18"/>
        <v>88183.33</v>
      </c>
      <c r="DV26" s="12">
        <f t="shared" si="18"/>
        <v>0</v>
      </c>
      <c r="DW26" s="12">
        <f t="shared" si="18"/>
        <v>0</v>
      </c>
      <c r="DX26" s="12">
        <f t="shared" si="18"/>
        <v>5630.97</v>
      </c>
      <c r="DY26" s="12">
        <f t="shared" si="18"/>
        <v>0</v>
      </c>
      <c r="DZ26" s="12">
        <f t="shared" si="18"/>
        <v>8.0618999999999996</v>
      </c>
      <c r="EA26" s="12">
        <f t="shared" si="18"/>
        <v>0</v>
      </c>
      <c r="EB26" s="12">
        <f t="shared" si="18"/>
        <v>0</v>
      </c>
      <c r="EC26" s="12">
        <f t="shared" si="18"/>
        <v>5067.88</v>
      </c>
      <c r="ED26" s="12">
        <f t="shared" si="18"/>
        <v>2590.2399999999998</v>
      </c>
      <c r="EE26" s="12">
        <f t="shared" si="18"/>
        <v>0</v>
      </c>
      <c r="EF26" s="12">
        <f t="shared" si="18"/>
        <v>0</v>
      </c>
      <c r="EG26" s="12">
        <f t="shared" si="18"/>
        <v>0</v>
      </c>
      <c r="EH26" s="12">
        <f t="shared" si="18"/>
        <v>88172.94</v>
      </c>
      <c r="EI26" s="12">
        <f t="shared" si="18"/>
        <v>0</v>
      </c>
      <c r="EJ26" s="12">
        <f t="shared" si="18"/>
        <v>101472.42</v>
      </c>
      <c r="EK26" s="12">
        <f t="shared" si="18"/>
        <v>0</v>
      </c>
      <c r="EL26" s="12">
        <f t="shared" si="18"/>
        <v>13299.48</v>
      </c>
      <c r="EM26" s="12">
        <f t="shared" ref="EM26:FR26" si="19">EM37</f>
        <v>0</v>
      </c>
      <c r="EN26" s="12">
        <f t="shared" si="19"/>
        <v>88183.33</v>
      </c>
      <c r="EO26" s="12">
        <f t="shared" si="19"/>
        <v>10.39</v>
      </c>
      <c r="EP26" s="12">
        <f t="shared" si="19"/>
        <v>0</v>
      </c>
      <c r="EQ26" s="12">
        <f t="shared" si="19"/>
        <v>10.39</v>
      </c>
      <c r="ER26" s="12">
        <f t="shared" si="19"/>
        <v>88172.94</v>
      </c>
      <c r="ES26" s="12">
        <f t="shared" si="19"/>
        <v>0</v>
      </c>
      <c r="ET26" s="12">
        <f t="shared" si="19"/>
        <v>0</v>
      </c>
      <c r="EU26" s="12">
        <f t="shared" si="19"/>
        <v>0</v>
      </c>
      <c r="EV26" s="12">
        <f t="shared" si="19"/>
        <v>0</v>
      </c>
      <c r="EW26" s="12">
        <f t="shared" si="19"/>
        <v>0</v>
      </c>
      <c r="EX26" s="12">
        <f t="shared" si="19"/>
        <v>0</v>
      </c>
      <c r="EY26" s="12">
        <f t="shared" si="19"/>
        <v>0</v>
      </c>
      <c r="EZ26" s="12">
        <f t="shared" si="19"/>
        <v>0</v>
      </c>
      <c r="FA26" s="12">
        <f t="shared" si="19"/>
        <v>0</v>
      </c>
      <c r="FB26" s="12">
        <f t="shared" si="19"/>
        <v>0</v>
      </c>
      <c r="FC26" s="12">
        <f t="shared" si="19"/>
        <v>0</v>
      </c>
      <c r="FD26" s="12">
        <f t="shared" si="19"/>
        <v>0</v>
      </c>
      <c r="FE26" s="12">
        <f t="shared" si="19"/>
        <v>0</v>
      </c>
      <c r="FF26" s="12">
        <f t="shared" si="19"/>
        <v>0</v>
      </c>
      <c r="FG26" s="12">
        <f t="shared" si="19"/>
        <v>0</v>
      </c>
      <c r="FH26" s="12">
        <f t="shared" si="19"/>
        <v>0</v>
      </c>
      <c r="FI26" s="12">
        <f t="shared" si="19"/>
        <v>0</v>
      </c>
      <c r="FJ26" s="12">
        <f t="shared" si="19"/>
        <v>0</v>
      </c>
      <c r="FK26" s="12">
        <f t="shared" si="19"/>
        <v>0</v>
      </c>
      <c r="FL26" s="12">
        <f t="shared" si="19"/>
        <v>0</v>
      </c>
      <c r="FM26" s="12">
        <f t="shared" si="19"/>
        <v>0</v>
      </c>
      <c r="FN26" s="12">
        <f t="shared" si="19"/>
        <v>0</v>
      </c>
      <c r="FO26" s="12">
        <f t="shared" si="19"/>
        <v>0</v>
      </c>
      <c r="FP26" s="12">
        <f t="shared" si="19"/>
        <v>0</v>
      </c>
      <c r="FQ26" s="12">
        <f t="shared" si="19"/>
        <v>88172.94</v>
      </c>
      <c r="FR26" s="12">
        <f t="shared" si="19"/>
        <v>0</v>
      </c>
      <c r="FS26" s="12">
        <f t="shared" ref="FS26:GX26" si="20">FS37</f>
        <v>101472.42</v>
      </c>
      <c r="FT26" s="12">
        <f t="shared" si="20"/>
        <v>0</v>
      </c>
      <c r="FU26" s="12">
        <f t="shared" si="20"/>
        <v>13299.48</v>
      </c>
      <c r="FV26" s="12">
        <f t="shared" si="20"/>
        <v>0</v>
      </c>
      <c r="FW26" s="12">
        <f t="shared" si="20"/>
        <v>88183.33</v>
      </c>
      <c r="FX26" s="12">
        <f t="shared" si="20"/>
        <v>10.389999999999418</v>
      </c>
      <c r="FY26" s="12">
        <f t="shared" si="20"/>
        <v>0</v>
      </c>
      <c r="FZ26" s="12">
        <f t="shared" si="20"/>
        <v>10.389999999999418</v>
      </c>
      <c r="GA26" s="12">
        <f t="shared" si="20"/>
        <v>88172.94</v>
      </c>
      <c r="GB26" s="12">
        <f t="shared" si="20"/>
        <v>0</v>
      </c>
      <c r="GC26" s="12">
        <f t="shared" si="20"/>
        <v>0</v>
      </c>
      <c r="GD26" s="12">
        <f t="shared" si="20"/>
        <v>0</v>
      </c>
      <c r="GE26" s="12">
        <f t="shared" si="20"/>
        <v>0</v>
      </c>
      <c r="GF26" s="12">
        <f t="shared" si="20"/>
        <v>0</v>
      </c>
      <c r="GG26" s="12">
        <f t="shared" si="20"/>
        <v>0</v>
      </c>
      <c r="GH26" s="12">
        <f t="shared" si="20"/>
        <v>0</v>
      </c>
      <c r="GI26" s="12">
        <f t="shared" si="20"/>
        <v>0</v>
      </c>
      <c r="GJ26" s="12">
        <f t="shared" si="20"/>
        <v>0</v>
      </c>
      <c r="GK26" s="12">
        <f t="shared" si="20"/>
        <v>0</v>
      </c>
      <c r="GL26" s="12">
        <f t="shared" si="20"/>
        <v>0</v>
      </c>
      <c r="GM26" s="12">
        <f t="shared" si="20"/>
        <v>0</v>
      </c>
      <c r="GN26" s="12">
        <f t="shared" si="20"/>
        <v>0</v>
      </c>
      <c r="GO26" s="12">
        <f t="shared" si="20"/>
        <v>0</v>
      </c>
      <c r="GP26" s="12">
        <f t="shared" si="20"/>
        <v>0</v>
      </c>
      <c r="GQ26" s="12">
        <f t="shared" si="20"/>
        <v>0</v>
      </c>
      <c r="GR26" s="12">
        <f t="shared" si="20"/>
        <v>0</v>
      </c>
      <c r="GS26" s="12">
        <f t="shared" si="20"/>
        <v>0</v>
      </c>
      <c r="GT26" s="12">
        <f t="shared" si="20"/>
        <v>0</v>
      </c>
      <c r="GU26" s="12">
        <f t="shared" si="20"/>
        <v>0</v>
      </c>
      <c r="GV26" s="12">
        <f t="shared" si="20"/>
        <v>0</v>
      </c>
      <c r="GW26" s="12">
        <f t="shared" si="20"/>
        <v>0</v>
      </c>
      <c r="GX26" s="12">
        <f t="shared" si="20"/>
        <v>0</v>
      </c>
    </row>
    <row r="28" spans="1:255" x14ac:dyDescent="0.2">
      <c r="A28" s="2">
        <v>17</v>
      </c>
      <c r="B28" s="2">
        <v>1</v>
      </c>
      <c r="C28" s="2">
        <f>ROW(SmtRes!A1)</f>
        <v>1</v>
      </c>
      <c r="D28" s="2">
        <f>ROW(EtalonRes!A1)</f>
        <v>1</v>
      </c>
      <c r="E28" s="2" t="s">
        <v>18</v>
      </c>
      <c r="F28" s="2" t="s">
        <v>19</v>
      </c>
      <c r="G28" s="2" t="s">
        <v>20</v>
      </c>
      <c r="H28" s="2" t="s">
        <v>21</v>
      </c>
      <c r="I28" s="2">
        <v>1</v>
      </c>
      <c r="J28" s="2">
        <v>0</v>
      </c>
      <c r="K28" s="2">
        <v>1</v>
      </c>
      <c r="L28" s="2"/>
      <c r="M28" s="2"/>
      <c r="N28" s="2"/>
      <c r="O28" s="2">
        <f t="shared" ref="O28:O35" si="21">ROUND(CP28,2)</f>
        <v>48.07</v>
      </c>
      <c r="P28" s="2">
        <f>ROUND((ROUND((AC28*AW28*I28),2)*BC28),2)</f>
        <v>0.49</v>
      </c>
      <c r="Q28" s="2">
        <f>(ROUND((ROUND((((ET28*1.1))*AV28*I28),2)*BB28),2)+ROUND((ROUND(((AE28-((EU28*1.1)))*AV28*I28),2)*BS28),2))</f>
        <v>0</v>
      </c>
      <c r="R28" s="2">
        <f>(ROUND((ROUND((((EU28*1.1))*AV28*I28),2)*BS28),2)+ROUND((ROUND(((AE28-((EU28*1.1)))*AV28*I28),2)*BS28),2))</f>
        <v>0</v>
      </c>
      <c r="S28" s="2">
        <f t="shared" ref="S28:S35" si="22">ROUND((ROUND((AF28*AV28*I28),2)*BA28),2)</f>
        <v>47.58</v>
      </c>
      <c r="T28" s="2">
        <f t="shared" ref="T28:T35" si="23">ROUND(CU28*I28,2)</f>
        <v>0</v>
      </c>
      <c r="U28" s="2">
        <f t="shared" ref="U28:U35" si="24">CV28*I28</f>
        <v>3.4550999999999998</v>
      </c>
      <c r="V28" s="2">
        <f t="shared" ref="V28:V35" si="25">CW28*I28</f>
        <v>0</v>
      </c>
      <c r="W28" s="2">
        <f t="shared" ref="W28:W35" si="26">ROUND(CX28*I28,2)</f>
        <v>0</v>
      </c>
      <c r="X28" s="2">
        <f>(ROUND((((S28+ROUND((ROUND((((EU28*1.1))*AV28*I28),2)*BS28),2))*AT28)/100),2)+ROUND(((ROUND((ROUND(((AE28-((EU28*1.1)))*AV28*I28),2)*BS28),2)*AT28)/100),2))</f>
        <v>42.82</v>
      </c>
      <c r="Y28" s="2">
        <f>(ROUND((((S28+ROUND((ROUND((((EU28*1.1))*AV28*I28),2)*BS28),2))*AU28)/100),2)+ROUND(((ROUND((ROUND(((AE28-((EU28*1.1)))*AV28*I28),2)*BS28),2)*AU28)/100),2))</f>
        <v>21.89</v>
      </c>
      <c r="Z28" s="2"/>
      <c r="AA28" s="2">
        <v>60257736</v>
      </c>
      <c r="AB28" s="2">
        <f t="shared" ref="AB28:AB35" si="27">ROUND((AC28+AD28+AF28),6)</f>
        <v>45.930999999999997</v>
      </c>
      <c r="AC28" s="2">
        <f>ROUND(((ES28*1)),6)</f>
        <v>0.49</v>
      </c>
      <c r="AD28" s="2">
        <f>ROUND(((((ET28*1.1))-((EU28*1.1)))+AE28),6)</f>
        <v>0</v>
      </c>
      <c r="AE28" s="2">
        <f>ROUND(((EU28*1.1)),6)</f>
        <v>0</v>
      </c>
      <c r="AF28" s="2">
        <f>ROUND(((EV28*1.1)),6)</f>
        <v>45.441000000000003</v>
      </c>
      <c r="AG28" s="2">
        <f t="shared" ref="AG28:AG35" si="28">ROUND((AP28),6)</f>
        <v>0</v>
      </c>
      <c r="AH28" s="2">
        <f>((EW28*1.1))</f>
        <v>3.3000000000000003</v>
      </c>
      <c r="AI28" s="2">
        <f>((EX28*1.1))</f>
        <v>0</v>
      </c>
      <c r="AJ28" s="2">
        <f t="shared" ref="AJ28:AJ35" si="29">(AS28)</f>
        <v>0</v>
      </c>
      <c r="AK28" s="2">
        <v>41.8</v>
      </c>
      <c r="AL28" s="2">
        <v>0.49</v>
      </c>
      <c r="AM28" s="2">
        <v>0</v>
      </c>
      <c r="AN28" s="2">
        <v>0</v>
      </c>
      <c r="AO28" s="2">
        <v>41.31</v>
      </c>
      <c r="AP28" s="2">
        <v>0</v>
      </c>
      <c r="AQ28" s="2">
        <v>3</v>
      </c>
      <c r="AR28" s="2">
        <v>0</v>
      </c>
      <c r="AS28" s="2">
        <v>0</v>
      </c>
      <c r="AT28" s="2">
        <v>90</v>
      </c>
      <c r="AU28" s="2">
        <v>46</v>
      </c>
      <c r="AV28" s="2">
        <v>1.0469999999999999</v>
      </c>
      <c r="AW28" s="2">
        <v>1</v>
      </c>
      <c r="AX28" s="2"/>
      <c r="AY28" s="2"/>
      <c r="AZ28" s="2">
        <v>1</v>
      </c>
      <c r="BA28" s="2">
        <v>1</v>
      </c>
      <c r="BB28" s="2">
        <v>1</v>
      </c>
      <c r="BC28" s="2">
        <v>1</v>
      </c>
      <c r="BD28" s="2" t="s">
        <v>3</v>
      </c>
      <c r="BE28" s="2" t="s">
        <v>3</v>
      </c>
      <c r="BF28" s="2" t="s">
        <v>3</v>
      </c>
      <c r="BG28" s="2" t="s">
        <v>3</v>
      </c>
      <c r="BH28" s="2">
        <v>0</v>
      </c>
      <c r="BI28" s="2">
        <v>2</v>
      </c>
      <c r="BJ28" s="2" t="s">
        <v>22</v>
      </c>
      <c r="BK28" s="2"/>
      <c r="BL28" s="2"/>
      <c r="BM28" s="2">
        <v>68</v>
      </c>
      <c r="BN28" s="2">
        <v>58973116</v>
      </c>
      <c r="BO28" s="2" t="s">
        <v>19</v>
      </c>
      <c r="BP28" s="2">
        <v>1</v>
      </c>
      <c r="BQ28" s="2">
        <v>40</v>
      </c>
      <c r="BR28" s="2">
        <v>0</v>
      </c>
      <c r="BS28" s="2">
        <v>1</v>
      </c>
      <c r="BT28" s="2">
        <v>1</v>
      </c>
      <c r="BU28" s="2">
        <v>1</v>
      </c>
      <c r="BV28" s="2">
        <v>1</v>
      </c>
      <c r="BW28" s="2">
        <v>1</v>
      </c>
      <c r="BX28" s="2">
        <v>1</v>
      </c>
      <c r="BY28" s="2" t="s">
        <v>3</v>
      </c>
      <c r="BZ28" s="2">
        <v>90</v>
      </c>
      <c r="CA28" s="2">
        <v>46</v>
      </c>
      <c r="CB28" s="2" t="s">
        <v>3</v>
      </c>
      <c r="CC28" s="2"/>
      <c r="CD28" s="2"/>
      <c r="CE28" s="2">
        <v>1566</v>
      </c>
      <c r="CF28" s="2">
        <v>0</v>
      </c>
      <c r="CG28" s="2">
        <v>0</v>
      </c>
      <c r="CH28" s="2"/>
      <c r="CI28" s="2"/>
      <c r="CJ28" s="2"/>
      <c r="CK28" s="2"/>
      <c r="CL28" s="2"/>
      <c r="CM28" s="2">
        <v>0</v>
      </c>
      <c r="CN28" s="2" t="s">
        <v>200</v>
      </c>
      <c r="CO28" s="2">
        <v>0</v>
      </c>
      <c r="CP28" s="2">
        <f t="shared" ref="CP28:CP35" si="30">(P28+Q28+S28)</f>
        <v>48.07</v>
      </c>
      <c r="CQ28" s="2">
        <f>ROUND((ROUND((AC28*AW28*1),2)*BC28),2)</f>
        <v>0.49</v>
      </c>
      <c r="CR28" s="2">
        <f>(ROUND((ROUND((((ET28*1.1))*AV28*1),2)*BB28),2)+ROUND((ROUND(((AE28-((EU28*1.1)))*AV28*1),2)*BS28),2))</f>
        <v>0</v>
      </c>
      <c r="CS28" s="2">
        <f>(ROUND((ROUND((((EU28*1.1))*AV28*1),2)*BS28),2)+ROUND((ROUND(((AE28-((EU28*1.1)))*AV28*1),2)*BS28),2))</f>
        <v>0</v>
      </c>
      <c r="CT28" s="2">
        <f t="shared" ref="CT28:CT35" si="31">ROUND((ROUND((AF28*AV28*1),2)*BA28),2)</f>
        <v>47.58</v>
      </c>
      <c r="CU28" s="2">
        <f t="shared" ref="CU28:CU35" si="32">AG28</f>
        <v>0</v>
      </c>
      <c r="CV28" s="2">
        <f t="shared" ref="CV28:CV35" si="33">(AH28*AV28)</f>
        <v>3.4550999999999998</v>
      </c>
      <c r="CW28" s="2">
        <f t="shared" ref="CW28:CX35" si="34">AI28</f>
        <v>0</v>
      </c>
      <c r="CX28" s="2">
        <f t="shared" si="34"/>
        <v>0</v>
      </c>
      <c r="CY28" s="2">
        <f>(ROUND((((S28+ROUND((ROUND((((EU28*1.1))*AV28*1),2)*BS28),2))*AT28)/100),2)+ROUND(((ROUND((ROUND(((AE28-((EU28*1.1)))*AV28*1),2)*BS28),2)*AT28)/100),2))</f>
        <v>42.82</v>
      </c>
      <c r="CZ28" s="2">
        <f>(ROUND((((S28+ROUND((ROUND((((EU28*1.1))*AV28*1),2)*BS28),2))*AU28)/100),2)+ROUND(((ROUND((ROUND(((AE28-((EU28*1.1)))*AV28*1),2)*BS28),2)*AU28)/100),2))</f>
        <v>21.89</v>
      </c>
      <c r="DA28" s="2"/>
      <c r="DB28" s="2">
        <v>1</v>
      </c>
      <c r="DC28" s="2" t="s">
        <v>3</v>
      </c>
      <c r="DD28" s="2" t="s">
        <v>23</v>
      </c>
      <c r="DE28" s="2" t="s">
        <v>24</v>
      </c>
      <c r="DF28" s="2" t="s">
        <v>24</v>
      </c>
      <c r="DG28" s="2" t="s">
        <v>24</v>
      </c>
      <c r="DH28" s="2" t="s">
        <v>3</v>
      </c>
      <c r="DI28" s="2" t="s">
        <v>24</v>
      </c>
      <c r="DJ28" s="2" t="s">
        <v>24</v>
      </c>
      <c r="DK28" s="2" t="s">
        <v>3</v>
      </c>
      <c r="DL28" s="2" t="s">
        <v>3</v>
      </c>
      <c r="DM28" s="2" t="s">
        <v>3</v>
      </c>
      <c r="DN28" s="2">
        <v>0</v>
      </c>
      <c r="DO28" s="2">
        <v>0</v>
      </c>
      <c r="DP28" s="2">
        <v>1</v>
      </c>
      <c r="DQ28" s="2">
        <v>1</v>
      </c>
      <c r="DR28" s="2"/>
      <c r="DS28" s="2"/>
      <c r="DT28" s="2"/>
      <c r="DU28" s="2">
        <v>1013</v>
      </c>
      <c r="DV28" s="2" t="s">
        <v>21</v>
      </c>
      <c r="DW28" s="2" t="s">
        <v>21</v>
      </c>
      <c r="DX28" s="2">
        <v>1</v>
      </c>
      <c r="DY28" s="2"/>
      <c r="DZ28" s="2" t="s">
        <v>3</v>
      </c>
      <c r="EA28" s="2" t="s">
        <v>3</v>
      </c>
      <c r="EB28" s="2" t="s">
        <v>3</v>
      </c>
      <c r="EC28" s="2" t="s">
        <v>3</v>
      </c>
      <c r="ED28" s="2"/>
      <c r="EE28" s="2">
        <v>60088532</v>
      </c>
      <c r="EF28" s="2">
        <v>40</v>
      </c>
      <c r="EG28" s="2" t="s">
        <v>25</v>
      </c>
      <c r="EH28" s="2">
        <v>0</v>
      </c>
      <c r="EI28" s="2" t="s">
        <v>3</v>
      </c>
      <c r="EJ28" s="2">
        <v>2</v>
      </c>
      <c r="EK28" s="2">
        <v>68</v>
      </c>
      <c r="EL28" s="2" t="s">
        <v>26</v>
      </c>
      <c r="EM28" s="2" t="s">
        <v>27</v>
      </c>
      <c r="EN28" s="2"/>
      <c r="EO28" s="2" t="s">
        <v>28</v>
      </c>
      <c r="EP28" s="2"/>
      <c r="EQ28" s="2">
        <v>0</v>
      </c>
      <c r="ER28" s="2">
        <v>41.8</v>
      </c>
      <c r="ES28" s="2">
        <v>0.49</v>
      </c>
      <c r="ET28" s="2">
        <v>0</v>
      </c>
      <c r="EU28" s="2">
        <v>0</v>
      </c>
      <c r="EV28" s="2">
        <v>41.31</v>
      </c>
      <c r="EW28" s="2">
        <v>3</v>
      </c>
      <c r="EX28" s="2">
        <v>0</v>
      </c>
      <c r="EY28" s="2">
        <v>0</v>
      </c>
      <c r="EZ28" s="2"/>
      <c r="FA28" s="2"/>
      <c r="FB28" s="2"/>
      <c r="FC28" s="2"/>
      <c r="FD28" s="2"/>
      <c r="FE28" s="2"/>
      <c r="FF28" s="2"/>
      <c r="FG28" s="2"/>
      <c r="FH28" s="2"/>
      <c r="FI28" s="2"/>
      <c r="FJ28" s="2"/>
      <c r="FK28" s="2"/>
      <c r="FL28" s="2"/>
      <c r="FM28" s="2"/>
      <c r="FN28" s="2"/>
      <c r="FO28" s="2"/>
      <c r="FP28" s="2"/>
      <c r="FQ28" s="2">
        <v>0</v>
      </c>
      <c r="FR28" s="2">
        <v>0</v>
      </c>
      <c r="FS28" s="2">
        <v>0</v>
      </c>
      <c r="FT28" s="2"/>
      <c r="FU28" s="2"/>
      <c r="FV28" s="2"/>
      <c r="FW28" s="2"/>
      <c r="FX28" s="2">
        <v>90</v>
      </c>
      <c r="FY28" s="2">
        <v>46</v>
      </c>
      <c r="FZ28" s="2"/>
      <c r="GA28" s="2" t="s">
        <v>3</v>
      </c>
      <c r="GB28" s="2"/>
      <c r="GC28" s="2"/>
      <c r="GD28" s="2">
        <v>1</v>
      </c>
      <c r="GE28" s="2"/>
      <c r="GF28" s="2">
        <v>-1862400035</v>
      </c>
      <c r="GG28" s="2">
        <v>2</v>
      </c>
      <c r="GH28" s="2">
        <v>1</v>
      </c>
      <c r="GI28" s="2">
        <v>2</v>
      </c>
      <c r="GJ28" s="2">
        <v>0</v>
      </c>
      <c r="GK28" s="2">
        <v>0</v>
      </c>
      <c r="GL28" s="2">
        <f t="shared" ref="GL28:GL35" si="35">ROUND(IF(AND(BH28=3,BI28=3,FS28&lt;&gt;0),P28,0),2)</f>
        <v>0</v>
      </c>
      <c r="GM28" s="2">
        <f t="shared" ref="GM28:GM35" si="36">ROUND(O28+X28+Y28,2)+GX28</f>
        <v>112.78</v>
      </c>
      <c r="GN28" s="2">
        <f t="shared" ref="GN28:GN35" si="37">IF(OR(BI28=0,BI28=1),GM28-GX28,0)</f>
        <v>0</v>
      </c>
      <c r="GO28" s="2">
        <f t="shared" ref="GO28:GO35" si="38">IF(BI28=2,GM28-GX28,0)</f>
        <v>112.78</v>
      </c>
      <c r="GP28" s="2">
        <f t="shared" ref="GP28:GP35" si="39">IF(BI28=4,GM28-GX28,0)</f>
        <v>0</v>
      </c>
      <c r="GQ28" s="2"/>
      <c r="GR28" s="2">
        <v>0</v>
      </c>
      <c r="GS28" s="2">
        <v>3</v>
      </c>
      <c r="GT28" s="2">
        <v>0</v>
      </c>
      <c r="GU28" s="2" t="s">
        <v>3</v>
      </c>
      <c r="GV28" s="2">
        <f t="shared" ref="GV28:GV35" si="40">ROUND((GT28),6)</f>
        <v>0</v>
      </c>
      <c r="GW28" s="2">
        <v>1</v>
      </c>
      <c r="GX28" s="2">
        <f t="shared" ref="GX28:GX35" si="41">ROUND(HC28*I28,2)</f>
        <v>0</v>
      </c>
      <c r="GY28" s="2"/>
      <c r="GZ28" s="2"/>
      <c r="HA28" s="2">
        <v>0</v>
      </c>
      <c r="HB28" s="2">
        <v>0</v>
      </c>
      <c r="HC28" s="2">
        <f t="shared" ref="HC28:HC35" si="42">GV28*GW28</f>
        <v>0</v>
      </c>
      <c r="HD28" s="2"/>
      <c r="HE28" s="2" t="s">
        <v>3</v>
      </c>
      <c r="HF28" s="2" t="s">
        <v>3</v>
      </c>
      <c r="HG28" s="2"/>
      <c r="HH28" s="2"/>
      <c r="HI28" s="2"/>
      <c r="HJ28" s="2"/>
      <c r="HK28" s="2"/>
      <c r="HL28" s="2"/>
      <c r="HM28" s="2" t="s">
        <v>3</v>
      </c>
      <c r="HN28" s="2" t="s">
        <v>3</v>
      </c>
      <c r="HO28" s="2" t="s">
        <v>3</v>
      </c>
      <c r="HP28" s="2" t="s">
        <v>3</v>
      </c>
      <c r="HQ28" s="2" t="s">
        <v>3</v>
      </c>
      <c r="HR28" s="2"/>
      <c r="HS28" s="2">
        <v>0</v>
      </c>
      <c r="HT28" s="2"/>
      <c r="HU28" s="2"/>
      <c r="HV28" s="2"/>
      <c r="HW28" s="2"/>
      <c r="HX28" s="2"/>
      <c r="HY28" s="2"/>
      <c r="HZ28" s="2"/>
      <c r="IA28" s="2"/>
      <c r="IB28" s="2"/>
      <c r="IC28" s="2"/>
      <c r="ID28" s="2"/>
      <c r="IE28" s="2"/>
      <c r="IF28" s="2"/>
      <c r="IG28" s="2"/>
      <c r="IH28" s="2"/>
      <c r="II28" s="2"/>
      <c r="IJ28" s="2"/>
      <c r="IK28" s="2">
        <v>0</v>
      </c>
      <c r="IL28" s="2"/>
      <c r="IM28" s="2"/>
      <c r="IN28" s="2"/>
      <c r="IO28" s="2"/>
      <c r="IP28" s="2"/>
      <c r="IQ28" s="2"/>
      <c r="IR28" s="2"/>
      <c r="IS28" s="2"/>
      <c r="IT28" s="2"/>
      <c r="IU28" s="2"/>
    </row>
    <row r="29" spans="1:255" x14ac:dyDescent="0.2">
      <c r="A29" s="3">
        <v>17</v>
      </c>
      <c r="B29" s="3">
        <v>1</v>
      </c>
      <c r="C29" s="3">
        <f>ROW(SmtRes!A2)</f>
        <v>2</v>
      </c>
      <c r="D29" s="3">
        <f>ROW(EtalonRes!A2)</f>
        <v>2</v>
      </c>
      <c r="E29" s="3" t="s">
        <v>18</v>
      </c>
      <c r="F29" s="3" t="s">
        <v>19</v>
      </c>
      <c r="G29" s="3" t="s">
        <v>20</v>
      </c>
      <c r="H29" s="3" t="s">
        <v>21</v>
      </c>
      <c r="I29" s="3">
        <v>1</v>
      </c>
      <c r="J29" s="3">
        <v>0</v>
      </c>
      <c r="K29" s="3">
        <v>1</v>
      </c>
      <c r="O29" s="3">
        <f t="shared" si="21"/>
        <v>2621.27</v>
      </c>
      <c r="P29" s="3">
        <f>ROUND((ROUND((AC29*AW29*I29),2)*BC29),2)</f>
        <v>4.8499999999999996</v>
      </c>
      <c r="Q29" s="3">
        <f>(ROUND((ROUND((((ET29*1.1))*AV29*I29),2)*BB29),2)+ROUND((ROUND(((AE29-((EU29*1.1)))*AV29*I29),2)*BS29),2))</f>
        <v>0</v>
      </c>
      <c r="R29" s="3">
        <f>(ROUND((ROUND((((EU29*1.1))*AV29*I29),2)*BS29),2)+ROUND((ROUND(((AE29-((EU29*1.1)))*AV29*I29),2)*BS29),2))</f>
        <v>0</v>
      </c>
      <c r="S29" s="3">
        <f t="shared" si="22"/>
        <v>2616.42</v>
      </c>
      <c r="T29" s="3">
        <f t="shared" si="23"/>
        <v>0</v>
      </c>
      <c r="U29" s="3">
        <f t="shared" si="24"/>
        <v>3.4550999999999998</v>
      </c>
      <c r="V29" s="3">
        <f t="shared" si="25"/>
        <v>0</v>
      </c>
      <c r="W29" s="3">
        <f t="shared" si="26"/>
        <v>0</v>
      </c>
      <c r="X29" s="3">
        <f>(ROUND((((S29+ROUND((ROUND((((EU29*1.1))*AV29*I29),2)*BS29),2))*AT29)/100),2)+ROUND(((ROUND((ROUND(((AE29-((EU29*1.1)))*AV29*I29),2)*BS29),2)*AT29)/100),2))</f>
        <v>2354.7800000000002</v>
      </c>
      <c r="Y29" s="3">
        <f>(ROUND((((S29+ROUND((ROUND((((EU29*1.1))*AV29*I29),2)*BS29),2))*AU29)/100),2)+ROUND(((ROUND((ROUND(((AE29-((EU29*1.1)))*AV29*I29),2)*BS29),2)*AU29)/100),2))</f>
        <v>1203.55</v>
      </c>
      <c r="AA29" s="3">
        <v>60257733</v>
      </c>
      <c r="AB29" s="3">
        <f t="shared" si="27"/>
        <v>45.930999999999997</v>
      </c>
      <c r="AC29" s="3">
        <f>ROUND(((ES29*1)),6)</f>
        <v>0.49</v>
      </c>
      <c r="AD29" s="3">
        <f>ROUND(((((ET29*1.1))-((EU29*1.1)))+AE29),6)</f>
        <v>0</v>
      </c>
      <c r="AE29" s="3">
        <f>ROUND(((EU29*1.1)),6)</f>
        <v>0</v>
      </c>
      <c r="AF29" s="3">
        <f>ROUND(((EV29*1.1)),6)</f>
        <v>45.441000000000003</v>
      </c>
      <c r="AG29" s="3">
        <f t="shared" si="28"/>
        <v>0</v>
      </c>
      <c r="AH29" s="3">
        <f>((EW29*1.1))</f>
        <v>3.3000000000000003</v>
      </c>
      <c r="AI29" s="3">
        <f>((EX29*1.1))</f>
        <v>0</v>
      </c>
      <c r="AJ29" s="3">
        <f t="shared" si="29"/>
        <v>0</v>
      </c>
      <c r="AK29" s="3">
        <v>41.8</v>
      </c>
      <c r="AL29" s="3">
        <v>0.49</v>
      </c>
      <c r="AM29" s="3">
        <v>0</v>
      </c>
      <c r="AN29" s="3">
        <v>0</v>
      </c>
      <c r="AO29" s="3">
        <v>41.31</v>
      </c>
      <c r="AP29" s="3">
        <v>0</v>
      </c>
      <c r="AQ29" s="3">
        <v>3</v>
      </c>
      <c r="AR29" s="3">
        <v>0</v>
      </c>
      <c r="AS29" s="3">
        <v>0</v>
      </c>
      <c r="AT29" s="3">
        <v>90</v>
      </c>
      <c r="AU29" s="3">
        <v>46</v>
      </c>
      <c r="AV29" s="3">
        <v>1.0469999999999999</v>
      </c>
      <c r="AW29" s="3">
        <v>1</v>
      </c>
      <c r="AZ29" s="3">
        <v>1</v>
      </c>
      <c r="BA29" s="3">
        <v>54.99</v>
      </c>
      <c r="BB29" s="3">
        <v>1</v>
      </c>
      <c r="BC29" s="3">
        <v>9.9</v>
      </c>
      <c r="BD29" s="3" t="s">
        <v>3</v>
      </c>
      <c r="BE29" s="3" t="s">
        <v>3</v>
      </c>
      <c r="BF29" s="3" t="s">
        <v>3</v>
      </c>
      <c r="BG29" s="3" t="s">
        <v>3</v>
      </c>
      <c r="BH29" s="3">
        <v>0</v>
      </c>
      <c r="BI29" s="3">
        <v>2</v>
      </c>
      <c r="BJ29" s="3" t="s">
        <v>22</v>
      </c>
      <c r="BM29" s="3">
        <v>68</v>
      </c>
      <c r="BN29" s="3">
        <v>58973116</v>
      </c>
      <c r="BO29" s="3" t="s">
        <v>19</v>
      </c>
      <c r="BP29" s="3">
        <v>1</v>
      </c>
      <c r="BQ29" s="3">
        <v>40</v>
      </c>
      <c r="BR29" s="3">
        <v>0</v>
      </c>
      <c r="BS29" s="3">
        <v>54.99</v>
      </c>
      <c r="BT29" s="3">
        <v>1</v>
      </c>
      <c r="BU29" s="3">
        <v>1</v>
      </c>
      <c r="BV29" s="3">
        <v>1</v>
      </c>
      <c r="BW29" s="3">
        <v>1</v>
      </c>
      <c r="BX29" s="3">
        <v>1</v>
      </c>
      <c r="BY29" s="3" t="s">
        <v>3</v>
      </c>
      <c r="BZ29" s="3">
        <v>90</v>
      </c>
      <c r="CA29" s="3">
        <v>46</v>
      </c>
      <c r="CB29" s="3" t="s">
        <v>3</v>
      </c>
      <c r="CE29" s="3">
        <v>1566</v>
      </c>
      <c r="CF29" s="3">
        <v>0</v>
      </c>
      <c r="CG29" s="3">
        <v>0</v>
      </c>
      <c r="CM29" s="3">
        <v>0</v>
      </c>
      <c r="CN29" s="3" t="s">
        <v>200</v>
      </c>
      <c r="CO29" s="3">
        <v>0</v>
      </c>
      <c r="CP29" s="3">
        <f t="shared" si="30"/>
        <v>2621.27</v>
      </c>
      <c r="CQ29" s="3">
        <f>ROUND((ROUND((AC29*AW29*1),2)*BC29),2)</f>
        <v>4.8499999999999996</v>
      </c>
      <c r="CR29" s="3">
        <f>(ROUND((ROUND((((ET29*1.1))*AV29*1),2)*BB29),2)+ROUND((ROUND(((AE29-((EU29*1.1)))*AV29*1),2)*BS29),2))</f>
        <v>0</v>
      </c>
      <c r="CS29" s="3">
        <f>(ROUND((ROUND((((EU29*1.1))*AV29*1),2)*BS29),2)+ROUND((ROUND(((AE29-((EU29*1.1)))*AV29*1),2)*BS29),2))</f>
        <v>0</v>
      </c>
      <c r="CT29" s="3">
        <f t="shared" si="31"/>
        <v>2616.42</v>
      </c>
      <c r="CU29" s="3">
        <f t="shared" si="32"/>
        <v>0</v>
      </c>
      <c r="CV29" s="3">
        <f t="shared" si="33"/>
        <v>3.4550999999999998</v>
      </c>
      <c r="CW29" s="3">
        <f t="shared" si="34"/>
        <v>0</v>
      </c>
      <c r="CX29" s="3">
        <f t="shared" si="34"/>
        <v>0</v>
      </c>
      <c r="CY29" s="3">
        <f>(ROUND((((S29+ROUND((ROUND((((EU29*1.1))*AV29*1),2)*BS29),2))*AT29)/100),2)+ROUND(((ROUND((ROUND(((AE29-((EU29*1.1)))*AV29*1),2)*BS29),2)*AT29)/100),2))</f>
        <v>2354.7800000000002</v>
      </c>
      <c r="CZ29" s="3">
        <f>(ROUND((((S29+ROUND((ROUND((((EU29*1.1))*AV29*1),2)*BS29),2))*AU29)/100),2)+ROUND(((ROUND((ROUND(((AE29-((EU29*1.1)))*AV29*1),2)*BS29),2)*AU29)/100),2))</f>
        <v>1203.55</v>
      </c>
      <c r="DB29" s="3">
        <v>2</v>
      </c>
      <c r="DC29" s="3" t="s">
        <v>3</v>
      </c>
      <c r="DD29" s="3" t="s">
        <v>23</v>
      </c>
      <c r="DE29" s="3" t="s">
        <v>24</v>
      </c>
      <c r="DF29" s="3" t="s">
        <v>24</v>
      </c>
      <c r="DG29" s="3" t="s">
        <v>24</v>
      </c>
      <c r="DH29" s="3" t="s">
        <v>3</v>
      </c>
      <c r="DI29" s="3" t="s">
        <v>24</v>
      </c>
      <c r="DJ29" s="3" t="s">
        <v>24</v>
      </c>
      <c r="DK29" s="3" t="s">
        <v>3</v>
      </c>
      <c r="DL29" s="3" t="s">
        <v>3</v>
      </c>
      <c r="DM29" s="3" t="s">
        <v>3</v>
      </c>
      <c r="DN29" s="3">
        <v>0</v>
      </c>
      <c r="DO29" s="3">
        <v>0</v>
      </c>
      <c r="DP29" s="3">
        <v>1</v>
      </c>
      <c r="DQ29" s="3">
        <v>1</v>
      </c>
      <c r="DU29" s="3">
        <v>1013</v>
      </c>
      <c r="DV29" s="3" t="s">
        <v>21</v>
      </c>
      <c r="DW29" s="3" t="s">
        <v>21</v>
      </c>
      <c r="DX29" s="3">
        <v>1</v>
      </c>
      <c r="DZ29" s="3" t="s">
        <v>3</v>
      </c>
      <c r="EA29" s="3" t="s">
        <v>3</v>
      </c>
      <c r="EB29" s="3" t="s">
        <v>3</v>
      </c>
      <c r="EC29" s="3" t="s">
        <v>3</v>
      </c>
      <c r="EE29" s="3">
        <v>60088532</v>
      </c>
      <c r="EF29" s="3">
        <v>40</v>
      </c>
      <c r="EG29" s="3" t="s">
        <v>25</v>
      </c>
      <c r="EH29" s="3">
        <v>0</v>
      </c>
      <c r="EI29" s="3" t="s">
        <v>3</v>
      </c>
      <c r="EJ29" s="3">
        <v>2</v>
      </c>
      <c r="EK29" s="3">
        <v>68</v>
      </c>
      <c r="EL29" s="3" t="s">
        <v>26</v>
      </c>
      <c r="EM29" s="3" t="s">
        <v>27</v>
      </c>
      <c r="EO29" s="3" t="s">
        <v>28</v>
      </c>
      <c r="EQ29" s="3">
        <v>0</v>
      </c>
      <c r="ER29" s="3">
        <v>41.8</v>
      </c>
      <c r="ES29" s="3">
        <v>0.49</v>
      </c>
      <c r="ET29" s="3">
        <v>0</v>
      </c>
      <c r="EU29" s="3">
        <v>0</v>
      </c>
      <c r="EV29" s="3">
        <v>41.31</v>
      </c>
      <c r="EW29" s="3">
        <v>3</v>
      </c>
      <c r="EX29" s="3">
        <v>0</v>
      </c>
      <c r="EY29" s="3">
        <v>0</v>
      </c>
      <c r="FQ29" s="3">
        <v>0</v>
      </c>
      <c r="FR29" s="3">
        <v>0</v>
      </c>
      <c r="FS29" s="3">
        <v>0</v>
      </c>
      <c r="FX29" s="3">
        <v>90</v>
      </c>
      <c r="FY29" s="3">
        <v>46</v>
      </c>
      <c r="GA29" s="3" t="s">
        <v>3</v>
      </c>
      <c r="GD29" s="3">
        <v>1</v>
      </c>
      <c r="GF29" s="3">
        <v>-1862400035</v>
      </c>
      <c r="GG29" s="3">
        <v>2</v>
      </c>
      <c r="GH29" s="3">
        <v>1</v>
      </c>
      <c r="GI29" s="3">
        <v>2</v>
      </c>
      <c r="GJ29" s="3">
        <v>0</v>
      </c>
      <c r="GK29" s="3">
        <v>0</v>
      </c>
      <c r="GL29" s="3">
        <f t="shared" si="35"/>
        <v>0</v>
      </c>
      <c r="GM29" s="3">
        <f t="shared" si="36"/>
        <v>6179.6</v>
      </c>
      <c r="GN29" s="3">
        <f t="shared" si="37"/>
        <v>0</v>
      </c>
      <c r="GO29" s="3">
        <f t="shared" si="38"/>
        <v>6179.6</v>
      </c>
      <c r="GP29" s="3">
        <f t="shared" si="39"/>
        <v>0</v>
      </c>
      <c r="GR29" s="3">
        <v>0</v>
      </c>
      <c r="GS29" s="3">
        <v>3</v>
      </c>
      <c r="GT29" s="3">
        <v>0</v>
      </c>
      <c r="GU29" s="3" t="s">
        <v>3</v>
      </c>
      <c r="GV29" s="3">
        <f t="shared" si="40"/>
        <v>0</v>
      </c>
      <c r="GW29" s="3">
        <v>1</v>
      </c>
      <c r="GX29" s="3">
        <f t="shared" si="41"/>
        <v>0</v>
      </c>
      <c r="HA29" s="3">
        <v>0</v>
      </c>
      <c r="HB29" s="3">
        <v>0</v>
      </c>
      <c r="HC29" s="3">
        <f t="shared" si="42"/>
        <v>0</v>
      </c>
      <c r="HE29" s="3" t="s">
        <v>3</v>
      </c>
      <c r="HF29" s="3" t="s">
        <v>3</v>
      </c>
      <c r="HM29" s="3" t="s">
        <v>3</v>
      </c>
      <c r="HN29" s="3" t="s">
        <v>3</v>
      </c>
      <c r="HO29" s="3" t="s">
        <v>3</v>
      </c>
      <c r="HP29" s="3" t="s">
        <v>3</v>
      </c>
      <c r="HQ29" s="3" t="s">
        <v>3</v>
      </c>
      <c r="HS29" s="3">
        <v>0</v>
      </c>
      <c r="IK29" s="3">
        <v>0</v>
      </c>
    </row>
    <row r="30" spans="1:255" x14ac:dyDescent="0.2">
      <c r="A30" s="2">
        <v>17</v>
      </c>
      <c r="B30" s="2">
        <v>1</v>
      </c>
      <c r="C30" s="2"/>
      <c r="D30" s="2"/>
      <c r="E30" s="2" t="s">
        <v>29</v>
      </c>
      <c r="F30" s="2" t="s">
        <v>30</v>
      </c>
      <c r="G30" s="2" t="s">
        <v>31</v>
      </c>
      <c r="H30" s="2" t="s">
        <v>32</v>
      </c>
      <c r="I30" s="2">
        <v>1</v>
      </c>
      <c r="J30" s="2">
        <v>0</v>
      </c>
      <c r="K30" s="2">
        <v>1</v>
      </c>
      <c r="L30" s="2"/>
      <c r="M30" s="2"/>
      <c r="N30" s="2"/>
      <c r="O30" s="2">
        <f t="shared" si="21"/>
        <v>10518.85</v>
      </c>
      <c r="P30" s="2">
        <f>ROUND((ROUND((AC30*I30),2)*BC30),2)</f>
        <v>10518.85</v>
      </c>
      <c r="Q30" s="2">
        <f>(ROUND((ROUND(((ET30)*AV30*I30),2)*BB30),2)+ROUND((ROUND(((AE30-(EU30))*AV30*I30),2)*BS30),2))</f>
        <v>0</v>
      </c>
      <c r="R30" s="2">
        <f>(ROUND((ROUND(((EU30)*AV30*I30),2)*BS30),2)+ROUND((ROUND(((AE30-(EU30))*AV30*I30),2)*BS30),2))</f>
        <v>0</v>
      </c>
      <c r="S30" s="2">
        <f t="shared" si="22"/>
        <v>0</v>
      </c>
      <c r="T30" s="2">
        <f t="shared" si="23"/>
        <v>0</v>
      </c>
      <c r="U30" s="2">
        <f t="shared" si="24"/>
        <v>0</v>
      </c>
      <c r="V30" s="2">
        <f t="shared" si="25"/>
        <v>0</v>
      </c>
      <c r="W30" s="2">
        <f t="shared" si="26"/>
        <v>0</v>
      </c>
      <c r="X30" s="2">
        <f>(ROUND((((S30+ROUND((ROUND(((EU30)*AV30*I30),2)*BS30),2))*AT30)/100),2)+ROUND(((ROUND((ROUND(((AE30-(EU30))*AV30*I30),2)*BS30),2)*AT30)/100),2))</f>
        <v>0</v>
      </c>
      <c r="Y30" s="2">
        <f>(ROUND((((S30+ROUND((ROUND(((EU30)*AV30*I30),2)*BS30),2))*AU30)/100),2)+ROUND(((ROUND((ROUND(((AE30-(EU30))*AV30*I30),2)*BS30),2)*AU30)/100),2))</f>
        <v>0</v>
      </c>
      <c r="Z30" s="2"/>
      <c r="AA30" s="2">
        <v>60257736</v>
      </c>
      <c r="AB30" s="2">
        <f t="shared" si="27"/>
        <v>10518.85</v>
      </c>
      <c r="AC30" s="2">
        <f>ROUND((ES30),6)</f>
        <v>10518.85</v>
      </c>
      <c r="AD30" s="2">
        <f>ROUND((((ET30)-(EU30))+AE30),6)</f>
        <v>0</v>
      </c>
      <c r="AE30" s="2">
        <f>ROUND((EU30),6)</f>
        <v>0</v>
      </c>
      <c r="AF30" s="2">
        <f>ROUND((EV30),6)</f>
        <v>0</v>
      </c>
      <c r="AG30" s="2">
        <f t="shared" si="28"/>
        <v>0</v>
      </c>
      <c r="AH30" s="2">
        <f>(EW30)</f>
        <v>0</v>
      </c>
      <c r="AI30" s="2">
        <f>(EX30)</f>
        <v>0</v>
      </c>
      <c r="AJ30" s="2">
        <f t="shared" si="29"/>
        <v>0</v>
      </c>
      <c r="AK30" s="2">
        <v>10518.849999999999</v>
      </c>
      <c r="AL30" s="2">
        <v>10518.849999999999</v>
      </c>
      <c r="AM30" s="2">
        <v>0</v>
      </c>
      <c r="AN30" s="2">
        <v>0</v>
      </c>
      <c r="AO30" s="2">
        <v>0</v>
      </c>
      <c r="AP30" s="2">
        <v>0</v>
      </c>
      <c r="AQ30" s="2">
        <v>0</v>
      </c>
      <c r="AR30" s="2">
        <v>0</v>
      </c>
      <c r="AS30" s="2">
        <v>0</v>
      </c>
      <c r="AT30" s="2">
        <v>0</v>
      </c>
      <c r="AU30" s="2">
        <v>0</v>
      </c>
      <c r="AV30" s="2">
        <v>1</v>
      </c>
      <c r="AW30" s="2">
        <v>1</v>
      </c>
      <c r="AX30" s="2"/>
      <c r="AY30" s="2"/>
      <c r="AZ30" s="2">
        <v>1</v>
      </c>
      <c r="BA30" s="2">
        <v>1</v>
      </c>
      <c r="BB30" s="2">
        <v>1</v>
      </c>
      <c r="BC30" s="2">
        <v>1</v>
      </c>
      <c r="BD30" s="2" t="s">
        <v>3</v>
      </c>
      <c r="BE30" s="2" t="s">
        <v>3</v>
      </c>
      <c r="BF30" s="2" t="s">
        <v>3</v>
      </c>
      <c r="BG30" s="2" t="s">
        <v>3</v>
      </c>
      <c r="BH30" s="2">
        <v>3</v>
      </c>
      <c r="BI30" s="2">
        <v>3</v>
      </c>
      <c r="BJ30" s="2" t="s">
        <v>3</v>
      </c>
      <c r="BK30" s="2"/>
      <c r="BL30" s="2"/>
      <c r="BM30" s="2">
        <v>746</v>
      </c>
      <c r="BN30" s="2">
        <v>0</v>
      </c>
      <c r="BO30" s="2" t="s">
        <v>3</v>
      </c>
      <c r="BP30" s="2">
        <v>0</v>
      </c>
      <c r="BQ30" s="2">
        <v>130</v>
      </c>
      <c r="BR30" s="2">
        <v>0</v>
      </c>
      <c r="BS30" s="2">
        <v>1</v>
      </c>
      <c r="BT30" s="2">
        <v>1</v>
      </c>
      <c r="BU30" s="2">
        <v>1</v>
      </c>
      <c r="BV30" s="2">
        <v>1</v>
      </c>
      <c r="BW30" s="2">
        <v>1</v>
      </c>
      <c r="BX30" s="2">
        <v>1</v>
      </c>
      <c r="BY30" s="2" t="s">
        <v>3</v>
      </c>
      <c r="BZ30" s="2">
        <v>0</v>
      </c>
      <c r="CA30" s="2">
        <v>0</v>
      </c>
      <c r="CB30" s="2" t="s">
        <v>3</v>
      </c>
      <c r="CC30" s="2"/>
      <c r="CD30" s="2"/>
      <c r="CE30" s="2">
        <v>1566</v>
      </c>
      <c r="CF30" s="2">
        <v>0</v>
      </c>
      <c r="CG30" s="2">
        <v>0</v>
      </c>
      <c r="CH30" s="2"/>
      <c r="CI30" s="2"/>
      <c r="CJ30" s="2"/>
      <c r="CK30" s="2"/>
      <c r="CL30" s="2"/>
      <c r="CM30" s="2">
        <v>0</v>
      </c>
      <c r="CN30" s="2" t="s">
        <v>3</v>
      </c>
      <c r="CO30" s="2">
        <v>0</v>
      </c>
      <c r="CP30" s="2">
        <f t="shared" si="30"/>
        <v>10518.85</v>
      </c>
      <c r="CQ30" s="2">
        <f>ROUND((ROUND((AC30*1),2)*BC30),2)</f>
        <v>10518.85</v>
      </c>
      <c r="CR30" s="2">
        <f>(ROUND((ROUND(((ET30)*AV30*1),2)*BB30),2)+ROUND((ROUND(((AE30-(EU30))*AV30*1),2)*BS30),2))</f>
        <v>0</v>
      </c>
      <c r="CS30" s="2">
        <f>(ROUND((ROUND(((EU30)*AV30*1),2)*BS30),2)+ROUND((ROUND(((AE30-(EU30))*AV30*1),2)*BS30),2))</f>
        <v>0</v>
      </c>
      <c r="CT30" s="2">
        <f t="shared" si="31"/>
        <v>0</v>
      </c>
      <c r="CU30" s="2">
        <f t="shared" si="32"/>
        <v>0</v>
      </c>
      <c r="CV30" s="2">
        <f t="shared" si="33"/>
        <v>0</v>
      </c>
      <c r="CW30" s="2">
        <f t="shared" si="34"/>
        <v>0</v>
      </c>
      <c r="CX30" s="2">
        <f t="shared" si="34"/>
        <v>0</v>
      </c>
      <c r="CY30" s="2">
        <f>(ROUND((((S30+ROUND((ROUND(((EU30)*AV30*1),2)*BS30),2))*AT30)/100),2)+ROUND(((ROUND((ROUND(((AE30-(EU30))*AV30*1),2)*BS30),2)*AT30)/100),2))</f>
        <v>0</v>
      </c>
      <c r="CZ30" s="2">
        <f>(ROUND((((S30+ROUND((ROUND(((EU30)*AV30*1),2)*BS30),2))*AU30)/100),2)+ROUND(((ROUND((ROUND(((AE30-(EU30))*AV30*1),2)*BS30),2)*AU30)/100),2))</f>
        <v>0</v>
      </c>
      <c r="DA30" s="2"/>
      <c r="DB30" s="2"/>
      <c r="DC30" s="2" t="s">
        <v>3</v>
      </c>
      <c r="DD30" s="2" t="s">
        <v>3</v>
      </c>
      <c r="DE30" s="2" t="s">
        <v>3</v>
      </c>
      <c r="DF30" s="2" t="s">
        <v>3</v>
      </c>
      <c r="DG30" s="2" t="s">
        <v>3</v>
      </c>
      <c r="DH30" s="2" t="s">
        <v>3</v>
      </c>
      <c r="DI30" s="2" t="s">
        <v>3</v>
      </c>
      <c r="DJ30" s="2" t="s">
        <v>3</v>
      </c>
      <c r="DK30" s="2" t="s">
        <v>3</v>
      </c>
      <c r="DL30" s="2" t="s">
        <v>3</v>
      </c>
      <c r="DM30" s="2" t="s">
        <v>3</v>
      </c>
      <c r="DN30" s="2">
        <v>0</v>
      </c>
      <c r="DO30" s="2">
        <v>0</v>
      </c>
      <c r="DP30" s="2">
        <v>1</v>
      </c>
      <c r="DQ30" s="2">
        <v>1</v>
      </c>
      <c r="DR30" s="2"/>
      <c r="DS30" s="2"/>
      <c r="DT30" s="2"/>
      <c r="DU30" s="2">
        <v>1013</v>
      </c>
      <c r="DV30" s="2" t="s">
        <v>32</v>
      </c>
      <c r="DW30" s="2" t="s">
        <v>32</v>
      </c>
      <c r="DX30" s="2">
        <v>1</v>
      </c>
      <c r="DY30" s="2"/>
      <c r="DZ30" s="2" t="s">
        <v>3</v>
      </c>
      <c r="EA30" s="2" t="s">
        <v>3</v>
      </c>
      <c r="EB30" s="2" t="s">
        <v>3</v>
      </c>
      <c r="EC30" s="2" t="s">
        <v>3</v>
      </c>
      <c r="ED30" s="2"/>
      <c r="EE30" s="2">
        <v>60088638</v>
      </c>
      <c r="EF30" s="2">
        <v>130</v>
      </c>
      <c r="EG30" s="2" t="s">
        <v>33</v>
      </c>
      <c r="EH30" s="2">
        <v>0</v>
      </c>
      <c r="EI30" s="2" t="s">
        <v>3</v>
      </c>
      <c r="EJ30" s="2">
        <v>3</v>
      </c>
      <c r="EK30" s="2">
        <v>746</v>
      </c>
      <c r="EL30" s="2" t="s">
        <v>34</v>
      </c>
      <c r="EM30" s="2" t="s">
        <v>35</v>
      </c>
      <c r="EN30" s="2"/>
      <c r="EO30" s="2" t="s">
        <v>3</v>
      </c>
      <c r="EP30" s="2"/>
      <c r="EQ30" s="2">
        <v>0</v>
      </c>
      <c r="ER30" s="2">
        <v>0</v>
      </c>
      <c r="ES30" s="2">
        <v>10518.849999999999</v>
      </c>
      <c r="ET30" s="2">
        <v>0</v>
      </c>
      <c r="EU30" s="2">
        <v>0</v>
      </c>
      <c r="EV30" s="2">
        <v>0</v>
      </c>
      <c r="EW30" s="2">
        <v>0</v>
      </c>
      <c r="EX30" s="2">
        <v>0</v>
      </c>
      <c r="EY30" s="2">
        <v>0</v>
      </c>
      <c r="EZ30" s="2"/>
      <c r="FA30" s="2"/>
      <c r="FB30" s="2"/>
      <c r="FC30" s="2"/>
      <c r="FD30" s="2"/>
      <c r="FE30" s="2"/>
      <c r="FF30" s="2"/>
      <c r="FG30" s="2"/>
      <c r="FH30" s="2"/>
      <c r="FI30" s="2"/>
      <c r="FJ30" s="2"/>
      <c r="FK30" s="2"/>
      <c r="FL30" s="2"/>
      <c r="FM30" s="2"/>
      <c r="FN30" s="2"/>
      <c r="FO30" s="2"/>
      <c r="FP30" s="2"/>
      <c r="FQ30" s="2">
        <v>0</v>
      </c>
      <c r="FR30" s="2">
        <f>P30</f>
        <v>10518.85</v>
      </c>
      <c r="FS30" s="2">
        <v>0</v>
      </c>
      <c r="FT30" s="2"/>
      <c r="FU30" s="2"/>
      <c r="FV30" s="2"/>
      <c r="FW30" s="2"/>
      <c r="FX30" s="2">
        <v>0</v>
      </c>
      <c r="FY30" s="2">
        <v>0</v>
      </c>
      <c r="FZ30" s="2"/>
      <c r="GA30" s="2" t="s">
        <v>36</v>
      </c>
      <c r="GB30" s="2"/>
      <c r="GC30" s="2"/>
      <c r="GD30" s="2">
        <v>1</v>
      </c>
      <c r="GE30" s="2"/>
      <c r="GF30" s="2">
        <v>-2034863319</v>
      </c>
      <c r="GG30" s="2">
        <v>2</v>
      </c>
      <c r="GH30" s="2">
        <v>4</v>
      </c>
      <c r="GI30" s="2">
        <v>-2</v>
      </c>
      <c r="GJ30" s="2">
        <v>0</v>
      </c>
      <c r="GK30" s="2">
        <v>0</v>
      </c>
      <c r="GL30" s="2">
        <f t="shared" si="35"/>
        <v>0</v>
      </c>
      <c r="GM30" s="2">
        <f t="shared" si="36"/>
        <v>10518.85</v>
      </c>
      <c r="GN30" s="2">
        <f t="shared" si="37"/>
        <v>0</v>
      </c>
      <c r="GO30" s="2">
        <f t="shared" si="38"/>
        <v>0</v>
      </c>
      <c r="GP30" s="2">
        <f t="shared" si="39"/>
        <v>0</v>
      </c>
      <c r="GQ30" s="2"/>
      <c r="GR30" s="2">
        <v>0</v>
      </c>
      <c r="GS30" s="2">
        <v>2</v>
      </c>
      <c r="GT30" s="2">
        <v>0</v>
      </c>
      <c r="GU30" s="2" t="s">
        <v>3</v>
      </c>
      <c r="GV30" s="2">
        <f t="shared" si="40"/>
        <v>0</v>
      </c>
      <c r="GW30" s="2">
        <v>1</v>
      </c>
      <c r="GX30" s="2">
        <f t="shared" si="41"/>
        <v>0</v>
      </c>
      <c r="GY30" s="2"/>
      <c r="GZ30" s="2"/>
      <c r="HA30" s="2">
        <v>0</v>
      </c>
      <c r="HB30" s="2">
        <v>0</v>
      </c>
      <c r="HC30" s="2">
        <f t="shared" si="42"/>
        <v>0</v>
      </c>
      <c r="HD30" s="2"/>
      <c r="HE30" s="2" t="s">
        <v>37</v>
      </c>
      <c r="HF30" s="2" t="s">
        <v>38</v>
      </c>
      <c r="HG30" s="2"/>
      <c r="HH30" s="2"/>
      <c r="HI30" s="2"/>
      <c r="HJ30" s="2"/>
      <c r="HK30" s="2"/>
      <c r="HL30" s="2"/>
      <c r="HM30" s="2" t="s">
        <v>3</v>
      </c>
      <c r="HN30" s="2" t="s">
        <v>3</v>
      </c>
      <c r="HO30" s="2" t="s">
        <v>3</v>
      </c>
      <c r="HP30" s="2" t="s">
        <v>3</v>
      </c>
      <c r="HQ30" s="2" t="s">
        <v>3</v>
      </c>
      <c r="HR30" s="2"/>
      <c r="HS30" s="2">
        <v>0</v>
      </c>
      <c r="HT30" s="2"/>
      <c r="HU30" s="2"/>
      <c r="HV30" s="2"/>
      <c r="HW30" s="2"/>
      <c r="HX30" s="2"/>
      <c r="HY30" s="2"/>
      <c r="HZ30" s="2"/>
      <c r="IA30" s="2"/>
      <c r="IB30" s="2"/>
      <c r="IC30" s="2"/>
      <c r="ID30" s="2"/>
      <c r="IE30" s="2"/>
      <c r="IF30" s="2"/>
      <c r="IG30" s="2"/>
      <c r="IH30" s="2"/>
      <c r="II30" s="2"/>
      <c r="IJ30" s="2"/>
      <c r="IK30" s="2">
        <v>0</v>
      </c>
      <c r="IL30" s="2"/>
      <c r="IM30" s="2"/>
      <c r="IN30" s="2"/>
      <c r="IO30" s="2"/>
      <c r="IP30" s="2"/>
      <c r="IQ30" s="2"/>
      <c r="IR30" s="2"/>
      <c r="IS30" s="2"/>
      <c r="IT30" s="2"/>
      <c r="IU30" s="2"/>
    </row>
    <row r="31" spans="1:255" x14ac:dyDescent="0.2">
      <c r="A31" s="3">
        <v>17</v>
      </c>
      <c r="B31" s="3">
        <v>1</v>
      </c>
      <c r="E31" s="3" t="s">
        <v>29</v>
      </c>
      <c r="F31" s="3" t="s">
        <v>30</v>
      </c>
      <c r="G31" s="3" t="s">
        <v>31</v>
      </c>
      <c r="H31" s="3" t="s">
        <v>32</v>
      </c>
      <c r="I31" s="3">
        <v>1</v>
      </c>
      <c r="J31" s="3">
        <v>0</v>
      </c>
      <c r="K31" s="3">
        <v>1</v>
      </c>
      <c r="O31" s="3">
        <f t="shared" si="21"/>
        <v>80574.39</v>
      </c>
      <c r="P31" s="3">
        <f>ROUND((ROUND((AC31*I31),2)*BC31),2)</f>
        <v>80574.39</v>
      </c>
      <c r="Q31" s="3">
        <f>(ROUND((ROUND(((ET31)*AV31*I31),2)*BB31),2)+ROUND((ROUND(((AE31-(EU31))*AV31*I31),2)*BS31),2))</f>
        <v>0</v>
      </c>
      <c r="R31" s="3">
        <f>(ROUND((ROUND(((EU31)*AV31*I31),2)*BS31),2)+ROUND((ROUND(((AE31-(EU31))*AV31*I31),2)*BS31),2))</f>
        <v>0</v>
      </c>
      <c r="S31" s="3">
        <f t="shared" si="22"/>
        <v>0</v>
      </c>
      <c r="T31" s="3">
        <f t="shared" si="23"/>
        <v>0</v>
      </c>
      <c r="U31" s="3">
        <f t="shared" si="24"/>
        <v>0</v>
      </c>
      <c r="V31" s="3">
        <f t="shared" si="25"/>
        <v>0</v>
      </c>
      <c r="W31" s="3">
        <f t="shared" si="26"/>
        <v>0</v>
      </c>
      <c r="X31" s="3">
        <f>(ROUND((((S31+ROUND((ROUND(((EU31)*AV31*I31),2)*BS31),2))*AT31)/100),2)+ROUND(((ROUND((ROUND(((AE31-(EU31))*AV31*I31),2)*BS31),2)*AT31)/100),2))</f>
        <v>0</v>
      </c>
      <c r="Y31" s="3">
        <f>(ROUND((((S31+ROUND((ROUND(((EU31)*AV31*I31),2)*BS31),2))*AU31)/100),2)+ROUND(((ROUND((ROUND(((AE31-(EU31))*AV31*I31),2)*BS31),2)*AU31)/100),2))</f>
        <v>0</v>
      </c>
      <c r="AA31" s="3">
        <v>60257733</v>
      </c>
      <c r="AB31" s="3">
        <f t="shared" si="27"/>
        <v>10518.85</v>
      </c>
      <c r="AC31" s="3">
        <f>ROUND((ES31),6)</f>
        <v>10518.85</v>
      </c>
      <c r="AD31" s="3">
        <f>ROUND((((ET31)-(EU31))+AE31),6)</f>
        <v>0</v>
      </c>
      <c r="AE31" s="3">
        <f>ROUND((EU31),6)</f>
        <v>0</v>
      </c>
      <c r="AF31" s="3">
        <f>ROUND((EV31),6)</f>
        <v>0</v>
      </c>
      <c r="AG31" s="3">
        <f t="shared" si="28"/>
        <v>0</v>
      </c>
      <c r="AH31" s="3">
        <f>(EW31)</f>
        <v>0</v>
      </c>
      <c r="AI31" s="3">
        <f>(EX31)</f>
        <v>0</v>
      </c>
      <c r="AJ31" s="3">
        <f t="shared" si="29"/>
        <v>0</v>
      </c>
      <c r="AK31" s="3">
        <v>10518.849999999999</v>
      </c>
      <c r="AL31" s="3">
        <v>10518.849999999999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1</v>
      </c>
      <c r="AW31" s="3">
        <v>1</v>
      </c>
      <c r="AZ31" s="3">
        <v>1</v>
      </c>
      <c r="BA31" s="3">
        <v>1</v>
      </c>
      <c r="BB31" s="3">
        <v>1</v>
      </c>
      <c r="BC31" s="3">
        <v>7.66</v>
      </c>
      <c r="BD31" s="3" t="s">
        <v>3</v>
      </c>
      <c r="BE31" s="3" t="s">
        <v>3</v>
      </c>
      <c r="BF31" s="3" t="s">
        <v>3</v>
      </c>
      <c r="BG31" s="3" t="s">
        <v>3</v>
      </c>
      <c r="BH31" s="3">
        <v>3</v>
      </c>
      <c r="BI31" s="3">
        <v>3</v>
      </c>
      <c r="BJ31" s="3" t="s">
        <v>3</v>
      </c>
      <c r="BM31" s="3">
        <v>746</v>
      </c>
      <c r="BN31" s="3">
        <v>0</v>
      </c>
      <c r="BO31" s="3" t="s">
        <v>3</v>
      </c>
      <c r="BP31" s="3">
        <v>0</v>
      </c>
      <c r="BQ31" s="3">
        <v>130</v>
      </c>
      <c r="BR31" s="3">
        <v>0</v>
      </c>
      <c r="BS31" s="3">
        <v>1</v>
      </c>
      <c r="BT31" s="3">
        <v>1</v>
      </c>
      <c r="BU31" s="3">
        <v>1</v>
      </c>
      <c r="BV31" s="3">
        <v>1</v>
      </c>
      <c r="BW31" s="3">
        <v>1</v>
      </c>
      <c r="BX31" s="3">
        <v>1</v>
      </c>
      <c r="BY31" s="3" t="s">
        <v>3</v>
      </c>
      <c r="BZ31" s="3">
        <v>0</v>
      </c>
      <c r="CA31" s="3">
        <v>0</v>
      </c>
      <c r="CB31" s="3" t="s">
        <v>3</v>
      </c>
      <c r="CE31" s="3">
        <v>1566</v>
      </c>
      <c r="CF31" s="3">
        <v>0</v>
      </c>
      <c r="CG31" s="3">
        <v>0</v>
      </c>
      <c r="CM31" s="3">
        <v>0</v>
      </c>
      <c r="CN31" s="3" t="s">
        <v>3</v>
      </c>
      <c r="CO31" s="3">
        <v>0</v>
      </c>
      <c r="CP31" s="3">
        <f t="shared" si="30"/>
        <v>80574.39</v>
      </c>
      <c r="CQ31" s="3">
        <f>ROUND((ROUND((AC31*1),2)*BC31),2)</f>
        <v>80574.39</v>
      </c>
      <c r="CR31" s="3">
        <f>(ROUND((ROUND(((ET31)*AV31*1),2)*BB31),2)+ROUND((ROUND(((AE31-(EU31))*AV31*1),2)*BS31),2))</f>
        <v>0</v>
      </c>
      <c r="CS31" s="3">
        <f>(ROUND((ROUND(((EU31)*AV31*1),2)*BS31),2)+ROUND((ROUND(((AE31-(EU31))*AV31*1),2)*BS31),2))</f>
        <v>0</v>
      </c>
      <c r="CT31" s="3">
        <f t="shared" si="31"/>
        <v>0</v>
      </c>
      <c r="CU31" s="3">
        <f t="shared" si="32"/>
        <v>0</v>
      </c>
      <c r="CV31" s="3">
        <f t="shared" si="33"/>
        <v>0</v>
      </c>
      <c r="CW31" s="3">
        <f t="shared" si="34"/>
        <v>0</v>
      </c>
      <c r="CX31" s="3">
        <f t="shared" si="34"/>
        <v>0</v>
      </c>
      <c r="CY31" s="3">
        <f>(ROUND((((S31+ROUND((ROUND(((EU31)*AV31*1),2)*BS31),2))*AT31)/100),2)+ROUND(((ROUND((ROUND(((AE31-(EU31))*AV31*1),2)*BS31),2)*AT31)/100),2))</f>
        <v>0</v>
      </c>
      <c r="CZ31" s="3">
        <f>(ROUND((((S31+ROUND((ROUND(((EU31)*AV31*1),2)*BS31),2))*AU31)/100),2)+ROUND(((ROUND((ROUND(((AE31-(EU31))*AV31*1),2)*BS31),2)*AU31)/100),2))</f>
        <v>0</v>
      </c>
      <c r="DC31" s="3" t="s">
        <v>3</v>
      </c>
      <c r="DD31" s="3" t="s">
        <v>3</v>
      </c>
      <c r="DE31" s="3" t="s">
        <v>3</v>
      </c>
      <c r="DF31" s="3" t="s">
        <v>3</v>
      </c>
      <c r="DG31" s="3" t="s">
        <v>3</v>
      </c>
      <c r="DH31" s="3" t="s">
        <v>3</v>
      </c>
      <c r="DI31" s="3" t="s">
        <v>3</v>
      </c>
      <c r="DJ31" s="3" t="s">
        <v>3</v>
      </c>
      <c r="DK31" s="3" t="s">
        <v>3</v>
      </c>
      <c r="DL31" s="3" t="s">
        <v>3</v>
      </c>
      <c r="DM31" s="3" t="s">
        <v>3</v>
      </c>
      <c r="DN31" s="3">
        <v>0</v>
      </c>
      <c r="DO31" s="3">
        <v>0</v>
      </c>
      <c r="DP31" s="3">
        <v>1</v>
      </c>
      <c r="DQ31" s="3">
        <v>1</v>
      </c>
      <c r="DU31" s="3">
        <v>1013</v>
      </c>
      <c r="DV31" s="3" t="s">
        <v>32</v>
      </c>
      <c r="DW31" s="3" t="s">
        <v>32</v>
      </c>
      <c r="DX31" s="3">
        <v>1</v>
      </c>
      <c r="DZ31" s="3" t="s">
        <v>3</v>
      </c>
      <c r="EA31" s="3" t="s">
        <v>3</v>
      </c>
      <c r="EB31" s="3" t="s">
        <v>3</v>
      </c>
      <c r="EC31" s="3" t="s">
        <v>3</v>
      </c>
      <c r="EE31" s="3">
        <v>60088638</v>
      </c>
      <c r="EF31" s="3">
        <v>130</v>
      </c>
      <c r="EG31" s="3" t="s">
        <v>33</v>
      </c>
      <c r="EH31" s="3">
        <v>0</v>
      </c>
      <c r="EI31" s="3" t="s">
        <v>3</v>
      </c>
      <c r="EJ31" s="3">
        <v>3</v>
      </c>
      <c r="EK31" s="3">
        <v>746</v>
      </c>
      <c r="EL31" s="3" t="s">
        <v>34</v>
      </c>
      <c r="EM31" s="3" t="s">
        <v>35</v>
      </c>
      <c r="EO31" s="3" t="s">
        <v>3</v>
      </c>
      <c r="EQ31" s="3">
        <v>0</v>
      </c>
      <c r="ER31" s="3">
        <v>0</v>
      </c>
      <c r="ES31" s="3">
        <v>10518.849999999999</v>
      </c>
      <c r="ET31" s="3">
        <v>0</v>
      </c>
      <c r="EU31" s="3">
        <v>0</v>
      </c>
      <c r="EV31" s="3">
        <v>0</v>
      </c>
      <c r="EW31" s="3">
        <v>0</v>
      </c>
      <c r="EX31" s="3">
        <v>0</v>
      </c>
      <c r="EY31" s="3">
        <v>0</v>
      </c>
      <c r="EZ31" s="3">
        <v>5</v>
      </c>
      <c r="FC31" s="3">
        <v>1</v>
      </c>
      <c r="FD31" s="3">
        <v>18</v>
      </c>
      <c r="FF31" s="3">
        <v>92760</v>
      </c>
      <c r="FQ31" s="3">
        <v>0</v>
      </c>
      <c r="FR31" s="3">
        <f>P31</f>
        <v>80574.39</v>
      </c>
      <c r="FS31" s="3">
        <v>0</v>
      </c>
      <c r="FX31" s="3">
        <v>0</v>
      </c>
      <c r="FY31" s="3">
        <v>0</v>
      </c>
      <c r="GA31" s="3" t="s">
        <v>36</v>
      </c>
      <c r="GD31" s="3">
        <v>1</v>
      </c>
      <c r="GF31" s="3">
        <v>-2034863319</v>
      </c>
      <c r="GG31" s="3">
        <v>2</v>
      </c>
      <c r="GH31" s="3">
        <v>3</v>
      </c>
      <c r="GI31" s="3">
        <v>5</v>
      </c>
      <c r="GJ31" s="3">
        <v>0</v>
      </c>
      <c r="GK31" s="3">
        <v>0</v>
      </c>
      <c r="GL31" s="3">
        <f t="shared" si="35"/>
        <v>0</v>
      </c>
      <c r="GM31" s="3">
        <f t="shared" si="36"/>
        <v>80574.39</v>
      </c>
      <c r="GN31" s="3">
        <f t="shared" si="37"/>
        <v>0</v>
      </c>
      <c r="GO31" s="3">
        <f t="shared" si="38"/>
        <v>0</v>
      </c>
      <c r="GP31" s="3">
        <f t="shared" si="39"/>
        <v>0</v>
      </c>
      <c r="GR31" s="3">
        <v>1</v>
      </c>
      <c r="GS31" s="3">
        <v>1</v>
      </c>
      <c r="GT31" s="3">
        <v>0</v>
      </c>
      <c r="GU31" s="3" t="s">
        <v>3</v>
      </c>
      <c r="GV31" s="3">
        <f t="shared" si="40"/>
        <v>0</v>
      </c>
      <c r="GW31" s="3">
        <v>1</v>
      </c>
      <c r="GX31" s="3">
        <f t="shared" si="41"/>
        <v>0</v>
      </c>
      <c r="HA31" s="3">
        <v>0</v>
      </c>
      <c r="HB31" s="3">
        <v>0</v>
      </c>
      <c r="HC31" s="3">
        <f t="shared" si="42"/>
        <v>0</v>
      </c>
      <c r="HE31" s="3" t="s">
        <v>37</v>
      </c>
      <c r="HF31" s="3" t="s">
        <v>38</v>
      </c>
      <c r="HM31" s="3" t="s">
        <v>3</v>
      </c>
      <c r="HN31" s="3" t="s">
        <v>3</v>
      </c>
      <c r="HO31" s="3" t="s">
        <v>3</v>
      </c>
      <c r="HP31" s="3" t="s">
        <v>3</v>
      </c>
      <c r="HQ31" s="3" t="s">
        <v>3</v>
      </c>
      <c r="HS31" s="3">
        <v>0</v>
      </c>
      <c r="IK31" s="3">
        <v>0</v>
      </c>
    </row>
    <row r="32" spans="1:255" x14ac:dyDescent="0.2">
      <c r="A32" s="2">
        <v>17</v>
      </c>
      <c r="B32" s="2">
        <v>1</v>
      </c>
      <c r="C32" s="2">
        <f>ROW(SmtRes!A3)</f>
        <v>3</v>
      </c>
      <c r="D32" s="2">
        <f>ROW(EtalonRes!A3)</f>
        <v>3</v>
      </c>
      <c r="E32" s="2" t="s">
        <v>37</v>
      </c>
      <c r="F32" s="2" t="s">
        <v>39</v>
      </c>
      <c r="G32" s="2" t="s">
        <v>40</v>
      </c>
      <c r="H32" s="2" t="s">
        <v>21</v>
      </c>
      <c r="I32" s="2">
        <v>2</v>
      </c>
      <c r="J32" s="2">
        <v>0</v>
      </c>
      <c r="K32" s="2">
        <v>2</v>
      </c>
      <c r="L32" s="2"/>
      <c r="M32" s="2"/>
      <c r="N32" s="2"/>
      <c r="O32" s="2">
        <f t="shared" si="21"/>
        <v>55.38</v>
      </c>
      <c r="P32" s="2">
        <f>ROUND((ROUND((AC32*AW32*I32),2)*BC32),2)</f>
        <v>0.56000000000000005</v>
      </c>
      <c r="Q32" s="2">
        <f>(ROUND((ROUND((((ET32*1.1))*AV32*I32),2)*BB32),2)+ROUND((ROUND(((AE32-((EU32*1.1)))*AV32*I32),2)*BS32),2))</f>
        <v>0</v>
      </c>
      <c r="R32" s="2">
        <f>(ROUND((ROUND((((EU32*1.1))*AV32*I32),2)*BS32),2)+ROUND((ROUND(((AE32-((EU32*1.1)))*AV32*I32),2)*BS32),2))</f>
        <v>0</v>
      </c>
      <c r="S32" s="2">
        <f t="shared" si="22"/>
        <v>54.82</v>
      </c>
      <c r="T32" s="2">
        <f t="shared" si="23"/>
        <v>0</v>
      </c>
      <c r="U32" s="2">
        <f t="shared" si="24"/>
        <v>4.6067999999999998</v>
      </c>
      <c r="V32" s="2">
        <f t="shared" si="25"/>
        <v>0</v>
      </c>
      <c r="W32" s="2">
        <f t="shared" si="26"/>
        <v>0</v>
      </c>
      <c r="X32" s="2">
        <f>(ROUND((((S32+ROUND((ROUND((((EU32*1.1))*AV32*I32),2)*BS32),2))*AT32)/100),2)+ROUND(((ROUND((ROUND(((AE32-((EU32*1.1)))*AV32*I32),2)*BS32),2)*AT32)/100),2))</f>
        <v>49.34</v>
      </c>
      <c r="Y32" s="2">
        <f>(ROUND((((S32+ROUND((ROUND((((EU32*1.1))*AV32*I32),2)*BS32),2))*AU32)/100),2)+ROUND(((ROUND((ROUND(((AE32-((EU32*1.1)))*AV32*I32),2)*BS32),2)*AU32)/100),2))</f>
        <v>25.22</v>
      </c>
      <c r="Z32" s="2"/>
      <c r="AA32" s="2">
        <v>60257736</v>
      </c>
      <c r="AB32" s="2">
        <f t="shared" si="27"/>
        <v>26.46</v>
      </c>
      <c r="AC32" s="2">
        <f>ROUND(((ES32*1)),6)</f>
        <v>0.28000000000000003</v>
      </c>
      <c r="AD32" s="2">
        <f>ROUND(((((ET32*1.1))-((EU32*1.1)))+AE32),6)</f>
        <v>0</v>
      </c>
      <c r="AE32" s="2">
        <f>ROUND(((EU32*1.1)),6)</f>
        <v>0</v>
      </c>
      <c r="AF32" s="2">
        <f>ROUND(((EV32*1.1)),6)</f>
        <v>26.18</v>
      </c>
      <c r="AG32" s="2">
        <f t="shared" si="28"/>
        <v>0</v>
      </c>
      <c r="AH32" s="2">
        <f>((EW32*1.1))</f>
        <v>2.2000000000000002</v>
      </c>
      <c r="AI32" s="2">
        <f>((EX32*1.1))</f>
        <v>0</v>
      </c>
      <c r="AJ32" s="2">
        <f t="shared" si="29"/>
        <v>0</v>
      </c>
      <c r="AK32" s="2">
        <v>24.08</v>
      </c>
      <c r="AL32" s="2">
        <v>0.28000000000000003</v>
      </c>
      <c r="AM32" s="2">
        <v>0</v>
      </c>
      <c r="AN32" s="2">
        <v>0</v>
      </c>
      <c r="AO32" s="2">
        <v>23.8</v>
      </c>
      <c r="AP32" s="2">
        <v>0</v>
      </c>
      <c r="AQ32" s="2">
        <v>2</v>
      </c>
      <c r="AR32" s="2">
        <v>0</v>
      </c>
      <c r="AS32" s="2">
        <v>0</v>
      </c>
      <c r="AT32" s="2">
        <v>90</v>
      </c>
      <c r="AU32" s="2">
        <v>46</v>
      </c>
      <c r="AV32" s="2">
        <v>1.0469999999999999</v>
      </c>
      <c r="AW32" s="2">
        <v>1</v>
      </c>
      <c r="AX32" s="2"/>
      <c r="AY32" s="2"/>
      <c r="AZ32" s="2">
        <v>1</v>
      </c>
      <c r="BA32" s="2">
        <v>1</v>
      </c>
      <c r="BB32" s="2">
        <v>1</v>
      </c>
      <c r="BC32" s="2">
        <v>1</v>
      </c>
      <c r="BD32" s="2" t="s">
        <v>3</v>
      </c>
      <c r="BE32" s="2" t="s">
        <v>3</v>
      </c>
      <c r="BF32" s="2" t="s">
        <v>3</v>
      </c>
      <c r="BG32" s="2" t="s">
        <v>3</v>
      </c>
      <c r="BH32" s="2">
        <v>0</v>
      </c>
      <c r="BI32" s="2">
        <v>2</v>
      </c>
      <c r="BJ32" s="2" t="s">
        <v>41</v>
      </c>
      <c r="BK32" s="2"/>
      <c r="BL32" s="2"/>
      <c r="BM32" s="2">
        <v>68</v>
      </c>
      <c r="BN32" s="2">
        <v>58973116</v>
      </c>
      <c r="BO32" s="2" t="s">
        <v>39</v>
      </c>
      <c r="BP32" s="2">
        <v>1</v>
      </c>
      <c r="BQ32" s="2">
        <v>40</v>
      </c>
      <c r="BR32" s="2">
        <v>0</v>
      </c>
      <c r="BS32" s="2">
        <v>1</v>
      </c>
      <c r="BT32" s="2">
        <v>1</v>
      </c>
      <c r="BU32" s="2">
        <v>1</v>
      </c>
      <c r="BV32" s="2">
        <v>1</v>
      </c>
      <c r="BW32" s="2">
        <v>1</v>
      </c>
      <c r="BX32" s="2">
        <v>1</v>
      </c>
      <c r="BY32" s="2" t="s">
        <v>3</v>
      </c>
      <c r="BZ32" s="2">
        <v>90</v>
      </c>
      <c r="CA32" s="2">
        <v>46</v>
      </c>
      <c r="CB32" s="2" t="s">
        <v>3</v>
      </c>
      <c r="CC32" s="2"/>
      <c r="CD32" s="2"/>
      <c r="CE32" s="2">
        <v>1566</v>
      </c>
      <c r="CF32" s="2">
        <v>0</v>
      </c>
      <c r="CG32" s="2">
        <v>0</v>
      </c>
      <c r="CH32" s="2"/>
      <c r="CI32" s="2"/>
      <c r="CJ32" s="2"/>
      <c r="CK32" s="2"/>
      <c r="CL32" s="2"/>
      <c r="CM32" s="2">
        <v>0</v>
      </c>
      <c r="CN32" s="2" t="s">
        <v>200</v>
      </c>
      <c r="CO32" s="2">
        <v>0</v>
      </c>
      <c r="CP32" s="2">
        <f t="shared" si="30"/>
        <v>55.38</v>
      </c>
      <c r="CQ32" s="2">
        <f>ROUND((ROUND((AC32*AW32*1),2)*BC32),2)</f>
        <v>0.28000000000000003</v>
      </c>
      <c r="CR32" s="2">
        <f>(ROUND((ROUND((((ET32*1.1))*AV32*1),2)*BB32),2)+ROUND((ROUND(((AE32-((EU32*1.1)))*AV32*1),2)*BS32),2))</f>
        <v>0</v>
      </c>
      <c r="CS32" s="2">
        <f>(ROUND((ROUND((((EU32*1.1))*AV32*1),2)*BS32),2)+ROUND((ROUND(((AE32-((EU32*1.1)))*AV32*1),2)*BS32),2))</f>
        <v>0</v>
      </c>
      <c r="CT32" s="2">
        <f t="shared" si="31"/>
        <v>27.41</v>
      </c>
      <c r="CU32" s="2">
        <f t="shared" si="32"/>
        <v>0</v>
      </c>
      <c r="CV32" s="2">
        <f t="shared" si="33"/>
        <v>2.3033999999999999</v>
      </c>
      <c r="CW32" s="2">
        <f t="shared" si="34"/>
        <v>0</v>
      </c>
      <c r="CX32" s="2">
        <f t="shared" si="34"/>
        <v>0</v>
      </c>
      <c r="CY32" s="2">
        <f>(ROUND((((S32+ROUND((ROUND((((EU32*1.1))*AV32*1),2)*BS32),2))*AT32)/100),2)+ROUND(((ROUND((ROUND(((AE32-((EU32*1.1)))*AV32*1),2)*BS32),2)*AT32)/100),2))</f>
        <v>49.34</v>
      </c>
      <c r="CZ32" s="2">
        <f>(ROUND((((S32+ROUND((ROUND((((EU32*1.1))*AV32*1),2)*BS32),2))*AU32)/100),2)+ROUND(((ROUND((ROUND(((AE32-((EU32*1.1)))*AV32*1),2)*BS32),2)*AU32)/100),2))</f>
        <v>25.22</v>
      </c>
      <c r="DA32" s="2"/>
      <c r="DB32" s="2">
        <v>3</v>
      </c>
      <c r="DC32" s="2" t="s">
        <v>3</v>
      </c>
      <c r="DD32" s="2" t="s">
        <v>23</v>
      </c>
      <c r="DE32" s="2" t="s">
        <v>24</v>
      </c>
      <c r="DF32" s="2" t="s">
        <v>24</v>
      </c>
      <c r="DG32" s="2" t="s">
        <v>24</v>
      </c>
      <c r="DH32" s="2" t="s">
        <v>3</v>
      </c>
      <c r="DI32" s="2" t="s">
        <v>24</v>
      </c>
      <c r="DJ32" s="2" t="s">
        <v>24</v>
      </c>
      <c r="DK32" s="2" t="s">
        <v>3</v>
      </c>
      <c r="DL32" s="2" t="s">
        <v>3</v>
      </c>
      <c r="DM32" s="2" t="s">
        <v>3</v>
      </c>
      <c r="DN32" s="2">
        <v>0</v>
      </c>
      <c r="DO32" s="2">
        <v>0</v>
      </c>
      <c r="DP32" s="2">
        <v>1</v>
      </c>
      <c r="DQ32" s="2">
        <v>1</v>
      </c>
      <c r="DR32" s="2"/>
      <c r="DS32" s="2"/>
      <c r="DT32" s="2"/>
      <c r="DU32" s="2">
        <v>1013</v>
      </c>
      <c r="DV32" s="2" t="s">
        <v>21</v>
      </c>
      <c r="DW32" s="2" t="s">
        <v>21</v>
      </c>
      <c r="DX32" s="2">
        <v>1</v>
      </c>
      <c r="DY32" s="2"/>
      <c r="DZ32" s="2" t="s">
        <v>3</v>
      </c>
      <c r="EA32" s="2" t="s">
        <v>3</v>
      </c>
      <c r="EB32" s="2" t="s">
        <v>3</v>
      </c>
      <c r="EC32" s="2" t="s">
        <v>3</v>
      </c>
      <c r="ED32" s="2"/>
      <c r="EE32" s="2">
        <v>60088532</v>
      </c>
      <c r="EF32" s="2">
        <v>40</v>
      </c>
      <c r="EG32" s="2" t="s">
        <v>25</v>
      </c>
      <c r="EH32" s="2">
        <v>0</v>
      </c>
      <c r="EI32" s="2" t="s">
        <v>3</v>
      </c>
      <c r="EJ32" s="2">
        <v>2</v>
      </c>
      <c r="EK32" s="2">
        <v>68</v>
      </c>
      <c r="EL32" s="2" t="s">
        <v>26</v>
      </c>
      <c r="EM32" s="2" t="s">
        <v>27</v>
      </c>
      <c r="EN32" s="2"/>
      <c r="EO32" s="2" t="s">
        <v>28</v>
      </c>
      <c r="EP32" s="2"/>
      <c r="EQ32" s="2">
        <v>0</v>
      </c>
      <c r="ER32" s="2">
        <v>24.08</v>
      </c>
      <c r="ES32" s="2">
        <v>0.28000000000000003</v>
      </c>
      <c r="ET32" s="2">
        <v>0</v>
      </c>
      <c r="EU32" s="2">
        <v>0</v>
      </c>
      <c r="EV32" s="2">
        <v>23.8</v>
      </c>
      <c r="EW32" s="2">
        <v>2</v>
      </c>
      <c r="EX32" s="2">
        <v>0</v>
      </c>
      <c r="EY32" s="2">
        <v>0</v>
      </c>
      <c r="EZ32" s="2"/>
      <c r="FA32" s="2"/>
      <c r="FB32" s="2"/>
      <c r="FC32" s="2"/>
      <c r="FD32" s="2"/>
      <c r="FE32" s="2"/>
      <c r="FF32" s="2"/>
      <c r="FG32" s="2"/>
      <c r="FH32" s="2"/>
      <c r="FI32" s="2"/>
      <c r="FJ32" s="2"/>
      <c r="FK32" s="2"/>
      <c r="FL32" s="2"/>
      <c r="FM32" s="2"/>
      <c r="FN32" s="2"/>
      <c r="FO32" s="2"/>
      <c r="FP32" s="2"/>
      <c r="FQ32" s="2">
        <v>0</v>
      </c>
      <c r="FR32" s="2">
        <v>0</v>
      </c>
      <c r="FS32" s="2">
        <v>0</v>
      </c>
      <c r="FT32" s="2"/>
      <c r="FU32" s="2"/>
      <c r="FV32" s="2"/>
      <c r="FW32" s="2"/>
      <c r="FX32" s="2">
        <v>90</v>
      </c>
      <c r="FY32" s="2">
        <v>46</v>
      </c>
      <c r="FZ32" s="2"/>
      <c r="GA32" s="2" t="s">
        <v>3</v>
      </c>
      <c r="GB32" s="2"/>
      <c r="GC32" s="2"/>
      <c r="GD32" s="2">
        <v>1</v>
      </c>
      <c r="GE32" s="2"/>
      <c r="GF32" s="2">
        <v>1897857927</v>
      </c>
      <c r="GG32" s="2">
        <v>2</v>
      </c>
      <c r="GH32" s="2">
        <v>1</v>
      </c>
      <c r="GI32" s="2">
        <v>2</v>
      </c>
      <c r="GJ32" s="2">
        <v>0</v>
      </c>
      <c r="GK32" s="2">
        <v>0</v>
      </c>
      <c r="GL32" s="2">
        <f t="shared" si="35"/>
        <v>0</v>
      </c>
      <c r="GM32" s="2">
        <f t="shared" si="36"/>
        <v>129.94</v>
      </c>
      <c r="GN32" s="2">
        <f t="shared" si="37"/>
        <v>0</v>
      </c>
      <c r="GO32" s="2">
        <f t="shared" si="38"/>
        <v>129.94</v>
      </c>
      <c r="GP32" s="2">
        <f t="shared" si="39"/>
        <v>0</v>
      </c>
      <c r="GQ32" s="2"/>
      <c r="GR32" s="2">
        <v>0</v>
      </c>
      <c r="GS32" s="2">
        <v>3</v>
      </c>
      <c r="GT32" s="2">
        <v>0</v>
      </c>
      <c r="GU32" s="2" t="s">
        <v>3</v>
      </c>
      <c r="GV32" s="2">
        <f t="shared" si="40"/>
        <v>0</v>
      </c>
      <c r="GW32" s="2">
        <v>1</v>
      </c>
      <c r="GX32" s="2">
        <f t="shared" si="41"/>
        <v>0</v>
      </c>
      <c r="GY32" s="2"/>
      <c r="GZ32" s="2"/>
      <c r="HA32" s="2">
        <v>0</v>
      </c>
      <c r="HB32" s="2">
        <v>0</v>
      </c>
      <c r="HC32" s="2">
        <f t="shared" si="42"/>
        <v>0</v>
      </c>
      <c r="HD32" s="2"/>
      <c r="HE32" s="2" t="s">
        <v>3</v>
      </c>
      <c r="HF32" s="2" t="s">
        <v>3</v>
      </c>
      <c r="HG32" s="2"/>
      <c r="HH32" s="2"/>
      <c r="HI32" s="2"/>
      <c r="HJ32" s="2"/>
      <c r="HK32" s="2"/>
      <c r="HL32" s="2"/>
      <c r="HM32" s="2" t="s">
        <v>3</v>
      </c>
      <c r="HN32" s="2" t="s">
        <v>3</v>
      </c>
      <c r="HO32" s="2" t="s">
        <v>3</v>
      </c>
      <c r="HP32" s="2" t="s">
        <v>3</v>
      </c>
      <c r="HQ32" s="2" t="s">
        <v>3</v>
      </c>
      <c r="HR32" s="2"/>
      <c r="HS32" s="2">
        <v>0</v>
      </c>
      <c r="HT32" s="2"/>
      <c r="HU32" s="2"/>
      <c r="HV32" s="2"/>
      <c r="HW32" s="2"/>
      <c r="HX32" s="2"/>
      <c r="HY32" s="2"/>
      <c r="HZ32" s="2"/>
      <c r="IA32" s="2"/>
      <c r="IB32" s="2"/>
      <c r="IC32" s="2"/>
      <c r="ID32" s="2"/>
      <c r="IE32" s="2"/>
      <c r="IF32" s="2"/>
      <c r="IG32" s="2"/>
      <c r="IH32" s="2"/>
      <c r="II32" s="2"/>
      <c r="IJ32" s="2"/>
      <c r="IK32" s="2">
        <v>0</v>
      </c>
      <c r="IL32" s="2"/>
      <c r="IM32" s="2"/>
      <c r="IN32" s="2"/>
      <c r="IO32" s="2"/>
      <c r="IP32" s="2"/>
      <c r="IQ32" s="2"/>
      <c r="IR32" s="2"/>
      <c r="IS32" s="2"/>
      <c r="IT32" s="2"/>
      <c r="IU32" s="2"/>
    </row>
    <row r="33" spans="1:255" x14ac:dyDescent="0.2">
      <c r="A33" s="3">
        <v>17</v>
      </c>
      <c r="B33" s="3">
        <v>1</v>
      </c>
      <c r="C33" s="3">
        <f>ROW(SmtRes!A4)</f>
        <v>4</v>
      </c>
      <c r="D33" s="3">
        <f>ROW(EtalonRes!A4)</f>
        <v>4</v>
      </c>
      <c r="E33" s="3" t="s">
        <v>37</v>
      </c>
      <c r="F33" s="3" t="s">
        <v>39</v>
      </c>
      <c r="G33" s="3" t="s">
        <v>40</v>
      </c>
      <c r="H33" s="3" t="s">
        <v>21</v>
      </c>
      <c r="I33" s="3">
        <v>2</v>
      </c>
      <c r="J33" s="3">
        <v>0</v>
      </c>
      <c r="K33" s="3">
        <v>2</v>
      </c>
      <c r="O33" s="3">
        <f t="shared" si="21"/>
        <v>3020.09</v>
      </c>
      <c r="P33" s="3">
        <f>ROUND((ROUND((AC33*AW33*I33),2)*BC33),2)</f>
        <v>5.54</v>
      </c>
      <c r="Q33" s="3">
        <f>(ROUND((ROUND((((ET33*1.1))*AV33*I33),2)*BB33),2)+ROUND((ROUND(((AE33-((EU33*1.1)))*AV33*I33),2)*BS33),2))</f>
        <v>0</v>
      </c>
      <c r="R33" s="3">
        <f>(ROUND((ROUND((((EU33*1.1))*AV33*I33),2)*BS33),2)+ROUND((ROUND(((AE33-((EU33*1.1)))*AV33*I33),2)*BS33),2))</f>
        <v>0</v>
      </c>
      <c r="S33" s="3">
        <f t="shared" si="22"/>
        <v>3014.55</v>
      </c>
      <c r="T33" s="3">
        <f t="shared" si="23"/>
        <v>0</v>
      </c>
      <c r="U33" s="3">
        <f t="shared" si="24"/>
        <v>4.6067999999999998</v>
      </c>
      <c r="V33" s="3">
        <f t="shared" si="25"/>
        <v>0</v>
      </c>
      <c r="W33" s="3">
        <f t="shared" si="26"/>
        <v>0</v>
      </c>
      <c r="X33" s="3">
        <f>(ROUND((((S33+ROUND((ROUND((((EU33*1.1))*AV33*I33),2)*BS33),2))*AT33)/100),2)+ROUND(((ROUND((ROUND(((AE33-((EU33*1.1)))*AV33*I33),2)*BS33),2)*AT33)/100),2))</f>
        <v>2713.1</v>
      </c>
      <c r="Y33" s="3">
        <f>(ROUND((((S33+ROUND((ROUND((((EU33*1.1))*AV33*I33),2)*BS33),2))*AU33)/100),2)+ROUND(((ROUND((ROUND(((AE33-((EU33*1.1)))*AV33*I33),2)*BS33),2)*AU33)/100),2))</f>
        <v>1386.69</v>
      </c>
      <c r="AA33" s="3">
        <v>60257733</v>
      </c>
      <c r="AB33" s="3">
        <f t="shared" si="27"/>
        <v>26.46</v>
      </c>
      <c r="AC33" s="3">
        <f>ROUND(((ES33*1)),6)</f>
        <v>0.28000000000000003</v>
      </c>
      <c r="AD33" s="3">
        <f>ROUND(((((ET33*1.1))-((EU33*1.1)))+AE33),6)</f>
        <v>0</v>
      </c>
      <c r="AE33" s="3">
        <f>ROUND(((EU33*1.1)),6)</f>
        <v>0</v>
      </c>
      <c r="AF33" s="3">
        <f>ROUND(((EV33*1.1)),6)</f>
        <v>26.18</v>
      </c>
      <c r="AG33" s="3">
        <f t="shared" si="28"/>
        <v>0</v>
      </c>
      <c r="AH33" s="3">
        <f>((EW33*1.1))</f>
        <v>2.2000000000000002</v>
      </c>
      <c r="AI33" s="3">
        <f>((EX33*1.1))</f>
        <v>0</v>
      </c>
      <c r="AJ33" s="3">
        <f t="shared" si="29"/>
        <v>0</v>
      </c>
      <c r="AK33" s="3">
        <v>24.08</v>
      </c>
      <c r="AL33" s="3">
        <v>0.28000000000000003</v>
      </c>
      <c r="AM33" s="3">
        <v>0</v>
      </c>
      <c r="AN33" s="3">
        <v>0</v>
      </c>
      <c r="AO33" s="3">
        <v>23.8</v>
      </c>
      <c r="AP33" s="3">
        <v>0</v>
      </c>
      <c r="AQ33" s="3">
        <v>2</v>
      </c>
      <c r="AR33" s="3">
        <v>0</v>
      </c>
      <c r="AS33" s="3">
        <v>0</v>
      </c>
      <c r="AT33" s="3">
        <v>90</v>
      </c>
      <c r="AU33" s="3">
        <v>46</v>
      </c>
      <c r="AV33" s="3">
        <v>1.0469999999999999</v>
      </c>
      <c r="AW33" s="3">
        <v>1</v>
      </c>
      <c r="AZ33" s="3">
        <v>1</v>
      </c>
      <c r="BA33" s="3">
        <v>54.99</v>
      </c>
      <c r="BB33" s="3">
        <v>1</v>
      </c>
      <c r="BC33" s="3">
        <v>9.89</v>
      </c>
      <c r="BD33" s="3" t="s">
        <v>3</v>
      </c>
      <c r="BE33" s="3" t="s">
        <v>3</v>
      </c>
      <c r="BF33" s="3" t="s">
        <v>3</v>
      </c>
      <c r="BG33" s="3" t="s">
        <v>3</v>
      </c>
      <c r="BH33" s="3">
        <v>0</v>
      </c>
      <c r="BI33" s="3">
        <v>2</v>
      </c>
      <c r="BJ33" s="3" t="s">
        <v>41</v>
      </c>
      <c r="BM33" s="3">
        <v>68</v>
      </c>
      <c r="BN33" s="3">
        <v>58973116</v>
      </c>
      <c r="BO33" s="3" t="s">
        <v>39</v>
      </c>
      <c r="BP33" s="3">
        <v>1</v>
      </c>
      <c r="BQ33" s="3">
        <v>40</v>
      </c>
      <c r="BR33" s="3">
        <v>0</v>
      </c>
      <c r="BS33" s="3">
        <v>54.99</v>
      </c>
      <c r="BT33" s="3">
        <v>1</v>
      </c>
      <c r="BU33" s="3">
        <v>1</v>
      </c>
      <c r="BV33" s="3">
        <v>1</v>
      </c>
      <c r="BW33" s="3">
        <v>1</v>
      </c>
      <c r="BX33" s="3">
        <v>1</v>
      </c>
      <c r="BY33" s="3" t="s">
        <v>3</v>
      </c>
      <c r="BZ33" s="3">
        <v>90</v>
      </c>
      <c r="CA33" s="3">
        <v>46</v>
      </c>
      <c r="CB33" s="3" t="s">
        <v>3</v>
      </c>
      <c r="CE33" s="3">
        <v>1566</v>
      </c>
      <c r="CF33" s="3">
        <v>0</v>
      </c>
      <c r="CG33" s="3">
        <v>0</v>
      </c>
      <c r="CM33" s="3">
        <v>0</v>
      </c>
      <c r="CN33" s="3" t="s">
        <v>200</v>
      </c>
      <c r="CO33" s="3">
        <v>0</v>
      </c>
      <c r="CP33" s="3">
        <f t="shared" si="30"/>
        <v>3020.09</v>
      </c>
      <c r="CQ33" s="3">
        <f>ROUND((ROUND((AC33*AW33*1),2)*BC33),2)</f>
        <v>2.77</v>
      </c>
      <c r="CR33" s="3">
        <f>(ROUND((ROUND((((ET33*1.1))*AV33*1),2)*BB33),2)+ROUND((ROUND(((AE33-((EU33*1.1)))*AV33*1),2)*BS33),2))</f>
        <v>0</v>
      </c>
      <c r="CS33" s="3">
        <f>(ROUND((ROUND((((EU33*1.1))*AV33*1),2)*BS33),2)+ROUND((ROUND(((AE33-((EU33*1.1)))*AV33*1),2)*BS33),2))</f>
        <v>0</v>
      </c>
      <c r="CT33" s="3">
        <f t="shared" si="31"/>
        <v>1507.28</v>
      </c>
      <c r="CU33" s="3">
        <f t="shared" si="32"/>
        <v>0</v>
      </c>
      <c r="CV33" s="3">
        <f t="shared" si="33"/>
        <v>2.3033999999999999</v>
      </c>
      <c r="CW33" s="3">
        <f t="shared" si="34"/>
        <v>0</v>
      </c>
      <c r="CX33" s="3">
        <f t="shared" si="34"/>
        <v>0</v>
      </c>
      <c r="CY33" s="3">
        <f>(ROUND((((S33+ROUND((ROUND((((EU33*1.1))*AV33*1),2)*BS33),2))*AT33)/100),2)+ROUND(((ROUND((ROUND(((AE33-((EU33*1.1)))*AV33*1),2)*BS33),2)*AT33)/100),2))</f>
        <v>2713.1</v>
      </c>
      <c r="CZ33" s="3">
        <f>(ROUND((((S33+ROUND((ROUND((((EU33*1.1))*AV33*1),2)*BS33),2))*AU33)/100),2)+ROUND(((ROUND((ROUND(((AE33-((EU33*1.1)))*AV33*1),2)*BS33),2)*AU33)/100),2))</f>
        <v>1386.69</v>
      </c>
      <c r="DB33" s="3">
        <v>4</v>
      </c>
      <c r="DC33" s="3" t="s">
        <v>3</v>
      </c>
      <c r="DD33" s="3" t="s">
        <v>23</v>
      </c>
      <c r="DE33" s="3" t="s">
        <v>24</v>
      </c>
      <c r="DF33" s="3" t="s">
        <v>24</v>
      </c>
      <c r="DG33" s="3" t="s">
        <v>24</v>
      </c>
      <c r="DH33" s="3" t="s">
        <v>3</v>
      </c>
      <c r="DI33" s="3" t="s">
        <v>24</v>
      </c>
      <c r="DJ33" s="3" t="s">
        <v>24</v>
      </c>
      <c r="DK33" s="3" t="s">
        <v>3</v>
      </c>
      <c r="DL33" s="3" t="s">
        <v>3</v>
      </c>
      <c r="DM33" s="3" t="s">
        <v>3</v>
      </c>
      <c r="DN33" s="3">
        <v>0</v>
      </c>
      <c r="DO33" s="3">
        <v>0</v>
      </c>
      <c r="DP33" s="3">
        <v>1</v>
      </c>
      <c r="DQ33" s="3">
        <v>1</v>
      </c>
      <c r="DU33" s="3">
        <v>1013</v>
      </c>
      <c r="DV33" s="3" t="s">
        <v>21</v>
      </c>
      <c r="DW33" s="3" t="s">
        <v>21</v>
      </c>
      <c r="DX33" s="3">
        <v>1</v>
      </c>
      <c r="DZ33" s="3" t="s">
        <v>3</v>
      </c>
      <c r="EA33" s="3" t="s">
        <v>3</v>
      </c>
      <c r="EB33" s="3" t="s">
        <v>3</v>
      </c>
      <c r="EC33" s="3" t="s">
        <v>3</v>
      </c>
      <c r="EE33" s="3">
        <v>60088532</v>
      </c>
      <c r="EF33" s="3">
        <v>40</v>
      </c>
      <c r="EG33" s="3" t="s">
        <v>25</v>
      </c>
      <c r="EH33" s="3">
        <v>0</v>
      </c>
      <c r="EI33" s="3" t="s">
        <v>3</v>
      </c>
      <c r="EJ33" s="3">
        <v>2</v>
      </c>
      <c r="EK33" s="3">
        <v>68</v>
      </c>
      <c r="EL33" s="3" t="s">
        <v>26</v>
      </c>
      <c r="EM33" s="3" t="s">
        <v>27</v>
      </c>
      <c r="EO33" s="3" t="s">
        <v>28</v>
      </c>
      <c r="EQ33" s="3">
        <v>0</v>
      </c>
      <c r="ER33" s="3">
        <v>24.08</v>
      </c>
      <c r="ES33" s="3">
        <v>0.28000000000000003</v>
      </c>
      <c r="ET33" s="3">
        <v>0</v>
      </c>
      <c r="EU33" s="3">
        <v>0</v>
      </c>
      <c r="EV33" s="3">
        <v>23.8</v>
      </c>
      <c r="EW33" s="3">
        <v>2</v>
      </c>
      <c r="EX33" s="3">
        <v>0</v>
      </c>
      <c r="EY33" s="3">
        <v>0</v>
      </c>
      <c r="FQ33" s="3">
        <v>0</v>
      </c>
      <c r="FR33" s="3">
        <v>0</v>
      </c>
      <c r="FS33" s="3">
        <v>0</v>
      </c>
      <c r="FX33" s="3">
        <v>90</v>
      </c>
      <c r="FY33" s="3">
        <v>46</v>
      </c>
      <c r="GA33" s="3" t="s">
        <v>3</v>
      </c>
      <c r="GD33" s="3">
        <v>1</v>
      </c>
      <c r="GF33" s="3">
        <v>1897857927</v>
      </c>
      <c r="GG33" s="3">
        <v>2</v>
      </c>
      <c r="GH33" s="3">
        <v>1</v>
      </c>
      <c r="GI33" s="3">
        <v>2</v>
      </c>
      <c r="GJ33" s="3">
        <v>0</v>
      </c>
      <c r="GK33" s="3">
        <v>0</v>
      </c>
      <c r="GL33" s="3">
        <f t="shared" si="35"/>
        <v>0</v>
      </c>
      <c r="GM33" s="3">
        <f t="shared" si="36"/>
        <v>7119.88</v>
      </c>
      <c r="GN33" s="3">
        <f t="shared" si="37"/>
        <v>0</v>
      </c>
      <c r="GO33" s="3">
        <f t="shared" si="38"/>
        <v>7119.88</v>
      </c>
      <c r="GP33" s="3">
        <f t="shared" si="39"/>
        <v>0</v>
      </c>
      <c r="GR33" s="3">
        <v>0</v>
      </c>
      <c r="GS33" s="3">
        <v>3</v>
      </c>
      <c r="GT33" s="3">
        <v>0</v>
      </c>
      <c r="GU33" s="3" t="s">
        <v>3</v>
      </c>
      <c r="GV33" s="3">
        <f t="shared" si="40"/>
        <v>0</v>
      </c>
      <c r="GW33" s="3">
        <v>1</v>
      </c>
      <c r="GX33" s="3">
        <f t="shared" si="41"/>
        <v>0</v>
      </c>
      <c r="HA33" s="3">
        <v>0</v>
      </c>
      <c r="HB33" s="3">
        <v>0</v>
      </c>
      <c r="HC33" s="3">
        <f t="shared" si="42"/>
        <v>0</v>
      </c>
      <c r="HE33" s="3" t="s">
        <v>3</v>
      </c>
      <c r="HF33" s="3" t="s">
        <v>3</v>
      </c>
      <c r="HM33" s="3" t="s">
        <v>3</v>
      </c>
      <c r="HN33" s="3" t="s">
        <v>3</v>
      </c>
      <c r="HO33" s="3" t="s">
        <v>3</v>
      </c>
      <c r="HP33" s="3" t="s">
        <v>3</v>
      </c>
      <c r="HQ33" s="3" t="s">
        <v>3</v>
      </c>
      <c r="HS33" s="3">
        <v>0</v>
      </c>
      <c r="IK33" s="3">
        <v>0</v>
      </c>
    </row>
    <row r="34" spans="1:255" x14ac:dyDescent="0.2">
      <c r="A34" s="2">
        <v>17</v>
      </c>
      <c r="B34" s="2">
        <v>1</v>
      </c>
      <c r="C34" s="2"/>
      <c r="D34" s="2"/>
      <c r="E34" s="2" t="s">
        <v>42</v>
      </c>
      <c r="F34" s="2" t="s">
        <v>43</v>
      </c>
      <c r="G34" s="2" t="s">
        <v>44</v>
      </c>
      <c r="H34" s="2" t="s">
        <v>45</v>
      </c>
      <c r="I34" s="2">
        <v>2</v>
      </c>
      <c r="J34" s="2">
        <v>0</v>
      </c>
      <c r="K34" s="2">
        <v>2</v>
      </c>
      <c r="L34" s="2"/>
      <c r="M34" s="2"/>
      <c r="N34" s="2"/>
      <c r="O34" s="2">
        <f t="shared" si="21"/>
        <v>1461.26</v>
      </c>
      <c r="P34" s="2">
        <f>ROUND((ROUND((AC34*I34),2)*BC34),2)</f>
        <v>1461.26</v>
      </c>
      <c r="Q34" s="2">
        <f>(ROUND((ROUND(((ET34)*AV34*I34),2)*BB34),2)+ROUND((ROUND(((AE34-(EU34))*AV34*I34),2)*BS34),2))</f>
        <v>0</v>
      </c>
      <c r="R34" s="2">
        <f>(ROUND((ROUND(((EU34)*AV34*I34),2)*BS34),2)+ROUND((ROUND(((AE34-(EU34))*AV34*I34),2)*BS34),2))</f>
        <v>0</v>
      </c>
      <c r="S34" s="2">
        <f t="shared" si="22"/>
        <v>0</v>
      </c>
      <c r="T34" s="2">
        <f t="shared" si="23"/>
        <v>0</v>
      </c>
      <c r="U34" s="2">
        <f t="shared" si="24"/>
        <v>0</v>
      </c>
      <c r="V34" s="2">
        <f t="shared" si="25"/>
        <v>0</v>
      </c>
      <c r="W34" s="2">
        <f t="shared" si="26"/>
        <v>0</v>
      </c>
      <c r="X34" s="2">
        <f>(ROUND((((S34+ROUND((ROUND(((EU34)*AV34*I34),2)*BS34),2))*AT34)/100),2)+ROUND(((ROUND((ROUND(((AE34-(EU34))*AV34*I34),2)*BS34),2)*AT34)/100),2))</f>
        <v>0</v>
      </c>
      <c r="Y34" s="2">
        <f>(ROUND((((S34+ROUND((ROUND(((EU34)*AV34*I34),2)*BS34),2))*AU34)/100),2)+ROUND(((ROUND((ROUND(((AE34-(EU34))*AV34*I34),2)*BS34),2)*AU34)/100),2))</f>
        <v>0</v>
      </c>
      <c r="Z34" s="2"/>
      <c r="AA34" s="2">
        <v>60257736</v>
      </c>
      <c r="AB34" s="2">
        <f t="shared" si="27"/>
        <v>730.63</v>
      </c>
      <c r="AC34" s="2">
        <f>ROUND((ES34),6)</f>
        <v>730.63</v>
      </c>
      <c r="AD34" s="2">
        <f>ROUND((((ET34)-(EU34))+AE34),6)</f>
        <v>0</v>
      </c>
      <c r="AE34" s="2">
        <f>ROUND((EU34),6)</f>
        <v>0</v>
      </c>
      <c r="AF34" s="2">
        <f>ROUND((EV34),6)</f>
        <v>0</v>
      </c>
      <c r="AG34" s="2">
        <f t="shared" si="28"/>
        <v>0</v>
      </c>
      <c r="AH34" s="2">
        <f>(EW34)</f>
        <v>0</v>
      </c>
      <c r="AI34" s="2">
        <f>(EX34)</f>
        <v>0</v>
      </c>
      <c r="AJ34" s="2">
        <f t="shared" si="29"/>
        <v>0</v>
      </c>
      <c r="AK34" s="2">
        <v>730.63</v>
      </c>
      <c r="AL34" s="2">
        <v>730.63</v>
      </c>
      <c r="AM34" s="2">
        <v>0</v>
      </c>
      <c r="AN34" s="2">
        <v>0</v>
      </c>
      <c r="AO34" s="2">
        <v>0</v>
      </c>
      <c r="AP34" s="2">
        <v>0</v>
      </c>
      <c r="AQ34" s="2">
        <v>0</v>
      </c>
      <c r="AR34" s="2">
        <v>0</v>
      </c>
      <c r="AS34" s="2">
        <v>0</v>
      </c>
      <c r="AT34" s="2">
        <v>0</v>
      </c>
      <c r="AU34" s="2">
        <v>0</v>
      </c>
      <c r="AV34" s="2">
        <v>1</v>
      </c>
      <c r="AW34" s="2">
        <v>1</v>
      </c>
      <c r="AX34" s="2"/>
      <c r="AY34" s="2"/>
      <c r="AZ34" s="2">
        <v>1</v>
      </c>
      <c r="BA34" s="2">
        <v>1</v>
      </c>
      <c r="BB34" s="2">
        <v>1</v>
      </c>
      <c r="BC34" s="2">
        <v>1</v>
      </c>
      <c r="BD34" s="2" t="s">
        <v>3</v>
      </c>
      <c r="BE34" s="2" t="s">
        <v>3</v>
      </c>
      <c r="BF34" s="2" t="s">
        <v>3</v>
      </c>
      <c r="BG34" s="2" t="s">
        <v>3</v>
      </c>
      <c r="BH34" s="2">
        <v>3</v>
      </c>
      <c r="BI34" s="2">
        <v>3</v>
      </c>
      <c r="BJ34" s="2" t="s">
        <v>3</v>
      </c>
      <c r="BK34" s="2"/>
      <c r="BL34" s="2"/>
      <c r="BM34" s="2">
        <v>746</v>
      </c>
      <c r="BN34" s="2">
        <v>58973116</v>
      </c>
      <c r="BO34" s="2" t="s">
        <v>3</v>
      </c>
      <c r="BP34" s="2">
        <v>0</v>
      </c>
      <c r="BQ34" s="2">
        <v>130</v>
      </c>
      <c r="BR34" s="2">
        <v>0</v>
      </c>
      <c r="BS34" s="2">
        <v>1</v>
      </c>
      <c r="BT34" s="2">
        <v>1</v>
      </c>
      <c r="BU34" s="2">
        <v>1</v>
      </c>
      <c r="BV34" s="2">
        <v>1</v>
      </c>
      <c r="BW34" s="2">
        <v>1</v>
      </c>
      <c r="BX34" s="2">
        <v>1</v>
      </c>
      <c r="BY34" s="2" t="s">
        <v>3</v>
      </c>
      <c r="BZ34" s="2">
        <v>0</v>
      </c>
      <c r="CA34" s="2">
        <v>0</v>
      </c>
      <c r="CB34" s="2" t="s">
        <v>3</v>
      </c>
      <c r="CC34" s="2"/>
      <c r="CD34" s="2"/>
      <c r="CE34" s="2">
        <v>1566</v>
      </c>
      <c r="CF34" s="2">
        <v>0</v>
      </c>
      <c r="CG34" s="2">
        <v>0</v>
      </c>
      <c r="CH34" s="2"/>
      <c r="CI34" s="2"/>
      <c r="CJ34" s="2"/>
      <c r="CK34" s="2"/>
      <c r="CL34" s="2"/>
      <c r="CM34" s="2">
        <v>0</v>
      </c>
      <c r="CN34" s="2" t="s">
        <v>3</v>
      </c>
      <c r="CO34" s="2">
        <v>0</v>
      </c>
      <c r="CP34" s="2">
        <f t="shared" si="30"/>
        <v>1461.26</v>
      </c>
      <c r="CQ34" s="2">
        <f>ROUND((ROUND((AC34*1),2)*BC34),2)</f>
        <v>730.63</v>
      </c>
      <c r="CR34" s="2">
        <f>(ROUND((ROUND(((ET34)*AV34*1),2)*BB34),2)+ROUND((ROUND(((AE34-(EU34))*AV34*1),2)*BS34),2))</f>
        <v>0</v>
      </c>
      <c r="CS34" s="2">
        <f>(ROUND((ROUND(((EU34)*AV34*1),2)*BS34),2)+ROUND((ROUND(((AE34-(EU34))*AV34*1),2)*BS34),2))</f>
        <v>0</v>
      </c>
      <c r="CT34" s="2">
        <f t="shared" si="31"/>
        <v>0</v>
      </c>
      <c r="CU34" s="2">
        <f t="shared" si="32"/>
        <v>0</v>
      </c>
      <c r="CV34" s="2">
        <f t="shared" si="33"/>
        <v>0</v>
      </c>
      <c r="CW34" s="2">
        <f t="shared" si="34"/>
        <v>0</v>
      </c>
      <c r="CX34" s="2">
        <f t="shared" si="34"/>
        <v>0</v>
      </c>
      <c r="CY34" s="2">
        <f>(ROUND((((S34+ROUND((ROUND(((EU34)*AV34*1),2)*BS34),2))*AT34)/100),2)+ROUND(((ROUND((ROUND(((AE34-(EU34))*AV34*1),2)*BS34),2)*AT34)/100),2))</f>
        <v>0</v>
      </c>
      <c r="CZ34" s="2">
        <f>(ROUND((((S34+ROUND((ROUND(((EU34)*AV34*1),2)*BS34),2))*AU34)/100),2)+ROUND(((ROUND((ROUND(((AE34-(EU34))*AV34*1),2)*BS34),2)*AU34)/100),2))</f>
        <v>0</v>
      </c>
      <c r="DA34" s="2"/>
      <c r="DB34" s="2"/>
      <c r="DC34" s="2" t="s">
        <v>3</v>
      </c>
      <c r="DD34" s="2" t="s">
        <v>3</v>
      </c>
      <c r="DE34" s="2" t="s">
        <v>3</v>
      </c>
      <c r="DF34" s="2" t="s">
        <v>3</v>
      </c>
      <c r="DG34" s="2" t="s">
        <v>3</v>
      </c>
      <c r="DH34" s="2" t="s">
        <v>3</v>
      </c>
      <c r="DI34" s="2" t="s">
        <v>3</v>
      </c>
      <c r="DJ34" s="2" t="s">
        <v>3</v>
      </c>
      <c r="DK34" s="2" t="s">
        <v>3</v>
      </c>
      <c r="DL34" s="2" t="s">
        <v>3</v>
      </c>
      <c r="DM34" s="2" t="s">
        <v>3</v>
      </c>
      <c r="DN34" s="2">
        <v>0</v>
      </c>
      <c r="DO34" s="2">
        <v>0</v>
      </c>
      <c r="DP34" s="2">
        <v>1</v>
      </c>
      <c r="DQ34" s="2">
        <v>1</v>
      </c>
      <c r="DR34" s="2"/>
      <c r="DS34" s="2"/>
      <c r="DT34" s="2"/>
      <c r="DU34" s="2">
        <v>1010</v>
      </c>
      <c r="DV34" s="2" t="s">
        <v>45</v>
      </c>
      <c r="DW34" s="2" t="s">
        <v>45</v>
      </c>
      <c r="DX34" s="2">
        <v>1</v>
      </c>
      <c r="DY34" s="2"/>
      <c r="DZ34" s="2" t="s">
        <v>3</v>
      </c>
      <c r="EA34" s="2" t="s">
        <v>3</v>
      </c>
      <c r="EB34" s="2" t="s">
        <v>3</v>
      </c>
      <c r="EC34" s="2" t="s">
        <v>3</v>
      </c>
      <c r="ED34" s="2"/>
      <c r="EE34" s="2">
        <v>60088638</v>
      </c>
      <c r="EF34" s="2">
        <v>130</v>
      </c>
      <c r="EG34" s="2" t="s">
        <v>33</v>
      </c>
      <c r="EH34" s="2">
        <v>0</v>
      </c>
      <c r="EI34" s="2" t="s">
        <v>3</v>
      </c>
      <c r="EJ34" s="2">
        <v>3</v>
      </c>
      <c r="EK34" s="2">
        <v>746</v>
      </c>
      <c r="EL34" s="2" t="s">
        <v>34</v>
      </c>
      <c r="EM34" s="2" t="s">
        <v>35</v>
      </c>
      <c r="EN34" s="2"/>
      <c r="EO34" s="2" t="s">
        <v>3</v>
      </c>
      <c r="EP34" s="2"/>
      <c r="EQ34" s="2">
        <v>0</v>
      </c>
      <c r="ER34" s="2">
        <v>730.63</v>
      </c>
      <c r="ES34" s="2">
        <v>730.63</v>
      </c>
      <c r="ET34" s="2">
        <v>0</v>
      </c>
      <c r="EU34" s="2">
        <v>0</v>
      </c>
      <c r="EV34" s="2">
        <v>0</v>
      </c>
      <c r="EW34" s="2">
        <v>0</v>
      </c>
      <c r="EX34" s="2">
        <v>0</v>
      </c>
      <c r="EY34" s="2">
        <v>0</v>
      </c>
      <c r="EZ34" s="2"/>
      <c r="FA34" s="2"/>
      <c r="FB34" s="2"/>
      <c r="FC34" s="2"/>
      <c r="FD34" s="2"/>
      <c r="FE34" s="2"/>
      <c r="FF34" s="2"/>
      <c r="FG34" s="2"/>
      <c r="FH34" s="2"/>
      <c r="FI34" s="2"/>
      <c r="FJ34" s="2"/>
      <c r="FK34" s="2"/>
      <c r="FL34" s="2"/>
      <c r="FM34" s="2"/>
      <c r="FN34" s="2"/>
      <c r="FO34" s="2"/>
      <c r="FP34" s="2"/>
      <c r="FQ34" s="2">
        <v>0</v>
      </c>
      <c r="FR34" s="2">
        <f>P34</f>
        <v>1461.26</v>
      </c>
      <c r="FS34" s="2">
        <v>0</v>
      </c>
      <c r="FT34" s="2"/>
      <c r="FU34" s="2"/>
      <c r="FV34" s="2"/>
      <c r="FW34" s="2"/>
      <c r="FX34" s="2">
        <v>0</v>
      </c>
      <c r="FY34" s="2">
        <v>0</v>
      </c>
      <c r="FZ34" s="2"/>
      <c r="GA34" s="2" t="s">
        <v>3</v>
      </c>
      <c r="GB34" s="2"/>
      <c r="GC34" s="2"/>
      <c r="GD34" s="2">
        <v>1</v>
      </c>
      <c r="GE34" s="2"/>
      <c r="GF34" s="2">
        <v>-1868144852</v>
      </c>
      <c r="GG34" s="2">
        <v>2</v>
      </c>
      <c r="GH34" s="2">
        <v>1</v>
      </c>
      <c r="GI34" s="2">
        <v>-2</v>
      </c>
      <c r="GJ34" s="2">
        <v>0</v>
      </c>
      <c r="GK34" s="2">
        <v>0</v>
      </c>
      <c r="GL34" s="2">
        <f t="shared" si="35"/>
        <v>0</v>
      </c>
      <c r="GM34" s="2">
        <f t="shared" si="36"/>
        <v>1461.26</v>
      </c>
      <c r="GN34" s="2">
        <f t="shared" si="37"/>
        <v>0</v>
      </c>
      <c r="GO34" s="2">
        <f t="shared" si="38"/>
        <v>0</v>
      </c>
      <c r="GP34" s="2">
        <f t="shared" si="39"/>
        <v>0</v>
      </c>
      <c r="GQ34" s="2"/>
      <c r="GR34" s="2">
        <v>0</v>
      </c>
      <c r="GS34" s="2">
        <v>3</v>
      </c>
      <c r="GT34" s="2">
        <v>0</v>
      </c>
      <c r="GU34" s="2" t="s">
        <v>3</v>
      </c>
      <c r="GV34" s="2">
        <f t="shared" si="40"/>
        <v>0</v>
      </c>
      <c r="GW34" s="2">
        <v>1</v>
      </c>
      <c r="GX34" s="2">
        <f t="shared" si="41"/>
        <v>0</v>
      </c>
      <c r="GY34" s="2"/>
      <c r="GZ34" s="2"/>
      <c r="HA34" s="2">
        <v>0</v>
      </c>
      <c r="HB34" s="2">
        <v>0</v>
      </c>
      <c r="HC34" s="2">
        <f t="shared" si="42"/>
        <v>0</v>
      </c>
      <c r="HD34" s="2"/>
      <c r="HE34" s="2" t="s">
        <v>3</v>
      </c>
      <c r="HF34" s="2" t="s">
        <v>3</v>
      </c>
      <c r="HG34" s="2"/>
      <c r="HH34" s="2"/>
      <c r="HI34" s="2"/>
      <c r="HJ34" s="2"/>
      <c r="HK34" s="2"/>
      <c r="HL34" s="2"/>
      <c r="HM34" s="2" t="s">
        <v>3</v>
      </c>
      <c r="HN34" s="2" t="s">
        <v>3</v>
      </c>
      <c r="HO34" s="2" t="s">
        <v>3</v>
      </c>
      <c r="HP34" s="2" t="s">
        <v>3</v>
      </c>
      <c r="HQ34" s="2" t="s">
        <v>3</v>
      </c>
      <c r="HR34" s="2"/>
      <c r="HS34" s="2">
        <v>0</v>
      </c>
      <c r="HT34" s="2"/>
      <c r="HU34" s="2"/>
      <c r="HV34" s="2"/>
      <c r="HW34" s="2"/>
      <c r="HX34" s="2"/>
      <c r="HY34" s="2"/>
      <c r="HZ34" s="2"/>
      <c r="IA34" s="2"/>
      <c r="IB34" s="2"/>
      <c r="IC34" s="2"/>
      <c r="ID34" s="2"/>
      <c r="IE34" s="2"/>
      <c r="IF34" s="2"/>
      <c r="IG34" s="2"/>
      <c r="IH34" s="2"/>
      <c r="II34" s="2"/>
      <c r="IJ34" s="2"/>
      <c r="IK34" s="2">
        <v>0</v>
      </c>
      <c r="IL34" s="2"/>
      <c r="IM34" s="2"/>
      <c r="IN34" s="2"/>
      <c r="IO34" s="2"/>
      <c r="IP34" s="2"/>
      <c r="IQ34" s="2"/>
      <c r="IR34" s="2"/>
      <c r="IS34" s="2"/>
      <c r="IT34" s="2"/>
      <c r="IU34" s="2"/>
    </row>
    <row r="35" spans="1:255" x14ac:dyDescent="0.2">
      <c r="A35" s="3">
        <v>17</v>
      </c>
      <c r="B35" s="3">
        <v>1</v>
      </c>
      <c r="E35" s="3" t="s">
        <v>42</v>
      </c>
      <c r="F35" s="3" t="s">
        <v>43</v>
      </c>
      <c r="G35" s="3" t="s">
        <v>44</v>
      </c>
      <c r="H35" s="3" t="s">
        <v>45</v>
      </c>
      <c r="I35" s="3">
        <v>2</v>
      </c>
      <c r="J35" s="3">
        <v>0</v>
      </c>
      <c r="K35" s="3">
        <v>2</v>
      </c>
      <c r="O35" s="3">
        <f t="shared" si="21"/>
        <v>7598.55</v>
      </c>
      <c r="P35" s="3">
        <f>ROUND((ROUND((AC35*I35),2)*BC35),2)</f>
        <v>7598.55</v>
      </c>
      <c r="Q35" s="3">
        <f>(ROUND((ROUND(((ET35)*AV35*I35),2)*BB35),2)+ROUND((ROUND(((AE35-(EU35))*AV35*I35),2)*BS35),2))</f>
        <v>0</v>
      </c>
      <c r="R35" s="3">
        <f>(ROUND((ROUND(((EU35)*AV35*I35),2)*BS35),2)+ROUND((ROUND(((AE35-(EU35))*AV35*I35),2)*BS35),2))</f>
        <v>0</v>
      </c>
      <c r="S35" s="3">
        <f t="shared" si="22"/>
        <v>0</v>
      </c>
      <c r="T35" s="3">
        <f t="shared" si="23"/>
        <v>0</v>
      </c>
      <c r="U35" s="3">
        <f t="shared" si="24"/>
        <v>0</v>
      </c>
      <c r="V35" s="3">
        <f t="shared" si="25"/>
        <v>0</v>
      </c>
      <c r="W35" s="3">
        <f t="shared" si="26"/>
        <v>0</v>
      </c>
      <c r="X35" s="3">
        <f>(ROUND((((S35+ROUND((ROUND(((EU35)*AV35*I35),2)*BS35),2))*AT35)/100),2)+ROUND(((ROUND((ROUND(((AE35-(EU35))*AV35*I35),2)*BS35),2)*AT35)/100),2))</f>
        <v>0</v>
      </c>
      <c r="Y35" s="3">
        <f>(ROUND((((S35+ROUND((ROUND(((EU35)*AV35*I35),2)*BS35),2))*AU35)/100),2)+ROUND(((ROUND((ROUND(((AE35-(EU35))*AV35*I35),2)*BS35),2)*AU35)/100),2))</f>
        <v>0</v>
      </c>
      <c r="AA35" s="3">
        <v>60257733</v>
      </c>
      <c r="AB35" s="3">
        <f t="shared" si="27"/>
        <v>730.63</v>
      </c>
      <c r="AC35" s="3">
        <f>ROUND((ES35),6)</f>
        <v>730.63</v>
      </c>
      <c r="AD35" s="3">
        <f>ROUND((((ET35)-(EU35))+AE35),6)</f>
        <v>0</v>
      </c>
      <c r="AE35" s="3">
        <f>ROUND((EU35),6)</f>
        <v>0</v>
      </c>
      <c r="AF35" s="3">
        <f>ROUND((EV35),6)</f>
        <v>0</v>
      </c>
      <c r="AG35" s="3">
        <f t="shared" si="28"/>
        <v>0</v>
      </c>
      <c r="AH35" s="3">
        <f>(EW35)</f>
        <v>0</v>
      </c>
      <c r="AI35" s="3">
        <f>(EX35)</f>
        <v>0</v>
      </c>
      <c r="AJ35" s="3">
        <f t="shared" si="29"/>
        <v>0</v>
      </c>
      <c r="AK35" s="3">
        <v>730.63</v>
      </c>
      <c r="AL35" s="3">
        <v>730.63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1</v>
      </c>
      <c r="AW35" s="3">
        <v>1</v>
      </c>
      <c r="AZ35" s="3">
        <v>1</v>
      </c>
      <c r="BA35" s="3">
        <v>1</v>
      </c>
      <c r="BB35" s="3">
        <v>1</v>
      </c>
      <c r="BC35" s="3">
        <v>5.2</v>
      </c>
      <c r="BD35" s="3" t="s">
        <v>3</v>
      </c>
      <c r="BE35" s="3" t="s">
        <v>3</v>
      </c>
      <c r="BF35" s="3" t="s">
        <v>3</v>
      </c>
      <c r="BG35" s="3" t="s">
        <v>3</v>
      </c>
      <c r="BH35" s="3">
        <v>3</v>
      </c>
      <c r="BI35" s="3">
        <v>3</v>
      </c>
      <c r="BJ35" s="3" t="s">
        <v>3</v>
      </c>
      <c r="BM35" s="3">
        <v>746</v>
      </c>
      <c r="BN35" s="3">
        <v>58973116</v>
      </c>
      <c r="BO35" s="3" t="s">
        <v>3</v>
      </c>
      <c r="BP35" s="3">
        <v>0</v>
      </c>
      <c r="BQ35" s="3">
        <v>130</v>
      </c>
      <c r="BR35" s="3">
        <v>0</v>
      </c>
      <c r="BS35" s="3">
        <v>1</v>
      </c>
      <c r="BT35" s="3">
        <v>1</v>
      </c>
      <c r="BU35" s="3">
        <v>1</v>
      </c>
      <c r="BV35" s="3">
        <v>1</v>
      </c>
      <c r="BW35" s="3">
        <v>1</v>
      </c>
      <c r="BX35" s="3">
        <v>1</v>
      </c>
      <c r="BY35" s="3" t="s">
        <v>3</v>
      </c>
      <c r="BZ35" s="3">
        <v>0</v>
      </c>
      <c r="CA35" s="3">
        <v>0</v>
      </c>
      <c r="CB35" s="3" t="s">
        <v>3</v>
      </c>
      <c r="CE35" s="3">
        <v>1566</v>
      </c>
      <c r="CF35" s="3">
        <v>0</v>
      </c>
      <c r="CG35" s="3">
        <v>0</v>
      </c>
      <c r="CM35" s="3">
        <v>0</v>
      </c>
      <c r="CN35" s="3" t="s">
        <v>3</v>
      </c>
      <c r="CO35" s="3">
        <v>0</v>
      </c>
      <c r="CP35" s="3">
        <f t="shared" si="30"/>
        <v>7598.55</v>
      </c>
      <c r="CQ35" s="3">
        <f>ROUND((ROUND((AC35*1),2)*BC35),2)</f>
        <v>3799.28</v>
      </c>
      <c r="CR35" s="3">
        <f>(ROUND((ROUND(((ET35)*AV35*1),2)*BB35),2)+ROUND((ROUND(((AE35-(EU35))*AV35*1),2)*BS35),2))</f>
        <v>0</v>
      </c>
      <c r="CS35" s="3">
        <f>(ROUND((ROUND(((EU35)*AV35*1),2)*BS35),2)+ROUND((ROUND(((AE35-(EU35))*AV35*1),2)*BS35),2))</f>
        <v>0</v>
      </c>
      <c r="CT35" s="3">
        <f t="shared" si="31"/>
        <v>0</v>
      </c>
      <c r="CU35" s="3">
        <f t="shared" si="32"/>
        <v>0</v>
      </c>
      <c r="CV35" s="3">
        <f t="shared" si="33"/>
        <v>0</v>
      </c>
      <c r="CW35" s="3">
        <f t="shared" si="34"/>
        <v>0</v>
      </c>
      <c r="CX35" s="3">
        <f t="shared" si="34"/>
        <v>0</v>
      </c>
      <c r="CY35" s="3">
        <f>(ROUND((((S35+ROUND((ROUND(((EU35)*AV35*1),2)*BS35),2))*AT35)/100),2)+ROUND(((ROUND((ROUND(((AE35-(EU35))*AV35*1),2)*BS35),2)*AT35)/100),2))</f>
        <v>0</v>
      </c>
      <c r="CZ35" s="3">
        <f>(ROUND((((S35+ROUND((ROUND(((EU35)*AV35*1),2)*BS35),2))*AU35)/100),2)+ROUND(((ROUND((ROUND(((AE35-(EU35))*AV35*1),2)*BS35),2)*AU35)/100),2))</f>
        <v>0</v>
      </c>
      <c r="DC35" s="3" t="s">
        <v>3</v>
      </c>
      <c r="DD35" s="3" t="s">
        <v>3</v>
      </c>
      <c r="DE35" s="3" t="s">
        <v>3</v>
      </c>
      <c r="DF35" s="3" t="s">
        <v>3</v>
      </c>
      <c r="DG35" s="3" t="s">
        <v>3</v>
      </c>
      <c r="DH35" s="3" t="s">
        <v>3</v>
      </c>
      <c r="DI35" s="3" t="s">
        <v>3</v>
      </c>
      <c r="DJ35" s="3" t="s">
        <v>3</v>
      </c>
      <c r="DK35" s="3" t="s">
        <v>3</v>
      </c>
      <c r="DL35" s="3" t="s">
        <v>3</v>
      </c>
      <c r="DM35" s="3" t="s">
        <v>3</v>
      </c>
      <c r="DN35" s="3">
        <v>0</v>
      </c>
      <c r="DO35" s="3">
        <v>0</v>
      </c>
      <c r="DP35" s="3">
        <v>1</v>
      </c>
      <c r="DQ35" s="3">
        <v>1</v>
      </c>
      <c r="DU35" s="3">
        <v>1010</v>
      </c>
      <c r="DV35" s="3" t="s">
        <v>45</v>
      </c>
      <c r="DW35" s="3" t="s">
        <v>45</v>
      </c>
      <c r="DX35" s="3">
        <v>1</v>
      </c>
      <c r="DZ35" s="3" t="s">
        <v>3</v>
      </c>
      <c r="EA35" s="3" t="s">
        <v>3</v>
      </c>
      <c r="EB35" s="3" t="s">
        <v>3</v>
      </c>
      <c r="EC35" s="3" t="s">
        <v>3</v>
      </c>
      <c r="EE35" s="3">
        <v>60088638</v>
      </c>
      <c r="EF35" s="3">
        <v>130</v>
      </c>
      <c r="EG35" s="3" t="s">
        <v>33</v>
      </c>
      <c r="EH35" s="3">
        <v>0</v>
      </c>
      <c r="EI35" s="3" t="s">
        <v>3</v>
      </c>
      <c r="EJ35" s="3">
        <v>3</v>
      </c>
      <c r="EK35" s="3">
        <v>746</v>
      </c>
      <c r="EL35" s="3" t="s">
        <v>34</v>
      </c>
      <c r="EM35" s="3" t="s">
        <v>35</v>
      </c>
      <c r="EO35" s="3" t="s">
        <v>3</v>
      </c>
      <c r="EQ35" s="3">
        <v>0</v>
      </c>
      <c r="ER35" s="3">
        <v>730.63</v>
      </c>
      <c r="ES35" s="3">
        <v>730.63</v>
      </c>
      <c r="ET35" s="3">
        <v>0</v>
      </c>
      <c r="EU35" s="3">
        <v>0</v>
      </c>
      <c r="EV35" s="3">
        <v>0</v>
      </c>
      <c r="EW35" s="3">
        <v>0</v>
      </c>
      <c r="EX35" s="3">
        <v>0</v>
      </c>
      <c r="EY35" s="3">
        <v>0</v>
      </c>
      <c r="FQ35" s="3">
        <v>0</v>
      </c>
      <c r="FR35" s="3">
        <f>P35</f>
        <v>7598.55</v>
      </c>
      <c r="FS35" s="3">
        <v>0</v>
      </c>
      <c r="FX35" s="3">
        <v>0</v>
      </c>
      <c r="FY35" s="3">
        <v>0</v>
      </c>
      <c r="GA35" s="3" t="s">
        <v>3</v>
      </c>
      <c r="GD35" s="3">
        <v>1</v>
      </c>
      <c r="GF35" s="3">
        <v>-1868144852</v>
      </c>
      <c r="GG35" s="3">
        <v>2</v>
      </c>
      <c r="GH35" s="3">
        <v>1</v>
      </c>
      <c r="GI35" s="3">
        <v>2</v>
      </c>
      <c r="GJ35" s="3">
        <v>0</v>
      </c>
      <c r="GK35" s="3">
        <v>0</v>
      </c>
      <c r="GL35" s="3">
        <f t="shared" si="35"/>
        <v>0</v>
      </c>
      <c r="GM35" s="3">
        <f t="shared" si="36"/>
        <v>7598.55</v>
      </c>
      <c r="GN35" s="3">
        <f t="shared" si="37"/>
        <v>0</v>
      </c>
      <c r="GO35" s="3">
        <f t="shared" si="38"/>
        <v>0</v>
      </c>
      <c r="GP35" s="3">
        <f t="shared" si="39"/>
        <v>0</v>
      </c>
      <c r="GR35" s="3">
        <v>0</v>
      </c>
      <c r="GS35" s="3">
        <v>3</v>
      </c>
      <c r="GT35" s="3">
        <v>0</v>
      </c>
      <c r="GU35" s="3" t="s">
        <v>3</v>
      </c>
      <c r="GV35" s="3">
        <f t="shared" si="40"/>
        <v>0</v>
      </c>
      <c r="GW35" s="3">
        <v>1</v>
      </c>
      <c r="GX35" s="3">
        <f t="shared" si="41"/>
        <v>0</v>
      </c>
      <c r="HA35" s="3">
        <v>0</v>
      </c>
      <c r="HB35" s="3">
        <v>0</v>
      </c>
      <c r="HC35" s="3">
        <f t="shared" si="42"/>
        <v>0</v>
      </c>
      <c r="HE35" s="3" t="s">
        <v>3</v>
      </c>
      <c r="HF35" s="3" t="s">
        <v>3</v>
      </c>
      <c r="HM35" s="3" t="s">
        <v>3</v>
      </c>
      <c r="HN35" s="3" t="s">
        <v>3</v>
      </c>
      <c r="HO35" s="3" t="s">
        <v>3</v>
      </c>
      <c r="HP35" s="3" t="s">
        <v>3</v>
      </c>
      <c r="HQ35" s="3" t="s">
        <v>3</v>
      </c>
      <c r="HS35" s="3">
        <v>0</v>
      </c>
      <c r="IK35" s="3">
        <v>0</v>
      </c>
    </row>
    <row r="37" spans="1:255" x14ac:dyDescent="0.2">
      <c r="A37" s="11">
        <v>51</v>
      </c>
      <c r="B37" s="11">
        <f>B24</f>
        <v>1</v>
      </c>
      <c r="C37" s="11">
        <f>A24</f>
        <v>4</v>
      </c>
      <c r="D37" s="11">
        <f>ROW(A24)</f>
        <v>24</v>
      </c>
      <c r="E37" s="11"/>
      <c r="F37" s="11" t="str">
        <f>IF(F24&lt;&gt;"",F24,"")</f>
        <v/>
      </c>
      <c r="G37" s="11" t="str">
        <f>IF(G24&lt;&gt;"",G24,"")</f>
        <v>Оборудование</v>
      </c>
      <c r="H37" s="11">
        <v>0</v>
      </c>
      <c r="I37" s="11"/>
      <c r="J37" s="11"/>
      <c r="K37" s="11"/>
      <c r="L37" s="11"/>
      <c r="M37" s="11"/>
      <c r="N37" s="11"/>
      <c r="O37" s="11">
        <f t="shared" ref="O37:T37" si="43">ROUND(AB37,2)</f>
        <v>12083.56</v>
      </c>
      <c r="P37" s="11">
        <f t="shared" si="43"/>
        <v>11981.16</v>
      </c>
      <c r="Q37" s="11">
        <f t="shared" si="43"/>
        <v>0</v>
      </c>
      <c r="R37" s="11">
        <f t="shared" si="43"/>
        <v>0</v>
      </c>
      <c r="S37" s="11">
        <f t="shared" si="43"/>
        <v>102.4</v>
      </c>
      <c r="T37" s="11">
        <f t="shared" si="43"/>
        <v>0</v>
      </c>
      <c r="U37" s="11">
        <f>AH37</f>
        <v>8.0618999999999996</v>
      </c>
      <c r="V37" s="11">
        <f>AI37</f>
        <v>0</v>
      </c>
      <c r="W37" s="11">
        <f>ROUND(AJ37,2)</f>
        <v>0</v>
      </c>
      <c r="X37" s="11">
        <f>ROUND(AK37,2)</f>
        <v>92.16</v>
      </c>
      <c r="Y37" s="11">
        <f>ROUND(AL37,2)</f>
        <v>47.11</v>
      </c>
      <c r="Z37" s="11"/>
      <c r="AA37" s="11"/>
      <c r="AB37" s="11">
        <f>ROUND(SUMIF(AA28:AA35,"=60257736",O28:O35),2)</f>
        <v>12083.56</v>
      </c>
      <c r="AC37" s="11">
        <f>ROUND(SUMIF(AA28:AA35,"=60257736",P28:P35),2)</f>
        <v>11981.16</v>
      </c>
      <c r="AD37" s="11">
        <f>ROUND(SUMIF(AA28:AA35,"=60257736",Q28:Q35),2)</f>
        <v>0</v>
      </c>
      <c r="AE37" s="11">
        <f>ROUND(SUMIF(AA28:AA35,"=60257736",R28:R35),2)</f>
        <v>0</v>
      </c>
      <c r="AF37" s="11">
        <f>ROUND(SUMIF(AA28:AA35,"=60257736",S28:S35),2)</f>
        <v>102.4</v>
      </c>
      <c r="AG37" s="11">
        <f>ROUND(SUMIF(AA28:AA35,"=60257736",T28:T35),2)</f>
        <v>0</v>
      </c>
      <c r="AH37" s="11">
        <f>SUMIF(AA28:AA35,"=60257736",U28:U35)</f>
        <v>8.0618999999999996</v>
      </c>
      <c r="AI37" s="11">
        <f>SUMIF(AA28:AA35,"=60257736",V28:V35)</f>
        <v>0</v>
      </c>
      <c r="AJ37" s="11">
        <f>ROUND(SUMIF(AA28:AA35,"=60257736",W28:W35),2)</f>
        <v>0</v>
      </c>
      <c r="AK37" s="11">
        <f>ROUND(SUMIF(AA28:AA35,"=60257736",X28:X35),2)</f>
        <v>92.16</v>
      </c>
      <c r="AL37" s="11">
        <f>ROUND(SUMIF(AA28:AA35,"=60257736",Y28:Y35),2)</f>
        <v>47.11</v>
      </c>
      <c r="AM37" s="11"/>
      <c r="AN37" s="11"/>
      <c r="AO37" s="11">
        <f t="shared" ref="AO37:BD37" si="44">ROUND(BX37,2)</f>
        <v>0</v>
      </c>
      <c r="AP37" s="11">
        <f t="shared" si="44"/>
        <v>11980.11</v>
      </c>
      <c r="AQ37" s="11">
        <f t="shared" si="44"/>
        <v>0</v>
      </c>
      <c r="AR37" s="11">
        <f t="shared" si="44"/>
        <v>12222.83</v>
      </c>
      <c r="AS37" s="11">
        <f t="shared" si="44"/>
        <v>0</v>
      </c>
      <c r="AT37" s="11">
        <f t="shared" si="44"/>
        <v>242.72</v>
      </c>
      <c r="AU37" s="11">
        <f t="shared" si="44"/>
        <v>0</v>
      </c>
      <c r="AV37" s="11">
        <f t="shared" si="44"/>
        <v>11981.16</v>
      </c>
      <c r="AW37" s="11">
        <f t="shared" si="44"/>
        <v>1.05</v>
      </c>
      <c r="AX37" s="11">
        <f t="shared" si="44"/>
        <v>0</v>
      </c>
      <c r="AY37" s="11">
        <f t="shared" si="44"/>
        <v>1.05</v>
      </c>
      <c r="AZ37" s="11">
        <f t="shared" si="44"/>
        <v>11980.11</v>
      </c>
      <c r="BA37" s="11">
        <f t="shared" si="44"/>
        <v>0</v>
      </c>
      <c r="BB37" s="11">
        <f t="shared" si="44"/>
        <v>0</v>
      </c>
      <c r="BC37" s="11">
        <f t="shared" si="44"/>
        <v>0</v>
      </c>
      <c r="BD37" s="11">
        <f t="shared" si="44"/>
        <v>0</v>
      </c>
      <c r="BE37" s="11"/>
      <c r="BF37" s="11"/>
      <c r="BG37" s="11"/>
      <c r="BH37" s="11"/>
      <c r="BI37" s="11"/>
      <c r="BJ37" s="11"/>
      <c r="BK37" s="11"/>
      <c r="BL37" s="11"/>
      <c r="BM37" s="11"/>
      <c r="BN37" s="11"/>
      <c r="BO37" s="11"/>
      <c r="BP37" s="11"/>
      <c r="BQ37" s="11"/>
      <c r="BR37" s="11"/>
      <c r="BS37" s="11"/>
      <c r="BT37" s="11"/>
      <c r="BU37" s="11"/>
      <c r="BV37" s="11"/>
      <c r="BW37" s="11"/>
      <c r="BX37" s="11">
        <f>ROUND(SUMIF(AA28:AA35,"=60257736",FQ28:FQ35),2)</f>
        <v>0</v>
      </c>
      <c r="BY37" s="11">
        <f>ROUND(SUMIF(AA28:AA35,"=60257736",FR28:FR35),2)</f>
        <v>11980.11</v>
      </c>
      <c r="BZ37" s="11">
        <f>ROUND(SUMIF(AA28:AA35,"=60257736",GL28:GL35),2)</f>
        <v>0</v>
      </c>
      <c r="CA37" s="11">
        <f>ROUND(SUMIF(AA28:AA35,"=60257736",GM28:GM35),2)</f>
        <v>12222.83</v>
      </c>
      <c r="CB37" s="11">
        <f>ROUND(SUMIF(AA28:AA35,"=60257736",GN28:GN35),2)</f>
        <v>0</v>
      </c>
      <c r="CC37" s="11">
        <f>ROUND(SUMIF(AA28:AA35,"=60257736",GO28:GO35),2)</f>
        <v>242.72</v>
      </c>
      <c r="CD37" s="11">
        <f>ROUND(SUMIF(AA28:AA35,"=60257736",GP28:GP35),2)</f>
        <v>0</v>
      </c>
      <c r="CE37" s="11">
        <f>AC37-BX37</f>
        <v>11981.16</v>
      </c>
      <c r="CF37" s="11">
        <f>AC37-BY37</f>
        <v>1.0499999999992724</v>
      </c>
      <c r="CG37" s="11">
        <f>BX37-BZ37</f>
        <v>0</v>
      </c>
      <c r="CH37" s="11">
        <f>AC37-BX37-BY37+BZ37</f>
        <v>1.0499999999992724</v>
      </c>
      <c r="CI37" s="11">
        <f>BY37-BZ37</f>
        <v>11980.11</v>
      </c>
      <c r="CJ37" s="11">
        <f>ROUND(SUMIF(AA28:AA35,"=60257736",GX28:GX35),2)</f>
        <v>0</v>
      </c>
      <c r="CK37" s="11">
        <f>ROUND(SUMIF(AA28:AA35,"=60257736",GY28:GY35),2)</f>
        <v>0</v>
      </c>
      <c r="CL37" s="11">
        <f>ROUND(SUMIF(AA28:AA35,"=60257736",GZ28:GZ35),2)</f>
        <v>0</v>
      </c>
      <c r="CM37" s="11">
        <f>ROUND(SUMIF(AA28:AA35,"=60257736",HD28:HD35),2)</f>
        <v>0</v>
      </c>
      <c r="CN37" s="11"/>
      <c r="CO37" s="11"/>
      <c r="CP37" s="11"/>
      <c r="CQ37" s="11"/>
      <c r="CR37" s="11"/>
      <c r="CS37" s="11"/>
      <c r="CT37" s="11"/>
      <c r="CU37" s="11"/>
      <c r="CV37" s="11"/>
      <c r="CW37" s="11"/>
      <c r="CX37" s="11"/>
      <c r="CY37" s="11"/>
      <c r="CZ37" s="11"/>
      <c r="DA37" s="11"/>
      <c r="DB37" s="11"/>
      <c r="DC37" s="11"/>
      <c r="DD37" s="11"/>
      <c r="DE37" s="11"/>
      <c r="DF37" s="11"/>
      <c r="DG37" s="12">
        <f t="shared" ref="DG37:DL37" si="45">ROUND(DT37,2)</f>
        <v>93814.3</v>
      </c>
      <c r="DH37" s="12">
        <f t="shared" si="45"/>
        <v>88183.33</v>
      </c>
      <c r="DI37" s="12">
        <f t="shared" si="45"/>
        <v>0</v>
      </c>
      <c r="DJ37" s="12">
        <f t="shared" si="45"/>
        <v>0</v>
      </c>
      <c r="DK37" s="12">
        <f t="shared" si="45"/>
        <v>5630.97</v>
      </c>
      <c r="DL37" s="12">
        <f t="shared" si="45"/>
        <v>0</v>
      </c>
      <c r="DM37" s="12">
        <f>DZ37</f>
        <v>8.0618999999999996</v>
      </c>
      <c r="DN37" s="12">
        <f>EA37</f>
        <v>0</v>
      </c>
      <c r="DO37" s="12">
        <f>ROUND(EB37,2)</f>
        <v>0</v>
      </c>
      <c r="DP37" s="12">
        <f>ROUND(EC37,2)</f>
        <v>5067.88</v>
      </c>
      <c r="DQ37" s="12">
        <f>ROUND(ED37,2)</f>
        <v>2590.2399999999998</v>
      </c>
      <c r="DR37" s="12"/>
      <c r="DS37" s="12"/>
      <c r="DT37" s="12">
        <f>ROUND(SUMIF(AA28:AA35,"=60257733",O28:O35),2)</f>
        <v>93814.3</v>
      </c>
      <c r="DU37" s="12">
        <f>ROUND(SUMIF(AA28:AA35,"=60257733",P28:P35),2)</f>
        <v>88183.33</v>
      </c>
      <c r="DV37" s="12">
        <f>ROUND(SUMIF(AA28:AA35,"=60257733",Q28:Q35),2)</f>
        <v>0</v>
      </c>
      <c r="DW37" s="12">
        <f>ROUND(SUMIF(AA28:AA35,"=60257733",R28:R35),2)</f>
        <v>0</v>
      </c>
      <c r="DX37" s="12">
        <f>ROUND(SUMIF(AA28:AA35,"=60257733",S28:S35),2)</f>
        <v>5630.97</v>
      </c>
      <c r="DY37" s="12">
        <f>ROUND(SUMIF(AA28:AA35,"=60257733",T28:T35),2)</f>
        <v>0</v>
      </c>
      <c r="DZ37" s="12">
        <f>SUMIF(AA28:AA35,"=60257733",U28:U35)</f>
        <v>8.0618999999999996</v>
      </c>
      <c r="EA37" s="12">
        <f>SUMIF(AA28:AA35,"=60257733",V28:V35)</f>
        <v>0</v>
      </c>
      <c r="EB37" s="12">
        <f>ROUND(SUMIF(AA28:AA35,"=60257733",W28:W35),2)</f>
        <v>0</v>
      </c>
      <c r="EC37" s="12">
        <f>ROUND(SUMIF(AA28:AA35,"=60257733",X28:X35),2)</f>
        <v>5067.88</v>
      </c>
      <c r="ED37" s="12">
        <f>ROUND(SUMIF(AA28:AA35,"=60257733",Y28:Y35),2)</f>
        <v>2590.2399999999998</v>
      </c>
      <c r="EE37" s="12"/>
      <c r="EF37" s="12"/>
      <c r="EG37" s="12">
        <f t="shared" ref="EG37:EV37" si="46">ROUND(FP37,2)</f>
        <v>0</v>
      </c>
      <c r="EH37" s="12">
        <f t="shared" si="46"/>
        <v>88172.94</v>
      </c>
      <c r="EI37" s="12">
        <f t="shared" si="46"/>
        <v>0</v>
      </c>
      <c r="EJ37" s="12">
        <f t="shared" si="46"/>
        <v>101472.42</v>
      </c>
      <c r="EK37" s="12">
        <f t="shared" si="46"/>
        <v>0</v>
      </c>
      <c r="EL37" s="12">
        <f t="shared" si="46"/>
        <v>13299.48</v>
      </c>
      <c r="EM37" s="12">
        <f t="shared" si="46"/>
        <v>0</v>
      </c>
      <c r="EN37" s="12">
        <f t="shared" si="46"/>
        <v>88183.33</v>
      </c>
      <c r="EO37" s="12">
        <f t="shared" si="46"/>
        <v>10.39</v>
      </c>
      <c r="EP37" s="12">
        <f t="shared" si="46"/>
        <v>0</v>
      </c>
      <c r="EQ37" s="12">
        <f t="shared" si="46"/>
        <v>10.39</v>
      </c>
      <c r="ER37" s="12">
        <f t="shared" si="46"/>
        <v>88172.94</v>
      </c>
      <c r="ES37" s="12">
        <f t="shared" si="46"/>
        <v>0</v>
      </c>
      <c r="ET37" s="12">
        <f t="shared" si="46"/>
        <v>0</v>
      </c>
      <c r="EU37" s="12">
        <f t="shared" si="46"/>
        <v>0</v>
      </c>
      <c r="EV37" s="12">
        <f t="shared" si="46"/>
        <v>0</v>
      </c>
      <c r="EW37" s="12"/>
      <c r="EX37" s="12"/>
      <c r="EY37" s="12"/>
      <c r="EZ37" s="12"/>
      <c r="FA37" s="12"/>
      <c r="FB37" s="12"/>
      <c r="FC37" s="12"/>
      <c r="FD37" s="12"/>
      <c r="FE37" s="12"/>
      <c r="FF37" s="12"/>
      <c r="FG37" s="12"/>
      <c r="FH37" s="12"/>
      <c r="FI37" s="12"/>
      <c r="FJ37" s="12"/>
      <c r="FK37" s="12"/>
      <c r="FL37" s="12"/>
      <c r="FM37" s="12"/>
      <c r="FN37" s="12"/>
      <c r="FO37" s="12"/>
      <c r="FP37" s="12">
        <f>ROUND(SUMIF(AA28:AA35,"=60257733",FQ28:FQ35),2)</f>
        <v>0</v>
      </c>
      <c r="FQ37" s="12">
        <f>ROUND(SUMIF(AA28:AA35,"=60257733",FR28:FR35),2)</f>
        <v>88172.94</v>
      </c>
      <c r="FR37" s="12">
        <f>ROUND(SUMIF(AA28:AA35,"=60257733",GL28:GL35),2)</f>
        <v>0</v>
      </c>
      <c r="FS37" s="12">
        <f>ROUND(SUMIF(AA28:AA35,"=60257733",GM28:GM35),2)</f>
        <v>101472.42</v>
      </c>
      <c r="FT37" s="12">
        <f>ROUND(SUMIF(AA28:AA35,"=60257733",GN28:GN35),2)</f>
        <v>0</v>
      </c>
      <c r="FU37" s="12">
        <f>ROUND(SUMIF(AA28:AA35,"=60257733",GO28:GO35),2)</f>
        <v>13299.48</v>
      </c>
      <c r="FV37" s="12">
        <f>ROUND(SUMIF(AA28:AA35,"=60257733",GP28:GP35),2)</f>
        <v>0</v>
      </c>
      <c r="FW37" s="12">
        <f>DU37-FP37</f>
        <v>88183.33</v>
      </c>
      <c r="FX37" s="12">
        <f>DU37-FQ37</f>
        <v>10.389999999999418</v>
      </c>
      <c r="FY37" s="12">
        <f>FP37-FR37</f>
        <v>0</v>
      </c>
      <c r="FZ37" s="12">
        <f>DU37-FP37-FQ37+FR37</f>
        <v>10.389999999999418</v>
      </c>
      <c r="GA37" s="12">
        <f>FQ37-FR37</f>
        <v>88172.94</v>
      </c>
      <c r="GB37" s="12">
        <f>ROUND(SUMIF(AA28:AA35,"=60257733",GX28:GX35),2)</f>
        <v>0</v>
      </c>
      <c r="GC37" s="12">
        <f>ROUND(SUMIF(AA28:AA35,"=60257733",GY28:GY35),2)</f>
        <v>0</v>
      </c>
      <c r="GD37" s="12">
        <f>ROUND(SUMIF(AA28:AA35,"=60257733",GZ28:GZ35),2)</f>
        <v>0</v>
      </c>
      <c r="GE37" s="12">
        <f>ROUND(SUMIF(AA28:AA35,"=60257733",HD28:HD35),2)</f>
        <v>0</v>
      </c>
      <c r="GF37" s="12"/>
      <c r="GG37" s="12"/>
      <c r="GH37" s="12"/>
      <c r="GI37" s="12"/>
      <c r="GJ37" s="12"/>
      <c r="GK37" s="12"/>
      <c r="GL37" s="12"/>
      <c r="GM37" s="12"/>
      <c r="GN37" s="12"/>
      <c r="GO37" s="12"/>
      <c r="GP37" s="12"/>
      <c r="GQ37" s="12"/>
      <c r="GR37" s="12"/>
      <c r="GS37" s="12"/>
      <c r="GT37" s="12"/>
      <c r="GU37" s="12"/>
      <c r="GV37" s="12"/>
      <c r="GW37" s="12"/>
      <c r="GX37" s="12">
        <v>0</v>
      </c>
    </row>
    <row r="39" spans="1:255" x14ac:dyDescent="0.2">
      <c r="A39" s="13">
        <v>50</v>
      </c>
      <c r="B39" s="13">
        <v>0</v>
      </c>
      <c r="C39" s="13">
        <v>0</v>
      </c>
      <c r="D39" s="13">
        <v>1</v>
      </c>
      <c r="E39" s="13">
        <v>201</v>
      </c>
      <c r="F39" s="13">
        <f>ROUND(Source!O37,O39)</f>
        <v>12083.56</v>
      </c>
      <c r="G39" s="13" t="s">
        <v>46</v>
      </c>
      <c r="H39" s="13" t="s">
        <v>47</v>
      </c>
      <c r="I39" s="13"/>
      <c r="J39" s="13"/>
      <c r="K39" s="13">
        <v>201</v>
      </c>
      <c r="L39" s="13">
        <v>1</v>
      </c>
      <c r="M39" s="13">
        <v>3</v>
      </c>
      <c r="N39" s="13" t="s">
        <v>3</v>
      </c>
      <c r="O39" s="13">
        <v>2</v>
      </c>
      <c r="P39" s="13">
        <f>ROUND(Source!DG37,O39)</f>
        <v>93814.3</v>
      </c>
      <c r="Q39" s="13"/>
      <c r="R39" s="13"/>
      <c r="S39" s="13"/>
      <c r="T39" s="13"/>
      <c r="U39" s="13"/>
      <c r="V39" s="13"/>
      <c r="W39" s="13">
        <v>12083.56</v>
      </c>
      <c r="X39" s="13">
        <v>1</v>
      </c>
      <c r="Y39" s="13">
        <v>12083.56</v>
      </c>
      <c r="Z39" s="13">
        <v>93814.3</v>
      </c>
      <c r="AA39" s="13">
        <v>1</v>
      </c>
      <c r="AB39" s="13">
        <v>93814.3</v>
      </c>
    </row>
    <row r="40" spans="1:255" x14ac:dyDescent="0.2">
      <c r="A40" s="13">
        <v>50</v>
      </c>
      <c r="B40" s="13">
        <v>0</v>
      </c>
      <c r="C40" s="13">
        <v>0</v>
      </c>
      <c r="D40" s="13">
        <v>1</v>
      </c>
      <c r="E40" s="13">
        <v>202</v>
      </c>
      <c r="F40" s="13">
        <f>ROUND(Source!P37,O40)</f>
        <v>11981.16</v>
      </c>
      <c r="G40" s="13" t="s">
        <v>48</v>
      </c>
      <c r="H40" s="13" t="s">
        <v>49</v>
      </c>
      <c r="I40" s="13"/>
      <c r="J40" s="13"/>
      <c r="K40" s="13">
        <v>202</v>
      </c>
      <c r="L40" s="13">
        <v>2</v>
      </c>
      <c r="M40" s="13">
        <v>3</v>
      </c>
      <c r="N40" s="13" t="s">
        <v>3</v>
      </c>
      <c r="O40" s="13">
        <v>2</v>
      </c>
      <c r="P40" s="13">
        <f>ROUND(Source!DH37,O40)</f>
        <v>88183.33</v>
      </c>
      <c r="Q40" s="13"/>
      <c r="R40" s="13"/>
      <c r="S40" s="13"/>
      <c r="T40" s="13"/>
      <c r="U40" s="13"/>
      <c r="V40" s="13"/>
      <c r="W40" s="13">
        <v>11981.16</v>
      </c>
      <c r="X40" s="13">
        <v>1</v>
      </c>
      <c r="Y40" s="13">
        <v>11981.16</v>
      </c>
      <c r="Z40" s="13">
        <v>88183.33</v>
      </c>
      <c r="AA40" s="13">
        <v>1</v>
      </c>
      <c r="AB40" s="13">
        <v>88183.33</v>
      </c>
    </row>
    <row r="41" spans="1:255" x14ac:dyDescent="0.2">
      <c r="A41" s="13">
        <v>50</v>
      </c>
      <c r="B41" s="13">
        <v>0</v>
      </c>
      <c r="C41" s="13">
        <v>0</v>
      </c>
      <c r="D41" s="13">
        <v>1</v>
      </c>
      <c r="E41" s="13">
        <v>222</v>
      </c>
      <c r="F41" s="13">
        <f>ROUND(Source!AO37,O41)</f>
        <v>0</v>
      </c>
      <c r="G41" s="13" t="s">
        <v>50</v>
      </c>
      <c r="H41" s="13" t="s">
        <v>51</v>
      </c>
      <c r="I41" s="13"/>
      <c r="J41" s="13"/>
      <c r="K41" s="13">
        <v>222</v>
      </c>
      <c r="L41" s="13">
        <v>3</v>
      </c>
      <c r="M41" s="13">
        <v>3</v>
      </c>
      <c r="N41" s="13" t="s">
        <v>3</v>
      </c>
      <c r="O41" s="13">
        <v>2</v>
      </c>
      <c r="P41" s="13">
        <f>ROUND(Source!EG37,O41)</f>
        <v>0</v>
      </c>
      <c r="Q41" s="13"/>
      <c r="R41" s="13"/>
      <c r="S41" s="13"/>
      <c r="T41" s="13"/>
      <c r="U41" s="13"/>
      <c r="V41" s="13"/>
      <c r="W41" s="13">
        <v>0</v>
      </c>
      <c r="X41" s="13">
        <v>1</v>
      </c>
      <c r="Y41" s="13">
        <v>0</v>
      </c>
      <c r="Z41" s="13">
        <v>0</v>
      </c>
      <c r="AA41" s="13">
        <v>1</v>
      </c>
      <c r="AB41" s="13">
        <v>0</v>
      </c>
    </row>
    <row r="42" spans="1:255" x14ac:dyDescent="0.2">
      <c r="A42" s="13">
        <v>50</v>
      </c>
      <c r="B42" s="13">
        <v>0</v>
      </c>
      <c r="C42" s="13">
        <v>0</v>
      </c>
      <c r="D42" s="13">
        <v>1</v>
      </c>
      <c r="E42" s="13">
        <v>225</v>
      </c>
      <c r="F42" s="13">
        <f>ROUND(Source!AV37,O42)</f>
        <v>11981.16</v>
      </c>
      <c r="G42" s="13" t="s">
        <v>52</v>
      </c>
      <c r="H42" s="13" t="s">
        <v>53</v>
      </c>
      <c r="I42" s="13"/>
      <c r="J42" s="13"/>
      <c r="K42" s="13">
        <v>225</v>
      </c>
      <c r="L42" s="13">
        <v>4</v>
      </c>
      <c r="M42" s="13">
        <v>3</v>
      </c>
      <c r="N42" s="13" t="s">
        <v>3</v>
      </c>
      <c r="O42" s="13">
        <v>2</v>
      </c>
      <c r="P42" s="13">
        <f>ROUND(Source!EN37,O42)</f>
        <v>88183.33</v>
      </c>
      <c r="Q42" s="13"/>
      <c r="R42" s="13"/>
      <c r="S42" s="13"/>
      <c r="T42" s="13"/>
      <c r="U42" s="13"/>
      <c r="V42" s="13"/>
      <c r="W42" s="13">
        <v>11981.16</v>
      </c>
      <c r="X42" s="13">
        <v>1</v>
      </c>
      <c r="Y42" s="13">
        <v>11981.16</v>
      </c>
      <c r="Z42" s="13">
        <v>88183.33</v>
      </c>
      <c r="AA42" s="13">
        <v>1</v>
      </c>
      <c r="AB42" s="13">
        <v>88183.33</v>
      </c>
    </row>
    <row r="43" spans="1:255" x14ac:dyDescent="0.2">
      <c r="A43" s="13">
        <v>50</v>
      </c>
      <c r="B43" s="13">
        <v>0</v>
      </c>
      <c r="C43" s="13">
        <v>0</v>
      </c>
      <c r="D43" s="13">
        <v>1</v>
      </c>
      <c r="E43" s="13">
        <v>226</v>
      </c>
      <c r="F43" s="13">
        <f>ROUND(Source!AW37,O43)</f>
        <v>1.05</v>
      </c>
      <c r="G43" s="13" t="s">
        <v>54</v>
      </c>
      <c r="H43" s="13" t="s">
        <v>55</v>
      </c>
      <c r="I43" s="13"/>
      <c r="J43" s="13"/>
      <c r="K43" s="13">
        <v>226</v>
      </c>
      <c r="L43" s="13">
        <v>5</v>
      </c>
      <c r="M43" s="13">
        <v>3</v>
      </c>
      <c r="N43" s="13" t="s">
        <v>3</v>
      </c>
      <c r="O43" s="13">
        <v>2</v>
      </c>
      <c r="P43" s="13">
        <f>ROUND(Source!EO37,O43)</f>
        <v>10.39</v>
      </c>
      <c r="Q43" s="13"/>
      <c r="R43" s="13"/>
      <c r="S43" s="13"/>
      <c r="T43" s="13"/>
      <c r="U43" s="13"/>
      <c r="V43" s="13"/>
      <c r="W43" s="13">
        <v>1.05</v>
      </c>
      <c r="X43" s="13">
        <v>1</v>
      </c>
      <c r="Y43" s="13">
        <v>1.05</v>
      </c>
      <c r="Z43" s="13">
        <v>10.39</v>
      </c>
      <c r="AA43" s="13">
        <v>1</v>
      </c>
      <c r="AB43" s="13">
        <v>10.39</v>
      </c>
    </row>
    <row r="44" spans="1:255" x14ac:dyDescent="0.2">
      <c r="A44" s="13">
        <v>50</v>
      </c>
      <c r="B44" s="13">
        <v>0</v>
      </c>
      <c r="C44" s="13">
        <v>0</v>
      </c>
      <c r="D44" s="13">
        <v>1</v>
      </c>
      <c r="E44" s="13">
        <v>227</v>
      </c>
      <c r="F44" s="13">
        <f>ROUND(Source!AX37,O44)</f>
        <v>0</v>
      </c>
      <c r="G44" s="13" t="s">
        <v>56</v>
      </c>
      <c r="H44" s="13" t="s">
        <v>57</v>
      </c>
      <c r="I44" s="13"/>
      <c r="J44" s="13"/>
      <c r="K44" s="13">
        <v>227</v>
      </c>
      <c r="L44" s="13">
        <v>6</v>
      </c>
      <c r="M44" s="13">
        <v>3</v>
      </c>
      <c r="N44" s="13" t="s">
        <v>3</v>
      </c>
      <c r="O44" s="13">
        <v>2</v>
      </c>
      <c r="P44" s="13">
        <f>ROUND(Source!EP37,O44)</f>
        <v>0</v>
      </c>
      <c r="Q44" s="13"/>
      <c r="R44" s="13"/>
      <c r="S44" s="13"/>
      <c r="T44" s="13"/>
      <c r="U44" s="13"/>
      <c r="V44" s="13"/>
      <c r="W44" s="13">
        <v>0</v>
      </c>
      <c r="X44" s="13">
        <v>1</v>
      </c>
      <c r="Y44" s="13">
        <v>0</v>
      </c>
      <c r="Z44" s="13">
        <v>0</v>
      </c>
      <c r="AA44" s="13">
        <v>1</v>
      </c>
      <c r="AB44" s="13">
        <v>0</v>
      </c>
    </row>
    <row r="45" spans="1:255" x14ac:dyDescent="0.2">
      <c r="A45" s="13">
        <v>50</v>
      </c>
      <c r="B45" s="13">
        <v>0</v>
      </c>
      <c r="C45" s="13">
        <v>0</v>
      </c>
      <c r="D45" s="13">
        <v>1</v>
      </c>
      <c r="E45" s="13">
        <v>228</v>
      </c>
      <c r="F45" s="13">
        <f>ROUND(Source!AY37,O45)</f>
        <v>1.05</v>
      </c>
      <c r="G45" s="13" t="s">
        <v>58</v>
      </c>
      <c r="H45" s="13" t="s">
        <v>59</v>
      </c>
      <c r="I45" s="13"/>
      <c r="J45" s="13"/>
      <c r="K45" s="13">
        <v>228</v>
      </c>
      <c r="L45" s="13">
        <v>7</v>
      </c>
      <c r="M45" s="13">
        <v>3</v>
      </c>
      <c r="N45" s="13" t="s">
        <v>3</v>
      </c>
      <c r="O45" s="13">
        <v>2</v>
      </c>
      <c r="P45" s="13">
        <f>ROUND(Source!EQ37,O45)</f>
        <v>10.39</v>
      </c>
      <c r="Q45" s="13"/>
      <c r="R45" s="13"/>
      <c r="S45" s="13"/>
      <c r="T45" s="13"/>
      <c r="U45" s="13"/>
      <c r="V45" s="13"/>
      <c r="W45" s="13">
        <v>1.05</v>
      </c>
      <c r="X45" s="13">
        <v>1</v>
      </c>
      <c r="Y45" s="13">
        <v>1.05</v>
      </c>
      <c r="Z45" s="13">
        <v>10.39</v>
      </c>
      <c r="AA45" s="13">
        <v>1</v>
      </c>
      <c r="AB45" s="13">
        <v>10.39</v>
      </c>
    </row>
    <row r="46" spans="1:255" x14ac:dyDescent="0.2">
      <c r="A46" s="13">
        <v>50</v>
      </c>
      <c r="B46" s="13">
        <v>0</v>
      </c>
      <c r="C46" s="13">
        <v>0</v>
      </c>
      <c r="D46" s="13">
        <v>1</v>
      </c>
      <c r="E46" s="13">
        <v>216</v>
      </c>
      <c r="F46" s="13">
        <f>ROUND(Source!AP37,O46)</f>
        <v>11980.11</v>
      </c>
      <c r="G46" s="13" t="s">
        <v>60</v>
      </c>
      <c r="H46" s="13" t="s">
        <v>61</v>
      </c>
      <c r="I46" s="13"/>
      <c r="J46" s="13"/>
      <c r="K46" s="13">
        <v>216</v>
      </c>
      <c r="L46" s="13">
        <v>8</v>
      </c>
      <c r="M46" s="13">
        <v>3</v>
      </c>
      <c r="N46" s="13" t="s">
        <v>3</v>
      </c>
      <c r="O46" s="13">
        <v>2</v>
      </c>
      <c r="P46" s="13">
        <f>ROUND(Source!EH37,O46)</f>
        <v>88172.94</v>
      </c>
      <c r="Q46" s="13"/>
      <c r="R46" s="13"/>
      <c r="S46" s="13"/>
      <c r="T46" s="13"/>
      <c r="U46" s="13"/>
      <c r="V46" s="13"/>
      <c r="W46" s="13">
        <v>11980.11</v>
      </c>
      <c r="X46" s="13">
        <v>1</v>
      </c>
      <c r="Y46" s="13">
        <v>11980.11</v>
      </c>
      <c r="Z46" s="13">
        <v>88172.94</v>
      </c>
      <c r="AA46" s="13">
        <v>1</v>
      </c>
      <c r="AB46" s="13">
        <v>88172.94</v>
      </c>
    </row>
    <row r="47" spans="1:255" x14ac:dyDescent="0.2">
      <c r="A47" s="13">
        <v>50</v>
      </c>
      <c r="B47" s="13">
        <v>0</v>
      </c>
      <c r="C47" s="13">
        <v>0</v>
      </c>
      <c r="D47" s="13">
        <v>1</v>
      </c>
      <c r="E47" s="13">
        <v>223</v>
      </c>
      <c r="F47" s="13">
        <f>ROUND(Source!AQ37,O47)</f>
        <v>0</v>
      </c>
      <c r="G47" s="13" t="s">
        <v>62</v>
      </c>
      <c r="H47" s="13" t="s">
        <v>63</v>
      </c>
      <c r="I47" s="13"/>
      <c r="J47" s="13"/>
      <c r="K47" s="13">
        <v>223</v>
      </c>
      <c r="L47" s="13">
        <v>9</v>
      </c>
      <c r="M47" s="13">
        <v>3</v>
      </c>
      <c r="N47" s="13" t="s">
        <v>3</v>
      </c>
      <c r="O47" s="13">
        <v>2</v>
      </c>
      <c r="P47" s="13">
        <f>ROUND(Source!EI37,O47)</f>
        <v>0</v>
      </c>
      <c r="Q47" s="13"/>
      <c r="R47" s="13"/>
      <c r="S47" s="13"/>
      <c r="T47" s="13"/>
      <c r="U47" s="13"/>
      <c r="V47" s="13"/>
      <c r="W47" s="13">
        <v>0</v>
      </c>
      <c r="X47" s="13">
        <v>1</v>
      </c>
      <c r="Y47" s="13">
        <v>0</v>
      </c>
      <c r="Z47" s="13">
        <v>0</v>
      </c>
      <c r="AA47" s="13">
        <v>1</v>
      </c>
      <c r="AB47" s="13">
        <v>0</v>
      </c>
    </row>
    <row r="48" spans="1:255" x14ac:dyDescent="0.2">
      <c r="A48" s="13">
        <v>50</v>
      </c>
      <c r="B48" s="13">
        <v>0</v>
      </c>
      <c r="C48" s="13">
        <v>0</v>
      </c>
      <c r="D48" s="13">
        <v>1</v>
      </c>
      <c r="E48" s="13">
        <v>229</v>
      </c>
      <c r="F48" s="13">
        <f>ROUND(Source!AZ37,O48)</f>
        <v>11980.11</v>
      </c>
      <c r="G48" s="13" t="s">
        <v>64</v>
      </c>
      <c r="H48" s="13" t="s">
        <v>65</v>
      </c>
      <c r="I48" s="13"/>
      <c r="J48" s="13"/>
      <c r="K48" s="13">
        <v>229</v>
      </c>
      <c r="L48" s="13">
        <v>10</v>
      </c>
      <c r="M48" s="13">
        <v>3</v>
      </c>
      <c r="N48" s="13" t="s">
        <v>3</v>
      </c>
      <c r="O48" s="13">
        <v>2</v>
      </c>
      <c r="P48" s="13">
        <f>ROUND(Source!ER37,O48)</f>
        <v>88172.94</v>
      </c>
      <c r="Q48" s="13"/>
      <c r="R48" s="13"/>
      <c r="S48" s="13"/>
      <c r="T48" s="13"/>
      <c r="U48" s="13"/>
      <c r="V48" s="13"/>
      <c r="W48" s="13">
        <v>11980.11</v>
      </c>
      <c r="X48" s="13">
        <v>1</v>
      </c>
      <c r="Y48" s="13">
        <v>11980.11</v>
      </c>
      <c r="Z48" s="13">
        <v>88172.94</v>
      </c>
      <c r="AA48" s="13">
        <v>1</v>
      </c>
      <c r="AB48" s="13">
        <v>88172.94</v>
      </c>
    </row>
    <row r="49" spans="1:28" x14ac:dyDescent="0.2">
      <c r="A49" s="13">
        <v>50</v>
      </c>
      <c r="B49" s="13">
        <v>0</v>
      </c>
      <c r="C49" s="13">
        <v>0</v>
      </c>
      <c r="D49" s="13">
        <v>1</v>
      </c>
      <c r="E49" s="13">
        <v>203</v>
      </c>
      <c r="F49" s="13">
        <f>ROUND(Source!Q37,O49)</f>
        <v>0</v>
      </c>
      <c r="G49" s="13" t="s">
        <v>66</v>
      </c>
      <c r="H49" s="13" t="s">
        <v>67</v>
      </c>
      <c r="I49" s="13"/>
      <c r="J49" s="13"/>
      <c r="K49" s="13">
        <v>203</v>
      </c>
      <c r="L49" s="13">
        <v>11</v>
      </c>
      <c r="M49" s="13">
        <v>3</v>
      </c>
      <c r="N49" s="13" t="s">
        <v>3</v>
      </c>
      <c r="O49" s="13">
        <v>2</v>
      </c>
      <c r="P49" s="13">
        <f>ROUND(Source!DI37,O49)</f>
        <v>0</v>
      </c>
      <c r="Q49" s="13"/>
      <c r="R49" s="13"/>
      <c r="S49" s="13"/>
      <c r="T49" s="13"/>
      <c r="U49" s="13"/>
      <c r="V49" s="13"/>
      <c r="W49" s="13">
        <v>0</v>
      </c>
      <c r="X49" s="13">
        <v>1</v>
      </c>
      <c r="Y49" s="13">
        <v>0</v>
      </c>
      <c r="Z49" s="13">
        <v>0</v>
      </c>
      <c r="AA49" s="13">
        <v>1</v>
      </c>
      <c r="AB49" s="13">
        <v>0</v>
      </c>
    </row>
    <row r="50" spans="1:28" x14ac:dyDescent="0.2">
      <c r="A50" s="13">
        <v>50</v>
      </c>
      <c r="B50" s="13">
        <v>0</v>
      </c>
      <c r="C50" s="13">
        <v>0</v>
      </c>
      <c r="D50" s="13">
        <v>1</v>
      </c>
      <c r="E50" s="13">
        <v>231</v>
      </c>
      <c r="F50" s="13">
        <f>ROUND(Source!BB37,O50)</f>
        <v>0</v>
      </c>
      <c r="G50" s="13" t="s">
        <v>68</v>
      </c>
      <c r="H50" s="13" t="s">
        <v>69</v>
      </c>
      <c r="I50" s="13"/>
      <c r="J50" s="13"/>
      <c r="K50" s="13">
        <v>231</v>
      </c>
      <c r="L50" s="13">
        <v>12</v>
      </c>
      <c r="M50" s="13">
        <v>3</v>
      </c>
      <c r="N50" s="13" t="s">
        <v>3</v>
      </c>
      <c r="O50" s="13">
        <v>2</v>
      </c>
      <c r="P50" s="13">
        <f>ROUND(Source!ET37,O50)</f>
        <v>0</v>
      </c>
      <c r="Q50" s="13"/>
      <c r="R50" s="13"/>
      <c r="S50" s="13"/>
      <c r="T50" s="13"/>
      <c r="U50" s="13"/>
      <c r="V50" s="13"/>
      <c r="W50" s="13">
        <v>0</v>
      </c>
      <c r="X50" s="13">
        <v>1</v>
      </c>
      <c r="Y50" s="13">
        <v>0</v>
      </c>
      <c r="Z50" s="13">
        <v>0</v>
      </c>
      <c r="AA50" s="13">
        <v>1</v>
      </c>
      <c r="AB50" s="13">
        <v>0</v>
      </c>
    </row>
    <row r="51" spans="1:28" x14ac:dyDescent="0.2">
      <c r="A51" s="13">
        <v>50</v>
      </c>
      <c r="B51" s="13">
        <v>0</v>
      </c>
      <c r="C51" s="13">
        <v>0</v>
      </c>
      <c r="D51" s="13">
        <v>1</v>
      </c>
      <c r="E51" s="13">
        <v>204</v>
      </c>
      <c r="F51" s="13">
        <f>ROUND(Source!R37,O51)</f>
        <v>0</v>
      </c>
      <c r="G51" s="13" t="s">
        <v>70</v>
      </c>
      <c r="H51" s="13" t="s">
        <v>71</v>
      </c>
      <c r="I51" s="13"/>
      <c r="J51" s="13"/>
      <c r="K51" s="13">
        <v>204</v>
      </c>
      <c r="L51" s="13">
        <v>13</v>
      </c>
      <c r="M51" s="13">
        <v>3</v>
      </c>
      <c r="N51" s="13" t="s">
        <v>3</v>
      </c>
      <c r="O51" s="13">
        <v>2</v>
      </c>
      <c r="P51" s="13">
        <f>ROUND(Source!DJ37,O51)</f>
        <v>0</v>
      </c>
      <c r="Q51" s="13"/>
      <c r="R51" s="13"/>
      <c r="S51" s="13"/>
      <c r="T51" s="13"/>
      <c r="U51" s="13"/>
      <c r="V51" s="13"/>
      <c r="W51" s="13">
        <v>0</v>
      </c>
      <c r="X51" s="13">
        <v>1</v>
      </c>
      <c r="Y51" s="13">
        <v>0</v>
      </c>
      <c r="Z51" s="13">
        <v>0</v>
      </c>
      <c r="AA51" s="13">
        <v>1</v>
      </c>
      <c r="AB51" s="13">
        <v>0</v>
      </c>
    </row>
    <row r="52" spans="1:28" x14ac:dyDescent="0.2">
      <c r="A52" s="13">
        <v>50</v>
      </c>
      <c r="B52" s="13">
        <v>0</v>
      </c>
      <c r="C52" s="13">
        <v>0</v>
      </c>
      <c r="D52" s="13">
        <v>1</v>
      </c>
      <c r="E52" s="13">
        <v>205</v>
      </c>
      <c r="F52" s="13">
        <f>ROUND(Source!S37,O52)</f>
        <v>102.4</v>
      </c>
      <c r="G52" s="13" t="s">
        <v>72</v>
      </c>
      <c r="H52" s="13" t="s">
        <v>73</v>
      </c>
      <c r="I52" s="13"/>
      <c r="J52" s="13"/>
      <c r="K52" s="13">
        <v>205</v>
      </c>
      <c r="L52" s="13">
        <v>14</v>
      </c>
      <c r="M52" s="13">
        <v>3</v>
      </c>
      <c r="N52" s="13" t="s">
        <v>3</v>
      </c>
      <c r="O52" s="13">
        <v>2</v>
      </c>
      <c r="P52" s="13">
        <f>ROUND(Source!DK37,O52)</f>
        <v>5630.97</v>
      </c>
      <c r="Q52" s="13"/>
      <c r="R52" s="13"/>
      <c r="S52" s="13"/>
      <c r="T52" s="13"/>
      <c r="U52" s="13"/>
      <c r="V52" s="13"/>
      <c r="W52" s="13">
        <v>102.4</v>
      </c>
      <c r="X52" s="13">
        <v>1</v>
      </c>
      <c r="Y52" s="13">
        <v>102.4</v>
      </c>
      <c r="Z52" s="13">
        <v>5630.97</v>
      </c>
      <c r="AA52" s="13">
        <v>1</v>
      </c>
      <c r="AB52" s="13">
        <v>5630.97</v>
      </c>
    </row>
    <row r="53" spans="1:28" x14ac:dyDescent="0.2">
      <c r="A53" s="13">
        <v>50</v>
      </c>
      <c r="B53" s="13">
        <v>0</v>
      </c>
      <c r="C53" s="13">
        <v>0</v>
      </c>
      <c r="D53" s="13">
        <v>1</v>
      </c>
      <c r="E53" s="13">
        <v>232</v>
      </c>
      <c r="F53" s="13">
        <f>ROUND(Source!BC37,O53)</f>
        <v>0</v>
      </c>
      <c r="G53" s="13" t="s">
        <v>74</v>
      </c>
      <c r="H53" s="13" t="s">
        <v>75</v>
      </c>
      <c r="I53" s="13"/>
      <c r="J53" s="13"/>
      <c r="K53" s="13">
        <v>232</v>
      </c>
      <c r="L53" s="13">
        <v>15</v>
      </c>
      <c r="M53" s="13">
        <v>3</v>
      </c>
      <c r="N53" s="13" t="s">
        <v>3</v>
      </c>
      <c r="O53" s="13">
        <v>2</v>
      </c>
      <c r="P53" s="13">
        <f>ROUND(Source!EU37,O53)</f>
        <v>0</v>
      </c>
      <c r="Q53" s="13"/>
      <c r="R53" s="13"/>
      <c r="S53" s="13"/>
      <c r="T53" s="13"/>
      <c r="U53" s="13"/>
      <c r="V53" s="13"/>
      <c r="W53" s="13">
        <v>0</v>
      </c>
      <c r="X53" s="13">
        <v>1</v>
      </c>
      <c r="Y53" s="13">
        <v>0</v>
      </c>
      <c r="Z53" s="13">
        <v>0</v>
      </c>
      <c r="AA53" s="13">
        <v>1</v>
      </c>
      <c r="AB53" s="13">
        <v>0</v>
      </c>
    </row>
    <row r="54" spans="1:28" x14ac:dyDescent="0.2">
      <c r="A54" s="13">
        <v>50</v>
      </c>
      <c r="B54" s="13">
        <v>0</v>
      </c>
      <c r="C54" s="13">
        <v>0</v>
      </c>
      <c r="D54" s="13">
        <v>1</v>
      </c>
      <c r="E54" s="13">
        <v>214</v>
      </c>
      <c r="F54" s="13">
        <f>ROUND(Source!AS37,O54)</f>
        <v>0</v>
      </c>
      <c r="G54" s="13" t="s">
        <v>76</v>
      </c>
      <c r="H54" s="13" t="s">
        <v>77</v>
      </c>
      <c r="I54" s="13"/>
      <c r="J54" s="13"/>
      <c r="K54" s="13">
        <v>214</v>
      </c>
      <c r="L54" s="13">
        <v>16</v>
      </c>
      <c r="M54" s="13">
        <v>3</v>
      </c>
      <c r="N54" s="13" t="s">
        <v>3</v>
      </c>
      <c r="O54" s="13">
        <v>2</v>
      </c>
      <c r="P54" s="13">
        <f>ROUND(Source!EK37,O54)</f>
        <v>0</v>
      </c>
      <c r="Q54" s="13"/>
      <c r="R54" s="13"/>
      <c r="S54" s="13"/>
      <c r="T54" s="13"/>
      <c r="U54" s="13"/>
      <c r="V54" s="13"/>
      <c r="W54" s="13">
        <v>0</v>
      </c>
      <c r="X54" s="13">
        <v>1</v>
      </c>
      <c r="Y54" s="13">
        <v>0</v>
      </c>
      <c r="Z54" s="13">
        <v>0</v>
      </c>
      <c r="AA54" s="13">
        <v>1</v>
      </c>
      <c r="AB54" s="13">
        <v>0</v>
      </c>
    </row>
    <row r="55" spans="1:28" x14ac:dyDescent="0.2">
      <c r="A55" s="13">
        <v>50</v>
      </c>
      <c r="B55" s="13">
        <v>0</v>
      </c>
      <c r="C55" s="13">
        <v>0</v>
      </c>
      <c r="D55" s="13">
        <v>1</v>
      </c>
      <c r="E55" s="13">
        <v>215</v>
      </c>
      <c r="F55" s="13">
        <f>ROUND(Source!AT37,O55)</f>
        <v>242.72</v>
      </c>
      <c r="G55" s="13" t="s">
        <v>78</v>
      </c>
      <c r="H55" s="13" t="s">
        <v>79</v>
      </c>
      <c r="I55" s="13"/>
      <c r="J55" s="13"/>
      <c r="K55" s="13">
        <v>215</v>
      </c>
      <c r="L55" s="13">
        <v>17</v>
      </c>
      <c r="M55" s="13">
        <v>3</v>
      </c>
      <c r="N55" s="13" t="s">
        <v>3</v>
      </c>
      <c r="O55" s="13">
        <v>2</v>
      </c>
      <c r="P55" s="13">
        <f>ROUND(Source!EL37,O55)</f>
        <v>13299.48</v>
      </c>
      <c r="Q55" s="13"/>
      <c r="R55" s="13"/>
      <c r="S55" s="13"/>
      <c r="T55" s="13"/>
      <c r="U55" s="13"/>
      <c r="V55" s="13"/>
      <c r="W55" s="13">
        <v>242.72</v>
      </c>
      <c r="X55" s="13">
        <v>1</v>
      </c>
      <c r="Y55" s="13">
        <v>242.72</v>
      </c>
      <c r="Z55" s="13">
        <v>13299.48</v>
      </c>
      <c r="AA55" s="13">
        <v>1</v>
      </c>
      <c r="AB55" s="13">
        <v>13299.48</v>
      </c>
    </row>
    <row r="56" spans="1:28" x14ac:dyDescent="0.2">
      <c r="A56" s="13">
        <v>50</v>
      </c>
      <c r="B56" s="13">
        <v>0</v>
      </c>
      <c r="C56" s="13">
        <v>0</v>
      </c>
      <c r="D56" s="13">
        <v>1</v>
      </c>
      <c r="E56" s="13">
        <v>217</v>
      </c>
      <c r="F56" s="13">
        <f>ROUND(Source!AU37,O56)</f>
        <v>0</v>
      </c>
      <c r="G56" s="13" t="s">
        <v>80</v>
      </c>
      <c r="H56" s="13" t="s">
        <v>81</v>
      </c>
      <c r="I56" s="13"/>
      <c r="J56" s="13"/>
      <c r="K56" s="13">
        <v>217</v>
      </c>
      <c r="L56" s="13">
        <v>18</v>
      </c>
      <c r="M56" s="13">
        <v>3</v>
      </c>
      <c r="N56" s="13" t="s">
        <v>3</v>
      </c>
      <c r="O56" s="13">
        <v>2</v>
      </c>
      <c r="P56" s="13">
        <f>ROUND(Source!EM37,O56)</f>
        <v>0</v>
      </c>
      <c r="Q56" s="13"/>
      <c r="R56" s="13"/>
      <c r="S56" s="13"/>
      <c r="T56" s="13"/>
      <c r="U56" s="13"/>
      <c r="V56" s="13"/>
      <c r="W56" s="13">
        <v>0</v>
      </c>
      <c r="X56" s="13">
        <v>1</v>
      </c>
      <c r="Y56" s="13">
        <v>0</v>
      </c>
      <c r="Z56" s="13">
        <v>0</v>
      </c>
      <c r="AA56" s="13">
        <v>1</v>
      </c>
      <c r="AB56" s="13">
        <v>0</v>
      </c>
    </row>
    <row r="57" spans="1:28" x14ac:dyDescent="0.2">
      <c r="A57" s="13">
        <v>50</v>
      </c>
      <c r="B57" s="13">
        <v>0</v>
      </c>
      <c r="C57" s="13">
        <v>0</v>
      </c>
      <c r="D57" s="13">
        <v>1</v>
      </c>
      <c r="E57" s="13">
        <v>230</v>
      </c>
      <c r="F57" s="13">
        <f>ROUND(Source!BA37,O57)</f>
        <v>0</v>
      </c>
      <c r="G57" s="13" t="s">
        <v>82</v>
      </c>
      <c r="H57" s="13" t="s">
        <v>83</v>
      </c>
      <c r="I57" s="13"/>
      <c r="J57" s="13"/>
      <c r="K57" s="13">
        <v>230</v>
      </c>
      <c r="L57" s="13">
        <v>19</v>
      </c>
      <c r="M57" s="13">
        <v>3</v>
      </c>
      <c r="N57" s="13" t="s">
        <v>3</v>
      </c>
      <c r="O57" s="13">
        <v>2</v>
      </c>
      <c r="P57" s="13">
        <f>ROUND(Source!ES37,O57)</f>
        <v>0</v>
      </c>
      <c r="Q57" s="13"/>
      <c r="R57" s="13"/>
      <c r="S57" s="13"/>
      <c r="T57" s="13"/>
      <c r="U57" s="13"/>
      <c r="V57" s="13"/>
      <c r="W57" s="13">
        <v>0</v>
      </c>
      <c r="X57" s="13">
        <v>1</v>
      </c>
      <c r="Y57" s="13">
        <v>0</v>
      </c>
      <c r="Z57" s="13">
        <v>0</v>
      </c>
      <c r="AA57" s="13">
        <v>1</v>
      </c>
      <c r="AB57" s="13">
        <v>0</v>
      </c>
    </row>
    <row r="58" spans="1:28" x14ac:dyDescent="0.2">
      <c r="A58" s="13">
        <v>50</v>
      </c>
      <c r="B58" s="13">
        <v>0</v>
      </c>
      <c r="C58" s="13">
        <v>0</v>
      </c>
      <c r="D58" s="13">
        <v>1</v>
      </c>
      <c r="E58" s="13">
        <v>206</v>
      </c>
      <c r="F58" s="13">
        <f>ROUND(Source!T37,O58)</f>
        <v>0</v>
      </c>
      <c r="G58" s="13" t="s">
        <v>84</v>
      </c>
      <c r="H58" s="13" t="s">
        <v>85</v>
      </c>
      <c r="I58" s="13"/>
      <c r="J58" s="13"/>
      <c r="K58" s="13">
        <v>206</v>
      </c>
      <c r="L58" s="13">
        <v>20</v>
      </c>
      <c r="M58" s="13">
        <v>3</v>
      </c>
      <c r="N58" s="13" t="s">
        <v>3</v>
      </c>
      <c r="O58" s="13">
        <v>2</v>
      </c>
      <c r="P58" s="13">
        <f>ROUND(Source!DL37,O58)</f>
        <v>0</v>
      </c>
      <c r="Q58" s="13"/>
      <c r="R58" s="13"/>
      <c r="S58" s="13"/>
      <c r="T58" s="13"/>
      <c r="U58" s="13"/>
      <c r="V58" s="13"/>
      <c r="W58" s="13">
        <v>0</v>
      </c>
      <c r="X58" s="13">
        <v>1</v>
      </c>
      <c r="Y58" s="13">
        <v>0</v>
      </c>
      <c r="Z58" s="13">
        <v>0</v>
      </c>
      <c r="AA58" s="13">
        <v>1</v>
      </c>
      <c r="AB58" s="13">
        <v>0</v>
      </c>
    </row>
    <row r="59" spans="1:28" x14ac:dyDescent="0.2">
      <c r="A59" s="13">
        <v>50</v>
      </c>
      <c r="B59" s="13">
        <v>0</v>
      </c>
      <c r="C59" s="13">
        <v>0</v>
      </c>
      <c r="D59" s="13">
        <v>1</v>
      </c>
      <c r="E59" s="13">
        <v>207</v>
      </c>
      <c r="F59" s="13">
        <f>Source!U37</f>
        <v>8.0618999999999996</v>
      </c>
      <c r="G59" s="13" t="s">
        <v>86</v>
      </c>
      <c r="H59" s="13" t="s">
        <v>87</v>
      </c>
      <c r="I59" s="13"/>
      <c r="J59" s="13"/>
      <c r="K59" s="13">
        <v>207</v>
      </c>
      <c r="L59" s="13">
        <v>21</v>
      </c>
      <c r="M59" s="13">
        <v>3</v>
      </c>
      <c r="N59" s="13" t="s">
        <v>3</v>
      </c>
      <c r="O59" s="13">
        <v>-1</v>
      </c>
      <c r="P59" s="13">
        <f>Source!DM37</f>
        <v>8.0618999999999996</v>
      </c>
      <c r="Q59" s="13"/>
      <c r="R59" s="13"/>
      <c r="S59" s="13"/>
      <c r="T59" s="13"/>
      <c r="U59" s="13"/>
      <c r="V59" s="13"/>
      <c r="W59" s="13">
        <v>8.0618999999999996</v>
      </c>
      <c r="X59" s="13">
        <v>1</v>
      </c>
      <c r="Y59" s="13">
        <v>8.0618999999999996</v>
      </c>
      <c r="Z59" s="13">
        <v>8.0618999999999996</v>
      </c>
      <c r="AA59" s="13">
        <v>1</v>
      </c>
      <c r="AB59" s="13">
        <v>8.0618999999999996</v>
      </c>
    </row>
    <row r="60" spans="1:28" x14ac:dyDescent="0.2">
      <c r="A60" s="13">
        <v>50</v>
      </c>
      <c r="B60" s="13">
        <v>0</v>
      </c>
      <c r="C60" s="13">
        <v>0</v>
      </c>
      <c r="D60" s="13">
        <v>1</v>
      </c>
      <c r="E60" s="13">
        <v>208</v>
      </c>
      <c r="F60" s="13">
        <f>Source!V37</f>
        <v>0</v>
      </c>
      <c r="G60" s="13" t="s">
        <v>88</v>
      </c>
      <c r="H60" s="13" t="s">
        <v>89</v>
      </c>
      <c r="I60" s="13"/>
      <c r="J60" s="13"/>
      <c r="K60" s="13">
        <v>208</v>
      </c>
      <c r="L60" s="13">
        <v>22</v>
      </c>
      <c r="M60" s="13">
        <v>3</v>
      </c>
      <c r="N60" s="13" t="s">
        <v>3</v>
      </c>
      <c r="O60" s="13">
        <v>-1</v>
      </c>
      <c r="P60" s="13">
        <f>Source!DN37</f>
        <v>0</v>
      </c>
      <c r="Q60" s="13"/>
      <c r="R60" s="13"/>
      <c r="S60" s="13"/>
      <c r="T60" s="13"/>
      <c r="U60" s="13"/>
      <c r="V60" s="13"/>
      <c r="W60" s="13">
        <v>0</v>
      </c>
      <c r="X60" s="13">
        <v>1</v>
      </c>
      <c r="Y60" s="13">
        <v>0</v>
      </c>
      <c r="Z60" s="13">
        <v>0</v>
      </c>
      <c r="AA60" s="13">
        <v>1</v>
      </c>
      <c r="AB60" s="13">
        <v>0</v>
      </c>
    </row>
    <row r="61" spans="1:28" x14ac:dyDescent="0.2">
      <c r="A61" s="13">
        <v>50</v>
      </c>
      <c r="B61" s="13">
        <v>0</v>
      </c>
      <c r="C61" s="13">
        <v>0</v>
      </c>
      <c r="D61" s="13">
        <v>1</v>
      </c>
      <c r="E61" s="13">
        <v>209</v>
      </c>
      <c r="F61" s="13">
        <f>ROUND(Source!W37,O61)</f>
        <v>0</v>
      </c>
      <c r="G61" s="13" t="s">
        <v>90</v>
      </c>
      <c r="H61" s="13" t="s">
        <v>91</v>
      </c>
      <c r="I61" s="13"/>
      <c r="J61" s="13"/>
      <c r="K61" s="13">
        <v>209</v>
      </c>
      <c r="L61" s="13">
        <v>23</v>
      </c>
      <c r="M61" s="13">
        <v>3</v>
      </c>
      <c r="N61" s="13" t="s">
        <v>3</v>
      </c>
      <c r="O61" s="13">
        <v>2</v>
      </c>
      <c r="P61" s="13">
        <f>ROUND(Source!DO37,O61)</f>
        <v>0</v>
      </c>
      <c r="Q61" s="13"/>
      <c r="R61" s="13"/>
      <c r="S61" s="13"/>
      <c r="T61" s="13"/>
      <c r="U61" s="13"/>
      <c r="V61" s="13"/>
      <c r="W61" s="13">
        <v>0</v>
      </c>
      <c r="X61" s="13">
        <v>1</v>
      </c>
      <c r="Y61" s="13">
        <v>0</v>
      </c>
      <c r="Z61" s="13">
        <v>0</v>
      </c>
      <c r="AA61" s="13">
        <v>1</v>
      </c>
      <c r="AB61" s="13">
        <v>0</v>
      </c>
    </row>
    <row r="62" spans="1:28" x14ac:dyDescent="0.2">
      <c r="A62" s="13">
        <v>50</v>
      </c>
      <c r="B62" s="13">
        <v>0</v>
      </c>
      <c r="C62" s="13">
        <v>0</v>
      </c>
      <c r="D62" s="13">
        <v>1</v>
      </c>
      <c r="E62" s="13">
        <v>233</v>
      </c>
      <c r="F62" s="13">
        <f>ROUND(Source!BD37,O62)</f>
        <v>0</v>
      </c>
      <c r="G62" s="13" t="s">
        <v>92</v>
      </c>
      <c r="H62" s="13" t="s">
        <v>93</v>
      </c>
      <c r="I62" s="13"/>
      <c r="J62" s="13"/>
      <c r="K62" s="13">
        <v>233</v>
      </c>
      <c r="L62" s="13">
        <v>24</v>
      </c>
      <c r="M62" s="13">
        <v>3</v>
      </c>
      <c r="N62" s="13" t="s">
        <v>3</v>
      </c>
      <c r="O62" s="13">
        <v>2</v>
      </c>
      <c r="P62" s="13">
        <f>ROUND(Source!EV37,O62)</f>
        <v>0</v>
      </c>
      <c r="Q62" s="13"/>
      <c r="R62" s="13"/>
      <c r="S62" s="13"/>
      <c r="T62" s="13"/>
      <c r="U62" s="13"/>
      <c r="V62" s="13"/>
      <c r="W62" s="13">
        <v>0</v>
      </c>
      <c r="X62" s="13">
        <v>1</v>
      </c>
      <c r="Y62" s="13">
        <v>0</v>
      </c>
      <c r="Z62" s="13">
        <v>0</v>
      </c>
      <c r="AA62" s="13">
        <v>1</v>
      </c>
      <c r="AB62" s="13">
        <v>0</v>
      </c>
    </row>
    <row r="63" spans="1:28" x14ac:dyDescent="0.2">
      <c r="A63" s="13">
        <v>50</v>
      </c>
      <c r="B63" s="13">
        <v>0</v>
      </c>
      <c r="C63" s="13">
        <v>0</v>
      </c>
      <c r="D63" s="13">
        <v>1</v>
      </c>
      <c r="E63" s="13">
        <v>210</v>
      </c>
      <c r="F63" s="13">
        <f>ROUND(Source!X37,O63)</f>
        <v>92.16</v>
      </c>
      <c r="G63" s="13" t="s">
        <v>94</v>
      </c>
      <c r="H63" s="13" t="s">
        <v>95</v>
      </c>
      <c r="I63" s="13"/>
      <c r="J63" s="13"/>
      <c r="K63" s="13">
        <v>210</v>
      </c>
      <c r="L63" s="13">
        <v>25</v>
      </c>
      <c r="M63" s="13">
        <v>3</v>
      </c>
      <c r="N63" s="13" t="s">
        <v>3</v>
      </c>
      <c r="O63" s="13">
        <v>2</v>
      </c>
      <c r="P63" s="13">
        <f>ROUND(Source!DP37,O63)</f>
        <v>5067.88</v>
      </c>
      <c r="Q63" s="13"/>
      <c r="R63" s="13"/>
      <c r="S63" s="13"/>
      <c r="T63" s="13"/>
      <c r="U63" s="13"/>
      <c r="V63" s="13"/>
      <c r="W63" s="13">
        <v>92.16</v>
      </c>
      <c r="X63" s="13">
        <v>1</v>
      </c>
      <c r="Y63" s="13">
        <v>92.16</v>
      </c>
      <c r="Z63" s="13">
        <v>5067.88</v>
      </c>
      <c r="AA63" s="13">
        <v>1</v>
      </c>
      <c r="AB63" s="13">
        <v>5067.88</v>
      </c>
    </row>
    <row r="64" spans="1:28" x14ac:dyDescent="0.2">
      <c r="A64" s="13">
        <v>50</v>
      </c>
      <c r="B64" s="13">
        <v>0</v>
      </c>
      <c r="C64" s="13">
        <v>0</v>
      </c>
      <c r="D64" s="13">
        <v>1</v>
      </c>
      <c r="E64" s="13">
        <v>211</v>
      </c>
      <c r="F64" s="13">
        <f>ROUND(Source!Y37,O64)</f>
        <v>47.11</v>
      </c>
      <c r="G64" s="13" t="s">
        <v>96</v>
      </c>
      <c r="H64" s="13" t="s">
        <v>97</v>
      </c>
      <c r="I64" s="13"/>
      <c r="J64" s="13"/>
      <c r="K64" s="13">
        <v>211</v>
      </c>
      <c r="L64" s="13">
        <v>26</v>
      </c>
      <c r="M64" s="13">
        <v>3</v>
      </c>
      <c r="N64" s="13" t="s">
        <v>3</v>
      </c>
      <c r="O64" s="13">
        <v>2</v>
      </c>
      <c r="P64" s="13">
        <f>ROUND(Source!DQ37,O64)</f>
        <v>2590.2399999999998</v>
      </c>
      <c r="Q64" s="13"/>
      <c r="R64" s="13"/>
      <c r="S64" s="13"/>
      <c r="T64" s="13"/>
      <c r="U64" s="13"/>
      <c r="V64" s="13"/>
      <c r="W64" s="13">
        <v>47.11</v>
      </c>
      <c r="X64" s="13">
        <v>1</v>
      </c>
      <c r="Y64" s="13">
        <v>47.11</v>
      </c>
      <c r="Z64" s="13">
        <v>2590.2399999999998</v>
      </c>
      <c r="AA64" s="13">
        <v>1</v>
      </c>
      <c r="AB64" s="13">
        <v>2590.2399999999998</v>
      </c>
    </row>
    <row r="65" spans="1:255" x14ac:dyDescent="0.2">
      <c r="A65" s="13">
        <v>50</v>
      </c>
      <c r="B65" s="13">
        <v>0</v>
      </c>
      <c r="C65" s="13">
        <v>0</v>
      </c>
      <c r="D65" s="13">
        <v>1</v>
      </c>
      <c r="E65" s="13">
        <v>224</v>
      </c>
      <c r="F65" s="13">
        <f>ROUND(Source!AR37,O65)</f>
        <v>12222.83</v>
      </c>
      <c r="G65" s="13" t="s">
        <v>98</v>
      </c>
      <c r="H65" s="13" t="s">
        <v>99</v>
      </c>
      <c r="I65" s="13"/>
      <c r="J65" s="13"/>
      <c r="K65" s="13">
        <v>224</v>
      </c>
      <c r="L65" s="13">
        <v>27</v>
      </c>
      <c r="M65" s="13">
        <v>3</v>
      </c>
      <c r="N65" s="13" t="s">
        <v>3</v>
      </c>
      <c r="O65" s="13">
        <v>2</v>
      </c>
      <c r="P65" s="13">
        <f>ROUND(Source!EJ37,O65)</f>
        <v>101472.42</v>
      </c>
      <c r="Q65" s="13"/>
      <c r="R65" s="13"/>
      <c r="S65" s="13"/>
      <c r="T65" s="13"/>
      <c r="U65" s="13"/>
      <c r="V65" s="13"/>
      <c r="W65" s="13">
        <v>12222.83</v>
      </c>
      <c r="X65" s="13">
        <v>1</v>
      </c>
      <c r="Y65" s="13">
        <v>12222.83</v>
      </c>
      <c r="Z65" s="13">
        <v>101472.42</v>
      </c>
      <c r="AA65" s="13">
        <v>1</v>
      </c>
      <c r="AB65" s="13">
        <v>101472.42</v>
      </c>
    </row>
    <row r="67" spans="1:255" x14ac:dyDescent="0.2">
      <c r="A67" s="10">
        <v>4</v>
      </c>
      <c r="B67" s="10">
        <v>1</v>
      </c>
      <c r="C67" s="10"/>
      <c r="D67" s="10">
        <f>ROW(A84)</f>
        <v>84</v>
      </c>
      <c r="E67" s="10"/>
      <c r="F67" s="10" t="s">
        <v>3</v>
      </c>
      <c r="G67" s="10" t="s">
        <v>100</v>
      </c>
      <c r="H67" s="10" t="s">
        <v>3</v>
      </c>
      <c r="I67" s="10">
        <v>0</v>
      </c>
      <c r="J67" s="10"/>
      <c r="K67" s="10">
        <v>-1</v>
      </c>
      <c r="L67" s="10"/>
      <c r="M67" s="10" t="s">
        <v>3</v>
      </c>
      <c r="N67" s="10"/>
      <c r="O67" s="10"/>
      <c r="P67" s="10"/>
      <c r="Q67" s="10"/>
      <c r="R67" s="10"/>
      <c r="S67" s="10">
        <v>0</v>
      </c>
      <c r="T67" s="10">
        <v>0</v>
      </c>
      <c r="U67" s="10" t="s">
        <v>3</v>
      </c>
      <c r="V67" s="10">
        <v>2</v>
      </c>
      <c r="W67" s="10"/>
      <c r="X67" s="10"/>
      <c r="Y67" s="10"/>
      <c r="Z67" s="10"/>
      <c r="AA67" s="10"/>
      <c r="AB67" s="10" t="s">
        <v>3</v>
      </c>
      <c r="AC67" s="10" t="s">
        <v>3</v>
      </c>
      <c r="AD67" s="10" t="s">
        <v>3</v>
      </c>
      <c r="AE67" s="10" t="s">
        <v>3</v>
      </c>
      <c r="AF67" s="10" t="s">
        <v>3</v>
      </c>
      <c r="AG67" s="10" t="s">
        <v>3</v>
      </c>
      <c r="AH67" s="10"/>
      <c r="AI67" s="10"/>
      <c r="AJ67" s="10"/>
      <c r="AK67" s="10"/>
      <c r="AL67" s="10"/>
      <c r="AM67" s="10"/>
      <c r="AN67" s="10"/>
      <c r="AO67" s="10"/>
      <c r="AP67" s="10" t="s">
        <v>3</v>
      </c>
      <c r="AQ67" s="10" t="s">
        <v>3</v>
      </c>
      <c r="AR67" s="10" t="s">
        <v>3</v>
      </c>
      <c r="AS67" s="10"/>
      <c r="AT67" s="10"/>
      <c r="AU67" s="10"/>
      <c r="AV67" s="10"/>
      <c r="AW67" s="10"/>
      <c r="AX67" s="10"/>
      <c r="AY67" s="10"/>
      <c r="AZ67" s="10" t="s">
        <v>3</v>
      </c>
      <c r="BA67" s="10"/>
      <c r="BB67" s="10" t="s">
        <v>3</v>
      </c>
      <c r="BC67" s="10" t="s">
        <v>3</v>
      </c>
      <c r="BD67" s="10" t="s">
        <v>3</v>
      </c>
      <c r="BE67" s="10" t="s">
        <v>3</v>
      </c>
      <c r="BF67" s="10" t="s">
        <v>3</v>
      </c>
      <c r="BG67" s="10" t="s">
        <v>3</v>
      </c>
      <c r="BH67" s="10" t="s">
        <v>3</v>
      </c>
      <c r="BI67" s="10" t="s">
        <v>3</v>
      </c>
      <c r="BJ67" s="10" t="s">
        <v>3</v>
      </c>
      <c r="BK67" s="10" t="s">
        <v>3</v>
      </c>
      <c r="BL67" s="10" t="s">
        <v>3</v>
      </c>
      <c r="BM67" s="10" t="s">
        <v>3</v>
      </c>
      <c r="BN67" s="10" t="s">
        <v>3</v>
      </c>
      <c r="BO67" s="10" t="s">
        <v>3</v>
      </c>
      <c r="BP67" s="10" t="s">
        <v>3</v>
      </c>
      <c r="BQ67" s="10"/>
      <c r="BR67" s="10"/>
      <c r="BS67" s="10"/>
      <c r="BT67" s="10"/>
      <c r="BU67" s="10"/>
      <c r="BV67" s="10"/>
      <c r="BW67" s="10"/>
      <c r="BX67" s="10">
        <v>0</v>
      </c>
      <c r="BY67" s="10"/>
      <c r="BZ67" s="10"/>
      <c r="CA67" s="10"/>
      <c r="CB67" s="10"/>
      <c r="CC67" s="10"/>
      <c r="CD67" s="10"/>
      <c r="CE67" s="10"/>
      <c r="CF67" s="10"/>
      <c r="CG67" s="10"/>
      <c r="CH67" s="10"/>
      <c r="CI67" s="10"/>
      <c r="CJ67" s="10">
        <v>0</v>
      </c>
    </row>
    <row r="69" spans="1:255" x14ac:dyDescent="0.2">
      <c r="A69" s="11">
        <v>52</v>
      </c>
      <c r="B69" s="11">
        <f t="shared" ref="B69:G69" si="47">B84</f>
        <v>1</v>
      </c>
      <c r="C69" s="11">
        <f t="shared" si="47"/>
        <v>4</v>
      </c>
      <c r="D69" s="11">
        <f t="shared" si="47"/>
        <v>67</v>
      </c>
      <c r="E69" s="11">
        <f t="shared" si="47"/>
        <v>0</v>
      </c>
      <c r="F69" s="11" t="str">
        <f t="shared" si="47"/>
        <v/>
      </c>
      <c r="G69" s="11" t="str">
        <f t="shared" si="47"/>
        <v>Кабельные изделия</v>
      </c>
      <c r="H69" s="11"/>
      <c r="I69" s="11"/>
      <c r="J69" s="11"/>
      <c r="K69" s="11"/>
      <c r="L69" s="11"/>
      <c r="M69" s="11"/>
      <c r="N69" s="11"/>
      <c r="O69" s="11">
        <f t="shared" ref="O69:AT69" si="48">O84</f>
        <v>2322.7600000000002</v>
      </c>
      <c r="P69" s="11">
        <f t="shared" si="48"/>
        <v>2111.7199999999998</v>
      </c>
      <c r="Q69" s="11">
        <f t="shared" si="48"/>
        <v>3.84</v>
      </c>
      <c r="R69" s="11">
        <f t="shared" si="48"/>
        <v>0.17</v>
      </c>
      <c r="S69" s="11">
        <f t="shared" si="48"/>
        <v>207.2</v>
      </c>
      <c r="T69" s="11">
        <f t="shared" si="48"/>
        <v>0</v>
      </c>
      <c r="U69" s="11">
        <f t="shared" si="48"/>
        <v>17.304292500000003</v>
      </c>
      <c r="V69" s="11">
        <f t="shared" si="48"/>
        <v>0</v>
      </c>
      <c r="W69" s="11">
        <f t="shared" si="48"/>
        <v>0</v>
      </c>
      <c r="X69" s="11">
        <f t="shared" si="48"/>
        <v>189.29</v>
      </c>
      <c r="Y69" s="11">
        <f t="shared" si="48"/>
        <v>97.28</v>
      </c>
      <c r="Z69" s="11">
        <f t="shared" si="48"/>
        <v>0</v>
      </c>
      <c r="AA69" s="11">
        <f t="shared" si="48"/>
        <v>0</v>
      </c>
      <c r="AB69" s="11">
        <f t="shared" si="48"/>
        <v>2322.7600000000002</v>
      </c>
      <c r="AC69" s="11">
        <f t="shared" si="48"/>
        <v>2111.7199999999998</v>
      </c>
      <c r="AD69" s="11">
        <f t="shared" si="48"/>
        <v>3.84</v>
      </c>
      <c r="AE69" s="11">
        <f t="shared" si="48"/>
        <v>0.17</v>
      </c>
      <c r="AF69" s="11">
        <f t="shared" si="48"/>
        <v>207.2</v>
      </c>
      <c r="AG69" s="11">
        <f t="shared" si="48"/>
        <v>0</v>
      </c>
      <c r="AH69" s="11">
        <f t="shared" si="48"/>
        <v>17.304292500000003</v>
      </c>
      <c r="AI69" s="11">
        <f t="shared" si="48"/>
        <v>0</v>
      </c>
      <c r="AJ69" s="11">
        <f t="shared" si="48"/>
        <v>0</v>
      </c>
      <c r="AK69" s="11">
        <f t="shared" si="48"/>
        <v>189.29</v>
      </c>
      <c r="AL69" s="11">
        <f t="shared" si="48"/>
        <v>97.28</v>
      </c>
      <c r="AM69" s="11">
        <f t="shared" si="48"/>
        <v>0</v>
      </c>
      <c r="AN69" s="11">
        <f t="shared" si="48"/>
        <v>0</v>
      </c>
      <c r="AO69" s="11">
        <f t="shared" si="48"/>
        <v>0</v>
      </c>
      <c r="AP69" s="11">
        <f t="shared" si="48"/>
        <v>0</v>
      </c>
      <c r="AQ69" s="11">
        <f t="shared" si="48"/>
        <v>0</v>
      </c>
      <c r="AR69" s="11">
        <f t="shared" si="48"/>
        <v>2609.33</v>
      </c>
      <c r="AS69" s="11">
        <f t="shared" si="48"/>
        <v>0</v>
      </c>
      <c r="AT69" s="11">
        <f t="shared" si="48"/>
        <v>2609.33</v>
      </c>
      <c r="AU69" s="11">
        <f t="shared" ref="AU69:BZ69" si="49">AU84</f>
        <v>0</v>
      </c>
      <c r="AV69" s="11">
        <f t="shared" si="49"/>
        <v>2111.7199999999998</v>
      </c>
      <c r="AW69" s="11">
        <f t="shared" si="49"/>
        <v>2111.7199999999998</v>
      </c>
      <c r="AX69" s="11">
        <f t="shared" si="49"/>
        <v>0</v>
      </c>
      <c r="AY69" s="11">
        <f t="shared" si="49"/>
        <v>2111.7199999999998</v>
      </c>
      <c r="AZ69" s="11">
        <f t="shared" si="49"/>
        <v>0</v>
      </c>
      <c r="BA69" s="11">
        <f t="shared" si="49"/>
        <v>0</v>
      </c>
      <c r="BB69" s="11">
        <f t="shared" si="49"/>
        <v>0</v>
      </c>
      <c r="BC69" s="11">
        <f t="shared" si="49"/>
        <v>0</v>
      </c>
      <c r="BD69" s="11">
        <f t="shared" si="49"/>
        <v>0</v>
      </c>
      <c r="BE69" s="11">
        <f t="shared" si="49"/>
        <v>0</v>
      </c>
      <c r="BF69" s="11">
        <f t="shared" si="49"/>
        <v>0</v>
      </c>
      <c r="BG69" s="11">
        <f t="shared" si="49"/>
        <v>0</v>
      </c>
      <c r="BH69" s="11">
        <f t="shared" si="49"/>
        <v>0</v>
      </c>
      <c r="BI69" s="11">
        <f t="shared" si="49"/>
        <v>0</v>
      </c>
      <c r="BJ69" s="11">
        <f t="shared" si="49"/>
        <v>0</v>
      </c>
      <c r="BK69" s="11">
        <f t="shared" si="49"/>
        <v>0</v>
      </c>
      <c r="BL69" s="11">
        <f t="shared" si="49"/>
        <v>0</v>
      </c>
      <c r="BM69" s="11">
        <f t="shared" si="49"/>
        <v>0</v>
      </c>
      <c r="BN69" s="11">
        <f t="shared" si="49"/>
        <v>0</v>
      </c>
      <c r="BO69" s="11">
        <f t="shared" si="49"/>
        <v>0</v>
      </c>
      <c r="BP69" s="11">
        <f t="shared" si="49"/>
        <v>0</v>
      </c>
      <c r="BQ69" s="11">
        <f t="shared" si="49"/>
        <v>0</v>
      </c>
      <c r="BR69" s="11">
        <f t="shared" si="49"/>
        <v>0</v>
      </c>
      <c r="BS69" s="11">
        <f t="shared" si="49"/>
        <v>0</v>
      </c>
      <c r="BT69" s="11">
        <f t="shared" si="49"/>
        <v>0</v>
      </c>
      <c r="BU69" s="11">
        <f t="shared" si="49"/>
        <v>0</v>
      </c>
      <c r="BV69" s="11">
        <f t="shared" si="49"/>
        <v>0</v>
      </c>
      <c r="BW69" s="11">
        <f t="shared" si="49"/>
        <v>0</v>
      </c>
      <c r="BX69" s="11">
        <f t="shared" si="49"/>
        <v>0</v>
      </c>
      <c r="BY69" s="11">
        <f t="shared" si="49"/>
        <v>0</v>
      </c>
      <c r="BZ69" s="11">
        <f t="shared" si="49"/>
        <v>0</v>
      </c>
      <c r="CA69" s="11">
        <f t="shared" ref="CA69:DF69" si="50">CA84</f>
        <v>2609.33</v>
      </c>
      <c r="CB69" s="11">
        <f t="shared" si="50"/>
        <v>0</v>
      </c>
      <c r="CC69" s="11">
        <f t="shared" si="50"/>
        <v>2609.33</v>
      </c>
      <c r="CD69" s="11">
        <f t="shared" si="50"/>
        <v>0</v>
      </c>
      <c r="CE69" s="11">
        <f t="shared" si="50"/>
        <v>2111.7199999999998</v>
      </c>
      <c r="CF69" s="11">
        <f t="shared" si="50"/>
        <v>2111.7199999999998</v>
      </c>
      <c r="CG69" s="11">
        <f t="shared" si="50"/>
        <v>0</v>
      </c>
      <c r="CH69" s="11">
        <f t="shared" si="50"/>
        <v>2111.7199999999998</v>
      </c>
      <c r="CI69" s="11">
        <f t="shared" si="50"/>
        <v>0</v>
      </c>
      <c r="CJ69" s="11">
        <f t="shared" si="50"/>
        <v>0</v>
      </c>
      <c r="CK69" s="11">
        <f t="shared" si="50"/>
        <v>0</v>
      </c>
      <c r="CL69" s="11">
        <f t="shared" si="50"/>
        <v>0</v>
      </c>
      <c r="CM69" s="11">
        <f t="shared" si="50"/>
        <v>0</v>
      </c>
      <c r="CN69" s="11">
        <f t="shared" si="50"/>
        <v>0</v>
      </c>
      <c r="CO69" s="11">
        <f t="shared" si="50"/>
        <v>0</v>
      </c>
      <c r="CP69" s="11">
        <f t="shared" si="50"/>
        <v>0</v>
      </c>
      <c r="CQ69" s="11">
        <f t="shared" si="50"/>
        <v>0</v>
      </c>
      <c r="CR69" s="11">
        <f t="shared" si="50"/>
        <v>0</v>
      </c>
      <c r="CS69" s="11">
        <f t="shared" si="50"/>
        <v>0</v>
      </c>
      <c r="CT69" s="11">
        <f t="shared" si="50"/>
        <v>0</v>
      </c>
      <c r="CU69" s="11">
        <f t="shared" si="50"/>
        <v>0</v>
      </c>
      <c r="CV69" s="11">
        <f t="shared" si="50"/>
        <v>0</v>
      </c>
      <c r="CW69" s="11">
        <f t="shared" si="50"/>
        <v>0</v>
      </c>
      <c r="CX69" s="11">
        <f t="shared" si="50"/>
        <v>0</v>
      </c>
      <c r="CY69" s="11">
        <f t="shared" si="50"/>
        <v>0</v>
      </c>
      <c r="CZ69" s="11">
        <f t="shared" si="50"/>
        <v>0</v>
      </c>
      <c r="DA69" s="11">
        <f t="shared" si="50"/>
        <v>0</v>
      </c>
      <c r="DB69" s="11">
        <f t="shared" si="50"/>
        <v>0</v>
      </c>
      <c r="DC69" s="11">
        <f t="shared" si="50"/>
        <v>0</v>
      </c>
      <c r="DD69" s="11">
        <f t="shared" si="50"/>
        <v>0</v>
      </c>
      <c r="DE69" s="11">
        <f t="shared" si="50"/>
        <v>0</v>
      </c>
      <c r="DF69" s="11">
        <f t="shared" si="50"/>
        <v>0</v>
      </c>
      <c r="DG69" s="12">
        <f t="shared" ref="DG69:EL69" si="51">DG84</f>
        <v>23420.34</v>
      </c>
      <c r="DH69" s="12">
        <f t="shared" si="51"/>
        <v>11984.09</v>
      </c>
      <c r="DI69" s="12">
        <f t="shared" si="51"/>
        <v>42.32</v>
      </c>
      <c r="DJ69" s="12">
        <f t="shared" si="51"/>
        <v>9.35</v>
      </c>
      <c r="DK69" s="12">
        <f t="shared" si="51"/>
        <v>11393.93</v>
      </c>
      <c r="DL69" s="12">
        <f t="shared" si="51"/>
        <v>0</v>
      </c>
      <c r="DM69" s="12">
        <f t="shared" si="51"/>
        <v>17.304292500000003</v>
      </c>
      <c r="DN69" s="12">
        <f t="shared" si="51"/>
        <v>0</v>
      </c>
      <c r="DO69" s="12">
        <f t="shared" si="51"/>
        <v>0</v>
      </c>
      <c r="DP69" s="12">
        <f t="shared" si="51"/>
        <v>10409.030000000001</v>
      </c>
      <c r="DQ69" s="12">
        <f t="shared" si="51"/>
        <v>5349.85</v>
      </c>
      <c r="DR69" s="12">
        <f t="shared" si="51"/>
        <v>0</v>
      </c>
      <c r="DS69" s="12">
        <f t="shared" si="51"/>
        <v>0</v>
      </c>
      <c r="DT69" s="12">
        <f t="shared" si="51"/>
        <v>23420.34</v>
      </c>
      <c r="DU69" s="12">
        <f t="shared" si="51"/>
        <v>11984.09</v>
      </c>
      <c r="DV69" s="12">
        <f t="shared" si="51"/>
        <v>42.32</v>
      </c>
      <c r="DW69" s="12">
        <f t="shared" si="51"/>
        <v>9.35</v>
      </c>
      <c r="DX69" s="12">
        <f t="shared" si="51"/>
        <v>11393.93</v>
      </c>
      <c r="DY69" s="12">
        <f t="shared" si="51"/>
        <v>0</v>
      </c>
      <c r="DZ69" s="12">
        <f t="shared" si="51"/>
        <v>17.304292500000003</v>
      </c>
      <c r="EA69" s="12">
        <f t="shared" si="51"/>
        <v>0</v>
      </c>
      <c r="EB69" s="12">
        <f t="shared" si="51"/>
        <v>0</v>
      </c>
      <c r="EC69" s="12">
        <f t="shared" si="51"/>
        <v>10409.030000000001</v>
      </c>
      <c r="ED69" s="12">
        <f t="shared" si="51"/>
        <v>5349.85</v>
      </c>
      <c r="EE69" s="12">
        <f t="shared" si="51"/>
        <v>0</v>
      </c>
      <c r="EF69" s="12">
        <f t="shared" si="51"/>
        <v>0</v>
      </c>
      <c r="EG69" s="12">
        <f t="shared" si="51"/>
        <v>0</v>
      </c>
      <c r="EH69" s="12">
        <f t="shared" si="51"/>
        <v>0</v>
      </c>
      <c r="EI69" s="12">
        <f t="shared" si="51"/>
        <v>0</v>
      </c>
      <c r="EJ69" s="12">
        <f t="shared" si="51"/>
        <v>39179.22</v>
      </c>
      <c r="EK69" s="12">
        <f t="shared" si="51"/>
        <v>0</v>
      </c>
      <c r="EL69" s="12">
        <f t="shared" si="51"/>
        <v>39179.22</v>
      </c>
      <c r="EM69" s="12">
        <f t="shared" ref="EM69:FR69" si="52">EM84</f>
        <v>0</v>
      </c>
      <c r="EN69" s="12">
        <f t="shared" si="52"/>
        <v>11984.09</v>
      </c>
      <c r="EO69" s="12">
        <f t="shared" si="52"/>
        <v>11984.09</v>
      </c>
      <c r="EP69" s="12">
        <f t="shared" si="52"/>
        <v>0</v>
      </c>
      <c r="EQ69" s="12">
        <f t="shared" si="52"/>
        <v>11984.09</v>
      </c>
      <c r="ER69" s="12">
        <f t="shared" si="52"/>
        <v>0</v>
      </c>
      <c r="ES69" s="12">
        <f t="shared" si="52"/>
        <v>0</v>
      </c>
      <c r="ET69" s="12">
        <f t="shared" si="52"/>
        <v>0</v>
      </c>
      <c r="EU69" s="12">
        <f t="shared" si="52"/>
        <v>0</v>
      </c>
      <c r="EV69" s="12">
        <f t="shared" si="52"/>
        <v>0</v>
      </c>
      <c r="EW69" s="12">
        <f t="shared" si="52"/>
        <v>0</v>
      </c>
      <c r="EX69" s="12">
        <f t="shared" si="52"/>
        <v>0</v>
      </c>
      <c r="EY69" s="12">
        <f t="shared" si="52"/>
        <v>0</v>
      </c>
      <c r="EZ69" s="12">
        <f t="shared" si="52"/>
        <v>0</v>
      </c>
      <c r="FA69" s="12">
        <f t="shared" si="52"/>
        <v>0</v>
      </c>
      <c r="FB69" s="12">
        <f t="shared" si="52"/>
        <v>0</v>
      </c>
      <c r="FC69" s="12">
        <f t="shared" si="52"/>
        <v>0</v>
      </c>
      <c r="FD69" s="12">
        <f t="shared" si="52"/>
        <v>0</v>
      </c>
      <c r="FE69" s="12">
        <f t="shared" si="52"/>
        <v>0</v>
      </c>
      <c r="FF69" s="12">
        <f t="shared" si="52"/>
        <v>0</v>
      </c>
      <c r="FG69" s="12">
        <f t="shared" si="52"/>
        <v>0</v>
      </c>
      <c r="FH69" s="12">
        <f t="shared" si="52"/>
        <v>0</v>
      </c>
      <c r="FI69" s="12">
        <f t="shared" si="52"/>
        <v>0</v>
      </c>
      <c r="FJ69" s="12">
        <f t="shared" si="52"/>
        <v>0</v>
      </c>
      <c r="FK69" s="12">
        <f t="shared" si="52"/>
        <v>0</v>
      </c>
      <c r="FL69" s="12">
        <f t="shared" si="52"/>
        <v>0</v>
      </c>
      <c r="FM69" s="12">
        <f t="shared" si="52"/>
        <v>0</v>
      </c>
      <c r="FN69" s="12">
        <f t="shared" si="52"/>
        <v>0</v>
      </c>
      <c r="FO69" s="12">
        <f t="shared" si="52"/>
        <v>0</v>
      </c>
      <c r="FP69" s="12">
        <f t="shared" si="52"/>
        <v>0</v>
      </c>
      <c r="FQ69" s="12">
        <f t="shared" si="52"/>
        <v>0</v>
      </c>
      <c r="FR69" s="12">
        <f t="shared" si="52"/>
        <v>0</v>
      </c>
      <c r="FS69" s="12">
        <f t="shared" ref="FS69:GX69" si="53">FS84</f>
        <v>39179.22</v>
      </c>
      <c r="FT69" s="12">
        <f t="shared" si="53"/>
        <v>0</v>
      </c>
      <c r="FU69" s="12">
        <f t="shared" si="53"/>
        <v>39179.22</v>
      </c>
      <c r="FV69" s="12">
        <f t="shared" si="53"/>
        <v>0</v>
      </c>
      <c r="FW69" s="12">
        <f t="shared" si="53"/>
        <v>11984.09</v>
      </c>
      <c r="FX69" s="12">
        <f t="shared" si="53"/>
        <v>11984.09</v>
      </c>
      <c r="FY69" s="12">
        <f t="shared" si="53"/>
        <v>0</v>
      </c>
      <c r="FZ69" s="12">
        <f t="shared" si="53"/>
        <v>11984.09</v>
      </c>
      <c r="GA69" s="12">
        <f t="shared" si="53"/>
        <v>0</v>
      </c>
      <c r="GB69" s="12">
        <f t="shared" si="53"/>
        <v>0</v>
      </c>
      <c r="GC69" s="12">
        <f t="shared" si="53"/>
        <v>0</v>
      </c>
      <c r="GD69" s="12">
        <f t="shared" si="53"/>
        <v>0</v>
      </c>
      <c r="GE69" s="12">
        <f t="shared" si="53"/>
        <v>0</v>
      </c>
      <c r="GF69" s="12">
        <f t="shared" si="53"/>
        <v>0</v>
      </c>
      <c r="GG69" s="12">
        <f t="shared" si="53"/>
        <v>0</v>
      </c>
      <c r="GH69" s="12">
        <f t="shared" si="53"/>
        <v>0</v>
      </c>
      <c r="GI69" s="12">
        <f t="shared" si="53"/>
        <v>0</v>
      </c>
      <c r="GJ69" s="12">
        <f t="shared" si="53"/>
        <v>0</v>
      </c>
      <c r="GK69" s="12">
        <f t="shared" si="53"/>
        <v>0</v>
      </c>
      <c r="GL69" s="12">
        <f t="shared" si="53"/>
        <v>0</v>
      </c>
      <c r="GM69" s="12">
        <f t="shared" si="53"/>
        <v>0</v>
      </c>
      <c r="GN69" s="12">
        <f t="shared" si="53"/>
        <v>0</v>
      </c>
      <c r="GO69" s="12">
        <f t="shared" si="53"/>
        <v>0</v>
      </c>
      <c r="GP69" s="12">
        <f t="shared" si="53"/>
        <v>0</v>
      </c>
      <c r="GQ69" s="12">
        <f t="shared" si="53"/>
        <v>0</v>
      </c>
      <c r="GR69" s="12">
        <f t="shared" si="53"/>
        <v>0</v>
      </c>
      <c r="GS69" s="12">
        <f t="shared" si="53"/>
        <v>0</v>
      </c>
      <c r="GT69" s="12">
        <f t="shared" si="53"/>
        <v>0</v>
      </c>
      <c r="GU69" s="12">
        <f t="shared" si="53"/>
        <v>0</v>
      </c>
      <c r="GV69" s="12">
        <f t="shared" si="53"/>
        <v>0</v>
      </c>
      <c r="GW69" s="12">
        <f t="shared" si="53"/>
        <v>0</v>
      </c>
      <c r="GX69" s="12">
        <f t="shared" si="53"/>
        <v>0</v>
      </c>
    </row>
    <row r="71" spans="1:255" x14ac:dyDescent="0.2">
      <c r="A71" s="2">
        <v>17</v>
      </c>
      <c r="B71" s="2">
        <v>1</v>
      </c>
      <c r="C71" s="2">
        <f>ROW(SmtRes!A13)</f>
        <v>13</v>
      </c>
      <c r="D71" s="2">
        <f>ROW(EtalonRes!A14)</f>
        <v>14</v>
      </c>
      <c r="E71" s="2" t="s">
        <v>101</v>
      </c>
      <c r="F71" s="2" t="s">
        <v>102</v>
      </c>
      <c r="G71" s="2" t="s">
        <v>103</v>
      </c>
      <c r="H71" s="2" t="s">
        <v>104</v>
      </c>
      <c r="I71" s="2">
        <f>ROUND(50/100,9)</f>
        <v>0.5</v>
      </c>
      <c r="J71" s="2">
        <v>0</v>
      </c>
      <c r="K71" s="2">
        <f>ROUND(50/100,9)</f>
        <v>0.5</v>
      </c>
      <c r="L71" s="2"/>
      <c r="M71" s="2"/>
      <c r="N71" s="2"/>
      <c r="O71" s="2">
        <f t="shared" ref="O71:O82" si="54">ROUND(CP71,2)</f>
        <v>181.46</v>
      </c>
      <c r="P71" s="2">
        <f t="shared" ref="P71:P82" si="55">ROUND((ROUND((AC71*AW71*I71),2)*BC71),2)</f>
        <v>9.7100000000000009</v>
      </c>
      <c r="Q71" s="2">
        <f>(ROUND((ROUND((((ET71*1.1))*AV71*I71),2)*BB71),2)+ROUND((ROUND(((AE71-((EU71*1.1)))*AV71*I71),2)*BS71),2))</f>
        <v>2.33</v>
      </c>
      <c r="R71" s="2">
        <f>(ROUND((ROUND((((EU71*1.1))*AV71*I71),2)*BS71),2)+ROUND((ROUND(((AE71-((EU71*1.1)))*AV71*I71),2)*BS71),2))</f>
        <v>0</v>
      </c>
      <c r="S71" s="2">
        <f t="shared" ref="S71:S82" si="56">ROUND((ROUND((AF71*AV71*I71),2)*BA71),2)</f>
        <v>169.42</v>
      </c>
      <c r="T71" s="2">
        <f t="shared" ref="T71:T82" si="57">ROUND(CU71*I71,2)</f>
        <v>0</v>
      </c>
      <c r="U71" s="2">
        <f t="shared" ref="U71:U82" si="58">CV71*I71</f>
        <v>14.258046000000002</v>
      </c>
      <c r="V71" s="2">
        <f t="shared" ref="V71:V82" si="59">CW71*I71</f>
        <v>0</v>
      </c>
      <c r="W71" s="2">
        <f t="shared" ref="W71:W82" si="60">ROUND(CX71*I71,2)</f>
        <v>0</v>
      </c>
      <c r="X71" s="2">
        <f>(ROUND((((S71+ROUND((ROUND((((EU71*1.1))*AV71*I71),2)*BS71),2))*AT71)/100),2)+ROUND(((ROUND((ROUND(((AE71-((EU71*1.1)))*AV71*I71),2)*BS71),2)*AT71)/100),2))</f>
        <v>152.47999999999999</v>
      </c>
      <c r="Y71" s="2">
        <f>(ROUND((((S71+ROUND((ROUND((((EU71*1.1))*AV71*I71),2)*BS71),2))*AU71)/100),2)+ROUND(((ROUND((ROUND(((AE71-((EU71*1.1)))*AV71*I71),2)*BS71),2)*AU71)/100),2))</f>
        <v>77.930000000000007</v>
      </c>
      <c r="Z71" s="2"/>
      <c r="AA71" s="2">
        <v>60257736</v>
      </c>
      <c r="AB71" s="2">
        <f t="shared" ref="AB71:AB82" si="61">ROUND((AC71+AD71+AF71),6)</f>
        <v>347.50599999999997</v>
      </c>
      <c r="AC71" s="2">
        <f t="shared" ref="AC71:AC82" si="62">ROUND((ES71),6)</f>
        <v>19.420000000000002</v>
      </c>
      <c r="AD71" s="2">
        <f>ROUND(((((ET71*1.1))-((EU71*1.1)))+AE71),6)</f>
        <v>4.4550000000000001</v>
      </c>
      <c r="AE71" s="2">
        <f>ROUND(((EU71*1.1)),6)</f>
        <v>0</v>
      </c>
      <c r="AF71" s="2">
        <f>ROUND(((EV71*1.1)),6)</f>
        <v>323.63099999999997</v>
      </c>
      <c r="AG71" s="2">
        <f t="shared" ref="AG71:AG82" si="63">ROUND((AP71),6)</f>
        <v>0</v>
      </c>
      <c r="AH71" s="2">
        <f>((EW71*1.1))</f>
        <v>27.236000000000004</v>
      </c>
      <c r="AI71" s="2">
        <f>((EX71*1.1))</f>
        <v>0</v>
      </c>
      <c r="AJ71" s="2">
        <f t="shared" ref="AJ71:AJ82" si="64">(AS71)</f>
        <v>0</v>
      </c>
      <c r="AK71" s="2">
        <v>317.68</v>
      </c>
      <c r="AL71" s="2">
        <v>19.420000000000002</v>
      </c>
      <c r="AM71" s="2">
        <v>4.05</v>
      </c>
      <c r="AN71" s="2">
        <v>0</v>
      </c>
      <c r="AO71" s="2">
        <v>294.20999999999998</v>
      </c>
      <c r="AP71" s="2">
        <v>0</v>
      </c>
      <c r="AQ71" s="2">
        <v>24.76</v>
      </c>
      <c r="AR71" s="2">
        <v>0</v>
      </c>
      <c r="AS71" s="2">
        <v>0</v>
      </c>
      <c r="AT71" s="2">
        <v>90</v>
      </c>
      <c r="AU71" s="2">
        <v>46</v>
      </c>
      <c r="AV71" s="2">
        <v>1.0469999999999999</v>
      </c>
      <c r="AW71" s="2">
        <v>1</v>
      </c>
      <c r="AX71" s="2"/>
      <c r="AY71" s="2"/>
      <c r="AZ71" s="2">
        <v>1</v>
      </c>
      <c r="BA71" s="2">
        <v>1</v>
      </c>
      <c r="BB71" s="2">
        <v>1</v>
      </c>
      <c r="BC71" s="2">
        <v>1</v>
      </c>
      <c r="BD71" s="2" t="s">
        <v>3</v>
      </c>
      <c r="BE71" s="2" t="s">
        <v>3</v>
      </c>
      <c r="BF71" s="2" t="s">
        <v>3</v>
      </c>
      <c r="BG71" s="2" t="s">
        <v>3</v>
      </c>
      <c r="BH71" s="2">
        <v>0</v>
      </c>
      <c r="BI71" s="2">
        <v>2</v>
      </c>
      <c r="BJ71" s="2" t="s">
        <v>105</v>
      </c>
      <c r="BK71" s="2"/>
      <c r="BL71" s="2"/>
      <c r="BM71" s="2">
        <v>68</v>
      </c>
      <c r="BN71" s="2">
        <v>0</v>
      </c>
      <c r="BO71" s="2" t="s">
        <v>102</v>
      </c>
      <c r="BP71" s="2">
        <v>1</v>
      </c>
      <c r="BQ71" s="2">
        <v>40</v>
      </c>
      <c r="BR71" s="2">
        <v>0</v>
      </c>
      <c r="BS71" s="2">
        <v>1</v>
      </c>
      <c r="BT71" s="2">
        <v>1</v>
      </c>
      <c r="BU71" s="2">
        <v>1</v>
      </c>
      <c r="BV71" s="2">
        <v>1</v>
      </c>
      <c r="BW71" s="2">
        <v>1</v>
      </c>
      <c r="BX71" s="2">
        <v>1</v>
      </c>
      <c r="BY71" s="2" t="s">
        <v>3</v>
      </c>
      <c r="BZ71" s="2">
        <v>90</v>
      </c>
      <c r="CA71" s="2">
        <v>46</v>
      </c>
      <c r="CB71" s="2" t="s">
        <v>3</v>
      </c>
      <c r="CC71" s="2"/>
      <c r="CD71" s="2"/>
      <c r="CE71" s="2">
        <v>1566</v>
      </c>
      <c r="CF71" s="2">
        <v>0</v>
      </c>
      <c r="CG71" s="2">
        <v>0</v>
      </c>
      <c r="CH71" s="2"/>
      <c r="CI71" s="2"/>
      <c r="CJ71" s="2"/>
      <c r="CK71" s="2"/>
      <c r="CL71" s="2"/>
      <c r="CM71" s="2">
        <v>0</v>
      </c>
      <c r="CN71" s="2" t="s">
        <v>202</v>
      </c>
      <c r="CO71" s="2">
        <v>0</v>
      </c>
      <c r="CP71" s="2">
        <f t="shared" ref="CP71:CP82" si="65">(P71+Q71+S71)</f>
        <v>181.45999999999998</v>
      </c>
      <c r="CQ71" s="2">
        <f t="shared" ref="CQ71:CQ82" si="66">ROUND((ROUND((AC71*AW71*1),2)*BC71),2)</f>
        <v>19.420000000000002</v>
      </c>
      <c r="CR71" s="2">
        <f>(ROUND((ROUND((((ET71*1.1))*AV71*1),2)*BB71),2)+ROUND((ROUND(((AE71-((EU71*1.1)))*AV71*1),2)*BS71),2))</f>
        <v>4.66</v>
      </c>
      <c r="CS71" s="2">
        <f>(ROUND((ROUND((((EU71*1.1))*AV71*1),2)*BS71),2)+ROUND((ROUND(((AE71-((EU71*1.1)))*AV71*1),2)*BS71),2))</f>
        <v>0</v>
      </c>
      <c r="CT71" s="2">
        <f t="shared" ref="CT71:CT82" si="67">ROUND((ROUND((AF71*AV71*1),2)*BA71),2)</f>
        <v>338.84</v>
      </c>
      <c r="CU71" s="2">
        <f t="shared" ref="CU71:CU82" si="68">AG71</f>
        <v>0</v>
      </c>
      <c r="CV71" s="2">
        <f t="shared" ref="CV71:CV82" si="69">(AH71*AV71)</f>
        <v>28.516092000000004</v>
      </c>
      <c r="CW71" s="2">
        <f t="shared" ref="CW71:CW82" si="70">AI71</f>
        <v>0</v>
      </c>
      <c r="CX71" s="2">
        <f t="shared" ref="CX71:CX82" si="71">AJ71</f>
        <v>0</v>
      </c>
      <c r="CY71" s="2">
        <f>(ROUND((((S71+ROUND((ROUND((((EU71*1.1))*AV71*1),2)*BS71),2))*AT71)/100),2)+ROUND(((ROUND((ROUND(((AE71-((EU71*1.1)))*AV71*1),2)*BS71),2)*AT71)/100),2))</f>
        <v>152.47999999999999</v>
      </c>
      <c r="CZ71" s="2">
        <f>(ROUND((((S71+ROUND((ROUND((((EU71*1.1))*AV71*1),2)*BS71),2))*AU71)/100),2)+ROUND(((ROUND((ROUND(((AE71-((EU71*1.1)))*AV71*1),2)*BS71),2)*AU71)/100),2))</f>
        <v>77.930000000000007</v>
      </c>
      <c r="DA71" s="2"/>
      <c r="DB71" s="2">
        <v>5</v>
      </c>
      <c r="DC71" s="2" t="s">
        <v>3</v>
      </c>
      <c r="DD71" s="2" t="s">
        <v>3</v>
      </c>
      <c r="DE71" s="2" t="s">
        <v>24</v>
      </c>
      <c r="DF71" s="2" t="s">
        <v>24</v>
      </c>
      <c r="DG71" s="2" t="s">
        <v>24</v>
      </c>
      <c r="DH71" s="2" t="s">
        <v>3</v>
      </c>
      <c r="DI71" s="2" t="s">
        <v>24</v>
      </c>
      <c r="DJ71" s="2" t="s">
        <v>24</v>
      </c>
      <c r="DK71" s="2" t="s">
        <v>3</v>
      </c>
      <c r="DL71" s="2" t="s">
        <v>3</v>
      </c>
      <c r="DM71" s="2" t="s">
        <v>3</v>
      </c>
      <c r="DN71" s="2">
        <v>0</v>
      </c>
      <c r="DO71" s="2">
        <v>0</v>
      </c>
      <c r="DP71" s="2">
        <v>1</v>
      </c>
      <c r="DQ71" s="2">
        <v>1</v>
      </c>
      <c r="DR71" s="2"/>
      <c r="DS71" s="2"/>
      <c r="DT71" s="2"/>
      <c r="DU71" s="2">
        <v>1003</v>
      </c>
      <c r="DV71" s="2" t="s">
        <v>104</v>
      </c>
      <c r="DW71" s="2" t="s">
        <v>104</v>
      </c>
      <c r="DX71" s="2">
        <v>100</v>
      </c>
      <c r="DY71" s="2"/>
      <c r="DZ71" s="2" t="s">
        <v>3</v>
      </c>
      <c r="EA71" s="2" t="s">
        <v>3</v>
      </c>
      <c r="EB71" s="2" t="s">
        <v>3</v>
      </c>
      <c r="EC71" s="2" t="s">
        <v>3</v>
      </c>
      <c r="ED71" s="2"/>
      <c r="EE71" s="2">
        <v>60088532</v>
      </c>
      <c r="EF71" s="2">
        <v>40</v>
      </c>
      <c r="EG71" s="2" t="s">
        <v>25</v>
      </c>
      <c r="EH71" s="2">
        <v>0</v>
      </c>
      <c r="EI71" s="2" t="s">
        <v>3</v>
      </c>
      <c r="EJ71" s="2">
        <v>2</v>
      </c>
      <c r="EK71" s="2">
        <v>68</v>
      </c>
      <c r="EL71" s="2" t="s">
        <v>26</v>
      </c>
      <c r="EM71" s="2" t="s">
        <v>27</v>
      </c>
      <c r="EN71" s="2"/>
      <c r="EO71" s="2" t="s">
        <v>106</v>
      </c>
      <c r="EP71" s="2"/>
      <c r="EQ71" s="2">
        <v>0</v>
      </c>
      <c r="ER71" s="2">
        <v>317.68</v>
      </c>
      <c r="ES71" s="2">
        <v>19.420000000000002</v>
      </c>
      <c r="ET71" s="2">
        <v>4.05</v>
      </c>
      <c r="EU71" s="2">
        <v>0</v>
      </c>
      <c r="EV71" s="2">
        <v>294.20999999999998</v>
      </c>
      <c r="EW71" s="2">
        <v>24.76</v>
      </c>
      <c r="EX71" s="2">
        <v>0</v>
      </c>
      <c r="EY71" s="2">
        <v>0</v>
      </c>
      <c r="EZ71" s="2"/>
      <c r="FA71" s="2"/>
      <c r="FB71" s="2"/>
      <c r="FC71" s="2"/>
      <c r="FD71" s="2"/>
      <c r="FE71" s="2"/>
      <c r="FF71" s="2"/>
      <c r="FG71" s="2"/>
      <c r="FH71" s="2"/>
      <c r="FI71" s="2"/>
      <c r="FJ71" s="2"/>
      <c r="FK71" s="2"/>
      <c r="FL71" s="2"/>
      <c r="FM71" s="2"/>
      <c r="FN71" s="2"/>
      <c r="FO71" s="2"/>
      <c r="FP71" s="2"/>
      <c r="FQ71" s="2">
        <v>0</v>
      </c>
      <c r="FR71" s="2">
        <v>0</v>
      </c>
      <c r="FS71" s="2">
        <v>0</v>
      </c>
      <c r="FT71" s="2"/>
      <c r="FU71" s="2"/>
      <c r="FV71" s="2"/>
      <c r="FW71" s="2"/>
      <c r="FX71" s="2">
        <v>90</v>
      </c>
      <c r="FY71" s="2">
        <v>46</v>
      </c>
      <c r="FZ71" s="2"/>
      <c r="GA71" s="2" t="s">
        <v>3</v>
      </c>
      <c r="GB71" s="2"/>
      <c r="GC71" s="2"/>
      <c r="GD71" s="2">
        <v>1</v>
      </c>
      <c r="GE71" s="2"/>
      <c r="GF71" s="2">
        <v>-670664398</v>
      </c>
      <c r="GG71" s="2">
        <v>2</v>
      </c>
      <c r="GH71" s="2">
        <v>1</v>
      </c>
      <c r="GI71" s="2">
        <v>2</v>
      </c>
      <c r="GJ71" s="2">
        <v>0</v>
      </c>
      <c r="GK71" s="2">
        <v>0</v>
      </c>
      <c r="GL71" s="2">
        <f t="shared" ref="GL71:GL82" si="72">ROUND(IF(AND(BH71=3,BI71=3,FS71&lt;&gt;0),P71,0),2)</f>
        <v>0</v>
      </c>
      <c r="GM71" s="2">
        <f t="shared" ref="GM71:GM82" si="73">ROUND(O71+X71+Y71,2)+GX71</f>
        <v>411.87</v>
      </c>
      <c r="GN71" s="2">
        <f t="shared" ref="GN71:GN82" si="74">IF(OR(BI71=0,BI71=1),GM71-GX71,0)</f>
        <v>0</v>
      </c>
      <c r="GO71" s="2">
        <f t="shared" ref="GO71:GO82" si="75">IF(BI71=2,GM71-GX71,0)</f>
        <v>411.87</v>
      </c>
      <c r="GP71" s="2">
        <f t="shared" ref="GP71:GP82" si="76">IF(BI71=4,GM71-GX71,0)</f>
        <v>0</v>
      </c>
      <c r="GQ71" s="2"/>
      <c r="GR71" s="2">
        <v>0</v>
      </c>
      <c r="GS71" s="2">
        <v>3</v>
      </c>
      <c r="GT71" s="2">
        <v>0</v>
      </c>
      <c r="GU71" s="2" t="s">
        <v>3</v>
      </c>
      <c r="GV71" s="2">
        <f t="shared" ref="GV71:GV82" si="77">ROUND((GT71),6)</f>
        <v>0</v>
      </c>
      <c r="GW71" s="2">
        <v>1</v>
      </c>
      <c r="GX71" s="2">
        <f t="shared" ref="GX71:GX82" si="78">ROUND(HC71*I71,2)</f>
        <v>0</v>
      </c>
      <c r="GY71" s="2"/>
      <c r="GZ71" s="2"/>
      <c r="HA71" s="2">
        <v>0</v>
      </c>
      <c r="HB71" s="2">
        <v>0</v>
      </c>
      <c r="HC71" s="2">
        <f t="shared" ref="HC71:HC82" si="79">GV71*GW71</f>
        <v>0</v>
      </c>
      <c r="HD71" s="2"/>
      <c r="HE71" s="2" t="s">
        <v>3</v>
      </c>
      <c r="HF71" s="2" t="s">
        <v>3</v>
      </c>
      <c r="HG71" s="2"/>
      <c r="HH71" s="2"/>
      <c r="HI71" s="2"/>
      <c r="HJ71" s="2"/>
      <c r="HK71" s="2"/>
      <c r="HL71" s="2"/>
      <c r="HM71" s="2" t="s">
        <v>3</v>
      </c>
      <c r="HN71" s="2" t="s">
        <v>3</v>
      </c>
      <c r="HO71" s="2" t="s">
        <v>3</v>
      </c>
      <c r="HP71" s="2" t="s">
        <v>3</v>
      </c>
      <c r="HQ71" s="2" t="s">
        <v>3</v>
      </c>
      <c r="HR71" s="2"/>
      <c r="HS71" s="2">
        <v>0</v>
      </c>
      <c r="HT71" s="2"/>
      <c r="HU71" s="2"/>
      <c r="HV71" s="2"/>
      <c r="HW71" s="2"/>
      <c r="HX71" s="2"/>
      <c r="HY71" s="2"/>
      <c r="HZ71" s="2"/>
      <c r="IA71" s="2"/>
      <c r="IB71" s="2"/>
      <c r="IC71" s="2"/>
      <c r="ID71" s="2"/>
      <c r="IE71" s="2"/>
      <c r="IF71" s="2"/>
      <c r="IG71" s="2"/>
      <c r="IH71" s="2"/>
      <c r="II71" s="2"/>
      <c r="IJ71" s="2"/>
      <c r="IK71" s="2">
        <v>0</v>
      </c>
      <c r="IL71" s="2"/>
      <c r="IM71" s="2"/>
      <c r="IN71" s="2"/>
      <c r="IO71" s="2"/>
      <c r="IP71" s="2"/>
      <c r="IQ71" s="2"/>
      <c r="IR71" s="2"/>
      <c r="IS71" s="2"/>
      <c r="IT71" s="2"/>
      <c r="IU71" s="2"/>
    </row>
    <row r="72" spans="1:255" x14ac:dyDescent="0.2">
      <c r="A72" s="3">
        <v>17</v>
      </c>
      <c r="B72" s="3">
        <v>1</v>
      </c>
      <c r="C72" s="3">
        <f>ROW(SmtRes!A22)</f>
        <v>22</v>
      </c>
      <c r="D72" s="3">
        <f>ROW(EtalonRes!A24)</f>
        <v>24</v>
      </c>
      <c r="E72" s="3" t="s">
        <v>101</v>
      </c>
      <c r="F72" s="3" t="s">
        <v>102</v>
      </c>
      <c r="G72" s="3" t="s">
        <v>103</v>
      </c>
      <c r="H72" s="3" t="s">
        <v>104</v>
      </c>
      <c r="I72" s="3">
        <f>ROUND(50/100,9)</f>
        <v>0.5</v>
      </c>
      <c r="J72" s="3">
        <v>0</v>
      </c>
      <c r="K72" s="3">
        <f>ROUND(50/100,9)</f>
        <v>0.5</v>
      </c>
      <c r="O72" s="3">
        <f t="shared" si="54"/>
        <v>9401.4</v>
      </c>
      <c r="P72" s="3">
        <f t="shared" si="55"/>
        <v>64.67</v>
      </c>
      <c r="Q72" s="3">
        <f>(ROUND((ROUND((((ET72*1.1))*AV72*I72),2)*BB72),2)+ROUND((ROUND(((AE72-((EU72*1.1)))*AV72*I72),2)*BS72),2))</f>
        <v>20.32</v>
      </c>
      <c r="R72" s="3">
        <f>(ROUND((ROUND((((EU72*1.1))*AV72*I72),2)*BS72),2)+ROUND((ROUND(((AE72-((EU72*1.1)))*AV72*I72),2)*BS72),2))</f>
        <v>0</v>
      </c>
      <c r="S72" s="3">
        <f t="shared" si="56"/>
        <v>9316.41</v>
      </c>
      <c r="T72" s="3">
        <f t="shared" si="57"/>
        <v>0</v>
      </c>
      <c r="U72" s="3">
        <f t="shared" si="58"/>
        <v>14.258046000000002</v>
      </c>
      <c r="V72" s="3">
        <f t="shared" si="59"/>
        <v>0</v>
      </c>
      <c r="W72" s="3">
        <f t="shared" si="60"/>
        <v>0</v>
      </c>
      <c r="X72" s="3">
        <f>(ROUND((((S72+ROUND((ROUND((((EU72*1.1))*AV72*I72),2)*BS72),2))*AT72)/100),2)+ROUND(((ROUND((ROUND(((AE72-((EU72*1.1)))*AV72*I72),2)*BS72),2)*AT72)/100),2))</f>
        <v>8384.77</v>
      </c>
      <c r="Y72" s="3">
        <f>(ROUND((((S72+ROUND((ROUND((((EU72*1.1))*AV72*I72),2)*BS72),2))*AU72)/100),2)+ROUND(((ROUND((ROUND(((AE72-((EU72*1.1)))*AV72*I72),2)*BS72),2)*AU72)/100),2))</f>
        <v>4285.55</v>
      </c>
      <c r="AA72" s="3">
        <v>60257733</v>
      </c>
      <c r="AB72" s="3">
        <f t="shared" si="61"/>
        <v>347.50599999999997</v>
      </c>
      <c r="AC72" s="3">
        <f t="shared" si="62"/>
        <v>19.420000000000002</v>
      </c>
      <c r="AD72" s="3">
        <f>ROUND(((((ET72*1.1))-((EU72*1.1)))+AE72),6)</f>
        <v>4.4550000000000001</v>
      </c>
      <c r="AE72" s="3">
        <f>ROUND(((EU72*1.1)),6)</f>
        <v>0</v>
      </c>
      <c r="AF72" s="3">
        <f>ROUND(((EV72*1.1)),6)</f>
        <v>323.63099999999997</v>
      </c>
      <c r="AG72" s="3">
        <f t="shared" si="63"/>
        <v>0</v>
      </c>
      <c r="AH72" s="3">
        <f>((EW72*1.1))</f>
        <v>27.236000000000004</v>
      </c>
      <c r="AI72" s="3">
        <f>((EX72*1.1))</f>
        <v>0</v>
      </c>
      <c r="AJ72" s="3">
        <f t="shared" si="64"/>
        <v>0</v>
      </c>
      <c r="AK72" s="3">
        <v>317.68</v>
      </c>
      <c r="AL72" s="3">
        <v>19.420000000000002</v>
      </c>
      <c r="AM72" s="3">
        <v>4.05</v>
      </c>
      <c r="AN72" s="3">
        <v>0</v>
      </c>
      <c r="AO72" s="3">
        <v>294.20999999999998</v>
      </c>
      <c r="AP72" s="3">
        <v>0</v>
      </c>
      <c r="AQ72" s="3">
        <v>24.76</v>
      </c>
      <c r="AR72" s="3">
        <v>0</v>
      </c>
      <c r="AS72" s="3">
        <v>0</v>
      </c>
      <c r="AT72" s="3">
        <v>90</v>
      </c>
      <c r="AU72" s="3">
        <v>46</v>
      </c>
      <c r="AV72" s="3">
        <v>1.0469999999999999</v>
      </c>
      <c r="AW72" s="3">
        <v>1</v>
      </c>
      <c r="AZ72" s="3">
        <v>1</v>
      </c>
      <c r="BA72" s="3">
        <v>54.99</v>
      </c>
      <c r="BB72" s="3">
        <v>8.7200000000000006</v>
      </c>
      <c r="BC72" s="3">
        <v>6.66</v>
      </c>
      <c r="BD72" s="3" t="s">
        <v>3</v>
      </c>
      <c r="BE72" s="3" t="s">
        <v>3</v>
      </c>
      <c r="BF72" s="3" t="s">
        <v>3</v>
      </c>
      <c r="BG72" s="3" t="s">
        <v>3</v>
      </c>
      <c r="BH72" s="3">
        <v>0</v>
      </c>
      <c r="BI72" s="3">
        <v>2</v>
      </c>
      <c r="BJ72" s="3" t="s">
        <v>105</v>
      </c>
      <c r="BM72" s="3">
        <v>68</v>
      </c>
      <c r="BN72" s="3">
        <v>0</v>
      </c>
      <c r="BO72" s="3" t="s">
        <v>102</v>
      </c>
      <c r="BP72" s="3">
        <v>1</v>
      </c>
      <c r="BQ72" s="3">
        <v>40</v>
      </c>
      <c r="BR72" s="3">
        <v>0</v>
      </c>
      <c r="BS72" s="3">
        <v>54.99</v>
      </c>
      <c r="BT72" s="3">
        <v>1</v>
      </c>
      <c r="BU72" s="3">
        <v>1</v>
      </c>
      <c r="BV72" s="3">
        <v>1</v>
      </c>
      <c r="BW72" s="3">
        <v>1</v>
      </c>
      <c r="BX72" s="3">
        <v>1</v>
      </c>
      <c r="BY72" s="3" t="s">
        <v>3</v>
      </c>
      <c r="BZ72" s="3">
        <v>90</v>
      </c>
      <c r="CA72" s="3">
        <v>46</v>
      </c>
      <c r="CB72" s="3" t="s">
        <v>3</v>
      </c>
      <c r="CE72" s="3">
        <v>1566</v>
      </c>
      <c r="CF72" s="3">
        <v>0</v>
      </c>
      <c r="CG72" s="3">
        <v>0</v>
      </c>
      <c r="CM72" s="3">
        <v>0</v>
      </c>
      <c r="CN72" s="3" t="s">
        <v>202</v>
      </c>
      <c r="CO72" s="3">
        <v>0</v>
      </c>
      <c r="CP72" s="3">
        <f t="shared" si="65"/>
        <v>9401.4</v>
      </c>
      <c r="CQ72" s="3">
        <f t="shared" si="66"/>
        <v>129.34</v>
      </c>
      <c r="CR72" s="3">
        <f>(ROUND((ROUND((((ET72*1.1))*AV72*1),2)*BB72),2)+ROUND((ROUND(((AE72-((EU72*1.1)))*AV72*1),2)*BS72),2))</f>
        <v>40.64</v>
      </c>
      <c r="CS72" s="3">
        <f>(ROUND((ROUND((((EU72*1.1))*AV72*1),2)*BS72),2)+ROUND((ROUND(((AE72-((EU72*1.1)))*AV72*1),2)*BS72),2))</f>
        <v>0</v>
      </c>
      <c r="CT72" s="3">
        <f t="shared" si="67"/>
        <v>18632.810000000001</v>
      </c>
      <c r="CU72" s="3">
        <f t="shared" si="68"/>
        <v>0</v>
      </c>
      <c r="CV72" s="3">
        <f t="shared" si="69"/>
        <v>28.516092000000004</v>
      </c>
      <c r="CW72" s="3">
        <f t="shared" si="70"/>
        <v>0</v>
      </c>
      <c r="CX72" s="3">
        <f t="shared" si="71"/>
        <v>0</v>
      </c>
      <c r="CY72" s="3">
        <f>(ROUND((((S72+ROUND((ROUND((((EU72*1.1))*AV72*1),2)*BS72),2))*AT72)/100),2)+ROUND(((ROUND((ROUND(((AE72-((EU72*1.1)))*AV72*1),2)*BS72),2)*AT72)/100),2))</f>
        <v>8384.77</v>
      </c>
      <c r="CZ72" s="3">
        <f>(ROUND((((S72+ROUND((ROUND((((EU72*1.1))*AV72*1),2)*BS72),2))*AU72)/100),2)+ROUND(((ROUND((ROUND(((AE72-((EU72*1.1)))*AV72*1),2)*BS72),2)*AU72)/100),2))</f>
        <v>4285.55</v>
      </c>
      <c r="DB72" s="3">
        <v>6</v>
      </c>
      <c r="DC72" s="3" t="s">
        <v>3</v>
      </c>
      <c r="DD72" s="3" t="s">
        <v>3</v>
      </c>
      <c r="DE72" s="3" t="s">
        <v>24</v>
      </c>
      <c r="DF72" s="3" t="s">
        <v>24</v>
      </c>
      <c r="DG72" s="3" t="s">
        <v>24</v>
      </c>
      <c r="DH72" s="3" t="s">
        <v>3</v>
      </c>
      <c r="DI72" s="3" t="s">
        <v>24</v>
      </c>
      <c r="DJ72" s="3" t="s">
        <v>24</v>
      </c>
      <c r="DK72" s="3" t="s">
        <v>3</v>
      </c>
      <c r="DL72" s="3" t="s">
        <v>3</v>
      </c>
      <c r="DM72" s="3" t="s">
        <v>3</v>
      </c>
      <c r="DN72" s="3">
        <v>0</v>
      </c>
      <c r="DO72" s="3">
        <v>0</v>
      </c>
      <c r="DP72" s="3">
        <v>1</v>
      </c>
      <c r="DQ72" s="3">
        <v>1</v>
      </c>
      <c r="DU72" s="3">
        <v>1003</v>
      </c>
      <c r="DV72" s="3" t="s">
        <v>104</v>
      </c>
      <c r="DW72" s="3" t="s">
        <v>104</v>
      </c>
      <c r="DX72" s="3">
        <v>100</v>
      </c>
      <c r="DZ72" s="3" t="s">
        <v>3</v>
      </c>
      <c r="EA72" s="3" t="s">
        <v>3</v>
      </c>
      <c r="EB72" s="3" t="s">
        <v>3</v>
      </c>
      <c r="EC72" s="3" t="s">
        <v>3</v>
      </c>
      <c r="EE72" s="3">
        <v>60088532</v>
      </c>
      <c r="EF72" s="3">
        <v>40</v>
      </c>
      <c r="EG72" s="3" t="s">
        <v>25</v>
      </c>
      <c r="EH72" s="3">
        <v>0</v>
      </c>
      <c r="EI72" s="3" t="s">
        <v>3</v>
      </c>
      <c r="EJ72" s="3">
        <v>2</v>
      </c>
      <c r="EK72" s="3">
        <v>68</v>
      </c>
      <c r="EL72" s="3" t="s">
        <v>26</v>
      </c>
      <c r="EM72" s="3" t="s">
        <v>27</v>
      </c>
      <c r="EO72" s="3" t="s">
        <v>106</v>
      </c>
      <c r="EQ72" s="3">
        <v>0</v>
      </c>
      <c r="ER72" s="3">
        <v>317.68</v>
      </c>
      <c r="ES72" s="3">
        <v>19.420000000000002</v>
      </c>
      <c r="ET72" s="3">
        <v>4.05</v>
      </c>
      <c r="EU72" s="3">
        <v>0</v>
      </c>
      <c r="EV72" s="3">
        <v>294.20999999999998</v>
      </c>
      <c r="EW72" s="3">
        <v>24.76</v>
      </c>
      <c r="EX72" s="3">
        <v>0</v>
      </c>
      <c r="EY72" s="3">
        <v>0</v>
      </c>
      <c r="FQ72" s="3">
        <v>0</v>
      </c>
      <c r="FR72" s="3">
        <v>0</v>
      </c>
      <c r="FS72" s="3">
        <v>0</v>
      </c>
      <c r="FX72" s="3">
        <v>90</v>
      </c>
      <c r="FY72" s="3">
        <v>46</v>
      </c>
      <c r="GA72" s="3" t="s">
        <v>3</v>
      </c>
      <c r="GD72" s="3">
        <v>1</v>
      </c>
      <c r="GF72" s="3">
        <v>-670664398</v>
      </c>
      <c r="GG72" s="3">
        <v>2</v>
      </c>
      <c r="GH72" s="3">
        <v>1</v>
      </c>
      <c r="GI72" s="3">
        <v>2</v>
      </c>
      <c r="GJ72" s="3">
        <v>0</v>
      </c>
      <c r="GK72" s="3">
        <v>0</v>
      </c>
      <c r="GL72" s="3">
        <f t="shared" si="72"/>
        <v>0</v>
      </c>
      <c r="GM72" s="3">
        <f t="shared" si="73"/>
        <v>22071.72</v>
      </c>
      <c r="GN72" s="3">
        <f t="shared" si="74"/>
        <v>0</v>
      </c>
      <c r="GO72" s="3">
        <f t="shared" si="75"/>
        <v>22071.72</v>
      </c>
      <c r="GP72" s="3">
        <f t="shared" si="76"/>
        <v>0</v>
      </c>
      <c r="GR72" s="3">
        <v>0</v>
      </c>
      <c r="GS72" s="3">
        <v>3</v>
      </c>
      <c r="GT72" s="3">
        <v>0</v>
      </c>
      <c r="GU72" s="3" t="s">
        <v>3</v>
      </c>
      <c r="GV72" s="3">
        <f t="shared" si="77"/>
        <v>0</v>
      </c>
      <c r="GW72" s="3">
        <v>1</v>
      </c>
      <c r="GX72" s="3">
        <f t="shared" si="78"/>
        <v>0</v>
      </c>
      <c r="HA72" s="3">
        <v>0</v>
      </c>
      <c r="HB72" s="3">
        <v>0</v>
      </c>
      <c r="HC72" s="3">
        <f t="shared" si="79"/>
        <v>0</v>
      </c>
      <c r="HE72" s="3" t="s">
        <v>3</v>
      </c>
      <c r="HF72" s="3" t="s">
        <v>3</v>
      </c>
      <c r="HM72" s="3" t="s">
        <v>3</v>
      </c>
      <c r="HN72" s="3" t="s">
        <v>3</v>
      </c>
      <c r="HO72" s="3" t="s">
        <v>3</v>
      </c>
      <c r="HP72" s="3" t="s">
        <v>3</v>
      </c>
      <c r="HQ72" s="3" t="s">
        <v>3</v>
      </c>
      <c r="HS72" s="3">
        <v>0</v>
      </c>
      <c r="IK72" s="3">
        <v>0</v>
      </c>
    </row>
    <row r="73" spans="1:255" x14ac:dyDescent="0.2">
      <c r="A73" s="2">
        <v>18</v>
      </c>
      <c r="B73" s="2">
        <v>1</v>
      </c>
      <c r="C73" s="2">
        <v>8</v>
      </c>
      <c r="D73" s="2"/>
      <c r="E73" s="2" t="s">
        <v>107</v>
      </c>
      <c r="F73" s="2" t="s">
        <v>108</v>
      </c>
      <c r="G73" s="2" t="s">
        <v>109</v>
      </c>
      <c r="H73" s="2" t="s">
        <v>110</v>
      </c>
      <c r="I73" s="2">
        <f>I71*J73</f>
        <v>51</v>
      </c>
      <c r="J73" s="2">
        <v>102</v>
      </c>
      <c r="K73" s="2">
        <v>102</v>
      </c>
      <c r="L73" s="2"/>
      <c r="M73" s="2"/>
      <c r="N73" s="2"/>
      <c r="O73" s="2">
        <f t="shared" si="54"/>
        <v>136.16999999999999</v>
      </c>
      <c r="P73" s="2">
        <f t="shared" si="55"/>
        <v>136.16999999999999</v>
      </c>
      <c r="Q73" s="2">
        <f t="shared" ref="Q73:Q78" si="80">(ROUND((ROUND(((ET73)*AV73*I73),2)*BB73),2)+ROUND((ROUND(((AE73-(EU73))*AV73*I73),2)*BS73),2))</f>
        <v>0</v>
      </c>
      <c r="R73" s="2">
        <f t="shared" ref="R73:R78" si="81">(ROUND((ROUND(((EU73)*AV73*I73),2)*BS73),2)+ROUND((ROUND(((AE73-(EU73))*AV73*I73),2)*BS73),2))</f>
        <v>0</v>
      </c>
      <c r="S73" s="2">
        <f t="shared" si="56"/>
        <v>0</v>
      </c>
      <c r="T73" s="2">
        <f t="shared" si="57"/>
        <v>0</v>
      </c>
      <c r="U73" s="2">
        <f t="shared" si="58"/>
        <v>0</v>
      </c>
      <c r="V73" s="2">
        <f t="shared" si="59"/>
        <v>0</v>
      </c>
      <c r="W73" s="2">
        <f t="shared" si="60"/>
        <v>0</v>
      </c>
      <c r="X73" s="2">
        <f t="shared" ref="X73:X78" si="82">(ROUND((((S73+ROUND((ROUND(((EU73)*AV73*I73),2)*BS73),2))*AT73)/100),2)+ROUND(((ROUND((ROUND(((AE73-(EU73))*AV73*I73),2)*BS73),2)*AT73)/100),2))</f>
        <v>0</v>
      </c>
      <c r="Y73" s="2">
        <f t="shared" ref="Y73:Y78" si="83">(ROUND((((S73+ROUND((ROUND(((EU73)*AV73*I73),2)*BS73),2))*AU73)/100),2)+ROUND(((ROUND((ROUND(((AE73-(EU73))*AV73*I73),2)*BS73),2)*AU73)/100),2))</f>
        <v>0</v>
      </c>
      <c r="Z73" s="2"/>
      <c r="AA73" s="2">
        <v>60257736</v>
      </c>
      <c r="AB73" s="2">
        <f t="shared" si="61"/>
        <v>2.67</v>
      </c>
      <c r="AC73" s="2">
        <f t="shared" si="62"/>
        <v>2.67</v>
      </c>
      <c r="AD73" s="2">
        <f t="shared" ref="AD73:AD78" si="84">ROUND((((ET73)-(EU73))+AE73),6)</f>
        <v>0</v>
      </c>
      <c r="AE73" s="2">
        <f t="shared" ref="AE73:AF78" si="85">ROUND((EU73),6)</f>
        <v>0</v>
      </c>
      <c r="AF73" s="2">
        <f t="shared" si="85"/>
        <v>0</v>
      </c>
      <c r="AG73" s="2">
        <f t="shared" si="63"/>
        <v>0</v>
      </c>
      <c r="AH73" s="2">
        <f t="shared" ref="AH73:AI78" si="86">(EW73)</f>
        <v>0</v>
      </c>
      <c r="AI73" s="2">
        <f t="shared" si="86"/>
        <v>0</v>
      </c>
      <c r="AJ73" s="2">
        <f t="shared" si="64"/>
        <v>0</v>
      </c>
      <c r="AK73" s="2">
        <v>2.67</v>
      </c>
      <c r="AL73" s="2">
        <v>2.67</v>
      </c>
      <c r="AM73" s="2">
        <v>0</v>
      </c>
      <c r="AN73" s="2">
        <v>0</v>
      </c>
      <c r="AO73" s="2">
        <v>0</v>
      </c>
      <c r="AP73" s="2">
        <v>0</v>
      </c>
      <c r="AQ73" s="2">
        <v>0</v>
      </c>
      <c r="AR73" s="2">
        <v>0</v>
      </c>
      <c r="AS73" s="2">
        <v>0</v>
      </c>
      <c r="AT73" s="2">
        <v>90</v>
      </c>
      <c r="AU73" s="2">
        <v>46</v>
      </c>
      <c r="AV73" s="2">
        <v>1</v>
      </c>
      <c r="AW73" s="2">
        <v>1</v>
      </c>
      <c r="AX73" s="2"/>
      <c r="AY73" s="2"/>
      <c r="AZ73" s="2">
        <v>1</v>
      </c>
      <c r="BA73" s="2">
        <v>1</v>
      </c>
      <c r="BB73" s="2">
        <v>1</v>
      </c>
      <c r="BC73" s="2">
        <v>1</v>
      </c>
      <c r="BD73" s="2" t="s">
        <v>3</v>
      </c>
      <c r="BE73" s="2" t="s">
        <v>3</v>
      </c>
      <c r="BF73" s="2" t="s">
        <v>3</v>
      </c>
      <c r="BG73" s="2" t="s">
        <v>3</v>
      </c>
      <c r="BH73" s="2">
        <v>3</v>
      </c>
      <c r="BI73" s="2">
        <v>2</v>
      </c>
      <c r="BJ73" s="2" t="s">
        <v>111</v>
      </c>
      <c r="BK73" s="2"/>
      <c r="BL73" s="2"/>
      <c r="BM73" s="2">
        <v>68</v>
      </c>
      <c r="BN73" s="2">
        <v>0</v>
      </c>
      <c r="BO73" s="2" t="s">
        <v>3</v>
      </c>
      <c r="BP73" s="2">
        <v>0</v>
      </c>
      <c r="BQ73" s="2">
        <v>40</v>
      </c>
      <c r="BR73" s="2">
        <v>0</v>
      </c>
      <c r="BS73" s="2">
        <v>1</v>
      </c>
      <c r="BT73" s="2">
        <v>1</v>
      </c>
      <c r="BU73" s="2">
        <v>1</v>
      </c>
      <c r="BV73" s="2">
        <v>1</v>
      </c>
      <c r="BW73" s="2">
        <v>1</v>
      </c>
      <c r="BX73" s="2">
        <v>1</v>
      </c>
      <c r="BY73" s="2" t="s">
        <v>3</v>
      </c>
      <c r="BZ73" s="2">
        <v>90</v>
      </c>
      <c r="CA73" s="2">
        <v>46</v>
      </c>
      <c r="CB73" s="2" t="s">
        <v>3</v>
      </c>
      <c r="CC73" s="2"/>
      <c r="CD73" s="2"/>
      <c r="CE73" s="2">
        <v>1566</v>
      </c>
      <c r="CF73" s="2">
        <v>0</v>
      </c>
      <c r="CG73" s="2">
        <v>0</v>
      </c>
      <c r="CH73" s="2"/>
      <c r="CI73" s="2"/>
      <c r="CJ73" s="2"/>
      <c r="CK73" s="2"/>
      <c r="CL73" s="2"/>
      <c r="CM73" s="2">
        <v>0</v>
      </c>
      <c r="CN73" s="2" t="s">
        <v>3</v>
      </c>
      <c r="CO73" s="2">
        <v>0</v>
      </c>
      <c r="CP73" s="2">
        <f t="shared" si="65"/>
        <v>136.16999999999999</v>
      </c>
      <c r="CQ73" s="2">
        <f t="shared" si="66"/>
        <v>2.67</v>
      </c>
      <c r="CR73" s="2">
        <f t="shared" ref="CR73:CR78" si="87">(ROUND((ROUND(((ET73)*AV73*1),2)*BB73),2)+ROUND((ROUND(((AE73-(EU73))*AV73*1),2)*BS73),2))</f>
        <v>0</v>
      </c>
      <c r="CS73" s="2">
        <f t="shared" ref="CS73:CS78" si="88">(ROUND((ROUND(((EU73)*AV73*1),2)*BS73),2)+ROUND((ROUND(((AE73-(EU73))*AV73*1),2)*BS73),2))</f>
        <v>0</v>
      </c>
      <c r="CT73" s="2">
        <f t="shared" si="67"/>
        <v>0</v>
      </c>
      <c r="CU73" s="2">
        <f t="shared" si="68"/>
        <v>0</v>
      </c>
      <c r="CV73" s="2">
        <f t="shared" si="69"/>
        <v>0</v>
      </c>
      <c r="CW73" s="2">
        <f t="shared" si="70"/>
        <v>0</v>
      </c>
      <c r="CX73" s="2">
        <f t="shared" si="71"/>
        <v>0</v>
      </c>
      <c r="CY73" s="2">
        <f t="shared" ref="CY73:CY78" si="89">(ROUND((((S73+ROUND((ROUND(((EU73)*AV73*1),2)*BS73),2))*AT73)/100),2)+ROUND(((ROUND((ROUND(((AE73-(EU73))*AV73*1),2)*BS73),2)*AT73)/100),2))</f>
        <v>0</v>
      </c>
      <c r="CZ73" s="2">
        <f t="shared" ref="CZ73:CZ78" si="90">(ROUND((((S73+ROUND((ROUND(((EU73)*AV73*1),2)*BS73),2))*AU73)/100),2)+ROUND(((ROUND((ROUND(((AE73-(EU73))*AV73*1),2)*BS73),2)*AU73)/100),2))</f>
        <v>0</v>
      </c>
      <c r="DA73" s="2"/>
      <c r="DB73" s="2"/>
      <c r="DC73" s="2" t="s">
        <v>3</v>
      </c>
      <c r="DD73" s="2" t="s">
        <v>3</v>
      </c>
      <c r="DE73" s="2" t="s">
        <v>3</v>
      </c>
      <c r="DF73" s="2" t="s">
        <v>3</v>
      </c>
      <c r="DG73" s="2" t="s">
        <v>3</v>
      </c>
      <c r="DH73" s="2" t="s">
        <v>3</v>
      </c>
      <c r="DI73" s="2" t="s">
        <v>3</v>
      </c>
      <c r="DJ73" s="2" t="s">
        <v>3</v>
      </c>
      <c r="DK73" s="2" t="s">
        <v>3</v>
      </c>
      <c r="DL73" s="2" t="s">
        <v>3</v>
      </c>
      <c r="DM73" s="2" t="s">
        <v>3</v>
      </c>
      <c r="DN73" s="2">
        <v>0</v>
      </c>
      <c r="DO73" s="2">
        <v>0</v>
      </c>
      <c r="DP73" s="2">
        <v>1</v>
      </c>
      <c r="DQ73" s="2">
        <v>1</v>
      </c>
      <c r="DR73" s="2"/>
      <c r="DS73" s="2"/>
      <c r="DT73" s="2"/>
      <c r="DU73" s="2">
        <v>1003</v>
      </c>
      <c r="DV73" s="2" t="s">
        <v>110</v>
      </c>
      <c r="DW73" s="2" t="s">
        <v>110</v>
      </c>
      <c r="DX73" s="2">
        <v>1</v>
      </c>
      <c r="DY73" s="2"/>
      <c r="DZ73" s="2" t="s">
        <v>3</v>
      </c>
      <c r="EA73" s="2" t="s">
        <v>3</v>
      </c>
      <c r="EB73" s="2" t="s">
        <v>3</v>
      </c>
      <c r="EC73" s="2" t="s">
        <v>3</v>
      </c>
      <c r="ED73" s="2"/>
      <c r="EE73" s="2">
        <v>60088532</v>
      </c>
      <c r="EF73" s="2">
        <v>40</v>
      </c>
      <c r="EG73" s="2" t="s">
        <v>25</v>
      </c>
      <c r="EH73" s="2">
        <v>0</v>
      </c>
      <c r="EI73" s="2" t="s">
        <v>3</v>
      </c>
      <c r="EJ73" s="2">
        <v>2</v>
      </c>
      <c r="EK73" s="2">
        <v>68</v>
      </c>
      <c r="EL73" s="2" t="s">
        <v>26</v>
      </c>
      <c r="EM73" s="2" t="s">
        <v>27</v>
      </c>
      <c r="EN73" s="2"/>
      <c r="EO73" s="2" t="s">
        <v>3</v>
      </c>
      <c r="EP73" s="2"/>
      <c r="EQ73" s="2">
        <v>0</v>
      </c>
      <c r="ER73" s="2">
        <v>2.67</v>
      </c>
      <c r="ES73" s="2">
        <v>2.67</v>
      </c>
      <c r="ET73" s="2">
        <v>0</v>
      </c>
      <c r="EU73" s="2">
        <v>0</v>
      </c>
      <c r="EV73" s="2">
        <v>0</v>
      </c>
      <c r="EW73" s="2">
        <v>0</v>
      </c>
      <c r="EX73" s="2">
        <v>0</v>
      </c>
      <c r="EY73" s="2"/>
      <c r="EZ73" s="2"/>
      <c r="FA73" s="2"/>
      <c r="FB73" s="2"/>
      <c r="FC73" s="2"/>
      <c r="FD73" s="2"/>
      <c r="FE73" s="2"/>
      <c r="FF73" s="2"/>
      <c r="FG73" s="2"/>
      <c r="FH73" s="2"/>
      <c r="FI73" s="2"/>
      <c r="FJ73" s="2"/>
      <c r="FK73" s="2"/>
      <c r="FL73" s="2"/>
      <c r="FM73" s="2"/>
      <c r="FN73" s="2"/>
      <c r="FO73" s="2"/>
      <c r="FP73" s="2"/>
      <c r="FQ73" s="2">
        <v>0</v>
      </c>
      <c r="FR73" s="2">
        <v>0</v>
      </c>
      <c r="FS73" s="2">
        <v>0</v>
      </c>
      <c r="FT73" s="2"/>
      <c r="FU73" s="2"/>
      <c r="FV73" s="2"/>
      <c r="FW73" s="2"/>
      <c r="FX73" s="2">
        <v>90</v>
      </c>
      <c r="FY73" s="2">
        <v>46</v>
      </c>
      <c r="FZ73" s="2"/>
      <c r="GA73" s="2" t="s">
        <v>3</v>
      </c>
      <c r="GB73" s="2"/>
      <c r="GC73" s="2"/>
      <c r="GD73" s="2">
        <v>1</v>
      </c>
      <c r="GE73" s="2"/>
      <c r="GF73" s="2">
        <v>1184991115</v>
      </c>
      <c r="GG73" s="2">
        <v>2</v>
      </c>
      <c r="GH73" s="2">
        <v>1</v>
      </c>
      <c r="GI73" s="2">
        <v>-2</v>
      </c>
      <c r="GJ73" s="2">
        <v>0</v>
      </c>
      <c r="GK73" s="2">
        <v>0</v>
      </c>
      <c r="GL73" s="2">
        <f t="shared" si="72"/>
        <v>0</v>
      </c>
      <c r="GM73" s="2">
        <f t="shared" si="73"/>
        <v>136.16999999999999</v>
      </c>
      <c r="GN73" s="2">
        <f t="shared" si="74"/>
        <v>0</v>
      </c>
      <c r="GO73" s="2">
        <f t="shared" si="75"/>
        <v>136.16999999999999</v>
      </c>
      <c r="GP73" s="2">
        <f t="shared" si="76"/>
        <v>0</v>
      </c>
      <c r="GQ73" s="2"/>
      <c r="GR73" s="2">
        <v>0</v>
      </c>
      <c r="GS73" s="2">
        <v>3</v>
      </c>
      <c r="GT73" s="2">
        <v>0</v>
      </c>
      <c r="GU73" s="2" t="s">
        <v>3</v>
      </c>
      <c r="GV73" s="2">
        <f t="shared" si="77"/>
        <v>0</v>
      </c>
      <c r="GW73" s="2">
        <v>1</v>
      </c>
      <c r="GX73" s="2">
        <f t="shared" si="78"/>
        <v>0</v>
      </c>
      <c r="GY73" s="2"/>
      <c r="GZ73" s="2"/>
      <c r="HA73" s="2">
        <v>0</v>
      </c>
      <c r="HB73" s="2">
        <v>0</v>
      </c>
      <c r="HC73" s="2">
        <f t="shared" si="79"/>
        <v>0</v>
      </c>
      <c r="HD73" s="2"/>
      <c r="HE73" s="2" t="s">
        <v>3</v>
      </c>
      <c r="HF73" s="2" t="s">
        <v>3</v>
      </c>
      <c r="HG73" s="2"/>
      <c r="HH73" s="2"/>
      <c r="HI73" s="2"/>
      <c r="HJ73" s="2"/>
      <c r="HK73" s="2"/>
      <c r="HL73" s="2"/>
      <c r="HM73" s="2" t="s">
        <v>3</v>
      </c>
      <c r="HN73" s="2" t="s">
        <v>3</v>
      </c>
      <c r="HO73" s="2" t="s">
        <v>3</v>
      </c>
      <c r="HP73" s="2" t="s">
        <v>3</v>
      </c>
      <c r="HQ73" s="2" t="s">
        <v>3</v>
      </c>
      <c r="HR73" s="2"/>
      <c r="HS73" s="2">
        <v>0</v>
      </c>
      <c r="HT73" s="2"/>
      <c r="HU73" s="2"/>
      <c r="HV73" s="2"/>
      <c r="HW73" s="2"/>
      <c r="HX73" s="2"/>
      <c r="HY73" s="2"/>
      <c r="HZ73" s="2"/>
      <c r="IA73" s="2"/>
      <c r="IB73" s="2"/>
      <c r="IC73" s="2"/>
      <c r="ID73" s="2"/>
      <c r="IE73" s="2"/>
      <c r="IF73" s="2"/>
      <c r="IG73" s="2"/>
      <c r="IH73" s="2"/>
      <c r="II73" s="2"/>
      <c r="IJ73" s="2"/>
      <c r="IK73" s="2">
        <v>0</v>
      </c>
      <c r="IL73" s="2"/>
      <c r="IM73" s="2"/>
      <c r="IN73" s="2"/>
      <c r="IO73" s="2"/>
      <c r="IP73" s="2"/>
      <c r="IQ73" s="2"/>
      <c r="IR73" s="2"/>
      <c r="IS73" s="2"/>
      <c r="IT73" s="2"/>
      <c r="IU73" s="2"/>
    </row>
    <row r="74" spans="1:255" x14ac:dyDescent="0.2">
      <c r="A74" s="3">
        <v>18</v>
      </c>
      <c r="B74" s="3">
        <v>1</v>
      </c>
      <c r="C74" s="3">
        <v>17</v>
      </c>
      <c r="E74" s="3" t="s">
        <v>107</v>
      </c>
      <c r="F74" s="3" t="s">
        <v>108</v>
      </c>
      <c r="G74" s="3" t="s">
        <v>109</v>
      </c>
      <c r="H74" s="3" t="s">
        <v>110</v>
      </c>
      <c r="I74" s="3">
        <f>I72*J74</f>
        <v>51</v>
      </c>
      <c r="J74" s="3">
        <v>102</v>
      </c>
      <c r="K74" s="3">
        <v>102</v>
      </c>
      <c r="O74" s="3">
        <f t="shared" si="54"/>
        <v>521.53</v>
      </c>
      <c r="P74" s="3">
        <f t="shared" si="55"/>
        <v>521.53</v>
      </c>
      <c r="Q74" s="3">
        <f t="shared" si="80"/>
        <v>0</v>
      </c>
      <c r="R74" s="3">
        <f t="shared" si="81"/>
        <v>0</v>
      </c>
      <c r="S74" s="3">
        <f t="shared" si="56"/>
        <v>0</v>
      </c>
      <c r="T74" s="3">
        <f t="shared" si="57"/>
        <v>0</v>
      </c>
      <c r="U74" s="3">
        <f t="shared" si="58"/>
        <v>0</v>
      </c>
      <c r="V74" s="3">
        <f t="shared" si="59"/>
        <v>0</v>
      </c>
      <c r="W74" s="3">
        <f t="shared" si="60"/>
        <v>0</v>
      </c>
      <c r="X74" s="3">
        <f t="shared" si="82"/>
        <v>0</v>
      </c>
      <c r="Y74" s="3">
        <f t="shared" si="83"/>
        <v>0</v>
      </c>
      <c r="AA74" s="3">
        <v>60257733</v>
      </c>
      <c r="AB74" s="3">
        <f t="shared" si="61"/>
        <v>2.67</v>
      </c>
      <c r="AC74" s="3">
        <f t="shared" si="62"/>
        <v>2.67</v>
      </c>
      <c r="AD74" s="3">
        <f t="shared" si="84"/>
        <v>0</v>
      </c>
      <c r="AE74" s="3">
        <f t="shared" si="85"/>
        <v>0</v>
      </c>
      <c r="AF74" s="3">
        <f t="shared" si="85"/>
        <v>0</v>
      </c>
      <c r="AG74" s="3">
        <f t="shared" si="63"/>
        <v>0</v>
      </c>
      <c r="AH74" s="3">
        <f t="shared" si="86"/>
        <v>0</v>
      </c>
      <c r="AI74" s="3">
        <f t="shared" si="86"/>
        <v>0</v>
      </c>
      <c r="AJ74" s="3">
        <f t="shared" si="64"/>
        <v>0</v>
      </c>
      <c r="AK74" s="3">
        <v>2.67</v>
      </c>
      <c r="AL74" s="3">
        <v>2.67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  <c r="AR74" s="3">
        <v>0</v>
      </c>
      <c r="AS74" s="3">
        <v>0</v>
      </c>
      <c r="AT74" s="3">
        <v>90</v>
      </c>
      <c r="AU74" s="3">
        <v>46</v>
      </c>
      <c r="AV74" s="3">
        <v>1</v>
      </c>
      <c r="AW74" s="3">
        <v>1</v>
      </c>
      <c r="AZ74" s="3">
        <v>1</v>
      </c>
      <c r="BA74" s="3">
        <v>1</v>
      </c>
      <c r="BB74" s="3">
        <v>1</v>
      </c>
      <c r="BC74" s="3">
        <v>3.83</v>
      </c>
      <c r="BD74" s="3" t="s">
        <v>3</v>
      </c>
      <c r="BE74" s="3" t="s">
        <v>3</v>
      </c>
      <c r="BF74" s="3" t="s">
        <v>3</v>
      </c>
      <c r="BG74" s="3" t="s">
        <v>3</v>
      </c>
      <c r="BH74" s="3">
        <v>3</v>
      </c>
      <c r="BI74" s="3">
        <v>2</v>
      </c>
      <c r="BJ74" s="3" t="s">
        <v>111</v>
      </c>
      <c r="BM74" s="3">
        <v>68</v>
      </c>
      <c r="BN74" s="3">
        <v>0</v>
      </c>
      <c r="BO74" s="3" t="s">
        <v>108</v>
      </c>
      <c r="BP74" s="3">
        <v>1</v>
      </c>
      <c r="BQ74" s="3">
        <v>40</v>
      </c>
      <c r="BR74" s="3">
        <v>0</v>
      </c>
      <c r="BS74" s="3">
        <v>1</v>
      </c>
      <c r="BT74" s="3">
        <v>1</v>
      </c>
      <c r="BU74" s="3">
        <v>1</v>
      </c>
      <c r="BV74" s="3">
        <v>1</v>
      </c>
      <c r="BW74" s="3">
        <v>1</v>
      </c>
      <c r="BX74" s="3">
        <v>1</v>
      </c>
      <c r="BY74" s="3" t="s">
        <v>3</v>
      </c>
      <c r="BZ74" s="3">
        <v>90</v>
      </c>
      <c r="CA74" s="3">
        <v>46</v>
      </c>
      <c r="CB74" s="3" t="s">
        <v>3</v>
      </c>
      <c r="CE74" s="3">
        <v>1566</v>
      </c>
      <c r="CF74" s="3">
        <v>0</v>
      </c>
      <c r="CG74" s="3">
        <v>0</v>
      </c>
      <c r="CM74" s="3">
        <v>0</v>
      </c>
      <c r="CN74" s="3" t="s">
        <v>3</v>
      </c>
      <c r="CO74" s="3">
        <v>0</v>
      </c>
      <c r="CP74" s="3">
        <f t="shared" si="65"/>
        <v>521.53</v>
      </c>
      <c r="CQ74" s="3">
        <f t="shared" si="66"/>
        <v>10.23</v>
      </c>
      <c r="CR74" s="3">
        <f t="shared" si="87"/>
        <v>0</v>
      </c>
      <c r="CS74" s="3">
        <f t="shared" si="88"/>
        <v>0</v>
      </c>
      <c r="CT74" s="3">
        <f t="shared" si="67"/>
        <v>0</v>
      </c>
      <c r="CU74" s="3">
        <f t="shared" si="68"/>
        <v>0</v>
      </c>
      <c r="CV74" s="3">
        <f t="shared" si="69"/>
        <v>0</v>
      </c>
      <c r="CW74" s="3">
        <f t="shared" si="70"/>
        <v>0</v>
      </c>
      <c r="CX74" s="3">
        <f t="shared" si="71"/>
        <v>0</v>
      </c>
      <c r="CY74" s="3">
        <f t="shared" si="89"/>
        <v>0</v>
      </c>
      <c r="CZ74" s="3">
        <f t="shared" si="90"/>
        <v>0</v>
      </c>
      <c r="DC74" s="3" t="s">
        <v>3</v>
      </c>
      <c r="DD74" s="3" t="s">
        <v>3</v>
      </c>
      <c r="DE74" s="3" t="s">
        <v>3</v>
      </c>
      <c r="DF74" s="3" t="s">
        <v>3</v>
      </c>
      <c r="DG74" s="3" t="s">
        <v>3</v>
      </c>
      <c r="DH74" s="3" t="s">
        <v>3</v>
      </c>
      <c r="DI74" s="3" t="s">
        <v>3</v>
      </c>
      <c r="DJ74" s="3" t="s">
        <v>3</v>
      </c>
      <c r="DK74" s="3" t="s">
        <v>3</v>
      </c>
      <c r="DL74" s="3" t="s">
        <v>3</v>
      </c>
      <c r="DM74" s="3" t="s">
        <v>3</v>
      </c>
      <c r="DN74" s="3">
        <v>0</v>
      </c>
      <c r="DO74" s="3">
        <v>0</v>
      </c>
      <c r="DP74" s="3">
        <v>1</v>
      </c>
      <c r="DQ74" s="3">
        <v>1</v>
      </c>
      <c r="DU74" s="3">
        <v>1003</v>
      </c>
      <c r="DV74" s="3" t="s">
        <v>110</v>
      </c>
      <c r="DW74" s="3" t="s">
        <v>110</v>
      </c>
      <c r="DX74" s="3">
        <v>1</v>
      </c>
      <c r="DZ74" s="3" t="s">
        <v>3</v>
      </c>
      <c r="EA74" s="3" t="s">
        <v>3</v>
      </c>
      <c r="EB74" s="3" t="s">
        <v>3</v>
      </c>
      <c r="EC74" s="3" t="s">
        <v>3</v>
      </c>
      <c r="EE74" s="3">
        <v>60088532</v>
      </c>
      <c r="EF74" s="3">
        <v>40</v>
      </c>
      <c r="EG74" s="3" t="s">
        <v>25</v>
      </c>
      <c r="EH74" s="3">
        <v>0</v>
      </c>
      <c r="EI74" s="3" t="s">
        <v>3</v>
      </c>
      <c r="EJ74" s="3">
        <v>2</v>
      </c>
      <c r="EK74" s="3">
        <v>68</v>
      </c>
      <c r="EL74" s="3" t="s">
        <v>26</v>
      </c>
      <c r="EM74" s="3" t="s">
        <v>27</v>
      </c>
      <c r="EO74" s="3" t="s">
        <v>3</v>
      </c>
      <c r="EQ74" s="3">
        <v>0</v>
      </c>
      <c r="ER74" s="3">
        <v>2.67</v>
      </c>
      <c r="ES74" s="3">
        <v>2.67</v>
      </c>
      <c r="ET74" s="3">
        <v>0</v>
      </c>
      <c r="EU74" s="3">
        <v>0</v>
      </c>
      <c r="EV74" s="3">
        <v>0</v>
      </c>
      <c r="EW74" s="3">
        <v>0</v>
      </c>
      <c r="EX74" s="3">
        <v>0</v>
      </c>
      <c r="FQ74" s="3">
        <v>0</v>
      </c>
      <c r="FR74" s="3">
        <v>0</v>
      </c>
      <c r="FS74" s="3">
        <v>0</v>
      </c>
      <c r="FX74" s="3">
        <v>90</v>
      </c>
      <c r="FY74" s="3">
        <v>46</v>
      </c>
      <c r="GA74" s="3" t="s">
        <v>3</v>
      </c>
      <c r="GD74" s="3">
        <v>1</v>
      </c>
      <c r="GF74" s="3">
        <v>1184991115</v>
      </c>
      <c r="GG74" s="3">
        <v>2</v>
      </c>
      <c r="GH74" s="3">
        <v>1</v>
      </c>
      <c r="GI74" s="3">
        <v>2</v>
      </c>
      <c r="GJ74" s="3">
        <v>0</v>
      </c>
      <c r="GK74" s="3">
        <v>0</v>
      </c>
      <c r="GL74" s="3">
        <f t="shared" si="72"/>
        <v>0</v>
      </c>
      <c r="GM74" s="3">
        <f t="shared" si="73"/>
        <v>521.53</v>
      </c>
      <c r="GN74" s="3">
        <f t="shared" si="74"/>
        <v>0</v>
      </c>
      <c r="GO74" s="3">
        <f t="shared" si="75"/>
        <v>521.53</v>
      </c>
      <c r="GP74" s="3">
        <f t="shared" si="76"/>
        <v>0</v>
      </c>
      <c r="GR74" s="3">
        <v>0</v>
      </c>
      <c r="GS74" s="3">
        <v>3</v>
      </c>
      <c r="GT74" s="3">
        <v>0</v>
      </c>
      <c r="GU74" s="3" t="s">
        <v>3</v>
      </c>
      <c r="GV74" s="3">
        <f t="shared" si="77"/>
        <v>0</v>
      </c>
      <c r="GW74" s="3">
        <v>1</v>
      </c>
      <c r="GX74" s="3">
        <f t="shared" si="78"/>
        <v>0</v>
      </c>
      <c r="HA74" s="3">
        <v>0</v>
      </c>
      <c r="HB74" s="3">
        <v>0</v>
      </c>
      <c r="HC74" s="3">
        <f t="shared" si="79"/>
        <v>0</v>
      </c>
      <c r="HE74" s="3" t="s">
        <v>3</v>
      </c>
      <c r="HF74" s="3" t="s">
        <v>3</v>
      </c>
      <c r="HM74" s="3" t="s">
        <v>3</v>
      </c>
      <c r="HN74" s="3" t="s">
        <v>3</v>
      </c>
      <c r="HO74" s="3" t="s">
        <v>3</v>
      </c>
      <c r="HP74" s="3" t="s">
        <v>3</v>
      </c>
      <c r="HQ74" s="3" t="s">
        <v>3</v>
      </c>
      <c r="HS74" s="3">
        <v>0</v>
      </c>
      <c r="IK74" s="3">
        <v>0</v>
      </c>
    </row>
    <row r="75" spans="1:255" x14ac:dyDescent="0.2">
      <c r="A75" s="2">
        <v>18</v>
      </c>
      <c r="B75" s="2">
        <v>1</v>
      </c>
      <c r="C75" s="2">
        <v>9</v>
      </c>
      <c r="D75" s="2"/>
      <c r="E75" s="2" t="s">
        <v>112</v>
      </c>
      <c r="F75" s="2" t="s">
        <v>113</v>
      </c>
      <c r="G75" s="2" t="s">
        <v>114</v>
      </c>
      <c r="H75" s="2" t="s">
        <v>115</v>
      </c>
      <c r="I75" s="2">
        <f>I71*J75</f>
        <v>1.19</v>
      </c>
      <c r="J75" s="2">
        <v>2.38</v>
      </c>
      <c r="K75" s="2">
        <v>2.38</v>
      </c>
      <c r="L75" s="2"/>
      <c r="M75" s="2"/>
      <c r="N75" s="2"/>
      <c r="O75" s="2">
        <f t="shared" si="54"/>
        <v>55.49</v>
      </c>
      <c r="P75" s="2">
        <f t="shared" si="55"/>
        <v>55.49</v>
      </c>
      <c r="Q75" s="2">
        <f t="shared" si="80"/>
        <v>0</v>
      </c>
      <c r="R75" s="2">
        <f t="shared" si="81"/>
        <v>0</v>
      </c>
      <c r="S75" s="2">
        <f t="shared" si="56"/>
        <v>0</v>
      </c>
      <c r="T75" s="2">
        <f t="shared" si="57"/>
        <v>0</v>
      </c>
      <c r="U75" s="2">
        <f t="shared" si="58"/>
        <v>0</v>
      </c>
      <c r="V75" s="2">
        <f t="shared" si="59"/>
        <v>0</v>
      </c>
      <c r="W75" s="2">
        <f t="shared" si="60"/>
        <v>0</v>
      </c>
      <c r="X75" s="2">
        <f t="shared" si="82"/>
        <v>0</v>
      </c>
      <c r="Y75" s="2">
        <f t="shared" si="83"/>
        <v>0</v>
      </c>
      <c r="Z75" s="2"/>
      <c r="AA75" s="2">
        <v>60257736</v>
      </c>
      <c r="AB75" s="2">
        <f t="shared" si="61"/>
        <v>46.63</v>
      </c>
      <c r="AC75" s="2">
        <f t="shared" si="62"/>
        <v>46.63</v>
      </c>
      <c r="AD75" s="2">
        <f t="shared" si="84"/>
        <v>0</v>
      </c>
      <c r="AE75" s="2">
        <f t="shared" si="85"/>
        <v>0</v>
      </c>
      <c r="AF75" s="2">
        <f t="shared" si="85"/>
        <v>0</v>
      </c>
      <c r="AG75" s="2">
        <f t="shared" si="63"/>
        <v>0</v>
      </c>
      <c r="AH75" s="2">
        <f t="shared" si="86"/>
        <v>0</v>
      </c>
      <c r="AI75" s="2">
        <f t="shared" si="86"/>
        <v>0</v>
      </c>
      <c r="AJ75" s="2">
        <f t="shared" si="64"/>
        <v>0</v>
      </c>
      <c r="AK75" s="2">
        <v>46.63</v>
      </c>
      <c r="AL75" s="2">
        <v>46.63</v>
      </c>
      <c r="AM75" s="2">
        <v>0</v>
      </c>
      <c r="AN75" s="2">
        <v>0</v>
      </c>
      <c r="AO75" s="2">
        <v>0</v>
      </c>
      <c r="AP75" s="2">
        <v>0</v>
      </c>
      <c r="AQ75" s="2">
        <v>0</v>
      </c>
      <c r="AR75" s="2">
        <v>0</v>
      </c>
      <c r="AS75" s="2">
        <v>0</v>
      </c>
      <c r="AT75" s="2">
        <v>90</v>
      </c>
      <c r="AU75" s="2">
        <v>46</v>
      </c>
      <c r="AV75" s="2">
        <v>1</v>
      </c>
      <c r="AW75" s="2">
        <v>1</v>
      </c>
      <c r="AX75" s="2"/>
      <c r="AY75" s="2"/>
      <c r="AZ75" s="2">
        <v>1</v>
      </c>
      <c r="BA75" s="2">
        <v>1</v>
      </c>
      <c r="BB75" s="2">
        <v>1</v>
      </c>
      <c r="BC75" s="2">
        <v>1</v>
      </c>
      <c r="BD75" s="2" t="s">
        <v>3</v>
      </c>
      <c r="BE75" s="2" t="s">
        <v>3</v>
      </c>
      <c r="BF75" s="2" t="s">
        <v>3</v>
      </c>
      <c r="BG75" s="2" t="s">
        <v>3</v>
      </c>
      <c r="BH75" s="2">
        <v>3</v>
      </c>
      <c r="BI75" s="2">
        <v>2</v>
      </c>
      <c r="BJ75" s="2" t="s">
        <v>116</v>
      </c>
      <c r="BK75" s="2"/>
      <c r="BL75" s="2"/>
      <c r="BM75" s="2">
        <v>68</v>
      </c>
      <c r="BN75" s="2">
        <v>0</v>
      </c>
      <c r="BO75" s="2" t="s">
        <v>3</v>
      </c>
      <c r="BP75" s="2">
        <v>0</v>
      </c>
      <c r="BQ75" s="2">
        <v>40</v>
      </c>
      <c r="BR75" s="2">
        <v>0</v>
      </c>
      <c r="BS75" s="2">
        <v>1</v>
      </c>
      <c r="BT75" s="2">
        <v>1</v>
      </c>
      <c r="BU75" s="2">
        <v>1</v>
      </c>
      <c r="BV75" s="2">
        <v>1</v>
      </c>
      <c r="BW75" s="2">
        <v>1</v>
      </c>
      <c r="BX75" s="2">
        <v>1</v>
      </c>
      <c r="BY75" s="2" t="s">
        <v>3</v>
      </c>
      <c r="BZ75" s="2">
        <v>90</v>
      </c>
      <c r="CA75" s="2">
        <v>46</v>
      </c>
      <c r="CB75" s="2" t="s">
        <v>3</v>
      </c>
      <c r="CC75" s="2"/>
      <c r="CD75" s="2"/>
      <c r="CE75" s="2">
        <v>1566</v>
      </c>
      <c r="CF75" s="2">
        <v>0</v>
      </c>
      <c r="CG75" s="2">
        <v>0</v>
      </c>
      <c r="CH75" s="2"/>
      <c r="CI75" s="2"/>
      <c r="CJ75" s="2"/>
      <c r="CK75" s="2"/>
      <c r="CL75" s="2"/>
      <c r="CM75" s="2">
        <v>0</v>
      </c>
      <c r="CN75" s="2" t="s">
        <v>3</v>
      </c>
      <c r="CO75" s="2">
        <v>0</v>
      </c>
      <c r="CP75" s="2">
        <f t="shared" si="65"/>
        <v>55.49</v>
      </c>
      <c r="CQ75" s="2">
        <f t="shared" si="66"/>
        <v>46.63</v>
      </c>
      <c r="CR75" s="2">
        <f t="shared" si="87"/>
        <v>0</v>
      </c>
      <c r="CS75" s="2">
        <f t="shared" si="88"/>
        <v>0</v>
      </c>
      <c r="CT75" s="2">
        <f t="shared" si="67"/>
        <v>0</v>
      </c>
      <c r="CU75" s="2">
        <f t="shared" si="68"/>
        <v>0</v>
      </c>
      <c r="CV75" s="2">
        <f t="shared" si="69"/>
        <v>0</v>
      </c>
      <c r="CW75" s="2">
        <f t="shared" si="70"/>
        <v>0</v>
      </c>
      <c r="CX75" s="2">
        <f t="shared" si="71"/>
        <v>0</v>
      </c>
      <c r="CY75" s="2">
        <f t="shared" si="89"/>
        <v>0</v>
      </c>
      <c r="CZ75" s="2">
        <f t="shared" si="90"/>
        <v>0</v>
      </c>
      <c r="DA75" s="2"/>
      <c r="DB75" s="2"/>
      <c r="DC75" s="2" t="s">
        <v>3</v>
      </c>
      <c r="DD75" s="2" t="s">
        <v>3</v>
      </c>
      <c r="DE75" s="2" t="s">
        <v>3</v>
      </c>
      <c r="DF75" s="2" t="s">
        <v>3</v>
      </c>
      <c r="DG75" s="2" t="s">
        <v>3</v>
      </c>
      <c r="DH75" s="2" t="s">
        <v>3</v>
      </c>
      <c r="DI75" s="2" t="s">
        <v>3</v>
      </c>
      <c r="DJ75" s="2" t="s">
        <v>3</v>
      </c>
      <c r="DK75" s="2" t="s">
        <v>3</v>
      </c>
      <c r="DL75" s="2" t="s">
        <v>3</v>
      </c>
      <c r="DM75" s="2" t="s">
        <v>3</v>
      </c>
      <c r="DN75" s="2">
        <v>0</v>
      </c>
      <c r="DO75" s="2">
        <v>0</v>
      </c>
      <c r="DP75" s="2">
        <v>1</v>
      </c>
      <c r="DQ75" s="2">
        <v>1</v>
      </c>
      <c r="DR75" s="2"/>
      <c r="DS75" s="2"/>
      <c r="DT75" s="2"/>
      <c r="DU75" s="2">
        <v>1010</v>
      </c>
      <c r="DV75" s="2" t="s">
        <v>115</v>
      </c>
      <c r="DW75" s="2" t="s">
        <v>115</v>
      </c>
      <c r="DX75" s="2">
        <v>100</v>
      </c>
      <c r="DY75" s="2"/>
      <c r="DZ75" s="2" t="s">
        <v>3</v>
      </c>
      <c r="EA75" s="2" t="s">
        <v>3</v>
      </c>
      <c r="EB75" s="2" t="s">
        <v>3</v>
      </c>
      <c r="EC75" s="2" t="s">
        <v>3</v>
      </c>
      <c r="ED75" s="2"/>
      <c r="EE75" s="2">
        <v>60088532</v>
      </c>
      <c r="EF75" s="2">
        <v>40</v>
      </c>
      <c r="EG75" s="2" t="s">
        <v>25</v>
      </c>
      <c r="EH75" s="2">
        <v>0</v>
      </c>
      <c r="EI75" s="2" t="s">
        <v>3</v>
      </c>
      <c r="EJ75" s="2">
        <v>2</v>
      </c>
      <c r="EK75" s="2">
        <v>68</v>
      </c>
      <c r="EL75" s="2" t="s">
        <v>26</v>
      </c>
      <c r="EM75" s="2" t="s">
        <v>27</v>
      </c>
      <c r="EN75" s="2"/>
      <c r="EO75" s="2" t="s">
        <v>3</v>
      </c>
      <c r="EP75" s="2"/>
      <c r="EQ75" s="2">
        <v>0</v>
      </c>
      <c r="ER75" s="2">
        <v>46.63</v>
      </c>
      <c r="ES75" s="2">
        <v>46.63</v>
      </c>
      <c r="ET75" s="2">
        <v>0</v>
      </c>
      <c r="EU75" s="2">
        <v>0</v>
      </c>
      <c r="EV75" s="2">
        <v>0</v>
      </c>
      <c r="EW75" s="2">
        <v>0</v>
      </c>
      <c r="EX75" s="2">
        <v>0</v>
      </c>
      <c r="EY75" s="2"/>
      <c r="EZ75" s="2"/>
      <c r="FA75" s="2"/>
      <c r="FB75" s="2"/>
      <c r="FC75" s="2"/>
      <c r="FD75" s="2"/>
      <c r="FE75" s="2"/>
      <c r="FF75" s="2"/>
      <c r="FG75" s="2"/>
      <c r="FH75" s="2"/>
      <c r="FI75" s="2"/>
      <c r="FJ75" s="2"/>
      <c r="FK75" s="2"/>
      <c r="FL75" s="2"/>
      <c r="FM75" s="2"/>
      <c r="FN75" s="2"/>
      <c r="FO75" s="2"/>
      <c r="FP75" s="2"/>
      <c r="FQ75" s="2">
        <v>0</v>
      </c>
      <c r="FR75" s="2">
        <v>0</v>
      </c>
      <c r="FS75" s="2">
        <v>0</v>
      </c>
      <c r="FT75" s="2"/>
      <c r="FU75" s="2"/>
      <c r="FV75" s="2"/>
      <c r="FW75" s="2"/>
      <c r="FX75" s="2">
        <v>90</v>
      </c>
      <c r="FY75" s="2">
        <v>46</v>
      </c>
      <c r="FZ75" s="2"/>
      <c r="GA75" s="2" t="s">
        <v>3</v>
      </c>
      <c r="GB75" s="2"/>
      <c r="GC75" s="2"/>
      <c r="GD75" s="2">
        <v>1</v>
      </c>
      <c r="GE75" s="2"/>
      <c r="GF75" s="2">
        <v>-1288220709</v>
      </c>
      <c r="GG75" s="2">
        <v>2</v>
      </c>
      <c r="GH75" s="2">
        <v>1</v>
      </c>
      <c r="GI75" s="2">
        <v>-2</v>
      </c>
      <c r="GJ75" s="2">
        <v>0</v>
      </c>
      <c r="GK75" s="2">
        <v>0</v>
      </c>
      <c r="GL75" s="2">
        <f t="shared" si="72"/>
        <v>0</v>
      </c>
      <c r="GM75" s="2">
        <f t="shared" si="73"/>
        <v>55.49</v>
      </c>
      <c r="GN75" s="2">
        <f t="shared" si="74"/>
        <v>0</v>
      </c>
      <c r="GO75" s="2">
        <f t="shared" si="75"/>
        <v>55.49</v>
      </c>
      <c r="GP75" s="2">
        <f t="shared" si="76"/>
        <v>0</v>
      </c>
      <c r="GQ75" s="2"/>
      <c r="GR75" s="2">
        <v>0</v>
      </c>
      <c r="GS75" s="2">
        <v>3</v>
      </c>
      <c r="GT75" s="2">
        <v>0</v>
      </c>
      <c r="GU75" s="2" t="s">
        <v>3</v>
      </c>
      <c r="GV75" s="2">
        <f t="shared" si="77"/>
        <v>0</v>
      </c>
      <c r="GW75" s="2">
        <v>1</v>
      </c>
      <c r="GX75" s="2">
        <f t="shared" si="78"/>
        <v>0</v>
      </c>
      <c r="GY75" s="2"/>
      <c r="GZ75" s="2"/>
      <c r="HA75" s="2">
        <v>0</v>
      </c>
      <c r="HB75" s="2">
        <v>0</v>
      </c>
      <c r="HC75" s="2">
        <f t="shared" si="79"/>
        <v>0</v>
      </c>
      <c r="HD75" s="2"/>
      <c r="HE75" s="2" t="s">
        <v>3</v>
      </c>
      <c r="HF75" s="2" t="s">
        <v>3</v>
      </c>
      <c r="HG75" s="2"/>
      <c r="HH75" s="2"/>
      <c r="HI75" s="2"/>
      <c r="HJ75" s="2"/>
      <c r="HK75" s="2"/>
      <c r="HL75" s="2"/>
      <c r="HM75" s="2" t="s">
        <v>3</v>
      </c>
      <c r="HN75" s="2" t="s">
        <v>3</v>
      </c>
      <c r="HO75" s="2" t="s">
        <v>3</v>
      </c>
      <c r="HP75" s="2" t="s">
        <v>3</v>
      </c>
      <c r="HQ75" s="2" t="s">
        <v>3</v>
      </c>
      <c r="HR75" s="2"/>
      <c r="HS75" s="2">
        <v>0</v>
      </c>
      <c r="HT75" s="2"/>
      <c r="HU75" s="2"/>
      <c r="HV75" s="2"/>
      <c r="HW75" s="2"/>
      <c r="HX75" s="2"/>
      <c r="HY75" s="2"/>
      <c r="HZ75" s="2"/>
      <c r="IA75" s="2"/>
      <c r="IB75" s="2"/>
      <c r="IC75" s="2"/>
      <c r="ID75" s="2"/>
      <c r="IE75" s="2"/>
      <c r="IF75" s="2"/>
      <c r="IG75" s="2"/>
      <c r="IH75" s="2"/>
      <c r="II75" s="2"/>
      <c r="IJ75" s="2"/>
      <c r="IK75" s="2">
        <v>0</v>
      </c>
      <c r="IL75" s="2"/>
      <c r="IM75" s="2"/>
      <c r="IN75" s="2"/>
      <c r="IO75" s="2"/>
      <c r="IP75" s="2"/>
      <c r="IQ75" s="2"/>
      <c r="IR75" s="2"/>
      <c r="IS75" s="2"/>
      <c r="IT75" s="2"/>
      <c r="IU75" s="2"/>
    </row>
    <row r="76" spans="1:255" x14ac:dyDescent="0.2">
      <c r="A76" s="3">
        <v>18</v>
      </c>
      <c r="B76" s="3">
        <v>1</v>
      </c>
      <c r="C76" s="3">
        <v>18</v>
      </c>
      <c r="E76" s="3" t="s">
        <v>112</v>
      </c>
      <c r="F76" s="3" t="s">
        <v>113</v>
      </c>
      <c r="G76" s="3" t="s">
        <v>114</v>
      </c>
      <c r="H76" s="3" t="s">
        <v>115</v>
      </c>
      <c r="I76" s="3">
        <f>I72*J76</f>
        <v>1.19</v>
      </c>
      <c r="J76" s="3">
        <v>2.38</v>
      </c>
      <c r="K76" s="3">
        <v>2.38</v>
      </c>
      <c r="O76" s="3">
        <f t="shared" si="54"/>
        <v>59.93</v>
      </c>
      <c r="P76" s="3">
        <f t="shared" si="55"/>
        <v>59.93</v>
      </c>
      <c r="Q76" s="3">
        <f t="shared" si="80"/>
        <v>0</v>
      </c>
      <c r="R76" s="3">
        <f t="shared" si="81"/>
        <v>0</v>
      </c>
      <c r="S76" s="3">
        <f t="shared" si="56"/>
        <v>0</v>
      </c>
      <c r="T76" s="3">
        <f t="shared" si="57"/>
        <v>0</v>
      </c>
      <c r="U76" s="3">
        <f t="shared" si="58"/>
        <v>0</v>
      </c>
      <c r="V76" s="3">
        <f t="shared" si="59"/>
        <v>0</v>
      </c>
      <c r="W76" s="3">
        <f t="shared" si="60"/>
        <v>0</v>
      </c>
      <c r="X76" s="3">
        <f t="shared" si="82"/>
        <v>0</v>
      </c>
      <c r="Y76" s="3">
        <f t="shared" si="83"/>
        <v>0</v>
      </c>
      <c r="AA76" s="3">
        <v>60257733</v>
      </c>
      <c r="AB76" s="3">
        <f t="shared" si="61"/>
        <v>46.63</v>
      </c>
      <c r="AC76" s="3">
        <f t="shared" si="62"/>
        <v>46.63</v>
      </c>
      <c r="AD76" s="3">
        <f t="shared" si="84"/>
        <v>0</v>
      </c>
      <c r="AE76" s="3">
        <f t="shared" si="85"/>
        <v>0</v>
      </c>
      <c r="AF76" s="3">
        <f t="shared" si="85"/>
        <v>0</v>
      </c>
      <c r="AG76" s="3">
        <f t="shared" si="63"/>
        <v>0</v>
      </c>
      <c r="AH76" s="3">
        <f t="shared" si="86"/>
        <v>0</v>
      </c>
      <c r="AI76" s="3">
        <f t="shared" si="86"/>
        <v>0</v>
      </c>
      <c r="AJ76" s="3">
        <f t="shared" si="64"/>
        <v>0</v>
      </c>
      <c r="AK76" s="3">
        <v>46.63</v>
      </c>
      <c r="AL76" s="3">
        <v>46.63</v>
      </c>
      <c r="AM76" s="3">
        <v>0</v>
      </c>
      <c r="AN76" s="3">
        <v>0</v>
      </c>
      <c r="AO76" s="3">
        <v>0</v>
      </c>
      <c r="AP76" s="3">
        <v>0</v>
      </c>
      <c r="AQ76" s="3">
        <v>0</v>
      </c>
      <c r="AR76" s="3">
        <v>0</v>
      </c>
      <c r="AS76" s="3">
        <v>0</v>
      </c>
      <c r="AT76" s="3">
        <v>90</v>
      </c>
      <c r="AU76" s="3">
        <v>46</v>
      </c>
      <c r="AV76" s="3">
        <v>1</v>
      </c>
      <c r="AW76" s="3">
        <v>1</v>
      </c>
      <c r="AZ76" s="3">
        <v>1</v>
      </c>
      <c r="BA76" s="3">
        <v>1</v>
      </c>
      <c r="BB76" s="3">
        <v>1</v>
      </c>
      <c r="BC76" s="3">
        <v>1.08</v>
      </c>
      <c r="BD76" s="3" t="s">
        <v>3</v>
      </c>
      <c r="BE76" s="3" t="s">
        <v>3</v>
      </c>
      <c r="BF76" s="3" t="s">
        <v>3</v>
      </c>
      <c r="BG76" s="3" t="s">
        <v>3</v>
      </c>
      <c r="BH76" s="3">
        <v>3</v>
      </c>
      <c r="BI76" s="3">
        <v>2</v>
      </c>
      <c r="BJ76" s="3" t="s">
        <v>116</v>
      </c>
      <c r="BM76" s="3">
        <v>68</v>
      </c>
      <c r="BN76" s="3">
        <v>0</v>
      </c>
      <c r="BO76" s="3" t="s">
        <v>113</v>
      </c>
      <c r="BP76" s="3">
        <v>1</v>
      </c>
      <c r="BQ76" s="3">
        <v>40</v>
      </c>
      <c r="BR76" s="3">
        <v>0</v>
      </c>
      <c r="BS76" s="3">
        <v>1</v>
      </c>
      <c r="BT76" s="3">
        <v>1</v>
      </c>
      <c r="BU76" s="3">
        <v>1</v>
      </c>
      <c r="BV76" s="3">
        <v>1</v>
      </c>
      <c r="BW76" s="3">
        <v>1</v>
      </c>
      <c r="BX76" s="3">
        <v>1</v>
      </c>
      <c r="BY76" s="3" t="s">
        <v>3</v>
      </c>
      <c r="BZ76" s="3">
        <v>90</v>
      </c>
      <c r="CA76" s="3">
        <v>46</v>
      </c>
      <c r="CB76" s="3" t="s">
        <v>3</v>
      </c>
      <c r="CE76" s="3">
        <v>1566</v>
      </c>
      <c r="CF76" s="3">
        <v>0</v>
      </c>
      <c r="CG76" s="3">
        <v>0</v>
      </c>
      <c r="CM76" s="3">
        <v>0</v>
      </c>
      <c r="CN76" s="3" t="s">
        <v>3</v>
      </c>
      <c r="CO76" s="3">
        <v>0</v>
      </c>
      <c r="CP76" s="3">
        <f t="shared" si="65"/>
        <v>59.93</v>
      </c>
      <c r="CQ76" s="3">
        <f t="shared" si="66"/>
        <v>50.36</v>
      </c>
      <c r="CR76" s="3">
        <f t="shared" si="87"/>
        <v>0</v>
      </c>
      <c r="CS76" s="3">
        <f t="shared" si="88"/>
        <v>0</v>
      </c>
      <c r="CT76" s="3">
        <f t="shared" si="67"/>
        <v>0</v>
      </c>
      <c r="CU76" s="3">
        <f t="shared" si="68"/>
        <v>0</v>
      </c>
      <c r="CV76" s="3">
        <f t="shared" si="69"/>
        <v>0</v>
      </c>
      <c r="CW76" s="3">
        <f t="shared" si="70"/>
        <v>0</v>
      </c>
      <c r="CX76" s="3">
        <f t="shared" si="71"/>
        <v>0</v>
      </c>
      <c r="CY76" s="3">
        <f t="shared" si="89"/>
        <v>0</v>
      </c>
      <c r="CZ76" s="3">
        <f t="shared" si="90"/>
        <v>0</v>
      </c>
      <c r="DC76" s="3" t="s">
        <v>3</v>
      </c>
      <c r="DD76" s="3" t="s">
        <v>3</v>
      </c>
      <c r="DE76" s="3" t="s">
        <v>3</v>
      </c>
      <c r="DF76" s="3" t="s">
        <v>3</v>
      </c>
      <c r="DG76" s="3" t="s">
        <v>3</v>
      </c>
      <c r="DH76" s="3" t="s">
        <v>3</v>
      </c>
      <c r="DI76" s="3" t="s">
        <v>3</v>
      </c>
      <c r="DJ76" s="3" t="s">
        <v>3</v>
      </c>
      <c r="DK76" s="3" t="s">
        <v>3</v>
      </c>
      <c r="DL76" s="3" t="s">
        <v>3</v>
      </c>
      <c r="DM76" s="3" t="s">
        <v>3</v>
      </c>
      <c r="DN76" s="3">
        <v>0</v>
      </c>
      <c r="DO76" s="3">
        <v>0</v>
      </c>
      <c r="DP76" s="3">
        <v>1</v>
      </c>
      <c r="DQ76" s="3">
        <v>1</v>
      </c>
      <c r="DU76" s="3">
        <v>1010</v>
      </c>
      <c r="DV76" s="3" t="s">
        <v>115</v>
      </c>
      <c r="DW76" s="3" t="s">
        <v>115</v>
      </c>
      <c r="DX76" s="3">
        <v>100</v>
      </c>
      <c r="DZ76" s="3" t="s">
        <v>3</v>
      </c>
      <c r="EA76" s="3" t="s">
        <v>3</v>
      </c>
      <c r="EB76" s="3" t="s">
        <v>3</v>
      </c>
      <c r="EC76" s="3" t="s">
        <v>3</v>
      </c>
      <c r="EE76" s="3">
        <v>60088532</v>
      </c>
      <c r="EF76" s="3">
        <v>40</v>
      </c>
      <c r="EG76" s="3" t="s">
        <v>25</v>
      </c>
      <c r="EH76" s="3">
        <v>0</v>
      </c>
      <c r="EI76" s="3" t="s">
        <v>3</v>
      </c>
      <c r="EJ76" s="3">
        <v>2</v>
      </c>
      <c r="EK76" s="3">
        <v>68</v>
      </c>
      <c r="EL76" s="3" t="s">
        <v>26</v>
      </c>
      <c r="EM76" s="3" t="s">
        <v>27</v>
      </c>
      <c r="EO76" s="3" t="s">
        <v>3</v>
      </c>
      <c r="EQ76" s="3">
        <v>0</v>
      </c>
      <c r="ER76" s="3">
        <v>46.63</v>
      </c>
      <c r="ES76" s="3">
        <v>46.63</v>
      </c>
      <c r="ET76" s="3">
        <v>0</v>
      </c>
      <c r="EU76" s="3">
        <v>0</v>
      </c>
      <c r="EV76" s="3">
        <v>0</v>
      </c>
      <c r="EW76" s="3">
        <v>0</v>
      </c>
      <c r="EX76" s="3">
        <v>0</v>
      </c>
      <c r="FQ76" s="3">
        <v>0</v>
      </c>
      <c r="FR76" s="3">
        <v>0</v>
      </c>
      <c r="FS76" s="3">
        <v>0</v>
      </c>
      <c r="FX76" s="3">
        <v>90</v>
      </c>
      <c r="FY76" s="3">
        <v>46</v>
      </c>
      <c r="GA76" s="3" t="s">
        <v>3</v>
      </c>
      <c r="GD76" s="3">
        <v>1</v>
      </c>
      <c r="GF76" s="3">
        <v>-1288220709</v>
      </c>
      <c r="GG76" s="3">
        <v>2</v>
      </c>
      <c r="GH76" s="3">
        <v>1</v>
      </c>
      <c r="GI76" s="3">
        <v>2</v>
      </c>
      <c r="GJ76" s="3">
        <v>0</v>
      </c>
      <c r="GK76" s="3">
        <v>0</v>
      </c>
      <c r="GL76" s="3">
        <f t="shared" si="72"/>
        <v>0</v>
      </c>
      <c r="GM76" s="3">
        <f t="shared" si="73"/>
        <v>59.93</v>
      </c>
      <c r="GN76" s="3">
        <f t="shared" si="74"/>
        <v>0</v>
      </c>
      <c r="GO76" s="3">
        <f t="shared" si="75"/>
        <v>59.93</v>
      </c>
      <c r="GP76" s="3">
        <f t="shared" si="76"/>
        <v>0</v>
      </c>
      <c r="GR76" s="3">
        <v>0</v>
      </c>
      <c r="GS76" s="3">
        <v>3</v>
      </c>
      <c r="GT76" s="3">
        <v>0</v>
      </c>
      <c r="GU76" s="3" t="s">
        <v>3</v>
      </c>
      <c r="GV76" s="3">
        <f t="shared" si="77"/>
        <v>0</v>
      </c>
      <c r="GW76" s="3">
        <v>1</v>
      </c>
      <c r="GX76" s="3">
        <f t="shared" si="78"/>
        <v>0</v>
      </c>
      <c r="HA76" s="3">
        <v>0</v>
      </c>
      <c r="HB76" s="3">
        <v>0</v>
      </c>
      <c r="HC76" s="3">
        <f t="shared" si="79"/>
        <v>0</v>
      </c>
      <c r="HE76" s="3" t="s">
        <v>3</v>
      </c>
      <c r="HF76" s="3" t="s">
        <v>3</v>
      </c>
      <c r="HM76" s="3" t="s">
        <v>3</v>
      </c>
      <c r="HN76" s="3" t="s">
        <v>3</v>
      </c>
      <c r="HO76" s="3" t="s">
        <v>3</v>
      </c>
      <c r="HP76" s="3" t="s">
        <v>3</v>
      </c>
      <c r="HQ76" s="3" t="s">
        <v>3</v>
      </c>
      <c r="HS76" s="3">
        <v>0</v>
      </c>
      <c r="IK76" s="3">
        <v>0</v>
      </c>
    </row>
    <row r="77" spans="1:255" x14ac:dyDescent="0.2">
      <c r="A77" s="2">
        <v>18</v>
      </c>
      <c r="B77" s="2">
        <v>1</v>
      </c>
      <c r="C77" s="2">
        <v>13</v>
      </c>
      <c r="D77" s="2"/>
      <c r="E77" s="2" t="s">
        <v>117</v>
      </c>
      <c r="F77" s="2" t="s">
        <v>118</v>
      </c>
      <c r="G77" s="2" t="s">
        <v>119</v>
      </c>
      <c r="H77" s="2" t="s">
        <v>115</v>
      </c>
      <c r="I77" s="2">
        <f>I71*J77</f>
        <v>1.18</v>
      </c>
      <c r="J77" s="2">
        <v>2.36</v>
      </c>
      <c r="K77" s="2">
        <v>2.36</v>
      </c>
      <c r="L77" s="2"/>
      <c r="M77" s="2"/>
      <c r="N77" s="2"/>
      <c r="O77" s="2">
        <f t="shared" si="54"/>
        <v>1530.73</v>
      </c>
      <c r="P77" s="2">
        <f t="shared" si="55"/>
        <v>1530.73</v>
      </c>
      <c r="Q77" s="2">
        <f t="shared" si="80"/>
        <v>0</v>
      </c>
      <c r="R77" s="2">
        <f t="shared" si="81"/>
        <v>0</v>
      </c>
      <c r="S77" s="2">
        <f t="shared" si="56"/>
        <v>0</v>
      </c>
      <c r="T77" s="2">
        <f t="shared" si="57"/>
        <v>0</v>
      </c>
      <c r="U77" s="2">
        <f t="shared" si="58"/>
        <v>0</v>
      </c>
      <c r="V77" s="2">
        <f t="shared" si="59"/>
        <v>0</v>
      </c>
      <c r="W77" s="2">
        <f t="shared" si="60"/>
        <v>0</v>
      </c>
      <c r="X77" s="2">
        <f t="shared" si="82"/>
        <v>0</v>
      </c>
      <c r="Y77" s="2">
        <f t="shared" si="83"/>
        <v>0</v>
      </c>
      <c r="Z77" s="2"/>
      <c r="AA77" s="2">
        <v>60257736</v>
      </c>
      <c r="AB77" s="2">
        <f t="shared" si="61"/>
        <v>1297.23</v>
      </c>
      <c r="AC77" s="2">
        <f t="shared" si="62"/>
        <v>1297.23</v>
      </c>
      <c r="AD77" s="2">
        <f t="shared" si="84"/>
        <v>0</v>
      </c>
      <c r="AE77" s="2">
        <f t="shared" si="85"/>
        <v>0</v>
      </c>
      <c r="AF77" s="2">
        <f t="shared" si="85"/>
        <v>0</v>
      </c>
      <c r="AG77" s="2">
        <f t="shared" si="63"/>
        <v>0</v>
      </c>
      <c r="AH77" s="2">
        <f t="shared" si="86"/>
        <v>0</v>
      </c>
      <c r="AI77" s="2">
        <f t="shared" si="86"/>
        <v>0</v>
      </c>
      <c r="AJ77" s="2">
        <f t="shared" si="64"/>
        <v>0</v>
      </c>
      <c r="AK77" s="2">
        <v>1297.23</v>
      </c>
      <c r="AL77" s="2">
        <v>1297.23</v>
      </c>
      <c r="AM77" s="2">
        <v>0</v>
      </c>
      <c r="AN77" s="2">
        <v>0</v>
      </c>
      <c r="AO77" s="2">
        <v>0</v>
      </c>
      <c r="AP77" s="2">
        <v>0</v>
      </c>
      <c r="AQ77" s="2">
        <v>0</v>
      </c>
      <c r="AR77" s="2">
        <v>0</v>
      </c>
      <c r="AS77" s="2">
        <v>0</v>
      </c>
      <c r="AT77" s="2">
        <v>90</v>
      </c>
      <c r="AU77" s="2">
        <v>46</v>
      </c>
      <c r="AV77" s="2">
        <v>1</v>
      </c>
      <c r="AW77" s="2">
        <v>1</v>
      </c>
      <c r="AX77" s="2"/>
      <c r="AY77" s="2"/>
      <c r="AZ77" s="2">
        <v>1</v>
      </c>
      <c r="BA77" s="2">
        <v>1</v>
      </c>
      <c r="BB77" s="2">
        <v>1</v>
      </c>
      <c r="BC77" s="2">
        <v>1</v>
      </c>
      <c r="BD77" s="2" t="s">
        <v>3</v>
      </c>
      <c r="BE77" s="2" t="s">
        <v>3</v>
      </c>
      <c r="BF77" s="2" t="s">
        <v>3</v>
      </c>
      <c r="BG77" s="2" t="s">
        <v>3</v>
      </c>
      <c r="BH77" s="2">
        <v>3</v>
      </c>
      <c r="BI77" s="2">
        <v>2</v>
      </c>
      <c r="BJ77" s="2" t="s">
        <v>120</v>
      </c>
      <c r="BK77" s="2"/>
      <c r="BL77" s="2"/>
      <c r="BM77" s="2">
        <v>68</v>
      </c>
      <c r="BN77" s="2">
        <v>0</v>
      </c>
      <c r="BO77" s="2" t="s">
        <v>3</v>
      </c>
      <c r="BP77" s="2">
        <v>0</v>
      </c>
      <c r="BQ77" s="2">
        <v>40</v>
      </c>
      <c r="BR77" s="2">
        <v>0</v>
      </c>
      <c r="BS77" s="2">
        <v>1</v>
      </c>
      <c r="BT77" s="2">
        <v>1</v>
      </c>
      <c r="BU77" s="2">
        <v>1</v>
      </c>
      <c r="BV77" s="2">
        <v>1</v>
      </c>
      <c r="BW77" s="2">
        <v>1</v>
      </c>
      <c r="BX77" s="2">
        <v>1</v>
      </c>
      <c r="BY77" s="2" t="s">
        <v>3</v>
      </c>
      <c r="BZ77" s="2">
        <v>90</v>
      </c>
      <c r="CA77" s="2">
        <v>46</v>
      </c>
      <c r="CB77" s="2" t="s">
        <v>3</v>
      </c>
      <c r="CC77" s="2"/>
      <c r="CD77" s="2"/>
      <c r="CE77" s="2">
        <v>1566</v>
      </c>
      <c r="CF77" s="2">
        <v>0</v>
      </c>
      <c r="CG77" s="2">
        <v>0</v>
      </c>
      <c r="CH77" s="2"/>
      <c r="CI77" s="2"/>
      <c r="CJ77" s="2"/>
      <c r="CK77" s="2"/>
      <c r="CL77" s="2"/>
      <c r="CM77" s="2">
        <v>0</v>
      </c>
      <c r="CN77" s="2" t="s">
        <v>3</v>
      </c>
      <c r="CO77" s="2">
        <v>0</v>
      </c>
      <c r="CP77" s="2">
        <f t="shared" si="65"/>
        <v>1530.73</v>
      </c>
      <c r="CQ77" s="2">
        <f t="shared" si="66"/>
        <v>1297.23</v>
      </c>
      <c r="CR77" s="2">
        <f t="shared" si="87"/>
        <v>0</v>
      </c>
      <c r="CS77" s="2">
        <f t="shared" si="88"/>
        <v>0</v>
      </c>
      <c r="CT77" s="2">
        <f t="shared" si="67"/>
        <v>0</v>
      </c>
      <c r="CU77" s="2">
        <f t="shared" si="68"/>
        <v>0</v>
      </c>
      <c r="CV77" s="2">
        <f t="shared" si="69"/>
        <v>0</v>
      </c>
      <c r="CW77" s="2">
        <f t="shared" si="70"/>
        <v>0</v>
      </c>
      <c r="CX77" s="2">
        <f t="shared" si="71"/>
        <v>0</v>
      </c>
      <c r="CY77" s="2">
        <f t="shared" si="89"/>
        <v>0</v>
      </c>
      <c r="CZ77" s="2">
        <f t="shared" si="90"/>
        <v>0</v>
      </c>
      <c r="DA77" s="2"/>
      <c r="DB77" s="2"/>
      <c r="DC77" s="2" t="s">
        <v>3</v>
      </c>
      <c r="DD77" s="2" t="s">
        <v>3</v>
      </c>
      <c r="DE77" s="2" t="s">
        <v>3</v>
      </c>
      <c r="DF77" s="2" t="s">
        <v>3</v>
      </c>
      <c r="DG77" s="2" t="s">
        <v>3</v>
      </c>
      <c r="DH77" s="2" t="s">
        <v>3</v>
      </c>
      <c r="DI77" s="2" t="s">
        <v>3</v>
      </c>
      <c r="DJ77" s="2" t="s">
        <v>3</v>
      </c>
      <c r="DK77" s="2" t="s">
        <v>3</v>
      </c>
      <c r="DL77" s="2" t="s">
        <v>3</v>
      </c>
      <c r="DM77" s="2" t="s">
        <v>3</v>
      </c>
      <c r="DN77" s="2">
        <v>0</v>
      </c>
      <c r="DO77" s="2">
        <v>0</v>
      </c>
      <c r="DP77" s="2">
        <v>1</v>
      </c>
      <c r="DQ77" s="2">
        <v>1</v>
      </c>
      <c r="DR77" s="2"/>
      <c r="DS77" s="2"/>
      <c r="DT77" s="2"/>
      <c r="DU77" s="2">
        <v>1010</v>
      </c>
      <c r="DV77" s="2" t="s">
        <v>115</v>
      </c>
      <c r="DW77" s="2" t="s">
        <v>115</v>
      </c>
      <c r="DX77" s="2">
        <v>100</v>
      </c>
      <c r="DY77" s="2"/>
      <c r="DZ77" s="2" t="s">
        <v>3</v>
      </c>
      <c r="EA77" s="2" t="s">
        <v>3</v>
      </c>
      <c r="EB77" s="2" t="s">
        <v>3</v>
      </c>
      <c r="EC77" s="2" t="s">
        <v>3</v>
      </c>
      <c r="ED77" s="2"/>
      <c r="EE77" s="2">
        <v>60088532</v>
      </c>
      <c r="EF77" s="2">
        <v>40</v>
      </c>
      <c r="EG77" s="2" t="s">
        <v>25</v>
      </c>
      <c r="EH77" s="2">
        <v>0</v>
      </c>
      <c r="EI77" s="2" t="s">
        <v>3</v>
      </c>
      <c r="EJ77" s="2">
        <v>2</v>
      </c>
      <c r="EK77" s="2">
        <v>68</v>
      </c>
      <c r="EL77" s="2" t="s">
        <v>26</v>
      </c>
      <c r="EM77" s="2" t="s">
        <v>27</v>
      </c>
      <c r="EN77" s="2"/>
      <c r="EO77" s="2" t="s">
        <v>3</v>
      </c>
      <c r="EP77" s="2"/>
      <c r="EQ77" s="2">
        <v>0</v>
      </c>
      <c r="ER77" s="2">
        <v>1297.23</v>
      </c>
      <c r="ES77" s="2">
        <v>1297.23</v>
      </c>
      <c r="ET77" s="2">
        <v>0</v>
      </c>
      <c r="EU77" s="2">
        <v>0</v>
      </c>
      <c r="EV77" s="2">
        <v>0</v>
      </c>
      <c r="EW77" s="2">
        <v>0</v>
      </c>
      <c r="EX77" s="2">
        <v>0</v>
      </c>
      <c r="EY77" s="2"/>
      <c r="EZ77" s="2"/>
      <c r="FA77" s="2"/>
      <c r="FB77" s="2"/>
      <c r="FC77" s="2"/>
      <c r="FD77" s="2"/>
      <c r="FE77" s="2"/>
      <c r="FF77" s="2"/>
      <c r="FG77" s="2"/>
      <c r="FH77" s="2"/>
      <c r="FI77" s="2"/>
      <c r="FJ77" s="2"/>
      <c r="FK77" s="2"/>
      <c r="FL77" s="2"/>
      <c r="FM77" s="2"/>
      <c r="FN77" s="2"/>
      <c r="FO77" s="2"/>
      <c r="FP77" s="2"/>
      <c r="FQ77" s="2">
        <v>0</v>
      </c>
      <c r="FR77" s="2">
        <v>0</v>
      </c>
      <c r="FS77" s="2">
        <v>0</v>
      </c>
      <c r="FT77" s="2"/>
      <c r="FU77" s="2"/>
      <c r="FV77" s="2"/>
      <c r="FW77" s="2"/>
      <c r="FX77" s="2">
        <v>90</v>
      </c>
      <c r="FY77" s="2">
        <v>46</v>
      </c>
      <c r="FZ77" s="2"/>
      <c r="GA77" s="2" t="s">
        <v>3</v>
      </c>
      <c r="GB77" s="2"/>
      <c r="GC77" s="2"/>
      <c r="GD77" s="2">
        <v>1</v>
      </c>
      <c r="GE77" s="2"/>
      <c r="GF77" s="2">
        <v>1852901932</v>
      </c>
      <c r="GG77" s="2">
        <v>2</v>
      </c>
      <c r="GH77" s="2">
        <v>1</v>
      </c>
      <c r="GI77" s="2">
        <v>-2</v>
      </c>
      <c r="GJ77" s="2">
        <v>0</v>
      </c>
      <c r="GK77" s="2">
        <v>0</v>
      </c>
      <c r="GL77" s="2">
        <f t="shared" si="72"/>
        <v>0</v>
      </c>
      <c r="GM77" s="2">
        <f t="shared" si="73"/>
        <v>1530.73</v>
      </c>
      <c r="GN77" s="2">
        <f t="shared" si="74"/>
        <v>0</v>
      </c>
      <c r="GO77" s="2">
        <f t="shared" si="75"/>
        <v>1530.73</v>
      </c>
      <c r="GP77" s="2">
        <f t="shared" si="76"/>
        <v>0</v>
      </c>
      <c r="GQ77" s="2"/>
      <c r="GR77" s="2">
        <v>0</v>
      </c>
      <c r="GS77" s="2">
        <v>3</v>
      </c>
      <c r="GT77" s="2">
        <v>0</v>
      </c>
      <c r="GU77" s="2" t="s">
        <v>3</v>
      </c>
      <c r="GV77" s="2">
        <f t="shared" si="77"/>
        <v>0</v>
      </c>
      <c r="GW77" s="2">
        <v>1</v>
      </c>
      <c r="GX77" s="2">
        <f t="shared" si="78"/>
        <v>0</v>
      </c>
      <c r="GY77" s="2"/>
      <c r="GZ77" s="2"/>
      <c r="HA77" s="2">
        <v>0</v>
      </c>
      <c r="HB77" s="2">
        <v>0</v>
      </c>
      <c r="HC77" s="2">
        <f t="shared" si="79"/>
        <v>0</v>
      </c>
      <c r="HD77" s="2"/>
      <c r="HE77" s="2" t="s">
        <v>3</v>
      </c>
      <c r="HF77" s="2" t="s">
        <v>3</v>
      </c>
      <c r="HG77" s="2"/>
      <c r="HH77" s="2"/>
      <c r="HI77" s="2"/>
      <c r="HJ77" s="2"/>
      <c r="HK77" s="2"/>
      <c r="HL77" s="2"/>
      <c r="HM77" s="2" t="s">
        <v>3</v>
      </c>
      <c r="HN77" s="2" t="s">
        <v>3</v>
      </c>
      <c r="HO77" s="2" t="s">
        <v>3</v>
      </c>
      <c r="HP77" s="2" t="s">
        <v>3</v>
      </c>
      <c r="HQ77" s="2" t="s">
        <v>3</v>
      </c>
      <c r="HR77" s="2"/>
      <c r="HS77" s="2">
        <v>0</v>
      </c>
      <c r="HT77" s="2"/>
      <c r="HU77" s="2"/>
      <c r="HV77" s="2"/>
      <c r="HW77" s="2"/>
      <c r="HX77" s="2"/>
      <c r="HY77" s="2"/>
      <c r="HZ77" s="2"/>
      <c r="IA77" s="2"/>
      <c r="IB77" s="2"/>
      <c r="IC77" s="2"/>
      <c r="ID77" s="2"/>
      <c r="IE77" s="2"/>
      <c r="IF77" s="2"/>
      <c r="IG77" s="2"/>
      <c r="IH77" s="2"/>
      <c r="II77" s="2"/>
      <c r="IJ77" s="2"/>
      <c r="IK77" s="2">
        <v>0</v>
      </c>
      <c r="IL77" s="2"/>
      <c r="IM77" s="2"/>
      <c r="IN77" s="2"/>
      <c r="IO77" s="2"/>
      <c r="IP77" s="2"/>
      <c r="IQ77" s="2"/>
      <c r="IR77" s="2"/>
      <c r="IS77" s="2"/>
      <c r="IT77" s="2"/>
      <c r="IU77" s="2"/>
    </row>
    <row r="78" spans="1:255" x14ac:dyDescent="0.2">
      <c r="A78" s="3">
        <v>18</v>
      </c>
      <c r="B78" s="3">
        <v>1</v>
      </c>
      <c r="C78" s="3">
        <v>22</v>
      </c>
      <c r="E78" s="3" t="s">
        <v>117</v>
      </c>
      <c r="F78" s="3" t="s">
        <v>118</v>
      </c>
      <c r="G78" s="3" t="s">
        <v>119</v>
      </c>
      <c r="H78" s="3" t="s">
        <v>115</v>
      </c>
      <c r="I78" s="3">
        <f>I72*J78</f>
        <v>1.18</v>
      </c>
      <c r="J78" s="3">
        <v>2.36</v>
      </c>
      <c r="K78" s="3">
        <v>2.36</v>
      </c>
      <c r="O78" s="3">
        <f t="shared" si="54"/>
        <v>7959.8</v>
      </c>
      <c r="P78" s="3">
        <f t="shared" si="55"/>
        <v>7959.8</v>
      </c>
      <c r="Q78" s="3">
        <f t="shared" si="80"/>
        <v>0</v>
      </c>
      <c r="R78" s="3">
        <f t="shared" si="81"/>
        <v>0</v>
      </c>
      <c r="S78" s="3">
        <f t="shared" si="56"/>
        <v>0</v>
      </c>
      <c r="T78" s="3">
        <f t="shared" si="57"/>
        <v>0</v>
      </c>
      <c r="U78" s="3">
        <f t="shared" si="58"/>
        <v>0</v>
      </c>
      <c r="V78" s="3">
        <f t="shared" si="59"/>
        <v>0</v>
      </c>
      <c r="W78" s="3">
        <f t="shared" si="60"/>
        <v>0</v>
      </c>
      <c r="X78" s="3">
        <f t="shared" si="82"/>
        <v>0</v>
      </c>
      <c r="Y78" s="3">
        <f t="shared" si="83"/>
        <v>0</v>
      </c>
      <c r="AA78" s="3">
        <v>60257733</v>
      </c>
      <c r="AB78" s="3">
        <f t="shared" si="61"/>
        <v>1297.23</v>
      </c>
      <c r="AC78" s="3">
        <f t="shared" si="62"/>
        <v>1297.23</v>
      </c>
      <c r="AD78" s="3">
        <f t="shared" si="84"/>
        <v>0</v>
      </c>
      <c r="AE78" s="3">
        <f t="shared" si="85"/>
        <v>0</v>
      </c>
      <c r="AF78" s="3">
        <f t="shared" si="85"/>
        <v>0</v>
      </c>
      <c r="AG78" s="3">
        <f t="shared" si="63"/>
        <v>0</v>
      </c>
      <c r="AH78" s="3">
        <f t="shared" si="86"/>
        <v>0</v>
      </c>
      <c r="AI78" s="3">
        <f t="shared" si="86"/>
        <v>0</v>
      </c>
      <c r="AJ78" s="3">
        <f t="shared" si="64"/>
        <v>0</v>
      </c>
      <c r="AK78" s="3">
        <v>1297.23</v>
      </c>
      <c r="AL78" s="3">
        <v>1297.23</v>
      </c>
      <c r="AM78" s="3">
        <v>0</v>
      </c>
      <c r="AN78" s="3">
        <v>0</v>
      </c>
      <c r="AO78" s="3">
        <v>0</v>
      </c>
      <c r="AP78" s="3">
        <v>0</v>
      </c>
      <c r="AQ78" s="3">
        <v>0</v>
      </c>
      <c r="AR78" s="3">
        <v>0</v>
      </c>
      <c r="AS78" s="3">
        <v>0</v>
      </c>
      <c r="AT78" s="3">
        <v>90</v>
      </c>
      <c r="AU78" s="3">
        <v>46</v>
      </c>
      <c r="AV78" s="3">
        <v>1</v>
      </c>
      <c r="AW78" s="3">
        <v>1</v>
      </c>
      <c r="AZ78" s="3">
        <v>1</v>
      </c>
      <c r="BA78" s="3">
        <v>1</v>
      </c>
      <c r="BB78" s="3">
        <v>1</v>
      </c>
      <c r="BC78" s="3">
        <v>5.2</v>
      </c>
      <c r="BD78" s="3" t="s">
        <v>3</v>
      </c>
      <c r="BE78" s="3" t="s">
        <v>3</v>
      </c>
      <c r="BF78" s="3" t="s">
        <v>3</v>
      </c>
      <c r="BG78" s="3" t="s">
        <v>3</v>
      </c>
      <c r="BH78" s="3">
        <v>3</v>
      </c>
      <c r="BI78" s="3">
        <v>2</v>
      </c>
      <c r="BJ78" s="3" t="s">
        <v>120</v>
      </c>
      <c r="BM78" s="3">
        <v>68</v>
      </c>
      <c r="BN78" s="3">
        <v>0</v>
      </c>
      <c r="BO78" s="3" t="s">
        <v>118</v>
      </c>
      <c r="BP78" s="3">
        <v>1</v>
      </c>
      <c r="BQ78" s="3">
        <v>40</v>
      </c>
      <c r="BR78" s="3">
        <v>0</v>
      </c>
      <c r="BS78" s="3">
        <v>1</v>
      </c>
      <c r="BT78" s="3">
        <v>1</v>
      </c>
      <c r="BU78" s="3">
        <v>1</v>
      </c>
      <c r="BV78" s="3">
        <v>1</v>
      </c>
      <c r="BW78" s="3">
        <v>1</v>
      </c>
      <c r="BX78" s="3">
        <v>1</v>
      </c>
      <c r="BY78" s="3" t="s">
        <v>3</v>
      </c>
      <c r="BZ78" s="3">
        <v>90</v>
      </c>
      <c r="CA78" s="3">
        <v>46</v>
      </c>
      <c r="CB78" s="3" t="s">
        <v>3</v>
      </c>
      <c r="CE78" s="3">
        <v>1566</v>
      </c>
      <c r="CF78" s="3">
        <v>0</v>
      </c>
      <c r="CG78" s="3">
        <v>0</v>
      </c>
      <c r="CM78" s="3">
        <v>0</v>
      </c>
      <c r="CN78" s="3" t="s">
        <v>3</v>
      </c>
      <c r="CO78" s="3">
        <v>0</v>
      </c>
      <c r="CP78" s="3">
        <f t="shared" si="65"/>
        <v>7959.8</v>
      </c>
      <c r="CQ78" s="3">
        <f t="shared" si="66"/>
        <v>6745.6</v>
      </c>
      <c r="CR78" s="3">
        <f t="shared" si="87"/>
        <v>0</v>
      </c>
      <c r="CS78" s="3">
        <f t="shared" si="88"/>
        <v>0</v>
      </c>
      <c r="CT78" s="3">
        <f t="shared" si="67"/>
        <v>0</v>
      </c>
      <c r="CU78" s="3">
        <f t="shared" si="68"/>
        <v>0</v>
      </c>
      <c r="CV78" s="3">
        <f t="shared" si="69"/>
        <v>0</v>
      </c>
      <c r="CW78" s="3">
        <f t="shared" si="70"/>
        <v>0</v>
      </c>
      <c r="CX78" s="3">
        <f t="shared" si="71"/>
        <v>0</v>
      </c>
      <c r="CY78" s="3">
        <f t="shared" si="89"/>
        <v>0</v>
      </c>
      <c r="CZ78" s="3">
        <f t="shared" si="90"/>
        <v>0</v>
      </c>
      <c r="DC78" s="3" t="s">
        <v>3</v>
      </c>
      <c r="DD78" s="3" t="s">
        <v>3</v>
      </c>
      <c r="DE78" s="3" t="s">
        <v>3</v>
      </c>
      <c r="DF78" s="3" t="s">
        <v>3</v>
      </c>
      <c r="DG78" s="3" t="s">
        <v>3</v>
      </c>
      <c r="DH78" s="3" t="s">
        <v>3</v>
      </c>
      <c r="DI78" s="3" t="s">
        <v>3</v>
      </c>
      <c r="DJ78" s="3" t="s">
        <v>3</v>
      </c>
      <c r="DK78" s="3" t="s">
        <v>3</v>
      </c>
      <c r="DL78" s="3" t="s">
        <v>3</v>
      </c>
      <c r="DM78" s="3" t="s">
        <v>3</v>
      </c>
      <c r="DN78" s="3">
        <v>0</v>
      </c>
      <c r="DO78" s="3">
        <v>0</v>
      </c>
      <c r="DP78" s="3">
        <v>1</v>
      </c>
      <c r="DQ78" s="3">
        <v>1</v>
      </c>
      <c r="DU78" s="3">
        <v>1010</v>
      </c>
      <c r="DV78" s="3" t="s">
        <v>115</v>
      </c>
      <c r="DW78" s="3" t="s">
        <v>115</v>
      </c>
      <c r="DX78" s="3">
        <v>100</v>
      </c>
      <c r="DZ78" s="3" t="s">
        <v>3</v>
      </c>
      <c r="EA78" s="3" t="s">
        <v>3</v>
      </c>
      <c r="EB78" s="3" t="s">
        <v>3</v>
      </c>
      <c r="EC78" s="3" t="s">
        <v>3</v>
      </c>
      <c r="EE78" s="3">
        <v>60088532</v>
      </c>
      <c r="EF78" s="3">
        <v>40</v>
      </c>
      <c r="EG78" s="3" t="s">
        <v>25</v>
      </c>
      <c r="EH78" s="3">
        <v>0</v>
      </c>
      <c r="EI78" s="3" t="s">
        <v>3</v>
      </c>
      <c r="EJ78" s="3">
        <v>2</v>
      </c>
      <c r="EK78" s="3">
        <v>68</v>
      </c>
      <c r="EL78" s="3" t="s">
        <v>26</v>
      </c>
      <c r="EM78" s="3" t="s">
        <v>27</v>
      </c>
      <c r="EO78" s="3" t="s">
        <v>3</v>
      </c>
      <c r="EQ78" s="3">
        <v>0</v>
      </c>
      <c r="ER78" s="3">
        <v>1297.23</v>
      </c>
      <c r="ES78" s="3">
        <v>1297.23</v>
      </c>
      <c r="ET78" s="3">
        <v>0</v>
      </c>
      <c r="EU78" s="3">
        <v>0</v>
      </c>
      <c r="EV78" s="3">
        <v>0</v>
      </c>
      <c r="EW78" s="3">
        <v>0</v>
      </c>
      <c r="EX78" s="3">
        <v>0</v>
      </c>
      <c r="FQ78" s="3">
        <v>0</v>
      </c>
      <c r="FR78" s="3">
        <v>0</v>
      </c>
      <c r="FS78" s="3">
        <v>0</v>
      </c>
      <c r="FX78" s="3">
        <v>90</v>
      </c>
      <c r="FY78" s="3">
        <v>46</v>
      </c>
      <c r="GA78" s="3" t="s">
        <v>3</v>
      </c>
      <c r="GD78" s="3">
        <v>1</v>
      </c>
      <c r="GF78" s="3">
        <v>1852901932</v>
      </c>
      <c r="GG78" s="3">
        <v>2</v>
      </c>
      <c r="GH78" s="3">
        <v>1</v>
      </c>
      <c r="GI78" s="3">
        <v>2</v>
      </c>
      <c r="GJ78" s="3">
        <v>0</v>
      </c>
      <c r="GK78" s="3">
        <v>0</v>
      </c>
      <c r="GL78" s="3">
        <f t="shared" si="72"/>
        <v>0</v>
      </c>
      <c r="GM78" s="3">
        <f t="shared" si="73"/>
        <v>7959.8</v>
      </c>
      <c r="GN78" s="3">
        <f t="shared" si="74"/>
        <v>0</v>
      </c>
      <c r="GO78" s="3">
        <f t="shared" si="75"/>
        <v>7959.8</v>
      </c>
      <c r="GP78" s="3">
        <f t="shared" si="76"/>
        <v>0</v>
      </c>
      <c r="GR78" s="3">
        <v>0</v>
      </c>
      <c r="GS78" s="3">
        <v>3</v>
      </c>
      <c r="GT78" s="3">
        <v>0</v>
      </c>
      <c r="GU78" s="3" t="s">
        <v>3</v>
      </c>
      <c r="GV78" s="3">
        <f t="shared" si="77"/>
        <v>0</v>
      </c>
      <c r="GW78" s="3">
        <v>1</v>
      </c>
      <c r="GX78" s="3">
        <f t="shared" si="78"/>
        <v>0</v>
      </c>
      <c r="HA78" s="3">
        <v>0</v>
      </c>
      <c r="HB78" s="3">
        <v>0</v>
      </c>
      <c r="HC78" s="3">
        <f t="shared" si="79"/>
        <v>0</v>
      </c>
      <c r="HE78" s="3" t="s">
        <v>3</v>
      </c>
      <c r="HF78" s="3" t="s">
        <v>3</v>
      </c>
      <c r="HM78" s="3" t="s">
        <v>3</v>
      </c>
      <c r="HN78" s="3" t="s">
        <v>3</v>
      </c>
      <c r="HO78" s="3" t="s">
        <v>3</v>
      </c>
      <c r="HP78" s="3" t="s">
        <v>3</v>
      </c>
      <c r="HQ78" s="3" t="s">
        <v>3</v>
      </c>
      <c r="HS78" s="3">
        <v>0</v>
      </c>
      <c r="IK78" s="3">
        <v>0</v>
      </c>
    </row>
    <row r="79" spans="1:255" x14ac:dyDescent="0.2">
      <c r="A79" s="2">
        <v>17</v>
      </c>
      <c r="B79" s="2">
        <v>1</v>
      </c>
      <c r="C79" s="2">
        <f>ROW(SmtRes!A27)</f>
        <v>27</v>
      </c>
      <c r="D79" s="2">
        <f>ROW(EtalonRes!A30)</f>
        <v>30</v>
      </c>
      <c r="E79" s="2" t="s">
        <v>121</v>
      </c>
      <c r="F79" s="2" t="s">
        <v>122</v>
      </c>
      <c r="G79" s="2" t="s">
        <v>123</v>
      </c>
      <c r="H79" s="2" t="s">
        <v>104</v>
      </c>
      <c r="I79" s="2">
        <f>ROUND(50/100,9)</f>
        <v>0.5</v>
      </c>
      <c r="J79" s="2">
        <v>0</v>
      </c>
      <c r="K79" s="2">
        <f>ROUND(50/100,9)</f>
        <v>0.5</v>
      </c>
      <c r="L79" s="2"/>
      <c r="M79" s="2"/>
      <c r="N79" s="2"/>
      <c r="O79" s="2">
        <f t="shared" si="54"/>
        <v>102.21</v>
      </c>
      <c r="P79" s="2">
        <f t="shared" si="55"/>
        <v>62.92</v>
      </c>
      <c r="Q79" s="2">
        <f>(ROUND((ROUND((((ET79*1.1))*AV79*I79),2)*BB79),2)+ROUND((ROUND(((AE79-((EU79*1.1)))*AV79*I79),2)*BS79),2))</f>
        <v>1.51</v>
      </c>
      <c r="R79" s="2">
        <f>(ROUND((ROUND((((EU79*1.1))*AV79*I79),2)*BS79),2)+ROUND((ROUND(((AE79-((EU79*1.1)))*AV79*I79),2)*BS79),2))</f>
        <v>0.17</v>
      </c>
      <c r="S79" s="2">
        <f t="shared" si="56"/>
        <v>37.78</v>
      </c>
      <c r="T79" s="2">
        <f t="shared" si="57"/>
        <v>0</v>
      </c>
      <c r="U79" s="2">
        <f t="shared" si="58"/>
        <v>3.0462465000000001</v>
      </c>
      <c r="V79" s="2">
        <f t="shared" si="59"/>
        <v>0</v>
      </c>
      <c r="W79" s="2">
        <f t="shared" si="60"/>
        <v>0</v>
      </c>
      <c r="X79" s="2">
        <f>(ROUND((((S79+ROUND((ROUND((((EU79*1.1))*AV79*I79),2)*BS79),2))*AT79)/100),2)+ROUND(((ROUND((ROUND(((AE79-((EU79*1.1)))*AV79*I79),2)*BS79),2)*AT79)/100),2))</f>
        <v>36.81</v>
      </c>
      <c r="Y79" s="2">
        <f>(ROUND((((S79+ROUND((ROUND((((EU79*1.1))*AV79*I79),2)*BS79),2))*AU79)/100),2)+ROUND(((ROUND((ROUND(((AE79-((EU79*1.1)))*AV79*I79),2)*BS79),2)*AU79)/100),2))</f>
        <v>19.350000000000001</v>
      </c>
      <c r="Z79" s="2"/>
      <c r="AA79" s="2">
        <v>60257736</v>
      </c>
      <c r="AB79" s="2">
        <f t="shared" si="61"/>
        <v>200.87200000000001</v>
      </c>
      <c r="AC79" s="2">
        <f t="shared" si="62"/>
        <v>125.83</v>
      </c>
      <c r="AD79" s="2">
        <f>ROUND(((((ET79*1.1))-((EU79*1.1)))+AE79),6)</f>
        <v>2.8820000000000001</v>
      </c>
      <c r="AE79" s="2">
        <f>ROUND(((EU79*1.1)),6)</f>
        <v>0.33</v>
      </c>
      <c r="AF79" s="2">
        <f>ROUND(((EV79*1.1)),6)</f>
        <v>72.16</v>
      </c>
      <c r="AG79" s="2">
        <f t="shared" si="63"/>
        <v>0</v>
      </c>
      <c r="AH79" s="2">
        <f>((EW79*1.1))</f>
        <v>5.8190000000000008</v>
      </c>
      <c r="AI79" s="2">
        <f>((EX79*1.1))</f>
        <v>0</v>
      </c>
      <c r="AJ79" s="2">
        <f t="shared" si="64"/>
        <v>0</v>
      </c>
      <c r="AK79" s="2">
        <v>194.05</v>
      </c>
      <c r="AL79" s="2">
        <v>125.83</v>
      </c>
      <c r="AM79" s="2">
        <v>2.62</v>
      </c>
      <c r="AN79" s="2">
        <v>0.3</v>
      </c>
      <c r="AO79" s="2">
        <v>65.599999999999994</v>
      </c>
      <c r="AP79" s="2">
        <v>0</v>
      </c>
      <c r="AQ79" s="2">
        <v>5.29</v>
      </c>
      <c r="AR79" s="2">
        <v>0</v>
      </c>
      <c r="AS79" s="2">
        <v>0</v>
      </c>
      <c r="AT79" s="2">
        <v>97</v>
      </c>
      <c r="AU79" s="2">
        <v>51</v>
      </c>
      <c r="AV79" s="2">
        <v>1.0469999999999999</v>
      </c>
      <c r="AW79" s="2">
        <v>1</v>
      </c>
      <c r="AX79" s="2"/>
      <c r="AY79" s="2"/>
      <c r="AZ79" s="2">
        <v>1</v>
      </c>
      <c r="BA79" s="2">
        <v>1</v>
      </c>
      <c r="BB79" s="2">
        <v>1</v>
      </c>
      <c r="BC79" s="2">
        <v>1</v>
      </c>
      <c r="BD79" s="2" t="s">
        <v>3</v>
      </c>
      <c r="BE79" s="2" t="s">
        <v>3</v>
      </c>
      <c r="BF79" s="2" t="s">
        <v>3</v>
      </c>
      <c r="BG79" s="2" t="s">
        <v>3</v>
      </c>
      <c r="BH79" s="2">
        <v>0</v>
      </c>
      <c r="BI79" s="2">
        <v>2</v>
      </c>
      <c r="BJ79" s="2" t="s">
        <v>124</v>
      </c>
      <c r="BK79" s="2"/>
      <c r="BL79" s="2"/>
      <c r="BM79" s="2">
        <v>67</v>
      </c>
      <c r="BN79" s="2">
        <v>0</v>
      </c>
      <c r="BO79" s="2" t="s">
        <v>122</v>
      </c>
      <c r="BP79" s="2">
        <v>1</v>
      </c>
      <c r="BQ79" s="2">
        <v>40</v>
      </c>
      <c r="BR79" s="2">
        <v>0</v>
      </c>
      <c r="BS79" s="2">
        <v>1</v>
      </c>
      <c r="BT79" s="2">
        <v>1</v>
      </c>
      <c r="BU79" s="2">
        <v>1</v>
      </c>
      <c r="BV79" s="2">
        <v>1</v>
      </c>
      <c r="BW79" s="2">
        <v>1</v>
      </c>
      <c r="BX79" s="2">
        <v>1</v>
      </c>
      <c r="BY79" s="2" t="s">
        <v>3</v>
      </c>
      <c r="BZ79" s="2">
        <v>97</v>
      </c>
      <c r="CA79" s="2">
        <v>51</v>
      </c>
      <c r="CB79" s="2" t="s">
        <v>3</v>
      </c>
      <c r="CC79" s="2"/>
      <c r="CD79" s="2"/>
      <c r="CE79" s="2">
        <v>1566</v>
      </c>
      <c r="CF79" s="2">
        <v>0</v>
      </c>
      <c r="CG79" s="2">
        <v>0</v>
      </c>
      <c r="CH79" s="2"/>
      <c r="CI79" s="2"/>
      <c r="CJ79" s="2"/>
      <c r="CK79" s="2"/>
      <c r="CL79" s="2"/>
      <c r="CM79" s="2">
        <v>0</v>
      </c>
      <c r="CN79" s="2" t="s">
        <v>202</v>
      </c>
      <c r="CO79" s="2">
        <v>0</v>
      </c>
      <c r="CP79" s="2">
        <f t="shared" si="65"/>
        <v>102.21000000000001</v>
      </c>
      <c r="CQ79" s="2">
        <f t="shared" si="66"/>
        <v>125.83</v>
      </c>
      <c r="CR79" s="2">
        <f>(ROUND((ROUND((((ET79*1.1))*AV79*1),2)*BB79),2)+ROUND((ROUND(((AE79-((EU79*1.1)))*AV79*1),2)*BS79),2))</f>
        <v>3.02</v>
      </c>
      <c r="CS79" s="2">
        <f>(ROUND((ROUND((((EU79*1.1))*AV79*1),2)*BS79),2)+ROUND((ROUND(((AE79-((EU79*1.1)))*AV79*1),2)*BS79),2))</f>
        <v>0.35</v>
      </c>
      <c r="CT79" s="2">
        <f t="shared" si="67"/>
        <v>75.55</v>
      </c>
      <c r="CU79" s="2">
        <f t="shared" si="68"/>
        <v>0</v>
      </c>
      <c r="CV79" s="2">
        <f t="shared" si="69"/>
        <v>6.0924930000000002</v>
      </c>
      <c r="CW79" s="2">
        <f t="shared" si="70"/>
        <v>0</v>
      </c>
      <c r="CX79" s="2">
        <f t="shared" si="71"/>
        <v>0</v>
      </c>
      <c r="CY79" s="2">
        <f>(ROUND((((S79+ROUND((ROUND((((EU79*1.1))*AV79*1),2)*BS79),2))*AT79)/100),2)+ROUND(((ROUND((ROUND(((AE79-((EU79*1.1)))*AV79*1),2)*BS79),2)*AT79)/100),2))</f>
        <v>36.99</v>
      </c>
      <c r="CZ79" s="2">
        <f>(ROUND((((S79+ROUND((ROUND((((EU79*1.1))*AV79*1),2)*BS79),2))*AU79)/100),2)+ROUND(((ROUND((ROUND(((AE79-((EU79*1.1)))*AV79*1),2)*BS79),2)*AU79)/100),2))</f>
        <v>19.45</v>
      </c>
      <c r="DA79" s="2"/>
      <c r="DB79" s="2">
        <v>7</v>
      </c>
      <c r="DC79" s="2" t="s">
        <v>3</v>
      </c>
      <c r="DD79" s="2" t="s">
        <v>3</v>
      </c>
      <c r="DE79" s="2" t="s">
        <v>24</v>
      </c>
      <c r="DF79" s="2" t="s">
        <v>24</v>
      </c>
      <c r="DG79" s="2" t="s">
        <v>24</v>
      </c>
      <c r="DH79" s="2" t="s">
        <v>3</v>
      </c>
      <c r="DI79" s="2" t="s">
        <v>24</v>
      </c>
      <c r="DJ79" s="2" t="s">
        <v>24</v>
      </c>
      <c r="DK79" s="2" t="s">
        <v>3</v>
      </c>
      <c r="DL79" s="2" t="s">
        <v>3</v>
      </c>
      <c r="DM79" s="2" t="s">
        <v>3</v>
      </c>
      <c r="DN79" s="2">
        <v>0</v>
      </c>
      <c r="DO79" s="2">
        <v>0</v>
      </c>
      <c r="DP79" s="2">
        <v>1</v>
      </c>
      <c r="DQ79" s="2">
        <v>1</v>
      </c>
      <c r="DR79" s="2"/>
      <c r="DS79" s="2"/>
      <c r="DT79" s="2"/>
      <c r="DU79" s="2">
        <v>1003</v>
      </c>
      <c r="DV79" s="2" t="s">
        <v>104</v>
      </c>
      <c r="DW79" s="2" t="s">
        <v>104</v>
      </c>
      <c r="DX79" s="2">
        <v>100</v>
      </c>
      <c r="DY79" s="2"/>
      <c r="DZ79" s="2" t="s">
        <v>3</v>
      </c>
      <c r="EA79" s="2" t="s">
        <v>3</v>
      </c>
      <c r="EB79" s="2" t="s">
        <v>3</v>
      </c>
      <c r="EC79" s="2" t="s">
        <v>3</v>
      </c>
      <c r="ED79" s="2"/>
      <c r="EE79" s="2">
        <v>60088531</v>
      </c>
      <c r="EF79" s="2">
        <v>40</v>
      </c>
      <c r="EG79" s="2" t="s">
        <v>25</v>
      </c>
      <c r="EH79" s="2">
        <v>0</v>
      </c>
      <c r="EI79" s="2" t="s">
        <v>3</v>
      </c>
      <c r="EJ79" s="2">
        <v>2</v>
      </c>
      <c r="EK79" s="2">
        <v>67</v>
      </c>
      <c r="EL79" s="2" t="s">
        <v>125</v>
      </c>
      <c r="EM79" s="2" t="s">
        <v>126</v>
      </c>
      <c r="EN79" s="2"/>
      <c r="EO79" s="2" t="s">
        <v>106</v>
      </c>
      <c r="EP79" s="2"/>
      <c r="EQ79" s="2">
        <v>0</v>
      </c>
      <c r="ER79" s="2">
        <v>194.05</v>
      </c>
      <c r="ES79" s="2">
        <v>125.83</v>
      </c>
      <c r="ET79" s="2">
        <v>2.62</v>
      </c>
      <c r="EU79" s="2">
        <v>0.3</v>
      </c>
      <c r="EV79" s="2">
        <v>65.599999999999994</v>
      </c>
      <c r="EW79" s="2">
        <v>5.29</v>
      </c>
      <c r="EX79" s="2">
        <v>0</v>
      </c>
      <c r="EY79" s="2">
        <v>0</v>
      </c>
      <c r="EZ79" s="2"/>
      <c r="FA79" s="2"/>
      <c r="FB79" s="2"/>
      <c r="FC79" s="2"/>
      <c r="FD79" s="2"/>
      <c r="FE79" s="2"/>
      <c r="FF79" s="2"/>
      <c r="FG79" s="2"/>
      <c r="FH79" s="2"/>
      <c r="FI79" s="2"/>
      <c r="FJ79" s="2"/>
      <c r="FK79" s="2"/>
      <c r="FL79" s="2"/>
      <c r="FM79" s="2"/>
      <c r="FN79" s="2"/>
      <c r="FO79" s="2"/>
      <c r="FP79" s="2"/>
      <c r="FQ79" s="2">
        <v>0</v>
      </c>
      <c r="FR79" s="2">
        <v>0</v>
      </c>
      <c r="FS79" s="2">
        <v>0</v>
      </c>
      <c r="FT79" s="2"/>
      <c r="FU79" s="2"/>
      <c r="FV79" s="2"/>
      <c r="FW79" s="2"/>
      <c r="FX79" s="2">
        <v>97</v>
      </c>
      <c r="FY79" s="2">
        <v>51</v>
      </c>
      <c r="FZ79" s="2"/>
      <c r="GA79" s="2" t="s">
        <v>3</v>
      </c>
      <c r="GB79" s="2"/>
      <c r="GC79" s="2"/>
      <c r="GD79" s="2">
        <v>1</v>
      </c>
      <c r="GE79" s="2"/>
      <c r="GF79" s="2">
        <v>-261515912</v>
      </c>
      <c r="GG79" s="2">
        <v>2</v>
      </c>
      <c r="GH79" s="2">
        <v>1</v>
      </c>
      <c r="GI79" s="2">
        <v>2</v>
      </c>
      <c r="GJ79" s="2">
        <v>0</v>
      </c>
      <c r="GK79" s="2">
        <v>0</v>
      </c>
      <c r="GL79" s="2">
        <f t="shared" si="72"/>
        <v>0</v>
      </c>
      <c r="GM79" s="2">
        <f t="shared" si="73"/>
        <v>158.37</v>
      </c>
      <c r="GN79" s="2">
        <f t="shared" si="74"/>
        <v>0</v>
      </c>
      <c r="GO79" s="2">
        <f t="shared" si="75"/>
        <v>158.37</v>
      </c>
      <c r="GP79" s="2">
        <f t="shared" si="76"/>
        <v>0</v>
      </c>
      <c r="GQ79" s="2"/>
      <c r="GR79" s="2">
        <v>0</v>
      </c>
      <c r="GS79" s="2">
        <v>3</v>
      </c>
      <c r="GT79" s="2">
        <v>0</v>
      </c>
      <c r="GU79" s="2" t="s">
        <v>3</v>
      </c>
      <c r="GV79" s="2">
        <f t="shared" si="77"/>
        <v>0</v>
      </c>
      <c r="GW79" s="2">
        <v>1</v>
      </c>
      <c r="GX79" s="2">
        <f t="shared" si="78"/>
        <v>0</v>
      </c>
      <c r="GY79" s="2"/>
      <c r="GZ79" s="2"/>
      <c r="HA79" s="2">
        <v>0</v>
      </c>
      <c r="HB79" s="2">
        <v>0</v>
      </c>
      <c r="HC79" s="2">
        <f t="shared" si="79"/>
        <v>0</v>
      </c>
      <c r="HD79" s="2"/>
      <c r="HE79" s="2" t="s">
        <v>3</v>
      </c>
      <c r="HF79" s="2" t="s">
        <v>3</v>
      </c>
      <c r="HG79" s="2"/>
      <c r="HH79" s="2"/>
      <c r="HI79" s="2"/>
      <c r="HJ79" s="2"/>
      <c r="HK79" s="2"/>
      <c r="HL79" s="2"/>
      <c r="HM79" s="2" t="s">
        <v>3</v>
      </c>
      <c r="HN79" s="2" t="s">
        <v>3</v>
      </c>
      <c r="HO79" s="2" t="s">
        <v>3</v>
      </c>
      <c r="HP79" s="2" t="s">
        <v>3</v>
      </c>
      <c r="HQ79" s="2" t="s">
        <v>3</v>
      </c>
      <c r="HR79" s="2"/>
      <c r="HS79" s="2">
        <v>0</v>
      </c>
      <c r="HT79" s="2"/>
      <c r="HU79" s="2"/>
      <c r="HV79" s="2"/>
      <c r="HW79" s="2"/>
      <c r="HX79" s="2"/>
      <c r="HY79" s="2"/>
      <c r="HZ79" s="2"/>
      <c r="IA79" s="2"/>
      <c r="IB79" s="2"/>
      <c r="IC79" s="2"/>
      <c r="ID79" s="2"/>
      <c r="IE79" s="2"/>
      <c r="IF79" s="2"/>
      <c r="IG79" s="2"/>
      <c r="IH79" s="2"/>
      <c r="II79" s="2"/>
      <c r="IJ79" s="2"/>
      <c r="IK79" s="2">
        <v>0</v>
      </c>
      <c r="IL79" s="2"/>
      <c r="IM79" s="2"/>
      <c r="IN79" s="2"/>
      <c r="IO79" s="2"/>
      <c r="IP79" s="2"/>
      <c r="IQ79" s="2"/>
      <c r="IR79" s="2"/>
      <c r="IS79" s="2"/>
      <c r="IT79" s="2"/>
      <c r="IU79" s="2"/>
    </row>
    <row r="80" spans="1:255" x14ac:dyDescent="0.2">
      <c r="A80" s="3">
        <v>17</v>
      </c>
      <c r="B80" s="3">
        <v>1</v>
      </c>
      <c r="C80" s="3">
        <f>ROW(SmtRes!A32)</f>
        <v>32</v>
      </c>
      <c r="D80" s="3">
        <f>ROW(EtalonRes!A36)</f>
        <v>36</v>
      </c>
      <c r="E80" s="3" t="s">
        <v>121</v>
      </c>
      <c r="F80" s="3" t="s">
        <v>122</v>
      </c>
      <c r="G80" s="3" t="s">
        <v>123</v>
      </c>
      <c r="H80" s="3" t="s">
        <v>104</v>
      </c>
      <c r="I80" s="3">
        <f>ROUND(50/100,9)</f>
        <v>0.5</v>
      </c>
      <c r="J80" s="3">
        <v>0</v>
      </c>
      <c r="K80" s="3">
        <f>ROUND(50/100,9)</f>
        <v>0.5</v>
      </c>
      <c r="O80" s="3">
        <f t="shared" si="54"/>
        <v>2348.6799999999998</v>
      </c>
      <c r="P80" s="3">
        <f t="shared" si="55"/>
        <v>249.16</v>
      </c>
      <c r="Q80" s="3">
        <f>(ROUND((ROUND((((ET80*1.1))*AV80*I80),2)*BB80),2)+ROUND((ROUND(((AE80-((EU80*1.1)))*AV80*I80),2)*BS80),2))</f>
        <v>22</v>
      </c>
      <c r="R80" s="3">
        <f>(ROUND((ROUND((((EU80*1.1))*AV80*I80),2)*BS80),2)+ROUND((ROUND(((AE80-((EU80*1.1)))*AV80*I80),2)*BS80),2))</f>
        <v>9.35</v>
      </c>
      <c r="S80" s="3">
        <f t="shared" si="56"/>
        <v>2077.52</v>
      </c>
      <c r="T80" s="3">
        <f t="shared" si="57"/>
        <v>0</v>
      </c>
      <c r="U80" s="3">
        <f t="shared" si="58"/>
        <v>3.0462465000000001</v>
      </c>
      <c r="V80" s="3">
        <f t="shared" si="59"/>
        <v>0</v>
      </c>
      <c r="W80" s="3">
        <f t="shared" si="60"/>
        <v>0</v>
      </c>
      <c r="X80" s="3">
        <f>(ROUND((((S80+ROUND((ROUND((((EU80*1.1))*AV80*I80),2)*BS80),2))*AT80)/100),2)+ROUND(((ROUND((ROUND(((AE80-((EU80*1.1)))*AV80*I80),2)*BS80),2)*AT80)/100),2))</f>
        <v>2024.26</v>
      </c>
      <c r="Y80" s="3">
        <f>(ROUND((((S80+ROUND((ROUND((((EU80*1.1))*AV80*I80),2)*BS80),2))*AU80)/100),2)+ROUND(((ROUND((ROUND(((AE80-((EU80*1.1)))*AV80*I80),2)*BS80),2)*AU80)/100),2))</f>
        <v>1064.3</v>
      </c>
      <c r="AA80" s="3">
        <v>60257733</v>
      </c>
      <c r="AB80" s="3">
        <f t="shared" si="61"/>
        <v>200.87200000000001</v>
      </c>
      <c r="AC80" s="3">
        <f t="shared" si="62"/>
        <v>125.83</v>
      </c>
      <c r="AD80" s="3">
        <f>ROUND(((((ET80*1.1))-((EU80*1.1)))+AE80),6)</f>
        <v>2.8820000000000001</v>
      </c>
      <c r="AE80" s="3">
        <f>ROUND(((EU80*1.1)),6)</f>
        <v>0.33</v>
      </c>
      <c r="AF80" s="3">
        <f>ROUND(((EV80*1.1)),6)</f>
        <v>72.16</v>
      </c>
      <c r="AG80" s="3">
        <f t="shared" si="63"/>
        <v>0</v>
      </c>
      <c r="AH80" s="3">
        <f>((EW80*1.1))</f>
        <v>5.8190000000000008</v>
      </c>
      <c r="AI80" s="3">
        <f>((EX80*1.1))</f>
        <v>0</v>
      </c>
      <c r="AJ80" s="3">
        <f t="shared" si="64"/>
        <v>0</v>
      </c>
      <c r="AK80" s="3">
        <v>194.05</v>
      </c>
      <c r="AL80" s="3">
        <v>125.83</v>
      </c>
      <c r="AM80" s="3">
        <v>2.62</v>
      </c>
      <c r="AN80" s="3">
        <v>0.3</v>
      </c>
      <c r="AO80" s="3">
        <v>65.599999999999994</v>
      </c>
      <c r="AP80" s="3">
        <v>0</v>
      </c>
      <c r="AQ80" s="3">
        <v>5.29</v>
      </c>
      <c r="AR80" s="3">
        <v>0</v>
      </c>
      <c r="AS80" s="3">
        <v>0</v>
      </c>
      <c r="AT80" s="3">
        <v>97</v>
      </c>
      <c r="AU80" s="3">
        <v>51</v>
      </c>
      <c r="AV80" s="3">
        <v>1.0469999999999999</v>
      </c>
      <c r="AW80" s="3">
        <v>1</v>
      </c>
      <c r="AZ80" s="3">
        <v>1</v>
      </c>
      <c r="BA80" s="3">
        <v>54.99</v>
      </c>
      <c r="BB80" s="3">
        <v>14.57</v>
      </c>
      <c r="BC80" s="3">
        <v>3.96</v>
      </c>
      <c r="BD80" s="3" t="s">
        <v>3</v>
      </c>
      <c r="BE80" s="3" t="s">
        <v>3</v>
      </c>
      <c r="BF80" s="3" t="s">
        <v>3</v>
      </c>
      <c r="BG80" s="3" t="s">
        <v>3</v>
      </c>
      <c r="BH80" s="3">
        <v>0</v>
      </c>
      <c r="BI80" s="3">
        <v>2</v>
      </c>
      <c r="BJ80" s="3" t="s">
        <v>124</v>
      </c>
      <c r="BM80" s="3">
        <v>67</v>
      </c>
      <c r="BN80" s="3">
        <v>0</v>
      </c>
      <c r="BO80" s="3" t="s">
        <v>122</v>
      </c>
      <c r="BP80" s="3">
        <v>1</v>
      </c>
      <c r="BQ80" s="3">
        <v>40</v>
      </c>
      <c r="BR80" s="3">
        <v>0</v>
      </c>
      <c r="BS80" s="3">
        <v>54.99</v>
      </c>
      <c r="BT80" s="3">
        <v>1</v>
      </c>
      <c r="BU80" s="3">
        <v>1</v>
      </c>
      <c r="BV80" s="3">
        <v>1</v>
      </c>
      <c r="BW80" s="3">
        <v>1</v>
      </c>
      <c r="BX80" s="3">
        <v>1</v>
      </c>
      <c r="BY80" s="3" t="s">
        <v>3</v>
      </c>
      <c r="BZ80" s="3">
        <v>97</v>
      </c>
      <c r="CA80" s="3">
        <v>51</v>
      </c>
      <c r="CB80" s="3" t="s">
        <v>3</v>
      </c>
      <c r="CE80" s="3">
        <v>1566</v>
      </c>
      <c r="CF80" s="3">
        <v>0</v>
      </c>
      <c r="CG80" s="3">
        <v>0</v>
      </c>
      <c r="CM80" s="3">
        <v>0</v>
      </c>
      <c r="CN80" s="3" t="s">
        <v>202</v>
      </c>
      <c r="CO80" s="3">
        <v>0</v>
      </c>
      <c r="CP80" s="3">
        <f t="shared" si="65"/>
        <v>2348.6799999999998</v>
      </c>
      <c r="CQ80" s="3">
        <f t="shared" si="66"/>
        <v>498.29</v>
      </c>
      <c r="CR80" s="3">
        <f>(ROUND((ROUND((((ET80*1.1))*AV80*1),2)*BB80),2)+ROUND((ROUND(((AE80-((EU80*1.1)))*AV80*1),2)*BS80),2))</f>
        <v>44</v>
      </c>
      <c r="CS80" s="3">
        <f>(ROUND((ROUND((((EU80*1.1))*AV80*1),2)*BS80),2)+ROUND((ROUND(((AE80-((EU80*1.1)))*AV80*1),2)*BS80),2))</f>
        <v>19.25</v>
      </c>
      <c r="CT80" s="3">
        <f t="shared" si="67"/>
        <v>4154.49</v>
      </c>
      <c r="CU80" s="3">
        <f t="shared" si="68"/>
        <v>0</v>
      </c>
      <c r="CV80" s="3">
        <f t="shared" si="69"/>
        <v>6.0924930000000002</v>
      </c>
      <c r="CW80" s="3">
        <f t="shared" si="70"/>
        <v>0</v>
      </c>
      <c r="CX80" s="3">
        <f t="shared" si="71"/>
        <v>0</v>
      </c>
      <c r="CY80" s="3">
        <f>(ROUND((((S80+ROUND((ROUND((((EU80*1.1))*AV80*1),2)*BS80),2))*AT80)/100),2)+ROUND(((ROUND((ROUND(((AE80-((EU80*1.1)))*AV80*1),2)*BS80),2)*AT80)/100),2))</f>
        <v>2033.87</v>
      </c>
      <c r="CZ80" s="3">
        <f>(ROUND((((S80+ROUND((ROUND((((EU80*1.1))*AV80*1),2)*BS80),2))*AU80)/100),2)+ROUND(((ROUND((ROUND(((AE80-((EU80*1.1)))*AV80*1),2)*BS80),2)*AU80)/100),2))</f>
        <v>1069.3499999999999</v>
      </c>
      <c r="DB80" s="3">
        <v>8</v>
      </c>
      <c r="DC80" s="3" t="s">
        <v>3</v>
      </c>
      <c r="DD80" s="3" t="s">
        <v>3</v>
      </c>
      <c r="DE80" s="3" t="s">
        <v>24</v>
      </c>
      <c r="DF80" s="3" t="s">
        <v>24</v>
      </c>
      <c r="DG80" s="3" t="s">
        <v>24</v>
      </c>
      <c r="DH80" s="3" t="s">
        <v>3</v>
      </c>
      <c r="DI80" s="3" t="s">
        <v>24</v>
      </c>
      <c r="DJ80" s="3" t="s">
        <v>24</v>
      </c>
      <c r="DK80" s="3" t="s">
        <v>3</v>
      </c>
      <c r="DL80" s="3" t="s">
        <v>3</v>
      </c>
      <c r="DM80" s="3" t="s">
        <v>3</v>
      </c>
      <c r="DN80" s="3">
        <v>0</v>
      </c>
      <c r="DO80" s="3">
        <v>0</v>
      </c>
      <c r="DP80" s="3">
        <v>1</v>
      </c>
      <c r="DQ80" s="3">
        <v>1</v>
      </c>
      <c r="DU80" s="3">
        <v>1003</v>
      </c>
      <c r="DV80" s="3" t="s">
        <v>104</v>
      </c>
      <c r="DW80" s="3" t="s">
        <v>104</v>
      </c>
      <c r="DX80" s="3">
        <v>100</v>
      </c>
      <c r="DZ80" s="3" t="s">
        <v>3</v>
      </c>
      <c r="EA80" s="3" t="s">
        <v>3</v>
      </c>
      <c r="EB80" s="3" t="s">
        <v>3</v>
      </c>
      <c r="EC80" s="3" t="s">
        <v>3</v>
      </c>
      <c r="EE80" s="3">
        <v>60088531</v>
      </c>
      <c r="EF80" s="3">
        <v>40</v>
      </c>
      <c r="EG80" s="3" t="s">
        <v>25</v>
      </c>
      <c r="EH80" s="3">
        <v>0</v>
      </c>
      <c r="EI80" s="3" t="s">
        <v>3</v>
      </c>
      <c r="EJ80" s="3">
        <v>2</v>
      </c>
      <c r="EK80" s="3">
        <v>67</v>
      </c>
      <c r="EL80" s="3" t="s">
        <v>125</v>
      </c>
      <c r="EM80" s="3" t="s">
        <v>126</v>
      </c>
      <c r="EO80" s="3" t="s">
        <v>106</v>
      </c>
      <c r="EQ80" s="3">
        <v>0</v>
      </c>
      <c r="ER80" s="3">
        <v>194.05</v>
      </c>
      <c r="ES80" s="3">
        <v>125.83</v>
      </c>
      <c r="ET80" s="3">
        <v>2.62</v>
      </c>
      <c r="EU80" s="3">
        <v>0.3</v>
      </c>
      <c r="EV80" s="3">
        <v>65.599999999999994</v>
      </c>
      <c r="EW80" s="3">
        <v>5.29</v>
      </c>
      <c r="EX80" s="3">
        <v>0</v>
      </c>
      <c r="EY80" s="3">
        <v>0</v>
      </c>
      <c r="FQ80" s="3">
        <v>0</v>
      </c>
      <c r="FR80" s="3">
        <v>0</v>
      </c>
      <c r="FS80" s="3">
        <v>0</v>
      </c>
      <c r="FX80" s="3">
        <v>97</v>
      </c>
      <c r="FY80" s="3">
        <v>51</v>
      </c>
      <c r="GA80" s="3" t="s">
        <v>3</v>
      </c>
      <c r="GD80" s="3">
        <v>1</v>
      </c>
      <c r="GF80" s="3">
        <v>-261515912</v>
      </c>
      <c r="GG80" s="3">
        <v>2</v>
      </c>
      <c r="GH80" s="3">
        <v>1</v>
      </c>
      <c r="GI80" s="3">
        <v>2</v>
      </c>
      <c r="GJ80" s="3">
        <v>0</v>
      </c>
      <c r="GK80" s="3">
        <v>0</v>
      </c>
      <c r="GL80" s="3">
        <f t="shared" si="72"/>
        <v>0</v>
      </c>
      <c r="GM80" s="3">
        <f t="shared" si="73"/>
        <v>5437.24</v>
      </c>
      <c r="GN80" s="3">
        <f t="shared" si="74"/>
        <v>0</v>
      </c>
      <c r="GO80" s="3">
        <f t="shared" si="75"/>
        <v>5437.24</v>
      </c>
      <c r="GP80" s="3">
        <f t="shared" si="76"/>
        <v>0</v>
      </c>
      <c r="GR80" s="3">
        <v>0</v>
      </c>
      <c r="GS80" s="3">
        <v>3</v>
      </c>
      <c r="GT80" s="3">
        <v>0</v>
      </c>
      <c r="GU80" s="3" t="s">
        <v>3</v>
      </c>
      <c r="GV80" s="3">
        <f t="shared" si="77"/>
        <v>0</v>
      </c>
      <c r="GW80" s="3">
        <v>1</v>
      </c>
      <c r="GX80" s="3">
        <f t="shared" si="78"/>
        <v>0</v>
      </c>
      <c r="HA80" s="3">
        <v>0</v>
      </c>
      <c r="HB80" s="3">
        <v>0</v>
      </c>
      <c r="HC80" s="3">
        <f t="shared" si="79"/>
        <v>0</v>
      </c>
      <c r="HE80" s="3" t="s">
        <v>3</v>
      </c>
      <c r="HF80" s="3" t="s">
        <v>3</v>
      </c>
      <c r="HM80" s="3" t="s">
        <v>3</v>
      </c>
      <c r="HN80" s="3" t="s">
        <v>3</v>
      </c>
      <c r="HO80" s="3" t="s">
        <v>3</v>
      </c>
      <c r="HP80" s="3" t="s">
        <v>3</v>
      </c>
      <c r="HQ80" s="3" t="s">
        <v>3</v>
      </c>
      <c r="HS80" s="3">
        <v>0</v>
      </c>
      <c r="IK80" s="3">
        <v>0</v>
      </c>
    </row>
    <row r="81" spans="1:255" x14ac:dyDescent="0.2">
      <c r="A81" s="2">
        <v>17</v>
      </c>
      <c r="B81" s="2">
        <v>1</v>
      </c>
      <c r="C81" s="2"/>
      <c r="D81" s="2"/>
      <c r="E81" s="2" t="s">
        <v>127</v>
      </c>
      <c r="F81" s="2" t="s">
        <v>128</v>
      </c>
      <c r="G81" s="2" t="s">
        <v>129</v>
      </c>
      <c r="H81" s="2" t="s">
        <v>130</v>
      </c>
      <c r="I81" s="2">
        <f>ROUND(0.1*1.02,9)</f>
        <v>0.10199999999999999</v>
      </c>
      <c r="J81" s="2">
        <v>0</v>
      </c>
      <c r="K81" s="2">
        <f>ROUND(0.1*1.02,9)</f>
        <v>0.10199999999999999</v>
      </c>
      <c r="L81" s="2"/>
      <c r="M81" s="2"/>
      <c r="N81" s="2"/>
      <c r="O81" s="2">
        <f t="shared" si="54"/>
        <v>316.7</v>
      </c>
      <c r="P81" s="2">
        <f t="shared" si="55"/>
        <v>316.7</v>
      </c>
      <c r="Q81" s="2">
        <f>(ROUND((ROUND(((ET81)*AV81*I81),2)*BB81),2)+ROUND((ROUND(((AE81-(EU81))*AV81*I81),2)*BS81),2))</f>
        <v>0</v>
      </c>
      <c r="R81" s="2">
        <f>(ROUND((ROUND(((EU81)*AV81*I81),2)*BS81),2)+ROUND((ROUND(((AE81-(EU81))*AV81*I81),2)*BS81),2))</f>
        <v>0</v>
      </c>
      <c r="S81" s="2">
        <f t="shared" si="56"/>
        <v>0</v>
      </c>
      <c r="T81" s="2">
        <f t="shared" si="57"/>
        <v>0</v>
      </c>
      <c r="U81" s="2">
        <f t="shared" si="58"/>
        <v>0</v>
      </c>
      <c r="V81" s="2">
        <f t="shared" si="59"/>
        <v>0</v>
      </c>
      <c r="W81" s="2">
        <f t="shared" si="60"/>
        <v>0</v>
      </c>
      <c r="X81" s="2">
        <f>(ROUND((((S81+ROUND((ROUND(((EU81)*AV81*I81),2)*BS81),2))*AT81)/100),2)+ROUND(((ROUND((ROUND(((AE81-(EU81))*AV81*I81),2)*BS81),2)*AT81)/100),2))</f>
        <v>0</v>
      </c>
      <c r="Y81" s="2">
        <f>(ROUND((((S81+ROUND((ROUND(((EU81)*AV81*I81),2)*BS81),2))*AU81)/100),2)+ROUND(((ROUND((ROUND(((AE81-(EU81))*AV81*I81),2)*BS81),2)*AU81)/100),2))</f>
        <v>0</v>
      </c>
      <c r="Z81" s="2"/>
      <c r="AA81" s="2">
        <v>60257736</v>
      </c>
      <c r="AB81" s="2">
        <f t="shared" si="61"/>
        <v>3104.91</v>
      </c>
      <c r="AC81" s="2">
        <f t="shared" si="62"/>
        <v>3104.91</v>
      </c>
      <c r="AD81" s="2">
        <f>ROUND((((ET81)-(EU81))+AE81),6)</f>
        <v>0</v>
      </c>
      <c r="AE81" s="2">
        <f>ROUND((EU81),6)</f>
        <v>0</v>
      </c>
      <c r="AF81" s="2">
        <f>ROUND((EV81),6)</f>
        <v>0</v>
      </c>
      <c r="AG81" s="2">
        <f t="shared" si="63"/>
        <v>0</v>
      </c>
      <c r="AH81" s="2">
        <f>(EW81)</f>
        <v>0</v>
      </c>
      <c r="AI81" s="2">
        <f>(EX81)</f>
        <v>0</v>
      </c>
      <c r="AJ81" s="2">
        <f t="shared" si="64"/>
        <v>0</v>
      </c>
      <c r="AK81" s="2">
        <v>3104.9100000000003</v>
      </c>
      <c r="AL81" s="2">
        <v>3104.9100000000003</v>
      </c>
      <c r="AM81" s="2">
        <v>0</v>
      </c>
      <c r="AN81" s="2">
        <v>0</v>
      </c>
      <c r="AO81" s="2">
        <v>0</v>
      </c>
      <c r="AP81" s="2">
        <v>0</v>
      </c>
      <c r="AQ81" s="2">
        <v>0</v>
      </c>
      <c r="AR81" s="2">
        <v>0</v>
      </c>
      <c r="AS81" s="2">
        <v>0</v>
      </c>
      <c r="AT81" s="2">
        <v>0</v>
      </c>
      <c r="AU81" s="2">
        <v>0</v>
      </c>
      <c r="AV81" s="2">
        <v>1</v>
      </c>
      <c r="AW81" s="2">
        <v>1</v>
      </c>
      <c r="AX81" s="2"/>
      <c r="AY81" s="2"/>
      <c r="AZ81" s="2">
        <v>1</v>
      </c>
      <c r="BA81" s="2">
        <v>1</v>
      </c>
      <c r="BB81" s="2">
        <v>1</v>
      </c>
      <c r="BC81" s="2">
        <v>1</v>
      </c>
      <c r="BD81" s="2" t="s">
        <v>3</v>
      </c>
      <c r="BE81" s="2" t="s">
        <v>3</v>
      </c>
      <c r="BF81" s="2" t="s">
        <v>3</v>
      </c>
      <c r="BG81" s="2" t="s">
        <v>3</v>
      </c>
      <c r="BH81" s="2">
        <v>3</v>
      </c>
      <c r="BI81" s="2">
        <v>2</v>
      </c>
      <c r="BJ81" s="2" t="s">
        <v>3</v>
      </c>
      <c r="BK81" s="2"/>
      <c r="BL81" s="2"/>
      <c r="BM81" s="2">
        <v>400002</v>
      </c>
      <c r="BN81" s="2">
        <v>0</v>
      </c>
      <c r="BO81" s="2" t="s">
        <v>3</v>
      </c>
      <c r="BP81" s="2">
        <v>0</v>
      </c>
      <c r="BQ81" s="2">
        <v>202</v>
      </c>
      <c r="BR81" s="2">
        <v>0</v>
      </c>
      <c r="BS81" s="2">
        <v>1</v>
      </c>
      <c r="BT81" s="2">
        <v>1</v>
      </c>
      <c r="BU81" s="2">
        <v>1</v>
      </c>
      <c r="BV81" s="2">
        <v>1</v>
      </c>
      <c r="BW81" s="2">
        <v>1</v>
      </c>
      <c r="BX81" s="2">
        <v>1</v>
      </c>
      <c r="BY81" s="2" t="s">
        <v>3</v>
      </c>
      <c r="BZ81" s="2">
        <v>0</v>
      </c>
      <c r="CA81" s="2">
        <v>0</v>
      </c>
      <c r="CB81" s="2" t="s">
        <v>3</v>
      </c>
      <c r="CC81" s="2"/>
      <c r="CD81" s="2"/>
      <c r="CE81" s="2">
        <v>1566</v>
      </c>
      <c r="CF81" s="2">
        <v>0</v>
      </c>
      <c r="CG81" s="2">
        <v>0</v>
      </c>
      <c r="CH81" s="2"/>
      <c r="CI81" s="2"/>
      <c r="CJ81" s="2"/>
      <c r="CK81" s="2"/>
      <c r="CL81" s="2"/>
      <c r="CM81" s="2">
        <v>0</v>
      </c>
      <c r="CN81" s="2" t="s">
        <v>3</v>
      </c>
      <c r="CO81" s="2">
        <v>0</v>
      </c>
      <c r="CP81" s="2">
        <f t="shared" si="65"/>
        <v>316.7</v>
      </c>
      <c r="CQ81" s="2">
        <f t="shared" si="66"/>
        <v>3104.91</v>
      </c>
      <c r="CR81" s="2">
        <f>(ROUND((ROUND(((ET81)*AV81*1),2)*BB81),2)+ROUND((ROUND(((AE81-(EU81))*AV81*1),2)*BS81),2))</f>
        <v>0</v>
      </c>
      <c r="CS81" s="2">
        <f>(ROUND((ROUND(((EU81)*AV81*1),2)*BS81),2)+ROUND((ROUND(((AE81-(EU81))*AV81*1),2)*BS81),2))</f>
        <v>0</v>
      </c>
      <c r="CT81" s="2">
        <f t="shared" si="67"/>
        <v>0</v>
      </c>
      <c r="CU81" s="2">
        <f t="shared" si="68"/>
        <v>0</v>
      </c>
      <c r="CV81" s="2">
        <f t="shared" si="69"/>
        <v>0</v>
      </c>
      <c r="CW81" s="2">
        <f t="shared" si="70"/>
        <v>0</v>
      </c>
      <c r="CX81" s="2">
        <f t="shared" si="71"/>
        <v>0</v>
      </c>
      <c r="CY81" s="2">
        <f>(ROUND((((S81+ROUND((ROUND(((EU81)*AV81*1),2)*BS81),2))*AT81)/100),2)+ROUND(((ROUND((ROUND(((AE81-(EU81))*AV81*1),2)*BS81),2)*AT81)/100),2))</f>
        <v>0</v>
      </c>
      <c r="CZ81" s="2">
        <f>(ROUND((((S81+ROUND((ROUND(((EU81)*AV81*1),2)*BS81),2))*AU81)/100),2)+ROUND(((ROUND((ROUND(((AE81-(EU81))*AV81*1),2)*BS81),2)*AU81)/100),2))</f>
        <v>0</v>
      </c>
      <c r="DA81" s="2"/>
      <c r="DB81" s="2"/>
      <c r="DC81" s="2" t="s">
        <v>3</v>
      </c>
      <c r="DD81" s="2" t="s">
        <v>3</v>
      </c>
      <c r="DE81" s="2" t="s">
        <v>3</v>
      </c>
      <c r="DF81" s="2" t="s">
        <v>3</v>
      </c>
      <c r="DG81" s="2" t="s">
        <v>3</v>
      </c>
      <c r="DH81" s="2" t="s">
        <v>3</v>
      </c>
      <c r="DI81" s="2" t="s">
        <v>3</v>
      </c>
      <c r="DJ81" s="2" t="s">
        <v>3</v>
      </c>
      <c r="DK81" s="2" t="s">
        <v>3</v>
      </c>
      <c r="DL81" s="2" t="s">
        <v>3</v>
      </c>
      <c r="DM81" s="2" t="s">
        <v>3</v>
      </c>
      <c r="DN81" s="2">
        <v>0</v>
      </c>
      <c r="DO81" s="2">
        <v>0</v>
      </c>
      <c r="DP81" s="2">
        <v>1</v>
      </c>
      <c r="DQ81" s="2">
        <v>1</v>
      </c>
      <c r="DR81" s="2"/>
      <c r="DS81" s="2"/>
      <c r="DT81" s="2"/>
      <c r="DU81" s="2">
        <v>1003</v>
      </c>
      <c r="DV81" s="2" t="s">
        <v>130</v>
      </c>
      <c r="DW81" s="2" t="s">
        <v>130</v>
      </c>
      <c r="DX81" s="2">
        <v>1000</v>
      </c>
      <c r="DY81" s="2"/>
      <c r="DZ81" s="2" t="s">
        <v>3</v>
      </c>
      <c r="EA81" s="2" t="s">
        <v>3</v>
      </c>
      <c r="EB81" s="2" t="s">
        <v>3</v>
      </c>
      <c r="EC81" s="2" t="s">
        <v>3</v>
      </c>
      <c r="ED81" s="2"/>
      <c r="EE81" s="2">
        <v>60088644</v>
      </c>
      <c r="EF81" s="2">
        <v>202</v>
      </c>
      <c r="EG81" s="2" t="s">
        <v>131</v>
      </c>
      <c r="EH81" s="2">
        <v>0</v>
      </c>
      <c r="EI81" s="2" t="s">
        <v>3</v>
      </c>
      <c r="EJ81" s="2">
        <v>1</v>
      </c>
      <c r="EK81" s="2">
        <v>400002</v>
      </c>
      <c r="EL81" s="2" t="s">
        <v>132</v>
      </c>
      <c r="EM81" s="2" t="s">
        <v>131</v>
      </c>
      <c r="EN81" s="2"/>
      <c r="EO81" s="2" t="s">
        <v>3</v>
      </c>
      <c r="EP81" s="2"/>
      <c r="EQ81" s="2">
        <v>0</v>
      </c>
      <c r="ER81" s="2">
        <v>0</v>
      </c>
      <c r="ES81" s="2">
        <v>3104.9100000000003</v>
      </c>
      <c r="ET81" s="2">
        <v>0</v>
      </c>
      <c r="EU81" s="2">
        <v>0</v>
      </c>
      <c r="EV81" s="2">
        <v>0</v>
      </c>
      <c r="EW81" s="2">
        <v>0</v>
      </c>
      <c r="EX81" s="2">
        <v>0</v>
      </c>
      <c r="EY81" s="2">
        <v>0</v>
      </c>
      <c r="EZ81" s="2"/>
      <c r="FA81" s="2"/>
      <c r="FB81" s="2"/>
      <c r="FC81" s="2"/>
      <c r="FD81" s="2"/>
      <c r="FE81" s="2"/>
      <c r="FF81" s="2"/>
      <c r="FG81" s="2"/>
      <c r="FH81" s="2"/>
      <c r="FI81" s="2"/>
      <c r="FJ81" s="2"/>
      <c r="FK81" s="2"/>
      <c r="FL81" s="2"/>
      <c r="FM81" s="2"/>
      <c r="FN81" s="2"/>
      <c r="FO81" s="2"/>
      <c r="FP81" s="2"/>
      <c r="FQ81" s="2">
        <v>0</v>
      </c>
      <c r="FR81" s="2">
        <v>0</v>
      </c>
      <c r="FS81" s="2">
        <v>0</v>
      </c>
      <c r="FT81" s="2"/>
      <c r="FU81" s="2"/>
      <c r="FV81" s="2"/>
      <c r="FW81" s="2"/>
      <c r="FX81" s="2">
        <v>0</v>
      </c>
      <c r="FY81" s="2">
        <v>0</v>
      </c>
      <c r="FZ81" s="2"/>
      <c r="GA81" s="2" t="s">
        <v>133</v>
      </c>
      <c r="GB81" s="2"/>
      <c r="GC81" s="2"/>
      <c r="GD81" s="2">
        <v>1</v>
      </c>
      <c r="GE81" s="2"/>
      <c r="GF81" s="2">
        <v>411873728</v>
      </c>
      <c r="GG81" s="2">
        <v>2</v>
      </c>
      <c r="GH81" s="2">
        <v>4</v>
      </c>
      <c r="GI81" s="2">
        <v>-2</v>
      </c>
      <c r="GJ81" s="2">
        <v>0</v>
      </c>
      <c r="GK81" s="2">
        <v>0</v>
      </c>
      <c r="GL81" s="2">
        <f t="shared" si="72"/>
        <v>0</v>
      </c>
      <c r="GM81" s="2">
        <f t="shared" si="73"/>
        <v>316.7</v>
      </c>
      <c r="GN81" s="2">
        <f t="shared" si="74"/>
        <v>0</v>
      </c>
      <c r="GO81" s="2">
        <f t="shared" si="75"/>
        <v>316.7</v>
      </c>
      <c r="GP81" s="2">
        <f t="shared" si="76"/>
        <v>0</v>
      </c>
      <c r="GQ81" s="2"/>
      <c r="GR81" s="2">
        <v>0</v>
      </c>
      <c r="GS81" s="2">
        <v>2</v>
      </c>
      <c r="GT81" s="2">
        <v>0</v>
      </c>
      <c r="GU81" s="2" t="s">
        <v>3</v>
      </c>
      <c r="GV81" s="2">
        <f t="shared" si="77"/>
        <v>0</v>
      </c>
      <c r="GW81" s="2">
        <v>1</v>
      </c>
      <c r="GX81" s="2">
        <f t="shared" si="78"/>
        <v>0</v>
      </c>
      <c r="GY81" s="2"/>
      <c r="GZ81" s="2"/>
      <c r="HA81" s="2">
        <v>0</v>
      </c>
      <c r="HB81" s="2">
        <v>0</v>
      </c>
      <c r="HC81" s="2">
        <f t="shared" si="79"/>
        <v>0</v>
      </c>
      <c r="HD81" s="2"/>
      <c r="HE81" s="2" t="s">
        <v>134</v>
      </c>
      <c r="HF81" s="2" t="s">
        <v>29</v>
      </c>
      <c r="HG81" s="2"/>
      <c r="HH81" s="2"/>
      <c r="HI81" s="2"/>
      <c r="HJ81" s="2"/>
      <c r="HK81" s="2"/>
      <c r="HL81" s="2"/>
      <c r="HM81" s="2" t="s">
        <v>3</v>
      </c>
      <c r="HN81" s="2" t="s">
        <v>3</v>
      </c>
      <c r="HO81" s="2" t="s">
        <v>3</v>
      </c>
      <c r="HP81" s="2" t="s">
        <v>3</v>
      </c>
      <c r="HQ81" s="2" t="s">
        <v>3</v>
      </c>
      <c r="HR81" s="2"/>
      <c r="HS81" s="2">
        <v>0</v>
      </c>
      <c r="HT81" s="2"/>
      <c r="HU81" s="2"/>
      <c r="HV81" s="2"/>
      <c r="HW81" s="2"/>
      <c r="HX81" s="2"/>
      <c r="HY81" s="2"/>
      <c r="HZ81" s="2"/>
      <c r="IA81" s="2"/>
      <c r="IB81" s="2"/>
      <c r="IC81" s="2"/>
      <c r="ID81" s="2"/>
      <c r="IE81" s="2"/>
      <c r="IF81" s="2"/>
      <c r="IG81" s="2"/>
      <c r="IH81" s="2"/>
      <c r="II81" s="2"/>
      <c r="IJ81" s="2"/>
      <c r="IK81" s="2">
        <v>0</v>
      </c>
      <c r="IL81" s="2"/>
      <c r="IM81" s="2"/>
      <c r="IN81" s="2"/>
      <c r="IO81" s="2"/>
      <c r="IP81" s="2"/>
      <c r="IQ81" s="2"/>
      <c r="IR81" s="2"/>
      <c r="IS81" s="2"/>
      <c r="IT81" s="2"/>
      <c r="IU81" s="2"/>
    </row>
    <row r="82" spans="1:255" x14ac:dyDescent="0.2">
      <c r="A82" s="3">
        <v>17</v>
      </c>
      <c r="B82" s="3">
        <v>1</v>
      </c>
      <c r="E82" s="3" t="s">
        <v>127</v>
      </c>
      <c r="F82" s="3" t="s">
        <v>128</v>
      </c>
      <c r="G82" s="3" t="s">
        <v>129</v>
      </c>
      <c r="H82" s="3" t="s">
        <v>130</v>
      </c>
      <c r="I82" s="3">
        <f>ROUND(0.1*1.02,9)</f>
        <v>0.10199999999999999</v>
      </c>
      <c r="J82" s="3">
        <v>0</v>
      </c>
      <c r="K82" s="3">
        <f>ROUND(0.1*1.02,9)</f>
        <v>0.10199999999999999</v>
      </c>
      <c r="O82" s="3">
        <f t="shared" si="54"/>
        <v>3129</v>
      </c>
      <c r="P82" s="3">
        <f t="shared" si="55"/>
        <v>3129</v>
      </c>
      <c r="Q82" s="3">
        <f>(ROUND((ROUND(((ET82)*AV82*I82),2)*BB82),2)+ROUND((ROUND(((AE82-(EU82))*AV82*I82),2)*BS82),2))</f>
        <v>0</v>
      </c>
      <c r="R82" s="3">
        <f>(ROUND((ROUND(((EU82)*AV82*I82),2)*BS82),2)+ROUND((ROUND(((AE82-(EU82))*AV82*I82),2)*BS82),2))</f>
        <v>0</v>
      </c>
      <c r="S82" s="3">
        <f t="shared" si="56"/>
        <v>0</v>
      </c>
      <c r="T82" s="3">
        <f t="shared" si="57"/>
        <v>0</v>
      </c>
      <c r="U82" s="3">
        <f t="shared" si="58"/>
        <v>0</v>
      </c>
      <c r="V82" s="3">
        <f t="shared" si="59"/>
        <v>0</v>
      </c>
      <c r="W82" s="3">
        <f t="shared" si="60"/>
        <v>0</v>
      </c>
      <c r="X82" s="3">
        <f>(ROUND((((S82+ROUND((ROUND(((EU82)*AV82*I82),2)*BS82),2))*AT82)/100),2)+ROUND(((ROUND((ROUND(((AE82-(EU82))*AV82*I82),2)*BS82),2)*AT82)/100),2))</f>
        <v>0</v>
      </c>
      <c r="Y82" s="3">
        <f>(ROUND((((S82+ROUND((ROUND(((EU82)*AV82*I82),2)*BS82),2))*AU82)/100),2)+ROUND(((ROUND((ROUND(((AE82-(EU82))*AV82*I82),2)*BS82),2)*AU82)/100),2))</f>
        <v>0</v>
      </c>
      <c r="AA82" s="3">
        <v>60257733</v>
      </c>
      <c r="AB82" s="3">
        <f t="shared" si="61"/>
        <v>3104.91</v>
      </c>
      <c r="AC82" s="3">
        <f t="shared" si="62"/>
        <v>3104.91</v>
      </c>
      <c r="AD82" s="3">
        <f>ROUND((((ET82)-(EU82))+AE82),6)</f>
        <v>0</v>
      </c>
      <c r="AE82" s="3">
        <f>ROUND((EU82),6)</f>
        <v>0</v>
      </c>
      <c r="AF82" s="3">
        <f>ROUND((EV82),6)</f>
        <v>0</v>
      </c>
      <c r="AG82" s="3">
        <f t="shared" si="63"/>
        <v>0</v>
      </c>
      <c r="AH82" s="3">
        <f>(EW82)</f>
        <v>0</v>
      </c>
      <c r="AI82" s="3">
        <f>(EX82)</f>
        <v>0</v>
      </c>
      <c r="AJ82" s="3">
        <f t="shared" si="64"/>
        <v>0</v>
      </c>
      <c r="AK82" s="3">
        <v>3104.9100000000003</v>
      </c>
      <c r="AL82" s="3">
        <v>3104.9100000000003</v>
      </c>
      <c r="AM82" s="3">
        <v>0</v>
      </c>
      <c r="AN82" s="3">
        <v>0</v>
      </c>
      <c r="AO82" s="3">
        <v>0</v>
      </c>
      <c r="AP82" s="3">
        <v>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3">
        <v>1</v>
      </c>
      <c r="AW82" s="3">
        <v>1</v>
      </c>
      <c r="AZ82" s="3">
        <v>1</v>
      </c>
      <c r="BA82" s="3">
        <v>1</v>
      </c>
      <c r="BB82" s="3">
        <v>1</v>
      </c>
      <c r="BC82" s="3">
        <v>9.8800000000000008</v>
      </c>
      <c r="BD82" s="3" t="s">
        <v>3</v>
      </c>
      <c r="BE82" s="3" t="s">
        <v>3</v>
      </c>
      <c r="BF82" s="3" t="s">
        <v>3</v>
      </c>
      <c r="BG82" s="3" t="s">
        <v>3</v>
      </c>
      <c r="BH82" s="3">
        <v>3</v>
      </c>
      <c r="BI82" s="3">
        <v>2</v>
      </c>
      <c r="BJ82" s="3" t="s">
        <v>3</v>
      </c>
      <c r="BM82" s="3">
        <v>400002</v>
      </c>
      <c r="BN82" s="3">
        <v>0</v>
      </c>
      <c r="BO82" s="3" t="s">
        <v>3</v>
      </c>
      <c r="BP82" s="3">
        <v>0</v>
      </c>
      <c r="BQ82" s="3">
        <v>202</v>
      </c>
      <c r="BR82" s="3">
        <v>0</v>
      </c>
      <c r="BS82" s="3">
        <v>1</v>
      </c>
      <c r="BT82" s="3">
        <v>1</v>
      </c>
      <c r="BU82" s="3">
        <v>1</v>
      </c>
      <c r="BV82" s="3">
        <v>1</v>
      </c>
      <c r="BW82" s="3">
        <v>1</v>
      </c>
      <c r="BX82" s="3">
        <v>1</v>
      </c>
      <c r="BY82" s="3" t="s">
        <v>3</v>
      </c>
      <c r="BZ82" s="3">
        <v>0</v>
      </c>
      <c r="CA82" s="3">
        <v>0</v>
      </c>
      <c r="CB82" s="3" t="s">
        <v>3</v>
      </c>
      <c r="CE82" s="3">
        <v>1566</v>
      </c>
      <c r="CF82" s="3">
        <v>0</v>
      </c>
      <c r="CG82" s="3">
        <v>0</v>
      </c>
      <c r="CM82" s="3">
        <v>0</v>
      </c>
      <c r="CN82" s="3" t="s">
        <v>3</v>
      </c>
      <c r="CO82" s="3">
        <v>0</v>
      </c>
      <c r="CP82" s="3">
        <f t="shared" si="65"/>
        <v>3129</v>
      </c>
      <c r="CQ82" s="3">
        <f t="shared" si="66"/>
        <v>30676.51</v>
      </c>
      <c r="CR82" s="3">
        <f>(ROUND((ROUND(((ET82)*AV82*1),2)*BB82),2)+ROUND((ROUND(((AE82-(EU82))*AV82*1),2)*BS82),2))</f>
        <v>0</v>
      </c>
      <c r="CS82" s="3">
        <f>(ROUND((ROUND(((EU82)*AV82*1),2)*BS82),2)+ROUND((ROUND(((AE82-(EU82))*AV82*1),2)*BS82),2))</f>
        <v>0</v>
      </c>
      <c r="CT82" s="3">
        <f t="shared" si="67"/>
        <v>0</v>
      </c>
      <c r="CU82" s="3">
        <f t="shared" si="68"/>
        <v>0</v>
      </c>
      <c r="CV82" s="3">
        <f t="shared" si="69"/>
        <v>0</v>
      </c>
      <c r="CW82" s="3">
        <f t="shared" si="70"/>
        <v>0</v>
      </c>
      <c r="CX82" s="3">
        <f t="shared" si="71"/>
        <v>0</v>
      </c>
      <c r="CY82" s="3">
        <f>(ROUND((((S82+ROUND((ROUND(((EU82)*AV82*1),2)*BS82),2))*AT82)/100),2)+ROUND(((ROUND((ROUND(((AE82-(EU82))*AV82*1),2)*BS82),2)*AT82)/100),2))</f>
        <v>0</v>
      </c>
      <c r="CZ82" s="3">
        <f>(ROUND((((S82+ROUND((ROUND(((EU82)*AV82*1),2)*BS82),2))*AU82)/100),2)+ROUND(((ROUND((ROUND(((AE82-(EU82))*AV82*1),2)*BS82),2)*AU82)/100),2))</f>
        <v>0</v>
      </c>
      <c r="DC82" s="3" t="s">
        <v>3</v>
      </c>
      <c r="DD82" s="3" t="s">
        <v>3</v>
      </c>
      <c r="DE82" s="3" t="s">
        <v>3</v>
      </c>
      <c r="DF82" s="3" t="s">
        <v>3</v>
      </c>
      <c r="DG82" s="3" t="s">
        <v>3</v>
      </c>
      <c r="DH82" s="3" t="s">
        <v>3</v>
      </c>
      <c r="DI82" s="3" t="s">
        <v>3</v>
      </c>
      <c r="DJ82" s="3" t="s">
        <v>3</v>
      </c>
      <c r="DK82" s="3" t="s">
        <v>3</v>
      </c>
      <c r="DL82" s="3" t="s">
        <v>3</v>
      </c>
      <c r="DM82" s="3" t="s">
        <v>3</v>
      </c>
      <c r="DN82" s="3">
        <v>0</v>
      </c>
      <c r="DO82" s="3">
        <v>0</v>
      </c>
      <c r="DP82" s="3">
        <v>1</v>
      </c>
      <c r="DQ82" s="3">
        <v>1</v>
      </c>
      <c r="DU82" s="3">
        <v>1003</v>
      </c>
      <c r="DV82" s="3" t="s">
        <v>130</v>
      </c>
      <c r="DW82" s="3" t="s">
        <v>130</v>
      </c>
      <c r="DX82" s="3">
        <v>1000</v>
      </c>
      <c r="DZ82" s="3" t="s">
        <v>3</v>
      </c>
      <c r="EA82" s="3" t="s">
        <v>3</v>
      </c>
      <c r="EB82" s="3" t="s">
        <v>3</v>
      </c>
      <c r="EC82" s="3" t="s">
        <v>3</v>
      </c>
      <c r="EE82" s="3">
        <v>60088644</v>
      </c>
      <c r="EF82" s="3">
        <v>202</v>
      </c>
      <c r="EG82" s="3" t="s">
        <v>131</v>
      </c>
      <c r="EH82" s="3">
        <v>0</v>
      </c>
      <c r="EI82" s="3" t="s">
        <v>3</v>
      </c>
      <c r="EJ82" s="3">
        <v>1</v>
      </c>
      <c r="EK82" s="3">
        <v>400002</v>
      </c>
      <c r="EL82" s="3" t="s">
        <v>132</v>
      </c>
      <c r="EM82" s="3" t="s">
        <v>131</v>
      </c>
      <c r="EO82" s="3" t="s">
        <v>3</v>
      </c>
      <c r="EQ82" s="3">
        <v>0</v>
      </c>
      <c r="ER82" s="3">
        <v>0</v>
      </c>
      <c r="ES82" s="3">
        <v>3104.9100000000003</v>
      </c>
      <c r="ET82" s="3">
        <v>0</v>
      </c>
      <c r="EU82" s="3">
        <v>0</v>
      </c>
      <c r="EV82" s="3">
        <v>0</v>
      </c>
      <c r="EW82" s="3">
        <v>0</v>
      </c>
      <c r="EX82" s="3">
        <v>0</v>
      </c>
      <c r="EY82" s="3">
        <v>0</v>
      </c>
      <c r="EZ82" s="3">
        <v>5</v>
      </c>
      <c r="FC82" s="3">
        <v>1</v>
      </c>
      <c r="FD82" s="3">
        <v>18</v>
      </c>
      <c r="FF82" s="3">
        <v>36090</v>
      </c>
      <c r="FQ82" s="3">
        <v>0</v>
      </c>
      <c r="FR82" s="3">
        <v>0</v>
      </c>
      <c r="FS82" s="3">
        <v>0</v>
      </c>
      <c r="FX82" s="3">
        <v>0</v>
      </c>
      <c r="FY82" s="3">
        <v>0</v>
      </c>
      <c r="GA82" s="3" t="s">
        <v>133</v>
      </c>
      <c r="GD82" s="3">
        <v>1</v>
      </c>
      <c r="GF82" s="3">
        <v>411873728</v>
      </c>
      <c r="GG82" s="3">
        <v>2</v>
      </c>
      <c r="GH82" s="3">
        <v>3</v>
      </c>
      <c r="GI82" s="3">
        <v>5</v>
      </c>
      <c r="GJ82" s="3">
        <v>0</v>
      </c>
      <c r="GK82" s="3">
        <v>0</v>
      </c>
      <c r="GL82" s="3">
        <f t="shared" si="72"/>
        <v>0</v>
      </c>
      <c r="GM82" s="3">
        <f t="shared" si="73"/>
        <v>3129</v>
      </c>
      <c r="GN82" s="3">
        <f t="shared" si="74"/>
        <v>0</v>
      </c>
      <c r="GO82" s="3">
        <f t="shared" si="75"/>
        <v>3129</v>
      </c>
      <c r="GP82" s="3">
        <f t="shared" si="76"/>
        <v>0</v>
      </c>
      <c r="GR82" s="3">
        <v>1</v>
      </c>
      <c r="GS82" s="3">
        <v>1</v>
      </c>
      <c r="GT82" s="3">
        <v>0</v>
      </c>
      <c r="GU82" s="3" t="s">
        <v>3</v>
      </c>
      <c r="GV82" s="3">
        <f t="shared" si="77"/>
        <v>0</v>
      </c>
      <c r="GW82" s="3">
        <v>1</v>
      </c>
      <c r="GX82" s="3">
        <f t="shared" si="78"/>
        <v>0</v>
      </c>
      <c r="HA82" s="3">
        <v>0</v>
      </c>
      <c r="HB82" s="3">
        <v>0</v>
      </c>
      <c r="HC82" s="3">
        <f t="shared" si="79"/>
        <v>0</v>
      </c>
      <c r="HE82" s="3" t="s">
        <v>134</v>
      </c>
      <c r="HF82" s="3" t="s">
        <v>29</v>
      </c>
      <c r="HM82" s="3" t="s">
        <v>3</v>
      </c>
      <c r="HN82" s="3" t="s">
        <v>3</v>
      </c>
      <c r="HO82" s="3" t="s">
        <v>3</v>
      </c>
      <c r="HP82" s="3" t="s">
        <v>3</v>
      </c>
      <c r="HQ82" s="3" t="s">
        <v>3</v>
      </c>
      <c r="HS82" s="3">
        <v>0</v>
      </c>
      <c r="IK82" s="3">
        <v>0</v>
      </c>
    </row>
    <row r="84" spans="1:255" x14ac:dyDescent="0.2">
      <c r="A84" s="11">
        <v>51</v>
      </c>
      <c r="B84" s="11">
        <f>B67</f>
        <v>1</v>
      </c>
      <c r="C84" s="11">
        <f>A67</f>
        <v>4</v>
      </c>
      <c r="D84" s="11">
        <f>ROW(A67)</f>
        <v>67</v>
      </c>
      <c r="E84" s="11"/>
      <c r="F84" s="11" t="str">
        <f>IF(F67&lt;&gt;"",F67,"")</f>
        <v/>
      </c>
      <c r="G84" s="11" t="str">
        <f>IF(G67&lt;&gt;"",G67,"")</f>
        <v>Кабельные изделия</v>
      </c>
      <c r="H84" s="11">
        <v>0</v>
      </c>
      <c r="I84" s="11"/>
      <c r="J84" s="11"/>
      <c r="K84" s="11"/>
      <c r="L84" s="11"/>
      <c r="M84" s="11"/>
      <c r="N84" s="11"/>
      <c r="O84" s="11">
        <f t="shared" ref="O84:T84" si="91">ROUND(AB84,2)</f>
        <v>2322.7600000000002</v>
      </c>
      <c r="P84" s="11">
        <f t="shared" si="91"/>
        <v>2111.7199999999998</v>
      </c>
      <c r="Q84" s="11">
        <f t="shared" si="91"/>
        <v>3.84</v>
      </c>
      <c r="R84" s="11">
        <f t="shared" si="91"/>
        <v>0.17</v>
      </c>
      <c r="S84" s="11">
        <f t="shared" si="91"/>
        <v>207.2</v>
      </c>
      <c r="T84" s="11">
        <f t="shared" si="91"/>
        <v>0</v>
      </c>
      <c r="U84" s="11">
        <f>AH84</f>
        <v>17.304292500000003</v>
      </c>
      <c r="V84" s="11">
        <f>AI84</f>
        <v>0</v>
      </c>
      <c r="W84" s="11">
        <f>ROUND(AJ84,2)</f>
        <v>0</v>
      </c>
      <c r="X84" s="11">
        <f>ROUND(AK84,2)</f>
        <v>189.29</v>
      </c>
      <c r="Y84" s="11">
        <f>ROUND(AL84,2)</f>
        <v>97.28</v>
      </c>
      <c r="Z84" s="11"/>
      <c r="AA84" s="11"/>
      <c r="AB84" s="11">
        <f>ROUND(SUMIF(AA71:AA82,"=60257736",O71:O82),2)</f>
        <v>2322.7600000000002</v>
      </c>
      <c r="AC84" s="11">
        <f>ROUND(SUMIF(AA71:AA82,"=60257736",P71:P82),2)</f>
        <v>2111.7199999999998</v>
      </c>
      <c r="AD84" s="11">
        <f>ROUND(SUMIF(AA71:AA82,"=60257736",Q71:Q82),2)</f>
        <v>3.84</v>
      </c>
      <c r="AE84" s="11">
        <f>ROUND(SUMIF(AA71:AA82,"=60257736",R71:R82),2)</f>
        <v>0.17</v>
      </c>
      <c r="AF84" s="11">
        <f>ROUND(SUMIF(AA71:AA82,"=60257736",S71:S82),2)</f>
        <v>207.2</v>
      </c>
      <c r="AG84" s="11">
        <f>ROUND(SUMIF(AA71:AA82,"=60257736",T71:T82),2)</f>
        <v>0</v>
      </c>
      <c r="AH84" s="11">
        <f>SUMIF(AA71:AA82,"=60257736",U71:U82)</f>
        <v>17.304292500000003</v>
      </c>
      <c r="AI84" s="11">
        <f>SUMIF(AA71:AA82,"=60257736",V71:V82)</f>
        <v>0</v>
      </c>
      <c r="AJ84" s="11">
        <f>ROUND(SUMIF(AA71:AA82,"=60257736",W71:W82),2)</f>
        <v>0</v>
      </c>
      <c r="AK84" s="11">
        <f>ROUND(SUMIF(AA71:AA82,"=60257736",X71:X82),2)</f>
        <v>189.29</v>
      </c>
      <c r="AL84" s="11">
        <f>ROUND(SUMIF(AA71:AA82,"=60257736",Y71:Y82),2)</f>
        <v>97.28</v>
      </c>
      <c r="AM84" s="11"/>
      <c r="AN84" s="11"/>
      <c r="AO84" s="11">
        <f t="shared" ref="AO84:BD84" si="92">ROUND(BX84,2)</f>
        <v>0</v>
      </c>
      <c r="AP84" s="11">
        <f t="shared" si="92"/>
        <v>0</v>
      </c>
      <c r="AQ84" s="11">
        <f t="shared" si="92"/>
        <v>0</v>
      </c>
      <c r="AR84" s="11">
        <f t="shared" si="92"/>
        <v>2609.33</v>
      </c>
      <c r="AS84" s="11">
        <f t="shared" si="92"/>
        <v>0</v>
      </c>
      <c r="AT84" s="11">
        <f t="shared" si="92"/>
        <v>2609.33</v>
      </c>
      <c r="AU84" s="11">
        <f t="shared" si="92"/>
        <v>0</v>
      </c>
      <c r="AV84" s="11">
        <f t="shared" si="92"/>
        <v>2111.7199999999998</v>
      </c>
      <c r="AW84" s="11">
        <f t="shared" si="92"/>
        <v>2111.7199999999998</v>
      </c>
      <c r="AX84" s="11">
        <f t="shared" si="92"/>
        <v>0</v>
      </c>
      <c r="AY84" s="11">
        <f t="shared" si="92"/>
        <v>2111.7199999999998</v>
      </c>
      <c r="AZ84" s="11">
        <f t="shared" si="92"/>
        <v>0</v>
      </c>
      <c r="BA84" s="11">
        <f t="shared" si="92"/>
        <v>0</v>
      </c>
      <c r="BB84" s="11">
        <f t="shared" si="92"/>
        <v>0</v>
      </c>
      <c r="BC84" s="11">
        <f t="shared" si="92"/>
        <v>0</v>
      </c>
      <c r="BD84" s="11">
        <f t="shared" si="92"/>
        <v>0</v>
      </c>
      <c r="BE84" s="11"/>
      <c r="BF84" s="11"/>
      <c r="BG84" s="11"/>
      <c r="BH84" s="11"/>
      <c r="BI84" s="11"/>
      <c r="BJ84" s="11"/>
      <c r="BK84" s="11"/>
      <c r="BL84" s="11"/>
      <c r="BM84" s="11"/>
      <c r="BN84" s="11"/>
      <c r="BO84" s="11"/>
      <c r="BP84" s="11"/>
      <c r="BQ84" s="11"/>
      <c r="BR84" s="11"/>
      <c r="BS84" s="11"/>
      <c r="BT84" s="11"/>
      <c r="BU84" s="11"/>
      <c r="BV84" s="11"/>
      <c r="BW84" s="11"/>
      <c r="BX84" s="11">
        <f>ROUND(SUMIF(AA71:AA82,"=60257736",FQ71:FQ82),2)</f>
        <v>0</v>
      </c>
      <c r="BY84" s="11">
        <f>ROUND(SUMIF(AA71:AA82,"=60257736",FR71:FR82),2)</f>
        <v>0</v>
      </c>
      <c r="BZ84" s="11">
        <f>ROUND(SUMIF(AA71:AA82,"=60257736",GL71:GL82),2)</f>
        <v>0</v>
      </c>
      <c r="CA84" s="11">
        <f>ROUND(SUMIF(AA71:AA82,"=60257736",GM71:GM82),2)</f>
        <v>2609.33</v>
      </c>
      <c r="CB84" s="11">
        <f>ROUND(SUMIF(AA71:AA82,"=60257736",GN71:GN82),2)</f>
        <v>0</v>
      </c>
      <c r="CC84" s="11">
        <f>ROUND(SUMIF(AA71:AA82,"=60257736",GO71:GO82),2)</f>
        <v>2609.33</v>
      </c>
      <c r="CD84" s="11">
        <f>ROUND(SUMIF(AA71:AA82,"=60257736",GP71:GP82),2)</f>
        <v>0</v>
      </c>
      <c r="CE84" s="11">
        <f>AC84-BX84</f>
        <v>2111.7199999999998</v>
      </c>
      <c r="CF84" s="11">
        <f>AC84-BY84</f>
        <v>2111.7199999999998</v>
      </c>
      <c r="CG84" s="11">
        <f>BX84-BZ84</f>
        <v>0</v>
      </c>
      <c r="CH84" s="11">
        <f>AC84-BX84-BY84+BZ84</f>
        <v>2111.7199999999998</v>
      </c>
      <c r="CI84" s="11">
        <f>BY84-BZ84</f>
        <v>0</v>
      </c>
      <c r="CJ84" s="11">
        <f>ROUND(SUMIF(AA71:AA82,"=60257736",GX71:GX82),2)</f>
        <v>0</v>
      </c>
      <c r="CK84" s="11">
        <f>ROUND(SUMIF(AA71:AA82,"=60257736",GY71:GY82),2)</f>
        <v>0</v>
      </c>
      <c r="CL84" s="11">
        <f>ROUND(SUMIF(AA71:AA82,"=60257736",GZ71:GZ82),2)</f>
        <v>0</v>
      </c>
      <c r="CM84" s="11">
        <f>ROUND(SUMIF(AA71:AA82,"=60257736",HD71:HD82),2)</f>
        <v>0</v>
      </c>
      <c r="CN84" s="11"/>
      <c r="CO84" s="11"/>
      <c r="CP84" s="11"/>
      <c r="CQ84" s="11"/>
      <c r="CR84" s="11"/>
      <c r="CS84" s="11"/>
      <c r="CT84" s="11"/>
      <c r="CU84" s="11"/>
      <c r="CV84" s="11"/>
      <c r="CW84" s="11"/>
      <c r="CX84" s="11"/>
      <c r="CY84" s="11"/>
      <c r="CZ84" s="11"/>
      <c r="DA84" s="11"/>
      <c r="DB84" s="11"/>
      <c r="DC84" s="11"/>
      <c r="DD84" s="11"/>
      <c r="DE84" s="11"/>
      <c r="DF84" s="11"/>
      <c r="DG84" s="12">
        <f t="shared" ref="DG84:DL84" si="93">ROUND(DT84,2)</f>
        <v>23420.34</v>
      </c>
      <c r="DH84" s="12">
        <f t="shared" si="93"/>
        <v>11984.09</v>
      </c>
      <c r="DI84" s="12">
        <f t="shared" si="93"/>
        <v>42.32</v>
      </c>
      <c r="DJ84" s="12">
        <f t="shared" si="93"/>
        <v>9.35</v>
      </c>
      <c r="DK84" s="12">
        <f t="shared" si="93"/>
        <v>11393.93</v>
      </c>
      <c r="DL84" s="12">
        <f t="shared" si="93"/>
        <v>0</v>
      </c>
      <c r="DM84" s="12">
        <f>DZ84</f>
        <v>17.304292500000003</v>
      </c>
      <c r="DN84" s="12">
        <f>EA84</f>
        <v>0</v>
      </c>
      <c r="DO84" s="12">
        <f>ROUND(EB84,2)</f>
        <v>0</v>
      </c>
      <c r="DP84" s="12">
        <f>ROUND(EC84,2)</f>
        <v>10409.030000000001</v>
      </c>
      <c r="DQ84" s="12">
        <f>ROUND(ED84,2)</f>
        <v>5349.85</v>
      </c>
      <c r="DR84" s="12"/>
      <c r="DS84" s="12"/>
      <c r="DT84" s="12">
        <f>ROUND(SUMIF(AA71:AA82,"=60257733",O71:O82),2)</f>
        <v>23420.34</v>
      </c>
      <c r="DU84" s="12">
        <f>ROUND(SUMIF(AA71:AA82,"=60257733",P71:P82),2)</f>
        <v>11984.09</v>
      </c>
      <c r="DV84" s="12">
        <f>ROUND(SUMIF(AA71:AA82,"=60257733",Q71:Q82),2)</f>
        <v>42.32</v>
      </c>
      <c r="DW84" s="12">
        <f>ROUND(SUMIF(AA71:AA82,"=60257733",R71:R82),2)</f>
        <v>9.35</v>
      </c>
      <c r="DX84" s="12">
        <f>ROUND(SUMIF(AA71:AA82,"=60257733",S71:S82),2)</f>
        <v>11393.93</v>
      </c>
      <c r="DY84" s="12">
        <f>ROUND(SUMIF(AA71:AA82,"=60257733",T71:T82),2)</f>
        <v>0</v>
      </c>
      <c r="DZ84" s="12">
        <f>SUMIF(AA71:AA82,"=60257733",U71:U82)</f>
        <v>17.304292500000003</v>
      </c>
      <c r="EA84" s="12">
        <f>SUMIF(AA71:AA82,"=60257733",V71:V82)</f>
        <v>0</v>
      </c>
      <c r="EB84" s="12">
        <f>ROUND(SUMIF(AA71:AA82,"=60257733",W71:W82),2)</f>
        <v>0</v>
      </c>
      <c r="EC84" s="12">
        <f>ROUND(SUMIF(AA71:AA82,"=60257733",X71:X82),2)</f>
        <v>10409.030000000001</v>
      </c>
      <c r="ED84" s="12">
        <f>ROUND(SUMIF(AA71:AA82,"=60257733",Y71:Y82),2)</f>
        <v>5349.85</v>
      </c>
      <c r="EE84" s="12"/>
      <c r="EF84" s="12"/>
      <c r="EG84" s="12">
        <f t="shared" ref="EG84:EV84" si="94">ROUND(FP84,2)</f>
        <v>0</v>
      </c>
      <c r="EH84" s="12">
        <f t="shared" si="94"/>
        <v>0</v>
      </c>
      <c r="EI84" s="12">
        <f t="shared" si="94"/>
        <v>0</v>
      </c>
      <c r="EJ84" s="12">
        <f t="shared" si="94"/>
        <v>39179.22</v>
      </c>
      <c r="EK84" s="12">
        <f t="shared" si="94"/>
        <v>0</v>
      </c>
      <c r="EL84" s="12">
        <f t="shared" si="94"/>
        <v>39179.22</v>
      </c>
      <c r="EM84" s="12">
        <f t="shared" si="94"/>
        <v>0</v>
      </c>
      <c r="EN84" s="12">
        <f t="shared" si="94"/>
        <v>11984.09</v>
      </c>
      <c r="EO84" s="12">
        <f t="shared" si="94"/>
        <v>11984.09</v>
      </c>
      <c r="EP84" s="12">
        <f t="shared" si="94"/>
        <v>0</v>
      </c>
      <c r="EQ84" s="12">
        <f t="shared" si="94"/>
        <v>11984.09</v>
      </c>
      <c r="ER84" s="12">
        <f t="shared" si="94"/>
        <v>0</v>
      </c>
      <c r="ES84" s="12">
        <f t="shared" si="94"/>
        <v>0</v>
      </c>
      <c r="ET84" s="12">
        <f t="shared" si="94"/>
        <v>0</v>
      </c>
      <c r="EU84" s="12">
        <f t="shared" si="94"/>
        <v>0</v>
      </c>
      <c r="EV84" s="12">
        <f t="shared" si="94"/>
        <v>0</v>
      </c>
      <c r="EW84" s="12"/>
      <c r="EX84" s="12"/>
      <c r="EY84" s="12"/>
      <c r="EZ84" s="12"/>
      <c r="FA84" s="12"/>
      <c r="FB84" s="12"/>
      <c r="FC84" s="12"/>
      <c r="FD84" s="12"/>
      <c r="FE84" s="12"/>
      <c r="FF84" s="12"/>
      <c r="FG84" s="12"/>
      <c r="FH84" s="12"/>
      <c r="FI84" s="12"/>
      <c r="FJ84" s="12"/>
      <c r="FK84" s="12"/>
      <c r="FL84" s="12"/>
      <c r="FM84" s="12"/>
      <c r="FN84" s="12"/>
      <c r="FO84" s="12"/>
      <c r="FP84" s="12">
        <f>ROUND(SUMIF(AA71:AA82,"=60257733",FQ71:FQ82),2)</f>
        <v>0</v>
      </c>
      <c r="FQ84" s="12">
        <f>ROUND(SUMIF(AA71:AA82,"=60257733",FR71:FR82),2)</f>
        <v>0</v>
      </c>
      <c r="FR84" s="12">
        <f>ROUND(SUMIF(AA71:AA82,"=60257733",GL71:GL82),2)</f>
        <v>0</v>
      </c>
      <c r="FS84" s="12">
        <f>ROUND(SUMIF(AA71:AA82,"=60257733",GM71:GM82),2)</f>
        <v>39179.22</v>
      </c>
      <c r="FT84" s="12">
        <f>ROUND(SUMIF(AA71:AA82,"=60257733",GN71:GN82),2)</f>
        <v>0</v>
      </c>
      <c r="FU84" s="12">
        <f>ROUND(SUMIF(AA71:AA82,"=60257733",GO71:GO82),2)</f>
        <v>39179.22</v>
      </c>
      <c r="FV84" s="12">
        <f>ROUND(SUMIF(AA71:AA82,"=60257733",GP71:GP82),2)</f>
        <v>0</v>
      </c>
      <c r="FW84" s="12">
        <f>DU84-FP84</f>
        <v>11984.09</v>
      </c>
      <c r="FX84" s="12">
        <f>DU84-FQ84</f>
        <v>11984.09</v>
      </c>
      <c r="FY84" s="12">
        <f>FP84-FR84</f>
        <v>0</v>
      </c>
      <c r="FZ84" s="12">
        <f>DU84-FP84-FQ84+FR84</f>
        <v>11984.09</v>
      </c>
      <c r="GA84" s="12">
        <f>FQ84-FR84</f>
        <v>0</v>
      </c>
      <c r="GB84" s="12">
        <f>ROUND(SUMIF(AA71:AA82,"=60257733",GX71:GX82),2)</f>
        <v>0</v>
      </c>
      <c r="GC84" s="12">
        <f>ROUND(SUMIF(AA71:AA82,"=60257733",GY71:GY82),2)</f>
        <v>0</v>
      </c>
      <c r="GD84" s="12">
        <f>ROUND(SUMIF(AA71:AA82,"=60257733",GZ71:GZ82),2)</f>
        <v>0</v>
      </c>
      <c r="GE84" s="12">
        <f>ROUND(SUMIF(AA71:AA82,"=60257733",HD71:HD82),2)</f>
        <v>0</v>
      </c>
      <c r="GF84" s="12"/>
      <c r="GG84" s="12"/>
      <c r="GH84" s="12"/>
      <c r="GI84" s="12"/>
      <c r="GJ84" s="12"/>
      <c r="GK84" s="12"/>
      <c r="GL84" s="12"/>
      <c r="GM84" s="12"/>
      <c r="GN84" s="12"/>
      <c r="GO84" s="12"/>
      <c r="GP84" s="12"/>
      <c r="GQ84" s="12"/>
      <c r="GR84" s="12"/>
      <c r="GS84" s="12"/>
      <c r="GT84" s="12"/>
      <c r="GU84" s="12"/>
      <c r="GV84" s="12"/>
      <c r="GW84" s="12"/>
      <c r="GX84" s="12">
        <v>0</v>
      </c>
    </row>
    <row r="86" spans="1:255" x14ac:dyDescent="0.2">
      <c r="A86" s="13">
        <v>50</v>
      </c>
      <c r="B86" s="13">
        <v>0</v>
      </c>
      <c r="C86" s="13">
        <v>0</v>
      </c>
      <c r="D86" s="13">
        <v>1</v>
      </c>
      <c r="E86" s="13">
        <v>201</v>
      </c>
      <c r="F86" s="13">
        <f>ROUND(Source!O84,O86)</f>
        <v>2322.7600000000002</v>
      </c>
      <c r="G86" s="13" t="s">
        <v>46</v>
      </c>
      <c r="H86" s="13" t="s">
        <v>47</v>
      </c>
      <c r="I86" s="13"/>
      <c r="J86" s="13"/>
      <c r="K86" s="13">
        <v>201</v>
      </c>
      <c r="L86" s="13">
        <v>1</v>
      </c>
      <c r="M86" s="13">
        <v>3</v>
      </c>
      <c r="N86" s="13" t="s">
        <v>3</v>
      </c>
      <c r="O86" s="13">
        <v>2</v>
      </c>
      <c r="P86" s="13">
        <f>ROUND(Source!DG84,O86)</f>
        <v>23420.34</v>
      </c>
      <c r="Q86" s="13"/>
      <c r="R86" s="13"/>
      <c r="S86" s="13"/>
      <c r="T86" s="13"/>
      <c r="U86" s="13"/>
      <c r="V86" s="13"/>
      <c r="W86" s="13">
        <v>2322.7600000000002</v>
      </c>
      <c r="X86" s="13">
        <v>1</v>
      </c>
      <c r="Y86" s="13">
        <v>2322.7600000000002</v>
      </c>
      <c r="Z86" s="13">
        <v>23420.34</v>
      </c>
      <c r="AA86" s="13">
        <v>1</v>
      </c>
      <c r="AB86" s="13">
        <v>23420.34</v>
      </c>
    </row>
    <row r="87" spans="1:255" x14ac:dyDescent="0.2">
      <c r="A87" s="13">
        <v>50</v>
      </c>
      <c r="B87" s="13">
        <v>0</v>
      </c>
      <c r="C87" s="13">
        <v>0</v>
      </c>
      <c r="D87" s="13">
        <v>1</v>
      </c>
      <c r="E87" s="13">
        <v>202</v>
      </c>
      <c r="F87" s="13">
        <f>ROUND(Source!P84,O87)</f>
        <v>2111.7199999999998</v>
      </c>
      <c r="G87" s="13" t="s">
        <v>48</v>
      </c>
      <c r="H87" s="13" t="s">
        <v>49</v>
      </c>
      <c r="I87" s="13"/>
      <c r="J87" s="13"/>
      <c r="K87" s="13">
        <v>202</v>
      </c>
      <c r="L87" s="13">
        <v>2</v>
      </c>
      <c r="M87" s="13">
        <v>3</v>
      </c>
      <c r="N87" s="13" t="s">
        <v>3</v>
      </c>
      <c r="O87" s="13">
        <v>2</v>
      </c>
      <c r="P87" s="13">
        <f>ROUND(Source!DH84,O87)</f>
        <v>11984.09</v>
      </c>
      <c r="Q87" s="13"/>
      <c r="R87" s="13"/>
      <c r="S87" s="13"/>
      <c r="T87" s="13"/>
      <c r="U87" s="13"/>
      <c r="V87" s="13"/>
      <c r="W87" s="13">
        <v>2111.7199999999998</v>
      </c>
      <c r="X87" s="13">
        <v>1</v>
      </c>
      <c r="Y87" s="13">
        <v>2111.7199999999998</v>
      </c>
      <c r="Z87" s="13">
        <v>11984.09</v>
      </c>
      <c r="AA87" s="13">
        <v>1</v>
      </c>
      <c r="AB87" s="13">
        <v>11984.09</v>
      </c>
    </row>
    <row r="88" spans="1:255" x14ac:dyDescent="0.2">
      <c r="A88" s="13">
        <v>50</v>
      </c>
      <c r="B88" s="13">
        <v>0</v>
      </c>
      <c r="C88" s="13">
        <v>0</v>
      </c>
      <c r="D88" s="13">
        <v>1</v>
      </c>
      <c r="E88" s="13">
        <v>222</v>
      </c>
      <c r="F88" s="13">
        <f>ROUND(Source!AO84,O88)</f>
        <v>0</v>
      </c>
      <c r="G88" s="13" t="s">
        <v>50</v>
      </c>
      <c r="H88" s="13" t="s">
        <v>51</v>
      </c>
      <c r="I88" s="13"/>
      <c r="J88" s="13"/>
      <c r="K88" s="13">
        <v>222</v>
      </c>
      <c r="L88" s="13">
        <v>3</v>
      </c>
      <c r="M88" s="13">
        <v>3</v>
      </c>
      <c r="N88" s="13" t="s">
        <v>3</v>
      </c>
      <c r="O88" s="13">
        <v>2</v>
      </c>
      <c r="P88" s="13">
        <f>ROUND(Source!EG84,O88)</f>
        <v>0</v>
      </c>
      <c r="Q88" s="13"/>
      <c r="R88" s="13"/>
      <c r="S88" s="13"/>
      <c r="T88" s="13"/>
      <c r="U88" s="13"/>
      <c r="V88" s="13"/>
      <c r="W88" s="13">
        <v>0</v>
      </c>
      <c r="X88" s="13">
        <v>1</v>
      </c>
      <c r="Y88" s="13">
        <v>0</v>
      </c>
      <c r="Z88" s="13">
        <v>0</v>
      </c>
      <c r="AA88" s="13">
        <v>1</v>
      </c>
      <c r="AB88" s="13">
        <v>0</v>
      </c>
    </row>
    <row r="89" spans="1:255" x14ac:dyDescent="0.2">
      <c r="A89" s="13">
        <v>50</v>
      </c>
      <c r="B89" s="13">
        <v>0</v>
      </c>
      <c r="C89" s="13">
        <v>0</v>
      </c>
      <c r="D89" s="13">
        <v>1</v>
      </c>
      <c r="E89" s="13">
        <v>225</v>
      </c>
      <c r="F89" s="13">
        <f>ROUND(Source!AV84,O89)</f>
        <v>2111.7199999999998</v>
      </c>
      <c r="G89" s="13" t="s">
        <v>52</v>
      </c>
      <c r="H89" s="13" t="s">
        <v>53</v>
      </c>
      <c r="I89" s="13"/>
      <c r="J89" s="13"/>
      <c r="K89" s="13">
        <v>225</v>
      </c>
      <c r="L89" s="13">
        <v>4</v>
      </c>
      <c r="M89" s="13">
        <v>3</v>
      </c>
      <c r="N89" s="13" t="s">
        <v>3</v>
      </c>
      <c r="O89" s="13">
        <v>2</v>
      </c>
      <c r="P89" s="13">
        <f>ROUND(Source!EN84,O89)</f>
        <v>11984.09</v>
      </c>
      <c r="Q89" s="13"/>
      <c r="R89" s="13"/>
      <c r="S89" s="13"/>
      <c r="T89" s="13"/>
      <c r="U89" s="13"/>
      <c r="V89" s="13"/>
      <c r="W89" s="13">
        <v>2111.7199999999998</v>
      </c>
      <c r="X89" s="13">
        <v>1</v>
      </c>
      <c r="Y89" s="13">
        <v>2111.7199999999998</v>
      </c>
      <c r="Z89" s="13">
        <v>11984.09</v>
      </c>
      <c r="AA89" s="13">
        <v>1</v>
      </c>
      <c r="AB89" s="13">
        <v>11984.09</v>
      </c>
    </row>
    <row r="90" spans="1:255" x14ac:dyDescent="0.2">
      <c r="A90" s="13">
        <v>50</v>
      </c>
      <c r="B90" s="13">
        <v>0</v>
      </c>
      <c r="C90" s="13">
        <v>0</v>
      </c>
      <c r="D90" s="13">
        <v>1</v>
      </c>
      <c r="E90" s="13">
        <v>226</v>
      </c>
      <c r="F90" s="13">
        <f>ROUND(Source!AW84,O90)</f>
        <v>2111.7199999999998</v>
      </c>
      <c r="G90" s="13" t="s">
        <v>54</v>
      </c>
      <c r="H90" s="13" t="s">
        <v>55</v>
      </c>
      <c r="I90" s="13"/>
      <c r="J90" s="13"/>
      <c r="K90" s="13">
        <v>226</v>
      </c>
      <c r="L90" s="13">
        <v>5</v>
      </c>
      <c r="M90" s="13">
        <v>3</v>
      </c>
      <c r="N90" s="13" t="s">
        <v>3</v>
      </c>
      <c r="O90" s="13">
        <v>2</v>
      </c>
      <c r="P90" s="13">
        <f>ROUND(Source!EO84,O90)</f>
        <v>11984.09</v>
      </c>
      <c r="Q90" s="13"/>
      <c r="R90" s="13"/>
      <c r="S90" s="13"/>
      <c r="T90" s="13"/>
      <c r="U90" s="13"/>
      <c r="V90" s="13"/>
      <c r="W90" s="13">
        <v>2111.7199999999998</v>
      </c>
      <c r="X90" s="13">
        <v>1</v>
      </c>
      <c r="Y90" s="13">
        <v>2111.7199999999998</v>
      </c>
      <c r="Z90" s="13">
        <v>11984.09</v>
      </c>
      <c r="AA90" s="13">
        <v>1</v>
      </c>
      <c r="AB90" s="13">
        <v>11984.09</v>
      </c>
    </row>
    <row r="91" spans="1:255" x14ac:dyDescent="0.2">
      <c r="A91" s="13">
        <v>50</v>
      </c>
      <c r="B91" s="13">
        <v>0</v>
      </c>
      <c r="C91" s="13">
        <v>0</v>
      </c>
      <c r="D91" s="13">
        <v>1</v>
      </c>
      <c r="E91" s="13">
        <v>227</v>
      </c>
      <c r="F91" s="13">
        <f>ROUND(Source!AX84,O91)</f>
        <v>0</v>
      </c>
      <c r="G91" s="13" t="s">
        <v>56</v>
      </c>
      <c r="H91" s="13" t="s">
        <v>57</v>
      </c>
      <c r="I91" s="13"/>
      <c r="J91" s="13"/>
      <c r="K91" s="13">
        <v>227</v>
      </c>
      <c r="L91" s="13">
        <v>6</v>
      </c>
      <c r="M91" s="13">
        <v>3</v>
      </c>
      <c r="N91" s="13" t="s">
        <v>3</v>
      </c>
      <c r="O91" s="13">
        <v>2</v>
      </c>
      <c r="P91" s="13">
        <f>ROUND(Source!EP84,O91)</f>
        <v>0</v>
      </c>
      <c r="Q91" s="13"/>
      <c r="R91" s="13"/>
      <c r="S91" s="13"/>
      <c r="T91" s="13"/>
      <c r="U91" s="13"/>
      <c r="V91" s="13"/>
      <c r="W91" s="13">
        <v>0</v>
      </c>
      <c r="X91" s="13">
        <v>1</v>
      </c>
      <c r="Y91" s="13">
        <v>0</v>
      </c>
      <c r="Z91" s="13">
        <v>0</v>
      </c>
      <c r="AA91" s="13">
        <v>1</v>
      </c>
      <c r="AB91" s="13">
        <v>0</v>
      </c>
    </row>
    <row r="92" spans="1:255" x14ac:dyDescent="0.2">
      <c r="A92" s="13">
        <v>50</v>
      </c>
      <c r="B92" s="13">
        <v>0</v>
      </c>
      <c r="C92" s="13">
        <v>0</v>
      </c>
      <c r="D92" s="13">
        <v>1</v>
      </c>
      <c r="E92" s="13">
        <v>228</v>
      </c>
      <c r="F92" s="13">
        <f>ROUND(Source!AY84,O92)</f>
        <v>2111.7199999999998</v>
      </c>
      <c r="G92" s="13" t="s">
        <v>58</v>
      </c>
      <c r="H92" s="13" t="s">
        <v>59</v>
      </c>
      <c r="I92" s="13"/>
      <c r="J92" s="13"/>
      <c r="K92" s="13">
        <v>228</v>
      </c>
      <c r="L92" s="13">
        <v>7</v>
      </c>
      <c r="M92" s="13">
        <v>3</v>
      </c>
      <c r="N92" s="13" t="s">
        <v>3</v>
      </c>
      <c r="O92" s="13">
        <v>2</v>
      </c>
      <c r="P92" s="13">
        <f>ROUND(Source!EQ84,O92)</f>
        <v>11984.09</v>
      </c>
      <c r="Q92" s="13"/>
      <c r="R92" s="13"/>
      <c r="S92" s="13"/>
      <c r="T92" s="13"/>
      <c r="U92" s="13"/>
      <c r="V92" s="13"/>
      <c r="W92" s="13">
        <v>2111.7199999999998</v>
      </c>
      <c r="X92" s="13">
        <v>1</v>
      </c>
      <c r="Y92" s="13">
        <v>2111.7199999999998</v>
      </c>
      <c r="Z92" s="13">
        <v>11984.09</v>
      </c>
      <c r="AA92" s="13">
        <v>1</v>
      </c>
      <c r="AB92" s="13">
        <v>11984.09</v>
      </c>
    </row>
    <row r="93" spans="1:255" x14ac:dyDescent="0.2">
      <c r="A93" s="13">
        <v>50</v>
      </c>
      <c r="B93" s="13">
        <v>0</v>
      </c>
      <c r="C93" s="13">
        <v>0</v>
      </c>
      <c r="D93" s="13">
        <v>1</v>
      </c>
      <c r="E93" s="13">
        <v>216</v>
      </c>
      <c r="F93" s="13">
        <f>ROUND(Source!AP84,O93)</f>
        <v>0</v>
      </c>
      <c r="G93" s="13" t="s">
        <v>60</v>
      </c>
      <c r="H93" s="13" t="s">
        <v>61</v>
      </c>
      <c r="I93" s="13"/>
      <c r="J93" s="13"/>
      <c r="K93" s="13">
        <v>216</v>
      </c>
      <c r="L93" s="13">
        <v>8</v>
      </c>
      <c r="M93" s="13">
        <v>3</v>
      </c>
      <c r="N93" s="13" t="s">
        <v>3</v>
      </c>
      <c r="O93" s="13">
        <v>2</v>
      </c>
      <c r="P93" s="13">
        <f>ROUND(Source!EH84,O93)</f>
        <v>0</v>
      </c>
      <c r="Q93" s="13"/>
      <c r="R93" s="13"/>
      <c r="S93" s="13"/>
      <c r="T93" s="13"/>
      <c r="U93" s="13"/>
      <c r="V93" s="13"/>
      <c r="W93" s="13">
        <v>0</v>
      </c>
      <c r="X93" s="13">
        <v>1</v>
      </c>
      <c r="Y93" s="13">
        <v>0</v>
      </c>
      <c r="Z93" s="13">
        <v>0</v>
      </c>
      <c r="AA93" s="13">
        <v>1</v>
      </c>
      <c r="AB93" s="13">
        <v>0</v>
      </c>
    </row>
    <row r="94" spans="1:255" x14ac:dyDescent="0.2">
      <c r="A94" s="13">
        <v>50</v>
      </c>
      <c r="B94" s="13">
        <v>0</v>
      </c>
      <c r="C94" s="13">
        <v>0</v>
      </c>
      <c r="D94" s="13">
        <v>1</v>
      </c>
      <c r="E94" s="13">
        <v>223</v>
      </c>
      <c r="F94" s="13">
        <f>ROUND(Source!AQ84,O94)</f>
        <v>0</v>
      </c>
      <c r="G94" s="13" t="s">
        <v>62</v>
      </c>
      <c r="H94" s="13" t="s">
        <v>63</v>
      </c>
      <c r="I94" s="13"/>
      <c r="J94" s="13"/>
      <c r="K94" s="13">
        <v>223</v>
      </c>
      <c r="L94" s="13">
        <v>9</v>
      </c>
      <c r="M94" s="13">
        <v>3</v>
      </c>
      <c r="N94" s="13" t="s">
        <v>3</v>
      </c>
      <c r="O94" s="13">
        <v>2</v>
      </c>
      <c r="P94" s="13">
        <f>ROUND(Source!EI84,O94)</f>
        <v>0</v>
      </c>
      <c r="Q94" s="13"/>
      <c r="R94" s="13"/>
      <c r="S94" s="13"/>
      <c r="T94" s="13"/>
      <c r="U94" s="13"/>
      <c r="V94" s="13"/>
      <c r="W94" s="13">
        <v>0</v>
      </c>
      <c r="X94" s="13">
        <v>1</v>
      </c>
      <c r="Y94" s="13">
        <v>0</v>
      </c>
      <c r="Z94" s="13">
        <v>0</v>
      </c>
      <c r="AA94" s="13">
        <v>1</v>
      </c>
      <c r="AB94" s="13">
        <v>0</v>
      </c>
    </row>
    <row r="95" spans="1:255" x14ac:dyDescent="0.2">
      <c r="A95" s="13">
        <v>50</v>
      </c>
      <c r="B95" s="13">
        <v>0</v>
      </c>
      <c r="C95" s="13">
        <v>0</v>
      </c>
      <c r="D95" s="13">
        <v>1</v>
      </c>
      <c r="E95" s="13">
        <v>229</v>
      </c>
      <c r="F95" s="13">
        <f>ROUND(Source!AZ84,O95)</f>
        <v>0</v>
      </c>
      <c r="G95" s="13" t="s">
        <v>64</v>
      </c>
      <c r="H95" s="13" t="s">
        <v>65</v>
      </c>
      <c r="I95" s="13"/>
      <c r="J95" s="13"/>
      <c r="K95" s="13">
        <v>229</v>
      </c>
      <c r="L95" s="13">
        <v>10</v>
      </c>
      <c r="M95" s="13">
        <v>3</v>
      </c>
      <c r="N95" s="13" t="s">
        <v>3</v>
      </c>
      <c r="O95" s="13">
        <v>2</v>
      </c>
      <c r="P95" s="13">
        <f>ROUND(Source!ER84,O95)</f>
        <v>0</v>
      </c>
      <c r="Q95" s="13"/>
      <c r="R95" s="13"/>
      <c r="S95" s="13"/>
      <c r="T95" s="13"/>
      <c r="U95" s="13"/>
      <c r="V95" s="13"/>
      <c r="W95" s="13">
        <v>0</v>
      </c>
      <c r="X95" s="13">
        <v>1</v>
      </c>
      <c r="Y95" s="13">
        <v>0</v>
      </c>
      <c r="Z95" s="13">
        <v>0</v>
      </c>
      <c r="AA95" s="13">
        <v>1</v>
      </c>
      <c r="AB95" s="13">
        <v>0</v>
      </c>
    </row>
    <row r="96" spans="1:255" x14ac:dyDescent="0.2">
      <c r="A96" s="13">
        <v>50</v>
      </c>
      <c r="B96" s="13">
        <v>0</v>
      </c>
      <c r="C96" s="13">
        <v>0</v>
      </c>
      <c r="D96" s="13">
        <v>1</v>
      </c>
      <c r="E96" s="13">
        <v>203</v>
      </c>
      <c r="F96" s="13">
        <f>ROUND(Source!Q84,O96)</f>
        <v>3.84</v>
      </c>
      <c r="G96" s="13" t="s">
        <v>66</v>
      </c>
      <c r="H96" s="13" t="s">
        <v>67</v>
      </c>
      <c r="I96" s="13"/>
      <c r="J96" s="13"/>
      <c r="K96" s="13">
        <v>203</v>
      </c>
      <c r="L96" s="13">
        <v>11</v>
      </c>
      <c r="M96" s="13">
        <v>3</v>
      </c>
      <c r="N96" s="13" t="s">
        <v>3</v>
      </c>
      <c r="O96" s="13">
        <v>2</v>
      </c>
      <c r="P96" s="13">
        <f>ROUND(Source!DI84,O96)</f>
        <v>42.32</v>
      </c>
      <c r="Q96" s="13"/>
      <c r="R96" s="13"/>
      <c r="S96" s="13"/>
      <c r="T96" s="13"/>
      <c r="U96" s="13"/>
      <c r="V96" s="13"/>
      <c r="W96" s="13">
        <v>3.84</v>
      </c>
      <c r="X96" s="13">
        <v>1</v>
      </c>
      <c r="Y96" s="13">
        <v>3.84</v>
      </c>
      <c r="Z96" s="13">
        <v>42.32</v>
      </c>
      <c r="AA96" s="13">
        <v>1</v>
      </c>
      <c r="AB96" s="13">
        <v>42.32</v>
      </c>
    </row>
    <row r="97" spans="1:28" x14ac:dyDescent="0.2">
      <c r="A97" s="13">
        <v>50</v>
      </c>
      <c r="B97" s="13">
        <v>0</v>
      </c>
      <c r="C97" s="13">
        <v>0</v>
      </c>
      <c r="D97" s="13">
        <v>1</v>
      </c>
      <c r="E97" s="13">
        <v>231</v>
      </c>
      <c r="F97" s="13">
        <f>ROUND(Source!BB84,O97)</f>
        <v>0</v>
      </c>
      <c r="G97" s="13" t="s">
        <v>68</v>
      </c>
      <c r="H97" s="13" t="s">
        <v>69</v>
      </c>
      <c r="I97" s="13"/>
      <c r="J97" s="13"/>
      <c r="K97" s="13">
        <v>231</v>
      </c>
      <c r="L97" s="13">
        <v>12</v>
      </c>
      <c r="M97" s="13">
        <v>3</v>
      </c>
      <c r="N97" s="13" t="s">
        <v>3</v>
      </c>
      <c r="O97" s="13">
        <v>2</v>
      </c>
      <c r="P97" s="13">
        <f>ROUND(Source!ET84,O97)</f>
        <v>0</v>
      </c>
      <c r="Q97" s="13"/>
      <c r="R97" s="13"/>
      <c r="S97" s="13"/>
      <c r="T97" s="13"/>
      <c r="U97" s="13"/>
      <c r="V97" s="13"/>
      <c r="W97" s="13">
        <v>0</v>
      </c>
      <c r="X97" s="13">
        <v>1</v>
      </c>
      <c r="Y97" s="13">
        <v>0</v>
      </c>
      <c r="Z97" s="13">
        <v>0</v>
      </c>
      <c r="AA97" s="13">
        <v>1</v>
      </c>
      <c r="AB97" s="13">
        <v>0</v>
      </c>
    </row>
    <row r="98" spans="1:28" x14ac:dyDescent="0.2">
      <c r="A98" s="13">
        <v>50</v>
      </c>
      <c r="B98" s="13">
        <v>0</v>
      </c>
      <c r="C98" s="13">
        <v>0</v>
      </c>
      <c r="D98" s="13">
        <v>1</v>
      </c>
      <c r="E98" s="13">
        <v>204</v>
      </c>
      <c r="F98" s="13">
        <f>ROUND(Source!R84,O98)</f>
        <v>0.17</v>
      </c>
      <c r="G98" s="13" t="s">
        <v>70</v>
      </c>
      <c r="H98" s="13" t="s">
        <v>71</v>
      </c>
      <c r="I98" s="13"/>
      <c r="J98" s="13"/>
      <c r="K98" s="13">
        <v>204</v>
      </c>
      <c r="L98" s="13">
        <v>13</v>
      </c>
      <c r="M98" s="13">
        <v>3</v>
      </c>
      <c r="N98" s="13" t="s">
        <v>3</v>
      </c>
      <c r="O98" s="13">
        <v>2</v>
      </c>
      <c r="P98" s="13">
        <f>ROUND(Source!DJ84,O98)</f>
        <v>9.35</v>
      </c>
      <c r="Q98" s="13"/>
      <c r="R98" s="13"/>
      <c r="S98" s="13"/>
      <c r="T98" s="13"/>
      <c r="U98" s="13"/>
      <c r="V98" s="13"/>
      <c r="W98" s="13">
        <v>0.17</v>
      </c>
      <c r="X98" s="13">
        <v>1</v>
      </c>
      <c r="Y98" s="13">
        <v>0.17</v>
      </c>
      <c r="Z98" s="13">
        <v>9.35</v>
      </c>
      <c r="AA98" s="13">
        <v>1</v>
      </c>
      <c r="AB98" s="13">
        <v>9.35</v>
      </c>
    </row>
    <row r="99" spans="1:28" x14ac:dyDescent="0.2">
      <c r="A99" s="13">
        <v>50</v>
      </c>
      <c r="B99" s="13">
        <v>0</v>
      </c>
      <c r="C99" s="13">
        <v>0</v>
      </c>
      <c r="D99" s="13">
        <v>1</v>
      </c>
      <c r="E99" s="13">
        <v>205</v>
      </c>
      <c r="F99" s="13">
        <f>ROUND(Source!S84,O99)</f>
        <v>207.2</v>
      </c>
      <c r="G99" s="13" t="s">
        <v>72</v>
      </c>
      <c r="H99" s="13" t="s">
        <v>73</v>
      </c>
      <c r="I99" s="13"/>
      <c r="J99" s="13"/>
      <c r="K99" s="13">
        <v>205</v>
      </c>
      <c r="L99" s="13">
        <v>14</v>
      </c>
      <c r="M99" s="13">
        <v>3</v>
      </c>
      <c r="N99" s="13" t="s">
        <v>3</v>
      </c>
      <c r="O99" s="13">
        <v>2</v>
      </c>
      <c r="P99" s="13">
        <f>ROUND(Source!DK84,O99)</f>
        <v>11393.93</v>
      </c>
      <c r="Q99" s="13"/>
      <c r="R99" s="13"/>
      <c r="S99" s="13"/>
      <c r="T99" s="13"/>
      <c r="U99" s="13"/>
      <c r="V99" s="13"/>
      <c r="W99" s="13">
        <v>207.2</v>
      </c>
      <c r="X99" s="13">
        <v>1</v>
      </c>
      <c r="Y99" s="13">
        <v>207.2</v>
      </c>
      <c r="Z99" s="13">
        <v>11393.93</v>
      </c>
      <c r="AA99" s="13">
        <v>1</v>
      </c>
      <c r="AB99" s="13">
        <v>11393.93</v>
      </c>
    </row>
    <row r="100" spans="1:28" x14ac:dyDescent="0.2">
      <c r="A100" s="13">
        <v>50</v>
      </c>
      <c r="B100" s="13">
        <v>0</v>
      </c>
      <c r="C100" s="13">
        <v>0</v>
      </c>
      <c r="D100" s="13">
        <v>1</v>
      </c>
      <c r="E100" s="13">
        <v>232</v>
      </c>
      <c r="F100" s="13">
        <f>ROUND(Source!BC84,O100)</f>
        <v>0</v>
      </c>
      <c r="G100" s="13" t="s">
        <v>74</v>
      </c>
      <c r="H100" s="13" t="s">
        <v>75</v>
      </c>
      <c r="I100" s="13"/>
      <c r="J100" s="13"/>
      <c r="K100" s="13">
        <v>232</v>
      </c>
      <c r="L100" s="13">
        <v>15</v>
      </c>
      <c r="M100" s="13">
        <v>3</v>
      </c>
      <c r="N100" s="13" t="s">
        <v>3</v>
      </c>
      <c r="O100" s="13">
        <v>2</v>
      </c>
      <c r="P100" s="13">
        <f>ROUND(Source!EU84,O100)</f>
        <v>0</v>
      </c>
      <c r="Q100" s="13"/>
      <c r="R100" s="13"/>
      <c r="S100" s="13"/>
      <c r="T100" s="13"/>
      <c r="U100" s="13"/>
      <c r="V100" s="13"/>
      <c r="W100" s="13">
        <v>0</v>
      </c>
      <c r="X100" s="13">
        <v>1</v>
      </c>
      <c r="Y100" s="13">
        <v>0</v>
      </c>
      <c r="Z100" s="13">
        <v>0</v>
      </c>
      <c r="AA100" s="13">
        <v>1</v>
      </c>
      <c r="AB100" s="13">
        <v>0</v>
      </c>
    </row>
    <row r="101" spans="1:28" x14ac:dyDescent="0.2">
      <c r="A101" s="13">
        <v>50</v>
      </c>
      <c r="B101" s="13">
        <v>0</v>
      </c>
      <c r="C101" s="13">
        <v>0</v>
      </c>
      <c r="D101" s="13">
        <v>1</v>
      </c>
      <c r="E101" s="13">
        <v>214</v>
      </c>
      <c r="F101" s="13">
        <f>ROUND(Source!AS84,O101)</f>
        <v>0</v>
      </c>
      <c r="G101" s="13" t="s">
        <v>76</v>
      </c>
      <c r="H101" s="13" t="s">
        <v>77</v>
      </c>
      <c r="I101" s="13"/>
      <c r="J101" s="13"/>
      <c r="K101" s="13">
        <v>214</v>
      </c>
      <c r="L101" s="13">
        <v>16</v>
      </c>
      <c r="M101" s="13">
        <v>3</v>
      </c>
      <c r="N101" s="13" t="s">
        <v>3</v>
      </c>
      <c r="O101" s="13">
        <v>2</v>
      </c>
      <c r="P101" s="13">
        <f>ROUND(Source!EK84,O101)</f>
        <v>0</v>
      </c>
      <c r="Q101" s="13"/>
      <c r="R101" s="13"/>
      <c r="S101" s="13"/>
      <c r="T101" s="13"/>
      <c r="U101" s="13"/>
      <c r="V101" s="13"/>
      <c r="W101" s="13">
        <v>0</v>
      </c>
      <c r="X101" s="13">
        <v>1</v>
      </c>
      <c r="Y101" s="13">
        <v>0</v>
      </c>
      <c r="Z101" s="13">
        <v>0</v>
      </c>
      <c r="AA101" s="13">
        <v>1</v>
      </c>
      <c r="AB101" s="13">
        <v>0</v>
      </c>
    </row>
    <row r="102" spans="1:28" x14ac:dyDescent="0.2">
      <c r="A102" s="13">
        <v>50</v>
      </c>
      <c r="B102" s="13">
        <v>0</v>
      </c>
      <c r="C102" s="13">
        <v>0</v>
      </c>
      <c r="D102" s="13">
        <v>1</v>
      </c>
      <c r="E102" s="13">
        <v>215</v>
      </c>
      <c r="F102" s="13">
        <f>ROUND(Source!AT84,O102)</f>
        <v>2609.33</v>
      </c>
      <c r="G102" s="13" t="s">
        <v>78</v>
      </c>
      <c r="H102" s="13" t="s">
        <v>79</v>
      </c>
      <c r="I102" s="13"/>
      <c r="J102" s="13"/>
      <c r="K102" s="13">
        <v>215</v>
      </c>
      <c r="L102" s="13">
        <v>17</v>
      </c>
      <c r="M102" s="13">
        <v>3</v>
      </c>
      <c r="N102" s="13" t="s">
        <v>3</v>
      </c>
      <c r="O102" s="13">
        <v>2</v>
      </c>
      <c r="P102" s="13">
        <f>ROUND(Source!EL84,O102)</f>
        <v>39179.22</v>
      </c>
      <c r="Q102" s="13"/>
      <c r="R102" s="13"/>
      <c r="S102" s="13"/>
      <c r="T102" s="13"/>
      <c r="U102" s="13"/>
      <c r="V102" s="13"/>
      <c r="W102" s="13">
        <v>2609.33</v>
      </c>
      <c r="X102" s="13">
        <v>1</v>
      </c>
      <c r="Y102" s="13">
        <v>2609.33</v>
      </c>
      <c r="Z102" s="13">
        <v>39179.22</v>
      </c>
      <c r="AA102" s="13">
        <v>1</v>
      </c>
      <c r="AB102" s="13">
        <v>39179.22</v>
      </c>
    </row>
    <row r="103" spans="1:28" x14ac:dyDescent="0.2">
      <c r="A103" s="13">
        <v>50</v>
      </c>
      <c r="B103" s="13">
        <v>0</v>
      </c>
      <c r="C103" s="13">
        <v>0</v>
      </c>
      <c r="D103" s="13">
        <v>1</v>
      </c>
      <c r="E103" s="13">
        <v>217</v>
      </c>
      <c r="F103" s="13">
        <f>ROUND(Source!AU84,O103)</f>
        <v>0</v>
      </c>
      <c r="G103" s="13" t="s">
        <v>80</v>
      </c>
      <c r="H103" s="13" t="s">
        <v>81</v>
      </c>
      <c r="I103" s="13"/>
      <c r="J103" s="13"/>
      <c r="K103" s="13">
        <v>217</v>
      </c>
      <c r="L103" s="13">
        <v>18</v>
      </c>
      <c r="M103" s="13">
        <v>3</v>
      </c>
      <c r="N103" s="13" t="s">
        <v>3</v>
      </c>
      <c r="O103" s="13">
        <v>2</v>
      </c>
      <c r="P103" s="13">
        <f>ROUND(Source!EM84,O103)</f>
        <v>0</v>
      </c>
      <c r="Q103" s="13"/>
      <c r="R103" s="13"/>
      <c r="S103" s="13"/>
      <c r="T103" s="13"/>
      <c r="U103" s="13"/>
      <c r="V103" s="13"/>
      <c r="W103" s="13">
        <v>0</v>
      </c>
      <c r="X103" s="13">
        <v>1</v>
      </c>
      <c r="Y103" s="13">
        <v>0</v>
      </c>
      <c r="Z103" s="13">
        <v>0</v>
      </c>
      <c r="AA103" s="13">
        <v>1</v>
      </c>
      <c r="AB103" s="13">
        <v>0</v>
      </c>
    </row>
    <row r="104" spans="1:28" x14ac:dyDescent="0.2">
      <c r="A104" s="13">
        <v>50</v>
      </c>
      <c r="B104" s="13">
        <v>0</v>
      </c>
      <c r="C104" s="13">
        <v>0</v>
      </c>
      <c r="D104" s="13">
        <v>1</v>
      </c>
      <c r="E104" s="13">
        <v>230</v>
      </c>
      <c r="F104" s="13">
        <f>ROUND(Source!BA84,O104)</f>
        <v>0</v>
      </c>
      <c r="G104" s="13" t="s">
        <v>82</v>
      </c>
      <c r="H104" s="13" t="s">
        <v>83</v>
      </c>
      <c r="I104" s="13"/>
      <c r="J104" s="13"/>
      <c r="K104" s="13">
        <v>230</v>
      </c>
      <c r="L104" s="13">
        <v>19</v>
      </c>
      <c r="M104" s="13">
        <v>3</v>
      </c>
      <c r="N104" s="13" t="s">
        <v>3</v>
      </c>
      <c r="O104" s="13">
        <v>2</v>
      </c>
      <c r="P104" s="13">
        <f>ROUND(Source!ES84,O104)</f>
        <v>0</v>
      </c>
      <c r="Q104" s="13"/>
      <c r="R104" s="13"/>
      <c r="S104" s="13"/>
      <c r="T104" s="13"/>
      <c r="U104" s="13"/>
      <c r="V104" s="13"/>
      <c r="W104" s="13">
        <v>0</v>
      </c>
      <c r="X104" s="13">
        <v>1</v>
      </c>
      <c r="Y104" s="13">
        <v>0</v>
      </c>
      <c r="Z104" s="13">
        <v>0</v>
      </c>
      <c r="AA104" s="13">
        <v>1</v>
      </c>
      <c r="AB104" s="13">
        <v>0</v>
      </c>
    </row>
    <row r="105" spans="1:28" x14ac:dyDescent="0.2">
      <c r="A105" s="13">
        <v>50</v>
      </c>
      <c r="B105" s="13">
        <v>0</v>
      </c>
      <c r="C105" s="13">
        <v>0</v>
      </c>
      <c r="D105" s="13">
        <v>1</v>
      </c>
      <c r="E105" s="13">
        <v>206</v>
      </c>
      <c r="F105" s="13">
        <f>ROUND(Source!T84,O105)</f>
        <v>0</v>
      </c>
      <c r="G105" s="13" t="s">
        <v>84</v>
      </c>
      <c r="H105" s="13" t="s">
        <v>85</v>
      </c>
      <c r="I105" s="13"/>
      <c r="J105" s="13"/>
      <c r="K105" s="13">
        <v>206</v>
      </c>
      <c r="L105" s="13">
        <v>20</v>
      </c>
      <c r="M105" s="13">
        <v>3</v>
      </c>
      <c r="N105" s="13" t="s">
        <v>3</v>
      </c>
      <c r="O105" s="13">
        <v>2</v>
      </c>
      <c r="P105" s="13">
        <f>ROUND(Source!DL84,O105)</f>
        <v>0</v>
      </c>
      <c r="Q105" s="13"/>
      <c r="R105" s="13"/>
      <c r="S105" s="13"/>
      <c r="T105" s="13"/>
      <c r="U105" s="13"/>
      <c r="V105" s="13"/>
      <c r="W105" s="13">
        <v>0</v>
      </c>
      <c r="X105" s="13">
        <v>1</v>
      </c>
      <c r="Y105" s="13">
        <v>0</v>
      </c>
      <c r="Z105" s="13">
        <v>0</v>
      </c>
      <c r="AA105" s="13">
        <v>1</v>
      </c>
      <c r="AB105" s="13">
        <v>0</v>
      </c>
    </row>
    <row r="106" spans="1:28" x14ac:dyDescent="0.2">
      <c r="A106" s="13">
        <v>50</v>
      </c>
      <c r="B106" s="13">
        <v>0</v>
      </c>
      <c r="C106" s="13">
        <v>0</v>
      </c>
      <c r="D106" s="13">
        <v>1</v>
      </c>
      <c r="E106" s="13">
        <v>207</v>
      </c>
      <c r="F106" s="13">
        <f>Source!U84</f>
        <v>17.304292500000003</v>
      </c>
      <c r="G106" s="13" t="s">
        <v>86</v>
      </c>
      <c r="H106" s="13" t="s">
        <v>87</v>
      </c>
      <c r="I106" s="13"/>
      <c r="J106" s="13"/>
      <c r="K106" s="13">
        <v>207</v>
      </c>
      <c r="L106" s="13">
        <v>21</v>
      </c>
      <c r="M106" s="13">
        <v>3</v>
      </c>
      <c r="N106" s="13" t="s">
        <v>3</v>
      </c>
      <c r="O106" s="13">
        <v>-1</v>
      </c>
      <c r="P106" s="13">
        <f>Source!DM84</f>
        <v>17.304292500000003</v>
      </c>
      <c r="Q106" s="13"/>
      <c r="R106" s="13"/>
      <c r="S106" s="13"/>
      <c r="T106" s="13"/>
      <c r="U106" s="13"/>
      <c r="V106" s="13"/>
      <c r="W106" s="13">
        <v>17.304292499999999</v>
      </c>
      <c r="X106" s="13">
        <v>1</v>
      </c>
      <c r="Y106" s="13">
        <v>17.304292499999999</v>
      </c>
      <c r="Z106" s="13">
        <v>17.304292499999999</v>
      </c>
      <c r="AA106" s="13">
        <v>1</v>
      </c>
      <c r="AB106" s="13">
        <v>17.304292499999999</v>
      </c>
    </row>
    <row r="107" spans="1:28" x14ac:dyDescent="0.2">
      <c r="A107" s="13">
        <v>50</v>
      </c>
      <c r="B107" s="13">
        <v>0</v>
      </c>
      <c r="C107" s="13">
        <v>0</v>
      </c>
      <c r="D107" s="13">
        <v>1</v>
      </c>
      <c r="E107" s="13">
        <v>208</v>
      </c>
      <c r="F107" s="13">
        <f>Source!V84</f>
        <v>0</v>
      </c>
      <c r="G107" s="13" t="s">
        <v>88</v>
      </c>
      <c r="H107" s="13" t="s">
        <v>89</v>
      </c>
      <c r="I107" s="13"/>
      <c r="J107" s="13"/>
      <c r="K107" s="13">
        <v>208</v>
      </c>
      <c r="L107" s="13">
        <v>22</v>
      </c>
      <c r="M107" s="13">
        <v>3</v>
      </c>
      <c r="N107" s="13" t="s">
        <v>3</v>
      </c>
      <c r="O107" s="13">
        <v>-1</v>
      </c>
      <c r="P107" s="13">
        <f>Source!DN84</f>
        <v>0</v>
      </c>
      <c r="Q107" s="13"/>
      <c r="R107" s="13"/>
      <c r="S107" s="13"/>
      <c r="T107" s="13"/>
      <c r="U107" s="13"/>
      <c r="V107" s="13"/>
      <c r="W107" s="13">
        <v>0</v>
      </c>
      <c r="X107" s="13">
        <v>1</v>
      </c>
      <c r="Y107" s="13">
        <v>0</v>
      </c>
      <c r="Z107" s="13">
        <v>0</v>
      </c>
      <c r="AA107" s="13">
        <v>1</v>
      </c>
      <c r="AB107" s="13">
        <v>0</v>
      </c>
    </row>
    <row r="108" spans="1:28" x14ac:dyDescent="0.2">
      <c r="A108" s="13">
        <v>50</v>
      </c>
      <c r="B108" s="13">
        <v>0</v>
      </c>
      <c r="C108" s="13">
        <v>0</v>
      </c>
      <c r="D108" s="13">
        <v>1</v>
      </c>
      <c r="E108" s="13">
        <v>209</v>
      </c>
      <c r="F108" s="13">
        <f>ROUND(Source!W84,O108)</f>
        <v>0</v>
      </c>
      <c r="G108" s="13" t="s">
        <v>90</v>
      </c>
      <c r="H108" s="13" t="s">
        <v>91</v>
      </c>
      <c r="I108" s="13"/>
      <c r="J108" s="13"/>
      <c r="K108" s="13">
        <v>209</v>
      </c>
      <c r="L108" s="13">
        <v>23</v>
      </c>
      <c r="M108" s="13">
        <v>3</v>
      </c>
      <c r="N108" s="13" t="s">
        <v>3</v>
      </c>
      <c r="O108" s="13">
        <v>2</v>
      </c>
      <c r="P108" s="13">
        <f>ROUND(Source!DO84,O108)</f>
        <v>0</v>
      </c>
      <c r="Q108" s="13"/>
      <c r="R108" s="13"/>
      <c r="S108" s="13"/>
      <c r="T108" s="13"/>
      <c r="U108" s="13"/>
      <c r="V108" s="13"/>
      <c r="W108" s="13">
        <v>0</v>
      </c>
      <c r="X108" s="13">
        <v>1</v>
      </c>
      <c r="Y108" s="13">
        <v>0</v>
      </c>
      <c r="Z108" s="13">
        <v>0</v>
      </c>
      <c r="AA108" s="13">
        <v>1</v>
      </c>
      <c r="AB108" s="13">
        <v>0</v>
      </c>
    </row>
    <row r="109" spans="1:28" x14ac:dyDescent="0.2">
      <c r="A109" s="13">
        <v>50</v>
      </c>
      <c r="B109" s="13">
        <v>0</v>
      </c>
      <c r="C109" s="13">
        <v>0</v>
      </c>
      <c r="D109" s="13">
        <v>1</v>
      </c>
      <c r="E109" s="13">
        <v>233</v>
      </c>
      <c r="F109" s="13">
        <f>ROUND(Source!BD84,O109)</f>
        <v>0</v>
      </c>
      <c r="G109" s="13" t="s">
        <v>92</v>
      </c>
      <c r="H109" s="13" t="s">
        <v>93</v>
      </c>
      <c r="I109" s="13"/>
      <c r="J109" s="13"/>
      <c r="K109" s="13">
        <v>233</v>
      </c>
      <c r="L109" s="13">
        <v>24</v>
      </c>
      <c r="M109" s="13">
        <v>3</v>
      </c>
      <c r="N109" s="13" t="s">
        <v>3</v>
      </c>
      <c r="O109" s="13">
        <v>2</v>
      </c>
      <c r="P109" s="13">
        <f>ROUND(Source!EV84,O109)</f>
        <v>0</v>
      </c>
      <c r="Q109" s="13"/>
      <c r="R109" s="13"/>
      <c r="S109" s="13"/>
      <c r="T109" s="13"/>
      <c r="U109" s="13"/>
      <c r="V109" s="13"/>
      <c r="W109" s="13">
        <v>0</v>
      </c>
      <c r="X109" s="13">
        <v>1</v>
      </c>
      <c r="Y109" s="13">
        <v>0</v>
      </c>
      <c r="Z109" s="13">
        <v>0</v>
      </c>
      <c r="AA109" s="13">
        <v>1</v>
      </c>
      <c r="AB109" s="13">
        <v>0</v>
      </c>
    </row>
    <row r="110" spans="1:28" x14ac:dyDescent="0.2">
      <c r="A110" s="13">
        <v>50</v>
      </c>
      <c r="B110" s="13">
        <v>0</v>
      </c>
      <c r="C110" s="13">
        <v>0</v>
      </c>
      <c r="D110" s="13">
        <v>1</v>
      </c>
      <c r="E110" s="13">
        <v>210</v>
      </c>
      <c r="F110" s="13">
        <f>ROUND(Source!X84,O110)</f>
        <v>189.29</v>
      </c>
      <c r="G110" s="13" t="s">
        <v>94</v>
      </c>
      <c r="H110" s="13" t="s">
        <v>95</v>
      </c>
      <c r="I110" s="13"/>
      <c r="J110" s="13"/>
      <c r="K110" s="13">
        <v>210</v>
      </c>
      <c r="L110" s="13">
        <v>25</v>
      </c>
      <c r="M110" s="13">
        <v>3</v>
      </c>
      <c r="N110" s="13" t="s">
        <v>3</v>
      </c>
      <c r="O110" s="13">
        <v>2</v>
      </c>
      <c r="P110" s="13">
        <f>ROUND(Source!DP84,O110)</f>
        <v>10409.030000000001</v>
      </c>
      <c r="Q110" s="13"/>
      <c r="R110" s="13"/>
      <c r="S110" s="13"/>
      <c r="T110" s="13"/>
      <c r="U110" s="13"/>
      <c r="V110" s="13"/>
      <c r="W110" s="13">
        <v>189.29</v>
      </c>
      <c r="X110" s="13">
        <v>1</v>
      </c>
      <c r="Y110" s="13">
        <v>189.29</v>
      </c>
      <c r="Z110" s="13">
        <v>10409.030000000001</v>
      </c>
      <c r="AA110" s="13">
        <v>1</v>
      </c>
      <c r="AB110" s="13">
        <v>10409.030000000001</v>
      </c>
    </row>
    <row r="111" spans="1:28" x14ac:dyDescent="0.2">
      <c r="A111" s="13">
        <v>50</v>
      </c>
      <c r="B111" s="13">
        <v>0</v>
      </c>
      <c r="C111" s="13">
        <v>0</v>
      </c>
      <c r="D111" s="13">
        <v>1</v>
      </c>
      <c r="E111" s="13">
        <v>211</v>
      </c>
      <c r="F111" s="13">
        <f>ROUND(Source!Y84,O111)</f>
        <v>97.28</v>
      </c>
      <c r="G111" s="13" t="s">
        <v>96</v>
      </c>
      <c r="H111" s="13" t="s">
        <v>97</v>
      </c>
      <c r="I111" s="13"/>
      <c r="J111" s="13"/>
      <c r="K111" s="13">
        <v>211</v>
      </c>
      <c r="L111" s="13">
        <v>26</v>
      </c>
      <c r="M111" s="13">
        <v>3</v>
      </c>
      <c r="N111" s="13" t="s">
        <v>3</v>
      </c>
      <c r="O111" s="13">
        <v>2</v>
      </c>
      <c r="P111" s="13">
        <f>ROUND(Source!DQ84,O111)</f>
        <v>5349.85</v>
      </c>
      <c r="Q111" s="13"/>
      <c r="R111" s="13"/>
      <c r="S111" s="13"/>
      <c r="T111" s="13"/>
      <c r="U111" s="13"/>
      <c r="V111" s="13"/>
      <c r="W111" s="13">
        <v>97.28</v>
      </c>
      <c r="X111" s="13">
        <v>1</v>
      </c>
      <c r="Y111" s="13">
        <v>97.28</v>
      </c>
      <c r="Z111" s="13">
        <v>5349.85</v>
      </c>
      <c r="AA111" s="13">
        <v>1</v>
      </c>
      <c r="AB111" s="13">
        <v>5349.85</v>
      </c>
    </row>
    <row r="112" spans="1:28" x14ac:dyDescent="0.2">
      <c r="A112" s="13">
        <v>50</v>
      </c>
      <c r="B112" s="13">
        <v>0</v>
      </c>
      <c r="C112" s="13">
        <v>0</v>
      </c>
      <c r="D112" s="13">
        <v>1</v>
      </c>
      <c r="E112" s="13">
        <v>224</v>
      </c>
      <c r="F112" s="13">
        <f>ROUND(Source!AR84,O112)</f>
        <v>2609.33</v>
      </c>
      <c r="G112" s="13" t="s">
        <v>98</v>
      </c>
      <c r="H112" s="13" t="s">
        <v>99</v>
      </c>
      <c r="I112" s="13"/>
      <c r="J112" s="13"/>
      <c r="K112" s="13">
        <v>224</v>
      </c>
      <c r="L112" s="13">
        <v>27</v>
      </c>
      <c r="M112" s="13">
        <v>3</v>
      </c>
      <c r="N112" s="13" t="s">
        <v>3</v>
      </c>
      <c r="O112" s="13">
        <v>2</v>
      </c>
      <c r="P112" s="13">
        <f>ROUND(Source!EJ84,O112)</f>
        <v>39179.22</v>
      </c>
      <c r="Q112" s="13"/>
      <c r="R112" s="13"/>
      <c r="S112" s="13"/>
      <c r="T112" s="13"/>
      <c r="U112" s="13"/>
      <c r="V112" s="13"/>
      <c r="W112" s="13">
        <v>2609.33</v>
      </c>
      <c r="X112" s="13">
        <v>1</v>
      </c>
      <c r="Y112" s="13">
        <v>2609.33</v>
      </c>
      <c r="Z112" s="13">
        <v>39179.22</v>
      </c>
      <c r="AA112" s="13">
        <v>1</v>
      </c>
      <c r="AB112" s="13">
        <v>39179.22</v>
      </c>
    </row>
    <row r="114" spans="1:206" x14ac:dyDescent="0.2">
      <c r="A114" s="11">
        <v>51</v>
      </c>
      <c r="B114" s="11">
        <f>B20</f>
        <v>1</v>
      </c>
      <c r="C114" s="11">
        <f>A20</f>
        <v>3</v>
      </c>
      <c r="D114" s="11">
        <f>ROW(A20)</f>
        <v>20</v>
      </c>
      <c r="E114" s="11"/>
      <c r="F114" s="11" t="str">
        <f>IF(F20&lt;&gt;"",F20,"")</f>
        <v>02-01-13</v>
      </c>
      <c r="G114" s="11" t="str">
        <f>IF(G20&lt;&gt;"",G20,"")</f>
        <v>Электрочасофикация</v>
      </c>
      <c r="H114" s="11">
        <v>0</v>
      </c>
      <c r="I114" s="11"/>
      <c r="J114" s="11"/>
      <c r="K114" s="11"/>
      <c r="L114" s="11"/>
      <c r="M114" s="11"/>
      <c r="N114" s="11"/>
      <c r="O114" s="11">
        <f t="shared" ref="O114:T114" si="95">ROUND(O37+O84+AB114,2)</f>
        <v>14406.32</v>
      </c>
      <c r="P114" s="11">
        <f t="shared" si="95"/>
        <v>14092.88</v>
      </c>
      <c r="Q114" s="11">
        <f t="shared" si="95"/>
        <v>3.84</v>
      </c>
      <c r="R114" s="11">
        <f t="shared" si="95"/>
        <v>0.17</v>
      </c>
      <c r="S114" s="11">
        <f t="shared" si="95"/>
        <v>309.60000000000002</v>
      </c>
      <c r="T114" s="11">
        <f t="shared" si="95"/>
        <v>0</v>
      </c>
      <c r="U114" s="11">
        <f>U37+U84+AH114</f>
        <v>25.366192500000004</v>
      </c>
      <c r="V114" s="11">
        <f>V37+V84+AI114</f>
        <v>0</v>
      </c>
      <c r="W114" s="11">
        <f>ROUND(W37+W84+AJ114,2)</f>
        <v>0</v>
      </c>
      <c r="X114" s="11">
        <f>ROUND(X37+X84+AK114,2)</f>
        <v>281.45</v>
      </c>
      <c r="Y114" s="11">
        <f>ROUND(Y37+Y84+AL114,2)</f>
        <v>144.38999999999999</v>
      </c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  <c r="AL114" s="11"/>
      <c r="AM114" s="11"/>
      <c r="AN114" s="11"/>
      <c r="AO114" s="11">
        <f t="shared" ref="AO114:BD114" si="96">ROUND(AO37+AO84+BX114,2)</f>
        <v>0</v>
      </c>
      <c r="AP114" s="11">
        <f t="shared" si="96"/>
        <v>11980.11</v>
      </c>
      <c r="AQ114" s="11">
        <f t="shared" si="96"/>
        <v>0</v>
      </c>
      <c r="AR114" s="11">
        <f t="shared" si="96"/>
        <v>14832.16</v>
      </c>
      <c r="AS114" s="11">
        <f t="shared" si="96"/>
        <v>0</v>
      </c>
      <c r="AT114" s="11">
        <f t="shared" si="96"/>
        <v>2852.05</v>
      </c>
      <c r="AU114" s="11">
        <f t="shared" si="96"/>
        <v>0</v>
      </c>
      <c r="AV114" s="11">
        <f t="shared" si="96"/>
        <v>14092.88</v>
      </c>
      <c r="AW114" s="11">
        <f t="shared" si="96"/>
        <v>2112.77</v>
      </c>
      <c r="AX114" s="11">
        <f t="shared" si="96"/>
        <v>0</v>
      </c>
      <c r="AY114" s="11">
        <f t="shared" si="96"/>
        <v>2112.77</v>
      </c>
      <c r="AZ114" s="11">
        <f t="shared" si="96"/>
        <v>11980.11</v>
      </c>
      <c r="BA114" s="11">
        <f t="shared" si="96"/>
        <v>0</v>
      </c>
      <c r="BB114" s="11">
        <f t="shared" si="96"/>
        <v>0</v>
      </c>
      <c r="BC114" s="11">
        <f t="shared" si="96"/>
        <v>0</v>
      </c>
      <c r="BD114" s="11">
        <f t="shared" si="96"/>
        <v>0</v>
      </c>
      <c r="BE114" s="11"/>
      <c r="BF114" s="11"/>
      <c r="BG114" s="11"/>
      <c r="BH114" s="11"/>
      <c r="BI114" s="11"/>
      <c r="BJ114" s="11"/>
      <c r="BK114" s="11"/>
      <c r="BL114" s="11"/>
      <c r="BM114" s="11"/>
      <c r="BN114" s="11"/>
      <c r="BO114" s="11"/>
      <c r="BP114" s="11"/>
      <c r="BQ114" s="11"/>
      <c r="BR114" s="11"/>
      <c r="BS114" s="11"/>
      <c r="BT114" s="11"/>
      <c r="BU114" s="11"/>
      <c r="BV114" s="11"/>
      <c r="BW114" s="11"/>
      <c r="BX114" s="11"/>
      <c r="BY114" s="11"/>
      <c r="BZ114" s="11"/>
      <c r="CA114" s="11"/>
      <c r="CB114" s="11"/>
      <c r="CC114" s="11"/>
      <c r="CD114" s="11"/>
      <c r="CE114" s="11"/>
      <c r="CF114" s="11"/>
      <c r="CG114" s="11"/>
      <c r="CH114" s="11"/>
      <c r="CI114" s="11"/>
      <c r="CJ114" s="11"/>
      <c r="CK114" s="11"/>
      <c r="CL114" s="11"/>
      <c r="CM114" s="11"/>
      <c r="CN114" s="11"/>
      <c r="CO114" s="11"/>
      <c r="CP114" s="11"/>
      <c r="CQ114" s="11"/>
      <c r="CR114" s="11"/>
      <c r="CS114" s="11"/>
      <c r="CT114" s="11"/>
      <c r="CU114" s="11"/>
      <c r="CV114" s="11"/>
      <c r="CW114" s="11"/>
      <c r="CX114" s="11"/>
      <c r="CY114" s="11"/>
      <c r="CZ114" s="11"/>
      <c r="DA114" s="11"/>
      <c r="DB114" s="11"/>
      <c r="DC114" s="11"/>
      <c r="DD114" s="11"/>
      <c r="DE114" s="11"/>
      <c r="DF114" s="11"/>
      <c r="DG114" s="12">
        <f t="shared" ref="DG114:DL114" si="97">ROUND(DG37+DG84+DT114,2)</f>
        <v>117234.64</v>
      </c>
      <c r="DH114" s="12">
        <f t="shared" si="97"/>
        <v>100167.42</v>
      </c>
      <c r="DI114" s="12">
        <f t="shared" si="97"/>
        <v>42.32</v>
      </c>
      <c r="DJ114" s="12">
        <f t="shared" si="97"/>
        <v>9.35</v>
      </c>
      <c r="DK114" s="12">
        <f t="shared" si="97"/>
        <v>17024.900000000001</v>
      </c>
      <c r="DL114" s="12">
        <f t="shared" si="97"/>
        <v>0</v>
      </c>
      <c r="DM114" s="12">
        <f>DM37+DM84+DZ114</f>
        <v>25.366192500000004</v>
      </c>
      <c r="DN114" s="12">
        <f>DN37+DN84+EA114</f>
        <v>0</v>
      </c>
      <c r="DO114" s="12">
        <f>ROUND(DO37+DO84+EB114,2)</f>
        <v>0</v>
      </c>
      <c r="DP114" s="12">
        <f>ROUND(DP37+DP84+EC114,2)</f>
        <v>15476.91</v>
      </c>
      <c r="DQ114" s="12">
        <f>ROUND(DQ37+DQ84+ED114,2)</f>
        <v>7940.09</v>
      </c>
      <c r="DR114" s="12"/>
      <c r="DS114" s="12"/>
      <c r="DT114" s="12"/>
      <c r="DU114" s="12"/>
      <c r="DV114" s="12"/>
      <c r="DW114" s="12"/>
      <c r="DX114" s="12"/>
      <c r="DY114" s="12"/>
      <c r="DZ114" s="12"/>
      <c r="EA114" s="12"/>
      <c r="EB114" s="12"/>
      <c r="EC114" s="12"/>
      <c r="ED114" s="12"/>
      <c r="EE114" s="12"/>
      <c r="EF114" s="12"/>
      <c r="EG114" s="12">
        <f t="shared" ref="EG114:EV114" si="98">ROUND(EG37+EG84+FP114,2)</f>
        <v>0</v>
      </c>
      <c r="EH114" s="12">
        <f t="shared" si="98"/>
        <v>88172.94</v>
      </c>
      <c r="EI114" s="12">
        <f t="shared" si="98"/>
        <v>0</v>
      </c>
      <c r="EJ114" s="12">
        <f t="shared" si="98"/>
        <v>140651.64000000001</v>
      </c>
      <c r="EK114" s="12">
        <f t="shared" si="98"/>
        <v>0</v>
      </c>
      <c r="EL114" s="12">
        <f t="shared" si="98"/>
        <v>52478.7</v>
      </c>
      <c r="EM114" s="12">
        <f t="shared" si="98"/>
        <v>0</v>
      </c>
      <c r="EN114" s="12">
        <f t="shared" si="98"/>
        <v>100167.42</v>
      </c>
      <c r="EO114" s="12">
        <f t="shared" si="98"/>
        <v>11994.48</v>
      </c>
      <c r="EP114" s="12">
        <f t="shared" si="98"/>
        <v>0</v>
      </c>
      <c r="EQ114" s="12">
        <f t="shared" si="98"/>
        <v>11994.48</v>
      </c>
      <c r="ER114" s="12">
        <f t="shared" si="98"/>
        <v>88172.94</v>
      </c>
      <c r="ES114" s="12">
        <f t="shared" si="98"/>
        <v>0</v>
      </c>
      <c r="ET114" s="12">
        <f t="shared" si="98"/>
        <v>0</v>
      </c>
      <c r="EU114" s="12">
        <f t="shared" si="98"/>
        <v>0</v>
      </c>
      <c r="EV114" s="12">
        <f t="shared" si="98"/>
        <v>0</v>
      </c>
      <c r="EW114" s="12"/>
      <c r="EX114" s="12"/>
      <c r="EY114" s="12"/>
      <c r="EZ114" s="12"/>
      <c r="FA114" s="12"/>
      <c r="FB114" s="12"/>
      <c r="FC114" s="12"/>
      <c r="FD114" s="12"/>
      <c r="FE114" s="12"/>
      <c r="FF114" s="12"/>
      <c r="FG114" s="12"/>
      <c r="FH114" s="12"/>
      <c r="FI114" s="12"/>
      <c r="FJ114" s="12"/>
      <c r="FK114" s="12"/>
      <c r="FL114" s="12"/>
      <c r="FM114" s="12"/>
      <c r="FN114" s="12"/>
      <c r="FO114" s="12"/>
      <c r="FP114" s="12"/>
      <c r="FQ114" s="12"/>
      <c r="FR114" s="12"/>
      <c r="FS114" s="12"/>
      <c r="FT114" s="12"/>
      <c r="FU114" s="12"/>
      <c r="FV114" s="12"/>
      <c r="FW114" s="12"/>
      <c r="FX114" s="12"/>
      <c r="FY114" s="12"/>
      <c r="FZ114" s="12"/>
      <c r="GA114" s="12"/>
      <c r="GB114" s="12"/>
      <c r="GC114" s="12"/>
      <c r="GD114" s="12"/>
      <c r="GE114" s="12"/>
      <c r="GF114" s="12"/>
      <c r="GG114" s="12"/>
      <c r="GH114" s="12"/>
      <c r="GI114" s="12"/>
      <c r="GJ114" s="12"/>
      <c r="GK114" s="12"/>
      <c r="GL114" s="12"/>
      <c r="GM114" s="12"/>
      <c r="GN114" s="12"/>
      <c r="GO114" s="12"/>
      <c r="GP114" s="12"/>
      <c r="GQ114" s="12"/>
      <c r="GR114" s="12"/>
      <c r="GS114" s="12"/>
      <c r="GT114" s="12"/>
      <c r="GU114" s="12"/>
      <c r="GV114" s="12"/>
      <c r="GW114" s="12"/>
      <c r="GX114" s="12">
        <v>0</v>
      </c>
    </row>
    <row r="116" spans="1:206" x14ac:dyDescent="0.2">
      <c r="A116" s="13">
        <v>50</v>
      </c>
      <c r="B116" s="13">
        <v>0</v>
      </c>
      <c r="C116" s="13">
        <v>0</v>
      </c>
      <c r="D116" s="13">
        <v>1</v>
      </c>
      <c r="E116" s="13">
        <v>201</v>
      </c>
      <c r="F116" s="13">
        <f>ROUND(Source!O114,O116)</f>
        <v>14406.32</v>
      </c>
      <c r="G116" s="13" t="s">
        <v>46</v>
      </c>
      <c r="H116" s="13" t="s">
        <v>47</v>
      </c>
      <c r="I116" s="13"/>
      <c r="J116" s="13"/>
      <c r="K116" s="13">
        <v>201</v>
      </c>
      <c r="L116" s="13">
        <v>1</v>
      </c>
      <c r="M116" s="13">
        <v>3</v>
      </c>
      <c r="N116" s="13" t="s">
        <v>3</v>
      </c>
      <c r="O116" s="13">
        <v>2</v>
      </c>
      <c r="P116" s="13">
        <f>ROUND(Source!DG114,O116)</f>
        <v>117234.64</v>
      </c>
      <c r="Q116" s="13"/>
      <c r="R116" s="13"/>
      <c r="S116" s="13"/>
      <c r="T116" s="13"/>
      <c r="U116" s="13"/>
      <c r="V116" s="13"/>
      <c r="W116" s="13">
        <v>14406.32</v>
      </c>
      <c r="X116" s="13">
        <v>1</v>
      </c>
      <c r="Y116" s="13">
        <v>14406.32</v>
      </c>
      <c r="Z116" s="13">
        <v>117234.64</v>
      </c>
      <c r="AA116" s="13">
        <v>1</v>
      </c>
      <c r="AB116" s="13">
        <v>117234.64</v>
      </c>
    </row>
    <row r="117" spans="1:206" x14ac:dyDescent="0.2">
      <c r="A117" s="13">
        <v>50</v>
      </c>
      <c r="B117" s="13">
        <v>0</v>
      </c>
      <c r="C117" s="13">
        <v>0</v>
      </c>
      <c r="D117" s="13">
        <v>1</v>
      </c>
      <c r="E117" s="13">
        <v>202</v>
      </c>
      <c r="F117" s="13">
        <f>ROUND(Source!P114,O117)</f>
        <v>14092.88</v>
      </c>
      <c r="G117" s="13" t="s">
        <v>48</v>
      </c>
      <c r="H117" s="13" t="s">
        <v>49</v>
      </c>
      <c r="I117" s="13"/>
      <c r="J117" s="13"/>
      <c r="K117" s="13">
        <v>202</v>
      </c>
      <c r="L117" s="13">
        <v>2</v>
      </c>
      <c r="M117" s="13">
        <v>3</v>
      </c>
      <c r="N117" s="13" t="s">
        <v>3</v>
      </c>
      <c r="O117" s="13">
        <v>2</v>
      </c>
      <c r="P117" s="13">
        <f>ROUND(Source!DH114,O117)</f>
        <v>100167.42</v>
      </c>
      <c r="Q117" s="13"/>
      <c r="R117" s="13"/>
      <c r="S117" s="13"/>
      <c r="T117" s="13"/>
      <c r="U117" s="13"/>
      <c r="V117" s="13"/>
      <c r="W117" s="13">
        <v>14092.88</v>
      </c>
      <c r="X117" s="13">
        <v>1</v>
      </c>
      <c r="Y117" s="13">
        <v>14092.88</v>
      </c>
      <c r="Z117" s="13">
        <v>100167.42</v>
      </c>
      <c r="AA117" s="13">
        <v>1</v>
      </c>
      <c r="AB117" s="13">
        <v>100167.42</v>
      </c>
    </row>
    <row r="118" spans="1:206" x14ac:dyDescent="0.2">
      <c r="A118" s="13">
        <v>50</v>
      </c>
      <c r="B118" s="13">
        <v>0</v>
      </c>
      <c r="C118" s="13">
        <v>0</v>
      </c>
      <c r="D118" s="13">
        <v>1</v>
      </c>
      <c r="E118" s="13">
        <v>222</v>
      </c>
      <c r="F118" s="13">
        <f>ROUND(Source!AO114,O118)</f>
        <v>0</v>
      </c>
      <c r="G118" s="13" t="s">
        <v>50</v>
      </c>
      <c r="H118" s="13" t="s">
        <v>51</v>
      </c>
      <c r="I118" s="13"/>
      <c r="J118" s="13"/>
      <c r="K118" s="13">
        <v>222</v>
      </c>
      <c r="L118" s="13">
        <v>3</v>
      </c>
      <c r="M118" s="13">
        <v>3</v>
      </c>
      <c r="N118" s="13" t="s">
        <v>3</v>
      </c>
      <c r="O118" s="13">
        <v>2</v>
      </c>
      <c r="P118" s="13">
        <f>ROUND(Source!EG114,O118)</f>
        <v>0</v>
      </c>
      <c r="Q118" s="13"/>
      <c r="R118" s="13"/>
      <c r="S118" s="13"/>
      <c r="T118" s="13"/>
      <c r="U118" s="13"/>
      <c r="V118" s="13"/>
      <c r="W118" s="13">
        <v>0</v>
      </c>
      <c r="X118" s="13">
        <v>1</v>
      </c>
      <c r="Y118" s="13">
        <v>0</v>
      </c>
      <c r="Z118" s="13">
        <v>0</v>
      </c>
      <c r="AA118" s="13">
        <v>1</v>
      </c>
      <c r="AB118" s="13">
        <v>0</v>
      </c>
    </row>
    <row r="119" spans="1:206" x14ac:dyDescent="0.2">
      <c r="A119" s="13">
        <v>50</v>
      </c>
      <c r="B119" s="13">
        <v>0</v>
      </c>
      <c r="C119" s="13">
        <v>0</v>
      </c>
      <c r="D119" s="13">
        <v>1</v>
      </c>
      <c r="E119" s="13">
        <v>225</v>
      </c>
      <c r="F119" s="13">
        <f>ROUND(Source!AV114,O119)</f>
        <v>14092.88</v>
      </c>
      <c r="G119" s="13" t="s">
        <v>52</v>
      </c>
      <c r="H119" s="13" t="s">
        <v>53</v>
      </c>
      <c r="I119" s="13"/>
      <c r="J119" s="13"/>
      <c r="K119" s="13">
        <v>225</v>
      </c>
      <c r="L119" s="13">
        <v>4</v>
      </c>
      <c r="M119" s="13">
        <v>3</v>
      </c>
      <c r="N119" s="13" t="s">
        <v>3</v>
      </c>
      <c r="O119" s="13">
        <v>2</v>
      </c>
      <c r="P119" s="13">
        <f>ROUND(Source!EN114,O119)</f>
        <v>100167.42</v>
      </c>
      <c r="Q119" s="13"/>
      <c r="R119" s="13"/>
      <c r="S119" s="13"/>
      <c r="T119" s="13"/>
      <c r="U119" s="13"/>
      <c r="V119" s="13"/>
      <c r="W119" s="13">
        <v>14092.88</v>
      </c>
      <c r="X119" s="13">
        <v>1</v>
      </c>
      <c r="Y119" s="13">
        <v>14092.88</v>
      </c>
      <c r="Z119" s="13">
        <v>100167.42</v>
      </c>
      <c r="AA119" s="13">
        <v>1</v>
      </c>
      <c r="AB119" s="13">
        <v>100167.42</v>
      </c>
    </row>
    <row r="120" spans="1:206" x14ac:dyDescent="0.2">
      <c r="A120" s="13">
        <v>50</v>
      </c>
      <c r="B120" s="13">
        <v>0</v>
      </c>
      <c r="C120" s="13">
        <v>0</v>
      </c>
      <c r="D120" s="13">
        <v>1</v>
      </c>
      <c r="E120" s="13">
        <v>226</v>
      </c>
      <c r="F120" s="13">
        <f>ROUND(Source!AW114,O120)</f>
        <v>2112.77</v>
      </c>
      <c r="G120" s="13" t="s">
        <v>54</v>
      </c>
      <c r="H120" s="13" t="s">
        <v>55</v>
      </c>
      <c r="I120" s="13"/>
      <c r="J120" s="13"/>
      <c r="K120" s="13">
        <v>226</v>
      </c>
      <c r="L120" s="13">
        <v>5</v>
      </c>
      <c r="M120" s="13">
        <v>3</v>
      </c>
      <c r="N120" s="13" t="s">
        <v>3</v>
      </c>
      <c r="O120" s="13">
        <v>2</v>
      </c>
      <c r="P120" s="13">
        <f>ROUND(Source!EO114,O120)</f>
        <v>11994.48</v>
      </c>
      <c r="Q120" s="13"/>
      <c r="R120" s="13"/>
      <c r="S120" s="13"/>
      <c r="T120" s="13"/>
      <c r="U120" s="13"/>
      <c r="V120" s="13"/>
      <c r="W120" s="13">
        <v>2112.77</v>
      </c>
      <c r="X120" s="13">
        <v>1</v>
      </c>
      <c r="Y120" s="13">
        <v>2112.77</v>
      </c>
      <c r="Z120" s="13">
        <v>11994.48</v>
      </c>
      <c r="AA120" s="13">
        <v>1</v>
      </c>
      <c r="AB120" s="13">
        <v>11994.48</v>
      </c>
    </row>
    <row r="121" spans="1:206" x14ac:dyDescent="0.2">
      <c r="A121" s="13">
        <v>50</v>
      </c>
      <c r="B121" s="13">
        <v>0</v>
      </c>
      <c r="C121" s="13">
        <v>0</v>
      </c>
      <c r="D121" s="13">
        <v>1</v>
      </c>
      <c r="E121" s="13">
        <v>227</v>
      </c>
      <c r="F121" s="13">
        <f>ROUND(Source!AX114,O121)</f>
        <v>0</v>
      </c>
      <c r="G121" s="13" t="s">
        <v>56</v>
      </c>
      <c r="H121" s="13" t="s">
        <v>57</v>
      </c>
      <c r="I121" s="13"/>
      <c r="J121" s="13"/>
      <c r="K121" s="13">
        <v>227</v>
      </c>
      <c r="L121" s="13">
        <v>6</v>
      </c>
      <c r="M121" s="13">
        <v>3</v>
      </c>
      <c r="N121" s="13" t="s">
        <v>3</v>
      </c>
      <c r="O121" s="13">
        <v>2</v>
      </c>
      <c r="P121" s="13">
        <f>ROUND(Source!EP114,O121)</f>
        <v>0</v>
      </c>
      <c r="Q121" s="13"/>
      <c r="R121" s="13"/>
      <c r="S121" s="13"/>
      <c r="T121" s="13"/>
      <c r="U121" s="13"/>
      <c r="V121" s="13"/>
      <c r="W121" s="13">
        <v>0</v>
      </c>
      <c r="X121" s="13">
        <v>1</v>
      </c>
      <c r="Y121" s="13">
        <v>0</v>
      </c>
      <c r="Z121" s="13">
        <v>0</v>
      </c>
      <c r="AA121" s="13">
        <v>1</v>
      </c>
      <c r="AB121" s="13">
        <v>0</v>
      </c>
    </row>
    <row r="122" spans="1:206" x14ac:dyDescent="0.2">
      <c r="A122" s="13">
        <v>50</v>
      </c>
      <c r="B122" s="13">
        <v>0</v>
      </c>
      <c r="C122" s="13">
        <v>0</v>
      </c>
      <c r="D122" s="13">
        <v>1</v>
      </c>
      <c r="E122" s="13">
        <v>228</v>
      </c>
      <c r="F122" s="13">
        <f>ROUND(Source!AY114,O122)</f>
        <v>2112.77</v>
      </c>
      <c r="G122" s="13" t="s">
        <v>58</v>
      </c>
      <c r="H122" s="13" t="s">
        <v>59</v>
      </c>
      <c r="I122" s="13"/>
      <c r="J122" s="13"/>
      <c r="K122" s="13">
        <v>228</v>
      </c>
      <c r="L122" s="13">
        <v>7</v>
      </c>
      <c r="M122" s="13">
        <v>3</v>
      </c>
      <c r="N122" s="13" t="s">
        <v>3</v>
      </c>
      <c r="O122" s="13">
        <v>2</v>
      </c>
      <c r="P122" s="13">
        <f>ROUND(Source!EQ114,O122)</f>
        <v>11994.48</v>
      </c>
      <c r="Q122" s="13"/>
      <c r="R122" s="13"/>
      <c r="S122" s="13"/>
      <c r="T122" s="13"/>
      <c r="U122" s="13"/>
      <c r="V122" s="13"/>
      <c r="W122" s="13">
        <v>2112.77</v>
      </c>
      <c r="X122" s="13">
        <v>1</v>
      </c>
      <c r="Y122" s="13">
        <v>2112.77</v>
      </c>
      <c r="Z122" s="13">
        <v>11994.48</v>
      </c>
      <c r="AA122" s="13">
        <v>1</v>
      </c>
      <c r="AB122" s="13">
        <v>11994.48</v>
      </c>
    </row>
    <row r="123" spans="1:206" x14ac:dyDescent="0.2">
      <c r="A123" s="13">
        <v>50</v>
      </c>
      <c r="B123" s="13">
        <v>0</v>
      </c>
      <c r="C123" s="13">
        <v>0</v>
      </c>
      <c r="D123" s="13">
        <v>1</v>
      </c>
      <c r="E123" s="13">
        <v>216</v>
      </c>
      <c r="F123" s="13">
        <f>ROUND(Source!AP114,O123)</f>
        <v>11980.11</v>
      </c>
      <c r="G123" s="13" t="s">
        <v>60</v>
      </c>
      <c r="H123" s="13" t="s">
        <v>61</v>
      </c>
      <c r="I123" s="13"/>
      <c r="J123" s="13"/>
      <c r="K123" s="13">
        <v>216</v>
      </c>
      <c r="L123" s="13">
        <v>8</v>
      </c>
      <c r="M123" s="13">
        <v>3</v>
      </c>
      <c r="N123" s="13" t="s">
        <v>3</v>
      </c>
      <c r="O123" s="13">
        <v>2</v>
      </c>
      <c r="P123" s="13">
        <f>ROUND(Source!EH114,O123)</f>
        <v>88172.94</v>
      </c>
      <c r="Q123" s="13"/>
      <c r="R123" s="13"/>
      <c r="S123" s="13"/>
      <c r="T123" s="13"/>
      <c r="U123" s="13"/>
      <c r="V123" s="13"/>
      <c r="W123" s="13">
        <v>11980.11</v>
      </c>
      <c r="X123" s="13">
        <v>1</v>
      </c>
      <c r="Y123" s="13">
        <v>11980.11</v>
      </c>
      <c r="Z123" s="13">
        <v>88172.94</v>
      </c>
      <c r="AA123" s="13">
        <v>1</v>
      </c>
      <c r="AB123" s="13">
        <v>88172.94</v>
      </c>
    </row>
    <row r="124" spans="1:206" x14ac:dyDescent="0.2">
      <c r="A124" s="13">
        <v>50</v>
      </c>
      <c r="B124" s="13">
        <v>0</v>
      </c>
      <c r="C124" s="13">
        <v>0</v>
      </c>
      <c r="D124" s="13">
        <v>1</v>
      </c>
      <c r="E124" s="13">
        <v>223</v>
      </c>
      <c r="F124" s="13">
        <f>ROUND(Source!AQ114,O124)</f>
        <v>0</v>
      </c>
      <c r="G124" s="13" t="s">
        <v>62</v>
      </c>
      <c r="H124" s="13" t="s">
        <v>63</v>
      </c>
      <c r="I124" s="13"/>
      <c r="J124" s="13"/>
      <c r="K124" s="13">
        <v>223</v>
      </c>
      <c r="L124" s="13">
        <v>9</v>
      </c>
      <c r="M124" s="13">
        <v>3</v>
      </c>
      <c r="N124" s="13" t="s">
        <v>3</v>
      </c>
      <c r="O124" s="13">
        <v>2</v>
      </c>
      <c r="P124" s="13">
        <f>ROUND(Source!EI114,O124)</f>
        <v>0</v>
      </c>
      <c r="Q124" s="13"/>
      <c r="R124" s="13"/>
      <c r="S124" s="13"/>
      <c r="T124" s="13"/>
      <c r="U124" s="13"/>
      <c r="V124" s="13"/>
      <c r="W124" s="13">
        <v>0</v>
      </c>
      <c r="X124" s="13">
        <v>1</v>
      </c>
      <c r="Y124" s="13">
        <v>0</v>
      </c>
      <c r="Z124" s="13">
        <v>0</v>
      </c>
      <c r="AA124" s="13">
        <v>1</v>
      </c>
      <c r="AB124" s="13">
        <v>0</v>
      </c>
    </row>
    <row r="125" spans="1:206" x14ac:dyDescent="0.2">
      <c r="A125" s="13">
        <v>50</v>
      </c>
      <c r="B125" s="13">
        <v>0</v>
      </c>
      <c r="C125" s="13">
        <v>0</v>
      </c>
      <c r="D125" s="13">
        <v>1</v>
      </c>
      <c r="E125" s="13">
        <v>229</v>
      </c>
      <c r="F125" s="13">
        <f>ROUND(Source!AZ114,O125)</f>
        <v>11980.11</v>
      </c>
      <c r="G125" s="13" t="s">
        <v>64</v>
      </c>
      <c r="H125" s="13" t="s">
        <v>65</v>
      </c>
      <c r="I125" s="13"/>
      <c r="J125" s="13"/>
      <c r="K125" s="13">
        <v>229</v>
      </c>
      <c r="L125" s="13">
        <v>10</v>
      </c>
      <c r="M125" s="13">
        <v>3</v>
      </c>
      <c r="N125" s="13" t="s">
        <v>3</v>
      </c>
      <c r="O125" s="13">
        <v>2</v>
      </c>
      <c r="P125" s="13">
        <f>ROUND(Source!ER114,O125)</f>
        <v>88172.94</v>
      </c>
      <c r="Q125" s="13"/>
      <c r="R125" s="13"/>
      <c r="S125" s="13"/>
      <c r="T125" s="13"/>
      <c r="U125" s="13"/>
      <c r="V125" s="13"/>
      <c r="W125" s="13">
        <v>11980.11</v>
      </c>
      <c r="X125" s="13">
        <v>1</v>
      </c>
      <c r="Y125" s="13">
        <v>11980.11</v>
      </c>
      <c r="Z125" s="13">
        <v>88172.94</v>
      </c>
      <c r="AA125" s="13">
        <v>1</v>
      </c>
      <c r="AB125" s="13">
        <v>88172.94</v>
      </c>
    </row>
    <row r="126" spans="1:206" x14ac:dyDescent="0.2">
      <c r="A126" s="13">
        <v>50</v>
      </c>
      <c r="B126" s="13">
        <v>0</v>
      </c>
      <c r="C126" s="13">
        <v>0</v>
      </c>
      <c r="D126" s="13">
        <v>1</v>
      </c>
      <c r="E126" s="13">
        <v>203</v>
      </c>
      <c r="F126" s="13">
        <f>ROUND(Source!Q114,O126)</f>
        <v>3.84</v>
      </c>
      <c r="G126" s="13" t="s">
        <v>66</v>
      </c>
      <c r="H126" s="13" t="s">
        <v>67</v>
      </c>
      <c r="I126" s="13"/>
      <c r="J126" s="13"/>
      <c r="K126" s="13">
        <v>203</v>
      </c>
      <c r="L126" s="13">
        <v>11</v>
      </c>
      <c r="M126" s="13">
        <v>3</v>
      </c>
      <c r="N126" s="13" t="s">
        <v>3</v>
      </c>
      <c r="O126" s="13">
        <v>2</v>
      </c>
      <c r="P126" s="13">
        <f>ROUND(Source!DI114,O126)</f>
        <v>42.32</v>
      </c>
      <c r="Q126" s="13"/>
      <c r="R126" s="13"/>
      <c r="S126" s="13"/>
      <c r="T126" s="13"/>
      <c r="U126" s="13"/>
      <c r="V126" s="13"/>
      <c r="W126" s="13">
        <v>3.84</v>
      </c>
      <c r="X126" s="13">
        <v>1</v>
      </c>
      <c r="Y126" s="13">
        <v>3.84</v>
      </c>
      <c r="Z126" s="13">
        <v>42.32</v>
      </c>
      <c r="AA126" s="13">
        <v>1</v>
      </c>
      <c r="AB126" s="13">
        <v>42.32</v>
      </c>
    </row>
    <row r="127" spans="1:206" x14ac:dyDescent="0.2">
      <c r="A127" s="13">
        <v>50</v>
      </c>
      <c r="B127" s="13">
        <v>0</v>
      </c>
      <c r="C127" s="13">
        <v>0</v>
      </c>
      <c r="D127" s="13">
        <v>1</v>
      </c>
      <c r="E127" s="13">
        <v>231</v>
      </c>
      <c r="F127" s="13">
        <f>ROUND(Source!BB114,O127)</f>
        <v>0</v>
      </c>
      <c r="G127" s="13" t="s">
        <v>68</v>
      </c>
      <c r="H127" s="13" t="s">
        <v>69</v>
      </c>
      <c r="I127" s="13"/>
      <c r="J127" s="13"/>
      <c r="K127" s="13">
        <v>231</v>
      </c>
      <c r="L127" s="13">
        <v>12</v>
      </c>
      <c r="M127" s="13">
        <v>3</v>
      </c>
      <c r="N127" s="13" t="s">
        <v>3</v>
      </c>
      <c r="O127" s="13">
        <v>2</v>
      </c>
      <c r="P127" s="13">
        <f>ROUND(Source!ET114,O127)</f>
        <v>0</v>
      </c>
      <c r="Q127" s="13"/>
      <c r="R127" s="13"/>
      <c r="S127" s="13"/>
      <c r="T127" s="13"/>
      <c r="U127" s="13"/>
      <c r="V127" s="13"/>
      <c r="W127" s="13">
        <v>0</v>
      </c>
      <c r="X127" s="13">
        <v>1</v>
      </c>
      <c r="Y127" s="13">
        <v>0</v>
      </c>
      <c r="Z127" s="13">
        <v>0</v>
      </c>
      <c r="AA127" s="13">
        <v>1</v>
      </c>
      <c r="AB127" s="13">
        <v>0</v>
      </c>
    </row>
    <row r="128" spans="1:206" x14ac:dyDescent="0.2">
      <c r="A128" s="13">
        <v>50</v>
      </c>
      <c r="B128" s="13">
        <v>0</v>
      </c>
      <c r="C128" s="13">
        <v>0</v>
      </c>
      <c r="D128" s="13">
        <v>1</v>
      </c>
      <c r="E128" s="13">
        <v>204</v>
      </c>
      <c r="F128" s="13">
        <f>ROUND(Source!R114,O128)</f>
        <v>0.17</v>
      </c>
      <c r="G128" s="13" t="s">
        <v>70</v>
      </c>
      <c r="H128" s="13" t="s">
        <v>71</v>
      </c>
      <c r="I128" s="13"/>
      <c r="J128" s="13"/>
      <c r="K128" s="13">
        <v>204</v>
      </c>
      <c r="L128" s="13">
        <v>13</v>
      </c>
      <c r="M128" s="13">
        <v>3</v>
      </c>
      <c r="N128" s="13" t="s">
        <v>3</v>
      </c>
      <c r="O128" s="13">
        <v>2</v>
      </c>
      <c r="P128" s="13">
        <f>ROUND(Source!DJ114,O128)</f>
        <v>9.35</v>
      </c>
      <c r="Q128" s="13"/>
      <c r="R128" s="13"/>
      <c r="S128" s="13"/>
      <c r="T128" s="13"/>
      <c r="U128" s="13"/>
      <c r="V128" s="13"/>
      <c r="W128" s="13">
        <v>0.17</v>
      </c>
      <c r="X128" s="13">
        <v>1</v>
      </c>
      <c r="Y128" s="13">
        <v>0.17</v>
      </c>
      <c r="Z128" s="13">
        <v>9.35</v>
      </c>
      <c r="AA128" s="13">
        <v>1</v>
      </c>
      <c r="AB128" s="13">
        <v>9.35</v>
      </c>
    </row>
    <row r="129" spans="1:206" x14ac:dyDescent="0.2">
      <c r="A129" s="13">
        <v>50</v>
      </c>
      <c r="B129" s="13">
        <v>0</v>
      </c>
      <c r="C129" s="13">
        <v>0</v>
      </c>
      <c r="D129" s="13">
        <v>1</v>
      </c>
      <c r="E129" s="13">
        <v>205</v>
      </c>
      <c r="F129" s="13">
        <f>ROUND(Source!S114,O129)</f>
        <v>309.60000000000002</v>
      </c>
      <c r="G129" s="13" t="s">
        <v>72</v>
      </c>
      <c r="H129" s="13" t="s">
        <v>73</v>
      </c>
      <c r="I129" s="13"/>
      <c r="J129" s="13"/>
      <c r="K129" s="13">
        <v>205</v>
      </c>
      <c r="L129" s="13">
        <v>14</v>
      </c>
      <c r="M129" s="13">
        <v>3</v>
      </c>
      <c r="N129" s="13" t="s">
        <v>3</v>
      </c>
      <c r="O129" s="13">
        <v>2</v>
      </c>
      <c r="P129" s="13">
        <f>ROUND(Source!DK114,O129)</f>
        <v>17024.900000000001</v>
      </c>
      <c r="Q129" s="13"/>
      <c r="R129" s="13"/>
      <c r="S129" s="13"/>
      <c r="T129" s="13"/>
      <c r="U129" s="13"/>
      <c r="V129" s="13"/>
      <c r="W129" s="13">
        <v>309.60000000000002</v>
      </c>
      <c r="X129" s="13">
        <v>1</v>
      </c>
      <c r="Y129" s="13">
        <v>309.60000000000002</v>
      </c>
      <c r="Z129" s="13">
        <v>17024.900000000001</v>
      </c>
      <c r="AA129" s="13">
        <v>1</v>
      </c>
      <c r="AB129" s="13">
        <v>17024.900000000001</v>
      </c>
    </row>
    <row r="130" spans="1:206" x14ac:dyDescent="0.2">
      <c r="A130" s="13">
        <v>50</v>
      </c>
      <c r="B130" s="13">
        <v>0</v>
      </c>
      <c r="C130" s="13">
        <v>0</v>
      </c>
      <c r="D130" s="13">
        <v>1</v>
      </c>
      <c r="E130" s="13">
        <v>232</v>
      </c>
      <c r="F130" s="13">
        <f>ROUND(Source!BC114,O130)</f>
        <v>0</v>
      </c>
      <c r="G130" s="13" t="s">
        <v>74</v>
      </c>
      <c r="H130" s="13" t="s">
        <v>75</v>
      </c>
      <c r="I130" s="13"/>
      <c r="J130" s="13"/>
      <c r="K130" s="13">
        <v>232</v>
      </c>
      <c r="L130" s="13">
        <v>15</v>
      </c>
      <c r="M130" s="13">
        <v>3</v>
      </c>
      <c r="N130" s="13" t="s">
        <v>3</v>
      </c>
      <c r="O130" s="13">
        <v>2</v>
      </c>
      <c r="P130" s="13">
        <f>ROUND(Source!EU114,O130)</f>
        <v>0</v>
      </c>
      <c r="Q130" s="13"/>
      <c r="R130" s="13"/>
      <c r="S130" s="13"/>
      <c r="T130" s="13"/>
      <c r="U130" s="13"/>
      <c r="V130" s="13"/>
      <c r="W130" s="13">
        <v>0</v>
      </c>
      <c r="X130" s="13">
        <v>1</v>
      </c>
      <c r="Y130" s="13">
        <v>0</v>
      </c>
      <c r="Z130" s="13">
        <v>0</v>
      </c>
      <c r="AA130" s="13">
        <v>1</v>
      </c>
      <c r="AB130" s="13">
        <v>0</v>
      </c>
    </row>
    <row r="131" spans="1:206" x14ac:dyDescent="0.2">
      <c r="A131" s="13">
        <v>50</v>
      </c>
      <c r="B131" s="13">
        <v>0</v>
      </c>
      <c r="C131" s="13">
        <v>0</v>
      </c>
      <c r="D131" s="13">
        <v>1</v>
      </c>
      <c r="E131" s="13">
        <v>214</v>
      </c>
      <c r="F131" s="13">
        <f>ROUND(Source!AS114,O131)</f>
        <v>0</v>
      </c>
      <c r="G131" s="13" t="s">
        <v>76</v>
      </c>
      <c r="H131" s="13" t="s">
        <v>77</v>
      </c>
      <c r="I131" s="13"/>
      <c r="J131" s="13"/>
      <c r="K131" s="13">
        <v>214</v>
      </c>
      <c r="L131" s="13">
        <v>16</v>
      </c>
      <c r="M131" s="13">
        <v>3</v>
      </c>
      <c r="N131" s="13" t="s">
        <v>3</v>
      </c>
      <c r="O131" s="13">
        <v>2</v>
      </c>
      <c r="P131" s="13">
        <f>ROUND(Source!EK114,O131)</f>
        <v>0</v>
      </c>
      <c r="Q131" s="13"/>
      <c r="R131" s="13"/>
      <c r="S131" s="13"/>
      <c r="T131" s="13"/>
      <c r="U131" s="13"/>
      <c r="V131" s="13"/>
      <c r="W131" s="13">
        <v>0</v>
      </c>
      <c r="X131" s="13">
        <v>1</v>
      </c>
      <c r="Y131" s="13">
        <v>0</v>
      </c>
      <c r="Z131" s="13">
        <v>0</v>
      </c>
      <c r="AA131" s="13">
        <v>1</v>
      </c>
      <c r="AB131" s="13">
        <v>0</v>
      </c>
    </row>
    <row r="132" spans="1:206" x14ac:dyDescent="0.2">
      <c r="A132" s="13">
        <v>50</v>
      </c>
      <c r="B132" s="13">
        <v>0</v>
      </c>
      <c r="C132" s="13">
        <v>0</v>
      </c>
      <c r="D132" s="13">
        <v>1</v>
      </c>
      <c r="E132" s="13">
        <v>215</v>
      </c>
      <c r="F132" s="13">
        <f>ROUND(Source!AT114,O132)</f>
        <v>2852.05</v>
      </c>
      <c r="G132" s="13" t="s">
        <v>78</v>
      </c>
      <c r="H132" s="13" t="s">
        <v>79</v>
      </c>
      <c r="I132" s="13"/>
      <c r="J132" s="13"/>
      <c r="K132" s="13">
        <v>215</v>
      </c>
      <c r="L132" s="13">
        <v>17</v>
      </c>
      <c r="M132" s="13">
        <v>3</v>
      </c>
      <c r="N132" s="13" t="s">
        <v>3</v>
      </c>
      <c r="O132" s="13">
        <v>2</v>
      </c>
      <c r="P132" s="13">
        <f>ROUND(Source!EL114,O132)</f>
        <v>52478.7</v>
      </c>
      <c r="Q132" s="13"/>
      <c r="R132" s="13"/>
      <c r="S132" s="13"/>
      <c r="T132" s="13"/>
      <c r="U132" s="13"/>
      <c r="V132" s="13"/>
      <c r="W132" s="13">
        <v>2852.05</v>
      </c>
      <c r="X132" s="13">
        <v>1</v>
      </c>
      <c r="Y132" s="13">
        <v>2852.05</v>
      </c>
      <c r="Z132" s="13">
        <v>52478.7</v>
      </c>
      <c r="AA132" s="13">
        <v>1</v>
      </c>
      <c r="AB132" s="13">
        <v>52478.7</v>
      </c>
    </row>
    <row r="133" spans="1:206" x14ac:dyDescent="0.2">
      <c r="A133" s="13">
        <v>50</v>
      </c>
      <c r="B133" s="13">
        <v>0</v>
      </c>
      <c r="C133" s="13">
        <v>0</v>
      </c>
      <c r="D133" s="13">
        <v>1</v>
      </c>
      <c r="E133" s="13">
        <v>217</v>
      </c>
      <c r="F133" s="13">
        <f>ROUND(Source!AU114,O133)</f>
        <v>0</v>
      </c>
      <c r="G133" s="13" t="s">
        <v>80</v>
      </c>
      <c r="H133" s="13" t="s">
        <v>81</v>
      </c>
      <c r="I133" s="13"/>
      <c r="J133" s="13"/>
      <c r="K133" s="13">
        <v>217</v>
      </c>
      <c r="L133" s="13">
        <v>18</v>
      </c>
      <c r="M133" s="13">
        <v>3</v>
      </c>
      <c r="N133" s="13" t="s">
        <v>3</v>
      </c>
      <c r="O133" s="13">
        <v>2</v>
      </c>
      <c r="P133" s="13">
        <f>ROUND(Source!EM114,O133)</f>
        <v>0</v>
      </c>
      <c r="Q133" s="13"/>
      <c r="R133" s="13"/>
      <c r="S133" s="13"/>
      <c r="T133" s="13"/>
      <c r="U133" s="13"/>
      <c r="V133" s="13"/>
      <c r="W133" s="13">
        <v>0</v>
      </c>
      <c r="X133" s="13">
        <v>1</v>
      </c>
      <c r="Y133" s="13">
        <v>0</v>
      </c>
      <c r="Z133" s="13">
        <v>0</v>
      </c>
      <c r="AA133" s="13">
        <v>1</v>
      </c>
      <c r="AB133" s="13">
        <v>0</v>
      </c>
    </row>
    <row r="134" spans="1:206" x14ac:dyDescent="0.2">
      <c r="A134" s="13">
        <v>50</v>
      </c>
      <c r="B134" s="13">
        <v>0</v>
      </c>
      <c r="C134" s="13">
        <v>0</v>
      </c>
      <c r="D134" s="13">
        <v>1</v>
      </c>
      <c r="E134" s="13">
        <v>230</v>
      </c>
      <c r="F134" s="13">
        <f>ROUND(Source!BA114,O134)</f>
        <v>0</v>
      </c>
      <c r="G134" s="13" t="s">
        <v>82</v>
      </c>
      <c r="H134" s="13" t="s">
        <v>83</v>
      </c>
      <c r="I134" s="13"/>
      <c r="J134" s="13"/>
      <c r="K134" s="13">
        <v>230</v>
      </c>
      <c r="L134" s="13">
        <v>19</v>
      </c>
      <c r="M134" s="13">
        <v>3</v>
      </c>
      <c r="N134" s="13" t="s">
        <v>3</v>
      </c>
      <c r="O134" s="13">
        <v>2</v>
      </c>
      <c r="P134" s="13">
        <f>ROUND(Source!ES114,O134)</f>
        <v>0</v>
      </c>
      <c r="Q134" s="13"/>
      <c r="R134" s="13"/>
      <c r="S134" s="13"/>
      <c r="T134" s="13"/>
      <c r="U134" s="13"/>
      <c r="V134" s="13"/>
      <c r="W134" s="13">
        <v>0</v>
      </c>
      <c r="X134" s="13">
        <v>1</v>
      </c>
      <c r="Y134" s="13">
        <v>0</v>
      </c>
      <c r="Z134" s="13">
        <v>0</v>
      </c>
      <c r="AA134" s="13">
        <v>1</v>
      </c>
      <c r="AB134" s="13">
        <v>0</v>
      </c>
    </row>
    <row r="135" spans="1:206" x14ac:dyDescent="0.2">
      <c r="A135" s="13">
        <v>50</v>
      </c>
      <c r="B135" s="13">
        <v>0</v>
      </c>
      <c r="C135" s="13">
        <v>0</v>
      </c>
      <c r="D135" s="13">
        <v>1</v>
      </c>
      <c r="E135" s="13">
        <v>206</v>
      </c>
      <c r="F135" s="13">
        <f>ROUND(Source!T114,O135)</f>
        <v>0</v>
      </c>
      <c r="G135" s="13" t="s">
        <v>84</v>
      </c>
      <c r="H135" s="13" t="s">
        <v>85</v>
      </c>
      <c r="I135" s="13"/>
      <c r="J135" s="13"/>
      <c r="K135" s="13">
        <v>206</v>
      </c>
      <c r="L135" s="13">
        <v>20</v>
      </c>
      <c r="M135" s="13">
        <v>3</v>
      </c>
      <c r="N135" s="13" t="s">
        <v>3</v>
      </c>
      <c r="O135" s="13">
        <v>2</v>
      </c>
      <c r="P135" s="13">
        <f>ROUND(Source!DL114,O135)</f>
        <v>0</v>
      </c>
      <c r="Q135" s="13"/>
      <c r="R135" s="13"/>
      <c r="S135" s="13"/>
      <c r="T135" s="13"/>
      <c r="U135" s="13"/>
      <c r="V135" s="13"/>
      <c r="W135" s="13">
        <v>0</v>
      </c>
      <c r="X135" s="13">
        <v>1</v>
      </c>
      <c r="Y135" s="13">
        <v>0</v>
      </c>
      <c r="Z135" s="13">
        <v>0</v>
      </c>
      <c r="AA135" s="13">
        <v>1</v>
      </c>
      <c r="AB135" s="13">
        <v>0</v>
      </c>
    </row>
    <row r="136" spans="1:206" x14ac:dyDescent="0.2">
      <c r="A136" s="13">
        <v>50</v>
      </c>
      <c r="B136" s="13">
        <v>0</v>
      </c>
      <c r="C136" s="13">
        <v>0</v>
      </c>
      <c r="D136" s="13">
        <v>1</v>
      </c>
      <c r="E136" s="13">
        <v>207</v>
      </c>
      <c r="F136" s="13">
        <f>Source!U114</f>
        <v>25.366192500000004</v>
      </c>
      <c r="G136" s="13" t="s">
        <v>86</v>
      </c>
      <c r="H136" s="13" t="s">
        <v>87</v>
      </c>
      <c r="I136" s="13"/>
      <c r="J136" s="13"/>
      <c r="K136" s="13">
        <v>207</v>
      </c>
      <c r="L136" s="13">
        <v>21</v>
      </c>
      <c r="M136" s="13">
        <v>3</v>
      </c>
      <c r="N136" s="13" t="s">
        <v>3</v>
      </c>
      <c r="O136" s="13">
        <v>-1</v>
      </c>
      <c r="P136" s="13">
        <f>Source!DM114</f>
        <v>25.366192500000004</v>
      </c>
      <c r="Q136" s="13"/>
      <c r="R136" s="13"/>
      <c r="S136" s="13"/>
      <c r="T136" s="13"/>
      <c r="U136" s="13"/>
      <c r="V136" s="13"/>
      <c r="W136" s="13">
        <v>25.3661925</v>
      </c>
      <c r="X136" s="13">
        <v>1</v>
      </c>
      <c r="Y136" s="13">
        <v>25.3661925</v>
      </c>
      <c r="Z136" s="13">
        <v>25.3661925</v>
      </c>
      <c r="AA136" s="13">
        <v>1</v>
      </c>
      <c r="AB136" s="13">
        <v>25.3661925</v>
      </c>
    </row>
    <row r="137" spans="1:206" x14ac:dyDescent="0.2">
      <c r="A137" s="13">
        <v>50</v>
      </c>
      <c r="B137" s="13">
        <v>0</v>
      </c>
      <c r="C137" s="13">
        <v>0</v>
      </c>
      <c r="D137" s="13">
        <v>1</v>
      </c>
      <c r="E137" s="13">
        <v>208</v>
      </c>
      <c r="F137" s="13">
        <f>Source!V114</f>
        <v>0</v>
      </c>
      <c r="G137" s="13" t="s">
        <v>88</v>
      </c>
      <c r="H137" s="13" t="s">
        <v>89</v>
      </c>
      <c r="I137" s="13"/>
      <c r="J137" s="13"/>
      <c r="K137" s="13">
        <v>208</v>
      </c>
      <c r="L137" s="13">
        <v>22</v>
      </c>
      <c r="M137" s="13">
        <v>3</v>
      </c>
      <c r="N137" s="13" t="s">
        <v>3</v>
      </c>
      <c r="O137" s="13">
        <v>-1</v>
      </c>
      <c r="P137" s="13">
        <f>Source!DN114</f>
        <v>0</v>
      </c>
      <c r="Q137" s="13"/>
      <c r="R137" s="13"/>
      <c r="S137" s="13"/>
      <c r="T137" s="13"/>
      <c r="U137" s="13"/>
      <c r="V137" s="13"/>
      <c r="W137" s="13">
        <v>0</v>
      </c>
      <c r="X137" s="13">
        <v>1</v>
      </c>
      <c r="Y137" s="13">
        <v>0</v>
      </c>
      <c r="Z137" s="13">
        <v>0</v>
      </c>
      <c r="AA137" s="13">
        <v>1</v>
      </c>
      <c r="AB137" s="13">
        <v>0</v>
      </c>
    </row>
    <row r="138" spans="1:206" x14ac:dyDescent="0.2">
      <c r="A138" s="13">
        <v>50</v>
      </c>
      <c r="B138" s="13">
        <v>0</v>
      </c>
      <c r="C138" s="13">
        <v>0</v>
      </c>
      <c r="D138" s="13">
        <v>1</v>
      </c>
      <c r="E138" s="13">
        <v>209</v>
      </c>
      <c r="F138" s="13">
        <f>ROUND(Source!W114,O138)</f>
        <v>0</v>
      </c>
      <c r="G138" s="13" t="s">
        <v>90</v>
      </c>
      <c r="H138" s="13" t="s">
        <v>91</v>
      </c>
      <c r="I138" s="13"/>
      <c r="J138" s="13"/>
      <c r="K138" s="13">
        <v>209</v>
      </c>
      <c r="L138" s="13">
        <v>23</v>
      </c>
      <c r="M138" s="13">
        <v>3</v>
      </c>
      <c r="N138" s="13" t="s">
        <v>3</v>
      </c>
      <c r="O138" s="13">
        <v>2</v>
      </c>
      <c r="P138" s="13">
        <f>ROUND(Source!DO114,O138)</f>
        <v>0</v>
      </c>
      <c r="Q138" s="13"/>
      <c r="R138" s="13"/>
      <c r="S138" s="13"/>
      <c r="T138" s="13"/>
      <c r="U138" s="13"/>
      <c r="V138" s="13"/>
      <c r="W138" s="13">
        <v>0</v>
      </c>
      <c r="X138" s="13">
        <v>1</v>
      </c>
      <c r="Y138" s="13">
        <v>0</v>
      </c>
      <c r="Z138" s="13">
        <v>0</v>
      </c>
      <c r="AA138" s="13">
        <v>1</v>
      </c>
      <c r="AB138" s="13">
        <v>0</v>
      </c>
    </row>
    <row r="139" spans="1:206" x14ac:dyDescent="0.2">
      <c r="A139" s="13">
        <v>50</v>
      </c>
      <c r="B139" s="13">
        <v>0</v>
      </c>
      <c r="C139" s="13">
        <v>0</v>
      </c>
      <c r="D139" s="13">
        <v>1</v>
      </c>
      <c r="E139" s="13">
        <v>233</v>
      </c>
      <c r="F139" s="13">
        <f>ROUND(Source!BD114,O139)</f>
        <v>0</v>
      </c>
      <c r="G139" s="13" t="s">
        <v>92</v>
      </c>
      <c r="H139" s="13" t="s">
        <v>93</v>
      </c>
      <c r="I139" s="13"/>
      <c r="J139" s="13"/>
      <c r="K139" s="13">
        <v>233</v>
      </c>
      <c r="L139" s="13">
        <v>24</v>
      </c>
      <c r="M139" s="13">
        <v>3</v>
      </c>
      <c r="N139" s="13" t="s">
        <v>3</v>
      </c>
      <c r="O139" s="13">
        <v>2</v>
      </c>
      <c r="P139" s="13">
        <f>ROUND(Source!EV114,O139)</f>
        <v>0</v>
      </c>
      <c r="Q139" s="13"/>
      <c r="R139" s="13"/>
      <c r="S139" s="13"/>
      <c r="T139" s="13"/>
      <c r="U139" s="13"/>
      <c r="V139" s="13"/>
      <c r="W139" s="13">
        <v>0</v>
      </c>
      <c r="X139" s="13">
        <v>1</v>
      </c>
      <c r="Y139" s="13">
        <v>0</v>
      </c>
      <c r="Z139" s="13">
        <v>0</v>
      </c>
      <c r="AA139" s="13">
        <v>1</v>
      </c>
      <c r="AB139" s="13">
        <v>0</v>
      </c>
    </row>
    <row r="140" spans="1:206" x14ac:dyDescent="0.2">
      <c r="A140" s="13">
        <v>50</v>
      </c>
      <c r="B140" s="13">
        <v>0</v>
      </c>
      <c r="C140" s="13">
        <v>0</v>
      </c>
      <c r="D140" s="13">
        <v>1</v>
      </c>
      <c r="E140" s="13">
        <v>210</v>
      </c>
      <c r="F140" s="13">
        <f>ROUND(Source!X114,O140)</f>
        <v>281.45</v>
      </c>
      <c r="G140" s="13" t="s">
        <v>94</v>
      </c>
      <c r="H140" s="13" t="s">
        <v>95</v>
      </c>
      <c r="I140" s="13"/>
      <c r="J140" s="13"/>
      <c r="K140" s="13">
        <v>210</v>
      </c>
      <c r="L140" s="13">
        <v>25</v>
      </c>
      <c r="M140" s="13">
        <v>3</v>
      </c>
      <c r="N140" s="13" t="s">
        <v>3</v>
      </c>
      <c r="O140" s="13">
        <v>2</v>
      </c>
      <c r="P140" s="13">
        <f>ROUND(Source!DP114,O140)</f>
        <v>15476.91</v>
      </c>
      <c r="Q140" s="13"/>
      <c r="R140" s="13"/>
      <c r="S140" s="13"/>
      <c r="T140" s="13"/>
      <c r="U140" s="13"/>
      <c r="V140" s="13"/>
      <c r="W140" s="13">
        <v>281.45</v>
      </c>
      <c r="X140" s="13">
        <v>1</v>
      </c>
      <c r="Y140" s="13">
        <v>281.45</v>
      </c>
      <c r="Z140" s="13">
        <v>15476.91</v>
      </c>
      <c r="AA140" s="13">
        <v>1</v>
      </c>
      <c r="AB140" s="13">
        <v>15476.91</v>
      </c>
    </row>
    <row r="141" spans="1:206" x14ac:dyDescent="0.2">
      <c r="A141" s="13">
        <v>50</v>
      </c>
      <c r="B141" s="13">
        <v>0</v>
      </c>
      <c r="C141" s="13">
        <v>0</v>
      </c>
      <c r="D141" s="13">
        <v>1</v>
      </c>
      <c r="E141" s="13">
        <v>211</v>
      </c>
      <c r="F141" s="13">
        <f>ROUND(Source!Y114,O141)</f>
        <v>144.38999999999999</v>
      </c>
      <c r="G141" s="13" t="s">
        <v>96</v>
      </c>
      <c r="H141" s="13" t="s">
        <v>97</v>
      </c>
      <c r="I141" s="13"/>
      <c r="J141" s="13"/>
      <c r="K141" s="13">
        <v>211</v>
      </c>
      <c r="L141" s="13">
        <v>26</v>
      </c>
      <c r="M141" s="13">
        <v>3</v>
      </c>
      <c r="N141" s="13" t="s">
        <v>3</v>
      </c>
      <c r="O141" s="13">
        <v>2</v>
      </c>
      <c r="P141" s="13">
        <f>ROUND(Source!DQ114,O141)</f>
        <v>7940.09</v>
      </c>
      <c r="Q141" s="13"/>
      <c r="R141" s="13"/>
      <c r="S141" s="13"/>
      <c r="T141" s="13"/>
      <c r="U141" s="13"/>
      <c r="V141" s="13"/>
      <c r="W141" s="13">
        <v>144.38999999999999</v>
      </c>
      <c r="X141" s="13">
        <v>1</v>
      </c>
      <c r="Y141" s="13">
        <v>144.38999999999999</v>
      </c>
      <c r="Z141" s="13">
        <v>7940.09</v>
      </c>
      <c r="AA141" s="13">
        <v>1</v>
      </c>
      <c r="AB141" s="13">
        <v>7940.09</v>
      </c>
    </row>
    <row r="142" spans="1:206" x14ac:dyDescent="0.2">
      <c r="A142" s="13">
        <v>50</v>
      </c>
      <c r="B142" s="13">
        <v>0</v>
      </c>
      <c r="C142" s="13">
        <v>0</v>
      </c>
      <c r="D142" s="13">
        <v>1</v>
      </c>
      <c r="E142" s="13">
        <v>224</v>
      </c>
      <c r="F142" s="13">
        <f>ROUND(Source!AR114,O142)</f>
        <v>14832.16</v>
      </c>
      <c r="G142" s="13" t="s">
        <v>98</v>
      </c>
      <c r="H142" s="13" t="s">
        <v>99</v>
      </c>
      <c r="I142" s="13"/>
      <c r="J142" s="13"/>
      <c r="K142" s="13">
        <v>224</v>
      </c>
      <c r="L142" s="13">
        <v>27</v>
      </c>
      <c r="M142" s="13">
        <v>3</v>
      </c>
      <c r="N142" s="13" t="s">
        <v>3</v>
      </c>
      <c r="O142" s="13">
        <v>2</v>
      </c>
      <c r="P142" s="13">
        <f>ROUND(Source!EJ114,O142)</f>
        <v>140651.64000000001</v>
      </c>
      <c r="Q142" s="13"/>
      <c r="R142" s="13"/>
      <c r="S142" s="13"/>
      <c r="T142" s="13"/>
      <c r="U142" s="13"/>
      <c r="V142" s="13"/>
      <c r="W142" s="13">
        <v>14832.16</v>
      </c>
      <c r="X142" s="13">
        <v>1</v>
      </c>
      <c r="Y142" s="13">
        <v>14832.16</v>
      </c>
      <c r="Z142" s="13">
        <v>140651.64000000001</v>
      </c>
      <c r="AA142" s="13">
        <v>1</v>
      </c>
      <c r="AB142" s="13">
        <v>140651.64000000001</v>
      </c>
    </row>
    <row r="144" spans="1:206" x14ac:dyDescent="0.2">
      <c r="A144" s="11">
        <v>51</v>
      </c>
      <c r="B144" s="11">
        <f>B12</f>
        <v>183</v>
      </c>
      <c r="C144" s="11">
        <f>A12</f>
        <v>1</v>
      </c>
      <c r="D144" s="11">
        <f>ROW(A12)</f>
        <v>12</v>
      </c>
      <c r="E144" s="11"/>
      <c r="F144" s="11" t="str">
        <f>IF(F12&lt;&gt;"",F12,"")</f>
        <v/>
      </c>
      <c r="G144" s="11" t="str">
        <f>IF(G12&lt;&gt;"",G12,"")</f>
        <v>02-01-13 Электрочасофикация</v>
      </c>
      <c r="H144" s="11">
        <v>0</v>
      </c>
      <c r="I144" s="11"/>
      <c r="J144" s="11"/>
      <c r="K144" s="11"/>
      <c r="L144" s="11"/>
      <c r="M144" s="11"/>
      <c r="N144" s="11"/>
      <c r="O144" s="11">
        <f t="shared" ref="O144:T144" si="99">ROUND(O114,2)</f>
        <v>14406.32</v>
      </c>
      <c r="P144" s="11">
        <f t="shared" si="99"/>
        <v>14092.88</v>
      </c>
      <c r="Q144" s="11">
        <f t="shared" si="99"/>
        <v>3.84</v>
      </c>
      <c r="R144" s="11">
        <f t="shared" si="99"/>
        <v>0.17</v>
      </c>
      <c r="S144" s="11">
        <f t="shared" si="99"/>
        <v>309.60000000000002</v>
      </c>
      <c r="T144" s="11">
        <f t="shared" si="99"/>
        <v>0</v>
      </c>
      <c r="U144" s="11">
        <f>U114</f>
        <v>25.366192500000004</v>
      </c>
      <c r="V144" s="11">
        <f>V114</f>
        <v>0</v>
      </c>
      <c r="W144" s="11">
        <f>ROUND(W114,2)</f>
        <v>0</v>
      </c>
      <c r="X144" s="11">
        <f>ROUND(X114,2)</f>
        <v>281.45</v>
      </c>
      <c r="Y144" s="11">
        <f>ROUND(Y114,2)</f>
        <v>144.38999999999999</v>
      </c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  <c r="AJ144" s="11"/>
      <c r="AK144" s="11"/>
      <c r="AL144" s="11"/>
      <c r="AM144" s="11"/>
      <c r="AN144" s="11"/>
      <c r="AO144" s="11">
        <f t="shared" ref="AO144:BD144" si="100">ROUND(AO114,2)</f>
        <v>0</v>
      </c>
      <c r="AP144" s="11">
        <f t="shared" si="100"/>
        <v>11980.11</v>
      </c>
      <c r="AQ144" s="11">
        <f t="shared" si="100"/>
        <v>0</v>
      </c>
      <c r="AR144" s="11">
        <f t="shared" si="100"/>
        <v>14832.16</v>
      </c>
      <c r="AS144" s="11">
        <f t="shared" si="100"/>
        <v>0</v>
      </c>
      <c r="AT144" s="11">
        <f t="shared" si="100"/>
        <v>2852.05</v>
      </c>
      <c r="AU144" s="11">
        <f t="shared" si="100"/>
        <v>0</v>
      </c>
      <c r="AV144" s="11">
        <f t="shared" si="100"/>
        <v>14092.88</v>
      </c>
      <c r="AW144" s="11">
        <f t="shared" si="100"/>
        <v>2112.77</v>
      </c>
      <c r="AX144" s="11">
        <f t="shared" si="100"/>
        <v>0</v>
      </c>
      <c r="AY144" s="11">
        <f t="shared" si="100"/>
        <v>2112.77</v>
      </c>
      <c r="AZ144" s="11">
        <f t="shared" si="100"/>
        <v>11980.11</v>
      </c>
      <c r="BA144" s="11">
        <f t="shared" si="100"/>
        <v>0</v>
      </c>
      <c r="BB144" s="11">
        <f t="shared" si="100"/>
        <v>0</v>
      </c>
      <c r="BC144" s="11">
        <f t="shared" si="100"/>
        <v>0</v>
      </c>
      <c r="BD144" s="11">
        <f t="shared" si="100"/>
        <v>0</v>
      </c>
      <c r="BE144" s="11"/>
      <c r="BF144" s="11"/>
      <c r="BG144" s="11"/>
      <c r="BH144" s="11"/>
      <c r="BI144" s="11"/>
      <c r="BJ144" s="11"/>
      <c r="BK144" s="11"/>
      <c r="BL144" s="11"/>
      <c r="BM144" s="11"/>
      <c r="BN144" s="11"/>
      <c r="BO144" s="11"/>
      <c r="BP144" s="11"/>
      <c r="BQ144" s="11"/>
      <c r="BR144" s="11"/>
      <c r="BS144" s="11"/>
      <c r="BT144" s="11"/>
      <c r="BU144" s="11"/>
      <c r="BV144" s="11"/>
      <c r="BW144" s="11"/>
      <c r="BX144" s="11"/>
      <c r="BY144" s="11"/>
      <c r="BZ144" s="11"/>
      <c r="CA144" s="11"/>
      <c r="CB144" s="11"/>
      <c r="CC144" s="11"/>
      <c r="CD144" s="11"/>
      <c r="CE144" s="11"/>
      <c r="CF144" s="11"/>
      <c r="CG144" s="11"/>
      <c r="CH144" s="11"/>
      <c r="CI144" s="11"/>
      <c r="CJ144" s="11"/>
      <c r="CK144" s="11"/>
      <c r="CL144" s="11"/>
      <c r="CM144" s="11"/>
      <c r="CN144" s="11"/>
      <c r="CO144" s="11"/>
      <c r="CP144" s="11"/>
      <c r="CQ144" s="11"/>
      <c r="CR144" s="11"/>
      <c r="CS144" s="11"/>
      <c r="CT144" s="11"/>
      <c r="CU144" s="11"/>
      <c r="CV144" s="11"/>
      <c r="CW144" s="11"/>
      <c r="CX144" s="11"/>
      <c r="CY144" s="11"/>
      <c r="CZ144" s="11"/>
      <c r="DA144" s="11"/>
      <c r="DB144" s="11"/>
      <c r="DC144" s="11"/>
      <c r="DD144" s="11"/>
      <c r="DE144" s="11"/>
      <c r="DF144" s="11"/>
      <c r="DG144" s="12">
        <f t="shared" ref="DG144:DL144" si="101">ROUND(DG114,2)</f>
        <v>117234.64</v>
      </c>
      <c r="DH144" s="12">
        <f t="shared" si="101"/>
        <v>100167.42</v>
      </c>
      <c r="DI144" s="12">
        <f t="shared" si="101"/>
        <v>42.32</v>
      </c>
      <c r="DJ144" s="12">
        <f t="shared" si="101"/>
        <v>9.35</v>
      </c>
      <c r="DK144" s="12">
        <f t="shared" si="101"/>
        <v>17024.900000000001</v>
      </c>
      <c r="DL144" s="12">
        <f t="shared" si="101"/>
        <v>0</v>
      </c>
      <c r="DM144" s="12">
        <f>DM114</f>
        <v>25.366192500000004</v>
      </c>
      <c r="DN144" s="12">
        <f>DN114</f>
        <v>0</v>
      </c>
      <c r="DO144" s="12">
        <f>ROUND(DO114,2)</f>
        <v>0</v>
      </c>
      <c r="DP144" s="12">
        <f>ROUND(DP114,2)</f>
        <v>15476.91</v>
      </c>
      <c r="DQ144" s="12">
        <f>ROUND(DQ114,2)</f>
        <v>7940.09</v>
      </c>
      <c r="DR144" s="12"/>
      <c r="DS144" s="12"/>
      <c r="DT144" s="12"/>
      <c r="DU144" s="12"/>
      <c r="DV144" s="12"/>
      <c r="DW144" s="12"/>
      <c r="DX144" s="12"/>
      <c r="DY144" s="12"/>
      <c r="DZ144" s="12"/>
      <c r="EA144" s="12"/>
      <c r="EB144" s="12"/>
      <c r="EC144" s="12"/>
      <c r="ED144" s="12"/>
      <c r="EE144" s="12"/>
      <c r="EF144" s="12"/>
      <c r="EG144" s="12">
        <f t="shared" ref="EG144:EV144" si="102">ROUND(EG114,2)</f>
        <v>0</v>
      </c>
      <c r="EH144" s="12">
        <f t="shared" si="102"/>
        <v>88172.94</v>
      </c>
      <c r="EI144" s="12">
        <f t="shared" si="102"/>
        <v>0</v>
      </c>
      <c r="EJ144" s="12">
        <f t="shared" si="102"/>
        <v>140651.64000000001</v>
      </c>
      <c r="EK144" s="12">
        <f t="shared" si="102"/>
        <v>0</v>
      </c>
      <c r="EL144" s="12">
        <f t="shared" si="102"/>
        <v>52478.7</v>
      </c>
      <c r="EM144" s="12">
        <f t="shared" si="102"/>
        <v>0</v>
      </c>
      <c r="EN144" s="12">
        <f t="shared" si="102"/>
        <v>100167.42</v>
      </c>
      <c r="EO144" s="12">
        <f t="shared" si="102"/>
        <v>11994.48</v>
      </c>
      <c r="EP144" s="12">
        <f t="shared" si="102"/>
        <v>0</v>
      </c>
      <c r="EQ144" s="12">
        <f t="shared" si="102"/>
        <v>11994.48</v>
      </c>
      <c r="ER144" s="12">
        <f t="shared" si="102"/>
        <v>88172.94</v>
      </c>
      <c r="ES144" s="12">
        <f t="shared" si="102"/>
        <v>0</v>
      </c>
      <c r="ET144" s="12">
        <f t="shared" si="102"/>
        <v>0</v>
      </c>
      <c r="EU144" s="12">
        <f t="shared" si="102"/>
        <v>0</v>
      </c>
      <c r="EV144" s="12">
        <f t="shared" si="102"/>
        <v>0</v>
      </c>
      <c r="EW144" s="12"/>
      <c r="EX144" s="12"/>
      <c r="EY144" s="12"/>
      <c r="EZ144" s="12"/>
      <c r="FA144" s="12"/>
      <c r="FB144" s="12"/>
      <c r="FC144" s="12"/>
      <c r="FD144" s="12"/>
      <c r="FE144" s="12"/>
      <c r="FF144" s="12"/>
      <c r="FG144" s="12"/>
      <c r="FH144" s="12"/>
      <c r="FI144" s="12"/>
      <c r="FJ144" s="12"/>
      <c r="FK144" s="12"/>
      <c r="FL144" s="12"/>
      <c r="FM144" s="12"/>
      <c r="FN144" s="12"/>
      <c r="FO144" s="12"/>
      <c r="FP144" s="12"/>
      <c r="FQ144" s="12"/>
      <c r="FR144" s="12"/>
      <c r="FS144" s="12"/>
      <c r="FT144" s="12"/>
      <c r="FU144" s="12"/>
      <c r="FV144" s="12"/>
      <c r="FW144" s="12"/>
      <c r="FX144" s="12"/>
      <c r="FY144" s="12"/>
      <c r="FZ144" s="12"/>
      <c r="GA144" s="12"/>
      <c r="GB144" s="12"/>
      <c r="GC144" s="12"/>
      <c r="GD144" s="12"/>
      <c r="GE144" s="12"/>
      <c r="GF144" s="12"/>
      <c r="GG144" s="12"/>
      <c r="GH144" s="12"/>
      <c r="GI144" s="12"/>
      <c r="GJ144" s="12"/>
      <c r="GK144" s="12"/>
      <c r="GL144" s="12"/>
      <c r="GM144" s="12"/>
      <c r="GN144" s="12"/>
      <c r="GO144" s="12"/>
      <c r="GP144" s="12"/>
      <c r="GQ144" s="12"/>
      <c r="GR144" s="12"/>
      <c r="GS144" s="12"/>
      <c r="GT144" s="12"/>
      <c r="GU144" s="12"/>
      <c r="GV144" s="12"/>
      <c r="GW144" s="12"/>
      <c r="GX144" s="12">
        <v>0</v>
      </c>
    </row>
    <row r="146" spans="1:28" x14ac:dyDescent="0.2">
      <c r="A146" s="13">
        <v>50</v>
      </c>
      <c r="B146" s="13">
        <v>0</v>
      </c>
      <c r="C146" s="13">
        <v>0</v>
      </c>
      <c r="D146" s="13">
        <v>1</v>
      </c>
      <c r="E146" s="13">
        <v>201</v>
      </c>
      <c r="F146" s="13">
        <f>ROUND(Source!O144,O146)</f>
        <v>14406.32</v>
      </c>
      <c r="G146" s="13" t="s">
        <v>46</v>
      </c>
      <c r="H146" s="13" t="s">
        <v>47</v>
      </c>
      <c r="I146" s="13"/>
      <c r="J146" s="13"/>
      <c r="K146" s="13">
        <v>201</v>
      </c>
      <c r="L146" s="13">
        <v>1</v>
      </c>
      <c r="M146" s="13">
        <v>3</v>
      </c>
      <c r="N146" s="13" t="s">
        <v>3</v>
      </c>
      <c r="O146" s="13">
        <v>2</v>
      </c>
      <c r="P146" s="13">
        <f>ROUND(Source!DG144,O146)</f>
        <v>117234.64</v>
      </c>
      <c r="Q146" s="13"/>
      <c r="R146" s="13"/>
      <c r="S146" s="13"/>
      <c r="T146" s="13"/>
      <c r="U146" s="13"/>
      <c r="V146" s="13"/>
      <c r="W146" s="13">
        <v>14406.32</v>
      </c>
      <c r="X146" s="13">
        <v>1</v>
      </c>
      <c r="Y146" s="13">
        <v>14406.32</v>
      </c>
      <c r="Z146" s="13">
        <v>117234.64</v>
      </c>
      <c r="AA146" s="13">
        <v>1</v>
      </c>
      <c r="AB146" s="13">
        <v>117234.64</v>
      </c>
    </row>
    <row r="147" spans="1:28" x14ac:dyDescent="0.2">
      <c r="A147" s="13">
        <v>50</v>
      </c>
      <c r="B147" s="13">
        <v>0</v>
      </c>
      <c r="C147" s="13">
        <v>0</v>
      </c>
      <c r="D147" s="13">
        <v>1</v>
      </c>
      <c r="E147" s="13">
        <v>202</v>
      </c>
      <c r="F147" s="13">
        <f>ROUND(Source!P144,O147)</f>
        <v>14092.88</v>
      </c>
      <c r="G147" s="13" t="s">
        <v>48</v>
      </c>
      <c r="H147" s="13" t="s">
        <v>49</v>
      </c>
      <c r="I147" s="13"/>
      <c r="J147" s="13"/>
      <c r="K147" s="13">
        <v>202</v>
      </c>
      <c r="L147" s="13">
        <v>2</v>
      </c>
      <c r="M147" s="13">
        <v>3</v>
      </c>
      <c r="N147" s="13" t="s">
        <v>3</v>
      </c>
      <c r="O147" s="13">
        <v>2</v>
      </c>
      <c r="P147" s="13">
        <f>ROUND(Source!DH144,O147)</f>
        <v>100167.42</v>
      </c>
      <c r="Q147" s="13"/>
      <c r="R147" s="13"/>
      <c r="S147" s="13"/>
      <c r="T147" s="13"/>
      <c r="U147" s="13"/>
      <c r="V147" s="13"/>
      <c r="W147" s="13">
        <v>14092.88</v>
      </c>
      <c r="X147" s="13">
        <v>1</v>
      </c>
      <c r="Y147" s="13">
        <v>14092.88</v>
      </c>
      <c r="Z147" s="13">
        <v>100167.42</v>
      </c>
      <c r="AA147" s="13">
        <v>1</v>
      </c>
      <c r="AB147" s="13">
        <v>100167.42</v>
      </c>
    </row>
    <row r="148" spans="1:28" x14ac:dyDescent="0.2">
      <c r="A148" s="13">
        <v>50</v>
      </c>
      <c r="B148" s="13">
        <v>0</v>
      </c>
      <c r="C148" s="13">
        <v>0</v>
      </c>
      <c r="D148" s="13">
        <v>1</v>
      </c>
      <c r="E148" s="13">
        <v>222</v>
      </c>
      <c r="F148" s="13">
        <f>ROUND(Source!AO144,O148)</f>
        <v>0</v>
      </c>
      <c r="G148" s="13" t="s">
        <v>50</v>
      </c>
      <c r="H148" s="13" t="s">
        <v>51</v>
      </c>
      <c r="I148" s="13"/>
      <c r="J148" s="13"/>
      <c r="K148" s="13">
        <v>222</v>
      </c>
      <c r="L148" s="13">
        <v>3</v>
      </c>
      <c r="M148" s="13">
        <v>3</v>
      </c>
      <c r="N148" s="13" t="s">
        <v>3</v>
      </c>
      <c r="O148" s="13">
        <v>2</v>
      </c>
      <c r="P148" s="13">
        <f>ROUND(Source!EG144,O148)</f>
        <v>0</v>
      </c>
      <c r="Q148" s="13"/>
      <c r="R148" s="13"/>
      <c r="S148" s="13"/>
      <c r="T148" s="13"/>
      <c r="U148" s="13"/>
      <c r="V148" s="13"/>
      <c r="W148" s="13">
        <v>0</v>
      </c>
      <c r="X148" s="13">
        <v>1</v>
      </c>
      <c r="Y148" s="13">
        <v>0</v>
      </c>
      <c r="Z148" s="13">
        <v>0</v>
      </c>
      <c r="AA148" s="13">
        <v>1</v>
      </c>
      <c r="AB148" s="13">
        <v>0</v>
      </c>
    </row>
    <row r="149" spans="1:28" x14ac:dyDescent="0.2">
      <c r="A149" s="13">
        <v>50</v>
      </c>
      <c r="B149" s="13">
        <v>0</v>
      </c>
      <c r="C149" s="13">
        <v>0</v>
      </c>
      <c r="D149" s="13">
        <v>1</v>
      </c>
      <c r="E149" s="13">
        <v>225</v>
      </c>
      <c r="F149" s="13">
        <f>ROUND(Source!AV144,O149)</f>
        <v>14092.88</v>
      </c>
      <c r="G149" s="13" t="s">
        <v>52</v>
      </c>
      <c r="H149" s="13" t="s">
        <v>53</v>
      </c>
      <c r="I149" s="13"/>
      <c r="J149" s="13"/>
      <c r="K149" s="13">
        <v>225</v>
      </c>
      <c r="L149" s="13">
        <v>4</v>
      </c>
      <c r="M149" s="13">
        <v>3</v>
      </c>
      <c r="N149" s="13" t="s">
        <v>3</v>
      </c>
      <c r="O149" s="13">
        <v>2</v>
      </c>
      <c r="P149" s="13">
        <f>ROUND(Source!EN144,O149)</f>
        <v>100167.42</v>
      </c>
      <c r="Q149" s="13"/>
      <c r="R149" s="13"/>
      <c r="S149" s="13"/>
      <c r="T149" s="13"/>
      <c r="U149" s="13"/>
      <c r="V149" s="13"/>
      <c r="W149" s="13">
        <v>14092.88</v>
      </c>
      <c r="X149" s="13">
        <v>1</v>
      </c>
      <c r="Y149" s="13">
        <v>14092.88</v>
      </c>
      <c r="Z149" s="13">
        <v>100167.42</v>
      </c>
      <c r="AA149" s="13">
        <v>1</v>
      </c>
      <c r="AB149" s="13">
        <v>100167.42</v>
      </c>
    </row>
    <row r="150" spans="1:28" x14ac:dyDescent="0.2">
      <c r="A150" s="13">
        <v>50</v>
      </c>
      <c r="B150" s="13">
        <v>0</v>
      </c>
      <c r="C150" s="13">
        <v>0</v>
      </c>
      <c r="D150" s="13">
        <v>1</v>
      </c>
      <c r="E150" s="13">
        <v>226</v>
      </c>
      <c r="F150" s="13">
        <f>ROUND(Source!AW144,O150)</f>
        <v>2112.77</v>
      </c>
      <c r="G150" s="13" t="s">
        <v>54</v>
      </c>
      <c r="H150" s="13" t="s">
        <v>55</v>
      </c>
      <c r="I150" s="13"/>
      <c r="J150" s="13"/>
      <c r="K150" s="13">
        <v>226</v>
      </c>
      <c r="L150" s="13">
        <v>5</v>
      </c>
      <c r="M150" s="13">
        <v>3</v>
      </c>
      <c r="N150" s="13" t="s">
        <v>3</v>
      </c>
      <c r="O150" s="13">
        <v>2</v>
      </c>
      <c r="P150" s="13">
        <f>ROUND(Source!EO144,O150)</f>
        <v>11994.48</v>
      </c>
      <c r="Q150" s="13"/>
      <c r="R150" s="13"/>
      <c r="S150" s="13"/>
      <c r="T150" s="13"/>
      <c r="U150" s="13"/>
      <c r="V150" s="13"/>
      <c r="W150" s="13">
        <v>2112.77</v>
      </c>
      <c r="X150" s="13">
        <v>1</v>
      </c>
      <c r="Y150" s="13">
        <v>2112.77</v>
      </c>
      <c r="Z150" s="13">
        <v>11994.48</v>
      </c>
      <c r="AA150" s="13">
        <v>1</v>
      </c>
      <c r="AB150" s="13">
        <v>11994.48</v>
      </c>
    </row>
    <row r="151" spans="1:28" x14ac:dyDescent="0.2">
      <c r="A151" s="13">
        <v>50</v>
      </c>
      <c r="B151" s="13">
        <v>0</v>
      </c>
      <c r="C151" s="13">
        <v>0</v>
      </c>
      <c r="D151" s="13">
        <v>1</v>
      </c>
      <c r="E151" s="13">
        <v>227</v>
      </c>
      <c r="F151" s="13">
        <f>ROUND(Source!AX144,O151)</f>
        <v>0</v>
      </c>
      <c r="G151" s="13" t="s">
        <v>56</v>
      </c>
      <c r="H151" s="13" t="s">
        <v>57</v>
      </c>
      <c r="I151" s="13"/>
      <c r="J151" s="13"/>
      <c r="K151" s="13">
        <v>227</v>
      </c>
      <c r="L151" s="13">
        <v>6</v>
      </c>
      <c r="M151" s="13">
        <v>3</v>
      </c>
      <c r="N151" s="13" t="s">
        <v>3</v>
      </c>
      <c r="O151" s="13">
        <v>2</v>
      </c>
      <c r="P151" s="13">
        <f>ROUND(Source!EP144,O151)</f>
        <v>0</v>
      </c>
      <c r="Q151" s="13"/>
      <c r="R151" s="13"/>
      <c r="S151" s="13"/>
      <c r="T151" s="13"/>
      <c r="U151" s="13"/>
      <c r="V151" s="13"/>
      <c r="W151" s="13">
        <v>0</v>
      </c>
      <c r="X151" s="13">
        <v>1</v>
      </c>
      <c r="Y151" s="13">
        <v>0</v>
      </c>
      <c r="Z151" s="13">
        <v>0</v>
      </c>
      <c r="AA151" s="13">
        <v>1</v>
      </c>
      <c r="AB151" s="13">
        <v>0</v>
      </c>
    </row>
    <row r="152" spans="1:28" x14ac:dyDescent="0.2">
      <c r="A152" s="13">
        <v>50</v>
      </c>
      <c r="B152" s="13">
        <v>0</v>
      </c>
      <c r="C152" s="13">
        <v>0</v>
      </c>
      <c r="D152" s="13">
        <v>1</v>
      </c>
      <c r="E152" s="13">
        <v>228</v>
      </c>
      <c r="F152" s="13">
        <f>ROUND(Source!AY144,O152)</f>
        <v>2112.77</v>
      </c>
      <c r="G152" s="13" t="s">
        <v>58</v>
      </c>
      <c r="H152" s="13" t="s">
        <v>59</v>
      </c>
      <c r="I152" s="13"/>
      <c r="J152" s="13"/>
      <c r="K152" s="13">
        <v>228</v>
      </c>
      <c r="L152" s="13">
        <v>7</v>
      </c>
      <c r="M152" s="13">
        <v>3</v>
      </c>
      <c r="N152" s="13" t="s">
        <v>3</v>
      </c>
      <c r="O152" s="13">
        <v>2</v>
      </c>
      <c r="P152" s="13">
        <f>ROUND(Source!EQ144,O152)</f>
        <v>11994.48</v>
      </c>
      <c r="Q152" s="13"/>
      <c r="R152" s="13"/>
      <c r="S152" s="13"/>
      <c r="T152" s="13"/>
      <c r="U152" s="13"/>
      <c r="V152" s="13"/>
      <c r="W152" s="13">
        <v>2112.77</v>
      </c>
      <c r="X152" s="13">
        <v>1</v>
      </c>
      <c r="Y152" s="13">
        <v>2112.77</v>
      </c>
      <c r="Z152" s="13">
        <v>11994.48</v>
      </c>
      <c r="AA152" s="13">
        <v>1</v>
      </c>
      <c r="AB152" s="13">
        <v>11994.48</v>
      </c>
    </row>
    <row r="153" spans="1:28" x14ac:dyDescent="0.2">
      <c r="A153" s="13">
        <v>50</v>
      </c>
      <c r="B153" s="13">
        <v>0</v>
      </c>
      <c r="C153" s="13">
        <v>0</v>
      </c>
      <c r="D153" s="13">
        <v>1</v>
      </c>
      <c r="E153" s="13">
        <v>216</v>
      </c>
      <c r="F153" s="13">
        <f>ROUND(Source!AP144,O153)</f>
        <v>11980.11</v>
      </c>
      <c r="G153" s="13" t="s">
        <v>60</v>
      </c>
      <c r="H153" s="13" t="s">
        <v>61</v>
      </c>
      <c r="I153" s="13"/>
      <c r="J153" s="13"/>
      <c r="K153" s="13">
        <v>216</v>
      </c>
      <c r="L153" s="13">
        <v>8</v>
      </c>
      <c r="M153" s="13">
        <v>3</v>
      </c>
      <c r="N153" s="13" t="s">
        <v>3</v>
      </c>
      <c r="O153" s="13">
        <v>2</v>
      </c>
      <c r="P153" s="13">
        <f>ROUND(Source!EH144,O153)</f>
        <v>88172.94</v>
      </c>
      <c r="Q153" s="13"/>
      <c r="R153" s="13"/>
      <c r="S153" s="13"/>
      <c r="T153" s="13"/>
      <c r="U153" s="13"/>
      <c r="V153" s="13"/>
      <c r="W153" s="13">
        <v>11980.11</v>
      </c>
      <c r="X153" s="13">
        <v>1</v>
      </c>
      <c r="Y153" s="13">
        <v>11980.11</v>
      </c>
      <c r="Z153" s="13">
        <v>88172.94</v>
      </c>
      <c r="AA153" s="13">
        <v>1</v>
      </c>
      <c r="AB153" s="13">
        <v>88172.94</v>
      </c>
    </row>
    <row r="154" spans="1:28" x14ac:dyDescent="0.2">
      <c r="A154" s="13">
        <v>50</v>
      </c>
      <c r="B154" s="13">
        <v>0</v>
      </c>
      <c r="C154" s="13">
        <v>0</v>
      </c>
      <c r="D154" s="13">
        <v>1</v>
      </c>
      <c r="E154" s="13">
        <v>223</v>
      </c>
      <c r="F154" s="13">
        <f>ROUND(Source!AQ144,O154)</f>
        <v>0</v>
      </c>
      <c r="G154" s="13" t="s">
        <v>62</v>
      </c>
      <c r="H154" s="13" t="s">
        <v>63</v>
      </c>
      <c r="I154" s="13"/>
      <c r="J154" s="13"/>
      <c r="K154" s="13">
        <v>223</v>
      </c>
      <c r="L154" s="13">
        <v>9</v>
      </c>
      <c r="M154" s="13">
        <v>3</v>
      </c>
      <c r="N154" s="13" t="s">
        <v>3</v>
      </c>
      <c r="O154" s="13">
        <v>2</v>
      </c>
      <c r="P154" s="13">
        <f>ROUND(Source!EI144,O154)</f>
        <v>0</v>
      </c>
      <c r="Q154" s="13"/>
      <c r="R154" s="13"/>
      <c r="S154" s="13"/>
      <c r="T154" s="13"/>
      <c r="U154" s="13"/>
      <c r="V154" s="13"/>
      <c r="W154" s="13">
        <v>0</v>
      </c>
      <c r="X154" s="13">
        <v>1</v>
      </c>
      <c r="Y154" s="13">
        <v>0</v>
      </c>
      <c r="Z154" s="13">
        <v>0</v>
      </c>
      <c r="AA154" s="13">
        <v>1</v>
      </c>
      <c r="AB154" s="13">
        <v>0</v>
      </c>
    </row>
    <row r="155" spans="1:28" x14ac:dyDescent="0.2">
      <c r="A155" s="13">
        <v>50</v>
      </c>
      <c r="B155" s="13">
        <v>0</v>
      </c>
      <c r="C155" s="13">
        <v>0</v>
      </c>
      <c r="D155" s="13">
        <v>1</v>
      </c>
      <c r="E155" s="13">
        <v>229</v>
      </c>
      <c r="F155" s="13">
        <f>ROUND(Source!AZ144,O155)</f>
        <v>11980.11</v>
      </c>
      <c r="G155" s="13" t="s">
        <v>64</v>
      </c>
      <c r="H155" s="13" t="s">
        <v>65</v>
      </c>
      <c r="I155" s="13"/>
      <c r="J155" s="13"/>
      <c r="K155" s="13">
        <v>229</v>
      </c>
      <c r="L155" s="13">
        <v>10</v>
      </c>
      <c r="M155" s="13">
        <v>3</v>
      </c>
      <c r="N155" s="13" t="s">
        <v>3</v>
      </c>
      <c r="O155" s="13">
        <v>2</v>
      </c>
      <c r="P155" s="13">
        <f>ROUND(Source!ER144,O155)</f>
        <v>88172.94</v>
      </c>
      <c r="Q155" s="13"/>
      <c r="R155" s="13"/>
      <c r="S155" s="13"/>
      <c r="T155" s="13"/>
      <c r="U155" s="13"/>
      <c r="V155" s="13"/>
      <c r="W155" s="13">
        <v>11980.11</v>
      </c>
      <c r="X155" s="13">
        <v>1</v>
      </c>
      <c r="Y155" s="13">
        <v>11980.11</v>
      </c>
      <c r="Z155" s="13">
        <v>88172.94</v>
      </c>
      <c r="AA155" s="13">
        <v>1</v>
      </c>
      <c r="AB155" s="13">
        <v>88172.94</v>
      </c>
    </row>
    <row r="156" spans="1:28" x14ac:dyDescent="0.2">
      <c r="A156" s="13">
        <v>50</v>
      </c>
      <c r="B156" s="13">
        <v>0</v>
      </c>
      <c r="C156" s="13">
        <v>0</v>
      </c>
      <c r="D156" s="13">
        <v>1</v>
      </c>
      <c r="E156" s="13">
        <v>203</v>
      </c>
      <c r="F156" s="13">
        <f>ROUND(Source!Q144,O156)</f>
        <v>3.84</v>
      </c>
      <c r="G156" s="13" t="s">
        <v>66</v>
      </c>
      <c r="H156" s="13" t="s">
        <v>67</v>
      </c>
      <c r="I156" s="13"/>
      <c r="J156" s="13"/>
      <c r="K156" s="13">
        <v>203</v>
      </c>
      <c r="L156" s="13">
        <v>11</v>
      </c>
      <c r="M156" s="13">
        <v>3</v>
      </c>
      <c r="N156" s="13" t="s">
        <v>3</v>
      </c>
      <c r="O156" s="13">
        <v>2</v>
      </c>
      <c r="P156" s="13">
        <f>ROUND(Source!DI144,O156)</f>
        <v>42.32</v>
      </c>
      <c r="Q156" s="13"/>
      <c r="R156" s="13"/>
      <c r="S156" s="13"/>
      <c r="T156" s="13"/>
      <c r="U156" s="13"/>
      <c r="V156" s="13"/>
      <c r="W156" s="13">
        <v>3.84</v>
      </c>
      <c r="X156" s="13">
        <v>1</v>
      </c>
      <c r="Y156" s="13">
        <v>3.84</v>
      </c>
      <c r="Z156" s="13">
        <v>42.32</v>
      </c>
      <c r="AA156" s="13">
        <v>1</v>
      </c>
      <c r="AB156" s="13">
        <v>42.32</v>
      </c>
    </row>
    <row r="157" spans="1:28" x14ac:dyDescent="0.2">
      <c r="A157" s="13">
        <v>50</v>
      </c>
      <c r="B157" s="13">
        <v>0</v>
      </c>
      <c r="C157" s="13">
        <v>0</v>
      </c>
      <c r="D157" s="13">
        <v>1</v>
      </c>
      <c r="E157" s="13">
        <v>231</v>
      </c>
      <c r="F157" s="13">
        <f>ROUND(Source!BB144,O157)</f>
        <v>0</v>
      </c>
      <c r="G157" s="13" t="s">
        <v>68</v>
      </c>
      <c r="H157" s="13" t="s">
        <v>69</v>
      </c>
      <c r="I157" s="13"/>
      <c r="J157" s="13"/>
      <c r="K157" s="13">
        <v>231</v>
      </c>
      <c r="L157" s="13">
        <v>12</v>
      </c>
      <c r="M157" s="13">
        <v>3</v>
      </c>
      <c r="N157" s="13" t="s">
        <v>3</v>
      </c>
      <c r="O157" s="13">
        <v>2</v>
      </c>
      <c r="P157" s="13">
        <f>ROUND(Source!ET144,O157)</f>
        <v>0</v>
      </c>
      <c r="Q157" s="13"/>
      <c r="R157" s="13"/>
      <c r="S157" s="13"/>
      <c r="T157" s="13"/>
      <c r="U157" s="13"/>
      <c r="V157" s="13"/>
      <c r="W157" s="13">
        <v>0</v>
      </c>
      <c r="X157" s="13">
        <v>1</v>
      </c>
      <c r="Y157" s="13">
        <v>0</v>
      </c>
      <c r="Z157" s="13">
        <v>0</v>
      </c>
      <c r="AA157" s="13">
        <v>1</v>
      </c>
      <c r="AB157" s="13">
        <v>0</v>
      </c>
    </row>
    <row r="158" spans="1:28" x14ac:dyDescent="0.2">
      <c r="A158" s="13">
        <v>50</v>
      </c>
      <c r="B158" s="13">
        <v>0</v>
      </c>
      <c r="C158" s="13">
        <v>0</v>
      </c>
      <c r="D158" s="13">
        <v>1</v>
      </c>
      <c r="E158" s="13">
        <v>204</v>
      </c>
      <c r="F158" s="13">
        <f>ROUND(Source!R144,O158)</f>
        <v>0.17</v>
      </c>
      <c r="G158" s="13" t="s">
        <v>70</v>
      </c>
      <c r="H158" s="13" t="s">
        <v>71</v>
      </c>
      <c r="I158" s="13"/>
      <c r="J158" s="13"/>
      <c r="K158" s="13">
        <v>204</v>
      </c>
      <c r="L158" s="13">
        <v>13</v>
      </c>
      <c r="M158" s="13">
        <v>3</v>
      </c>
      <c r="N158" s="13" t="s">
        <v>3</v>
      </c>
      <c r="O158" s="13">
        <v>2</v>
      </c>
      <c r="P158" s="13">
        <f>ROUND(Source!DJ144,O158)</f>
        <v>9.35</v>
      </c>
      <c r="Q158" s="13"/>
      <c r="R158" s="13"/>
      <c r="S158" s="13"/>
      <c r="T158" s="13"/>
      <c r="U158" s="13"/>
      <c r="V158" s="13"/>
      <c r="W158" s="13">
        <v>0.17</v>
      </c>
      <c r="X158" s="13">
        <v>1</v>
      </c>
      <c r="Y158" s="13">
        <v>0.17</v>
      </c>
      <c r="Z158" s="13">
        <v>9.35</v>
      </c>
      <c r="AA158" s="13">
        <v>1</v>
      </c>
      <c r="AB158" s="13">
        <v>9.35</v>
      </c>
    </row>
    <row r="159" spans="1:28" x14ac:dyDescent="0.2">
      <c r="A159" s="13">
        <v>50</v>
      </c>
      <c r="B159" s="13">
        <v>0</v>
      </c>
      <c r="C159" s="13">
        <v>0</v>
      </c>
      <c r="D159" s="13">
        <v>1</v>
      </c>
      <c r="E159" s="13">
        <v>205</v>
      </c>
      <c r="F159" s="13">
        <f>ROUND(Source!S144,O159)</f>
        <v>309.60000000000002</v>
      </c>
      <c r="G159" s="13" t="s">
        <v>72</v>
      </c>
      <c r="H159" s="13" t="s">
        <v>73</v>
      </c>
      <c r="I159" s="13"/>
      <c r="J159" s="13"/>
      <c r="K159" s="13">
        <v>205</v>
      </c>
      <c r="L159" s="13">
        <v>14</v>
      </c>
      <c r="M159" s="13">
        <v>3</v>
      </c>
      <c r="N159" s="13" t="s">
        <v>3</v>
      </c>
      <c r="O159" s="13">
        <v>2</v>
      </c>
      <c r="P159" s="13">
        <f>ROUND(Source!DK144,O159)</f>
        <v>17024.900000000001</v>
      </c>
      <c r="Q159" s="13"/>
      <c r="R159" s="13"/>
      <c r="S159" s="13"/>
      <c r="T159" s="13"/>
      <c r="U159" s="13"/>
      <c r="V159" s="13"/>
      <c r="W159" s="13">
        <v>309.60000000000002</v>
      </c>
      <c r="X159" s="13">
        <v>1</v>
      </c>
      <c r="Y159" s="13">
        <v>309.60000000000002</v>
      </c>
      <c r="Z159" s="13">
        <v>17024.900000000001</v>
      </c>
      <c r="AA159" s="13">
        <v>1</v>
      </c>
      <c r="AB159" s="13">
        <v>17024.900000000001</v>
      </c>
    </row>
    <row r="160" spans="1:28" x14ac:dyDescent="0.2">
      <c r="A160" s="13">
        <v>50</v>
      </c>
      <c r="B160" s="13">
        <v>0</v>
      </c>
      <c r="C160" s="13">
        <v>0</v>
      </c>
      <c r="D160" s="13">
        <v>1</v>
      </c>
      <c r="E160" s="13">
        <v>232</v>
      </c>
      <c r="F160" s="13">
        <f>ROUND(Source!BC144,O160)</f>
        <v>0</v>
      </c>
      <c r="G160" s="13" t="s">
        <v>74</v>
      </c>
      <c r="H160" s="13" t="s">
        <v>75</v>
      </c>
      <c r="I160" s="13"/>
      <c r="J160" s="13"/>
      <c r="K160" s="13">
        <v>232</v>
      </c>
      <c r="L160" s="13">
        <v>15</v>
      </c>
      <c r="M160" s="13">
        <v>3</v>
      </c>
      <c r="N160" s="13" t="s">
        <v>3</v>
      </c>
      <c r="O160" s="13">
        <v>2</v>
      </c>
      <c r="P160" s="13">
        <f>ROUND(Source!EU144,O160)</f>
        <v>0</v>
      </c>
      <c r="Q160" s="13"/>
      <c r="R160" s="13"/>
      <c r="S160" s="13"/>
      <c r="T160" s="13"/>
      <c r="U160" s="13"/>
      <c r="V160" s="13"/>
      <c r="W160" s="13">
        <v>0</v>
      </c>
      <c r="X160" s="13">
        <v>1</v>
      </c>
      <c r="Y160" s="13">
        <v>0</v>
      </c>
      <c r="Z160" s="13">
        <v>0</v>
      </c>
      <c r="AA160" s="13">
        <v>1</v>
      </c>
      <c r="AB160" s="13">
        <v>0</v>
      </c>
    </row>
    <row r="161" spans="1:28" x14ac:dyDescent="0.2">
      <c r="A161" s="13">
        <v>50</v>
      </c>
      <c r="B161" s="13">
        <v>0</v>
      </c>
      <c r="C161" s="13">
        <v>0</v>
      </c>
      <c r="D161" s="13">
        <v>1</v>
      </c>
      <c r="E161" s="13">
        <v>214</v>
      </c>
      <c r="F161" s="13">
        <f>ROUND(Source!AS144,O161)</f>
        <v>0</v>
      </c>
      <c r="G161" s="13" t="s">
        <v>76</v>
      </c>
      <c r="H161" s="13" t="s">
        <v>77</v>
      </c>
      <c r="I161" s="13"/>
      <c r="J161" s="13"/>
      <c r="K161" s="13">
        <v>214</v>
      </c>
      <c r="L161" s="13">
        <v>16</v>
      </c>
      <c r="M161" s="13">
        <v>3</v>
      </c>
      <c r="N161" s="13" t="s">
        <v>3</v>
      </c>
      <c r="O161" s="13">
        <v>2</v>
      </c>
      <c r="P161" s="13">
        <f>ROUND(Source!EK144,O161)</f>
        <v>0</v>
      </c>
      <c r="Q161" s="13"/>
      <c r="R161" s="13"/>
      <c r="S161" s="13"/>
      <c r="T161" s="13"/>
      <c r="U161" s="13"/>
      <c r="V161" s="13"/>
      <c r="W161" s="13">
        <v>0</v>
      </c>
      <c r="X161" s="13">
        <v>1</v>
      </c>
      <c r="Y161" s="13">
        <v>0</v>
      </c>
      <c r="Z161" s="13">
        <v>0</v>
      </c>
      <c r="AA161" s="13">
        <v>1</v>
      </c>
      <c r="AB161" s="13">
        <v>0</v>
      </c>
    </row>
    <row r="162" spans="1:28" x14ac:dyDescent="0.2">
      <c r="A162" s="13">
        <v>50</v>
      </c>
      <c r="B162" s="13">
        <v>0</v>
      </c>
      <c r="C162" s="13">
        <v>0</v>
      </c>
      <c r="D162" s="13">
        <v>1</v>
      </c>
      <c r="E162" s="13">
        <v>215</v>
      </c>
      <c r="F162" s="13">
        <f>ROUND(Source!AT144,O162)</f>
        <v>2852.05</v>
      </c>
      <c r="G162" s="13" t="s">
        <v>78</v>
      </c>
      <c r="H162" s="13" t="s">
        <v>79</v>
      </c>
      <c r="I162" s="13"/>
      <c r="J162" s="13"/>
      <c r="K162" s="13">
        <v>215</v>
      </c>
      <c r="L162" s="13">
        <v>17</v>
      </c>
      <c r="M162" s="13">
        <v>3</v>
      </c>
      <c r="N162" s="13" t="s">
        <v>3</v>
      </c>
      <c r="O162" s="13">
        <v>2</v>
      </c>
      <c r="P162" s="13">
        <f>ROUND(Source!EL144,O162)</f>
        <v>52478.7</v>
      </c>
      <c r="Q162" s="13"/>
      <c r="R162" s="13"/>
      <c r="S162" s="13"/>
      <c r="T162" s="13"/>
      <c r="U162" s="13"/>
      <c r="V162" s="13"/>
      <c r="W162" s="13">
        <v>2852.05</v>
      </c>
      <c r="X162" s="13">
        <v>1</v>
      </c>
      <c r="Y162" s="13">
        <v>2852.05</v>
      </c>
      <c r="Z162" s="13">
        <v>52478.7</v>
      </c>
      <c r="AA162" s="13">
        <v>1</v>
      </c>
      <c r="AB162" s="13">
        <v>52478.7</v>
      </c>
    </row>
    <row r="163" spans="1:28" x14ac:dyDescent="0.2">
      <c r="A163" s="13">
        <v>50</v>
      </c>
      <c r="B163" s="13">
        <v>0</v>
      </c>
      <c r="C163" s="13">
        <v>0</v>
      </c>
      <c r="D163" s="13">
        <v>1</v>
      </c>
      <c r="E163" s="13">
        <v>217</v>
      </c>
      <c r="F163" s="13">
        <f>ROUND(Source!AU144,O163)</f>
        <v>0</v>
      </c>
      <c r="G163" s="13" t="s">
        <v>80</v>
      </c>
      <c r="H163" s="13" t="s">
        <v>81</v>
      </c>
      <c r="I163" s="13"/>
      <c r="J163" s="13"/>
      <c r="K163" s="13">
        <v>217</v>
      </c>
      <c r="L163" s="13">
        <v>18</v>
      </c>
      <c r="M163" s="13">
        <v>3</v>
      </c>
      <c r="N163" s="13" t="s">
        <v>3</v>
      </c>
      <c r="O163" s="13">
        <v>2</v>
      </c>
      <c r="P163" s="13">
        <f>ROUND(Source!EM144,O163)</f>
        <v>0</v>
      </c>
      <c r="Q163" s="13"/>
      <c r="R163" s="13"/>
      <c r="S163" s="13"/>
      <c r="T163" s="13"/>
      <c r="U163" s="13"/>
      <c r="V163" s="13"/>
      <c r="W163" s="13">
        <v>0</v>
      </c>
      <c r="X163" s="13">
        <v>1</v>
      </c>
      <c r="Y163" s="13">
        <v>0</v>
      </c>
      <c r="Z163" s="13">
        <v>0</v>
      </c>
      <c r="AA163" s="13">
        <v>1</v>
      </c>
      <c r="AB163" s="13">
        <v>0</v>
      </c>
    </row>
    <row r="164" spans="1:28" x14ac:dyDescent="0.2">
      <c r="A164" s="13">
        <v>50</v>
      </c>
      <c r="B164" s="13">
        <v>0</v>
      </c>
      <c r="C164" s="13">
        <v>0</v>
      </c>
      <c r="D164" s="13">
        <v>1</v>
      </c>
      <c r="E164" s="13">
        <v>230</v>
      </c>
      <c r="F164" s="13">
        <f>ROUND(Source!BA144,O164)</f>
        <v>0</v>
      </c>
      <c r="G164" s="13" t="s">
        <v>82</v>
      </c>
      <c r="H164" s="13" t="s">
        <v>83</v>
      </c>
      <c r="I164" s="13"/>
      <c r="J164" s="13"/>
      <c r="K164" s="13">
        <v>230</v>
      </c>
      <c r="L164" s="13">
        <v>19</v>
      </c>
      <c r="M164" s="13">
        <v>3</v>
      </c>
      <c r="N164" s="13" t="s">
        <v>3</v>
      </c>
      <c r="O164" s="13">
        <v>2</v>
      </c>
      <c r="P164" s="13">
        <f>ROUND(Source!ES144,O164)</f>
        <v>0</v>
      </c>
      <c r="Q164" s="13"/>
      <c r="R164" s="13"/>
      <c r="S164" s="13"/>
      <c r="T164" s="13"/>
      <c r="U164" s="13"/>
      <c r="V164" s="13"/>
      <c r="W164" s="13">
        <v>0</v>
      </c>
      <c r="X164" s="13">
        <v>1</v>
      </c>
      <c r="Y164" s="13">
        <v>0</v>
      </c>
      <c r="Z164" s="13">
        <v>0</v>
      </c>
      <c r="AA164" s="13">
        <v>1</v>
      </c>
      <c r="AB164" s="13">
        <v>0</v>
      </c>
    </row>
    <row r="165" spans="1:28" x14ac:dyDescent="0.2">
      <c r="A165" s="13">
        <v>50</v>
      </c>
      <c r="B165" s="13">
        <v>0</v>
      </c>
      <c r="C165" s="13">
        <v>0</v>
      </c>
      <c r="D165" s="13">
        <v>1</v>
      </c>
      <c r="E165" s="13">
        <v>206</v>
      </c>
      <c r="F165" s="13">
        <f>ROUND(Source!T144,O165)</f>
        <v>0</v>
      </c>
      <c r="G165" s="13" t="s">
        <v>84</v>
      </c>
      <c r="H165" s="13" t="s">
        <v>85</v>
      </c>
      <c r="I165" s="13"/>
      <c r="J165" s="13"/>
      <c r="K165" s="13">
        <v>206</v>
      </c>
      <c r="L165" s="13">
        <v>20</v>
      </c>
      <c r="M165" s="13">
        <v>3</v>
      </c>
      <c r="N165" s="13" t="s">
        <v>3</v>
      </c>
      <c r="O165" s="13">
        <v>2</v>
      </c>
      <c r="P165" s="13">
        <f>ROUND(Source!DL144,O165)</f>
        <v>0</v>
      </c>
      <c r="Q165" s="13"/>
      <c r="R165" s="13"/>
      <c r="S165" s="13"/>
      <c r="T165" s="13"/>
      <c r="U165" s="13"/>
      <c r="V165" s="13"/>
      <c r="W165" s="13">
        <v>0</v>
      </c>
      <c r="X165" s="13">
        <v>1</v>
      </c>
      <c r="Y165" s="13">
        <v>0</v>
      </c>
      <c r="Z165" s="13">
        <v>0</v>
      </c>
      <c r="AA165" s="13">
        <v>1</v>
      </c>
      <c r="AB165" s="13">
        <v>0</v>
      </c>
    </row>
    <row r="166" spans="1:28" x14ac:dyDescent="0.2">
      <c r="A166" s="13">
        <v>50</v>
      </c>
      <c r="B166" s="13">
        <v>0</v>
      </c>
      <c r="C166" s="13">
        <v>0</v>
      </c>
      <c r="D166" s="13">
        <v>1</v>
      </c>
      <c r="E166" s="13">
        <v>207</v>
      </c>
      <c r="F166" s="13">
        <f>Source!U144</f>
        <v>25.366192500000004</v>
      </c>
      <c r="G166" s="13" t="s">
        <v>86</v>
      </c>
      <c r="H166" s="13" t="s">
        <v>87</v>
      </c>
      <c r="I166" s="13"/>
      <c r="J166" s="13"/>
      <c r="K166" s="13">
        <v>207</v>
      </c>
      <c r="L166" s="13">
        <v>21</v>
      </c>
      <c r="M166" s="13">
        <v>3</v>
      </c>
      <c r="N166" s="13" t="s">
        <v>3</v>
      </c>
      <c r="O166" s="13">
        <v>-1</v>
      </c>
      <c r="P166" s="13">
        <f>Source!DM144</f>
        <v>25.366192500000004</v>
      </c>
      <c r="Q166" s="13"/>
      <c r="R166" s="13"/>
      <c r="S166" s="13"/>
      <c r="T166" s="13"/>
      <c r="U166" s="13"/>
      <c r="V166" s="13"/>
      <c r="W166" s="13">
        <v>25.3661925</v>
      </c>
      <c r="X166" s="13">
        <v>1</v>
      </c>
      <c r="Y166" s="13">
        <v>25.3661925</v>
      </c>
      <c r="Z166" s="13">
        <v>25.3661925</v>
      </c>
      <c r="AA166" s="13">
        <v>1</v>
      </c>
      <c r="AB166" s="13">
        <v>25.3661925</v>
      </c>
    </row>
    <row r="167" spans="1:28" x14ac:dyDescent="0.2">
      <c r="A167" s="13">
        <v>50</v>
      </c>
      <c r="B167" s="13">
        <v>0</v>
      </c>
      <c r="C167" s="13">
        <v>0</v>
      </c>
      <c r="D167" s="13">
        <v>1</v>
      </c>
      <c r="E167" s="13">
        <v>208</v>
      </c>
      <c r="F167" s="13">
        <f>Source!V144</f>
        <v>0</v>
      </c>
      <c r="G167" s="13" t="s">
        <v>88</v>
      </c>
      <c r="H167" s="13" t="s">
        <v>89</v>
      </c>
      <c r="I167" s="13"/>
      <c r="J167" s="13"/>
      <c r="K167" s="13">
        <v>208</v>
      </c>
      <c r="L167" s="13">
        <v>22</v>
      </c>
      <c r="M167" s="13">
        <v>3</v>
      </c>
      <c r="N167" s="13" t="s">
        <v>3</v>
      </c>
      <c r="O167" s="13">
        <v>-1</v>
      </c>
      <c r="P167" s="13">
        <f>Source!DN144</f>
        <v>0</v>
      </c>
      <c r="Q167" s="13"/>
      <c r="R167" s="13"/>
      <c r="S167" s="13"/>
      <c r="T167" s="13"/>
      <c r="U167" s="13"/>
      <c r="V167" s="13"/>
      <c r="W167" s="13">
        <v>0</v>
      </c>
      <c r="X167" s="13">
        <v>1</v>
      </c>
      <c r="Y167" s="13">
        <v>0</v>
      </c>
      <c r="Z167" s="13">
        <v>0</v>
      </c>
      <c r="AA167" s="13">
        <v>1</v>
      </c>
      <c r="AB167" s="13">
        <v>0</v>
      </c>
    </row>
    <row r="168" spans="1:28" x14ac:dyDescent="0.2">
      <c r="A168" s="13">
        <v>50</v>
      </c>
      <c r="B168" s="13">
        <v>0</v>
      </c>
      <c r="C168" s="13">
        <v>0</v>
      </c>
      <c r="D168" s="13">
        <v>1</v>
      </c>
      <c r="E168" s="13">
        <v>209</v>
      </c>
      <c r="F168" s="13">
        <f>ROUND(Source!W144,O168)</f>
        <v>0</v>
      </c>
      <c r="G168" s="13" t="s">
        <v>90</v>
      </c>
      <c r="H168" s="13" t="s">
        <v>91</v>
      </c>
      <c r="I168" s="13"/>
      <c r="J168" s="13"/>
      <c r="K168" s="13">
        <v>209</v>
      </c>
      <c r="L168" s="13">
        <v>23</v>
      </c>
      <c r="M168" s="13">
        <v>3</v>
      </c>
      <c r="N168" s="13" t="s">
        <v>3</v>
      </c>
      <c r="O168" s="13">
        <v>2</v>
      </c>
      <c r="P168" s="13">
        <f>ROUND(Source!DO144,O168)</f>
        <v>0</v>
      </c>
      <c r="Q168" s="13"/>
      <c r="R168" s="13"/>
      <c r="S168" s="13"/>
      <c r="T168" s="13"/>
      <c r="U168" s="13"/>
      <c r="V168" s="13"/>
      <c r="W168" s="13">
        <v>0</v>
      </c>
      <c r="X168" s="13">
        <v>1</v>
      </c>
      <c r="Y168" s="13">
        <v>0</v>
      </c>
      <c r="Z168" s="13">
        <v>0</v>
      </c>
      <c r="AA168" s="13">
        <v>1</v>
      </c>
      <c r="AB168" s="13">
        <v>0</v>
      </c>
    </row>
    <row r="169" spans="1:28" x14ac:dyDescent="0.2">
      <c r="A169" s="13">
        <v>50</v>
      </c>
      <c r="B169" s="13">
        <v>0</v>
      </c>
      <c r="C169" s="13">
        <v>0</v>
      </c>
      <c r="D169" s="13">
        <v>1</v>
      </c>
      <c r="E169" s="13">
        <v>233</v>
      </c>
      <c r="F169" s="13">
        <f>ROUND(Source!BD144,O169)</f>
        <v>0</v>
      </c>
      <c r="G169" s="13" t="s">
        <v>92</v>
      </c>
      <c r="H169" s="13" t="s">
        <v>93</v>
      </c>
      <c r="I169" s="13"/>
      <c r="J169" s="13"/>
      <c r="K169" s="13">
        <v>233</v>
      </c>
      <c r="L169" s="13">
        <v>24</v>
      </c>
      <c r="M169" s="13">
        <v>3</v>
      </c>
      <c r="N169" s="13" t="s">
        <v>3</v>
      </c>
      <c r="O169" s="13">
        <v>2</v>
      </c>
      <c r="P169" s="13">
        <f>ROUND(Source!EV144,O169)</f>
        <v>0</v>
      </c>
      <c r="Q169" s="13"/>
      <c r="R169" s="13"/>
      <c r="S169" s="13"/>
      <c r="T169" s="13"/>
      <c r="U169" s="13"/>
      <c r="V169" s="13"/>
      <c r="W169" s="13">
        <v>0</v>
      </c>
      <c r="X169" s="13">
        <v>1</v>
      </c>
      <c r="Y169" s="13">
        <v>0</v>
      </c>
      <c r="Z169" s="13">
        <v>0</v>
      </c>
      <c r="AA169" s="13">
        <v>1</v>
      </c>
      <c r="AB169" s="13">
        <v>0</v>
      </c>
    </row>
    <row r="170" spans="1:28" x14ac:dyDescent="0.2">
      <c r="A170" s="13">
        <v>50</v>
      </c>
      <c r="B170" s="13">
        <v>0</v>
      </c>
      <c r="C170" s="13">
        <v>0</v>
      </c>
      <c r="D170" s="13">
        <v>1</v>
      </c>
      <c r="E170" s="13">
        <v>210</v>
      </c>
      <c r="F170" s="13">
        <f>ROUND(Source!X144,O170)</f>
        <v>281.45</v>
      </c>
      <c r="G170" s="13" t="s">
        <v>94</v>
      </c>
      <c r="H170" s="13" t="s">
        <v>95</v>
      </c>
      <c r="I170" s="13"/>
      <c r="J170" s="13"/>
      <c r="K170" s="13">
        <v>210</v>
      </c>
      <c r="L170" s="13">
        <v>25</v>
      </c>
      <c r="M170" s="13">
        <v>3</v>
      </c>
      <c r="N170" s="13" t="s">
        <v>3</v>
      </c>
      <c r="O170" s="13">
        <v>2</v>
      </c>
      <c r="P170" s="13">
        <f>ROUND(Source!DP144,O170)</f>
        <v>15476.91</v>
      </c>
      <c r="Q170" s="13"/>
      <c r="R170" s="13"/>
      <c r="S170" s="13"/>
      <c r="T170" s="13"/>
      <c r="U170" s="13"/>
      <c r="V170" s="13"/>
      <c r="W170" s="13">
        <v>281.45</v>
      </c>
      <c r="X170" s="13">
        <v>1</v>
      </c>
      <c r="Y170" s="13">
        <v>281.45</v>
      </c>
      <c r="Z170" s="13">
        <v>15476.91</v>
      </c>
      <c r="AA170" s="13">
        <v>1</v>
      </c>
      <c r="AB170" s="13">
        <v>15476.91</v>
      </c>
    </row>
    <row r="171" spans="1:28" x14ac:dyDescent="0.2">
      <c r="A171" s="13">
        <v>50</v>
      </c>
      <c r="B171" s="13">
        <v>0</v>
      </c>
      <c r="C171" s="13">
        <v>0</v>
      </c>
      <c r="D171" s="13">
        <v>1</v>
      </c>
      <c r="E171" s="13">
        <v>211</v>
      </c>
      <c r="F171" s="13">
        <f>ROUND(Source!Y144,O171)</f>
        <v>144.38999999999999</v>
      </c>
      <c r="G171" s="13" t="s">
        <v>96</v>
      </c>
      <c r="H171" s="13" t="s">
        <v>97</v>
      </c>
      <c r="I171" s="13"/>
      <c r="J171" s="13"/>
      <c r="K171" s="13">
        <v>211</v>
      </c>
      <c r="L171" s="13">
        <v>26</v>
      </c>
      <c r="M171" s="13">
        <v>3</v>
      </c>
      <c r="N171" s="13" t="s">
        <v>3</v>
      </c>
      <c r="O171" s="13">
        <v>2</v>
      </c>
      <c r="P171" s="13">
        <f>ROUND(Source!DQ144,O171)</f>
        <v>7940.09</v>
      </c>
      <c r="Q171" s="13"/>
      <c r="R171" s="13"/>
      <c r="S171" s="13"/>
      <c r="T171" s="13"/>
      <c r="U171" s="13"/>
      <c r="V171" s="13"/>
      <c r="W171" s="13">
        <v>144.38999999999999</v>
      </c>
      <c r="X171" s="13">
        <v>1</v>
      </c>
      <c r="Y171" s="13">
        <v>144.38999999999999</v>
      </c>
      <c r="Z171" s="13">
        <v>7940.09</v>
      </c>
      <c r="AA171" s="13">
        <v>1</v>
      </c>
      <c r="AB171" s="13">
        <v>7940.09</v>
      </c>
    </row>
    <row r="172" spans="1:28" x14ac:dyDescent="0.2">
      <c r="A172" s="13">
        <v>50</v>
      </c>
      <c r="B172" s="13">
        <v>0</v>
      </c>
      <c r="C172" s="13">
        <v>0</v>
      </c>
      <c r="D172" s="13">
        <v>1</v>
      </c>
      <c r="E172" s="13">
        <v>224</v>
      </c>
      <c r="F172" s="13">
        <f>ROUND(Source!AR144,O172)</f>
        <v>14832.16</v>
      </c>
      <c r="G172" s="13" t="s">
        <v>98</v>
      </c>
      <c r="H172" s="13" t="s">
        <v>99</v>
      </c>
      <c r="I172" s="13"/>
      <c r="J172" s="13"/>
      <c r="K172" s="13">
        <v>224</v>
      </c>
      <c r="L172" s="13">
        <v>27</v>
      </c>
      <c r="M172" s="13">
        <v>3</v>
      </c>
      <c r="N172" s="13" t="s">
        <v>3</v>
      </c>
      <c r="O172" s="13">
        <v>2</v>
      </c>
      <c r="P172" s="13">
        <f>ROUND(Source!EJ144,O172)</f>
        <v>140651.64000000001</v>
      </c>
      <c r="Q172" s="13"/>
      <c r="R172" s="13"/>
      <c r="S172" s="13"/>
      <c r="T172" s="13"/>
      <c r="U172" s="13"/>
      <c r="V172" s="13"/>
      <c r="W172" s="13">
        <v>14832.16</v>
      </c>
      <c r="X172" s="13">
        <v>1</v>
      </c>
      <c r="Y172" s="13">
        <v>14832.16</v>
      </c>
      <c r="Z172" s="13">
        <v>140651.64000000001</v>
      </c>
      <c r="AA172" s="13">
        <v>1</v>
      </c>
      <c r="AB172" s="13">
        <v>140651.64000000001</v>
      </c>
    </row>
    <row r="175" spans="1:28" x14ac:dyDescent="0.2">
      <c r="A175" s="3">
        <v>70</v>
      </c>
      <c r="B175" s="3">
        <v>1</v>
      </c>
      <c r="D175" s="3">
        <v>1</v>
      </c>
      <c r="E175" s="3" t="s">
        <v>135</v>
      </c>
      <c r="F175" s="3" t="s">
        <v>136</v>
      </c>
      <c r="G175" s="3">
        <v>0</v>
      </c>
      <c r="H175" s="3">
        <v>0</v>
      </c>
      <c r="I175" s="3" t="s">
        <v>3</v>
      </c>
      <c r="J175" s="3">
        <v>1</v>
      </c>
      <c r="K175" s="3">
        <v>0</v>
      </c>
      <c r="L175" s="3" t="s">
        <v>3</v>
      </c>
      <c r="M175" s="3" t="s">
        <v>3</v>
      </c>
      <c r="N175" s="3">
        <v>0</v>
      </c>
      <c r="O175" s="3">
        <v>0</v>
      </c>
      <c r="P175" s="3" t="s">
        <v>3</v>
      </c>
    </row>
    <row r="176" spans="1:28" x14ac:dyDescent="0.2">
      <c r="A176" s="3">
        <v>70</v>
      </c>
      <c r="B176" s="3">
        <v>1</v>
      </c>
      <c r="D176" s="3">
        <v>2</v>
      </c>
      <c r="E176" s="3" t="s">
        <v>137</v>
      </c>
      <c r="F176" s="3" t="s">
        <v>138</v>
      </c>
      <c r="G176" s="3">
        <v>1</v>
      </c>
      <c r="H176" s="3">
        <v>0</v>
      </c>
      <c r="I176" s="3" t="s">
        <v>3</v>
      </c>
      <c r="J176" s="3">
        <v>1</v>
      </c>
      <c r="K176" s="3">
        <v>0</v>
      </c>
      <c r="L176" s="3" t="s">
        <v>3</v>
      </c>
      <c r="M176" s="3" t="s">
        <v>3</v>
      </c>
      <c r="N176" s="3">
        <v>0</v>
      </c>
      <c r="O176" s="3">
        <v>1</v>
      </c>
      <c r="P176" s="3" t="s">
        <v>3</v>
      </c>
    </row>
    <row r="177" spans="1:50" x14ac:dyDescent="0.2">
      <c r="A177" s="3">
        <v>70</v>
      </c>
      <c r="B177" s="3">
        <v>1</v>
      </c>
      <c r="D177" s="3">
        <v>3</v>
      </c>
      <c r="E177" s="3" t="s">
        <v>139</v>
      </c>
      <c r="F177" s="3" t="s">
        <v>140</v>
      </c>
      <c r="G177" s="3">
        <v>1</v>
      </c>
      <c r="H177" s="3">
        <v>0</v>
      </c>
      <c r="I177" s="3" t="s">
        <v>3</v>
      </c>
      <c r="J177" s="3">
        <v>0</v>
      </c>
      <c r="K177" s="3">
        <v>0</v>
      </c>
      <c r="L177" s="3" t="s">
        <v>3</v>
      </c>
      <c r="M177" s="3" t="s">
        <v>3</v>
      </c>
      <c r="N177" s="3">
        <v>0</v>
      </c>
      <c r="O177" s="3">
        <v>1</v>
      </c>
      <c r="P177" s="3" t="s">
        <v>3</v>
      </c>
    </row>
    <row r="178" spans="1:50" x14ac:dyDescent="0.2">
      <c r="A178" s="3">
        <v>70</v>
      </c>
      <c r="B178" s="3">
        <v>1</v>
      </c>
      <c r="D178" s="3">
        <v>4</v>
      </c>
      <c r="E178" s="3" t="s">
        <v>141</v>
      </c>
      <c r="F178" s="3" t="s">
        <v>142</v>
      </c>
      <c r="G178" s="3">
        <v>1</v>
      </c>
      <c r="H178" s="3">
        <v>0</v>
      </c>
      <c r="I178" s="3" t="s">
        <v>3</v>
      </c>
      <c r="J178" s="3">
        <v>0</v>
      </c>
      <c r="K178" s="3">
        <v>0</v>
      </c>
      <c r="L178" s="3" t="s">
        <v>3</v>
      </c>
      <c r="M178" s="3" t="s">
        <v>3</v>
      </c>
      <c r="N178" s="3">
        <v>0</v>
      </c>
      <c r="O178" s="3">
        <v>1</v>
      </c>
      <c r="P178" s="3" t="s">
        <v>3</v>
      </c>
    </row>
    <row r="179" spans="1:50" x14ac:dyDescent="0.2">
      <c r="A179" s="3">
        <v>70</v>
      </c>
      <c r="B179" s="3">
        <v>1</v>
      </c>
      <c r="D179" s="3">
        <v>5</v>
      </c>
      <c r="E179" s="3" t="s">
        <v>143</v>
      </c>
      <c r="F179" s="3" t="s">
        <v>144</v>
      </c>
      <c r="G179" s="3">
        <v>0</v>
      </c>
      <c r="H179" s="3">
        <v>0</v>
      </c>
      <c r="I179" s="3" t="s">
        <v>3</v>
      </c>
      <c r="J179" s="3">
        <v>0</v>
      </c>
      <c r="K179" s="3">
        <v>0</v>
      </c>
      <c r="L179" s="3" t="s">
        <v>3</v>
      </c>
      <c r="M179" s="3" t="s">
        <v>3</v>
      </c>
      <c r="N179" s="3">
        <v>0</v>
      </c>
      <c r="O179" s="3">
        <v>0</v>
      </c>
      <c r="P179" s="3" t="s">
        <v>3</v>
      </c>
    </row>
    <row r="181" spans="1:50" x14ac:dyDescent="0.2">
      <c r="A181" s="3">
        <v>-1</v>
      </c>
    </row>
    <row r="183" spans="1:50" x14ac:dyDescent="0.2">
      <c r="A183" s="12">
        <v>75</v>
      </c>
      <c r="B183" s="12" t="s">
        <v>145</v>
      </c>
      <c r="C183" s="12">
        <v>2025</v>
      </c>
      <c r="D183" s="12">
        <v>3</v>
      </c>
      <c r="E183" s="12">
        <v>0</v>
      </c>
      <c r="F183" s="12"/>
      <c r="G183" s="12">
        <v>0</v>
      </c>
      <c r="H183" s="12">
        <v>1</v>
      </c>
      <c r="I183" s="12">
        <v>1</v>
      </c>
      <c r="J183" s="12">
        <v>3</v>
      </c>
      <c r="K183" s="12">
        <v>0</v>
      </c>
      <c r="L183" s="12">
        <v>0</v>
      </c>
      <c r="M183" s="12">
        <v>1</v>
      </c>
      <c r="N183" s="12">
        <v>60257733</v>
      </c>
      <c r="O183" s="12">
        <v>1</v>
      </c>
    </row>
    <row r="184" spans="1:50" x14ac:dyDescent="0.2">
      <c r="A184" s="14">
        <v>1</v>
      </c>
      <c r="B184" s="14" t="s">
        <v>146</v>
      </c>
      <c r="C184" s="14" t="s">
        <v>147</v>
      </c>
      <c r="D184" s="14">
        <v>2025</v>
      </c>
      <c r="E184" s="14">
        <v>9</v>
      </c>
      <c r="F184" s="14">
        <v>1</v>
      </c>
      <c r="G184" s="14">
        <v>1</v>
      </c>
      <c r="H184" s="14">
        <v>0</v>
      </c>
      <c r="I184" s="14">
        <v>2</v>
      </c>
      <c r="J184" s="14">
        <v>1</v>
      </c>
      <c r="K184" s="14">
        <v>9.8800000000000008</v>
      </c>
      <c r="L184" s="14">
        <v>7.66</v>
      </c>
      <c r="M184" s="14">
        <v>1</v>
      </c>
      <c r="N184" s="14">
        <v>1</v>
      </c>
      <c r="O184" s="14">
        <v>9.8800000000000008</v>
      </c>
      <c r="P184" s="14">
        <v>7.66</v>
      </c>
      <c r="Q184" s="14">
        <v>1</v>
      </c>
      <c r="R184" s="14" t="s">
        <v>3</v>
      </c>
      <c r="S184" s="14" t="s">
        <v>3</v>
      </c>
      <c r="T184" s="14" t="s">
        <v>3</v>
      </c>
      <c r="U184" s="14" t="s">
        <v>3</v>
      </c>
      <c r="V184" s="14" t="s">
        <v>3</v>
      </c>
      <c r="W184" s="14" t="s">
        <v>3</v>
      </c>
      <c r="X184" s="14" t="s">
        <v>3</v>
      </c>
      <c r="Y184" s="14" t="s">
        <v>3</v>
      </c>
      <c r="Z184" s="14" t="s">
        <v>3</v>
      </c>
      <c r="AA184" s="14" t="s">
        <v>148</v>
      </c>
      <c r="AB184" s="14"/>
      <c r="AC184" s="14"/>
      <c r="AD184" s="14"/>
      <c r="AE184" s="14"/>
      <c r="AF184" s="14"/>
      <c r="AG184" s="14"/>
      <c r="AH184" s="14"/>
      <c r="AI184" s="14"/>
      <c r="AJ184" s="14"/>
      <c r="AK184" s="14"/>
      <c r="AL184" s="14"/>
      <c r="AM184" s="14"/>
      <c r="AN184" s="14">
        <v>60257734</v>
      </c>
      <c r="AO184" s="14"/>
      <c r="AP184" s="14"/>
      <c r="AQ184" s="14"/>
      <c r="AR184" s="14"/>
      <c r="AS184" s="14"/>
      <c r="AT184" s="14"/>
      <c r="AU184" s="14"/>
      <c r="AV184" s="14"/>
      <c r="AW184" s="14"/>
      <c r="AX184" s="14"/>
    </row>
    <row r="185" spans="1:50" x14ac:dyDescent="0.2">
      <c r="A185" s="14">
        <v>1</v>
      </c>
      <c r="B185" s="14" t="s">
        <v>146</v>
      </c>
      <c r="C185" s="14" t="s">
        <v>149</v>
      </c>
      <c r="D185" s="14">
        <v>2025</v>
      </c>
      <c r="E185" s="14">
        <v>7</v>
      </c>
      <c r="F185" s="14">
        <v>1</v>
      </c>
      <c r="G185" s="14">
        <v>1</v>
      </c>
      <c r="H185" s="14">
        <v>0</v>
      </c>
      <c r="I185" s="14">
        <v>2</v>
      </c>
      <c r="J185" s="14">
        <v>1</v>
      </c>
      <c r="K185" s="14">
        <v>1</v>
      </c>
      <c r="L185" s="14">
        <v>1</v>
      </c>
      <c r="M185" s="14">
        <v>1</v>
      </c>
      <c r="N185" s="14">
        <v>1</v>
      </c>
      <c r="O185" s="14">
        <v>1</v>
      </c>
      <c r="P185" s="14">
        <v>1</v>
      </c>
      <c r="Q185" s="14">
        <v>1</v>
      </c>
      <c r="R185" s="14" t="s">
        <v>3</v>
      </c>
      <c r="S185" s="14" t="s">
        <v>3</v>
      </c>
      <c r="T185" s="14" t="s">
        <v>3</v>
      </c>
      <c r="U185" s="14" t="s">
        <v>3</v>
      </c>
      <c r="V185" s="14" t="s">
        <v>3</v>
      </c>
      <c r="W185" s="14" t="s">
        <v>3</v>
      </c>
      <c r="X185" s="14" t="s">
        <v>3</v>
      </c>
      <c r="Y185" s="14" t="s">
        <v>3</v>
      </c>
      <c r="Z185" s="14" t="s">
        <v>3</v>
      </c>
      <c r="AA185" s="14" t="s">
        <v>150</v>
      </c>
      <c r="AB185" s="14"/>
      <c r="AC185" s="14"/>
      <c r="AD185" s="14"/>
      <c r="AE185" s="14"/>
      <c r="AF185" s="14"/>
      <c r="AG185" s="14"/>
      <c r="AH185" s="14"/>
      <c r="AI185" s="14"/>
      <c r="AJ185" s="14"/>
      <c r="AK185" s="14"/>
      <c r="AL185" s="14"/>
      <c r="AM185" s="14"/>
      <c r="AN185" s="14">
        <v>60257735</v>
      </c>
      <c r="AO185" s="14"/>
      <c r="AP185" s="14"/>
      <c r="AQ185" s="14"/>
      <c r="AR185" s="14"/>
      <c r="AS185" s="14"/>
      <c r="AT185" s="14"/>
      <c r="AU185" s="14"/>
      <c r="AV185" s="14"/>
      <c r="AW185" s="14"/>
      <c r="AX185" s="14"/>
    </row>
    <row r="186" spans="1:50" x14ac:dyDescent="0.2">
      <c r="A186" s="12">
        <v>75</v>
      </c>
      <c r="B186" s="12" t="s">
        <v>151</v>
      </c>
      <c r="C186" s="12">
        <v>2000</v>
      </c>
      <c r="D186" s="12">
        <v>0</v>
      </c>
      <c r="E186" s="12">
        <v>1</v>
      </c>
      <c r="F186" s="12">
        <v>0</v>
      </c>
      <c r="G186" s="12">
        <v>0</v>
      </c>
      <c r="H186" s="12">
        <v>1</v>
      </c>
      <c r="I186" s="12">
        <v>1</v>
      </c>
      <c r="J186" s="12">
        <v>3</v>
      </c>
      <c r="K186" s="12">
        <v>0</v>
      </c>
      <c r="L186" s="12">
        <v>0</v>
      </c>
      <c r="M186" s="12">
        <v>0</v>
      </c>
      <c r="N186" s="12">
        <v>60257736</v>
      </c>
      <c r="O186" s="12">
        <v>2</v>
      </c>
    </row>
    <row r="187" spans="1:50" x14ac:dyDescent="0.2">
      <c r="A187" s="14">
        <v>1</v>
      </c>
      <c r="B187" s="14" t="s">
        <v>146</v>
      </c>
      <c r="C187" s="14" t="s">
        <v>147</v>
      </c>
      <c r="D187" s="14">
        <v>2000</v>
      </c>
      <c r="E187" s="14">
        <v>1</v>
      </c>
      <c r="F187" s="14">
        <v>1</v>
      </c>
      <c r="G187" s="14">
        <v>1</v>
      </c>
      <c r="H187" s="14">
        <v>0</v>
      </c>
      <c r="I187" s="14">
        <v>2</v>
      </c>
      <c r="J187" s="14">
        <v>1</v>
      </c>
      <c r="K187" s="14">
        <v>1</v>
      </c>
      <c r="L187" s="14">
        <v>1</v>
      </c>
      <c r="M187" s="14">
        <v>1</v>
      </c>
      <c r="N187" s="14">
        <v>1</v>
      </c>
      <c r="O187" s="14">
        <v>1</v>
      </c>
      <c r="P187" s="14">
        <v>1</v>
      </c>
      <c r="Q187" s="14">
        <v>1</v>
      </c>
      <c r="R187" s="14" t="s">
        <v>3</v>
      </c>
      <c r="S187" s="14" t="s">
        <v>3</v>
      </c>
      <c r="T187" s="14" t="s">
        <v>3</v>
      </c>
      <c r="U187" s="14" t="s">
        <v>3</v>
      </c>
      <c r="V187" s="14" t="s">
        <v>3</v>
      </c>
      <c r="W187" s="14" t="s">
        <v>3</v>
      </c>
      <c r="X187" s="14" t="s">
        <v>3</v>
      </c>
      <c r="Y187" s="14" t="s">
        <v>3</v>
      </c>
      <c r="Z187" s="14" t="s">
        <v>3</v>
      </c>
      <c r="AA187" s="14" t="s">
        <v>134</v>
      </c>
      <c r="AB187" s="14"/>
      <c r="AC187" s="14"/>
      <c r="AD187" s="14"/>
      <c r="AE187" s="14"/>
      <c r="AF187" s="14"/>
      <c r="AG187" s="14"/>
      <c r="AH187" s="14"/>
      <c r="AI187" s="14"/>
      <c r="AJ187" s="14"/>
      <c r="AK187" s="14"/>
      <c r="AL187" s="14"/>
      <c r="AM187" s="14"/>
      <c r="AN187" s="14">
        <v>60257737</v>
      </c>
      <c r="AO187" s="14"/>
      <c r="AP187" s="14"/>
      <c r="AQ187" s="14"/>
      <c r="AR187" s="14"/>
      <c r="AS187" s="14"/>
      <c r="AT187" s="14"/>
      <c r="AU187" s="14"/>
      <c r="AV187" s="14"/>
      <c r="AW187" s="14"/>
      <c r="AX187" s="14"/>
    </row>
    <row r="191" spans="1:50" x14ac:dyDescent="0.2">
      <c r="A191" s="3">
        <v>65</v>
      </c>
      <c r="C191" s="3">
        <v>1</v>
      </c>
      <c r="D191" s="3">
        <v>0</v>
      </c>
      <c r="E191" s="3">
        <v>245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C55"/>
  <sheetViews>
    <sheetView workbookViewId="0"/>
  </sheetViews>
  <sheetFormatPr defaultColWidth="9.140625" defaultRowHeight="12.75" x14ac:dyDescent="0.2"/>
  <cols>
    <col min="1" max="256" width="9.140625" customWidth="1"/>
  </cols>
  <sheetData>
    <row r="1" spans="1:133" x14ac:dyDescent="0.2">
      <c r="A1">
        <v>0</v>
      </c>
      <c r="B1" t="s">
        <v>0</v>
      </c>
      <c r="D1" t="s">
        <v>152</v>
      </c>
      <c r="F1">
        <v>0</v>
      </c>
      <c r="G1">
        <v>0</v>
      </c>
      <c r="H1">
        <v>0</v>
      </c>
      <c r="I1" t="s">
        <v>2</v>
      </c>
      <c r="J1" t="s">
        <v>3</v>
      </c>
      <c r="K1">
        <v>1</v>
      </c>
      <c r="L1">
        <v>74563</v>
      </c>
      <c r="M1">
        <v>10</v>
      </c>
      <c r="N1">
        <v>12</v>
      </c>
      <c r="O1">
        <v>1</v>
      </c>
      <c r="P1">
        <v>0</v>
      </c>
      <c r="Q1">
        <v>0</v>
      </c>
    </row>
    <row r="4" spans="1:133" x14ac:dyDescent="0.2">
      <c r="A4" s="1">
        <v>1</v>
      </c>
      <c r="B4" s="1">
        <v>1</v>
      </c>
      <c r="C4" s="1">
        <v>-1</v>
      </c>
      <c r="D4" s="1"/>
      <c r="E4" s="1"/>
      <c r="F4" s="1"/>
      <c r="G4" s="1" t="s">
        <v>4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>
        <v>0</v>
      </c>
    </row>
    <row r="12" spans="1:133" x14ac:dyDescent="0.2">
      <c r="A12" s="1">
        <v>1</v>
      </c>
      <c r="B12" s="1">
        <v>51</v>
      </c>
      <c r="C12" s="1">
        <v>0</v>
      </c>
      <c r="D12" s="1"/>
      <c r="E12" s="1">
        <v>0</v>
      </c>
      <c r="F12" s="1" t="s">
        <v>3</v>
      </c>
      <c r="G12" s="1" t="s">
        <v>5</v>
      </c>
      <c r="H12" s="1" t="s">
        <v>3</v>
      </c>
      <c r="I12" s="1">
        <v>0</v>
      </c>
      <c r="J12" s="1" t="s">
        <v>6</v>
      </c>
      <c r="K12" s="1">
        <v>0</v>
      </c>
      <c r="L12" s="1">
        <v>0</v>
      </c>
      <c r="M12" s="1">
        <v>4098</v>
      </c>
      <c r="N12" s="1"/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1</v>
      </c>
      <c r="U12" s="1" t="s">
        <v>3</v>
      </c>
      <c r="V12" s="1">
        <v>0</v>
      </c>
      <c r="W12" s="1" t="s">
        <v>3</v>
      </c>
      <c r="X12" s="1" t="s">
        <v>3</v>
      </c>
      <c r="Y12" s="1" t="s">
        <v>3</v>
      </c>
      <c r="Z12" s="1" t="s">
        <v>3</v>
      </c>
      <c r="AA12" s="1" t="s">
        <v>3</v>
      </c>
      <c r="AB12" s="1" t="s">
        <v>7</v>
      </c>
      <c r="AC12" s="1" t="s">
        <v>3</v>
      </c>
      <c r="AD12" s="1" t="s">
        <v>3</v>
      </c>
      <c r="AE12" s="1" t="s">
        <v>3</v>
      </c>
      <c r="AF12" s="1" t="s">
        <v>3</v>
      </c>
      <c r="AG12" s="1" t="s">
        <v>3</v>
      </c>
      <c r="AH12" s="1" t="s">
        <v>3</v>
      </c>
      <c r="AI12" s="1" t="s">
        <v>3</v>
      </c>
      <c r="AJ12" s="1" t="s">
        <v>3</v>
      </c>
      <c r="AK12" s="1"/>
      <c r="AL12" s="1" t="s">
        <v>3</v>
      </c>
      <c r="AM12" s="1" t="s">
        <v>3</v>
      </c>
      <c r="AN12" s="1" t="s">
        <v>3</v>
      </c>
      <c r="AO12" s="1"/>
      <c r="AP12" s="1" t="s">
        <v>3</v>
      </c>
      <c r="AQ12" s="1" t="s">
        <v>3</v>
      </c>
      <c r="AR12" s="1" t="s">
        <v>3</v>
      </c>
      <c r="AS12" s="1"/>
      <c r="AT12" s="1"/>
      <c r="AU12" s="1"/>
      <c r="AV12" s="1"/>
      <c r="AW12" s="1"/>
      <c r="AX12" s="1" t="s">
        <v>3</v>
      </c>
      <c r="AY12" s="1" t="s">
        <v>3</v>
      </c>
      <c r="AZ12" s="1" t="s">
        <v>3</v>
      </c>
      <c r="BA12" s="1"/>
      <c r="BB12" s="1">
        <v>0</v>
      </c>
      <c r="BC12" s="1"/>
      <c r="BD12" s="1"/>
      <c r="BE12" s="1"/>
      <c r="BF12" s="1"/>
      <c r="BG12" s="1"/>
      <c r="BH12" s="1" t="s">
        <v>8</v>
      </c>
      <c r="BI12" s="1" t="s">
        <v>9</v>
      </c>
      <c r="BJ12" s="1">
        <v>1</v>
      </c>
      <c r="BK12" s="1">
        <v>1</v>
      </c>
      <c r="BL12" s="1">
        <v>0</v>
      </c>
      <c r="BM12" s="1">
        <v>0</v>
      </c>
      <c r="BN12" s="1">
        <v>1</v>
      </c>
      <c r="BO12" s="1">
        <v>0</v>
      </c>
      <c r="BP12" s="1">
        <v>6</v>
      </c>
      <c r="BQ12" s="1">
        <v>2</v>
      </c>
      <c r="BR12" s="1">
        <v>1</v>
      </c>
      <c r="BS12" s="1">
        <v>1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 t="s">
        <v>3</v>
      </c>
      <c r="BZ12" s="1" t="s">
        <v>10</v>
      </c>
      <c r="CA12" s="1" t="s">
        <v>11</v>
      </c>
      <c r="CB12" s="1" t="s">
        <v>11</v>
      </c>
      <c r="CC12" s="1" t="s">
        <v>11</v>
      </c>
      <c r="CD12" s="1" t="s">
        <v>11</v>
      </c>
      <c r="CE12" s="1" t="s">
        <v>12</v>
      </c>
      <c r="CF12" s="1">
        <v>0</v>
      </c>
      <c r="CG12" s="1">
        <v>0</v>
      </c>
      <c r="CH12" s="1">
        <v>8200</v>
      </c>
      <c r="CI12" s="1" t="s">
        <v>3</v>
      </c>
      <c r="CJ12" s="1" t="s">
        <v>3</v>
      </c>
      <c r="CK12" s="1">
        <v>81</v>
      </c>
      <c r="CL12" s="1"/>
      <c r="CM12" s="1"/>
      <c r="CN12" s="1"/>
      <c r="CO12" s="1"/>
      <c r="CP12" s="1"/>
      <c r="CQ12" s="1" t="s">
        <v>13</v>
      </c>
      <c r="CR12" s="1" t="s">
        <v>14</v>
      </c>
      <c r="CS12" s="1">
        <v>41660</v>
      </c>
      <c r="CT12" s="1">
        <v>1</v>
      </c>
      <c r="CU12" s="1">
        <v>80</v>
      </c>
      <c r="CV12" s="1"/>
      <c r="CW12" s="1"/>
      <c r="CX12" s="1"/>
      <c r="CY12" s="1">
        <v>0</v>
      </c>
      <c r="CZ12" s="1" t="s">
        <v>3</v>
      </c>
      <c r="DA12" s="1" t="s">
        <v>3</v>
      </c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>
        <v>0</v>
      </c>
    </row>
    <row r="14" spans="1:133" x14ac:dyDescent="0.2">
      <c r="A14" s="1">
        <v>22</v>
      </c>
      <c r="B14" s="1">
        <v>1</v>
      </c>
      <c r="C14" s="1">
        <v>0</v>
      </c>
      <c r="D14" s="1">
        <v>60257733</v>
      </c>
      <c r="E14" s="1">
        <v>60257736</v>
      </c>
      <c r="F14" s="1">
        <v>2</v>
      </c>
      <c r="G14" s="1">
        <v>1</v>
      </c>
      <c r="H14" s="1"/>
      <c r="I14" s="1"/>
      <c r="J14" s="1"/>
      <c r="K14" s="1"/>
      <c r="L14" s="1"/>
      <c r="M14" s="1"/>
      <c r="N14" s="1"/>
      <c r="O14" s="1"/>
    </row>
    <row r="16" spans="1:133" x14ac:dyDescent="0.2">
      <c r="A16" s="7">
        <v>3</v>
      </c>
      <c r="B16" s="7">
        <v>1</v>
      </c>
      <c r="C16" s="7" t="s">
        <v>15</v>
      </c>
      <c r="D16" s="7" t="s">
        <v>16</v>
      </c>
      <c r="E16" s="8">
        <f>ROUND((Source!P131)/1000,2)</f>
        <v>0</v>
      </c>
      <c r="F16" s="8">
        <f>ROUND((Source!P132)/1000,2)</f>
        <v>52.48</v>
      </c>
      <c r="G16" s="8">
        <f>ROUND((Source!P123)/1000,2)</f>
        <v>88.17</v>
      </c>
      <c r="H16" s="8">
        <f>ROUND((Source!P133)/1000+(Source!P134)/1000,2)</f>
        <v>0</v>
      </c>
      <c r="I16" s="8">
        <f>E16+F16+G16+H16</f>
        <v>140.65</v>
      </c>
      <c r="J16" s="8">
        <f>ROUND((Source!P129+Source!P128)/1000,2)</f>
        <v>17.03</v>
      </c>
      <c r="K16" s="8">
        <v>217.4</v>
      </c>
      <c r="L16" s="8">
        <v>0</v>
      </c>
      <c r="M16" s="8">
        <v>0</v>
      </c>
      <c r="N16" s="8">
        <f>I16+L16+M16</f>
        <v>140.65</v>
      </c>
      <c r="T16" s="9">
        <f>ROUND((Source!F131)/1000,2)</f>
        <v>0</v>
      </c>
      <c r="U16" s="9">
        <f>ROUND((Source!F132)/1000,2)</f>
        <v>2.85</v>
      </c>
      <c r="V16" s="9">
        <f>ROUND((Source!F123)/1000,2)</f>
        <v>11.98</v>
      </c>
      <c r="W16" s="9">
        <f>ROUND((Source!F133)/1000+(Source!F134)/1000,2)</f>
        <v>0</v>
      </c>
      <c r="X16" s="9">
        <f>T16+U16+V16+W16</f>
        <v>14.83</v>
      </c>
      <c r="Y16" s="9">
        <f>ROUND((Source!F129+Source!F128)/1000,2)</f>
        <v>0.31</v>
      </c>
      <c r="Z16" s="9">
        <v>28.5</v>
      </c>
      <c r="AA16" s="9">
        <v>0</v>
      </c>
      <c r="AB16" s="9">
        <v>0</v>
      </c>
      <c r="AC16" s="9">
        <f>X16+AA16+AB16</f>
        <v>14.83</v>
      </c>
      <c r="AI16" s="7">
        <v>2</v>
      </c>
      <c r="AJ16" s="7">
        <v>-1</v>
      </c>
      <c r="AK16" s="7" t="s">
        <v>3</v>
      </c>
      <c r="AL16" s="7" t="s">
        <v>3</v>
      </c>
      <c r="AM16" s="7" t="s">
        <v>3</v>
      </c>
      <c r="AN16" s="7">
        <v>0</v>
      </c>
      <c r="AO16" s="7" t="s">
        <v>3</v>
      </c>
      <c r="AP16" s="7" t="s">
        <v>3</v>
      </c>
      <c r="AT16" s="8">
        <v>117234.64</v>
      </c>
      <c r="AU16" s="8">
        <v>100167.42</v>
      </c>
      <c r="AV16" s="8">
        <v>0</v>
      </c>
      <c r="AW16" s="8">
        <v>88172.94</v>
      </c>
      <c r="AX16" s="8">
        <v>0</v>
      </c>
      <c r="AY16" s="8">
        <v>42.32</v>
      </c>
      <c r="AZ16" s="8">
        <v>9.35</v>
      </c>
      <c r="BA16" s="8">
        <v>17024.900000000001</v>
      </c>
      <c r="BB16" s="8">
        <v>0</v>
      </c>
      <c r="BC16" s="8">
        <v>52478.7</v>
      </c>
      <c r="BD16" s="8">
        <v>0</v>
      </c>
      <c r="BE16" s="8">
        <v>0</v>
      </c>
      <c r="BF16" s="8">
        <v>25.3661925</v>
      </c>
      <c r="BG16" s="8">
        <v>0</v>
      </c>
      <c r="BH16" s="8">
        <v>0</v>
      </c>
      <c r="BI16" s="8">
        <v>15476.91</v>
      </c>
      <c r="BJ16" s="8">
        <v>7940.09</v>
      </c>
      <c r="BK16" s="8">
        <v>140651.64000000001</v>
      </c>
      <c r="BR16" s="9">
        <v>14406.32</v>
      </c>
      <c r="BS16" s="9">
        <v>14092.88</v>
      </c>
      <c r="BT16" s="9">
        <v>0</v>
      </c>
      <c r="BU16" s="9">
        <v>11980.11</v>
      </c>
      <c r="BV16" s="9">
        <v>0</v>
      </c>
      <c r="BW16" s="9">
        <v>3.84</v>
      </c>
      <c r="BX16" s="9">
        <v>0.17</v>
      </c>
      <c r="BY16" s="9">
        <v>309.60000000000002</v>
      </c>
      <c r="BZ16" s="9">
        <v>0</v>
      </c>
      <c r="CA16" s="9">
        <v>2852.05</v>
      </c>
      <c r="CB16" s="9">
        <v>0</v>
      </c>
      <c r="CC16" s="9">
        <v>0</v>
      </c>
      <c r="CD16" s="9">
        <v>25.3661925</v>
      </c>
      <c r="CE16" s="9">
        <v>0</v>
      </c>
      <c r="CF16" s="9">
        <v>0</v>
      </c>
      <c r="CG16" s="9">
        <v>281.45</v>
      </c>
      <c r="CH16" s="9">
        <v>144.38999999999999</v>
      </c>
      <c r="CI16" s="9">
        <v>14832.16</v>
      </c>
    </row>
    <row r="18" spans="1:29" x14ac:dyDescent="0.2">
      <c r="A18">
        <v>51</v>
      </c>
      <c r="E18">
        <v>0</v>
      </c>
      <c r="F18">
        <v>52.48</v>
      </c>
      <c r="G18">
        <v>88.17</v>
      </c>
      <c r="H18">
        <v>0</v>
      </c>
      <c r="I18">
        <v>140.65</v>
      </c>
      <c r="J18">
        <v>17.03</v>
      </c>
      <c r="K18">
        <v>217.4</v>
      </c>
      <c r="L18">
        <v>0</v>
      </c>
      <c r="M18">
        <v>0</v>
      </c>
      <c r="N18">
        <v>140.65</v>
      </c>
      <c r="T18">
        <v>0</v>
      </c>
      <c r="U18">
        <v>2.85</v>
      </c>
      <c r="V18">
        <v>11.98</v>
      </c>
      <c r="W18">
        <v>0</v>
      </c>
      <c r="X18">
        <v>14.83</v>
      </c>
      <c r="Y18">
        <v>0.31</v>
      </c>
      <c r="Z18">
        <v>28.5</v>
      </c>
      <c r="AA18">
        <v>0</v>
      </c>
      <c r="AB18">
        <v>0</v>
      </c>
      <c r="AC18">
        <v>14.83</v>
      </c>
    </row>
    <row r="20" spans="1:29" x14ac:dyDescent="0.2">
      <c r="A20" s="5">
        <v>50</v>
      </c>
      <c r="B20" s="5">
        <v>0</v>
      </c>
      <c r="C20" s="5">
        <v>0</v>
      </c>
      <c r="D20" s="5">
        <v>1</v>
      </c>
      <c r="E20" s="5">
        <v>201</v>
      </c>
      <c r="F20" s="5">
        <v>117234.64</v>
      </c>
      <c r="G20" s="5" t="s">
        <v>46</v>
      </c>
      <c r="H20" s="5" t="s">
        <v>47</v>
      </c>
      <c r="I20" s="5"/>
      <c r="J20" s="5"/>
      <c r="K20" s="5">
        <v>201</v>
      </c>
      <c r="L20" s="5">
        <v>1</v>
      </c>
      <c r="M20" s="5">
        <v>3</v>
      </c>
      <c r="N20" s="5" t="s">
        <v>3</v>
      </c>
      <c r="O20" s="5">
        <v>2</v>
      </c>
      <c r="P20" s="5">
        <v>14406.32</v>
      </c>
    </row>
    <row r="21" spans="1:29" x14ac:dyDescent="0.2">
      <c r="A21" s="5">
        <v>50</v>
      </c>
      <c r="B21" s="5">
        <v>0</v>
      </c>
      <c r="C21" s="5">
        <v>0</v>
      </c>
      <c r="D21" s="5">
        <v>1</v>
      </c>
      <c r="E21" s="5">
        <v>202</v>
      </c>
      <c r="F21" s="5">
        <v>100167.42</v>
      </c>
      <c r="G21" s="5" t="s">
        <v>48</v>
      </c>
      <c r="H21" s="5" t="s">
        <v>49</v>
      </c>
      <c r="I21" s="5"/>
      <c r="J21" s="5"/>
      <c r="K21" s="5">
        <v>202</v>
      </c>
      <c r="L21" s="5">
        <v>2</v>
      </c>
      <c r="M21" s="5">
        <v>3</v>
      </c>
      <c r="N21" s="5" t="s">
        <v>3</v>
      </c>
      <c r="O21" s="5">
        <v>2</v>
      </c>
      <c r="P21" s="5">
        <v>14092.88</v>
      </c>
    </row>
    <row r="22" spans="1:29" x14ac:dyDescent="0.2">
      <c r="A22" s="5">
        <v>50</v>
      </c>
      <c r="B22" s="5">
        <v>0</v>
      </c>
      <c r="C22" s="5">
        <v>0</v>
      </c>
      <c r="D22" s="5">
        <v>1</v>
      </c>
      <c r="E22" s="5">
        <v>222</v>
      </c>
      <c r="F22" s="5">
        <v>0</v>
      </c>
      <c r="G22" s="5" t="s">
        <v>50</v>
      </c>
      <c r="H22" s="5" t="s">
        <v>51</v>
      </c>
      <c r="I22" s="5"/>
      <c r="J22" s="5"/>
      <c r="K22" s="5">
        <v>222</v>
      </c>
      <c r="L22" s="5">
        <v>3</v>
      </c>
      <c r="M22" s="5">
        <v>3</v>
      </c>
      <c r="N22" s="5" t="s">
        <v>3</v>
      </c>
      <c r="O22" s="5">
        <v>2</v>
      </c>
      <c r="P22" s="5">
        <v>0</v>
      </c>
    </row>
    <row r="23" spans="1:29" x14ac:dyDescent="0.2">
      <c r="A23" s="5">
        <v>50</v>
      </c>
      <c r="B23" s="5">
        <v>0</v>
      </c>
      <c r="C23" s="5">
        <v>0</v>
      </c>
      <c r="D23" s="5">
        <v>1</v>
      </c>
      <c r="E23" s="5">
        <v>225</v>
      </c>
      <c r="F23" s="5">
        <v>100167.42</v>
      </c>
      <c r="G23" s="5" t="s">
        <v>52</v>
      </c>
      <c r="H23" s="5" t="s">
        <v>53</v>
      </c>
      <c r="I23" s="5"/>
      <c r="J23" s="5"/>
      <c r="K23" s="5">
        <v>225</v>
      </c>
      <c r="L23" s="5">
        <v>4</v>
      </c>
      <c r="M23" s="5">
        <v>3</v>
      </c>
      <c r="N23" s="5" t="s">
        <v>3</v>
      </c>
      <c r="O23" s="5">
        <v>2</v>
      </c>
      <c r="P23" s="5">
        <v>14092.88</v>
      </c>
    </row>
    <row r="24" spans="1:29" x14ac:dyDescent="0.2">
      <c r="A24" s="5">
        <v>50</v>
      </c>
      <c r="B24" s="5">
        <v>0</v>
      </c>
      <c r="C24" s="5">
        <v>0</v>
      </c>
      <c r="D24" s="5">
        <v>1</v>
      </c>
      <c r="E24" s="5">
        <v>226</v>
      </c>
      <c r="F24" s="5">
        <v>11994.48</v>
      </c>
      <c r="G24" s="5" t="s">
        <v>54</v>
      </c>
      <c r="H24" s="5" t="s">
        <v>55</v>
      </c>
      <c r="I24" s="5"/>
      <c r="J24" s="5"/>
      <c r="K24" s="5">
        <v>226</v>
      </c>
      <c r="L24" s="5">
        <v>5</v>
      </c>
      <c r="M24" s="5">
        <v>3</v>
      </c>
      <c r="N24" s="5" t="s">
        <v>3</v>
      </c>
      <c r="O24" s="5">
        <v>2</v>
      </c>
      <c r="P24" s="5">
        <v>2112.77</v>
      </c>
    </row>
    <row r="25" spans="1:29" x14ac:dyDescent="0.2">
      <c r="A25" s="5">
        <v>50</v>
      </c>
      <c r="B25" s="5">
        <v>0</v>
      </c>
      <c r="C25" s="5">
        <v>0</v>
      </c>
      <c r="D25" s="5">
        <v>1</v>
      </c>
      <c r="E25" s="5">
        <v>227</v>
      </c>
      <c r="F25" s="5">
        <v>0</v>
      </c>
      <c r="G25" s="5" t="s">
        <v>56</v>
      </c>
      <c r="H25" s="5" t="s">
        <v>57</v>
      </c>
      <c r="I25" s="5"/>
      <c r="J25" s="5"/>
      <c r="K25" s="5">
        <v>227</v>
      </c>
      <c r="L25" s="5">
        <v>6</v>
      </c>
      <c r="M25" s="5">
        <v>3</v>
      </c>
      <c r="N25" s="5" t="s">
        <v>3</v>
      </c>
      <c r="O25" s="5">
        <v>2</v>
      </c>
      <c r="P25" s="5">
        <v>0</v>
      </c>
    </row>
    <row r="26" spans="1:29" x14ac:dyDescent="0.2">
      <c r="A26" s="5">
        <v>50</v>
      </c>
      <c r="B26" s="5">
        <v>0</v>
      </c>
      <c r="C26" s="5">
        <v>0</v>
      </c>
      <c r="D26" s="5">
        <v>1</v>
      </c>
      <c r="E26" s="5">
        <v>228</v>
      </c>
      <c r="F26" s="5">
        <v>11994.48</v>
      </c>
      <c r="G26" s="5" t="s">
        <v>58</v>
      </c>
      <c r="H26" s="5" t="s">
        <v>59</v>
      </c>
      <c r="I26" s="5"/>
      <c r="J26" s="5"/>
      <c r="K26" s="5">
        <v>228</v>
      </c>
      <c r="L26" s="5">
        <v>7</v>
      </c>
      <c r="M26" s="5">
        <v>3</v>
      </c>
      <c r="N26" s="5" t="s">
        <v>3</v>
      </c>
      <c r="O26" s="5">
        <v>2</v>
      </c>
      <c r="P26" s="5">
        <v>2112.77</v>
      </c>
    </row>
    <row r="27" spans="1:29" x14ac:dyDescent="0.2">
      <c r="A27" s="5">
        <v>50</v>
      </c>
      <c r="B27" s="5">
        <v>0</v>
      </c>
      <c r="C27" s="5">
        <v>0</v>
      </c>
      <c r="D27" s="5">
        <v>1</v>
      </c>
      <c r="E27" s="5">
        <v>216</v>
      </c>
      <c r="F27" s="5">
        <v>88172.94</v>
      </c>
      <c r="G27" s="5" t="s">
        <v>60</v>
      </c>
      <c r="H27" s="5" t="s">
        <v>61</v>
      </c>
      <c r="I27" s="5"/>
      <c r="J27" s="5"/>
      <c r="K27" s="5">
        <v>216</v>
      </c>
      <c r="L27" s="5">
        <v>8</v>
      </c>
      <c r="M27" s="5">
        <v>3</v>
      </c>
      <c r="N27" s="5" t="s">
        <v>3</v>
      </c>
      <c r="O27" s="5">
        <v>2</v>
      </c>
      <c r="P27" s="5">
        <v>11980.11</v>
      </c>
    </row>
    <row r="28" spans="1:29" x14ac:dyDescent="0.2">
      <c r="A28" s="5">
        <v>50</v>
      </c>
      <c r="B28" s="5">
        <v>0</v>
      </c>
      <c r="C28" s="5">
        <v>0</v>
      </c>
      <c r="D28" s="5">
        <v>1</v>
      </c>
      <c r="E28" s="5">
        <v>223</v>
      </c>
      <c r="F28" s="5">
        <v>0</v>
      </c>
      <c r="G28" s="5" t="s">
        <v>62</v>
      </c>
      <c r="H28" s="5" t="s">
        <v>63</v>
      </c>
      <c r="I28" s="5"/>
      <c r="J28" s="5"/>
      <c r="K28" s="5">
        <v>223</v>
      </c>
      <c r="L28" s="5">
        <v>9</v>
      </c>
      <c r="M28" s="5">
        <v>3</v>
      </c>
      <c r="N28" s="5" t="s">
        <v>3</v>
      </c>
      <c r="O28" s="5">
        <v>2</v>
      </c>
      <c r="P28" s="5">
        <v>0</v>
      </c>
    </row>
    <row r="29" spans="1:29" x14ac:dyDescent="0.2">
      <c r="A29" s="5">
        <v>50</v>
      </c>
      <c r="B29" s="5">
        <v>0</v>
      </c>
      <c r="C29" s="5">
        <v>0</v>
      </c>
      <c r="D29" s="5">
        <v>1</v>
      </c>
      <c r="E29" s="5">
        <v>229</v>
      </c>
      <c r="F29" s="5">
        <v>88172.94</v>
      </c>
      <c r="G29" s="5" t="s">
        <v>64</v>
      </c>
      <c r="H29" s="5" t="s">
        <v>65</v>
      </c>
      <c r="I29" s="5"/>
      <c r="J29" s="5"/>
      <c r="K29" s="5">
        <v>229</v>
      </c>
      <c r="L29" s="5">
        <v>10</v>
      </c>
      <c r="M29" s="5">
        <v>3</v>
      </c>
      <c r="N29" s="5" t="s">
        <v>3</v>
      </c>
      <c r="O29" s="5">
        <v>2</v>
      </c>
      <c r="P29" s="5">
        <v>11980.11</v>
      </c>
    </row>
    <row r="30" spans="1:29" x14ac:dyDescent="0.2">
      <c r="A30" s="5">
        <v>50</v>
      </c>
      <c r="B30" s="5">
        <v>0</v>
      </c>
      <c r="C30" s="5">
        <v>0</v>
      </c>
      <c r="D30" s="5">
        <v>1</v>
      </c>
      <c r="E30" s="5">
        <v>203</v>
      </c>
      <c r="F30" s="5">
        <v>42.32</v>
      </c>
      <c r="G30" s="5" t="s">
        <v>66</v>
      </c>
      <c r="H30" s="5" t="s">
        <v>67</v>
      </c>
      <c r="I30" s="5"/>
      <c r="J30" s="5"/>
      <c r="K30" s="5">
        <v>203</v>
      </c>
      <c r="L30" s="5">
        <v>11</v>
      </c>
      <c r="M30" s="5">
        <v>3</v>
      </c>
      <c r="N30" s="5" t="s">
        <v>3</v>
      </c>
      <c r="O30" s="5">
        <v>2</v>
      </c>
      <c r="P30" s="5">
        <v>3.84</v>
      </c>
    </row>
    <row r="31" spans="1:29" x14ac:dyDescent="0.2">
      <c r="A31" s="5">
        <v>50</v>
      </c>
      <c r="B31" s="5">
        <v>0</v>
      </c>
      <c r="C31" s="5">
        <v>0</v>
      </c>
      <c r="D31" s="5">
        <v>1</v>
      </c>
      <c r="E31" s="5">
        <v>231</v>
      </c>
      <c r="F31" s="5">
        <v>0</v>
      </c>
      <c r="G31" s="5" t="s">
        <v>68</v>
      </c>
      <c r="H31" s="5" t="s">
        <v>69</v>
      </c>
      <c r="I31" s="5"/>
      <c r="J31" s="5"/>
      <c r="K31" s="5">
        <v>231</v>
      </c>
      <c r="L31" s="5">
        <v>12</v>
      </c>
      <c r="M31" s="5">
        <v>3</v>
      </c>
      <c r="N31" s="5" t="s">
        <v>3</v>
      </c>
      <c r="O31" s="5">
        <v>2</v>
      </c>
      <c r="P31" s="5">
        <v>0</v>
      </c>
    </row>
    <row r="32" spans="1:29" x14ac:dyDescent="0.2">
      <c r="A32" s="5">
        <v>50</v>
      </c>
      <c r="B32" s="5">
        <v>0</v>
      </c>
      <c r="C32" s="5">
        <v>0</v>
      </c>
      <c r="D32" s="5">
        <v>1</v>
      </c>
      <c r="E32" s="5">
        <v>204</v>
      </c>
      <c r="F32" s="5">
        <v>9.35</v>
      </c>
      <c r="G32" s="5" t="s">
        <v>70</v>
      </c>
      <c r="H32" s="5" t="s">
        <v>71</v>
      </c>
      <c r="I32" s="5"/>
      <c r="J32" s="5"/>
      <c r="K32" s="5">
        <v>204</v>
      </c>
      <c r="L32" s="5">
        <v>13</v>
      </c>
      <c r="M32" s="5">
        <v>3</v>
      </c>
      <c r="N32" s="5" t="s">
        <v>3</v>
      </c>
      <c r="O32" s="5">
        <v>2</v>
      </c>
      <c r="P32" s="5">
        <v>0.17</v>
      </c>
    </row>
    <row r="33" spans="1:16" x14ac:dyDescent="0.2">
      <c r="A33" s="5">
        <v>50</v>
      </c>
      <c r="B33" s="5">
        <v>0</v>
      </c>
      <c r="C33" s="5">
        <v>0</v>
      </c>
      <c r="D33" s="5">
        <v>1</v>
      </c>
      <c r="E33" s="5">
        <v>205</v>
      </c>
      <c r="F33" s="5">
        <v>17024.900000000001</v>
      </c>
      <c r="G33" s="5" t="s">
        <v>72</v>
      </c>
      <c r="H33" s="5" t="s">
        <v>73</v>
      </c>
      <c r="I33" s="5"/>
      <c r="J33" s="5"/>
      <c r="K33" s="5">
        <v>205</v>
      </c>
      <c r="L33" s="5">
        <v>14</v>
      </c>
      <c r="M33" s="5">
        <v>3</v>
      </c>
      <c r="N33" s="5" t="s">
        <v>3</v>
      </c>
      <c r="O33" s="5">
        <v>2</v>
      </c>
      <c r="P33" s="5">
        <v>309.60000000000002</v>
      </c>
    </row>
    <row r="34" spans="1:16" x14ac:dyDescent="0.2">
      <c r="A34" s="5">
        <v>50</v>
      </c>
      <c r="B34" s="5">
        <v>0</v>
      </c>
      <c r="C34" s="5">
        <v>0</v>
      </c>
      <c r="D34" s="5">
        <v>1</v>
      </c>
      <c r="E34" s="5">
        <v>232</v>
      </c>
      <c r="F34" s="5">
        <v>0</v>
      </c>
      <c r="G34" s="5" t="s">
        <v>74</v>
      </c>
      <c r="H34" s="5" t="s">
        <v>75</v>
      </c>
      <c r="I34" s="5"/>
      <c r="J34" s="5"/>
      <c r="K34" s="5">
        <v>232</v>
      </c>
      <c r="L34" s="5">
        <v>15</v>
      </c>
      <c r="M34" s="5">
        <v>3</v>
      </c>
      <c r="N34" s="5" t="s">
        <v>3</v>
      </c>
      <c r="O34" s="5">
        <v>2</v>
      </c>
      <c r="P34" s="5">
        <v>0</v>
      </c>
    </row>
    <row r="35" spans="1:16" x14ac:dyDescent="0.2">
      <c r="A35" s="5">
        <v>50</v>
      </c>
      <c r="B35" s="5">
        <v>0</v>
      </c>
      <c r="C35" s="5">
        <v>0</v>
      </c>
      <c r="D35" s="5">
        <v>1</v>
      </c>
      <c r="E35" s="5">
        <v>214</v>
      </c>
      <c r="F35" s="5">
        <v>0</v>
      </c>
      <c r="G35" s="5" t="s">
        <v>76</v>
      </c>
      <c r="H35" s="5" t="s">
        <v>77</v>
      </c>
      <c r="I35" s="5"/>
      <c r="J35" s="5"/>
      <c r="K35" s="5">
        <v>214</v>
      </c>
      <c r="L35" s="5">
        <v>16</v>
      </c>
      <c r="M35" s="5">
        <v>3</v>
      </c>
      <c r="N35" s="5" t="s">
        <v>3</v>
      </c>
      <c r="O35" s="5">
        <v>2</v>
      </c>
      <c r="P35" s="5">
        <v>0</v>
      </c>
    </row>
    <row r="36" spans="1:16" x14ac:dyDescent="0.2">
      <c r="A36" s="5">
        <v>50</v>
      </c>
      <c r="B36" s="5">
        <v>0</v>
      </c>
      <c r="C36" s="5">
        <v>0</v>
      </c>
      <c r="D36" s="5">
        <v>1</v>
      </c>
      <c r="E36" s="5">
        <v>215</v>
      </c>
      <c r="F36" s="5">
        <v>52478.7</v>
      </c>
      <c r="G36" s="5" t="s">
        <v>78</v>
      </c>
      <c r="H36" s="5" t="s">
        <v>79</v>
      </c>
      <c r="I36" s="5"/>
      <c r="J36" s="5"/>
      <c r="K36" s="5">
        <v>215</v>
      </c>
      <c r="L36" s="5">
        <v>17</v>
      </c>
      <c r="M36" s="5">
        <v>3</v>
      </c>
      <c r="N36" s="5" t="s">
        <v>3</v>
      </c>
      <c r="O36" s="5">
        <v>2</v>
      </c>
      <c r="P36" s="5">
        <v>2852.05</v>
      </c>
    </row>
    <row r="37" spans="1:16" x14ac:dyDescent="0.2">
      <c r="A37" s="5">
        <v>50</v>
      </c>
      <c r="B37" s="5">
        <v>0</v>
      </c>
      <c r="C37" s="5">
        <v>0</v>
      </c>
      <c r="D37" s="5">
        <v>1</v>
      </c>
      <c r="E37" s="5">
        <v>217</v>
      </c>
      <c r="F37" s="5">
        <v>0</v>
      </c>
      <c r="G37" s="5" t="s">
        <v>80</v>
      </c>
      <c r="H37" s="5" t="s">
        <v>81</v>
      </c>
      <c r="I37" s="5"/>
      <c r="J37" s="5"/>
      <c r="K37" s="5">
        <v>217</v>
      </c>
      <c r="L37" s="5">
        <v>18</v>
      </c>
      <c r="M37" s="5">
        <v>3</v>
      </c>
      <c r="N37" s="5" t="s">
        <v>3</v>
      </c>
      <c r="O37" s="5">
        <v>2</v>
      </c>
      <c r="P37" s="5">
        <v>0</v>
      </c>
    </row>
    <row r="38" spans="1:16" x14ac:dyDescent="0.2">
      <c r="A38" s="5">
        <v>50</v>
      </c>
      <c r="B38" s="5">
        <v>0</v>
      </c>
      <c r="C38" s="5">
        <v>0</v>
      </c>
      <c r="D38" s="5">
        <v>1</v>
      </c>
      <c r="E38" s="5">
        <v>230</v>
      </c>
      <c r="F38" s="5">
        <v>0</v>
      </c>
      <c r="G38" s="5" t="s">
        <v>82</v>
      </c>
      <c r="H38" s="5" t="s">
        <v>83</v>
      </c>
      <c r="I38" s="5"/>
      <c r="J38" s="5"/>
      <c r="K38" s="5">
        <v>230</v>
      </c>
      <c r="L38" s="5">
        <v>19</v>
      </c>
      <c r="M38" s="5">
        <v>3</v>
      </c>
      <c r="N38" s="5" t="s">
        <v>3</v>
      </c>
      <c r="O38" s="5">
        <v>2</v>
      </c>
      <c r="P38" s="5">
        <v>0</v>
      </c>
    </row>
    <row r="39" spans="1:16" x14ac:dyDescent="0.2">
      <c r="A39" s="5">
        <v>50</v>
      </c>
      <c r="B39" s="5">
        <v>0</v>
      </c>
      <c r="C39" s="5">
        <v>0</v>
      </c>
      <c r="D39" s="5">
        <v>1</v>
      </c>
      <c r="E39" s="5">
        <v>206</v>
      </c>
      <c r="F39" s="5">
        <v>0</v>
      </c>
      <c r="G39" s="5" t="s">
        <v>84</v>
      </c>
      <c r="H39" s="5" t="s">
        <v>85</v>
      </c>
      <c r="I39" s="5"/>
      <c r="J39" s="5"/>
      <c r="K39" s="5">
        <v>206</v>
      </c>
      <c r="L39" s="5">
        <v>20</v>
      </c>
      <c r="M39" s="5">
        <v>3</v>
      </c>
      <c r="N39" s="5" t="s">
        <v>3</v>
      </c>
      <c r="O39" s="5">
        <v>2</v>
      </c>
      <c r="P39" s="5">
        <v>0</v>
      </c>
    </row>
    <row r="40" spans="1:16" x14ac:dyDescent="0.2">
      <c r="A40" s="5">
        <v>50</v>
      </c>
      <c r="B40" s="5">
        <v>0</v>
      </c>
      <c r="C40" s="5">
        <v>0</v>
      </c>
      <c r="D40" s="5">
        <v>1</v>
      </c>
      <c r="E40" s="5">
        <v>207</v>
      </c>
      <c r="F40" s="5">
        <v>25.3661925</v>
      </c>
      <c r="G40" s="5" t="s">
        <v>86</v>
      </c>
      <c r="H40" s="5" t="s">
        <v>87</v>
      </c>
      <c r="I40" s="5"/>
      <c r="J40" s="5"/>
      <c r="K40" s="5">
        <v>207</v>
      </c>
      <c r="L40" s="5">
        <v>21</v>
      </c>
      <c r="M40" s="5">
        <v>3</v>
      </c>
      <c r="N40" s="5" t="s">
        <v>3</v>
      </c>
      <c r="O40" s="5">
        <v>-1</v>
      </c>
      <c r="P40" s="5">
        <v>25.3661925</v>
      </c>
    </row>
    <row r="41" spans="1:16" x14ac:dyDescent="0.2">
      <c r="A41" s="5">
        <v>50</v>
      </c>
      <c r="B41" s="5">
        <v>0</v>
      </c>
      <c r="C41" s="5">
        <v>0</v>
      </c>
      <c r="D41" s="5">
        <v>1</v>
      </c>
      <c r="E41" s="5">
        <v>208</v>
      </c>
      <c r="F41" s="5">
        <v>0</v>
      </c>
      <c r="G41" s="5" t="s">
        <v>88</v>
      </c>
      <c r="H41" s="5" t="s">
        <v>89</v>
      </c>
      <c r="I41" s="5"/>
      <c r="J41" s="5"/>
      <c r="K41" s="5">
        <v>208</v>
      </c>
      <c r="L41" s="5">
        <v>22</v>
      </c>
      <c r="M41" s="5">
        <v>3</v>
      </c>
      <c r="N41" s="5" t="s">
        <v>3</v>
      </c>
      <c r="O41" s="5">
        <v>-1</v>
      </c>
      <c r="P41" s="5">
        <v>0</v>
      </c>
    </row>
    <row r="42" spans="1:16" x14ac:dyDescent="0.2">
      <c r="A42" s="5">
        <v>50</v>
      </c>
      <c r="B42" s="5">
        <v>0</v>
      </c>
      <c r="C42" s="5">
        <v>0</v>
      </c>
      <c r="D42" s="5">
        <v>1</v>
      </c>
      <c r="E42" s="5">
        <v>209</v>
      </c>
      <c r="F42" s="5">
        <v>0</v>
      </c>
      <c r="G42" s="5" t="s">
        <v>90</v>
      </c>
      <c r="H42" s="5" t="s">
        <v>91</v>
      </c>
      <c r="I42" s="5"/>
      <c r="J42" s="5"/>
      <c r="K42" s="5">
        <v>209</v>
      </c>
      <c r="L42" s="5">
        <v>23</v>
      </c>
      <c r="M42" s="5">
        <v>3</v>
      </c>
      <c r="N42" s="5" t="s">
        <v>3</v>
      </c>
      <c r="O42" s="5">
        <v>2</v>
      </c>
      <c r="P42" s="5">
        <v>0</v>
      </c>
    </row>
    <row r="43" spans="1:16" x14ac:dyDescent="0.2">
      <c r="A43" s="5">
        <v>50</v>
      </c>
      <c r="B43" s="5">
        <v>0</v>
      </c>
      <c r="C43" s="5">
        <v>0</v>
      </c>
      <c r="D43" s="5">
        <v>1</v>
      </c>
      <c r="E43" s="5">
        <v>233</v>
      </c>
      <c r="F43" s="5">
        <v>0</v>
      </c>
      <c r="G43" s="5" t="s">
        <v>92</v>
      </c>
      <c r="H43" s="5" t="s">
        <v>93</v>
      </c>
      <c r="I43" s="5"/>
      <c r="J43" s="5"/>
      <c r="K43" s="5">
        <v>233</v>
      </c>
      <c r="L43" s="5">
        <v>24</v>
      </c>
      <c r="M43" s="5">
        <v>3</v>
      </c>
      <c r="N43" s="5" t="s">
        <v>3</v>
      </c>
      <c r="O43" s="5">
        <v>2</v>
      </c>
      <c r="P43" s="5">
        <v>0</v>
      </c>
    </row>
    <row r="44" spans="1:16" x14ac:dyDescent="0.2">
      <c r="A44" s="5">
        <v>50</v>
      </c>
      <c r="B44" s="5">
        <v>0</v>
      </c>
      <c r="C44" s="5">
        <v>0</v>
      </c>
      <c r="D44" s="5">
        <v>1</v>
      </c>
      <c r="E44" s="5">
        <v>210</v>
      </c>
      <c r="F44" s="5">
        <v>15476.91</v>
      </c>
      <c r="G44" s="5" t="s">
        <v>94</v>
      </c>
      <c r="H44" s="5" t="s">
        <v>95</v>
      </c>
      <c r="I44" s="5"/>
      <c r="J44" s="5"/>
      <c r="K44" s="5">
        <v>210</v>
      </c>
      <c r="L44" s="5">
        <v>25</v>
      </c>
      <c r="M44" s="5">
        <v>3</v>
      </c>
      <c r="N44" s="5" t="s">
        <v>3</v>
      </c>
      <c r="O44" s="5">
        <v>2</v>
      </c>
      <c r="P44" s="5">
        <v>281.45</v>
      </c>
    </row>
    <row r="45" spans="1:16" x14ac:dyDescent="0.2">
      <c r="A45" s="5">
        <v>50</v>
      </c>
      <c r="B45" s="5">
        <v>0</v>
      </c>
      <c r="C45" s="5">
        <v>0</v>
      </c>
      <c r="D45" s="5">
        <v>1</v>
      </c>
      <c r="E45" s="5">
        <v>211</v>
      </c>
      <c r="F45" s="5">
        <v>7940.09</v>
      </c>
      <c r="G45" s="5" t="s">
        <v>96</v>
      </c>
      <c r="H45" s="5" t="s">
        <v>97</v>
      </c>
      <c r="I45" s="5"/>
      <c r="J45" s="5"/>
      <c r="K45" s="5">
        <v>211</v>
      </c>
      <c r="L45" s="5">
        <v>26</v>
      </c>
      <c r="M45" s="5">
        <v>3</v>
      </c>
      <c r="N45" s="5" t="s">
        <v>3</v>
      </c>
      <c r="O45" s="5">
        <v>2</v>
      </c>
      <c r="P45" s="5">
        <v>144.38999999999999</v>
      </c>
    </row>
    <row r="46" spans="1:16" x14ac:dyDescent="0.2">
      <c r="A46" s="5">
        <v>50</v>
      </c>
      <c r="B46" s="5">
        <v>0</v>
      </c>
      <c r="C46" s="5">
        <v>0</v>
      </c>
      <c r="D46" s="5">
        <v>1</v>
      </c>
      <c r="E46" s="5">
        <v>224</v>
      </c>
      <c r="F46" s="5">
        <v>140651.64000000001</v>
      </c>
      <c r="G46" s="5" t="s">
        <v>98</v>
      </c>
      <c r="H46" s="5" t="s">
        <v>99</v>
      </c>
      <c r="I46" s="5"/>
      <c r="J46" s="5"/>
      <c r="K46" s="5">
        <v>224</v>
      </c>
      <c r="L46" s="5">
        <v>27</v>
      </c>
      <c r="M46" s="5">
        <v>3</v>
      </c>
      <c r="N46" s="5" t="s">
        <v>3</v>
      </c>
      <c r="O46" s="5">
        <v>2</v>
      </c>
      <c r="P46" s="5">
        <v>14832.16</v>
      </c>
    </row>
    <row r="48" spans="1:16" x14ac:dyDescent="0.2">
      <c r="A48">
        <v>-1</v>
      </c>
    </row>
    <row r="51" spans="1:50" x14ac:dyDescent="0.2">
      <c r="A51" s="4">
        <v>75</v>
      </c>
      <c r="B51" s="4" t="s">
        <v>145</v>
      </c>
      <c r="C51" s="4">
        <v>2025</v>
      </c>
      <c r="D51" s="4">
        <v>3</v>
      </c>
      <c r="E51" s="4">
        <v>0</v>
      </c>
      <c r="F51" s="4"/>
      <c r="G51" s="4">
        <v>0</v>
      </c>
      <c r="H51" s="4">
        <v>1</v>
      </c>
      <c r="I51" s="4">
        <v>1</v>
      </c>
      <c r="J51" s="4">
        <v>3</v>
      </c>
      <c r="K51" s="4">
        <v>0</v>
      </c>
      <c r="L51" s="4">
        <v>0</v>
      </c>
      <c r="M51" s="4">
        <v>1</v>
      </c>
      <c r="N51" s="4">
        <v>60257733</v>
      </c>
      <c r="O51" s="4">
        <v>1</v>
      </c>
    </row>
    <row r="52" spans="1:50" x14ac:dyDescent="0.2">
      <c r="A52" s="6">
        <v>1</v>
      </c>
      <c r="B52" s="6" t="s">
        <v>146</v>
      </c>
      <c r="C52" s="6" t="s">
        <v>147</v>
      </c>
      <c r="D52" s="6">
        <v>2025</v>
      </c>
      <c r="E52" s="6">
        <v>9</v>
      </c>
      <c r="F52" s="6">
        <v>1</v>
      </c>
      <c r="G52" s="6">
        <v>1</v>
      </c>
      <c r="H52" s="6">
        <v>0</v>
      </c>
      <c r="I52" s="6">
        <v>2</v>
      </c>
      <c r="J52" s="6">
        <v>1</v>
      </c>
      <c r="K52" s="6">
        <v>9.8800000000000008</v>
      </c>
      <c r="L52" s="6">
        <v>7.66</v>
      </c>
      <c r="M52" s="6">
        <v>1</v>
      </c>
      <c r="N52" s="6">
        <v>1</v>
      </c>
      <c r="O52" s="6">
        <v>9.8800000000000008</v>
      </c>
      <c r="P52" s="6">
        <v>7.66</v>
      </c>
      <c r="Q52" s="6">
        <v>1</v>
      </c>
      <c r="R52" s="6" t="s">
        <v>3</v>
      </c>
      <c r="S52" s="6" t="s">
        <v>3</v>
      </c>
      <c r="T52" s="6" t="s">
        <v>3</v>
      </c>
      <c r="U52" s="6" t="s">
        <v>3</v>
      </c>
      <c r="V52" s="6" t="s">
        <v>3</v>
      </c>
      <c r="W52" s="6" t="s">
        <v>3</v>
      </c>
      <c r="X52" s="6" t="s">
        <v>3</v>
      </c>
      <c r="Y52" s="6" t="s">
        <v>3</v>
      </c>
      <c r="Z52" s="6" t="s">
        <v>3</v>
      </c>
      <c r="AA52" s="6" t="s">
        <v>148</v>
      </c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>
        <v>60257734</v>
      </c>
      <c r="AO52" s="6"/>
      <c r="AP52" s="6"/>
      <c r="AQ52" s="6"/>
      <c r="AR52" s="6"/>
      <c r="AS52" s="6"/>
      <c r="AT52" s="6"/>
      <c r="AU52" s="6"/>
      <c r="AV52" s="6"/>
      <c r="AW52" s="6"/>
      <c r="AX52" s="6"/>
    </row>
    <row r="53" spans="1:50" x14ac:dyDescent="0.2">
      <c r="A53" s="6">
        <v>1</v>
      </c>
      <c r="B53" s="6" t="s">
        <v>146</v>
      </c>
      <c r="C53" s="6" t="s">
        <v>149</v>
      </c>
      <c r="D53" s="6">
        <v>2025</v>
      </c>
      <c r="E53" s="6">
        <v>7</v>
      </c>
      <c r="F53" s="6">
        <v>1</v>
      </c>
      <c r="G53" s="6">
        <v>1</v>
      </c>
      <c r="H53" s="6">
        <v>0</v>
      </c>
      <c r="I53" s="6">
        <v>2</v>
      </c>
      <c r="J53" s="6">
        <v>1</v>
      </c>
      <c r="K53" s="6">
        <v>1</v>
      </c>
      <c r="L53" s="6">
        <v>1</v>
      </c>
      <c r="M53" s="6">
        <v>1</v>
      </c>
      <c r="N53" s="6">
        <v>1</v>
      </c>
      <c r="O53" s="6">
        <v>1</v>
      </c>
      <c r="P53" s="6">
        <v>1</v>
      </c>
      <c r="Q53" s="6">
        <v>1</v>
      </c>
      <c r="R53" s="6" t="s">
        <v>3</v>
      </c>
      <c r="S53" s="6" t="s">
        <v>3</v>
      </c>
      <c r="T53" s="6" t="s">
        <v>3</v>
      </c>
      <c r="U53" s="6" t="s">
        <v>3</v>
      </c>
      <c r="V53" s="6" t="s">
        <v>3</v>
      </c>
      <c r="W53" s="6" t="s">
        <v>3</v>
      </c>
      <c r="X53" s="6" t="s">
        <v>3</v>
      </c>
      <c r="Y53" s="6" t="s">
        <v>3</v>
      </c>
      <c r="Z53" s="6" t="s">
        <v>3</v>
      </c>
      <c r="AA53" s="6" t="s">
        <v>150</v>
      </c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>
        <v>60257735</v>
      </c>
      <c r="AO53" s="6"/>
      <c r="AP53" s="6"/>
      <c r="AQ53" s="6"/>
      <c r="AR53" s="6"/>
      <c r="AS53" s="6"/>
      <c r="AT53" s="6"/>
      <c r="AU53" s="6"/>
      <c r="AV53" s="6"/>
      <c r="AW53" s="6"/>
      <c r="AX53" s="6"/>
    </row>
    <row r="54" spans="1:50" x14ac:dyDescent="0.2">
      <c r="A54" s="4">
        <v>75</v>
      </c>
      <c r="B54" s="4" t="s">
        <v>151</v>
      </c>
      <c r="C54" s="4">
        <v>2000</v>
      </c>
      <c r="D54" s="4">
        <v>0</v>
      </c>
      <c r="E54" s="4">
        <v>1</v>
      </c>
      <c r="F54" s="4">
        <v>0</v>
      </c>
      <c r="G54" s="4">
        <v>0</v>
      </c>
      <c r="H54" s="4">
        <v>1</v>
      </c>
      <c r="I54" s="4">
        <v>1</v>
      </c>
      <c r="J54" s="4">
        <v>3</v>
      </c>
      <c r="K54" s="4">
        <v>0</v>
      </c>
      <c r="L54" s="4">
        <v>0</v>
      </c>
      <c r="M54" s="4">
        <v>0</v>
      </c>
      <c r="N54" s="4">
        <v>60257736</v>
      </c>
      <c r="O54" s="4">
        <v>2</v>
      </c>
    </row>
    <row r="55" spans="1:50" x14ac:dyDescent="0.2">
      <c r="A55" s="6">
        <v>1</v>
      </c>
      <c r="B55" s="6" t="s">
        <v>146</v>
      </c>
      <c r="C55" s="6" t="s">
        <v>147</v>
      </c>
      <c r="D55" s="6">
        <v>2000</v>
      </c>
      <c r="E55" s="6">
        <v>1</v>
      </c>
      <c r="F55" s="6">
        <v>1</v>
      </c>
      <c r="G55" s="6">
        <v>1</v>
      </c>
      <c r="H55" s="6">
        <v>0</v>
      </c>
      <c r="I55" s="6">
        <v>2</v>
      </c>
      <c r="J55" s="6">
        <v>1</v>
      </c>
      <c r="K55" s="6">
        <v>1</v>
      </c>
      <c r="L55" s="6">
        <v>1</v>
      </c>
      <c r="M55" s="6">
        <v>1</v>
      </c>
      <c r="N55" s="6">
        <v>1</v>
      </c>
      <c r="O55" s="6">
        <v>1</v>
      </c>
      <c r="P55" s="6">
        <v>1</v>
      </c>
      <c r="Q55" s="6">
        <v>1</v>
      </c>
      <c r="R55" s="6" t="s">
        <v>3</v>
      </c>
      <c r="S55" s="6" t="s">
        <v>3</v>
      </c>
      <c r="T55" s="6" t="s">
        <v>3</v>
      </c>
      <c r="U55" s="6" t="s">
        <v>3</v>
      </c>
      <c r="V55" s="6" t="s">
        <v>3</v>
      </c>
      <c r="W55" s="6" t="s">
        <v>3</v>
      </c>
      <c r="X55" s="6" t="s">
        <v>3</v>
      </c>
      <c r="Y55" s="6" t="s">
        <v>3</v>
      </c>
      <c r="Z55" s="6" t="s">
        <v>3</v>
      </c>
      <c r="AA55" s="6" t="s">
        <v>134</v>
      </c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>
        <v>60257737</v>
      </c>
      <c r="AO55" s="6"/>
      <c r="AP55" s="6"/>
      <c r="AQ55" s="6"/>
      <c r="AR55" s="6"/>
      <c r="AS55" s="6"/>
      <c r="AT55" s="6"/>
      <c r="AU55" s="6"/>
      <c r="AV55" s="6"/>
      <c r="AW55" s="6"/>
      <c r="AX55" s="6"/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O32"/>
  <sheetViews>
    <sheetView workbookViewId="0"/>
  </sheetViews>
  <sheetFormatPr defaultColWidth="9.140625" defaultRowHeight="12.75" x14ac:dyDescent="0.2"/>
  <cols>
    <col min="1" max="256" width="9.140625" customWidth="1"/>
  </cols>
  <sheetData>
    <row r="1" spans="1:119" x14ac:dyDescent="0.2">
      <c r="A1">
        <f>ROW(Source!A28)</f>
        <v>28</v>
      </c>
      <c r="B1">
        <v>60257736</v>
      </c>
      <c r="C1">
        <v>60257850</v>
      </c>
      <c r="D1">
        <v>58999254</v>
      </c>
      <c r="E1">
        <v>1080</v>
      </c>
      <c r="F1">
        <v>1</v>
      </c>
      <c r="G1">
        <v>1080</v>
      </c>
      <c r="H1">
        <v>1</v>
      </c>
      <c r="I1" t="s">
        <v>153</v>
      </c>
      <c r="J1" t="s">
        <v>3</v>
      </c>
      <c r="K1" t="s">
        <v>154</v>
      </c>
      <c r="L1">
        <v>1191</v>
      </c>
      <c r="N1">
        <v>1013</v>
      </c>
      <c r="O1" t="s">
        <v>155</v>
      </c>
      <c r="P1" t="s">
        <v>155</v>
      </c>
      <c r="Q1">
        <v>1</v>
      </c>
      <c r="W1">
        <v>0</v>
      </c>
      <c r="X1">
        <v>476480486</v>
      </c>
      <c r="Y1">
        <f t="shared" ref="Y1:Y7" si="0">(AT1*1.1)</f>
        <v>3.3000000000000003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1</v>
      </c>
      <c r="AJ1">
        <v>1</v>
      </c>
      <c r="AK1">
        <v>1</v>
      </c>
      <c r="AL1">
        <v>1</v>
      </c>
      <c r="AM1">
        <v>-2</v>
      </c>
      <c r="AN1">
        <v>0</v>
      </c>
      <c r="AO1">
        <v>1</v>
      </c>
      <c r="AP1">
        <v>1</v>
      </c>
      <c r="AQ1">
        <v>0</v>
      </c>
      <c r="AR1">
        <v>0</v>
      </c>
      <c r="AS1" t="s">
        <v>3</v>
      </c>
      <c r="AT1">
        <v>3</v>
      </c>
      <c r="AU1" t="s">
        <v>24</v>
      </c>
      <c r="AV1">
        <v>1</v>
      </c>
      <c r="AW1">
        <v>2</v>
      </c>
      <c r="AX1">
        <v>60257963</v>
      </c>
      <c r="AY1">
        <v>1</v>
      </c>
      <c r="AZ1">
        <v>0</v>
      </c>
      <c r="BA1">
        <v>1</v>
      </c>
      <c r="BB1">
        <v>0</v>
      </c>
      <c r="BC1">
        <v>0</v>
      </c>
      <c r="BD1">
        <v>0</v>
      </c>
      <c r="BE1">
        <v>0</v>
      </c>
      <c r="BF1">
        <v>0</v>
      </c>
      <c r="BG1">
        <v>0</v>
      </c>
      <c r="BH1">
        <v>0</v>
      </c>
      <c r="BI1">
        <v>0</v>
      </c>
      <c r="BJ1">
        <v>0</v>
      </c>
      <c r="BK1">
        <v>0</v>
      </c>
      <c r="BL1">
        <v>0</v>
      </c>
      <c r="BM1">
        <v>0</v>
      </c>
      <c r="BN1">
        <v>0</v>
      </c>
      <c r="BO1">
        <v>0</v>
      </c>
      <c r="BP1">
        <v>0</v>
      </c>
      <c r="BQ1">
        <v>0</v>
      </c>
      <c r="BR1">
        <v>0</v>
      </c>
      <c r="BS1">
        <v>0</v>
      </c>
      <c r="BT1">
        <v>0</v>
      </c>
      <c r="BU1">
        <v>0</v>
      </c>
      <c r="BV1">
        <v>0</v>
      </c>
      <c r="BW1">
        <v>0</v>
      </c>
      <c r="CU1">
        <f>ROUND(AT1*Source!I28*AH1*AL1,2)</f>
        <v>0</v>
      </c>
      <c r="CV1">
        <f>ROUND(Y1*Source!I28,9)</f>
        <v>3.3</v>
      </c>
      <c r="CW1">
        <v>0</v>
      </c>
      <c r="CX1">
        <f>ROUND(Y1*Source!I28,9)</f>
        <v>3.3</v>
      </c>
      <c r="CY1">
        <f>AD1</f>
        <v>0</v>
      </c>
      <c r="CZ1">
        <f>AH1</f>
        <v>0</v>
      </c>
      <c r="DA1">
        <f>AL1</f>
        <v>1</v>
      </c>
      <c r="DB1">
        <f t="shared" ref="DB1:DB7" si="1">ROUND((ROUND(AT1*CZ1,2)*1.1),6)</f>
        <v>0</v>
      </c>
      <c r="DC1">
        <f t="shared" ref="DC1:DC7" si="2">ROUND((ROUND(AT1*AG1,2)*1.1),6)</f>
        <v>0</v>
      </c>
      <c r="DD1" t="s">
        <v>3</v>
      </c>
      <c r="DE1" t="s">
        <v>3</v>
      </c>
      <c r="DF1">
        <f t="shared" ref="DF1:DF16" si="3">ROUND(ROUND(AE1,2)*CX1,2)</f>
        <v>0</v>
      </c>
      <c r="DG1">
        <f t="shared" ref="DG1:DG14" si="4">ROUND(ROUND(AF1,2)*CX1,2)</f>
        <v>0</v>
      </c>
      <c r="DH1">
        <f t="shared" ref="DH1:DH14" si="5">ROUND(ROUND(AG1,2)*CX1,2)</f>
        <v>0</v>
      </c>
      <c r="DI1">
        <f t="shared" ref="DI1:DI32" si="6">ROUND(ROUND(AH1,2)*CX1,2)</f>
        <v>0</v>
      </c>
      <c r="DJ1">
        <f>DI1</f>
        <v>0</v>
      </c>
      <c r="DK1">
        <v>0</v>
      </c>
      <c r="DL1" t="s">
        <v>3</v>
      </c>
      <c r="DM1">
        <v>0</v>
      </c>
      <c r="DN1" t="s">
        <v>3</v>
      </c>
      <c r="DO1">
        <v>0</v>
      </c>
    </row>
    <row r="2" spans="1:119" x14ac:dyDescent="0.2">
      <c r="A2">
        <f>ROW(Source!A29)</f>
        <v>29</v>
      </c>
      <c r="B2">
        <v>60257733</v>
      </c>
      <c r="C2">
        <v>60257850</v>
      </c>
      <c r="D2">
        <v>58999254</v>
      </c>
      <c r="E2">
        <v>1080</v>
      </c>
      <c r="F2">
        <v>1</v>
      </c>
      <c r="G2">
        <v>1080</v>
      </c>
      <c r="H2">
        <v>1</v>
      </c>
      <c r="I2" t="s">
        <v>153</v>
      </c>
      <c r="J2" t="s">
        <v>3</v>
      </c>
      <c r="K2" t="s">
        <v>154</v>
      </c>
      <c r="L2">
        <v>1191</v>
      </c>
      <c r="N2">
        <v>1013</v>
      </c>
      <c r="O2" t="s">
        <v>155</v>
      </c>
      <c r="P2" t="s">
        <v>155</v>
      </c>
      <c r="Q2">
        <v>1</v>
      </c>
      <c r="W2">
        <v>0</v>
      </c>
      <c r="X2">
        <v>476480486</v>
      </c>
      <c r="Y2">
        <f t="shared" si="0"/>
        <v>3.3000000000000003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1</v>
      </c>
      <c r="AJ2">
        <v>1</v>
      </c>
      <c r="AK2">
        <v>1</v>
      </c>
      <c r="AL2">
        <v>1</v>
      </c>
      <c r="AM2">
        <v>5</v>
      </c>
      <c r="AN2">
        <v>0</v>
      </c>
      <c r="AO2">
        <v>1</v>
      </c>
      <c r="AP2">
        <v>1</v>
      </c>
      <c r="AQ2">
        <v>0</v>
      </c>
      <c r="AR2">
        <v>0</v>
      </c>
      <c r="AS2" t="s">
        <v>3</v>
      </c>
      <c r="AT2">
        <v>3</v>
      </c>
      <c r="AU2" t="s">
        <v>24</v>
      </c>
      <c r="AV2">
        <v>1</v>
      </c>
      <c r="AW2">
        <v>2</v>
      </c>
      <c r="AX2">
        <v>60257963</v>
      </c>
      <c r="AY2">
        <v>1</v>
      </c>
      <c r="AZ2">
        <v>0</v>
      </c>
      <c r="BA2">
        <v>2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CU2">
        <f>ROUND(AT2*Source!I29*AH2*AL2,2)</f>
        <v>0</v>
      </c>
      <c r="CV2">
        <f>ROUND(Y2*Source!I29,9)</f>
        <v>3.3</v>
      </c>
      <c r="CW2">
        <v>0</v>
      </c>
      <c r="CX2">
        <f>ROUND(Y2*Source!I29,9)</f>
        <v>3.3</v>
      </c>
      <c r="CY2">
        <f>AD2</f>
        <v>0</v>
      </c>
      <c r="CZ2">
        <f>AH2</f>
        <v>0</v>
      </c>
      <c r="DA2">
        <f>AL2</f>
        <v>1</v>
      </c>
      <c r="DB2">
        <f t="shared" si="1"/>
        <v>0</v>
      </c>
      <c r="DC2">
        <f t="shared" si="2"/>
        <v>0</v>
      </c>
      <c r="DD2" t="s">
        <v>3</v>
      </c>
      <c r="DE2" t="s">
        <v>3</v>
      </c>
      <c r="DF2">
        <f t="shared" si="3"/>
        <v>0</v>
      </c>
      <c r="DG2">
        <f t="shared" si="4"/>
        <v>0</v>
      </c>
      <c r="DH2">
        <f t="shared" si="5"/>
        <v>0</v>
      </c>
      <c r="DI2">
        <f t="shared" si="6"/>
        <v>0</v>
      </c>
      <c r="DJ2">
        <f>DI2</f>
        <v>0</v>
      </c>
      <c r="DK2">
        <v>0</v>
      </c>
      <c r="DL2" t="s">
        <v>3</v>
      </c>
      <c r="DM2">
        <v>0</v>
      </c>
      <c r="DN2" t="s">
        <v>3</v>
      </c>
      <c r="DO2">
        <v>0</v>
      </c>
    </row>
    <row r="3" spans="1:119" x14ac:dyDescent="0.2">
      <c r="A3">
        <f>ROW(Source!A32)</f>
        <v>32</v>
      </c>
      <c r="B3">
        <v>60257736</v>
      </c>
      <c r="C3">
        <v>60257854</v>
      </c>
      <c r="D3">
        <v>58999254</v>
      </c>
      <c r="E3">
        <v>1080</v>
      </c>
      <c r="F3">
        <v>1</v>
      </c>
      <c r="G3">
        <v>1080</v>
      </c>
      <c r="H3">
        <v>1</v>
      </c>
      <c r="I3" t="s">
        <v>153</v>
      </c>
      <c r="J3" t="s">
        <v>3</v>
      </c>
      <c r="K3" t="s">
        <v>154</v>
      </c>
      <c r="L3">
        <v>1191</v>
      </c>
      <c r="N3">
        <v>1013</v>
      </c>
      <c r="O3" t="s">
        <v>155</v>
      </c>
      <c r="P3" t="s">
        <v>155</v>
      </c>
      <c r="Q3">
        <v>1</v>
      </c>
      <c r="W3">
        <v>0</v>
      </c>
      <c r="X3">
        <v>476480486</v>
      </c>
      <c r="Y3">
        <f t="shared" si="0"/>
        <v>2.2000000000000002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1</v>
      </c>
      <c r="AJ3">
        <v>1</v>
      </c>
      <c r="AK3">
        <v>1</v>
      </c>
      <c r="AL3">
        <v>1</v>
      </c>
      <c r="AM3">
        <v>-2</v>
      </c>
      <c r="AN3">
        <v>0</v>
      </c>
      <c r="AO3">
        <v>1</v>
      </c>
      <c r="AP3">
        <v>1</v>
      </c>
      <c r="AQ3">
        <v>0</v>
      </c>
      <c r="AR3">
        <v>0</v>
      </c>
      <c r="AS3" t="s">
        <v>3</v>
      </c>
      <c r="AT3">
        <v>2</v>
      </c>
      <c r="AU3" t="s">
        <v>24</v>
      </c>
      <c r="AV3">
        <v>1</v>
      </c>
      <c r="AW3">
        <v>2</v>
      </c>
      <c r="AX3">
        <v>60257964</v>
      </c>
      <c r="AY3">
        <v>1</v>
      </c>
      <c r="AZ3">
        <v>0</v>
      </c>
      <c r="BA3">
        <v>3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CU3">
        <f>ROUND(AT3*Source!I32*AH3*AL3,2)</f>
        <v>0</v>
      </c>
      <c r="CV3">
        <f>ROUND(Y3*Source!I32,9)</f>
        <v>4.4000000000000004</v>
      </c>
      <c r="CW3">
        <v>0</v>
      </c>
      <c r="CX3">
        <f>ROUND(Y3*Source!I32,9)</f>
        <v>4.4000000000000004</v>
      </c>
      <c r="CY3">
        <f>AD3</f>
        <v>0</v>
      </c>
      <c r="CZ3">
        <f>AH3</f>
        <v>0</v>
      </c>
      <c r="DA3">
        <f>AL3</f>
        <v>1</v>
      </c>
      <c r="DB3">
        <f t="shared" si="1"/>
        <v>0</v>
      </c>
      <c r="DC3">
        <f t="shared" si="2"/>
        <v>0</v>
      </c>
      <c r="DD3" t="s">
        <v>3</v>
      </c>
      <c r="DE3" t="s">
        <v>3</v>
      </c>
      <c r="DF3">
        <f t="shared" si="3"/>
        <v>0</v>
      </c>
      <c r="DG3">
        <f t="shared" si="4"/>
        <v>0</v>
      </c>
      <c r="DH3">
        <f t="shared" si="5"/>
        <v>0</v>
      </c>
      <c r="DI3">
        <f t="shared" si="6"/>
        <v>0</v>
      </c>
      <c r="DJ3">
        <f>DI3</f>
        <v>0</v>
      </c>
      <c r="DK3">
        <v>0</v>
      </c>
      <c r="DL3" t="s">
        <v>3</v>
      </c>
      <c r="DM3">
        <v>0</v>
      </c>
      <c r="DN3" t="s">
        <v>3</v>
      </c>
      <c r="DO3">
        <v>0</v>
      </c>
    </row>
    <row r="4" spans="1:119" x14ac:dyDescent="0.2">
      <c r="A4">
        <f>ROW(Source!A33)</f>
        <v>33</v>
      </c>
      <c r="B4">
        <v>60257733</v>
      </c>
      <c r="C4">
        <v>60257854</v>
      </c>
      <c r="D4">
        <v>58999254</v>
      </c>
      <c r="E4">
        <v>1080</v>
      </c>
      <c r="F4">
        <v>1</v>
      </c>
      <c r="G4">
        <v>1080</v>
      </c>
      <c r="H4">
        <v>1</v>
      </c>
      <c r="I4" t="s">
        <v>153</v>
      </c>
      <c r="J4" t="s">
        <v>3</v>
      </c>
      <c r="K4" t="s">
        <v>154</v>
      </c>
      <c r="L4">
        <v>1191</v>
      </c>
      <c r="N4">
        <v>1013</v>
      </c>
      <c r="O4" t="s">
        <v>155</v>
      </c>
      <c r="P4" t="s">
        <v>155</v>
      </c>
      <c r="Q4">
        <v>1</v>
      </c>
      <c r="W4">
        <v>0</v>
      </c>
      <c r="X4">
        <v>476480486</v>
      </c>
      <c r="Y4">
        <f t="shared" si="0"/>
        <v>2.2000000000000002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1</v>
      </c>
      <c r="AJ4">
        <v>1</v>
      </c>
      <c r="AK4">
        <v>1</v>
      </c>
      <c r="AL4">
        <v>1</v>
      </c>
      <c r="AM4">
        <v>5</v>
      </c>
      <c r="AN4">
        <v>0</v>
      </c>
      <c r="AO4">
        <v>1</v>
      </c>
      <c r="AP4">
        <v>1</v>
      </c>
      <c r="AQ4">
        <v>0</v>
      </c>
      <c r="AR4">
        <v>0</v>
      </c>
      <c r="AS4" t="s">
        <v>3</v>
      </c>
      <c r="AT4">
        <v>2</v>
      </c>
      <c r="AU4" t="s">
        <v>24</v>
      </c>
      <c r="AV4">
        <v>1</v>
      </c>
      <c r="AW4">
        <v>2</v>
      </c>
      <c r="AX4">
        <v>60257964</v>
      </c>
      <c r="AY4">
        <v>1</v>
      </c>
      <c r="AZ4">
        <v>0</v>
      </c>
      <c r="BA4">
        <v>4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CU4">
        <f>ROUND(AT4*Source!I33*AH4*AL4,2)</f>
        <v>0</v>
      </c>
      <c r="CV4">
        <f>ROUND(Y4*Source!I33,9)</f>
        <v>4.4000000000000004</v>
      </c>
      <c r="CW4">
        <v>0</v>
      </c>
      <c r="CX4">
        <f>ROUND(Y4*Source!I33,9)</f>
        <v>4.4000000000000004</v>
      </c>
      <c r="CY4">
        <f>AD4</f>
        <v>0</v>
      </c>
      <c r="CZ4">
        <f>AH4</f>
        <v>0</v>
      </c>
      <c r="DA4">
        <f>AL4</f>
        <v>1</v>
      </c>
      <c r="DB4">
        <f t="shared" si="1"/>
        <v>0</v>
      </c>
      <c r="DC4">
        <f t="shared" si="2"/>
        <v>0</v>
      </c>
      <c r="DD4" t="s">
        <v>3</v>
      </c>
      <c r="DE4" t="s">
        <v>3</v>
      </c>
      <c r="DF4">
        <f t="shared" si="3"/>
        <v>0</v>
      </c>
      <c r="DG4">
        <f t="shared" si="4"/>
        <v>0</v>
      </c>
      <c r="DH4">
        <f t="shared" si="5"/>
        <v>0</v>
      </c>
      <c r="DI4">
        <f t="shared" si="6"/>
        <v>0</v>
      </c>
      <c r="DJ4">
        <f>DI4</f>
        <v>0</v>
      </c>
      <c r="DK4">
        <v>0</v>
      </c>
      <c r="DL4" t="s">
        <v>3</v>
      </c>
      <c r="DM4">
        <v>0</v>
      </c>
      <c r="DN4" t="s">
        <v>3</v>
      </c>
      <c r="DO4">
        <v>0</v>
      </c>
    </row>
    <row r="5" spans="1:119" x14ac:dyDescent="0.2">
      <c r="A5">
        <f>ROW(Source!A71)</f>
        <v>71</v>
      </c>
      <c r="B5">
        <v>60257736</v>
      </c>
      <c r="C5">
        <v>61620566</v>
      </c>
      <c r="D5">
        <v>58999254</v>
      </c>
      <c r="E5">
        <v>1080</v>
      </c>
      <c r="F5">
        <v>1</v>
      </c>
      <c r="G5">
        <v>1080</v>
      </c>
      <c r="H5">
        <v>1</v>
      </c>
      <c r="I5" t="s">
        <v>153</v>
      </c>
      <c r="J5" t="s">
        <v>3</v>
      </c>
      <c r="K5" t="s">
        <v>154</v>
      </c>
      <c r="L5">
        <v>1191</v>
      </c>
      <c r="N5">
        <v>1013</v>
      </c>
      <c r="O5" t="s">
        <v>155</v>
      </c>
      <c r="P5" t="s">
        <v>155</v>
      </c>
      <c r="Q5">
        <v>1</v>
      </c>
      <c r="W5">
        <v>0</v>
      </c>
      <c r="X5">
        <v>476480486</v>
      </c>
      <c r="Y5">
        <f t="shared" si="0"/>
        <v>27.236000000000004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1</v>
      </c>
      <c r="AJ5">
        <v>1</v>
      </c>
      <c r="AK5">
        <v>1</v>
      </c>
      <c r="AL5">
        <v>1</v>
      </c>
      <c r="AM5">
        <v>-2</v>
      </c>
      <c r="AN5">
        <v>0</v>
      </c>
      <c r="AO5">
        <v>1</v>
      </c>
      <c r="AP5">
        <v>1</v>
      </c>
      <c r="AQ5">
        <v>0</v>
      </c>
      <c r="AR5">
        <v>0</v>
      </c>
      <c r="AS5" t="s">
        <v>3</v>
      </c>
      <c r="AT5">
        <v>24.76</v>
      </c>
      <c r="AU5" t="s">
        <v>24</v>
      </c>
      <c r="AV5">
        <v>1</v>
      </c>
      <c r="AW5">
        <v>2</v>
      </c>
      <c r="AX5">
        <v>61620567</v>
      </c>
      <c r="AY5">
        <v>1</v>
      </c>
      <c r="AZ5">
        <v>0</v>
      </c>
      <c r="BA5">
        <v>5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CU5">
        <f>ROUND(AT5*Source!I71*AH5*AL5,2)</f>
        <v>0</v>
      </c>
      <c r="CV5">
        <f>ROUND(Y5*Source!I71,9)</f>
        <v>13.618</v>
      </c>
      <c r="CW5">
        <v>0</v>
      </c>
      <c r="CX5">
        <f>ROUND(Y5*Source!I71,9)</f>
        <v>13.618</v>
      </c>
      <c r="CY5">
        <f>AD5</f>
        <v>0</v>
      </c>
      <c r="CZ5">
        <f>AH5</f>
        <v>0</v>
      </c>
      <c r="DA5">
        <f>AL5</f>
        <v>1</v>
      </c>
      <c r="DB5">
        <f t="shared" si="1"/>
        <v>0</v>
      </c>
      <c r="DC5">
        <f t="shared" si="2"/>
        <v>0</v>
      </c>
      <c r="DD5" t="s">
        <v>3</v>
      </c>
      <c r="DE5" t="s">
        <v>3</v>
      </c>
      <c r="DF5">
        <f t="shared" si="3"/>
        <v>0</v>
      </c>
      <c r="DG5">
        <f t="shared" si="4"/>
        <v>0</v>
      </c>
      <c r="DH5">
        <f t="shared" si="5"/>
        <v>0</v>
      </c>
      <c r="DI5">
        <f t="shared" si="6"/>
        <v>0</v>
      </c>
      <c r="DJ5">
        <f>DI5</f>
        <v>0</v>
      </c>
      <c r="DK5">
        <v>0</v>
      </c>
      <c r="DL5" t="s">
        <v>3</v>
      </c>
      <c r="DM5">
        <v>0</v>
      </c>
      <c r="DN5" t="s">
        <v>3</v>
      </c>
      <c r="DO5">
        <v>0</v>
      </c>
    </row>
    <row r="6" spans="1:119" x14ac:dyDescent="0.2">
      <c r="A6">
        <f>ROW(Source!A71)</f>
        <v>71</v>
      </c>
      <c r="B6">
        <v>60257736</v>
      </c>
      <c r="C6">
        <v>61620566</v>
      </c>
      <c r="D6">
        <v>59070721</v>
      </c>
      <c r="E6">
        <v>1</v>
      </c>
      <c r="F6">
        <v>1</v>
      </c>
      <c r="G6">
        <v>1080</v>
      </c>
      <c r="H6">
        <v>2</v>
      </c>
      <c r="I6" t="s">
        <v>156</v>
      </c>
      <c r="J6" t="s">
        <v>157</v>
      </c>
      <c r="K6" t="s">
        <v>158</v>
      </c>
      <c r="L6">
        <v>1368</v>
      </c>
      <c r="N6">
        <v>1011</v>
      </c>
      <c r="O6" t="s">
        <v>159</v>
      </c>
      <c r="P6" t="s">
        <v>159</v>
      </c>
      <c r="Q6">
        <v>1</v>
      </c>
      <c r="W6">
        <v>0</v>
      </c>
      <c r="X6">
        <v>1387779639</v>
      </c>
      <c r="Y6">
        <f t="shared" si="0"/>
        <v>2.6840000000000002</v>
      </c>
      <c r="AA6">
        <v>0</v>
      </c>
      <c r="AB6">
        <v>0.81</v>
      </c>
      <c r="AC6">
        <v>0</v>
      </c>
      <c r="AD6">
        <v>0</v>
      </c>
      <c r="AE6">
        <v>0</v>
      </c>
      <c r="AF6">
        <v>0.77</v>
      </c>
      <c r="AG6">
        <v>0</v>
      </c>
      <c r="AH6">
        <v>0</v>
      </c>
      <c r="AI6">
        <v>1</v>
      </c>
      <c r="AJ6">
        <v>1</v>
      </c>
      <c r="AK6">
        <v>1</v>
      </c>
      <c r="AL6">
        <v>1</v>
      </c>
      <c r="AM6">
        <v>-2</v>
      </c>
      <c r="AN6">
        <v>0</v>
      </c>
      <c r="AO6">
        <v>1</v>
      </c>
      <c r="AP6">
        <v>1</v>
      </c>
      <c r="AQ6">
        <v>0</v>
      </c>
      <c r="AR6">
        <v>0</v>
      </c>
      <c r="AS6" t="s">
        <v>3</v>
      </c>
      <c r="AT6">
        <v>2.44</v>
      </c>
      <c r="AU6" t="s">
        <v>24</v>
      </c>
      <c r="AV6">
        <v>0</v>
      </c>
      <c r="AW6">
        <v>2</v>
      </c>
      <c r="AX6">
        <v>61620568</v>
      </c>
      <c r="AY6">
        <v>1</v>
      </c>
      <c r="AZ6">
        <v>0</v>
      </c>
      <c r="BA6">
        <v>6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CV6">
        <v>0</v>
      </c>
      <c r="CW6">
        <f>ROUND(Y6*Source!I71*DO6,9)</f>
        <v>0</v>
      </c>
      <c r="CX6">
        <f>ROUND(Y6*Source!I71,9)</f>
        <v>1.3420000000000001</v>
      </c>
      <c r="CY6">
        <f>AB6</f>
        <v>0.81</v>
      </c>
      <c r="CZ6">
        <f>AF6</f>
        <v>0.77</v>
      </c>
      <c r="DA6">
        <f>AJ6</f>
        <v>1</v>
      </c>
      <c r="DB6">
        <f t="shared" si="1"/>
        <v>2.0680000000000001</v>
      </c>
      <c r="DC6">
        <f t="shared" si="2"/>
        <v>0</v>
      </c>
      <c r="DD6" t="s">
        <v>3</v>
      </c>
      <c r="DE6" t="s">
        <v>3</v>
      </c>
      <c r="DF6">
        <f t="shared" si="3"/>
        <v>0</v>
      </c>
      <c r="DG6">
        <f t="shared" si="4"/>
        <v>1.03</v>
      </c>
      <c r="DH6">
        <f t="shared" si="5"/>
        <v>0</v>
      </c>
      <c r="DI6">
        <f t="shared" si="6"/>
        <v>0</v>
      </c>
      <c r="DJ6">
        <f>DG6</f>
        <v>1.03</v>
      </c>
      <c r="DK6">
        <v>0</v>
      </c>
      <c r="DL6" t="s">
        <v>3</v>
      </c>
      <c r="DM6">
        <v>0</v>
      </c>
      <c r="DN6" t="s">
        <v>3</v>
      </c>
      <c r="DO6">
        <v>0</v>
      </c>
    </row>
    <row r="7" spans="1:119" x14ac:dyDescent="0.2">
      <c r="A7">
        <f>ROW(Source!A71)</f>
        <v>71</v>
      </c>
      <c r="B7">
        <v>60257736</v>
      </c>
      <c r="C7">
        <v>61620566</v>
      </c>
      <c r="D7">
        <v>59070754</v>
      </c>
      <c r="E7">
        <v>1</v>
      </c>
      <c r="F7">
        <v>1</v>
      </c>
      <c r="G7">
        <v>1080</v>
      </c>
      <c r="H7">
        <v>2</v>
      </c>
      <c r="I7" t="s">
        <v>160</v>
      </c>
      <c r="J7" t="s">
        <v>161</v>
      </c>
      <c r="K7" t="s">
        <v>162</v>
      </c>
      <c r="L7">
        <v>1368</v>
      </c>
      <c r="N7">
        <v>1011</v>
      </c>
      <c r="O7" t="s">
        <v>159</v>
      </c>
      <c r="P7" t="s">
        <v>159</v>
      </c>
      <c r="Q7">
        <v>1</v>
      </c>
      <c r="W7">
        <v>0</v>
      </c>
      <c r="X7">
        <v>1645565003</v>
      </c>
      <c r="Y7">
        <f t="shared" si="0"/>
        <v>5.093</v>
      </c>
      <c r="AA7">
        <v>0</v>
      </c>
      <c r="AB7">
        <v>0.49</v>
      </c>
      <c r="AC7">
        <v>0</v>
      </c>
      <c r="AD7">
        <v>0</v>
      </c>
      <c r="AE7">
        <v>0</v>
      </c>
      <c r="AF7">
        <v>0.47</v>
      </c>
      <c r="AG7">
        <v>0</v>
      </c>
      <c r="AH7">
        <v>0</v>
      </c>
      <c r="AI7">
        <v>1</v>
      </c>
      <c r="AJ7">
        <v>1</v>
      </c>
      <c r="AK7">
        <v>1</v>
      </c>
      <c r="AL7">
        <v>1</v>
      </c>
      <c r="AM7">
        <v>-2</v>
      </c>
      <c r="AN7">
        <v>0</v>
      </c>
      <c r="AO7">
        <v>1</v>
      </c>
      <c r="AP7">
        <v>1</v>
      </c>
      <c r="AQ7">
        <v>0</v>
      </c>
      <c r="AR7">
        <v>0</v>
      </c>
      <c r="AS7" t="s">
        <v>3</v>
      </c>
      <c r="AT7">
        <v>4.63</v>
      </c>
      <c r="AU7" t="s">
        <v>24</v>
      </c>
      <c r="AV7">
        <v>0</v>
      </c>
      <c r="AW7">
        <v>2</v>
      </c>
      <c r="AX7">
        <v>61620569</v>
      </c>
      <c r="AY7">
        <v>1</v>
      </c>
      <c r="AZ7">
        <v>0</v>
      </c>
      <c r="BA7">
        <v>7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CV7">
        <v>0</v>
      </c>
      <c r="CW7">
        <f>ROUND(Y7*Source!I71*DO7,9)</f>
        <v>0</v>
      </c>
      <c r="CX7">
        <f>ROUND(Y7*Source!I71,9)</f>
        <v>2.5465</v>
      </c>
      <c r="CY7">
        <f>AB7</f>
        <v>0.49</v>
      </c>
      <c r="CZ7">
        <f>AF7</f>
        <v>0.47</v>
      </c>
      <c r="DA7">
        <f>AJ7</f>
        <v>1</v>
      </c>
      <c r="DB7">
        <f t="shared" si="1"/>
        <v>2.3980000000000001</v>
      </c>
      <c r="DC7">
        <f t="shared" si="2"/>
        <v>0</v>
      </c>
      <c r="DD7" t="s">
        <v>3</v>
      </c>
      <c r="DE7" t="s">
        <v>3</v>
      </c>
      <c r="DF7">
        <f t="shared" si="3"/>
        <v>0</v>
      </c>
      <c r="DG7">
        <f t="shared" si="4"/>
        <v>1.2</v>
      </c>
      <c r="DH7">
        <f t="shared" si="5"/>
        <v>0</v>
      </c>
      <c r="DI7">
        <f t="shared" si="6"/>
        <v>0</v>
      </c>
      <c r="DJ7">
        <f>DG7</f>
        <v>1.2</v>
      </c>
      <c r="DK7">
        <v>0</v>
      </c>
      <c r="DL7" t="s">
        <v>3</v>
      </c>
      <c r="DM7">
        <v>0</v>
      </c>
      <c r="DN7" t="s">
        <v>3</v>
      </c>
      <c r="DO7">
        <v>0</v>
      </c>
    </row>
    <row r="8" spans="1:119" x14ac:dyDescent="0.2">
      <c r="A8">
        <f>ROW(Source!A71)</f>
        <v>71</v>
      </c>
      <c r="B8">
        <v>60257736</v>
      </c>
      <c r="C8">
        <v>61620566</v>
      </c>
      <c r="D8">
        <v>59052975</v>
      </c>
      <c r="E8">
        <v>1</v>
      </c>
      <c r="F8">
        <v>1</v>
      </c>
      <c r="G8">
        <v>1080</v>
      </c>
      <c r="H8">
        <v>3</v>
      </c>
      <c r="I8" t="s">
        <v>108</v>
      </c>
      <c r="J8" t="s">
        <v>111</v>
      </c>
      <c r="K8" t="s">
        <v>109</v>
      </c>
      <c r="L8">
        <v>1301</v>
      </c>
      <c r="N8">
        <v>1003</v>
      </c>
      <c r="O8" t="s">
        <v>110</v>
      </c>
      <c r="P8" t="s">
        <v>110</v>
      </c>
      <c r="Q8">
        <v>1</v>
      </c>
      <c r="W8">
        <v>0</v>
      </c>
      <c r="X8">
        <v>1184991115</v>
      </c>
      <c r="Y8">
        <f t="shared" ref="Y8:Y13" si="7">AT8</f>
        <v>102</v>
      </c>
      <c r="AA8">
        <v>2.67</v>
      </c>
      <c r="AB8">
        <v>0</v>
      </c>
      <c r="AC8">
        <v>0</v>
      </c>
      <c r="AD8">
        <v>0</v>
      </c>
      <c r="AE8">
        <v>2.67</v>
      </c>
      <c r="AF8">
        <v>0</v>
      </c>
      <c r="AG8">
        <v>0</v>
      </c>
      <c r="AH8">
        <v>0</v>
      </c>
      <c r="AI8">
        <v>1</v>
      </c>
      <c r="AJ8">
        <v>1</v>
      </c>
      <c r="AK8">
        <v>1</v>
      </c>
      <c r="AL8">
        <v>1</v>
      </c>
      <c r="AM8">
        <v>0</v>
      </c>
      <c r="AN8">
        <v>0</v>
      </c>
      <c r="AO8">
        <v>0</v>
      </c>
      <c r="AP8">
        <v>1</v>
      </c>
      <c r="AQ8">
        <v>0</v>
      </c>
      <c r="AR8">
        <v>0</v>
      </c>
      <c r="AS8" t="s">
        <v>3</v>
      </c>
      <c r="AT8">
        <v>102</v>
      </c>
      <c r="AU8" t="s">
        <v>3</v>
      </c>
      <c r="AV8">
        <v>0</v>
      </c>
      <c r="AW8">
        <v>1</v>
      </c>
      <c r="AX8">
        <v>-1</v>
      </c>
      <c r="AY8">
        <v>0</v>
      </c>
      <c r="AZ8">
        <v>0</v>
      </c>
      <c r="BA8" t="s">
        <v>3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CV8">
        <v>0</v>
      </c>
      <c r="CW8">
        <v>0</v>
      </c>
      <c r="CX8">
        <f>ROUND(Y8*Source!I71,9)</f>
        <v>51</v>
      </c>
      <c r="CY8">
        <f t="shared" ref="CY8:CY13" si="8">AA8</f>
        <v>2.67</v>
      </c>
      <c r="CZ8">
        <f t="shared" ref="CZ8:CZ13" si="9">AE8</f>
        <v>2.67</v>
      </c>
      <c r="DA8">
        <f t="shared" ref="DA8:DA13" si="10">AI8</f>
        <v>1</v>
      </c>
      <c r="DB8">
        <f t="shared" ref="DB8:DB13" si="11">ROUND(ROUND(AT8*CZ8,2),6)</f>
        <v>272.33999999999997</v>
      </c>
      <c r="DC8">
        <f t="shared" ref="DC8:DC13" si="12">ROUND(ROUND(AT8*AG8,2),6)</f>
        <v>0</v>
      </c>
      <c r="DD8" t="s">
        <v>3</v>
      </c>
      <c r="DE8" t="s">
        <v>3</v>
      </c>
      <c r="DF8">
        <f t="shared" si="3"/>
        <v>136.16999999999999</v>
      </c>
      <c r="DG8">
        <f t="shared" si="4"/>
        <v>0</v>
      </c>
      <c r="DH8">
        <f t="shared" si="5"/>
        <v>0</v>
      </c>
      <c r="DI8">
        <f t="shared" si="6"/>
        <v>0</v>
      </c>
      <c r="DJ8">
        <f t="shared" ref="DJ8:DJ13" si="13">DF8</f>
        <v>136.16999999999999</v>
      </c>
      <c r="DK8">
        <v>0</v>
      </c>
      <c r="DL8" t="s">
        <v>3</v>
      </c>
      <c r="DM8">
        <v>0</v>
      </c>
      <c r="DN8" t="s">
        <v>3</v>
      </c>
      <c r="DO8">
        <v>0</v>
      </c>
    </row>
    <row r="9" spans="1:119" x14ac:dyDescent="0.2">
      <c r="A9">
        <f>ROW(Source!A71)</f>
        <v>71</v>
      </c>
      <c r="B9">
        <v>60257736</v>
      </c>
      <c r="C9">
        <v>61620566</v>
      </c>
      <c r="D9">
        <v>59058215</v>
      </c>
      <c r="E9">
        <v>1</v>
      </c>
      <c r="F9">
        <v>1</v>
      </c>
      <c r="G9">
        <v>1080</v>
      </c>
      <c r="H9">
        <v>3</v>
      </c>
      <c r="I9" t="s">
        <v>113</v>
      </c>
      <c r="J9" t="s">
        <v>116</v>
      </c>
      <c r="K9" t="s">
        <v>114</v>
      </c>
      <c r="L9">
        <v>1355</v>
      </c>
      <c r="N9">
        <v>1010</v>
      </c>
      <c r="O9" t="s">
        <v>115</v>
      </c>
      <c r="P9" t="s">
        <v>115</v>
      </c>
      <c r="Q9">
        <v>100</v>
      </c>
      <c r="W9">
        <v>0</v>
      </c>
      <c r="X9">
        <v>-1288220709</v>
      </c>
      <c r="Y9">
        <f t="shared" si="7"/>
        <v>2.38</v>
      </c>
      <c r="AA9">
        <v>46.63</v>
      </c>
      <c r="AB9">
        <v>0</v>
      </c>
      <c r="AC9">
        <v>0</v>
      </c>
      <c r="AD9">
        <v>0</v>
      </c>
      <c r="AE9">
        <v>46.63</v>
      </c>
      <c r="AF9">
        <v>0</v>
      </c>
      <c r="AG9">
        <v>0</v>
      </c>
      <c r="AH9">
        <v>0</v>
      </c>
      <c r="AI9">
        <v>1</v>
      </c>
      <c r="AJ9">
        <v>1</v>
      </c>
      <c r="AK9">
        <v>1</v>
      </c>
      <c r="AL9">
        <v>1</v>
      </c>
      <c r="AM9">
        <v>0</v>
      </c>
      <c r="AN9">
        <v>0</v>
      </c>
      <c r="AO9">
        <v>0</v>
      </c>
      <c r="AP9">
        <v>1</v>
      </c>
      <c r="AQ9">
        <v>0</v>
      </c>
      <c r="AR9">
        <v>0</v>
      </c>
      <c r="AS9" t="s">
        <v>3</v>
      </c>
      <c r="AT9">
        <v>2.38</v>
      </c>
      <c r="AU9" t="s">
        <v>3</v>
      </c>
      <c r="AV9">
        <v>0</v>
      </c>
      <c r="AW9">
        <v>1</v>
      </c>
      <c r="AX9">
        <v>-1</v>
      </c>
      <c r="AY9">
        <v>0</v>
      </c>
      <c r="AZ9">
        <v>0</v>
      </c>
      <c r="BA9" t="s">
        <v>3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CV9">
        <v>0</v>
      </c>
      <c r="CW9">
        <v>0</v>
      </c>
      <c r="CX9">
        <f>ROUND(Y9*Source!I71,9)</f>
        <v>1.19</v>
      </c>
      <c r="CY9">
        <f t="shared" si="8"/>
        <v>46.63</v>
      </c>
      <c r="CZ9">
        <f t="shared" si="9"/>
        <v>46.63</v>
      </c>
      <c r="DA9">
        <f t="shared" si="10"/>
        <v>1</v>
      </c>
      <c r="DB9">
        <f t="shared" si="11"/>
        <v>110.98</v>
      </c>
      <c r="DC9">
        <f t="shared" si="12"/>
        <v>0</v>
      </c>
      <c r="DD9" t="s">
        <v>3</v>
      </c>
      <c r="DE9" t="s">
        <v>3</v>
      </c>
      <c r="DF9">
        <f t="shared" si="3"/>
        <v>55.49</v>
      </c>
      <c r="DG9">
        <f t="shared" si="4"/>
        <v>0</v>
      </c>
      <c r="DH9">
        <f t="shared" si="5"/>
        <v>0</v>
      </c>
      <c r="DI9">
        <f t="shared" si="6"/>
        <v>0</v>
      </c>
      <c r="DJ9">
        <f t="shared" si="13"/>
        <v>55.49</v>
      </c>
      <c r="DK9">
        <v>0</v>
      </c>
      <c r="DL9" t="s">
        <v>3</v>
      </c>
      <c r="DM9">
        <v>0</v>
      </c>
      <c r="DN9" t="s">
        <v>3</v>
      </c>
      <c r="DO9">
        <v>0</v>
      </c>
    </row>
    <row r="10" spans="1:119" x14ac:dyDescent="0.2">
      <c r="A10">
        <f>ROW(Source!A71)</f>
        <v>71</v>
      </c>
      <c r="B10">
        <v>60257736</v>
      </c>
      <c r="C10">
        <v>61620566</v>
      </c>
      <c r="D10">
        <v>59062734</v>
      </c>
      <c r="E10">
        <v>1</v>
      </c>
      <c r="F10">
        <v>1</v>
      </c>
      <c r="G10">
        <v>1080</v>
      </c>
      <c r="H10">
        <v>3</v>
      </c>
      <c r="I10" t="s">
        <v>163</v>
      </c>
      <c r="J10" t="s">
        <v>164</v>
      </c>
      <c r="K10" t="s">
        <v>165</v>
      </c>
      <c r="L10">
        <v>1356</v>
      </c>
      <c r="N10">
        <v>1010</v>
      </c>
      <c r="O10" t="s">
        <v>166</v>
      </c>
      <c r="P10" t="s">
        <v>166</v>
      </c>
      <c r="Q10">
        <v>1000</v>
      </c>
      <c r="W10">
        <v>0</v>
      </c>
      <c r="X10">
        <v>-1221558404</v>
      </c>
      <c r="Y10">
        <f t="shared" si="7"/>
        <v>3.1E-2</v>
      </c>
      <c r="AA10">
        <v>226.66</v>
      </c>
      <c r="AB10">
        <v>0</v>
      </c>
      <c r="AC10">
        <v>0</v>
      </c>
      <c r="AD10">
        <v>0</v>
      </c>
      <c r="AE10">
        <v>226.66</v>
      </c>
      <c r="AF10">
        <v>0</v>
      </c>
      <c r="AG10">
        <v>0</v>
      </c>
      <c r="AH10">
        <v>0</v>
      </c>
      <c r="AI10">
        <v>1</v>
      </c>
      <c r="AJ10">
        <v>1</v>
      </c>
      <c r="AK10">
        <v>1</v>
      </c>
      <c r="AL10">
        <v>1</v>
      </c>
      <c r="AM10">
        <v>-2</v>
      </c>
      <c r="AN10">
        <v>0</v>
      </c>
      <c r="AO10">
        <v>1</v>
      </c>
      <c r="AP10">
        <v>1</v>
      </c>
      <c r="AQ10">
        <v>0</v>
      </c>
      <c r="AR10">
        <v>0</v>
      </c>
      <c r="AS10" t="s">
        <v>3</v>
      </c>
      <c r="AT10">
        <v>3.1E-2</v>
      </c>
      <c r="AU10" t="s">
        <v>3</v>
      </c>
      <c r="AV10">
        <v>0</v>
      </c>
      <c r="AW10">
        <v>2</v>
      </c>
      <c r="AX10">
        <v>61620570</v>
      </c>
      <c r="AY10">
        <v>1</v>
      </c>
      <c r="AZ10">
        <v>0</v>
      </c>
      <c r="BA10">
        <v>8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CV10">
        <v>0</v>
      </c>
      <c r="CW10">
        <v>0</v>
      </c>
      <c r="CX10">
        <f>ROUND(Y10*Source!I71,9)</f>
        <v>1.55E-2</v>
      </c>
      <c r="CY10">
        <f t="shared" si="8"/>
        <v>226.66</v>
      </c>
      <c r="CZ10">
        <f t="shared" si="9"/>
        <v>226.66</v>
      </c>
      <c r="DA10">
        <f t="shared" si="10"/>
        <v>1</v>
      </c>
      <c r="DB10">
        <f t="shared" si="11"/>
        <v>7.03</v>
      </c>
      <c r="DC10">
        <f t="shared" si="12"/>
        <v>0</v>
      </c>
      <c r="DD10" t="s">
        <v>3</v>
      </c>
      <c r="DE10" t="s">
        <v>3</v>
      </c>
      <c r="DF10">
        <f t="shared" si="3"/>
        <v>3.51</v>
      </c>
      <c r="DG10">
        <f t="shared" si="4"/>
        <v>0</v>
      </c>
      <c r="DH10">
        <f t="shared" si="5"/>
        <v>0</v>
      </c>
      <c r="DI10">
        <f t="shared" si="6"/>
        <v>0</v>
      </c>
      <c r="DJ10">
        <f t="shared" si="13"/>
        <v>3.51</v>
      </c>
      <c r="DK10">
        <v>0</v>
      </c>
      <c r="DL10" t="s">
        <v>3</v>
      </c>
      <c r="DM10">
        <v>0</v>
      </c>
      <c r="DN10" t="s">
        <v>3</v>
      </c>
      <c r="DO10">
        <v>0</v>
      </c>
    </row>
    <row r="11" spans="1:119" x14ac:dyDescent="0.2">
      <c r="A11">
        <f>ROW(Source!A71)</f>
        <v>71</v>
      </c>
      <c r="B11">
        <v>60257736</v>
      </c>
      <c r="C11">
        <v>61620566</v>
      </c>
      <c r="D11">
        <v>59062508</v>
      </c>
      <c r="E11">
        <v>1</v>
      </c>
      <c r="F11">
        <v>1</v>
      </c>
      <c r="G11">
        <v>1080</v>
      </c>
      <c r="H11">
        <v>3</v>
      </c>
      <c r="I11" t="s">
        <v>167</v>
      </c>
      <c r="J11" t="s">
        <v>168</v>
      </c>
      <c r="K11" t="s">
        <v>169</v>
      </c>
      <c r="L11">
        <v>1355</v>
      </c>
      <c r="N11">
        <v>1010</v>
      </c>
      <c r="O11" t="s">
        <v>115</v>
      </c>
      <c r="P11" t="s">
        <v>115</v>
      </c>
      <c r="Q11">
        <v>100</v>
      </c>
      <c r="W11">
        <v>0</v>
      </c>
      <c r="X11">
        <v>-210805237</v>
      </c>
      <c r="Y11">
        <f t="shared" si="7"/>
        <v>0.315</v>
      </c>
      <c r="AA11">
        <v>26.71</v>
      </c>
      <c r="AB11">
        <v>0</v>
      </c>
      <c r="AC11">
        <v>0</v>
      </c>
      <c r="AD11">
        <v>0</v>
      </c>
      <c r="AE11">
        <v>26.71</v>
      </c>
      <c r="AF11">
        <v>0</v>
      </c>
      <c r="AG11">
        <v>0</v>
      </c>
      <c r="AH11">
        <v>0</v>
      </c>
      <c r="AI11">
        <v>1</v>
      </c>
      <c r="AJ11">
        <v>1</v>
      </c>
      <c r="AK11">
        <v>1</v>
      </c>
      <c r="AL11">
        <v>1</v>
      </c>
      <c r="AM11">
        <v>-2</v>
      </c>
      <c r="AN11">
        <v>0</v>
      </c>
      <c r="AO11">
        <v>1</v>
      </c>
      <c r="AP11">
        <v>1</v>
      </c>
      <c r="AQ11">
        <v>0</v>
      </c>
      <c r="AR11">
        <v>0</v>
      </c>
      <c r="AS11" t="s">
        <v>3</v>
      </c>
      <c r="AT11">
        <v>0.315</v>
      </c>
      <c r="AU11" t="s">
        <v>3</v>
      </c>
      <c r="AV11">
        <v>0</v>
      </c>
      <c r="AW11">
        <v>2</v>
      </c>
      <c r="AX11">
        <v>61620571</v>
      </c>
      <c r="AY11">
        <v>1</v>
      </c>
      <c r="AZ11">
        <v>0</v>
      </c>
      <c r="BA11">
        <v>9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CV11">
        <v>0</v>
      </c>
      <c r="CW11">
        <v>0</v>
      </c>
      <c r="CX11">
        <f>ROUND(Y11*Source!I71,9)</f>
        <v>0.1575</v>
      </c>
      <c r="CY11">
        <f t="shared" si="8"/>
        <v>26.71</v>
      </c>
      <c r="CZ11">
        <f t="shared" si="9"/>
        <v>26.71</v>
      </c>
      <c r="DA11">
        <f t="shared" si="10"/>
        <v>1</v>
      </c>
      <c r="DB11">
        <f t="shared" si="11"/>
        <v>8.41</v>
      </c>
      <c r="DC11">
        <f t="shared" si="12"/>
        <v>0</v>
      </c>
      <c r="DD11" t="s">
        <v>3</v>
      </c>
      <c r="DE11" t="s">
        <v>3</v>
      </c>
      <c r="DF11">
        <f t="shared" si="3"/>
        <v>4.21</v>
      </c>
      <c r="DG11">
        <f t="shared" si="4"/>
        <v>0</v>
      </c>
      <c r="DH11">
        <f t="shared" si="5"/>
        <v>0</v>
      </c>
      <c r="DI11">
        <f t="shared" si="6"/>
        <v>0</v>
      </c>
      <c r="DJ11">
        <f t="shared" si="13"/>
        <v>4.21</v>
      </c>
      <c r="DK11">
        <v>0</v>
      </c>
      <c r="DL11" t="s">
        <v>3</v>
      </c>
      <c r="DM11">
        <v>0</v>
      </c>
      <c r="DN11" t="s">
        <v>3</v>
      </c>
      <c r="DO11">
        <v>0</v>
      </c>
    </row>
    <row r="12" spans="1:119" x14ac:dyDescent="0.2">
      <c r="A12">
        <f>ROW(Source!A71)</f>
        <v>71</v>
      </c>
      <c r="B12">
        <v>60257736</v>
      </c>
      <c r="C12">
        <v>61620566</v>
      </c>
      <c r="D12">
        <v>59049364</v>
      </c>
      <c r="E12">
        <v>1</v>
      </c>
      <c r="F12">
        <v>1</v>
      </c>
      <c r="G12">
        <v>1080</v>
      </c>
      <c r="H12">
        <v>3</v>
      </c>
      <c r="I12" t="s">
        <v>170</v>
      </c>
      <c r="J12" t="s">
        <v>171</v>
      </c>
      <c r="K12" t="s">
        <v>172</v>
      </c>
      <c r="L12">
        <v>1354</v>
      </c>
      <c r="N12">
        <v>1010</v>
      </c>
      <c r="O12" t="s">
        <v>45</v>
      </c>
      <c r="P12" t="s">
        <v>45</v>
      </c>
      <c r="Q12">
        <v>1</v>
      </c>
      <c r="W12">
        <v>0</v>
      </c>
      <c r="X12">
        <v>309799599</v>
      </c>
      <c r="Y12">
        <f t="shared" si="7"/>
        <v>0.28000000000000003</v>
      </c>
      <c r="AA12">
        <v>14.22</v>
      </c>
      <c r="AB12">
        <v>0</v>
      </c>
      <c r="AC12">
        <v>0</v>
      </c>
      <c r="AD12">
        <v>0</v>
      </c>
      <c r="AE12">
        <v>14.22</v>
      </c>
      <c r="AF12">
        <v>0</v>
      </c>
      <c r="AG12">
        <v>0</v>
      </c>
      <c r="AH12">
        <v>0</v>
      </c>
      <c r="AI12">
        <v>1</v>
      </c>
      <c r="AJ12">
        <v>1</v>
      </c>
      <c r="AK12">
        <v>1</v>
      </c>
      <c r="AL12">
        <v>1</v>
      </c>
      <c r="AM12">
        <v>-2</v>
      </c>
      <c r="AN12">
        <v>0</v>
      </c>
      <c r="AO12">
        <v>1</v>
      </c>
      <c r="AP12">
        <v>1</v>
      </c>
      <c r="AQ12">
        <v>0</v>
      </c>
      <c r="AR12">
        <v>0</v>
      </c>
      <c r="AS12" t="s">
        <v>3</v>
      </c>
      <c r="AT12">
        <v>0.28000000000000003</v>
      </c>
      <c r="AU12" t="s">
        <v>3</v>
      </c>
      <c r="AV12">
        <v>0</v>
      </c>
      <c r="AW12">
        <v>2</v>
      </c>
      <c r="AX12">
        <v>61620572</v>
      </c>
      <c r="AY12">
        <v>1</v>
      </c>
      <c r="AZ12">
        <v>0</v>
      </c>
      <c r="BA12">
        <v>10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CV12">
        <v>0</v>
      </c>
      <c r="CW12">
        <v>0</v>
      </c>
      <c r="CX12">
        <f>ROUND(Y12*Source!I71,9)</f>
        <v>0.14000000000000001</v>
      </c>
      <c r="CY12">
        <f t="shared" si="8"/>
        <v>14.22</v>
      </c>
      <c r="CZ12">
        <f t="shared" si="9"/>
        <v>14.22</v>
      </c>
      <c r="DA12">
        <f t="shared" si="10"/>
        <v>1</v>
      </c>
      <c r="DB12">
        <f t="shared" si="11"/>
        <v>3.98</v>
      </c>
      <c r="DC12">
        <f t="shared" si="12"/>
        <v>0</v>
      </c>
      <c r="DD12" t="s">
        <v>3</v>
      </c>
      <c r="DE12" t="s">
        <v>3</v>
      </c>
      <c r="DF12">
        <f t="shared" si="3"/>
        <v>1.99</v>
      </c>
      <c r="DG12">
        <f t="shared" si="4"/>
        <v>0</v>
      </c>
      <c r="DH12">
        <f t="shared" si="5"/>
        <v>0</v>
      </c>
      <c r="DI12">
        <f t="shared" si="6"/>
        <v>0</v>
      </c>
      <c r="DJ12">
        <f t="shared" si="13"/>
        <v>1.99</v>
      </c>
      <c r="DK12">
        <v>0</v>
      </c>
      <c r="DL12" t="s">
        <v>3</v>
      </c>
      <c r="DM12">
        <v>0</v>
      </c>
      <c r="DN12" t="s">
        <v>3</v>
      </c>
      <c r="DO12">
        <v>0</v>
      </c>
    </row>
    <row r="13" spans="1:119" x14ac:dyDescent="0.2">
      <c r="A13">
        <f>ROW(Source!A71)</f>
        <v>71</v>
      </c>
      <c r="B13">
        <v>60257736</v>
      </c>
      <c r="C13">
        <v>61620566</v>
      </c>
      <c r="D13">
        <v>59049443</v>
      </c>
      <c r="E13">
        <v>1</v>
      </c>
      <c r="F13">
        <v>1</v>
      </c>
      <c r="G13">
        <v>1080</v>
      </c>
      <c r="H13">
        <v>3</v>
      </c>
      <c r="I13" t="s">
        <v>118</v>
      </c>
      <c r="J13" t="s">
        <v>120</v>
      </c>
      <c r="K13" t="s">
        <v>119</v>
      </c>
      <c r="L13">
        <v>1355</v>
      </c>
      <c r="N13">
        <v>1010</v>
      </c>
      <c r="O13" t="s">
        <v>115</v>
      </c>
      <c r="P13" t="s">
        <v>115</v>
      </c>
      <c r="Q13">
        <v>100</v>
      </c>
      <c r="W13">
        <v>0</v>
      </c>
      <c r="X13">
        <v>1852901932</v>
      </c>
      <c r="Y13">
        <f t="shared" si="7"/>
        <v>2.36</v>
      </c>
      <c r="AA13">
        <v>1297.23</v>
      </c>
      <c r="AB13">
        <v>0</v>
      </c>
      <c r="AC13">
        <v>0</v>
      </c>
      <c r="AD13">
        <v>0</v>
      </c>
      <c r="AE13">
        <v>1297.23</v>
      </c>
      <c r="AF13">
        <v>0</v>
      </c>
      <c r="AG13">
        <v>0</v>
      </c>
      <c r="AH13">
        <v>0</v>
      </c>
      <c r="AI13">
        <v>1</v>
      </c>
      <c r="AJ13">
        <v>1</v>
      </c>
      <c r="AK13">
        <v>1</v>
      </c>
      <c r="AL13">
        <v>1</v>
      </c>
      <c r="AM13">
        <v>0</v>
      </c>
      <c r="AN13">
        <v>0</v>
      </c>
      <c r="AO13">
        <v>0</v>
      </c>
      <c r="AP13">
        <v>1</v>
      </c>
      <c r="AQ13">
        <v>0</v>
      </c>
      <c r="AR13">
        <v>0</v>
      </c>
      <c r="AS13" t="s">
        <v>3</v>
      </c>
      <c r="AT13">
        <v>2.36</v>
      </c>
      <c r="AU13" t="s">
        <v>3</v>
      </c>
      <c r="AV13">
        <v>0</v>
      </c>
      <c r="AW13">
        <v>1</v>
      </c>
      <c r="AX13">
        <v>-1</v>
      </c>
      <c r="AY13">
        <v>0</v>
      </c>
      <c r="AZ13">
        <v>0</v>
      </c>
      <c r="BA13" t="s">
        <v>3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CV13">
        <v>0</v>
      </c>
      <c r="CW13">
        <v>0</v>
      </c>
      <c r="CX13">
        <f>ROUND(Y13*Source!I71,9)</f>
        <v>1.18</v>
      </c>
      <c r="CY13">
        <f t="shared" si="8"/>
        <v>1297.23</v>
      </c>
      <c r="CZ13">
        <f t="shared" si="9"/>
        <v>1297.23</v>
      </c>
      <c r="DA13">
        <f t="shared" si="10"/>
        <v>1</v>
      </c>
      <c r="DB13">
        <f t="shared" si="11"/>
        <v>3061.46</v>
      </c>
      <c r="DC13">
        <f t="shared" si="12"/>
        <v>0</v>
      </c>
      <c r="DD13" t="s">
        <v>3</v>
      </c>
      <c r="DE13" t="s">
        <v>3</v>
      </c>
      <c r="DF13">
        <f t="shared" si="3"/>
        <v>1530.73</v>
      </c>
      <c r="DG13">
        <f t="shared" si="4"/>
        <v>0</v>
      </c>
      <c r="DH13">
        <f t="shared" si="5"/>
        <v>0</v>
      </c>
      <c r="DI13">
        <f t="shared" si="6"/>
        <v>0</v>
      </c>
      <c r="DJ13">
        <f t="shared" si="13"/>
        <v>1530.73</v>
      </c>
      <c r="DK13">
        <v>0</v>
      </c>
      <c r="DL13" t="s">
        <v>3</v>
      </c>
      <c r="DM13">
        <v>0</v>
      </c>
      <c r="DN13" t="s">
        <v>3</v>
      </c>
      <c r="DO13">
        <v>0</v>
      </c>
    </row>
    <row r="14" spans="1:119" x14ac:dyDescent="0.2">
      <c r="A14">
        <f>ROW(Source!A72)</f>
        <v>72</v>
      </c>
      <c r="B14">
        <v>60257733</v>
      </c>
      <c r="C14">
        <v>61620566</v>
      </c>
      <c r="D14">
        <v>58999254</v>
      </c>
      <c r="E14">
        <v>1080</v>
      </c>
      <c r="F14">
        <v>1</v>
      </c>
      <c r="G14">
        <v>1080</v>
      </c>
      <c r="H14">
        <v>1</v>
      </c>
      <c r="I14" t="s">
        <v>153</v>
      </c>
      <c r="J14" t="s">
        <v>3</v>
      </c>
      <c r="K14" t="s">
        <v>154</v>
      </c>
      <c r="L14">
        <v>1191</v>
      </c>
      <c r="N14">
        <v>1013</v>
      </c>
      <c r="O14" t="s">
        <v>155</v>
      </c>
      <c r="P14" t="s">
        <v>155</v>
      </c>
      <c r="Q14">
        <v>1</v>
      </c>
      <c r="W14">
        <v>0</v>
      </c>
      <c r="X14">
        <v>476480486</v>
      </c>
      <c r="Y14">
        <f>(AT14*1.1)</f>
        <v>27.236000000000004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1</v>
      </c>
      <c r="AJ14">
        <v>1</v>
      </c>
      <c r="AK14">
        <v>1</v>
      </c>
      <c r="AL14">
        <v>1</v>
      </c>
      <c r="AM14">
        <v>5</v>
      </c>
      <c r="AN14">
        <v>0</v>
      </c>
      <c r="AO14">
        <v>1</v>
      </c>
      <c r="AP14">
        <v>1</v>
      </c>
      <c r="AQ14">
        <v>0</v>
      </c>
      <c r="AR14">
        <v>0</v>
      </c>
      <c r="AS14" t="s">
        <v>3</v>
      </c>
      <c r="AT14">
        <v>24.76</v>
      </c>
      <c r="AU14" t="s">
        <v>24</v>
      </c>
      <c r="AV14">
        <v>1</v>
      </c>
      <c r="AW14">
        <v>2</v>
      </c>
      <c r="AX14">
        <v>61620567</v>
      </c>
      <c r="AY14">
        <v>1</v>
      </c>
      <c r="AZ14">
        <v>0</v>
      </c>
      <c r="BA14">
        <v>15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CU14">
        <f>ROUND(AT14*Source!I72*AH14*AL14,2)</f>
        <v>0</v>
      </c>
      <c r="CV14">
        <f>ROUND(Y14*Source!I72,9)</f>
        <v>13.618</v>
      </c>
      <c r="CW14">
        <v>0</v>
      </c>
      <c r="CX14">
        <f>ROUND(Y14*Source!I72,9)</f>
        <v>13.618</v>
      </c>
      <c r="CY14">
        <f>AD14</f>
        <v>0</v>
      </c>
      <c r="CZ14">
        <f>AH14</f>
        <v>0</v>
      </c>
      <c r="DA14">
        <f>AL14</f>
        <v>1</v>
      </c>
      <c r="DB14">
        <f>ROUND((ROUND(AT14*CZ14,2)*1.1),6)</f>
        <v>0</v>
      </c>
      <c r="DC14">
        <f>ROUND((ROUND(AT14*AG14,2)*1.1),6)</f>
        <v>0</v>
      </c>
      <c r="DD14" t="s">
        <v>3</v>
      </c>
      <c r="DE14" t="s">
        <v>3</v>
      </c>
      <c r="DF14">
        <f t="shared" si="3"/>
        <v>0</v>
      </c>
      <c r="DG14">
        <f t="shared" si="4"/>
        <v>0</v>
      </c>
      <c r="DH14">
        <f t="shared" si="5"/>
        <v>0</v>
      </c>
      <c r="DI14">
        <f t="shared" si="6"/>
        <v>0</v>
      </c>
      <c r="DJ14">
        <f>DI14</f>
        <v>0</v>
      </c>
      <c r="DK14">
        <v>0</v>
      </c>
      <c r="DL14" t="s">
        <v>3</v>
      </c>
      <c r="DM14">
        <v>0</v>
      </c>
      <c r="DN14" t="s">
        <v>3</v>
      </c>
      <c r="DO14">
        <v>0</v>
      </c>
    </row>
    <row r="15" spans="1:119" x14ac:dyDescent="0.2">
      <c r="A15">
        <f>ROW(Source!A72)</f>
        <v>72</v>
      </c>
      <c r="B15">
        <v>60257733</v>
      </c>
      <c r="C15">
        <v>61620566</v>
      </c>
      <c r="D15">
        <v>59070721</v>
      </c>
      <c r="E15">
        <v>1</v>
      </c>
      <c r="F15">
        <v>1</v>
      </c>
      <c r="G15">
        <v>1080</v>
      </c>
      <c r="H15">
        <v>2</v>
      </c>
      <c r="I15" t="s">
        <v>156</v>
      </c>
      <c r="J15" t="s">
        <v>157</v>
      </c>
      <c r="K15" t="s">
        <v>158</v>
      </c>
      <c r="L15">
        <v>1368</v>
      </c>
      <c r="N15">
        <v>1011</v>
      </c>
      <c r="O15" t="s">
        <v>159</v>
      </c>
      <c r="P15" t="s">
        <v>159</v>
      </c>
      <c r="Q15">
        <v>1</v>
      </c>
      <c r="W15">
        <v>0</v>
      </c>
      <c r="X15">
        <v>1387779639</v>
      </c>
      <c r="Y15">
        <f>(AT15*1.1)</f>
        <v>2.6840000000000002</v>
      </c>
      <c r="AA15">
        <v>0</v>
      </c>
      <c r="AB15">
        <v>6.98</v>
      </c>
      <c r="AC15">
        <v>0</v>
      </c>
      <c r="AD15">
        <v>0</v>
      </c>
      <c r="AE15">
        <v>0</v>
      </c>
      <c r="AF15">
        <v>0.77</v>
      </c>
      <c r="AG15">
        <v>0</v>
      </c>
      <c r="AH15">
        <v>0</v>
      </c>
      <c r="AI15">
        <v>1</v>
      </c>
      <c r="AJ15">
        <v>8.66</v>
      </c>
      <c r="AK15">
        <v>54.99</v>
      </c>
      <c r="AL15">
        <v>1</v>
      </c>
      <c r="AM15">
        <v>2</v>
      </c>
      <c r="AN15">
        <v>0</v>
      </c>
      <c r="AO15">
        <v>1</v>
      </c>
      <c r="AP15">
        <v>1</v>
      </c>
      <c r="AQ15">
        <v>0</v>
      </c>
      <c r="AR15">
        <v>0</v>
      </c>
      <c r="AS15" t="s">
        <v>3</v>
      </c>
      <c r="AT15">
        <v>2.44</v>
      </c>
      <c r="AU15" t="s">
        <v>24</v>
      </c>
      <c r="AV15">
        <v>0</v>
      </c>
      <c r="AW15">
        <v>2</v>
      </c>
      <c r="AX15">
        <v>61620568</v>
      </c>
      <c r="AY15">
        <v>1</v>
      </c>
      <c r="AZ15">
        <v>0</v>
      </c>
      <c r="BA15">
        <v>16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CV15">
        <v>0</v>
      </c>
      <c r="CW15">
        <f>ROUND(Y15*Source!I72*DO15,9)</f>
        <v>0</v>
      </c>
      <c r="CX15">
        <f>ROUND(Y15*Source!I72,9)</f>
        <v>1.3420000000000001</v>
      </c>
      <c r="CY15">
        <f>AB15</f>
        <v>6.98</v>
      </c>
      <c r="CZ15">
        <f>AF15</f>
        <v>0.77</v>
      </c>
      <c r="DA15">
        <f>AJ15</f>
        <v>8.66</v>
      </c>
      <c r="DB15">
        <f>ROUND((ROUND(AT15*CZ15,2)*1.1),6)</f>
        <v>2.0680000000000001</v>
      </c>
      <c r="DC15">
        <f>ROUND((ROUND(AT15*AG15,2)*1.1),6)</f>
        <v>0</v>
      </c>
      <c r="DD15" t="s">
        <v>3</v>
      </c>
      <c r="DE15" t="s">
        <v>3</v>
      </c>
      <c r="DF15">
        <f t="shared" si="3"/>
        <v>0</v>
      </c>
      <c r="DG15">
        <f>ROUND(ROUND(AF15*AJ15,2)*CX15,2)</f>
        <v>8.9499999999999993</v>
      </c>
      <c r="DH15">
        <f>ROUND(ROUND(AG15*AK15,2)*CX15,2)</f>
        <v>0</v>
      </c>
      <c r="DI15">
        <f t="shared" si="6"/>
        <v>0</v>
      </c>
      <c r="DJ15">
        <f>DG15</f>
        <v>8.9499999999999993</v>
      </c>
      <c r="DK15">
        <v>0</v>
      </c>
      <c r="DL15" t="s">
        <v>3</v>
      </c>
      <c r="DM15">
        <v>0</v>
      </c>
      <c r="DN15" t="s">
        <v>3</v>
      </c>
      <c r="DO15">
        <v>0</v>
      </c>
    </row>
    <row r="16" spans="1:119" x14ac:dyDescent="0.2">
      <c r="A16">
        <f>ROW(Source!A72)</f>
        <v>72</v>
      </c>
      <c r="B16">
        <v>60257733</v>
      </c>
      <c r="C16">
        <v>61620566</v>
      </c>
      <c r="D16">
        <v>59070754</v>
      </c>
      <c r="E16">
        <v>1</v>
      </c>
      <c r="F16">
        <v>1</v>
      </c>
      <c r="G16">
        <v>1080</v>
      </c>
      <c r="H16">
        <v>2</v>
      </c>
      <c r="I16" t="s">
        <v>160</v>
      </c>
      <c r="J16" t="s">
        <v>161</v>
      </c>
      <c r="K16" t="s">
        <v>162</v>
      </c>
      <c r="L16">
        <v>1368</v>
      </c>
      <c r="N16">
        <v>1011</v>
      </c>
      <c r="O16" t="s">
        <v>159</v>
      </c>
      <c r="P16" t="s">
        <v>159</v>
      </c>
      <c r="Q16">
        <v>1</v>
      </c>
      <c r="W16">
        <v>0</v>
      </c>
      <c r="X16">
        <v>1645565003</v>
      </c>
      <c r="Y16">
        <f>(AT16*1.1)</f>
        <v>5.093</v>
      </c>
      <c r="AA16">
        <v>0</v>
      </c>
      <c r="AB16">
        <v>4.3</v>
      </c>
      <c r="AC16">
        <v>0</v>
      </c>
      <c r="AD16">
        <v>0</v>
      </c>
      <c r="AE16">
        <v>0</v>
      </c>
      <c r="AF16">
        <v>0.47</v>
      </c>
      <c r="AG16">
        <v>0</v>
      </c>
      <c r="AH16">
        <v>0</v>
      </c>
      <c r="AI16">
        <v>1</v>
      </c>
      <c r="AJ16">
        <v>8.74</v>
      </c>
      <c r="AK16">
        <v>54.99</v>
      </c>
      <c r="AL16">
        <v>1</v>
      </c>
      <c r="AM16">
        <v>2</v>
      </c>
      <c r="AN16">
        <v>0</v>
      </c>
      <c r="AO16">
        <v>1</v>
      </c>
      <c r="AP16">
        <v>1</v>
      </c>
      <c r="AQ16">
        <v>0</v>
      </c>
      <c r="AR16">
        <v>0</v>
      </c>
      <c r="AS16" t="s">
        <v>3</v>
      </c>
      <c r="AT16">
        <v>4.63</v>
      </c>
      <c r="AU16" t="s">
        <v>24</v>
      </c>
      <c r="AV16">
        <v>0</v>
      </c>
      <c r="AW16">
        <v>2</v>
      </c>
      <c r="AX16">
        <v>61620569</v>
      </c>
      <c r="AY16">
        <v>1</v>
      </c>
      <c r="AZ16">
        <v>0</v>
      </c>
      <c r="BA16">
        <v>17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CV16">
        <v>0</v>
      </c>
      <c r="CW16">
        <f>ROUND(Y16*Source!I72*DO16,9)</f>
        <v>0</v>
      </c>
      <c r="CX16">
        <f>ROUND(Y16*Source!I72,9)</f>
        <v>2.5465</v>
      </c>
      <c r="CY16">
        <f>AB16</f>
        <v>4.3</v>
      </c>
      <c r="CZ16">
        <f>AF16</f>
        <v>0.47</v>
      </c>
      <c r="DA16">
        <f>AJ16</f>
        <v>8.74</v>
      </c>
      <c r="DB16">
        <f>ROUND((ROUND(AT16*CZ16,2)*1.1),6)</f>
        <v>2.3980000000000001</v>
      </c>
      <c r="DC16">
        <f>ROUND((ROUND(AT16*AG16,2)*1.1),6)</f>
        <v>0</v>
      </c>
      <c r="DD16" t="s">
        <v>3</v>
      </c>
      <c r="DE16" t="s">
        <v>3</v>
      </c>
      <c r="DF16">
        <f t="shared" si="3"/>
        <v>0</v>
      </c>
      <c r="DG16">
        <f>ROUND(ROUND(AF16*AJ16,2)*CX16,2)</f>
        <v>10.47</v>
      </c>
      <c r="DH16">
        <f>ROUND(ROUND(AG16*AK16,2)*CX16,2)</f>
        <v>0</v>
      </c>
      <c r="DI16">
        <f t="shared" si="6"/>
        <v>0</v>
      </c>
      <c r="DJ16">
        <f>DG16</f>
        <v>10.47</v>
      </c>
      <c r="DK16">
        <v>0</v>
      </c>
      <c r="DL16" t="s">
        <v>3</v>
      </c>
      <c r="DM16">
        <v>0</v>
      </c>
      <c r="DN16" t="s">
        <v>3</v>
      </c>
      <c r="DO16">
        <v>0</v>
      </c>
    </row>
    <row r="17" spans="1:119" x14ac:dyDescent="0.2">
      <c r="A17">
        <f>ROW(Source!A72)</f>
        <v>72</v>
      </c>
      <c r="B17">
        <v>60257733</v>
      </c>
      <c r="C17">
        <v>61620566</v>
      </c>
      <c r="D17">
        <v>59052975</v>
      </c>
      <c r="E17">
        <v>1</v>
      </c>
      <c r="F17">
        <v>1</v>
      </c>
      <c r="G17">
        <v>1080</v>
      </c>
      <c r="H17">
        <v>3</v>
      </c>
      <c r="I17" t="s">
        <v>108</v>
      </c>
      <c r="J17" t="s">
        <v>111</v>
      </c>
      <c r="K17" t="s">
        <v>109</v>
      </c>
      <c r="L17">
        <v>1301</v>
      </c>
      <c r="N17">
        <v>1003</v>
      </c>
      <c r="O17" t="s">
        <v>110</v>
      </c>
      <c r="P17" t="s">
        <v>110</v>
      </c>
      <c r="Q17">
        <v>1</v>
      </c>
      <c r="W17">
        <v>0</v>
      </c>
      <c r="X17">
        <v>1184991115</v>
      </c>
      <c r="Y17">
        <f t="shared" ref="Y17:Y22" si="14">AT17</f>
        <v>102</v>
      </c>
      <c r="AA17">
        <v>10.23</v>
      </c>
      <c r="AB17">
        <v>0</v>
      </c>
      <c r="AC17">
        <v>0</v>
      </c>
      <c r="AD17">
        <v>0</v>
      </c>
      <c r="AE17">
        <v>2.67</v>
      </c>
      <c r="AF17">
        <v>0</v>
      </c>
      <c r="AG17">
        <v>0</v>
      </c>
      <c r="AH17">
        <v>0</v>
      </c>
      <c r="AI17">
        <v>3.83</v>
      </c>
      <c r="AJ17">
        <v>1</v>
      </c>
      <c r="AK17">
        <v>1</v>
      </c>
      <c r="AL17">
        <v>1</v>
      </c>
      <c r="AM17">
        <v>0</v>
      </c>
      <c r="AN17">
        <v>0</v>
      </c>
      <c r="AO17">
        <v>0</v>
      </c>
      <c r="AP17">
        <v>1</v>
      </c>
      <c r="AQ17">
        <v>0</v>
      </c>
      <c r="AR17">
        <v>0</v>
      </c>
      <c r="AS17" t="s">
        <v>3</v>
      </c>
      <c r="AT17">
        <v>102</v>
      </c>
      <c r="AU17" t="s">
        <v>3</v>
      </c>
      <c r="AV17">
        <v>0</v>
      </c>
      <c r="AW17">
        <v>1</v>
      </c>
      <c r="AX17">
        <v>-1</v>
      </c>
      <c r="AY17">
        <v>0</v>
      </c>
      <c r="AZ17">
        <v>0</v>
      </c>
      <c r="BA17" t="s">
        <v>3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CV17">
        <v>0</v>
      </c>
      <c r="CW17">
        <v>0</v>
      </c>
      <c r="CX17">
        <f>ROUND(Y17*Source!I72,9)</f>
        <v>51</v>
      </c>
      <c r="CY17">
        <f t="shared" ref="CY17:CY22" si="15">AA17</f>
        <v>10.23</v>
      </c>
      <c r="CZ17">
        <f t="shared" ref="CZ17:CZ22" si="16">AE17</f>
        <v>2.67</v>
      </c>
      <c r="DA17">
        <f t="shared" ref="DA17:DA22" si="17">AI17</f>
        <v>3.83</v>
      </c>
      <c r="DB17">
        <f t="shared" ref="DB17:DB22" si="18">ROUND(ROUND(AT17*CZ17,2),6)</f>
        <v>272.33999999999997</v>
      </c>
      <c r="DC17">
        <f t="shared" ref="DC17:DC22" si="19">ROUND(ROUND(AT17*AG17,2),6)</f>
        <v>0</v>
      </c>
      <c r="DD17" t="s">
        <v>3</v>
      </c>
      <c r="DE17" t="s">
        <v>3</v>
      </c>
      <c r="DF17">
        <f t="shared" ref="DF17:DF22" si="20">ROUND(ROUND(AE17*AI17,2)*CX17,2)</f>
        <v>521.73</v>
      </c>
      <c r="DG17">
        <f t="shared" ref="DG17:DG28" si="21">ROUND(ROUND(AF17,2)*CX17,2)</f>
        <v>0</v>
      </c>
      <c r="DH17">
        <f t="shared" ref="DH17:DH28" si="22">ROUND(ROUND(AG17,2)*CX17,2)</f>
        <v>0</v>
      </c>
      <c r="DI17">
        <f t="shared" si="6"/>
        <v>0</v>
      </c>
      <c r="DJ17">
        <f t="shared" ref="DJ17:DJ22" si="23">DF17</f>
        <v>521.73</v>
      </c>
      <c r="DK17">
        <v>0</v>
      </c>
      <c r="DL17" t="s">
        <v>3</v>
      </c>
      <c r="DM17">
        <v>0</v>
      </c>
      <c r="DN17" t="s">
        <v>3</v>
      </c>
      <c r="DO17">
        <v>0</v>
      </c>
    </row>
    <row r="18" spans="1:119" x14ac:dyDescent="0.2">
      <c r="A18">
        <f>ROW(Source!A72)</f>
        <v>72</v>
      </c>
      <c r="B18">
        <v>60257733</v>
      </c>
      <c r="C18">
        <v>61620566</v>
      </c>
      <c r="D18">
        <v>59058215</v>
      </c>
      <c r="E18">
        <v>1</v>
      </c>
      <c r="F18">
        <v>1</v>
      </c>
      <c r="G18">
        <v>1080</v>
      </c>
      <c r="H18">
        <v>3</v>
      </c>
      <c r="I18" t="s">
        <v>113</v>
      </c>
      <c r="J18" t="s">
        <v>116</v>
      </c>
      <c r="K18" t="s">
        <v>114</v>
      </c>
      <c r="L18">
        <v>1355</v>
      </c>
      <c r="N18">
        <v>1010</v>
      </c>
      <c r="O18" t="s">
        <v>115</v>
      </c>
      <c r="P18" t="s">
        <v>115</v>
      </c>
      <c r="Q18">
        <v>100</v>
      </c>
      <c r="W18">
        <v>0</v>
      </c>
      <c r="X18">
        <v>-1288220709</v>
      </c>
      <c r="Y18">
        <f t="shared" si="14"/>
        <v>2.38</v>
      </c>
      <c r="AA18">
        <v>50.36</v>
      </c>
      <c r="AB18">
        <v>0</v>
      </c>
      <c r="AC18">
        <v>0</v>
      </c>
      <c r="AD18">
        <v>0</v>
      </c>
      <c r="AE18">
        <v>46.63</v>
      </c>
      <c r="AF18">
        <v>0</v>
      </c>
      <c r="AG18">
        <v>0</v>
      </c>
      <c r="AH18">
        <v>0</v>
      </c>
      <c r="AI18">
        <v>1.08</v>
      </c>
      <c r="AJ18">
        <v>1</v>
      </c>
      <c r="AK18">
        <v>1</v>
      </c>
      <c r="AL18">
        <v>1</v>
      </c>
      <c r="AM18">
        <v>0</v>
      </c>
      <c r="AN18">
        <v>0</v>
      </c>
      <c r="AO18">
        <v>0</v>
      </c>
      <c r="AP18">
        <v>1</v>
      </c>
      <c r="AQ18">
        <v>0</v>
      </c>
      <c r="AR18">
        <v>0</v>
      </c>
      <c r="AS18" t="s">
        <v>3</v>
      </c>
      <c r="AT18">
        <v>2.38</v>
      </c>
      <c r="AU18" t="s">
        <v>3</v>
      </c>
      <c r="AV18">
        <v>0</v>
      </c>
      <c r="AW18">
        <v>1</v>
      </c>
      <c r="AX18">
        <v>-1</v>
      </c>
      <c r="AY18">
        <v>0</v>
      </c>
      <c r="AZ18">
        <v>0</v>
      </c>
      <c r="BA18" t="s">
        <v>3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CV18">
        <v>0</v>
      </c>
      <c r="CW18">
        <v>0</v>
      </c>
      <c r="CX18">
        <f>ROUND(Y18*Source!I72,9)</f>
        <v>1.19</v>
      </c>
      <c r="CY18">
        <f t="shared" si="15"/>
        <v>50.36</v>
      </c>
      <c r="CZ18">
        <f t="shared" si="16"/>
        <v>46.63</v>
      </c>
      <c r="DA18">
        <f t="shared" si="17"/>
        <v>1.08</v>
      </c>
      <c r="DB18">
        <f t="shared" si="18"/>
        <v>110.98</v>
      </c>
      <c r="DC18">
        <f t="shared" si="19"/>
        <v>0</v>
      </c>
      <c r="DD18" t="s">
        <v>3</v>
      </c>
      <c r="DE18" t="s">
        <v>3</v>
      </c>
      <c r="DF18">
        <f t="shared" si="20"/>
        <v>59.93</v>
      </c>
      <c r="DG18">
        <f t="shared" si="21"/>
        <v>0</v>
      </c>
      <c r="DH18">
        <f t="shared" si="22"/>
        <v>0</v>
      </c>
      <c r="DI18">
        <f t="shared" si="6"/>
        <v>0</v>
      </c>
      <c r="DJ18">
        <f t="shared" si="23"/>
        <v>59.93</v>
      </c>
      <c r="DK18">
        <v>0</v>
      </c>
      <c r="DL18" t="s">
        <v>3</v>
      </c>
      <c r="DM18">
        <v>0</v>
      </c>
      <c r="DN18" t="s">
        <v>3</v>
      </c>
      <c r="DO18">
        <v>0</v>
      </c>
    </row>
    <row r="19" spans="1:119" x14ac:dyDescent="0.2">
      <c r="A19">
        <f>ROW(Source!A72)</f>
        <v>72</v>
      </c>
      <c r="B19">
        <v>60257733</v>
      </c>
      <c r="C19">
        <v>61620566</v>
      </c>
      <c r="D19">
        <v>59062734</v>
      </c>
      <c r="E19">
        <v>1</v>
      </c>
      <c r="F19">
        <v>1</v>
      </c>
      <c r="G19">
        <v>1080</v>
      </c>
      <c r="H19">
        <v>3</v>
      </c>
      <c r="I19" t="s">
        <v>163</v>
      </c>
      <c r="J19" t="s">
        <v>164</v>
      </c>
      <c r="K19" t="s">
        <v>165</v>
      </c>
      <c r="L19">
        <v>1356</v>
      </c>
      <c r="N19">
        <v>1010</v>
      </c>
      <c r="O19" t="s">
        <v>166</v>
      </c>
      <c r="P19" t="s">
        <v>166</v>
      </c>
      <c r="Q19">
        <v>1000</v>
      </c>
      <c r="W19">
        <v>0</v>
      </c>
      <c r="X19">
        <v>-1221558404</v>
      </c>
      <c r="Y19">
        <f t="shared" si="14"/>
        <v>3.1E-2</v>
      </c>
      <c r="AA19">
        <v>1602.49</v>
      </c>
      <c r="AB19">
        <v>0</v>
      </c>
      <c r="AC19">
        <v>0</v>
      </c>
      <c r="AD19">
        <v>0</v>
      </c>
      <c r="AE19">
        <v>226.66</v>
      </c>
      <c r="AF19">
        <v>0</v>
      </c>
      <c r="AG19">
        <v>0</v>
      </c>
      <c r="AH19">
        <v>0</v>
      </c>
      <c r="AI19">
        <v>7.07</v>
      </c>
      <c r="AJ19">
        <v>1</v>
      </c>
      <c r="AK19">
        <v>1</v>
      </c>
      <c r="AL19">
        <v>1</v>
      </c>
      <c r="AM19">
        <v>2</v>
      </c>
      <c r="AN19">
        <v>0</v>
      </c>
      <c r="AO19">
        <v>1</v>
      </c>
      <c r="AP19">
        <v>1</v>
      </c>
      <c r="AQ19">
        <v>0</v>
      </c>
      <c r="AR19">
        <v>0</v>
      </c>
      <c r="AS19" t="s">
        <v>3</v>
      </c>
      <c r="AT19">
        <v>3.1E-2</v>
      </c>
      <c r="AU19" t="s">
        <v>3</v>
      </c>
      <c r="AV19">
        <v>0</v>
      </c>
      <c r="AW19">
        <v>2</v>
      </c>
      <c r="AX19">
        <v>61620570</v>
      </c>
      <c r="AY19">
        <v>1</v>
      </c>
      <c r="AZ19">
        <v>0</v>
      </c>
      <c r="BA19">
        <v>18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CV19">
        <v>0</v>
      </c>
      <c r="CW19">
        <v>0</v>
      </c>
      <c r="CX19">
        <f>ROUND(Y19*Source!I72,9)</f>
        <v>1.55E-2</v>
      </c>
      <c r="CY19">
        <f t="shared" si="15"/>
        <v>1602.49</v>
      </c>
      <c r="CZ19">
        <f t="shared" si="16"/>
        <v>226.66</v>
      </c>
      <c r="DA19">
        <f t="shared" si="17"/>
        <v>7.07</v>
      </c>
      <c r="DB19">
        <f t="shared" si="18"/>
        <v>7.03</v>
      </c>
      <c r="DC19">
        <f t="shared" si="19"/>
        <v>0</v>
      </c>
      <c r="DD19" t="s">
        <v>3</v>
      </c>
      <c r="DE19" t="s">
        <v>3</v>
      </c>
      <c r="DF19">
        <f t="shared" si="20"/>
        <v>24.84</v>
      </c>
      <c r="DG19">
        <f t="shared" si="21"/>
        <v>0</v>
      </c>
      <c r="DH19">
        <f t="shared" si="22"/>
        <v>0</v>
      </c>
      <c r="DI19">
        <f t="shared" si="6"/>
        <v>0</v>
      </c>
      <c r="DJ19">
        <f t="shared" si="23"/>
        <v>24.84</v>
      </c>
      <c r="DK19">
        <v>0</v>
      </c>
      <c r="DL19" t="s">
        <v>3</v>
      </c>
      <c r="DM19">
        <v>0</v>
      </c>
      <c r="DN19" t="s">
        <v>3</v>
      </c>
      <c r="DO19">
        <v>0</v>
      </c>
    </row>
    <row r="20" spans="1:119" x14ac:dyDescent="0.2">
      <c r="A20">
        <f>ROW(Source!A72)</f>
        <v>72</v>
      </c>
      <c r="B20">
        <v>60257733</v>
      </c>
      <c r="C20">
        <v>61620566</v>
      </c>
      <c r="D20">
        <v>59062508</v>
      </c>
      <c r="E20">
        <v>1</v>
      </c>
      <c r="F20">
        <v>1</v>
      </c>
      <c r="G20">
        <v>1080</v>
      </c>
      <c r="H20">
        <v>3</v>
      </c>
      <c r="I20" t="s">
        <v>167</v>
      </c>
      <c r="J20" t="s">
        <v>168</v>
      </c>
      <c r="K20" t="s">
        <v>169</v>
      </c>
      <c r="L20">
        <v>1355</v>
      </c>
      <c r="N20">
        <v>1010</v>
      </c>
      <c r="O20" t="s">
        <v>115</v>
      </c>
      <c r="P20" t="s">
        <v>115</v>
      </c>
      <c r="Q20">
        <v>100</v>
      </c>
      <c r="W20">
        <v>0</v>
      </c>
      <c r="X20">
        <v>-210805237</v>
      </c>
      <c r="Y20">
        <f t="shared" si="14"/>
        <v>0.315</v>
      </c>
      <c r="AA20">
        <v>105.5</v>
      </c>
      <c r="AB20">
        <v>0</v>
      </c>
      <c r="AC20">
        <v>0</v>
      </c>
      <c r="AD20">
        <v>0</v>
      </c>
      <c r="AE20">
        <v>26.71</v>
      </c>
      <c r="AF20">
        <v>0</v>
      </c>
      <c r="AG20">
        <v>0</v>
      </c>
      <c r="AH20">
        <v>0</v>
      </c>
      <c r="AI20">
        <v>3.95</v>
      </c>
      <c r="AJ20">
        <v>1</v>
      </c>
      <c r="AK20">
        <v>1</v>
      </c>
      <c r="AL20">
        <v>1</v>
      </c>
      <c r="AM20">
        <v>2</v>
      </c>
      <c r="AN20">
        <v>0</v>
      </c>
      <c r="AO20">
        <v>1</v>
      </c>
      <c r="AP20">
        <v>1</v>
      </c>
      <c r="AQ20">
        <v>0</v>
      </c>
      <c r="AR20">
        <v>0</v>
      </c>
      <c r="AS20" t="s">
        <v>3</v>
      </c>
      <c r="AT20">
        <v>0.315</v>
      </c>
      <c r="AU20" t="s">
        <v>3</v>
      </c>
      <c r="AV20">
        <v>0</v>
      </c>
      <c r="AW20">
        <v>2</v>
      </c>
      <c r="AX20">
        <v>61620571</v>
      </c>
      <c r="AY20">
        <v>1</v>
      </c>
      <c r="AZ20">
        <v>0</v>
      </c>
      <c r="BA20">
        <v>19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CV20">
        <v>0</v>
      </c>
      <c r="CW20">
        <v>0</v>
      </c>
      <c r="CX20">
        <f>ROUND(Y20*Source!I72,9)</f>
        <v>0.1575</v>
      </c>
      <c r="CY20">
        <f t="shared" si="15"/>
        <v>105.5</v>
      </c>
      <c r="CZ20">
        <f t="shared" si="16"/>
        <v>26.71</v>
      </c>
      <c r="DA20">
        <f t="shared" si="17"/>
        <v>3.95</v>
      </c>
      <c r="DB20">
        <f t="shared" si="18"/>
        <v>8.41</v>
      </c>
      <c r="DC20">
        <f t="shared" si="19"/>
        <v>0</v>
      </c>
      <c r="DD20" t="s">
        <v>3</v>
      </c>
      <c r="DE20" t="s">
        <v>3</v>
      </c>
      <c r="DF20">
        <f t="shared" si="20"/>
        <v>16.62</v>
      </c>
      <c r="DG20">
        <f t="shared" si="21"/>
        <v>0</v>
      </c>
      <c r="DH20">
        <f t="shared" si="22"/>
        <v>0</v>
      </c>
      <c r="DI20">
        <f t="shared" si="6"/>
        <v>0</v>
      </c>
      <c r="DJ20">
        <f t="shared" si="23"/>
        <v>16.62</v>
      </c>
      <c r="DK20">
        <v>0</v>
      </c>
      <c r="DL20" t="s">
        <v>3</v>
      </c>
      <c r="DM20">
        <v>0</v>
      </c>
      <c r="DN20" t="s">
        <v>3</v>
      </c>
      <c r="DO20">
        <v>0</v>
      </c>
    </row>
    <row r="21" spans="1:119" x14ac:dyDescent="0.2">
      <c r="A21">
        <f>ROW(Source!A72)</f>
        <v>72</v>
      </c>
      <c r="B21">
        <v>60257733</v>
      </c>
      <c r="C21">
        <v>61620566</v>
      </c>
      <c r="D21">
        <v>59049364</v>
      </c>
      <c r="E21">
        <v>1</v>
      </c>
      <c r="F21">
        <v>1</v>
      </c>
      <c r="G21">
        <v>1080</v>
      </c>
      <c r="H21">
        <v>3</v>
      </c>
      <c r="I21" t="s">
        <v>170</v>
      </c>
      <c r="J21" t="s">
        <v>171</v>
      </c>
      <c r="K21" t="s">
        <v>172</v>
      </c>
      <c r="L21">
        <v>1354</v>
      </c>
      <c r="N21">
        <v>1010</v>
      </c>
      <c r="O21" t="s">
        <v>45</v>
      </c>
      <c r="P21" t="s">
        <v>45</v>
      </c>
      <c r="Q21">
        <v>1</v>
      </c>
      <c r="W21">
        <v>0</v>
      </c>
      <c r="X21">
        <v>309799599</v>
      </c>
      <c r="Y21">
        <f t="shared" si="14"/>
        <v>0.28000000000000003</v>
      </c>
      <c r="AA21">
        <v>165.81</v>
      </c>
      <c r="AB21">
        <v>0</v>
      </c>
      <c r="AC21">
        <v>0</v>
      </c>
      <c r="AD21">
        <v>0</v>
      </c>
      <c r="AE21">
        <v>14.22</v>
      </c>
      <c r="AF21">
        <v>0</v>
      </c>
      <c r="AG21">
        <v>0</v>
      </c>
      <c r="AH21">
        <v>0</v>
      </c>
      <c r="AI21">
        <v>11.66</v>
      </c>
      <c r="AJ21">
        <v>1</v>
      </c>
      <c r="AK21">
        <v>1</v>
      </c>
      <c r="AL21">
        <v>1</v>
      </c>
      <c r="AM21">
        <v>2</v>
      </c>
      <c r="AN21">
        <v>0</v>
      </c>
      <c r="AO21">
        <v>1</v>
      </c>
      <c r="AP21">
        <v>1</v>
      </c>
      <c r="AQ21">
        <v>0</v>
      </c>
      <c r="AR21">
        <v>0</v>
      </c>
      <c r="AS21" t="s">
        <v>3</v>
      </c>
      <c r="AT21">
        <v>0.28000000000000003</v>
      </c>
      <c r="AU21" t="s">
        <v>3</v>
      </c>
      <c r="AV21">
        <v>0</v>
      </c>
      <c r="AW21">
        <v>2</v>
      </c>
      <c r="AX21">
        <v>61620572</v>
      </c>
      <c r="AY21">
        <v>1</v>
      </c>
      <c r="AZ21">
        <v>0</v>
      </c>
      <c r="BA21">
        <v>20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CV21">
        <v>0</v>
      </c>
      <c r="CW21">
        <v>0</v>
      </c>
      <c r="CX21">
        <f>ROUND(Y21*Source!I72,9)</f>
        <v>0.14000000000000001</v>
      </c>
      <c r="CY21">
        <f t="shared" si="15"/>
        <v>165.81</v>
      </c>
      <c r="CZ21">
        <f t="shared" si="16"/>
        <v>14.22</v>
      </c>
      <c r="DA21">
        <f t="shared" si="17"/>
        <v>11.66</v>
      </c>
      <c r="DB21">
        <f t="shared" si="18"/>
        <v>3.98</v>
      </c>
      <c r="DC21">
        <f t="shared" si="19"/>
        <v>0</v>
      </c>
      <c r="DD21" t="s">
        <v>3</v>
      </c>
      <c r="DE21" t="s">
        <v>3</v>
      </c>
      <c r="DF21">
        <f t="shared" si="20"/>
        <v>23.21</v>
      </c>
      <c r="DG21">
        <f t="shared" si="21"/>
        <v>0</v>
      </c>
      <c r="DH21">
        <f t="shared" si="22"/>
        <v>0</v>
      </c>
      <c r="DI21">
        <f t="shared" si="6"/>
        <v>0</v>
      </c>
      <c r="DJ21">
        <f t="shared" si="23"/>
        <v>23.21</v>
      </c>
      <c r="DK21">
        <v>0</v>
      </c>
      <c r="DL21" t="s">
        <v>3</v>
      </c>
      <c r="DM21">
        <v>0</v>
      </c>
      <c r="DN21" t="s">
        <v>3</v>
      </c>
      <c r="DO21">
        <v>0</v>
      </c>
    </row>
    <row r="22" spans="1:119" x14ac:dyDescent="0.2">
      <c r="A22">
        <f>ROW(Source!A72)</f>
        <v>72</v>
      </c>
      <c r="B22">
        <v>60257733</v>
      </c>
      <c r="C22">
        <v>61620566</v>
      </c>
      <c r="D22">
        <v>59049443</v>
      </c>
      <c r="E22">
        <v>1</v>
      </c>
      <c r="F22">
        <v>1</v>
      </c>
      <c r="G22">
        <v>1080</v>
      </c>
      <c r="H22">
        <v>3</v>
      </c>
      <c r="I22" t="s">
        <v>118</v>
      </c>
      <c r="J22" t="s">
        <v>120</v>
      </c>
      <c r="K22" t="s">
        <v>119</v>
      </c>
      <c r="L22">
        <v>1355</v>
      </c>
      <c r="N22">
        <v>1010</v>
      </c>
      <c r="O22" t="s">
        <v>115</v>
      </c>
      <c r="P22" t="s">
        <v>115</v>
      </c>
      <c r="Q22">
        <v>100</v>
      </c>
      <c r="W22">
        <v>0</v>
      </c>
      <c r="X22">
        <v>1852901932</v>
      </c>
      <c r="Y22">
        <f t="shared" si="14"/>
        <v>2.36</v>
      </c>
      <c r="AA22">
        <v>6745.6</v>
      </c>
      <c r="AB22">
        <v>0</v>
      </c>
      <c r="AC22">
        <v>0</v>
      </c>
      <c r="AD22">
        <v>0</v>
      </c>
      <c r="AE22">
        <v>1297.23</v>
      </c>
      <c r="AF22">
        <v>0</v>
      </c>
      <c r="AG22">
        <v>0</v>
      </c>
      <c r="AH22">
        <v>0</v>
      </c>
      <c r="AI22">
        <v>5.2</v>
      </c>
      <c r="AJ22">
        <v>1</v>
      </c>
      <c r="AK22">
        <v>1</v>
      </c>
      <c r="AL22">
        <v>1</v>
      </c>
      <c r="AM22">
        <v>0</v>
      </c>
      <c r="AN22">
        <v>0</v>
      </c>
      <c r="AO22">
        <v>0</v>
      </c>
      <c r="AP22">
        <v>1</v>
      </c>
      <c r="AQ22">
        <v>0</v>
      </c>
      <c r="AR22">
        <v>0</v>
      </c>
      <c r="AS22" t="s">
        <v>3</v>
      </c>
      <c r="AT22">
        <v>2.36</v>
      </c>
      <c r="AU22" t="s">
        <v>3</v>
      </c>
      <c r="AV22">
        <v>0</v>
      </c>
      <c r="AW22">
        <v>1</v>
      </c>
      <c r="AX22">
        <v>-1</v>
      </c>
      <c r="AY22">
        <v>0</v>
      </c>
      <c r="AZ22">
        <v>0</v>
      </c>
      <c r="BA22" t="s">
        <v>3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CV22">
        <v>0</v>
      </c>
      <c r="CW22">
        <v>0</v>
      </c>
      <c r="CX22">
        <f>ROUND(Y22*Source!I72,9)</f>
        <v>1.18</v>
      </c>
      <c r="CY22">
        <f t="shared" si="15"/>
        <v>6745.6</v>
      </c>
      <c r="CZ22">
        <f t="shared" si="16"/>
        <v>1297.23</v>
      </c>
      <c r="DA22">
        <f t="shared" si="17"/>
        <v>5.2</v>
      </c>
      <c r="DB22">
        <f t="shared" si="18"/>
        <v>3061.46</v>
      </c>
      <c r="DC22">
        <f t="shared" si="19"/>
        <v>0</v>
      </c>
      <c r="DD22" t="s">
        <v>3</v>
      </c>
      <c r="DE22" t="s">
        <v>3</v>
      </c>
      <c r="DF22">
        <f t="shared" si="20"/>
        <v>7959.81</v>
      </c>
      <c r="DG22">
        <f t="shared" si="21"/>
        <v>0</v>
      </c>
      <c r="DH22">
        <f t="shared" si="22"/>
        <v>0</v>
      </c>
      <c r="DI22">
        <f t="shared" si="6"/>
        <v>0</v>
      </c>
      <c r="DJ22">
        <f t="shared" si="23"/>
        <v>7959.81</v>
      </c>
      <c r="DK22">
        <v>0</v>
      </c>
      <c r="DL22" t="s">
        <v>3</v>
      </c>
      <c r="DM22">
        <v>0</v>
      </c>
      <c r="DN22" t="s">
        <v>3</v>
      </c>
      <c r="DO22">
        <v>0</v>
      </c>
    </row>
    <row r="23" spans="1:119" x14ac:dyDescent="0.2">
      <c r="A23">
        <f>ROW(Source!A79)</f>
        <v>79</v>
      </c>
      <c r="B23">
        <v>60257736</v>
      </c>
      <c r="C23">
        <v>61620608</v>
      </c>
      <c r="D23">
        <v>58999254</v>
      </c>
      <c r="E23">
        <v>1080</v>
      </c>
      <c r="F23">
        <v>1</v>
      </c>
      <c r="G23">
        <v>1080</v>
      </c>
      <c r="H23">
        <v>1</v>
      </c>
      <c r="I23" t="s">
        <v>153</v>
      </c>
      <c r="J23" t="s">
        <v>3</v>
      </c>
      <c r="K23" t="s">
        <v>154</v>
      </c>
      <c r="L23">
        <v>1191</v>
      </c>
      <c r="N23">
        <v>1013</v>
      </c>
      <c r="O23" t="s">
        <v>155</v>
      </c>
      <c r="P23" t="s">
        <v>155</v>
      </c>
      <c r="Q23">
        <v>1</v>
      </c>
      <c r="W23">
        <v>0</v>
      </c>
      <c r="X23">
        <v>476480486</v>
      </c>
      <c r="Y23">
        <f>(AT23*1.1)</f>
        <v>5.8190000000000008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1</v>
      </c>
      <c r="AJ23">
        <v>1</v>
      </c>
      <c r="AK23">
        <v>1</v>
      </c>
      <c r="AL23">
        <v>1</v>
      </c>
      <c r="AM23">
        <v>-2</v>
      </c>
      <c r="AN23">
        <v>0</v>
      </c>
      <c r="AO23">
        <v>1</v>
      </c>
      <c r="AP23">
        <v>1</v>
      </c>
      <c r="AQ23">
        <v>0</v>
      </c>
      <c r="AR23">
        <v>0</v>
      </c>
      <c r="AS23" t="s">
        <v>3</v>
      </c>
      <c r="AT23">
        <v>5.29</v>
      </c>
      <c r="AU23" t="s">
        <v>24</v>
      </c>
      <c r="AV23">
        <v>1</v>
      </c>
      <c r="AW23">
        <v>2</v>
      </c>
      <c r="AX23">
        <v>61620614</v>
      </c>
      <c r="AY23">
        <v>1</v>
      </c>
      <c r="AZ23">
        <v>0</v>
      </c>
      <c r="BA23">
        <v>25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CU23">
        <f>ROUND(AT23*Source!I79*AH23*AL23,2)</f>
        <v>0</v>
      </c>
      <c r="CV23">
        <f>ROUND(Y23*Source!I79,9)</f>
        <v>2.9095</v>
      </c>
      <c r="CW23">
        <v>0</v>
      </c>
      <c r="CX23">
        <f>ROUND(Y23*Source!I79,9)</f>
        <v>2.9095</v>
      </c>
      <c r="CY23">
        <f>AD23</f>
        <v>0</v>
      </c>
      <c r="CZ23">
        <f>AH23</f>
        <v>0</v>
      </c>
      <c r="DA23">
        <f>AL23</f>
        <v>1</v>
      </c>
      <c r="DB23">
        <f>ROUND((ROUND(AT23*CZ23,2)*1.1),6)</f>
        <v>0</v>
      </c>
      <c r="DC23">
        <f>ROUND((ROUND(AT23*AG23,2)*1.1),6)</f>
        <v>0</v>
      </c>
      <c r="DD23" t="s">
        <v>3</v>
      </c>
      <c r="DE23" t="s">
        <v>3</v>
      </c>
      <c r="DF23">
        <f t="shared" ref="DF23:DF30" si="24">ROUND(ROUND(AE23,2)*CX23,2)</f>
        <v>0</v>
      </c>
      <c r="DG23">
        <f t="shared" si="21"/>
        <v>0</v>
      </c>
      <c r="DH23">
        <f t="shared" si="22"/>
        <v>0</v>
      </c>
      <c r="DI23">
        <f t="shared" si="6"/>
        <v>0</v>
      </c>
      <c r="DJ23">
        <f>DI23</f>
        <v>0</v>
      </c>
      <c r="DK23">
        <v>0</v>
      </c>
      <c r="DL23" t="s">
        <v>3</v>
      </c>
      <c r="DM23">
        <v>0</v>
      </c>
      <c r="DN23" t="s">
        <v>3</v>
      </c>
      <c r="DO23">
        <v>0</v>
      </c>
    </row>
    <row r="24" spans="1:119" x14ac:dyDescent="0.2">
      <c r="A24">
        <f>ROW(Source!A79)</f>
        <v>79</v>
      </c>
      <c r="B24">
        <v>60257736</v>
      </c>
      <c r="C24">
        <v>61620608</v>
      </c>
      <c r="D24">
        <v>59070669</v>
      </c>
      <c r="E24">
        <v>1</v>
      </c>
      <c r="F24">
        <v>1</v>
      </c>
      <c r="G24">
        <v>1080</v>
      </c>
      <c r="H24">
        <v>2</v>
      </c>
      <c r="I24" t="s">
        <v>173</v>
      </c>
      <c r="J24" t="s">
        <v>174</v>
      </c>
      <c r="K24" t="s">
        <v>175</v>
      </c>
      <c r="L24">
        <v>1368</v>
      </c>
      <c r="N24">
        <v>1011</v>
      </c>
      <c r="O24" t="s">
        <v>159</v>
      </c>
      <c r="P24" t="s">
        <v>159</v>
      </c>
      <c r="Q24">
        <v>1</v>
      </c>
      <c r="W24">
        <v>0</v>
      </c>
      <c r="X24">
        <v>-1985943078</v>
      </c>
      <c r="Y24">
        <f>(AT24*1.1)</f>
        <v>1.1000000000000001E-2</v>
      </c>
      <c r="AA24">
        <v>0</v>
      </c>
      <c r="AB24">
        <v>87.01</v>
      </c>
      <c r="AC24">
        <v>13.21</v>
      </c>
      <c r="AD24">
        <v>0</v>
      </c>
      <c r="AE24">
        <v>0</v>
      </c>
      <c r="AF24">
        <v>83.1</v>
      </c>
      <c r="AG24">
        <v>12.62</v>
      </c>
      <c r="AH24">
        <v>0</v>
      </c>
      <c r="AI24">
        <v>1</v>
      </c>
      <c r="AJ24">
        <v>1</v>
      </c>
      <c r="AK24">
        <v>1</v>
      </c>
      <c r="AL24">
        <v>1</v>
      </c>
      <c r="AM24">
        <v>-2</v>
      </c>
      <c r="AN24">
        <v>0</v>
      </c>
      <c r="AO24">
        <v>1</v>
      </c>
      <c r="AP24">
        <v>1</v>
      </c>
      <c r="AQ24">
        <v>0</v>
      </c>
      <c r="AR24">
        <v>0</v>
      </c>
      <c r="AS24" t="s">
        <v>3</v>
      </c>
      <c r="AT24">
        <v>0.01</v>
      </c>
      <c r="AU24" t="s">
        <v>24</v>
      </c>
      <c r="AV24">
        <v>0</v>
      </c>
      <c r="AW24">
        <v>2</v>
      </c>
      <c r="AX24">
        <v>61620615</v>
      </c>
      <c r="AY24">
        <v>1</v>
      </c>
      <c r="AZ24">
        <v>0</v>
      </c>
      <c r="BA24">
        <v>26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CV24">
        <v>0</v>
      </c>
      <c r="CW24">
        <f>ROUND(Y24*Source!I79*DO24,9)</f>
        <v>6.9409999999999999E-2</v>
      </c>
      <c r="CX24">
        <f>ROUND(Y24*Source!I79,9)</f>
        <v>5.4999999999999997E-3</v>
      </c>
      <c r="CY24">
        <f>AB24</f>
        <v>87.01</v>
      </c>
      <c r="CZ24">
        <f>AF24</f>
        <v>83.1</v>
      </c>
      <c r="DA24">
        <f>AJ24</f>
        <v>1</v>
      </c>
      <c r="DB24">
        <f>ROUND((ROUND(AT24*CZ24,2)*1.1),6)</f>
        <v>0.91300000000000003</v>
      </c>
      <c r="DC24">
        <f>ROUND((ROUND(AT24*AG24,2)*1.1),6)</f>
        <v>0.14299999999999999</v>
      </c>
      <c r="DD24" t="s">
        <v>3</v>
      </c>
      <c r="DE24" t="s">
        <v>3</v>
      </c>
      <c r="DF24">
        <f t="shared" si="24"/>
        <v>0</v>
      </c>
      <c r="DG24">
        <f t="shared" si="21"/>
        <v>0.46</v>
      </c>
      <c r="DH24">
        <f t="shared" si="22"/>
        <v>7.0000000000000007E-2</v>
      </c>
      <c r="DI24">
        <f t="shared" si="6"/>
        <v>0</v>
      </c>
      <c r="DJ24">
        <f>DG24</f>
        <v>0.46</v>
      </c>
      <c r="DK24">
        <v>0</v>
      </c>
      <c r="DL24" t="s">
        <v>176</v>
      </c>
      <c r="DM24">
        <v>0</v>
      </c>
      <c r="DN24" t="s">
        <v>155</v>
      </c>
      <c r="DO24">
        <v>12.62</v>
      </c>
    </row>
    <row r="25" spans="1:119" x14ac:dyDescent="0.2">
      <c r="A25">
        <f>ROW(Source!A79)</f>
        <v>79</v>
      </c>
      <c r="B25">
        <v>60257736</v>
      </c>
      <c r="C25">
        <v>61620608</v>
      </c>
      <c r="D25">
        <v>59069905</v>
      </c>
      <c r="E25">
        <v>1</v>
      </c>
      <c r="F25">
        <v>1</v>
      </c>
      <c r="G25">
        <v>1080</v>
      </c>
      <c r="H25">
        <v>2</v>
      </c>
      <c r="I25" t="s">
        <v>177</v>
      </c>
      <c r="J25" t="s">
        <v>178</v>
      </c>
      <c r="K25" t="s">
        <v>179</v>
      </c>
      <c r="L25">
        <v>1368</v>
      </c>
      <c r="N25">
        <v>1011</v>
      </c>
      <c r="O25" t="s">
        <v>159</v>
      </c>
      <c r="P25" t="s">
        <v>159</v>
      </c>
      <c r="Q25">
        <v>1</v>
      </c>
      <c r="W25">
        <v>0</v>
      </c>
      <c r="X25">
        <v>1087580389</v>
      </c>
      <c r="Y25">
        <f>(AT25*1.1)</f>
        <v>1.1000000000000001E-2</v>
      </c>
      <c r="AA25">
        <v>0</v>
      </c>
      <c r="AB25">
        <v>187.59</v>
      </c>
      <c r="AC25">
        <v>17.73</v>
      </c>
      <c r="AD25">
        <v>0</v>
      </c>
      <c r="AE25">
        <v>0</v>
      </c>
      <c r="AF25">
        <v>179.17</v>
      </c>
      <c r="AG25">
        <v>16.93</v>
      </c>
      <c r="AH25">
        <v>0</v>
      </c>
      <c r="AI25">
        <v>1</v>
      </c>
      <c r="AJ25">
        <v>1</v>
      </c>
      <c r="AK25">
        <v>1</v>
      </c>
      <c r="AL25">
        <v>1</v>
      </c>
      <c r="AM25">
        <v>-2</v>
      </c>
      <c r="AN25">
        <v>0</v>
      </c>
      <c r="AO25">
        <v>1</v>
      </c>
      <c r="AP25">
        <v>1</v>
      </c>
      <c r="AQ25">
        <v>0</v>
      </c>
      <c r="AR25">
        <v>0</v>
      </c>
      <c r="AS25" t="s">
        <v>3</v>
      </c>
      <c r="AT25">
        <v>0.01</v>
      </c>
      <c r="AU25" t="s">
        <v>24</v>
      </c>
      <c r="AV25">
        <v>0</v>
      </c>
      <c r="AW25">
        <v>2</v>
      </c>
      <c r="AX25">
        <v>61620616</v>
      </c>
      <c r="AY25">
        <v>1</v>
      </c>
      <c r="AZ25">
        <v>0</v>
      </c>
      <c r="BA25">
        <v>27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CV25">
        <v>0</v>
      </c>
      <c r="CW25">
        <f>ROUND(Y25*Source!I79*DO25,9)</f>
        <v>9.3115000000000003E-2</v>
      </c>
      <c r="CX25">
        <f>ROUND(Y25*Source!I79,9)</f>
        <v>5.4999999999999997E-3</v>
      </c>
      <c r="CY25">
        <f>AB25</f>
        <v>187.59</v>
      </c>
      <c r="CZ25">
        <f>AF25</f>
        <v>179.17</v>
      </c>
      <c r="DA25">
        <f>AJ25</f>
        <v>1</v>
      </c>
      <c r="DB25">
        <f>ROUND((ROUND(AT25*CZ25,2)*1.1),6)</f>
        <v>1.9690000000000001</v>
      </c>
      <c r="DC25">
        <f>ROUND((ROUND(AT25*AG25,2)*1.1),6)</f>
        <v>0.187</v>
      </c>
      <c r="DD25" t="s">
        <v>3</v>
      </c>
      <c r="DE25" t="s">
        <v>3</v>
      </c>
      <c r="DF25">
        <f t="shared" si="24"/>
        <v>0</v>
      </c>
      <c r="DG25">
        <f t="shared" si="21"/>
        <v>0.99</v>
      </c>
      <c r="DH25">
        <f t="shared" si="22"/>
        <v>0.09</v>
      </c>
      <c r="DI25">
        <f t="shared" si="6"/>
        <v>0</v>
      </c>
      <c r="DJ25">
        <f>DG25</f>
        <v>0.99</v>
      </c>
      <c r="DK25">
        <v>0</v>
      </c>
      <c r="DL25" t="s">
        <v>176</v>
      </c>
      <c r="DM25">
        <v>0</v>
      </c>
      <c r="DN25" t="s">
        <v>155</v>
      </c>
      <c r="DO25">
        <v>16.93</v>
      </c>
    </row>
    <row r="26" spans="1:119" x14ac:dyDescent="0.2">
      <c r="A26">
        <f>ROW(Source!A79)</f>
        <v>79</v>
      </c>
      <c r="B26">
        <v>60257736</v>
      </c>
      <c r="C26">
        <v>61620608</v>
      </c>
      <c r="D26">
        <v>59062690</v>
      </c>
      <c r="E26">
        <v>1</v>
      </c>
      <c r="F26">
        <v>1</v>
      </c>
      <c r="G26">
        <v>1080</v>
      </c>
      <c r="H26">
        <v>3</v>
      </c>
      <c r="I26" t="s">
        <v>180</v>
      </c>
      <c r="J26" t="s">
        <v>181</v>
      </c>
      <c r="K26" t="s">
        <v>182</v>
      </c>
      <c r="L26">
        <v>1355</v>
      </c>
      <c r="N26">
        <v>1010</v>
      </c>
      <c r="O26" t="s">
        <v>115</v>
      </c>
      <c r="P26" t="s">
        <v>115</v>
      </c>
      <c r="Q26">
        <v>100</v>
      </c>
      <c r="W26">
        <v>0</v>
      </c>
      <c r="X26">
        <v>433898453</v>
      </c>
      <c r="Y26">
        <f>AT26</f>
        <v>2.1093999999999999</v>
      </c>
      <c r="AA26">
        <v>59.47</v>
      </c>
      <c r="AB26">
        <v>0</v>
      </c>
      <c r="AC26">
        <v>0</v>
      </c>
      <c r="AD26">
        <v>0</v>
      </c>
      <c r="AE26">
        <v>59.47</v>
      </c>
      <c r="AF26">
        <v>0</v>
      </c>
      <c r="AG26">
        <v>0</v>
      </c>
      <c r="AH26">
        <v>0</v>
      </c>
      <c r="AI26">
        <v>1</v>
      </c>
      <c r="AJ26">
        <v>1</v>
      </c>
      <c r="AK26">
        <v>1</v>
      </c>
      <c r="AL26">
        <v>1</v>
      </c>
      <c r="AM26">
        <v>-2</v>
      </c>
      <c r="AN26">
        <v>0</v>
      </c>
      <c r="AO26">
        <v>1</v>
      </c>
      <c r="AP26">
        <v>1</v>
      </c>
      <c r="AQ26">
        <v>0</v>
      </c>
      <c r="AR26">
        <v>0</v>
      </c>
      <c r="AS26" t="s">
        <v>3</v>
      </c>
      <c r="AT26">
        <v>2.1093999999999999</v>
      </c>
      <c r="AU26" t="s">
        <v>3</v>
      </c>
      <c r="AV26">
        <v>0</v>
      </c>
      <c r="AW26">
        <v>2</v>
      </c>
      <c r="AX26">
        <v>61620617</v>
      </c>
      <c r="AY26">
        <v>1</v>
      </c>
      <c r="AZ26">
        <v>0</v>
      </c>
      <c r="BA26">
        <v>28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CV26">
        <v>0</v>
      </c>
      <c r="CW26">
        <v>0</v>
      </c>
      <c r="CX26">
        <f>ROUND(Y26*Source!I79,9)</f>
        <v>1.0547</v>
      </c>
      <c r="CY26">
        <f>AA26</f>
        <v>59.47</v>
      </c>
      <c r="CZ26">
        <f>AE26</f>
        <v>59.47</v>
      </c>
      <c r="DA26">
        <f>AI26</f>
        <v>1</v>
      </c>
      <c r="DB26">
        <f>ROUND(ROUND(AT26*CZ26,2),6)</f>
        <v>125.45</v>
      </c>
      <c r="DC26">
        <f>ROUND(ROUND(AT26*AG26,2),6)</f>
        <v>0</v>
      </c>
      <c r="DD26" t="s">
        <v>3</v>
      </c>
      <c r="DE26" t="s">
        <v>3</v>
      </c>
      <c r="DF26">
        <f t="shared" si="24"/>
        <v>62.72</v>
      </c>
      <c r="DG26">
        <f t="shared" si="21"/>
        <v>0</v>
      </c>
      <c r="DH26">
        <f t="shared" si="22"/>
        <v>0</v>
      </c>
      <c r="DI26">
        <f t="shared" si="6"/>
        <v>0</v>
      </c>
      <c r="DJ26">
        <f>DF26</f>
        <v>62.72</v>
      </c>
      <c r="DK26">
        <v>0</v>
      </c>
      <c r="DL26" t="s">
        <v>3</v>
      </c>
      <c r="DM26">
        <v>0</v>
      </c>
      <c r="DN26" t="s">
        <v>3</v>
      </c>
      <c r="DO26">
        <v>0</v>
      </c>
    </row>
    <row r="27" spans="1:119" x14ac:dyDescent="0.2">
      <c r="A27">
        <f>ROW(Source!A79)</f>
        <v>79</v>
      </c>
      <c r="B27">
        <v>60257736</v>
      </c>
      <c r="C27">
        <v>61620608</v>
      </c>
      <c r="D27">
        <v>59062735</v>
      </c>
      <c r="E27">
        <v>1</v>
      </c>
      <c r="F27">
        <v>1</v>
      </c>
      <c r="G27">
        <v>1080</v>
      </c>
      <c r="H27">
        <v>3</v>
      </c>
      <c r="I27" t="s">
        <v>183</v>
      </c>
      <c r="J27" t="s">
        <v>184</v>
      </c>
      <c r="K27" t="s">
        <v>185</v>
      </c>
      <c r="L27">
        <v>1356</v>
      </c>
      <c r="N27">
        <v>1010</v>
      </c>
      <c r="O27" t="s">
        <v>166</v>
      </c>
      <c r="P27" t="s">
        <v>166</v>
      </c>
      <c r="Q27">
        <v>1000</v>
      </c>
      <c r="W27">
        <v>0</v>
      </c>
      <c r="X27">
        <v>537260159</v>
      </c>
      <c r="Y27">
        <f>AT27</f>
        <v>6.8999999999999999E-3</v>
      </c>
      <c r="AA27">
        <v>56.16</v>
      </c>
      <c r="AB27">
        <v>0</v>
      </c>
      <c r="AC27">
        <v>0</v>
      </c>
      <c r="AD27">
        <v>0</v>
      </c>
      <c r="AE27">
        <v>56.16</v>
      </c>
      <c r="AF27">
        <v>0</v>
      </c>
      <c r="AG27">
        <v>0</v>
      </c>
      <c r="AH27">
        <v>0</v>
      </c>
      <c r="AI27">
        <v>1</v>
      </c>
      <c r="AJ27">
        <v>1</v>
      </c>
      <c r="AK27">
        <v>1</v>
      </c>
      <c r="AL27">
        <v>1</v>
      </c>
      <c r="AM27">
        <v>-2</v>
      </c>
      <c r="AN27">
        <v>0</v>
      </c>
      <c r="AO27">
        <v>1</v>
      </c>
      <c r="AP27">
        <v>1</v>
      </c>
      <c r="AQ27">
        <v>0</v>
      </c>
      <c r="AR27">
        <v>0</v>
      </c>
      <c r="AS27" t="s">
        <v>3</v>
      </c>
      <c r="AT27">
        <v>6.8999999999999999E-3</v>
      </c>
      <c r="AU27" t="s">
        <v>3</v>
      </c>
      <c r="AV27">
        <v>0</v>
      </c>
      <c r="AW27">
        <v>2</v>
      </c>
      <c r="AX27">
        <v>61620618</v>
      </c>
      <c r="AY27">
        <v>1</v>
      </c>
      <c r="AZ27">
        <v>0</v>
      </c>
      <c r="BA27">
        <v>29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CV27">
        <v>0</v>
      </c>
      <c r="CW27">
        <v>0</v>
      </c>
      <c r="CX27">
        <f>ROUND(Y27*Source!I79,9)</f>
        <v>3.4499999999999999E-3</v>
      </c>
      <c r="CY27">
        <f>AA27</f>
        <v>56.16</v>
      </c>
      <c r="CZ27">
        <f>AE27</f>
        <v>56.16</v>
      </c>
      <c r="DA27">
        <f>AI27</f>
        <v>1</v>
      </c>
      <c r="DB27">
        <f>ROUND(ROUND(AT27*CZ27,2),6)</f>
        <v>0.39</v>
      </c>
      <c r="DC27">
        <f>ROUND(ROUND(AT27*AG27,2),6)</f>
        <v>0</v>
      </c>
      <c r="DD27" t="s">
        <v>3</v>
      </c>
      <c r="DE27" t="s">
        <v>3</v>
      </c>
      <c r="DF27">
        <f t="shared" si="24"/>
        <v>0.19</v>
      </c>
      <c r="DG27">
        <f t="shared" si="21"/>
        <v>0</v>
      </c>
      <c r="DH27">
        <f t="shared" si="22"/>
        <v>0</v>
      </c>
      <c r="DI27">
        <f t="shared" si="6"/>
        <v>0</v>
      </c>
      <c r="DJ27">
        <f>DF27</f>
        <v>0.19</v>
      </c>
      <c r="DK27">
        <v>0</v>
      </c>
      <c r="DL27" t="s">
        <v>3</v>
      </c>
      <c r="DM27">
        <v>0</v>
      </c>
      <c r="DN27" t="s">
        <v>3</v>
      </c>
      <c r="DO27">
        <v>0</v>
      </c>
    </row>
    <row r="28" spans="1:119" x14ac:dyDescent="0.2">
      <c r="A28">
        <f>ROW(Source!A80)</f>
        <v>80</v>
      </c>
      <c r="B28">
        <v>60257733</v>
      </c>
      <c r="C28">
        <v>61620608</v>
      </c>
      <c r="D28">
        <v>58999254</v>
      </c>
      <c r="E28">
        <v>1080</v>
      </c>
      <c r="F28">
        <v>1</v>
      </c>
      <c r="G28">
        <v>1080</v>
      </c>
      <c r="H28">
        <v>1</v>
      </c>
      <c r="I28" t="s">
        <v>153</v>
      </c>
      <c r="J28" t="s">
        <v>3</v>
      </c>
      <c r="K28" t="s">
        <v>154</v>
      </c>
      <c r="L28">
        <v>1191</v>
      </c>
      <c r="N28">
        <v>1013</v>
      </c>
      <c r="O28" t="s">
        <v>155</v>
      </c>
      <c r="P28" t="s">
        <v>155</v>
      </c>
      <c r="Q28">
        <v>1</v>
      </c>
      <c r="W28">
        <v>0</v>
      </c>
      <c r="X28">
        <v>476480486</v>
      </c>
      <c r="Y28">
        <f>(AT28*1.1)</f>
        <v>5.8190000000000008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1</v>
      </c>
      <c r="AJ28">
        <v>1</v>
      </c>
      <c r="AK28">
        <v>1</v>
      </c>
      <c r="AL28">
        <v>1</v>
      </c>
      <c r="AM28">
        <v>5</v>
      </c>
      <c r="AN28">
        <v>0</v>
      </c>
      <c r="AO28">
        <v>1</v>
      </c>
      <c r="AP28">
        <v>1</v>
      </c>
      <c r="AQ28">
        <v>0</v>
      </c>
      <c r="AR28">
        <v>0</v>
      </c>
      <c r="AS28" t="s">
        <v>3</v>
      </c>
      <c r="AT28">
        <v>5.29</v>
      </c>
      <c r="AU28" t="s">
        <v>24</v>
      </c>
      <c r="AV28">
        <v>1</v>
      </c>
      <c r="AW28">
        <v>2</v>
      </c>
      <c r="AX28">
        <v>61620614</v>
      </c>
      <c r="AY28">
        <v>1</v>
      </c>
      <c r="AZ28">
        <v>0</v>
      </c>
      <c r="BA28">
        <v>31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CU28">
        <f>ROUND(AT28*Source!I80*AH28*AL28,2)</f>
        <v>0</v>
      </c>
      <c r="CV28">
        <f>ROUND(Y28*Source!I80,9)</f>
        <v>2.9095</v>
      </c>
      <c r="CW28">
        <v>0</v>
      </c>
      <c r="CX28">
        <f>ROUND(Y28*Source!I80,9)</f>
        <v>2.9095</v>
      </c>
      <c r="CY28">
        <f>AD28</f>
        <v>0</v>
      </c>
      <c r="CZ28">
        <f>AH28</f>
        <v>0</v>
      </c>
      <c r="DA28">
        <f>AL28</f>
        <v>1</v>
      </c>
      <c r="DB28">
        <f>ROUND((ROUND(AT28*CZ28,2)*1.1),6)</f>
        <v>0</v>
      </c>
      <c r="DC28">
        <f>ROUND((ROUND(AT28*AG28,2)*1.1),6)</f>
        <v>0</v>
      </c>
      <c r="DD28" t="s">
        <v>3</v>
      </c>
      <c r="DE28" t="s">
        <v>3</v>
      </c>
      <c r="DF28">
        <f t="shared" si="24"/>
        <v>0</v>
      </c>
      <c r="DG28">
        <f t="shared" si="21"/>
        <v>0</v>
      </c>
      <c r="DH28">
        <f t="shared" si="22"/>
        <v>0</v>
      </c>
      <c r="DI28">
        <f t="shared" si="6"/>
        <v>0</v>
      </c>
      <c r="DJ28">
        <f>DI28</f>
        <v>0</v>
      </c>
      <c r="DK28">
        <v>0</v>
      </c>
      <c r="DL28" t="s">
        <v>3</v>
      </c>
      <c r="DM28">
        <v>0</v>
      </c>
      <c r="DN28" t="s">
        <v>3</v>
      </c>
      <c r="DO28">
        <v>0</v>
      </c>
    </row>
    <row r="29" spans="1:119" x14ac:dyDescent="0.2">
      <c r="A29">
        <f>ROW(Source!A80)</f>
        <v>80</v>
      </c>
      <c r="B29">
        <v>60257733</v>
      </c>
      <c r="C29">
        <v>61620608</v>
      </c>
      <c r="D29">
        <v>59070669</v>
      </c>
      <c r="E29">
        <v>1</v>
      </c>
      <c r="F29">
        <v>1</v>
      </c>
      <c r="G29">
        <v>1080</v>
      </c>
      <c r="H29">
        <v>2</v>
      </c>
      <c r="I29" t="s">
        <v>173</v>
      </c>
      <c r="J29" t="s">
        <v>174</v>
      </c>
      <c r="K29" t="s">
        <v>175</v>
      </c>
      <c r="L29">
        <v>1368</v>
      </c>
      <c r="N29">
        <v>1011</v>
      </c>
      <c r="O29" t="s">
        <v>159</v>
      </c>
      <c r="P29" t="s">
        <v>159</v>
      </c>
      <c r="Q29">
        <v>1</v>
      </c>
      <c r="W29">
        <v>0</v>
      </c>
      <c r="X29">
        <v>-1985943078</v>
      </c>
      <c r="Y29">
        <f>(AT29*1.1)</f>
        <v>1.1000000000000001E-2</v>
      </c>
      <c r="AA29">
        <v>0</v>
      </c>
      <c r="AB29">
        <v>1418.19</v>
      </c>
      <c r="AC29">
        <v>726.59</v>
      </c>
      <c r="AD29">
        <v>0</v>
      </c>
      <c r="AE29">
        <v>0</v>
      </c>
      <c r="AF29">
        <v>83.1</v>
      </c>
      <c r="AG29">
        <v>12.62</v>
      </c>
      <c r="AH29">
        <v>0</v>
      </c>
      <c r="AI29">
        <v>1</v>
      </c>
      <c r="AJ29">
        <v>16.3</v>
      </c>
      <c r="AK29">
        <v>54.99</v>
      </c>
      <c r="AL29">
        <v>1</v>
      </c>
      <c r="AM29">
        <v>2</v>
      </c>
      <c r="AN29">
        <v>0</v>
      </c>
      <c r="AO29">
        <v>1</v>
      </c>
      <c r="AP29">
        <v>1</v>
      </c>
      <c r="AQ29">
        <v>0</v>
      </c>
      <c r="AR29">
        <v>0</v>
      </c>
      <c r="AS29" t="s">
        <v>3</v>
      </c>
      <c r="AT29">
        <v>0.01</v>
      </c>
      <c r="AU29" t="s">
        <v>24</v>
      </c>
      <c r="AV29">
        <v>0</v>
      </c>
      <c r="AW29">
        <v>2</v>
      </c>
      <c r="AX29">
        <v>61620615</v>
      </c>
      <c r="AY29">
        <v>1</v>
      </c>
      <c r="AZ29">
        <v>0</v>
      </c>
      <c r="BA29">
        <v>32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CV29">
        <v>0</v>
      </c>
      <c r="CW29">
        <f>ROUND(Y29*Source!I80*DO29,9)</f>
        <v>6.9409999999999999E-2</v>
      </c>
      <c r="CX29">
        <f>ROUND(Y29*Source!I80,9)</f>
        <v>5.4999999999999997E-3</v>
      </c>
      <c r="CY29">
        <f>AB29</f>
        <v>1418.19</v>
      </c>
      <c r="CZ29">
        <f>AF29</f>
        <v>83.1</v>
      </c>
      <c r="DA29">
        <f>AJ29</f>
        <v>16.3</v>
      </c>
      <c r="DB29">
        <f>ROUND((ROUND(AT29*CZ29,2)*1.1),6)</f>
        <v>0.91300000000000003</v>
      </c>
      <c r="DC29">
        <f>ROUND((ROUND(AT29*AG29,2)*1.1),6)</f>
        <v>0.14299999999999999</v>
      </c>
      <c r="DD29" t="s">
        <v>3</v>
      </c>
      <c r="DE29" t="s">
        <v>3</v>
      </c>
      <c r="DF29">
        <f t="shared" si="24"/>
        <v>0</v>
      </c>
      <c r="DG29">
        <f>ROUND(ROUND(AF29*AJ29,2)*CX29,2)</f>
        <v>7.45</v>
      </c>
      <c r="DH29">
        <f>ROUND(ROUND(AG29*AK29,2)*CX29,2)</f>
        <v>3.82</v>
      </c>
      <c r="DI29">
        <f t="shared" si="6"/>
        <v>0</v>
      </c>
      <c r="DJ29">
        <f>DG29</f>
        <v>7.45</v>
      </c>
      <c r="DK29">
        <v>0</v>
      </c>
      <c r="DL29" t="s">
        <v>176</v>
      </c>
      <c r="DM29">
        <v>0</v>
      </c>
      <c r="DN29" t="s">
        <v>155</v>
      </c>
      <c r="DO29">
        <v>12.62</v>
      </c>
    </row>
    <row r="30" spans="1:119" x14ac:dyDescent="0.2">
      <c r="A30">
        <f>ROW(Source!A80)</f>
        <v>80</v>
      </c>
      <c r="B30">
        <v>60257733</v>
      </c>
      <c r="C30">
        <v>61620608</v>
      </c>
      <c r="D30">
        <v>59069905</v>
      </c>
      <c r="E30">
        <v>1</v>
      </c>
      <c r="F30">
        <v>1</v>
      </c>
      <c r="G30">
        <v>1080</v>
      </c>
      <c r="H30">
        <v>2</v>
      </c>
      <c r="I30" t="s">
        <v>177</v>
      </c>
      <c r="J30" t="s">
        <v>178</v>
      </c>
      <c r="K30" t="s">
        <v>179</v>
      </c>
      <c r="L30">
        <v>1368</v>
      </c>
      <c r="N30">
        <v>1011</v>
      </c>
      <c r="O30" t="s">
        <v>159</v>
      </c>
      <c r="P30" t="s">
        <v>159</v>
      </c>
      <c r="Q30">
        <v>1</v>
      </c>
      <c r="W30">
        <v>0</v>
      </c>
      <c r="X30">
        <v>1087580389</v>
      </c>
      <c r="Y30">
        <f>(AT30*1.1)</f>
        <v>1.1000000000000001E-2</v>
      </c>
      <c r="AA30">
        <v>0</v>
      </c>
      <c r="AB30">
        <v>2579.38</v>
      </c>
      <c r="AC30">
        <v>974.74</v>
      </c>
      <c r="AD30">
        <v>0</v>
      </c>
      <c r="AE30">
        <v>0</v>
      </c>
      <c r="AF30">
        <v>179.17</v>
      </c>
      <c r="AG30">
        <v>16.93</v>
      </c>
      <c r="AH30">
        <v>0</v>
      </c>
      <c r="AI30">
        <v>1</v>
      </c>
      <c r="AJ30">
        <v>13.75</v>
      </c>
      <c r="AK30">
        <v>54.99</v>
      </c>
      <c r="AL30">
        <v>1</v>
      </c>
      <c r="AM30">
        <v>2</v>
      </c>
      <c r="AN30">
        <v>0</v>
      </c>
      <c r="AO30">
        <v>1</v>
      </c>
      <c r="AP30">
        <v>1</v>
      </c>
      <c r="AQ30">
        <v>0</v>
      </c>
      <c r="AR30">
        <v>0</v>
      </c>
      <c r="AS30" t="s">
        <v>3</v>
      </c>
      <c r="AT30">
        <v>0.01</v>
      </c>
      <c r="AU30" t="s">
        <v>24</v>
      </c>
      <c r="AV30">
        <v>0</v>
      </c>
      <c r="AW30">
        <v>2</v>
      </c>
      <c r="AX30">
        <v>61620616</v>
      </c>
      <c r="AY30">
        <v>1</v>
      </c>
      <c r="AZ30">
        <v>0</v>
      </c>
      <c r="BA30">
        <v>33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CV30">
        <v>0</v>
      </c>
      <c r="CW30">
        <f>ROUND(Y30*Source!I80*DO30,9)</f>
        <v>9.3115000000000003E-2</v>
      </c>
      <c r="CX30">
        <f>ROUND(Y30*Source!I80,9)</f>
        <v>5.4999999999999997E-3</v>
      </c>
      <c r="CY30">
        <f>AB30</f>
        <v>2579.38</v>
      </c>
      <c r="CZ30">
        <f>AF30</f>
        <v>179.17</v>
      </c>
      <c r="DA30">
        <f>AJ30</f>
        <v>13.75</v>
      </c>
      <c r="DB30">
        <f>ROUND((ROUND(AT30*CZ30,2)*1.1),6)</f>
        <v>1.9690000000000001</v>
      </c>
      <c r="DC30">
        <f>ROUND((ROUND(AT30*AG30,2)*1.1),6)</f>
        <v>0.187</v>
      </c>
      <c r="DD30" t="s">
        <v>3</v>
      </c>
      <c r="DE30" t="s">
        <v>3</v>
      </c>
      <c r="DF30">
        <f t="shared" si="24"/>
        <v>0</v>
      </c>
      <c r="DG30">
        <f>ROUND(ROUND(AF30*AJ30,2)*CX30,2)</f>
        <v>13.55</v>
      </c>
      <c r="DH30">
        <f>ROUND(ROUND(AG30*AK30,2)*CX30,2)</f>
        <v>5.12</v>
      </c>
      <c r="DI30">
        <f t="shared" si="6"/>
        <v>0</v>
      </c>
      <c r="DJ30">
        <f>DG30</f>
        <v>13.55</v>
      </c>
      <c r="DK30">
        <v>0</v>
      </c>
      <c r="DL30" t="s">
        <v>176</v>
      </c>
      <c r="DM30">
        <v>0</v>
      </c>
      <c r="DN30" t="s">
        <v>155</v>
      </c>
      <c r="DO30">
        <v>16.93</v>
      </c>
    </row>
    <row r="31" spans="1:119" x14ac:dyDescent="0.2">
      <c r="A31">
        <f>ROW(Source!A80)</f>
        <v>80</v>
      </c>
      <c r="B31">
        <v>60257733</v>
      </c>
      <c r="C31">
        <v>61620608</v>
      </c>
      <c r="D31">
        <v>59062690</v>
      </c>
      <c r="E31">
        <v>1</v>
      </c>
      <c r="F31">
        <v>1</v>
      </c>
      <c r="G31">
        <v>1080</v>
      </c>
      <c r="H31">
        <v>3</v>
      </c>
      <c r="I31" t="s">
        <v>180</v>
      </c>
      <c r="J31" t="s">
        <v>181</v>
      </c>
      <c r="K31" t="s">
        <v>182</v>
      </c>
      <c r="L31">
        <v>1355</v>
      </c>
      <c r="N31">
        <v>1010</v>
      </c>
      <c r="O31" t="s">
        <v>115</v>
      </c>
      <c r="P31" t="s">
        <v>115</v>
      </c>
      <c r="Q31">
        <v>100</v>
      </c>
      <c r="W31">
        <v>0</v>
      </c>
      <c r="X31">
        <v>433898453</v>
      </c>
      <c r="Y31">
        <f>AT31</f>
        <v>2.1093999999999999</v>
      </c>
      <c r="AA31">
        <v>233.72</v>
      </c>
      <c r="AB31">
        <v>0</v>
      </c>
      <c r="AC31">
        <v>0</v>
      </c>
      <c r="AD31">
        <v>0</v>
      </c>
      <c r="AE31">
        <v>59.47</v>
      </c>
      <c r="AF31">
        <v>0</v>
      </c>
      <c r="AG31">
        <v>0</v>
      </c>
      <c r="AH31">
        <v>0</v>
      </c>
      <c r="AI31">
        <v>3.93</v>
      </c>
      <c r="AJ31">
        <v>1</v>
      </c>
      <c r="AK31">
        <v>1</v>
      </c>
      <c r="AL31">
        <v>1</v>
      </c>
      <c r="AM31">
        <v>2</v>
      </c>
      <c r="AN31">
        <v>0</v>
      </c>
      <c r="AO31">
        <v>1</v>
      </c>
      <c r="AP31">
        <v>1</v>
      </c>
      <c r="AQ31">
        <v>0</v>
      </c>
      <c r="AR31">
        <v>0</v>
      </c>
      <c r="AS31" t="s">
        <v>3</v>
      </c>
      <c r="AT31">
        <v>2.1093999999999999</v>
      </c>
      <c r="AU31" t="s">
        <v>3</v>
      </c>
      <c r="AV31">
        <v>0</v>
      </c>
      <c r="AW31">
        <v>2</v>
      </c>
      <c r="AX31">
        <v>61620617</v>
      </c>
      <c r="AY31">
        <v>1</v>
      </c>
      <c r="AZ31">
        <v>0</v>
      </c>
      <c r="BA31">
        <v>34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CV31">
        <v>0</v>
      </c>
      <c r="CW31">
        <v>0</v>
      </c>
      <c r="CX31">
        <f>ROUND(Y31*Source!I80,9)</f>
        <v>1.0547</v>
      </c>
      <c r="CY31">
        <f>AA31</f>
        <v>233.72</v>
      </c>
      <c r="CZ31">
        <f>AE31</f>
        <v>59.47</v>
      </c>
      <c r="DA31">
        <f>AI31</f>
        <v>3.93</v>
      </c>
      <c r="DB31">
        <f>ROUND(ROUND(AT31*CZ31,2),6)</f>
        <v>125.45</v>
      </c>
      <c r="DC31">
        <f>ROUND(ROUND(AT31*AG31,2),6)</f>
        <v>0</v>
      </c>
      <c r="DD31" t="s">
        <v>3</v>
      </c>
      <c r="DE31" t="s">
        <v>3</v>
      </c>
      <c r="DF31">
        <f>ROUND(ROUND(AE31*AI31,2)*CX31,2)</f>
        <v>246.5</v>
      </c>
      <c r="DG31">
        <f>ROUND(ROUND(AF31,2)*CX31,2)</f>
        <v>0</v>
      </c>
      <c r="DH31">
        <f>ROUND(ROUND(AG31,2)*CX31,2)</f>
        <v>0</v>
      </c>
      <c r="DI31">
        <f t="shared" si="6"/>
        <v>0</v>
      </c>
      <c r="DJ31">
        <f>DF31</f>
        <v>246.5</v>
      </c>
      <c r="DK31">
        <v>0</v>
      </c>
      <c r="DL31" t="s">
        <v>3</v>
      </c>
      <c r="DM31">
        <v>0</v>
      </c>
      <c r="DN31" t="s">
        <v>3</v>
      </c>
      <c r="DO31">
        <v>0</v>
      </c>
    </row>
    <row r="32" spans="1:119" x14ac:dyDescent="0.2">
      <c r="A32">
        <f>ROW(Source!A80)</f>
        <v>80</v>
      </c>
      <c r="B32">
        <v>60257733</v>
      </c>
      <c r="C32">
        <v>61620608</v>
      </c>
      <c r="D32">
        <v>59062735</v>
      </c>
      <c r="E32">
        <v>1</v>
      </c>
      <c r="F32">
        <v>1</v>
      </c>
      <c r="G32">
        <v>1080</v>
      </c>
      <c r="H32">
        <v>3</v>
      </c>
      <c r="I32" t="s">
        <v>183</v>
      </c>
      <c r="J32" t="s">
        <v>184</v>
      </c>
      <c r="K32" t="s">
        <v>185</v>
      </c>
      <c r="L32">
        <v>1356</v>
      </c>
      <c r="N32">
        <v>1010</v>
      </c>
      <c r="O32" t="s">
        <v>166</v>
      </c>
      <c r="P32" t="s">
        <v>166</v>
      </c>
      <c r="Q32">
        <v>1000</v>
      </c>
      <c r="W32">
        <v>0</v>
      </c>
      <c r="X32">
        <v>537260159</v>
      </c>
      <c r="Y32">
        <f>AT32</f>
        <v>6.8999999999999999E-3</v>
      </c>
      <c r="AA32">
        <v>672.24</v>
      </c>
      <c r="AB32">
        <v>0</v>
      </c>
      <c r="AC32">
        <v>0</v>
      </c>
      <c r="AD32">
        <v>0</v>
      </c>
      <c r="AE32">
        <v>56.16</v>
      </c>
      <c r="AF32">
        <v>0</v>
      </c>
      <c r="AG32">
        <v>0</v>
      </c>
      <c r="AH32">
        <v>0</v>
      </c>
      <c r="AI32">
        <v>11.97</v>
      </c>
      <c r="AJ32">
        <v>1</v>
      </c>
      <c r="AK32">
        <v>1</v>
      </c>
      <c r="AL32">
        <v>1</v>
      </c>
      <c r="AM32">
        <v>2</v>
      </c>
      <c r="AN32">
        <v>0</v>
      </c>
      <c r="AO32">
        <v>1</v>
      </c>
      <c r="AP32">
        <v>1</v>
      </c>
      <c r="AQ32">
        <v>0</v>
      </c>
      <c r="AR32">
        <v>0</v>
      </c>
      <c r="AS32" t="s">
        <v>3</v>
      </c>
      <c r="AT32">
        <v>6.8999999999999999E-3</v>
      </c>
      <c r="AU32" t="s">
        <v>3</v>
      </c>
      <c r="AV32">
        <v>0</v>
      </c>
      <c r="AW32">
        <v>2</v>
      </c>
      <c r="AX32">
        <v>61620618</v>
      </c>
      <c r="AY32">
        <v>1</v>
      </c>
      <c r="AZ32">
        <v>0</v>
      </c>
      <c r="BA32">
        <v>35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CV32">
        <v>0</v>
      </c>
      <c r="CW32">
        <v>0</v>
      </c>
      <c r="CX32">
        <f>ROUND(Y32*Source!I80,9)</f>
        <v>3.4499999999999999E-3</v>
      </c>
      <c r="CY32">
        <f>AA32</f>
        <v>672.24</v>
      </c>
      <c r="CZ32">
        <f>AE32</f>
        <v>56.16</v>
      </c>
      <c r="DA32">
        <f>AI32</f>
        <v>11.97</v>
      </c>
      <c r="DB32">
        <f>ROUND(ROUND(AT32*CZ32,2),6)</f>
        <v>0.39</v>
      </c>
      <c r="DC32">
        <f>ROUND(ROUND(AT32*AG32,2),6)</f>
        <v>0</v>
      </c>
      <c r="DD32" t="s">
        <v>3</v>
      </c>
      <c r="DE32" t="s">
        <v>3</v>
      </c>
      <c r="DF32">
        <f>ROUND(ROUND(AE32*AI32,2)*CX32,2)</f>
        <v>2.3199999999999998</v>
      </c>
      <c r="DG32">
        <f>ROUND(ROUND(AF32,2)*CX32,2)</f>
        <v>0</v>
      </c>
      <c r="DH32">
        <f>ROUND(ROUND(AG32,2)*CX32,2)</f>
        <v>0</v>
      </c>
      <c r="DI32">
        <f t="shared" si="6"/>
        <v>0</v>
      </c>
      <c r="DJ32">
        <f>DF32</f>
        <v>2.3199999999999998</v>
      </c>
      <c r="DK32">
        <v>0</v>
      </c>
      <c r="DL32" t="s">
        <v>3</v>
      </c>
      <c r="DM32">
        <v>0</v>
      </c>
      <c r="DN32" t="s">
        <v>3</v>
      </c>
      <c r="DO32">
        <v>0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36"/>
  <sheetViews>
    <sheetView workbookViewId="0"/>
  </sheetViews>
  <sheetFormatPr defaultColWidth="9.140625" defaultRowHeight="12.75" x14ac:dyDescent="0.2"/>
  <cols>
    <col min="1" max="256" width="9.140625" customWidth="1"/>
  </cols>
  <sheetData>
    <row r="1" spans="1:44" x14ac:dyDescent="0.2">
      <c r="A1">
        <f>ROW(Source!A28)</f>
        <v>28</v>
      </c>
      <c r="B1">
        <v>60257963</v>
      </c>
      <c r="C1">
        <v>60257850</v>
      </c>
      <c r="D1">
        <v>58999254</v>
      </c>
      <c r="E1">
        <v>1080</v>
      </c>
      <c r="F1">
        <v>1</v>
      </c>
      <c r="G1">
        <v>1080</v>
      </c>
      <c r="H1">
        <v>1</v>
      </c>
      <c r="I1" t="s">
        <v>153</v>
      </c>
      <c r="J1" t="s">
        <v>3</v>
      </c>
      <c r="K1" t="s">
        <v>154</v>
      </c>
      <c r="L1">
        <v>1191</v>
      </c>
      <c r="N1">
        <v>1013</v>
      </c>
      <c r="O1" t="s">
        <v>155</v>
      </c>
      <c r="P1" t="s">
        <v>155</v>
      </c>
      <c r="Q1">
        <v>1</v>
      </c>
      <c r="X1">
        <v>3</v>
      </c>
      <c r="Y1">
        <v>0</v>
      </c>
      <c r="Z1">
        <v>0</v>
      </c>
      <c r="AA1">
        <v>0</v>
      </c>
      <c r="AB1">
        <v>0</v>
      </c>
      <c r="AC1">
        <v>0</v>
      </c>
      <c r="AD1">
        <v>1</v>
      </c>
      <c r="AE1">
        <v>1</v>
      </c>
      <c r="AF1" t="s">
        <v>24</v>
      </c>
      <c r="AG1">
        <v>3.3000000000000003</v>
      </c>
      <c r="AH1">
        <v>2</v>
      </c>
      <c r="AI1">
        <v>60257851</v>
      </c>
      <c r="AJ1">
        <v>1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</row>
    <row r="2" spans="1:44" x14ac:dyDescent="0.2">
      <c r="A2">
        <f>ROW(Source!A29)</f>
        <v>29</v>
      </c>
      <c r="B2">
        <v>60257963</v>
      </c>
      <c r="C2">
        <v>60257850</v>
      </c>
      <c r="D2">
        <v>58999254</v>
      </c>
      <c r="E2">
        <v>1080</v>
      </c>
      <c r="F2">
        <v>1</v>
      </c>
      <c r="G2">
        <v>1080</v>
      </c>
      <c r="H2">
        <v>1</v>
      </c>
      <c r="I2" t="s">
        <v>153</v>
      </c>
      <c r="J2" t="s">
        <v>3</v>
      </c>
      <c r="K2" t="s">
        <v>154</v>
      </c>
      <c r="L2">
        <v>1191</v>
      </c>
      <c r="N2">
        <v>1013</v>
      </c>
      <c r="O2" t="s">
        <v>155</v>
      </c>
      <c r="P2" t="s">
        <v>155</v>
      </c>
      <c r="Q2">
        <v>1</v>
      </c>
      <c r="X2">
        <v>3</v>
      </c>
      <c r="Y2">
        <v>0</v>
      </c>
      <c r="Z2">
        <v>0</v>
      </c>
      <c r="AA2">
        <v>0</v>
      </c>
      <c r="AB2">
        <v>0</v>
      </c>
      <c r="AC2">
        <v>0</v>
      </c>
      <c r="AD2">
        <v>1</v>
      </c>
      <c r="AE2">
        <v>1</v>
      </c>
      <c r="AF2" t="s">
        <v>24</v>
      </c>
      <c r="AG2">
        <v>3.3000000000000003</v>
      </c>
      <c r="AH2">
        <v>2</v>
      </c>
      <c r="AI2">
        <v>60257851</v>
      </c>
      <c r="AJ2">
        <v>2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</row>
    <row r="3" spans="1:44" x14ac:dyDescent="0.2">
      <c r="A3">
        <f>ROW(Source!A32)</f>
        <v>32</v>
      </c>
      <c r="B3">
        <v>60257964</v>
      </c>
      <c r="C3">
        <v>60257854</v>
      </c>
      <c r="D3">
        <v>58999254</v>
      </c>
      <c r="E3">
        <v>1080</v>
      </c>
      <c r="F3">
        <v>1</v>
      </c>
      <c r="G3">
        <v>1080</v>
      </c>
      <c r="H3">
        <v>1</v>
      </c>
      <c r="I3" t="s">
        <v>153</v>
      </c>
      <c r="J3" t="s">
        <v>3</v>
      </c>
      <c r="K3" t="s">
        <v>154</v>
      </c>
      <c r="L3">
        <v>1191</v>
      </c>
      <c r="N3">
        <v>1013</v>
      </c>
      <c r="O3" t="s">
        <v>155</v>
      </c>
      <c r="P3" t="s">
        <v>155</v>
      </c>
      <c r="Q3">
        <v>1</v>
      </c>
      <c r="X3">
        <v>2</v>
      </c>
      <c r="Y3">
        <v>0</v>
      </c>
      <c r="Z3">
        <v>0</v>
      </c>
      <c r="AA3">
        <v>0</v>
      </c>
      <c r="AB3">
        <v>0</v>
      </c>
      <c r="AC3">
        <v>0</v>
      </c>
      <c r="AD3">
        <v>1</v>
      </c>
      <c r="AE3">
        <v>1</v>
      </c>
      <c r="AF3" t="s">
        <v>24</v>
      </c>
      <c r="AG3">
        <v>2.2000000000000002</v>
      </c>
      <c r="AH3">
        <v>2</v>
      </c>
      <c r="AI3">
        <v>60257855</v>
      </c>
      <c r="AJ3">
        <v>3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</row>
    <row r="4" spans="1:44" x14ac:dyDescent="0.2">
      <c r="A4">
        <f>ROW(Source!A33)</f>
        <v>33</v>
      </c>
      <c r="B4">
        <v>60257964</v>
      </c>
      <c r="C4">
        <v>60257854</v>
      </c>
      <c r="D4">
        <v>58999254</v>
      </c>
      <c r="E4">
        <v>1080</v>
      </c>
      <c r="F4">
        <v>1</v>
      </c>
      <c r="G4">
        <v>1080</v>
      </c>
      <c r="H4">
        <v>1</v>
      </c>
      <c r="I4" t="s">
        <v>153</v>
      </c>
      <c r="J4" t="s">
        <v>3</v>
      </c>
      <c r="K4" t="s">
        <v>154</v>
      </c>
      <c r="L4">
        <v>1191</v>
      </c>
      <c r="N4">
        <v>1013</v>
      </c>
      <c r="O4" t="s">
        <v>155</v>
      </c>
      <c r="P4" t="s">
        <v>155</v>
      </c>
      <c r="Q4">
        <v>1</v>
      </c>
      <c r="X4">
        <v>2</v>
      </c>
      <c r="Y4">
        <v>0</v>
      </c>
      <c r="Z4">
        <v>0</v>
      </c>
      <c r="AA4">
        <v>0</v>
      </c>
      <c r="AB4">
        <v>0</v>
      </c>
      <c r="AC4">
        <v>0</v>
      </c>
      <c r="AD4">
        <v>1</v>
      </c>
      <c r="AE4">
        <v>1</v>
      </c>
      <c r="AF4" t="s">
        <v>24</v>
      </c>
      <c r="AG4">
        <v>2.2000000000000002</v>
      </c>
      <c r="AH4">
        <v>2</v>
      </c>
      <c r="AI4">
        <v>60257855</v>
      </c>
      <c r="AJ4">
        <v>4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</row>
    <row r="5" spans="1:44" x14ac:dyDescent="0.2">
      <c r="A5">
        <f>ROW(Source!A71)</f>
        <v>71</v>
      </c>
      <c r="B5">
        <v>61620567</v>
      </c>
      <c r="C5">
        <v>61620566</v>
      </c>
      <c r="D5">
        <v>58999254</v>
      </c>
      <c r="E5">
        <v>1080</v>
      </c>
      <c r="F5">
        <v>1</v>
      </c>
      <c r="G5">
        <v>1080</v>
      </c>
      <c r="H5">
        <v>1</v>
      </c>
      <c r="I5" t="s">
        <v>153</v>
      </c>
      <c r="J5" t="s">
        <v>3</v>
      </c>
      <c r="K5" t="s">
        <v>154</v>
      </c>
      <c r="L5">
        <v>1191</v>
      </c>
      <c r="N5">
        <v>1013</v>
      </c>
      <c r="O5" t="s">
        <v>155</v>
      </c>
      <c r="P5" t="s">
        <v>155</v>
      </c>
      <c r="Q5">
        <v>1</v>
      </c>
      <c r="X5">
        <v>24.76</v>
      </c>
      <c r="Y5">
        <v>0</v>
      </c>
      <c r="Z5">
        <v>0</v>
      </c>
      <c r="AA5">
        <v>0</v>
      </c>
      <c r="AB5">
        <v>0</v>
      </c>
      <c r="AC5">
        <v>0</v>
      </c>
      <c r="AD5">
        <v>1</v>
      </c>
      <c r="AE5">
        <v>1</v>
      </c>
      <c r="AF5" t="s">
        <v>24</v>
      </c>
      <c r="AG5">
        <v>27.236000000000004</v>
      </c>
      <c r="AH5">
        <v>2</v>
      </c>
      <c r="AI5">
        <v>61620567</v>
      </c>
      <c r="AJ5">
        <v>5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</row>
    <row r="6" spans="1:44" x14ac:dyDescent="0.2">
      <c r="A6">
        <f>ROW(Source!A71)</f>
        <v>71</v>
      </c>
      <c r="B6">
        <v>61620568</v>
      </c>
      <c r="C6">
        <v>61620566</v>
      </c>
      <c r="D6">
        <v>59070721</v>
      </c>
      <c r="E6">
        <v>1</v>
      </c>
      <c r="F6">
        <v>1</v>
      </c>
      <c r="G6">
        <v>1080</v>
      </c>
      <c r="H6">
        <v>2</v>
      </c>
      <c r="I6" t="s">
        <v>156</v>
      </c>
      <c r="J6" t="s">
        <v>157</v>
      </c>
      <c r="K6" t="s">
        <v>158</v>
      </c>
      <c r="L6">
        <v>1368</v>
      </c>
      <c r="N6">
        <v>1011</v>
      </c>
      <c r="O6" t="s">
        <v>159</v>
      </c>
      <c r="P6" t="s">
        <v>159</v>
      </c>
      <c r="Q6">
        <v>1</v>
      </c>
      <c r="X6">
        <v>2.44</v>
      </c>
      <c r="Y6">
        <v>0</v>
      </c>
      <c r="Z6">
        <v>0.77</v>
      </c>
      <c r="AA6">
        <v>0</v>
      </c>
      <c r="AB6">
        <v>0</v>
      </c>
      <c r="AC6">
        <v>0</v>
      </c>
      <c r="AD6">
        <v>1</v>
      </c>
      <c r="AE6">
        <v>0</v>
      </c>
      <c r="AF6" t="s">
        <v>24</v>
      </c>
      <c r="AG6">
        <v>2.6840000000000002</v>
      </c>
      <c r="AH6">
        <v>2</v>
      </c>
      <c r="AI6">
        <v>61620568</v>
      </c>
      <c r="AJ6">
        <v>6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</row>
    <row r="7" spans="1:44" x14ac:dyDescent="0.2">
      <c r="A7">
        <f>ROW(Source!A71)</f>
        <v>71</v>
      </c>
      <c r="B7">
        <v>61620569</v>
      </c>
      <c r="C7">
        <v>61620566</v>
      </c>
      <c r="D7">
        <v>59070754</v>
      </c>
      <c r="E7">
        <v>1</v>
      </c>
      <c r="F7">
        <v>1</v>
      </c>
      <c r="G7">
        <v>1080</v>
      </c>
      <c r="H7">
        <v>2</v>
      </c>
      <c r="I7" t="s">
        <v>160</v>
      </c>
      <c r="J7" t="s">
        <v>161</v>
      </c>
      <c r="K7" t="s">
        <v>162</v>
      </c>
      <c r="L7">
        <v>1368</v>
      </c>
      <c r="N7">
        <v>1011</v>
      </c>
      <c r="O7" t="s">
        <v>159</v>
      </c>
      <c r="P7" t="s">
        <v>159</v>
      </c>
      <c r="Q7">
        <v>1</v>
      </c>
      <c r="X7">
        <v>4.63</v>
      </c>
      <c r="Y7">
        <v>0</v>
      </c>
      <c r="Z7">
        <v>0.47</v>
      </c>
      <c r="AA7">
        <v>0</v>
      </c>
      <c r="AB7">
        <v>0</v>
      </c>
      <c r="AC7">
        <v>0</v>
      </c>
      <c r="AD7">
        <v>1</v>
      </c>
      <c r="AE7">
        <v>0</v>
      </c>
      <c r="AF7" t="s">
        <v>24</v>
      </c>
      <c r="AG7">
        <v>5.093</v>
      </c>
      <c r="AH7">
        <v>2</v>
      </c>
      <c r="AI7">
        <v>61620569</v>
      </c>
      <c r="AJ7">
        <v>7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</row>
    <row r="8" spans="1:44" x14ac:dyDescent="0.2">
      <c r="A8">
        <f>ROW(Source!A71)</f>
        <v>71</v>
      </c>
      <c r="B8">
        <v>61620570</v>
      </c>
      <c r="C8">
        <v>61620566</v>
      </c>
      <c r="D8">
        <v>59062734</v>
      </c>
      <c r="E8">
        <v>1</v>
      </c>
      <c r="F8">
        <v>1</v>
      </c>
      <c r="G8">
        <v>1080</v>
      </c>
      <c r="H8">
        <v>3</v>
      </c>
      <c r="I8" t="s">
        <v>163</v>
      </c>
      <c r="J8" t="s">
        <v>164</v>
      </c>
      <c r="K8" t="s">
        <v>165</v>
      </c>
      <c r="L8">
        <v>1356</v>
      </c>
      <c r="N8">
        <v>1010</v>
      </c>
      <c r="O8" t="s">
        <v>166</v>
      </c>
      <c r="P8" t="s">
        <v>166</v>
      </c>
      <c r="Q8">
        <v>1000</v>
      </c>
      <c r="X8">
        <v>3.1E-2</v>
      </c>
      <c r="Y8">
        <v>226.66</v>
      </c>
      <c r="Z8">
        <v>0</v>
      </c>
      <c r="AA8">
        <v>0</v>
      </c>
      <c r="AB8">
        <v>0</v>
      </c>
      <c r="AC8">
        <v>0</v>
      </c>
      <c r="AD8">
        <v>1</v>
      </c>
      <c r="AE8">
        <v>0</v>
      </c>
      <c r="AF8" t="s">
        <v>3</v>
      </c>
      <c r="AG8">
        <v>3.1E-2</v>
      </c>
      <c r="AH8">
        <v>2</v>
      </c>
      <c r="AI8">
        <v>61620570</v>
      </c>
      <c r="AJ8">
        <v>10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</row>
    <row r="9" spans="1:44" x14ac:dyDescent="0.2">
      <c r="A9">
        <f>ROW(Source!A71)</f>
        <v>71</v>
      </c>
      <c r="B9">
        <v>61620571</v>
      </c>
      <c r="C9">
        <v>61620566</v>
      </c>
      <c r="D9">
        <v>59062508</v>
      </c>
      <c r="E9">
        <v>1</v>
      </c>
      <c r="F9">
        <v>1</v>
      </c>
      <c r="G9">
        <v>1080</v>
      </c>
      <c r="H9">
        <v>3</v>
      </c>
      <c r="I9" t="s">
        <v>167</v>
      </c>
      <c r="J9" t="s">
        <v>168</v>
      </c>
      <c r="K9" t="s">
        <v>169</v>
      </c>
      <c r="L9">
        <v>1355</v>
      </c>
      <c r="N9">
        <v>1010</v>
      </c>
      <c r="O9" t="s">
        <v>115</v>
      </c>
      <c r="P9" t="s">
        <v>115</v>
      </c>
      <c r="Q9">
        <v>100</v>
      </c>
      <c r="X9">
        <v>0.315</v>
      </c>
      <c r="Y9">
        <v>26.71</v>
      </c>
      <c r="Z9">
        <v>0</v>
      </c>
      <c r="AA9">
        <v>0</v>
      </c>
      <c r="AB9">
        <v>0</v>
      </c>
      <c r="AC9">
        <v>0</v>
      </c>
      <c r="AD9">
        <v>1</v>
      </c>
      <c r="AE9">
        <v>0</v>
      </c>
      <c r="AF9" t="s">
        <v>3</v>
      </c>
      <c r="AG9">
        <v>0.315</v>
      </c>
      <c r="AH9">
        <v>2</v>
      </c>
      <c r="AI9">
        <v>61620571</v>
      </c>
      <c r="AJ9">
        <v>11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</row>
    <row r="10" spans="1:44" x14ac:dyDescent="0.2">
      <c r="A10">
        <f>ROW(Source!A71)</f>
        <v>71</v>
      </c>
      <c r="B10">
        <v>61620572</v>
      </c>
      <c r="C10">
        <v>61620566</v>
      </c>
      <c r="D10">
        <v>59049364</v>
      </c>
      <c r="E10">
        <v>1</v>
      </c>
      <c r="F10">
        <v>1</v>
      </c>
      <c r="G10">
        <v>1080</v>
      </c>
      <c r="H10">
        <v>3</v>
      </c>
      <c r="I10" t="s">
        <v>170</v>
      </c>
      <c r="J10" t="s">
        <v>171</v>
      </c>
      <c r="K10" t="s">
        <v>172</v>
      </c>
      <c r="L10">
        <v>1354</v>
      </c>
      <c r="N10">
        <v>1010</v>
      </c>
      <c r="O10" t="s">
        <v>45</v>
      </c>
      <c r="P10" t="s">
        <v>45</v>
      </c>
      <c r="Q10">
        <v>1</v>
      </c>
      <c r="X10">
        <v>0.28000000000000003</v>
      </c>
      <c r="Y10">
        <v>14.22</v>
      </c>
      <c r="Z10">
        <v>0</v>
      </c>
      <c r="AA10">
        <v>0</v>
      </c>
      <c r="AB10">
        <v>0</v>
      </c>
      <c r="AC10">
        <v>0</v>
      </c>
      <c r="AD10">
        <v>1</v>
      </c>
      <c r="AE10">
        <v>0</v>
      </c>
      <c r="AF10" t="s">
        <v>3</v>
      </c>
      <c r="AG10">
        <v>0.28000000000000003</v>
      </c>
      <c r="AH10">
        <v>2</v>
      </c>
      <c r="AI10">
        <v>61620572</v>
      </c>
      <c r="AJ10">
        <v>12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</row>
    <row r="11" spans="1:44" x14ac:dyDescent="0.2">
      <c r="A11">
        <f>ROW(Source!A71)</f>
        <v>71</v>
      </c>
      <c r="B11">
        <v>61620573</v>
      </c>
      <c r="C11">
        <v>61620566</v>
      </c>
      <c r="D11">
        <v>59008659</v>
      </c>
      <c r="E11">
        <v>1080</v>
      </c>
      <c r="F11">
        <v>1</v>
      </c>
      <c r="G11">
        <v>1080</v>
      </c>
      <c r="H11">
        <v>3</v>
      </c>
      <c r="I11" t="s">
        <v>186</v>
      </c>
      <c r="J11" t="s">
        <v>3</v>
      </c>
      <c r="K11" t="s">
        <v>187</v>
      </c>
      <c r="L11">
        <v>1301</v>
      </c>
      <c r="N11">
        <v>1003</v>
      </c>
      <c r="O11" t="s">
        <v>110</v>
      </c>
      <c r="P11" t="s">
        <v>110</v>
      </c>
      <c r="Q11">
        <v>1</v>
      </c>
      <c r="X11">
        <v>102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 t="s">
        <v>3</v>
      </c>
      <c r="AG11">
        <v>102</v>
      </c>
      <c r="AH11">
        <v>3</v>
      </c>
      <c r="AI11">
        <v>-1</v>
      </c>
      <c r="AJ11" t="s">
        <v>3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</row>
    <row r="12" spans="1:44" x14ac:dyDescent="0.2">
      <c r="A12">
        <f>ROW(Source!A71)</f>
        <v>71</v>
      </c>
      <c r="B12">
        <v>61620574</v>
      </c>
      <c r="C12">
        <v>61620566</v>
      </c>
      <c r="D12">
        <v>59013737</v>
      </c>
      <c r="E12">
        <v>1080</v>
      </c>
      <c r="F12">
        <v>1</v>
      </c>
      <c r="G12">
        <v>1080</v>
      </c>
      <c r="H12">
        <v>3</v>
      </c>
      <c r="I12" t="s">
        <v>188</v>
      </c>
      <c r="J12" t="s">
        <v>3</v>
      </c>
      <c r="K12" t="s">
        <v>189</v>
      </c>
      <c r="L12">
        <v>1356</v>
      </c>
      <c r="N12">
        <v>1010</v>
      </c>
      <c r="O12" t="s">
        <v>166</v>
      </c>
      <c r="P12" t="s">
        <v>166</v>
      </c>
      <c r="Q12">
        <v>1000</v>
      </c>
      <c r="X12">
        <v>0.23799999999999999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 t="s">
        <v>3</v>
      </c>
      <c r="AG12">
        <v>0.23799999999999999</v>
      </c>
      <c r="AH12">
        <v>3</v>
      </c>
      <c r="AI12">
        <v>-1</v>
      </c>
      <c r="AJ12" t="s">
        <v>3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</row>
    <row r="13" spans="1:44" x14ac:dyDescent="0.2">
      <c r="A13">
        <f>ROW(Source!A71)</f>
        <v>71</v>
      </c>
      <c r="B13">
        <v>61620575</v>
      </c>
      <c r="C13">
        <v>61620566</v>
      </c>
      <c r="D13">
        <v>59019228</v>
      </c>
      <c r="E13">
        <v>1080</v>
      </c>
      <c r="F13">
        <v>1</v>
      </c>
      <c r="G13">
        <v>1080</v>
      </c>
      <c r="H13">
        <v>3</v>
      </c>
      <c r="I13" t="s">
        <v>190</v>
      </c>
      <c r="J13" t="s">
        <v>3</v>
      </c>
      <c r="K13" t="s">
        <v>191</v>
      </c>
      <c r="L13">
        <v>1303</v>
      </c>
      <c r="N13">
        <v>1003</v>
      </c>
      <c r="O13" t="s">
        <v>130</v>
      </c>
      <c r="P13" t="s">
        <v>130</v>
      </c>
      <c r="Q13">
        <v>1000</v>
      </c>
      <c r="X13">
        <v>0.10199999999999999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 t="s">
        <v>3</v>
      </c>
      <c r="AG13">
        <v>0.10199999999999999</v>
      </c>
      <c r="AH13">
        <v>3</v>
      </c>
      <c r="AI13">
        <v>-1</v>
      </c>
      <c r="AJ13" t="s">
        <v>3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</row>
    <row r="14" spans="1:44" x14ac:dyDescent="0.2">
      <c r="A14">
        <f>ROW(Source!A71)</f>
        <v>71</v>
      </c>
      <c r="B14">
        <v>61620576</v>
      </c>
      <c r="C14">
        <v>61620566</v>
      </c>
      <c r="D14">
        <v>59029455</v>
      </c>
      <c r="E14">
        <v>1080</v>
      </c>
      <c r="F14">
        <v>1</v>
      </c>
      <c r="G14">
        <v>1080</v>
      </c>
      <c r="H14">
        <v>3</v>
      </c>
      <c r="I14" t="s">
        <v>192</v>
      </c>
      <c r="J14" t="s">
        <v>3</v>
      </c>
      <c r="K14" t="s">
        <v>193</v>
      </c>
      <c r="L14">
        <v>1355</v>
      </c>
      <c r="N14">
        <v>1010</v>
      </c>
      <c r="O14" t="s">
        <v>115</v>
      </c>
      <c r="P14" t="s">
        <v>115</v>
      </c>
      <c r="Q14">
        <v>100</v>
      </c>
      <c r="X14">
        <v>2.36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 t="s">
        <v>3</v>
      </c>
      <c r="AG14">
        <v>2.36</v>
      </c>
      <c r="AH14">
        <v>3</v>
      </c>
      <c r="AI14">
        <v>-1</v>
      </c>
      <c r="AJ14" t="s">
        <v>3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</row>
    <row r="15" spans="1:44" x14ac:dyDescent="0.2">
      <c r="A15">
        <f>ROW(Source!A72)</f>
        <v>72</v>
      </c>
      <c r="B15">
        <v>61620567</v>
      </c>
      <c r="C15">
        <v>61620566</v>
      </c>
      <c r="D15">
        <v>58999254</v>
      </c>
      <c r="E15">
        <v>1080</v>
      </c>
      <c r="F15">
        <v>1</v>
      </c>
      <c r="G15">
        <v>1080</v>
      </c>
      <c r="H15">
        <v>1</v>
      </c>
      <c r="I15" t="s">
        <v>153</v>
      </c>
      <c r="J15" t="s">
        <v>3</v>
      </c>
      <c r="K15" t="s">
        <v>154</v>
      </c>
      <c r="L15">
        <v>1191</v>
      </c>
      <c r="N15">
        <v>1013</v>
      </c>
      <c r="O15" t="s">
        <v>155</v>
      </c>
      <c r="P15" t="s">
        <v>155</v>
      </c>
      <c r="Q15">
        <v>1</v>
      </c>
      <c r="X15">
        <v>24.76</v>
      </c>
      <c r="Y15">
        <v>0</v>
      </c>
      <c r="Z15">
        <v>0</v>
      </c>
      <c r="AA15">
        <v>0</v>
      </c>
      <c r="AB15">
        <v>0</v>
      </c>
      <c r="AC15">
        <v>0</v>
      </c>
      <c r="AD15">
        <v>1</v>
      </c>
      <c r="AE15">
        <v>1</v>
      </c>
      <c r="AF15" t="s">
        <v>24</v>
      </c>
      <c r="AG15">
        <v>27.236000000000004</v>
      </c>
      <c r="AH15">
        <v>2</v>
      </c>
      <c r="AI15">
        <v>61620567</v>
      </c>
      <c r="AJ15">
        <v>14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</row>
    <row r="16" spans="1:44" x14ac:dyDescent="0.2">
      <c r="A16">
        <f>ROW(Source!A72)</f>
        <v>72</v>
      </c>
      <c r="B16">
        <v>61620568</v>
      </c>
      <c r="C16">
        <v>61620566</v>
      </c>
      <c r="D16">
        <v>59070721</v>
      </c>
      <c r="E16">
        <v>1</v>
      </c>
      <c r="F16">
        <v>1</v>
      </c>
      <c r="G16">
        <v>1080</v>
      </c>
      <c r="H16">
        <v>2</v>
      </c>
      <c r="I16" t="s">
        <v>156</v>
      </c>
      <c r="J16" t="s">
        <v>157</v>
      </c>
      <c r="K16" t="s">
        <v>158</v>
      </c>
      <c r="L16">
        <v>1368</v>
      </c>
      <c r="N16">
        <v>1011</v>
      </c>
      <c r="O16" t="s">
        <v>159</v>
      </c>
      <c r="P16" t="s">
        <v>159</v>
      </c>
      <c r="Q16">
        <v>1</v>
      </c>
      <c r="X16">
        <v>2.44</v>
      </c>
      <c r="Y16">
        <v>0</v>
      </c>
      <c r="Z16">
        <v>0.77</v>
      </c>
      <c r="AA16">
        <v>0</v>
      </c>
      <c r="AB16">
        <v>0</v>
      </c>
      <c r="AC16">
        <v>0</v>
      </c>
      <c r="AD16">
        <v>1</v>
      </c>
      <c r="AE16">
        <v>0</v>
      </c>
      <c r="AF16" t="s">
        <v>24</v>
      </c>
      <c r="AG16">
        <v>2.6840000000000002</v>
      </c>
      <c r="AH16">
        <v>2</v>
      </c>
      <c r="AI16">
        <v>61620568</v>
      </c>
      <c r="AJ16">
        <v>15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</row>
    <row r="17" spans="1:44" x14ac:dyDescent="0.2">
      <c r="A17">
        <f>ROW(Source!A72)</f>
        <v>72</v>
      </c>
      <c r="B17">
        <v>61620569</v>
      </c>
      <c r="C17">
        <v>61620566</v>
      </c>
      <c r="D17">
        <v>59070754</v>
      </c>
      <c r="E17">
        <v>1</v>
      </c>
      <c r="F17">
        <v>1</v>
      </c>
      <c r="G17">
        <v>1080</v>
      </c>
      <c r="H17">
        <v>2</v>
      </c>
      <c r="I17" t="s">
        <v>160</v>
      </c>
      <c r="J17" t="s">
        <v>161</v>
      </c>
      <c r="K17" t="s">
        <v>162</v>
      </c>
      <c r="L17">
        <v>1368</v>
      </c>
      <c r="N17">
        <v>1011</v>
      </c>
      <c r="O17" t="s">
        <v>159</v>
      </c>
      <c r="P17" t="s">
        <v>159</v>
      </c>
      <c r="Q17">
        <v>1</v>
      </c>
      <c r="X17">
        <v>4.63</v>
      </c>
      <c r="Y17">
        <v>0</v>
      </c>
      <c r="Z17">
        <v>0.47</v>
      </c>
      <c r="AA17">
        <v>0</v>
      </c>
      <c r="AB17">
        <v>0</v>
      </c>
      <c r="AC17">
        <v>0</v>
      </c>
      <c r="AD17">
        <v>1</v>
      </c>
      <c r="AE17">
        <v>0</v>
      </c>
      <c r="AF17" t="s">
        <v>24</v>
      </c>
      <c r="AG17">
        <v>5.093</v>
      </c>
      <c r="AH17">
        <v>2</v>
      </c>
      <c r="AI17">
        <v>61620569</v>
      </c>
      <c r="AJ17">
        <v>16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</row>
    <row r="18" spans="1:44" x14ac:dyDescent="0.2">
      <c r="A18">
        <f>ROW(Source!A72)</f>
        <v>72</v>
      </c>
      <c r="B18">
        <v>61620570</v>
      </c>
      <c r="C18">
        <v>61620566</v>
      </c>
      <c r="D18">
        <v>59062734</v>
      </c>
      <c r="E18">
        <v>1</v>
      </c>
      <c r="F18">
        <v>1</v>
      </c>
      <c r="G18">
        <v>1080</v>
      </c>
      <c r="H18">
        <v>3</v>
      </c>
      <c r="I18" t="s">
        <v>163</v>
      </c>
      <c r="J18" t="s">
        <v>164</v>
      </c>
      <c r="K18" t="s">
        <v>165</v>
      </c>
      <c r="L18">
        <v>1356</v>
      </c>
      <c r="N18">
        <v>1010</v>
      </c>
      <c r="O18" t="s">
        <v>166</v>
      </c>
      <c r="P18" t="s">
        <v>166</v>
      </c>
      <c r="Q18">
        <v>1000</v>
      </c>
      <c r="X18">
        <v>3.1E-2</v>
      </c>
      <c r="Y18">
        <v>226.66</v>
      </c>
      <c r="Z18">
        <v>0</v>
      </c>
      <c r="AA18">
        <v>0</v>
      </c>
      <c r="AB18">
        <v>0</v>
      </c>
      <c r="AC18">
        <v>0</v>
      </c>
      <c r="AD18">
        <v>1</v>
      </c>
      <c r="AE18">
        <v>0</v>
      </c>
      <c r="AF18" t="s">
        <v>3</v>
      </c>
      <c r="AG18">
        <v>3.1E-2</v>
      </c>
      <c r="AH18">
        <v>2</v>
      </c>
      <c r="AI18">
        <v>61620570</v>
      </c>
      <c r="AJ18">
        <v>19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</row>
    <row r="19" spans="1:44" x14ac:dyDescent="0.2">
      <c r="A19">
        <f>ROW(Source!A72)</f>
        <v>72</v>
      </c>
      <c r="B19">
        <v>61620571</v>
      </c>
      <c r="C19">
        <v>61620566</v>
      </c>
      <c r="D19">
        <v>59062508</v>
      </c>
      <c r="E19">
        <v>1</v>
      </c>
      <c r="F19">
        <v>1</v>
      </c>
      <c r="G19">
        <v>1080</v>
      </c>
      <c r="H19">
        <v>3</v>
      </c>
      <c r="I19" t="s">
        <v>167</v>
      </c>
      <c r="J19" t="s">
        <v>168</v>
      </c>
      <c r="K19" t="s">
        <v>169</v>
      </c>
      <c r="L19">
        <v>1355</v>
      </c>
      <c r="N19">
        <v>1010</v>
      </c>
      <c r="O19" t="s">
        <v>115</v>
      </c>
      <c r="P19" t="s">
        <v>115</v>
      </c>
      <c r="Q19">
        <v>100</v>
      </c>
      <c r="X19">
        <v>0.315</v>
      </c>
      <c r="Y19">
        <v>26.71</v>
      </c>
      <c r="Z19">
        <v>0</v>
      </c>
      <c r="AA19">
        <v>0</v>
      </c>
      <c r="AB19">
        <v>0</v>
      </c>
      <c r="AC19">
        <v>0</v>
      </c>
      <c r="AD19">
        <v>1</v>
      </c>
      <c r="AE19">
        <v>0</v>
      </c>
      <c r="AF19" t="s">
        <v>3</v>
      </c>
      <c r="AG19">
        <v>0.315</v>
      </c>
      <c r="AH19">
        <v>2</v>
      </c>
      <c r="AI19">
        <v>61620571</v>
      </c>
      <c r="AJ19">
        <v>20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</row>
    <row r="20" spans="1:44" x14ac:dyDescent="0.2">
      <c r="A20">
        <f>ROW(Source!A72)</f>
        <v>72</v>
      </c>
      <c r="B20">
        <v>61620572</v>
      </c>
      <c r="C20">
        <v>61620566</v>
      </c>
      <c r="D20">
        <v>59049364</v>
      </c>
      <c r="E20">
        <v>1</v>
      </c>
      <c r="F20">
        <v>1</v>
      </c>
      <c r="G20">
        <v>1080</v>
      </c>
      <c r="H20">
        <v>3</v>
      </c>
      <c r="I20" t="s">
        <v>170</v>
      </c>
      <c r="J20" t="s">
        <v>171</v>
      </c>
      <c r="K20" t="s">
        <v>172</v>
      </c>
      <c r="L20">
        <v>1354</v>
      </c>
      <c r="N20">
        <v>1010</v>
      </c>
      <c r="O20" t="s">
        <v>45</v>
      </c>
      <c r="P20" t="s">
        <v>45</v>
      </c>
      <c r="Q20">
        <v>1</v>
      </c>
      <c r="X20">
        <v>0.28000000000000003</v>
      </c>
      <c r="Y20">
        <v>14.22</v>
      </c>
      <c r="Z20">
        <v>0</v>
      </c>
      <c r="AA20">
        <v>0</v>
      </c>
      <c r="AB20">
        <v>0</v>
      </c>
      <c r="AC20">
        <v>0</v>
      </c>
      <c r="AD20">
        <v>1</v>
      </c>
      <c r="AE20">
        <v>0</v>
      </c>
      <c r="AF20" t="s">
        <v>3</v>
      </c>
      <c r="AG20">
        <v>0.28000000000000003</v>
      </c>
      <c r="AH20">
        <v>2</v>
      </c>
      <c r="AI20">
        <v>61620572</v>
      </c>
      <c r="AJ20">
        <v>21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</row>
    <row r="21" spans="1:44" x14ac:dyDescent="0.2">
      <c r="A21">
        <f>ROW(Source!A72)</f>
        <v>72</v>
      </c>
      <c r="B21">
        <v>61620573</v>
      </c>
      <c r="C21">
        <v>61620566</v>
      </c>
      <c r="D21">
        <v>59008659</v>
      </c>
      <c r="E21">
        <v>1080</v>
      </c>
      <c r="F21">
        <v>1</v>
      </c>
      <c r="G21">
        <v>1080</v>
      </c>
      <c r="H21">
        <v>3</v>
      </c>
      <c r="I21" t="s">
        <v>186</v>
      </c>
      <c r="J21" t="s">
        <v>3</v>
      </c>
      <c r="K21" t="s">
        <v>187</v>
      </c>
      <c r="L21">
        <v>1301</v>
      </c>
      <c r="N21">
        <v>1003</v>
      </c>
      <c r="O21" t="s">
        <v>110</v>
      </c>
      <c r="P21" t="s">
        <v>110</v>
      </c>
      <c r="Q21">
        <v>1</v>
      </c>
      <c r="X21">
        <v>102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 t="s">
        <v>3</v>
      </c>
      <c r="AG21">
        <v>102</v>
      </c>
      <c r="AH21">
        <v>3</v>
      </c>
      <c r="AI21">
        <v>-1</v>
      </c>
      <c r="AJ21" t="s">
        <v>3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</row>
    <row r="22" spans="1:44" x14ac:dyDescent="0.2">
      <c r="A22">
        <f>ROW(Source!A72)</f>
        <v>72</v>
      </c>
      <c r="B22">
        <v>61620574</v>
      </c>
      <c r="C22">
        <v>61620566</v>
      </c>
      <c r="D22">
        <v>59013737</v>
      </c>
      <c r="E22">
        <v>1080</v>
      </c>
      <c r="F22">
        <v>1</v>
      </c>
      <c r="G22">
        <v>1080</v>
      </c>
      <c r="H22">
        <v>3</v>
      </c>
      <c r="I22" t="s">
        <v>188</v>
      </c>
      <c r="J22" t="s">
        <v>3</v>
      </c>
      <c r="K22" t="s">
        <v>189</v>
      </c>
      <c r="L22">
        <v>1356</v>
      </c>
      <c r="N22">
        <v>1010</v>
      </c>
      <c r="O22" t="s">
        <v>166</v>
      </c>
      <c r="P22" t="s">
        <v>166</v>
      </c>
      <c r="Q22">
        <v>1000</v>
      </c>
      <c r="X22">
        <v>0.23799999999999999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 t="s">
        <v>3</v>
      </c>
      <c r="AG22">
        <v>0.23799999999999999</v>
      </c>
      <c r="AH22">
        <v>3</v>
      </c>
      <c r="AI22">
        <v>-1</v>
      </c>
      <c r="AJ22" t="s">
        <v>3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</row>
    <row r="23" spans="1:44" x14ac:dyDescent="0.2">
      <c r="A23">
        <f>ROW(Source!A72)</f>
        <v>72</v>
      </c>
      <c r="B23">
        <v>61620575</v>
      </c>
      <c r="C23">
        <v>61620566</v>
      </c>
      <c r="D23">
        <v>59019228</v>
      </c>
      <c r="E23">
        <v>1080</v>
      </c>
      <c r="F23">
        <v>1</v>
      </c>
      <c r="G23">
        <v>1080</v>
      </c>
      <c r="H23">
        <v>3</v>
      </c>
      <c r="I23" t="s">
        <v>190</v>
      </c>
      <c r="J23" t="s">
        <v>3</v>
      </c>
      <c r="K23" t="s">
        <v>191</v>
      </c>
      <c r="L23">
        <v>1303</v>
      </c>
      <c r="N23">
        <v>1003</v>
      </c>
      <c r="O23" t="s">
        <v>130</v>
      </c>
      <c r="P23" t="s">
        <v>130</v>
      </c>
      <c r="Q23">
        <v>1000</v>
      </c>
      <c r="X23">
        <v>0.10199999999999999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 t="s">
        <v>3</v>
      </c>
      <c r="AG23">
        <v>0.10199999999999999</v>
      </c>
      <c r="AH23">
        <v>3</v>
      </c>
      <c r="AI23">
        <v>-1</v>
      </c>
      <c r="AJ23" t="s">
        <v>3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</row>
    <row r="24" spans="1:44" x14ac:dyDescent="0.2">
      <c r="A24">
        <f>ROW(Source!A72)</f>
        <v>72</v>
      </c>
      <c r="B24">
        <v>61620576</v>
      </c>
      <c r="C24">
        <v>61620566</v>
      </c>
      <c r="D24">
        <v>59029455</v>
      </c>
      <c r="E24">
        <v>1080</v>
      </c>
      <c r="F24">
        <v>1</v>
      </c>
      <c r="G24">
        <v>1080</v>
      </c>
      <c r="H24">
        <v>3</v>
      </c>
      <c r="I24" t="s">
        <v>192</v>
      </c>
      <c r="J24" t="s">
        <v>3</v>
      </c>
      <c r="K24" t="s">
        <v>193</v>
      </c>
      <c r="L24">
        <v>1355</v>
      </c>
      <c r="N24">
        <v>1010</v>
      </c>
      <c r="O24" t="s">
        <v>115</v>
      </c>
      <c r="P24" t="s">
        <v>115</v>
      </c>
      <c r="Q24">
        <v>100</v>
      </c>
      <c r="X24">
        <v>2.36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 t="s">
        <v>3</v>
      </c>
      <c r="AG24">
        <v>2.36</v>
      </c>
      <c r="AH24">
        <v>3</v>
      </c>
      <c r="AI24">
        <v>-1</v>
      </c>
      <c r="AJ24" t="s">
        <v>3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</row>
    <row r="25" spans="1:44" x14ac:dyDescent="0.2">
      <c r="A25">
        <f>ROW(Source!A79)</f>
        <v>79</v>
      </c>
      <c r="B25">
        <v>61620614</v>
      </c>
      <c r="C25">
        <v>61620608</v>
      </c>
      <c r="D25">
        <v>58999254</v>
      </c>
      <c r="E25">
        <v>1080</v>
      </c>
      <c r="F25">
        <v>1</v>
      </c>
      <c r="G25">
        <v>1080</v>
      </c>
      <c r="H25">
        <v>1</v>
      </c>
      <c r="I25" t="s">
        <v>153</v>
      </c>
      <c r="J25" t="s">
        <v>3</v>
      </c>
      <c r="K25" t="s">
        <v>154</v>
      </c>
      <c r="L25">
        <v>1191</v>
      </c>
      <c r="N25">
        <v>1013</v>
      </c>
      <c r="O25" t="s">
        <v>155</v>
      </c>
      <c r="P25" t="s">
        <v>155</v>
      </c>
      <c r="Q25">
        <v>1</v>
      </c>
      <c r="X25">
        <v>5.29</v>
      </c>
      <c r="Y25">
        <v>0</v>
      </c>
      <c r="Z25">
        <v>0</v>
      </c>
      <c r="AA25">
        <v>0</v>
      </c>
      <c r="AB25">
        <v>0</v>
      </c>
      <c r="AC25">
        <v>0</v>
      </c>
      <c r="AD25">
        <v>1</v>
      </c>
      <c r="AE25">
        <v>1</v>
      </c>
      <c r="AF25" t="s">
        <v>24</v>
      </c>
      <c r="AG25">
        <v>5.8190000000000008</v>
      </c>
      <c r="AH25">
        <v>2</v>
      </c>
      <c r="AI25">
        <v>61620609</v>
      </c>
      <c r="AJ25">
        <v>23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</row>
    <row r="26" spans="1:44" x14ac:dyDescent="0.2">
      <c r="A26">
        <f>ROW(Source!A79)</f>
        <v>79</v>
      </c>
      <c r="B26">
        <v>61620615</v>
      </c>
      <c r="C26">
        <v>61620608</v>
      </c>
      <c r="D26">
        <v>59070669</v>
      </c>
      <c r="E26">
        <v>1</v>
      </c>
      <c r="F26">
        <v>1</v>
      </c>
      <c r="G26">
        <v>1080</v>
      </c>
      <c r="H26">
        <v>2</v>
      </c>
      <c r="I26" t="s">
        <v>173</v>
      </c>
      <c r="J26" t="s">
        <v>174</v>
      </c>
      <c r="K26" t="s">
        <v>175</v>
      </c>
      <c r="L26">
        <v>1368</v>
      </c>
      <c r="N26">
        <v>1011</v>
      </c>
      <c r="O26" t="s">
        <v>159</v>
      </c>
      <c r="P26" t="s">
        <v>159</v>
      </c>
      <c r="Q26">
        <v>1</v>
      </c>
      <c r="X26">
        <v>0.01</v>
      </c>
      <c r="Y26">
        <v>0</v>
      </c>
      <c r="Z26">
        <v>83.1</v>
      </c>
      <c r="AA26">
        <v>12.62</v>
      </c>
      <c r="AB26">
        <v>0</v>
      </c>
      <c r="AC26">
        <v>0</v>
      </c>
      <c r="AD26">
        <v>1</v>
      </c>
      <c r="AE26">
        <v>0</v>
      </c>
      <c r="AF26" t="s">
        <v>24</v>
      </c>
      <c r="AG26">
        <v>1.1000000000000001E-2</v>
      </c>
      <c r="AH26">
        <v>2</v>
      </c>
      <c r="AI26">
        <v>61620610</v>
      </c>
      <c r="AJ26">
        <v>24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</row>
    <row r="27" spans="1:44" x14ac:dyDescent="0.2">
      <c r="A27">
        <f>ROW(Source!A79)</f>
        <v>79</v>
      </c>
      <c r="B27">
        <v>61620616</v>
      </c>
      <c r="C27">
        <v>61620608</v>
      </c>
      <c r="D27">
        <v>59069905</v>
      </c>
      <c r="E27">
        <v>1</v>
      </c>
      <c r="F27">
        <v>1</v>
      </c>
      <c r="G27">
        <v>1080</v>
      </c>
      <c r="H27">
        <v>2</v>
      </c>
      <c r="I27" t="s">
        <v>177</v>
      </c>
      <c r="J27" t="s">
        <v>178</v>
      </c>
      <c r="K27" t="s">
        <v>179</v>
      </c>
      <c r="L27">
        <v>1368</v>
      </c>
      <c r="N27">
        <v>1011</v>
      </c>
      <c r="O27" t="s">
        <v>159</v>
      </c>
      <c r="P27" t="s">
        <v>159</v>
      </c>
      <c r="Q27">
        <v>1</v>
      </c>
      <c r="X27">
        <v>0.01</v>
      </c>
      <c r="Y27">
        <v>0</v>
      </c>
      <c r="Z27">
        <v>179.17</v>
      </c>
      <c r="AA27">
        <v>16.93</v>
      </c>
      <c r="AB27">
        <v>0</v>
      </c>
      <c r="AC27">
        <v>0</v>
      </c>
      <c r="AD27">
        <v>1</v>
      </c>
      <c r="AE27">
        <v>0</v>
      </c>
      <c r="AF27" t="s">
        <v>24</v>
      </c>
      <c r="AG27">
        <v>1.1000000000000001E-2</v>
      </c>
      <c r="AH27">
        <v>2</v>
      </c>
      <c r="AI27">
        <v>61620611</v>
      </c>
      <c r="AJ27">
        <v>25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</row>
    <row r="28" spans="1:44" x14ac:dyDescent="0.2">
      <c r="A28">
        <f>ROW(Source!A79)</f>
        <v>79</v>
      </c>
      <c r="B28">
        <v>61620617</v>
      </c>
      <c r="C28">
        <v>61620608</v>
      </c>
      <c r="D28">
        <v>59062690</v>
      </c>
      <c r="E28">
        <v>1</v>
      </c>
      <c r="F28">
        <v>1</v>
      </c>
      <c r="G28">
        <v>1080</v>
      </c>
      <c r="H28">
        <v>3</v>
      </c>
      <c r="I28" t="s">
        <v>180</v>
      </c>
      <c r="J28" t="s">
        <v>181</v>
      </c>
      <c r="K28" t="s">
        <v>182</v>
      </c>
      <c r="L28">
        <v>1355</v>
      </c>
      <c r="N28">
        <v>1010</v>
      </c>
      <c r="O28" t="s">
        <v>115</v>
      </c>
      <c r="P28" t="s">
        <v>115</v>
      </c>
      <c r="Q28">
        <v>100</v>
      </c>
      <c r="X28">
        <v>2.1093999999999999</v>
      </c>
      <c r="Y28">
        <v>59.47</v>
      </c>
      <c r="Z28">
        <v>0</v>
      </c>
      <c r="AA28">
        <v>0</v>
      </c>
      <c r="AB28">
        <v>0</v>
      </c>
      <c r="AC28">
        <v>0</v>
      </c>
      <c r="AD28">
        <v>1</v>
      </c>
      <c r="AE28">
        <v>0</v>
      </c>
      <c r="AF28" t="s">
        <v>3</v>
      </c>
      <c r="AG28">
        <v>2.1093999999999999</v>
      </c>
      <c r="AH28">
        <v>2</v>
      </c>
      <c r="AI28">
        <v>61620612</v>
      </c>
      <c r="AJ28">
        <v>26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</row>
    <row r="29" spans="1:44" x14ac:dyDescent="0.2">
      <c r="A29">
        <f>ROW(Source!A79)</f>
        <v>79</v>
      </c>
      <c r="B29">
        <v>61620618</v>
      </c>
      <c r="C29">
        <v>61620608</v>
      </c>
      <c r="D29">
        <v>59062735</v>
      </c>
      <c r="E29">
        <v>1</v>
      </c>
      <c r="F29">
        <v>1</v>
      </c>
      <c r="G29">
        <v>1080</v>
      </c>
      <c r="H29">
        <v>3</v>
      </c>
      <c r="I29" t="s">
        <v>183</v>
      </c>
      <c r="J29" t="s">
        <v>184</v>
      </c>
      <c r="K29" t="s">
        <v>185</v>
      </c>
      <c r="L29">
        <v>1356</v>
      </c>
      <c r="N29">
        <v>1010</v>
      </c>
      <c r="O29" t="s">
        <v>166</v>
      </c>
      <c r="P29" t="s">
        <v>166</v>
      </c>
      <c r="Q29">
        <v>1000</v>
      </c>
      <c r="X29">
        <v>6.8999999999999999E-3</v>
      </c>
      <c r="Y29">
        <v>56.16</v>
      </c>
      <c r="Z29">
        <v>0</v>
      </c>
      <c r="AA29">
        <v>0</v>
      </c>
      <c r="AB29">
        <v>0</v>
      </c>
      <c r="AC29">
        <v>0</v>
      </c>
      <c r="AD29">
        <v>1</v>
      </c>
      <c r="AE29">
        <v>0</v>
      </c>
      <c r="AF29" t="s">
        <v>3</v>
      </c>
      <c r="AG29">
        <v>6.8999999999999999E-3</v>
      </c>
      <c r="AH29">
        <v>2</v>
      </c>
      <c r="AI29">
        <v>61620613</v>
      </c>
      <c r="AJ29">
        <v>27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</row>
    <row r="30" spans="1:44" x14ac:dyDescent="0.2">
      <c r="A30">
        <f>ROW(Source!A79)</f>
        <v>79</v>
      </c>
      <c r="B30">
        <v>61620619</v>
      </c>
      <c r="C30">
        <v>61620608</v>
      </c>
      <c r="D30">
        <v>59014711</v>
      </c>
      <c r="E30">
        <v>1080</v>
      </c>
      <c r="F30">
        <v>1</v>
      </c>
      <c r="G30">
        <v>1080</v>
      </c>
      <c r="H30">
        <v>3</v>
      </c>
      <c r="I30" t="s">
        <v>194</v>
      </c>
      <c r="J30" t="s">
        <v>3</v>
      </c>
      <c r="K30" t="s">
        <v>195</v>
      </c>
      <c r="L30">
        <v>1303</v>
      </c>
      <c r="N30">
        <v>1003</v>
      </c>
      <c r="O30" t="s">
        <v>130</v>
      </c>
      <c r="P30" t="s">
        <v>130</v>
      </c>
      <c r="Q30">
        <v>1000</v>
      </c>
      <c r="X30">
        <v>0.10199999999999999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 t="s">
        <v>3</v>
      </c>
      <c r="AG30">
        <v>0.10199999999999999</v>
      </c>
      <c r="AH30">
        <v>3</v>
      </c>
      <c r="AI30">
        <v>-1</v>
      </c>
      <c r="AJ30" t="s">
        <v>3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</row>
    <row r="31" spans="1:44" x14ac:dyDescent="0.2">
      <c r="A31">
        <f>ROW(Source!A80)</f>
        <v>80</v>
      </c>
      <c r="B31">
        <v>61620614</v>
      </c>
      <c r="C31">
        <v>61620608</v>
      </c>
      <c r="D31">
        <v>58999254</v>
      </c>
      <c r="E31">
        <v>1080</v>
      </c>
      <c r="F31">
        <v>1</v>
      </c>
      <c r="G31">
        <v>1080</v>
      </c>
      <c r="H31">
        <v>1</v>
      </c>
      <c r="I31" t="s">
        <v>153</v>
      </c>
      <c r="J31" t="s">
        <v>3</v>
      </c>
      <c r="K31" t="s">
        <v>154</v>
      </c>
      <c r="L31">
        <v>1191</v>
      </c>
      <c r="N31">
        <v>1013</v>
      </c>
      <c r="O31" t="s">
        <v>155</v>
      </c>
      <c r="P31" t="s">
        <v>155</v>
      </c>
      <c r="Q31">
        <v>1</v>
      </c>
      <c r="X31">
        <v>5.29</v>
      </c>
      <c r="Y31">
        <v>0</v>
      </c>
      <c r="Z31">
        <v>0</v>
      </c>
      <c r="AA31">
        <v>0</v>
      </c>
      <c r="AB31">
        <v>0</v>
      </c>
      <c r="AC31">
        <v>0</v>
      </c>
      <c r="AD31">
        <v>1</v>
      </c>
      <c r="AE31">
        <v>1</v>
      </c>
      <c r="AF31" t="s">
        <v>24</v>
      </c>
      <c r="AG31">
        <v>5.8190000000000008</v>
      </c>
      <c r="AH31">
        <v>2</v>
      </c>
      <c r="AI31">
        <v>61620609</v>
      </c>
      <c r="AJ31">
        <v>28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</row>
    <row r="32" spans="1:44" x14ac:dyDescent="0.2">
      <c r="A32">
        <f>ROW(Source!A80)</f>
        <v>80</v>
      </c>
      <c r="B32">
        <v>61620615</v>
      </c>
      <c r="C32">
        <v>61620608</v>
      </c>
      <c r="D32">
        <v>59070669</v>
      </c>
      <c r="E32">
        <v>1</v>
      </c>
      <c r="F32">
        <v>1</v>
      </c>
      <c r="G32">
        <v>1080</v>
      </c>
      <c r="H32">
        <v>2</v>
      </c>
      <c r="I32" t="s">
        <v>173</v>
      </c>
      <c r="J32" t="s">
        <v>174</v>
      </c>
      <c r="K32" t="s">
        <v>175</v>
      </c>
      <c r="L32">
        <v>1368</v>
      </c>
      <c r="N32">
        <v>1011</v>
      </c>
      <c r="O32" t="s">
        <v>159</v>
      </c>
      <c r="P32" t="s">
        <v>159</v>
      </c>
      <c r="Q32">
        <v>1</v>
      </c>
      <c r="X32">
        <v>0.01</v>
      </c>
      <c r="Y32">
        <v>0</v>
      </c>
      <c r="Z32">
        <v>83.1</v>
      </c>
      <c r="AA32">
        <v>12.62</v>
      </c>
      <c r="AB32">
        <v>0</v>
      </c>
      <c r="AC32">
        <v>0</v>
      </c>
      <c r="AD32">
        <v>1</v>
      </c>
      <c r="AE32">
        <v>0</v>
      </c>
      <c r="AF32" t="s">
        <v>24</v>
      </c>
      <c r="AG32">
        <v>1.1000000000000001E-2</v>
      </c>
      <c r="AH32">
        <v>2</v>
      </c>
      <c r="AI32">
        <v>61620610</v>
      </c>
      <c r="AJ32">
        <v>29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</row>
    <row r="33" spans="1:44" x14ac:dyDescent="0.2">
      <c r="A33">
        <f>ROW(Source!A80)</f>
        <v>80</v>
      </c>
      <c r="B33">
        <v>61620616</v>
      </c>
      <c r="C33">
        <v>61620608</v>
      </c>
      <c r="D33">
        <v>59069905</v>
      </c>
      <c r="E33">
        <v>1</v>
      </c>
      <c r="F33">
        <v>1</v>
      </c>
      <c r="G33">
        <v>1080</v>
      </c>
      <c r="H33">
        <v>2</v>
      </c>
      <c r="I33" t="s">
        <v>177</v>
      </c>
      <c r="J33" t="s">
        <v>178</v>
      </c>
      <c r="K33" t="s">
        <v>179</v>
      </c>
      <c r="L33">
        <v>1368</v>
      </c>
      <c r="N33">
        <v>1011</v>
      </c>
      <c r="O33" t="s">
        <v>159</v>
      </c>
      <c r="P33" t="s">
        <v>159</v>
      </c>
      <c r="Q33">
        <v>1</v>
      </c>
      <c r="X33">
        <v>0.01</v>
      </c>
      <c r="Y33">
        <v>0</v>
      </c>
      <c r="Z33">
        <v>179.17</v>
      </c>
      <c r="AA33">
        <v>16.93</v>
      </c>
      <c r="AB33">
        <v>0</v>
      </c>
      <c r="AC33">
        <v>0</v>
      </c>
      <c r="AD33">
        <v>1</v>
      </c>
      <c r="AE33">
        <v>0</v>
      </c>
      <c r="AF33" t="s">
        <v>24</v>
      </c>
      <c r="AG33">
        <v>1.1000000000000001E-2</v>
      </c>
      <c r="AH33">
        <v>2</v>
      </c>
      <c r="AI33">
        <v>61620611</v>
      </c>
      <c r="AJ33">
        <v>30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</row>
    <row r="34" spans="1:44" x14ac:dyDescent="0.2">
      <c r="A34">
        <f>ROW(Source!A80)</f>
        <v>80</v>
      </c>
      <c r="B34">
        <v>61620617</v>
      </c>
      <c r="C34">
        <v>61620608</v>
      </c>
      <c r="D34">
        <v>59062690</v>
      </c>
      <c r="E34">
        <v>1</v>
      </c>
      <c r="F34">
        <v>1</v>
      </c>
      <c r="G34">
        <v>1080</v>
      </c>
      <c r="H34">
        <v>3</v>
      </c>
      <c r="I34" t="s">
        <v>180</v>
      </c>
      <c r="J34" t="s">
        <v>181</v>
      </c>
      <c r="K34" t="s">
        <v>182</v>
      </c>
      <c r="L34">
        <v>1355</v>
      </c>
      <c r="N34">
        <v>1010</v>
      </c>
      <c r="O34" t="s">
        <v>115</v>
      </c>
      <c r="P34" t="s">
        <v>115</v>
      </c>
      <c r="Q34">
        <v>100</v>
      </c>
      <c r="X34">
        <v>2.1093999999999999</v>
      </c>
      <c r="Y34">
        <v>59.47</v>
      </c>
      <c r="Z34">
        <v>0</v>
      </c>
      <c r="AA34">
        <v>0</v>
      </c>
      <c r="AB34">
        <v>0</v>
      </c>
      <c r="AC34">
        <v>0</v>
      </c>
      <c r="AD34">
        <v>1</v>
      </c>
      <c r="AE34">
        <v>0</v>
      </c>
      <c r="AF34" t="s">
        <v>3</v>
      </c>
      <c r="AG34">
        <v>2.1093999999999999</v>
      </c>
      <c r="AH34">
        <v>2</v>
      </c>
      <c r="AI34">
        <v>61620612</v>
      </c>
      <c r="AJ34">
        <v>31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</row>
    <row r="35" spans="1:44" x14ac:dyDescent="0.2">
      <c r="A35">
        <f>ROW(Source!A80)</f>
        <v>80</v>
      </c>
      <c r="B35">
        <v>61620618</v>
      </c>
      <c r="C35">
        <v>61620608</v>
      </c>
      <c r="D35">
        <v>59062735</v>
      </c>
      <c r="E35">
        <v>1</v>
      </c>
      <c r="F35">
        <v>1</v>
      </c>
      <c r="G35">
        <v>1080</v>
      </c>
      <c r="H35">
        <v>3</v>
      </c>
      <c r="I35" t="s">
        <v>183</v>
      </c>
      <c r="J35" t="s">
        <v>184</v>
      </c>
      <c r="K35" t="s">
        <v>185</v>
      </c>
      <c r="L35">
        <v>1356</v>
      </c>
      <c r="N35">
        <v>1010</v>
      </c>
      <c r="O35" t="s">
        <v>166</v>
      </c>
      <c r="P35" t="s">
        <v>166</v>
      </c>
      <c r="Q35">
        <v>1000</v>
      </c>
      <c r="X35">
        <v>6.8999999999999999E-3</v>
      </c>
      <c r="Y35">
        <v>56.16</v>
      </c>
      <c r="Z35">
        <v>0</v>
      </c>
      <c r="AA35">
        <v>0</v>
      </c>
      <c r="AB35">
        <v>0</v>
      </c>
      <c r="AC35">
        <v>0</v>
      </c>
      <c r="AD35">
        <v>1</v>
      </c>
      <c r="AE35">
        <v>0</v>
      </c>
      <c r="AF35" t="s">
        <v>3</v>
      </c>
      <c r="AG35">
        <v>6.8999999999999999E-3</v>
      </c>
      <c r="AH35">
        <v>2</v>
      </c>
      <c r="AI35">
        <v>61620613</v>
      </c>
      <c r="AJ35">
        <v>32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</row>
    <row r="36" spans="1:44" x14ac:dyDescent="0.2">
      <c r="A36">
        <f>ROW(Source!A80)</f>
        <v>80</v>
      </c>
      <c r="B36">
        <v>61620619</v>
      </c>
      <c r="C36">
        <v>61620608</v>
      </c>
      <c r="D36">
        <v>59014711</v>
      </c>
      <c r="E36">
        <v>1080</v>
      </c>
      <c r="F36">
        <v>1</v>
      </c>
      <c r="G36">
        <v>1080</v>
      </c>
      <c r="H36">
        <v>3</v>
      </c>
      <c r="I36" t="s">
        <v>194</v>
      </c>
      <c r="J36" t="s">
        <v>3</v>
      </c>
      <c r="K36" t="s">
        <v>195</v>
      </c>
      <c r="L36">
        <v>1303</v>
      </c>
      <c r="N36">
        <v>1003</v>
      </c>
      <c r="O36" t="s">
        <v>130</v>
      </c>
      <c r="P36" t="s">
        <v>130</v>
      </c>
      <c r="Q36">
        <v>1000</v>
      </c>
      <c r="X36">
        <v>0.10199999999999999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 t="s">
        <v>3</v>
      </c>
      <c r="AG36">
        <v>0.10199999999999999</v>
      </c>
      <c r="AH36">
        <v>3</v>
      </c>
      <c r="AI36">
        <v>-1</v>
      </c>
      <c r="AJ36" t="s">
        <v>3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"/>
  <sheetViews>
    <sheetView workbookViewId="0"/>
  </sheetViews>
  <sheetFormatPr defaultColWidth="9.140625" defaultRowHeight="12.75" x14ac:dyDescent="0.2"/>
  <cols>
    <col min="1" max="256" width="9.140625" customWidth="1"/>
  </cols>
  <sheetData>
    <row r="1" spans="1:21" x14ac:dyDescent="0.2">
      <c r="A1">
        <v>28</v>
      </c>
      <c r="B1">
        <v>1</v>
      </c>
      <c r="C1" t="s">
        <v>3</v>
      </c>
      <c r="D1" t="s">
        <v>23</v>
      </c>
      <c r="E1" t="s">
        <v>24</v>
      </c>
      <c r="F1" t="s">
        <v>24</v>
      </c>
      <c r="G1" t="s">
        <v>24</v>
      </c>
      <c r="H1" t="s">
        <v>3</v>
      </c>
      <c r="I1" t="s">
        <v>24</v>
      </c>
      <c r="J1" t="s">
        <v>24</v>
      </c>
      <c r="K1" t="s">
        <v>3</v>
      </c>
      <c r="L1" t="s">
        <v>3</v>
      </c>
      <c r="M1" t="s">
        <v>3</v>
      </c>
      <c r="N1" t="s">
        <v>23</v>
      </c>
      <c r="O1" t="s">
        <v>24</v>
      </c>
      <c r="P1" t="s">
        <v>3</v>
      </c>
      <c r="Q1" t="s">
        <v>3</v>
      </c>
      <c r="R1" t="s">
        <v>3</v>
      </c>
      <c r="S1" t="s">
        <v>196</v>
      </c>
      <c r="T1" t="s">
        <v>199</v>
      </c>
      <c r="U1" t="s">
        <v>197</v>
      </c>
    </row>
    <row r="2" spans="1:21" x14ac:dyDescent="0.2">
      <c r="A2">
        <v>29</v>
      </c>
      <c r="B2">
        <v>1</v>
      </c>
      <c r="C2" t="s">
        <v>3</v>
      </c>
      <c r="D2" t="s">
        <v>23</v>
      </c>
      <c r="E2" t="s">
        <v>24</v>
      </c>
      <c r="F2" t="s">
        <v>24</v>
      </c>
      <c r="G2" t="s">
        <v>24</v>
      </c>
      <c r="H2" t="s">
        <v>3</v>
      </c>
      <c r="I2" t="s">
        <v>24</v>
      </c>
      <c r="J2" t="s">
        <v>24</v>
      </c>
      <c r="K2" t="s">
        <v>3</v>
      </c>
      <c r="L2" t="s">
        <v>3</v>
      </c>
      <c r="M2" t="s">
        <v>3</v>
      </c>
      <c r="N2" t="s">
        <v>23</v>
      </c>
      <c r="O2" t="s">
        <v>24</v>
      </c>
      <c r="P2" t="s">
        <v>3</v>
      </c>
      <c r="Q2" t="s">
        <v>3</v>
      </c>
      <c r="R2" t="s">
        <v>3</v>
      </c>
      <c r="S2" t="s">
        <v>196</v>
      </c>
      <c r="T2" t="s">
        <v>199</v>
      </c>
      <c r="U2" t="s">
        <v>197</v>
      </c>
    </row>
    <row r="3" spans="1:21" x14ac:dyDescent="0.2">
      <c r="A3">
        <v>32</v>
      </c>
      <c r="B3">
        <v>1</v>
      </c>
      <c r="C3" t="s">
        <v>3</v>
      </c>
      <c r="D3" t="s">
        <v>23</v>
      </c>
      <c r="E3" t="s">
        <v>24</v>
      </c>
      <c r="F3" t="s">
        <v>24</v>
      </c>
      <c r="G3" t="s">
        <v>24</v>
      </c>
      <c r="H3" t="s">
        <v>3</v>
      </c>
      <c r="I3" t="s">
        <v>24</v>
      </c>
      <c r="J3" t="s">
        <v>24</v>
      </c>
      <c r="K3" t="s">
        <v>3</v>
      </c>
      <c r="L3" t="s">
        <v>3</v>
      </c>
      <c r="M3" t="s">
        <v>3</v>
      </c>
      <c r="N3" t="s">
        <v>23</v>
      </c>
      <c r="O3" t="s">
        <v>24</v>
      </c>
      <c r="P3" t="s">
        <v>3</v>
      </c>
      <c r="Q3" t="s">
        <v>3</v>
      </c>
      <c r="R3" t="s">
        <v>3</v>
      </c>
      <c r="S3" t="s">
        <v>196</v>
      </c>
      <c r="T3" t="s">
        <v>199</v>
      </c>
      <c r="U3" t="s">
        <v>197</v>
      </c>
    </row>
    <row r="4" spans="1:21" x14ac:dyDescent="0.2">
      <c r="A4">
        <v>33</v>
      </c>
      <c r="B4">
        <v>1</v>
      </c>
      <c r="C4" t="s">
        <v>3</v>
      </c>
      <c r="D4" t="s">
        <v>23</v>
      </c>
      <c r="E4" t="s">
        <v>24</v>
      </c>
      <c r="F4" t="s">
        <v>24</v>
      </c>
      <c r="G4" t="s">
        <v>24</v>
      </c>
      <c r="H4" t="s">
        <v>3</v>
      </c>
      <c r="I4" t="s">
        <v>24</v>
      </c>
      <c r="J4" t="s">
        <v>24</v>
      </c>
      <c r="K4" t="s">
        <v>3</v>
      </c>
      <c r="L4" t="s">
        <v>3</v>
      </c>
      <c r="M4" t="s">
        <v>3</v>
      </c>
      <c r="N4" t="s">
        <v>23</v>
      </c>
      <c r="O4" t="s">
        <v>24</v>
      </c>
      <c r="P4" t="s">
        <v>3</v>
      </c>
      <c r="Q4" t="s">
        <v>3</v>
      </c>
      <c r="R4" t="s">
        <v>3</v>
      </c>
      <c r="S4" t="s">
        <v>196</v>
      </c>
      <c r="T4" t="s">
        <v>199</v>
      </c>
      <c r="U4" t="s">
        <v>197</v>
      </c>
    </row>
    <row r="5" spans="1:21" x14ac:dyDescent="0.2">
      <c r="A5">
        <v>71</v>
      </c>
      <c r="B5">
        <v>1</v>
      </c>
      <c r="C5" t="s">
        <v>3</v>
      </c>
      <c r="D5" t="s">
        <v>3</v>
      </c>
      <c r="E5" t="s">
        <v>24</v>
      </c>
      <c r="F5" t="s">
        <v>24</v>
      </c>
      <c r="G5" t="s">
        <v>24</v>
      </c>
      <c r="H5" t="s">
        <v>3</v>
      </c>
      <c r="I5" t="s">
        <v>24</v>
      </c>
      <c r="J5" t="s">
        <v>24</v>
      </c>
      <c r="K5" t="s">
        <v>3</v>
      </c>
      <c r="L5" t="s">
        <v>3</v>
      </c>
      <c r="M5" t="s">
        <v>3</v>
      </c>
      <c r="N5" t="s">
        <v>3</v>
      </c>
      <c r="O5" t="s">
        <v>24</v>
      </c>
      <c r="P5" t="s">
        <v>3</v>
      </c>
      <c r="Q5" t="s">
        <v>3</v>
      </c>
      <c r="R5" t="s">
        <v>3</v>
      </c>
      <c r="S5" t="s">
        <v>198</v>
      </c>
      <c r="T5" t="s">
        <v>201</v>
      </c>
      <c r="U5" t="s">
        <v>197</v>
      </c>
    </row>
    <row r="6" spans="1:21" x14ac:dyDescent="0.2">
      <c r="A6">
        <v>72</v>
      </c>
      <c r="B6">
        <v>1</v>
      </c>
      <c r="C6" t="s">
        <v>3</v>
      </c>
      <c r="D6" t="s">
        <v>3</v>
      </c>
      <c r="E6" t="s">
        <v>24</v>
      </c>
      <c r="F6" t="s">
        <v>24</v>
      </c>
      <c r="G6" t="s">
        <v>24</v>
      </c>
      <c r="H6" t="s">
        <v>3</v>
      </c>
      <c r="I6" t="s">
        <v>24</v>
      </c>
      <c r="J6" t="s">
        <v>24</v>
      </c>
      <c r="K6" t="s">
        <v>3</v>
      </c>
      <c r="L6" t="s">
        <v>3</v>
      </c>
      <c r="M6" t="s">
        <v>3</v>
      </c>
      <c r="N6" t="s">
        <v>3</v>
      </c>
      <c r="O6" t="s">
        <v>24</v>
      </c>
      <c r="P6" t="s">
        <v>3</v>
      </c>
      <c r="Q6" t="s">
        <v>3</v>
      </c>
      <c r="R6" t="s">
        <v>3</v>
      </c>
      <c r="S6" t="s">
        <v>198</v>
      </c>
      <c r="T6" t="s">
        <v>201</v>
      </c>
      <c r="U6" t="s">
        <v>197</v>
      </c>
    </row>
    <row r="7" spans="1:21" x14ac:dyDescent="0.2">
      <c r="A7">
        <v>79</v>
      </c>
      <c r="B7">
        <v>1</v>
      </c>
      <c r="C7" t="s">
        <v>3</v>
      </c>
      <c r="D7" t="s">
        <v>3</v>
      </c>
      <c r="E7" t="s">
        <v>24</v>
      </c>
      <c r="F7" t="s">
        <v>24</v>
      </c>
      <c r="G7" t="s">
        <v>24</v>
      </c>
      <c r="H7" t="s">
        <v>3</v>
      </c>
      <c r="I7" t="s">
        <v>24</v>
      </c>
      <c r="J7" t="s">
        <v>24</v>
      </c>
      <c r="K7" t="s">
        <v>3</v>
      </c>
      <c r="L7" t="s">
        <v>3</v>
      </c>
      <c r="M7" t="s">
        <v>3</v>
      </c>
      <c r="N7" t="s">
        <v>3</v>
      </c>
      <c r="O7" t="s">
        <v>24</v>
      </c>
      <c r="P7" t="s">
        <v>3</v>
      </c>
      <c r="Q7" t="s">
        <v>3</v>
      </c>
      <c r="R7" t="s">
        <v>3</v>
      </c>
      <c r="S7" t="s">
        <v>198</v>
      </c>
      <c r="T7" t="s">
        <v>201</v>
      </c>
      <c r="U7" t="s">
        <v>197</v>
      </c>
    </row>
    <row r="8" spans="1:21" x14ac:dyDescent="0.2">
      <c r="A8">
        <v>80</v>
      </c>
      <c r="B8">
        <v>1</v>
      </c>
      <c r="C8" t="s">
        <v>3</v>
      </c>
      <c r="D8" t="s">
        <v>3</v>
      </c>
      <c r="E8" t="s">
        <v>24</v>
      </c>
      <c r="F8" t="s">
        <v>24</v>
      </c>
      <c r="G8" t="s">
        <v>24</v>
      </c>
      <c r="H8" t="s">
        <v>3</v>
      </c>
      <c r="I8" t="s">
        <v>24</v>
      </c>
      <c r="J8" t="s">
        <v>24</v>
      </c>
      <c r="K8" t="s">
        <v>3</v>
      </c>
      <c r="L8" t="s">
        <v>3</v>
      </c>
      <c r="M8" t="s">
        <v>3</v>
      </c>
      <c r="N8" t="s">
        <v>3</v>
      </c>
      <c r="O8" t="s">
        <v>24</v>
      </c>
      <c r="P8" t="s">
        <v>3</v>
      </c>
      <c r="Q8" t="s">
        <v>3</v>
      </c>
      <c r="R8" t="s">
        <v>3</v>
      </c>
      <c r="S8" t="s">
        <v>198</v>
      </c>
      <c r="T8" t="s">
        <v>201</v>
      </c>
      <c r="U8" t="s">
        <v>197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12"/>
  <sheetViews>
    <sheetView workbookViewId="0"/>
  </sheetViews>
  <sheetFormatPr defaultColWidth="9.140625" defaultRowHeight="12.75" x14ac:dyDescent="0.2"/>
  <cols>
    <col min="1" max="256" width="9.140625" customWidth="1"/>
  </cols>
  <sheetData>
    <row r="1" spans="1:103" x14ac:dyDescent="0.2">
      <c r="A1">
        <v>0</v>
      </c>
      <c r="B1" t="s">
        <v>0</v>
      </c>
      <c r="D1" t="s">
        <v>1</v>
      </c>
      <c r="F1">
        <v>0</v>
      </c>
      <c r="G1">
        <v>0</v>
      </c>
      <c r="H1">
        <v>0</v>
      </c>
      <c r="I1" t="s">
        <v>2</v>
      </c>
      <c r="J1" t="s">
        <v>3</v>
      </c>
      <c r="K1">
        <v>1</v>
      </c>
      <c r="L1">
        <v>74563</v>
      </c>
      <c r="M1">
        <v>10</v>
      </c>
      <c r="N1">
        <v>12</v>
      </c>
      <c r="O1">
        <v>1</v>
      </c>
      <c r="P1">
        <v>0</v>
      </c>
      <c r="Q1">
        <v>0</v>
      </c>
    </row>
    <row r="12" spans="1:103" x14ac:dyDescent="0.2">
      <c r="F12" t="str">
        <f>Source!F12</f>
        <v/>
      </c>
      <c r="G12" t="str">
        <f>Source!G12</f>
        <v>02-01-13 Электрочасофикация</v>
      </c>
      <c r="AB12" t="s">
        <v>3</v>
      </c>
      <c r="AC12" t="s">
        <v>3</v>
      </c>
      <c r="AD12" t="s">
        <v>3</v>
      </c>
      <c r="AE12" t="s">
        <v>3</v>
      </c>
      <c r="AF12" t="s">
        <v>3</v>
      </c>
      <c r="AG12" t="s">
        <v>3</v>
      </c>
      <c r="AH12" t="s">
        <v>3</v>
      </c>
      <c r="AI12" t="s">
        <v>3</v>
      </c>
      <c r="AJ12">
        <v>0</v>
      </c>
      <c r="AK12" t="s">
        <v>3</v>
      </c>
      <c r="AL12" t="s">
        <v>3</v>
      </c>
      <c r="AM12" t="s">
        <v>3</v>
      </c>
      <c r="CY12">
        <v>0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8</vt:i4>
      </vt:variant>
      <vt:variant>
        <vt:lpstr>Именованные диапазоны</vt:lpstr>
      </vt:variant>
      <vt:variant>
        <vt:i4>4</vt:i4>
      </vt:variant>
    </vt:vector>
  </HeadingPairs>
  <TitlesOfParts>
    <vt:vector size="12" baseType="lpstr">
      <vt:lpstr>02-01-13</vt:lpstr>
      <vt:lpstr>Ведомость объемов работ</vt:lpstr>
      <vt:lpstr>Source</vt:lpstr>
      <vt:lpstr>SourceObSm</vt:lpstr>
      <vt:lpstr>SmtRes</vt:lpstr>
      <vt:lpstr>EtalonRes</vt:lpstr>
      <vt:lpstr>SrcPoprs</vt:lpstr>
      <vt:lpstr>SrcKA</vt:lpstr>
      <vt:lpstr>'02-01-13'!Заголовки_для_печати</vt:lpstr>
      <vt:lpstr>'Ведомость объемов работ'!Заголовки_для_печати</vt:lpstr>
      <vt:lpstr>'02-01-13'!Область_печати</vt:lpstr>
      <vt:lpstr>'Ведомость объемов работ'!Область_печати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Соколова Ирина Николаевна</cp:lastModifiedBy>
  <dcterms:created xsi:type="dcterms:W3CDTF">2026-04-08T11:32:51Z</dcterms:created>
  <dcterms:modified xsi:type="dcterms:W3CDTF">2026-04-08T11:33:42Z</dcterms:modified>
</cp:coreProperties>
</file>