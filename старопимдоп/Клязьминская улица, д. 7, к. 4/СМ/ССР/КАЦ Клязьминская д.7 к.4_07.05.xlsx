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F19F372F-7EF6-4ABC-A4F7-4CA731CBE90E}" xr6:coauthVersionLast="47" xr6:coauthVersionMax="47" xr10:uidLastSave="{00000000-0000-0000-0000-000000000000}"/>
  <bookViews>
    <workbookView xWindow="-120" yWindow="-120" windowWidth="29040" windowHeight="15840" firstSheet="2" activeTab="3" xr2:uid="{00000000-000D-0000-FFFF-FFFF00000000}"/>
  </bookViews>
  <sheets>
    <sheet name="02-01-01 АР" sheetId="1" r:id="rId1"/>
    <sheet name="02-01-03 ЭОМ" sheetId="2" r:id="rId2"/>
    <sheet name="02-01-04 Водоснаб" sheetId="3" r:id="rId3"/>
    <sheet name="02-01-05 Водоотвед" sheetId="4" r:id="rId4"/>
    <sheet name="02-01-06 Отопление" sheetId="5" r:id="rId5"/>
    <sheet name="02-01-07 Вентиляция КА" sheetId="6" r:id="rId6"/>
    <sheet name="02-01-08 АПС КА" sheetId="7" r:id="rId7"/>
    <sheet name="02-01-09 СОУЭ КА" sheetId="8" r:id="rId8"/>
    <sheet name="02-01-10 РФ" sheetId="9" r:id="rId9"/>
    <sheet name="02-01-11 СКТ КА" sheetId="10" r:id="rId10"/>
    <sheet name="02-01-12 СКС КА" sheetId="11" r:id="rId11"/>
    <sheet name="02-01-13 ЭЧ КА" sheetId="12" r:id="rId12"/>
    <sheet name="02-01-14  СОТ КА" sheetId="13" r:id="rId13"/>
    <sheet name="02-01-15 СКУД" sheetId="14" r:id="rId14"/>
    <sheet name="02-01-16 СОС" sheetId="15" r:id="rId15"/>
    <sheet name="02-01-17 СДС КА" sheetId="16" r:id="rId16"/>
    <sheet name="02-01-18 АДИС" sheetId="17" r:id="rId17"/>
    <sheet name="02-01-19 ВТ" sheetId="18" r:id="rId18"/>
    <sheet name="02-01-20 ПТА" sheetId="19" r:id="rId19"/>
    <sheet name="02-01-22 ОДИ" sheetId="20" r:id="rId20"/>
  </sheets>
  <definedNames>
    <definedName name="Print_Area" localSheetId="2">'02-01-04 Водоснаб'!$A$1:$T$41</definedName>
    <definedName name="Print_Area" localSheetId="3">'02-01-05 Водоотвед'!$A$1:$T$51</definedName>
    <definedName name="Print_Area" localSheetId="4">'02-01-06 Отопление'!$A$1:$T$53</definedName>
    <definedName name="Print_Area" localSheetId="7">'02-01-09 СОУЭ КА'!$A$1:$T$42</definedName>
    <definedName name="Print_Area" localSheetId="13">'02-01-15 СКУД'!$A$1:$T$51</definedName>
    <definedName name="Print_Area" localSheetId="14">'02-01-16 СОС'!$A$1:$T$44</definedName>
    <definedName name="Print_Area" localSheetId="16">'02-01-18 АДИС'!$A$1:$Q$77</definedName>
    <definedName name="_xlnm.Print_Area" localSheetId="1">'02-01-03 ЭОМ'!$A$1:$T$183</definedName>
    <definedName name="_xlnm.Print_Area" localSheetId="8">'02-01-10 РФ'!$A$1:$T$41</definedName>
    <definedName name="_xlnm.Print_Area" localSheetId="11">'02-01-13 ЭЧ КА'!$A$1:$T$25</definedName>
    <definedName name="_xlnm.Print_Area" localSheetId="12">'02-01-14  СОТ КА'!$A$1:$T$44</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 i="13" l="1"/>
  <c r="R21" i="13"/>
  <c r="R18" i="8" l="1"/>
  <c r="K12" i="20" l="1"/>
  <c r="O12" i="20"/>
  <c r="R13" i="20"/>
  <c r="R14" i="20"/>
  <c r="R15" i="20"/>
  <c r="R16" i="20"/>
  <c r="R17" i="20"/>
  <c r="R18" i="20"/>
  <c r="K19" i="20"/>
  <c r="R19" i="20"/>
  <c r="R20" i="20"/>
  <c r="G21" i="20"/>
  <c r="O21" i="20"/>
  <c r="K22" i="20"/>
  <c r="R22" i="20" s="1"/>
  <c r="G23" i="20"/>
  <c r="R23" i="20" s="1"/>
  <c r="O24" i="20"/>
  <c r="R24" i="20" s="1"/>
  <c r="G25" i="20"/>
  <c r="K25" i="20"/>
  <c r="R26" i="20"/>
  <c r="G27" i="20"/>
  <c r="K27" i="20"/>
  <c r="O27" i="20"/>
  <c r="R28" i="20"/>
  <c r="R29" i="20"/>
  <c r="G30" i="20"/>
  <c r="K30" i="20"/>
  <c r="O30" i="20"/>
  <c r="G31" i="20"/>
  <c r="K31" i="20"/>
  <c r="O31" i="20"/>
  <c r="K32" i="20"/>
  <c r="R32" i="20" s="1"/>
  <c r="G33" i="20"/>
  <c r="O33" i="20"/>
  <c r="R34" i="20"/>
  <c r="G35" i="20"/>
  <c r="O35" i="20"/>
  <c r="R30" i="20" l="1"/>
  <c r="R35" i="20"/>
  <c r="R27" i="20"/>
  <c r="R12" i="20"/>
  <c r="R21" i="20"/>
  <c r="R25" i="20"/>
  <c r="R33" i="20"/>
  <c r="R31" i="20"/>
  <c r="B13" i="19"/>
  <c r="C13" i="19" s="1"/>
  <c r="D13" i="19" s="1"/>
  <c r="E13" i="19" s="1"/>
  <c r="S13" i="19"/>
  <c r="T13" i="19" s="1"/>
  <c r="R15" i="19"/>
  <c r="R16" i="19"/>
  <c r="R17" i="19"/>
  <c r="R18" i="19"/>
  <c r="R19" i="19"/>
  <c r="S19" i="19" s="1"/>
  <c r="R20" i="19"/>
  <c r="R12" i="18" l="1"/>
  <c r="O11" i="17" l="1"/>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B16" i="16" l="1"/>
  <c r="C16" i="16" s="1"/>
  <c r="D16" i="16" s="1"/>
  <c r="E16" i="16" s="1"/>
  <c r="O18" i="16"/>
  <c r="O19" i="16"/>
  <c r="O20" i="16"/>
  <c r="O21" i="16"/>
  <c r="O22" i="16"/>
  <c r="O23" i="16"/>
  <c r="O24" i="16"/>
  <c r="O25" i="16"/>
  <c r="O26" i="16"/>
  <c r="O27" i="16"/>
  <c r="O28" i="16"/>
  <c r="O29" i="16"/>
  <c r="R10" i="15" l="1"/>
  <c r="R11" i="15"/>
  <c r="R12" i="15"/>
  <c r="R13" i="15"/>
  <c r="R14" i="15"/>
  <c r="R15" i="15"/>
  <c r="R16" i="15"/>
  <c r="R17" i="15"/>
  <c r="R18" i="15"/>
  <c r="R19" i="15"/>
  <c r="R20" i="15"/>
  <c r="R21" i="15"/>
  <c r="R22" i="15"/>
  <c r="R23" i="15"/>
  <c r="R24" i="15"/>
  <c r="R25" i="15"/>
  <c r="R26" i="15"/>
  <c r="R27" i="15"/>
  <c r="R28" i="15"/>
  <c r="R29" i="15"/>
  <c r="R30" i="15"/>
  <c r="B10" i="14" l="1"/>
  <c r="C10" i="14" s="1"/>
  <c r="D10" i="14" s="1"/>
  <c r="E10" i="14" s="1"/>
  <c r="S10" i="14"/>
  <c r="T10" i="14" s="1"/>
  <c r="R12" i="14"/>
  <c r="R13" i="14"/>
  <c r="R14" i="14"/>
  <c r="R15" i="14"/>
  <c r="R16" i="14"/>
  <c r="R17" i="14"/>
  <c r="R18" i="14"/>
  <c r="R19" i="14"/>
  <c r="R20" i="14"/>
  <c r="R21" i="14"/>
  <c r="R22" i="14"/>
  <c r="R23" i="14"/>
  <c r="R24" i="14"/>
  <c r="R25" i="14"/>
  <c r="R26" i="14"/>
  <c r="R27" i="14"/>
  <c r="R28" i="14"/>
  <c r="R29" i="14"/>
  <c r="R30" i="14"/>
  <c r="R31" i="14"/>
  <c r="R32" i="14"/>
  <c r="R33" i="14"/>
  <c r="R34" i="14"/>
  <c r="R35" i="14"/>
  <c r="R11" i="13" l="1"/>
  <c r="R12" i="13"/>
  <c r="R13" i="13"/>
  <c r="R14" i="13"/>
  <c r="R15" i="13"/>
  <c r="R16" i="13"/>
  <c r="F17" i="13"/>
  <c r="R17" i="13" s="1"/>
  <c r="R18" i="13"/>
  <c r="R19" i="13"/>
  <c r="R20" i="13"/>
  <c r="R22" i="13"/>
  <c r="R23" i="13"/>
  <c r="R24" i="13"/>
  <c r="R25" i="13"/>
  <c r="R26" i="13"/>
  <c r="R27" i="13"/>
  <c r="R28" i="13"/>
  <c r="J29" i="13"/>
  <c r="R29" i="13" s="1"/>
  <c r="R30" i="13"/>
  <c r="R10" i="12" l="1"/>
  <c r="F11" i="12"/>
  <c r="R11" i="12" s="1"/>
  <c r="B16" i="11" l="1"/>
  <c r="C16" i="11" s="1"/>
  <c r="D16" i="11" s="1"/>
  <c r="E16" i="11" s="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B16" i="10" l="1"/>
  <c r="C16" i="10" s="1"/>
  <c r="D16" i="10" s="1"/>
  <c r="E16" i="10" s="1"/>
  <c r="O18" i="10"/>
  <c r="O19" i="10"/>
  <c r="L20" i="10"/>
  <c r="O20" i="10" s="1"/>
  <c r="O21" i="10"/>
  <c r="O22" i="10"/>
  <c r="R10" i="9" l="1"/>
  <c r="R11" i="9"/>
  <c r="R12" i="9"/>
  <c r="R13" i="9"/>
  <c r="F14" i="9"/>
  <c r="J14" i="9"/>
  <c r="N14" i="9"/>
  <c r="R14" i="9"/>
  <c r="F15" i="9"/>
  <c r="J15" i="9"/>
  <c r="N15" i="9"/>
  <c r="F16" i="9"/>
  <c r="J16" i="9"/>
  <c r="N16" i="9"/>
  <c r="F17" i="9"/>
  <c r="J17" i="9"/>
  <c r="F18" i="9"/>
  <c r="J18" i="9"/>
  <c r="N18" i="9"/>
  <c r="R19" i="9"/>
  <c r="F20" i="9"/>
  <c r="N20" i="9"/>
  <c r="F21" i="9"/>
  <c r="N21" i="9"/>
  <c r="R22" i="9"/>
  <c r="R23" i="9"/>
  <c r="R24" i="9"/>
  <c r="R25" i="9"/>
  <c r="R26" i="9"/>
  <c r="R27" i="9"/>
  <c r="R21" i="9" l="1"/>
  <c r="R20" i="9"/>
  <c r="R16" i="9"/>
  <c r="R17" i="9"/>
  <c r="R18" i="9"/>
  <c r="R15" i="9"/>
  <c r="R10" i="8"/>
  <c r="R11" i="8"/>
  <c r="R12" i="8"/>
  <c r="R13" i="8"/>
  <c r="R14" i="8"/>
  <c r="R15" i="8"/>
  <c r="R16" i="8"/>
  <c r="R17" i="8"/>
  <c r="R19" i="8"/>
  <c r="R20" i="8"/>
  <c r="R21" i="8"/>
  <c r="R22" i="8"/>
  <c r="R23" i="8"/>
  <c r="R24" i="8"/>
  <c r="R25" i="8"/>
  <c r="R26" i="8"/>
  <c r="F27" i="8"/>
  <c r="J27" i="8"/>
  <c r="F28" i="8"/>
  <c r="J28" i="8"/>
  <c r="N28" i="8"/>
  <c r="R28" i="8" l="1"/>
  <c r="R27" i="8"/>
  <c r="B16" i="7"/>
  <c r="C16" i="7" s="1"/>
  <c r="D16" i="7" s="1"/>
  <c r="E16" i="7" s="1"/>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7" i="6" l="1"/>
  <c r="O18" i="6"/>
  <c r="O19" i="6"/>
  <c r="O20" i="6"/>
  <c r="O21" i="6"/>
  <c r="O22" i="6"/>
  <c r="O25" i="6"/>
  <c r="O26" i="6"/>
  <c r="O28" i="6"/>
  <c r="O29" i="6"/>
  <c r="O31" i="6"/>
  <c r="O32" i="6"/>
  <c r="O33" i="6"/>
  <c r="O34" i="6"/>
  <c r="O35" i="6"/>
  <c r="O36" i="6"/>
  <c r="O37" i="6"/>
  <c r="O38" i="6"/>
  <c r="O39" i="6"/>
  <c r="O40" i="6"/>
  <c r="O42" i="6"/>
  <c r="O43" i="6"/>
  <c r="O44" i="6"/>
  <c r="O46" i="6"/>
  <c r="O47" i="6"/>
  <c r="O48" i="6"/>
  <c r="O49" i="6"/>
  <c r="O50" i="6"/>
  <c r="O52" i="6"/>
  <c r="O54" i="6"/>
  <c r="O55" i="6"/>
  <c r="O57"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R10" i="5" l="1"/>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B10" i="4" l="1"/>
  <c r="C10" i="4" s="1"/>
  <c r="D10" i="4" s="1"/>
  <c r="E10" i="4" s="1"/>
  <c r="S10" i="4"/>
  <c r="T10" i="4" s="1"/>
  <c r="R12" i="4"/>
  <c r="R13" i="4"/>
  <c r="R14" i="4"/>
  <c r="R15" i="4"/>
  <c r="R16" i="4"/>
  <c r="R17" i="4"/>
  <c r="R18" i="4"/>
  <c r="R19" i="4"/>
  <c r="R20" i="4"/>
  <c r="R21" i="4"/>
  <c r="R22" i="4"/>
  <c r="R23" i="4"/>
  <c r="R24" i="4"/>
  <c r="R25" i="4"/>
  <c r="R26" i="4"/>
  <c r="R27" i="4"/>
  <c r="R28" i="4"/>
  <c r="R29" i="4"/>
  <c r="R30" i="4"/>
  <c r="R31" i="4"/>
  <c r="R32" i="4"/>
  <c r="R33" i="4"/>
  <c r="R34" i="4"/>
  <c r="R35" i="4"/>
  <c r="R36" i="4"/>
  <c r="B10" i="3" l="1"/>
  <c r="C10" i="3" s="1"/>
  <c r="D10" i="3" s="1"/>
  <c r="E10" i="3" s="1"/>
  <c r="S10" i="3"/>
  <c r="T10" i="3" s="1"/>
  <c r="R12" i="3"/>
  <c r="R13" i="3"/>
  <c r="R14" i="3"/>
  <c r="R15" i="3"/>
  <c r="R16" i="3"/>
  <c r="R17" i="3"/>
  <c r="R18" i="3"/>
  <c r="R19" i="3"/>
  <c r="R20" i="3"/>
  <c r="R21" i="3"/>
  <c r="R22" i="3"/>
  <c r="R23" i="3"/>
  <c r="R24" i="3"/>
  <c r="R25" i="3"/>
  <c r="R10" i="2" l="1"/>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F77" i="2"/>
  <c r="J77" i="2"/>
  <c r="F78" i="2"/>
  <c r="J78" i="2"/>
  <c r="N78" i="2"/>
  <c r="F79" i="2"/>
  <c r="J79" i="2"/>
  <c r="N79" i="2"/>
  <c r="F80" i="2"/>
  <c r="J80" i="2"/>
  <c r="N80" i="2"/>
  <c r="J81" i="2"/>
  <c r="N81" i="2"/>
  <c r="J82" i="2"/>
  <c r="N82" i="2"/>
  <c r="F83" i="2"/>
  <c r="J83" i="2"/>
  <c r="N83" i="2"/>
  <c r="F84" i="2"/>
  <c r="J84" i="2"/>
  <c r="N84" i="2"/>
  <c r="N85" i="2"/>
  <c r="R85" i="2" s="1"/>
  <c r="R86" i="2"/>
  <c r="J87" i="2"/>
  <c r="R87" i="2" s="1"/>
  <c r="R88" i="2"/>
  <c r="R89" i="2"/>
  <c r="R90" i="2"/>
  <c r="R91" i="2"/>
  <c r="R92" i="2"/>
  <c r="R93" i="2"/>
  <c r="R94" i="2"/>
  <c r="R95" i="2"/>
  <c r="R96" i="2"/>
  <c r="J97" i="2"/>
  <c r="N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N169" i="2"/>
  <c r="R169" i="2" s="1"/>
  <c r="R170" i="2"/>
  <c r="R81" i="2" l="1"/>
  <c r="R77" i="2"/>
  <c r="R78" i="2"/>
  <c r="R83" i="2"/>
  <c r="R82" i="2"/>
  <c r="R97" i="2"/>
  <c r="R80" i="2"/>
  <c r="R84" i="2"/>
  <c r="R79" i="2"/>
  <c r="R105" i="1"/>
  <c r="R104" i="1"/>
  <c r="O103" i="1" l="1"/>
  <c r="K103" i="1"/>
  <c r="G103" i="1"/>
  <c r="R103" i="1" l="1"/>
  <c r="K102" i="1"/>
  <c r="R102" i="1" s="1"/>
  <c r="K101" i="1"/>
  <c r="R101" i="1" s="1"/>
  <c r="K100" i="1"/>
  <c r="R100" i="1" s="1"/>
  <c r="K99" i="1"/>
  <c r="R99" i="1" s="1"/>
  <c r="K98" i="1"/>
  <c r="R98" i="1" s="1"/>
  <c r="K97" i="1"/>
  <c r="R97" i="1" s="1"/>
  <c r="K96" i="1"/>
  <c r="R96" i="1" s="1"/>
  <c r="K95" i="1"/>
  <c r="R95" i="1" s="1"/>
  <c r="K94" i="1"/>
  <c r="R94" i="1" s="1"/>
  <c r="K93" i="1"/>
  <c r="R93" i="1" s="1"/>
  <c r="K92" i="1"/>
  <c r="R92" i="1" s="1"/>
  <c r="K91" i="1"/>
  <c r="R91" i="1" s="1"/>
  <c r="K90" i="1"/>
  <c r="R90" i="1" s="1"/>
  <c r="K89" i="1"/>
  <c r="R89" i="1" s="1"/>
  <c r="K88" i="1"/>
  <c r="R88" i="1" s="1"/>
  <c r="K87" i="1"/>
  <c r="R87" i="1" s="1"/>
  <c r="K86" i="1"/>
  <c r="R86" i="1" s="1"/>
  <c r="R85" i="1" l="1"/>
  <c r="R84" i="1" l="1"/>
  <c r="R82" i="1" l="1"/>
  <c r="R83" i="1"/>
  <c r="R81" i="1" l="1"/>
  <c r="R38" i="1" l="1"/>
  <c r="R79" i="1" l="1"/>
  <c r="R80" i="1"/>
  <c r="R78" i="1" l="1"/>
  <c r="R77" i="1"/>
  <c r="R76" i="1" l="1"/>
  <c r="R73" i="1"/>
  <c r="R74" i="1"/>
  <c r="R75" i="1"/>
  <c r="R69" i="1" l="1"/>
  <c r="R70" i="1"/>
  <c r="R71" i="1"/>
  <c r="R72" i="1"/>
  <c r="R67" i="1"/>
  <c r="R63" i="1" l="1"/>
  <c r="R64" i="1"/>
  <c r="R65" i="1"/>
  <c r="R66" i="1"/>
  <c r="R61" i="1"/>
  <c r="R62" i="1"/>
  <c r="R68" i="1"/>
  <c r="R58" i="1"/>
  <c r="R59" i="1"/>
  <c r="R60" i="1"/>
  <c r="R56" i="1"/>
  <c r="R57" i="1"/>
  <c r="R16" i="1" l="1"/>
  <c r="R17" i="1"/>
  <c r="R53" i="1" l="1"/>
  <c r="R54" i="1"/>
  <c r="R55" i="1"/>
  <c r="R51" i="1"/>
  <c r="R52" i="1"/>
  <c r="R48" i="1"/>
  <c r="R49" i="1"/>
  <c r="R50" i="1"/>
  <c r="R45" i="1"/>
  <c r="R46" i="1"/>
  <c r="R47" i="1"/>
  <c r="R43" i="1"/>
  <c r="R44" i="1"/>
  <c r="R42" i="1" l="1"/>
  <c r="K41" i="1"/>
  <c r="R41" i="1" s="1"/>
  <c r="R40" i="1"/>
  <c r="R39" i="1"/>
  <c r="R37" i="1"/>
  <c r="R33" i="1" l="1"/>
  <c r="R34" i="1"/>
  <c r="R35" i="1"/>
  <c r="R36" i="1"/>
  <c r="O32" i="1" l="1"/>
  <c r="G32" i="1"/>
  <c r="K32" i="1"/>
  <c r="O31" i="1"/>
  <c r="R32" i="1" l="1"/>
  <c r="R27" i="1"/>
  <c r="R28" i="1"/>
  <c r="R29" i="1"/>
  <c r="R30" i="1"/>
  <c r="R31" i="1"/>
  <c r="R25" i="1" l="1"/>
  <c r="R26" i="1"/>
  <c r="R23" i="1"/>
  <c r="R24" i="1"/>
  <c r="O22" i="1" l="1"/>
  <c r="K22" i="1"/>
  <c r="G22" i="1"/>
  <c r="R18" i="1" l="1"/>
  <c r="R19" i="1"/>
  <c r="R20" i="1"/>
  <c r="R21" i="1"/>
  <c r="R22" i="1"/>
  <c r="R14" i="1"/>
  <c r="R15" i="1"/>
  <c r="R13" i="1" l="1"/>
  <c r="R12" i="1"/>
</calcChain>
</file>

<file path=xl/sharedStrings.xml><?xml version="1.0" encoding="utf-8"?>
<sst xmlns="http://schemas.openxmlformats.org/spreadsheetml/2006/main" count="9362" uniqueCount="3447">
  <si>
    <t>Форма 13</t>
  </si>
  <si>
    <t>№ п/п</t>
  </si>
  <si>
    <t>Код ресурса ( на основе ОКПД 2)</t>
  </si>
  <si>
    <t>Наименование оборудования материалов (тип, марка, модель, артикул и др.)</t>
  </si>
  <si>
    <t>Номер страницы и позиции, содержащие обосновнаие стоимости материалов, изделий, конструкций и оборудования</t>
  </si>
  <si>
    <t>Ед.изм.</t>
  </si>
  <si>
    <t>Поставщик № 1</t>
  </si>
  <si>
    <t>Поставщик № 2</t>
  </si>
  <si>
    <t>Поставщик № 3</t>
  </si>
  <si>
    <t>Наиболее экономичная цена за единицу, руб. см НДС 20 %</t>
  </si>
  <si>
    <t>Цена за единицу рекомендованная застройщиком/ техническим заказчиком, руб., с НДС 20% *</t>
  </si>
  <si>
    <t>Дата цены, принятая в сметной документации как наиболее экономичный вариант</t>
  </si>
  <si>
    <t>Наименование поставщика</t>
  </si>
  <si>
    <t>ИНН</t>
  </si>
  <si>
    <t>Цена за единицу в руб., с НДС 20%</t>
  </si>
  <si>
    <t>шт.</t>
  </si>
  <si>
    <t>"Согласовано"</t>
  </si>
  <si>
    <t>* включается без приложения обосновывающих документов, датируется датой составлениия сметной документации</t>
  </si>
  <si>
    <t>** с учетом абзаца второго п.3.4.10 настоящих указаний</t>
  </si>
  <si>
    <t xml:space="preserve"> </t>
  </si>
  <si>
    <t xml:space="preserve">Заказчик: АНО "РГТ"
</t>
  </si>
  <si>
    <t xml:space="preserve">Заместитель руководителя </t>
  </si>
  <si>
    <t>Е.И. Судиловский</t>
  </si>
  <si>
    <t xml:space="preserve"> Первый заместитель директора-главный инженер ГАУ «МосжилНИИпроект»</t>
  </si>
  <si>
    <t>Наименование организации</t>
  </si>
  <si>
    <t>"Проверено"</t>
  </si>
  <si>
    <t>Сводная таблица результатов конъюнктурного анализа</t>
  </si>
  <si>
    <t xml:space="preserve">Капитальный ремонт здания Государственного бюджетного общеобразовательного учреждения города Москвы «Школа №236» по адресу: г. Москва, ул. Клязьминская д.7, корп.4
</t>
  </si>
  <si>
    <t>02-01-01 Архитектурные решения</t>
  </si>
  <si>
    <t>25.94.12.000</t>
  </si>
  <si>
    <t>Трехрожковый настенный кронштейн для флага</t>
  </si>
  <si>
    <t>ООО «ВС-Групп»</t>
  </si>
  <si>
    <t>ООО «Мегафлаг 2000»</t>
  </si>
  <si>
    <t>ИП Назаров Александр Владимирович</t>
  </si>
  <si>
    <t>22.23.14.110</t>
  </si>
  <si>
    <t>Пеностекло толщ. 150 мм</t>
  </si>
  <si>
    <t>ООО "Областная Керамика"</t>
  </si>
  <si>
    <t>https://obl-ceram.ru/catalog/heat_insulation/foamed_glass/4444/</t>
  </si>
  <si>
    <t>ООО «СОЮЗКОМПЛЕКТАЦИЯ»</t>
  </si>
  <si>
    <t>7723922112</t>
  </si>
  <si>
    <t>https://vlarock.ru/penosteklo/plita-iz-penostekla-izostek-600x450x150-mm/</t>
  </si>
  <si>
    <t>ООО «Химфайер Инжинеринг»</t>
  </si>
  <si>
    <t>2466277570</t>
  </si>
  <si>
    <t>м3</t>
  </si>
  <si>
    <t xml:space="preserve">23.31.10.122 </t>
  </si>
  <si>
    <t>Керамогранит толщиной 20 мм</t>
  </si>
  <si>
    <t>м2</t>
  </si>
  <si>
    <t>ООО "РЕКАДА ЛТД"</t>
  </si>
  <si>
    <t xml:space="preserve">ООО «Промлес» </t>
  </si>
  <si>
    <t>ООО «Много Плитки»</t>
  </si>
  <si>
    <t>32.50.22.129</t>
  </si>
  <si>
    <t>мп</t>
  </si>
  <si>
    <t xml:space="preserve"> ООО «КРАФТВОЛ»</t>
  </si>
  <si>
    <t>ООО «ШварцГрупп»</t>
  </si>
  <si>
    <t>ООО "Алмонт-М"</t>
  </si>
  <si>
    <t>Металлическое ограждения высотой 1200 мм из нержавеющей полированной стали высотой 1200 мм в осях 18-20/К, поручни на высоте 900 и 500 мм с нетравмирующим завершением, заполнение ограждения из вертикальных элементов-стоек с шагом не более 100 мм</t>
  </si>
  <si>
    <t>Ограждение лестницы в подвале высотой 900 мм Поручни на высоте 900 мм: Труба C50х1,5</t>
  </si>
  <si>
    <t>Металлические грязезащитные решетки (Щетка +Резина + Скребок)</t>
  </si>
  <si>
    <t>25.93.13.112</t>
  </si>
  <si>
    <t>25.11.23.119</t>
  </si>
  <si>
    <t>ООО "ТК"Бикра"</t>
  </si>
  <si>
    <t>https://msk.kskstroi.ru/catalog/komplektatsiya-ploskoy-krovli/aerator-krovelnyy-tekhnonikol-160x460-mm/</t>
  </si>
  <si>
    <t>ООО "КСК-М"</t>
  </si>
  <si>
    <t>https://www.tstn.ru/product/aerator-krovelnyy-tekhnonikol-160kh460-mm/?ysclid=llkor5gppx698024383&amp;utm_referrer=https%3A%2F%2Fyandex.ru%2F</t>
  </si>
  <si>
    <t>ООО "УТС Технониколь"</t>
  </si>
  <si>
    <t>Аэратор кровельный Технониколь 160х460 мм</t>
  </si>
  <si>
    <t>43.32.10.160</t>
  </si>
  <si>
    <t>ИП Пропалова Юлия Геннадьевна</t>
  </si>
  <si>
    <t xml:space="preserve">ООО "Крафтер" </t>
  </si>
  <si>
    <t xml:space="preserve">ООО "Аякс"  </t>
  </si>
  <si>
    <t>Трансформируемые глухие перегородки по направляющим профилям в полу и потолке с использованием ограничителей хода с заполнением звукоизоляционными панелями</t>
  </si>
  <si>
    <t xml:space="preserve">22.23.11.000 </t>
  </si>
  <si>
    <t>м.п.</t>
  </si>
  <si>
    <t>Т-образный профиль из нержавеющей стали 2700х9х14 мм</t>
  </si>
  <si>
    <t>ИП Карбивский Владимир Станиславович</t>
  </si>
  <si>
    <t>ИП Смирнова Ирина Мирославовна</t>
  </si>
  <si>
    <t>ИП Геня Иван Ионович</t>
  </si>
  <si>
    <t>Остекленные перегородки из алюминиевого профиля. Заполнение однокамерным стеклопакетом толщиной 50 мм с огнестойким стеклом, противопожарную с пределом огнестойкости не менее EIW30, класс защиты остекления СМ4</t>
  </si>
  <si>
    <t xml:space="preserve">23.19.12.140 </t>
  </si>
  <si>
    <t xml:space="preserve">22.23.12.140 </t>
  </si>
  <si>
    <t>Сантехнические перегородки из HPL</t>
  </si>
  <si>
    <t>ТОО "Завод ГПП"</t>
  </si>
  <si>
    <t>ООО "Евростиль"</t>
  </si>
  <si>
    <t xml:space="preserve">ИП Дахневич Станислав Витальевич  </t>
  </si>
  <si>
    <t>ИП Меликов Триандафил Моисеевич</t>
  </si>
  <si>
    <t>ООО "Алюмснаб"</t>
  </si>
  <si>
    <t>ООО «ГлассПро»</t>
  </si>
  <si>
    <t>ООО «СС ДИЗАЙН»</t>
  </si>
  <si>
    <t xml:space="preserve">ООО "Потолки Армстронг" </t>
  </si>
  <si>
    <t>ООО "Опт-Строй"</t>
  </si>
  <si>
    <t>Декоративные стеновые панели кубообразные 80х80 мм</t>
  </si>
  <si>
    <t xml:space="preserve">22.21.10.130 </t>
  </si>
  <si>
    <t>Пристенный поручень для внутренних лестницы с двойным поручнем на высота 900 и 500 мм</t>
  </si>
  <si>
    <t xml:space="preserve">25.11.23.120 </t>
  </si>
  <si>
    <t xml:space="preserve">23.31.10.121 </t>
  </si>
  <si>
    <t>Роскошная мозаика стеклянная, 29,8х29,8 мм</t>
  </si>
  <si>
    <t>ООО "Декотрейд"</t>
  </si>
  <si>
    <t>ИП Очкина Жаннета Николаевна</t>
  </si>
  <si>
    <t>ООО "ГлавСтройТорг"</t>
  </si>
  <si>
    <t>Плитка керамическая Kerama Marazzi 285х85 мм белый глянцевый</t>
  </si>
  <si>
    <t>ООО «Керамика Сол»</t>
  </si>
  <si>
    <t>ООО "СТД "Петрович"</t>
  </si>
  <si>
    <t>ООО «Отделкино»</t>
  </si>
  <si>
    <t>Плитка керамическая Kerama Marazzi 400 х 1200 мм белый матовый</t>
  </si>
  <si>
    <t>ИП Серебряков Вячеслав Викторович</t>
  </si>
  <si>
    <t>Плитка керамическая Kerama Marazzi 1195х600 серый светлый обрезной</t>
  </si>
  <si>
    <t>ООО "Экоплитка"</t>
  </si>
  <si>
    <t>АО «ГЛАВСНАБ»</t>
  </si>
  <si>
    <t>23.99.19.112</t>
  </si>
  <si>
    <t>Акустические панели подвесные "Ecophon solo", 1100x953х40мм</t>
  </si>
  <si>
    <t>Акустические панели подвесные "Ecophon solo", 1192х1192х40мм</t>
  </si>
  <si>
    <t>ООО "Еникс"</t>
  </si>
  <si>
    <t>ООО «К ЭНД Р КОНСТРАКШН»</t>
  </si>
  <si>
    <t>ООО «АВАНГАРД»</t>
  </si>
  <si>
    <t>ООО "Мир Потолков"</t>
  </si>
  <si>
    <t>ООО "Компания Булар"</t>
  </si>
  <si>
    <t>Кассетный акустический потолок "Ecophon фокус А" по каркасу 1200х600 мм</t>
  </si>
  <si>
    <t>ООО «Алексвит»</t>
  </si>
  <si>
    <t>ООО «Комплектстрой»</t>
  </si>
  <si>
    <t>ООО "Компания Ампира"</t>
  </si>
  <si>
    <t xml:space="preserve">25.72.14.190 </t>
  </si>
  <si>
    <t>ООО "Андлекс"</t>
  </si>
  <si>
    <t>Грильято 50х50 мм (подвесной) "Грильято Албес GL 50-75 Sh"</t>
  </si>
  <si>
    <t>ООО «ПОТОЛОК СНАБ»</t>
  </si>
  <si>
    <t>Дизайн-плитка ПВХ "Forbo Effecta professional", цвет серый, 500х500 мм</t>
  </si>
  <si>
    <t>ООО "ФЭНСИ ФЛОР"</t>
  </si>
  <si>
    <t>ООО "ЛЕ МОНЛИД"</t>
  </si>
  <si>
    <t>2 363,33</t>
  </si>
  <si>
    <t>ООО «Перестройки»</t>
  </si>
  <si>
    <t>https://fancy-floor.ru/catalog/vinilovye-poly/plitka-pvh-forbo/forbo-effekta-professional/plitka-pvkh-forbo-effekta-professional-4043-p-4043-prl-8043-p-white-fine-oak-pro/?ysclid=mhnfhzzuu6160806586</t>
  </si>
  <si>
    <t>https://perestroyki.net/catalog/vinyl_tile/vinil_tile_forbo_8043p/?ysclid=mhne502e8k826740700</t>
  </si>
  <si>
    <t>ИП Нестерова Н. А.</t>
  </si>
  <si>
    <t xml:space="preserve">22.23.15.000 </t>
  </si>
  <si>
    <t>ООО "Форпост"</t>
  </si>
  <si>
    <t>Плинтус керамогранит "Kerama Marazzi", пепельный светлый обрезной 119,5х10,7х11 мм</t>
  </si>
  <si>
    <t xml:space="preserve">23.32.11.130 </t>
  </si>
  <si>
    <t>ИП Коломичев Михаил Николаевич</t>
  </si>
  <si>
    <t>Плинтус керамогранит "Kerama Marazzi", серый светлый натуральный, 60х9,5х9 мм.</t>
  </si>
  <si>
    <t>Профиль для завода покрытия на стену "ТК 25 ППЗ" на 100 мм -двухсоставной коннелюрный профиль</t>
  </si>
  <si>
    <t>м</t>
  </si>
  <si>
    <t xml:space="preserve">22.23.19.190 </t>
  </si>
  <si>
    <t>ООО "АРТ-ТЕХНОЛОГИИ"</t>
  </si>
  <si>
    <t>ООО "ГАРТ"</t>
  </si>
  <si>
    <t>ООО "Алексвит"</t>
  </si>
  <si>
    <t>Плинтус полимерный гибкий ПВХ "Первый профильный завод"</t>
  </si>
  <si>
    <t>ООО «ОСТМАРКЕТ»</t>
  </si>
  <si>
    <t>ООО "ТК ФЛОРДИЛЕР"</t>
  </si>
  <si>
    <t>ООО "Антекс"</t>
  </si>
  <si>
    <t>Плинтус Плинтус вентилируемый "Krast School" из массива дуба под спортивный паркет. (2000х80х22)</t>
  </si>
  <si>
    <t xml:space="preserve">16.23.19.000 </t>
  </si>
  <si>
    <t>ИП Нестерова Надежда Александровна</t>
  </si>
  <si>
    <t xml:space="preserve">ООО "КОМПАНИЯ АДМИРАЛ" </t>
  </si>
  <si>
    <t>ООО "ЦПС Фаворит"</t>
  </si>
  <si>
    <t xml:space="preserve">22.23.14.120 </t>
  </si>
  <si>
    <t>000" АВАНГАРД"</t>
  </si>
  <si>
    <t xml:space="preserve">ООО «Авкон» </t>
  </si>
  <si>
    <t>ООО "НПО Профиль"</t>
  </si>
  <si>
    <t>Окно ПВХ ОК-1, ОК-1/1, ОК-1/2, ОК-1/3, ОК-1/4. Профильная система REHAU 70 Delight. Цвет RAL 7016. Ламинация. Фурнитура ROTO или аналог. Заполнение - двухкамерный стеклопакет (СМ4). Индивидуальное изготовление. Габариты: 2300*2050</t>
  </si>
  <si>
    <t>22.23.14.120</t>
  </si>
  <si>
    <t>Окно ПВХ ОК-3, ОК-4. Профильная система REHAU 70 Delight. Цвет RAL 7016. Ламинация. Фурнитура ROTO или аналог. Заполнение -двухкамерный стеклопакет (СМ4 ). Индивидуальное изготовление. Размеры: 2300*776</t>
  </si>
  <si>
    <t>Окно ПВХ. ОК-5  Профильная система REHAU 70 Delight. Цвет RAL 7016. Ламинация. Фурнитура ROTO или аналог. Заполнение -двухкамерный стеклопакет (СМ4 ). Индивидуальное изготовление. Размеры: 900*2050</t>
  </si>
  <si>
    <t>Окно ПВХ. ОК-3/1 Профильная система REHAU 70 Delight. Цвет RAL 7016. Ламинация. Фурнитура ROTO или аналог. Заполнение - двухкамерный стеклопакет (СМ4 ). Индивидуальное изготовление. Размеры: 2300*776</t>
  </si>
  <si>
    <t>Окно ПВХ. ОК-2/1 Профильная система REHAU 70 Delight. Цвет RAL 7016. Ламинация. Фурнитура ROTO или аналог. Заполнение - двухкамерный стеклопакет (СМ4). Размеры: 2300*2050</t>
  </si>
  <si>
    <t>Окно Е30. ОК-1* Алюминиевый профиль Realit RW71, цвет RAL 7016. Заполнение -огнестойкое стекло. Размеры: 2300*2050</t>
  </si>
  <si>
    <t xml:space="preserve">25.99.29.190 </t>
  </si>
  <si>
    <t>Окно Е30. ОК-3* Алюминиевый профиль Realit RW71, цвет RAL 7016. Заполнение -огнестойкое стекло. Размеры: 2300*776</t>
  </si>
  <si>
    <t xml:space="preserve">23.19.12.150 </t>
  </si>
  <si>
    <t>4.1</t>
  </si>
  <si>
    <t>4.2</t>
  </si>
  <si>
    <t>Ограждение на внутренних лестничных клетках из нержавеющей полированной стали высотой 1200 мм (с двумя поручными): Поручни на высоте 500, 900</t>
  </si>
  <si>
    <t>Ограждение лестницы в проеме окна (высота 1200) Вертикальное заполнение ригелей с шагом 100 мм</t>
  </si>
  <si>
    <t>Вв-12, 13,14 Витраж ЕI30 с дверью. Алюминиевый профиль Realit RF50, окрашенный порошковой краской, цвет RAL 7016. Заполнение -огнестойкое стекло. Индивидуальное изготовление</t>
  </si>
  <si>
    <t>Вв-8, 9, 10, 11, 11.1 Витраж Е130 Перегородка Алюминиевый профиль Realit RF50, окрашенный порошковой краской, цвет RAL 901 О. Заполнение -огнестойкое стекло. Индивидуальное изготовление</t>
  </si>
  <si>
    <t>Вв-6, Вв-7 Витраж EIW30 с дверью. Перегородка Алюминиевый профиль Realit RF50, окрашенный порошковой краской, цвет RAL 7016. Заполнение - огнестойкое стекло. Индивидуальное изготовление</t>
  </si>
  <si>
    <t xml:space="preserve">22.21.30.129 </t>
  </si>
  <si>
    <t>Бронированная пленка</t>
  </si>
  <si>
    <t>Витраж. / ВН-1, ВН-2, ВН-3, ВН-4, ВН-5 Алюминиевый профиль Realit RF50, окрашенный порошковой краской, цвет RAL 7016. Заполнение - Стемалит \ Стеклопакет. (6М1/зак-12-4М1-10-441 И) (СМ4) Индивидуальное изготовление. (без учета квадратуры дверей)</t>
  </si>
  <si>
    <t xml:space="preserve">25.72.14.120 </t>
  </si>
  <si>
    <t>Ручка-поручень, на высоту створки.нержавеющая сталь комплект</t>
  </si>
  <si>
    <t xml:space="preserve">25.12.10.190 </t>
  </si>
  <si>
    <t>Дверной блок с фрамугой Дп.н-1, Дп.н-2, Дп.в-1, Дп.в-2, Дн-3, Дн-3/1 Алюминиевый профиль Realit RW64. Цвет RAL 7016. Заполнение - стеклопакет (СМ4). Стационарный порог. Петли Фурнитура Fapim. Индивидуальное изготовление. Габариты: 1200*2110</t>
  </si>
  <si>
    <t>Дверной блок с фрамугой Дн-5. Алюминиевый профиль Realit RW64. Цвет RAL 7016. Заполнение - стеклопакет (СМ4). Стационарный порог. Петли Фурнитура Fapiш. Индивидуальное изготовление. Габариты: 900*2110</t>
  </si>
  <si>
    <t>Дверной блок Дв-1, Дв-1.1. Алюминиевый профиль Realit RW64. Цвет RAL 7016. Заполнение - стеклопакет (СМ4). Автоматический порог. Петли Фурнитура Fapiш. Индивидуальное изготовление. Габариты: 1200*2100</t>
  </si>
  <si>
    <t>Дверной блок Дв-2, Дв-2.1, Дв-3, Дв-3.1, Дв-4, Дв-4/1 Дверной блок. Алюминиевый профиль Realit RW64, окрашенный порошковой краской, цвет RAL 7016. Заполнение - стеклопакет ( 6М 1 /зак-12-4Мl-10-441И) (СМ4). Автоматичекий порог. Петли Фурнитура Fapim. Размеры: 900*2100</t>
  </si>
  <si>
    <t>Дверной блок. Дв-4.1 Алюминиевый профиль Realit RW64, окрашенный порошковой краской, цвет RAL 7016. Заполнение - стеклопакет (6М1/зак-12-4М1-10-441И) (СМ4). Автоматичекий порог. Петли Фурнитура Fapim. Индивидуальное изготовление. Размеры: 900*2000</t>
  </si>
  <si>
    <t>Дверной блок Дв-5, Дв-5.1 Дверной блок EIWlS. Алюминиевый профиль Realit RW64, окрашенный порошковой краской, цвет RAL 7016. Заполнение - огнестойкое стекло. Автоматичекий порог. Петли Фурнитура Fapim. Размеры: 1200*2110</t>
  </si>
  <si>
    <t>Дверной блок Дв-6, Дв-6.1 EIWЗ0. Алюминиевый профиль Realit RW64, окрашенный порошковой краской, цвет RAL 7016. Заполнение - огнестойкое стекло. Автоматичекий порог. Петли Фурнитура Fapim. Размеры: 900*2110</t>
  </si>
  <si>
    <t>25.12.10.190</t>
  </si>
  <si>
    <t>Дверной блок Двс-8.1, Двс-8. Алюминиевый профиль Realit RW64, окрашенный порошковой краской, цвет RAL 7016. Заполнение - стеклопакет (6М1/зак-12-4М1-10-441И) (СМ4). Автоматичекий порог. Петли Фурнитура Fapim. Индивидуальное изготовление. Размеры: 1000*2110</t>
  </si>
  <si>
    <t>Дверной блок Дв-12 EIWЗ0. Алюминиевый профиль Realit RW64, окрашенный порошковой краской, цвет RAL 7016. Заполнение - огнестойкое стекло. Автоматичекий порог. Петли Фурнитура Fapim. Размеры: 1200*2110</t>
  </si>
  <si>
    <t xml:space="preserve"> Дверной блок Дв-27, Дв-27.1, Дв-28, Дв-29 EIWЗ0. Алюминиевый профиль Realit RW64, окрашенный порошковой краской, цвет RAL 7016. Заполнение - огнестойкое стекло. Автоматичекий порог. Петли Фурнитура Fapim</t>
  </si>
  <si>
    <t>Дверной блок  Дв-30, Дв-35.1 Алюминиевый профиль Realit RW64, окрашенный порошковой краской, цвет RAL 7016. Заполнение - стеклопакет (6М1/зак-12-4М1-10-441И) (СМ4). Автоматичекий порог. Петли Фурнитура Fapim. Размеры: 900*2100</t>
  </si>
  <si>
    <t>Дверной блок Дв-39. Алюминиевый профиль Realit RW64, окрашенный порошковой краской, цвет RAL 7016. Заполнение - стеклопакет (6М1/зак-12- 4Мl-10-441И) (СМ4). Автоматичекий порог. Петли Фурнитура Fapim. Размеры: 1200*2100</t>
  </si>
  <si>
    <t>Дверной блок Дн-4 с фрамугой. Алюминиевый профиль Realit RW64, окрашенный порошковой краской, цвет RAL 7016. Заполнение - стеклопакет (6М1/зак-12-4М1-10-441И).(СМ4) Стационарный порог. Петли Фурнитура Fapim. Размеры: 1500*2110</t>
  </si>
  <si>
    <t>Дверной блок Дв-13, Дв-13.1 с фрамугой. Алюминиевый профиль Realit RW64, окрашенный порошковой краской, цвет RAL 7016. Заполнение - стеклопакет (6М1/зак-12-4МI-10-441И) (СМ4). Автоматичекий порог. Петли Фурнитура Fapim. Размеры: 900*2100</t>
  </si>
  <si>
    <t>ООО «Квалитет 2000»</t>
  </si>
  <si>
    <t>ООО «Эскада Дорс»</t>
  </si>
  <si>
    <t>ООО «Дюгаль»</t>
  </si>
  <si>
    <t>Дверной блок Дв-8, Дв-8.1 Комбинированная, влагостойкая, одностворчатая, распашная. Покрытие композитный ПВХ 1,5 мм. Обвязка полотна: лвл-брус. Торец: гладкий Коробка: телескопическая, наличники ПВХ с двух сторон. Цвет: белый стандартный RAL9010. Фурнитура. Замок: с язычком. Круглая накладка на цилиндр толщиной не менее 9–10 мм. Цвет: матовый никель. Ручка: нажимная раздельная на квадратной розетке, выдерживающая 100 000 циклов открываний. Цвет: матовый никель. Петли: накладные бабочки. Цвет – хром. Замок с цилиндром: ключ/вертушка либо ключ/ключ. Доводчик: накладной типа DL Smart, выдерживающий 100 000 циклов открываний. Ширина видимого профиля 75 мм. 900х2100</t>
  </si>
  <si>
    <t>Дверной блок Дв-9, Дв-9.1 Комбинированная, влагостойкая, одностворчатая, распашная. Покрытие композитный ПВХ 1,5 мм. Обвязка полотна: лвл-брус. Торец: гладкий Коробка: телескопическая, наличники ПВХ с двух сторон. Цвет: белый стандартный RAL9010. Фурнитура. Замок: с язычком. Круглая накладка на цилиндр толщиной не менее 9–10 мм. Цвет: матовый никель. Ручка: нажимная раздельная на квадратной розетке, выдерживающая 100 000 циклов открываний. Цвет: матовый никель. Петли: накладные бабочки. Цвет – хром. Замок с цилиндром: ключ/вертушка либо ключ/ключ. Доводчик: накладной типа DL Smart, выдерживающий 100 000 циклов открываний. Ширина видимого профиля 75 мм. 800х2100</t>
  </si>
  <si>
    <t>Дверной блок Дв-10, Дв-10.1 Комбинированная, влагостойкая, одностворчатая, распашная. Покрытие композитный ПВХ 1,5 мм. Обвязка полотна: лвл-брус. Торец: гладкий Коробка: телескопическая, наличники ПВХ с двух сторон. Цвет: белый стандартный RAL9010. Фурнитура. Замок: с язычком. Круглая накладка на цилиндр толщиной не менее 9–10 мм. Цвет: матовый никель. Ручка: нажимная раздельная на квадратной розетке, выдерживающая 100 000 циклов открываний. Цвет: матовый никель. Петли: накладные бабочки. Цвет – хром. Замок с цилиндром: ключ/вертушка либо ключ/ключ. Доводчик: накладной типа DL Smart, выдерживающий 100 000 циклов открываний. Ширина видимого профиля 75 мм. 900х2100</t>
  </si>
  <si>
    <t>Дверной блок Дв-36, Дв-36.1 Комбинированная, влагостойкая, одностворчатая, распашная. Покрытие композитный ПВХ 1,5 мм. Обвязка полотна: лвл-брус. Торец: гладкий Коробка: телескопическая, наличники ПВХ с двух сторон. Цвет: белый стандартный RAL9010. Фурнитура. Замок: с язычком. Круглая накладка на цилиндр толщиной не менее 9–10 мм. Цвет: матовый никель. Ручка: нажимная раздельная на квадратной розетке, выдерживающая 100 000 циклов открываний. Цвет: матовый никель. Петли: накладные бабочки. Цвет – хром. Замок с цилиндром: ключ/вертушка либо ключ/ключ. Доводчик: накладной типа DL Smart, выдерживающий 100 000 циклов открываний. Ширина видимого профиля 75 мм. 900х2100</t>
  </si>
  <si>
    <t>Керамическая плитка Kerama Marazzi Монфорте белый матовый обрезной 14010R</t>
  </si>
  <si>
    <t>ООО «Элит Групп»</t>
  </si>
  <si>
    <t>Подоконники деревянные, совмещенные с защитными экранами радиаторов отопления: подоконник толщиной 24мм, материал фанера березовая с покрытием огнестойким лаком КМ1; фасад экрана толщиной 12мм, материал МДФ с противопожарной обработкой КМ1 с 2-х сторон и окрашенный с 2-х сторон</t>
  </si>
  <si>
    <t>ООО «ОЛИМП»</t>
  </si>
  <si>
    <t>ООО "Медстальконструкция"</t>
  </si>
  <si>
    <t>0277046598.</t>
  </si>
  <si>
    <t>000 “ЮНИСТАЙЛ“</t>
  </si>
  <si>
    <t>02-01-01  АР  КА, КП, скрины, л.37</t>
  </si>
  <si>
    <t>02-01-01  АР  КА, КП, скрины, л.38</t>
  </si>
  <si>
    <t>02-01-01  АР  КА, КП, скрины, л.39</t>
  </si>
  <si>
    <t>02-01-01  АР  КА, КП, скрины, л.6,7,9</t>
  </si>
  <si>
    <t>02-01-01  АР  КА, КП, скрины, л.6,8,10</t>
  </si>
  <si>
    <t>02-01-01  АР  КА, КП, скрины, л.6,8,9</t>
  </si>
  <si>
    <t>02-01-01  АР  КА, КП, скрины, л.5,7,9</t>
  </si>
  <si>
    <t>02-01-01  АР  КА, КП, скрины, л.40</t>
  </si>
  <si>
    <t>02-01-01  АР  КА, КП, скрины, л.41, 42</t>
  </si>
  <si>
    <t>02-01-01  АР  КА, КП, скрины, л.43</t>
  </si>
  <si>
    <t>02-01-01  АР  КА, КП, скрины, л.44</t>
  </si>
  <si>
    <t>02-01-01  АР  КА, КП, скрины, л.45</t>
  </si>
  <si>
    <t>02-01-01  АР  КА, КП, скрины, л.46</t>
  </si>
  <si>
    <t>02-01-01  АР  КА, КП, скрины, л.47</t>
  </si>
  <si>
    <t>02-01-01  АР  КА, КП, скрины, л.48</t>
  </si>
  <si>
    <t>02-01-01  АР  КА, КП, скрины, л.49</t>
  </si>
  <si>
    <t>02-01-01  АР  КА, КП, скрины, л.50</t>
  </si>
  <si>
    <t>02-01-01  АР  КА, КП, скрины, л.51</t>
  </si>
  <si>
    <t>02-01-01  АР  КА, КП, скрины, л.52</t>
  </si>
  <si>
    <t>02-01-01  АР  КА, КП, скрины, л.53</t>
  </si>
  <si>
    <t>02-01-01  АР  КА, КП, скрины, л.54</t>
  </si>
  <si>
    <t>02-01-01  АР  КА, КП, скрины, л.55</t>
  </si>
  <si>
    <t>02-01-01  АР  КА, КП, скрины, л.56</t>
  </si>
  <si>
    <t>02-01-01  АР  КА, КП, скрины, л.57</t>
  </si>
  <si>
    <t>02-01-01  АР  КА, КП, скрины, л.58</t>
  </si>
  <si>
    <t>02-01-01  АР  КА, КП, скрины, л.59</t>
  </si>
  <si>
    <t>02-01-01  АР  КА, КП, скрины, л.60</t>
  </si>
  <si>
    <t>02-01-01  АР  КА, КП, скрины, л.61</t>
  </si>
  <si>
    <t>02-01-01  АР  КА, КП, скрины, л.62</t>
  </si>
  <si>
    <t>02-01-01  АР  КА, КП, скрины, л.63</t>
  </si>
  <si>
    <t>02-01-01  АР  КА, КП, скрины, л.11, 19, 24</t>
  </si>
  <si>
    <t>02-01-01  АР  КА, КП, скрины, л.12, 20,24</t>
  </si>
  <si>
    <t>02-01-01  АР  КА, КП, скрины, л.12, 19,24</t>
  </si>
  <si>
    <t>02-01-01  АР  КА, КП, скрины, л.12, 19, 24</t>
  </si>
  <si>
    <t>02-01-01  АР  КА, КП, скрины, л.16,17,22, 27</t>
  </si>
  <si>
    <t>02-01-01  АР  КА, КП, скрины, л.17,22, 27</t>
  </si>
  <si>
    <t>02-01-01  АР  КА, КП, скрины, л.17,22,23, 27</t>
  </si>
  <si>
    <t>02-01-01  АР  КА, КП, скрины, л.18,23, 27</t>
  </si>
  <si>
    <t>02-01-01  АР  КА, КП, скрины, л.12,13,20,25</t>
  </si>
  <si>
    <t>02-01-01  АР  КА, КП, скрины, л.13,20,25</t>
  </si>
  <si>
    <t>02-01-01  АР  КА, КП, скрины, л.14,20,21,25,26</t>
  </si>
  <si>
    <t>02-01-01  АР  КА, КП, скрины, л.14,21,26</t>
  </si>
  <si>
    <t>02-01-01  АР  КА, КП, скрины, л.14,15,21,26</t>
  </si>
  <si>
    <t>02-01-01  АР  КА, КП, скрины, л.15,21,26</t>
  </si>
  <si>
    <t>02-01-01  АР  КА, КП, скрины, л.16,22,26</t>
  </si>
  <si>
    <t>02-01-01  АР  КА, КП, скрины, л.16,22,27</t>
  </si>
  <si>
    <t>02-01-01  АР  КА, КП, скрины, л.29,31,32</t>
  </si>
  <si>
    <t>02-01-01  АР  КА, КП, скрины, л.34,35,36</t>
  </si>
  <si>
    <r>
      <t xml:space="preserve">                                                                                                                          </t>
    </r>
    <r>
      <rPr>
        <sz val="14"/>
        <color rgb="FF000000"/>
        <rFont val="Times New Roman"/>
        <family val="1"/>
        <charset val="204"/>
      </rPr>
      <t xml:space="preserve">
</t>
    </r>
  </si>
  <si>
    <t xml:space="preserve">    К.Н. Сухов</t>
  </si>
  <si>
    <t>22.19.73.116</t>
  </si>
  <si>
    <t xml:space="preserve">ООО «БОБР-ПАРКЕТ»
</t>
  </si>
  <si>
    <t>https://www.bobr.ru/catalog/goods/rezinovyy_amortizator_ssa/?r1=yandext&amp;r2=&amp;utm_referrer=https%3A%2F%2Fyandex.ru%2Fproducts%2Fsearch%3Ftext%3D%25D0%25BA%25D0%25B0%25D1%2583%25D1%2587%25D1%2583%25D0%25BA%25D0%25BE%25D0%25B2%25D1%258B%25D0%25B5%2520%25D0%25BF%25D1%2580%25D0%25BE%25D1%2584%25D0%25B5%25D1%2581%25D1%2581%25D0%25B8%25D0%25BE%25D0%25BD%25D0%25B0%25D0%25BB%25D1%258C%25D0%25BD%25D1%258B%25D0%25B5%2520%25D0%25B0%25D0%25BC%25D0%25BE%25D1%2580%25D1%2582%25D0%25B8%25D0%25B7%25D0%25B0%25D1%2582%25D0%25BE%25D1%2580%25D1%258B%2520%2520%25D0%25BF%25D0%25BE%25D0%25B4%2520%25D1%2581%25D0%25BF%25D0%25BE%25D1%2580%25D1%2582%25D0%25B8%25D0%25B2%25D0%25BD%25D1%258B%25D0%25B9%2520%25D0%25BF%25D0%25B0%25D1%2580%25D0%25BA%25D0%25B5%25D1%2582%252019%2520%25D0%25BC%25D0%25BC%25202%2520%25D1%2581%25D0%25BB%25D0%25BE%25D1%258F</t>
  </si>
  <si>
    <t>ООО "Грассава"</t>
  </si>
  <si>
    <t>https://grassawa.ru/rezinovye-amortizatory-dlya-sportivnogo-parketa?utm_referrer=https%3A%2F%2Fyandex.ru%2Fproducts%2Fsearch%3Ftext%3D%25D0%25BA%25D0%25B0%25D1%2583%25D1%2587%25D1%2583%25D0%25BA%25D0%25BE%25D0%25B2%25D1%258B%25D0%25B5%2520%25D0%25BF%25D1%2580%25D0%25BE%25D1%2584%25D0%25B5%25D1%2581%25D1%2581%25D0%25B8%25D0%25BE%25D0%25BD%25D0%25B0%25D0%25BB%25D1%258C%25D0%25BD%25D1%258B%25D0%25B5%2520%25D0%25B0%25D0%25BC%25D0%25BE%25D1%2580%25D1%2582%25D0%25B8%25D0%25B7%25D0%25B0%25D1%2582%25D0%25BE%25D1%2580%25D1%258B%2520%2520%25D0%25BF%25D0%25BE%25D0%25B4%2520%25D1%2581%25D0%25BF%25D0%25BE%25D1%2580%25D1%2582%25D0%25B8%25D0%25B2%25D0%25BD%25D1%258B%25D0%25B9%2520%25D0%25BF%25D0%25B0%25D1%2580%25D0%25BA%25D0%25B5%25D1%2582%252019%2520%25D0%25BC%25D0%25BC%25202%2520%25D1%2581%25D0%25BB%25D0%25BE%25D1%258F</t>
  </si>
  <si>
    <t>ООО «СЛП»</t>
  </si>
  <si>
    <t>02-01-01  АР  КА, КП, скрины, л.64</t>
  </si>
  <si>
    <t>Каучуковые профессиональные амортизаторы 19 мм (17 шт/м2 в один слой)</t>
  </si>
  <si>
    <t>02-01-01  АР  КА, КП, скрины, л.65</t>
  </si>
  <si>
    <t>02-01-01  АР  КА, КП, скрины, л.66</t>
  </si>
  <si>
    <t>Ступень Kerama Marazzi Про Лаймстоун DD205320R\GR Светло Серый Натуральный 30x60</t>
  </si>
  <si>
    <t>Подступенок Kerama Marazzi Про Лаймстоун DD205320R\2 Светло Серый Натуральный 14,5x6</t>
  </si>
  <si>
    <t>ИП Хафизова Елена Юрьевна</t>
  </si>
  <si>
    <t>ООО "Керамика Сол"</t>
  </si>
  <si>
    <t>Дизайн-плитка "ПВХ Forbo Effecta professional", светлая серо-бежевая, 1000х200 мм, арт. 8043</t>
  </si>
  <si>
    <t>ИП Родименков Дмитрий Юрьевич</t>
  </si>
  <si>
    <t>ИП Новолокин Новолокин Иван Игорьевич</t>
  </si>
  <si>
    <t>24. 1</t>
  </si>
  <si>
    <t>Линолеум гетерогенный коммерческий "Forbo Smaragd lux" (класс износостойкости 34/43) арт. 6361</t>
  </si>
  <si>
    <t>02-01-01  АР  КА, КП, скрины, л.57.1</t>
  </si>
  <si>
    <t>Линолеум гетерогенный коммерческий "Forbo Smaragd lux" (класс износостойкости 34/43) арт. 6376HL</t>
  </si>
  <si>
    <t>02-01-01  АР  КА, КП, скрины, л.67</t>
  </si>
  <si>
    <t>13.93.19.120</t>
  </si>
  <si>
    <t>Текстильное напольное флокированное покрытие Forbo Flotex в планказ арт 151001</t>
  </si>
  <si>
    <t>ООО "СМАРТ КАПИТАЛ"</t>
  </si>
  <si>
    <t>https://snabimport.ru/product/kovrovaya_plitka_forbo_flotex_planks_wood_151001_149288.html?ysclid=mh98kb6tpy462294170</t>
  </si>
  <si>
    <t>ООО «КРД-СТРОЙ»</t>
  </si>
  <si>
    <t>https://krd-stroy.ru/catalog/flokirovannoe_kovrovoe_pokrytie_flotex/flotex_v_plankakh/9496/?ysclid=mh98w1yuga60290933</t>
  </si>
  <si>
    <t>02-01-01  АР  КА, КП, скрины, л.68</t>
  </si>
  <si>
    <t>Рольставни металлические 700х1272 мм</t>
  </si>
  <si>
    <t>ООО «Автопроезд»</t>
  </si>
  <si>
    <t>ООО «Вектор Техносервис»</t>
  </si>
  <si>
    <t>ООО «РоллДоор»</t>
  </si>
  <si>
    <t>02-01-01  АР  КА, КП, скрины, л.69</t>
  </si>
  <si>
    <t>Спортивный паркет KRAST SCHOOL</t>
  </si>
  <si>
    <t xml:space="preserve">32.30.15.299 </t>
  </si>
  <si>
    <t>ООО «Краст»</t>
  </si>
  <si>
    <t>ООО "Баумхаус"</t>
  </si>
  <si>
    <t>02-01-01  АР  КА, КП, скрины, л.70</t>
  </si>
  <si>
    <t>Адресный указатель</t>
  </si>
  <si>
    <t xml:space="preserve">ООО "Новатор" </t>
  </si>
  <si>
    <t>ИП Величко Нина Юрьевна</t>
  </si>
  <si>
    <t xml:space="preserve">ИП Кузнецов А. А. </t>
  </si>
  <si>
    <t xml:space="preserve">Окно Е30. ОК-1/1* Оконный блок из ПВХ профиля армированного (толщина профиля не менее 70мм) Цвет профиля: Антрацит крашенный в массе или ламинация с двух сторон. Цвет RAL 7016 (антрацит гладкий). Стеклопакет толщиной 40мм: двухкамерный. Наружное стекло закаленное. Внутреннее стекло-класс защиты СМ1. Низкоэмиссионное покрытие нутреннего стекла. Фурнитура цвета R013 Титан. Ручка оконная с полимерным покрытием RAL 7016. Противовзломные штапики, подставочный профиль. Ширина дистанционных рамок не менее 12мм. Оборудовать окна замками безопасности флажкового типа. Открывание: поворотное/поворотно-откидное. Коэффициент сопротивления теплопередаче не менее 0,61 мС/Вm. Коэффициент звукоизоляции- 35 дБа., Размеры: 2300*2050
</t>
  </si>
  <si>
    <t xml:space="preserve">Окно ЕЗО. ОК-1/4* Оконный блок из ПВХ профиля армированного (толщина профиля не менее 70мм) Цвет профиля: Антрацит крашенный в массе или ламинация с двух сторон. Цвет RAL 7016 (антрацит гладкий). Стеклопакет толщиной 40мм: двухкамерный. Наружное стекло закаленное. Внутреннее стекло-класс защиты СМ1. Низкоэмиссионное покрытие внутреннего стекла. Фурнитура цвета R013 Титан. Ручка оконная с полимерным покрытием RAL 7016. Противовзломные штапики, подставочный профиль. Ширина дистанционных рамок не менее 12мм. Оборудовать окна замками безопасности флажкового типа. Открывание: откидное. Коэффициент сопротивления теплопередаче не менее 0,61 мС/Вm. Коэффициент звукоизоляции- 35 дБа. Е30. Размеры: 2400*400
</t>
  </si>
  <si>
    <t xml:space="preserve">25.94.11.190 </t>
  </si>
  <si>
    <t>25.94.11.190</t>
  </si>
  <si>
    <t>ООО ПК "СИТИ-М ГРУПП"</t>
  </si>
  <si>
    <t>ООО «ВИНТЭЛ»  </t>
  </si>
  <si>
    <t>Зонт на св. каркасе 5800х1630</t>
  </si>
  <si>
    <t>Зонт на св. каркасе 10415х1070</t>
  </si>
  <si>
    <t>Зонт на св. каркасе 1200х1500</t>
  </si>
  <si>
    <t>Зонт на св. каркасе 1880х1050</t>
  </si>
  <si>
    <t>Зонт на св. каркасе 4550х1620</t>
  </si>
  <si>
    <t>Зонт на св. каркасе 2140х925</t>
  </si>
  <si>
    <t>Зонт на св. каркасе 2025х935</t>
  </si>
  <si>
    <t>Зонт на св. каркасе 6120х745</t>
  </si>
  <si>
    <t>Зонт на св. каркасе 6520х740</t>
  </si>
  <si>
    <t>Зонт на св. каркасе 6230х745</t>
  </si>
  <si>
    <t>Зонт на св. каркасе 6 560х740</t>
  </si>
  <si>
    <t>Зонт на св. каркасе 2210х840</t>
  </si>
  <si>
    <t>Зонт на св. каркасе 6530х855</t>
  </si>
  <si>
    <t>Зонт на св. каркасе 2435х945</t>
  </si>
  <si>
    <t>Зонт на св. каркасе 6235х745</t>
  </si>
  <si>
    <t>Зонт на св. каркасе 6512х740</t>
  </si>
  <si>
    <t>02-01-01  АР  КА, КП, скрины, л.72-75</t>
  </si>
  <si>
    <t>ООО "Вентиляционный завод СИГНУМ"</t>
  </si>
  <si>
    <t xml:space="preserve">16.21.12.111 </t>
  </si>
  <si>
    <t>Фанера трудногорючая толщина 15 мм</t>
  </si>
  <si>
    <t>ООО "ПРОФСТОР"</t>
  </si>
  <si>
    <t>ООО «Волга-Дон»</t>
  </si>
  <si>
    <t xml:space="preserve">28.99.39.190 </t>
  </si>
  <si>
    <t>ООО "Арсенал Сити"</t>
  </si>
  <si>
    <t>02-01-01  АР  КА, КП, скрины, л.77</t>
  </si>
  <si>
    <t>ИП Нефедов Михаил Иванович</t>
  </si>
  <si>
    <t>ООО «РусВент МСК»</t>
  </si>
  <si>
    <t>Люк кровельный противопожарный 1200х900</t>
  </si>
  <si>
    <t xml:space="preserve">23.63.10.000 </t>
  </si>
  <si>
    <t>ООО "Развитие-инвест"</t>
  </si>
  <si>
    <t>Особо легкий керазитобетон по ГОСТ 25820-2021 марки по плотности D300 класса прочности на сжатие B1.5</t>
  </si>
  <si>
    <t>ООО "Метпромэнерго"</t>
  </si>
  <si>
    <t>ООО "АРИС"</t>
  </si>
  <si>
    <t>02-01-01  АР  КА, КП, скрины, л.76</t>
  </si>
  <si>
    <t>02-01-01  АР  КА, КП, скрины, л.78, 79, 80</t>
  </si>
  <si>
    <t xml:space="preserve"> К.Н. Сухов</t>
  </si>
  <si>
    <t>Первый заместитель директора-                                                                       главный инженер ГАУ «МосжилНИИпроект»</t>
  </si>
  <si>
    <t>https://www.vseinstrumenti.ru/product/vertikalnyj-zazemlitel-iz-ugolka-dkc-50x50x5mm-l-3000mm-ne5503-1156908/?utm_source=yandex&amp;utm_medium=cpc&amp;utm_campaign=119160180%7Cfokb2b_dsa_na_na_na_rf_all-category&amp;utm_content=1872277718298226164&amp;utm_term=ST:search%7CS:yandex.ru%7CAP:no%7CPT:dynamic_places%7CP:1%7CDT:desktop%7CRI:213%7CCI:119160180%7CGI:5561242335%7CPI:205561242335%7CAI:1872277718298226164%7CRT:205561242335%7CKW:---autotargeting%7CRN:Москва&amp;etext=&amp;yclid=9789469401242140671</t>
  </si>
  <si>
    <t>7722753969</t>
  </si>
  <si>
    <t>ООО «ВсеИнструменты.ру»</t>
  </si>
  <si>
    <t>https://www.chipdip.ru/product/zazemlitel-vert-iz-ugolka-50x50x5mm-3m-dkc-ne5503-8000840788?ysclid=mlqqd3x49270168615</t>
  </si>
  <si>
    <t>7729108750</t>
  </si>
  <si>
    <t>АО "ЧИП и ДИП"</t>
  </si>
  <si>
    <t>https://www.etm.ru/cat/nn/3317968</t>
  </si>
  <si>
    <t>7842224734</t>
  </si>
  <si>
    <t>АО «ТД Электротехмонтаж»</t>
  </si>
  <si>
    <t>Вертикальный заземлитель из уголка 50х50х5 мм, длина 3000 мм, горячеоцинкованный, с пластиной для подключения полосы NE5503R</t>
  </si>
  <si>
    <t>27.12.10.120</t>
  </si>
  <si>
    <t>https://www.etm.ru/cat/nn/2608201</t>
  </si>
  <si>
    <t>https://svetelektro.net/lightning-protection-and-grounding/nc100855-dkc.html</t>
  </si>
  <si>
    <t>7723685084</t>
  </si>
  <si>
    <t>ООО "СветЭлектро"</t>
  </si>
  <si>
    <t>https://www.chipdip.ru/product/nc100855-prutok-8-mm-goryacheotsink-stal-dkc-kratno-55-8018091913?utm_source=direct&amp;utm_medium=cpc&amp;utm_campaign=Y_brand_dkc&amp;utm_content=Tovary&amp;utm_term=---autotargeting&amp;etext=&amp;yclid=14846741323969986559&amp;ybaip=1</t>
  </si>
  <si>
    <t>бухта</t>
  </si>
  <si>
    <t>Пруток, горячеоцинкованный, 8 мм, бухта 55 метров NC100855</t>
  </si>
  <si>
    <t>24.43.23.110</t>
  </si>
  <si>
    <t>https://volt-market.com/catalog/molniezashchita-i-zazemlenie/ustroystva-molniezashchity/polosa-stalnaya-goryacheotsinkovannaya-40kh4-mm-v-bukhtakh/?utm_referrer=https%3A%2F%2Fyandex.ru%2F</t>
  </si>
  <si>
    <t>5609179963</t>
  </si>
  <si>
    <t>ООО «Вольтмаркет»</t>
  </si>
  <si>
    <t>https://www.tinko.ru/catalog/product/308656/?ysclid=mlqps4c4ol24109358</t>
  </si>
  <si>
    <t>7702680818</t>
  </si>
  <si>
    <t>ООО «ТД ТИНКО»</t>
  </si>
  <si>
    <t>https://www.elcn.ru/catalog/product/78409/?ysclid=mlqpw6ntr2711063238</t>
  </si>
  <si>
    <t>5021009934</t>
  </si>
  <si>
    <t>ООО «Элекон»</t>
  </si>
  <si>
    <t>упак.</t>
  </si>
  <si>
    <t>Полоса горячеоцинкованная 40х4 мм NC2404 , бухта 30 м</t>
  </si>
  <si>
    <t>27.12.10.190</t>
  </si>
  <si>
    <t>https://rs24.ru/product/2328920?utm_referrer=https%3A%2F%2Fyandex.ru%2F</t>
  </si>
  <si>
    <t>7704844420</t>
  </si>
  <si>
    <t>ООО «Русский Свет»</t>
  </si>
  <si>
    <t>https://ips-energo.ru/catalog/molniezashchita/soediniteli/zazhim_pruta_universalnyy.html?ysclid=mi2tm5mhn1694814730</t>
  </si>
  <si>
    <t>7802535518</t>
  </si>
  <si>
    <t>ООО "ИПС-ЭНЕРГО"</t>
  </si>
  <si>
    <t>https://moscow.petrovich.ru/product/1002216/?utm_referrer=https%3a%2f%2fyandex.ru%2f</t>
  </si>
  <si>
    <t>7802348846</t>
  </si>
  <si>
    <t>ООО «СТД «Петрович»</t>
  </si>
  <si>
    <t>Зажим прута</t>
  </si>
  <si>
    <t>27.33.13.120</t>
  </si>
  <si>
    <t>https://ms-gp.ru/catalog/molniezashhita/derzhateli-macht-i-molniepriyomnikov/trenoga-dlya-molniepriyomnoj-machty-(bez-osnovanij),oczink./?ysclid=mi2taezjxn922515883</t>
  </si>
  <si>
    <t>9715301274</t>
  </si>
  <si>
    <t>ООО ТК «МС ГРУПП»</t>
  </si>
  <si>
    <t>https://licht220.ru/catalog/derzhateli_macht_i_molniepriyemnikov_szim/SZIM_CL023/?ysclid=mi2t7xgqm435012572</t>
  </si>
  <si>
    <t>7725276753</t>
  </si>
  <si>
    <t>ООО "ЛИХТ 220"</t>
  </si>
  <si>
    <t>https://szim.ru/catalog/molniezashchita/komplektuyushchie_dlya_molnieotvodov/137925/?ysclid=mi2t3ot2ro513800126</t>
  </si>
  <si>
    <t>7714881036</t>
  </si>
  <si>
    <t>ООО "АРГО"</t>
  </si>
  <si>
    <t>Металлическая подставка</t>
  </si>
  <si>
    <t>25.11.22.190</t>
  </si>
  <si>
    <t>https://www.vseinstrumenti.ru/product/molniepriemnyj-sterzhen-protectpro-4-0m-al-inox-1004-12040523/?utm_campaign=webmaster&amp;utm_content=12040523&amp;utm_medium=organic&amp;utm_source=Yandex&amp;utm_term=12040523&amp;utm_referrer=https://yandex.ru/</t>
  </si>
  <si>
    <t>https://www.meratest.ru/produktsiya/telekommunikacionnoe_oborudovanie_i_sredstva_svyazi/instrumenty_dlya_obsluzhivaniya_telekommunikacionnogo_oborudovaniya/product/nordwerk_stma_16_10_4000_molniepriemnik_vysotoj_4_0_metra_almgsi_d_16_10_l_3000_1000/</t>
  </si>
  <si>
    <t>5029244062</t>
  </si>
  <si>
    <t>ООО «ИЦ «МЕРАТЕСТ»</t>
  </si>
  <si>
    <t>https://steel-pro.ru/catalog/molniezashchita_i_zazemlenie/molniepriemniki/molniepriemnik_alyuminievyy_4_m/?r1=yandext&amp;r2=&amp;ysclid=mi2te9vh2707907356</t>
  </si>
  <si>
    <t>7715777616</t>
  </si>
  <si>
    <t>ООО "Сталь про"</t>
  </si>
  <si>
    <t>Молниеприемный стержень 4,0 м</t>
  </si>
  <si>
    <t>22.21.10.120</t>
  </si>
  <si>
    <t>https://www.elektrolight.ru/elektroustanovochnye-izdeliya/korobki/korobka-uravnivaniya-potentsialov-100kh100kh50-kup2604/?ysclid=mi2sgmykpt273633354</t>
  </si>
  <si>
    <t>5050098030</t>
  </si>
  <si>
    <t>ООО "Электролайт"</t>
  </si>
  <si>
    <t>https://www.electro-mpo.ru/catalog/molniezashchita_zazemlenie_ogranichiteli_perenaprya/e10_korobki_i_shkafy_s_gzsh_korobki_uravnivaniya_p/e1059-korobka-uravnivaniya-potentsialov-100kh100kh/?ysclid=mi2sgia84c904131088</t>
  </si>
  <si>
    <t>7719079370</t>
  </si>
  <si>
    <t>ЗАО "МПО Электромонтаж"</t>
  </si>
  <si>
    <t>https://stoking.ru/products/korobka-uravnivaniya-potencialov-kup-dlya-otkrytoy-ustanovki-promrukav-100h100h50?utm_source=yandex_direct&amp;utm_medium=cpc&amp;utm_campaign=Stoking_10_kategorij_Feed_Search_OrderCRM%7C702386702&amp;utm_content=gid%7C5625750575%7Caid%7C1883641832398040661&amp;utm_term=---autotargeting%7C205625750575%7Cret%7C205625750575%7Csearch%7Cnone&amp;etext=2202.R6793awhkvmBrRZ4FMTsQBw2zhGrK2EBc3Mvf2RrcId1bX1fpHTxajhDht0QnlBYFVj6GLXrlBayH7gRxrQ5L5hG0lomEAtpe3415ZAaj-nfPoaD1YtKXamvC2ff_USMSLLWsf0I6xGV4AzGslULGmNucXBoeWJ6dG9tcGd6bHA.930ba3de6f473a24d73ab7257f98fc015177c4f4&amp;yclid=13756732327043006463&amp;ybaip=1</t>
  </si>
  <si>
    <t>5904993922</t>
  </si>
  <si>
    <t>ООО «Стокинг»</t>
  </si>
  <si>
    <t>Коробка уравнивания потенциалов (КУП1 (100х10х50), 7 зажимов IP54</t>
  </si>
  <si>
    <t>27.12.3.000</t>
  </si>
  <si>
    <t>https://bazaprorab.ru/catalog/stroitelnye_i_otdelochnye_materialy/metalloprokat/truba_vgp/184356/?ysclid=mi2rpkmm1e102708101</t>
  </si>
  <si>
    <t>480202017954</t>
  </si>
  <si>
    <t>ИП Бодакин Евгений Сергеевич</t>
  </si>
  <si>
    <t>https://sortmet.ru/catalog/trubnyy-prokat/cat-elektrosvarnye-truby/kruglye-elektrosvarnye-truby/truba-elektrosvarnaya-76h2-8-st-3-6-m/?ysclid=mi2rn22zq4855502196&amp;utm_referrer=https%3A%2F%2Fyandex.ru%2F</t>
  </si>
  <si>
    <t>ООО «Группа Компаний «СОРТМЕТ»</t>
  </si>
  <si>
    <t>https://ms-gp.ru/catalog/truba-kruglaya/truba-elektrosvarnaya/76x2.8/?ysclid=mi3605vwre309343778</t>
  </si>
  <si>
    <t>пм</t>
  </si>
  <si>
    <t>Труба ВГП  оцинкованная 76х2,8</t>
  </si>
  <si>
    <t>24.20.13.160</t>
  </si>
  <si>
    <t>https://rusargo.com/catalog/molniezashchita/derzhateli_polosy/14677/?ysclid=mhytt1qzrc817888773</t>
  </si>
  <si>
    <t>https://steel-pro.ru/catalog/molniezashchita_i_zazemlenie/derzhateli_provodnika_universalnye/derzhatel_dlya_polosy_40kh4_skoba_otsink_stal/?ysclid=mhytsy7u5b361041259</t>
  </si>
  <si>
    <t>ООО «Сталь-Про»</t>
  </si>
  <si>
    <t>https://licht220.ru/catalog/derzhateli_polosy_szim/SZIM_SH133/?ysclid=mhytsupms8875424509</t>
  </si>
  <si>
    <t>ООО "Лихт 220"</t>
  </si>
  <si>
    <t>Скоба-держатель полосы 40х4, оцинк. cталь SH133</t>
  </si>
  <si>
    <t>https://incom-elektro.ru/p-soedinitel-peremyckaopora-288din-obo-5320712/?ysclid=mhytnk7vrr693920952</t>
  </si>
  <si>
    <t>3301034390</t>
  </si>
  <si>
    <t>ООО "ИНКОМ-ЭЛЕКТРО+"</t>
  </si>
  <si>
    <t>https://e-kc.ru/cena/soedinitel-peremychkaopora-288din-obo-5320712-bettermann?ysclid=mhytnisee4682881397</t>
  </si>
  <si>
    <t>7721801761</t>
  </si>
  <si>
    <t>ООО "ЭКС"</t>
  </si>
  <si>
    <t>https://pek24.ru/k_soedinitel_peremychka_opora_288_din_obo_5320712/</t>
  </si>
  <si>
    <t>7733285649</t>
  </si>
  <si>
    <t>ООО «ПромЭлектроКомплект»</t>
  </si>
  <si>
    <t>Соединительная скоба-перемычка 288 DIN</t>
  </si>
  <si>
    <t>https://доммечты.рф/derzhatel_provodnika_dlya_molniezashchity/derzhatel_fasadnyy_100mm_dkc_nd2307.html</t>
  </si>
  <si>
    <t>7725292113</t>
  </si>
  <si>
    <t>ООО "Дом мечты"</t>
  </si>
  <si>
    <t>https://pik-electro.ru/catalog/eld-derzhatel-fasadnyy-100mm-dkc-nd2307/?ysclid=mhyt8nlcl7157517678</t>
  </si>
  <si>
    <t>ИП Семенова Екатерина Олеговна</t>
  </si>
  <si>
    <t>https://www.promelec.ru/product/655600/?etext=&amp;yclid=15425262076240855039&amp;ybaip=1</t>
  </si>
  <si>
    <t>6659197470</t>
  </si>
  <si>
    <t>ООО ТД «Промэлектроника»</t>
  </si>
  <si>
    <t>Фасадный держатель ND2307</t>
  </si>
  <si>
    <t>https://доммечты.рф/soedinitel_dlya_molniezashchity/soedinitel_dlya_bystr_montazha_d8_10_dkc_ng3103.html</t>
  </si>
  <si>
    <t>https://svetelektro.net/lightning-protection-and-grounding/ng3103-dkc.html?utm_source=market.yandex.ru&amp;utm_term=3669</t>
  </si>
  <si>
    <t>ООО "ТОПЭЛЕКТРИКА"</t>
  </si>
  <si>
    <t>https://www.etm.ru/cat/nn/6886284?utm_source=yandex&amp;utm_medium=yandex_search&amp;ysclid=mhyt38ofp768107730</t>
  </si>
  <si>
    <t xml:space="preserve">
7842224734</t>
  </si>
  <si>
    <t>Соединитель универсальный NG3103</t>
  </si>
  <si>
    <t>https://www.promelec.ru/product/574716/?etext=&amp;yclid=5894750699734171647&amp;ybaip=1</t>
  </si>
  <si>
    <t>https://www.etm.ru/cat/nn/1957662?utm_source=yandex&amp;utm_medium=cpc&amp;utm_campaign=Brend_DKC_Oborudovanie_nizkovoltnoe_50_DSA_RF_119200180&amp;utm_content=brand-dkc_5561694300_dynamic_places&amp;utm_term=---autotargeting&amp;etext=&amp;yclid=5824081492785496063&amp;ybaip=1</t>
  </si>
  <si>
    <t>https://dkc-msk.ru/products/universalnyy-derzhatel-s-betonom-nd1000/?etext=2202.xonFsZI854ykptI1URO-fohE_zwJd_SPjjG6BHYbRw5zsDubb19mVIAPLbzhk3VDIwlhu-M482yln27TBPt6QhkIMQ8zcAf3MoI31zzoleF0cm1mZ2l2cHlvcnd4bWN6.ccf917a69c33c584e983bd74c2319bac75313862&amp;yclid=9131022674151079935&amp;ybaip=1</t>
  </si>
  <si>
    <t>7724838897</t>
  </si>
  <si>
    <t>ООО «ЭнергоСистема»</t>
  </si>
  <si>
    <t>Универсальный держатель с бетоном  ND1000</t>
  </si>
  <si>
    <t>https://www.dkcmarket.ru/ng3104.html</t>
  </si>
  <si>
    <t>6686053967</t>
  </si>
  <si>
    <t>ООО "Технотрейд"</t>
  </si>
  <si>
    <t>https://www.etm.ru/cat/nn/8414080?ysclid=mhyssu2fwf40962291</t>
  </si>
  <si>
    <t>https://www.promelec.ru/product/574695/?ybaip=1&amp;yclid=3059374415221882879</t>
  </si>
  <si>
    <t>Соединение пруток-пруток , D 8 мм</t>
  </si>
  <si>
    <t>https://steel-pro.ru/catalog/molniezashchita_i_zazemlenie/zazhimy_soedinitelnye/ng3106/?ysclid=mhysmokgm291347070</t>
  </si>
  <si>
    <t>https://www.dkcmarket.ru/ng3106.html</t>
  </si>
  <si>
    <t>https://elevel.ru/shop/molniezashchita-i-zazemlenie/soediniteli-i-klemmy-dlya-zazemleniya/dkc-soedinitel-polosa-polosa-100kh100-mm_110483/?ysclid=mhyskc0op763402267</t>
  </si>
  <si>
    <t>7720298746</t>
  </si>
  <si>
    <t>ООО «Элевел»</t>
  </si>
  <si>
    <t>Соединитель  полоса-полоса с разделительной пластиной 100х100 мм NG3106</t>
  </si>
  <si>
    <t>https://svetelektro.net/lightning-protection-and-grounding/nd2310-dkc.html</t>
  </si>
  <si>
    <t>https://www.promelec.ru/product/694228/?etext=&amp;yclid=13421924479203016703&amp;ybaip=1</t>
  </si>
  <si>
    <t>https://www.dkcmarket.ru/nd2310.html</t>
  </si>
  <si>
    <t>Держатель полосы 40х5 DKC ND2310</t>
  </si>
  <si>
    <t>https://donplafon.ru/products/datchik_arlight_nave_pir_up_s102x102_500w_wh_230v_2_17a_multi_027872_1/</t>
  </si>
  <si>
    <t>ООО "ЛАЙТХАУС"</t>
  </si>
  <si>
    <t>https://lusart.ru/datchik-arlight-nave-pir-up-s102x102-500w-wh-230v-2-17a-multi-027872-1/</t>
  </si>
  <si>
    <t>773572870674</t>
  </si>
  <si>
    <t>ИП Говорухин Евгений Алексеевич</t>
  </si>
  <si>
    <t>https://arlight.ru/catalog/product/027872-1/?ysclid=mi31pwotkg971464920</t>
  </si>
  <si>
    <t>7743089178</t>
  </si>
  <si>
    <t xml:space="preserve">ООО "Арлайт РУС" </t>
  </si>
  <si>
    <t>Датчик движения NA VE-PIR-UP-S102[102-500W-WH (230V, 2.17A, MULT)</t>
  </si>
  <si>
    <t>26.51.64.190</t>
  </si>
  <si>
    <t>https://ledgoods.ru/ehlektrotekhnika/vyklyuchateli/vyklyuchateli-odnoklavishnye/vyklyuchatel-valena-life-knopochnyj-6a-250v-s-licevoj-panelyu-bezvintovye-zazhimy-belyj-ip44-752171-legrand/</t>
  </si>
  <si>
    <t>ИП Власов А.Ю.</t>
  </si>
  <si>
    <t>https://www.sin-el.ru/list_legrand_752011_755002.html?ysclid=mi308rrulk570126662</t>
  </si>
  <si>
    <t>772628939128</t>
  </si>
  <si>
    <t>ИП Плугин Вячеслав Владимирович</t>
  </si>
  <si>
    <t>https://www.legrand2.ru/shop_legrand_752011_755000.html?ysclid=mi2zyjjzlx345945363</t>
  </si>
  <si>
    <t>7743177882</t>
  </si>
  <si>
    <t>ООО «СИНЭЛ-ЭЛЕКТРИКА»</t>
  </si>
  <si>
    <t>Выключатель одноклавишный на автозажимах белый</t>
  </si>
  <si>
    <t>27.33.11.140</t>
  </si>
  <si>
    <t>https://www.electrika24.ru/shop/rozetki_i_vyklyuchateli/legrand/legrand_etika/legrand_etika_beliy/legrand-etika-bel-ramka-4-aja/?ysclid=mi2zrchrwp301956562</t>
  </si>
  <si>
    <t>ИП Бирюков С.М.</t>
  </si>
  <si>
    <t>https://svetelektro.net/wiring-accessories/672504-legrand.html</t>
  </si>
  <si>
    <t>5027330076</t>
  </si>
  <si>
    <t>https://shop220.ru/672504-ramka-legrand-etika-4-posta-belyy.htm?utm_term=---autotargeting&amp;utm_val=click1&amp;utm_source=yandex-direct1&amp;utm_campaign=Склад%20МСК%20и%20МО%20ТК%201&amp;utm_content=16857356844&amp;utm_device=desktop&amp;utm_network=%7Bnetwork%7D&amp;source_type=search&amp;etext=&amp;yclid=6930354368448036863&amp;ybaip=1</t>
  </si>
  <si>
    <t>7722786153</t>
  </si>
  <si>
    <t xml:space="preserve">ООО "Компания ВДЛ" </t>
  </si>
  <si>
    <t>Рамка 4 поста (цвет: белый)</t>
  </si>
  <si>
    <t>https://elevel.ru/shop/rozetki-vyklyuchateli/ramki-dlya-rozetok-i-vyklyuchateley/673940/?ysclid=mi2zppqv5r733949934</t>
  </si>
  <si>
    <t>https://shop220.ru/774452-ramka-legrand-valena-2-posta-belaya.htm?ysclid=mi2zltwuw7858166093</t>
  </si>
  <si>
    <t>https://idistribute.ru/products/ramka_legrand_inspiria_2_posta_155kh84kh10_mm_vkhshkhg_ploskaya_universalnaya_tsvet_belyy_leg_673940/?utm_source=yandex&amp;utm_medium=cpc&amp;utm_campaign=ya_epk_dsa_obschaya_rf&amp;utm_term=---autotargeting&amp;utm_content=116777176&amp;campaign_type=type1&amp;gbid=5525386730&amp;ad_id=1863351499577896429&amp;creative_id=0&amp;phrase_id=53999176803&amp;match_type=&amp;matched_keyword=&amp;retargeting_id=53999176803&amp;position_type=dynamic_places&amp;position=1&amp;source_type=search&amp;source=yandex.ru&amp;region_id=213&amp;region_name=Москва&amp;adtarget_id=53999176803&amp;adtarget_name=&amp;device_type=desktop&amp;etext=&amp;yclid=5868361070401028095&amp;ybaip=1</t>
  </si>
  <si>
    <t>ООО «АйДистрибьют»</t>
  </si>
  <si>
    <t>Рамка 2 поста (цвет: белый)</t>
  </si>
  <si>
    <t>https://elevel.ru/shop/kabel/kabel-kanaly/sistemy-prokladki-kabelya-pod-polom/dkc-lyuchok-napolnyy-c-izmenyaemoy-glubinoy-12-moduley/?ysclid=mi2x0wuxh01084708</t>
  </si>
  <si>
    <t>https://www.smart-electrics.ru/products/494691?ysclid=mi2wzcu7cr452013952</t>
  </si>
  <si>
    <t>505011036805</t>
  </si>
  <si>
    <t>ИП Асташкин Денис Сергеевич</t>
  </si>
  <si>
    <t>https://elektro-tovars.ru/catalog/rozetki-vyklyuchateli/aksessuary-dlya-rozetok-i-vyklyuchatelej/napolnye-lyuchki/legrand-napolnye-lyuchki/lyuchok-napolnyj-legrand-na-12-modulej-glubina-75-105-mm-seryj?ysclid=mi2wwx3k6l211472848</t>
  </si>
  <si>
    <t>ИП Еремица Олег Степанович</t>
  </si>
  <si>
    <t>Напольный лючок на 12 модулей глубина 75-105 мм серый (2 розетки бытовые, 2  розетки инфо)</t>
  </si>
  <si>
    <t>27.33.1.000</t>
  </si>
  <si>
    <t>https://www.chipdip.ru/product/rozetka-elektricheskaya-mosaic-45x45-nem-st-2k-3-16a-so-twt-8026494579</t>
  </si>
  <si>
    <t>https://electrica220.ru/products/df6d1w-rozetka-donel-2kz-so-shtorkami-45-grad-45h45mm-seriya-df-belyj?ysclid=mi2v7fqihb32901702</t>
  </si>
  <si>
    <t>7703467391</t>
  </si>
  <si>
    <t>ООО "ММ-ЭЛЕКТРО"</t>
  </si>
  <si>
    <t>https://anbik.ru/coroba/item-213/</t>
  </si>
  <si>
    <t>7724794791</t>
  </si>
  <si>
    <t>ООО " Анбик РК " </t>
  </si>
  <si>
    <t>Розетка электрическая 45х45, 2К+3,16А со шторками, белая</t>
  </si>
  <si>
    <t>https://amaras.pro/catalog/rozetka-silovaya-shtepselnaya/200009/?ysclid=mi2v2wizr1859654176</t>
  </si>
  <si>
    <t> 5024172216</t>
  </si>
  <si>
    <t>ООО «ОТК Амарас»</t>
  </si>
  <si>
    <t>https://www.amperkin.ru/product/200009/?ysclid=mi2uz17gay492506753</t>
  </si>
  <si>
    <t>7734440520</t>
  </si>
  <si>
    <t>ООО «АМПЕРКИН»</t>
  </si>
  <si>
    <t>https://elevel.ru/shop/rozetki-i-vyklyuchateli-/rozetki/spl-rozetka-2k-3-mosaic-45kh45-elektricheskaya-s-zazemlyayushchim-kontaktom-krasnaya-spl-200009/?ysclid=mi2uyzoieo170295749</t>
  </si>
  <si>
    <t>Розетка электрическая 45х45, 2К+3,16А со шторками, красная</t>
  </si>
  <si>
    <t>https://www.elektrolight.ru/kabelenesushchie-sistemy/lyuchki/napolnaya-korobka-24m-reguliruemaya-glubina-75-105-mm-seraya-089615/?ysclid=mi2upka25q745432606</t>
  </si>
  <si>
    <t>https://elektro-tovars.ru/catalog/rozetki-vyklyuchateli/aksessuary-dlya-rozetok-i-vyklyuchatelej/napolnye-lyuchki/legrand-napolnye-lyuchki/lyuchok-napolnyj-legrand-na-24-modulya-glubina-75-105-mm-seryj?ysclid=mi2uphanws344198521</t>
  </si>
  <si>
    <t>507704284789</t>
  </si>
  <si>
    <t>https://mir-smesi.ru/index.php?route=product/product&amp;product_id=19492</t>
  </si>
  <si>
    <t>370210516644</t>
  </si>
  <si>
    <t>ИП Орозбаев Руслан</t>
  </si>
  <si>
    <t>Напольный лючок на 24 модуля глубина 75-105 мм серый (4 розетки бытовые, 4  розетки инфо)</t>
  </si>
  <si>
    <t>https://ledpremium.ru/catalog/kompyuternye/rozetka_kompyuternaya_2_m_glossa_rj45_kat_5e_mekhanizm_titan_sche_gsl000485kk/?r1=yandext&amp;r2&amp;offer-id=1576438&amp;utm_source=aschli_article_direct&amp;utm_medium=Электротехника&amp;utm_campaign=Электроустановочные+изделия&amp;utm_content=%7C%7C%7Cv6%7C%7C13240520898%7C%7C43757999088%7C%7CGSL000485KK%20Розетка%7C%7C2%7C%7Cother%7C%7Cnone%7C%7Csearch%7C%7Cno%7C%7C73702367%7C%7C5102443326&amp;utm_term=Розетка+компьютерная+2-м+Glossa+RJ45+кат5E+механизм+титан+SE+GSL000485KK&amp;etext=2202.newkv4Yu88m5MT2XCmMLYflaThXXPSq_sHRIEeD_A4zunEap87-XorlVEwwxbN5gI_ciG2yr5wUSJbtbfhfkOZMPNphVZaFkUmZ-IXt2diZR5Po5ZWA2Z12FDcac022BaWZjd2x0a2hxd3lxY3l1aw.c93e132e9e4f320006800e1517e15a3fff2b752c&amp;yclid=4536684399480537087</t>
  </si>
  <si>
    <t>5024202968</t>
  </si>
  <si>
    <t>ООО "Мастерсвет"</t>
  </si>
  <si>
    <t>https://www.electrika24.ru/shop/rozetki_i_vyklyuchateli/schneider_electric/glossa/glossa_titan/rozetka-gsl000485kk/?ysclid=mi2udo2h5g23642832</t>
  </si>
  <si>
    <t>ИП Ларцина В.А.</t>
  </si>
  <si>
    <t>https://rs24.ru/product/1022994</t>
  </si>
  <si>
    <t>Розетка  двойная компьютерная  Systeme Electric GSL000485KK</t>
  </si>
  <si>
    <t>https://skat-ups.ru/catalog/ups/rapan-ups-2000/?ysclid=mhypzrcsoh128171996</t>
  </si>
  <si>
    <t>ООО «ЦЕНТРЭНЕРГОПРИБОР»</t>
  </si>
  <si>
    <t>https://www.onlinetrade.ru/catalogue/istochniki_bespereboynogo_pitaniya_ibp-c153/bastion/istochnik_bespereboynogo_pitaniya_bastion_rapan_ups_2000_s_akb_2kh7ach-2574753.html?utm_source=ydirect&amp;utm_medium=cpc&amp;utm_term=5333816452&amp;etext=&amp;yclid=17154957273600098303&amp;ybaip=1</t>
  </si>
  <si>
    <t xml:space="preserve">
7735092378</t>
  </si>
  <si>
    <t>ООО «ОнЛайн Трейд»</t>
  </si>
  <si>
    <t>https://www.xcom-shop.ru/bastion_rapan-ups_2000_738420.html?utm_source=yandex&amp;utm_medium=cpc&amp;utm_campaign=DSA_/_Sayt_/_MSK_+_MO_(eks2_-_0)%7Cs%7Cya_viz%7Cm%7Ccpc%7Cb%7Cgeneric_campaigns%7Cg%7Cmsk%7Cp%7Ctrinet%7Cf%7Csearch_ads%7Ca%7Cna_a%7C73480669&amp;utm_content=cid%7C73480669%7Cgid%7C4888814079%7Caid%7C12031993521%7Cap%7Cno%7Cphr%7C52775057963%7Crt%7C52775057963%7Cdvc%7Cdesktop%7Cpos%7Cdynamic_places1%7Cmch%7C%7Csrc%7Cyandex.ru&amp;utm_term=---autotargeting&amp;etext=&amp;yclid=6086424985020399615&amp;ybaip=1</t>
  </si>
  <si>
    <t>7743553167</t>
  </si>
  <si>
    <t>ООО «М-Инвест»</t>
  </si>
  <si>
    <t>ИБП RAPAN-UPS 2000, универсальный источник бесперебойного питания</t>
  </si>
  <si>
    <t>26.20.40.111</t>
  </si>
  <si>
    <t>https://avs.pro/catalog/sistemy-ohranno-pojarnoy-signalizacii/opoveshchateli-ohranno-pojarnye/tablo/molniya-220-medpunkt/?ysclid=mhypjeryb6292209400</t>
  </si>
  <si>
    <t>ООО "АВС"</t>
  </si>
  <si>
    <t>https://electrocom.su/catalog/13500/3753264?ysclid=mhypjp8nzn860003007</t>
  </si>
  <si>
    <t>9721203839</t>
  </si>
  <si>
    <t>ООО "Электроком"</t>
  </si>
  <si>
    <t>https://www.etm.ru/cat/nn/102095086?ysclid=mhypjiyfji990503053</t>
  </si>
  <si>
    <t>Световое табло "Медпункт"</t>
  </si>
  <si>
    <t>27.40.24.120</t>
  </si>
  <si>
    <t>https://optcable.ru/catalog/iem-5518763-datchik-dvizheniya-ik-nastennyy-1200vt-180gr-do-12m-ip44-ms-39-proxima/</t>
  </si>
  <si>
    <t>ИП Скоморохова Юлия Ивановна</t>
  </si>
  <si>
    <t>https://svetelektro.net/security-systems/dd-ms-39-ekf.html</t>
  </si>
  <si>
    <t>https://e-kc.ru/cena/datchik-dvizheniya-ik-ms-39-nasten-1200vt-180grad-do-12m-ip44-ekf-dd-ms-39</t>
  </si>
  <si>
    <t>Датчик движения ИК настенный 1200Вт 180гр. до 12 м IP44 MS-39 PROxima</t>
  </si>
  <si>
    <t>https://pik-electro.ru/catalog/eld-ramka-1-m-12-5001-01-bel-era-b0014741/?ysclid=mhxfep847d805468268</t>
  </si>
  <si>
    <t>https://elevel.ru/shop/rozetki-vyklyuchateli/ramki-dlya-rozetok-i-vyklyuchateley/era-12-5001-01-belyy-ramka-na-1-post-12/?ysclid=mhxfcqh237402862230</t>
  </si>
  <si>
    <t>https://era-elektro.ru/12-5001-01-era-ramka-na-1-post-era12-belyj-20-200-6400</t>
  </si>
  <si>
    <t xml:space="preserve">  7724416951</t>
  </si>
  <si>
    <t xml:space="preserve">  ООО «СП-ЭЛЕКТРО»</t>
  </si>
  <si>
    <t>Рамка 1 пост (цвет: белый)</t>
  </si>
  <si>
    <t>https://elgroup24.ru/d_pereklyuchatel_ekspert_11_1523_01_ip55_10akh_250v_su_bel_era_b0063300.html</t>
  </si>
  <si>
    <t>ИП «Петренко Юлия Сергеевна»</t>
  </si>
  <si>
    <t>https://era-elektro.ru/pereklyuchatel-era-ekspert-11-1523-01-ip55-10ah-250v-su-belyj</t>
  </si>
  <si>
    <t>7724416951</t>
  </si>
  <si>
    <t>ООО «СП-ЭЛЕКТРО»</t>
  </si>
  <si>
    <t>https://erarussia.ru/perekljuchatel-era-ekspert-11-1523-01-ip55-10ax-250v-su-belyj</t>
  </si>
  <si>
    <t>ИП Баюшкин Артем Владиславович</t>
  </si>
  <si>
    <t>Переключатель проходной одноклавишный белый, IP55</t>
  </si>
  <si>
    <t>https://led-comp.ru/electrika/vyklyuchateli-sveta/vyklyuchatel-ekspert-11-1522-01-s-podsvetkoy-ip55-10akh-250v-su-bel-era-b0063279.html?ysclid=mhxe99oj4s438664964</t>
  </si>
  <si>
    <t>ООО "ЛЕДКОМ"</t>
  </si>
  <si>
    <t>https://era-elektro.ru/vyklyuchatel-era-ekspert-11-1522-01-s-podsvetkoj-ip55-10ah-250v-su-belyj</t>
  </si>
  <si>
    <t>https://www.etm.ru/cat/nn/3704321</t>
  </si>
  <si>
    <t>Включатель  одноклавишный встраиваемый, белый, IP55</t>
  </si>
  <si>
    <t>КП</t>
  </si>
  <si>
    <t>ООО "Русвиталэлектро"</t>
  </si>
  <si>
    <t>КП №00682</t>
  </si>
  <si>
    <t>7733259991</t>
  </si>
  <si>
    <t>ООО "Фокс Лайт"</t>
  </si>
  <si>
    <t>КП №791</t>
  </si>
  <si>
    <t>ООО "ЭлПрима"</t>
  </si>
  <si>
    <t>02-01-03  ЭОМ  КА, КП, скрины (Листы 56  п.26; лист 58 п.26; лист 61 п.15)</t>
  </si>
  <si>
    <t>27.40.39.110</t>
  </si>
  <si>
    <t>https://storublev.ru/product/vstraivaemyj-svetilnik-maytoni-technical-dot-dl042-01-rd-w/prod/</t>
  </si>
  <si>
    <t>ИП «Сторублев Алексей Сергеевич»</t>
  </si>
  <si>
    <t>https://basicdecor.ru/product/vstraivaemyi-svetilnik-dot-dl028-2-01w/</t>
  </si>
  <si>
    <t>9709107335</t>
  </si>
  <si>
    <t>ООО "ДИЗАЙН 360"</t>
  </si>
  <si>
    <t>https://www.vamsvet.ru/catalog/product/vstraivaemyy_svetilnik_maytoni_technical_dot_dl042_01_rd_w/?utm_medium=cpc&amp;utm_source=yandex.direct&amp;utm_campaign=72990072_ТГО_Товарная%20кампания_Мастер%20Кампаний_Прямые_Поиск_ПК%20Моб_МСК&amp;utm_term=---autotargeting_37784691181%7Cg%3A4876961965&amp;utm_content=ct%3Atype1%7Ccid%3A72990072%7Cgid%3A4876961965%7Cad%3A17195569504%7Ccriteria%3A37784691181%7Cradjid%3A0%7Cplace%3Anone%7Cnt%3Asearch%7Cdev%3Adesktop%7Cloc%3A213%7Cslot%3Apremium&amp;calltouch_tm=yd_c%3A72990072_gb%3A4876961965_ad%3A17195569504_ph%3A37784691181_st%3Asearch_pt%3Apremium_p%3A1_s%3Anone_dt%3Adesktop_reg%3A213_ret%3A37784691181_apt%3Anone&amp;etext=2202.FRRlm1HBEuSYaZbFf-g8G4_azct2ibv7O3hOBmSl_q7I5-VhfHTAqJLl1hw-eWN0YmNlaGNlZnp6dXFldW5tYQ.a17915955ad9d42b5e337a83a5f2194394fe60f0&amp;yclid=13306046219613372415&amp;ybaip=1</t>
  </si>
  <si>
    <t>ООО «ВАМСВЕТ»</t>
  </si>
  <si>
    <t>02-01-03  ЭОМ  КА, КП, скрины (Листы 56  п.23; лист 57 п.23; лист 61 п.12А)</t>
  </si>
  <si>
    <t>02-01-03  ЭОМ  КА, КП, скрины (Листы 56  п.22; лист 57 п.22; лист 60 п.12)</t>
  </si>
  <si>
    <t>02-01-03  ЭОМ  КА, КП, скрины (Листы 56  п.17; лист 57 п.17; лист 60 п.8)</t>
  </si>
  <si>
    <t>02-01-03  ЭОМ  КА, КП, скрины (Листы 55  п.14; лист 57 п.14; лист 60 п.7А)</t>
  </si>
  <si>
    <t>02-01-03  ЭОМ  КА, КП, скрины (Листы 55  п.13; лист 57 п.13; лист 60 п.7)</t>
  </si>
  <si>
    <t>02-01-03  ЭОМ  КА, КП, скрины (Листы 55  п.6; лист 57 п.6; лист 59 п.3А)</t>
  </si>
  <si>
    <t>RVE-PRIME-GRIL-SC-BP-595 38W 4000K Светильник LED 595x595мм с защитной решеткой с БАП 3 часа / Светильник с опаловым рассеивателем, углом рассеивания 120 градусов, с защитной решеткой, можно устанавливать на потолок в спортзалы, по нормам верхненго освещения. Мощность 38Вт. Световой поток 3700лм. Цветовая температура 4000К CRI90. Размеры 595х595х40мм. Способ монтажа накладной. Укомплектован БАП на 3ч.</t>
  </si>
  <si>
    <t>02-01-03  ЭОМ  КА, КП, скрины (Листы 55  п.5; лист 57 п.5; лист 59 п.3)</t>
  </si>
  <si>
    <t>02-01-03  ЭОМ  КА, КП, скрины (Листы 55  п.3; лист 57 п.3; лист 59 п.2)</t>
  </si>
  <si>
    <t>02-01-03  ЭОМ  КА, КП, скрины (Листы 55  п.1; лист 57 п.1; лист 59 п.1)</t>
  </si>
  <si>
    <t>02-01-03  ЭОМ  КА, КП, скрины (Листы 55  п.10; лист 57 п.10; лист 60 п.5А)</t>
  </si>
  <si>
    <t>02-01-03  ЭОМ  КА, КП, скрины (Листы 55  п.9; лист 57 п.9; лист 60 п.5)</t>
  </si>
  <si>
    <t>02-01-03  ЭОМ  КА, КП, скрины (Листы 55  п.8; лист 57 п.8; лист 59 п.4А)</t>
  </si>
  <si>
    <t>02-01-03  ЭОМ  КА, КП, скрины (Листы 55  п.7; лист 57 п.7; лист 59 п.4)</t>
  </si>
  <si>
    <t>21; лист 57 п.212; лист 610 п.11А)</t>
  </si>
  <si>
    <t>02-01-03  ЭОМ  КА, КП, скрины (Листы 55  п.12; лист 57 п.12; лист 60 п.6А)</t>
  </si>
  <si>
    <t>02-01-03  ЭОМ  КА, КП, скрины (Листы 55  п.11; лист 57 п.11; лист 60 п.6)</t>
  </si>
  <si>
    <t>02-01-03  ЭОМ  КА, КП, скрины (Листы 56  п.20; лист 57 п.20; лист 61 п.11)</t>
  </si>
  <si>
    <t>02-01-03  ЭОМ  КА, КП, скрины (Листы 56  п.21; лист 57 п.21; лист 61 п.11а)</t>
  </si>
  <si>
    <t>https://promrukav-rus.ru/ankernyj-bolt-ocinkovannyj-m10-12h65-10-sht-up?ysclid=mhx67owrid104835003</t>
  </si>
  <si>
    <t>ООО "ЭнергоСистема"</t>
  </si>
  <si>
    <t>https://www.aktivsb.ru/prod-71183.html</t>
  </si>
  <si>
    <t>0105070781</t>
  </si>
  <si>
    <t>ООО «ДЕАН СБ» ОП Актив</t>
  </si>
  <si>
    <t>https://www.promrukav.ru/catalog/ankernye-bolty/ankernyy-bolt-otsinkovannyy-m10-12kh65-10-sht-up-promrukav/?ysclid=mhx67n8abd151301452</t>
  </si>
  <si>
    <t>ООО «Промрукав»</t>
  </si>
  <si>
    <t>02-01-03  ЭОМ  КА, КП, скрины (Листы 154-155)</t>
  </si>
  <si>
    <t>Анкерный болт оцинкованный М10/12х65 (10 шт/уп) Промрукав PR08.26539</t>
  </si>
  <si>
    <t>https://promrukav-rus.ru/shajba-s-shirokimi-polyami-kuzovnaya-ocinkovannaya-m8-din-9021-100-sht-up-pr08-2378?ysclid=mhx66pnpvi362711329</t>
  </si>
  <si>
    <t>https://www.promrukav-shop.ru/product/prom-pr082378/74167?ysclid=mhx66l436r813160020</t>
  </si>
  <si>
    <t>ООО Рус-Электро</t>
  </si>
  <si>
    <t>https://www.promrukav.ru/catalog/shayby/shayba-s-shirokimi-polyami-kuzovnaya-otsinkovannaya-m8-din-9021-100-sht-up-promrukav/?ysclid=mhx66juwww275130276</t>
  </si>
  <si>
    <t>02-01-03  ЭОМ  КА, КП, скрины (Листы 153-154)</t>
  </si>
  <si>
    <t>Шайба с широкими полями (кузовная) оцинкованная  М8 (DIN 9021) (100 шт/уп) Промрукав PR08.2378</t>
  </si>
  <si>
    <t>25.99.29.000</t>
  </si>
  <si>
    <t>https://promrukav-rus.ru/bolt-s-shestigrannoj-golovkoj-ocinkovannyj-m8h20-din-933-100-sht-up-pr08-2432?ysclid=mhx656j5td88885053</t>
  </si>
  <si>
    <t>https://www.promrukav-shop.ru/product/prom-pr082432/73736?ysclid=mhx653dhfz94926900</t>
  </si>
  <si>
    <t>https://www.promrukav.ru/catalog/bolty/bolt-s-shestigrannoy-golovkoy-otsinkovannyy-m8kh20-din-933-100-sht-up-promrukav/?ysclid=mhx65kvp2g558677490</t>
  </si>
  <si>
    <t>02-01-03  ЭОМ  КА, КП, скрины (Листы 151-152)</t>
  </si>
  <si>
    <t>Болт с шестигранной головкой оцинкованный  М8х20 (DIN 933) (100шт/уп) Промрукав PR08.2432</t>
  </si>
  <si>
    <t>25.-4.11.110</t>
  </si>
  <si>
    <t>https://promrukav-rus.ru/gajka-s-nasechkoj-prepyatstvuyushej-otkruchivaniyu-nerzhaveyushaya-a2-m8-din-6923-200-sht-up-promrukav?ysclid=mhx644ohio321772452</t>
  </si>
  <si>
    <t>https://www.promrukav-shop.ru/product/prom-pr087448/73813?ysclid=mhx642toq3129329301</t>
  </si>
  <si>
    <t>https://www.promrukav.ru/catalog/gayki/gayka-s-nasechkoy-prepyatstvuyushchey-otkruchivaniyu-nerzhaveyushchaya-a2-m8-din-6923-200-sht-up-pro/?ysclid=mhx641shk1341507130</t>
  </si>
  <si>
    <t>Гайка с насечкой, препятствующей откручиванию нержавеющая (А2) М8 (DIN 6923) (200 шт/уп) Промрукав PR08.7448</t>
  </si>
  <si>
    <t>https://promrukav-rus.ru/bolt-s-shestigrannoj-golovkoj-nerzhaveyushij-a2-m5h8-din-6921-200-sht-up-promrukav?ysclid=mhx60qf3iy673456284</t>
  </si>
  <si>
    <t>https://www.promrukav-shop.ru/product/prom-pr087445/73753?ysclid=mhx60p6smf929319419</t>
  </si>
  <si>
    <t>https://www.promrukav.ru/catalog/bolty/bolt-s-shestigrannoy-golovkoy-nerzhaveyushchiy-a2-m5kh8-din-6921-200-sht-up-promrukav/?ysclid=mhx60nu1xa133401738</t>
  </si>
  <si>
    <t>Болт с шестигранной головкой нержавеющий (А2) М5х8  (DIN 6921) (200шт/уп) Промрукав PR08.7445</t>
  </si>
  <si>
    <t>https://promrukav-rus.ru/vint-s-polucil-gol-nerzhaveyushij-a2-m6h10-din-7985-500-sht-up-promrukav?ysclid=mhx5zqq8j6359980985</t>
  </si>
  <si>
    <t>https://www.promrukav-shop.ru/product/prom-pr087446/73778?ysclid=mhx5zparv1110410650</t>
  </si>
  <si>
    <t>https://www.promrukav.ru/catalog/vinty/vint-s-polutsil-gol-nerzhaveyushchiy-a2-m6kh10-din-7985-500-sht-up-promrukav/?ysclid=mhx5znuw1h415316817</t>
  </si>
  <si>
    <t>Винт с полуцил.гол нержавеющий (А2) М6х10 (DIN 7985) (500шт/уп) Промрукав PR08.7446</t>
  </si>
  <si>
    <t>02-01-03  ЭОМ  КА, КП, скрины (Листы 139-140)</t>
  </si>
  <si>
    <t>02-01-03  ЭОМ  КА, КП, скрины (Листы 138-139)</t>
  </si>
  <si>
    <t>02-01-03  ЭОМ  КА, КП, скрины (Листы 136-137)</t>
  </si>
  <si>
    <t>02-01-03  ЭОМ  КА, КП, скрины (Листы 133-134)</t>
  </si>
  <si>
    <t>02-01-03  ЭОМ  КА, КП, скрины (Листы 130-131)</t>
  </si>
  <si>
    <t>02-01-03  ЭОМ  КА, КП, скрины (Листы 129-130)</t>
  </si>
  <si>
    <t>https://promrukav-rus.ru/anker-zabivnoj-stalnoj-ocinkovannyj-canga-m8-10h30-100-sht-up-pr08-2341?ysclid=mhx590qah3969317473</t>
  </si>
  <si>
    <t>https://www.promrukav-shop.ru/product/prom-pr082341/73543?ysclid=mhx58wsvj2829604694</t>
  </si>
  <si>
    <t>https://www.promrukav.ru/catalog/ankery/anker-zabivnoy-stalnoy-otsinkovannyy-tsanga-m8-10kh30-100-sht-up-promrukav/?ysclid=mhx58z30x8321064879</t>
  </si>
  <si>
    <t>02-01-03  ЭОМ  КА, КП, скрины (Листы 124-125)</t>
  </si>
  <si>
    <t>Анкер забивной стальной оцинкованный (цанга) М8 10х30 (100 шт/уп) Промрукав PR08.2341</t>
  </si>
  <si>
    <t>02-01-03  ЭОМ  КА, КП, скрины (Листы 123-124)</t>
  </si>
  <si>
    <t>https://promrukav-rus.ru/plastina-soedinitelnaya-standart-inox-aisi-304-100?ysclid=mhx3kftch350347274</t>
  </si>
  <si>
    <t>https://www.promrukav-shop.ru/product/prom-pr163750/80497?ysclid=mhx3kdp91r320490012</t>
  </si>
  <si>
    <t>https://www.aktivsb.ru/prod-68521.html</t>
  </si>
  <si>
    <t>02-01-03  ЭОМ  КА, КП, скрины (Листы 121-122)</t>
  </si>
  <si>
    <t>Пластина соединительная Стандарт INOX (AISI 304)  100  Промрукав PR16.3750</t>
  </si>
  <si>
    <t>https://promrukav-rus.ru/plastina-soedinitelnaya-100-promrukav?ysclid=mhx3j82vao370280896</t>
  </si>
  <si>
    <t>https://www.promrukav-shop.ru/product/prom-pr160827/70638?ysclid=mhx3j9s3b094720844</t>
  </si>
  <si>
    <t>https://www.promrukav.ru/catalog/aksessuary-dlya-metallicheskikh-lotkov/plastina-soedinitelnaya-standart-100-0-7-mm-promrukav/?ysclid=mhx3j6twi9362287158</t>
  </si>
  <si>
    <t>02-01-03  ЭОМ  КА, КП, скрины (Листы 120-121)</t>
  </si>
  <si>
    <t>Пластина соединительная 100 (0,7 мм) Промрукав PR16.0827</t>
  </si>
  <si>
    <t>02-01-03  ЭОМ  КА, КП, скрины (Листы 118-119)</t>
  </si>
  <si>
    <t>https://promrukav-rus.ru/perehodnik-uproshyonnyj-gorizontalnyj-standart-hdz-na-100-mm-n100?ysclid=mhx2oevvul158048639</t>
  </si>
  <si>
    <t>https://www.promrukav-shop.ru/product/prom-pr161512/71516?ysclid=mhx2objku1329629095</t>
  </si>
  <si>
    <t>https://www.promrukav.ru/catalog/aksessuary-dlya-metallicheskikh-lotkov/perekhodnik-uproshchyennyy-gorizontalnyy-standart-hdz-na-100-mm-n100-promrukav/?ysclid=mhx2o8fmka886385629</t>
  </si>
  <si>
    <t>02-01-03  ЭОМ  КА, КП, скрины (Листы 117-118)</t>
  </si>
  <si>
    <t>Переходник упрощенный горизонтальный Стандарт на 100 мм H100 (0,7 мм) Промрукав PR16.1512</t>
  </si>
  <si>
    <t>https://promrukav-rus.ru/perehodnik-uproshyonnyj-gorizontalnyj-standart-hdz-na-200-mm-n100?ysclid=mhx2l75zrt206464931</t>
  </si>
  <si>
    <t>https://www.promrukav-shop.ru/product/prom-pr161518/71522?ysclid=mhx2l8iomn374676321</t>
  </si>
  <si>
    <t>https://www.aktivsb.ru/prod-56664.html</t>
  </si>
  <si>
    <t>02-01-03  ЭОМ  КА, КП, скрины (Листы 115-116)</t>
  </si>
  <si>
    <t>Переходник упрощенный горизонтальный Стандарт на 200 мм H100 (0,7 мм) Промрукав PR16.1518</t>
  </si>
  <si>
    <t>https://promrukav-rus.ru/perehodnik-uproshyonnyj-gorizontalnyj-na-200-mm-n100-promrukav?ysclid=mhx2jmsrrn429226101</t>
  </si>
  <si>
    <t>https://www.promrukav-shop.ru/product/prom-pr161056/70728?ysclid=mhx2jlf2uf169668510</t>
  </si>
  <si>
    <t>https://www.promrukav.ru/catalog/aksessuary-dlya-metallicheskikh-lotkov/perekhodnik-uproshchyennyy-gorizontalnyy-standart-na-200-mm-n100-0-7-mm-promrukav/?ysclid=mhx2jk0sep326887671</t>
  </si>
  <si>
    <t>02-01-03  ЭОМ  КА, КП, скрины (Листы 114-115)</t>
  </si>
  <si>
    <t>Переходник упрощенный горизонтальный на 200 мм H100 (0,7 мм) Промрукав PR16.1056</t>
  </si>
  <si>
    <t>https://promrukav-rus.ru/perehodnik-uproshyonnyj-gorizontalnyj-na-400-mm-n100-promrukav?ysclid=mhx2ia8reu315956518</t>
  </si>
  <si>
    <t>https://www.promrukav-shop.ru/product/prom-pr161067/70740?ysclid=mhx2i7w41n732058165</t>
  </si>
  <si>
    <t>https://www.promrukav.ru/catalog/aksessuary-dlya-metallicheskikh-lotkov/perekhodnik-uproshchyennyy-gorizontalnyy-standart-na-400-mm-n100-0-7-mm-promrukav/?ysclid=mhx2hqs0jv288287822</t>
  </si>
  <si>
    <t>02-01-03  ЭОМ  КА, КП, скрины (Листы 112-113)</t>
  </si>
  <si>
    <t>Переходник упрощенный горизонтальный на 400 мм H100 (0,7 мм) Промрукав PR16.1067</t>
  </si>
  <si>
    <t>https://promrukav-rus.ru/zaglushka-lotka-standart-inox-aisi-304-100h100?ysclid=mhw3zms8dz220847907</t>
  </si>
  <si>
    <t>https://www.promrukav-shop.ru/product/prom-pr162472/81457?ysclid=mhw3zkmlig311846766</t>
  </si>
  <si>
    <t>https://www.promrukav.ru/catalog/aksessuary-dlya-metallicheskikh-lotkov/zaglushka-lotka-standart-inox-aisi-304-100kh100-promrukav/?ysclid=mhw3zii818545182048</t>
  </si>
  <si>
    <t>02-01-03  ЭОМ  КА, КП, скрины (Листы 111-112)</t>
  </si>
  <si>
    <t>Заглушка лотка Стандарт INOX (AISI 304) 100х100  Промрукав PR16.2472</t>
  </si>
  <si>
    <t>https://promrukav-rus.ru/zaglushka-lotka-standart-100h100-promrukav?ysclid=mhw3x6rdnd553514470</t>
  </si>
  <si>
    <t>https://www.promrukav-shop.ru/product/prom-pr160830/70593?ysclid=mhw3x81gdn657454487</t>
  </si>
  <si>
    <t>https://www.promrukav.ru/catalog/aksessuary-dlya-metallicheskikh-lotkov/zaglushka-lotka-standart-100kh100-0-7-mm-promrukav/?ysclid=mhw3x5ltef754951105</t>
  </si>
  <si>
    <t>02-01-03  ЭОМ  КА, КП, скрины (Листы 109-110)</t>
  </si>
  <si>
    <t>Заглушка лотка Стандарт 100х100 (0,7 мм)  Промрукав PR16.0830</t>
  </si>
  <si>
    <t>https://www.promrukav.ru/catalog/aksessuary-dlya-metallicheskikh-lotkov/zaglushka-lotka-standart-hdz-200kh100-promrukav/?ysclid=mhw3vgndx3304708080</t>
  </si>
  <si>
    <t>https://promrukav-rus.ru/zaglushka-lotka-standart-hdz-200h100?ysclid=mhw3vjslj3371823230</t>
  </si>
  <si>
    <t>https://www.promrukav-shop.ru/product/prom-pr161254/71279?ysclid=mhw3viit7h539685003</t>
  </si>
  <si>
    <t>02-01-03  ЭОМ  КА, КП, скрины (Листы 108-109)</t>
  </si>
  <si>
    <t>Заглушка лотка Стандарт HDZ 200х100  Промрукав PR16.1254</t>
  </si>
  <si>
    <t>https://www.promrukav.ru/catalog/aksessuary-dlya-metallicheskikh-lotkov/zaglushka-lotka-standart-inox-aisi-304-200kh100-promrukav/?ysclid=mhw3u5e11z46767938</t>
  </si>
  <si>
    <t>https://promrukav-rus.ru/zaglushka-lotka-standart-inox-aisi-304-200h100?ysclid=mhw3u2w99q709561492</t>
  </si>
  <si>
    <t>https://www.promrukav-shop.ru/product/prom-pr162478/81451?ysclid=mhw3u1e2y0780737052</t>
  </si>
  <si>
    <t>02-01-03  ЭОМ  КА, КП, скрины (Листы 107-108)</t>
  </si>
  <si>
    <t>Заглушка лотка Стандарт INOX (AISI 304) 200х100  Промрукав PR16.2478</t>
  </si>
  <si>
    <t>https://secumarket.ru/product/zaglushka-lotka-standart-200h100-promrukav-pr16-0836-91151</t>
  </si>
  <si>
    <t>6453073463</t>
  </si>
  <si>
    <t>ООО «Мираплюс»</t>
  </si>
  <si>
    <t>https://promrukav-rus.ru/zaglushka-lotka-standart-200h100-promrukav?ysclid=mhw3rbzqa89365608</t>
  </si>
  <si>
    <t>https://www.promrukav-shop.ru/product/prom-pr160836/70599?ysclid=mhw3raktok337271629</t>
  </si>
  <si>
    <t>02-01-03  ЭОМ  КА, КП, скрины (Листы 105-106)</t>
  </si>
  <si>
    <t>Заглушка лотка Стандарт 200х100 (0,7 мм) Промрукав PR16.0836</t>
  </si>
  <si>
    <t>https://promrukav-rus.ru/zaglushka-lotka-standart-hdz-400h100?ysclid=mhw3pcxod311820830</t>
  </si>
  <si>
    <t>https://www.promrukav.ru/catalog/aksessuary-dlya-metallicheskikh-lotkov/zaglushka-lotka-standart-hdz-400kh100-promrukav/?ysclid=mhw3pbpmpw972596792</t>
  </si>
  <si>
    <t>https://www.promrukav-shop.ru/product/prom-pr161260/71285?ysclid=mhw3p8oi7s482663782</t>
  </si>
  <si>
    <t>02-01-03  ЭОМ  КА, КП, скрины (Листы 104-105)</t>
  </si>
  <si>
    <t>Заглушка лотка Стандарт  HDZ 400х100 Промрукав PR16.1260</t>
  </si>
  <si>
    <t>https://svetelektro.net/tray-metal/pr16-0848-promrukav.html</t>
  </si>
  <si>
    <t>https://promrukav-rus.ru/zaglushka-lotka-standart-600h100-promrukav?ysclid=mhw3lc7gol599139240</t>
  </si>
  <si>
    <t>https://www.promrukav-shop.ru/product/prom-pr160848/70612?ysclid=mhw3ldqvxi508592838</t>
  </si>
  <si>
    <t>Заглушка лотка Стандарт 600х100 (0,7 мм) Промрукав PR16.0848</t>
  </si>
  <si>
    <t>https://promrukav-rus.ru/provod-zazemlyayushij-secheniem-6-mm²-dlinoj-200-mm-10-sht-up?ysclid=mhw347r8z5740139207</t>
  </si>
  <si>
    <t>https://www.promrukav-shop.ru/product/prom-pr1302754/80119?ysclid=mhw33h198h992011270</t>
  </si>
  <si>
    <t>https://www.promrukav.ru/catalog/aksessuary-dlya-metallicheskikh-lotkov/provod-zazemlyayushchiy-secheniem-6-mm-dlinoy-200-mm-10-sht-up-promrukav/</t>
  </si>
  <si>
    <t>Провод заземляющий сечением 6 мм2 длиной 200 мм (10 шт/уп) Промрукав PR13.02754</t>
  </si>
  <si>
    <t>27.32.13.000</t>
  </si>
  <si>
    <t>https://promrukav-rus.ru/konsol-nastennaya-usilennaya-hdz-knu-200?ysclid=mhvzxw8ale578677745</t>
  </si>
  <si>
    <t>https://www.promrukav-shop.ru/product/prom-pr161825/72162?ysclid=mhvzxv2rj0812315510</t>
  </si>
  <si>
    <t>https://www.promrukav.ru/catalog/sistemy-podvesa/konsol-nastennaya-usilennaya-hdz-knu-200-promrukav/?ysclid=mhvzxtpl6b164415062</t>
  </si>
  <si>
    <t>Консоль настенная усиленная HDZ КНУ-200Промрукав PR16.1825</t>
  </si>
  <si>
    <t>31.20.40.110</t>
  </si>
  <si>
    <t>https://promrukav-rus.ru/konsol-nastennaya-usilennaya-hdz-knu-300?ysclid=mhvzwfwtnm345036544</t>
  </si>
  <si>
    <t>https://www.promrukav-shop.ru/product/prom-pr161826/72163?ysclid=mhvzwa2s9r495530220</t>
  </si>
  <si>
    <t>https://www.promrukav.ru/catalog/sistemy-podvesa/konsol-nastennaya-usilennaya-hdz-knu-300-promrukav/?ysclid=mhvzw8wcof997668825</t>
  </si>
  <si>
    <t>Консоль настенная усиленная HDZ КНУ-300 Промрукав PR16.1826</t>
  </si>
  <si>
    <t>https://promrukav-rus.ru/kronshtejn-podvesa-nastennyj-usilennyj-400-promrukav?ysclid=mhvzunbaot635568968</t>
  </si>
  <si>
    <t>https://www.promrukav-shop.ru/product/prom-pr161827/72164?ysclid=mhvzulybjf985780345</t>
  </si>
  <si>
    <t>https://www.promrukav.ru/catalog/sistemy-podvesa/konsol-nastennaya-usilennaya-hdz-knu-400-promrukav/?ysclid=mhvzukhd8m503922148</t>
  </si>
  <si>
    <t>Консоль настенная усиленная HDZ КНУ-400 Промрукав PR16.1827</t>
  </si>
  <si>
    <t>https://promrukav-rus.ru/stojka-nastenno-potolochnaya-p-obraznaya-dlya-srednih-nagruzok-35h30h200-promrukav?ysclid=mhvyzxmz5f39432319</t>
  </si>
  <si>
    <t>https://www.promrukav-shop.ru/product/prom-pr082604/72056?ysclid=mhvyzzk4ut483007510</t>
  </si>
  <si>
    <t>https://www.promrukav.ru/catalog/sistemy-podvesa/profil-p-obraznyy-pp-35kh30kh200-2-0-mm-promrukav/?ysclid=mhvyzw2mj8380896547</t>
  </si>
  <si>
    <t>Профиль П-образный ПП-35х30х200 (2,0 мм) Промрукав PR08.2604</t>
  </si>
  <si>
    <t>https://promrukav-rus.ru/profil-p-obraznyj-inox-aisi-304-pp-35h30h300-2-0-mm?ysclid=mhvyxw0klt37014966</t>
  </si>
  <si>
    <t>https://www.promrukav-shop.ru/product/prom-pr163913/82621?ysclid=mhvyxujohi597923738</t>
  </si>
  <si>
    <t>https://www.promrukav.ru/catalog/sistemy-podvesa/profil-p-obraznyy-inox-aisi-304-pp-35kh30kh200-2-0-mm-promrukav/?ysclid=mhvzcnfd8j1705623</t>
  </si>
  <si>
    <t>Профиль из нержавеющей стали П-образный INOX (AISI 304) ПП-35х30х200 (2,0 мм) Промрукав PR16.3913</t>
  </si>
  <si>
    <t>https://promrukav-rus.ru/stojka-nastenno-potolochnaya-p-obraznaya-dlya-srednih-nagruzok-35h30h400-promrukav?ysclid=mhvyvenoen68547955</t>
  </si>
  <si>
    <t>https://www.promrukav-shop.ru/product/prom-pr082301/72061?ysclid=mhvyvchz2o592052405</t>
  </si>
  <si>
    <t>https://www.promrukav.ru/catalog/sistemy-podvesa/profil-p-obraznyy-pp-35kh30kh400-2-0-mm-promrukav/?ysclid=mhvyv71ck5783404249</t>
  </si>
  <si>
    <t>Профиль П-образный ПП-35х30х400 (2,0 мм) Промрукав PR08.2301</t>
  </si>
  <si>
    <t>https://dean.ru/catalogue/product/00-00081745.html</t>
  </si>
  <si>
    <t>https://www.promrukav-shop.ru/product/prom-pr082602/71925?ysclid=mhvy1sfzzx587666759</t>
  </si>
  <si>
    <t>https://www.promrukav.ru/catalog/sistemy-podvesa/kreplenie-stenovoe-napolnoe-600-2-0-mm-promrukav/?ysclid=mhvxzkbinu839509754</t>
  </si>
  <si>
    <t>02-01-03  ЭОМ  КА, КП, скрины (Листы 91)</t>
  </si>
  <si>
    <t>Крепление стеновое-напольное 600 Промрукав PR08.2602</t>
  </si>
  <si>
    <t>https://www.aktivsb.ru/prod-67938.html</t>
  </si>
  <si>
    <t>https://promrukav-rus.ru/otvetvitel-t-obraznyj-standart-inox-aisi-304-200h100?ysclid=mhvwb79urx95211398</t>
  </si>
  <si>
    <t>https://www.promrukav-shop.ru/product/prom-pr162816/80977?ysclid=mhvwb3x0gt7065974</t>
  </si>
  <si>
    <t>Ответвитель из нержавеющей стали  Т-образный с крышкой Стандарт INOX (AISI 304) 200х100  Промрукав PR16.2810</t>
  </si>
  <si>
    <t>https://promrukav-rus.ru/t-obraznyj-otvetvitel-s-kryshkoj-standart-100h100-promrukav-pr16-0434?ysclid=mhvun8i4cl563143298</t>
  </si>
  <si>
    <t>https://www.promrukav-shop.ru/product/prom-pr160434/70318?ysclid=mhvun6t9ph660915172</t>
  </si>
  <si>
    <t>https://www.promrukav.ru/catalog/aksessuary-dlya-metallicheskikh-lotkov/otvetvitel-t-obraznyy-s-kryshkoy-standart-100kh100-0-7-mm-promrukav/?ysclid=mhvumt4a6e449949057</t>
  </si>
  <si>
    <t>Ответвитель Т-образный с крышкой Стандарт  100х100 (0,7 мм)  Промрукав PR16.0434</t>
  </si>
  <si>
    <t>https://promrukav-rus.ru/otvetvitel-t-obraznyj-standart-inox-aisi-304-200h100?ysclid=mhvuecfl2b863545940</t>
  </si>
  <si>
    <t>https://www.promrukav-shop.ru/product/prom-pr162816/80977?ysclid=mhvue5cu3n665643926</t>
  </si>
  <si>
    <t>Ответвитель из нержавеющей стали  Т-образный с крышкой Стандарт INOX (AISI 304) 200х100  Промрукав PR16.2816</t>
  </si>
  <si>
    <t>https://promrukav-rus.ru/kryshka-otvetvitelya-t-obraznogo-standart-inox-aisi-304-200</t>
  </si>
  <si>
    <t>https://www.promrukav-shop.ru/product/prom-pr162832/81363?ysclid=mhvvyh92sz637794462</t>
  </si>
  <si>
    <t>https://www.promrukav.ru/catalog/aksessuary-dlya-metallicheskikh-lotkov/kryshka-otvetvitelya-t-obraznogo-standart-inox-aisi-304-200-promrukav/?ysclid=mhvvxjgn7p747261415</t>
  </si>
  <si>
    <t>Крышка ответвителя  из нержавеющей стали Т-образного Стандарт  INOX (AISI 304) 200  Промрукав PR16.2832</t>
  </si>
  <si>
    <t>https://promrukav-rus.ru/kryshka-otvetvitelya-t-obraznogo-standart-inox-aisi-304-100?ysclid=mhvu5p76cu220344498</t>
  </si>
  <si>
    <t>https://www.promrukav-shop.ru/product/prom-pr162830/81365?ysclid=mhvu7j36p305486039</t>
  </si>
  <si>
    <t>https://www.promrukav.ru/catalog/aksessuary-dlya-metallicheskikh-lotkov/kryshka-otvetvitelya-t-obraznogo-standart-inox-aisi-304-100-promrukav/?ysclid=mhvu5m5fpr985540160</t>
  </si>
  <si>
    <t>Крышка ответвителя  из нержавеющей стали Т-образного Стандарт  INOX (AISI 304) 100  Промрукав PR16.2830</t>
  </si>
  <si>
    <t>https://promrukav-rus.ru/kryshka-lotka-inox-aisi-304-100h3000-3-m-up?ysclid=mhvu2n9dmq722404930</t>
  </si>
  <si>
    <t>https://pro-tek.pro/catalog/pr16-2429-kryshka-lotka-inox-aisi-304-100h3000-3-m-up-promrukav.html?ysclid=mhvu2pm9yo585466367</t>
  </si>
  <si>
    <t>ООО «Протэк»</t>
  </si>
  <si>
    <t>https://www.promrukav.ru/catalog/kryshka-lotka/kryshka-lotka-inox-aisi-304-100kh3000-3-m-up-promrukav/?ysclid=mhvu2jrp9h825761801</t>
  </si>
  <si>
    <t>Крышка лотка  из нержавеющей стали  INOX (AISI 304) 100x3000  (3 м/уп) Промрукав PR16.2429</t>
  </si>
  <si>
    <t>https://promrukav-rus.ru/kryshka-lotka-inox-aisi-304-200h3000-3-m-up?ysclid=mhvu0lv5ls280575871</t>
  </si>
  <si>
    <t>https://pro-tek.pro/catalog/pr16-2432-kryshka-lotka-inox-aisi-304-200h3000-3-m-up-promrukav.html?ysclid=mhvu06h2fi47887970</t>
  </si>
  <si>
    <t>https://www.promrukav.ru/catalog/kryshka-lotka/kryshka-lotka-inox-aisi-304-200kh3000-3-m-up-promrukav/?ysclid=mhvtzn5aaj24617973</t>
  </si>
  <si>
    <t>Крышка лотка  из нержавеющей стали  INOX (AISI 304) 200x3000  (3 м/уп) Промрукав PR16.2432</t>
  </si>
  <si>
    <t>https://promrukav-rus.ru/lotok-perforirovannyj-standart-inox-aisi-304-100h100h3000-0-8-mm-3-m-up?ysclid=mhvtvzujs1915229613</t>
  </si>
  <si>
    <t>https://pro-tek.pro/catalog/pr16-2329-lotok-perforirovannyy-standart-inox-aisi-304-100h100h3000-0-8-mm-3-m-up-promrukav.html?ysclid=mhvtvgzw2t34553627</t>
  </si>
  <si>
    <t>https://www.promrukav.ru/catalog/lotok-perforirovannyy-standart/lotok-perforirovannyy-standart-inox-aisi-304-100kh100kh3000-0-8-mm-3-m-up-promrukav/?ysclid=mhvtsdv0o6987190057</t>
  </si>
  <si>
    <t>Лоток перфорированный  из нержавеющей стали  Стандарт INOX (AISI 304) 100x100x3000 (0,8мм) (3 м/уп) Промрукав PR16.2329</t>
  </si>
  <si>
    <t>https://promrukav-rus.ru/lotok-perforirovannyj-standart-inox-aisi-304-200h100h3000-0-8-mm-3-m-up?ysclid=mhvrao6dcs125145769</t>
  </si>
  <si>
    <t>https://pro-tek.pro/catalog/pr16-2334-lotok-perforirovannyy-standart-inox-aisi-304-200h100h3000-0-8-mm-3-m-up-promrukav.html?ysclid=mhvrhbihfx749808305</t>
  </si>
  <si>
    <t>https://www.promrukav.ru/catalog/lotok-perforirovannyy-standart/lotok-perforirovannyy-standart-inox-aisi-304-200kh100kh3000-0-8-mm-3-m-up-promrukav/?ysclid=mhvr99v4lx286211999</t>
  </si>
  <si>
    <t>Лоток перфорированный из нержавеющей стали Стандарт INOX (AISI 304) 200x100x3000 (0,8мм) (3 м/уп) Промрукав PR16.2334</t>
  </si>
  <si>
    <t>https://secumarket.ru/product/provod-silovoy-pugvng-a-lsltx-1h6-b-100m-trts-364025</t>
  </si>
  <si>
    <t>https://atlastpk.ru/catalog/pugvng-lsltx/pugvng-a-lsltx-1kh-6/?etext=&amp;yclid=4371708800242810879&amp;ybaip=1</t>
  </si>
  <si>
    <t>7713587786</t>
  </si>
  <si>
    <t>ООО "АТЛАC"</t>
  </si>
  <si>
    <t>https://silovoycable.ru/provod-pugvng-a-lsltx-1x6-yellow-green-cena?ysclid=mhvo800f22924891624</t>
  </si>
  <si>
    <t>ООО «Компания Силовой Электрокабель»</t>
  </si>
  <si>
    <t>км</t>
  </si>
  <si>
    <t>Провод ПуГВнг(A)-LSLTx 1x6 мм2</t>
  </si>
  <si>
    <t>https://silovoycable.ru/provod-pugvng-a-lsltx-1x25-yellow-green-cena?ysclid=mhvo5eq3vl417546051</t>
  </si>
  <si>
    <t>https://svetelektro.net/cable-wire/00-00133025-tsvetlit-kz.html</t>
  </si>
  <si>
    <t>https://atlastpk.ru/catalog/pugvng-lsltx/pugvng-a-lsltx-1kh-25/?etext=&amp;yclid=14551804292984733695&amp;ybaip=1</t>
  </si>
  <si>
    <t>Провод ПуГВнг(A)-LSLTx 1x25 мм2</t>
  </si>
  <si>
    <t>https://galla-cable.ru/VVGngA-LSLTx_1x95_mk-1</t>
  </si>
  <si>
    <t>ООО "Галла-Кабель М"</t>
  </si>
  <si>
    <t>https://secumarket.ru/product/provod-silovoy-pugvng-a-lsltx-1h95-0-belyy-trts-712419</t>
  </si>
  <si>
    <t>https://atlastpk.ru/catalog/pugvng-lsltx/pugvng-a-lsltx-1kh-95/?etext=&amp;yclid=3315839351110762495&amp;ybaip=1</t>
  </si>
  <si>
    <t>Провод ПуГВнг(A)-LSLTx 1x95 мм2</t>
  </si>
  <si>
    <t>02-01-03  ЭОМ  КА, КП, скрины (Листы 72)</t>
  </si>
  <si>
    <t>02-01-03  ЭОМ  КА, КП, скрины (Листы 71)</t>
  </si>
  <si>
    <t>02-01-03  ЭОМ  КА, КП, скрины (Листы 70)</t>
  </si>
  <si>
    <t>02-01-03  ЭОМ  КА, КП, скрины (Листы 69)</t>
  </si>
  <si>
    <t>02-01-03  ЭОМ  КА, КП, скрины (Листы 68)</t>
  </si>
  <si>
    <t>02-01-03  ЭОМ  КА, КП, скрины (Листы 67)</t>
  </si>
  <si>
    <t>02-01-03  ЭОМ  КА, КП, скрины (Листы 66)</t>
  </si>
  <si>
    <t xml:space="preserve"> ООО "Электролайт"</t>
  </si>
  <si>
    <t>https://www.etm.ru/cat/nn/2602130?utm_source=yandex&amp;utm_medium=yandex_search&amp;ysclid=mhuobjkuwl722814600</t>
  </si>
  <si>
    <t>https://www.elektrolight.ru/kabel/kabel-silovoy-vvgng-lsltx-5kh120/</t>
  </si>
  <si>
    <t>https://e-kc.ru/cena/cable-vvgng-lsltx-5-120?ysclid=mhuo7nk53h373993150</t>
  </si>
  <si>
    <t>Кабель ВВГнг(А)-LSLTx 5x120 мм2 (1000 В)</t>
  </si>
  <si>
    <t>246216786170</t>
  </si>
  <si>
    <t>ИП Воробьева Алина Александровна</t>
  </si>
  <si>
    <t>2462223577</t>
  </si>
  <si>
    <t>ООО ЭНЕРГОЗАЩИТА"</t>
  </si>
  <si>
    <t>2461026311</t>
  </si>
  <si>
    <t>ООО "Кабель Плюс Системы"</t>
  </si>
  <si>
    <t>02-01-03  ЭОМ  КА, КП, скрины (Листы 38 п.65; лист 46 п.65; лист 54 п.65)</t>
  </si>
  <si>
    <t>ЩСКС</t>
  </si>
  <si>
    <t>27.12.31.000</t>
  </si>
  <si>
    <t>02-01-03  ЭОМ  КА, КП, скрины (Листы 37 п.64; лист 46 п.64; лист 54 п.64)</t>
  </si>
  <si>
    <t>ЩС3.4</t>
  </si>
  <si>
    <t>02-01-03  ЭОМ  КА, КП, скрины (Листы 37 п.63; лист 45 п.63; лист 53 п.63)</t>
  </si>
  <si>
    <t>ЩС3.3</t>
  </si>
  <si>
    <t>02-01-03  ЭОМ  КА, КП, скрины (Листы 37 п.62; лист 45 п.62; лист 53 п.62)</t>
  </si>
  <si>
    <t>02-01-03  ЭОМ  КА, КП, скрины (Листы 37 п.61; лист 45 п.61; лист 53 п.61)</t>
  </si>
  <si>
    <t>ЩС3.1</t>
  </si>
  <si>
    <t>02-01-03  ЭОМ  КА, КП, скрины (Листы 37 п.60; лист 45 п.60; лист 53 п.60)</t>
  </si>
  <si>
    <t>ЩС2.4</t>
  </si>
  <si>
    <t>02-01-03  ЭОМ  КА, КП, скрины (Листы 37 п.59; лист 45 п.59; лист 53 п.59)</t>
  </si>
  <si>
    <t>ЩС2.3</t>
  </si>
  <si>
    <t>02-01-03  ЭОМ  КА, КП, скрины (Листы 36 п.58; лист 45 п.58; лист 53 п.58)</t>
  </si>
  <si>
    <t>ЩСК2.2</t>
  </si>
  <si>
    <t>02-01-03  ЭОМ  КА, КП, скрины (Листы 36 п.57; лист 45 п.57; лист 53 п.57)</t>
  </si>
  <si>
    <t>ЩСК2.1</t>
  </si>
  <si>
    <t>02-01-03  ЭОМ  КА, КП, скрины (Листы 36 п.56; лист 44 п.56; лист 53 п.56)</t>
  </si>
  <si>
    <t>ЩС1.4</t>
  </si>
  <si>
    <t>02-01-03  ЭОМ  КА, КП, скрины (Листы 36 п.55; лист 44 п.55; лист 52 п.55)</t>
  </si>
  <si>
    <t>ЩС1.3</t>
  </si>
  <si>
    <t>02-01-03  ЭОМ  КА, КП, скрины (Листы 36 п.54; лист 44 п.54; лист 52 п.54)</t>
  </si>
  <si>
    <t>ЩС1.2</t>
  </si>
  <si>
    <t>02-01-03  ЭОМ  КА, КП, скрины (Листы 36 п.53; лист 44 п.53; лист 52 п.53)</t>
  </si>
  <si>
    <t>ЩС1.1</t>
  </si>
  <si>
    <t>02-01-03  ЭОМ  КА, КП, скрины (Листы 36 п.52; лист 44 п.52; лист 52 п.52)</t>
  </si>
  <si>
    <t>ЩПБ-2</t>
  </si>
  <si>
    <t>02-01-03  ЭОМ  КА, КП, скрины (Листы 35 п.51; лист 44 п.51; лист 52 п.51)</t>
  </si>
  <si>
    <t>ЩПБ-1</t>
  </si>
  <si>
    <t>02-01-03  ЭОМ  КА, КП, скрины (Листы 35 п.50; лист 44 п.50; лист 52 п.50)</t>
  </si>
  <si>
    <t>ЩГЦ</t>
  </si>
  <si>
    <t>02-01-03  ЭОМ  КА, КП, скрины (Листы 35 п.49; лист 44 п.49; лист 52 п.49)</t>
  </si>
  <si>
    <t>ЩСК2</t>
  </si>
  <si>
    <t>02-01-03  ЭОМ  КА, КП, скрины (Листы 35 п.48; лист 43 п.48; лист 52 п.48)</t>
  </si>
  <si>
    <t>ЩСК1</t>
  </si>
  <si>
    <t>02-01-03  ЭОМ  КА, КП, скрины (Листы 35 п.47; лист 43 п.47; лист 51 п.47)</t>
  </si>
  <si>
    <t>ЩМТ-3</t>
  </si>
  <si>
    <t>02-01-03  ЭОМ  КА, КП, скрины (Листы 35 п.46; лист 43 п.46; лист 51 п.46)</t>
  </si>
  <si>
    <t>ЩМТ-2</t>
  </si>
  <si>
    <t>02-01-03  ЭОМ  КА, КП, скрины (Листы 35 п.45; лист 43 п.45; лист 51 п.45)</t>
  </si>
  <si>
    <t>ЩВК3</t>
  </si>
  <si>
    <t>02-01-03  ЭОМ  КА, КП, скрины (Листы 35 п.44; лист 43 п.44; лист 51 п.44)</t>
  </si>
  <si>
    <t>ЩВК2</t>
  </si>
  <si>
    <t>02-01-03  ЭОМ  КА, КП, скрины (Листы 34 п.43; лист 43 п.43; лист 51 п.43)</t>
  </si>
  <si>
    <t>ЩВК1</t>
  </si>
  <si>
    <t>02-01-03  ЭОМ  КА, КП, скрины (Листы 34 п.42; лист 43 п.42; лист 51 п.42)</t>
  </si>
  <si>
    <t>ЩА-В7</t>
  </si>
  <si>
    <t>02-01-03  ЭОМ  КА, КП, скрины (Листы 34 п.41; лист 43 п.41; лист 51 п.41)</t>
  </si>
  <si>
    <t>ЩА-В6</t>
  </si>
  <si>
    <t>02-01-03  ЭОМ  КА, КП, скрины (Листы 34 п.40; лист 43 п.40; лист 51 п.40)</t>
  </si>
  <si>
    <t>ЩА-В5</t>
  </si>
  <si>
    <t>02-01-03  ЭОМ  КА, КП, скрины (Листы 34 п.39; лист 43 п.39; лист 51 п.39)</t>
  </si>
  <si>
    <t>ЩА-В4</t>
  </si>
  <si>
    <t>02-01-03  ЭОМ  КА, КП, скрины (Листы 34 п.38; лист 42 п.38; лист 50 п.38)</t>
  </si>
  <si>
    <t>ЩА-В3</t>
  </si>
  <si>
    <t>02-01-03  ЭОМ  КА, КП, скрины (Листы 34 п.37; лист 42 п.37; лист 50 п.37)</t>
  </si>
  <si>
    <t>ЩА-В2</t>
  </si>
  <si>
    <t>02-01-03  ЭОМ  КА, КП, скрины (Листы 34 п.36; лист 42 п.36; лист 50 п.36)</t>
  </si>
  <si>
    <t>ЩА-В1</t>
  </si>
  <si>
    <t>02-01-03  ЭОМ  КА, КП, скрины (Листы 33 п.35; лист 42 п.35; лист 50 п.35)</t>
  </si>
  <si>
    <t>ЩСП</t>
  </si>
  <si>
    <t>02-01-03  ЭОМ  КА, КП, скрины (Листы 33 п.34; лист 42 п.34; лист 50 п.34)</t>
  </si>
  <si>
    <t>ЩПВ-2</t>
  </si>
  <si>
    <t>02-01-03  ЭОМ  КА, КП, скрины (Листы 33 п.33; лист 42 п.33; лист 50 п.33)</t>
  </si>
  <si>
    <t>ЩПВ-1</t>
  </si>
  <si>
    <t>02-01-03  ЭОМ  КА, КП, скрины (Листы 33 п.32; лист 42 п.32; лист 50 п.32)</t>
  </si>
  <si>
    <t>ЩОП</t>
  </si>
  <si>
    <t>02-01-03  ЭОМ  КА, КП, скрины (Листы 33 п.31; лист 42 п.31; лист 50 п.31)</t>
  </si>
  <si>
    <t>ЩОАП</t>
  </si>
  <si>
    <t>02-01-03  ЭОМ  КА, КП, скрины (Листы 33 п.30; лист 42 п.30; лист 50 п.30)</t>
  </si>
  <si>
    <t>ЩОА3.4</t>
  </si>
  <si>
    <t>02-01-03  ЭОМ  КА, КП, скрины (Листы 33 п.29; лист 41 п.29; лист 49 п.29)</t>
  </si>
  <si>
    <t>ЩОА3.3</t>
  </si>
  <si>
    <t>02-01-03  ЭОМ  КА, КП, скрины (Листы  33 п.28; лист 41 п.28; лист 49 п.28)</t>
  </si>
  <si>
    <t>ЩОА3.2</t>
  </si>
  <si>
    <t>02-01-03  ЭОМ  КА, КП, скрины (Листы 33 п.27; лист 41 п.27; лист 49 п.27)</t>
  </si>
  <si>
    <t>ЩОА3.1</t>
  </si>
  <si>
    <t>02-01-03  ЭОМ  КА, КП, скрины (Листы 32 п.26; лист 41 п.26; лист 49 п.26)</t>
  </si>
  <si>
    <t>ЩОА2.4</t>
  </si>
  <si>
    <t>02-01-03  ЭОМ  КА, КП, скрины (Листы 32 п.25; лист 41 п.25; лист 49 п.25)</t>
  </si>
  <si>
    <t>ЩОА2.3</t>
  </si>
  <si>
    <t>02-01-03  ЭОМ  КА, КП, скрины (Листы 32 п.24; лист 41 п.24; лист 49 п.24)</t>
  </si>
  <si>
    <t>ЩОА2.2</t>
  </si>
  <si>
    <t>02-01-03  ЭОМ  КА, КП, скрины (Листы 32 п.23; лист 41 п.23; лист 49 п.23)</t>
  </si>
  <si>
    <t>ЩОА2.1</t>
  </si>
  <si>
    <t>02-01-03  ЭОМ  КА, КП, скрины (Листы 32 п.22; лист 41 п.22; лист 49 п.22)</t>
  </si>
  <si>
    <t>ЩОА1.4</t>
  </si>
  <si>
    <t>02-01-03  ЭОМ  КА, КП, скрины (Листы 32 п.21; лист 41 п.21; лист 49 п.21)</t>
  </si>
  <si>
    <t>ЩОА1.3</t>
  </si>
  <si>
    <t>02-01-03  ЭОМ  КА, КП, скрины (Листы 32 п.20; лист 40 п.20; лист 48 п.20)</t>
  </si>
  <si>
    <t>ЩОА1.2</t>
  </si>
  <si>
    <t>02-01-03  ЭОМ  КА, КП, скрины (Листы 32 п.19; лист 40 п.19; лист 48 п.19)</t>
  </si>
  <si>
    <t>ЩОА1.1</t>
  </si>
  <si>
    <t>02-01-03  ЭОМ  КА, КП, скрины (Листы 31 п.18; лист 40 п.18; лист 48 п.18)</t>
  </si>
  <si>
    <t>ЩО3.4</t>
  </si>
  <si>
    <t>02-01-03  ЭОМ  КА, КП, скрины (Листы 31 п.17; лист 40 п.17; лист 48 п.17)</t>
  </si>
  <si>
    <t>ЩО3.3</t>
  </si>
  <si>
    <t>2462223576</t>
  </si>
  <si>
    <t>2461026310</t>
  </si>
  <si>
    <t>02-01-03  ЭОМ  КА, КП, скрины (Листы 31 п.16; лист 40 п.16; лист 48 п.16)</t>
  </si>
  <si>
    <t>ЩО3.2</t>
  </si>
  <si>
    <t>2462223575</t>
  </si>
  <si>
    <t>2461026309</t>
  </si>
  <si>
    <t>02-01-03  ЭОМ  КА, КП, скрины (Листы 31 п.15; лист 40 п.15; лист 48 п.15)</t>
  </si>
  <si>
    <t>ЩО3.1</t>
  </si>
  <si>
    <t>2462223574</t>
  </si>
  <si>
    <t>2461026308</t>
  </si>
  <si>
    <t>02-01-03  ЭОМ  КА, КП, скрины (Листы 31 п.14; лист 40 п.14; лист 48 п.14)</t>
  </si>
  <si>
    <t>ЩО2.4</t>
  </si>
  <si>
    <t>2462223573</t>
  </si>
  <si>
    <t>2461026307</t>
  </si>
  <si>
    <t>02-01-03  ЭОМ  КА, КП, скрины (Листы 31 п.13; лист 40 п.13; лист 48 п.13)</t>
  </si>
  <si>
    <t>ЩО2.3</t>
  </si>
  <si>
    <t>2462223572</t>
  </si>
  <si>
    <t>2461026306</t>
  </si>
  <si>
    <t>02-01-03  ЭОМ  КА, КП, скрины (Листы 31 п.12; лист 40 п.12; лист 48 п.12)</t>
  </si>
  <si>
    <t>ЩО2.2</t>
  </si>
  <si>
    <t>2462223571</t>
  </si>
  <si>
    <t>2461026305</t>
  </si>
  <si>
    <t>02-01-03  ЭОМ  КА, КП, скрины (Листы 30 п.11; лист 39 п.11; лист 47 п.11)</t>
  </si>
  <si>
    <t>ЩО2.1</t>
  </si>
  <si>
    <t>2462223570</t>
  </si>
  <si>
    <t>2461026304</t>
  </si>
  <si>
    <t>02-01-03  ЭОМ  КА, КП, скрины (Листы 30 п.10; лист 39 п.10; лист 47 п.10)</t>
  </si>
  <si>
    <t>ЩО1.4</t>
  </si>
  <si>
    <t>2462223569</t>
  </si>
  <si>
    <t>2461026303</t>
  </si>
  <si>
    <t>02-01-03  ЭОМ  КА, КП, скрины (Листы 30 п.9; лист 39 п.9; лист 47 п.9)</t>
  </si>
  <si>
    <t>ЩО1.3</t>
  </si>
  <si>
    <t>2462223568</t>
  </si>
  <si>
    <t>2461026302</t>
  </si>
  <si>
    <t>02-01-03  ЭОМ  КА, КП, скрины (Листы 30 п.8; лист 39 п.8; лист 47 п.8)</t>
  </si>
  <si>
    <t>ЩО1.2</t>
  </si>
  <si>
    <t>2462223567</t>
  </si>
  <si>
    <t>2461026301</t>
  </si>
  <si>
    <t>02-01-03  ЭОМ  КА, КП, скрины (Листы 30 п.7; лист 39 п.7; лист 47 п.7)</t>
  </si>
  <si>
    <t>ЩО1.1</t>
  </si>
  <si>
    <t>2462223566</t>
  </si>
  <si>
    <t>2461026300</t>
  </si>
  <si>
    <t>02-01-03  ЭОМ  КА, КП, скрины (Листы 30 п.6; лист 39 п.6; лист 47 п.6)</t>
  </si>
  <si>
    <t>ЩМТ-1</t>
  </si>
  <si>
    <t>02-01-03  ЭОМ  КА, КП, скрины (Листы 19 п.7; лист 25 п.7; лист 29 п.7)</t>
  </si>
  <si>
    <t>УКРМ 50-10</t>
  </si>
  <si>
    <t>02-01-03  ЭОМ  КА, КП, скрины (Листы 19 п.6; лист 24 п.6; лист 28 п.6)</t>
  </si>
  <si>
    <t>Панель ПЭСПЗ  с АВР</t>
  </si>
  <si>
    <t>02-01-03  ЭОМ  КА, КП, скрины (Листы 18 п.5; лист 23 п.5; лист 28 п.5)</t>
  </si>
  <si>
    <t>Панель ЩГП с АВР</t>
  </si>
  <si>
    <t>02-01-03  ЭОМ  КА, КП, скрины (Листы 18 п.4; лист 23 п.4; лист 27 п.4)</t>
  </si>
  <si>
    <t>Распределительная панель РП-2</t>
  </si>
  <si>
    <t>02-01-03  ЭОМ  КА, КП, скрины (Листы 17 п.3; лист 22 п.3; лист 27 п.3)</t>
  </si>
  <si>
    <t>Распределительная панель РП-1</t>
  </si>
  <si>
    <t>02-01-03  ЭОМ  КА, КП, скрины (Листы 17 п.2; лист 22 п.2; лист 26 п.2)</t>
  </si>
  <si>
    <t>Вводная панель ВП2</t>
  </si>
  <si>
    <t>02-01-03  ЭОМ  КА, КП, скрины (Листы 16 п.1; лист 21 п.1; лист 26 п.1)</t>
  </si>
  <si>
    <t>Вводная панель ВП1</t>
  </si>
  <si>
    <t>02-01-03 ЭОМ</t>
  </si>
  <si>
    <t>Капитальный ремонт здания Государственного бюджетного общеобразовательного учреждения города Москвы "Школа №236"  по адресу: г. Москва, улица Клязьминская, дом 7, корпус 4</t>
  </si>
  <si>
    <t>Сводная таблица результатов конъюктурного анализа</t>
  </si>
  <si>
    <r>
      <t xml:space="preserve">                                                                                                                                                                                                                  </t>
    </r>
    <r>
      <rPr>
        <u/>
        <sz val="12"/>
        <color rgb="FF000000"/>
        <rFont val="Times New Roman"/>
        <family val="1"/>
        <charset val="204"/>
      </rPr>
      <t xml:space="preserve"> К.Н. Сухов</t>
    </r>
    <r>
      <rPr>
        <sz val="12"/>
        <color rgb="FF000000"/>
        <rFont val="Times New Roman"/>
        <family val="1"/>
        <charset val="204"/>
      </rPr>
      <t xml:space="preserve">
</t>
    </r>
  </si>
  <si>
    <t>К.Н. Сухов</t>
  </si>
  <si>
    <t xml:space="preserve">
</t>
  </si>
  <si>
    <t>Заказчик: АНО "РГТ"</t>
  </si>
  <si>
    <t>ООО «Сантехника-Тут»</t>
  </si>
  <si>
    <t>https://santehnika-tut.ru/product/gigienicheskij-dush-so-smesitelem-ideal-standard-ideal-spray-bd130aa-hrom-481056.html?ysclid=mn2yev8ii6961816188</t>
  </si>
  <si>
    <t>ООО «СатраСан»</t>
  </si>
  <si>
    <t>https://satra.ru/dush/gigienicheskiy_dush_ideal_standard_idealspray_bd130aa_so_smesitelem/?utm_source=yandex&amp;utm_medium=cpc&amp;utm_campaign=satra_y_mmo_s_dsa_dm_tgb_merchant_cpc%7Cst:search%7Ccid:98870648&amp;utm_content=pt:dynamic_places%7Cpos:1%7Cpid:53238749628%7Cr:53238749628%7Cdevice:desktop%7Cregion:Москва%7Cgeoid:213%7Ccid:98870648%7Cgid:5314582835%7Caid:15228802993%7Csrc:yandex.ru%7Cst:search%7C$gu%7Cyd%7Ccid:98870648%7Cgid:5314582835%7Caid:15228802993%7Cpid:53238749628%7Catid:53238749628%7Crid:53238749628%7Cregid:213%7Csrc:yandex.ru%7Cstype:search%7Cptype:dynamic_places%7Cpos:1%7Cdtype:desktop$&amp;utm_term=---autotargeting%7Cadp:no&amp;etext=&amp;yclid=12259081479100825599&amp;ybaip=1</t>
  </si>
  <si>
    <t>9715287781</t>
  </si>
  <si>
    <t>ООО «ТЕРМОКИТ-СЕРВИС»</t>
  </si>
  <si>
    <t>https://www.termokit.ru/product/vstraivaemyy_smesitel_s_gigienicheskim_dushem_ideal_standard_idealspray_khrom_bd130aa.htm</t>
  </si>
  <si>
    <t>02-01-04  Система водоснабжения КА, скрины, л.15</t>
  </si>
  <si>
    <t>Гигиенический душ</t>
  </si>
  <si>
    <t xml:space="preserve">28.14.12	</t>
  </si>
  <si>
    <t>10.09.2025г.</t>
  </si>
  <si>
    <t>ИП КАТАРАЕВ КОНСТАНТИН СЕРГЕЕВИЧ</t>
  </si>
  <si>
    <t>https://tcprofi.ru/catalog/truboprovodnaya_armatura/termostaticheskie_smesiteli/far_fa_3958_175ru_smesitel_termostaticheskiy_latunnyy_1_s_nakidnoy_gaykoy_1_1_2_40_75_s/?ysclid=mnq2w3m360257682377</t>
  </si>
  <si>
    <t>ИП «Авалян С. К.»</t>
  </si>
  <si>
    <t>https://santshop.ru/product/smesitel-termostaticheskiy-latunnyy-1-s-nakidnoy-gaykoy-1-1-2-far/?ysclid=mnq1ta6tp4273498142</t>
  </si>
  <si>
    <t>https://www.vseinstrumenti.ru/product/latunnyj-termostaticheskij-smesitel-far-1-s-nakidnoj-gajkoj-1-1-2-3958-1ru-5508529/?ysclid=mnq1rwxy9r15546057</t>
  </si>
  <si>
    <t>02-01-04  Система водоснабжения КА, скрины, л.14</t>
  </si>
  <si>
    <t>Термостатический смеситель латунный 1"</t>
  </si>
  <si>
    <t>28.14.13</t>
  </si>
  <si>
    <t>https://stoking.ru/products/termostaticheskiy-smesitel-far-3-4-nr-tmax-950c?utm_source=yandex_direct&amp;utm_medium=cpc&amp;utm_campaign=Stoking_Reguliruyushhee_oborudovanie_Feed_Search_OrderCRM%7C700076526&amp;utm_content=gid%7C5581211601%7Caid%7C1875216892194304994&amp;utm_term=---autotargeting%7C205581211601%7Cret%7C205581211601%7Csearch%7Cnone&amp;etext=2202.LtN14y_7i10gLiyMmpvQda1rJCj4Lp14xavG4i0aTPVEaqBg0dHHn2BriDCN4wgnqorpakzwsYGB81qxpuzg4TAvqYgJUyVnUoFLY-Xo-1cza20IIqoH_ffZawWMMxVRFkE9xwEFSomj2g1Vcrq6mlwhjBmHVdV0hKBELATe4JRzOh6xzEB-KUZ1aLMYFrwLO4xoh8H40bWH_OMiwlOlJ8QIW2qtG3G9dHD79GIBGuJ0c21hdmFpa2F4emV2Y2Np.c4fab2c2fbd3772d7f84286bc462d8cea620f6d6&amp;yclid=15632166230967713791&amp;ybaip=1</t>
  </si>
  <si>
    <t>https://www.vseinstrumenti.ru/product/termostaticheskij-smesitel-far-amerikanka-3-4-fa-3956-34-5120917/</t>
  </si>
  <si>
    <t>7705674361</t>
  </si>
  <si>
    <t>ООО «Лунда»</t>
  </si>
  <si>
    <t>https://lunda.ru/catalog/category/c13162/product/termostaticheskij-smesitel-termofar-amerikanka_35926/item/c3510.html</t>
  </si>
  <si>
    <t>02-01-04  Система водоснабжения КА, скрины, л.13</t>
  </si>
  <si>
    <t>Термостатический смеситель латунный 3/4"</t>
  </si>
  <si>
    <t>ООО «САНИ-Консультант»</t>
  </si>
  <si>
    <t>https://tmtmarket.ru/item/far-termofar-fa-3950-12-klapan-termostaticheskiy-smesitelnyy-25-65c-12-vr-kvs-22-centralnoe-smeshivanie44.html?ysclid=mnq04mypvr501027801</t>
  </si>
  <si>
    <t>ООО "Торговый дом "Евразия"</t>
  </si>
  <si>
    <t>https://all4bath.ru/inzhenernaya-santekhnika/reguliruyushchaya-armatura/termostaticheskiy-smesitel-termofar-s-obratnymi-klapanami-na-podvodyashchikh-patrubkakh-fa-3956-nr-amerikanka-far-fa-3956-12vr/?yclid=14474672137944170495&amp;ybaip=1</t>
  </si>
  <si>
    <t>https://lunda.ru/catalog/category/c13162/product/termostaticheskij-smesitel-termofar-amerikanka_117346.html?ysclid=mnpzx8qxo6638638297</t>
  </si>
  <si>
    <t>02-01-04  Система водоснабжения КА, скрины, л.12</t>
  </si>
  <si>
    <t>Термостатический смеситель латунный 1/2"</t>
  </si>
  <si>
    <t>https://www.chipdip.ru/product/membrannyy-reduktsionnyy-klapan-dprv-l-du25-vr-1-sanext-8029074170</t>
  </si>
  <si>
    <t>https://www.vseinstrumenti.ru/product/membrannyj-reduktsionnyj-klapan-sanext-dprv-l-du25-vr-1-8557-10935266/#searchQuery=Мембранный+редукционный+клапан+SANEXT+DPRV-L+ДУ25&amp;searchType=srp</t>
  </si>
  <si>
    <t>9727096975</t>
  </si>
  <si>
    <t>ООО "Купатика ПРО"</t>
  </si>
  <si>
    <t>https://www.kupatika.ru/goods/membrannyy-reduktsionnyy-klapan-sanext-dprv-l-du25-vr-1-8557/</t>
  </si>
  <si>
    <t>02-01-04  Система водоснабжения КА, скрины, л.11</t>
  </si>
  <si>
    <t>Редуктор давления "после себя" муфтовый Ø25</t>
  </si>
  <si>
    <t>https://www.chipdip.ru/product/membrannyy-reduktsionnyy-klapan-dprv-l-du20-vr-3-4-sanext-8029158476?ysclid=mlrso40wr7192547055</t>
  </si>
  <si>
    <t>https://www.vseinstrumenti.ru/product/membrannyj-reduktsionnyj-klapan-sanext-dprv-l-du20-vr-3-4-8556-10935578/?ysclid=mlrsr8opb3459168216&amp;utm_referrer=https://yandex.ru/</t>
  </si>
  <si>
    <t>https://www.kupatika.ru/goods/membrannyy-reduktsionnyy-klapan-sanext-dprv-l-du20-vr-3-4-8556/?ysclid=mlrslznky1100762722</t>
  </si>
  <si>
    <t>02-01-04  Система водоснабжения КА, скрины, л.10</t>
  </si>
  <si>
    <t>Редуктор давления "после себя" муфтовый Ø20</t>
  </si>
  <si>
    <t>https://www.chipdip.ru/product/membrannyy-reduktsionnyy-klapan-dprv-l-du15-vr-1-2-sanext-8029158448</t>
  </si>
  <si>
    <t>https://www.vseinstrumenti.ru/product/membrannyj-reduktsionnyj-klapan-sanext-dprv-l-du15-vr-1-2-8555-10935398/#searchQuery=Мембранный+редукционный+клапан+SANEXT+DPRV-L+ДУ15&amp;searchType=srp</t>
  </si>
  <si>
    <t>https://www.kupatika.ru/goods/membrannyy-reduktsionnyy-klapan-sanext-dprv-l-du15-vr-1-2-8555/</t>
  </si>
  <si>
    <t>02-01-04  Система водоснабжения КА, скрины, л.9</t>
  </si>
  <si>
    <t>Редуктор давления "после себя" муфтовый Ø15</t>
  </si>
  <si>
    <t>ООО "КРУБУС"</t>
  </si>
  <si>
    <t>https://gazovie-kotly.ru/thermex-topflow-15000</t>
  </si>
  <si>
    <t>772160787760</t>
  </si>
  <si>
    <t>ИП Гринько Р. И.</t>
  </si>
  <si>
    <t>https://santehnika1.ru/catalog/vodonagrevateli/vodonagrevatel_thermex_topflow_15000_protochnyy/?utm_source=YA-TRADE&amp;utm_campaign=YA-TRADE&amp;ysclid=mi2unmd1s7907721772</t>
  </si>
  <si>
    <t>https://stoking.ru/products/vodonagrevatel-thermex-titaniumheat-100-v-bak-stalnoy-emal-kruglyy-vert-1-5-kvt?utm_source=yandex_direct&amp;utm_medium=cpc&amp;utm_campaign=Stoking_10_kategorij_Feed_Search_OrderCRM%7C702386702&amp;utm_content=gid%7C5625296493%7Caid%7C1883394557170599790&amp;utm_term=---autotargeting%7C205625296493%7Cret%7C205625296493%7Csearch%7Cnone&amp;ybaip=1&amp;yclid=393076593731305471</t>
  </si>
  <si>
    <t>02-01-04  Система водоснабжения КА, скрины, л.8</t>
  </si>
  <si>
    <t xml:space="preserve">Водонагреватель  THERMEX TitaniumHeat 100 V. Тип работы: накопительный. Тип монтажа: настенный. Способ подачи воды: напорный. Напряжение: Э1ф 220В. Мощность:1,5кВт. Производительность 100 л/час. Максимальная температура нагрева не ниже 70°C. Степень защиты от воды не менее 4 в соответствии с ГОСТ 14254-2015 "Степени защиты, обеспечиваемые оболочками (Код IP)".THERMEX TitaniumHeat 100 V </t>
  </si>
  <si>
    <t>27.51.25.110</t>
  </si>
  <si>
    <t>ИП Ванесян Рафик Григорович</t>
  </si>
  <si>
    <t>https://santex-house.ru/product/vodonagrevatel-elektricheskij-protochnij-thermex-topflow-15000-211021/</t>
  </si>
  <si>
    <t>https://www.vseinstrumenti.ru/product/protochnyj-elektricheskij-vodonagrevatel-termeks-topflow-15000-edeb00393-875625/?utm_campaign=webmaster&amp;utm_content=875625&amp;utm_medium=organic&amp;utm_source=Yandex&amp;utm_term=875625&amp;ysclid=mi2u1v984h109872443</t>
  </si>
  <si>
    <t>ООО "Г Групп"</t>
  </si>
  <si>
    <t>https://a118.ru/catalog/protochnye_vodonagrevateli/vodonagrevatel_protochnyy_termeks_topflow_15000/</t>
  </si>
  <si>
    <t>02-01-04  Система водоснабжения КА, скрины, л.7</t>
  </si>
  <si>
    <t>Водонагреватель Thermex Topflow 1500. Тип работы: проточный. Тип монтажа: настенный. Способ подачи воды: напорный. Напряжение: 3ф; 380В. Мощность: 15 кВт. Производительность  100 л/час. Максимальная температура нагрева не ниже 70°C. Степень защиты от воды не менее 4 в соответствии с ГОСТ 14254-2015 "Степени защиты, обеспечиваемые оболочками (Код IP)".</t>
  </si>
  <si>
    <t>ООО «ЕВРОТОРГ»</t>
  </si>
  <si>
    <t>https://santehnika1.ru/catalog/vodonagrevateli/vodonagrevatel_thermex_titaniumheat_30_v_slim_nakopitelnyy/?utm_source=YA-TRADE&amp;utm_campaign=YA-TRADE&amp;ysclid=mi2truozf7300304052</t>
  </si>
  <si>
    <t>ООО «Энтузиаст-С»</t>
  </si>
  <si>
    <t>https://www.kuvalda.ru/catalog/10578/product-81715/?utm_source=yandex.direct&amp;utm_medium=cpc&amp;utm_campaign=EPK_Moskvagoroda_prisustviya_DO_poisk&amp;utm_content=1889037615918727046_5655961869_none__%7Badtargetid%7D&amp;utm_term=---autotargeting&amp;ybaip=1&amp;yclid=17232772019588694015</t>
  </si>
  <si>
    <t>370210219271</t>
  </si>
  <si>
    <t>ИП “Арутюнян Геворг Гнелович”</t>
  </si>
  <si>
    <t>https://rigaplast.ru/vodonagrevatel-nakopitelnyy-elektricheskiy-titaniumheat-30-v-slim-thermex/?ybaip=1&amp;yclid=9815725542679248895</t>
  </si>
  <si>
    <t>02-01-04  Система водоснабжения КА, скрины, л.6</t>
  </si>
  <si>
    <t>Водонагреватель THERMEX TitaniumHeat 30 V. Тип работы: накопительный. Тип монтажа: настенный. Способ подачи воды: напорный. Напряжение: Э1ф 220В. Мощность:1,5кВт. Производительность  30 л/час. Максимальная температура нагрева не ниже 70°C. Степень защиты от воды не менее 4 в соответствии с ГОСТ 14254-2015 "Степени защиты, обеспечиваемые оболочками (Код IP)".</t>
  </si>
  <si>
    <t xml:space="preserve">	7716807310</t>
  </si>
  <si>
    <t>ООО "Византия"</t>
  </si>
  <si>
    <t>https://sanok.ru/smesiteli/dushirujushhie-ustrojstva/ustrojstvo-dushirujushhee-monolith-eramini252</t>
  </si>
  <si>
    <t xml:space="preserve">ООО "НАВИ" </t>
  </si>
  <si>
    <t>https://www.refro.ru/product/ustroystvo-dushiruyushchee-monolith-eramini252/?ysclid=mi2sajjfjw882076291</t>
  </si>
  <si>
    <t>ООО "АРМЛАЙН"</t>
  </si>
  <si>
    <t>https://armln.ru/catalog/professionalnoe-oborudovanie-dlya-kukhni-i-torgovykh-zalov/dushiruyushchie-ustroystva-i-smesiteli/dushiruyushchie-ustroystvo-monolith-eramini252-s-kranom-smesitelem-loktevoy/?ysclid=mi2rs3cmgj31693589</t>
  </si>
  <si>
    <t>02-01-04  Система водоснабжения КА, скрины, л.5</t>
  </si>
  <si>
    <t xml:space="preserve">Душирующее устройство со встроенным локтевым смесителем, длина излива не менее 255мм, крепление к стене. </t>
  </si>
  <si>
    <t>25.99.1</t>
  </si>
  <si>
    <t>ООО «СМП Марко»</t>
  </si>
  <si>
    <t>https://aqua-mania.ru/katalog/pissuari/slivnie-ustroistva-i-sifoni-dlya-pissuarov/377570-smivnoi-klapan-podvoda-vodi-dlya-pissuara-ledeme-lh506-1</t>
  </si>
  <si>
    <t>ООО «ПОСТАВКА»</t>
  </si>
  <si>
    <t>https://www.ledeme-store.ru/sensernyy-kran-dlya-pissuarov-ledeme-lh506-1/?utm_source=YandexDirect&amp;utm_medium=cpc&amp;utm_campaign=116528326&amp;utm_content=1861578855979531543&amp;utm_term=---autotargeting&amp;yclid=7143718836415496191</t>
  </si>
  <si>
    <t>ООО "Алсера СТ"</t>
  </si>
  <si>
    <t>https://dispenseri.ru/catalog/santekhnika/krany_dlya_pissuarov/krany_dlya_pissuarov_sensornye/sensornyy_kran_dlya_pissuarov_ledeme_lh506_1.html?utm_medium=cpc&amp;utm_campaign=im-rf-srch-do&amp;utm_source=yandex&amp;utm_content&amp;yclid=5136679050430906367&amp;ysclid=mi2r60rt1438249070</t>
  </si>
  <si>
    <t>02-01-04  Система водоснабжения КА, скрины, л.4</t>
  </si>
  <si>
    <t xml:space="preserve">Водоразборный кран для писуара сенсорный бесконтактный с инфракр. датчиком (сенсорное упр.) (работа от электросети, без батареек) </t>
  </si>
  <si>
    <t>28.14.12.110</t>
  </si>
  <si>
    <t>ИП Бычкова А.А.</t>
  </si>
  <si>
    <t>https://stworki.ru/product/dushevaya-stoyka-stworki-vestfoll-wh626-c-khrom-37248/?ysclid=mi2pc08pn77641153</t>
  </si>
  <si>
    <t>https://santehnika-tut.ru/product/dushevaya-sistema-stworki-vestfoll-wh626c-cvet-hrom-619751.html?ysclid=mhyvr9koqy465796174</t>
  </si>
  <si>
    <t>235201128300</t>
  </si>
  <si>
    <t>ИП Белов Сергей Александрович</t>
  </si>
  <si>
    <t>https://santehnika-online.ru/product/dushevaya_stoyka_stworki_vestfoll_wh626_c_khrom/628950/?utm_campaign=Moskva&amp;utm_content=628950&amp;utm_medium=organic&amp;utm_source=yandex_tovary&amp;utm_term=628950&amp;ysclid=mhyvnetk2x800601952</t>
  </si>
  <si>
    <t>02-01-04  Система водоснабжения КА, скрины, л.3</t>
  </si>
  <si>
    <t xml:space="preserve">Душевая стойка без выхода для подачи воды, хром ,глянец, с монтажной частью для душевого гарнитура (хром) и встроенный однорычажный смеситель для душа с переключением на два потока, внешняя и внутренняя части, хром глянец </t>
  </si>
  <si>
    <t>ИП Панько Сергей</t>
  </si>
  <si>
    <t>https://snabsanteh.ru/catalog/polotentsesushiteli-stile/polotentsesushitel-vodyanoy-stile-versiya-b2-60x50.html?ysclid=mhytyrlsfz643008337</t>
  </si>
  <si>
    <t>ООО «САНТЕХНИКА-РУМ»</t>
  </si>
  <si>
    <t>https://www.santehnika-room.ru/polotencesushiteli/vodyanye/ps-stile-versiya-b2-600h500-6-g-18-bez-pokrytiya-00612-6050/yprice</t>
  </si>
  <si>
    <t>https://satra.ru/polotencesushiteli/polotencesushitel_vodyanoj_stil_e_versiya-b2_60x50/</t>
  </si>
  <si>
    <t>02-01-04  Система водоснабжения КА, скрины, л.2</t>
  </si>
  <si>
    <t>Полотенцесушитель электрический по типу ZIGZAG Модель Е, Стилье Версия-Б2</t>
  </si>
  <si>
    <t xml:space="preserve">	27.51.26.110</t>
  </si>
  <si>
    <t>Система водоснабжения</t>
  </si>
  <si>
    <t>02-01-04</t>
  </si>
  <si>
    <t>Наиболее экономичная цена за единицу, руб. с НДС 20 %</t>
  </si>
  <si>
    <t>Код ресурса (на основе ОКПД 2)</t>
  </si>
  <si>
    <t>Капитальный ремонт здания Государственного бюджетного общеобразовательного учреждения города Москвы "Школа № 236" по адресу: г. Москва ул. Клязьминская, д. 7 к. 4. 1 этап</t>
  </si>
  <si>
    <t>26.08.2025г.</t>
  </si>
  <si>
    <t>7729678527</t>
  </si>
  <si>
    <t>ООО «ВНЕШТОРГ МОСКВА»</t>
  </si>
  <si>
    <t>https://comtermo.ru/products/truba-dlya-vnutrenney-kanalizatsii-sinikon-50-x-1000mm-500049/</t>
  </si>
  <si>
    <t>ИП Денис Александрович Ж.</t>
  </si>
  <si>
    <t>https://termag.ru/product/sinikon-standart-truba-50x1000-mm-seraya-vnutrennyaya-kanalizatsionnaya-500049</t>
  </si>
  <si>
    <t>7722443220</t>
  </si>
  <si>
    <t>ООО "СНАБЛАЙН"</t>
  </si>
  <si>
    <t>https://snabline.com/shop/product/truba-kanalizatsionnaya-vnutrennyaya-sinikon-gost-32414-2013-polipropilenovaya-seryy-50x1.8x1000-mm-artikul-tov-102475?ysclid=mo2ipeuyv8265048271</t>
  </si>
  <si>
    <t>02-01-05  Система водоотведения КА, скрины, л. 26</t>
  </si>
  <si>
    <t>Трубы канализационные раструбные марки ПП, ГОСТ  32412-213, Д=50</t>
  </si>
  <si>
    <t>22.21.29</t>
  </si>
  <si>
    <t>https://comtermo.ru/products/truba-dlya-vnutrenney-kanalizatsii-sinikon-110-x-1000mm-500089/</t>
  </si>
  <si>
    <t>https://termag.ru/product/sinikon-standart-truba-110x1000-mm-seraya-vnutrennyaya-kanalizatsionnaya-500089</t>
  </si>
  <si>
    <t>https://snabline.com/shop/product/truba-kanalizatsionnaya-vnutrennyaya-sinikon-gost-32414-2013-polipropilenovaya-seryy-110x2.7x1000-mm-artikul-tov-102482</t>
  </si>
  <si>
    <t>02-01-05  Система водоотведения КА, скрины, л. 25</t>
  </si>
  <si>
    <t>Трубы канализационные раструбные марки ПП, ГОСТ  32412-213, Д=110</t>
  </si>
  <si>
    <t>5032078104</t>
  </si>
  <si>
    <t>ООО «Насос-Центр»</t>
  </si>
  <si>
    <t>https://nasoscentr.ru/catalog/gnom-10-10g.html?ysclid=mnrap0b8ya782604009</t>
  </si>
  <si>
    <t xml:space="preserve">	5032203700</t>
  </si>
  <si>
    <t xml:space="preserve">	ООО «НП Московского насосного завода»</t>
  </si>
  <si>
    <t>https://www.mos-nasos.ru/catalog/gnom10-10g.html?ysclid=mnraot5ww7610472901</t>
  </si>
  <si>
    <t>7736192449</t>
  </si>
  <si>
    <t>ООО "Сантехкомплект"</t>
  </si>
  <si>
    <t>https://www.santech.ru/catalog/469/476/i622/v1/</t>
  </si>
  <si>
    <t>02-01-05  Система водоотведения КА, скрины, л. 24</t>
  </si>
  <si>
    <t xml:space="preserve">Насос дренажный Q=10м³/ч; Н=10м; U=3х380В; N=1,1кВт Гном 10-10Г </t>
  </si>
  <si>
    <t>28.13.14</t>
  </si>
  <si>
    <t>5029199148</t>
  </si>
  <si>
    <t>https://santehnika-tut.ru/product/installyaciya-vitra-frame-8803800-dlya-piscuara-sinyaya-502457.html?ysclid=mnr6xq8qnf686637433</t>
  </si>
  <si>
    <t>https://www.santehnika-room.ru/sistemy-installyacii/dlya-pissuarov/rama-skrytmontazha-d-pissuara-880-3800?yclid=8308885877685223423</t>
  </si>
  <si>
    <t>772795206514</t>
  </si>
  <si>
    <t>ИП Бычкова Анна Асановна</t>
  </si>
  <si>
    <t>https://santehnika-online.ru/product/installyatsiya_dlya_pissuara_vitra_frame_kreplenie_k_polu_i_stene/627648/?utm_source=direct&amp;utm_medium=cpc&amp;utm_campaign=y_s_epk_vendor_0_0_0_rf_dm_ttov_au-117723644&amp;utm_content=ST:search%7CS:yandex.ru%7CAP:no%7CPT:dynamic_places%7CP:1%7CDT:desktop%7CRI:213%7CRN:Москва%7CCI:117723644%7CGI:5536010679%7CPI:54188339099%7CAI:1866979669979923826%7CKW:---autotargeting%7CMT:%7CMK:&amp;utm_term=---autotargeting&amp;etext=&amp;ybaip=1</t>
  </si>
  <si>
    <t>02-01-05  Система водоотведения КА, скрины, л. 23</t>
  </si>
  <si>
    <t>Инсталляция для подвесного писсуара</t>
  </si>
  <si>
    <t>23.42.10</t>
  </si>
  <si>
    <t>773472845716</t>
  </si>
  <si>
    <t>ИП Мазур Андрей Георгиевич</t>
  </si>
  <si>
    <t>https://shop-sanequip.ru/products/pissuar-santek-gala-wh301774.html?yclid=16580378088120254463&amp;ybaip=1</t>
  </si>
  <si>
    <t>https://www.santehnika-room.ru/pissuary/vneshnij-podvod/komplekt-pissuar-santek-gala-wh301774-podvesnoj-smyvnoe-ustrojstvo-alcaplast-ats001-knopochnyj-ventil-sifon-dlya-pissuara-alcaplast-a45b</t>
  </si>
  <si>
    <t>https://santehnika-online.ru/product/komplekt_pissuar_santek_gala_1wh301774_podvesnoy_smyv_alcaplast_ats001_knopochnyy_ventil_sifon_a45b/313597/?ysclid=mnr5hbqyx6773912457</t>
  </si>
  <si>
    <t>02-01-05  Система водоотведения КА, скрины, л. 22</t>
  </si>
  <si>
    <t>Писсуар подвесной в комплекте с арматурой</t>
  </si>
  <si>
    <t>ООО "Росбыт"</t>
  </si>
  <si>
    <t>ООО «МИРКЛИ»</t>
  </si>
  <si>
    <t>02-01-05  Система водоотведения КА, скрины, л. 21</t>
  </si>
  <si>
    <t xml:space="preserve">Тумба с раковиной (602х465х700) для медблока </t>
  </si>
  <si>
    <t>02-01-05  Система водоотведения КА, скрины, л. 20</t>
  </si>
  <si>
    <t>Тумба с раковиной в учебные классы и лаборантские Размер 400х300х500</t>
  </si>
  <si>
    <t>https://rosbyt.ru/catalog/esq-gnom-7-7-32-0-37-220/?utm_source=yandex.webmaster&amp;utm_medium=organic&amp;utm_campaign=tovary&amp;utm_content=drenazhnye-nasosy-100-l-min&amp;utm_term=268559</t>
  </si>
  <si>
    <t>https://mircli.ru/ESQ-gnom-7-7-32-0-37-220/?utm_source=yandex&amp;utm_medium=cpc&amp;utm_campaign=MSK_%7C_Tovarnaya_kampaniya_DRR&amp;utm_term=ST:search%7CS:yandex.ru%7CAP:no%7CPT:dynamic_places%7CP:2%7CDT:desktop%7CRI:213%7CRN:Москва%7CCI:82141815%7CGI:5113132577%7CPI:42866353254%7CAI:17248346155%7CKW:---autotargeting%7CMT:%7CMK:&amp;utm_content=procontext&amp;roistat=direct16_search_17248346155_---autotargeting&amp;roistat_referrer=yandex.ru&amp;roistat_pos=dynamic_places_2&amp;mango=%7Cc:82141815%7Cg:5113132577%7Cb:17248346155%7Ck:42866353254%7Cst:search%7Ca:no%7Cs:yandex.ru%7Ct:dynamic_places%7Cp:2%7Cr:42866353254%7Creg:213%7Cnet:%7Byad%7D&amp;ybaip=1&amp;yclid=12626706418668404735</t>
  </si>
  <si>
    <t>https://www.vseinstrumenti.ru/product/nasos-esq-gnom-7-7-32-0-37-220-02-31-000028-2241574/#characteristics</t>
  </si>
  <si>
    <t>02-01-05  Система водоотведения КА, скрины, л. 19</t>
  </si>
  <si>
    <t xml:space="preserve">Насос дренажный Q=7м³/ч; Н=7м; U=1х220В; N=0,6кВт ГНОМ 7-7 </t>
  </si>
  <si>
    <t>ООО "ПЛАСТИК ГРАД"</t>
  </si>
  <si>
    <t>https://protrubplast.ru/catalog/patrubki-npvkh/11862/?ysclid=mi5nz3i0z5651898286</t>
  </si>
  <si>
    <t>ООО "САНТЕХМАРКЕТ"</t>
  </si>
  <si>
    <t>https://santechmarket.ru/goods/patrubok-napornyy-npvkh-rastrubnyy-s-pvkh-flantsem-d160x150/?ysclid=mi5nuwdxni350062287</t>
  </si>
  <si>
    <t>https://www.vseinstrumenti.ru/product/patrubok-aquaviva-npvh-napornyj-rastrubnyj-s-npvh-flantsem-160-150-aqv107160-14786-6678661/?utm_source=yandex&amp;utm_medium=cpc&amp;utm_campaign=60077535%7Cdsa_10_Inzhenernaya-santekhnika_fid_rf&amp;utm_content=10486097665&amp;utm_term=ST:search%7CS:none%7CAP:no%7CPT:premium%7CP:2%7CDT:desktop%7CRI:213%7CCI:60077535%7CGI:4508213385%7CPI:52875519569%7CAI:10486097665%7CRT:52875519569%7CKW:---autotargeting%7CRN:Москва&amp;ybaip=1&amp;yclid=3317428520848195583</t>
  </si>
  <si>
    <t>02-01-05  Система водоотведения КА, скрины, л. 18</t>
  </si>
  <si>
    <t>Патрубок раструбный с фланцем НПВХ 150х160</t>
  </si>
  <si>
    <t xml:space="preserve">744716 6030	</t>
  </si>
  <si>
    <t>ООО Торговый Дом "АРК"</t>
  </si>
  <si>
    <t>https://kromex.su/catalog/product/60312/?ysclid=mi5kl04hkb537646662</t>
  </si>
  <si>
    <t>ООО «САНСТЕК»</t>
  </si>
  <si>
    <t>https://www.vodoparad.ru/item/voronka-krovelnaya-s-vertikalnym-vypuskom-pp-dn-110-s-listvoulovitelem-prizhimnym-flantsem-iz-nerzha-1119080206/?ysclid=mi5kg3n52v826501325</t>
  </si>
  <si>
    <t>https://www.santech.ru/catalog/278/282/i22097/v71984/</t>
  </si>
  <si>
    <t>02-01-05  Система водоотведения КА, скрины, л. 17</t>
  </si>
  <si>
    <t>Воронка кровельная DN110 с листоуловителем, с электрообогревом,  с гидроизоляционным полимербитумным полотном ø500мм, с вертикальным  выпуском, с надставным элементом и противопожарной муфтой</t>
  </si>
  <si>
    <t>24.20.40</t>
  </si>
  <si>
    <t>https://www.termokit.ru/product/sifon_dlya_umyvalnika_32_mm_tselnometallicheskiy_s_nakidnoy_gaykoy_5_4_alcaplast_a431.htm?ysclid=mi4m6mab3v660251946</t>
  </si>
  <si>
    <t>ООО «Онлайн Трейд»</t>
  </si>
  <si>
    <t>https://www.onlinetrade.ru/catalogue/sifony_dlya_umyvalnika-c2384/alca_plast/sifon_alca_plast_a431_d32_tselnometallicheskiy_s_nakidnoy_gaykoy_5_4_a431_alca_plast-308776.html?ysclid=mi4lzi8qgp263262494&amp;utm_referrer=https%3a%2f%2fyandex.ru%2f</t>
  </si>
  <si>
    <t>https://lunda.ru/catalog/category/c20380/product/sifon-alca_32694.html</t>
  </si>
  <si>
    <t>02-01-05  Система водоотведения КА, скрины, л. 16</t>
  </si>
  <si>
    <t>Сифон для рукомойника цельнометаллический  в пищеблок</t>
  </si>
  <si>
    <t>28.14.12</t>
  </si>
  <si>
    <t>https://lunda.ru/catalog/category/c20374/product/sifon-mcalpine_23044.html</t>
  </si>
  <si>
    <t>https://www.chipdip.ru/product/mcalpine-voronka-s-r-obr-sifonom-f40-50-i-8026896434</t>
  </si>
  <si>
    <t>ООО "ВАЛТЕРРА"</t>
  </si>
  <si>
    <t>https://valterra.ru/catalog/sifony-i-vypuski-dlya-moek-rakovin-bide-i-pissuarov/sifon-trubnyy-s-razryvom-strui-s-ovalnoy-priemnoy-ovalnoy-voronkoy-mcalpine/?ysclid=mi4keudlcr716881165</t>
  </si>
  <si>
    <t>02-01-05  Система водоотведения КА, скрины, л. 15</t>
  </si>
  <si>
    <t>Сифон для моечных ванн в пищеблок с воронкой для слива от моечных ванн с разрывом струи</t>
  </si>
  <si>
    <t>https://www.etm.ru/cat/nn/8512800</t>
  </si>
  <si>
    <t>https://www.chipdip.ru/product/sifon-dlya-kuhonnoy-moyki-ani-grot-3-1-2-h40-ani-plast-8020117133</t>
  </si>
  <si>
    <t>https://www.vseinstrumenti.ru/product/sifon-dlya-kuhonnoj-mojki-ani-plast-grot-3-1-2-h40-a0145diy-4934388/</t>
  </si>
  <si>
    <t>02-01-05  Система водоотведения КА, скрины, л. 14</t>
  </si>
  <si>
    <t>Сифон для подключения к канализации технологич. оборудования</t>
  </si>
  <si>
    <t>https://santshop.ru/product/kapelnaya-voronka-s-zapakhozapirayushchim-zatvorom-hl21/?cm_id=81185617_5122908913_13410026766_53238582108_53238582108_none_search_type1_no_desktop_premium_213&amp;calltouch_tm=yd_c:104068764_gb:5367788127_ad:17221358281_ph:49183174348_st:search_pt:dynamic_places_p:1_s:yandex.ru_dt:desktop_reg:213_ret:49183174348_apt:none&amp;ybaip=1&amp;etext=&amp;ysclid=mi4iiwjbix84353503</t>
  </si>
  <si>
    <t>ИП Чеботарь Василий Анатольевич</t>
  </si>
  <si>
    <t>https://santehmoskva.ru/sifon-kapelnaja-voronka-hl21-dlja-kondicionerov-42755-42755.html?yclid=7719372560091578367</t>
  </si>
  <si>
    <t>https://www.vseinstrumenti.ru/product/kapelnaya-voronka-hl-21-21-13717075/</t>
  </si>
  <si>
    <t>02-01-05  Система водоотведения КА, скрины, л. 13</t>
  </si>
  <si>
    <t xml:space="preserve">Двухоборотный сифон с гидрозатвором  Ø50 с капельной воронкой для отвода конденсата от кондиционеров </t>
  </si>
  <si>
    <t>ООО «ЗОЛОТОГРУПП»</t>
  </si>
  <si>
    <t>ООО "Техностоун"</t>
  </si>
  <si>
    <t>ООО "КАРАТ"</t>
  </si>
  <si>
    <t>02-01-05  Система водоотведения КА, скрины, л.10 ,11, 12</t>
  </si>
  <si>
    <t>Раковина/умывальник индивидуального изготовления (общего пользования на 6 смесителей). Материал - искусств. камень</t>
  </si>
  <si>
    <t>Раковина/умывальник индивидуального изготовления (общего пользования на 3 смесителя). Материал - искусств. камень</t>
  </si>
  <si>
    <t>Раковина/умывальник индивидуального изготовления (общего пользования на 2 смесителя). Материал - искусств. камень</t>
  </si>
  <si>
    <t>ООО «Топ-Сантехника»</t>
  </si>
  <si>
    <t>https://top-santehnika.ru/product/-roca-debba-33799100y/</t>
  </si>
  <si>
    <t>ООО "СЕТЬ ЭКСПЕРТНЫХ МАГАЗИНОВ САНТЕХНИКИ"</t>
  </si>
  <si>
    <t>https://shop-roca.ru/product/-roca-debba-33799100y/?ysclid=mi4che9fy5996956724</t>
  </si>
  <si>
    <t>7751246233</t>
  </si>
  <si>
    <t>https://www.vodoparad.ru/item/polupedestal-roca-debba-33799100y/</t>
  </si>
  <si>
    <t>02-01-05  Система водоотведения КА, скрины, л.9</t>
  </si>
  <si>
    <t>Настенный полупьедестал</t>
  </si>
  <si>
    <t>https://top-santehnika.ru/product/rakovina-roca-debba-50x42/?utm_source=yandex&amp;utm_medium=cpc&amp;utm_campaign=DSA_Сантехника_Поиск_МСК%7C704559021&amp;utm_content=phid%7C205674152855%7Crid%7C205674152855%7Ccfid%7C0%7Ccid%7C704559021%7Cgid%7C5674152855%7Caid%7C1891934524113764398%7Cadp%7Cno%7Cpos%7Cpremium3%7Csrc%7Csearch-none%7Cdvc%7Cdesktop&amp;utm_term=---autotargeting&amp;calltouch_tm=yd_c:704559021_gb:5674152855_ad:1891934524113764398_ph:205674152855_st:search_pt:premium_p:3_s:none_dt:desktop_reg:213_ret:205674152855_apt:none&amp;ybaip=1&amp;yclid=6335571528518991871</t>
  </si>
  <si>
    <t>https://otdelkino.ru/santeh/rakoviny/product/rakovina-roca-debba-50x42/?utm_source=yandex&amp;utm_medium=cpc&amp;utm_campaign=103903199_search_DP%7C97228997%7CVseSatURL%7COffK&amp;utm_term=---autotargeting&amp;utm_content=103903199_5366021708_15595640920_53225064496&amp;ybaip=1&amp;yclid=10717780415032590335</t>
  </si>
  <si>
    <t>https://www.vodoparad.ru/item/rakovina-podvesnaya-roca-debba-55x44-32799500y/?utm_source=yandex&amp;utm_medium=cpc&amp;utm_campaign=4%20-%2001.10%20-%20Товарная%20кампания%20-%20ROCA%7C703810289&amp;utm_content=phid%7C205657278687%7Crid%7C205657278687%7Ccfid%7C0%7Ccid%7C703810289%7Cgid%7C5657278687%7Caid%7C17385002622%7Cadp%7Cno%7Cpos%7Cpremium1%7Csrc%7Csearch-none%7Cdvc%7Cdesktop&amp;utm_term=---autotargeting&amp;ybaip=1&amp;yclid=15883278816635518975</t>
  </si>
  <si>
    <t>02-01-05  Система водоотведения КА, скрины, л.8</t>
  </si>
  <si>
    <t>Раковина/умывальник с выпуском ВсУ и сифоном  СБУ (с/у )</t>
  </si>
  <si>
    <t>ООО "ТСМ"</t>
  </si>
  <si>
    <t>https://tekno-stroy.ru/catalog/trap-lineynyy-s-sukhim-zatvorom-i-sifonom-slim-reshetka-500-mm.html?ysclid=mi4b284fu518895973</t>
  </si>
  <si>
    <t>https://www.vseinstrumenti.ru/product/linejnyj-trap-wirquin-venisio-slim-dlina-reshetki-500-mm-suhoj-zatvor-s-membranoj-novogo-pokoleniya-smart-30724165-18376020/?utm_campaign=webmaster&amp;utm_content=18376020&amp;utm_medium=organic&amp;utm_source=Yandex&amp;utm_term=18376020&amp;ysclid=mi4b0tk0qn681138027&amp;utm_referrer=https://yandex.ru/</t>
  </si>
  <si>
    <t>ООО «Строительный торговый дом «Петрович»</t>
  </si>
  <si>
    <t>https://moscow.petrovich.ru/product/162758/?utm_source=yandex&amp;utm_medium=organic&amp;utm_campaign=serp_product&amp;utm_id=yandex_serp_product</t>
  </si>
  <si>
    <t>02-01-05  Система водоотведения КА, скрины, л.7</t>
  </si>
  <si>
    <t xml:space="preserve">Душевой лоток (пристенная установка) для линейного отведения воды </t>
  </si>
  <si>
    <t>22.23.12</t>
  </si>
  <si>
    <t>ООО «Инвацентр»</t>
  </si>
  <si>
    <t>https://invacenter.ru/umyvalnik-dlya-invalidov/?ysclid=mi49kb5ojc494728067</t>
  </si>
  <si>
    <t>ООО «Европейская сантехника»</t>
  </si>
  <si>
    <t>https://www.santehmag.ru/product/rosa-8945-rakovina-podvesnaya-dlya-invalidov-650580-mm/?ysclid=mi49i28qdb526458019</t>
  </si>
  <si>
    <t>7717620032</t>
  </si>
  <si>
    <t>ООО «Доступная среда»</t>
  </si>
  <si>
    <t>https://invakor.ru/store/oborudovanie-sanuzla/unitazy-rakoviny/umyvalnik-dlya-mgn-650h580h230/</t>
  </si>
  <si>
    <t>02-01-05  Система водоотведения КА, скрины, л.6</t>
  </si>
  <si>
    <t>Умывальник для маломобильных граждан с выпуском ВсУ и сифоном Форма прямоугольная с выемкой на фронтальной поверхности</t>
  </si>
  <si>
    <t>https://www.vodoparad.ru/item/perekhod-pp-h-dn-50kh50-b-nap-pp-npvkh-chugun-stal-hl-9-50/</t>
  </si>
  <si>
    <t xml:space="preserve">	9715399809</t>
  </si>
  <si>
    <t>ООО "САНТЕХРУ"</t>
  </si>
  <si>
    <t>https://santexru.ru/perexod-pp-h-dn-50x50-b-nap-pp-npvx-chugun-ctal-hl-9-50.html</t>
  </si>
  <si>
    <t>https://www.santech.ru/catalog/278/279/i412/v41475/</t>
  </si>
  <si>
    <t>02-01-05  Система водоотведения КА, скрины, л.5</t>
  </si>
  <si>
    <t>Переходник с ПВХ/ПП на чугун 5050</t>
  </si>
  <si>
    <t xml:space="preserve">22.21.29	</t>
  </si>
  <si>
    <t>ООО «НЭРО Трейд»</t>
  </si>
  <si>
    <t>https://nerotrade.ru/catalog/kanalizatsionnye_truby_i_fitingi/vnutrennyaya_kanalizatsiya/fasonnye_chasti_dlya_vnutrenney_kanalizatsii/perekhod_s_pvkh_pp_na_chugun_stal_dn110_100_hl9_1/</t>
  </si>
  <si>
    <t>https://santexru.ru/perexod-pp-h-dn-110x100-b-nap-pp-npvx-chugun-ctal-hl-9-1.html</t>
  </si>
  <si>
    <t>https://www.santech.ru/catalog/278/279/i412/v1492/</t>
  </si>
  <si>
    <t>02-01-05  Система водоотведения КА, скрины, л.4</t>
  </si>
  <si>
    <t>Переходник с ПВХ/ПП на чугун 100/110</t>
  </si>
  <si>
    <t>ИП Майская Оксана Алексеевна</t>
  </si>
  <si>
    <t>https://gaziteplo.ru/goods/kanalizatsionnaya_stantsiya_akvaliv_san_300_profi/?ysclid=mi3523lv23759690710</t>
  </si>
  <si>
    <t>773715889193</t>
  </si>
  <si>
    <t>ИП Захаров АВ</t>
  </si>
  <si>
    <t>https://websnab.com/akvaliv_san_300_profi</t>
  </si>
  <si>
    <t>7701404710</t>
  </si>
  <si>
    <t>ООО "ТЕХНОТРЕЙДИНГ"</t>
  </si>
  <si>
    <t>https://minikns.ru/sanitarnyy_nasos_akvaliv_san_300_profi</t>
  </si>
  <si>
    <t>02-01-05  Система водоотведения КА, скрины, л.3</t>
  </si>
  <si>
    <t>Канализационная установка Q=1,67л//с; Н=6м; U=1х220В; N=0,3кВт САН-300 Профи</t>
  </si>
  <si>
    <t>https://lunda.ru/catalog/category/c13291/product/ustanovka-citilift-trio-vandjord_159152.html?utm_referrer=https%3A%2F%2Fyandex.ru%2F</t>
  </si>
  <si>
    <t>«ТД Электротехмонтаж»</t>
  </si>
  <si>
    <t>https://www.etm.ru/cat/nn/6186780?utm_source=yandex&amp;utm_medium=yandex_search&amp;ysclid=mi33buvku2940374968</t>
  </si>
  <si>
    <t>https://www.vseinstrumenti.ru/product/universalnaya-nasosnaya-ustanovka-vandjord-citilift-trio-76511001-18267678/?utm_campaign=webmaster&amp;utm_content=18267678&amp;utm_medium=organic&amp;utm_source=Yandex&amp;utm_term=18267678&amp;ysclid=mi339k938584662771</t>
  </si>
  <si>
    <t>02-01-05  Система водоотведения КА, скрины, л.2</t>
  </si>
  <si>
    <t xml:space="preserve">Насосная установка  Q=3,75м³/ч; Н=8,8м; U=1х220В; N=0,6кВт CITILIFT TRIO </t>
  </si>
  <si>
    <t xml:space="preserve">Система водоотведения </t>
  </si>
  <si>
    <t>02-01-05</t>
  </si>
  <si>
    <t>https://www.mtk-gr.ru/products/komplekt-kollektorov-ridan-fhf-5rf-set-s?utm_source=market.yandex.ru&amp;utm_medium=cpc&amp;utm_term=183894&amp;ysclid=miek2iiwjf995010271</t>
  </si>
  <si>
    <t>7725314092</t>
  </si>
  <si>
    <t xml:space="preserve">ООО «МТК Групп» </t>
  </si>
  <si>
    <t>https://www.termokit.ru/product/komplekt_kollektorov_ridan_fhf_5rf_set_s_raskhodomerami_kronshteynami_i_vozdukhootvodchikami_5_kontu.htm?ysclid=miejr6qfg5918328020</t>
  </si>
  <si>
    <t>ООО «Термокит-Сервис»</t>
  </si>
  <si>
    <t>https://master-water.ru/katalog/kotelnaya-armatura/ridan/kollektory/kollektory-dlya-teplogo-pola-fhf-rf-ridan/kollektornaya-gruppa-fhf-rf-na-5-vyhodov-s-rashodomerami-s-vozduhootvodchikami-s-kronshteynami-ridan-088u0725r</t>
  </si>
  <si>
    <t>ИП Колесниченко Александр Зиновьевич</t>
  </si>
  <si>
    <t>шт</t>
  </si>
  <si>
    <t>02-01-06  Отопление  КА, КП, скрины (Листы 50-51)</t>
  </si>
  <si>
    <t>Комплект коллекторов РИДАН FHF-5RF set с расходомерами, кронштейнами и воздухоотводчиками, 5 контуров</t>
  </si>
  <si>
    <t>42.99.19.130</t>
  </si>
  <si>
    <t>https://msk.evropump.ru/items/komplekt-iz-regulyatora-perepada-davleniya-apt-r-du25-i-ruch/?ysclid=miehclkrs659910487</t>
  </si>
  <si>
    <t>6670355899</t>
  </si>
  <si>
    <t>ООО «Евронасоскомплект-2015»</t>
  </si>
  <si>
    <t>https://teploffshop.ru/id/apt-r-regulyator-perepada-davleniya-s-naruzhnoy-rezboyimpulsnoy-trubkoy-1m-kvs-53-du-25-ridan-123460410?ysclid=miehbihl2p615337119</t>
  </si>
  <si>
    <t>2453019451</t>
  </si>
  <si>
    <t>ООО «Отопление и водоснабжение»</t>
  </si>
  <si>
    <t>https://www.santech.ru/catalog/337/340/i1322/v3/</t>
  </si>
  <si>
    <t>02-01-06  Отопление  КА, КП, скрины (Листы 49-50)</t>
  </si>
  <si>
    <t>Регулятор перепада давления Dy25 APT-R 25</t>
  </si>
  <si>
    <t>28.14.11.122</t>
  </si>
  <si>
    <t>https://comfort-klimat.ru/catalog/vodosnabzhenie/truboprovodnaya-armatura-i-avtomatika/klapany-balansirovochnye/klapan-balansirovochnyy-avtomaticheskiy-ridan-apt-r-dn20-pn20/</t>
  </si>
  <si>
    <t>7709453733</t>
  </si>
  <si>
    <t>ООО "Комфорт-Климат"</t>
  </si>
  <si>
    <t>https://rosarmatorg.ru/apt-r-klapan-dn-20-003z5702r</t>
  </si>
  <si>
    <t>ООО "ПРОМАРМАТОРГ"</t>
  </si>
  <si>
    <t>https://rtreid.ru/catalog/2392965-klapan-apt-r-dn-20-s-komplektom-fitingov-s-naruzhney-rezboy/</t>
  </si>
  <si>
    <t>ООО «РусТрейд»</t>
  </si>
  <si>
    <t>02-01-06  Отопление  КА, КП, скрины (Листы 47-48)</t>
  </si>
  <si>
    <t>Регулятор перепада давления Dy20 APT-R 20</t>
  </si>
  <si>
    <t>https://stoking.ru/products/regulyator-perepada-davleniya-ridan-apt-r3-dn15?utm_source=yandex_direct&amp;utm_medium=cpc&amp;utm_campaign=Stoking_Reguliruyushhee_oborudovanie_Feed_Search_OrderCRM%7C700076526&amp;utm_content=gid%7C5581211601%7Caid%7C1875216892194304994&amp;utm_term=---autotargeting%7C205581211601%7Cret%7C205581211601%7Csearch%7Cnone&amp;ybaip=1&amp;yclid=4250783913239642111</t>
  </si>
  <si>
    <t>https://comfort-klimat.ru/catalog/vodosnabzhenie/truboprovodnaya-armatura-i-avtomatika/klapany-balansirovochnye/klapan-balansirovochnyy-ridan-apt-r-dn-15/</t>
  </si>
  <si>
    <t>https://rosarmatorg.ru/apt-r-klapan-dn-15-003z5701r</t>
  </si>
  <si>
    <t>02-01-06  Отопление  КА, КП, скрины (Листы 46-47)</t>
  </si>
  <si>
    <t>Регулятор перепада давления Dy15 APT-R 15</t>
  </si>
  <si>
    <t>https://www.onlinetrade.ru/catalogue/oborudovanie_dlya_montazha_radiatorov-c3403/global/prisoedinitelnyy_nabor_dlya_radiatora_global_kit_1_2_011046_a046kit1_210-1478176.html?ysclid=miea8cn7cm426831087&amp;utm_referrer=https%3a%2f%2fyandex.ru%2f</t>
  </si>
  <si>
    <t>7735092378</t>
  </si>
  <si>
    <t xml:space="preserve"> ООО «ОнЛайн Трейд»</t>
  </si>
  <si>
    <t>https://www.teremonline.ru/product/global-kit-1-2-prisoedinitelnyy-nabor-dlya-radiatora/?ysclid=miea0pebyu442398203</t>
  </si>
  <si>
    <t>7729646148</t>
  </si>
  <si>
    <t>ООО "ТЕРЕМ"</t>
  </si>
  <si>
    <t>https://www.sharangroup.ru/product/nabor-prisoyedinitelniy-dlya-radiatora-kit-1-2-beliy-global/</t>
  </si>
  <si>
    <t>ИП Шарян В.Ш.</t>
  </si>
  <si>
    <t>02-01-06  Отопление  КА, КП, скрины (Листы 44-45)</t>
  </si>
  <si>
    <t>Комплект KIT 1/2" (футорки 1/2" - 4 шт., возд. 1/2", загл. 1/2", ключ для воздух)</t>
  </si>
  <si>
    <t>27.21.20.150</t>
  </si>
  <si>
    <t>https://www.royal-thermo.ru/catalog/product-radiator_panelnyy_royal_thermo_compact_c33_400_600_ral9016/</t>
  </si>
  <si>
    <t>5007094208</t>
  </si>
  <si>
    <t>ООО "РК-РЕГИОН"</t>
  </si>
  <si>
    <t>https://dn.ru/radiator/stal/panelnyi/royal-thermo/compact-c33-400-ral9016/600</t>
  </si>
  <si>
    <t>7724452117</t>
  </si>
  <si>
    <t>ООО "ДН.РУ"</t>
  </si>
  <si>
    <t>https://www.teplodvor.ru/royal-thermo-compact-c33-400-600-ral9016.html</t>
  </si>
  <si>
    <t>ИП Шаныгин Владимир Петрович</t>
  </si>
  <si>
    <t>02-01-06  Отопление  КА, КП, скрины (Листы 43-44)</t>
  </si>
  <si>
    <t>Стальной панельный радиатор боковое подключение Royal Thermо С 33-0400-0600 (тепловая мощность 1,5575 кВт)</t>
  </si>
  <si>
    <t xml:space="preserve">25.21.11.120 </t>
  </si>
  <si>
    <t>https://www.royal-thermo.ru/catalog/product-radiator_panelnyy_royal_thermo_compact_c33_400_400_ral9016/</t>
  </si>
  <si>
    <t>https://dn.ru/radiator/stal/panelnyi/royal-thermo/compact-c33-400-ral9016/400</t>
  </si>
  <si>
    <t>https://www.teplodvor.ru/dostavka-tk/</t>
  </si>
  <si>
    <t>02-01-06  Отопление  КА, КП, скрины (Листы 41-42)</t>
  </si>
  <si>
    <t>Стальной панельный радиатор боковое подключение Royal Thermо С 33-0400-0400 (тепловая мощность 1,0383 кВт)</t>
  </si>
  <si>
    <t>https://www.royal-thermo.ru/catalog/product-radiator_panelnyy_royal_thermo_compact_c21_400_2000_ral9016/</t>
  </si>
  <si>
    <t>https://dn.ru/radiator/stal/panelnyi/royal-thermo/compact-c21-400-ral9016/2000</t>
  </si>
  <si>
    <t>https://www.teplodvor.ru/royal-thermo-compact-c21-400-2000-ral9016.html</t>
  </si>
  <si>
    <t>02-01-06  Отопление  КА, КП, скрины (Листы 40-41)</t>
  </si>
  <si>
    <t>Стальной панельный радиатор боковое подключение Royal Thermо С 21-0400-2000 (тепловая мощность 2,8201 кВт)</t>
  </si>
  <si>
    <t>https://www.royal-thermo.ru/catalog/product-radiator_panelnyy_royal_thermo_compact_c11_400_1800_ral9016/</t>
  </si>
  <si>
    <t>https://dn.ru/radiator/stal/panelnyi/royal-thermo/compact-c11-400-ral9016/1800</t>
  </si>
  <si>
    <t>https://www.teplodvor.ru/royal-thermo-compact-c11-400-1800-ral9016.html</t>
  </si>
  <si>
    <t>02-01-06  Отопление  КА, КП, скрины (Листы 38-39)</t>
  </si>
  <si>
    <t>Стальной панельный радиатор боковое подключение Royal Thermо С 11-0400-1800 (тепловая мощность 1.7922 кВт)</t>
  </si>
  <si>
    <t>https://www.royal-thermo.ru/catalog/product-radiator_panelnyy_royal_thermo_compact_c11_400_1600_ral9016/</t>
  </si>
  <si>
    <t>https://dn.ru/radiator/stal/panelnyi/royal-thermo/compact-c11-400-ral9016/1600</t>
  </si>
  <si>
    <t>https://www.teplodvor.ru/royal-thermo-compact-c11-400-1600-ral9016.html</t>
  </si>
  <si>
    <t>02-01-06  Отопление  КА, КП, скрины (Листы 37-38)</t>
  </si>
  <si>
    <t>Стальной панельный радиатор боковое подключение Royal Thermо С 11-0400-1600 (тепловая мощность 1.593 кВт)</t>
  </si>
  <si>
    <t>https://www.royal-thermo.ru/catalog/product-radiator_panelnyy_royal_thermo_compact_c11_400_1400_ral9016/</t>
  </si>
  <si>
    <t>https://dn.ru/radiator/stal/panelnyi/royal-thermo/compact-c11-400-ral9016/1400</t>
  </si>
  <si>
    <t>https://www.teplodvor.ru/royal-thermo-compact-c11-400-1400-ral9016.html</t>
  </si>
  <si>
    <t>02-01-06  Отопление  КА, КП, скрины (Листы 35-36)</t>
  </si>
  <si>
    <t>Стальной панельный радиатор боковое подключение Royal Thermо С 11-0400-1400 (тепловая мощность 1. 3939 кВт)</t>
  </si>
  <si>
    <t>https://www.royal-thermo.ru/catalog/product-radiator_panelnyy_royal_thermo_compact_c11_400_1200_ral9016/</t>
  </si>
  <si>
    <t>https://dn.ru/radiator/stal/panelnyi/royal-thermo/compact-c11-400-ral9016/1200</t>
  </si>
  <si>
    <t>https://www.teplodvor.ru/royal-thermo-compact-c11-400-1200-ral9016.html</t>
  </si>
  <si>
    <t>02-01-06  Отопление  КА, КП, скрины (Листы 34-35)</t>
  </si>
  <si>
    <t>Стальной панельный радиатор боковое подключение Royal Thermо С 11-0400-1200 (тепловая мощность 1. 1948 кВт)</t>
  </si>
  <si>
    <t>https://www.royal-thermo.ru/catalog/product-radiator_panelnyy_royal_thermo_compact_c11_400_1000_ral9016/</t>
  </si>
  <si>
    <t>https://dn.ru/radiator/stal/panelnyi/royal-thermo/compact-c11-400-ral9016/1000</t>
  </si>
  <si>
    <t>https://www.teplodvor.ru/royal-thermo-compact-c11-400-1000-ral9016.html</t>
  </si>
  <si>
    <t>02-01-06  Отопление  КА, КП, скрины (Листы 32-33)</t>
  </si>
  <si>
    <t>Стальной панельный радиатор боковое подключение Royal Thermо С 11-0400-1000 (тепловая мощность  0,9956 кВт)</t>
  </si>
  <si>
    <t>https://www.royal-thermo.ru/catalog/product-radiator_panelnyy_royal_thermo_hygiene_h30_400_600_ral9016/</t>
  </si>
  <si>
    <t>https://dn.ru/radiator/stal/panelnyi/royal-thermo/hygiene-h30-400-ral9016/600</t>
  </si>
  <si>
    <t>https://www.teplodvor.ru/royal-thermo-hygiene-h30-400-600-ral9016.html</t>
  </si>
  <si>
    <t>02-01-06  Отопление  КА, КП, скрины (Листы 31-32)</t>
  </si>
  <si>
    <t>Стальной панельный радиатор, гигиеническое исполнение Royal Thermо H 30-0400-0600 (тепловая мощность  1,019 кВт)</t>
  </si>
  <si>
    <t>https://www.royal-thermo.ru/catalog/product-radiator_panelnyy_royal_thermo_hygiene_h10_400_1600_ral9016/</t>
  </si>
  <si>
    <t>https://dn.ru/radiator/stal/panelnyi/royal-thermo/hygiene-h10-400-ral9016/1600</t>
  </si>
  <si>
    <t>https://www.teplodvor.ru/royal-thermo-hygiene-h10-400-1600-ral9016.html</t>
  </si>
  <si>
    <t>02-01-06  Отопление  КА, КП, скрины (Листы 29-30)</t>
  </si>
  <si>
    <t>Стальной панельный радиатор, гигиеническое исполнение Royal Thermо H 10-0400-1600 (тепловая мощность  1,1256 кВт)</t>
  </si>
  <si>
    <t>https://www.royal-thermo.ru/catalog/product-radiator_panelnyy_royal_thermo_hygiene_h10_400_1400_ral9016/</t>
  </si>
  <si>
    <t>https://dn.ru/radiator/stal/panelnyi/royal-thermo/hygiene-h10-400-ral9016/1400</t>
  </si>
  <si>
    <t>https://www.teplodvor.ru/royal-thermo-hygiene-h10-400-1400-ral9016.html</t>
  </si>
  <si>
    <t>02-01-06  Отопление  КА, КП, скрины (Листы 28-29)</t>
  </si>
  <si>
    <t>Стальной панельный радиатор, гигиеническое исполнение Royal Thermо H 10-0400-1400 (тепловая мощность  0,9849 кВт)</t>
  </si>
  <si>
    <t>https://www.royal-thermo.ru/catalog/product-radiator_panelnyy_royal_thermo_hygiene_h10_400_1000_ral9016/</t>
  </si>
  <si>
    <t>https://dn.ru/radiator/stal/panelnyi/royal-thermo/hygiene-h10-400-ral9016/1000</t>
  </si>
  <si>
    <t>https://www.teplodvor.ru/royal-thermo-hygiene-h10-400-1000-ral9016.html</t>
  </si>
  <si>
    <t>02-01-06  Отопление  КА, КП, скрины (Листы 26-27)</t>
  </si>
  <si>
    <t>Стальной панельный радиатор, гигиеническое исполнение Royal Thermо H 10-0400-1000 (тепловая мощность  0,7035 кВт)</t>
  </si>
  <si>
    <t>https://www.royal-thermo.ru/catalog/product-radiator_panelnyy_royal_thermo_hygiene_h10_400_600_ral9016/?ysclid=mid49ol9ds520878534</t>
  </si>
  <si>
    <t>https://dn.ru/radiator/stal/panelnyi/royal-thermo/hygiene-h10-400-ral9016/600</t>
  </si>
  <si>
    <t>https://www.teplodvor.ru/royal-thermo-hygiene-h10-400-600-ral9016.html</t>
  </si>
  <si>
    <t>02-01-06  Отопление  КА, КП, скрины (Листы 25-26)</t>
  </si>
  <si>
    <t>Стальной панельный радиатор, гигиеническое исполнение Royal Thermо H 10-0400-0600 (тепловая мощность  0,4221 кВт)</t>
  </si>
  <si>
    <t>https://www.bafus.ru/product/royal-thermo-hygiene-radiator-stalnoy-panelny-h20-400-1400-1400-400-97-mm-silver-satin-345-mm-17-08-m2-ns-1369980/</t>
  </si>
  <si>
    <t>9715207948</t>
  </si>
  <si>
    <t>ООО "Бафус"</t>
  </si>
  <si>
    <t>https://dn.ru/radiator/stal/panelnyi/royal-thermo/hygiene-h20-400-ral9016/1400</t>
  </si>
  <si>
    <t>https://www.teplodvor.ru/royal-thermo-hygiene-h20-400-1400-ral9016.html</t>
  </si>
  <si>
    <t>02-01-06  Отопление  КА, КП, скрины (Листы 23-24)</t>
  </si>
  <si>
    <t>Стальной панельный радиатор, гигиеническое исполнение Royal Thermо H 20-0400-1400 (тепловая мощность  1,7079 кВт)</t>
  </si>
  <si>
    <t>https://www.bafus.ru/product/royal-thermo-hygiene-radiator-stalnoy-panelny-h20-400-1200-1200-400-97-mm-silver-satin-345-mm-14-64-m2-ns-1369976/</t>
  </si>
  <si>
    <t>https://dn.ru/radiator/stal/panelnyi/royal-thermo/hygiene-h20-400-ral9016/1200</t>
  </si>
  <si>
    <t>https://www.teplodvor.ru/royal-thermo-hygiene-h20-400-1200-ral9016.html</t>
  </si>
  <si>
    <t>02-01-06  Отопление  КА, КП, скрины (Листы 22-23)</t>
  </si>
  <si>
    <t>Стальной панельный радиатор, гигиеническое исполнение Royal Thermо H 20-0400-1200 (тепловая мощность  1,4639 кВт)</t>
  </si>
  <si>
    <t>https://www.bafus.ru/product/royal-thermo-hygiene-radiator-stalnoy-panelny-h20-400-1000-1000-400-97-mm-silver-satin-345-mm-12-2-m2-ns-1369972/</t>
  </si>
  <si>
    <t>https://dn.ru/radiator/stal/panelnyi/royal-thermo/hygiene-h20-400-ral9016/1000</t>
  </si>
  <si>
    <t>https://www.teplodvor.ru/royal-thermo-hygiene-h20-400-1000-ral9016.html</t>
  </si>
  <si>
    <t>02-01-06  Отопление  КА, КП, скрины (Листы 20-21)</t>
  </si>
  <si>
    <t>Стальной панельный радиатор, гигиеническое исполнение Royal Thermо  H 20-0400-1000  (тепловая мощность1,2199 кВт)</t>
  </si>
  <si>
    <t>https://www.bafus.ru/product/royal-thermo-hygiene-radiator-stalnoy-panelny-h20-400-800-800-400-97-mm-bely-ral-9016-345-mm-9-76-m2-ns-1345458/</t>
  </si>
  <si>
    <t>https://dn.ru/radiator/stal/panelnyi/royal-thermo/hygiene-h20-400-ral9016/800</t>
  </si>
  <si>
    <t>https://www.teplodvor.ru/royal-thermo-hygiene-h20-400-800-ral9016.html</t>
  </si>
  <si>
    <t>02-01-06  Отопление  КА, КП, скрины (Листы 19-20)</t>
  </si>
  <si>
    <t>Стальной панельный радиатор, гигиеническое исполнение Royal Thermо H 20-0400-0800 (тепловая мощность 0,9759 кВт)</t>
  </si>
  <si>
    <t>https://www.bafus.ru/product/royal-thermo-hygiene-radiator-stalnoy-panelny-h20-400-600-600-400-97-mm-bely-ral-9016-345-mm-7-32-m2-ns-1345456/</t>
  </si>
  <si>
    <t>https://dn.ru/radiator/stal/panelnyi/royal-thermo/hygiene-h20-400-ral9016/600</t>
  </si>
  <si>
    <t>https://www.teplodvor.ru/royal-thermo-hygiene-h20-400-600-ral9016.html</t>
  </si>
  <si>
    <t>02-01-06  Отопление  КА, КП, скрины (Листы 17-18)</t>
  </si>
  <si>
    <t>Стальной панельный радиатор, гигиеническое исполнение Royal Thermо  H 20-0400-0600 (тепловая мощность  0,732 кВт)</t>
  </si>
  <si>
    <t>https://www.royal-thermo.ru/catalog/product-radiator_panelnyy_royal_thermo_hygiene_h20_400_400_ral9016/</t>
  </si>
  <si>
    <t>https://dn.ru/radiator/stal/panelnyi/royal-thermo/hygiene-h20-400-ral9016/400</t>
  </si>
  <si>
    <t>https://www.teplodvor.ru/royal-thermo-hygiene-h20-400-400-ral9016.html</t>
  </si>
  <si>
    <t>02-01-06  Отопление  КА, КП, скрины (Листы 16-17)</t>
  </si>
  <si>
    <t>Стальной панельный радиатор, гигиеническое исполнение Royal Thermo H 20-0400-0400 (тепловая мощность 0,488 кВт)</t>
  </si>
  <si>
    <t>Счет-оферта №318753S</t>
  </si>
  <si>
    <t>7708791899</t>
  </si>
  <si>
    <t>ООО «ЭКОН»</t>
  </si>
  <si>
    <t>https://www.kupatika.ru/goods/trubchatyy-radiator-s-krugloy-truboy-32-mm-guardo-torre-3d-400-mm-vysota-3d-0400-16-bk-ver-r9016-m/</t>
  </si>
  <si>
    <t>https://warmlystore.ru/catalog/radiatory-otopleniya/trubchatye-radiatory/trubchatye-vysota-155-mm-500-mm/trubchatyy-radiator-s-krugloy-truboy-32-mm-guardo-torre-3d-400-mm-vysotoy-82-mm-shirinoy-2-sektsii-b-1187507995/?oid=2138397361</t>
  </si>
  <si>
    <t xml:space="preserve">ООО «ЭКОН УРФО» </t>
  </si>
  <si>
    <t>02-01-06  Отопление  КА, КП, скрины (Лист 15, Лист  4 п.3)</t>
  </si>
  <si>
    <t>Радиатор стальной трубчатый GUARDO TORRE 3D, 400 мм (BK-VER-WHITE), белый  3D-400-750 (мощность 0,663 кВт) (16 секций)</t>
  </si>
  <si>
    <t>https://guardo.ru/prices/</t>
  </si>
  <si>
    <t>5050140965</t>
  </si>
  <si>
    <t>ООО ПКФ "АРМАДА"</t>
  </si>
  <si>
    <t>https://warmlystore.ru/catalog/radiatory-otopleniya/trubchatye-radiatory/trubchatye-vysota-155-mm-500-mm/trubchatyy-radiator-s-krugloy-truboy-32-mm-guardo-torre-3d-400-mm-vysotoy-82-mm-shirinoy-2-sektsii-b-1187507995/?oid=2138397352</t>
  </si>
  <si>
    <t>02-01-06  Отопление  КА, КП, скрины (Лист 14, Лист  4 п.3)</t>
  </si>
  <si>
    <r>
      <t>Радиатор стальной трубчатый GUARDO TORRE 3D, 400 мм (BK-VER-WHITE), белый  3D-400-350 (мощно</t>
    </r>
    <r>
      <rPr>
        <sz val="12"/>
        <color theme="1"/>
        <rFont val="Times New Roman"/>
        <family val="1"/>
        <charset val="204"/>
      </rPr>
      <t>сть 0,336 к</t>
    </r>
    <r>
      <rPr>
        <sz val="12"/>
        <rFont val="Times New Roman"/>
        <family val="1"/>
        <charset val="204"/>
      </rPr>
      <t xml:space="preserve"> Вт) (8 секций)</t>
    </r>
  </si>
  <si>
    <t>https://santehnica-vodoley.ru/catalog/radiatory/radiatory-trubchatye/trub-radiator-s-krugloj-trub-GUARDO-TORRE-3D-400mm-vys1982mm-shir40-sekc-bp-8a273524.html</t>
  </si>
  <si>
    <t>165043601207</t>
  </si>
  <si>
    <t>ИП Дорошин Олег Иванович</t>
  </si>
  <si>
    <t>02-01-06  Отопление  КА, КП, скрины (Лист 13, Лист  4 п.3)</t>
  </si>
  <si>
    <r>
      <t>Радиатор стальной трубчатый GUARDO TORRE 3D, 400 мм (BK-VER-WHITE), белый  3D-400-1950  (мощность</t>
    </r>
    <r>
      <rPr>
        <sz val="12"/>
        <color theme="1"/>
        <rFont val="Times New Roman"/>
        <family val="1"/>
        <charset val="204"/>
      </rPr>
      <t xml:space="preserve"> 1,552 к</t>
    </r>
    <r>
      <rPr>
        <sz val="12"/>
        <rFont val="Times New Roman"/>
        <family val="1"/>
        <charset val="204"/>
      </rPr>
      <t>Вт) (40 секций)</t>
    </r>
  </si>
  <si>
    <t>https://svdd.ru/radiatory-otopleniya-alyuminievye/76101-trubchatyj-radiator-s-krugloj-truboj-32mm-guardo-torre-3d-400x1682mm-34-sekcii-nizhnee-pravoe-podklyuchenie-seryj-matovyj.html?ysclid=mig0eawn1m904875463</t>
  </si>
  <si>
    <t>504700209383</t>
  </si>
  <si>
    <t>ИП Морозов Василий Александрович</t>
  </si>
  <si>
    <t>02-01-06  Отопление  КА, КП, скрины (Листы 12, Лист  5 п.5)</t>
  </si>
  <si>
    <r>
      <t xml:space="preserve">Радиатор стальной трубчатый GUARDO TORRE 3D, 400 мм (BK-VER-WHITE), белый   3D-400-1650  (мощность </t>
    </r>
    <r>
      <rPr>
        <sz val="12"/>
        <color theme="1"/>
        <rFont val="Times New Roman"/>
        <family val="1"/>
        <charset val="204"/>
      </rPr>
      <t>1,330 кВт</t>
    </r>
    <r>
      <rPr>
        <sz val="12"/>
        <rFont val="Times New Roman"/>
        <family val="1"/>
        <charset val="204"/>
      </rPr>
      <t>) (34 секции) (34 секции)</t>
    </r>
  </si>
  <si>
    <t>https://warmlystore.ru/catalog/radiatory-otopleniya/trubchatye-radiatory/trubchatye-vysota-155-mm-500-mm/trubchatyy-radiator-s-krugloy-truboy-32-mm-guardo-torre-3d-400-mm-vysotoy-82-mm-shirinoy-2-sektsii-b-1187507995/?oid=2138402263</t>
  </si>
  <si>
    <t>02-01-06  Отопление  КА, КП, скрины (Лист 11, Лист  4 п.2)</t>
  </si>
  <si>
    <t>Радиатор стальной трубчатый GUARDO TORRE 3D, 400 мм (BK-VER-BLACK), черный  3D-400-750  (мощность 0,663 кВт) (16 секций)</t>
  </si>
  <si>
    <t>02-01-06  Отопление  КА, КП, скрины (Лис 10, Лист  4 п.1)</t>
  </si>
  <si>
    <t>Радиатор стальной трубчатый GUARDO TORRE 3D, 400 мм (BK-VER-BLACK), черный  3D-400-350 (мощность 0,336 кВт) (8 секций)</t>
  </si>
  <si>
    <t>02-01-06  Отопление</t>
  </si>
  <si>
    <t>К.Н.Сухов</t>
  </si>
  <si>
    <t>ИНН 5044074545</t>
  </si>
  <si>
    <t>ООО "Ваш Климат"</t>
  </si>
  <si>
    <t>ИНН 2721187045</t>
  </si>
  <si>
    <t>ООО "ИНЖЕНЕРНАЯ КОМПАНИЯ"</t>
  </si>
  <si>
    <t xml:space="preserve">  ИНН 7727694555</t>
  </si>
  <si>
    <t>ООО «Технологии Дома»</t>
  </si>
  <si>
    <t>том 02-01-07 КА, КП л.42-43</t>
  </si>
  <si>
    <t>Дренажная помпа DC Machine Pro</t>
  </si>
  <si>
    <t>29.32.30.260</t>
  </si>
  <si>
    <t>Ка №220</t>
  </si>
  <si>
    <t>ИНН 7706780940</t>
  </si>
  <si>
    <t>ООО «Венторус»</t>
  </si>
  <si>
    <t>ИНН 5017057156</t>
  </si>
  <si>
    <t>ООО "K-FLEX"</t>
  </si>
  <si>
    <t>ИНН 7736192449</t>
  </si>
  <si>
    <t>том 02-01-07 КА, КП л.39-41</t>
  </si>
  <si>
    <t>Трубка K-FLEX 06x020-2 ST</t>
  </si>
  <si>
    <t>23.99.19.111</t>
  </si>
  <si>
    <t>Ка №219</t>
  </si>
  <si>
    <t>Трубка K-FLEX 06x015-2 ST</t>
  </si>
  <si>
    <t>Ка №218</t>
  </si>
  <si>
    <t>Трубка K-FLEX 06x012-2 ST</t>
  </si>
  <si>
    <t>Ка №217</t>
  </si>
  <si>
    <t>Трубка K-FLEX 06x010-2 ST</t>
  </si>
  <si>
    <t>Ка №216</t>
  </si>
  <si>
    <t>Трубка K-FLEX 06x006-2 ST</t>
  </si>
  <si>
    <t>Ка №215</t>
  </si>
  <si>
    <t>ИНН 9718039681</t>
  </si>
  <si>
    <t>ООО «СмартТрейдинг»</t>
  </si>
  <si>
    <t>ИНН 7724834074</t>
  </si>
  <si>
    <t>ООО «Контроль Холода»</t>
  </si>
  <si>
    <t>ИНН 7743778097</t>
  </si>
  <si>
    <t>ООО «Аэросистемы»</t>
  </si>
  <si>
    <t>том 02-01-07 КА, КП л.60-61</t>
  </si>
  <si>
    <t>Модуль автоматич.регулир.CCM-33-0.0</t>
  </si>
  <si>
    <t>Ка №214</t>
  </si>
  <si>
    <t>ИНН 7713463710</t>
  </si>
  <si>
    <t>ООО «Все Кондиционеры»</t>
  </si>
  <si>
    <t>ИНН 9721225487</t>
  </si>
  <si>
    <t>ООО «ТЕХНОКЛИМАТ ИНЖИНИРИНГ»</t>
  </si>
  <si>
    <t>ИНН 7743250099</t>
  </si>
  <si>
    <t>том 02-01-07 КА, КП л.58-59</t>
  </si>
  <si>
    <t>Внутренний блок MDSA-36HRN1 MDV/Наружный блок MDOA-36HN1 MDV с низкотемпературным комплектом</t>
  </si>
  <si>
    <t>Ка №213</t>
  </si>
  <si>
    <t>ИНН 9718109339</t>
  </si>
  <si>
    <t>ООО «МосХолдинг»</t>
  </si>
  <si>
    <t>том 02-01-07 КА, КП л.57-58</t>
  </si>
  <si>
    <t>Сплит-система MDV MDSAL-24HRFN8/MDOAG-24HFN8</t>
  </si>
  <si>
    <t>Ка №212</t>
  </si>
  <si>
    <t>ИНН 7722360100</t>
  </si>
  <si>
    <t>ООО "КЛИМАТСТРОЙ"</t>
  </si>
  <si>
    <t>том 02-01-07 КА, КП л.55-56</t>
  </si>
  <si>
    <t xml:space="preserve">Сплит-система Внутренний блок MDSAL-18HRFN8 MDV/Наружный блок MDOAG-18HFN8 MDV </t>
  </si>
  <si>
    <t>Ка №211</t>
  </si>
  <si>
    <t xml:space="preserve"> ИНН 2315224390</t>
  </si>
  <si>
    <t xml:space="preserve">ООО СПЛИТ-НАСТРОЙ </t>
  </si>
  <si>
    <t>том 02-01-07 КА, КП л.54-55</t>
  </si>
  <si>
    <t>Сплит-система Внутренний блок MDUE-48HRFN8/Наружный блок MDOU-48HFN8 с низкотемпературным комплектом</t>
  </si>
  <si>
    <t>Ка №210</t>
  </si>
  <si>
    <t>том 02-01-07 КА, КП л.53-54</t>
  </si>
  <si>
    <t>Сплит-система MDCD-48HRFN8 / T-MBQ4-04BD / MDOU-48HFN8</t>
  </si>
  <si>
    <t>Ка №209</t>
  </si>
  <si>
    <t>ИНН 7713752461</t>
  </si>
  <si>
    <t>ООО «НЕО ИНЖИНИРИНГ»</t>
  </si>
  <si>
    <t>том 02-01-07 КА, КП л.51-52</t>
  </si>
  <si>
    <t>TC3-10.1 Центральный пульт V8 MDV</t>
  </si>
  <si>
    <t>Ка №208</t>
  </si>
  <si>
    <t>том 02-01-07 КА, КП л.50-51</t>
  </si>
  <si>
    <t>Разветвитель FQZHN-03DS MDV</t>
  </si>
  <si>
    <t>Ка №207</t>
  </si>
  <si>
    <t>том 02-01-07 КА, КП л.48-49</t>
  </si>
  <si>
    <t xml:space="preserve"> Разветвитель FQZHN-02DS MDV</t>
  </si>
  <si>
    <t>Ка №206</t>
  </si>
  <si>
    <t>ИНН 260501472350</t>
  </si>
  <si>
    <t>ООО "Гарант-Климат"</t>
  </si>
  <si>
    <t>том 02-01-07 КА, КП л.46-47</t>
  </si>
  <si>
    <t>Разветвитель FQZHN-01DS MDV</t>
  </si>
  <si>
    <t>Ка №205</t>
  </si>
  <si>
    <t>ИНН: 7734368792</t>
  </si>
  <si>
    <t>ООО «УМНЫЙ КЛИМАТ ДИСТРИБЬЮШН»</t>
  </si>
  <si>
    <t>том 02-01-07 КА, КП л.45-46</t>
  </si>
  <si>
    <t>Внутренний блок MDVI3-100C4VR12D</t>
  </si>
  <si>
    <t>Ка №204</t>
  </si>
  <si>
    <t>ИНН 7734368792</t>
  </si>
  <si>
    <t>том 02-01-07 КА, КП л.43-44</t>
  </si>
  <si>
    <t>Наружный блок MDV-Vi560V2R1A</t>
  </si>
  <si>
    <t>Ка №203</t>
  </si>
  <si>
    <t>КОНДИЦИОНИРОВАНИЕ</t>
  </si>
  <si>
    <t>ИНН 7733223441</t>
  </si>
  <si>
    <t>ООО "КлиматСтрой"</t>
  </si>
  <si>
    <t>ИНН 7731475605</t>
  </si>
  <si>
    <t>ООО "ЮНИТС"</t>
  </si>
  <si>
    <t>ИНН 5027259708</t>
  </si>
  <si>
    <t>ООО "НЕД-Инжиниринг"</t>
  </si>
  <si>
    <t>том 02-01-07 КА, КП л.119-124</t>
  </si>
  <si>
    <t xml:space="preserve">Противопожарный клапан канальный НЗ EI60 (привод реверсивный 220В) 1600x400 </t>
  </si>
  <si>
    <t>Ка №202</t>
  </si>
  <si>
    <t>Противопожарный клапан канальный НЗ EI60 (привод реверсивный 220В) 1200x500</t>
  </si>
  <si>
    <t>Ка №201</t>
  </si>
  <si>
    <t>Противопожарный клапан канальный НЗ EI60 (привод реверсивный 220В) 900x500</t>
  </si>
  <si>
    <t>Ка №200</t>
  </si>
  <si>
    <t>Противопожарный клапан канальный НЗ EI60 (привод реверсивный 220В) 900x400</t>
  </si>
  <si>
    <t>Ка №199</t>
  </si>
  <si>
    <t xml:space="preserve"> Противопожарный клапан канальный НЗ EI60 (привод реверсивный 220В) 800x800</t>
  </si>
  <si>
    <t>Ка №198</t>
  </si>
  <si>
    <t xml:space="preserve"> Противопожарный клапан канальный НЗ EI60 (привод реверсивный 220В) 800x600</t>
  </si>
  <si>
    <t>Ка №197</t>
  </si>
  <si>
    <t xml:space="preserve"> Противопожарный клапан канальный НЗ EI60 (привод реверсивный 220В) 800x500</t>
  </si>
  <si>
    <t>Ка №196</t>
  </si>
  <si>
    <t xml:space="preserve">Противопожарный клапан канальный НЗ EI60 (привод реверсивный 220В) 800x450 </t>
  </si>
  <si>
    <t>Ка №195</t>
  </si>
  <si>
    <t xml:space="preserve">Противопожарный клапан канальный НЗ EI60 (привод реверсивный 220В) 800x400 </t>
  </si>
  <si>
    <t>Ка №194</t>
  </si>
  <si>
    <t xml:space="preserve">Противопожарный клапан канальный НЗ EI60 (привод реверсивный 220В) 800x350 </t>
  </si>
  <si>
    <t>Ка №193</t>
  </si>
  <si>
    <t xml:space="preserve"> Противопожарный клапан канальный НЗ EI60 (привод реверсивный 220В) 800x300 </t>
  </si>
  <si>
    <t>Ка №192</t>
  </si>
  <si>
    <t>Противопожарный клапан канальный НЗ EI60 (привод реверсивный 220В) 700x500</t>
  </si>
  <si>
    <t>Ка №191</t>
  </si>
  <si>
    <t>Противопожарный клапан канальный НЗ EI60 (привод реверсивный 220В) 700x400</t>
  </si>
  <si>
    <t>Ка №190</t>
  </si>
  <si>
    <t xml:space="preserve">Противопожарный клапан канальный НЗ EI60 (привод реверсивный 220В) 600x600 </t>
  </si>
  <si>
    <t>Ка №189</t>
  </si>
  <si>
    <t xml:space="preserve">Противопожарный клапан канальный НЗ EI60 (привод реверсивный 220В) 600x300 </t>
  </si>
  <si>
    <t>Ка №188</t>
  </si>
  <si>
    <t>Противопожарный клапан канальный НЗ EI60 (привод реверсивный 220В) 500x400</t>
  </si>
  <si>
    <t>Ка №187</t>
  </si>
  <si>
    <t>Клапан дымоудаления стеновой НЗ EI60 (привод реверсивный 220В) 1600x400</t>
  </si>
  <si>
    <t>Ка №186</t>
  </si>
  <si>
    <t>Клапан дымоудаления стеновой НЗ EI60 (привод реверсивный 220В) 1400x400</t>
  </si>
  <si>
    <t>Ка №185</t>
  </si>
  <si>
    <t xml:space="preserve">Клапан дымоудаления стеновой НЗ EI60 (привод реверсивный 220В) 1400x300 </t>
  </si>
  <si>
    <t>Ка №184</t>
  </si>
  <si>
    <t>Клапан дымоудаления стеновой НЗ EI60 (привод реверсивный 220В) 1200x500</t>
  </si>
  <si>
    <t>Ка №183</t>
  </si>
  <si>
    <t>Клапан дымоудаления стеновой НЗ EI60 (привод реверсивный 220В) 1200x200</t>
  </si>
  <si>
    <t>Ка №182</t>
  </si>
  <si>
    <t xml:space="preserve">Клапан дымоудаления стеновой НЗ EI60 (привод реверсивный 220В) 1000x800 </t>
  </si>
  <si>
    <t>Ка №181</t>
  </si>
  <si>
    <t xml:space="preserve"> Клапан дымоудаления стеновой НЗ EI60 (привод реверсивный 220В) 1000x400</t>
  </si>
  <si>
    <t>Ка №180</t>
  </si>
  <si>
    <t xml:space="preserve"> Клапан дымоудаления стеновой НЗ EI60 (привод реверсивный 220В) 900x500 </t>
  </si>
  <si>
    <t>Ка №179</t>
  </si>
  <si>
    <t xml:space="preserve"> Клапан дымоудаления стеновой НЗ EI60 (привод реверсивный 220В) 900x400 </t>
  </si>
  <si>
    <t>Ка №178</t>
  </si>
  <si>
    <t xml:space="preserve">Клапан дымоудаления стеновой НЗ EI60 (привод реверсивный 220В) 800x800 </t>
  </si>
  <si>
    <t>Ка №177</t>
  </si>
  <si>
    <t xml:space="preserve"> Клапан дымоудаления стеновой НЗ EI60 (привод реверсивный 220В) 800x500 </t>
  </si>
  <si>
    <t>Ка №176</t>
  </si>
  <si>
    <t>Клапан дымоудаления стеновой НЗ EI60 (привод реверсивный 220В) 800x450</t>
  </si>
  <si>
    <t>Ка №175</t>
  </si>
  <si>
    <t>Клапан дымоудаления стеновой НЗ EI60 (привод реверсивный 220В) 800x300</t>
  </si>
  <si>
    <t>Ка №174</t>
  </si>
  <si>
    <t xml:space="preserve">Клапан дымоудаления стеновой НЗ EI60 (привод реверсивный 220В) 700x500 </t>
  </si>
  <si>
    <t>Ка №173</t>
  </si>
  <si>
    <t>Клапан дымоудаления стеновой НЗ EI60 (привод реверсивный 220В) 700x400</t>
  </si>
  <si>
    <t>Ка №172</t>
  </si>
  <si>
    <t>Клапан дымоудаления стеновой НЗ EI60 (привод реверсивный 220В) 600x300</t>
  </si>
  <si>
    <t>Ка №171</t>
  </si>
  <si>
    <t>Клапан дымоудаления стеновой НЗ EI60 (привод реверсивный 220В) 500x400</t>
  </si>
  <si>
    <t>Ка №170</t>
  </si>
  <si>
    <t>КЛАПАНЫ ПРОТИВОПОЖАРНЫЕ</t>
  </si>
  <si>
    <t>том 02-01-07 КА, КП л.80,99,118</t>
  </si>
  <si>
    <t xml:space="preserve">Козырёк защитный VPN-500 </t>
  </si>
  <si>
    <t>Ка №169</t>
  </si>
  <si>
    <t>Вставка гибкая BINC-T4-500</t>
  </si>
  <si>
    <t>Ка №168</t>
  </si>
  <si>
    <t>Вентилятор осевой горизонтальный VOC 50-4x30</t>
  </si>
  <si>
    <t>Ка №167</t>
  </si>
  <si>
    <t>ПД8 (L=13600 м3/ч, Pc=400 Па)</t>
  </si>
  <si>
    <t>том 02-01-07 КА, КП л.80,98,117</t>
  </si>
  <si>
    <t xml:space="preserve"> Вставка гибкая BINC-T4-630</t>
  </si>
  <si>
    <t>Ка №166</t>
  </si>
  <si>
    <t xml:space="preserve">Вентилятор осевой горизонтальный VOC 63-11x30 </t>
  </si>
  <si>
    <t>Ка №165</t>
  </si>
  <si>
    <t>Козырёк защитный VPN-630</t>
  </si>
  <si>
    <t>Ка №164</t>
  </si>
  <si>
    <t>ПД7 (L=28300 м3/ч, Pc=400 Па)</t>
  </si>
  <si>
    <t>Вставка гибкая BINC-T4-560</t>
  </si>
  <si>
    <t>Ка №163</t>
  </si>
  <si>
    <t xml:space="preserve">Вентилятор осевой горизонтальный VOC 56-3x30 </t>
  </si>
  <si>
    <t>Ка №162</t>
  </si>
  <si>
    <t xml:space="preserve">Козырёк защитный VPN-560 </t>
  </si>
  <si>
    <t>Ка №161</t>
  </si>
  <si>
    <t>ПД5, ПД6 (L=15300 м3/ч, Pc=200 Па)</t>
  </si>
  <si>
    <t>том 02-01-07 КА, КП л.78-79, 97,116</t>
  </si>
  <si>
    <t>Вставка гибкая FH 40-20-T4</t>
  </si>
  <si>
    <t>Ка №160</t>
  </si>
  <si>
    <t>Воздухозаборная решетка LITENED 40-20 M Наружное исполнение</t>
  </si>
  <si>
    <t>Ка №159</t>
  </si>
  <si>
    <t>Вентилятор LITENED 40-20 G1.22-0,37х30</t>
  </si>
  <si>
    <t>Ка №158</t>
  </si>
  <si>
    <t>Крыша LITENED 40-20 L=600мм Наружное исполнение</t>
  </si>
  <si>
    <t>Ка №157</t>
  </si>
  <si>
    <t>ПД4 (L=380 м3/ч, Pc=230 Па)</t>
  </si>
  <si>
    <t>Вставка гибкая BINC-T4-400</t>
  </si>
  <si>
    <t>Ка №156</t>
  </si>
  <si>
    <t>Вентилятор осевой горизонтальный VOC 40-1,5x30</t>
  </si>
  <si>
    <t>Ка №155</t>
  </si>
  <si>
    <t>Козырёк защитный VPN-400</t>
  </si>
  <si>
    <t>Ка №154</t>
  </si>
  <si>
    <t>ПД2.2 (L=4350 м3/ч, Pc=400 Па)</t>
  </si>
  <si>
    <t>Ка №153</t>
  </si>
  <si>
    <t>Ка №152</t>
  </si>
  <si>
    <t>Вентилятор осевой горизонтальный VOC 50-2,2x30</t>
  </si>
  <si>
    <t>Ка №151</t>
  </si>
  <si>
    <t>ПД1, ПД2.1, ПД3 (L=8700 м3/ч, Pc=400 Па)</t>
  </si>
  <si>
    <t>том 02-01-07 КА, КП л.79,98,117</t>
  </si>
  <si>
    <t xml:space="preserve"> Комплект резинометаллических виброопор (RVI-9) (ТИП1)</t>
  </si>
  <si>
    <t>Ка №150</t>
  </si>
  <si>
    <t xml:space="preserve">Кожух двигателя KGD-900 (ТИП1) </t>
  </si>
  <si>
    <t>Ка №149</t>
  </si>
  <si>
    <t xml:space="preserve"> Клапан защитный CZR-900 (ТИП1) </t>
  </si>
  <si>
    <t>Ка №148</t>
  </si>
  <si>
    <t xml:space="preserve">Вставка гибкая VGKR-T4-900 (ТИП1) </t>
  </si>
  <si>
    <t>Ка №147</t>
  </si>
  <si>
    <t xml:space="preserve">Вентилятор VTR-DU-400-90H-11x10-HF L0-У2 </t>
  </si>
  <si>
    <t>Ка №146</t>
  </si>
  <si>
    <t>ВД8 (L=27900 м3/ч, Pc=500 Па)</t>
  </si>
  <si>
    <t>Комплект резинометаллических виброопор (RVI-7) (ТИП1)</t>
  </si>
  <si>
    <t>Ка №145</t>
  </si>
  <si>
    <t xml:space="preserve"> Кожух двигателя KGD-710 (ТИП1)</t>
  </si>
  <si>
    <t>Ка №144</t>
  </si>
  <si>
    <t xml:space="preserve">Клапан защитный CZR-710 (ТИП1) </t>
  </si>
  <si>
    <t>Ка №143</t>
  </si>
  <si>
    <t>Вставка гибкая VGKR-T4-710 (ТИП1)</t>
  </si>
  <si>
    <t>Ка №142</t>
  </si>
  <si>
    <t>Вентилятор VTR-DU-400-71H-11x15-HF L0-У2</t>
  </si>
  <si>
    <t>Ка №141</t>
  </si>
  <si>
    <t>ВД7.1, ВД7.2 (L=25000 м3/ч, Pc=500 Па)</t>
  </si>
  <si>
    <t>том 02-01-07 КА, КП л.79,97,116-117</t>
  </si>
  <si>
    <t>Ка №140</t>
  </si>
  <si>
    <t>Ка №139</t>
  </si>
  <si>
    <t>Ка №138</t>
  </si>
  <si>
    <t>Ка №137</t>
  </si>
  <si>
    <t>Вентилятор VTR-DU-400-71F-7,5x15-HF L0-У2</t>
  </si>
  <si>
    <t>Ка №136</t>
  </si>
  <si>
    <t>ВД3 (L=23600 м3/ч, Pc=350 Па)</t>
  </si>
  <si>
    <t>том 02-01-07 КА, КП л.79,97,116</t>
  </si>
  <si>
    <t>Ка №135</t>
  </si>
  <si>
    <t>Ка №134</t>
  </si>
  <si>
    <t>Ка №133</t>
  </si>
  <si>
    <t>Ка №132</t>
  </si>
  <si>
    <t>Вентилятор VTR-DU-400-71F-2,2x10-HF L0-У2
ЯВР-1-9-ДУ400-Н-4/750-У1-1-П0 (ДУ)</t>
  </si>
  <si>
    <t>Ка №131</t>
  </si>
  <si>
    <t>ВД1.1, ВД1.2, ВД2.1, ВД2.2, ВД2.3 (L=8600 м3/ч, Pc=400 Па)</t>
  </si>
  <si>
    <t>Противодымная вентиляция</t>
  </si>
  <si>
    <t>ИНН 7721613920</t>
  </si>
  <si>
    <t xml:space="preserve">ГК «БАУСТРОЙ» </t>
  </si>
  <si>
    <t>ИНН 5041207010</t>
  </si>
  <si>
    <t xml:space="preserve">  ООО «РЕТЕРМА»  </t>
  </si>
  <si>
    <t>ИНН 7705935398</t>
  </si>
  <si>
    <t>ООО «ТСК ДИПЛОМАТ»</t>
  </si>
  <si>
    <t>том 02-01-07 КА, КП л.38-39</t>
  </si>
  <si>
    <t>Пенофол С10</t>
  </si>
  <si>
    <t>Ка №130</t>
  </si>
  <si>
    <t>Противопожарный клапан канальный НО EI60 (привод с возвратной пружиной 220В) 800x400</t>
  </si>
  <si>
    <t>Ка №129</t>
  </si>
  <si>
    <t>Противопожарный клапан канальный НО EI60 (привод с возвратной пружиной 220В) 700x500</t>
  </si>
  <si>
    <t>Ка №128</t>
  </si>
  <si>
    <t xml:space="preserve">Противопожарный клапан канальный НО EI60 (привод с возвратной пружиной 220В) 600x400 </t>
  </si>
  <si>
    <t>Ка №127</t>
  </si>
  <si>
    <t>Противопожарный клапан канальный НО EI60 (привод с возвратной пружиной 220В) 600x400</t>
  </si>
  <si>
    <t>Ка №126</t>
  </si>
  <si>
    <t>Противопожарный клапан канальный НО EI60 (привод с возвратной пружиной 220В) 500x500</t>
  </si>
  <si>
    <t>Ка №125</t>
  </si>
  <si>
    <t>Противопожарный клапан канальный НО EI60 (привод с возвратной пружиной 220В) 500x400</t>
  </si>
  <si>
    <t>Ка №124</t>
  </si>
  <si>
    <t>Противопожарный клапан канальный НО EI60 (привод с возвратной пружиной 220В) 500x300</t>
  </si>
  <si>
    <t>Ка №123</t>
  </si>
  <si>
    <t>Противопожарный клапан канальный НО EI60 (привод с возвратной пружиной 220В) 500x200</t>
  </si>
  <si>
    <t>Ка №122</t>
  </si>
  <si>
    <t>Противопожарный клапан канальный НО EI60 (привод с возвратной пружиной 220В) 400x400</t>
  </si>
  <si>
    <t>Ка №121</t>
  </si>
  <si>
    <t>Противопожарный клапан канальный НО EI60 (привод с возвратной пружиной 220В) 400x350</t>
  </si>
  <si>
    <t>Ка №120</t>
  </si>
  <si>
    <t>Противопожарный клапан канальный НО EI60 (привод с возвратной пружиной 220В) 400x300</t>
  </si>
  <si>
    <t>Ка №119</t>
  </si>
  <si>
    <t>Противопожарный клапан канальный НО EI60 (привод с возвратной пружиной 220В) 400x200</t>
  </si>
  <si>
    <t>Ка №118</t>
  </si>
  <si>
    <t>Противопожарный клапан канальный НО EI60 (привод с возвратной пружиной 220В) 350x350</t>
  </si>
  <si>
    <t>Ка №117</t>
  </si>
  <si>
    <t>Противопожарный клапан канальный НО EI60 (привод с возвратной пружиной 220В) 350x200</t>
  </si>
  <si>
    <t>Ка №116</t>
  </si>
  <si>
    <t>Противопожарный клапан канальный НО EI60 (привод с возвратной пружиной 220В) 300x300</t>
  </si>
  <si>
    <t>Ка №115</t>
  </si>
  <si>
    <t>Противопожарный клапан канальный НО EI60 (привод с возвратной пружиной 220В) 250x250</t>
  </si>
  <si>
    <t>Ка №114</t>
  </si>
  <si>
    <t>Противопожарный клапан канальный НО EI60 (привод с возвратной пружиной 220В) 200x200</t>
  </si>
  <si>
    <t>Ка №113</t>
  </si>
  <si>
    <t>Противопожарный клапан канальный НО EI60 (привод с возвратной пружиной 220В) 315</t>
  </si>
  <si>
    <t>Ка №112</t>
  </si>
  <si>
    <t>Противопожарный клапан канальный НО EI60 (привод с возвратной пружиной 220В) 250</t>
  </si>
  <si>
    <t>Ка №111</t>
  </si>
  <si>
    <t>Противопожарный клапан канальный НО EI60 (привод с возвратной пружиной 220В) 200</t>
  </si>
  <si>
    <t>Ка №110</t>
  </si>
  <si>
    <t>Противопожарный клапан канальный НО EI60 (привод с возвратной пружиной 220В) 160</t>
  </si>
  <si>
    <t>Ка №109</t>
  </si>
  <si>
    <t>Противопожарный клапан канальный НО EI60 (привод с возвратной пружиной 220В) 125</t>
  </si>
  <si>
    <t>Ка №108</t>
  </si>
  <si>
    <t>Противопожарный клапан канальный НО EI60 (привод с возвратной пружиной 220В) 100</t>
  </si>
  <si>
    <t>Ка №107</t>
  </si>
  <si>
    <t>КЛАПАН ПРОТИВОПОЖАРНЫЙ</t>
  </si>
  <si>
    <t>ИНН 500403475307</t>
  </si>
  <si>
    <t>компания VentArm</t>
  </si>
  <si>
    <t xml:space="preserve"> ИНН 7814492548</t>
  </si>
  <si>
    <t>ООО  "ЭйрПромВент"</t>
  </si>
  <si>
    <t>ИНН 7714365507</t>
  </si>
  <si>
    <t xml:space="preserve"> Компания «СВИК»</t>
  </si>
  <si>
    <t>том 02-01-07 КА, КП л.36-37</t>
  </si>
  <si>
    <t>Решётка приточная регулируемая АДН-1000х200</t>
  </si>
  <si>
    <t>Ка №103</t>
  </si>
  <si>
    <t>том 02-01-07 КА, КП л.34-35</t>
  </si>
  <si>
    <t>Решётка приточная регулируемая АДН-800х200</t>
  </si>
  <si>
    <t>Ка №102</t>
  </si>
  <si>
    <t>том 02-01-07 КА, КП л.32-33</t>
  </si>
  <si>
    <t>Решётка приточная регулируемая АДН-500х300</t>
  </si>
  <si>
    <t>Ка №101</t>
  </si>
  <si>
    <t>том 02-01-07 КА, КП л.31-32</t>
  </si>
  <si>
    <t>Решётка приточная регулируемая АДН-500х200</t>
  </si>
  <si>
    <t>Ка №100</t>
  </si>
  <si>
    <t>ИНН 7801559957</t>
  </si>
  <si>
    <t>ООО "МИК"</t>
  </si>
  <si>
    <t>том 02-01-07 КА, КП л.29-30</t>
  </si>
  <si>
    <t>Решётка приточная регулируемая АДН-500х100</t>
  </si>
  <si>
    <t>Ка №99</t>
  </si>
  <si>
    <t>том 02-01-07 КА, КП л.28-29</t>
  </si>
  <si>
    <t>Решётка приточная регулируемая АДН-400х200</t>
  </si>
  <si>
    <t>Ка №98</t>
  </si>
  <si>
    <t>том 02-01-07 КА, КП л.26-27</t>
  </si>
  <si>
    <t>Решётка приточная регулируемая АДН-300х300</t>
  </si>
  <si>
    <t>Ка №97</t>
  </si>
  <si>
    <t>том 02-01-07 КА, КП л.25-26</t>
  </si>
  <si>
    <t>Решётка приточная регулируемая АДН-300х200</t>
  </si>
  <si>
    <t>Ка №96</t>
  </si>
  <si>
    <t>том 02-01-07 КА, КП л.23-24</t>
  </si>
  <si>
    <t>Решётка приточная регулируемая АДН-200х200</t>
  </si>
  <si>
    <t>Ка №95</t>
  </si>
  <si>
    <t>том 02-01-07 КА, КП л.22-23</t>
  </si>
  <si>
    <t>Решётка приточная регулируемая АДН-150х150</t>
  </si>
  <si>
    <t>Ка №94</t>
  </si>
  <si>
    <t>ИНН 7707812514</t>
  </si>
  <si>
    <t>ООО "Эстебано Инжиниринг"</t>
  </si>
  <si>
    <t>том 02-01-07 КА, КП л.20-21</t>
  </si>
  <si>
    <t>Квадратный диффузор с адаптером 4АПН 600х600 + КСД 250</t>
  </si>
  <si>
    <t>Ка №93</t>
  </si>
  <si>
    <t>Квадратный диффузор с адаптером 4АПН 600х600 + КСД 200</t>
  </si>
  <si>
    <t>Ка №92</t>
  </si>
  <si>
    <t>Воздухораспределительные устройства</t>
  </si>
  <si>
    <t>компл.</t>
  </si>
  <si>
    <t>том 02-01-07 КА, КП л.67-78, 86-97, 105-116</t>
  </si>
  <si>
    <t>В12.8 (L=75 м3/ч, Pc=150 Па)</t>
  </si>
  <si>
    <t>Ка №91</t>
  </si>
  <si>
    <t>В12.7 (L=95 м3/ч, Pc=150 Па)</t>
  </si>
  <si>
    <t>Ка №90</t>
  </si>
  <si>
    <t>В12.6 (L=100 м3/ч, Pc=150 Па)</t>
  </si>
  <si>
    <t>Ка №89</t>
  </si>
  <si>
    <t>В12.5 (L=120 м3/ч, Pc=150 Па)</t>
  </si>
  <si>
    <t>Ка №88</t>
  </si>
  <si>
    <t>В12.4 (L=140 м3/ч, Pc=150 Па)</t>
  </si>
  <si>
    <t>Ка №87</t>
  </si>
  <si>
    <t>В12.3 (L=95 м3/ч, Pc=150 Па)</t>
  </si>
  <si>
    <t>Ка №86</t>
  </si>
  <si>
    <t>В12.2 (L=585 м3/ч, Pc=150 Па)</t>
  </si>
  <si>
    <t>Ка №85</t>
  </si>
  <si>
    <t>В12.1 (L=120 м3/ч, Pc=150 Па)</t>
  </si>
  <si>
    <t>Ка №84</t>
  </si>
  <si>
    <t>В11.4 (L=450 м3/ч, Pc=200 Па)</t>
  </si>
  <si>
    <t>Ка №83</t>
  </si>
  <si>
    <t>В11.3 (L=450 м3/ч, Pc=200 Па)</t>
  </si>
  <si>
    <t>Ка №82</t>
  </si>
  <si>
    <t>В11.2 (L=495 м3/ч, Pc=200 Па)</t>
  </si>
  <si>
    <t>Ка №81</t>
  </si>
  <si>
    <t>В11.1 (L=600 м3/ч, Pc=200 Па)</t>
  </si>
  <si>
    <t>Ка №80</t>
  </si>
  <si>
    <t>В10 (L=1835 м3/ч, Pc=200 Па)</t>
  </si>
  <si>
    <t>Ка №79</t>
  </si>
  <si>
    <t>В9.2 (L=135 м3/ч, Pc=150 Па)</t>
  </si>
  <si>
    <t>Ка №78</t>
  </si>
  <si>
    <t>В9.1 (L=270 м3/ч, Pc=150 Па)</t>
  </si>
  <si>
    <t>Ка №77</t>
  </si>
  <si>
    <t>В8.4 (L=60 м3/ч, Pc=150 Па)</t>
  </si>
  <si>
    <t>Ка №76</t>
  </si>
  <si>
    <t>В8.3 (L=415 м3/ч, Pc=200 Па)</t>
  </si>
  <si>
    <t>Ка №75</t>
  </si>
  <si>
    <t>В8.2 (L=75 м3/ч, Pc=150 Па)</t>
  </si>
  <si>
    <t>Ка №74</t>
  </si>
  <si>
    <t>В8.1 (L=1680 м3/ч, Pc=200 Па)</t>
  </si>
  <si>
    <t>Ка №73</t>
  </si>
  <si>
    <t>В7 (L=1000 м3/ч, Pc=150 Па)</t>
  </si>
  <si>
    <t>Ка №72</t>
  </si>
  <si>
    <t>В6.2 (L=30 м3/ч, Pc=150 Па)</t>
  </si>
  <si>
    <t>Ка №71</t>
  </si>
  <si>
    <t>В6.1 (L=4000 м3/ч, Pc=150 Па)</t>
  </si>
  <si>
    <t>Ка №70</t>
  </si>
  <si>
    <t>В5 (L=4500 м3/ч, Pc=200 Па)</t>
  </si>
  <si>
    <t>Ка №69</t>
  </si>
  <si>
    <t>В4.14 (L=200 м3/ч, Pc=200 Па)</t>
  </si>
  <si>
    <t>Ка №68</t>
  </si>
  <si>
    <t>В4.13 (L=200 м3/ч, Pc=200 Па)</t>
  </si>
  <si>
    <t>Ка №67</t>
  </si>
  <si>
    <t>В4.12 (L=500 м3/ч, Pc=200 Па)</t>
  </si>
  <si>
    <t>Ка №66</t>
  </si>
  <si>
    <t>В4.11 (L=7710 м3/ч, Pc=500 Па)</t>
  </si>
  <si>
    <t>Ка №65</t>
  </si>
  <si>
    <t>В4.6 (L=185 м3/ч, Pc=150 Па)</t>
  </si>
  <si>
    <t>Ка №64</t>
  </si>
  <si>
    <t>В4.5 (L=225 м3/ч, Pc=150 Па)</t>
  </si>
  <si>
    <t>Ка №63</t>
  </si>
  <si>
    <t>В4.4 (L=60 м3/ч, Pc=150 Па)</t>
  </si>
  <si>
    <t>Ка №62</t>
  </si>
  <si>
    <t>В4.3 (L=140 м3/ч, Pc=150 Па)</t>
  </si>
  <si>
    <t>Ка №61</t>
  </si>
  <si>
    <t>В4.2 (L=815 м3/ч, Pc=200 Па)</t>
  </si>
  <si>
    <t>Ка №60</t>
  </si>
  <si>
    <t>В4.1 (L=585 м3/ч, Pc=200 Па)</t>
  </si>
  <si>
    <t>Ка №59</t>
  </si>
  <si>
    <t>В3.17 (L=600 м3/ч, Pc=200 Па)</t>
  </si>
  <si>
    <t>Ка №58</t>
  </si>
  <si>
    <t>В3.16 (L=600 м3/ч, Pc=200 Па)</t>
  </si>
  <si>
    <t>Ка №57</t>
  </si>
  <si>
    <t>В3.15 (L=600 м3/ч, Pc=200 Па)</t>
  </si>
  <si>
    <t>Ка №56</t>
  </si>
  <si>
    <t>В3.14 (L=600 м3/ч, Pc=200 Па)</t>
  </si>
  <si>
    <t>Ка №55</t>
  </si>
  <si>
    <t>В3.13 (L=200 м3/ч, Pc=200 Па)</t>
  </si>
  <si>
    <t>Ка №54</t>
  </si>
  <si>
    <t>В3.12 (L=200 м3/ч, Pc=200 Па)</t>
  </si>
  <si>
    <t>Ка №53</t>
  </si>
  <si>
    <t>В3.11 (L=200 м3/ч, Pc=200 Па)</t>
  </si>
  <si>
    <t>Ка №52</t>
  </si>
  <si>
    <t>В3.5 (L=420 м3/ч, Pc=200 Па)</t>
  </si>
  <si>
    <t>Ка №51</t>
  </si>
  <si>
    <t>В3.4 (L=110 м3/ч, Pc=150 Па)</t>
  </si>
  <si>
    <t>Ка №50</t>
  </si>
  <si>
    <t>В3.3 (L=60 м3/ч, Pc=150 Па)</t>
  </si>
  <si>
    <t>Ка №49</t>
  </si>
  <si>
    <t>В3.2 (L=120 м3/ч, Pc=150 Па)</t>
  </si>
  <si>
    <t>Ка №48</t>
  </si>
  <si>
    <t>В3.1 (L=480 м3/ч, Pc=200 Па)</t>
  </si>
  <si>
    <t>Ка №47</t>
  </si>
  <si>
    <t>В2.3 (L=40 м3/ч, Pc=150 Па)</t>
  </si>
  <si>
    <t>Ка №46</t>
  </si>
  <si>
    <t>В2.2 (L=375 м3/ч, Pc=200 Па)</t>
  </si>
  <si>
    <t>Ка №45</t>
  </si>
  <si>
    <t>В2.1 (L=480 м3/ч, Pc=200 Па)</t>
  </si>
  <si>
    <t>Ка №44</t>
  </si>
  <si>
    <t>том 02-01-07 КА, КП л.62-67, 81-86, 100-105</t>
  </si>
  <si>
    <t>Н10.1 (Доводчик) (L=155 м3/ч, Pc=50 Па)/Воздухонагреватель электрический KEA 125/1,5</t>
  </si>
  <si>
    <t>Ка №43</t>
  </si>
  <si>
    <t>П10 (L=1835 м3/ч, Pc=200 Па)</t>
  </si>
  <si>
    <t>Ка №42</t>
  </si>
  <si>
    <t>П9 (L=405 м3/ч, Pc=200 Па)</t>
  </si>
  <si>
    <t>Ка №41</t>
  </si>
  <si>
    <t xml:space="preserve">Н8.1 (Доводчик) (L=400 м3/ч, Pc=50 Па)/Воздухонагреватель электрический KEA 160/1 </t>
  </si>
  <si>
    <t>Ка №40</t>
  </si>
  <si>
    <t>П8 (L=2155 м3/ч, Pc=200 Па)</t>
  </si>
  <si>
    <t>Ка №39</t>
  </si>
  <si>
    <t>П7 (L=1000 м3/ч, Pc=200 Па)</t>
  </si>
  <si>
    <t>Ка №38</t>
  </si>
  <si>
    <t>П6 (L=4000 м3/ч, Pc=200 Па)</t>
  </si>
  <si>
    <t>Ка №37</t>
  </si>
  <si>
    <t>П5 (L=4500 м3/ч, Pc=200 Па)</t>
  </si>
  <si>
    <t>Ка №36</t>
  </si>
  <si>
    <t>П4 (L=10435 м3/ч, Pc=400 Па)</t>
  </si>
  <si>
    <t>Ка №35</t>
  </si>
  <si>
    <t>П3.2 (L=520 м3/ч, Pc=200 Па)</t>
  </si>
  <si>
    <t>Ка №34</t>
  </si>
  <si>
    <t>П3.1 (L=2860 м3/ч, Pc=250 Па)</t>
  </si>
  <si>
    <t>Ка №33</t>
  </si>
  <si>
    <t>П2.2 (L=2195 м3/ч, Pc=250 Па)</t>
  </si>
  <si>
    <t>Ка №32</t>
  </si>
  <si>
    <t>П2.1 (L=2865 м3/ч, Pc=250 Па)</t>
  </si>
  <si>
    <t>Ка №31</t>
  </si>
  <si>
    <t>П1.2 (L=8600 м3/ч, Pc=400 Па)</t>
  </si>
  <si>
    <t>Ка №30</t>
  </si>
  <si>
    <t>П1.1 (L=8020 м3/ч, Pc=400 Па)</t>
  </si>
  <si>
    <t>Ка №29</t>
  </si>
  <si>
    <t>Приточно-вытяжные установки</t>
  </si>
  <si>
    <t>том 02-01-07 КА, КП л.67,85,104</t>
  </si>
  <si>
    <t>Смесительный узел SMEX 40-2.5 (для 1-го водяного нагревателя)</t>
  </si>
  <si>
    <t>Ка №28</t>
  </si>
  <si>
    <t>П10</t>
  </si>
  <si>
    <t>том 02-01-07 КА, КП л.66,85,104</t>
  </si>
  <si>
    <t>Смесительный узел SMEX 40-1.0 (для 1-го водяного нагревателя)</t>
  </si>
  <si>
    <t>Ка №27</t>
  </si>
  <si>
    <t>П9</t>
  </si>
  <si>
    <t xml:space="preserve">Комплект циркуляционного насоса CBM 25/6-130А (230В) (для 1-го
водяного нагревателя) </t>
  </si>
  <si>
    <t>Ка №26</t>
  </si>
  <si>
    <t>Трехходовой вентиль TBG 20-4,0 (для 1-го водяного нагревателя)</t>
  </si>
  <si>
    <t>Ка №25</t>
  </si>
  <si>
    <t>П8</t>
  </si>
  <si>
    <t>том 02-01-07 КА, КП л.65,84,103</t>
  </si>
  <si>
    <t>Смесительный узел SMEX 40-1.6 (для 1-го водяного нагревателя)</t>
  </si>
  <si>
    <t>Ка №24</t>
  </si>
  <si>
    <t>П7</t>
  </si>
  <si>
    <t>Циркуляционный насос DAB A 50/180 M (230В) (505803001) (для 1-го
водяного нагревателя)</t>
  </si>
  <si>
    <t>Ка №23</t>
  </si>
  <si>
    <t>Ка №22</t>
  </si>
  <si>
    <t>П6</t>
  </si>
  <si>
    <t>том 02-01-07 КА, КП л.65,83,102</t>
  </si>
  <si>
    <t>Циркуляционный насос DAB A 50/180 M (230В) (505803001) (для 1-го водяного нагревателя)</t>
  </si>
  <si>
    <t>Ка №21</t>
  </si>
  <si>
    <t>Трехходовой вентиль TBG 20-6,3 (для 1-го водяного нагревателя)</t>
  </si>
  <si>
    <t>Ка №20</t>
  </si>
  <si>
    <t>П5</t>
  </si>
  <si>
    <t>том 02-01-07 КА, КП л.64,83,102</t>
  </si>
  <si>
    <t>Комплект гаек DAB 1" (547121060) (для 1-го водяного нагревателя)</t>
  </si>
  <si>
    <t>Ка №19</t>
  </si>
  <si>
    <t>Циркуляционный насос VL-32PBG-8-N (230В) (для 1-го водяного нагревателя)</t>
  </si>
  <si>
    <t>Ка №18</t>
  </si>
  <si>
    <t>Трехходовой вентиль TBG 25-10 (для 1-го водяного нагревателя)</t>
  </si>
  <si>
    <t>Ка №17</t>
  </si>
  <si>
    <t>П4</t>
  </si>
  <si>
    <t>Ка №16</t>
  </si>
  <si>
    <t>П3.2</t>
  </si>
  <si>
    <t>том 02-01-07 КА, КП л.63,82,101</t>
  </si>
  <si>
    <t>Ка №15</t>
  </si>
  <si>
    <t>том 02-01-07 КА, КП л.64,82,101</t>
  </si>
  <si>
    <t>Ка №14</t>
  </si>
  <si>
    <t>П3.1</t>
  </si>
  <si>
    <t>Ка №13</t>
  </si>
  <si>
    <t>Ка №12</t>
  </si>
  <si>
    <t>П2.2</t>
  </si>
  <si>
    <t>Ка №11</t>
  </si>
  <si>
    <t>Ка №10</t>
  </si>
  <si>
    <t>П2.1</t>
  </si>
  <si>
    <t>том 02-01-07 КА, КП л.62,81,100</t>
  </si>
  <si>
    <t>Ка №9</t>
  </si>
  <si>
    <t>Ка №8</t>
  </si>
  <si>
    <t>П1.2</t>
  </si>
  <si>
    <t>Ка №7</t>
  </si>
  <si>
    <t>Ка №6</t>
  </si>
  <si>
    <t>П1.1</t>
  </si>
  <si>
    <t>Смесительные узлы</t>
  </si>
  <si>
    <t>ИНН 5041207772</t>
  </si>
  <si>
    <t xml:space="preserve">	ООО "ФАВОРИТ"</t>
  </si>
  <si>
    <t>ИНН 9719030642</t>
  </si>
  <si>
    <t>компания «Газ-Инжиниринг»</t>
  </si>
  <si>
    <t>ИНН 7721554174</t>
  </si>
  <si>
    <t>ООО  "Овен Комплект Автоматика"</t>
  </si>
  <si>
    <t>том 02-01-07 КА, КП л.19-20</t>
  </si>
  <si>
    <t>Термоманометр 31120181</t>
  </si>
  <si>
    <t>Ка №5</t>
  </si>
  <si>
    <t>ИНН 5906035682</t>
  </si>
  <si>
    <t>ООО "Скор"</t>
  </si>
  <si>
    <t>ИНН  9727072090</t>
  </si>
  <si>
    <t>магазин «TermOnline.ru»</t>
  </si>
  <si>
    <t>ИНН 5051008208</t>
  </si>
  <si>
    <t>ООО «ВЕСТА РЕГИОНЫ»</t>
  </si>
  <si>
    <t>том 02-01-07 КА, КП л.17-18</t>
  </si>
  <si>
    <t>Воздухоотводчик автоматический Ду15 Valtec</t>
  </si>
  <si>
    <t>Ка №4</t>
  </si>
  <si>
    <t xml:space="preserve">ИНН 7806603906 </t>
  </si>
  <si>
    <t>ООО «Неваград-инженерные системы»</t>
  </si>
  <si>
    <t>ИНН 7717291927</t>
  </si>
  <si>
    <t>ООО "ЭкоСтройКлимат"</t>
  </si>
  <si>
    <t>ИНН 7725291920</t>
  </si>
  <si>
    <t>ООО "ГК ИПМ"</t>
  </si>
  <si>
    <t>том 02-01-07 КА, КП л.16-17</t>
  </si>
  <si>
    <t>Балансировочный клапан фланцевый MSF2- 80</t>
  </si>
  <si>
    <t>Ка №3</t>
  </si>
  <si>
    <t>ИНН 7720649627</t>
  </si>
  <si>
    <t>ООО «АЛЬФА ВЕНТ»</t>
  </si>
  <si>
    <t>ИНН 7806107471</t>
  </si>
  <si>
    <t>ООО "Тепломаш"</t>
  </si>
  <si>
    <t>том 02-01-07 КА, КП л.14-15</t>
  </si>
  <si>
    <t>Воздушная завеса в комплекте с кронштейном и пультом управления КЭВ-12П2023E</t>
  </si>
  <si>
    <t>Ка №2</t>
  </si>
  <si>
    <t xml:space="preserve"> ИНН 7727694555</t>
  </si>
  <si>
    <t>том 02-01-07 КА, КП л.13-14</t>
  </si>
  <si>
    <t>Воздушная завеса в комплекте с кронштейном и пультом управления КЭВ-18П4043E</t>
  </si>
  <si>
    <t>Ка №1</t>
  </si>
  <si>
    <t>ВОЗДУШНО-ТЕПЛОВЫЕ ЗАВЕСЫ</t>
  </si>
  <si>
    <t>02-01-07 Вентиляция и кондиционирование</t>
  </si>
  <si>
    <t>Капитальный ремонт здания Государственного бюджетного общеобразовательного учреждения города Москвы «Школа № 236», расположенного по адресу: г. Москва, ул. Клязьминская, д. 7, корп.4  1этап</t>
  </si>
  <si>
    <t>07.08.2025г.</t>
  </si>
  <si>
    <t>ООО "Тантос" </t>
  </si>
  <si>
    <t>ООО «Рубеж»</t>
  </si>
  <si>
    <t>Том АПС КА, скрины л. 29</t>
  </si>
  <si>
    <t>ПО "FireSec" оперативная задача</t>
  </si>
  <si>
    <t>58.29.13.000</t>
  </si>
  <si>
    <t>ООО «СИСТЕМПРОФГРУПП»</t>
  </si>
  <si>
    <t>ООО "ЗВК.РУ"</t>
  </si>
  <si>
    <t>ООО «ТЕХЛАНД»</t>
  </si>
  <si>
    <t>Том АПС КА, скрины л. 28</t>
  </si>
  <si>
    <t>Моноблок Aquarius Mnb Pro T924, клавиатура, мышь</t>
  </si>
  <si>
    <t>26.20.15.140</t>
  </si>
  <si>
    <t>Том АПС КА, скрины л. 27</t>
  </si>
  <si>
    <t>Кабель КПСнг(А)-FRLSLTx 1х2х0,75 мм</t>
  </si>
  <si>
    <t>27.32.13.150</t>
  </si>
  <si>
    <t>Том АПС КА, скрины л. 26</t>
  </si>
  <si>
    <t>Кабель КПСнг(А)-FRLSLTx 1х2х1 мм</t>
  </si>
  <si>
    <t>ООО Корпорация «Грумант»</t>
  </si>
  <si>
    <t>Том АПС КА, скрины л. 25</t>
  </si>
  <si>
    <t>Кабель КПСнг(А)-FRLSLTx 1х2х1,5 мм</t>
  </si>
  <si>
    <t>Том АПС КА, скрины л. 24</t>
  </si>
  <si>
    <t>Кабель КПСЭнг(А)-FRLSLTx 1х2х0,5 мм</t>
  </si>
  <si>
    <t>Том АПС КА, скрины л. 23</t>
  </si>
  <si>
    <t>Оповещатель охранно-пожарный светозвуковой ОПОП 124-7 12В</t>
  </si>
  <si>
    <t>26.30.50.114</t>
  </si>
  <si>
    <t>Том АПС КА, скрины л. 22</t>
  </si>
  <si>
    <t>Бокс резервного электропитания БР12 исп. 2х40 045569</t>
  </si>
  <si>
    <t>Том АПС КА, скрины л. 21</t>
  </si>
  <si>
    <t>Адресный релейный модуль РМ-4К-R3</t>
  </si>
  <si>
    <t>27.12.24.190</t>
  </si>
  <si>
    <t>ООО «Компания СБ-Маркет»</t>
  </si>
  <si>
    <t>ООО «ВИДЕОГЛАЗ ЦЕНТР»</t>
  </si>
  <si>
    <t>Том АПС КА, скрины л. 20</t>
  </si>
  <si>
    <t>Адресный релейный модуль РМ-4-R3 337434</t>
  </si>
  <si>
    <t>ООО «ТехноЛайт»</t>
  </si>
  <si>
    <t>Том АПС КА, скрины л. 19</t>
  </si>
  <si>
    <t>Адресный релейный модуль РМ-1С-R3 337648</t>
  </si>
  <si>
    <t>ООО «ЭКС»</t>
  </si>
  <si>
    <t>Том АПС КА, скрины л. 18</t>
  </si>
  <si>
    <t>Адресный релейный модуль РМ-1К-R3 337614</t>
  </si>
  <si>
    <t>Том АПС КА, скрины л. 17</t>
  </si>
  <si>
    <t>Источник вторичного электропитания резервированный адресный ИВЭПР 12/2 RS-R3 2х12 БР-R3</t>
  </si>
  <si>
    <t>Том АПС КА, скрины л. 16</t>
  </si>
  <si>
    <t>Источник вторичного электропитания резервированный адресный ИВЭПР 12/5 RS-R3 2х40 БР-R3</t>
  </si>
  <si>
    <t>Том АПС КА, скрины л. 15</t>
  </si>
  <si>
    <t>Источник вторичного электропитания резервированный адресный ИВЭПР 12/2 RS-R3 2х17 БР-R3</t>
  </si>
  <si>
    <t>Том АПС КА, скрины л. 14</t>
  </si>
  <si>
    <t>Оповещатель охранно-пожарный световой ОПОП 1-R3 Стрелка</t>
  </si>
  <si>
    <t>ИП Толоконников Эдуард Алексеевич</t>
  </si>
  <si>
    <t>ООО «ЛЕДКОМ»</t>
  </si>
  <si>
    <t>Том АПС КА, скрины л. 13</t>
  </si>
  <si>
    <t>Оповещатель охранно-пожарный световой адресный ОПОП 1-R3 "Пожар" 338202</t>
  </si>
  <si>
    <t>Том АПС КА, скрины л. 12</t>
  </si>
  <si>
    <t>Оповещатель охранно-пожарный световой адресный ОПОП 1-R3 "Выход" 337637</t>
  </si>
  <si>
    <t>Том АПС КА, скрины л. 11</t>
  </si>
  <si>
    <t>Изолятор шлейфа ИЗ-1-R3 337647</t>
  </si>
  <si>
    <t>27.90.12.110</t>
  </si>
  <si>
    <t>Том АПС КА, скрины л. 10</t>
  </si>
  <si>
    <t>Извещатель пожарный тепловой адресный ИП 101-29-PR-R3 337480</t>
  </si>
  <si>
    <t>26.30.50.121</t>
  </si>
  <si>
    <t>Том АПС КА, скрины л. 9</t>
  </si>
  <si>
    <t>Извещатель пожарный ручной адресный с изолятором ИПР 513-11ИКЗ-А-R3 301159</t>
  </si>
  <si>
    <t>ООО «Дом мечты»</t>
  </si>
  <si>
    <t>Том АПС КА, скрины л. 8</t>
  </si>
  <si>
    <t>Извещатель пожарный дымовой оптико-электронный линейный ИПДЛ-264/1-50-R3 342260</t>
  </si>
  <si>
    <t>ИП Вадько Игорь Владимирович</t>
  </si>
  <si>
    <t>ООО «ПУЛЬСЭЛЕКТРО»</t>
  </si>
  <si>
    <t>Том АПС КА, скрины л. 7</t>
  </si>
  <si>
    <t>Базовое основание W1.02 338227</t>
  </si>
  <si>
    <t>Том АПС КА, скрины л. 6</t>
  </si>
  <si>
    <t>Базовое основание W2.03 342655</t>
  </si>
  <si>
    <t>Том АПС КА, скрины л. 5</t>
  </si>
  <si>
    <t>Извещатель дымовой ИП 212-64-R3 без б/о 337936</t>
  </si>
  <si>
    <t>Том АПС КА, скрины л. 4</t>
  </si>
  <si>
    <t>Модуль связи R3-МС 377218</t>
  </si>
  <si>
    <t>26.30.23.110</t>
  </si>
  <si>
    <t>ООО «МАСТЕРСВЕТ»</t>
  </si>
  <si>
    <t>Том АПС КА, скрины л. 3</t>
  </si>
  <si>
    <t>Блок индикации и управления R3-Рубеж-БИУ 319531</t>
  </si>
  <si>
    <t>Том АПС КА, скрины л. 2</t>
  </si>
  <si>
    <t>Прибор приемно-контрольный и управления пожарный адресный R3-Рубеж 20П 319538</t>
  </si>
  <si>
    <t>02-01-08 АПС</t>
  </si>
  <si>
    <t>Поставщик №3</t>
  </si>
  <si>
    <t>Поставщик №2</t>
  </si>
  <si>
    <t>Поставщик №1</t>
  </si>
  <si>
    <t xml:space="preserve">Капитальный ремонт здания Государственного бюджетного общеобразовательного учреждения города Москвы «Школа № 236» по адресу: г. Москва, ул. Клязьминская, д. 7, к. 4. I этап
</t>
  </si>
  <si>
    <t>https://domodedovo.artem-tools.ru/catalog/elektrika-i-svet/kabeli-slabotochnye/parlan-u-utp-cat5e-pvcls-ng-a-frlsl_664501/</t>
  </si>
  <si>
    <t>9701078957</t>
  </si>
  <si>
    <t>ООО "Артем Тулс"</t>
  </si>
  <si>
    <t>https://atlastpk.ru/catalog/parlan-fr/parlan-u-utp-cat5e-pvclsng-a-frlsltx-4kh2kh0-52/</t>
  </si>
  <si>
    <t>https://www.etm.ru/cat/nn/7950811?utm_source=yandex&amp;utm_medium=yandex_search&amp;ysclid=mi4nnqvm1x293910104</t>
  </si>
  <si>
    <t>02-01-09  СОУЭ  КА, КП, (Листы 29-30</t>
  </si>
  <si>
    <t>Кабель ParLan U/UTP Cat5e PVCLSнг(А)-FRLSLTx 4x2x0,52</t>
  </si>
  <si>
    <t>27.31.11.000</t>
  </si>
  <si>
    <t>https://secbuy.ru/product/loutoks-20ng-a-frlsltx-1kh2kh1-5-kabel-dlya-sistem-ops-i-soue-ognestoykiy-s-nizkim-dymo-i-gazovydele/?ysclid=mi4nbn6uoz600788011</t>
  </si>
  <si>
    <t>9715308907</t>
  </si>
  <si>
    <t xml:space="preserve"> ООО "ТД Твоя безопасность"</t>
  </si>
  <si>
    <t>https://secumarket.ru/product/kabel-nizkotoksichnyy-ognestoykiy-gruppovoy-prokladki-dlya-sistem-protivopozharnoy-zashchity-loutoks-20ng-a-frlsltx-1x2x1-speckabel-200-m-3072</t>
  </si>
  <si>
    <t>https://videoglaz.ru/kabel-ohranno-pozharnyy/speckabel/speckabel-loutoks-20ng-a-frlsltx-1h2h15-200m-buhta-200m?ysclid=mi4mshp9yq350538495</t>
  </si>
  <si>
    <t>7719840097</t>
  </si>
  <si>
    <t>ООО «Видеоглаз Центр»</t>
  </si>
  <si>
    <t>02-01-09  СОУЭ  КА, КП, (Листы 27-28)</t>
  </si>
  <si>
    <t xml:space="preserve">Кабель Лоутокс 20нг(А)-FRLSLTx 1x2x1,5 </t>
  </si>
  <si>
    <t>https://www.tinko.ru/catalog/product/286583/?ysclid=mi4mkbcui9572830603</t>
  </si>
  <si>
    <t>https://www.aktivsb.ru/prod-42816.html</t>
  </si>
  <si>
    <t>ООО "ДЕАН СБ"</t>
  </si>
  <si>
    <t>https://videoglaz.ru/mikrofony-mikrofonnye-konsoli-sonar/sonar/sonar-srm-7020s?ysclid=mi4mk5hskp830664369</t>
  </si>
  <si>
    <t>02-01-09  СОУЭ  КА, КП, (Листы 26-27)</t>
  </si>
  <si>
    <t>Пульт микрофонный Sonar SRM-7020C</t>
  </si>
  <si>
    <t>26.30.50.119</t>
  </si>
  <si>
    <t>https://videoglaz.ru/ustroystva-okonechnye-sonar/sonar/sonar-sft-2300-m-1?ysclid=mi4mha5vza265735558</t>
  </si>
  <si>
    <t>https://dean.ru/catalogue/product/00-00103936.html</t>
  </si>
  <si>
    <t>https://www.tinko.ru/catalog/product/326331/?ysclid=mi4mh3o1gq496433728</t>
  </si>
  <si>
    <t>02-01-09  СОУЭ  КА, КП, (Листы 24-25)</t>
  </si>
  <si>
    <t>Фильтр оконечный для трансляционной линии при контроле линии переменным током Sonar SFT-2300-M</t>
  </si>
  <si>
    <t>https://redutsb.ru/product/rubegh-sonar-sws-106-103/?ysclid=mi4mc5yfnh750853335</t>
  </si>
  <si>
    <t>7717798361</t>
  </si>
  <si>
    <t>ООО «ТД Редут СБ»</t>
  </si>
  <si>
    <t>https://ekm-electrics.ru/shop/goods/gromkogovoritel_translyatsionnyiy_nastennyiy_SWS_106_103_100v_6_3_15vt_180gts_15kgts_zvukov_davl_90_3db_chuvstvit_90_3db_296h200h84mm_088kg_ABS_plastik_vintov_klemmyi_do_2h15mm_SONAR_Rbz_361112-179439</t>
  </si>
  <si>
    <t xml:space="preserve"> 3300012468</t>
  </si>
  <si>
    <t>ООО "ЕКМ ЭЛЕКТРИКС"</t>
  </si>
  <si>
    <t>https://www.aktivsb.ru/prod-52483.html?utm_source=yandex-direct&amp;utm_medium=cpc&amp;utm_campaign=115109389&amp;utm_content=1860489914266435206&amp;utm_term=---autotargeting&amp;etext=2202.WkGnyI72U9NKHNPCypF8i1NIzx8u1KHDQvwMOSpKaHwFo5jhJnyXPbYPDNANuPKJApRb6snl47TfxWr_yXllRinuWaUZryd-t5d0gZVCBKxr-x0n4ON2o8woZOoft3eSpNnO3eUcBA8u59x8L44VyIidRAG7iCy0ty33MN4nQcMNaB9XNKPeDzLyUhgqCwQ0bW56bnN5cXR4ZmdncHZheQ.4531f51d885ee0516b0ad5e94e100baddd6547db&amp;yclid=12106023547895021567</t>
  </si>
  <si>
    <t>02-01-09  СОУЭ  КА, КП, (Листы 23-24)</t>
  </si>
  <si>
    <t>Громкоговоритель трансляционный настенный, 100В, мощность 6/3/1,5Вт Sonar SWS-106-103</t>
  </si>
  <si>
    <t>26.40.42.110</t>
  </si>
  <si>
    <t>https://www.aktivsb.ru/prod-22784.html</t>
  </si>
  <si>
    <t>https://www.delta-battery.ru/catalog/hr/delta-hr-12-5/?ysclid=mi4kypkrzt33958880</t>
  </si>
  <si>
    <t>7814439103</t>
  </si>
  <si>
    <t>ООО «Спектр РС»</t>
  </si>
  <si>
    <t>https://www.tinko.ru/catalog/product/276270/?ysclid=mi4kxirbg8826663726</t>
  </si>
  <si>
    <t>02-01-09  СОУЭ  КА, КП, (Листы 21-22)</t>
  </si>
  <si>
    <t>Аккумулятор 12В, 5А*ч Delta</t>
  </si>
  <si>
    <t>27.20.23.190</t>
  </si>
  <si>
    <t>https://redutsb.ru/product/rubegh-sonar-spc-20b/?ysclid=mi4ktaza9t211549673</t>
  </si>
  <si>
    <t>https://dean.ru/catalogue/product/00-00060353.html?r1=yandext&amp;r2=</t>
  </si>
  <si>
    <t>https://videoglaz.ru/pribory-upravleniya-opovescheniem-sonar/sonar/sonar-spc-20b?ysclid=mi4kqlpasy418971153</t>
  </si>
  <si>
    <t>02-01-09  СОУЭ  КА, КП, (Листы 20-21)</t>
  </si>
  <si>
    <t>Коннектор powerCON (in) Sonar SPC-20B</t>
  </si>
  <si>
    <t>https://www.promelec.ru/product/824355/?ysclid=mi4kd8b2e0522063228</t>
  </si>
  <si>
    <t>ООО  ТД "Промэлектроника"</t>
  </si>
  <si>
    <t>https://anbik.ru/setevye-skafy/item-4073/</t>
  </si>
  <si>
    <t xml:space="preserve">7724794791 </t>
  </si>
  <si>
    <t xml:space="preserve"> ООО " Анбик РК " </t>
  </si>
  <si>
    <t>https://pek24.ru/k_shina_zazemleniya_483kh25x3mm_med_shmt_m1_12_tochek_podklyuch_m6_itk_er_12_325_m1/</t>
  </si>
  <si>
    <t>ООО «ПромЭлектроКомплект</t>
  </si>
  <si>
    <t>02-01-09  СОУЭ  КА, КП, (Листы 18-19)</t>
  </si>
  <si>
    <t xml:space="preserve"> Шина заземления 483х25х3 мм медь ШМТ М1 12 точек подключения М6</t>
  </si>
  <si>
    <t>https://anbik.ru/setevye-skafy/item-5551/</t>
  </si>
  <si>
    <t>https://redutsb.ru/product/cmo-stk-rackmnt-704ka/?ysclid=mi4k56udlb410493090</t>
  </si>
  <si>
    <t>https://www.tinko.ru/catalog/product/314287/?ysclid=mi4k4mk4b5337573410</t>
  </si>
  <si>
    <t>02-01-09  СОУЭ  КА, КП, (Листы 17-18)</t>
  </si>
  <si>
    <t>Панель 19" с DIN-рейкой регулируемая по глубине STK-RACKMNT-704KA</t>
  </si>
  <si>
    <t>26.20.40.190</t>
  </si>
  <si>
    <t>https://pek24.ru/k_organayzer_kabelnyy_10dyuym_1u_4_koltsa_dlya_shkafa_10dyuym_linea_ws_chern_itk_co05_1m4r_lws/</t>
  </si>
  <si>
    <t>ООО «ПромЭлектроКомплект"</t>
  </si>
  <si>
    <t>https://licht220.ru/catalog/nizkovolnoe_oborudovanie_iek_iek/CO05-1M4R-LWS_IEK/?ysclid=mi4jvhvxyg63857768</t>
  </si>
  <si>
    <t xml:space="preserve">7725276753
</t>
  </si>
  <si>
    <t>https://www.tinko.ru/catalog/product/322303/</t>
  </si>
  <si>
    <t>02-01-09  СОУЭ  КА, КП, (Листы 15-16)</t>
  </si>
  <si>
    <t>Кабельный органайзер 10" 1U 4 кольца для шкафа 10" серии LINEA WS  черный CO05-1M4R-LWS</t>
  </si>
  <si>
    <t>https://pek24.ru/k_izolyator_shleyfa_iz_1_r3_rubezh_rbz_337647/</t>
  </si>
  <si>
    <t>https://dean.ru/catalogue/product/00-00077245.html</t>
  </si>
  <si>
    <t>https://videoglaz.ru/ops-rubezh/rubezh/rubezh-iz-1-r3?ysclid=mi4jps2mti431836149</t>
  </si>
  <si>
    <t>02-01-09  СОУЭ  КА, КП, (Листы 14-15)</t>
  </si>
  <si>
    <t>Изолятор шлейфа ИЗ-1-R3</t>
  </si>
  <si>
    <t>26.30.50.120</t>
  </si>
  <si>
    <t>https://redutsb.ru/product/rubegh-sonar-sbb-2450/?ysclid=mi4jky5da4365056567</t>
  </si>
  <si>
    <t>https://dean.ru/catalogue/product/00-00054230.html?r1=yandext&amp;r2&amp;utm_source=yandex&amp;utm_medium=cpc&amp;utm_campaign=90531382&amp;utm_content=14587322457&amp;utm_term=---autotargeting&amp;etext=&amp;yclid=18371291243591761919</t>
  </si>
  <si>
    <t>https://videoglaz.ru/pribory-upravleniya-opovescheniem-sonar/sonar/sonar-sbb-2450?ysclid=mi4jkw8h6f43804296</t>
  </si>
  <si>
    <t>02-01-09  СОУЭ  КА, КП, (Листы 13-14)</t>
  </si>
  <si>
    <t>Блок АКБ 24В. Заменяемые АКБ 12В, 5Ач, количество элементов в корпусе - 18 шт. Sonar SBB-2450</t>
  </si>
  <si>
    <t>26.20.40.110</t>
  </si>
  <si>
    <t>https://redutsb.ru/product/rubegh-sonar-sbb-2425/?ysclid=mi4j7gylv1619068884</t>
  </si>
  <si>
    <t>https://dean.ru/catalogue/product/00-00046500.html</t>
  </si>
  <si>
    <t>https://videoglaz.ru/pribory-upravleniya-opovescheniem-sonar/sonar/sonar-sbb-2425?ysclid=mi4j7b9bxl910716063</t>
  </si>
  <si>
    <t>02-01-09  СОУЭ  КА, КП, (Листы 11-12)</t>
  </si>
  <si>
    <t>Блок АКБ 24В. Заменяемые АКБ 12В, 5Ач, количество элементов в корпусе - 10 шт. Sonar SBB-2425</t>
  </si>
  <si>
    <t>https://www.redutsb.ru/product/rubegh-sonar-sbc-3250/</t>
  </si>
  <si>
    <t>https://videoglaz.ru/pribory-upravleniya-opovescheniem-sonar/sonar/sonar-sbc-3250?ysclid=mi4ixs0tjw600185927</t>
  </si>
  <si>
    <t>https://dean.ru/catalogue/product/00-00036041.html?r1=yandext&amp;r2&amp;utm_source=yandex&amp;utm_medium=cpc&amp;utm_campaign=90531382&amp;utm_content=14587322457&amp;utm_term=---autotargeting&amp;etext=2202.5z7cx_05fN3WVUTLPvPDbxYwO1luvP01Rxdc9puxBL4l0yBsLkFbf_ifA0KiVQggOWRrayKEhSr2N69ADOBZAXVydXRzZ3BhaWZvdG12cGw.ed65dacf66bcbbb8cb963fdc9641bee4d50fec8b&amp;yclid=10605146519809556479</t>
  </si>
  <si>
    <t>02-01-09  СОУЭ  КА, КП, (Листы 10-11)</t>
  </si>
  <si>
    <t>Зарядное устройство Sonar SBC-3250</t>
  </si>
  <si>
    <t>26.51.12.190</t>
  </si>
  <si>
    <t>https://dean.ru/catalogue/product/00-00040056.html</t>
  </si>
  <si>
    <t>https://secumarket.ru/product/blok-raspredeleniya-pitaniya-po-stoyke-opoveshcheniya-sonar-rdip-050a-23048</t>
  </si>
  <si>
    <t>https://videoglaz.ru/pribory-upravleniya-opovescheniem-sonar/sonar/sonar-rdip-50a?ysclid=mi4iny29bm923062686</t>
  </si>
  <si>
    <t>02-01-09  СОУЭ  КА, КП, (Листы 9-10)</t>
  </si>
  <si>
    <t>Силовой блок рапределения питания по стойке оповещения, максимальный ток 50А Sonar RDIP-50A</t>
  </si>
  <si>
    <t>26.20.40.112</t>
  </si>
  <si>
    <t>https://born-shop.ru/catalog/231009.html</t>
  </si>
  <si>
    <t xml:space="preserve"> 7841406851</t>
  </si>
  <si>
    <t>ООО “Борн СПб”</t>
  </si>
  <si>
    <t>https://pro-tek.pro/catalog/sonar-stm-1004-gps-2500-komplekt.html?ysclid=mi4ibjv1pn684996914</t>
  </si>
  <si>
    <t>5404507902</t>
  </si>
  <si>
    <t>https://техключи.рф/catalog/okhranno-pozharnye-signalizats/opoveshchateli/komplekt-programmiruemogo-taymera-rubezh-sonar-stm-1004-gps-2500-komplekt/?ysclid=mi4idqr025149559689</t>
  </si>
  <si>
    <t>9729100722</t>
  </si>
  <si>
    <t>ООО «Технологические ключи»</t>
  </si>
  <si>
    <t>02-01-09  СОУЭ  КА, КП, (Листы 7-8)</t>
  </si>
  <si>
    <t>Комплект программируемого таймера Sonar STM-1004+GPS-2500 комплект</t>
  </si>
  <si>
    <t>27.33.13.000</t>
  </si>
  <si>
    <t>https://svetelektro.net/security-systems/sonar-snca-8002-sonar.html</t>
  </si>
  <si>
    <t>https://secumarket.ru/product/konverter-dap-ip-dlya-obedineniya-priborov-sonar-snca-8002-47226</t>
  </si>
  <si>
    <t>https://videoglaz.ru/pribory-upravleniya-opovescheniem-sonar/sonar/sonar-snca-8002?ysclid=mi4hnym9cn227218736</t>
  </si>
  <si>
    <t>02-01-09  СОУЭ  КА, КП, (Листы 6-7)</t>
  </si>
  <si>
    <t>Конвертер DAP-IP для объединения приборов Sonar SPM  в сеть Ethernet Sonar SNCA-8002</t>
  </si>
  <si>
    <t>https://redutsb.ru/product/rubegh-sonar-spm-c20085-ar/?ysclid=mi4hfbq5u1226144797</t>
  </si>
  <si>
    <t>https://pro-tek.pro/catalog/sonar-spm-c20085-ar.html?ysclid=mi4he8osfb930579604</t>
  </si>
  <si>
    <t>https://videoglaz.ru/pribory-upravleniya-opovescheniem-sonar/sonar/sonar-spm-c20085-ar?ysclid=mi4haoymeq873672483</t>
  </si>
  <si>
    <t>02-01-09  СОУЭ  КА, КП, (Листы 4-5)</t>
  </si>
  <si>
    <t>Прибор управления оповещением пожарной Sonar SPM, мощность850 Вт, 20 зон/20 линий оповещения, прием сигнала от ОПС по АЛС, установка в стойку Sonar SPM-C20085-AR</t>
  </si>
  <si>
    <t>https://incom-elektro.ru/p-skaf-19dujm-linea-w-18u-600h600mm-nasten-stekl-dver-ral9005-itk-lwr518u66gf/?ysclid=mi4gj1ir66888452496</t>
  </si>
  <si>
    <t>https://elgroup24.ru/d_shkaf_19dyuym_linea_w_18u_600kh600mm_nasten_stekl_dver_ral9005_itk_lwr5_18u66_gf.html</t>
  </si>
  <si>
    <t>780432107632</t>
  </si>
  <si>
    <t>ИП Петренко Юлия Сергеевна</t>
  </si>
  <si>
    <t>https://www.it-shkaf.ru/product/itk-lwr5-18u66-gf/69371?ysclid=mi4ges1kug212821115</t>
  </si>
  <si>
    <t>9705198797</t>
  </si>
  <si>
    <t>02-01-09  СОУЭ  КА, КП, скрины (Листы 3-4)</t>
  </si>
  <si>
    <t>Шкаф настенный LINEA W 18U 600x600 мм дверь стекло RAL9005 LWR5-18U66-GF</t>
  </si>
  <si>
    <t>31.01.11.129</t>
  </si>
  <si>
    <t>02-01-09 СОУЭ</t>
  </si>
  <si>
    <t>главный инженер ГАУ «МосжилНИИпроект»</t>
  </si>
  <si>
    <t xml:space="preserve">Первый заместитель директора-              </t>
  </si>
  <si>
    <t>https://www.radioexpert.ru/product/anli-n-722-q/?ysclid=mi60owehvy928925017</t>
  </si>
  <si>
    <t>7805754500</t>
  </si>
  <si>
    <t>ООО "Эквивалент"</t>
  </si>
  <si>
    <t>https://www.olmitec.ru/razemy/grozozashchita/grozozashchita-n-722q.html</t>
  </si>
  <si>
    <t>9715407270</t>
  </si>
  <si>
    <t>ООО «Олмитек»</t>
  </si>
  <si>
    <t>https://sb911.ru/products/grozozaschita-anli-n-722q?etext=&amp;yclid=10114757029007982591</t>
  </si>
  <si>
    <t xml:space="preserve">ИП Иванников Вячеслав Петрович </t>
  </si>
  <si>
    <t>Том 02-01-10 РТС КА, КП, скрины (л. 27-28)</t>
  </si>
  <si>
    <t>Грозозащита N-типа на 50 Ом N-722Q</t>
  </si>
  <si>
    <t>26.30.11.110</t>
  </si>
  <si>
    <t>https://mon24.su/product/obp/?ysclid=mi5zywg2yj188179930</t>
  </si>
  <si>
    <t>7728423621</t>
  </si>
  <si>
    <t>ООО " ГК "ОКС"</t>
  </si>
  <si>
    <t>https://www.lanmark.ru/catalog/sks/grozozashchita/grozozashchita-75om-0-2150mgts-2-5ka/?ysclid=mi5zv6ctlw234285620</t>
  </si>
  <si>
    <t>5018131860</t>
  </si>
  <si>
    <t>ООО "ЛАНМАРК"</t>
  </si>
  <si>
    <t>https://sb911.ru/products/obp-grozozaschita-75om0-2150mgts25ka?etext=&amp;yclid=15979398668111052799</t>
  </si>
  <si>
    <t>621401462596</t>
  </si>
  <si>
    <t>Том 02-01-10 РТС КА, КП, скрины (л. 25-26)</t>
  </si>
  <si>
    <t>Грозозащита на 75 Ом ОВР</t>
  </si>
  <si>
    <t>https://pfakt.ru/catalog/machty_sektsionnye/894/?ysclid=mi5zm7eqq1283656460</t>
  </si>
  <si>
    <t>ООО "ПФ АКТ"</t>
  </si>
  <si>
    <t>https://www.lanmark.ru/catalog/net_active/moduli-i-optsii/komplekt-zazemleniya-antennoy-machty-tros-stalnoy-8-0mm-10m-nakonechnik-szhim/?ysclid=mi5zj18a7e796678106</t>
  </si>
  <si>
    <t>https://sb911.ru/products/komplekt-zazemleniya-antennoj-machty-tros-stalnoj-83mm-10m-na-konechnik-kvt35-8-9-1sht-szhim-u859m-1sht</t>
  </si>
  <si>
    <t>Том 02-01-10 РТС КА, КП, скрины (л. 24-25)</t>
  </si>
  <si>
    <t>Комплект заземления мачты   (трос стальной 8,3мм-10м; на конечник КВТ35-8-9-1шт.; сжим У859М-1шт.)</t>
  </si>
  <si>
    <t>https://www.satellite.ru/catalog/machty-i-krepleniya/23/npmm-60?ysclid=mi5z0dmdxj448362938</t>
  </si>
  <si>
    <t>7719476049</t>
  </si>
  <si>
    <t>ООО "Сателлит ТМ"</t>
  </si>
  <si>
    <t>https://www.lanmark.ru/catalog/net_active/moduli-i-optsii/opora-modernizirovannaya/?ysclid=mi5ywfd4jh753011135</t>
  </si>
  <si>
    <t>https://pfakt.ru/catalog/machty_sektsionnye/882/?ysclid=mi5yoly46465743952</t>
  </si>
  <si>
    <t>7702459140</t>
  </si>
  <si>
    <t>Том 02-01-10 РТС КА, КП, скрины (л. 22-23)</t>
  </si>
  <si>
    <t>Опора  модернизированная с грузом 8х20 кг NPMM-60</t>
  </si>
  <si>
    <t>https://www.radioexpert.ru/product/a-200mu/?ysclid=mi5we554ep187492459</t>
  </si>
  <si>
    <t>https://www.olmitec.ru/telefoniya/antenni-dlya-radiostantsiy/antenny-bazovye/antenna-anli-a-200-mu-n.html</t>
  </si>
  <si>
    <t>https://autoflesh.ru/product/antenno-fidernoe-oborudovanie-/statsionarnye-antenny/anli-a-200-mu-omni-antenna/?utm_source=yd&amp;utm_medium=cpc&amp;utm_campaign=yd_dm_epk_s_RF_autoflesh_anteny&amp;utm_content=tid%7C205613388335_205613388335%7Ccid%7C701545204%7Cgid%7C5613388335%7Caid%7C1879836731889980070%7Cadp%7Cno%7Cpos%7Cdynamic_places1%7Csrc%7Csearch_yandex.ru%7Cdvc%7Cdesktop%7Cgeo_Москва&amp;utm_term=---autotargeting&amp;etext=&amp;yclid=14997443949218234367</t>
  </si>
  <si>
    <t>7716838100</t>
  </si>
  <si>
    <t>ООО «ВСПЫШКА»</t>
  </si>
  <si>
    <t>Том 02-01-10 РТС КА, КП, скрины (л. 21-22)</t>
  </si>
  <si>
    <t>Антенна коллинеарная 470 МГц А-200 MU</t>
  </si>
  <si>
    <t>https://www.aktivsb.ru/prod-49114.html</t>
  </si>
  <si>
    <t>https://www.etm.ru/cat/nn/5823003?utm_source=yandex&amp;utm_medium=cpc&amp;utm_campaign=gen_SSiSA_Sistemy_bezopasnosti_90_DSA_RF_114971997&amp;utm_content=sale-ssisa_5502196818_dynamic_places&amp;utm_term=---autotargeting&amp;etext=&amp;yclid=11221524230968705023</t>
  </si>
  <si>
    <t>ООО «ТД Электротехмонтаж»</t>
  </si>
  <si>
    <t>https://mon24.su/product/kra-4-korobka-raspredelitelnaja-abonentskaja/?ysclid=mi5vwzp61q399646942</t>
  </si>
  <si>
    <t>Том 02-01-10 РТС КА, КП, скрины (л. 19-20)</t>
  </si>
  <si>
    <t>Коробка ограничительная абоненсткая на 4 отвода  КРА-4</t>
  </si>
  <si>
    <t>27.33.11.130</t>
  </si>
  <si>
    <t>https://www.t-save.ru/catalog/kabel_provod/kpsvevng_a_lsltx_2kh2kh0_75_spetskabel/?ysclid=mi5uqcj62s485389343</t>
  </si>
  <si>
    <t>2312127366</t>
  </si>
  <si>
    <t>ООО «Техника безопасности»</t>
  </si>
  <si>
    <t>https://secbuy.ru/product/kpsvevng-a-lsltx-2kh2kh0-75-kabel-dlya-sistem-peredachi-dannykh-ponizhennoy-pozharoopasnosti-c-nizki/?ysclid=mi5up67kx6786321238</t>
  </si>
  <si>
    <t>https://atlastpk.ru/catalog/kpsvevng-a-lsltx/kpsvevng-a-lsltx-2kh2kh0-75/?etext=&amp;yclid=17018377970334040063&amp;ybaip=1</t>
  </si>
  <si>
    <t>Том 02-01-10 РТС КА, КП, скрины (л. 18-19)</t>
  </si>
  <si>
    <t xml:space="preserve">Кабель сопряжения оборудования СОЧС с ОСО КПСВЭВнг(А)-LSLTx 2x2x0,75 </t>
  </si>
  <si>
    <t>https://cable.ru/cable/marka-loutoks_20nga_frlsltx_2h2h0_75.php</t>
  </si>
  <si>
    <t>9710008385</t>
  </si>
  <si>
    <t xml:space="preserve"> ООО «Электропоставщик»</t>
  </si>
  <si>
    <t>https://secbuy.ru/product/loutoks-20ng-a-frlsltx-2kh2kh0-75-kabel-dlya-sistem-ops-i-soue-ognestoykiy-s-nizkim-dymo-i-gazovydel/?ysclid=mi5tt5ytn626805181</t>
  </si>
  <si>
    <t>https://atlastpk.ru/catalog/loutoks-20ng-a-frlsltx/loutoks-20ng-a-frlsltx-2kh2kh0-75-spetskabel/?ysclid=mi5ttdt8am628853492</t>
  </si>
  <si>
    <t>Том 02-01-10 РТС КА, КП, скрины (л. 17-18)</t>
  </si>
  <si>
    <t>Кабель  коммутации передачи сигнала 20нг(А)-FRLSLTx 2x2x0,75</t>
  </si>
  <si>
    <t>https://security59.ru/shop/goods/rk50_7_37ng_A_HF_kabel_koaksialnyiy_radiochastotnyiy_dlya_sistem_teleradioveschaniya_sputnikovoy_i_radiosvyazi_gruppovoy_prokladki_s_ponijennyim_dyimo_i_gazovyideleniem-422276</t>
  </si>
  <si>
    <t>504809933724</t>
  </si>
  <si>
    <t>ИП Куринный Андрей Петрович</t>
  </si>
  <si>
    <t>https://www.tinko.ru/catalog/product/293146/?ysclid=mi5rvx8mvp537055985</t>
  </si>
  <si>
    <t>https://secbuy.ru/product/rk50-7-37ng-a-hf-kabel-koaksialnyy-radiochastotnyy-dlya-sistem-teleradioveshchaniya-sputnikovoy-i-ra/?ysclid=mi5rvtj4dq151876084</t>
  </si>
  <si>
    <t>Том 02-01-10 РТС КА, КП, скрины (л. 15-16)</t>
  </si>
  <si>
    <t>Кабель коаксиальный РК50-7-37нг(А)-HF</t>
  </si>
  <si>
    <t>https://secbuy.ru/product/kpsvevng-a-lsltx-2kh2kh0-5-kabel-dlya-sistem-peredachi-dannykh-ponizhennoy-pozharoopasnosti-c-nizkim/?ysclid=mi5rql28zo795554286</t>
  </si>
  <si>
    <t>https://atlastpk.ru/catalog/kpsvevng-a-lsltx1/kpsvevng-a-lsltx-2kh2kh0-5-spetskabel/?ysclid=mi5ro6q824727748353</t>
  </si>
  <si>
    <t>https://videoglaz.ru/kabel-ohranno-pozharnyy/speckabel/speckabel-kpsvevng-a-lsltx-2h2h05-200m-buhta-200m?utm_source=yandex_direct_27&amp;utm_medium=cpc&amp;utm_campaign=ДСА-Кабели%20и%20провода&amp;utm_content=1881101732902587212&amp;utm_term=---autotargeting&amp;region=213&amp;region_name=Москва.desktop.Москва.205619084701.none&amp;block=dynamic_places.1&amp;source=search.yandex.ru&amp;etext=&amp;yclid=5435226700600836095</t>
  </si>
  <si>
    <t>Том 02-01-10 РТС КА, КП, скрины (л. 14-15)</t>
  </si>
  <si>
    <t>Кабель сопряжения с СОУЭ КПСВэВнг(А)-LSLTx 2x2x0,5</t>
  </si>
  <si>
    <t>https://paritet.su/catalog/rk_75_4_8_sat_703_1/paraks_rk_75_4_8_318/?ysclid=mi5qy9xeta732834350</t>
  </si>
  <si>
    <t>5074008028</t>
  </si>
  <si>
    <t>ООО "ТПД Паритет"</t>
  </si>
  <si>
    <t>https://luis.ru/p/2474056?ysclid=mi5qy7qb3v584811644</t>
  </si>
  <si>
    <t>7710284470</t>
  </si>
  <si>
    <t xml:space="preserve">ООО «Луис+ Холдинг» </t>
  </si>
  <si>
    <t>https://sector-sb.ru/catalog/kabel_krepezh/coax_cable/coax_cable_idoor/rk_75-48-318?ysclid=mi5qy62cmc781674303</t>
  </si>
  <si>
    <t>9722026124</t>
  </si>
  <si>
    <t>ООО «ЮНИТРЕКС»</t>
  </si>
  <si>
    <t>Том 02-01-10 РТС КА, КП, скрины (л. 13-14)</t>
  </si>
  <si>
    <t>Кабель коаксиальный Паракс RG-6 РК 75-4,8-318нг(А)-LSLTx</t>
  </si>
  <si>
    <t>https://atlastpk.ru/catalog/kvpng-a-ls-5e/kvpefng-s-lsltx-5e-4kh2kh0-52-spetskabel/?ysclid=mi5qv79k5v406295736</t>
  </si>
  <si>
    <t>https://www.bkk.su/catalog/kabelnaya_produktsiya/kabel_informatsionnyy/kabel_kvp/kabel_loutoks_kvpefng_a_lsltx_5e_4x2x0_52/?ysclid=mi5qthgfgw363809582</t>
  </si>
  <si>
    <t>7810623359</t>
  </si>
  <si>
    <t>ООО "Балтийская Кабельная Компания"</t>
  </si>
  <si>
    <t>https://ntc-market.ru/product/кабель-квпэфнгс-lsltx-5е-4х2х0-52/?ysclid=mi5qq3tskm238150366</t>
  </si>
  <si>
    <t>2312222122</t>
  </si>
  <si>
    <t>ООО «Новые Технологии Света»</t>
  </si>
  <si>
    <t>Том 02-01-10 РТС КА, КП, скрины (л. 11-12)</t>
  </si>
  <si>
    <t>Кабель витая пара FTP кат. 5е ЛОУТОКС КВПЭфнг(С)-LSLTx-5е 4x2x0,52</t>
  </si>
  <si>
    <t>https://atlastpk.ru/catalog/kpsvvng-a-lsltx/kpsvvng-a-lsltx-1kh2kh0-5/?etext=&amp;yclid=15863299717755830271&amp;ybaip=1</t>
  </si>
  <si>
    <t>https://satro-paladin.com/catalog/product/183204/?utm_source=InHouse-yandex&amp;utm_medium=cpc&amp;utm_campaign=eLama%20%7C%20Товарная%20%7C%20Все%20категории%20%7C%20Оплата%20за%20клики%20%7C%20РФ&amp;utm_content=cid%7C116808275%7Cgid%7C5523346548%7Caid%7C16721266297%7Cadp%7Cno%7Cdvc%7Cdesktop%7Cpid%7C53953368071%7Crid%7C53953368071%7Cdid%7C53953368071%7Cpos%7Cdynamic_places2%7Cadn%7Csearch%7Ccrid%7C0%7C&amp;utm_term=---autotargeting&amp;etext=&amp;yclid=13479324285111107583&amp;ybaip=1</t>
  </si>
  <si>
    <t>9721058155</t>
  </si>
  <si>
    <t xml:space="preserve">ООО "Тантос" </t>
  </si>
  <si>
    <t>https://timestroy.moscow/catalog/elektrika/kabel_i_provod/kps/kpsvvng_a_lsltx_1x2x0_5/?ysclid=mi5ql4uos4435321506</t>
  </si>
  <si>
    <t>7708360620</t>
  </si>
  <si>
    <t>ООО «ЦРД-КОНСАЛТ»</t>
  </si>
  <si>
    <t>Том 02-01-10 РТС КА, КП, скрины (л. 10-11)</t>
  </si>
  <si>
    <t>Кабель абонентский  КПСВВнг(А)-LSLTx 1x2x0,5</t>
  </si>
  <si>
    <t>https://timestroy.moscow/catalog/elektrika/kabel_i_provod/kps/kpsvvng_a_lsltx_1x2x1_5/?ysclid=mi5qgrgixx642545325</t>
  </si>
  <si>
    <t>https://satro-paladin.com/catalog/product/183207/?utm_source=InHouse-yandex&amp;utm_medium=cpc&amp;utm_campaign=eLama%20%7C%20Товарная%20%7C%20Все%20категории%20%7C%20Оплата%20за%20клики%20%7C%20РФ&amp;utm_content=cid%7C116808275%7Cgid%7C5523346548%7Caid%7C16721266297%7Cadp%7Cno%7Cdvc%7Cdesktop%7Cpid%7C53953368071%7Crid%7C53953368071%7Cdid%7C53953368071%7Cpos%7Cdynamic_places2%7Cadn%7Csearch%7Ccrid%7C0%7C&amp;utm_term=---autotargeting&amp;etext=&amp;yclid=5035292972065226751&amp;ybaip=1</t>
  </si>
  <si>
    <t>https://pek24.ru/k_kpsvvng_a_lsltx_1kh2kh1_5/</t>
  </si>
  <si>
    <t>Том 02-01-10 РТС КА, КП, скрины (л. 9)</t>
  </si>
  <si>
    <t>Кабель распределительный  КПСВВнг(А)-LSLTx 1x2x1,5</t>
  </si>
  <si>
    <t>https://www.informtelenet.ru/oborudovanie/price_2025-10-15.pdf</t>
  </si>
  <si>
    <t>7702584039</t>
  </si>
  <si>
    <t>ООО "Корпорация ИнформТелеСеть"</t>
  </si>
  <si>
    <t>https://radio-dot.ru/catalog/tproduct/929173866982-obektovaya-stantsiya-ospi-tandem-rezervn</t>
  </si>
  <si>
    <t>9723169037</t>
  </si>
  <si>
    <t xml:space="preserve">ООО «Радио Точка» </t>
  </si>
  <si>
    <t>https://tdatm.ru/catalog/sistemy_audio_veshchaniya_i_opoveshcheniya/dopolnitelnoe_k_rechevomu_opoveshcheniyu_1/ospi_tandem.html</t>
  </si>
  <si>
    <t>7804628380</t>
  </si>
  <si>
    <t>Том 02-01-10 РТС КА, КП, скрины (л. 7-8)</t>
  </si>
  <si>
    <t xml:space="preserve">Резервный канал РСПИ ОСПИ-Тандем </t>
  </si>
  <si>
    <t>https://mossb.ru/catalog/sredstva-i-sistemy-opoveshcheniya-muzykalnoy-translyatsii/sistemy-opoveshcheniya-o-pozhare/dopolnitelnoe-oborudovanie-soue/ustroystvo-sopryazheniya-s-rso-g-moskvy-us-1-s-komplektatsiey-bao-300-60/?ysclid=mi5mip48v1762297072</t>
  </si>
  <si>
    <t>9717003989</t>
  </si>
  <si>
    <t>ООО "Московские системы безопасности"</t>
  </si>
  <si>
    <t>https://mon24.su/product/ustrojstvo-soprjazhenija-s-rso-g-moskvy-quot-us-1-quot/?ysclid=mi5minsmr2305950659</t>
  </si>
  <si>
    <t>https://sb911.ru/products/ustrojstvo-sopryazheniya-s-rso-g-moskvy-us-1-s-bao-300?ysclid=mi5mim9yoj593217219</t>
  </si>
  <si>
    <t>Том 02-01-10 РТС КА, КП, скрины (л. 6-7)</t>
  </si>
  <si>
    <t>Устройство сопряжения с РСО г.Москвы УС-1 (БАО-РСПИ+БСМС)</t>
  </si>
  <si>
    <t>https://mossb.ru/catalog/sredstva-i-sistemy-opoveshcheniya-muzykalnoy-translyatsii/sistemy-opoveshcheniya-muzykalnoy-translyatsii/stantsii-opoveshcheniya/modul-ip-dlya-ustanovki-v-bip-03-primenyaetsya-tolko-v-g-moskve-dlya-priema-potokovogo-veshchaniya-r/?ysclid=mi5m4v5v3912574563</t>
  </si>
  <si>
    <t>https://mon24.su/product/modul-ip-dlja-bip-03-v-uppv-1918m1/?ysclid=mi5m4snezz196896019</t>
  </si>
  <si>
    <t>https://sb911.ru/products/modul-ip-dlya-ustanovki-v-bip-03?etext=&amp;yclid=11532334006635069439</t>
  </si>
  <si>
    <t>Том 02-01-10 РТС КА, КП, скрины (л. 4-5)</t>
  </si>
  <si>
    <t>Модуль для приема интернет вещания радиостанции «Радио Москвы»</t>
  </si>
  <si>
    <t>https://elbicont.ru/__elektrotehnicheskaya-produktsiya/sistemi-bezopasnosti/sb-nepraysovie/ustroystvo-podachi-programm-veshchaniya-uppv-1918-m1-isp-u-pervichniy--i/?ysclid=mi5lsyd0lw308950268</t>
  </si>
  <si>
    <t>ООО "Потенциал-Электро"</t>
  </si>
  <si>
    <t>https://www.t-save.ru/catalog/sistemy_opoveshcheniya_soue_i_muzykalnoy_translyatsii_/uppv_1918_m1_isp_u_restayling_2022g_v_shkafu_650kh700kh200mm/?ysclid=mi5lrdahv2359227246</t>
  </si>
  <si>
    <t>ООО "Техника Безопасности"</t>
  </si>
  <si>
    <t>https://sb911.ru/products/ustrojstvo-podachi-programm-veschaniya-uppv-1918-m1-isp-u-restajling-2020g?ysclid=mi5l9h1414935778478</t>
  </si>
  <si>
    <t>Том 02-01-10 РТС КА, КП, скрины (л. 3-4)</t>
  </si>
  <si>
    <t>Устройство подачи программ вещания УППВ 1918 М1 исп. У (исп. 2022)</t>
  </si>
  <si>
    <t>02-01-10 Радиотрансляционная сеть</t>
  </si>
  <si>
    <t>ИП Иванников Вячеслав Петрович</t>
  </si>
  <si>
    <t>ИП Трифонова Любовь Владимировна</t>
  </si>
  <si>
    <t>Том СКТ КА, скрины л. 6</t>
  </si>
  <si>
    <t>Грозозащита 75 Ом ОВР</t>
  </si>
  <si>
    <t>ООО "ТЕЛЕСИН ГРУПП"</t>
  </si>
  <si>
    <t>ТОО "SAT PROFIL"</t>
  </si>
  <si>
    <t>ИП Сломинский А.В.</t>
  </si>
  <si>
    <t>Том СКТ КА, скрины л. 5</t>
  </si>
  <si>
    <t>Антенна ДМВ диапазона EB45LTE</t>
  </si>
  <si>
    <t>26.30.40.110</t>
  </si>
  <si>
    <t>ООО "Тантос"</t>
  </si>
  <si>
    <t>Том СКТ КА, скрины л. 4</t>
  </si>
  <si>
    <t>Кабель коаксиальный РК 75-7-327нг(А)-LSLTx</t>
  </si>
  <si>
    <t>Том СКТ КА, скрины л. 3</t>
  </si>
  <si>
    <t>Кабель коаксиальный РК 75-4,8-319нг(А)-LSLTx</t>
  </si>
  <si>
    <t>ООО "КОРПОРАЦИЯ ЛАНС"</t>
  </si>
  <si>
    <t>ИП Иванников Вячеслав Петрович </t>
  </si>
  <si>
    <t>ООО «Альм-Технологии»</t>
  </si>
  <si>
    <t>Том СКТ КА, скрины л. 2</t>
  </si>
  <si>
    <t>VS50 Pro мини ГС в шкафу с блоком розеток и автоматом</t>
  </si>
  <si>
    <t>02-01-11 СКТ</t>
  </si>
  <si>
    <t>ООО "Диод"</t>
  </si>
  <si>
    <t xml:space="preserve">ИП Репина Наталия Пантелеймоновна </t>
  </si>
  <si>
    <t>Том СКС КА, скрины л. 37</t>
  </si>
  <si>
    <t>Разъём Type C для розетки USB</t>
  </si>
  <si>
    <t>26.20.16.190</t>
  </si>
  <si>
    <t>ООО "ЭТсЗ"</t>
  </si>
  <si>
    <t>ООО "Реал Электро"</t>
  </si>
  <si>
    <t>ООО «ЭЛМАКС»</t>
  </si>
  <si>
    <t>Том СКС КА, скрины л. 36</t>
  </si>
  <si>
    <t>Механизм HDMI 2.0, разъём Type A</t>
  </si>
  <si>
    <t xml:space="preserve">АО «ТД Электротехмонтаж» </t>
  </si>
  <si>
    <t>ООО «ПРАЙС СЕРВИС»</t>
  </si>
  <si>
    <t>Том СКС КА, скрины л. 35</t>
  </si>
  <si>
    <t>Кабель cat.6е F/UTPнг(А)-LSLTx 4х2х0,57 арт.100458</t>
  </si>
  <si>
    <t> 27.32.13.159</t>
  </si>
  <si>
    <t>ЗАО «Промэлектроника»</t>
  </si>
  <si>
    <t>ООО «ТопЭлектрика»</t>
  </si>
  <si>
    <t>ООО «АСТРОМ»</t>
  </si>
  <si>
    <t>Том СКС КА, скрины л. 34</t>
  </si>
  <si>
    <t>Кабель cat.5е U/UTPнг(А)-LSLTx 4х0,52 арт.101162</t>
  </si>
  <si>
    <t>ООО "РВК-ИНЖИНИРИНГ"</t>
  </si>
  <si>
    <t>ООО "СтандАрт-ИТ"</t>
  </si>
  <si>
    <t>ООО "ЛУИС+"</t>
  </si>
  <si>
    <t>Том СКС КА, скрины л. 30-33</t>
  </si>
  <si>
    <t>Кабель волоконно-оптический 50/125 многомодовый 8-волоконный ОБР-Внг(А) HFLTx 8 G651.1(ОМЗ) арт.46863</t>
  </si>
  <si>
    <t>ООО «Элтекс Коммуникации»</t>
  </si>
  <si>
    <t>ООО «РуИТС»</t>
  </si>
  <si>
    <t>ООО «ЭЛТЕКС-МСК»</t>
  </si>
  <si>
    <t>Том СКС КА, скрины л. 29</t>
  </si>
  <si>
    <t>IP-телефон VP-30P-WB</t>
  </si>
  <si>
    <t>61.10.30.110</t>
  </si>
  <si>
    <t>ООО "АТЕЛИО"</t>
  </si>
  <si>
    <t>ООО "Компания "АЛЬФА-КОМ"</t>
  </si>
  <si>
    <t>ООО ТМК «Пилот»</t>
  </si>
  <si>
    <t>Том СКС КА, скрины л. 28</t>
  </si>
  <si>
    <t>Гибридная IP-ATC на 50 абонентов Artcom TC50</t>
  </si>
  <si>
    <t>ООО "Яндекс.Маркет"</t>
  </si>
  <si>
    <t>ООО «СМП-Проект»</t>
  </si>
  <si>
    <t>Том СКС КА, скрины л. 27</t>
  </si>
  <si>
    <t>Коммутатор доступа 48 портов уровня L3 MES2448B</t>
  </si>
  <si>
    <t>26.30.11.122</t>
  </si>
  <si>
    <t>ООО «ЛАНИТ-Норд»</t>
  </si>
  <si>
    <t xml:space="preserve">ИП ДЕРГАЧЕВ КИРИЛЛ КОНСТАНТИНОВИЧ </t>
  </si>
  <si>
    <t>Том СКС КА, скрины л. 26</t>
  </si>
  <si>
    <t>Фальш-панель 1U</t>
  </si>
  <si>
    <t>Том СКС КА, скрины л. 25</t>
  </si>
  <si>
    <t>Розетка USB одноместная А+А 5В РЮ10-БРБ, белая BR-U21-D-31-R01</t>
  </si>
  <si>
    <t>27.33.13.110</t>
  </si>
  <si>
    <t>ООО «ММ-ЭЛЕКТРО»</t>
  </si>
  <si>
    <t>Том СКС КА, скрины л. 24</t>
  </si>
  <si>
    <t>Розетка HDMI BR-H10-K01</t>
  </si>
  <si>
    <t>Том СКС КА, скрины л. 23</t>
  </si>
  <si>
    <t>Розетка локальной сети, разъем RJ-45, скрытой установки, раздельная, 2-местная BR-U21-D-31-R01</t>
  </si>
  <si>
    <t>ООО "ТД Твоя безопасность"</t>
  </si>
  <si>
    <t>Том СКС КА, скрины л. 22</t>
  </si>
  <si>
    <t>Консольная полка 60А-01-30-08BL</t>
  </si>
  <si>
    <t>ООО «Главмаг»</t>
  </si>
  <si>
    <t>Том СКС КА, скрины л. 21</t>
  </si>
  <si>
    <t>Оптическая панель кроссовая 1U-RU24-LC/MM-4d-8-1</t>
  </si>
  <si>
    <t>26.30.30.120</t>
  </si>
  <si>
    <t>ООО "ЛАНБИ" </t>
  </si>
  <si>
    <t>ООО «НЕВАТЕЛЕКОМ»</t>
  </si>
  <si>
    <t>ООО "Юникорд"</t>
  </si>
  <si>
    <t>Том СКС КА, скрины л. 20</t>
  </si>
  <si>
    <t>Оптическая панель кроссовая КСП-19-3U-64FC/UPC-ОМ3 50/125</t>
  </si>
  <si>
    <t>ООО «СКС»</t>
  </si>
  <si>
    <t>ООО «КОНЦЕПТ ТЕХНОЛОГИИ»</t>
  </si>
  <si>
    <t>Том СКС КА, скрины л. 19</t>
  </si>
  <si>
    <t>Горuзонmальныu органайзер, слоmовыu с крышкой, белый, 1U MX-CMC-1U-45-B</t>
  </si>
  <si>
    <t>ИП Поздняков Сергей Викторович</t>
  </si>
  <si>
    <t>Том СКС КА, скрины л. 18</t>
  </si>
  <si>
    <t>Коммутационная панель кат. 5е PLHD-24 Dual IDC-1U</t>
  </si>
  <si>
    <t>ООО ТД "АБН"</t>
  </si>
  <si>
    <t>ООО "Кабеус"</t>
  </si>
  <si>
    <t>ООО «АСА Продакшн»</t>
  </si>
  <si>
    <t>Том СКС КА, скрины л. 17</t>
  </si>
  <si>
    <t>Коммутационная панель кат. 5е PLHD-48 Dual IDC-1U</t>
  </si>
  <si>
    <t>Том СКС КА, скрины л. 16</t>
  </si>
  <si>
    <t>Батарейный блок Small-R3AO Rack BPSMLR3-96V</t>
  </si>
  <si>
    <t>Том СКС КА, скрины л. 15</t>
  </si>
  <si>
    <t>ИБП ДКС Small-UPS Rackmount 3000VA/2700W 230B, 9A/ч</t>
  </si>
  <si>
    <t>ООО «Луис+ Холдинг»</t>
  </si>
  <si>
    <t>Том СКС КА, скрины л. 14</t>
  </si>
  <si>
    <t>Набор nроводов заземленuя, 4 nровода 250ммх4мм2, 4 nровода, 150мм х4мм2 60A-14-13GR</t>
  </si>
  <si>
    <t>26.30.30.000</t>
  </si>
  <si>
    <t>ИП Чекурова Александра Юрьевна</t>
  </si>
  <si>
    <t>ООО «Торговый Дом Редут СБ»</t>
  </si>
  <si>
    <t>Том СКС КА, скрины л. 13</t>
  </si>
  <si>
    <t>Шuна заземленuя 19" (500мм), 20 mочек, 5х15мм 60A-14-11GR</t>
  </si>
  <si>
    <t>Том СКС КА, скрины л. 12</t>
  </si>
  <si>
    <t>Вертикальный органайзер 60А-18-42-01-31BL</t>
  </si>
  <si>
    <t>Том СКС КА, скрины л. 11</t>
  </si>
  <si>
    <t>Шкаф 19" серии Racknet S3000, 42U 60F-42-88-31BL</t>
  </si>
  <si>
    <t>Том СКС КА, скрины л. 10</t>
  </si>
  <si>
    <t>Панель освещенuя на магнumах, унuверсальная цвеm черныu 60A-05-15BL</t>
  </si>
  <si>
    <t>27.40.25.123</t>
  </si>
  <si>
    <t>Том СКС КА, скрины л. 9</t>
  </si>
  <si>
    <t>Набор для креnленuя лоmков к крышке шкафов, высоmа 50мм 60А-31-08-ЗЗВL</t>
  </si>
  <si>
    <t>ООО "Лайт Авеню"</t>
  </si>
  <si>
    <t>Том СКС КА, скрины л. 8</t>
  </si>
  <si>
    <t>Полка сmацuонарная регулuруемая 1U до 50кг, 370мм, для 600мм</t>
  </si>
  <si>
    <t>Том СКС КА, скрины л. 7</t>
  </si>
  <si>
    <t>Выдвижная полка для клавиатуры 60А-04-45-11BL</t>
  </si>
  <si>
    <t>ООО «Ситилинк»</t>
  </si>
  <si>
    <t>Том СКС КА, скрины л. 6</t>
  </si>
  <si>
    <t>Шнур питания для вент. панели IEC 320 C14</t>
  </si>
  <si>
    <t>26.20.16.110</t>
  </si>
  <si>
    <t>ООО "ТД Защита Трейд"</t>
  </si>
  <si>
    <t>ООО «ОЛМИ»</t>
  </si>
  <si>
    <t>Том СКС КА, скрины л. 5</t>
  </si>
  <si>
    <t>Вентиляторная панель 60А-91-11-30ВL</t>
  </si>
  <si>
    <t>Том СКС КА, скрины л. 4</t>
  </si>
  <si>
    <t>Вертикальный органайзер 60А-18-47-01-31BL</t>
  </si>
  <si>
    <t>ООО "АЛЬФА-СЕТИ"</t>
  </si>
  <si>
    <t>Том СКС КА, скрины л. 3</t>
  </si>
  <si>
    <t>Шкаф 19" серии Racknet S3000, 47U 60F-47-7C-94BL 56424</t>
  </si>
  <si>
    <t>02-01-12 СКС</t>
  </si>
  <si>
    <t>https://silovoycable.ru/cable-kpsvvng-a-lsltx-1x2x1-cena?ysclid=mi7489tni5692368187</t>
  </si>
  <si>
    <t>5032232155</t>
  </si>
  <si>
    <t>https://timestroy.moscow/catalog/elektrika/kabel_i_provod/kps/kpsvvng_a_lsltx_1x2x1/?ysclid=mi74879ruz540195684</t>
  </si>
  <si>
    <t>https://e-kc.ru/cena/cable-kpsvvng-lsltx-1-2-1?ysclid=mi747wmzaw282662092</t>
  </si>
  <si>
    <t>Том 02-01-13 Электрочасофикация  КА, КП, скрины (л.3-4)</t>
  </si>
  <si>
    <t>Кабель КПСВВнг(А)-LSLTx 1x2x1,0</t>
  </si>
  <si>
    <t>https://tdatm.ru/catalog/chasifikatsiya/chasy_pervichno_vtorichnye/chasovaya_stantsiya_pik_2m4002.html?ysclid=mi73sdlz7x334839465</t>
  </si>
  <si>
    <t>https://kitsanshop.ru/pik_2m_4002_chasovaya_stanciya</t>
  </si>
  <si>
    <t>ООО "Системы Часофикации"</t>
  </si>
  <si>
    <t>https://td-automatika.ru/catalog/vremya_i_chastota/pik_2m_4002_chasovaya_stantsiya/?ysclid=mi73phhja2153078341</t>
  </si>
  <si>
    <t>ООО «ТД «Автоматика»</t>
  </si>
  <si>
    <t>Том 02-01-13 Электрочасофикация  КА, КП, скрины (л.2-3)</t>
  </si>
  <si>
    <t>Часовая станция "Первичные часы" ПИК-2М-4002</t>
  </si>
  <si>
    <t>26.30.11.194</t>
  </si>
  <si>
    <t xml:space="preserve">02-01-13 Электрочасофикация </t>
  </si>
  <si>
    <t>https://paritet.su/catalog/cat5e_u_utp_1/parlan_u_utp_cat5e_pvcls_ng_a_lsltx_4kh2kh0_52/?ysclid=mi8kht0zva942573640</t>
  </si>
  <si>
    <t>https://domodedovo.artem-tools.ru/catalog/elektrika-i-svet/kabeli-slabotochnye/kabel-parlan-u-utp-cat-5e-pvcls-ng_664503/</t>
  </si>
  <si>
    <t>https://videoglaz.ru/kabeli-ethernet/paritet/paritet-parlan-u-utp-cat5e-pvcls-ng-a-lsltx-4h2h052-305m?ysclid=mi8ki0xkuz71638988</t>
  </si>
  <si>
    <t>02-01-14 COT  КА, КП, скрины (Листы 40-41 )</t>
  </si>
  <si>
    <t xml:space="preserve">Кабель витая пара ParLan U/UTP Cat5e PVCLS нг(А)-LSLTx 4x20,52 </t>
  </si>
  <si>
    <t>https://ssd.ru/product/kabel-inlan-distribution-b-obr-v-ng-a-hf-8-g-657a1/</t>
  </si>
  <si>
    <t>7704588494</t>
  </si>
  <si>
    <t>ООО ТД «СВЯЗЬСТРОЙДЕТАЛЬ»</t>
  </si>
  <si>
    <t>https://nk-groupltd.ru/shop/opticheskij-kabel/kabel-dlya-vnutrennej-prokladki-distribution/obr-v-nga-hf-8-g-657-a1-vnutrennij-negoryuchij-odn/?ysclid=mi8k67cn3p951854606</t>
  </si>
  <si>
    <t xml:space="preserve">7816687944  </t>
  </si>
  <si>
    <t>ООО «Компания НК-Групп»</t>
  </si>
  <si>
    <t>https://komtel.su/catalog/opticheskiy_kabel_svyazi/vnutriobektovyy/3386/?ysclid=mi8k372wy5918020874</t>
  </si>
  <si>
    <t>6685156367</t>
  </si>
  <si>
    <t xml:space="preserve">ООО "КомплектТелеком" </t>
  </si>
  <si>
    <t>02-01-14 COT  КА, КП, скрины (Листы 39-40 )</t>
  </si>
  <si>
    <t>Волоконно-оптический кабель, 8 волокон, многомод 50/125 мкм ОБР-В-нг(Ф)-HFLTx 8 G/651 400H</t>
  </si>
  <si>
    <t>https://secbuy.ru/product/pp24-1uc5eu-d05-1u-24-porta-dual-patch-panel-kat-5e-utp/?ysclid=mi8ir6ke1j887874379</t>
  </si>
  <si>
    <t>https://greenlayn.ru/e-patch-panel-1u-kat-5e-utp-24-porta-idc-dual-itk-pp24-1uc5eu-d05.html?ysclid=mi8iog6fgm730275182</t>
  </si>
  <si>
    <t>7710944824</t>
  </si>
  <si>
    <t xml:space="preserve">ООО «ГРИНЛАЙН» </t>
  </si>
  <si>
    <t>https://santeh-mos.ru/catalog/panel-kommutatsionnaya-mednaya/patch-panel-1u-kat-5e-utp-24-porta-dual-idc-itk-pp24-1uc5eu-d05/?ysclid=mi8iodr3ab950942217</t>
  </si>
  <si>
    <t>7725759486</t>
  </si>
  <si>
    <t>ООО "Проект Ск"</t>
  </si>
  <si>
    <t>02-01-14 COT  КА, КП, скрины (Листы 37-38 )</t>
  </si>
  <si>
    <t>1U патч-панель кат.5E UTP 24портов (DUAL IDC)  высокой плотности  PP24-1UC5EU-D05-1</t>
  </si>
  <si>
    <t>https://www.lanmark.ru/catalog/sks/kommutatsionnye-patch-paneli/patch-panel-48-portov/5e-kategoriya/1u-patch-panel-kat-5e-utp-48-pt-dual-idc-vysokoy-plotnosti/?ysclid=mi8iiedh4y336310607</t>
  </si>
  <si>
    <t>ООО «ЛАНМАРК»</t>
  </si>
  <si>
    <t>https://ielectrik.ru/product/iek_itk_1u_patch-panel_kategoriya_5e_utp_48_portov_dual_idc_vysokoy_plotnosti/?ysclid=mi8iic99n7680130275</t>
  </si>
  <si>
    <t>6658499397</t>
  </si>
  <si>
    <t>ООО «Профессионал»</t>
  </si>
  <si>
    <t>https://www.t-save.ru/catalog/sks/itk_pp48_1uc5eu_d05h_1u_patch_panel_kat_5e_utp_48_portov_dual_idc_vysokoy_plotnosti/?ysclid=mi8ii9nn3e512384975</t>
  </si>
  <si>
    <t>02-01-14 COT  КА, КП, скрины (Листы 36-37 )</t>
  </si>
  <si>
    <t>1U патч-панель кат.5E UTP 48 портов (DUAL IDC)  высокой плотности  PP48-1UC5EU-D05H</t>
  </si>
  <si>
    <t>https://electroline.ru/product/iek-fobx24-1u-8lcud03.html?ysclid=mi8ibexbg7565980530</t>
  </si>
  <si>
    <t>7722825109</t>
  </si>
  <si>
    <t>ООО «ААА ЕВРОТЕХСТРОЙ»</t>
  </si>
  <si>
    <t>https://www.chipdip.ru/product/kross-ukomplektovannyy-1u-lc-duplex-8-portov-itk-gruppa-iek-8010829628</t>
  </si>
  <si>
    <t>https://pek24.ru/k_kross_ukomplektovannyy_1u_lc_duplex_8_portov_om3_itk_fobx24_1u_8lcud03/</t>
  </si>
  <si>
    <t>02-01-14 COT  КА, КП, скрины (Листы 34-35 )</t>
  </si>
  <si>
    <t>Оптический распределительный кросс укомплектованный: LC (Duplex) 8 шт, (ОМЗ) FOBX24-1U-8LCUD03</t>
  </si>
  <si>
    <t>https://www.tinko.ru/catalog/product/312366/</t>
  </si>
  <si>
    <t>https://elgroup24.ru/d_kross_ukomplektovannyy_1u_lc_duplex_24_porta_om3_itk_fobx24_1u_24lcud03.html</t>
  </si>
  <si>
    <t>https://videoglaz.ru/opticheskie-boksy-1/itk/itk-fobx24-1u-24lcud03</t>
  </si>
  <si>
    <t>02-01-14 COT  КА, КП, скрины (Листы 33-34 )</t>
  </si>
  <si>
    <t>Оптический распределительный кросс укомплектованный: LC (Duplex) 24 шт, (ОМЗ) FOBX24-1U-24LCUD03</t>
  </si>
  <si>
    <t>https://www.kns.ru/product/batareya-dlya-ups-bastion-skat-bc-72-18s3-rack/?utm_source=direct.yandexVSE&amp;utm_term=---autotargeting&amp;etext=&amp;yclid=9321753827703783423&amp;ybaip=1</t>
  </si>
  <si>
    <t>9723033526</t>
  </si>
  <si>
    <t>ООО "КОМПЬЮЛАН"</t>
  </si>
  <si>
    <t>https://videoglaz.ru/batareynye-bloki/bastion/skat-bc-72-18s3-rack-8757?ysclid=mi7izdd64453416254</t>
  </si>
  <si>
    <t>https://luis.ru/p/2967881?utm_source=yandex&amp;utm_medium=cpc&amp;utm_campaign=Shopping_108044427&amp;utm_content=15903062729&amp;utm_term=---autotargeting&amp;etext=2202.1UiPpFR-trpZEKfAwZzJPOH24S1tB1Op2TsSGGJvdGzIObGu9W40Ix18UpGdPB4ufVAGzcDnGLaiYICPQX-u7vQrbZ7McT0QfCzhSJitc3x6ZG9yYW5uYWVkc3lreWV4.a3ad8b513acf187983b272bb16bf14f3a63d125c&amp;yclid=5213543929074417663&amp;ybaip=1</t>
  </si>
  <si>
    <t>02-01-14 COT  КА, КП, скрины (Листы 31-32 )</t>
  </si>
  <si>
    <t>Батарейный блок 18Ач/72В  SKAT BC 72/18S3 RACK</t>
  </si>
  <si>
    <t>27.20.11.000</t>
  </si>
  <si>
    <t>https://bast.ru/products/skat-ups-3000-rack-on-6x9?ysclid=mi7im8sybm433030421</t>
  </si>
  <si>
    <t>6163127276</t>
  </si>
  <si>
    <t>ЗАО «Бастион»</t>
  </si>
  <si>
    <t>https://www.regard.ru/product/690347/ibp-bastion-skat-ups-3000-rack-on-6x9</t>
  </si>
  <si>
    <t>7730234438</t>
  </si>
  <si>
    <t>ООО «Регард МСК»</t>
  </si>
  <si>
    <t>https://knsrussia.kns.ru/product/ibp-bastion-skat-ups-3000-rack-on-6x9/?utm_source=direct.yandex-tovarnaya&amp;utm_medium=cpc&amp;utm_term=---autotargeting&amp;utm_campaign=yamarketdbs&amp;etext=&amp;yclid=10997083177990750207&amp;ybaip=1</t>
  </si>
  <si>
    <t>02-01-14 COT  КА, КП, скрины (Листы 30-31 )</t>
  </si>
  <si>
    <t>Источник бесперебойного питания 3000 ВА/2700 Вт SKAT-UPS 3000-RACK-ON-6x9-E</t>
  </si>
  <si>
    <t>7806239326</t>
  </si>
  <si>
    <t>ООО "Север Молл"</t>
  </si>
  <si>
    <t>7743220457</t>
  </si>
  <si>
    <t xml:space="preserve">ООО "Синтез безопасности" </t>
  </si>
  <si>
    <t>5402026992</t>
  </si>
  <si>
    <t>ООО "НТЦ СГЭП"</t>
  </si>
  <si>
    <t>02-01-14 COT  КА, КП, скрины (Листы 10  п.1; лист 11 п.1 ; лист 12 п.1)</t>
  </si>
  <si>
    <t>Рабочая станция DEPO Race VT955</t>
  </si>
  <si>
    <t>26.20.15.110 </t>
  </si>
  <si>
    <t>https://neramsc.ru/catalog/kompyutery-i-orgtekhnika/monitory/monitor-rdw-computers-rdw-2701k/?ysclid=mi7htgdh7g267837065</t>
  </si>
  <si>
    <t>9718086924</t>
  </si>
  <si>
    <t>ООО "Нера-М"</t>
  </si>
  <si>
    <t>https://spb.xcom-shop.ru/rdw_computers_rdw2701kf00v3100v2a1_1201980.html?utm_source=yandex&amp;utm_medium=goods&amp;utm_campaign=xcomshop_893794_monitory&amp;utm_content=1201980_rdw_computers_rdw2701kf00v3100v2a1&amp;utm_term=1201980</t>
  </si>
  <si>
    <t>https://www.regard.ru/product/727732/monitor-rdw-computers-27-rdw2701k-f00v0100v2a1?utm_source=yandex&amp;utm_medium=cpc</t>
  </si>
  <si>
    <t>02-01-14 COT  КА, КП, скрины (Листы 28-29)</t>
  </si>
  <si>
    <t>Монитор RDW 2701K</t>
  </si>
  <si>
    <t> 26.20.17.110</t>
  </si>
  <si>
    <t>https://www.chipdip.ru/product/20202-kronshteyn-kromax-dix-15-chernyy-dlya-tv-15-28-8028600229</t>
  </si>
  <si>
    <t>https://diskoni.ru/catalog/krepleniya-dlya-monitorov/kreplenie-dlya-monitorov-remo-atlant-s111/?ysclid=mi7gqchv6q894230617</t>
  </si>
  <si>
    <t>7999001099</t>
  </si>
  <si>
    <t xml:space="preserve"> ООО «Аспро: ЛайтШоп»</t>
  </si>
  <si>
    <t>https://www.vse-elementarno.ru/dlja-tv-s-diagonalu-menshe-26/2730-kronshteyn-kromax-dix-15-chernyy-4640016630097.html?ysclid=mi7h741d8946829270</t>
  </si>
  <si>
    <t>7718066931</t>
  </si>
  <si>
    <t>ООО "Крономакс"</t>
  </si>
  <si>
    <t>02-01-14 COT  КА, КП, скрины (Листы 27-28)</t>
  </si>
  <si>
    <t>Кронштейн настенного крепления RDW 2701K</t>
  </si>
  <si>
    <t xml:space="preserve">26.40.20.122 </t>
  </si>
  <si>
    <t>https://tnvst.ru/catalog/grozozashchita/sp-ip16-1000pr/?ysclid=mi7g0qehwd340659768</t>
  </si>
  <si>
    <t xml:space="preserve"> 7810752347</t>
  </si>
  <si>
    <t>ООО "ТЕЛЕКОМИНВЕСТ"</t>
  </si>
  <si>
    <t>https://www.redutsb.ru/product/osnovo-sp-ip161000pr/</t>
  </si>
  <si>
    <t>https://cybernetworks.ru/product/ustroystvo-grozozaschity-ip-setey-osnovo-sp-ip16-1000pr/?etext=&amp;yclid=5090965288292712447&amp;ybaip=1</t>
  </si>
  <si>
    <t>5505072214</t>
  </si>
  <si>
    <t>ООО «Кибер Сети»</t>
  </si>
  <si>
    <t>02-01-14 COT  КА, КП, скрины (Листы 25-26)</t>
  </si>
  <si>
    <t>Грозозащита для локальной вычислительной сети, 16 GE RJ-45 SP-IP16/1000PR</t>
  </si>
  <si>
    <t>27.12.10.000</t>
  </si>
  <si>
    <t>https://www.xcom-shop.ru/fanghang_dlya_eltex_fh-s8512cdl05_727959.html?ysclid=mi7e92ogq9765564910</t>
  </si>
  <si>
    <t>https://allsks.ru/catalogue/adaptery_dlya_serverov/11067518_fh_s8512cdl05_sfp_1_25_ge_modul_550m_mm_2_volokna_850_nm_lc_ddm/?ysclid=mi7e0ce0co662349309</t>
  </si>
  <si>
    <t>7810508170</t>
  </si>
  <si>
    <t>ООО «Найс»</t>
  </si>
  <si>
    <t>https://telecom.store/opticheskie-moduli/fang-hang/modul-fh-s8512cdl05-1g-dvuhvolokonnyy-sx-550m/</t>
  </si>
  <si>
    <t>7814825405</t>
  </si>
  <si>
    <t>ООО «ТЕЛЕКОМ СТОР»</t>
  </si>
  <si>
    <t>02-01-14 COT  КА, КП, скрины (Листы 23-24)</t>
  </si>
  <si>
    <t>SFP 1,25 GE модуль 550 м, ММ, 2 волокна, 850 пт, LC, DDM FH-S8512CDL05</t>
  </si>
  <si>
    <t> 26.30.23.112</t>
  </si>
  <si>
    <t>https://ipilot.store/product/eltex-kommutator-24-porta-1g-poe-4-porta-10g-mes2300-24p/</t>
  </si>
  <si>
    <t>027507393322</t>
  </si>
  <si>
    <t>ИП Боев Артем Сергеевич</t>
  </si>
  <si>
    <t>https://deviceden.ru/kommutatory-do-1000mbps/eltex-mes2300-24.html</t>
  </si>
  <si>
    <t>7724379266</t>
  </si>
  <si>
    <t>ООО «ЭСПАНТ-МД»</t>
  </si>
  <si>
    <t>https://www.nwht.ru/catalog/marshrutizatory_i_kommutatory/kommutator_eltex_mes2300_24_ac.html</t>
  </si>
  <si>
    <t>773374188822</t>
  </si>
  <si>
    <t>ИП Афигенов Никита Дмитриевич</t>
  </si>
  <si>
    <t>02-01-14 COT  КА, КП, скрины (Листы 22-23)</t>
  </si>
  <si>
    <t>Коммутатор доступа 24  PoE MES2300-24P</t>
  </si>
  <si>
    <t>5402005576</t>
  </si>
  <si>
    <t>ООО "Элтекс Солюшенс"</t>
  </si>
  <si>
    <t>7709864010</t>
  </si>
  <si>
    <t>ООО "Элтекс-МСК"</t>
  </si>
  <si>
    <t>02-01-14 COT  КА, КП, скрины (Листы 4 п.3 ; лист 8  п.1; лист 9 п.1)</t>
  </si>
  <si>
    <t>Коммутатор доступа 48  PoE MES2420-48P</t>
  </si>
  <si>
    <t>02-01-14 COT  КА, КП, скрины (Листы 4  п.1; лист 6  п.1; лист 7 п.1)</t>
  </si>
  <si>
    <t>Коммутатор агрегации  MES3300-16F</t>
  </si>
  <si>
    <t>https://ip-sol.ru/catalog/detail/trassir-etskhd-professionalnoe-po-dlya-podklyucheniya-trassir/?oID=13202</t>
  </si>
  <si>
    <t>7710928406</t>
  </si>
  <si>
    <t>ООО "Ай Пи Решения"</t>
  </si>
  <si>
    <t>https://www.dssl.ru/products/etskhd/?utm_source=dssl-yd&amp;utm_medium=cpc&amp;utm_campaign=dssl_yd_rf_performance&amp;utm_term=_52409160941&amp;utm_content=astat:52409160941%7Cret:52409160941%7Cdsa:52409160941%7Ccid:112515165%7Cgid:5467218881%7Caid:1846167210872455611%7Cpt:dynamic_places%7Cpos:1%7Cst:search%7Csrc:yandex.ru%7Cdvc:desktop%7Creg:213%7Cadp:no%7Capt:none%7Clink:main&amp;roistat=direct3_search_1846167210872455611_---autotargeting&amp;roistat_referrer=yandex.ru&amp;roistat_pos=dynamic_places_1&amp;etext=&amp;yclid=4612699622930644991&amp;ybaip=1</t>
  </si>
  <si>
    <t>7701081730</t>
  </si>
  <si>
    <t>ООО "ДССЛ-Первый"</t>
  </si>
  <si>
    <t>https://www.tinko.ru/catalog/product/296476/</t>
  </si>
  <si>
    <t>02-01-14  COT  КА, КП, скрины (Листы 20-21)</t>
  </si>
  <si>
    <t>Программное обеспечение TRASSIR ЕЦХД</t>
  </si>
  <si>
    <t xml:space="preserve">26.30.11.110 </t>
  </si>
  <si>
    <t>https://security-master.ru/catalog/videonablyudenie/videoregistrator_dlya_sistem_videonablyudeniya/2869/?ysclid=mi79soovao306306725</t>
  </si>
  <si>
    <t>690809081744</t>
  </si>
  <si>
    <t>ИП Лисеенко Максим Александрович</t>
  </si>
  <si>
    <t>https://csbpro.ru/catalog/videoregistratory/ultrastation_24_10_256_ip_registrator_do_256_kanalov/?ysclid=mi799cynu5893406492</t>
  </si>
  <si>
    <t>7202164011</t>
  </si>
  <si>
    <t>ООО «Центр Систем Безопасности»</t>
  </si>
  <si>
    <t>https://mk123.ru/index.php?route=product/product&amp;product_id=5034</t>
  </si>
  <si>
    <t>230408205440</t>
  </si>
  <si>
    <t>ИП Руденко Дарья Андреевна</t>
  </si>
  <si>
    <t>02-01-14  COT  КА, КП, скрины (Листы 18-19)</t>
  </si>
  <si>
    <t>IP-видеорегистратор UltraStation 24/10 на 256 каналов, 24 HDD на 10 Тбайт UltraStation 24/10 256 v2 с 24 HDD</t>
  </si>
  <si>
    <t>26.40.33.192</t>
  </si>
  <si>
    <t>https://deviceden.ru/setevye-ip-kamery/trassir-tr-d2d2-v2-2-7-13-5-mm.html?yclid=575366249946021887</t>
  </si>
  <si>
    <t>https://videoglaz.ru/kupolnye-ip-kamery/trassir/trassir-tr-d2d2-v227-135-mm?ysclid=mi772hv88r586509249</t>
  </si>
  <si>
    <t>https://secumarket.ru/product/kupolnaya-ip-videokamera-2-mp-2-7-13-5-mm-poe-tr-d2d2-v2-2-7-13-5-trassir-802021?etext=2202.pMAbnOgTcXpCRKL5PcL6I3Af50k91pK3EPLnYD7qLwp6eHpjanpqYm56Zm1hYnpl.ec304354c6c7d072dc40194f39b8384865057a2b&amp;yclid=8003253571313729535&amp;ybaip=1</t>
  </si>
  <si>
    <t>02-01-14  COT  КА, КП, скрины (Листы 17-18)</t>
  </si>
  <si>
    <t>Купольная IP-видеокамера с фиксированным объективом IP 2 Мп; 1/2.8" КМОП, 1920х1080-25/30к/с; встроенный микрофон; Дальность ИК подсветки 25м; объектив 2.8мм(3.6мм, 6ммопционально) ; режим
"день/ночь", H264/ MJPEG ( Доп. поток) ; ; PoE 5 Вт; TR-D2D2 v2 2.7-13.5</t>
  </si>
  <si>
    <t>26.40.33.110</t>
  </si>
  <si>
    <t>https://ns-t.ru/ns-lp-1gp-d.html</t>
  </si>
  <si>
    <t>7720849513</t>
  </si>
  <si>
    <t>ООО «НС-ТРЕЙД»</t>
  </si>
  <si>
    <t>https://videoglaz.ru/grozozaschita-cepey-upravleniya-i-ip-setey/nst/nst-ns-lp-1gp-d?ysclid=mi76wtm8sr849280056</t>
  </si>
  <si>
    <t>https://cybernetworks.ru/product/nst-ns-lp-1gp-d/?etext=&amp;yclid=4766061945666666495&amp;ybaip=1</t>
  </si>
  <si>
    <t>02-01-14  COT  КА, КП, скрины (Листы 15-16)</t>
  </si>
  <si>
    <t>Устройство грозозащиты NST NS-LP-1GP/D</t>
  </si>
  <si>
    <t>https://videoglaz.ru/ulichnye-ip-kamery/trassir/trassir-tr-d2121cl3-4-0?ysclid=mi76lb8kff368023375</t>
  </si>
  <si>
    <t>https://secumarket.ru/product/trassir-tr-d2121cl3-4mm-232239?etext=2202.h8Tj6M2MrkEgS8aWg_OBwnubzSLmGExln-SvVujg6mZiZ2h5Zm5qb3piaWRzeXlv.86c472d53a320bbdea59d3696e89f770bd73f82b&amp;yclid=13010734546087313407&amp;ybaip=1</t>
  </si>
  <si>
    <t>https://www.dssl.ru/products/tr-d2121cl3-4-mm-ip-kamera/?ysclid=mi76l088y022137153</t>
  </si>
  <si>
    <t>02-01-14  COT  КА, КП, скрины (Листы 13-14)</t>
  </si>
  <si>
    <t>Цилиндрическая IP-видеокамера с фиксированным объективом IP 2 Мп; 1/3" КМОП, 1920х1080-25/30к/с; встроенный микрофон; Дальность ИК подсветки 30м; объектив 2.8мм(3.6мм, 6ммопционально) ; режим "день/ночь", H264/ MJPEG ( Доп. поток) ; ; PoE 5 Вт; -40 ~ +60°C, TR-D2121CL3 4.0</t>
  </si>
  <si>
    <t>02-01-14 СОТ</t>
  </si>
  <si>
    <t>ООО «БКК»</t>
  </si>
  <si>
    <t>https://www.bkk.su/catalog/kabelnaya_produktsiya/kabel_okhrannoy_signalizatsii/kabel_kpsvv_kpsvev/kabel_kpsvevng_a_lsltx_4x2x0_5/?ysclid=mict6xjk7z787180062</t>
  </si>
  <si>
    <t>361913762984</t>
  </si>
  <si>
    <t>https://optcable.ru/catalog/iem-6766896-kabel-kpsvvng-a-lsltx-4kh2kh0-5/?ysclid=mict0ad9lz22442367</t>
  </si>
  <si>
    <t>ООО "Техника безопасности"</t>
  </si>
  <si>
    <t>https://msk.t-save.ru/catalog/kabel_provod/kpsvvng_a_lsltx_4kh2kh0_5_spetskabel/?ysclid=micszsoto2654414832</t>
  </si>
  <si>
    <t>02-01-15 СКУД КА л. 26</t>
  </si>
  <si>
    <t>Кабель "витая пара" негорючий с низким выделением газа, дыма КПСВВнг(А)-LSLTx -4х2х0.5мм "Спецкабель"</t>
  </si>
  <si>
    <t>27.32.13</t>
  </si>
  <si>
    <t>https://www.tinko.ru/catalog/product/282041/?ysclid=micpzj9vds108437565</t>
  </si>
  <si>
    <t>ООО "НПП "Бевард"</t>
  </si>
  <si>
    <t>https://www.beward-shop.ru/ip-videodomofons/domofon-panel/beward-ds06ap-ip-videodomofon-poe/?ysclid=micpuvcvjf901165574</t>
  </si>
  <si>
    <t>https://satro-paladin.com/catalog/product/133804/?ysclid=micpsvyv4z793553184</t>
  </si>
  <si>
    <t>02-01-15 СКУД КА л. 24</t>
  </si>
  <si>
    <t xml:space="preserve">Вызывная Full HD IP-панель для видеодомофонов  с углом обзора 146° врезной установки, DS06AP </t>
  </si>
  <si>
    <t>26.30.50</t>
  </si>
  <si>
    <t>https://www.tinko.ru/catalog/product/336862/?ysclid=micp857nqg274294691</t>
  </si>
  <si>
    <t>https://www.beward.ru/katalog/ip-videodomofony/ustrojstva/sm400w/?ysclid=micp7sjnfr943252313</t>
  </si>
  <si>
    <t>https://satro-paladin.com/catalog/product/296309/?ysclid=micp7jyrcm713880350</t>
  </si>
  <si>
    <t>02-01-15 СКУД КА л. 23</t>
  </si>
  <si>
    <t>Монитор IP-видеодомофона 4.3" SIP протокол ,РоЕ, ОС Linux с поддержкой подключения IP-вызывных панелей и IP-камер, SM-400W</t>
  </si>
  <si>
    <t>https://www.etm.ru/cat/nn/2825254?utm_source=yandex&amp;utm_medium=yandex_search&amp;ysclid=mi8oyhozw2760718229</t>
  </si>
  <si>
    <t>ООО «СТРОЙТЕХСНАБЖЕНИЕ»</t>
  </si>
  <si>
    <t>https://sts-kabel.ru/catalog/kabelno_provodnikovaya_produktsiya/kabeli_silovye/kabel_vvgng_a_lsltx/kabel_vvgng_a_lsltx_1_kv_2kh1_5/?utm_source=yandex&amp;utm_medium=cpc&amp;utm_campaign=dinamicheskaya_Obshch_new_rf_114398730&amp;utm_content=1854077727808695580&amp;utm_term=---autotargeting&amp;source=none&amp;device=desktop&amp;roistat=direct2_search_1854077727808695580_---autotargeting&amp;roistat_referrer=none&amp;roistat_pos=premium_2&amp;ybaip=1&amp;yclid=895009489567350783</t>
  </si>
  <si>
    <t>https://shop220.ru/vvgnga-lslth-2h15-ok-1-kabel-silovoy-vvgnga-lslth-2h15-ok-1-konkord.htm?ysclid=mi8oxa6zjs975491786</t>
  </si>
  <si>
    <t>02-01-15 СКУД КА л. 22</t>
  </si>
  <si>
    <t>Кабель ВВГнг(А)-LSLTx -1х2х1.5мм</t>
  </si>
  <si>
    <t>ООО "Рус-Электро"</t>
  </si>
  <si>
    <t>https://rexant-shop.ru/product/rexant-01-0061/126785?ysclid=mi8on9ch2q561575584</t>
  </si>
  <si>
    <t>https://videoglaz.ru/kabeli-ethernet/rexant/kabel-vitaya-para-u-utp-cat-5e-ng-a-lsltx-4h2h052mm-24awg-indoor-solid-zelenyy-305m-rexant?ysclid=mi8ombe0ml457500122</t>
  </si>
  <si>
    <t>https://satro-paladin.com/catalog/product/91114/?ysclid=mi8mfwezbl996867895</t>
  </si>
  <si>
    <t>02-01-15 СКУД КА л. 21</t>
  </si>
  <si>
    <t>Кабель U/UTPнг(А)-LSLTx -4х2х0.52 кат 5е</t>
  </si>
  <si>
    <t>https://www.chipdip.ru/product/loutoks-20ng-a-frlsltx-1x2x0-5-kabel-dlya-sistem-spetskabel-8038494244</t>
  </si>
  <si>
    <t>ООО «АЛЬФА-СБ»</t>
  </si>
  <si>
    <t>https://skl-trade.ru/loutoks-20ng-a-frlsltx-1kh2kh0-5-spetskabel?ysclid=micugunhla17676984</t>
  </si>
  <si>
    <t>https://atlastpk.ru/catalog/loutoks-20ng-a-frlsltx/loutoks-20ng-a-frlsltx-1kh2kh0-5-spetskabel/?ysclid=micufgc429859566186</t>
  </si>
  <si>
    <t>02-01-15 СКУД КА л. 20</t>
  </si>
  <si>
    <t>Кабель ЛОУТОКС 20нг(А)-FRLSLTx -1х2х0.5 "Спецкабель"</t>
  </si>
  <si>
    <t>https://skl-trade.ru/kpsvvng-a-ls-1kh2kh1-0-spetskabel?ysclid=micuaqzvvz689011671</t>
  </si>
  <si>
    <t>https://atlastpk.ru/catalog/kpsvvng-a-lsltx1/kpsvvng-a-lsltx-1kh2kh1-spetskabel/?ysclid=micu1rc817942757767</t>
  </si>
  <si>
    <t>https://svetelektro.net/cable-wire/7570716-spetskabel.html</t>
  </si>
  <si>
    <t>02-01-15 СКУД КА л. 19</t>
  </si>
  <si>
    <t>Кабель КПСВВнг(А)-LSLTx -1х2х1.0мм "Спецкабель"</t>
  </si>
  <si>
    <t>https://secbuy.ru/product/kpsvvng-a-ls-1kh2kh0-75-spetskabel-kabel-dlya-sistem-pozharnoy-i-okhrannoy-signalizatsii-s-ponizhenn/?ysclid=mictmc83n4619099414</t>
  </si>
  <si>
    <t>https://skl-trade.ru/kpsvvng-a-lsltx-1kh2kh0-75-spetskabel?ysclid=mictjan6ze893056090</t>
  </si>
  <si>
    <t>https://atlastpk.ru/catalog/kpsvvng-a-lsltx1/kpsvvng-a-lsltx-1kh2kh0-75-spetskabel/?ysclid=mictiwsp9f508801054</t>
  </si>
  <si>
    <t>02-01-15 СКУД КА л. 18</t>
  </si>
  <si>
    <t>Кабель КПСВВнг(А)-LSLT 1х2х0,75мм "Спецкабель"</t>
  </si>
  <si>
    <t>ООО «ДЕАН СБ»</t>
  </si>
  <si>
    <t>https://www.aktivsb.ru/prod-17580.html</t>
  </si>
  <si>
    <t>https://videoglaz.ru/karty-proximity/smartec/smartec-st-pc010mf?ysclid=mi8k7na1gz899901018</t>
  </si>
  <si>
    <t>https://www.tinko.ru/catalog/product/229355/?ysclid=mi8k7hk9iz144952987</t>
  </si>
  <si>
    <t>02-01-15 СКУД КА л. 17</t>
  </si>
  <si>
    <t>Карта Mifare стандартная ST-PC010MF</t>
  </si>
  <si>
    <t>ООО «фирма Телесистемы»</t>
  </si>
  <si>
    <t>https://vt-shop.ru/product/setevoy-kommutator-rvi-1nsm16g-4h/?ysclid=mi8jxrsn3j435542032</t>
  </si>
  <si>
    <t>77 09 19 16 08</t>
  </si>
  <si>
    <t>ООО «Видеотехнология»</t>
  </si>
  <si>
    <t>https://videotechnology.ru/s/cctv/rvi_cctv/rvi-1nsm16g-4h_rvigroup-detail?ysclid=mi8jw48mi5704631294</t>
  </si>
  <si>
    <t>https://videoglaz.ru/kommutatory-do-1000mbps/rvi/rvi-1nsm16g-4h?ysclid=mi8jqw389b137616623</t>
  </si>
  <si>
    <t>02-01-15 СКУД КА л. 16</t>
  </si>
  <si>
    <t>Сетевой коммутатор RVI-1NSM16G-4H 16 портов RVI-1NSM 16G-4H</t>
  </si>
  <si>
    <t>26.30.11</t>
  </si>
  <si>
    <t>https://videoglaz.ru/istochniki-bespereboynogo-pitaniya-220v/bastion/skat-rapan-ups-3000?ysclid=mi8j0omm1q955868094</t>
  </si>
  <si>
    <t>https://satro-paladin.com/catalog/product/178889/?ysclid=mi8j08niqs921858783</t>
  </si>
  <si>
    <t>https://www.tinko.ru/catalog/product/283742/?ysclid=mi8izqr1wo726489446</t>
  </si>
  <si>
    <t>02-01-15 СКУД КА л. 15</t>
  </si>
  <si>
    <t>Источник бесперебойного питания Rapan-USB 3000</t>
  </si>
  <si>
    <t>27.90.40</t>
  </si>
  <si>
    <t>ООО «Альянс групп»</t>
  </si>
  <si>
    <t>https://all-bez.ru/catalog/tsentralnyy-pribor-indikatsii-i-upravleniya-tspiu-rubezh-isp-1/</t>
  </si>
  <si>
    <t>https://satro-paladin.com/catalog/product/203093/?ysclid=mi8he7fbp87997434</t>
  </si>
  <si>
    <t>https://videoglaz.ru/pribory-specialnye-i-dopolnitelnye-ustroystva/rubezh/cpiu-rubezh-isp-1?utm_source=yandex_direct_27&amp;utm_medium=cpc&amp;utm_campaign=ДСА-Cистема%20охранно-пожарной%20сигнализации&amp;utm_content=1881100748282217637&amp;utm_term=---autotargeting&amp;region=213&amp;region_name=Москва.desktop.Москва.205619083150.none&amp;block=premium.1&amp;source=search.none&amp;yclid=9352245760810811391</t>
  </si>
  <si>
    <t>02-01-15 СКУД КА л. 14</t>
  </si>
  <si>
    <t>Центральный прибор индикации и управления с ПО FireSec в составе: блок системный, монитор- размер 21.5 дюйм, пульт индикации и управления, блок АВР ЦПИУ, Рубеж-АРМ исп.1</t>
  </si>
  <si>
    <t xml:space="preserve">ООО "ЭКТ" </t>
  </si>
  <si>
    <t>https://www.scs-online.ru/katalog/118063.html?ysclid=mhojpjqihw955373443</t>
  </si>
  <si>
    <t xml:space="preserve"> ООО «ЭФФЕКТ- НН»</t>
  </si>
  <si>
    <t>https://effect-nn.ru/show_8668.htm?ysclid=mhoizbky1w714493398</t>
  </si>
  <si>
    <t>https://alphanets.ru/catalog/maxys-mx-cmc-1u-45-b-kabelnyy-organayzer-s-metallicheskimi-ko?ysclid=mhoj578sqy429408402</t>
  </si>
  <si>
    <t>02-01-15 СКУД КА л. 13</t>
  </si>
  <si>
    <t>Горизонтальный органайзер, слотовый с крышкой, 1U MX-CMC-1U-45-B</t>
  </si>
  <si>
    <t xml:space="preserve">26.30.30.000 </t>
  </si>
  <si>
    <t>ООО "ДИНАСТИЯ"</t>
  </si>
  <si>
    <t>https://dinastyasnab.ru/shop/goods/patch_panel_19_1U_kat5E_neekranir_24_porta_RJ45_Dual_IDC_TOKOV_ELECTRIC_TKE_PP_5E_1U_24P_UTP-142101</t>
  </si>
  <si>
    <t>ИП Скопов Кирилл Андреевич</t>
  </si>
  <si>
    <t>https://elektrik-shop.com/shop/goods/patch_panel_19_1U_kat5E_neekranir_24_porta_RJ45_Dual_IDC_TOKOV_ELECTRIC_TKE_PP_5E_1U_24P_UTP-139147</t>
  </si>
  <si>
    <t>https://secumarket.ru/product/patch-panel-19-1u-kat-5e-neekranir-24-porta-rj45-dual-idc-tokov-electric-tke-pp-5e-1u-24p-utp-742824</t>
  </si>
  <si>
    <t>02-01-15 СКУД КА л. 12</t>
  </si>
  <si>
    <t>Коммутационная панель категории 5е UTP19",1U,24xRj45,п-корды  PLHD-24 Dual IDC-1U</t>
  </si>
  <si>
    <t>26.30.30</t>
  </si>
  <si>
    <t xml:space="preserve">ООО "ИНТЭК"  </t>
  </si>
  <si>
    <t>https://intekelectro.ru/catalog/product/533279/?ysclid=mi7gr62jaq442235708</t>
  </si>
  <si>
    <t>https://rs24.ru/product/2294232?utm_referrer=https%3A%2F%2Fyandex.ru%2F</t>
  </si>
  <si>
    <t>https://www.chipdip.ru/product/istochnik-vtorichnogo-elektropitaniya-rubezh-8031039265</t>
  </si>
  <si>
    <t>02-01-15 СКУД КА л. 11</t>
  </si>
  <si>
    <t>Резервный источник питания,12В  ИВЭПР 12/3,5 2x7 -Р</t>
  </si>
  <si>
    <t>https://www.etm.ru/cat/nn/221279?ysclid=mi7gcpvzz7875985393</t>
  </si>
  <si>
    <t>https://www.aktivsb.ru/prod-21326.html</t>
  </si>
  <si>
    <t>https://www.tinko.ru/catalog/product/072248/?ysclid=mi7gaeg6ik708590933</t>
  </si>
  <si>
    <t>02-01-15 СКУД КА л. 10</t>
  </si>
  <si>
    <t>Кнопка разблокировки дверей "ИПР 513-10" "АВАРИЙНЫЙ ВЫХОД" SB 1</t>
  </si>
  <si>
    <t>https://videoglaz.ru/knopki-vyhoda/smartec/smartec-st-er115?ysclid=mi7g5p2d9199488206</t>
  </si>
  <si>
    <t>https://www.tinko.ru/catalog/product/221657/?ysclid=mi7g2ybgoq335549709</t>
  </si>
  <si>
    <t>https://satro-paladin.com/catalog/product/15166/?ysclid=mi7g3ej865750602912</t>
  </si>
  <si>
    <t>02-01-15 СКУД КА л. 9</t>
  </si>
  <si>
    <t>Кнопка экстренного выхода ST-FR115</t>
  </si>
  <si>
    <t>https://videoglaz.ru/schityvateli-proximity/rusguard/rusguard-r15-multi-gray?ysclid=mi7fse03ca537569084</t>
  </si>
  <si>
    <t>https://www.tinko.ru/catalog/product/280368/?ysclid=mi7fp39dl8654859445</t>
  </si>
  <si>
    <t>https://satro-paladin.com/catalog/product/169742/?ysclid=mi7fly2xly748749496</t>
  </si>
  <si>
    <t>02-01-15 СКУД КА л. 8</t>
  </si>
  <si>
    <t>Считыватель для установки на улице и в помещение,-40....+55гр интерфейс Wiegand 26-58, формат карт Mifare, EM-Marin,HID Prox RusGuard R-15 multi</t>
  </si>
  <si>
    <t>https://www.etm.ru/cat/nn/8893298?utm_source=yandex&amp;utm_medium=yandex_search&amp;ysclid=mi7fjokx9i244476785</t>
  </si>
  <si>
    <t>https://www.tinko.ru/catalog/product/001001/?ysclid=mi7fic9k3y208200730</t>
  </si>
  <si>
    <t>https://videoglaz.ru/izveschateli-magnitokontaktnye/magnito-kontakt/magnito-kontakt-io-102-2-smk-1?ysclid=mi7fg0vlne60042038</t>
  </si>
  <si>
    <t>02-01-15 СКУД КА л. 7</t>
  </si>
  <si>
    <t>Извещатель охр. магнито-контактный для неметалл. поверхностей ИО 102-2 СМК</t>
  </si>
  <si>
    <t>https://www.chipdip.ru/product/io-102-26-isp-00-ayaks-izveschatel-ohrannyy-magnito-kontakt-8794241420</t>
  </si>
  <si>
    <t>https://videoglaz.ru/izveschateli-magnitokontaktnye/magnito-kontakt/magnito-kontakt-io-102-26-isp00-ayaks?utm_source=yandex_direct_27&amp;utm_medium=cpc&amp;utm_campaign=ДСА-Cистема%20охранно-пожарной%20сигнализации&amp;utm_content=1881100748282217637&amp;utm_term=---autotargeting&amp;region=213&amp;region_name=Москва.desktop.Москва.205619083150.none&amp;block=other.1&amp;source=search.yandex.ru&amp;yclid=11296529709190610943</t>
  </si>
  <si>
    <t>https://satro-paladin.com/catalog/product/6529/?ysclid=mi7ep1bd8g866625318</t>
  </si>
  <si>
    <t>02-01-15 СКУД КА л. 6</t>
  </si>
  <si>
    <t>Извещатель охр. магнито-контактный для металлических дверей ИО 102-26 исп. Аякс</t>
  </si>
  <si>
    <t>https://videoglaz.ru/zamok-elektromagnitnyy/aler/aler-al-400-premiumseryy?ysclid=mi7eg0v533890873599</t>
  </si>
  <si>
    <t>https://www.tinko.ru/catalog/product/208484/?ysclid=mi7eet8883386510451</t>
  </si>
  <si>
    <t>https://satro-paladin.com/catalog/product/4402/?ysclid=mi7edweoom737933813</t>
  </si>
  <si>
    <t>02-01-15 СКУД КА л. 5</t>
  </si>
  <si>
    <t>Электромагнитный замок с монтажным комплектом "AL-400 Premium "</t>
  </si>
  <si>
    <t>ООО «ЭнергоАктив»</t>
  </si>
  <si>
    <t>https://kineticshop.ru/catalog/sistemy_bezopasnosti/465334/?ysclid=mi7drs17as686452551</t>
  </si>
  <si>
    <t>ООО «АЛМАЛЛ»</t>
  </si>
  <si>
    <t>https://sbmall.ru/718/9821510D-CBF5-297C-00C8-3CDAA176CD88/1959/500628/?ysclid=mi7dslhhak311551615</t>
  </si>
  <si>
    <t>https://www.etm.ru/cat/nn/6995962?ysclid=mi7djhsoli482867172</t>
  </si>
  <si>
    <t>02-01-15 СКУД КА л. 4</t>
  </si>
  <si>
    <t>Модуль доступа-контроллер доступа STR-2AP-M на 4 точки</t>
  </si>
  <si>
    <t>26.20.40</t>
  </si>
  <si>
    <t>https://satro-paladin.com/catalog/product/178883/?utm_source=InHouse-yandex&amp;utm_medium=cpc&amp;utm_campaign=eLama%20%7C%20Товарная%20%7C%20Все%20категории%20%7C%20Оплата%20за%20клики%20%7C%20РФ&amp;utm_content=cid%7C116808275%7Cgid%7C5523346548%7Caid%7C16721266298%7Cadp%7Cno%7Cdvc%7Cdesktop%7Cpid%7C53953368071%7Crid%7C53953368071%7Cdid%7C53953368071%7Cpos%7Cother2%7Cadn%7Csearch%7Ccrid%7C0%7C&amp;utm_term=---autotargeting&amp;ybaip=1&amp;yclid=7575150345693429759</t>
  </si>
  <si>
    <t>https://www.aktivsb.ru/prod-61704.html</t>
  </si>
  <si>
    <t>https://videoglaz.ru/avtonomnye-kontrollery/rubezh/rubezh-modul-dostupa-str-1ap?ysclid=mi7d8mjfpr995295683</t>
  </si>
  <si>
    <t>02-01-15 СКУД КА л. 3</t>
  </si>
  <si>
    <t>Модуль доступа-контроллер доступа STR-1AP-M на 2 точки</t>
  </si>
  <si>
    <t>ООО «ТД РЕДУТ СБ»</t>
  </si>
  <si>
    <t>https://www.redutsb.ru/product/rubegh-str20-ip-269652/</t>
  </si>
  <si>
    <t>https://www.aktivsb.ru/prod-61705.html</t>
  </si>
  <si>
    <t>https://satro-paladin.com/catalog/product/178882/?ysclid=mi7cf9zipb934816772</t>
  </si>
  <si>
    <t>02-01-15 СКУД КА л. 2</t>
  </si>
  <si>
    <t>Сетевой контроллер доступа "STR20-IP" до 8 точек, встроенное ПО</t>
  </si>
  <si>
    <t>Система контроля и управления доступом</t>
  </si>
  <si>
    <t>02-01-15</t>
  </si>
  <si>
    <t>https://www.promelec.ru/product/1033380/</t>
  </si>
  <si>
    <t>https://videoglaz.ru/kabeli-ethernet/paritet/paritet-parlan-u-utp-cat5e-pvcls-ng-a-lsltx-4h2h052-305m</t>
  </si>
  <si>
    <t>https://electro-materiali.ru/catalog/kabel-provod/kabel-vitaya-para/182059/</t>
  </si>
  <si>
    <t xml:space="preserve">
9718138562</t>
  </si>
  <si>
    <t>ООО «ЛИДЕР ГРУПП»</t>
  </si>
  <si>
    <t>02-01-16  СОС  КА,  скрины (Листы 32-33)</t>
  </si>
  <si>
    <t>Кабель витая пара UTP Cat5e PVCLS 4х2х0,52нг(A)- LSLTx</t>
  </si>
  <si>
    <t>27.32.14.110</t>
  </si>
  <si>
    <t>https://luis.ru/p/1493154?ysclid=mi8wm650kc179496403</t>
  </si>
  <si>
    <t>5040079849</t>
  </si>
  <si>
    <t>ООО "Луис+"</t>
  </si>
  <si>
    <t>https://hikvision24.ru/kabel-dlya-videonabludeniya/parlan-uutp-cat5e-pvcls-nga-lsltx-1kh2kh052/</t>
  </si>
  <si>
    <t>7107133430</t>
  </si>
  <si>
    <t>ООО "КипСистемс"</t>
  </si>
  <si>
    <t>https://paritet.su/catalog/cat5e_u_utp_1/parlan_u_utp_cat5e_pvcls_ng_a_lsltx_1kh2kh0_52_500m/?ysclid=mi8wm1xkv4834177018</t>
  </si>
  <si>
    <t>02-01-16  СОС  КА,  скрины (Листы 31-32)</t>
  </si>
  <si>
    <t>Кабель витая пара UTP Cat5e PVCLS 1х2х0,52нг(A)- LSLTx</t>
  </si>
  <si>
    <t>https://svetelektro.net/cable-wire/2778699-paritet.html</t>
  </si>
  <si>
    <t>https://videoglaz.ru/kabel-ohranno-pozharnyy/paritet/paritet-ksvvng-a-lsltx-1h2h08-200m-1?ysclid=mi8w7alc2530652152</t>
  </si>
  <si>
    <t>https://benitex.ru/products/good/42410/?ysclid=mi8w70tkp042824701</t>
  </si>
  <si>
    <t>7718277072</t>
  </si>
  <si>
    <t>ООО «БИТ»</t>
  </si>
  <si>
    <t>02-01-16  СОС  КА,  скрины (Листы 29-30)</t>
  </si>
  <si>
    <t>Кавбель КСВВнг(А)-LSLTx 1x2x0,8</t>
  </si>
  <si>
    <t>27.32.13.141</t>
  </si>
  <si>
    <t>https://atlastpk.ru/catalog/loutoks-20ng-a-frlsltx/loutoks-20ng-a-frlsltx-1kh2kh0-5-spetskabel/?ysclid=mi8vz9n6at119730538</t>
  </si>
  <si>
    <t>https://g-kabel.ru/catalog/kabeli/kabel-loutoks-20ng-a-frlsltx-1kh2kh0-5-spetskabel/?ysclid=mi8vz7zb38504258754</t>
  </si>
  <si>
    <t>9721116921</t>
  </si>
  <si>
    <t>ООО "БК-ГРУПП"</t>
  </si>
  <si>
    <t>https://silovoycable.ru/loutoks-20ng-a-frlsltx-1x2x0.5?ysclid=mi8vz4qgai534710904</t>
  </si>
  <si>
    <t>02-01-16  СОС  КА,  скрины (Листы 28-29)</t>
  </si>
  <si>
    <t>Кабель интерфейса RS-485 Лоутокс 20нг(А)-LSLTx 1x2x0,5</t>
  </si>
  <si>
    <t>https://www.tinko.ru/catalog/product/019048/?ysclid=mi8urr07uk970580412</t>
  </si>
  <si>
    <t>https://secumarket.ru/product/opoveshchatel-svetovoy-elektrotehnika-i-avtomatika-mayak-12-s-2201</t>
  </si>
  <si>
    <t> 6453073463</t>
  </si>
  <si>
    <t>https://www.chipdip.ru/product/mayak-12-s-svetovoy-opoveschatel-8745685824</t>
  </si>
  <si>
    <t>02-01-16  СОС  КА,  скрины (Листы 27-28)</t>
  </si>
  <si>
    <t>Световой оповещатель "Маяк-12-С"</t>
  </si>
  <si>
    <t>27.90.20.120</t>
  </si>
  <si>
    <t>https://teko-shop.ru/catalog/ops/izveshchateli_kontaktnye/trevozhnye_knopki/astra_321/?utm_source=yandex.ru&amp;utm_campaing=tvrn_all&amp;utm_term=---autotargeting&amp;utm_region_name=Москва&amp;utm_medium=%7Bmedium%7D&amp;etext=&amp;yclid=4698943801666568191&amp;ybaip=1</t>
  </si>
  <si>
    <t>1657029505</t>
  </si>
  <si>
    <t>ЗАО НТЦ «ТЕКО»</t>
  </si>
  <si>
    <t>https://www.tinko.ru/catalog/product/001041/?ysclid=mi8un78j8f122553482</t>
  </si>
  <si>
    <t>https://satro-paladin.com/catalog/product/6562/?ysclid=mi8un4pn3t809162660</t>
  </si>
  <si>
    <t>02-01-16  СОС  КА,  скрины (Листы 25-26)</t>
  </si>
  <si>
    <t>Извещатель охранный ручной точечный электроконтактный Астра-321 (ИО 101-7)</t>
  </si>
  <si>
    <t>36.30.50.111</t>
  </si>
  <si>
    <t>https://pek24.ru/k_metka_adresnaya_pozharnaya_am_4_r3_rubezh_rbz_337644/</t>
  </si>
  <si>
    <t>https://satro-paladin.com/catalog/product/93921/?utm_source=InHouse-yandex&amp;utm_medium=cpc&amp;utm_campaign=eLama%20%7C%20Товарная%20%7C%20Все%20категории%20%7C%20Оплата%20за%20клики%20%7C%20РФ&amp;utm_content=cid%7C116808275%7Cgid%7C5523346548%7Caid%7C16818539462%7Cadp%7Cno%7Cdvc%7Cdesktop%7Cpid%7C53953368071%7Crid%7C53953368071%7Cdid%7C53953368071%7Cpos%7Cdynamic_places1%7Cadn%7Csearch%7Ccrid%7C0%7C&amp;utm_term=---autotargeting&amp;etext=&amp;yclid=6673009652102594559&amp;ybaip=1</t>
  </si>
  <si>
    <t>https://videoglaz.ru/ops-rubezh/rubezh/rubezh-am-4-r3?ysclid=mi8uag39s3362363572</t>
  </si>
  <si>
    <t>02-01-16  СОС  КА,  скрины (Листы 24-25)</t>
  </si>
  <si>
    <t>Адресная метка, 4 шлейфа АМ-4-R3</t>
  </si>
  <si>
    <t>26.30.50.113</t>
  </si>
  <si>
    <t>https://satro-paladin.com/catalog/product/93910/?utm_source=InHouse-yandex&amp;utm_medium=cpc&amp;utm_campaign=eLama%20%7C%20Товарная%20%7C%20Все%20категории%20%7C%20Оплата%20за%20клики%20%7C%20РФ&amp;utm_content=cid%7C116808275%7Cgid%7C5523346548%7Caid%7C16818539462%7Cadp%7Cno%7Cdvc%7Cdesktop%7Cpid%7C53953368071%7Crid%7C53953368071%7Cdid%7C53953368071%7Cpos%7Cdynamic_places1%7Cadn%7Csearch%7Ccrid%7C0%7C&amp;utm_term=---autotargeting&amp;etext=&amp;yclid=6728475943226310655&amp;ybaip=1</t>
  </si>
  <si>
    <t>https://www.chipdip.ru/product/izveschatel-ohrannyy-magnitoupravlyaemyy-adresnyy-io-rubezh-8031039214</t>
  </si>
  <si>
    <t>https://videoglaz.ru/izveschateli-magnitokontaktnye/rubezh/rubezh-io-10220-2-prot-r3?ysclid=mi8u7h7ajb563788756</t>
  </si>
  <si>
    <t>02-01-16  СОС  КА,  скрины (Листы 22-23)</t>
  </si>
  <si>
    <t>Извещатель охранный магнитноуправляемый адресный ИО 10220-2</t>
  </si>
  <si>
    <t>26.30.50.111</t>
  </si>
  <si>
    <t>https://www.chipdip.ru/product/izveschatel-ohrannyy-poverhnostnyy-zvukovoy-adresnyy-rubezh-8031039213</t>
  </si>
  <si>
    <t>https://pek24.ru/k_izveshchatel_okhrannyy_poverkhnostnyy_zvukovoy_adresnyy_io_32920_2_akusticheskiy_razbitie_stekla_rub/</t>
  </si>
  <si>
    <t>https://satro-paladin.com/catalog/product/93912/?ysclid=mi8u4fyfdh233816893</t>
  </si>
  <si>
    <t>02-01-16  СОС  КА,  скрины (Листы 21-22)</t>
  </si>
  <si>
    <t>Извещатель охранный поверхностный звуковой адресный ИО 32920-2</t>
  </si>
  <si>
    <t>https://satro-paladin.com/catalog/product/93911/?utm_source=InHouse-yandex&amp;utm_medium=cpc&amp;utm_campaign=eLama%20%7C%20Товарная%20%7C%20Все%20категории%20%7C%20Оплата%20за%20клики%20%7C%20РФ&amp;utm_content=cid%7C116808275%7Cgid%7C5523346548%7Caid%7C16818539462%7Cadp%7Cno%7Cdvc%7Cdesktop%7Cpid%7C53953368071%7Crid%7C53953368071%7Cdid%7C53953368071%7Cpos%7Cdynamic_places3%7Cadn%7Csearch%7Ccrid%7C0%7C&amp;utm_term=---autotargeting&amp;etext=&amp;yclid=1174360474734297087&amp;ybaip=1</t>
  </si>
  <si>
    <t>https://videoglaz.ru/izveschateli-optiko-elektronnye-passivnye/rubezh/rubezh-io-40920-2-prot-r3?ysclid=mi8u1t66bz966238668</t>
  </si>
  <si>
    <t>https://www.aktivsb.ru/prod-45691.html</t>
  </si>
  <si>
    <t>02-01-16  СОС  КА,  скрины (Листы 19-20)</t>
  </si>
  <si>
    <t>Извещатель охранный объемный оптико-электронный адресный ИО 40920-2</t>
  </si>
  <si>
    <t>https://videoglaz.ru/ops-rubezh/rubezh/rubezh-iz-1-r3?ysclid=mi8tgohxv522748226</t>
  </si>
  <si>
    <t>https://satro-paladin.com/catalog/product/105552/?utm_source=InHouse-yandex&amp;utm_medium=cpc&amp;utm_campaign=eLama%20%7C%20Товарная%20%7C%20Все%20категории%20%7C%20Оплата%20за%20клики%20%7C%20РФ&amp;utm_content=cid%7C116808275%7Cgid%7C5523346548%7Caid%7C16721266298%7Cadp%7Cno%7Cdvc%7Cdesktop%7Cpid%7C53953368071%7Crid%7C53953368071%7Cdid%7C53953368071%7Cpos%7Cdynamic_places4%7Cadn%7Csearch%7Ccrid%7C0%7C&amp;utm_term=---autotargeting&amp;etext=&amp;yclid=4246371013145919487&amp;ybaip=1</t>
  </si>
  <si>
    <t>https://tinko-sb.ru/products/iz-1-prot-r3-223086/?etext=&amp;yclid=15862682840135630847&amp;ybaip=1</t>
  </si>
  <si>
    <t>7723916937</t>
  </si>
  <si>
    <t>ООО «ТИНКО-СБ»</t>
  </si>
  <si>
    <t>02-01-16  СОС  КА,  скрины (Листы 18-19)</t>
  </si>
  <si>
    <t>Изолятор шлейфа ИЗ-1 прот. R3</t>
  </si>
  <si>
    <t>https://incom-elektro.ru/p-modul-releynyy-rm-1-r3-rubezh-rbz-337646/?ysclid=mi8tdv96wb456889562</t>
  </si>
  <si>
    <t>ООО "Инком-Электро+"</t>
  </si>
  <si>
    <t>https://satro-paladin.com/catalog/product/93926/?utm_source=InHouse-yandex&amp;utm_medium=cpc&amp;utm_campaign=eLama%20%7C%20Товарная%20%7C%20Все%20категории%20%7C%20Оплата%20за%20клики%20%7C%20РФ&amp;utm_content=cid%7C116808275%7Cgid%7C5523346548%7Caid%7C16721266298%7Cadp%7Cno%7Cdvc%7Cdesktop%7Cpid%7C53953368071%7Crid%7C53953368071%7Cdid%7C53953368071%7Cpos%7Cdynamic_places5%7Cadn%7Csearch%7Ccrid%7C0%7C&amp;utm_term=---autotargeting&amp;etext=&amp;yclid=3100997809136730111&amp;ybaip=1</t>
  </si>
  <si>
    <t>https://pek24.ru/k_modul_releynyy_rm_1_r3_rubezh_rbz_337646/</t>
  </si>
  <si>
    <t>02-01-16  СОС  КА,  скрины (Листы 16-17)</t>
  </si>
  <si>
    <t>Адресный релейный модуль РМ-1-R3 Рубеж</t>
  </si>
  <si>
    <t>26.30.50.122</t>
  </si>
  <si>
    <t>https://teko-shop.ru/catalog/ups/akb_battery/akb/akkumulyator_delta_1207_dtm/?utm_source=yandex.ru&amp;utm_medium=organic&amp;utm_campaign=yandex.ru&amp;utm_referrer=yandex.ru</t>
  </si>
  <si>
    <t>https://www.chipdip.ru/product/dtm-1207-akkumulyator-svintsovyy-12v-7ach-exegate-9000957335?utm_source=direct&amp;utm_medium=cpc&amp;utm_campaign=Y_dinamicheskaya&amp;utm_content=text1_ya&amp;utm_term=---autotargeting&amp;position_type=dynamic_places&amp;etext=&amp;yclid=18128543897293422591&amp;ybaip=1</t>
  </si>
  <si>
    <t>https://satro-paladin.com/catalog/product/15277/?ysclid=mi8t2g4sz5941848794</t>
  </si>
  <si>
    <t>02-01-16  СОС  КА,  скрины (Листы 15-16)</t>
  </si>
  <si>
    <t>Аккумултор 12В 7Ач DTM 1207</t>
  </si>
  <si>
    <t>27.20.21.000</t>
  </si>
  <si>
    <t>https://satro-paladin.com/catalog/product/93972/?utm_source=InHouse-yandex&amp;utm_medium=cpc&amp;utm_campaign=eLama%20%7C%20Товарная%20%7C%20Все%20категории%20%7C%20Оплата%20за%20клики%20%7C%20РФ&amp;utm_content=cid%7C116808275%7Cgid%7C5523346548%7Caid%7C16818539462%7Cadp%7Cno%7Cdvc%7Cdesktop%7Cpid%7C53953368071%7Crid%7C53953368071%7Cdid%7C53953368071%7Cpos%7Cdynamic_places3%7Cadn%7Csearch%7Ccrid%7C0%7C&amp;utm_term=---autotargeting&amp;etext=&amp;yclid=2813393611068276735&amp;ybaip=1</t>
  </si>
  <si>
    <t>https://pro-tek.pro/catalog/ivepr-12-2-rs-r3-2h12-br.html?ysclid=mi8sz2rabm796274039</t>
  </si>
  <si>
    <t>https://pek24.ru/k_istochnik_vtorichnogo_elektropitaniya_rezervirovannyy_adresnyy_ivepr_12_2_rs_r3_isp_2kh12_br_rubezh_rbz_216597/</t>
  </si>
  <si>
    <t>02-01-16  СОС  КА,  скрины (Листы 14-15)</t>
  </si>
  <si>
    <t>Блок питания, 12В, 2А ИВЭПР 12/2 RS-R3</t>
  </si>
  <si>
    <t>https://www.chipdip.ru/product/pritok-a-kop-01-isp-1-ustroystvo-okonechnoe-sokrat-8044033656</t>
  </si>
  <si>
    <t>https://www.sokrat.ru/catalog/385/5239/?ysclid=mi8s6rtiaj630137444</t>
  </si>
  <si>
    <t>3808021624</t>
  </si>
  <si>
    <t>ООО "Охранное бюро "СОКРАТ"</t>
  </si>
  <si>
    <t>https://videoglaz.ru/spi-pritok-a/sokrat/sokrat-pritok-a-kop-01-isp-1-bez-modema-gsm-1?ysclid=mi8s6qglyr914651949</t>
  </si>
  <si>
    <t>02-01-16  СОС  КА,  скрины (Листы 12-13)</t>
  </si>
  <si>
    <t>Устройство оконечное объектовое Приток-А КОП-1 исп.1</t>
  </si>
  <si>
    <t>https://videoglaz.ru/ops-rubezh/rubezh/r3-rubezh-biu?ysclid=mi8s3rwpff478131559</t>
  </si>
  <si>
    <t>https://www.aktivsb.ru/prod-35357.html</t>
  </si>
  <si>
    <t>https://техключи.рф/catalog/okhranno-pozharnye-signalizats/priemno-kontrolnye-pribory/blok-indikatsii-i-upravleniya-rubezh-r3-rubezh-biu/?ysclid=mi8s3eo2q25856932</t>
  </si>
  <si>
    <t>02-01-16  СОС  КА,  скрины (Листы 11-12)</t>
  </si>
  <si>
    <t>Блок индикации и управления Рубеж-БИУ</t>
  </si>
  <si>
    <t>https://техключи.рф/catalog/okhranno-pozharnye-signalizats/ispolnitelnye-moduli/modul-sopryazheniya-rubezh-ms-e/?ysclid=mi8rspee90536692410</t>
  </si>
  <si>
    <t>https://secumarket.ru/product/modul-sopryazheniya-ms-e-rubezh-72708</t>
  </si>
  <si>
    <t>https://www.aktivsb.ru/prod-35328.html</t>
  </si>
  <si>
    <t>02-01-16  СОС  КА,  скрины (Листы 9-10)</t>
  </si>
  <si>
    <t>Модуль сопряжения МС-Е</t>
  </si>
  <si>
    <t>https://техключи.рф/catalog/okhranno-pozharnye-signalizats/priemno-kontrolnye-pribory/pribor-priemno-kontrolnyy-rubezh-rubezh-2op-prot-r3/?ysclid=mi8rm54u9b717790154</t>
  </si>
  <si>
    <t>https://videoglaz.ru/ops-rubezh/rubezh/ppkop-011249-2-1-rubezh-2op-prot-r3?ysclid=mi8rk0syeb994784557</t>
  </si>
  <si>
    <t>https://www.aktivsb.ru/prod-35339.html?utm_campaign=rubezh&amp;etext=&amp;yclid=6181403912451129343&amp;ybaip=1</t>
  </si>
  <si>
    <t>02-01-16  СОС  КА,  скрины (Листы 8-9)</t>
  </si>
  <si>
    <t>Прибор приемно-контрольный и управленя Рубеж-20П прот. R3</t>
  </si>
  <si>
    <t>https://www.chipdip.ru/product/istochnik-bespereboynogo-pitaniya-ippon-back-basic-8007109123</t>
  </si>
  <si>
    <t>https://videoglaz.ru/istochniki-bespereboynogo-pitaniya-220v/ippon/ippon-back-basic-1050s-euro-1373878</t>
  </si>
  <si>
    <t>https://www.tinko.ru/catalog/product/303588/?ysclid=mi8qt8igeq849333485</t>
  </si>
  <si>
    <t>02-01-16  СОС  КА,  скрины (Листы 6-7)</t>
  </si>
  <si>
    <t>Источник бесперебойного питания, 600Вт Back Basic 1050S Euro</t>
  </si>
  <si>
    <t>https://windoorgate.ru/product/red-soft-red-os-liczenziya-na-pravo-ispolzovaniya-standartnaya-redakcziya-uroven-garantii-bazovyj-1-god-speczialnaya-redakcziya-konfiguracziya-rabochaya-stancziya-bazovyj-redos-dsp-std-bas-vdi/?ysclid=mhsuy8w4wp362821615</t>
  </si>
  <si>
    <t>5235007980</t>
  </si>
  <si>
    <t>ООО «ВИНДОРГЕЙТ»</t>
  </si>
  <si>
    <t>https://cit-solution.ru/market/goods/redos_dsp_std_bas_vdi_rabochaya_stantsiya_spetsialnaya_redaktsiya_bazovaya_garantiya_1_god/?ysclid=mhsusmercy701444360</t>
  </si>
  <si>
    <t>7730269423</t>
  </si>
  <si>
    <t>Компания АЙТИЭНТИ</t>
  </si>
  <si>
    <t>https://likesoft24.com/product/REDOS-DSP-STD-BAS-VDI/#</t>
  </si>
  <si>
    <t xml:space="preserve">ООО "ЛАЙКСОФТ" </t>
  </si>
  <si>
    <t>02-01-16  СОС  КА,  скрины (Листы 5-6)</t>
  </si>
  <si>
    <t>Операционная система REDOS-DSP-STD-BAS-VDI</t>
  </si>
  <si>
    <t>58.29.11.000</t>
  </si>
  <si>
    <t>https://etpgpb.ru/portal/catalog/products/2137062-kompyuter-personalnyy-depo-peresvet-110d11-g5400-8gddr4-ssd240g-kbu/?ysclid=lxssh5v0fk499445650</t>
  </si>
  <si>
    <t>7724514910</t>
  </si>
  <si>
    <t>ООО "ЭТБ ГПБ"</t>
  </si>
  <si>
    <t>https://evisb.ru/product/arm-depo-peresvet-110s11?ysclid=mhosx4stbl867314707</t>
  </si>
  <si>
    <t>4632253525</t>
  </si>
  <si>
    <t>ООО "ЭВИ СБ"</t>
  </si>
  <si>
    <t>https://k-integration.ru/product/avtomatizirovannoe-rabochee-mesto-depo-peresvet-110hhh-produkcija-izgotovlena-po-dacn-466219-021-tu/?ysclid=mi8mw7ycrr125857225</t>
  </si>
  <si>
    <t>7731372261</t>
  </si>
  <si>
    <t>ООО "К-ИНТЕГРАЦИЯ"</t>
  </si>
  <si>
    <t>02-01-16  СОС  КА,  скрины (Листы 3-4)</t>
  </si>
  <si>
    <t>Компьютер персональный АРМ DEPO ПЕРЕСВЕТ 110D11 (системный блок, монитор 21,5", клавиатура, мышь)</t>
  </si>
  <si>
    <t>26.20.12.000</t>
  </si>
  <si>
    <t>02-01-16 СОС</t>
  </si>
  <si>
    <t>ООО "АнЛан"</t>
  </si>
  <si>
    <t>Том СДС КА, скрины л. 13</t>
  </si>
  <si>
    <t>Кабель КСПЭнг(А)-LSLTx 2х2х0,5 мм</t>
  </si>
  <si>
    <t>Том СДС КА, скрины л. 12</t>
  </si>
  <si>
    <t>Кабель КИС-РВнг(А)-LSLTx 2х2х0,64 мм</t>
  </si>
  <si>
    <t>Том СДС КА, скрины л. 11</t>
  </si>
  <si>
    <t>Кабель КИС-РВнг(А)-LSLTx 4х2х0,64 мм</t>
  </si>
  <si>
    <t>Том СДС КА, скрины л. 10</t>
  </si>
  <si>
    <t>Устройство вызов/сброс Тромбон-ВС-С</t>
  </si>
  <si>
    <t>26.30.23.143</t>
  </si>
  <si>
    <t>Том СДС КА, скрины л. 9</t>
  </si>
  <si>
    <t>Светозвуковое табло Тромбон ИСТ</t>
  </si>
  <si>
    <t>Том СДС КА, скрины л. 8</t>
  </si>
  <si>
    <t>Абонентское вызывное устройство Тромбон АВУ</t>
  </si>
  <si>
    <t>АО «ТД ЭЛЕКТРОТЕХМОНТАЖ»</t>
  </si>
  <si>
    <t>Том СДС КА, скрины л. 7</t>
  </si>
  <si>
    <t>Пульт диспетчера Тромбон ПД</t>
  </si>
  <si>
    <t>Том СДС КА, скрины л. 6</t>
  </si>
  <si>
    <t>Локальный блок связи Тромбон ЛБС</t>
  </si>
  <si>
    <t>Том СДС КА, скрины л. 5</t>
  </si>
  <si>
    <t>Кабель U/UTP Cat5e PVCLSнг(А)-LSLTx 2х2х0,52 мм</t>
  </si>
  <si>
    <t>ООО «ТД ИНТЕМС»</t>
  </si>
  <si>
    <t>ООО "Всёоборудование.Ру"</t>
  </si>
  <si>
    <t>Том СДС КА, скрины л. 4</t>
  </si>
  <si>
    <t>Стойка для вызывной панели AR-GO STS-03</t>
  </si>
  <si>
    <t>Том СДС КА, скрины л. 3</t>
  </si>
  <si>
    <t>Вызывная панель Activision AVC-305</t>
  </si>
  <si>
    <t>ИП ТРИФОНОВА ЛЮБОВЬ ВЛАДИМИРОВНА</t>
  </si>
  <si>
    <t>ООО "Редан-Гвард"</t>
  </si>
  <si>
    <t>Том СДС КА, скрины л. 2</t>
  </si>
  <si>
    <t>Монитор видеодомофона Модус-Н Vizit-M406</t>
  </si>
  <si>
    <t>02-01-17 СДС</t>
  </si>
  <si>
    <t xml:space="preserve">                                                                                                                                                                                                                  </t>
  </si>
  <si>
    <r>
      <t xml:space="preserve">                                                                                                                                                                                                                                 </t>
    </r>
    <r>
      <rPr>
        <u/>
        <sz val="12"/>
        <color rgb="FF000000"/>
        <rFont val="Times New Roman"/>
        <family val="1"/>
        <charset val="204"/>
      </rPr>
      <t>К.Н. Сухов</t>
    </r>
    <r>
      <rPr>
        <sz val="12"/>
        <color rgb="FF000000"/>
        <rFont val="Times New Roman"/>
        <family val="1"/>
        <charset val="204"/>
      </rPr>
      <t xml:space="preserve">                      </t>
    </r>
  </si>
  <si>
    <t>ИНН 7722786153</t>
  </si>
  <si>
    <t>ИНН 6454004102</t>
  </si>
  <si>
    <t>ИНН 7842224734</t>
  </si>
  <si>
    <t>АО «ТД ЭЛЕКТРОТЕХМОНТАЖ»</t>
  </si>
  <si>
    <t>Том 02-01-18 АДИС КА скрины л.38-39</t>
  </si>
  <si>
    <t>Переключатель LAY5-BD33 на 3 полож. LAY5-BD33</t>
  </si>
  <si>
    <t>27.33.11.110</t>
  </si>
  <si>
    <t>КА №52</t>
  </si>
  <si>
    <t>ИНН 7726596322</t>
  </si>
  <si>
    <t>ООО «ЛАНТА-КЛИМАТ»</t>
  </si>
  <si>
    <t>ИНН 9721203839</t>
  </si>
  <si>
    <t xml:space="preserve"> ООО "ЭЛЕКТРОКОМ"</t>
  </si>
  <si>
    <t>Том 02-01-18 АДИС КА скрины л.36-37</t>
  </si>
  <si>
    <t>Контроллер Matrix-2230-70-4 Segnetics</t>
  </si>
  <si>
    <t>27.33.13.161</t>
  </si>
  <si>
    <t>КА №51</t>
  </si>
  <si>
    <t>ИНН 3525394791</t>
  </si>
  <si>
    <t>Компания ООО «Электротехснаб»</t>
  </si>
  <si>
    <t>ИНН 7715215141</t>
  </si>
  <si>
    <t>«МФК ТЕХЭНЕРГО»</t>
  </si>
  <si>
    <t>Том 02-01-18 АДИС КА скрины л.34-35</t>
  </si>
  <si>
    <t>Блок навесной КМПн 2/2</t>
  </si>
  <si>
    <t>КА №50</t>
  </si>
  <si>
    <t>Том 02-01-18 АДИС КА скрины л.40-96</t>
  </si>
  <si>
    <t>Регулятор скорости STY-1,5</t>
  </si>
  <si>
    <t>26.51.70.190</t>
  </si>
  <si>
    <t>КА №49</t>
  </si>
  <si>
    <t>Комплект частотного преобразователя 0,75 кВт</t>
  </si>
  <si>
    <t>27.11.32.130</t>
  </si>
  <si>
    <t>КА №48</t>
  </si>
  <si>
    <t xml:space="preserve"> Комплект частотного преобразователя 2,2 кВт </t>
  </si>
  <si>
    <t>КА №47</t>
  </si>
  <si>
    <t xml:space="preserve"> Комплект частотного преобразователя 5,5 кВт </t>
  </si>
  <si>
    <t>КА №46</t>
  </si>
  <si>
    <t xml:space="preserve"> Комплект частотного преобразователя 1,5 кВт </t>
  </si>
  <si>
    <t>КА №45</t>
  </si>
  <si>
    <t xml:space="preserve">Комплект частотного преобразователя 4 кВт </t>
  </si>
  <si>
    <t>КА №44</t>
  </si>
  <si>
    <t>Блок управления ACW ZE-11</t>
  </si>
  <si>
    <t>КА №43</t>
  </si>
  <si>
    <t>Блок управления ACE ZE-E3</t>
  </si>
  <si>
    <t>КА №42</t>
  </si>
  <si>
    <t>Блок управления ACW ZE-1R0 ED</t>
  </si>
  <si>
    <t>КА №41</t>
  </si>
  <si>
    <t>Блок управления ACW ZE-3R0 1H25</t>
  </si>
  <si>
    <t>КА №40</t>
  </si>
  <si>
    <t>Блок управления ACW ZE-10</t>
  </si>
  <si>
    <t>КА №39</t>
  </si>
  <si>
    <t>Блок управления ACW ZE-1R0</t>
  </si>
  <si>
    <t>КА №38</t>
  </si>
  <si>
    <t>Блок управления ACW ZE-3R0</t>
  </si>
  <si>
    <t>КА №37</t>
  </si>
  <si>
    <t>Привод PFS 05/230.DT</t>
  </si>
  <si>
    <t>28.12.16.000</t>
  </si>
  <si>
    <t>КА №36</t>
  </si>
  <si>
    <t>Привод PFF 10/230.D</t>
  </si>
  <si>
    <t>КА №35</t>
  </si>
  <si>
    <t>Привод ELVA 05/24.M</t>
  </si>
  <si>
    <t>КА №34</t>
  </si>
  <si>
    <t xml:space="preserve">Привод PFF 03/230.D </t>
  </si>
  <si>
    <t>КА №33</t>
  </si>
  <si>
    <t>Привод PDF 05/230.D</t>
  </si>
  <si>
    <t>КА №32</t>
  </si>
  <si>
    <t>Датчик перепада давления 200 Pa DVL-200</t>
  </si>
  <si>
    <t>26.51.51.160</t>
  </si>
  <si>
    <t>КА №31</t>
  </si>
  <si>
    <t>Датчик перепада давления 500 Pa DVL-500</t>
  </si>
  <si>
    <t>КА №30</t>
  </si>
  <si>
    <t>Датчик температуры воды накладной WTN-3</t>
  </si>
  <si>
    <t>КА №29</t>
  </si>
  <si>
    <t>Датчик температуры воды погружной WTP-3</t>
  </si>
  <si>
    <t>КА №28</t>
  </si>
  <si>
    <t>Датчик температуры наружного воздуха ARN-3</t>
  </si>
  <si>
    <t>КА №27</t>
  </si>
  <si>
    <t>Датчик температуры канальный ARK-3S</t>
  </si>
  <si>
    <t>КА №26</t>
  </si>
  <si>
    <t>Датчик температуры канальный ARK-3</t>
  </si>
  <si>
    <t>КА №25</t>
  </si>
  <si>
    <t>Термостат 6м КР61</t>
  </si>
  <si>
    <t>26.51.70.110</t>
  </si>
  <si>
    <t>КА №24</t>
  </si>
  <si>
    <t>Термостат 3м КР61</t>
  </si>
  <si>
    <t>КА №23</t>
  </si>
  <si>
    <t>Термостат 1м КР61</t>
  </si>
  <si>
    <t>КА №22</t>
  </si>
  <si>
    <t>ИНН 7712024149</t>
  </si>
  <si>
    <t>ООО "ДЕАН"</t>
  </si>
  <si>
    <t>ИНН 2221217421</t>
  </si>
  <si>
    <t>ООО «Системы видеонаблюдения»</t>
  </si>
  <si>
    <t>ИНН 5032232155</t>
  </si>
  <si>
    <t>Том 02-01-18 АДИС КА скрины л.33-34</t>
  </si>
  <si>
    <t xml:space="preserve">Кабель КПСнг(А)-FRLSLTx 2х2x0.75 </t>
  </si>
  <si>
    <t>27.32.13.111</t>
  </si>
  <si>
    <t>ИНН 9721058155</t>
  </si>
  <si>
    <t>Том 02-01-18 АДИС КА скрины л.31-32</t>
  </si>
  <si>
    <t>Шкаф управления вентилятором ШУВ-15-00-R3</t>
  </si>
  <si>
    <t>Том 02-01-18 АДИС КА скрины л.30-31</t>
  </si>
  <si>
    <t>Шкаф управления вентилятором ШУВ-11-00-R3</t>
  </si>
  <si>
    <t>ИНН 7719840097</t>
  </si>
  <si>
    <t>Том 02-01-18 АДИС КА скрины л.28-29</t>
  </si>
  <si>
    <t>Шкаф управления вентилятором ШУВ-22-00-R3</t>
  </si>
  <si>
    <t>ИНН 2723133221</t>
  </si>
  <si>
    <t>ООО «Торговый Дом Планета Безопасности»</t>
  </si>
  <si>
    <t>Том 02-01-18 АДИС КА скрины л.27-28</t>
  </si>
  <si>
    <t>Шкаф управления вентилятором ШУВ-5.5-00-R3</t>
  </si>
  <si>
    <t>Том 02-01-18 АДИС КА скрины л.25-26</t>
  </si>
  <si>
    <t>Шкаф управления вентилятором ШУВ-3-00-R3</t>
  </si>
  <si>
    <t>Том 02-01-18 АДИС КА скрины л.24-25</t>
  </si>
  <si>
    <t xml:space="preserve">Источник вторичного электропитания резервирован-ный ИВЭПР 24/2,5 RS-R3 </t>
  </si>
  <si>
    <t>ИНН 7723916937</t>
  </si>
  <si>
    <t>Том 02-01-18 АДИС КА скрины л.22-23</t>
  </si>
  <si>
    <t>Модуль релейный РМ-4 прот.R3 РМ-4-R3</t>
  </si>
  <si>
    <t>26.30.50.129</t>
  </si>
  <si>
    <t>Том 02-01-18 АДИС КА скрины л.21-22</t>
  </si>
  <si>
    <t>Модуль релейный РМ-1К прот.R3 РМ-1К-R3</t>
  </si>
  <si>
    <t>Том 02-01-18 АДИС КА скрины л.19-20</t>
  </si>
  <si>
    <t>Модуль управления клапаном МДУ-1С прот.R3 МДУ-1С-R3</t>
  </si>
  <si>
    <t>26.30.50.152</t>
  </si>
  <si>
    <t>Том 02-01-18 АДИС КА скрины л.18-19</t>
  </si>
  <si>
    <t>Прибор приемно-контрольный и управления охранно-пожарный R3-Рубеж-2ОП</t>
  </si>
  <si>
    <t>ИНН 9710008385</t>
  </si>
  <si>
    <t>ООО «Электропоставщик»</t>
  </si>
  <si>
    <t>ИНН 7805687445</t>
  </si>
  <si>
    <t>ООО «Новакабель»</t>
  </si>
  <si>
    <t>ИНН 1327035444</t>
  </si>
  <si>
    <t>ООО «Рукабель»</t>
  </si>
  <si>
    <t>Том 02-01-18 АДИС КА скрины л.16-17</t>
  </si>
  <si>
    <t>Кабель КПСнг(A)-LSLTx 1х2х0,75</t>
  </si>
  <si>
    <t>ИНН 6670329218</t>
  </si>
  <si>
    <t>ООО «ОС «АльфаСнаб»</t>
  </si>
  <si>
    <t>ИНН  7743885444</t>
  </si>
  <si>
    <t>ООО "Эллевин"</t>
  </si>
  <si>
    <t>ИНН 7727178536</t>
  </si>
  <si>
    <t>ООО "ПРИБОРЫ И АВТОМАТИКА"</t>
  </si>
  <si>
    <t>Том 02-01-18 АДИС КА скрины л.15-16</t>
  </si>
  <si>
    <t>Датчик-реле уровня РОС301</t>
  </si>
  <si>
    <t>26.51.52.110</t>
  </si>
  <si>
    <t>Том 02-01-18 АДИС КА скрины л.13-14</t>
  </si>
  <si>
    <t>Кабель КПСЭнг(A)-LSLTx 1х2х0,75</t>
  </si>
  <si>
    <t>ИНН 7804628380</t>
  </si>
  <si>
    <t>ИНН 5029242996</t>
  </si>
  <si>
    <t xml:space="preserve">ООО «ЭТАЛОНПРИБОР» </t>
  </si>
  <si>
    <t>ИНН 5029244062</t>
  </si>
  <si>
    <t xml:space="preserve">ООО «МЕРАТЕСТ» </t>
  </si>
  <si>
    <t>Том 02-01-18 АДИС КА скрины л.12-13</t>
  </si>
  <si>
    <t>OPC-сервер на одно рабочее место на 2500 точек. Universal Master OPC Server</t>
  </si>
  <si>
    <t>ИНН 7709506689</t>
  </si>
  <si>
    <t>ООО "Компания "База Электроники"</t>
  </si>
  <si>
    <t>ИНН 7722127111</t>
  </si>
  <si>
    <t>ООО "ОВЕН"</t>
  </si>
  <si>
    <t>ИНН 7734682230</t>
  </si>
  <si>
    <t xml:space="preserve">ООО «ИнСАТ» </t>
  </si>
  <si>
    <t>Том 02-01-18 АДИС КА скрины л.10-11</t>
  </si>
  <si>
    <t xml:space="preserve">Исполнительная SCADA-система на 1000
внешних точек ввода-вывода MPS-MSRT4D-1K-S
</t>
  </si>
  <si>
    <t xml:space="preserve"> ИНН 9725036498</t>
  </si>
  <si>
    <t xml:space="preserve"> ООО "ЦЕНТРЭНЕРГОПРИБОР"</t>
  </si>
  <si>
    <t>ИНН 7727789038</t>
  </si>
  <si>
    <t>Том 02-01-18 АДИС КА скрины л.9-10</t>
  </si>
  <si>
    <t>ИБП SKAT-UPS 1000</t>
  </si>
  <si>
    <t>ИНН 6679123331</t>
  </si>
  <si>
    <t>ООО "ДОСТУПНАЯ АВТОМАТИКА"</t>
  </si>
  <si>
    <t>ИНН 7734707205</t>
  </si>
  <si>
    <t>ООО «Флагман»</t>
  </si>
  <si>
    <t>Том 02-01-18 АДИС КА скрины л.7-8</t>
  </si>
  <si>
    <t>модуль сбора сигналов FMR-2222-10-0 Segnetics</t>
  </si>
  <si>
    <t>ИНН 7721801761</t>
  </si>
  <si>
    <t>ООО «ЭлектроКомплект-Сервис»</t>
  </si>
  <si>
    <t>ИНН  6670356765</t>
  </si>
  <si>
    <t xml:space="preserve">Компания Товарищ Токов </t>
  </si>
  <si>
    <t>Том 02-01-18 АДИС КА скрины л.6-7</t>
  </si>
  <si>
    <t>Контроллер Matrix-2230-70-0 Segnetics</t>
  </si>
  <si>
    <t>ИНН 6673207296</t>
  </si>
  <si>
    <t>ООО "Эксперт-Автоматика"</t>
  </si>
  <si>
    <t>ИНН 7811076476</t>
  </si>
  <si>
    <t>Компания Ниеншанц-Автоматика</t>
  </si>
  <si>
    <t>Том 02-01-18 АДИС КА скрины л.4-5</t>
  </si>
  <si>
    <t>Шлюз tGW-715i Segnetics</t>
  </si>
  <si>
    <t>ИНН 7810508170</t>
  </si>
  <si>
    <t>ИНН 9728025590</t>
  </si>
  <si>
    <t>ООО “ОПТИКОМП”</t>
  </si>
  <si>
    <t>ИНН 183402446309</t>
  </si>
  <si>
    <t xml:space="preserve">Компания TEHPOS </t>
  </si>
  <si>
    <t>Том 02-01-18 АДИС КА скрины л.3-4</t>
  </si>
  <si>
    <t>Моноблок Lenovo V50a-24IMB</t>
  </si>
  <si>
    <t>26.20.11.110</t>
  </si>
  <si>
    <t xml:space="preserve"> 02-01-18 АДИС</t>
  </si>
  <si>
    <t>Капитальный ремонт здания Государственного бюджетного общеобразовательного учреждения города Москвы «Школа № 236», расположенного по адресу: г. Москва, ул. Клязьминская, д. 7, корп.4</t>
  </si>
  <si>
    <r>
      <t xml:space="preserve">                                                                                                                                                   </t>
    </r>
    <r>
      <rPr>
        <u/>
        <sz val="14"/>
        <color rgb="FF000000"/>
        <rFont val="Times New Roman"/>
        <family val="1"/>
        <charset val="204"/>
      </rPr>
      <t>К.Н. Сухов</t>
    </r>
    <r>
      <rPr>
        <sz val="14"/>
        <color rgb="FF000000"/>
        <rFont val="Times New Roman"/>
        <family val="1"/>
        <charset val="204"/>
      </rPr>
      <t xml:space="preserve">
</t>
    </r>
  </si>
  <si>
    <t>ООО "ТельферЛифт"</t>
  </si>
  <si>
    <t>ООО "Арконстрой"</t>
  </si>
  <si>
    <t>ООО «ПОДЪЁМСТАНДАРТ»</t>
  </si>
  <si>
    <t>Том 02-01-19 Вертикальный транспорт КА, КП скрины, л.1-6</t>
  </si>
  <si>
    <t>Подъемник грузовой РЕСТО-ПГ-Ш-100-3150 ТТ</t>
  </si>
  <si>
    <t xml:space="preserve">28.22.11.190 </t>
  </si>
  <si>
    <t>02-01-19 Вертикальный транспорт</t>
  </si>
  <si>
    <t>Капитальный ремонт здания Государственного бюджетного общеобразовательного учреждения города Москвы «Школа №236» по адресу: г. Москва, ул. Клязьминская д.7, корп.4</t>
  </si>
  <si>
    <t xml:space="preserve">  Е.И. Судиловский</t>
  </si>
  <si>
    <t xml:space="preserve">Заказчик: </t>
  </si>
  <si>
    <t>17.09.2025г.</t>
  </si>
  <si>
    <t>https://www.tinko.ru/catalog/product/223561/</t>
  </si>
  <si>
    <t>https://satro-paladin.com/catalog/product/12911/</t>
  </si>
  <si>
    <t>7701405946</t>
  </si>
  <si>
    <t xml:space="preserve">ООО "Амиком Ритейл" </t>
  </si>
  <si>
    <t>https://www.ami-com.ru/catalog/perco-wmd-05s/?ysclid=m2kg95was470560969</t>
  </si>
  <si>
    <t>02-01-21 ПТА КА, скрины л. 12</t>
  </si>
  <si>
    <t>Калитка одностворчатая PERCo</t>
  </si>
  <si>
    <t>26.30.50.151</t>
  </si>
  <si>
    <t>7707629117</t>
  </si>
  <si>
    <t>ООО «Детектор Системс»</t>
  </si>
  <si>
    <t>https://detsys.ru/catalog/turnikety/ograzhdeniya_polurostovye_bh02_perco_dlya_turniketov/?ysclid=m2kgbh1m9d464257541</t>
  </si>
  <si>
    <t>https://satro-paladin.com/catalog/product/91972/?ysclid=mgusyoh3bm915462012</t>
  </si>
  <si>
    <t>5902046860</t>
  </si>
  <si>
    <t>ООО "ТОРГОВЫЙ ДОМ "СИСТЕМА БЕЗОПАСНОСТИ"</t>
  </si>
  <si>
    <t>https://uralvision.com/perco-bh02?ysclid=m2kgs7mnbe49866499</t>
  </si>
  <si>
    <t>02-01-21 ПТА КА, скрины л. 11</t>
  </si>
  <si>
    <t>Ограждение полуростовое BH02 PERCo</t>
  </si>
  <si>
    <t>ООО «АртТрейд»</t>
  </si>
  <si>
    <t>https://multitech.pro/katalog/prochee-oborudovanie/stol-dosmotroviy-500h400h900-mm.html?ysclid=m2kg4j28yn709830727</t>
  </si>
  <si>
    <t xml:space="preserve">	9715308907</t>
  </si>
  <si>
    <t xml:space="preserve">	ООО "ТД Твоя безопасность"</t>
  </si>
  <si>
    <t>https://secbuy.ru/product/stol-dosmotrovyy-500kh400kh900-mm-tumba-dosmotrovaya/?ysclid=mcd5guxuys884733878</t>
  </si>
  <si>
    <t>https://www.tinko.ru/catalog/product/271575/?ysclid=mcd5f8zul2164755335</t>
  </si>
  <si>
    <t>02-01-21 ПТА КА, скрины л. 10</t>
  </si>
  <si>
    <t>Стол досмотровый СД-950 (500х400х900)</t>
  </si>
  <si>
    <t>31.01.12.190</t>
  </si>
  <si>
    <t>7719695989</t>
  </si>
  <si>
    <t xml:space="preserve">ООО "Фирма "ДИВЕКОН Групп" </t>
  </si>
  <si>
    <t>https://divecon.net/catalog/detektory-vzryvchatykh-veshchestv/detektor-vzryvchatykh-veshchestv-kerber/</t>
  </si>
  <si>
    <t>7701858537</t>
  </si>
  <si>
    <t>ООО «ТСС»</t>
  </si>
  <si>
    <t>https://www.t-ss.ru/detektor-vzryvchatyh-veshestv-idd-kerber-t/</t>
  </si>
  <si>
    <t>https://detsys.ru/catalog/obnaruzhiteli-vzryvchatyh-veshhestv/kerber_t/</t>
  </si>
  <si>
    <t>02-01-21 ПТА КА, скрины л. 4</t>
  </si>
  <si>
    <t>Газоанализатор паров взрывчатых веществ «Кербер-Т»</t>
  </si>
  <si>
    <t>503612999902</t>
  </si>
  <si>
    <t>ООО "У Деда Мити"</t>
  </si>
  <si>
    <t>https://udedamiti.ru/dosmotrovye-metalloiskateli/ruchnoj-sfinks-vm-611rd-20</t>
  </si>
  <si>
    <t>9724058844</t>
  </si>
  <si>
    <t>ООО «ТЕХНИЧЕСКАЯ БЕЗОПАСНОСТЬ»</t>
  </si>
  <si>
    <t>https://offs.pro/metal-detectors/hand-held-metal-detectors/877.html</t>
  </si>
  <si>
    <t>https://www.tinko.ru/catalog/product/259386/?ysclid=mcd3lwd8hi609614314</t>
  </si>
  <si>
    <t>02-01-21 ПТА КА, скрины л. 3</t>
  </si>
  <si>
    <t>Ручной металлодетектор «СФИНКС ВМ-611 РД-2.0»</t>
  </si>
  <si>
    <t>7720439500</t>
  </si>
  <si>
    <t>ООО "АНТЕЙ-ЦЕНТР"</t>
  </si>
  <si>
    <t>https://anteycentr.ru/id/arochnyy-metallodetektor-pautina-n2-1-2016.html</t>
  </si>
  <si>
    <t>https://secbuy.ru/product/pautina-n2-1-seryy-baz-kompl-metallodetektor-iz-dvukh-paneley/</t>
  </si>
  <si>
    <t>https://detsys.ru/catalog/arochnye-metallodetektory/metallodetektor_panelnyy_pautina_n2_1/</t>
  </si>
  <si>
    <t>02-01-21 ПТА КА, скрины л. 2</t>
  </si>
  <si>
    <t>Металлодетектор арочный Паутина-Н2-1</t>
  </si>
  <si>
    <t>02-01-20 Мероприятия по противодействию террористическим актам</t>
  </si>
  <si>
    <t xml:space="preserve">                                                                                                                                                  </t>
  </si>
  <si>
    <t>ООО «ВЕРТИКАЛЬ»</t>
  </si>
  <si>
    <t>ООО "ТОРГОВАЯ ПЛОЩАДКА"</t>
  </si>
  <si>
    <t>ООО "НПП "РАЗВИТИЕ"</t>
  </si>
  <si>
    <t>Алюминиевая тактильная направляющая полоса 35х280 мм</t>
  </si>
  <si>
    <t>22.29.22.000</t>
  </si>
  <si>
    <t>ООО «Доступная страна»</t>
  </si>
  <si>
    <t>Алюминиевый индикатор-конус Д=35 мм</t>
  </si>
  <si>
    <t>Тактильные предупреждающие наклейки на поручни 75 x 230мм</t>
  </si>
  <si>
    <t>ООО «Маркетинг Технолоджис»</t>
  </si>
  <si>
    <t>ООО «Магнит Маркет»</t>
  </si>
  <si>
    <t>ИП Черный Владимир Петрович</t>
  </si>
  <si>
    <t>Наклейка, цвет жёлтый, ф20 см</t>
  </si>
  <si>
    <t>ИП "Шацкий Сергей Валерьевич"</t>
  </si>
  <si>
    <t>Тактильная мнемосхема этажа, полноцветная на основе оргстекла, 470x610х8 мм, арт.906-3-ORG8-470x610</t>
  </si>
  <si>
    <t>Тактильная мнемосхема санузла, полноцветная на стальной основе 321х411х2 мм, арт. 903-3-ST2-321X411</t>
  </si>
  <si>
    <t>ООО «ПАЛИТРА»</t>
  </si>
  <si>
    <t>Тактильный знак, 150х150 мм "Доступность для инвалидов по слуху" арт.905-0-G-3-150N</t>
  </si>
  <si>
    <t xml:space="preserve">ООО «КРУСТ» </t>
  </si>
  <si>
    <t>Тактильный знак, 150х150 мм"Доступность для инвалидов по зрению", арт. 905-0-G-4-150N</t>
  </si>
  <si>
    <t>Тактильная табличка со шрифтом Брайля, 150х300мм"Название помещения", арт.903-2-PVC3-150x300</t>
  </si>
  <si>
    <t>ООО "Вирапром"</t>
  </si>
  <si>
    <t>ООО "Круст"</t>
  </si>
  <si>
    <t>Тактильный знак СП 19, 150х150 мм "Туалет", арт.902-0-SP-18-150</t>
  </si>
  <si>
    <t>Тактильный знак СП 18, 150х150 мм "Туалет для инвалидов", арт.902-0-SP-18-150</t>
  </si>
  <si>
    <t>ООО"Компания ПАРТНЕР"</t>
  </si>
  <si>
    <t>Тактильный знак СП 12, 150х150 мм "Информация, место расположения мнемосхем" арт. 902-0-SP-12-150</t>
  </si>
  <si>
    <t xml:space="preserve">ООО "Компания ПАРТНЕР" </t>
  </si>
  <si>
    <t>Тактильный знак СП 11, 150х150 мм "Направление движения, поворот", арт. 902-0-SP-11-150</t>
  </si>
  <si>
    <t>Тактильный знак СП 10, 150х150 мм "Выход из помещения" арт. 902-0-SP-10-150</t>
  </si>
  <si>
    <t>Тактильный знак СП 09, 150х150 мм "Вход в помещение" арт. 902-0-SP-09-150</t>
  </si>
  <si>
    <t>Тактильный знак СП 07, 150х150 мм "Лифт для uнвалидов" арт. 902-0-SP-18-150</t>
  </si>
  <si>
    <t>Тактильный знак СП 02, 150х150 мм "Доступность для инвалидов в креслах-колясках" арт. 902-0-SP-02-150</t>
  </si>
  <si>
    <t>Тактильный знак СП 01, 150х150 мм "Доступность для инвалидов всех категорий" арт. 902-0-SP-18-150</t>
  </si>
  <si>
    <t xml:space="preserve">ИП Белов Сергей Александрович </t>
  </si>
  <si>
    <t xml:space="preserve">ООО «Элит Групп» </t>
  </si>
  <si>
    <t>ООО «Конексус»</t>
  </si>
  <si>
    <t>Ершик туалетный с креплением на стену NIZA 16857.S</t>
  </si>
  <si>
    <t xml:space="preserve">22.29.23.130 </t>
  </si>
  <si>
    <t>Диспенсер для туалетной бумаги, 260х112х260 мм, цвет: глянцевый хром, корпус изнержавеющей стали AISI 304 толщиной 1,0 мм. Типа 05006.B</t>
  </si>
  <si>
    <t xml:space="preserve">22.29.29.190 </t>
  </si>
  <si>
    <t>ООО "НОФЕР РУС"</t>
  </si>
  <si>
    <t>ООО «Белый Лис»</t>
  </si>
  <si>
    <t>Диспенсер для жидкого мыла сенсорный автоматический, 275х105х95 мм, цвет: глянцевый хром, корпус из нержавеющей стали AISI 304 толщиной 1,0 мм. Типа 03039.B</t>
  </si>
  <si>
    <t>ООО "Лидер Групп"</t>
  </si>
  <si>
    <t>Диспенсер настенный для бумажных полотенец, 325х245х109 мм, цвет: глянцевый хром, корпус из нержавеющей стали AISI 304 толщиной 1,2 мм. Типа 04046.В</t>
  </si>
  <si>
    <t>ООО "Компания Эко-Сервис"</t>
  </si>
  <si>
    <t>ООО «Группа компаний «Саником»</t>
  </si>
  <si>
    <t>Корзина металлическая для мусора Tork Image Design B1, 50 л, без крышки, стальная, Артикул: 460011</t>
  </si>
  <si>
    <t>25.99.22.130</t>
  </si>
  <si>
    <t>Зеркало поворотное с ручкой управления, какркас из нержавеющей стали AISI 304, арт. 80035</t>
  </si>
  <si>
    <t>23.12.13.110</t>
  </si>
  <si>
    <t>02-01-22 ОДИ</t>
  </si>
  <si>
    <r>
      <rPr>
        <b/>
        <sz val="12"/>
        <color theme="1"/>
        <rFont val="Times New Roman"/>
        <family val="1"/>
        <charset val="204"/>
      </rPr>
      <t>RVE-PLS5070-GEARLINE-SC-1460-P (</t>
    </r>
    <r>
      <rPr>
        <b/>
        <u/>
        <sz val="12"/>
        <color theme="1"/>
        <rFont val="Times New Roman"/>
        <family val="1"/>
        <charset val="204"/>
      </rPr>
      <t>Линейный</t>
    </r>
    <r>
      <rPr>
        <b/>
        <sz val="12"/>
        <color theme="1"/>
        <rFont val="Times New Roman"/>
        <family val="1"/>
        <charset val="204"/>
      </rPr>
      <t xml:space="preserve"> 1460ммх50х70мм 39Вт </t>
    </r>
    <r>
      <rPr>
        <b/>
        <u/>
        <sz val="12"/>
        <color theme="1"/>
        <rFont val="Times New Roman"/>
        <family val="1"/>
        <charset val="204"/>
      </rPr>
      <t>Подвесной</t>
    </r>
    <r>
      <rPr>
        <b/>
        <sz val="12"/>
        <color theme="1"/>
        <rFont val="Times New Roman"/>
        <family val="1"/>
        <charset val="204"/>
      </rPr>
      <t xml:space="preserve"> 4000К Черный) светильник. </t>
    </r>
    <r>
      <rPr>
        <sz val="12"/>
        <color theme="1"/>
        <rFont val="Times New Roman"/>
        <family val="1"/>
        <charset val="204"/>
      </rPr>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</si>
  <si>
    <r>
      <rPr>
        <b/>
        <sz val="12"/>
        <color theme="1"/>
        <rFont val="Times New Roman"/>
        <family val="1"/>
        <charset val="204"/>
      </rPr>
      <t>RVE-PLS5070-GEARLINE-SC-BP-1460-P (</t>
    </r>
    <r>
      <rPr>
        <b/>
        <u/>
        <sz val="12"/>
        <color theme="1"/>
        <rFont val="Times New Roman"/>
        <family val="1"/>
        <charset val="204"/>
      </rPr>
      <t xml:space="preserve">Линейный </t>
    </r>
    <r>
      <rPr>
        <b/>
        <sz val="12"/>
        <color theme="1"/>
        <rFont val="Times New Roman"/>
        <family val="1"/>
        <charset val="204"/>
      </rPr>
      <t xml:space="preserve">1460ммх50х70мм 39Вт </t>
    </r>
    <r>
      <rPr>
        <b/>
        <u/>
        <sz val="12"/>
        <color theme="1"/>
        <rFont val="Times New Roman"/>
        <family val="1"/>
        <charset val="204"/>
      </rPr>
      <t>Подвесной</t>
    </r>
    <r>
      <rPr>
        <b/>
        <sz val="12"/>
        <color theme="1"/>
        <rFont val="Times New Roman"/>
        <family val="1"/>
        <charset val="204"/>
      </rPr>
      <t xml:space="preserve"> 4000К Черный БАП 3 часа) </t>
    </r>
    <r>
      <rPr>
        <sz val="12"/>
        <color theme="1"/>
        <rFont val="Times New Roman"/>
        <family val="1"/>
        <charset val="204"/>
      </rPr>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r>
  </si>
  <si>
    <r>
      <rPr>
        <b/>
        <sz val="12"/>
        <color theme="1"/>
        <rFont val="Times New Roman"/>
        <family val="1"/>
        <charset val="204"/>
      </rPr>
      <t>RVE-PLS5070-GEARLINE-SC-1460-P-IP54 (</t>
    </r>
    <r>
      <rPr>
        <b/>
        <u/>
        <sz val="12"/>
        <color theme="1"/>
        <rFont val="Times New Roman"/>
        <family val="1"/>
        <charset val="204"/>
      </rPr>
      <t xml:space="preserve">Линейный </t>
    </r>
    <r>
      <rPr>
        <b/>
        <sz val="12"/>
        <color theme="1"/>
        <rFont val="Times New Roman"/>
        <family val="1"/>
        <charset val="204"/>
      </rPr>
      <t xml:space="preserve">1460ммх50х70мм 39Вт </t>
    </r>
    <r>
      <rPr>
        <b/>
        <u/>
        <sz val="12"/>
        <color theme="1"/>
        <rFont val="Times New Roman"/>
        <family val="1"/>
        <charset val="204"/>
      </rPr>
      <t>Подвесной</t>
    </r>
    <r>
      <rPr>
        <b/>
        <sz val="12"/>
        <color theme="1"/>
        <rFont val="Times New Roman"/>
        <family val="1"/>
        <charset val="204"/>
      </rPr>
      <t xml:space="preserve"> 4000К Черный) светильник </t>
    </r>
    <r>
      <rPr>
        <sz val="12"/>
        <color theme="1"/>
        <rFont val="Times New Roman"/>
        <family val="1"/>
        <charset val="204"/>
      </rPr>
      <t xml:space="preserve">.Светодиодный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  </t>
    </r>
  </si>
  <si>
    <r>
      <rPr>
        <b/>
        <sz val="12"/>
        <color theme="1"/>
        <rFont val="Times New Roman"/>
        <family val="1"/>
        <charset val="204"/>
      </rPr>
      <t xml:space="preserve">RVE-PLS5070-GEARLINE-SC-1460-P </t>
    </r>
    <r>
      <rPr>
        <b/>
        <u/>
        <sz val="12"/>
        <color theme="1"/>
        <rFont val="Times New Roman"/>
        <family val="1"/>
        <charset val="204"/>
      </rPr>
      <t>(Линейный</t>
    </r>
    <r>
      <rPr>
        <b/>
        <sz val="12"/>
        <color theme="1"/>
        <rFont val="Times New Roman"/>
        <family val="1"/>
        <charset val="204"/>
      </rPr>
      <t xml:space="preserve"> 1460ммх50х70мм 20Вт  (50%) </t>
    </r>
    <r>
      <rPr>
        <b/>
        <u/>
        <sz val="12"/>
        <color theme="1"/>
        <rFont val="Times New Roman"/>
        <family val="1"/>
        <charset val="204"/>
      </rPr>
      <t>Подвесной</t>
    </r>
    <r>
      <rPr>
        <b/>
        <sz val="12"/>
        <color theme="1"/>
        <rFont val="Times New Roman"/>
        <family val="1"/>
        <charset val="204"/>
      </rPr>
      <t xml:space="preserve"> 4000К Черный) светильник.  </t>
    </r>
    <r>
      <rPr>
        <sz val="12"/>
        <color theme="1"/>
        <rFont val="Times New Roman"/>
        <family val="1"/>
        <charset val="204"/>
      </rPr>
      <t xml:space="preserve">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t>
    </r>
  </si>
  <si>
    <r>
      <rPr>
        <b/>
        <sz val="12"/>
        <color theme="1"/>
        <rFont val="Times New Roman"/>
        <family val="1"/>
        <charset val="204"/>
      </rPr>
      <t>RVE-PLS5070-GEARLINE-SC-BP-1460-P (</t>
    </r>
    <r>
      <rPr>
        <b/>
        <u/>
        <sz val="12"/>
        <color theme="1"/>
        <rFont val="Times New Roman"/>
        <family val="1"/>
        <charset val="204"/>
      </rPr>
      <t>Линейный</t>
    </r>
    <r>
      <rPr>
        <b/>
        <sz val="12"/>
        <color theme="1"/>
        <rFont val="Times New Roman"/>
        <family val="1"/>
        <charset val="204"/>
      </rPr>
      <t xml:space="preserve"> 1460ммх50х70мм 20Вт  (50%) </t>
    </r>
    <r>
      <rPr>
        <b/>
        <u/>
        <sz val="12"/>
        <color theme="1"/>
        <rFont val="Times New Roman"/>
        <family val="1"/>
        <charset val="204"/>
      </rPr>
      <t>Подвесной</t>
    </r>
    <r>
      <rPr>
        <b/>
        <sz val="12"/>
        <color theme="1"/>
        <rFont val="Times New Roman"/>
        <family val="1"/>
        <charset val="204"/>
      </rPr>
      <t xml:space="preserve"> 4000К Черный БАП 3 часа) </t>
    </r>
    <r>
      <rPr>
        <sz val="12"/>
        <color theme="1"/>
        <rFont val="Times New Roman"/>
        <family val="1"/>
        <charset val="204"/>
      </rPr>
      <t xml:space="preserve">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 </t>
    </r>
  </si>
  <si>
    <r>
      <rPr>
        <b/>
        <sz val="12"/>
        <color theme="1"/>
        <rFont val="Times New Roman"/>
        <family val="1"/>
        <charset val="204"/>
      </rPr>
      <t xml:space="preserve"> RVE-PLS5070-GEARLINE-SC-BP-1460-P-IP54 (</t>
    </r>
    <r>
      <rPr>
        <b/>
        <u/>
        <sz val="12"/>
        <color theme="1"/>
        <rFont val="Times New Roman"/>
        <family val="1"/>
        <charset val="204"/>
      </rPr>
      <t>Линейный</t>
    </r>
    <r>
      <rPr>
        <b/>
        <sz val="12"/>
        <color theme="1"/>
        <rFont val="Times New Roman"/>
        <family val="1"/>
        <charset val="204"/>
      </rPr>
      <t xml:space="preserve"> 1460ммх50х70мм 39Вт </t>
    </r>
    <r>
      <rPr>
        <b/>
        <u/>
        <sz val="12"/>
        <color theme="1"/>
        <rFont val="Times New Roman"/>
        <family val="1"/>
        <charset val="204"/>
      </rPr>
      <t>Подвесной</t>
    </r>
    <r>
      <rPr>
        <b/>
        <sz val="12"/>
        <color theme="1"/>
        <rFont val="Times New Roman"/>
        <family val="1"/>
        <charset val="204"/>
      </rPr>
      <t xml:space="preserve"> 4000К Черный БАП 3 часа) светильник</t>
    </r>
    <r>
      <rPr>
        <sz val="12"/>
        <color theme="1"/>
        <rFont val="Times New Roman"/>
        <family val="1"/>
        <charset val="204"/>
      </rPr>
      <t xml:space="preserve">.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 </t>
    </r>
  </si>
  <si>
    <r>
      <rPr>
        <b/>
        <sz val="12"/>
        <color theme="1"/>
        <rFont val="Times New Roman"/>
        <family val="1"/>
        <charset val="204"/>
      </rPr>
      <t>RVE-PLS5070-GEARLINE-SC-BP-1460-P-IP54  (</t>
    </r>
    <r>
      <rPr>
        <b/>
        <u/>
        <sz val="12"/>
        <color theme="1"/>
        <rFont val="Times New Roman"/>
        <family val="1"/>
        <charset val="204"/>
      </rPr>
      <t>Линейный</t>
    </r>
    <r>
      <rPr>
        <b/>
        <sz val="12"/>
        <color theme="1"/>
        <rFont val="Times New Roman"/>
        <family val="1"/>
        <charset val="204"/>
      </rPr>
      <t xml:space="preserve"> 1460ммх50х70мм 39Вт </t>
    </r>
    <r>
      <rPr>
        <b/>
        <u/>
        <sz val="12"/>
        <color theme="1"/>
        <rFont val="Times New Roman"/>
        <family val="1"/>
        <charset val="204"/>
      </rPr>
      <t>Подвесной</t>
    </r>
    <r>
      <rPr>
        <b/>
        <sz val="12"/>
        <color theme="1"/>
        <rFont val="Times New Roman"/>
        <family val="1"/>
        <charset val="204"/>
      </rPr>
      <t xml:space="preserve"> 4000К Черный БАП 3 часа) светильник</t>
    </r>
    <r>
      <rPr>
        <sz val="12"/>
        <color theme="1"/>
        <rFont val="Times New Roman"/>
        <family val="1"/>
        <charset val="204"/>
      </rPr>
      <t xml:space="preserve">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 </t>
    </r>
  </si>
  <si>
    <r>
      <rPr>
        <b/>
        <sz val="12"/>
        <color theme="1"/>
        <rFont val="Times New Roman"/>
        <family val="1"/>
        <charset val="204"/>
      </rPr>
      <t>RVE-LBX-RING-PRIME-SC-800-N (</t>
    </r>
    <r>
      <rPr>
        <b/>
        <u/>
        <sz val="12"/>
        <color theme="1"/>
        <rFont val="Times New Roman"/>
        <family val="1"/>
        <charset val="204"/>
      </rPr>
      <t>Круг</t>
    </r>
    <r>
      <rPr>
        <b/>
        <sz val="12"/>
        <color theme="1"/>
        <rFont val="Times New Roman"/>
        <family val="1"/>
        <charset val="204"/>
      </rPr>
      <t xml:space="preserve"> d800х100мм 41Вт (50%)</t>
    </r>
    <r>
      <rPr>
        <b/>
        <u/>
        <sz val="12"/>
        <color theme="1"/>
        <rFont val="Times New Roman"/>
        <family val="1"/>
        <charset val="204"/>
      </rPr>
      <t xml:space="preserve"> Накладной </t>
    </r>
    <r>
      <rPr>
        <b/>
        <sz val="12"/>
        <color theme="1"/>
        <rFont val="Times New Roman"/>
        <family val="1"/>
        <charset val="204"/>
      </rPr>
      <t xml:space="preserve">4000К Черный) светильник </t>
    </r>
    <r>
      <rPr>
        <sz val="12"/>
        <color theme="1"/>
        <rFont val="Times New Roman"/>
        <family val="1"/>
        <charset val="204"/>
      </rPr>
      <t xml:space="preserve">.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 </t>
    </r>
  </si>
  <si>
    <r>
      <rPr>
        <b/>
        <sz val="12"/>
        <color theme="1"/>
        <rFont val="Times New Roman"/>
        <family val="1"/>
        <charset val="204"/>
      </rPr>
      <t>RVE-LBX-RING-PRIME-SC-BP-800-N (</t>
    </r>
    <r>
      <rPr>
        <b/>
        <u/>
        <sz val="12"/>
        <color theme="1"/>
        <rFont val="Times New Roman"/>
        <family val="1"/>
        <charset val="204"/>
      </rPr>
      <t>Круг</t>
    </r>
    <r>
      <rPr>
        <b/>
        <sz val="12"/>
        <color theme="1"/>
        <rFont val="Times New Roman"/>
        <family val="1"/>
        <charset val="204"/>
      </rPr>
      <t xml:space="preserve"> d800х100мм 41Вт (50%)</t>
    </r>
    <r>
      <rPr>
        <b/>
        <u/>
        <sz val="12"/>
        <color theme="1"/>
        <rFont val="Times New Roman"/>
        <family val="1"/>
        <charset val="204"/>
      </rPr>
      <t xml:space="preserve"> Накладной </t>
    </r>
    <r>
      <rPr>
        <b/>
        <sz val="12"/>
        <color theme="1"/>
        <rFont val="Times New Roman"/>
        <family val="1"/>
        <charset val="204"/>
      </rPr>
      <t xml:space="preserve">4000К Черный БАП 3 часа) светильник . </t>
    </r>
    <r>
      <rPr>
        <sz val="12"/>
        <color theme="1"/>
        <rFont val="Times New Roman"/>
        <family val="1"/>
        <charset val="204"/>
      </rPr>
      <t xml:space="preserve">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t>
    </r>
  </si>
  <si>
    <r>
      <rPr>
        <b/>
        <sz val="12"/>
        <color theme="1"/>
        <rFont val="Times New Roman"/>
        <family val="1"/>
        <charset val="204"/>
      </rPr>
      <t xml:space="preserve">RVE-LBX-RING-PRIME-SC-800-P </t>
    </r>
    <r>
      <rPr>
        <b/>
        <u/>
        <sz val="12"/>
        <color theme="1"/>
        <rFont val="Times New Roman"/>
        <family val="1"/>
        <charset val="204"/>
      </rPr>
      <t>(Кру</t>
    </r>
    <r>
      <rPr>
        <b/>
        <sz val="12"/>
        <color theme="1"/>
        <rFont val="Times New Roman"/>
        <family val="1"/>
        <charset val="204"/>
      </rPr>
      <t xml:space="preserve">г d800х100мм 41Вт (50%) </t>
    </r>
    <r>
      <rPr>
        <b/>
        <u/>
        <sz val="12"/>
        <color theme="1"/>
        <rFont val="Times New Roman"/>
        <family val="1"/>
        <charset val="204"/>
      </rPr>
      <t>Подвесной</t>
    </r>
    <r>
      <rPr>
        <b/>
        <sz val="12"/>
        <color theme="1"/>
        <rFont val="Times New Roman"/>
        <family val="1"/>
        <charset val="204"/>
      </rPr>
      <t xml:space="preserve"> 4000К Черный) светильник</t>
    </r>
    <r>
      <rPr>
        <sz val="12"/>
        <color theme="1"/>
        <rFont val="Times New Roman"/>
        <family val="1"/>
        <charset val="204"/>
      </rPr>
      <t xml:space="preserve">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 </t>
    </r>
  </si>
  <si>
    <r>
      <rPr>
        <b/>
        <sz val="12"/>
        <color theme="1"/>
        <rFont val="Times New Roman"/>
        <family val="1"/>
        <charset val="204"/>
      </rPr>
      <t xml:space="preserve">  RVE-LBX-RING-PRIME-SC-BP-800-P (</t>
    </r>
    <r>
      <rPr>
        <b/>
        <u/>
        <sz val="12"/>
        <color theme="1"/>
        <rFont val="Times New Roman"/>
        <family val="1"/>
        <charset val="204"/>
      </rPr>
      <t>Круг</t>
    </r>
    <r>
      <rPr>
        <b/>
        <sz val="12"/>
        <color theme="1"/>
        <rFont val="Times New Roman"/>
        <family val="1"/>
        <charset val="204"/>
      </rPr>
      <t xml:space="preserve"> d800х100мм 41Вт (50%)</t>
    </r>
    <r>
      <rPr>
        <b/>
        <u/>
        <sz val="12"/>
        <color theme="1"/>
        <rFont val="Times New Roman"/>
        <family val="1"/>
        <charset val="204"/>
      </rPr>
      <t xml:space="preserve"> Подвесной</t>
    </r>
    <r>
      <rPr>
        <b/>
        <sz val="12"/>
        <color theme="1"/>
        <rFont val="Times New Roman"/>
        <family val="1"/>
        <charset val="204"/>
      </rPr>
      <t xml:space="preserve"> 4000К Черный БАП 3 часа) светильник </t>
    </r>
    <r>
      <rPr>
        <sz val="12"/>
        <color theme="1"/>
        <rFont val="Times New Roman"/>
        <family val="1"/>
        <charset val="204"/>
      </rPr>
      <t xml:space="preserve">/Светодиодный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t>
    </r>
  </si>
  <si>
    <r>
      <rPr>
        <b/>
        <sz val="12"/>
        <color theme="1"/>
        <rFont val="Times New Roman"/>
        <family val="1"/>
        <charset val="204"/>
      </rPr>
      <t xml:space="preserve">RVE-PRIME-SC-595 38W 4000K 220V/ Светильник LED 595x595x40mm (RVElektro) стандартный (встраиваемый, накладной) </t>
    </r>
    <r>
      <rPr>
        <sz val="12"/>
        <color theme="1"/>
        <rFont val="Times New Roman"/>
        <family val="1"/>
        <charset val="204"/>
      </rPr>
      <t xml:space="preserve">/Светодиодный светильник. Мощность 38Вт. Световой поток 3700лм. Цветовая температура 4000К CRI90. Размеры 595х595х40мм. Способ монтажа универсальный </t>
    </r>
    <r>
      <rPr>
        <b/>
        <u/>
        <sz val="12"/>
        <color theme="1"/>
        <rFont val="Times New Roman"/>
        <family val="1"/>
        <charset val="204"/>
      </rPr>
      <t>(встраиваемый в потолоки типа Армстронг, накладной квадратный</t>
    </r>
    <r>
      <rPr>
        <sz val="12"/>
        <color theme="1"/>
        <rFont val="Times New Roman"/>
        <family val="1"/>
        <charset val="204"/>
      </rPr>
      <t xml:space="preserve">). </t>
    </r>
  </si>
  <si>
    <r>
      <rPr>
        <b/>
        <sz val="12"/>
        <color theme="1"/>
        <rFont val="Times New Roman"/>
        <family val="1"/>
        <charset val="204"/>
      </rPr>
      <t xml:space="preserve">RVE-PRIME-CI-SC-595 CLIP-IN IP54 600x600x48 38Вт 4000К Опал / </t>
    </r>
    <r>
      <rPr>
        <sz val="12"/>
        <color theme="1"/>
        <rFont val="Times New Roman"/>
        <family val="1"/>
        <charset val="204"/>
      </rPr>
      <t xml:space="preserve">Светодиодный светильник. Мощность 38Вт. Световой поток 3700лм. Цветовая температура 4000К CRI90. Размеры 600х600х48мм. Способ монтажа </t>
    </r>
    <r>
      <rPr>
        <b/>
        <u/>
        <sz val="12"/>
        <color theme="1"/>
        <rFont val="Times New Roman"/>
        <family val="1"/>
        <charset val="204"/>
      </rPr>
      <t>встраиваемый в потолоки типа Clip-in.</t>
    </r>
    <r>
      <rPr>
        <sz val="12"/>
        <color theme="1"/>
        <rFont val="Times New Roman"/>
        <family val="1"/>
        <charset val="204"/>
      </rPr>
      <t xml:space="preserve"> . </t>
    </r>
    <r>
      <rPr>
        <b/>
        <u/>
        <sz val="12"/>
        <color theme="1"/>
        <rFont val="Times New Roman"/>
        <family val="1"/>
        <charset val="204"/>
      </rPr>
      <t>Квадратный</t>
    </r>
    <r>
      <rPr>
        <sz val="12"/>
        <color theme="1"/>
        <rFont val="Times New Roman"/>
        <family val="1"/>
        <charset val="204"/>
      </rPr>
      <t xml:space="preserve">.Степень пылевлагозащиты IP54. </t>
    </r>
  </si>
  <si>
    <r>
      <rPr>
        <b/>
        <sz val="12"/>
        <color theme="1"/>
        <rFont val="Times New Roman"/>
        <family val="1"/>
        <charset val="204"/>
      </rPr>
      <t xml:space="preserve">RVE-PRIME-GRIL-SC-595 38W 4000K 220V/ Светильник LED 595x595mm (RVElektro) с защитной решеткой/ </t>
    </r>
    <r>
      <rPr>
        <sz val="12"/>
        <color theme="1"/>
        <rFont val="Times New Roman"/>
        <family val="1"/>
        <charset val="204"/>
      </rPr>
      <t>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r>
  </si>
  <si>
    <r>
      <rPr>
        <b/>
        <sz val="12"/>
        <color theme="1"/>
        <rFont val="Times New Roman"/>
        <family val="1"/>
        <charset val="204"/>
      </rPr>
      <t>RVE-LBX-CONTRO-SC-10015-1-GR (</t>
    </r>
    <r>
      <rPr>
        <b/>
        <u/>
        <sz val="12"/>
        <color theme="1"/>
        <rFont val="Times New Roman"/>
        <family val="1"/>
        <charset val="204"/>
      </rPr>
      <t>Квадрат</t>
    </r>
    <r>
      <rPr>
        <b/>
        <sz val="12"/>
        <color theme="1"/>
        <rFont val="Times New Roman"/>
        <family val="1"/>
        <charset val="204"/>
      </rPr>
      <t xml:space="preserve"> Грильято 1шт 85х85х40мм 9Вт </t>
    </r>
    <r>
      <rPr>
        <b/>
        <u/>
        <sz val="12"/>
        <color theme="1"/>
        <rFont val="Times New Roman"/>
        <family val="1"/>
        <charset val="204"/>
      </rPr>
      <t xml:space="preserve">встраиваемый </t>
    </r>
    <r>
      <rPr>
        <b/>
        <sz val="12"/>
        <color theme="1"/>
        <rFont val="Times New Roman"/>
        <family val="1"/>
        <charset val="204"/>
      </rPr>
      <t>4000K Белый) светильник</t>
    </r>
    <r>
      <rPr>
        <sz val="12"/>
        <color theme="1"/>
        <rFont val="Times New Roman"/>
        <family val="1"/>
        <charset val="204"/>
      </rPr>
      <t xml:space="preserve">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r>
  </si>
  <si>
    <r>
      <rPr>
        <b/>
        <sz val="12"/>
        <color theme="1"/>
        <rFont val="Times New Roman"/>
        <family val="1"/>
        <charset val="204"/>
      </rPr>
      <t>RVE-LBX-CONTRO-SC-BP-10015-1-GR (</t>
    </r>
    <r>
      <rPr>
        <b/>
        <u/>
        <sz val="12"/>
        <color theme="1"/>
        <rFont val="Times New Roman"/>
        <family val="1"/>
        <charset val="204"/>
      </rPr>
      <t>Квадрат</t>
    </r>
    <r>
      <rPr>
        <b/>
        <sz val="12"/>
        <color theme="1"/>
        <rFont val="Times New Roman"/>
        <family val="1"/>
        <charset val="204"/>
      </rPr>
      <t xml:space="preserve"> Грильято 1шт 85х85х40мм 9Вт </t>
    </r>
    <r>
      <rPr>
        <b/>
        <u/>
        <sz val="12"/>
        <color theme="1"/>
        <rFont val="Times New Roman"/>
        <family val="1"/>
        <charset val="204"/>
      </rPr>
      <t>встраиваемый</t>
    </r>
    <r>
      <rPr>
        <b/>
        <sz val="12"/>
        <color theme="1"/>
        <rFont val="Times New Roman"/>
        <family val="1"/>
        <charset val="204"/>
      </rPr>
      <t xml:space="preserve"> 4000K Белый БАП на 3ч) светильник/</t>
    </r>
    <r>
      <rPr>
        <sz val="12"/>
        <color theme="1"/>
        <rFont val="Times New Roman"/>
        <family val="1"/>
        <charset val="204"/>
      </rPr>
      <t xml:space="preserve">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r>
  </si>
  <si>
    <r>
      <rPr>
        <b/>
        <sz val="12"/>
        <color theme="1"/>
        <rFont val="Times New Roman"/>
        <family val="1"/>
        <charset val="204"/>
      </rPr>
      <t>RVE-LBX-CONTRO-SC-10015-1-GR-IP54 (</t>
    </r>
    <r>
      <rPr>
        <b/>
        <u/>
        <sz val="12"/>
        <color theme="1"/>
        <rFont val="Times New Roman"/>
        <family val="1"/>
        <charset val="204"/>
      </rPr>
      <t>Квадрат</t>
    </r>
    <r>
      <rPr>
        <b/>
        <sz val="12"/>
        <color theme="1"/>
        <rFont val="Times New Roman"/>
        <family val="1"/>
        <charset val="204"/>
      </rPr>
      <t xml:space="preserve"> Грильято 1шт 85х85х40мм 9Вт </t>
    </r>
    <r>
      <rPr>
        <b/>
        <u/>
        <sz val="12"/>
        <color theme="1"/>
        <rFont val="Times New Roman"/>
        <family val="1"/>
        <charset val="204"/>
      </rPr>
      <t>встраиваемый</t>
    </r>
    <r>
      <rPr>
        <b/>
        <sz val="12"/>
        <color theme="1"/>
        <rFont val="Times New Roman"/>
        <family val="1"/>
        <charset val="204"/>
      </rPr>
      <t xml:space="preserve"> 4000K Белый) светильник </t>
    </r>
    <r>
      <rPr>
        <sz val="12"/>
        <color theme="1"/>
        <rFont val="Times New Roman"/>
        <family val="1"/>
        <charset val="204"/>
      </rP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r>
  </si>
  <si>
    <r>
      <rPr>
        <b/>
        <sz val="12"/>
        <color theme="1"/>
        <rFont val="Times New Roman"/>
        <family val="1"/>
        <charset val="204"/>
      </rPr>
      <t xml:space="preserve">RVE-PRIME-SLIM-SC-38/ (IP65, 4000К) 1262х124х85мм 38Вт </t>
    </r>
    <r>
      <rPr>
        <sz val="12"/>
        <color theme="1"/>
        <rFont val="Times New Roman"/>
        <family val="1"/>
        <charset val="204"/>
      </rPr>
      <t xml:space="preserve">/Светодиодный светильник. Монтаж </t>
    </r>
    <r>
      <rPr>
        <b/>
        <u/>
        <sz val="12"/>
        <color theme="1"/>
        <rFont val="Times New Roman"/>
        <family val="1"/>
        <charset val="204"/>
      </rPr>
      <t xml:space="preserve">накладной. Линейный. </t>
    </r>
    <r>
      <rPr>
        <sz val="12"/>
        <color theme="1"/>
        <rFont val="Times New Roman"/>
        <family val="1"/>
        <charset val="204"/>
      </rPr>
      <t>Размер 1262х124х85мм. Мощность 38Вт. Световой поток 4800лм.</t>
    </r>
  </si>
  <si>
    <r>
      <rPr>
        <b/>
        <sz val="12"/>
        <color theme="1"/>
        <rFont val="Times New Roman"/>
        <family val="1"/>
        <charset val="204"/>
      </rPr>
      <t xml:space="preserve">RVE-PRIME-SLIM-SC-BP-38 IP65, 4000К) 1262х124х85мм 38Вт с БАП 3 часа/ </t>
    </r>
    <r>
      <rPr>
        <sz val="12"/>
        <color theme="1"/>
        <rFont val="Times New Roman"/>
        <family val="1"/>
        <charset val="204"/>
      </rPr>
      <t xml:space="preserve">Светодиодный светильник. Монтаж </t>
    </r>
    <r>
      <rPr>
        <b/>
        <u/>
        <sz val="12"/>
        <color theme="1"/>
        <rFont val="Times New Roman"/>
        <family val="1"/>
        <charset val="204"/>
      </rPr>
      <t xml:space="preserve">накладной.  Линейный. </t>
    </r>
    <r>
      <rPr>
        <sz val="12"/>
        <color theme="1"/>
        <rFont val="Times New Roman"/>
        <family val="1"/>
        <charset val="204"/>
      </rPr>
      <t>Размер  1262х124х85мм. Мощность 38Вт. Световой поток 4800лм. Укомплектован БАП на 3ч.</t>
    </r>
  </si>
  <si>
    <r>
      <rPr>
        <b/>
        <sz val="12"/>
        <color theme="1"/>
        <rFont val="Times New Roman"/>
        <family val="1"/>
        <charset val="204"/>
      </rPr>
      <t xml:space="preserve"> DOT IP54 10W 4000K 220V/</t>
    </r>
    <r>
      <rPr>
        <sz val="12"/>
        <color theme="1"/>
        <rFont val="Times New Roman"/>
        <family val="1"/>
        <charset val="204"/>
      </rPr>
      <t xml:space="preserve"> Светильник LED встраиваемый/ Светильник светодиодный круглый. Способ монтажа </t>
    </r>
    <r>
      <rPr>
        <b/>
        <sz val="12"/>
        <color theme="1"/>
        <rFont val="Times New Roman"/>
        <family val="1"/>
        <charset val="204"/>
      </rPr>
      <t>встраиваемый.</t>
    </r>
    <r>
      <rPr>
        <sz val="12"/>
        <color theme="1"/>
        <rFont val="Times New Roman"/>
        <family val="1"/>
        <charset val="204"/>
      </rPr>
      <t xml:space="preserve"> Габариты светильника 140×30мм. Мощность светильника 10W. Цветовая температура 4000К CRI90. Степень защиты IP54.</t>
    </r>
  </si>
  <si>
    <r>
      <rPr>
        <b/>
        <sz val="12"/>
        <color theme="1"/>
        <rFont val="Times New Roman"/>
        <family val="1"/>
        <charset val="204"/>
      </rPr>
      <t>RVE-PLS3535-PRIMELINE-SC- 1200-K (</t>
    </r>
    <r>
      <rPr>
        <b/>
        <u/>
        <sz val="12"/>
        <color theme="1"/>
        <rFont val="Times New Roman"/>
        <family val="1"/>
        <charset val="204"/>
      </rPr>
      <t xml:space="preserve">Линейный </t>
    </r>
    <r>
      <rPr>
        <b/>
        <sz val="12"/>
        <color theme="1"/>
        <rFont val="Times New Roman"/>
        <family val="1"/>
        <charset val="204"/>
      </rPr>
      <t>1200х35x35мм 28Вт</t>
    </r>
    <r>
      <rPr>
        <b/>
        <u/>
        <sz val="12"/>
        <color theme="1"/>
        <rFont val="Times New Roman"/>
        <family val="1"/>
        <charset val="204"/>
      </rPr>
      <t xml:space="preserve"> на кронштейне 500мм</t>
    </r>
    <r>
      <rPr>
        <b/>
        <sz val="12"/>
        <color theme="1"/>
        <rFont val="Times New Roman"/>
        <family val="1"/>
        <charset val="204"/>
      </rPr>
      <t xml:space="preserve"> 4000K Черный) светильник </t>
    </r>
    <r>
      <rPr>
        <sz val="12"/>
        <color theme="1"/>
        <rFont val="Times New Roman"/>
        <family val="1"/>
        <charset val="204"/>
      </rPr>
      <t>/Светодиодный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r>
  </si>
  <si>
    <t>02-01-03  ЭОМ  КА, КП, скрины (Листы 62)</t>
  </si>
  <si>
    <t>02-01-03  ЭОМ  КА, КП, скрины (Листы 63)</t>
  </si>
  <si>
    <t>02-01-03  ЭОМ  КА, КП, скрины (Листы 64)</t>
  </si>
  <si>
    <t>02-01-03  ЭОМ  КА, КП, скрины (Листы 65)</t>
  </si>
  <si>
    <t>02-01-03  ЭОМ  КА, КП, скрины (Листы 73)</t>
  </si>
  <si>
    <t>02-01-03  ЭОМ  КА, КП, скрины (Листы 74)</t>
  </si>
  <si>
    <t>02-01-03  ЭОМ  КА, КП, скрины (Листы 75)</t>
  </si>
  <si>
    <t>02-01-03  ЭОМ  КА, КП, скрины (Листы 76)</t>
  </si>
  <si>
    <t>02-01-03  ЭОМ  КА, КП, скрины (Листы 77)</t>
  </si>
  <si>
    <t>02-01-03  ЭОМ  КА, КП, скрины (Листы 78)</t>
  </si>
  <si>
    <t>02-01-03  ЭОМ  КА, КП, скрины (Листы 79)</t>
  </si>
  <si>
    <t>02-01-03  ЭОМ  КА, КП, скрины (Листы 80)</t>
  </si>
  <si>
    <t>02-01-03  ЭОМ  КА, КП, скрины (Листы 81)</t>
  </si>
  <si>
    <t>02-01-03  ЭОМ  КА, КП, скрины (Листы 82)</t>
  </si>
  <si>
    <t>02-01-03  ЭОМ  КА, КП, скрины (Листы 83)</t>
  </si>
  <si>
    <t>02-01-03  ЭОМ  КА, КП, скрины (Листы 84)</t>
  </si>
  <si>
    <t>02-01-03  ЭОМ  КА, КП, скрины (Листы 85)</t>
  </si>
  <si>
    <t>02-01-03  ЭОМ  КА, КП, скрины (Листы 86)</t>
  </si>
  <si>
    <t>02-01-03  ЭОМ  КА, КП, скрины (Листы 87)</t>
  </si>
  <si>
    <t>02-01-03  ЭОМ  КА, КП, скрины (Листы 88)</t>
  </si>
  <si>
    <t>02-01-03  ЭОМ  КА, КП, скрины (Листы 89)</t>
  </si>
  <si>
    <t>02-01-03  ЭОМ  КА, КП, скрины (Листы 90)</t>
  </si>
  <si>
    <t>02-01-03  ЭОМ  КА, КП, скрины (Листы 92)</t>
  </si>
  <si>
    <t>02-01-03  ЭОМ  КА, КП, скрины (Листы 93)</t>
  </si>
  <si>
    <t>02-01-03  ЭОМ  КА, КП, скрины (Листы 95)</t>
  </si>
  <si>
    <t>02-01-03  ЭОМ  КА, КП, скрины (Листы  96)</t>
  </si>
  <si>
    <t>02-01-03  ЭОМ  КА, КП, скрины (Листы 97)</t>
  </si>
  <si>
    <t>02-01-03  ЭОМ  КА, КП, скрины (Листы 98)</t>
  </si>
  <si>
    <t>02-01-03  ЭОМ  КА, КП, скрины (Листы 99)</t>
  </si>
  <si>
    <t>02-01-03  ЭОМ  КА, КП, скрины (Листы 100)</t>
  </si>
  <si>
    <t>02-01-03  ЭОМ  КА, КП, скрины (Листы 101)</t>
  </si>
  <si>
    <t>02-01-03  ЭОМ  КА, КП, скрины (Листы 102)</t>
  </si>
  <si>
    <t>02-01-03  ЭОМ  КА, КП, скрины (Листы 103)</t>
  </si>
  <si>
    <t>02-01-03  ЭОМ  КА, КП, скрины (Листы 106-107)</t>
  </si>
  <si>
    <t>02-01-03  ЭОМ  КА, КП, скрины (Листы 126)</t>
  </si>
  <si>
    <t>02-01-03  ЭОМ  КА, КП, скрины (Листы 127)</t>
  </si>
  <si>
    <t>02-01-03  ЭОМ  КА, КП, скрины (Листы 128-129)</t>
  </si>
  <si>
    <t>02-01-03  ЭОМ  КА, КП, скрины (Листы 131-132)</t>
  </si>
  <si>
    <t>02-01-03  ЭОМ  КА, КП, скрины (Листы 134-135)</t>
  </si>
  <si>
    <t>02-01-03  ЭОМ  КА, КП, скрины (Листы 137-138)</t>
  </si>
  <si>
    <t>02-01-03  ЭОМ  КА, КП, скрины (Листы 140-141)</t>
  </si>
  <si>
    <t>Том 02-01-22 ОДИ КА, скрины, л.2</t>
  </si>
  <si>
    <t>Том 02-01-22 ОДИ КА, скрины, л.3</t>
  </si>
  <si>
    <t>Том 02-01-22 ОДИ КА, скрины, л.4</t>
  </si>
  <si>
    <t>Том 02-01-22 ОДИ КА, скрины, л.5</t>
  </si>
  <si>
    <t>Том 02-01-22 ОДИ КА, скрины, л.6</t>
  </si>
  <si>
    <t>Том 02-01-22 ОДИ КА, скрины, л.7</t>
  </si>
  <si>
    <t>Том 02-01-22 ОДИ КА, скрины, л.8</t>
  </si>
  <si>
    <t>Том 02-01-22 ОДИ КА, скрины, л.9</t>
  </si>
  <si>
    <t>Том 02-01-22 ОДИ КА, скрины, л.10</t>
  </si>
  <si>
    <t>Том 02-01-22 ОДИ КА, скрины, л.11</t>
  </si>
  <si>
    <t>Том 02-01-22 ОДИ КА, скрины, л.12</t>
  </si>
  <si>
    <t>Том 02-01-22 ОДИ КА, скрины, л.13</t>
  </si>
  <si>
    <t>Том 02-01-22 ОДИ КА, скрины, л.14</t>
  </si>
  <si>
    <t>Том 02-01-22 ОДИ КА, скрины, л.15</t>
  </si>
  <si>
    <t>Том 02-01-22 ОДИ КА, скрины, л.16</t>
  </si>
  <si>
    <t>Том 02-01-22 ОДИ КА, скрины, л.17</t>
  </si>
  <si>
    <t>Том 02-01-22 ОДИ КА, скрины, л.18</t>
  </si>
  <si>
    <t>Том 02-01-22 ОДИ КА, скрины, л.19</t>
  </si>
  <si>
    <t>Том 02-01-22 ОДИ КА, скрины, л.20</t>
  </si>
  <si>
    <t>Том 02-01-22 ОДИ КА, скрины, л.21</t>
  </si>
  <si>
    <t>Том 02-01-22 ОДИ КА, скрины, л.22</t>
  </si>
  <si>
    <t>Том 02-01-22 ОДИ КА, скрины, л.23</t>
  </si>
  <si>
    <t>Том 02-01-22 ОДИ КА, скрины, л.24</t>
  </si>
  <si>
    <t>Том 02-01-22 ОДИ КА, скрины, л.25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</si>
</sst>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_ ;\-#,##0.00\ "/>
    <numFmt numFmtId="166" formatCode="000000"/>
    <numFmt numFmtId="167" formatCode="_-* #,##0.00_р_._-;\-* #,##0.00_р_._-;_-* &quot;-&quot;??_р_._-;_-@_-"/>
  </numFmts>
  <fonts count="71" x14ac:knownFonts="1">
    <font>
      <sz val="11"/>
      <color theme="1"/>
      <name val="Calibri"/>
      <family val="2"/>
      <scheme val="minor"/>
    </font>
    <font>
      <sz val="11"/>
      <color theme="1"/>
      <name val="Calibri"/>
      <family val="2"/>
      <scheme val="minor"/>
    </font>
    <font>
      <sz val="12"/>
      <name val="Times New Roman"/>
      <family val="1"/>
      <charset val="204"/>
    </font>
    <font>
      <b/>
      <sz val="12"/>
      <name val="Times New Roman"/>
      <family val="1"/>
      <charset val="204"/>
    </font>
    <font>
      <b/>
      <sz val="14"/>
      <name val="Times New Roman"/>
      <family val="1"/>
      <charset val="204"/>
    </font>
    <font>
      <sz val="11"/>
      <color theme="1"/>
      <name val="Times New Roman"/>
      <family val="1"/>
      <charset val="204"/>
    </font>
    <font>
      <b/>
      <sz val="14"/>
      <color theme="1"/>
      <name val="Times New Roman"/>
      <family val="1"/>
      <charset val="204"/>
    </font>
    <font>
      <sz val="12"/>
      <name val="Calibri"/>
      <family val="2"/>
      <charset val="204"/>
      <scheme val="minor"/>
    </font>
    <font>
      <b/>
      <sz val="14"/>
      <name val="Calibri"/>
      <family val="2"/>
      <charset val="204"/>
      <scheme val="minor"/>
    </font>
    <font>
      <b/>
      <sz val="12"/>
      <name val="Calibri"/>
      <family val="2"/>
      <charset val="204"/>
      <scheme val="minor"/>
    </font>
    <font>
      <u/>
      <sz val="11"/>
      <color theme="10"/>
      <name val="Calibri"/>
      <family val="2"/>
      <scheme val="minor"/>
    </font>
    <font>
      <sz val="12"/>
      <color rgb="FF000000"/>
      <name val="Times New Roman"/>
      <family val="1"/>
      <charset val="204"/>
    </font>
    <font>
      <b/>
      <sz val="12"/>
      <color theme="1"/>
      <name val="Times New Roman"/>
      <family val="1"/>
      <charset val="204"/>
    </font>
    <font>
      <sz val="12"/>
      <color theme="1"/>
      <name val="Times New Roman"/>
      <family val="1"/>
      <charset val="204"/>
    </font>
    <font>
      <b/>
      <u/>
      <sz val="14"/>
      <name val="Calibri"/>
      <family val="2"/>
      <charset val="204"/>
      <scheme val="minor"/>
    </font>
    <font>
      <sz val="14"/>
      <color rgb="FF000000"/>
      <name val="Times New Roman"/>
      <family val="1"/>
      <charset val="204"/>
    </font>
    <font>
      <sz val="11"/>
      <color rgb="FF000000"/>
      <name val="Calibri"/>
      <family val="2"/>
      <scheme val="minor"/>
    </font>
    <font>
      <u/>
      <sz val="14"/>
      <color rgb="FF000000"/>
      <name val="Times New Roman"/>
      <family val="1"/>
      <charset val="204"/>
    </font>
    <font>
      <b/>
      <sz val="16"/>
      <name val="Calibri"/>
      <family val="2"/>
      <charset val="204"/>
      <scheme val="minor"/>
    </font>
    <font>
      <sz val="14"/>
      <color theme="1"/>
      <name val="Calibri"/>
      <family val="2"/>
      <scheme val="minor"/>
    </font>
    <font>
      <sz val="14"/>
      <name val="Times New Roman"/>
      <family val="1"/>
      <charset val="204"/>
    </font>
    <font>
      <u/>
      <sz val="14"/>
      <color theme="10"/>
      <name val="Calibri"/>
      <family val="2"/>
      <scheme val="minor"/>
    </font>
    <font>
      <sz val="14"/>
      <color rgb="FF555555"/>
      <name val="Arial"/>
      <family val="2"/>
      <charset val="204"/>
    </font>
    <font>
      <u/>
      <sz val="14"/>
      <color theme="10"/>
      <name val="Times New Roman"/>
      <family val="1"/>
      <charset val="204"/>
    </font>
    <font>
      <sz val="14"/>
      <color rgb="FF555555"/>
      <name val="Times New Roman"/>
      <family val="1"/>
      <charset val="204"/>
    </font>
    <font>
      <u/>
      <sz val="12"/>
      <color theme="1"/>
      <name val="Times New Roman"/>
      <family val="1"/>
      <charset val="204"/>
    </font>
    <font>
      <sz val="8"/>
      <name val="Calibri"/>
      <family val="2"/>
      <scheme val="minor"/>
    </font>
    <font>
      <sz val="14"/>
      <color theme="1"/>
      <name val="Times New Roman"/>
      <family val="1"/>
      <charset val="204"/>
    </font>
    <font>
      <b/>
      <u/>
      <sz val="14"/>
      <color rgb="FF000000"/>
      <name val="Times New Roman"/>
      <family val="1"/>
      <charset val="204"/>
    </font>
    <font>
      <b/>
      <sz val="14"/>
      <color rgb="FF000000"/>
      <name val="Times New Roman"/>
      <family val="1"/>
      <charset val="204"/>
    </font>
    <font>
      <b/>
      <sz val="12"/>
      <color rgb="FF000000"/>
      <name val="Times New Roman"/>
      <family val="1"/>
      <charset val="204"/>
    </font>
    <font>
      <sz val="12"/>
      <color rgb="FF000000"/>
      <name val="Arial"/>
      <family val="2"/>
      <charset val="204"/>
    </font>
    <font>
      <sz val="12"/>
      <color rgb="FF333333"/>
      <name val="Arial"/>
      <family val="2"/>
      <charset val="204"/>
    </font>
    <font>
      <sz val="10"/>
      <color theme="1"/>
      <name val="Times New Roman"/>
      <family val="1"/>
      <charset val="204"/>
    </font>
    <font>
      <b/>
      <u/>
      <sz val="12"/>
      <name val="Times New Roman"/>
      <family val="1"/>
      <charset val="204"/>
    </font>
    <font>
      <u/>
      <sz val="11"/>
      <color theme="1"/>
      <name val="Calibri"/>
      <family val="2"/>
      <scheme val="minor"/>
    </font>
    <font>
      <sz val="12"/>
      <color theme="1"/>
      <name val="Arial"/>
      <family val="2"/>
      <charset val="204"/>
    </font>
    <font>
      <sz val="12"/>
      <color rgb="FF212529"/>
      <name val="Segoe UI"/>
      <family val="2"/>
      <charset val="204"/>
    </font>
    <font>
      <b/>
      <sz val="11"/>
      <color theme="1"/>
      <name val="Times New Roman"/>
      <family val="1"/>
      <charset val="204"/>
    </font>
    <font>
      <b/>
      <u/>
      <sz val="18"/>
      <name val="Calibri"/>
      <family val="2"/>
      <charset val="204"/>
      <scheme val="minor"/>
    </font>
    <font>
      <b/>
      <sz val="18"/>
      <name val="Times New Roman"/>
      <family val="1"/>
      <charset val="204"/>
    </font>
    <font>
      <u/>
      <sz val="12"/>
      <color rgb="FF000000"/>
      <name val="Times New Roman"/>
      <family val="1"/>
      <charset val="204"/>
    </font>
    <font>
      <sz val="11"/>
      <name val="Times New Roman"/>
      <family val="1"/>
      <charset val="204"/>
    </font>
    <font>
      <sz val="12"/>
      <color rgb="FF333333"/>
      <name val="Times New Roman"/>
      <family val="1"/>
      <charset val="204"/>
    </font>
    <font>
      <b/>
      <u/>
      <sz val="16"/>
      <name val="Times New Roman"/>
      <family val="1"/>
      <charset val="204"/>
    </font>
    <font>
      <sz val="11"/>
      <color rgb="FFFF0000"/>
      <name val="Times New Roman"/>
      <family val="1"/>
      <charset val="204"/>
    </font>
    <font>
      <sz val="12"/>
      <color rgb="FF222222"/>
      <name val="Times New Roman"/>
      <family val="1"/>
      <charset val="204"/>
    </font>
    <font>
      <u/>
      <sz val="14"/>
      <color theme="1"/>
      <name val="Times New Roman"/>
      <family val="1"/>
      <charset val="204"/>
    </font>
    <font>
      <u/>
      <sz val="11"/>
      <color theme="10"/>
      <name val="Calibri"/>
      <family val="2"/>
      <charset val="204"/>
      <scheme val="minor"/>
    </font>
    <font>
      <sz val="12"/>
      <color theme="1"/>
      <name val="Calibri"/>
      <family val="2"/>
      <charset val="204"/>
      <scheme val="minor"/>
    </font>
    <font>
      <u/>
      <sz val="12"/>
      <color rgb="FF0563C1"/>
      <name val="Times New Roman"/>
      <family val="1"/>
      <charset val="204"/>
    </font>
    <font>
      <sz val="12"/>
      <color theme="1"/>
      <name val="Calibri"/>
      <family val="2"/>
      <scheme val="minor"/>
    </font>
    <font>
      <b/>
      <sz val="14"/>
      <color theme="1"/>
      <name val="Calibri"/>
      <family val="2"/>
      <charset val="204"/>
      <scheme val="minor"/>
    </font>
    <font>
      <b/>
      <sz val="12"/>
      <color theme="1"/>
      <name val="Calibri"/>
      <family val="2"/>
      <charset val="204"/>
      <scheme val="minor"/>
    </font>
    <font>
      <sz val="14"/>
      <color theme="1"/>
      <name val="Calibri"/>
      <family val="2"/>
      <charset val="204"/>
      <scheme val="minor"/>
    </font>
    <font>
      <u/>
      <sz val="12"/>
      <color theme="10"/>
      <name val="Times New Roman"/>
      <family val="1"/>
      <charset val="204"/>
    </font>
    <font>
      <b/>
      <u/>
      <sz val="16"/>
      <name val="Calibri"/>
      <family val="2"/>
      <charset val="204"/>
      <scheme val="minor"/>
    </font>
    <font>
      <b/>
      <u/>
      <sz val="14"/>
      <name val="Times New Roman"/>
      <family val="1"/>
      <charset val="204"/>
    </font>
    <font>
      <sz val="18"/>
      <name val="Times New Roman"/>
      <family val="1"/>
      <charset val="204"/>
    </font>
    <font>
      <sz val="14"/>
      <color rgb="FF333333"/>
      <name val="Times New Roman"/>
      <family val="1"/>
      <charset val="204"/>
    </font>
    <font>
      <sz val="14"/>
      <color rgb="FF272727"/>
      <name val="Times New Roman"/>
      <family val="1"/>
      <charset val="204"/>
    </font>
    <font>
      <sz val="18"/>
      <color theme="1"/>
      <name val="Calibri"/>
      <family val="2"/>
      <scheme val="minor"/>
    </font>
    <font>
      <sz val="12"/>
      <name val="Times New Roman"/>
      <family val="1"/>
      <charset val="204"/>
    </font>
    <font>
      <sz val="12"/>
      <color rgb="FF333333"/>
      <name val="Calibri"/>
      <family val="2"/>
      <charset val="204"/>
      <scheme val="minor"/>
    </font>
    <font>
      <sz val="12"/>
      <color rgb="FF4A5661"/>
      <name val="Roboto"/>
    </font>
    <font>
      <sz val="11"/>
      <color rgb="FF2D343F"/>
      <name val="Times New Roman"/>
      <family val="1"/>
      <charset val="204"/>
    </font>
    <font>
      <u/>
      <sz val="11"/>
      <color theme="10"/>
      <name val="Times New Roman"/>
      <family val="1"/>
      <charset val="204"/>
    </font>
    <font>
      <sz val="12"/>
      <color theme="1"/>
      <name val="Segoe UI"/>
      <family val="2"/>
      <charset val="204"/>
    </font>
    <font>
      <b/>
      <u/>
      <sz val="12"/>
      <color theme="1"/>
      <name val="Times New Roman"/>
      <family val="1"/>
      <charset val="204"/>
    </font>
    <font>
      <sz val="11"/>
      <color theme="1"/>
      <name val="Arial"/>
      <family val="2"/>
      <charset val="204"/>
    </font>
    <font>
      <sz val="14"/>
      <color theme="1"/>
      <name val="Tahoma"/>
      <family val="2"/>
      <charset val="204"/>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FFFFFF"/>
        <bgColor rgb="FF000000"/>
      </patternFill>
    </fill>
    <fill>
      <patternFill patternType="solid">
        <fgColor rgb="FFD3C7FD"/>
        <bgColor indexed="64"/>
      </patternFill>
    </fill>
    <fill>
      <patternFill patternType="solid">
        <fgColor theme="7" tint="0.39997558519241921"/>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164" fontId="1" fillId="0" borderId="0" applyFon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cellStyleXfs>
  <cellXfs count="603">
    <xf numFmtId="0" fontId="0" fillId="0" borderId="0" xfId="0"/>
    <xf numFmtId="0" fontId="2" fillId="0" borderId="0" xfId="0" applyFont="1" applyFill="1" applyAlignment="1">
      <alignment horizontal="center" vertical="top"/>
    </xf>
    <xf numFmtId="0" fontId="2" fillId="0" borderId="0" xfId="0" applyFont="1" applyFill="1" applyAlignment="1">
      <alignment vertical="top"/>
    </xf>
    <xf numFmtId="0" fontId="3" fillId="0" borderId="0" xfId="0" applyFont="1" applyFill="1" applyAlignment="1">
      <alignment horizontal="left" vertical="top"/>
    </xf>
    <xf numFmtId="0" fontId="5" fillId="0" borderId="0" xfId="0" applyFont="1"/>
    <xf numFmtId="0" fontId="4" fillId="0" borderId="0" xfId="0" applyFont="1" applyFill="1" applyAlignment="1">
      <alignment horizontal="left" vertical="top"/>
    </xf>
    <xf numFmtId="0" fontId="0" fillId="0" borderId="0" xfId="0" applyAlignment="1">
      <alignment horizontal="left" vertical="top"/>
    </xf>
    <xf numFmtId="0" fontId="7" fillId="0" borderId="0" xfId="0" applyFont="1" applyAlignment="1">
      <alignment horizontal="center" wrapText="1"/>
    </xf>
    <xf numFmtId="0" fontId="8" fillId="0" borderId="0" xfId="0" applyFont="1" applyBorder="1" applyAlignment="1">
      <alignment horizontal="left" vertical="center"/>
    </xf>
    <xf numFmtId="0" fontId="9" fillId="0" borderId="0" xfId="0" applyFont="1" applyBorder="1" applyAlignment="1">
      <alignment horizontal="left"/>
    </xf>
    <xf numFmtId="0" fontId="7" fillId="0" borderId="0" xfId="0" applyFont="1" applyFill="1" applyAlignment="1">
      <alignment wrapText="1"/>
    </xf>
    <xf numFmtId="0" fontId="2" fillId="0" borderId="6" xfId="0" applyFont="1" applyFill="1" applyBorder="1" applyAlignment="1">
      <alignment horizontal="center" vertical="top"/>
    </xf>
    <xf numFmtId="0" fontId="3" fillId="0" borderId="6"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13" fillId="0" borderId="0" xfId="0" applyFont="1"/>
    <xf numFmtId="0" fontId="2" fillId="0" borderId="0" xfId="0" applyFont="1" applyFill="1" applyAlignment="1">
      <alignment vertical="top" wrapText="1"/>
    </xf>
    <xf numFmtId="0" fontId="2" fillId="0" borderId="0" xfId="0" applyFont="1" applyFill="1" applyAlignment="1">
      <alignment horizontal="center" vertical="top" wrapText="1"/>
    </xf>
    <xf numFmtId="164" fontId="2" fillId="0" borderId="0" xfId="1" applyFont="1" applyFill="1" applyAlignment="1">
      <alignment vertical="top"/>
    </xf>
    <xf numFmtId="0" fontId="14" fillId="0" borderId="0" xfId="0" applyFont="1" applyBorder="1" applyAlignment="1">
      <alignment horizontal="left" vertical="center"/>
    </xf>
    <xf numFmtId="0" fontId="12" fillId="0" borderId="0" xfId="0" applyFont="1" applyAlignment="1">
      <alignment horizontal="center"/>
    </xf>
    <xf numFmtId="0" fontId="16" fillId="0" borderId="0" xfId="0" applyFont="1"/>
    <xf numFmtId="0" fontId="11" fillId="0" borderId="0" xfId="0" applyFont="1" applyAlignment="1">
      <alignment wrapText="1"/>
    </xf>
    <xf numFmtId="0" fontId="11" fillId="0" borderId="0" xfId="0" applyFont="1" applyAlignment="1"/>
    <xf numFmtId="0" fontId="17" fillId="0" borderId="0" xfId="0" applyFont="1"/>
    <xf numFmtId="0" fontId="3" fillId="0" borderId="0" xfId="0" applyFont="1" applyFill="1" applyAlignment="1">
      <alignment horizontal="left" vertical="top"/>
    </xf>
    <xf numFmtId="0" fontId="4" fillId="0" borderId="0" xfId="0" applyFont="1" applyFill="1" applyAlignment="1">
      <alignment horizontal="left" vertical="top"/>
    </xf>
    <xf numFmtId="0" fontId="0" fillId="0" borderId="0" xfId="0" applyAlignment="1">
      <alignment horizontal="left" vertical="top"/>
    </xf>
    <xf numFmtId="0" fontId="3" fillId="0" borderId="0" xfId="0" applyFont="1" applyFill="1" applyAlignment="1">
      <alignment horizontal="left" vertical="top"/>
    </xf>
    <xf numFmtId="0" fontId="4" fillId="0" borderId="0" xfId="0" applyFont="1" applyFill="1" applyAlignment="1">
      <alignment horizontal="left" vertical="top"/>
    </xf>
    <xf numFmtId="0" fontId="0" fillId="0" borderId="0" xfId="0" applyAlignment="1">
      <alignment horizontal="left" vertical="top"/>
    </xf>
    <xf numFmtId="0" fontId="4" fillId="2" borderId="6" xfId="0" applyFont="1" applyFill="1" applyBorder="1" applyAlignment="1">
      <alignment horizontal="center" vertical="top" wrapText="1"/>
    </xf>
    <xf numFmtId="164" fontId="4" fillId="2" borderId="6" xfId="1" applyFont="1" applyFill="1" applyBorder="1" applyAlignment="1">
      <alignment horizontal="center" vertical="top" wrapText="1"/>
    </xf>
    <xf numFmtId="0" fontId="4" fillId="3" borderId="6" xfId="0" applyFont="1" applyFill="1" applyBorder="1" applyAlignment="1">
      <alignment horizontal="center" vertical="top"/>
    </xf>
    <xf numFmtId="0" fontId="4" fillId="3" borderId="6" xfId="0" applyFont="1" applyFill="1" applyBorder="1" applyAlignment="1">
      <alignment horizontal="center" vertical="top" wrapText="1"/>
    </xf>
    <xf numFmtId="0" fontId="4" fillId="3" borderId="6" xfId="0" applyFont="1" applyFill="1" applyBorder="1" applyAlignment="1">
      <alignment horizontal="center" vertical="center" wrapText="1"/>
    </xf>
    <xf numFmtId="0" fontId="4" fillId="0" borderId="6" xfId="0" applyFont="1" applyFill="1" applyBorder="1" applyAlignment="1">
      <alignment horizontal="center" vertical="top" wrapText="1"/>
    </xf>
    <xf numFmtId="0" fontId="21" fillId="0" borderId="4" xfId="2" applyFont="1" applyBorder="1" applyAlignment="1">
      <alignment horizontal="center" vertical="center" wrapText="1"/>
    </xf>
    <xf numFmtId="165" fontId="20" fillId="0" borderId="6" xfId="0" applyNumberFormat="1" applyFont="1" applyBorder="1" applyAlignment="1">
      <alignment horizontal="center" vertical="center"/>
    </xf>
    <xf numFmtId="14" fontId="20" fillId="0" borderId="6" xfId="0" applyNumberFormat="1" applyFont="1" applyBorder="1" applyAlignment="1">
      <alignment horizontal="center" vertical="center" wrapText="1"/>
    </xf>
    <xf numFmtId="0" fontId="20" fillId="0" borderId="6" xfId="0" applyFont="1" applyFill="1" applyBorder="1" applyAlignment="1">
      <alignment vertical="top" wrapText="1"/>
    </xf>
    <xf numFmtId="0" fontId="20" fillId="2" borderId="0" xfId="0" applyFont="1" applyFill="1" applyBorder="1" applyAlignment="1">
      <alignment horizontal="center" vertical="top"/>
    </xf>
    <xf numFmtId="0" fontId="20" fillId="2" borderId="0" xfId="0" applyFont="1" applyFill="1" applyBorder="1" applyAlignment="1">
      <alignment horizontal="center" vertical="center"/>
    </xf>
    <xf numFmtId="0" fontId="20" fillId="0" borderId="0" xfId="0" applyFont="1" applyFill="1" applyBorder="1" applyAlignment="1">
      <alignment vertical="top" wrapText="1"/>
    </xf>
    <xf numFmtId="0" fontId="20" fillId="0" borderId="0" xfId="0" applyFont="1" applyBorder="1" applyAlignment="1">
      <alignment horizontal="center" vertical="center"/>
    </xf>
    <xf numFmtId="0" fontId="2" fillId="0" borderId="0" xfId="0" applyFont="1" applyFill="1" applyBorder="1" applyAlignment="1">
      <alignment vertical="top"/>
    </xf>
    <xf numFmtId="165" fontId="20" fillId="0" borderId="0" xfId="0" applyNumberFormat="1" applyFont="1" applyBorder="1" applyAlignment="1">
      <alignment horizontal="center" vertical="center"/>
    </xf>
    <xf numFmtId="165" fontId="20" fillId="0" borderId="0" xfId="0" applyNumberFormat="1" applyFont="1" applyBorder="1" applyAlignment="1">
      <alignment horizontal="center" vertical="center" wrapText="1"/>
    </xf>
    <xf numFmtId="1" fontId="24" fillId="0" borderId="0" xfId="0" applyNumberFormat="1" applyFont="1" applyBorder="1" applyAlignment="1">
      <alignment horizontal="center" vertical="center"/>
    </xf>
    <xf numFmtId="0" fontId="24" fillId="0" borderId="0" xfId="0" applyFont="1" applyBorder="1" applyAlignment="1">
      <alignment horizontal="center" vertical="center"/>
    </xf>
    <xf numFmtId="0" fontId="22" fillId="0" borderId="0" xfId="0" applyFont="1" applyBorder="1" applyAlignment="1">
      <alignment horizontal="center" vertical="center"/>
    </xf>
    <xf numFmtId="14" fontId="20" fillId="0" borderId="0" xfId="0" applyNumberFormat="1" applyFont="1" applyBorder="1" applyAlignment="1">
      <alignment horizontal="center" vertical="center" wrapText="1"/>
    </xf>
    <xf numFmtId="0" fontId="2" fillId="0" borderId="6" xfId="0" applyFont="1" applyFill="1" applyBorder="1" applyAlignment="1">
      <alignment horizontal="center" vertical="top" wrapText="1"/>
    </xf>
    <xf numFmtId="0" fontId="20" fillId="0" borderId="4" xfId="0" applyFont="1" applyBorder="1" applyAlignment="1">
      <alignment horizontal="center" vertical="center" wrapText="1"/>
    </xf>
    <xf numFmtId="165" fontId="20" fillId="0" borderId="6" xfId="0" applyNumberFormat="1" applyFont="1" applyFill="1" applyBorder="1" applyAlignment="1">
      <alignment horizontal="center" vertical="center"/>
    </xf>
    <xf numFmtId="0" fontId="20" fillId="0" borderId="4" xfId="0" applyFont="1" applyFill="1" applyBorder="1" applyAlignment="1">
      <alignment horizontal="center" vertical="center" wrapText="1"/>
    </xf>
    <xf numFmtId="0" fontId="21" fillId="0" borderId="6" xfId="2" applyFont="1" applyFill="1" applyBorder="1" applyAlignment="1">
      <alignment horizontal="center" wrapText="1"/>
    </xf>
    <xf numFmtId="165" fontId="20" fillId="0" borderId="6" xfId="0" applyNumberFormat="1" applyFont="1" applyFill="1" applyBorder="1" applyAlignment="1">
      <alignment horizontal="center" vertical="center" wrapText="1"/>
    </xf>
    <xf numFmtId="0" fontId="24" fillId="0" borderId="6" xfId="0" applyFont="1" applyFill="1" applyBorder="1" applyAlignment="1">
      <alignment horizontal="center" vertical="center"/>
    </xf>
    <xf numFmtId="1" fontId="24" fillId="0" borderId="6" xfId="0" applyNumberFormat="1" applyFont="1" applyFill="1" applyBorder="1" applyAlignment="1">
      <alignment horizontal="center" vertical="center"/>
    </xf>
    <xf numFmtId="0" fontId="23" fillId="0" borderId="6" xfId="2" applyFont="1" applyFill="1" applyBorder="1" applyAlignment="1">
      <alignment horizontal="center" wrapText="1"/>
    </xf>
    <xf numFmtId="0" fontId="3" fillId="0" borderId="4" xfId="0" applyFont="1" applyFill="1" applyBorder="1" applyAlignment="1">
      <alignment horizontal="center" vertical="center" wrapText="1"/>
    </xf>
    <xf numFmtId="0" fontId="20" fillId="0" borderId="6" xfId="0" applyFont="1" applyFill="1" applyBorder="1" applyAlignment="1">
      <alignment horizontal="center" vertical="top"/>
    </xf>
    <xf numFmtId="0" fontId="20" fillId="0" borderId="6" xfId="0" applyFont="1" applyFill="1" applyBorder="1" applyAlignment="1">
      <alignment horizontal="center" vertical="top" wrapText="1"/>
    </xf>
    <xf numFmtId="0" fontId="20" fillId="0" borderId="6" xfId="0" applyNumberFormat="1" applyFont="1" applyFill="1" applyBorder="1" applyAlignment="1">
      <alignment horizontal="center" vertical="top" wrapText="1"/>
    </xf>
    <xf numFmtId="1" fontId="20" fillId="0" borderId="6" xfId="0" applyNumberFormat="1" applyFont="1" applyFill="1" applyBorder="1" applyAlignment="1">
      <alignment horizontal="center" vertical="top" wrapText="1"/>
    </xf>
    <xf numFmtId="2" fontId="20" fillId="0" borderId="6" xfId="0" applyNumberFormat="1" applyFont="1" applyFill="1" applyBorder="1" applyAlignment="1">
      <alignment horizontal="center" vertical="top" wrapText="1"/>
    </xf>
    <xf numFmtId="14" fontId="2" fillId="0" borderId="6" xfId="0" applyNumberFormat="1" applyFont="1" applyFill="1" applyBorder="1" applyAlignment="1">
      <alignment horizontal="center" vertical="center" wrapText="1"/>
    </xf>
    <xf numFmtId="2" fontId="20" fillId="0" borderId="6" xfId="0" applyNumberFormat="1"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0" borderId="6"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top"/>
    </xf>
    <xf numFmtId="0" fontId="25" fillId="0" borderId="0" xfId="0" applyFont="1" applyAlignment="1"/>
    <xf numFmtId="1" fontId="24" fillId="0" borderId="4" xfId="0" applyNumberFormat="1" applyFont="1" applyFill="1" applyBorder="1" applyAlignment="1">
      <alignment horizontal="center" vertical="center"/>
    </xf>
    <xf numFmtId="0" fontId="24" fillId="0" borderId="4" xfId="0" applyFont="1" applyFill="1" applyBorder="1" applyAlignment="1">
      <alignment horizontal="center" vertical="center"/>
    </xf>
    <xf numFmtId="0" fontId="25" fillId="0" borderId="0" xfId="0" applyFont="1" applyAlignment="1">
      <alignment horizontal="center"/>
    </xf>
    <xf numFmtId="0" fontId="2" fillId="0" borderId="6" xfId="0" applyFont="1" applyFill="1" applyBorder="1" applyAlignment="1">
      <alignment vertical="top"/>
    </xf>
    <xf numFmtId="0" fontId="4" fillId="2" borderId="6" xfId="0" applyFont="1" applyFill="1" applyBorder="1" applyAlignment="1">
      <alignment horizontal="center" vertical="top" wrapText="1"/>
    </xf>
    <xf numFmtId="0" fontId="3" fillId="0" borderId="0" xfId="0" applyFont="1" applyFill="1" applyAlignment="1">
      <alignment horizontal="left" vertical="top"/>
    </xf>
    <xf numFmtId="0" fontId="4" fillId="0" borderId="0" xfId="0" applyFont="1" applyFill="1" applyAlignment="1">
      <alignment horizontal="left" vertical="top"/>
    </xf>
    <xf numFmtId="0" fontId="0" fillId="0" borderId="0" xfId="0" applyAlignment="1">
      <alignment horizontal="left" vertical="top"/>
    </xf>
    <xf numFmtId="0" fontId="6" fillId="0" borderId="0" xfId="0" applyFont="1" applyBorder="1" applyAlignment="1">
      <alignment horizontal="center" wrapText="1"/>
    </xf>
    <xf numFmtId="0" fontId="12" fillId="0" borderId="0" xfId="0" applyFont="1" applyAlignment="1">
      <alignment horizontal="right"/>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left" wrapText="1"/>
    </xf>
    <xf numFmtId="0" fontId="15" fillId="0" borderId="0" xfId="0" applyFont="1" applyAlignment="1">
      <alignment horizontal="left" wrapText="1"/>
    </xf>
    <xf numFmtId="0" fontId="2" fillId="0" borderId="0" xfId="0" applyFont="1" applyFill="1" applyAlignment="1"/>
    <xf numFmtId="0" fontId="2" fillId="0" borderId="0" xfId="0" applyFont="1" applyFill="1" applyAlignment="1">
      <alignment wrapText="1"/>
    </xf>
    <xf numFmtId="0" fontId="2" fillId="0" borderId="0" xfId="0" applyFont="1" applyFill="1" applyAlignment="1">
      <alignment horizontal="center" wrapText="1"/>
    </xf>
    <xf numFmtId="0" fontId="16" fillId="0" borderId="0" xfId="0" applyFont="1" applyFill="1" applyAlignment="1">
      <alignment horizontal="left"/>
    </xf>
    <xf numFmtId="0" fontId="16" fillId="0" borderId="0" xfId="0" applyFont="1" applyFill="1" applyAlignment="1">
      <alignment horizontal="center"/>
    </xf>
    <xf numFmtId="0" fontId="0" fillId="0" borderId="0" xfId="0" applyFill="1"/>
    <xf numFmtId="0" fontId="0" fillId="0" borderId="0" xfId="0" applyFill="1" applyAlignment="1"/>
    <xf numFmtId="0" fontId="0" fillId="0" borderId="0" xfId="0" applyFill="1" applyAlignment="1">
      <alignment horizontal="center"/>
    </xf>
    <xf numFmtId="0" fontId="17" fillId="0" borderId="0" xfId="0" applyFont="1" applyFill="1" applyBorder="1" applyAlignment="1"/>
    <xf numFmtId="0" fontId="15" fillId="0" borderId="0" xfId="0" applyFont="1" applyFill="1" applyAlignment="1">
      <alignment horizontal="left"/>
    </xf>
    <xf numFmtId="0" fontId="27" fillId="0" borderId="0" xfId="0" applyFont="1" applyFill="1" applyAlignment="1">
      <alignment horizontal="left"/>
    </xf>
    <xf numFmtId="0" fontId="15" fillId="0" borderId="0" xfId="0" applyFont="1" applyFill="1" applyAlignment="1">
      <alignment horizontal="center"/>
    </xf>
    <xf numFmtId="0" fontId="27" fillId="0" borderId="0" xfId="0" applyFont="1" applyFill="1" applyAlignment="1"/>
    <xf numFmtId="0" fontId="27" fillId="0" borderId="0" xfId="0" applyFont="1" applyFill="1" applyAlignment="1">
      <alignment horizontal="center"/>
    </xf>
    <xf numFmtId="0" fontId="27" fillId="0" borderId="0" xfId="0" applyFont="1" applyFill="1" applyAlignment="1">
      <alignment wrapText="1"/>
    </xf>
    <xf numFmtId="0" fontId="13" fillId="0" borderId="0" xfId="0" applyFont="1" applyFill="1" applyAlignment="1">
      <alignment wrapText="1"/>
    </xf>
    <xf numFmtId="0" fontId="0" fillId="0" borderId="0" xfId="0" applyFill="1" applyAlignment="1">
      <alignment horizontal="left" wrapText="1"/>
    </xf>
    <xf numFmtId="0" fontId="13" fillId="0" borderId="0" xfId="0" applyFont="1" applyFill="1" applyAlignment="1">
      <alignment horizontal="center" wrapText="1"/>
    </xf>
    <xf numFmtId="0" fontId="28" fillId="0" borderId="0" xfId="0" applyFont="1" applyFill="1" applyBorder="1" applyAlignment="1"/>
    <xf numFmtId="0" fontId="15" fillId="0" borderId="0" xfId="0" applyFont="1" applyFill="1" applyAlignment="1">
      <alignment horizontal="left" wrapText="1"/>
    </xf>
    <xf numFmtId="0" fontId="29" fillId="0" borderId="0" xfId="0" applyFont="1" applyFill="1" applyAlignment="1">
      <alignment horizontal="center"/>
    </xf>
    <xf numFmtId="0" fontId="29" fillId="0" borderId="0" xfId="0" applyFont="1" applyFill="1" applyAlignment="1">
      <alignment horizontal="left"/>
    </xf>
    <xf numFmtId="0" fontId="15" fillId="0" borderId="0" xfId="0" applyFont="1" applyFill="1" applyBorder="1" applyAlignment="1"/>
    <xf numFmtId="0" fontId="15" fillId="0" borderId="0" xfId="0" applyFont="1" applyFill="1" applyBorder="1" applyAlignment="1">
      <alignment horizontal="center"/>
    </xf>
    <xf numFmtId="0" fontId="15" fillId="0" borderId="0" xfId="0" applyFont="1" applyFill="1" applyBorder="1"/>
    <xf numFmtId="0" fontId="27" fillId="0" borderId="0" xfId="0" applyFont="1" applyFill="1"/>
    <xf numFmtId="0" fontId="13" fillId="0" borderId="0" xfId="0" applyFont="1" applyFill="1" applyAlignment="1"/>
    <xf numFmtId="0" fontId="13" fillId="0" borderId="0" xfId="0" applyFont="1" applyFill="1" applyAlignment="1">
      <alignment horizontal="center"/>
    </xf>
    <xf numFmtId="0" fontId="13" fillId="0" borderId="0" xfId="0" applyFont="1" applyFill="1"/>
    <xf numFmtId="0" fontId="12" fillId="0" borderId="0" xfId="0" applyFont="1" applyFill="1" applyAlignment="1">
      <alignment horizontal="center"/>
    </xf>
    <xf numFmtId="0" fontId="12" fillId="0" borderId="0" xfId="0" applyFont="1" applyFill="1" applyAlignment="1"/>
    <xf numFmtId="14" fontId="2" fillId="0" borderId="6" xfId="0" applyNumberFormat="1" applyFont="1" applyFill="1" applyBorder="1" applyAlignment="1"/>
    <xf numFmtId="0" fontId="3" fillId="0" borderId="6" xfId="0" applyFont="1" applyFill="1" applyBorder="1" applyAlignment="1">
      <alignment horizontal="center" wrapText="1"/>
    </xf>
    <xf numFmtId="164" fontId="2" fillId="0" borderId="6" xfId="0" applyNumberFormat="1" applyFont="1" applyFill="1" applyBorder="1" applyAlignment="1"/>
    <xf numFmtId="49" fontId="13" fillId="0" borderId="6" xfId="0" applyNumberFormat="1" applyFont="1" applyFill="1" applyBorder="1" applyAlignment="1">
      <alignment horizontal="center" wrapText="1"/>
    </xf>
    <xf numFmtId="0" fontId="13" fillId="0" borderId="6" xfId="0" applyFont="1" applyFill="1" applyBorder="1" applyAlignment="1">
      <alignment horizontal="center" wrapText="1"/>
    </xf>
    <xf numFmtId="49" fontId="2" fillId="0" borderId="6" xfId="0" applyNumberFormat="1" applyFont="1" applyFill="1" applyBorder="1" applyAlignment="1">
      <alignment horizontal="center" wrapText="1"/>
    </xf>
    <xf numFmtId="0" fontId="2" fillId="0" borderId="6" xfId="0" applyFont="1" applyFill="1" applyBorder="1" applyAlignment="1">
      <alignment horizontal="center" wrapText="1"/>
    </xf>
    <xf numFmtId="164" fontId="5" fillId="0" borderId="6" xfId="0" applyNumberFormat="1" applyFont="1" applyFill="1" applyBorder="1" applyAlignment="1">
      <alignment wrapText="1"/>
    </xf>
    <xf numFmtId="0" fontId="2" fillId="0" borderId="6" xfId="0" applyFont="1" applyFill="1" applyBorder="1" applyAlignment="1">
      <alignment horizontal="left" wrapText="1"/>
    </xf>
    <xf numFmtId="0" fontId="2" fillId="0" borderId="6" xfId="0" applyFont="1" applyFill="1" applyBorder="1" applyAlignment="1">
      <alignment horizontal="center"/>
    </xf>
    <xf numFmtId="49" fontId="2" fillId="0" borderId="6" xfId="0" applyNumberFormat="1" applyFont="1" applyFill="1" applyBorder="1" applyAlignment="1">
      <alignment horizontal="center"/>
    </xf>
    <xf numFmtId="49" fontId="13" fillId="0" borderId="6" xfId="0" applyNumberFormat="1" applyFont="1" applyFill="1" applyBorder="1" applyAlignment="1">
      <alignment horizontal="center"/>
    </xf>
    <xf numFmtId="1" fontId="13" fillId="0" borderId="6" xfId="0" applyNumberFormat="1" applyFont="1" applyFill="1" applyBorder="1" applyAlignment="1">
      <alignment horizontal="center" wrapText="1"/>
    </xf>
    <xf numFmtId="164" fontId="2" fillId="0" borderId="6" xfId="1" applyFont="1" applyFill="1" applyBorder="1" applyAlignment="1">
      <alignment horizontal="center" wrapText="1"/>
    </xf>
    <xf numFmtId="0" fontId="33" fillId="0" borderId="6" xfId="0" applyFont="1" applyFill="1" applyBorder="1" applyAlignment="1">
      <alignment vertical="top" wrapText="1"/>
    </xf>
    <xf numFmtId="49" fontId="0" fillId="0" borderId="6" xfId="0" applyNumberFormat="1" applyFont="1" applyFill="1" applyBorder="1" applyAlignment="1">
      <alignment wrapText="1"/>
    </xf>
    <xf numFmtId="164" fontId="13" fillId="0" borderId="6" xfId="1" applyFont="1" applyFill="1" applyBorder="1" applyAlignment="1">
      <alignment horizontal="center" wrapText="1"/>
    </xf>
    <xf numFmtId="0" fontId="35" fillId="0" borderId="6" xfId="2" applyFont="1" applyFill="1" applyBorder="1" applyAlignment="1">
      <alignment horizontal="center" wrapText="1"/>
    </xf>
    <xf numFmtId="0" fontId="36" fillId="0" borderId="6" xfId="0" applyFont="1" applyFill="1" applyBorder="1"/>
    <xf numFmtId="0" fontId="36" fillId="0" borderId="6" xfId="0" applyFont="1" applyFill="1" applyBorder="1" applyAlignment="1">
      <alignment horizontal="center"/>
    </xf>
    <xf numFmtId="164" fontId="13" fillId="0" borderId="6" xfId="0" applyNumberFormat="1" applyFont="1" applyFill="1" applyBorder="1" applyAlignment="1"/>
    <xf numFmtId="0" fontId="13" fillId="0" borderId="6" xfId="0" applyFont="1" applyFill="1" applyBorder="1" applyAlignment="1">
      <alignment horizontal="left" wrapText="1"/>
    </xf>
    <xf numFmtId="0" fontId="35" fillId="0" borderId="6" xfId="2" applyNumberFormat="1" applyFont="1" applyFill="1" applyBorder="1" applyAlignment="1" applyProtection="1">
      <alignment horizontal="center" wrapText="1"/>
    </xf>
    <xf numFmtId="0" fontId="0" fillId="0" borderId="6" xfId="2" applyNumberFormat="1" applyFont="1" applyFill="1" applyBorder="1" applyAlignment="1" applyProtection="1">
      <alignment horizontal="center" wrapText="1"/>
    </xf>
    <xf numFmtId="164" fontId="13" fillId="0" borderId="6" xfId="0" applyNumberFormat="1" applyFont="1" applyFill="1" applyBorder="1" applyAlignment="1">
      <alignment horizontal="center"/>
    </xf>
    <xf numFmtId="164" fontId="2" fillId="0" borderId="0" xfId="0" applyNumberFormat="1" applyFont="1" applyFill="1" applyAlignment="1">
      <alignment vertical="top"/>
    </xf>
    <xf numFmtId="164" fontId="2" fillId="0" borderId="6" xfId="0" applyNumberFormat="1" applyFont="1" applyFill="1" applyBorder="1" applyAlignment="1">
      <alignment horizontal="center"/>
    </xf>
    <xf numFmtId="164" fontId="2" fillId="0" borderId="6" xfId="1" applyFont="1" applyFill="1" applyBorder="1" applyAlignment="1">
      <alignment horizontal="left" wrapText="1"/>
    </xf>
    <xf numFmtId="49" fontId="2" fillId="0" borderId="6" xfId="0" applyNumberFormat="1" applyFont="1" applyFill="1" applyBorder="1" applyAlignment="1">
      <alignment wrapText="1"/>
    </xf>
    <xf numFmtId="0" fontId="3" fillId="0" borderId="6" xfId="0" applyFont="1" applyFill="1" applyBorder="1" applyAlignment="1">
      <alignment horizontal="center" vertical="top" wrapText="1"/>
    </xf>
    <xf numFmtId="164" fontId="3" fillId="0" borderId="6" xfId="1" applyFont="1" applyFill="1" applyBorder="1" applyAlignment="1">
      <alignment horizontal="center" vertical="center" wrapText="1"/>
    </xf>
    <xf numFmtId="0" fontId="9" fillId="0" borderId="0" xfId="0" applyFont="1" applyFill="1" applyBorder="1" applyAlignment="1">
      <alignment horizontal="left"/>
    </xf>
    <xf numFmtId="0" fontId="9" fillId="0" borderId="0" xfId="0" applyFont="1" applyFill="1" applyBorder="1" applyAlignment="1">
      <alignment horizontal="center"/>
    </xf>
    <xf numFmtId="0" fontId="8" fillId="0" borderId="0" xfId="0" applyFont="1" applyFill="1" applyBorder="1" applyAlignment="1">
      <alignment horizontal="left" vertical="center"/>
    </xf>
    <xf numFmtId="0" fontId="14" fillId="0" borderId="0" xfId="0" applyFont="1" applyFill="1" applyBorder="1" applyAlignment="1">
      <alignment horizontal="left" vertical="center"/>
    </xf>
    <xf numFmtId="0" fontId="7" fillId="0" borderId="0" xfId="0" applyFont="1" applyFill="1" applyAlignment="1">
      <alignment horizontal="center" wrapText="1"/>
    </xf>
    <xf numFmtId="0" fontId="3" fillId="0" borderId="0" xfId="0" applyFont="1" applyFill="1" applyAlignment="1">
      <alignment horizontal="left"/>
    </xf>
    <xf numFmtId="0" fontId="3" fillId="0" borderId="0" xfId="0" applyFont="1" applyFill="1" applyAlignment="1">
      <alignment horizontal="center"/>
    </xf>
    <xf numFmtId="2" fontId="2" fillId="0" borderId="0" xfId="0" applyNumberFormat="1" applyFont="1" applyFill="1" applyAlignment="1">
      <alignment vertical="top"/>
    </xf>
    <xf numFmtId="2" fontId="13" fillId="0" borderId="0" xfId="0" applyNumberFormat="1" applyFont="1"/>
    <xf numFmtId="0" fontId="25" fillId="0" borderId="0" xfId="0" applyFont="1"/>
    <xf numFmtId="2" fontId="41" fillId="0" borderId="0" xfId="0" applyNumberFormat="1" applyFont="1"/>
    <xf numFmtId="164" fontId="2" fillId="0" borderId="0" xfId="1" applyFont="1" applyFill="1" applyAlignment="1"/>
    <xf numFmtId="0" fontId="2" fillId="2" borderId="0" xfId="0" applyFont="1" applyFill="1" applyBorder="1" applyAlignment="1">
      <alignment horizontal="center" vertical="center"/>
    </xf>
    <xf numFmtId="2" fontId="13" fillId="0" borderId="6" xfId="0" applyNumberFormat="1" applyFont="1" applyBorder="1" applyAlignment="1">
      <alignment horizontal="center" vertical="center" wrapText="1"/>
    </xf>
    <xf numFmtId="4" fontId="13"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165" fontId="2" fillId="0" borderId="6" xfId="0" applyNumberFormat="1" applyFont="1" applyBorder="1" applyAlignment="1">
      <alignment horizontal="center" vertical="center" wrapText="1"/>
    </xf>
    <xf numFmtId="165" fontId="2" fillId="0" borderId="6" xfId="0" applyNumberFormat="1" applyFont="1" applyBorder="1" applyAlignment="1">
      <alignment horizontal="center" vertical="center"/>
    </xf>
    <xf numFmtId="0" fontId="10" fillId="0" borderId="6" xfId="2" applyFill="1" applyBorder="1" applyAlignment="1" applyProtection="1">
      <alignment horizontal="center" vertical="center" wrapText="1"/>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wrapText="1"/>
    </xf>
    <xf numFmtId="0" fontId="10" fillId="0" borderId="6" xfId="2" applyNumberFormat="1" applyFill="1" applyBorder="1" applyAlignment="1" applyProtection="1">
      <alignment horizontal="center" vertical="center" wrapText="1"/>
    </xf>
    <xf numFmtId="0" fontId="13" fillId="0" borderId="6" xfId="0" applyFont="1" applyBorder="1" applyAlignment="1">
      <alignment horizontal="center" vertical="center" wrapText="1"/>
    </xf>
    <xf numFmtId="0" fontId="42" fillId="0"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43" fillId="0" borderId="6" xfId="0" applyFont="1" applyBorder="1" applyAlignment="1">
      <alignment horizontal="center" vertical="center" wrapText="1"/>
    </xf>
    <xf numFmtId="2" fontId="2" fillId="0" borderId="6" xfId="0" applyNumberFormat="1" applyFont="1" applyBorder="1" applyAlignment="1">
      <alignment vertical="center" wrapText="1"/>
    </xf>
    <xf numFmtId="164" fontId="2" fillId="0" borderId="6" xfId="0" applyNumberFormat="1" applyFont="1" applyBorder="1" applyAlignment="1">
      <alignment vertical="center" wrapText="1"/>
    </xf>
    <xf numFmtId="1" fontId="2" fillId="0" borderId="6"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10" fillId="0" borderId="6" xfId="2" applyFill="1" applyBorder="1" applyAlignment="1">
      <alignment horizontal="center" vertical="center" wrapText="1"/>
    </xf>
    <xf numFmtId="164" fontId="13" fillId="0" borderId="6" xfId="0" applyNumberFormat="1" applyFont="1" applyBorder="1" applyAlignment="1">
      <alignment horizontal="center" vertical="center"/>
    </xf>
    <xf numFmtId="0" fontId="2" fillId="2" borderId="6"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2" borderId="6" xfId="0" applyFont="1" applyFill="1" applyBorder="1" applyAlignment="1">
      <alignment horizontal="center" vertical="center"/>
    </xf>
    <xf numFmtId="164" fontId="2" fillId="0" borderId="6" xfId="0" applyNumberFormat="1" applyFont="1" applyBorder="1" applyAlignment="1">
      <alignment horizontal="left" vertical="center" wrapText="1"/>
    </xf>
    <xf numFmtId="2" fontId="2" fillId="0" borderId="6" xfId="0" applyNumberFormat="1" applyFont="1" applyFill="1" applyBorder="1" applyAlignment="1">
      <alignment horizontal="center" vertical="center" wrapText="1"/>
    </xf>
    <xf numFmtId="164" fontId="2" fillId="0" borderId="6" xfId="0" applyNumberFormat="1" applyFont="1" applyFill="1" applyBorder="1" applyAlignment="1">
      <alignment vertical="center" wrapText="1"/>
    </xf>
    <xf numFmtId="164" fontId="2" fillId="0" borderId="6" xfId="3" applyFont="1" applyFill="1" applyBorder="1" applyAlignment="1">
      <alignment horizontal="left" vertical="center" wrapText="1"/>
    </xf>
    <xf numFmtId="49" fontId="2" fillId="0" borderId="6" xfId="0" applyNumberFormat="1" applyFont="1" applyFill="1" applyBorder="1" applyAlignment="1">
      <alignment horizontal="center" vertical="center" wrapText="1"/>
    </xf>
    <xf numFmtId="0" fontId="2" fillId="0" borderId="6" xfId="0" applyFont="1" applyFill="1" applyBorder="1" applyAlignment="1">
      <alignment horizontal="center" vertical="center"/>
    </xf>
    <xf numFmtId="1" fontId="13" fillId="0" borderId="6" xfId="0" applyNumberFormat="1" applyFont="1" applyBorder="1" applyAlignment="1">
      <alignment horizontal="center" vertical="center"/>
    </xf>
    <xf numFmtId="164" fontId="2" fillId="0" borderId="6" xfId="0" applyNumberFormat="1" applyFont="1" applyFill="1" applyBorder="1" applyAlignment="1">
      <alignment horizontal="center" vertical="center" wrapText="1"/>
    </xf>
    <xf numFmtId="2" fontId="3" fillId="0" borderId="6" xfId="0" applyNumberFormat="1" applyFont="1" applyFill="1" applyBorder="1" applyAlignment="1">
      <alignment horizontal="center" vertical="center" wrapText="1"/>
    </xf>
    <xf numFmtId="0" fontId="3" fillId="0" borderId="6" xfId="0" applyFont="1" applyFill="1" applyBorder="1" applyAlignment="1">
      <alignment horizontal="left" vertical="center" wrapText="1"/>
    </xf>
    <xf numFmtId="49" fontId="3" fillId="0" borderId="6" xfId="0" applyNumberFormat="1" applyFont="1" applyFill="1" applyBorder="1" applyAlignment="1">
      <alignment horizontal="center" vertical="center"/>
    </xf>
    <xf numFmtId="0" fontId="2" fillId="3" borderId="6" xfId="0" applyFont="1" applyFill="1" applyBorder="1" applyAlignment="1">
      <alignment horizontal="center" vertical="top"/>
    </xf>
    <xf numFmtId="2" fontId="2" fillId="3" borderId="6" xfId="0" applyNumberFormat="1" applyFont="1" applyFill="1" applyBorder="1" applyAlignment="1">
      <alignment horizontal="center" vertical="top"/>
    </xf>
    <xf numFmtId="0" fontId="2" fillId="0" borderId="0" xfId="0" applyFont="1" applyFill="1" applyAlignment="1">
      <alignment horizontal="center" vertical="center"/>
    </xf>
    <xf numFmtId="0" fontId="3" fillId="2" borderId="6" xfId="0" applyFont="1" applyFill="1" applyBorder="1" applyAlignment="1">
      <alignment horizontal="center" vertical="center" wrapText="1"/>
    </xf>
    <xf numFmtId="164" fontId="3" fillId="2" borderId="6" xfId="1" applyFont="1" applyFill="1" applyBorder="1" applyAlignment="1">
      <alignment horizontal="center" vertical="center" wrapText="1"/>
    </xf>
    <xf numFmtId="2" fontId="2" fillId="0" borderId="0" xfId="0" applyNumberFormat="1" applyFont="1" applyFill="1" applyAlignment="1">
      <alignment wrapText="1"/>
    </xf>
    <xf numFmtId="0" fontId="3" fillId="0" borderId="0" xfId="0" applyFont="1" applyBorder="1" applyAlignment="1">
      <alignment horizontal="left"/>
    </xf>
    <xf numFmtId="0" fontId="3" fillId="0" borderId="0" xfId="0" applyFont="1" applyBorder="1" applyAlignment="1">
      <alignment horizontal="left" vertical="center"/>
    </xf>
    <xf numFmtId="0" fontId="34" fillId="0" borderId="0" xfId="0" applyFont="1" applyBorder="1" applyAlignment="1">
      <alignment horizontal="left" vertical="center"/>
    </xf>
    <xf numFmtId="0" fontId="2" fillId="0" borderId="0" xfId="0" applyFont="1" applyAlignment="1">
      <alignment horizontal="center" wrapText="1"/>
    </xf>
    <xf numFmtId="2" fontId="12" fillId="0" borderId="0" xfId="0" applyNumberFormat="1" applyFont="1" applyBorder="1" applyAlignment="1">
      <alignment horizontal="center" wrapText="1"/>
    </xf>
    <xf numFmtId="0" fontId="11" fillId="0" borderId="0" xfId="0" applyFont="1"/>
    <xf numFmtId="0" fontId="13" fillId="0" borderId="0" xfId="0" applyFont="1" applyAlignment="1">
      <alignment horizontal="left" vertical="top"/>
    </xf>
    <xf numFmtId="0" fontId="12" fillId="0" borderId="0" xfId="0" applyFont="1" applyBorder="1" applyAlignment="1">
      <alignment horizontal="center" wrapText="1"/>
    </xf>
    <xf numFmtId="0" fontId="41" fillId="0" borderId="0" xfId="0" applyFont="1"/>
    <xf numFmtId="0" fontId="2" fillId="0" borderId="5" xfId="0" applyFont="1" applyFill="1" applyBorder="1" applyAlignment="1">
      <alignment horizontal="center" vertical="center"/>
    </xf>
    <xf numFmtId="1" fontId="13" fillId="0" borderId="6" xfId="0" applyNumberFormat="1" applyFont="1" applyFill="1" applyBorder="1" applyAlignment="1">
      <alignment horizontal="center" vertical="center"/>
    </xf>
    <xf numFmtId="14" fontId="2" fillId="0" borderId="6" xfId="0" applyNumberFormat="1" applyFont="1" applyFill="1" applyBorder="1" applyAlignment="1">
      <alignment horizontal="center" vertical="center"/>
    </xf>
    <xf numFmtId="14" fontId="2" fillId="0" borderId="0" xfId="0" applyNumberFormat="1" applyFont="1" applyFill="1" applyBorder="1" applyAlignment="1"/>
    <xf numFmtId="0" fontId="3" fillId="0" borderId="0" xfId="0" applyFont="1" applyFill="1" applyBorder="1" applyAlignment="1">
      <alignment horizontal="center" wrapText="1"/>
    </xf>
    <xf numFmtId="164" fontId="2" fillId="0" borderId="0" xfId="0" applyNumberFormat="1" applyFont="1" applyFill="1" applyBorder="1" applyAlignment="1"/>
    <xf numFmtId="0" fontId="2" fillId="0" borderId="0" xfId="0" applyFont="1" applyFill="1" applyBorder="1" applyAlignment="1">
      <alignment horizontal="center" wrapText="1"/>
    </xf>
    <xf numFmtId="4" fontId="2" fillId="0" borderId="0" xfId="0" applyNumberFormat="1" applyFont="1" applyFill="1" applyBorder="1" applyAlignment="1">
      <alignment horizontal="right"/>
    </xf>
    <xf numFmtId="49" fontId="2" fillId="0" borderId="0" xfId="0" applyNumberFormat="1" applyFont="1" applyFill="1" applyBorder="1" applyAlignment="1">
      <alignment horizontal="center"/>
    </xf>
    <xf numFmtId="164" fontId="45" fillId="0" borderId="0" xfId="0" applyNumberFormat="1" applyFont="1" applyFill="1" applyBorder="1" applyAlignment="1">
      <alignment wrapText="1"/>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xf>
    <xf numFmtId="0" fontId="2" fillId="0" borderId="0" xfId="0" applyFont="1" applyFill="1" applyBorder="1" applyAlignment="1">
      <alignment horizontal="center"/>
    </xf>
    <xf numFmtId="0" fontId="10" fillId="0" borderId="6" xfId="2" applyNumberFormat="1" applyFill="1" applyBorder="1" applyAlignment="1" applyProtection="1">
      <alignment horizontal="center" wrapText="1"/>
    </xf>
    <xf numFmtId="0" fontId="31" fillId="0" borderId="6" xfId="0" applyFont="1" applyFill="1" applyBorder="1"/>
    <xf numFmtId="1" fontId="32" fillId="0" borderId="3" xfId="0" applyNumberFormat="1" applyFont="1" applyFill="1" applyBorder="1" applyAlignment="1"/>
    <xf numFmtId="0" fontId="32" fillId="0" borderId="6" xfId="0" applyFont="1" applyFill="1" applyBorder="1" applyAlignment="1">
      <alignment horizontal="left" vertical="center" wrapText="1" indent="1"/>
    </xf>
    <xf numFmtId="0" fontId="13" fillId="0" borderId="6" xfId="0" applyFont="1" applyFill="1" applyBorder="1" applyAlignment="1">
      <alignment vertical="top" wrapText="1"/>
    </xf>
    <xf numFmtId="0" fontId="42" fillId="0" borderId="6" xfId="0" applyFont="1" applyBorder="1" applyAlignment="1">
      <alignment horizontal="center" wrapText="1"/>
    </xf>
    <xf numFmtId="0" fontId="31" fillId="0" borderId="6" xfId="0" applyFont="1" applyFill="1" applyBorder="1" applyAlignment="1">
      <alignment wrapText="1"/>
    </xf>
    <xf numFmtId="1" fontId="2" fillId="0" borderId="6" xfId="0" applyNumberFormat="1" applyFont="1" applyFill="1" applyBorder="1" applyAlignment="1">
      <alignment horizontal="center"/>
    </xf>
    <xf numFmtId="1" fontId="46" fillId="0" borderId="0" xfId="0" applyNumberFormat="1" applyFont="1" applyFill="1"/>
    <xf numFmtId="0" fontId="42" fillId="0" borderId="6" xfId="0" applyFont="1" applyFill="1" applyBorder="1" applyAlignment="1">
      <alignment horizontal="center" wrapText="1"/>
    </xf>
    <xf numFmtId="49" fontId="10" fillId="0" borderId="6" xfId="2" applyNumberFormat="1" applyFill="1" applyBorder="1" applyAlignment="1">
      <alignment horizontal="center" wrapText="1"/>
    </xf>
    <xf numFmtId="164" fontId="10" fillId="0" borderId="6" xfId="2" applyNumberFormat="1" applyFill="1" applyBorder="1" applyAlignment="1">
      <alignment horizontal="center" wrapText="1"/>
    </xf>
    <xf numFmtId="0" fontId="13" fillId="0" borderId="0" xfId="0" applyFont="1" applyFill="1" applyAlignment="1">
      <alignment vertical="top"/>
    </xf>
    <xf numFmtId="0" fontId="12" fillId="0" borderId="6" xfId="0" applyFont="1" applyFill="1" applyBorder="1" applyAlignment="1">
      <alignment horizontal="center" wrapText="1"/>
    </xf>
    <xf numFmtId="164" fontId="2" fillId="0" borderId="6" xfId="0" applyNumberFormat="1" applyFont="1" applyFill="1" applyBorder="1" applyAlignment="1">
      <alignment wrapText="1"/>
    </xf>
    <xf numFmtId="164" fontId="13" fillId="0" borderId="6" xfId="1" applyFont="1" applyFill="1" applyBorder="1" applyAlignment="1">
      <alignment horizontal="left" wrapText="1"/>
    </xf>
    <xf numFmtId="0" fontId="13" fillId="0" borderId="6" xfId="0" applyFont="1" applyFill="1" applyBorder="1" applyAlignment="1">
      <alignment horizontal="center"/>
    </xf>
    <xf numFmtId="0" fontId="10" fillId="0" borderId="0" xfId="2" applyFill="1" applyAlignment="1">
      <alignment vertical="top" wrapText="1"/>
    </xf>
    <xf numFmtId="0" fontId="22" fillId="0" borderId="6" xfId="0" applyFont="1" applyFill="1" applyBorder="1" applyAlignment="1">
      <alignment wrapText="1"/>
    </xf>
    <xf numFmtId="49" fontId="13" fillId="0" borderId="6" xfId="0" applyNumberFormat="1" applyFont="1" applyFill="1" applyBorder="1" applyAlignment="1">
      <alignment wrapText="1"/>
    </xf>
    <xf numFmtId="0" fontId="15" fillId="0" borderId="0" xfId="0" applyFont="1"/>
    <xf numFmtId="0" fontId="15" fillId="0" borderId="0" xfId="0" applyFont="1" applyAlignment="1">
      <alignment wrapText="1"/>
    </xf>
    <xf numFmtId="0" fontId="47" fillId="0" borderId="0" xfId="0" applyFont="1"/>
    <xf numFmtId="0" fontId="2" fillId="0" borderId="0" xfId="0" applyFont="1" applyAlignment="1">
      <alignment vertical="top"/>
    </xf>
    <xf numFmtId="0" fontId="2" fillId="0" borderId="6" xfId="0" applyFont="1" applyBorder="1" applyAlignment="1">
      <alignment vertical="top"/>
    </xf>
    <xf numFmtId="49" fontId="48" fillId="0" borderId="4" xfId="0" applyNumberFormat="1" applyFont="1" applyBorder="1" applyAlignment="1">
      <alignment horizontal="center" vertical="center" wrapText="1"/>
    </xf>
    <xf numFmtId="4" fontId="49" fillId="0" borderId="4" xfId="0" applyNumberFormat="1" applyFont="1" applyBorder="1" applyAlignment="1">
      <alignment horizontal="right" vertical="center" wrapText="1"/>
    </xf>
    <xf numFmtId="0" fontId="50" fillId="0" borderId="6" xfId="0" applyFont="1" applyBorder="1" applyAlignment="1">
      <alignment horizontal="center" wrapText="1"/>
    </xf>
    <xf numFmtId="164" fontId="2" fillId="0" borderId="6" xfId="0" applyNumberFormat="1" applyFont="1" applyBorder="1" applyAlignment="1">
      <alignment horizontal="center"/>
    </xf>
    <xf numFmtId="166" fontId="48" fillId="0" borderId="4" xfId="0" applyNumberFormat="1" applyFont="1" applyBorder="1" applyAlignment="1">
      <alignment horizontal="center" vertical="center" wrapText="1"/>
    </xf>
    <xf numFmtId="0" fontId="2" fillId="0" borderId="4" xfId="0" applyFont="1" applyBorder="1" applyAlignment="1">
      <alignment horizontal="center"/>
    </xf>
    <xf numFmtId="0" fontId="2" fillId="0" borderId="4" xfId="0" applyFont="1" applyBorder="1" applyAlignment="1">
      <alignment horizontal="center" vertical="center"/>
    </xf>
    <xf numFmtId="0" fontId="11" fillId="2" borderId="7" xfId="0" applyFont="1" applyFill="1" applyBorder="1" applyAlignment="1">
      <alignment horizontal="center" wrapText="1"/>
    </xf>
    <xf numFmtId="0" fontId="49" fillId="2" borderId="6" xfId="0" applyFont="1" applyFill="1" applyBorder="1" applyAlignment="1">
      <alignment vertical="center" wrapText="1"/>
    </xf>
    <xf numFmtId="0" fontId="2" fillId="4" borderId="4" xfId="0" applyFont="1" applyFill="1" applyBorder="1" applyAlignment="1">
      <alignment horizontal="center" vertical="center"/>
    </xf>
    <xf numFmtId="0" fontId="2" fillId="2" borderId="6" xfId="0" applyFont="1" applyFill="1" applyBorder="1" applyAlignment="1">
      <alignment horizontal="center" vertical="top"/>
    </xf>
    <xf numFmtId="164" fontId="2" fillId="0" borderId="6" xfId="0" applyNumberFormat="1" applyFont="1" applyFill="1" applyBorder="1" applyAlignment="1">
      <alignment horizontal="center" vertical="center"/>
    </xf>
    <xf numFmtId="0" fontId="13" fillId="0" borderId="6" xfId="0" applyFont="1" applyBorder="1" applyAlignment="1">
      <alignment horizontal="center" vertical="center"/>
    </xf>
    <xf numFmtId="0" fontId="51" fillId="0" borderId="3" xfId="0" applyFont="1" applyBorder="1" applyAlignment="1">
      <alignment horizontal="center" vertical="center" wrapText="1"/>
    </xf>
    <xf numFmtId="4" fontId="49" fillId="2" borderId="4" xfId="0" applyNumberFormat="1" applyFont="1" applyFill="1" applyBorder="1" applyAlignment="1">
      <alignment horizontal="right" vertical="center" wrapText="1"/>
    </xf>
    <xf numFmtId="167" fontId="2" fillId="2" borderId="6" xfId="2" applyNumberFormat="1" applyFont="1" applyFill="1" applyBorder="1" applyAlignment="1" applyProtection="1">
      <alignment horizontal="center" vertical="center" wrapText="1"/>
    </xf>
    <xf numFmtId="0" fontId="51" fillId="0" borderId="6" xfId="0" applyFont="1" applyBorder="1" applyAlignment="1">
      <alignment horizontal="center" vertical="center" wrapText="1"/>
    </xf>
    <xf numFmtId="4" fontId="49" fillId="2" borderId="3" xfId="0" applyNumberFormat="1" applyFont="1" applyFill="1" applyBorder="1" applyAlignment="1">
      <alignment horizontal="right" vertical="center" wrapText="1"/>
    </xf>
    <xf numFmtId="0" fontId="7" fillId="2" borderId="4" xfId="0" applyFont="1" applyFill="1" applyBorder="1" applyAlignment="1">
      <alignment horizontal="center" vertical="center" wrapText="1"/>
    </xf>
    <xf numFmtId="4" fontId="49" fillId="2" borderId="6" xfId="0" applyNumberFormat="1" applyFont="1" applyFill="1" applyBorder="1" applyAlignment="1">
      <alignment horizontal="right" vertical="center" wrapText="1"/>
    </xf>
    <xf numFmtId="0" fontId="2" fillId="2" borderId="6" xfId="0" applyFont="1" applyFill="1" applyBorder="1" applyAlignment="1">
      <alignment horizontal="center" wrapText="1"/>
    </xf>
    <xf numFmtId="0" fontId="11" fillId="0" borderId="6" xfId="0" applyFont="1" applyBorder="1" applyAlignment="1">
      <alignment vertical="center"/>
    </xf>
    <xf numFmtId="0" fontId="51" fillId="0" borderId="2" xfId="0" applyFont="1" applyBorder="1" applyAlignment="1">
      <alignment horizontal="center" vertical="center" wrapText="1"/>
    </xf>
    <xf numFmtId="0" fontId="7" fillId="2" borderId="3" xfId="0" applyFont="1" applyFill="1" applyBorder="1" applyAlignment="1">
      <alignment horizontal="center" vertical="center" wrapText="1"/>
    </xf>
    <xf numFmtId="164" fontId="2" fillId="0" borderId="6" xfId="0" applyNumberFormat="1" applyFont="1" applyFill="1" applyBorder="1" applyAlignment="1">
      <alignment vertical="center"/>
    </xf>
    <xf numFmtId="0" fontId="2" fillId="5" borderId="6" xfId="0" applyFont="1" applyFill="1" applyBorder="1" applyAlignment="1">
      <alignment horizontal="center" wrapText="1"/>
    </xf>
    <xf numFmtId="0" fontId="52" fillId="5" borderId="6" xfId="0" applyFont="1" applyFill="1" applyBorder="1" applyAlignment="1">
      <alignment vertical="center" wrapText="1"/>
    </xf>
    <xf numFmtId="0" fontId="11" fillId="5" borderId="6" xfId="0" applyFont="1" applyFill="1" applyBorder="1" applyAlignment="1">
      <alignment vertical="center"/>
    </xf>
    <xf numFmtId="0" fontId="2" fillId="5" borderId="6" xfId="0" applyFont="1" applyFill="1" applyBorder="1" applyAlignment="1">
      <alignment horizontal="center" vertical="center"/>
    </xf>
    <xf numFmtId="0" fontId="13" fillId="0" borderId="6" xfId="0" applyFont="1" applyBorder="1"/>
    <xf numFmtId="0" fontId="49" fillId="2" borderId="6" xfId="0" applyFont="1" applyFill="1" applyBorder="1" applyAlignment="1">
      <alignment horizontal="center" wrapText="1"/>
    </xf>
    <xf numFmtId="0" fontId="51" fillId="0" borderId="6" xfId="0" applyFont="1" applyBorder="1"/>
    <xf numFmtId="167" fontId="13" fillId="2" borderId="6" xfId="2" applyNumberFormat="1" applyFont="1" applyFill="1" applyBorder="1" applyAlignment="1" applyProtection="1">
      <alignment horizontal="center" wrapText="1"/>
    </xf>
    <xf numFmtId="0" fontId="49" fillId="2" borderId="6" xfId="0" applyFont="1" applyFill="1" applyBorder="1" applyAlignment="1">
      <alignment wrapText="1"/>
    </xf>
    <xf numFmtId="0" fontId="51" fillId="0" borderId="3" xfId="0" applyFont="1" applyBorder="1"/>
    <xf numFmtId="164" fontId="2" fillId="0" borderId="6" xfId="0" applyNumberFormat="1" applyFont="1" applyBorder="1" applyAlignment="1">
      <alignment horizontal="center" wrapText="1"/>
    </xf>
    <xf numFmtId="0" fontId="51" fillId="0" borderId="6" xfId="0" applyFont="1" applyBorder="1" applyAlignment="1">
      <alignment vertical="center" wrapText="1"/>
    </xf>
    <xf numFmtId="0" fontId="51" fillId="2" borderId="6" xfId="0" applyFont="1" applyFill="1" applyBorder="1"/>
    <xf numFmtId="49" fontId="51" fillId="0" borderId="6" xfId="0" applyNumberFormat="1" applyFont="1" applyBorder="1" applyAlignment="1">
      <alignment vertical="center" wrapText="1"/>
    </xf>
    <xf numFmtId="0" fontId="52" fillId="5" borderId="6" xfId="0" applyFont="1" applyFill="1" applyBorder="1" applyAlignment="1">
      <alignment vertical="center"/>
    </xf>
    <xf numFmtId="0" fontId="49" fillId="0" borderId="6" xfId="0" applyFont="1" applyBorder="1" applyAlignment="1">
      <alignment vertical="center" wrapText="1"/>
    </xf>
    <xf numFmtId="0" fontId="52" fillId="0" borderId="6" xfId="0" applyFont="1" applyBorder="1" applyAlignment="1">
      <alignment vertical="center" wrapText="1"/>
    </xf>
    <xf numFmtId="4" fontId="51" fillId="0" borderId="3" xfId="0" applyNumberFormat="1" applyFont="1" applyBorder="1"/>
    <xf numFmtId="0" fontId="52" fillId="0" borderId="6" xfId="0" applyFont="1" applyBorder="1" applyAlignment="1">
      <alignment vertical="center"/>
    </xf>
    <xf numFmtId="4" fontId="51" fillId="2" borderId="6" xfId="0" applyNumberFormat="1" applyFont="1" applyFill="1" applyBorder="1"/>
    <xf numFmtId="0" fontId="3" fillId="2" borderId="6" xfId="0" applyFont="1" applyFill="1" applyBorder="1" applyAlignment="1">
      <alignment horizontal="center" wrapText="1"/>
    </xf>
    <xf numFmtId="0" fontId="51" fillId="0" borderId="2" xfId="0" applyFont="1" applyBorder="1" applyAlignment="1">
      <alignment wrapText="1"/>
    </xf>
    <xf numFmtId="167" fontId="2" fillId="2" borderId="6" xfId="2" applyNumberFormat="1" applyFont="1" applyFill="1" applyBorder="1" applyAlignment="1" applyProtection="1">
      <alignment horizontal="center" wrapText="1"/>
    </xf>
    <xf numFmtId="0" fontId="51" fillId="0" borderId="6" xfId="0" applyFont="1" applyBorder="1" applyAlignment="1">
      <alignment wrapText="1"/>
    </xf>
    <xf numFmtId="0" fontId="51" fillId="0" borderId="2" xfId="0" applyFont="1" applyBorder="1" applyAlignment="1">
      <alignment horizontal="center" wrapText="1"/>
    </xf>
    <xf numFmtId="0" fontId="51" fillId="2" borderId="3" xfId="0" applyFont="1" applyFill="1" applyBorder="1"/>
    <xf numFmtId="0" fontId="53" fillId="5" borderId="6" xfId="0" applyFont="1" applyFill="1" applyBorder="1" applyAlignment="1">
      <alignment vertical="center" wrapText="1"/>
    </xf>
    <xf numFmtId="4" fontId="51" fillId="0" borderId="6" xfId="0" applyNumberFormat="1" applyFont="1" applyBorder="1"/>
    <xf numFmtId="2" fontId="51" fillId="0" borderId="6" xfId="0" applyNumberFormat="1" applyFont="1" applyBorder="1"/>
    <xf numFmtId="2" fontId="51" fillId="0" borderId="4" xfId="0" applyNumberFormat="1" applyFont="1" applyBorder="1"/>
    <xf numFmtId="4" fontId="51" fillId="0" borderId="4" xfId="0" applyNumberFormat="1" applyFont="1" applyBorder="1"/>
    <xf numFmtId="2" fontId="51" fillId="2" borderId="6" xfId="0" applyNumberFormat="1" applyFont="1" applyFill="1" applyBorder="1"/>
    <xf numFmtId="0" fontId="51" fillId="0" borderId="6" xfId="0" applyFont="1" applyBorder="1" applyAlignment="1">
      <alignment horizontal="right"/>
    </xf>
    <xf numFmtId="4" fontId="49" fillId="2" borderId="6" xfId="0" applyNumberFormat="1" applyFont="1" applyFill="1" applyBorder="1" applyAlignment="1">
      <alignment horizontal="right" wrapText="1"/>
    </xf>
    <xf numFmtId="0" fontId="2" fillId="0" borderId="6" xfId="0" applyFont="1" applyBorder="1" applyAlignment="1">
      <alignment horizontal="center"/>
    </xf>
    <xf numFmtId="2" fontId="2" fillId="0" borderId="6" xfId="0" applyNumberFormat="1" applyFont="1" applyFill="1" applyBorder="1" applyAlignment="1">
      <alignment horizontal="center"/>
    </xf>
    <xf numFmtId="2" fontId="2" fillId="0" borderId="6" xfId="0" applyNumberFormat="1" applyFont="1" applyBorder="1" applyAlignment="1"/>
    <xf numFmtId="49" fontId="54" fillId="2" borderId="6" xfId="0" applyNumberFormat="1" applyFont="1" applyFill="1" applyBorder="1" applyAlignment="1">
      <alignment vertical="center" wrapText="1"/>
    </xf>
    <xf numFmtId="49" fontId="52" fillId="2" borderId="6" xfId="0" applyNumberFormat="1" applyFont="1" applyFill="1" applyBorder="1" applyAlignment="1">
      <alignment vertical="center" wrapText="1"/>
    </xf>
    <xf numFmtId="2" fontId="2" fillId="0" borderId="6" xfId="0" applyNumberFormat="1" applyFont="1" applyFill="1" applyBorder="1" applyAlignment="1">
      <alignment vertical="top"/>
    </xf>
    <xf numFmtId="49" fontId="52" fillId="5" borderId="6" xfId="0" applyNumberFormat="1" applyFont="1" applyFill="1" applyBorder="1" applyAlignment="1">
      <alignment vertical="center" wrapText="1"/>
    </xf>
    <xf numFmtId="2" fontId="2" fillId="0" borderId="6" xfId="0" applyNumberFormat="1" applyFont="1" applyBorder="1" applyAlignment="1">
      <alignment horizontal="right"/>
    </xf>
    <xf numFmtId="0" fontId="13" fillId="0" borderId="6" xfId="0" applyFont="1" applyBorder="1" applyAlignment="1">
      <alignment horizontal="center"/>
    </xf>
    <xf numFmtId="0" fontId="48" fillId="2" borderId="6" xfId="0" applyFont="1" applyFill="1" applyBorder="1" applyAlignment="1">
      <alignment horizontal="center" vertical="center" wrapText="1"/>
    </xf>
    <xf numFmtId="167" fontId="55" fillId="2" borderId="6" xfId="2" applyNumberFormat="1" applyFont="1" applyFill="1" applyBorder="1" applyAlignment="1" applyProtection="1">
      <alignment horizontal="center" wrapText="1"/>
    </xf>
    <xf numFmtId="4" fontId="49" fillId="2" borderId="2" xfId="0" applyNumberFormat="1" applyFont="1" applyFill="1" applyBorder="1" applyAlignment="1">
      <alignment horizontal="right" vertical="center" wrapText="1"/>
    </xf>
    <xf numFmtId="0" fontId="10" fillId="2" borderId="0" xfId="2" applyFill="1" applyBorder="1" applyAlignment="1">
      <alignment horizontal="center" vertical="center" wrapText="1"/>
    </xf>
    <xf numFmtId="0" fontId="3"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3" borderId="6" xfId="0" applyFont="1" applyFill="1" applyBorder="1" applyAlignment="1">
      <alignment horizontal="center" vertical="top" wrapText="1"/>
    </xf>
    <xf numFmtId="0" fontId="3" fillId="2" borderId="6" xfId="0" applyFont="1" applyFill="1" applyBorder="1" applyAlignment="1">
      <alignment horizontal="center" vertical="top" wrapText="1"/>
    </xf>
    <xf numFmtId="164" fontId="3" fillId="2" borderId="6" xfId="1" applyFont="1" applyFill="1" applyBorder="1" applyAlignment="1">
      <alignment horizontal="center" vertical="top" wrapText="1"/>
    </xf>
    <xf numFmtId="0" fontId="53" fillId="0" borderId="5" xfId="0" applyFont="1" applyBorder="1" applyAlignment="1">
      <alignment horizontal="center" vertical="top" wrapText="1"/>
    </xf>
    <xf numFmtId="0" fontId="0" fillId="0" borderId="2" xfId="0" applyBorder="1" applyAlignment="1">
      <alignment horizontal="center" vertical="top" wrapText="1"/>
    </xf>
    <xf numFmtId="49" fontId="3" fillId="2" borderId="2" xfId="0" applyNumberFormat="1" applyFont="1" applyFill="1" applyBorder="1" applyAlignment="1">
      <alignment horizontal="center" vertical="top" wrapText="1"/>
    </xf>
    <xf numFmtId="0" fontId="0" fillId="0" borderId="0" xfId="0" applyAlignment="1"/>
    <xf numFmtId="0" fontId="20" fillId="0" borderId="0" xfId="0" applyFont="1" applyFill="1" applyAlignment="1">
      <alignment vertical="top"/>
    </xf>
    <xf numFmtId="164" fontId="20" fillId="0" borderId="0" xfId="1" applyFont="1" applyFill="1" applyAlignment="1">
      <alignment vertical="top"/>
    </xf>
    <xf numFmtId="0" fontId="20" fillId="0" borderId="0" xfId="0" applyFont="1" applyFill="1" applyAlignment="1">
      <alignment vertical="top" wrapText="1"/>
    </xf>
    <xf numFmtId="0" fontId="20" fillId="0" borderId="0" xfId="0" applyFont="1" applyFill="1" applyAlignment="1">
      <alignment horizontal="center" vertical="top" wrapText="1"/>
    </xf>
    <xf numFmtId="0" fontId="20" fillId="0" borderId="0" xfId="0" applyFont="1" applyFill="1" applyAlignment="1">
      <alignment horizontal="center" vertical="top"/>
    </xf>
    <xf numFmtId="0" fontId="27" fillId="0" borderId="0" xfId="0" applyFont="1"/>
    <xf numFmtId="0" fontId="6" fillId="0" borderId="0" xfId="0" applyFont="1" applyAlignment="1">
      <alignment horizontal="center"/>
    </xf>
    <xf numFmtId="0" fontId="17" fillId="0" borderId="0" xfId="0" applyFont="1" applyAlignment="1">
      <alignment wrapText="1"/>
    </xf>
    <xf numFmtId="0" fontId="15" fillId="0" borderId="0" xfId="0" applyFont="1" applyBorder="1" applyAlignment="1">
      <alignment wrapText="1"/>
    </xf>
    <xf numFmtId="0" fontId="6" fillId="0" borderId="0" xfId="0" applyFont="1" applyBorder="1" applyAlignment="1">
      <alignment horizontal="center"/>
    </xf>
    <xf numFmtId="0" fontId="20" fillId="0" borderId="0" xfId="0" applyFont="1" applyAlignment="1">
      <alignment vertical="top"/>
    </xf>
    <xf numFmtId="0" fontId="20" fillId="0" borderId="6" xfId="0" applyFont="1" applyFill="1" applyBorder="1" applyAlignment="1">
      <alignment horizontal="center" vertical="center"/>
    </xf>
    <xf numFmtId="164" fontId="20" fillId="0" borderId="6" xfId="0" applyNumberFormat="1" applyFont="1" applyBorder="1" applyAlignment="1">
      <alignment vertical="center"/>
    </xf>
    <xf numFmtId="49" fontId="20" fillId="0" borderId="6" xfId="0" applyNumberFormat="1" applyFont="1" applyBorder="1" applyAlignment="1">
      <alignment horizontal="center" vertical="center" wrapText="1"/>
    </xf>
    <xf numFmtId="0" fontId="20" fillId="0" borderId="6" xfId="0" applyFont="1" applyBorder="1" applyAlignment="1">
      <alignment horizontal="left" vertical="center" wrapText="1"/>
    </xf>
    <xf numFmtId="0" fontId="20" fillId="0" borderId="2" xfId="0" applyFont="1" applyBorder="1" applyAlignment="1">
      <alignment horizontal="center" vertical="center" wrapText="1"/>
    </xf>
    <xf numFmtId="0" fontId="20" fillId="0" borderId="2" xfId="0" applyFont="1" applyBorder="1" applyAlignment="1">
      <alignment horizontal="left" vertical="center" wrapText="1"/>
    </xf>
    <xf numFmtId="164" fontId="20" fillId="0" borderId="4" xfId="0" applyNumberFormat="1" applyFont="1" applyBorder="1" applyAlignment="1">
      <alignment vertical="center"/>
    </xf>
    <xf numFmtId="0" fontId="20" fillId="0" borderId="5" xfId="0" applyFont="1" applyBorder="1" applyAlignment="1">
      <alignment horizontal="center" vertical="center"/>
    </xf>
    <xf numFmtId="0" fontId="20" fillId="2" borderId="6" xfId="0" applyFont="1" applyFill="1" applyBorder="1" applyAlignment="1">
      <alignment vertical="center" wrapText="1"/>
    </xf>
    <xf numFmtId="0" fontId="20" fillId="2" borderId="6" xfId="0" applyFont="1" applyFill="1" applyBorder="1" applyAlignment="1">
      <alignment horizontal="center" vertical="center"/>
    </xf>
    <xf numFmtId="0" fontId="20" fillId="0" borderId="6" xfId="0" applyFont="1" applyBorder="1" applyAlignment="1">
      <alignment horizontal="center" vertical="center"/>
    </xf>
    <xf numFmtId="1" fontId="20" fillId="0" borderId="6" xfId="0" applyNumberFormat="1" applyFont="1" applyBorder="1" applyAlignment="1">
      <alignment horizontal="center" vertical="center" wrapText="1"/>
    </xf>
    <xf numFmtId="0" fontId="20" fillId="0" borderId="6" xfId="0" applyFont="1" applyBorder="1" applyAlignment="1">
      <alignment horizontal="center" vertical="center" wrapText="1"/>
    </xf>
    <xf numFmtId="0" fontId="4" fillId="0" borderId="6"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0" fillId="3" borderId="6" xfId="0" applyFont="1" applyFill="1" applyBorder="1" applyAlignment="1">
      <alignment horizontal="center" vertical="top"/>
    </xf>
    <xf numFmtId="0" fontId="20" fillId="0" borderId="0" xfId="0" applyFont="1" applyFill="1" applyAlignment="1">
      <alignment horizontal="center" vertical="center"/>
    </xf>
    <xf numFmtId="0" fontId="4" fillId="2" borderId="6" xfId="0" applyFont="1" applyFill="1" applyBorder="1" applyAlignment="1">
      <alignment horizontal="center" vertical="center" wrapText="1"/>
    </xf>
    <xf numFmtId="164" fontId="4" fillId="2" borderId="6" xfId="1" applyFont="1" applyFill="1" applyBorder="1" applyAlignment="1">
      <alignment horizontal="center" vertical="center" wrapText="1"/>
    </xf>
    <xf numFmtId="0" fontId="20" fillId="0" borderId="0" xfId="0" applyFont="1" applyFill="1" applyAlignment="1">
      <alignment wrapText="1"/>
    </xf>
    <xf numFmtId="0" fontId="4" fillId="0" borderId="0" xfId="0" applyFont="1" applyBorder="1" applyAlignment="1">
      <alignment horizontal="left"/>
    </xf>
    <xf numFmtId="0" fontId="4" fillId="0" borderId="0" xfId="0" applyFont="1" applyBorder="1" applyAlignment="1">
      <alignment horizontal="left" vertical="center"/>
    </xf>
    <xf numFmtId="0" fontId="57" fillId="0" borderId="0" xfId="0" applyFont="1" applyBorder="1" applyAlignment="1">
      <alignment horizontal="left" vertical="center"/>
    </xf>
    <xf numFmtId="0" fontId="20" fillId="0" borderId="0" xfId="0" applyFont="1" applyAlignment="1">
      <alignment horizontal="center" wrapText="1"/>
    </xf>
    <xf numFmtId="0" fontId="27" fillId="0" borderId="0" xfId="0" applyFont="1" applyAlignment="1">
      <alignment horizontal="left" vertical="top"/>
    </xf>
    <xf numFmtId="1" fontId="20" fillId="0" borderId="0" xfId="0" applyNumberFormat="1" applyFont="1" applyBorder="1" applyAlignment="1">
      <alignment horizontal="center" vertical="center" wrapText="1"/>
    </xf>
    <xf numFmtId="0" fontId="20" fillId="0" borderId="0" xfId="0" applyFont="1" applyBorder="1" applyAlignment="1">
      <alignment horizontal="left" vertical="center" wrapText="1"/>
    </xf>
    <xf numFmtId="1" fontId="27" fillId="0" borderId="6" xfId="0" applyNumberFormat="1" applyFont="1" applyBorder="1" applyAlignment="1">
      <alignment horizontal="center" vertical="center"/>
    </xf>
    <xf numFmtId="0" fontId="27" fillId="0" borderId="6" xfId="0" applyNumberFormat="1" applyFont="1" applyBorder="1" applyAlignment="1">
      <alignment horizontal="center" vertical="center" wrapText="1"/>
    </xf>
    <xf numFmtId="0" fontId="27" fillId="0" borderId="4" xfId="0" applyFont="1" applyBorder="1" applyAlignment="1">
      <alignment horizontal="center" vertical="center"/>
    </xf>
    <xf numFmtId="0" fontId="27" fillId="0" borderId="6" xfId="0" applyFont="1" applyFill="1" applyBorder="1" applyAlignment="1">
      <alignment vertical="top" wrapText="1"/>
    </xf>
    <xf numFmtId="0" fontId="2" fillId="6" borderId="0" xfId="0" applyFont="1" applyFill="1" applyAlignment="1">
      <alignment vertical="top"/>
    </xf>
    <xf numFmtId="1" fontId="27" fillId="0" borderId="6" xfId="0" applyNumberFormat="1" applyFont="1" applyFill="1" applyBorder="1" applyAlignment="1">
      <alignment horizontal="center" vertical="center"/>
    </xf>
    <xf numFmtId="0" fontId="27" fillId="0" borderId="6" xfId="0" applyNumberFormat="1" applyFont="1" applyFill="1" applyBorder="1" applyAlignment="1">
      <alignment horizontal="center" vertical="center" wrapText="1"/>
    </xf>
    <xf numFmtId="0" fontId="27" fillId="0" borderId="4" xfId="0" applyFont="1" applyFill="1" applyBorder="1" applyAlignment="1">
      <alignment horizontal="center" vertical="center"/>
    </xf>
    <xf numFmtId="0" fontId="20" fillId="2" borderId="4" xfId="0" applyFont="1" applyFill="1" applyBorder="1" applyAlignment="1">
      <alignment horizontal="center" vertical="center"/>
    </xf>
    <xf numFmtId="0" fontId="10" fillId="0" borderId="6" xfId="2" applyBorder="1" applyAlignment="1">
      <alignment horizontal="center" vertical="center" wrapText="1"/>
    </xf>
    <xf numFmtId="0" fontId="27" fillId="0" borderId="6" xfId="0" applyFont="1" applyBorder="1" applyAlignment="1">
      <alignment horizontal="center" vertical="center"/>
    </xf>
    <xf numFmtId="165" fontId="20" fillId="0" borderId="6" xfId="0" applyNumberFormat="1" applyFont="1" applyBorder="1" applyAlignment="1">
      <alignment horizontal="center" vertical="center" wrapText="1"/>
    </xf>
    <xf numFmtId="49" fontId="10" fillId="0" borderId="6" xfId="2" applyNumberFormat="1" applyBorder="1" applyAlignment="1">
      <alignment horizontal="center" vertical="center" wrapText="1"/>
    </xf>
    <xf numFmtId="0" fontId="10" fillId="0" borderId="4" xfId="2" applyBorder="1" applyAlignment="1">
      <alignment horizontal="center" vertical="center" wrapText="1"/>
    </xf>
    <xf numFmtId="165" fontId="27" fillId="0" borderId="6" xfId="0" applyNumberFormat="1" applyFont="1" applyBorder="1" applyAlignment="1">
      <alignment horizontal="center" vertical="center"/>
    </xf>
    <xf numFmtId="1" fontId="13" fillId="0" borderId="6" xfId="0" applyNumberFormat="1" applyFont="1" applyBorder="1" applyAlignment="1">
      <alignment horizontal="center" vertical="center" wrapText="1"/>
    </xf>
    <xf numFmtId="2" fontId="13" fillId="0" borderId="6" xfId="0" applyNumberFormat="1" applyFont="1" applyBorder="1" applyAlignment="1">
      <alignment horizontal="right" vertical="center"/>
    </xf>
    <xf numFmtId="49" fontId="13" fillId="0" borderId="6" xfId="0" applyNumberFormat="1" applyFont="1" applyBorder="1" applyAlignment="1">
      <alignment horizontal="center" vertical="center" wrapText="1"/>
    </xf>
    <xf numFmtId="1" fontId="20" fillId="0" borderId="2" xfId="0" applyNumberFormat="1" applyFont="1" applyBorder="1" applyAlignment="1">
      <alignment horizontal="center" vertical="center" wrapText="1"/>
    </xf>
    <xf numFmtId="0" fontId="58" fillId="0" borderId="6" xfId="0" applyFont="1" applyBorder="1" applyAlignment="1">
      <alignment horizontal="left" vertical="center" wrapText="1"/>
    </xf>
    <xf numFmtId="0" fontId="2" fillId="4" borderId="7" xfId="0" applyFont="1" applyFill="1" applyBorder="1" applyAlignment="1">
      <alignment horizontal="center" vertical="center"/>
    </xf>
    <xf numFmtId="0" fontId="2" fillId="2" borderId="4" xfId="0" applyFont="1" applyFill="1" applyBorder="1" applyAlignment="1">
      <alignment horizontal="center" vertical="center"/>
    </xf>
    <xf numFmtId="0" fontId="58" fillId="0" borderId="2" xfId="0" applyFont="1" applyBorder="1" applyAlignment="1">
      <alignment horizontal="left" vertical="center" wrapText="1"/>
    </xf>
    <xf numFmtId="164" fontId="20" fillId="0" borderId="8" xfId="0" applyNumberFormat="1" applyFont="1" applyFill="1" applyBorder="1" applyAlignment="1">
      <alignment vertical="center"/>
    </xf>
    <xf numFmtId="14" fontId="2" fillId="0" borderId="6" xfId="0" applyNumberFormat="1" applyFont="1" applyFill="1" applyBorder="1" applyAlignment="1">
      <alignment vertical="center"/>
    </xf>
    <xf numFmtId="49" fontId="2" fillId="0" borderId="6" xfId="0" applyNumberFormat="1" applyFont="1" applyFill="1" applyBorder="1" applyAlignment="1">
      <alignment horizontal="center" vertical="center"/>
    </xf>
    <xf numFmtId="0" fontId="27" fillId="0" borderId="6" xfId="0" applyFont="1" applyFill="1" applyBorder="1" applyAlignment="1">
      <alignment vertical="center" wrapText="1"/>
    </xf>
    <xf numFmtId="0" fontId="13" fillId="0" borderId="6" xfId="0" applyFont="1" applyFill="1" applyBorder="1" applyAlignment="1">
      <alignment wrapText="1"/>
    </xf>
    <xf numFmtId="0" fontId="59" fillId="0" borderId="6" xfId="0" applyFont="1" applyBorder="1" applyAlignment="1">
      <alignment horizontal="center" vertical="center" wrapText="1"/>
    </xf>
    <xf numFmtId="0" fontId="60" fillId="0" borderId="6" xfId="0" applyFont="1" applyBorder="1" applyAlignment="1">
      <alignment horizontal="center" vertical="center" wrapText="1"/>
    </xf>
    <xf numFmtId="14" fontId="59" fillId="0" borderId="6" xfId="0" applyNumberFormat="1" applyFont="1" applyBorder="1" applyAlignment="1">
      <alignment horizontal="center" vertical="center" wrapText="1"/>
    </xf>
    <xf numFmtId="0" fontId="59" fillId="0" borderId="6" xfId="0" applyFont="1" applyFill="1" applyBorder="1" applyAlignment="1">
      <alignment horizontal="center" vertical="center" wrapText="1"/>
    </xf>
    <xf numFmtId="0" fontId="61" fillId="0" borderId="6" xfId="2" applyNumberFormat="1" applyFont="1" applyFill="1" applyBorder="1" applyAlignment="1" applyProtection="1">
      <alignment horizontal="center" wrapText="1"/>
    </xf>
    <xf numFmtId="0" fontId="51" fillId="0" borderId="6" xfId="2" applyNumberFormat="1" applyFont="1" applyFill="1" applyBorder="1" applyAlignment="1" applyProtection="1">
      <alignment horizontal="center" wrapText="1"/>
    </xf>
    <xf numFmtId="164" fontId="2" fillId="0" borderId="6" xfId="0" applyNumberFormat="1" applyFont="1" applyFill="1" applyBorder="1" applyAlignment="1">
      <alignment horizontal="left" wrapText="1"/>
    </xf>
    <xf numFmtId="0" fontId="62" fillId="0" borderId="6" xfId="0" applyFont="1" applyBorder="1" applyAlignment="1">
      <alignment horizontal="center" vertical="center" wrapText="1"/>
    </xf>
    <xf numFmtId="164" fontId="10" fillId="0" borderId="6" xfId="2" applyNumberFormat="1" applyFill="1" applyBorder="1" applyAlignment="1">
      <alignment horizontal="left" vertical="center" wrapText="1"/>
    </xf>
    <xf numFmtId="164" fontId="62" fillId="0" borderId="6" xfId="3" applyFont="1" applyFill="1" applyBorder="1" applyAlignment="1">
      <alignment horizontal="left" vertical="center" wrapText="1"/>
    </xf>
    <xf numFmtId="0" fontId="2" fillId="0" borderId="6" xfId="0" applyFont="1" applyBorder="1" applyAlignment="1">
      <alignment horizontal="left" vertical="center" wrapText="1"/>
    </xf>
    <xf numFmtId="49" fontId="2" fillId="2" borderId="6" xfId="0" applyNumberFormat="1" applyFont="1" applyFill="1" applyBorder="1" applyAlignment="1">
      <alignment horizontal="center" vertical="center" wrapText="1"/>
    </xf>
    <xf numFmtId="0" fontId="63" fillId="0" borderId="6" xfId="0" applyFont="1" applyBorder="1" applyAlignment="1">
      <alignment horizontal="center" vertical="center"/>
    </xf>
    <xf numFmtId="0" fontId="64" fillId="0" borderId="0" xfId="0" applyFont="1" applyFill="1"/>
    <xf numFmtId="0" fontId="60" fillId="0" borderId="6" xfId="0" applyFont="1" applyFill="1" applyBorder="1" applyAlignment="1">
      <alignment horizontal="center" vertical="center" wrapText="1"/>
    </xf>
    <xf numFmtId="0" fontId="2" fillId="7" borderId="0" xfId="0" applyFont="1" applyFill="1" applyAlignment="1">
      <alignment vertical="top"/>
    </xf>
    <xf numFmtId="0" fontId="13" fillId="7" borderId="0" xfId="0" applyFont="1" applyFill="1" applyAlignment="1">
      <alignment vertical="top"/>
    </xf>
    <xf numFmtId="0" fontId="64" fillId="0" borderId="0" xfId="0" applyFont="1"/>
    <xf numFmtId="0" fontId="10" fillId="0" borderId="6" xfId="2" applyBorder="1" applyAlignment="1" applyProtection="1">
      <alignment vertical="center" wrapText="1"/>
    </xf>
    <xf numFmtId="0" fontId="2" fillId="0" borderId="0" xfId="0" applyFont="1" applyFill="1" applyAlignment="1">
      <alignment vertical="center"/>
    </xf>
    <xf numFmtId="164" fontId="2" fillId="0" borderId="1" xfId="0" applyNumberFormat="1" applyFont="1" applyFill="1" applyBorder="1" applyAlignment="1">
      <alignment vertical="center"/>
    </xf>
    <xf numFmtId="164"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4" fontId="2" fillId="0" borderId="1" xfId="1" applyNumberFormat="1" applyFont="1" applyFill="1" applyBorder="1" applyAlignment="1">
      <alignment horizontal="right" vertical="center"/>
    </xf>
    <xf numFmtId="0" fontId="2" fillId="0" borderId="9"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2" borderId="1" xfId="0" applyFont="1" applyFill="1" applyBorder="1" applyAlignment="1">
      <alignment vertical="center" wrapText="1"/>
    </xf>
    <xf numFmtId="0" fontId="2" fillId="0" borderId="4" xfId="0" applyFont="1" applyFill="1" applyBorder="1" applyAlignment="1">
      <alignment horizontal="center" vertical="center" wrapText="1"/>
    </xf>
    <xf numFmtId="0" fontId="13" fillId="0" borderId="6" xfId="0" applyFont="1" applyBorder="1" applyAlignment="1">
      <alignment vertical="center"/>
    </xf>
    <xf numFmtId="0" fontId="13" fillId="0" borderId="2" xfId="0" applyFont="1" applyBorder="1" applyAlignment="1">
      <alignment horizontal="center" vertical="center" wrapText="1"/>
    </xf>
    <xf numFmtId="4" fontId="2" fillId="2" borderId="1" xfId="1" applyNumberFormat="1" applyFont="1" applyFill="1" applyBorder="1" applyAlignment="1">
      <alignment horizontal="right" vertical="center"/>
    </xf>
    <xf numFmtId="0" fontId="2" fillId="0" borderId="1" xfId="0" applyFont="1" applyFill="1" applyBorder="1" applyAlignment="1">
      <alignment vertical="center" wrapText="1"/>
    </xf>
    <xf numFmtId="164" fontId="2" fillId="2" borderId="1" xfId="0" applyNumberFormat="1" applyFont="1" applyFill="1" applyBorder="1" applyAlignment="1">
      <alignment vertical="center"/>
    </xf>
    <xf numFmtId="4" fontId="2" fillId="0" borderId="6" xfId="1" applyNumberFormat="1" applyFont="1" applyFill="1" applyBorder="1" applyAlignment="1">
      <alignment horizontal="right" vertical="center"/>
    </xf>
    <xf numFmtId="0" fontId="2" fillId="0" borderId="6" xfId="0" applyFont="1" applyFill="1" applyBorder="1" applyAlignment="1">
      <alignment vertical="center" wrapText="1"/>
    </xf>
    <xf numFmtId="1" fontId="2" fillId="0" borderId="6" xfId="0" applyNumberFormat="1" applyFont="1" applyFill="1" applyBorder="1" applyAlignment="1">
      <alignment horizontal="center" vertical="center" wrapText="1"/>
    </xf>
    <xf numFmtId="4" fontId="2" fillId="0" borderId="10" xfId="1" applyNumberFormat="1" applyFont="1" applyFill="1" applyBorder="1" applyAlignment="1">
      <alignment horizontal="right" vertical="center"/>
    </xf>
    <xf numFmtId="0" fontId="2" fillId="0" borderId="4" xfId="0" applyFont="1" applyFill="1" applyBorder="1" applyAlignment="1">
      <alignment vertical="center" wrapText="1"/>
    </xf>
    <xf numFmtId="0" fontId="37" fillId="0" borderId="0" xfId="0" applyFont="1" applyAlignment="1">
      <alignment horizontal="center" vertical="center"/>
    </xf>
    <xf numFmtId="4" fontId="2" fillId="0" borderId="11" xfId="1" applyNumberFormat="1" applyFont="1" applyFill="1" applyBorder="1" applyAlignment="1">
      <alignment horizontal="right" vertical="center"/>
    </xf>
    <xf numFmtId="4" fontId="2" fillId="2" borderId="11" xfId="1" applyNumberFormat="1" applyFont="1" applyFill="1" applyBorder="1" applyAlignment="1">
      <alignment horizontal="right" vertical="center"/>
    </xf>
    <xf numFmtId="14" fontId="3" fillId="0" borderId="6" xfId="0" applyNumberFormat="1" applyFont="1" applyFill="1" applyBorder="1" applyAlignment="1">
      <alignment horizontal="center" vertical="top" wrapText="1"/>
    </xf>
    <xf numFmtId="0" fontId="2" fillId="3" borderId="6" xfId="0" applyFont="1" applyFill="1" applyBorder="1" applyAlignment="1">
      <alignment horizontal="center" vertical="top" wrapText="1"/>
    </xf>
    <xf numFmtId="0" fontId="24" fillId="0" borderId="6" xfId="0" applyFont="1" applyBorder="1" applyAlignment="1">
      <alignment horizontal="center" vertical="center"/>
    </xf>
    <xf numFmtId="0" fontId="20" fillId="2" borderId="6" xfId="0" applyFont="1" applyFill="1" applyBorder="1" applyAlignment="1">
      <alignment horizontal="center" vertical="top"/>
    </xf>
    <xf numFmtId="164" fontId="2" fillId="0" borderId="5" xfId="0" applyNumberFormat="1" applyFont="1" applyBorder="1" applyAlignment="1">
      <alignment vertical="center" wrapText="1"/>
    </xf>
    <xf numFmtId="49" fontId="2" fillId="0" borderId="5"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2" fillId="0" borderId="7" xfId="0" applyNumberFormat="1" applyFont="1" applyBorder="1" applyAlignment="1">
      <alignment vertical="center" wrapText="1"/>
    </xf>
    <xf numFmtId="2" fontId="10" fillId="0" borderId="6" xfId="2" applyNumberFormat="1" applyBorder="1" applyAlignment="1">
      <alignment horizontal="left" vertical="top" wrapText="1"/>
    </xf>
    <xf numFmtId="0" fontId="65" fillId="0" borderId="6" xfId="0" applyFont="1" applyBorder="1" applyAlignment="1">
      <alignment vertical="center" wrapText="1"/>
    </xf>
    <xf numFmtId="0" fontId="10" fillId="0" borderId="4" xfId="2" applyBorder="1" applyAlignment="1">
      <alignment horizontal="center" vertical="top" wrapText="1"/>
    </xf>
    <xf numFmtId="4" fontId="42" fillId="0" borderId="11" xfId="0" applyNumberFormat="1" applyFont="1" applyBorder="1" applyAlignment="1">
      <alignment horizontal="right" vertical="center"/>
    </xf>
    <xf numFmtId="0" fontId="42" fillId="0" borderId="4" xfId="0" applyFont="1" applyBorder="1" applyAlignment="1">
      <alignment vertical="center" wrapText="1"/>
    </xf>
    <xf numFmtId="1" fontId="2" fillId="2" borderId="4" xfId="0" applyNumberFormat="1" applyFont="1" applyFill="1" applyBorder="1" applyAlignment="1">
      <alignment horizontal="center" vertical="center"/>
    </xf>
    <xf numFmtId="0" fontId="2" fillId="2" borderId="4" xfId="0" applyFont="1" applyFill="1" applyBorder="1" applyAlignment="1">
      <alignment horizontal="left" vertical="center"/>
    </xf>
    <xf numFmtId="2" fontId="66" fillId="0" borderId="6" xfId="2" applyNumberFormat="1" applyFont="1" applyBorder="1" applyAlignment="1">
      <alignment horizontal="left" vertical="top" wrapText="1"/>
    </xf>
    <xf numFmtId="0" fontId="66" fillId="0" borderId="4" xfId="2" applyFont="1" applyBorder="1" applyAlignment="1">
      <alignment horizontal="center" vertical="top" wrapText="1"/>
    </xf>
    <xf numFmtId="164" fontId="2" fillId="0" borderId="5" xfId="0" applyNumberFormat="1" applyFont="1" applyBorder="1" applyAlignment="1">
      <alignment horizontal="left" vertical="center" wrapText="1"/>
    </xf>
    <xf numFmtId="0" fontId="34" fillId="0" borderId="0" xfId="0" applyFont="1" applyBorder="1" applyAlignment="1">
      <alignment horizontal="left"/>
    </xf>
    <xf numFmtId="49" fontId="2" fillId="0" borderId="0" xfId="0" applyNumberFormat="1" applyFont="1" applyBorder="1" applyAlignment="1">
      <alignment horizontal="center" vertical="center" wrapText="1"/>
    </xf>
    <xf numFmtId="164" fontId="2" fillId="0" borderId="0" xfId="0" applyNumberFormat="1" applyFont="1" applyBorder="1" applyAlignment="1">
      <alignment horizontal="left" vertical="center" wrapText="1"/>
    </xf>
    <xf numFmtId="164" fontId="2" fillId="0" borderId="0" xfId="0" applyNumberFormat="1" applyFont="1" applyBorder="1" applyAlignment="1">
      <alignment vertical="center" wrapText="1"/>
    </xf>
    <xf numFmtId="0" fontId="55" fillId="0" borderId="0" xfId="2" applyFont="1" applyBorder="1" applyAlignment="1">
      <alignment horizontal="center" vertical="top" wrapText="1"/>
    </xf>
    <xf numFmtId="49" fontId="2" fillId="0" borderId="0" xfId="0" applyNumberFormat="1" applyFont="1" applyFill="1" applyBorder="1" applyAlignment="1">
      <alignment vertical="top" wrapText="1"/>
    </xf>
    <xf numFmtId="1" fontId="20" fillId="2" borderId="6" xfId="0" applyNumberFormat="1" applyFont="1" applyFill="1" applyBorder="1" applyAlignment="1">
      <alignment horizontal="center" vertical="center" wrapText="1"/>
    </xf>
    <xf numFmtId="0" fontId="20" fillId="2" borderId="6" xfId="0" applyFont="1" applyFill="1" applyBorder="1" applyAlignment="1">
      <alignment horizontal="center" vertical="center" wrapText="1"/>
    </xf>
    <xf numFmtId="0" fontId="21" fillId="0" borderId="6" xfId="2" applyFont="1" applyBorder="1" applyAlignment="1">
      <alignment horizontal="center" wrapText="1"/>
    </xf>
    <xf numFmtId="0" fontId="20" fillId="2" borderId="6" xfId="0" applyFont="1" applyFill="1" applyBorder="1" applyAlignment="1">
      <alignment horizontal="left" vertical="center" wrapText="1"/>
    </xf>
    <xf numFmtId="0" fontId="20" fillId="0" borderId="6" xfId="0" applyFont="1" applyFill="1" applyBorder="1" applyAlignment="1">
      <alignment horizontal="left" vertical="center" wrapText="1"/>
    </xf>
    <xf numFmtId="0" fontId="20" fillId="2" borderId="1" xfId="0" applyFont="1" applyFill="1" applyBorder="1" applyAlignment="1">
      <alignment horizontal="center" vertical="center"/>
    </xf>
    <xf numFmtId="0" fontId="20" fillId="0" borderId="4" xfId="0" applyFont="1" applyFill="1" applyBorder="1" applyAlignment="1">
      <alignment horizontal="left" vertical="center" wrapText="1"/>
    </xf>
    <xf numFmtId="0" fontId="2" fillId="2" borderId="6" xfId="0" applyFont="1" applyFill="1" applyBorder="1" applyAlignment="1">
      <alignment horizontal="left" vertical="center" wrapText="1"/>
    </xf>
    <xf numFmtId="0" fontId="13" fillId="2" borderId="6" xfId="0" applyFont="1" applyFill="1" applyBorder="1" applyAlignment="1">
      <alignment horizontal="center"/>
    </xf>
    <xf numFmtId="0" fontId="13" fillId="2" borderId="1" xfId="0" applyFont="1" applyFill="1" applyBorder="1" applyAlignment="1">
      <alignment horizontal="center"/>
    </xf>
    <xf numFmtId="14" fontId="13" fillId="0" borderId="6" xfId="0" applyNumberFormat="1" applyFont="1" applyFill="1" applyBorder="1" applyAlignment="1"/>
    <xf numFmtId="0" fontId="0" fillId="0" borderId="6" xfId="0" applyFont="1" applyFill="1" applyBorder="1" applyAlignment="1">
      <alignment wrapText="1"/>
    </xf>
    <xf numFmtId="0" fontId="13" fillId="0" borderId="6" xfId="0" applyFont="1" applyFill="1" applyBorder="1" applyAlignment="1">
      <alignment horizontal="left" vertical="top" wrapText="1"/>
    </xf>
    <xf numFmtId="4" fontId="13" fillId="0" borderId="6" xfId="0" applyNumberFormat="1" applyFont="1" applyFill="1" applyBorder="1" applyAlignment="1">
      <alignment horizontal="right"/>
    </xf>
    <xf numFmtId="0" fontId="12" fillId="0" borderId="6" xfId="0" applyFont="1" applyFill="1" applyBorder="1" applyAlignment="1">
      <alignment horizontal="left" vertical="top" wrapText="1"/>
    </xf>
    <xf numFmtId="0" fontId="0" fillId="0" borderId="1" xfId="0" applyFont="1" applyFill="1" applyBorder="1" applyAlignment="1">
      <alignment wrapText="1"/>
    </xf>
    <xf numFmtId="164" fontId="13" fillId="0" borderId="6" xfId="0" applyNumberFormat="1" applyFont="1" applyFill="1" applyBorder="1" applyAlignment="1">
      <alignment horizontal="center" wrapText="1"/>
    </xf>
    <xf numFmtId="0" fontId="67" fillId="0" borderId="6" xfId="0" applyFont="1" applyFill="1" applyBorder="1"/>
    <xf numFmtId="164" fontId="13" fillId="0" borderId="6" xfId="1" applyFont="1" applyFill="1" applyBorder="1" applyAlignment="1">
      <alignment horizontal="right"/>
    </xf>
    <xf numFmtId="0" fontId="69" fillId="0" borderId="6" xfId="0" applyFont="1" applyFill="1" applyBorder="1"/>
    <xf numFmtId="0" fontId="69" fillId="0" borderId="6" xfId="0" applyFont="1" applyFill="1" applyBorder="1" applyAlignment="1">
      <alignment horizontal="left" wrapText="1" indent="1"/>
    </xf>
    <xf numFmtId="1" fontId="69" fillId="0" borderId="6" xfId="0" applyNumberFormat="1" applyFont="1" applyFill="1" applyBorder="1"/>
    <xf numFmtId="1" fontId="36" fillId="0" borderId="6" xfId="0" applyNumberFormat="1" applyFont="1" applyFill="1" applyBorder="1"/>
    <xf numFmtId="0" fontId="70" fillId="0" borderId="6" xfId="0" applyFont="1" applyFill="1" applyBorder="1"/>
    <xf numFmtId="49" fontId="13" fillId="0" borderId="1" xfId="0" applyNumberFormat="1" applyFont="1" applyFill="1" applyBorder="1" applyAlignment="1">
      <alignment horizontal="center" wrapText="1"/>
    </xf>
    <xf numFmtId="0" fontId="35" fillId="0" borderId="1" xfId="2" applyFont="1" applyFill="1" applyBorder="1" applyAlignment="1">
      <alignment horizontal="center" wrapText="1"/>
    </xf>
    <xf numFmtId="164" fontId="13" fillId="0" borderId="1" xfId="0" applyNumberFormat="1" applyFont="1" applyFill="1" applyBorder="1" applyAlignment="1"/>
    <xf numFmtId="0" fontId="13" fillId="0" borderId="1" xfId="0" applyFont="1" applyFill="1" applyBorder="1" applyAlignment="1">
      <alignment horizontal="center" wrapText="1"/>
    </xf>
    <xf numFmtId="0" fontId="36" fillId="0" borderId="0" xfId="0" applyFont="1" applyFill="1"/>
    <xf numFmtId="0" fontId="70" fillId="0" borderId="6" xfId="0" applyFont="1" applyFill="1" applyBorder="1" applyAlignment="1">
      <alignment wrapText="1"/>
    </xf>
    <xf numFmtId="1" fontId="70" fillId="0" borderId="6" xfId="0" applyNumberFormat="1" applyFont="1" applyFill="1" applyBorder="1"/>
    <xf numFmtId="0" fontId="13" fillId="0" borderId="1" xfId="0" applyFont="1" applyFill="1" applyBorder="1" applyAlignment="1">
      <alignment horizontal="left" wrapText="1"/>
    </xf>
    <xf numFmtId="164" fontId="5" fillId="0" borderId="1" xfId="0" applyNumberFormat="1" applyFont="1" applyFill="1" applyBorder="1" applyAlignment="1">
      <alignment wrapText="1"/>
    </xf>
    <xf numFmtId="4" fontId="13" fillId="0" borderId="1" xfId="0" applyNumberFormat="1" applyFont="1" applyFill="1" applyBorder="1" applyAlignment="1">
      <alignment horizontal="right"/>
    </xf>
    <xf numFmtId="0" fontId="69" fillId="0" borderId="0" xfId="0" applyFont="1" applyFill="1"/>
    <xf numFmtId="0" fontId="12" fillId="0" borderId="1" xfId="0" applyFont="1" applyFill="1" applyBorder="1" applyAlignment="1">
      <alignment horizontal="center" wrapText="1"/>
    </xf>
    <xf numFmtId="14" fontId="13" fillId="0" borderId="1" xfId="0" applyNumberFormat="1" applyFont="1" applyFill="1" applyBorder="1" applyAlignment="1"/>
    <xf numFmtId="49" fontId="4" fillId="2" borderId="1" xfId="0" applyNumberFormat="1" applyFont="1" applyFill="1" applyBorder="1" applyAlignment="1">
      <alignment horizontal="center" vertical="top" wrapText="1"/>
    </xf>
    <xf numFmtId="0" fontId="19" fillId="0" borderId="5" xfId="0" applyFont="1" applyBorder="1" applyAlignment="1">
      <alignment horizontal="center" vertical="top"/>
    </xf>
    <xf numFmtId="0" fontId="4" fillId="2" borderId="6" xfId="0" applyFont="1" applyFill="1" applyBorder="1" applyAlignment="1">
      <alignment horizontal="center" vertical="top" wrapText="1"/>
    </xf>
    <xf numFmtId="0" fontId="19" fillId="0" borderId="6" xfId="0" applyFont="1" applyBorder="1" applyAlignment="1">
      <alignment vertical="top" wrapText="1"/>
    </xf>
    <xf numFmtId="0" fontId="4" fillId="2" borderId="1" xfId="0" applyFont="1" applyFill="1" applyBorder="1" applyAlignment="1">
      <alignment vertical="top" wrapText="1"/>
    </xf>
    <xf numFmtId="0" fontId="19" fillId="0" borderId="5" xfId="0" applyFont="1" applyBorder="1" applyAlignment="1">
      <alignment vertical="top" wrapText="1"/>
    </xf>
    <xf numFmtId="0" fontId="19" fillId="0" borderId="5" xfId="0" applyFont="1" applyBorder="1" applyAlignment="1">
      <alignment horizontal="center" vertical="top" wrapText="1"/>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3" fillId="0" borderId="0" xfId="0" applyFont="1" applyFill="1" applyAlignment="1">
      <alignment horizontal="left" vertical="top"/>
    </xf>
    <xf numFmtId="0" fontId="4" fillId="0" borderId="0" xfId="0" applyFont="1" applyFill="1" applyAlignment="1">
      <alignment horizontal="left" vertical="top"/>
    </xf>
    <xf numFmtId="0" fontId="0" fillId="0" borderId="0" xfId="0" applyAlignment="1">
      <alignment horizontal="left" vertical="top"/>
    </xf>
    <xf numFmtId="0" fontId="6" fillId="0" borderId="0" xfId="0" applyFont="1" applyBorder="1" applyAlignment="1">
      <alignment horizontal="center" wrapText="1"/>
    </xf>
    <xf numFmtId="0" fontId="0" fillId="0" borderId="0" xfId="0" applyAlignment="1">
      <alignment horizontal="center"/>
    </xf>
    <xf numFmtId="164" fontId="4" fillId="2" borderId="2" xfId="1" applyFont="1" applyFill="1" applyBorder="1" applyAlignment="1">
      <alignment horizontal="center" vertical="top" wrapText="1"/>
    </xf>
    <xf numFmtId="164" fontId="4" fillId="2" borderId="3" xfId="1" applyFont="1" applyFill="1" applyBorder="1" applyAlignment="1">
      <alignment horizontal="center" vertical="top" wrapText="1"/>
    </xf>
    <xf numFmtId="0" fontId="19" fillId="0" borderId="4" xfId="0" applyFont="1" applyBorder="1" applyAlignment="1">
      <alignment horizontal="center" vertical="top" wrapText="1"/>
    </xf>
    <xf numFmtId="0" fontId="18" fillId="0" borderId="0" xfId="0" applyFont="1" applyBorder="1" applyAlignment="1">
      <alignment horizontal="center" wrapText="1"/>
    </xf>
    <xf numFmtId="0" fontId="0" fillId="0" borderId="0" xfId="0" applyAlignment="1">
      <alignment horizontal="left"/>
    </xf>
    <xf numFmtId="0" fontId="12" fillId="0" borderId="0" xfId="0" applyFont="1" applyAlignment="1">
      <alignment horizontal="right"/>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left" wrapText="1"/>
    </xf>
    <xf numFmtId="0" fontId="15" fillId="0" borderId="0" xfId="0" applyFont="1" applyAlignment="1">
      <alignment horizontal="left" wrapText="1"/>
    </xf>
    <xf numFmtId="0" fontId="15" fillId="0" borderId="0" xfId="0" applyFont="1" applyAlignment="1">
      <alignment horizontal="left"/>
    </xf>
    <xf numFmtId="0" fontId="16" fillId="0" borderId="0" xfId="0" applyFont="1" applyFill="1" applyAlignment="1">
      <alignment horizontal="left"/>
    </xf>
    <xf numFmtId="0" fontId="30" fillId="0" borderId="0" xfId="0" applyFont="1" applyFill="1" applyAlignment="1">
      <alignment horizontal="left" wrapText="1"/>
    </xf>
    <xf numFmtId="49" fontId="3" fillId="0" borderId="6" xfId="0" applyNumberFormat="1" applyFont="1" applyFill="1" applyBorder="1" applyAlignment="1">
      <alignment horizontal="center" vertical="center" wrapText="1"/>
    </xf>
    <xf numFmtId="0" fontId="0" fillId="0" borderId="6" xfId="0" applyFill="1" applyBorder="1" applyAlignment="1">
      <alignment horizontal="center" vertical="center"/>
    </xf>
    <xf numFmtId="0" fontId="3" fillId="0" borderId="6" xfId="0" applyFont="1" applyFill="1" applyBorder="1" applyAlignment="1">
      <alignment horizontal="center" vertical="center" wrapText="1"/>
    </xf>
    <xf numFmtId="0" fontId="0" fillId="0" borderId="6" xfId="0" applyFill="1" applyBorder="1" applyAlignment="1">
      <alignment vertical="center" wrapText="1"/>
    </xf>
    <xf numFmtId="0" fontId="3" fillId="0" borderId="6" xfId="0" applyFont="1" applyFill="1" applyBorder="1" applyAlignment="1">
      <alignment vertical="center" wrapText="1"/>
    </xf>
    <xf numFmtId="0" fontId="0" fillId="0" borderId="6" xfId="0" applyFill="1" applyBorder="1" applyAlignment="1">
      <alignment horizontal="center" vertical="center" wrapText="1"/>
    </xf>
    <xf numFmtId="0" fontId="0" fillId="0" borderId="0" xfId="0" applyFill="1" applyAlignment="1">
      <alignment horizontal="left" wrapText="1"/>
    </xf>
    <xf numFmtId="164" fontId="3" fillId="0" borderId="6" xfId="1" applyFont="1" applyFill="1" applyBorder="1" applyAlignment="1">
      <alignment horizontal="center" vertical="center" wrapText="1"/>
    </xf>
    <xf numFmtId="0" fontId="13" fillId="0" borderId="0" xfId="0" applyFont="1" applyFill="1" applyAlignment="1">
      <alignment horizontal="center"/>
    </xf>
    <xf numFmtId="0" fontId="38" fillId="0" borderId="6" xfId="0" applyFont="1" applyFill="1" applyBorder="1" applyAlignment="1">
      <alignment horizontal="center" vertical="center" wrapText="1"/>
    </xf>
    <xf numFmtId="0" fontId="39" fillId="0" borderId="0" xfId="0" applyFont="1" applyFill="1" applyBorder="1" applyAlignment="1">
      <alignment horizontal="center" wrapText="1"/>
    </xf>
    <xf numFmtId="0" fontId="39" fillId="0" borderId="0" xfId="0" applyFont="1" applyFill="1" applyBorder="1" applyAlignment="1">
      <alignment horizontal="center"/>
    </xf>
    <xf numFmtId="0" fontId="40" fillId="0" borderId="0" xfId="0" applyFont="1" applyFill="1" applyAlignment="1">
      <alignment horizontal="center" vertical="top"/>
    </xf>
    <xf numFmtId="0" fontId="13" fillId="0" borderId="0" xfId="0" applyFont="1" applyFill="1" applyBorder="1" applyAlignment="1">
      <alignment horizontal="center"/>
    </xf>
    <xf numFmtId="0" fontId="13" fillId="0" borderId="0" xfId="0" applyFont="1" applyAlignment="1">
      <alignment horizontal="left"/>
    </xf>
    <xf numFmtId="0" fontId="11" fillId="0" borderId="0" xfId="0" applyFont="1" applyAlignment="1">
      <alignment horizontal="left"/>
    </xf>
    <xf numFmtId="0" fontId="13" fillId="0" borderId="0" xfId="0" applyFont="1" applyAlignment="1">
      <alignment horizontal="left" vertical="top"/>
    </xf>
    <xf numFmtId="0" fontId="12" fillId="0" borderId="0" xfId="0" applyFont="1" applyBorder="1" applyAlignment="1">
      <alignment horizontal="center" wrapText="1"/>
    </xf>
    <xf numFmtId="164" fontId="3" fillId="2" borderId="6" xfId="1" applyFont="1" applyFill="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2" fontId="12" fillId="0" borderId="6" xfId="0" applyNumberFormat="1" applyFont="1" applyBorder="1" applyAlignment="1">
      <alignment horizontal="center" vertical="center" wrapText="1"/>
    </xf>
    <xf numFmtId="0" fontId="2" fillId="0" borderId="0" xfId="0" applyFont="1" applyFill="1" applyAlignment="1">
      <alignment horizontal="left" vertical="top"/>
    </xf>
    <xf numFmtId="0" fontId="44" fillId="0" borderId="0" xfId="0" applyFont="1" applyBorder="1" applyAlignment="1">
      <alignment horizontal="center" vertical="center" wrapText="1"/>
    </xf>
    <xf numFmtId="0" fontId="44" fillId="0" borderId="0" xfId="0" applyFont="1" applyBorder="1" applyAlignment="1">
      <alignment horizontal="center" vertical="center"/>
    </xf>
    <xf numFmtId="0" fontId="0" fillId="0" borderId="0" xfId="0" applyAlignment="1"/>
    <xf numFmtId="49" fontId="3" fillId="2" borderId="6" xfId="0" applyNumberFormat="1" applyFont="1" applyFill="1" applyBorder="1" applyAlignment="1">
      <alignment horizontal="center" vertical="center" wrapText="1"/>
    </xf>
    <xf numFmtId="0" fontId="13" fillId="0" borderId="6" xfId="0" applyFont="1" applyBorder="1" applyAlignment="1">
      <alignment horizontal="center" vertical="center"/>
    </xf>
    <xf numFmtId="0" fontId="3" fillId="2" borderId="6" xfId="0" applyFont="1" applyFill="1" applyBorder="1" applyAlignment="1">
      <alignment horizontal="center" vertical="center" wrapText="1"/>
    </xf>
    <xf numFmtId="0" fontId="38" fillId="0" borderId="1" xfId="0" applyFont="1" applyBorder="1" applyAlignment="1">
      <alignment horizontal="center" vertical="center" wrapText="1"/>
    </xf>
    <xf numFmtId="0" fontId="38" fillId="0" borderId="5" xfId="0" applyFont="1" applyBorder="1" applyAlignment="1">
      <alignment horizontal="center" vertical="center" wrapText="1"/>
    </xf>
    <xf numFmtId="164" fontId="3" fillId="2" borderId="3" xfId="1" applyFont="1" applyFill="1"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56" fillId="0" borderId="0" xfId="0" applyFont="1" applyBorder="1" applyAlignment="1">
      <alignment horizontal="center" vertical="top" wrapText="1"/>
    </xf>
    <xf numFmtId="49" fontId="3" fillId="2" borderId="1" xfId="0" applyNumberFormat="1" applyFont="1" applyFill="1" applyBorder="1" applyAlignment="1">
      <alignment horizontal="center" vertical="top" wrapText="1"/>
    </xf>
    <xf numFmtId="0" fontId="0" fillId="0" borderId="5" xfId="0" applyBorder="1" applyAlignment="1">
      <alignment horizontal="center" vertical="top"/>
    </xf>
    <xf numFmtId="0" fontId="3" fillId="2" borderId="6" xfId="0" applyFont="1" applyFill="1" applyBorder="1" applyAlignment="1">
      <alignment horizontal="center" vertical="top" wrapText="1"/>
    </xf>
    <xf numFmtId="0" fontId="0" fillId="0" borderId="6" xfId="0" applyBorder="1" applyAlignment="1">
      <alignment vertical="top" wrapText="1"/>
    </xf>
    <xf numFmtId="0" fontId="3" fillId="2" borderId="1" xfId="0" applyFont="1" applyFill="1" applyBorder="1" applyAlignment="1">
      <alignment vertical="top" wrapText="1"/>
    </xf>
    <xf numFmtId="0" fontId="0" fillId="0" borderId="5" xfId="0" applyBorder="1" applyAlignment="1">
      <alignment vertical="top" wrapText="1"/>
    </xf>
    <xf numFmtId="0" fontId="0" fillId="0" borderId="5" xfId="0" applyBorder="1" applyAlignment="1">
      <alignment horizontal="center" vertical="top" wrapText="1"/>
    </xf>
    <xf numFmtId="0" fontId="6" fillId="0" borderId="0" xfId="0" applyFont="1" applyAlignment="1">
      <alignment horizontal="right"/>
    </xf>
    <xf numFmtId="0" fontId="6" fillId="0" borderId="0" xfId="0" applyFont="1" applyAlignment="1">
      <alignment horizontal="center"/>
    </xf>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57" fillId="0" borderId="0" xfId="0" applyFont="1" applyBorder="1" applyAlignment="1">
      <alignment horizontal="left" vertical="top" wrapText="1"/>
    </xf>
    <xf numFmtId="164" fontId="4" fillId="2" borderId="3" xfId="1" applyFont="1" applyFill="1" applyBorder="1" applyAlignment="1">
      <alignment horizontal="center" vertical="center" wrapText="1"/>
    </xf>
    <xf numFmtId="0" fontId="27" fillId="0" borderId="4" xfId="0" applyFont="1" applyBorder="1" applyAlignment="1">
      <alignment horizontal="center" vertical="center" wrapText="1"/>
    </xf>
    <xf numFmtId="0" fontId="27" fillId="0" borderId="0" xfId="0" applyFont="1" applyAlignment="1">
      <alignment horizontal="left"/>
    </xf>
    <xf numFmtId="0" fontId="27" fillId="0" borderId="0" xfId="0" applyFont="1" applyAlignment="1">
      <alignment horizontal="center"/>
    </xf>
    <xf numFmtId="0" fontId="27" fillId="0" borderId="0" xfId="0" applyFont="1" applyAlignment="1">
      <alignment horizontal="left" vertical="top"/>
    </xf>
    <xf numFmtId="49" fontId="4" fillId="2" borderId="1" xfId="0" applyNumberFormat="1" applyFont="1" applyFill="1" applyBorder="1" applyAlignment="1">
      <alignment horizontal="center" vertical="center" wrapText="1"/>
    </xf>
    <xf numFmtId="0" fontId="27" fillId="0" borderId="5" xfId="0" applyFont="1" applyBorder="1" applyAlignment="1">
      <alignment horizontal="center" vertical="center"/>
    </xf>
    <xf numFmtId="0" fontId="4" fillId="2" borderId="6" xfId="0" applyFont="1" applyFill="1" applyBorder="1" applyAlignment="1">
      <alignment horizontal="center" vertical="center" wrapText="1"/>
    </xf>
    <xf numFmtId="0" fontId="27" fillId="0" borderId="6" xfId="0" applyFont="1" applyBorder="1" applyAlignment="1">
      <alignment horizontal="center" vertical="center" wrapText="1"/>
    </xf>
    <xf numFmtId="0" fontId="4" fillId="2" borderId="1" xfId="0" applyFont="1" applyFill="1" applyBorder="1" applyAlignment="1">
      <alignment horizontal="center" vertical="center" wrapText="1"/>
    </xf>
    <xf numFmtId="0" fontId="27" fillId="0" borderId="5"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3" fillId="2" borderId="1" xfId="0" applyFont="1" applyFill="1" applyBorder="1" applyAlignment="1">
      <alignment horizontal="center" vertical="center" wrapText="1"/>
    </xf>
    <xf numFmtId="0" fontId="13" fillId="0" borderId="5"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wrapText="1"/>
    </xf>
    <xf numFmtId="164" fontId="3" fillId="2" borderId="3" xfId="1" applyFont="1" applyFill="1" applyBorder="1" applyAlignment="1">
      <alignment horizontal="center" vertical="center" wrapText="1"/>
    </xf>
    <xf numFmtId="0" fontId="13" fillId="0" borderId="3" xfId="0" applyFont="1" applyBorder="1" applyAlignment="1">
      <alignment horizontal="center" vertical="center" wrapText="1"/>
    </xf>
    <xf numFmtId="0" fontId="4" fillId="0" borderId="0" xfId="0" applyFont="1" applyBorder="1" applyAlignment="1">
      <alignment horizontal="center" wrapText="1"/>
    </xf>
    <xf numFmtId="0" fontId="41" fillId="0" borderId="0" xfId="0" applyFont="1" applyAlignment="1">
      <alignment horizontal="left"/>
    </xf>
    <xf numFmtId="0" fontId="3" fillId="0" borderId="2" xfId="0" applyFont="1" applyFill="1" applyBorder="1" applyAlignment="1">
      <alignment horizontal="left" vertical="top" wrapText="1"/>
    </xf>
    <xf numFmtId="0" fontId="0" fillId="0" borderId="3" xfId="0" applyBorder="1" applyAlignment="1">
      <alignment horizontal="left" wrapText="1"/>
    </xf>
    <xf numFmtId="0" fontId="0" fillId="0" borderId="4" xfId="0" applyBorder="1" applyAlignment="1">
      <alignment horizontal="left" wrapText="1"/>
    </xf>
    <xf numFmtId="0" fontId="13" fillId="0" borderId="0" xfId="0" applyFont="1" applyAlignment="1">
      <alignment horizontal="left" vertical="center"/>
    </xf>
    <xf numFmtId="0" fontId="13" fillId="0" borderId="0" xfId="0" applyFont="1" applyAlignment="1">
      <alignment horizontal="right"/>
    </xf>
    <xf numFmtId="164" fontId="3" fillId="2" borderId="2" xfId="1" applyFont="1" applyFill="1" applyBorder="1" applyAlignment="1">
      <alignment horizontal="center" vertical="center" wrapText="1"/>
    </xf>
    <xf numFmtId="0" fontId="13" fillId="0" borderId="4" xfId="0" applyFont="1" applyBorder="1" applyAlignment="1">
      <alignment horizontal="center" vertical="center" wrapText="1"/>
    </xf>
  </cellXfs>
  <cellStyles count="4">
    <cellStyle name="Гиперссылка" xfId="2" builtinId="8"/>
    <cellStyle name="Обычный" xfId="0" builtinId="0"/>
    <cellStyle name="Финансовый" xfId="1" builtinId="3"/>
    <cellStyle name="Финансовый 2" xfId="3" xr:uid="{00000000-0005-0000-0000-000003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207817</xdr:colOff>
      <xdr:row>109</xdr:row>
      <xdr:rowOff>173183</xdr:rowOff>
    </xdr:from>
    <xdr:to>
      <xdr:col>3</xdr:col>
      <xdr:colOff>3099952</xdr:colOff>
      <xdr:row>119</xdr:row>
      <xdr:rowOff>121228</xdr:rowOff>
    </xdr:to>
    <xdr:pic>
      <xdr:nvPicPr>
        <xdr:cNvPr id="5" name="Рисунок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8087590" y="85447910"/>
          <a:ext cx="2892135" cy="2337954"/>
        </a:xfrm>
        <a:prstGeom prst="rect">
          <a:avLst/>
        </a:prstGeom>
      </xdr:spPr>
    </xdr:pic>
    <xdr:clientData/>
  </xdr:twoCellAnchor>
  <xdr:twoCellAnchor editAs="oneCell">
    <xdr:from>
      <xdr:col>15</xdr:col>
      <xdr:colOff>1143000</xdr:colOff>
      <xdr:row>109</xdr:row>
      <xdr:rowOff>103908</xdr:rowOff>
    </xdr:from>
    <xdr:to>
      <xdr:col>16</xdr:col>
      <xdr:colOff>848590</xdr:colOff>
      <xdr:row>118</xdr:row>
      <xdr:rowOff>136226</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21301364" y="38186590"/>
          <a:ext cx="2251363" cy="2214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51954</xdr:colOff>
      <xdr:row>173</xdr:row>
      <xdr:rowOff>105350</xdr:rowOff>
    </xdr:from>
    <xdr:ext cx="2129681" cy="1986529"/>
    <xdr:pic>
      <xdr:nvPicPr>
        <xdr:cNvPr id="2" name="Рисунок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767329" y="38395850"/>
          <a:ext cx="2129681" cy="1986529"/>
        </a:xfrm>
        <a:prstGeom prst="rect">
          <a:avLst/>
        </a:prstGeom>
      </xdr:spPr>
    </xdr:pic>
    <xdr:clientData/>
  </xdr:oneCellAnchor>
  <xdr:oneCellAnchor>
    <xdr:from>
      <xdr:col>2</xdr:col>
      <xdr:colOff>2398584</xdr:colOff>
      <xdr:row>173</xdr:row>
      <xdr:rowOff>0</xdr:rowOff>
    </xdr:from>
    <xdr:ext cx="2483392" cy="2074952"/>
    <xdr:pic>
      <xdr:nvPicPr>
        <xdr:cNvPr id="3" name="Рисунок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741359" y="38290500"/>
          <a:ext cx="2483392" cy="20749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232752</xdr:colOff>
      <xdr:row>28</xdr:row>
      <xdr:rowOff>62764</xdr:rowOff>
    </xdr:from>
    <xdr:ext cx="2548982" cy="2225955"/>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75827" y="5396764"/>
          <a:ext cx="2548982" cy="2225955"/>
        </a:xfrm>
        <a:prstGeom prst="rect">
          <a:avLst/>
        </a:prstGeom>
      </xdr:spPr>
    </xdr:pic>
    <xdr:clientData/>
  </xdr:oneCellAnchor>
  <xdr:oneCellAnchor>
    <xdr:from>
      <xdr:col>15</xdr:col>
      <xdr:colOff>1158875</xdr:colOff>
      <xdr:row>28</xdr:row>
      <xdr:rowOff>95250</xdr:rowOff>
    </xdr:from>
    <xdr:ext cx="2054530" cy="2103302"/>
    <xdr:pic>
      <xdr:nvPicPr>
        <xdr:cNvPr id="3" name="Рисунок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9293225" y="5429250"/>
          <a:ext cx="2054530" cy="210330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280378</xdr:colOff>
      <xdr:row>38</xdr:row>
      <xdr:rowOff>174625</xdr:rowOff>
    </xdr:from>
    <xdr:ext cx="2381154" cy="1905000"/>
    <xdr:pic>
      <xdr:nvPicPr>
        <xdr:cNvPr id="2" name="Рисунок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947753" y="19526250"/>
          <a:ext cx="2381154" cy="1905000"/>
        </a:xfrm>
        <a:prstGeom prst="rect">
          <a:avLst/>
        </a:prstGeom>
      </xdr:spPr>
    </xdr:pic>
    <xdr:clientData/>
  </xdr:oneCellAnchor>
  <xdr:oneCellAnchor>
    <xdr:from>
      <xdr:col>15</xdr:col>
      <xdr:colOff>1095375</xdr:colOff>
      <xdr:row>38</xdr:row>
      <xdr:rowOff>95250</xdr:rowOff>
    </xdr:from>
    <xdr:ext cx="2054530" cy="1889125"/>
    <xdr:pic>
      <xdr:nvPicPr>
        <xdr:cNvPr id="3" name="Рисунок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8780125" y="19446875"/>
          <a:ext cx="2054530" cy="18891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15</xdr:col>
      <xdr:colOff>51954</xdr:colOff>
      <xdr:row>43</xdr:row>
      <xdr:rowOff>105350</xdr:rowOff>
    </xdr:from>
    <xdr:ext cx="2127516" cy="1897774"/>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767329" y="8296850"/>
          <a:ext cx="2127516" cy="1897774"/>
        </a:xfrm>
        <a:prstGeom prst="rect">
          <a:avLst/>
        </a:prstGeom>
      </xdr:spPr>
    </xdr:pic>
    <xdr:clientData/>
  </xdr:oneCellAnchor>
  <xdr:oneCellAnchor>
    <xdr:from>
      <xdr:col>2</xdr:col>
      <xdr:colOff>2398584</xdr:colOff>
      <xdr:row>43</xdr:row>
      <xdr:rowOff>0</xdr:rowOff>
    </xdr:from>
    <xdr:ext cx="2459579" cy="1986197"/>
    <xdr:pic>
      <xdr:nvPicPr>
        <xdr:cNvPr id="3" name="Рисунок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741359" y="8191500"/>
          <a:ext cx="2459579" cy="198619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13</xdr:col>
      <xdr:colOff>11351</xdr:colOff>
      <xdr:row>268</xdr:row>
      <xdr:rowOff>151352</xdr:rowOff>
    </xdr:from>
    <xdr:ext cx="2101105" cy="1958098"/>
    <xdr:pic>
      <xdr:nvPicPr>
        <xdr:cNvPr id="2" name="Рисунок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564676" y="51205352"/>
          <a:ext cx="2101105" cy="1958098"/>
        </a:xfrm>
        <a:prstGeom prst="rect">
          <a:avLst/>
        </a:prstGeom>
      </xdr:spPr>
    </xdr:pic>
    <xdr:clientData/>
  </xdr:oneCellAnchor>
  <xdr:oneCellAnchor>
    <xdr:from>
      <xdr:col>3</xdr:col>
      <xdr:colOff>80720</xdr:colOff>
      <xdr:row>268</xdr:row>
      <xdr:rowOff>129154</xdr:rowOff>
    </xdr:from>
    <xdr:ext cx="2468370" cy="2031550"/>
    <xdr:pic>
      <xdr:nvPicPr>
        <xdr:cNvPr id="3" name="Рисунок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823795" y="51183154"/>
          <a:ext cx="2468370" cy="20315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12</xdr:col>
      <xdr:colOff>1459643</xdr:colOff>
      <xdr:row>49</xdr:row>
      <xdr:rowOff>104749</xdr:rowOff>
    </xdr:from>
    <xdr:ext cx="2027741" cy="2059733"/>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555643" y="9439249"/>
          <a:ext cx="2027741" cy="2059733"/>
        </a:xfrm>
        <a:prstGeom prst="rect">
          <a:avLst/>
        </a:prstGeom>
      </xdr:spPr>
    </xdr:pic>
    <xdr:clientData/>
  </xdr:oneCellAnchor>
  <xdr:oneCellAnchor>
    <xdr:from>
      <xdr:col>3</xdr:col>
      <xdr:colOff>671287</xdr:colOff>
      <xdr:row>49</xdr:row>
      <xdr:rowOff>45780</xdr:rowOff>
    </xdr:from>
    <xdr:ext cx="2646720" cy="2317329"/>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2328637" y="9380280"/>
          <a:ext cx="2646720" cy="231732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15</xdr:col>
      <xdr:colOff>51954</xdr:colOff>
      <xdr:row>32</xdr:row>
      <xdr:rowOff>105350</xdr:rowOff>
    </xdr:from>
    <xdr:ext cx="2130918" cy="1969211"/>
    <xdr:pic>
      <xdr:nvPicPr>
        <xdr:cNvPr id="2" name="Рисунок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767329" y="6201350"/>
          <a:ext cx="2130918" cy="1969211"/>
        </a:xfrm>
        <a:prstGeom prst="rect">
          <a:avLst/>
        </a:prstGeom>
      </xdr:spPr>
    </xdr:pic>
    <xdr:clientData/>
  </xdr:oneCellAnchor>
  <xdr:oneCellAnchor>
    <xdr:from>
      <xdr:col>2</xdr:col>
      <xdr:colOff>2277358</xdr:colOff>
      <xdr:row>31</xdr:row>
      <xdr:rowOff>86592</xdr:rowOff>
    </xdr:from>
    <xdr:ext cx="2489576" cy="2053921"/>
    <xdr:pic>
      <xdr:nvPicPr>
        <xdr:cNvPr id="3" name="Рисунок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1743958" y="5992092"/>
          <a:ext cx="2489576" cy="2053921"/>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15</xdr:col>
      <xdr:colOff>51954</xdr:colOff>
      <xdr:row>31</xdr:row>
      <xdr:rowOff>105350</xdr:rowOff>
    </xdr:from>
    <xdr:ext cx="2129681" cy="1986529"/>
    <xdr:pic>
      <xdr:nvPicPr>
        <xdr:cNvPr id="2" name="Рисунок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767329" y="6010850"/>
          <a:ext cx="2129681" cy="1986529"/>
        </a:xfrm>
        <a:prstGeom prst="rect">
          <a:avLst/>
        </a:prstGeom>
      </xdr:spPr>
    </xdr:pic>
    <xdr:clientData/>
  </xdr:oneCellAnchor>
  <xdr:oneCellAnchor>
    <xdr:from>
      <xdr:col>2</xdr:col>
      <xdr:colOff>2277358</xdr:colOff>
      <xdr:row>30</xdr:row>
      <xdr:rowOff>86592</xdr:rowOff>
    </xdr:from>
    <xdr:ext cx="2483392" cy="2074950"/>
    <xdr:pic>
      <xdr:nvPicPr>
        <xdr:cNvPr id="3" name="Рисунок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743958" y="5801592"/>
          <a:ext cx="2483392" cy="20749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1459643</xdr:colOff>
      <xdr:row>26</xdr:row>
      <xdr:rowOff>104749</xdr:rowOff>
    </xdr:from>
    <xdr:ext cx="2015041" cy="2005758"/>
    <xdr:pic>
      <xdr:nvPicPr>
        <xdr:cNvPr id="2" name="Рисунок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555643" y="5057749"/>
          <a:ext cx="2015041" cy="2005758"/>
        </a:xfrm>
        <a:prstGeom prst="rect">
          <a:avLst/>
        </a:prstGeom>
      </xdr:spPr>
    </xdr:pic>
    <xdr:clientData/>
  </xdr:oneCellAnchor>
  <xdr:oneCellAnchor>
    <xdr:from>
      <xdr:col>3</xdr:col>
      <xdr:colOff>671287</xdr:colOff>
      <xdr:row>26</xdr:row>
      <xdr:rowOff>45780</xdr:rowOff>
    </xdr:from>
    <xdr:ext cx="2627671" cy="2253829"/>
    <xdr:pic>
      <xdr:nvPicPr>
        <xdr:cNvPr id="3" name="Рисунок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2328637" y="4998780"/>
          <a:ext cx="2627671" cy="225382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1459643</xdr:colOff>
      <xdr:row>53</xdr:row>
      <xdr:rowOff>104749</xdr:rowOff>
    </xdr:from>
    <xdr:ext cx="2027740" cy="2059732"/>
    <xdr:pic>
      <xdr:nvPicPr>
        <xdr:cNvPr id="2" name="Рисунок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555643" y="10201249"/>
          <a:ext cx="2027740" cy="2059732"/>
        </a:xfrm>
        <a:prstGeom prst="rect">
          <a:avLst/>
        </a:prstGeom>
      </xdr:spPr>
    </xdr:pic>
    <xdr:clientData/>
  </xdr:oneCellAnchor>
  <xdr:oneCellAnchor>
    <xdr:from>
      <xdr:col>3</xdr:col>
      <xdr:colOff>671287</xdr:colOff>
      <xdr:row>53</xdr:row>
      <xdr:rowOff>45780</xdr:rowOff>
    </xdr:from>
    <xdr:ext cx="2646721" cy="2317328"/>
    <xdr:pic>
      <xdr:nvPicPr>
        <xdr:cNvPr id="3" name="Рисунок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2328637" y="10142280"/>
          <a:ext cx="2646721" cy="231732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15</xdr:col>
      <xdr:colOff>51954</xdr:colOff>
      <xdr:row>15</xdr:row>
      <xdr:rowOff>105350</xdr:rowOff>
    </xdr:from>
    <xdr:ext cx="2130919" cy="1969211"/>
    <xdr:pic>
      <xdr:nvPicPr>
        <xdr:cNvPr id="2" name="Рисунок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767329" y="2962850"/>
          <a:ext cx="2130919" cy="1969211"/>
        </a:xfrm>
        <a:prstGeom prst="rect">
          <a:avLst/>
        </a:prstGeom>
      </xdr:spPr>
    </xdr:pic>
    <xdr:clientData/>
  </xdr:oneCellAnchor>
  <xdr:oneCellAnchor>
    <xdr:from>
      <xdr:col>2</xdr:col>
      <xdr:colOff>2277358</xdr:colOff>
      <xdr:row>14</xdr:row>
      <xdr:rowOff>86592</xdr:rowOff>
    </xdr:from>
    <xdr:ext cx="2487103" cy="2053921"/>
    <xdr:pic>
      <xdr:nvPicPr>
        <xdr:cNvPr id="3" name="Рисунок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743958" y="2753592"/>
          <a:ext cx="2487103" cy="2053921"/>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51954</xdr:colOff>
      <xdr:row>34</xdr:row>
      <xdr:rowOff>105350</xdr:rowOff>
    </xdr:from>
    <xdr:ext cx="2127516" cy="1897773"/>
    <xdr:pic>
      <xdr:nvPicPr>
        <xdr:cNvPr id="2" name="Рисунок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767329" y="6582350"/>
          <a:ext cx="2127516" cy="1897773"/>
        </a:xfrm>
        <a:prstGeom prst="rect">
          <a:avLst/>
        </a:prstGeom>
      </xdr:spPr>
    </xdr:pic>
    <xdr:clientData/>
  </xdr:oneCellAnchor>
  <xdr:oneCellAnchor>
    <xdr:from>
      <xdr:col>2</xdr:col>
      <xdr:colOff>2398584</xdr:colOff>
      <xdr:row>34</xdr:row>
      <xdr:rowOff>0</xdr:rowOff>
    </xdr:from>
    <xdr:ext cx="2474733" cy="1986196"/>
    <xdr:pic>
      <xdr:nvPicPr>
        <xdr:cNvPr id="3" name="Рисунок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1741359" y="6477000"/>
          <a:ext cx="2474733" cy="198619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232752</xdr:colOff>
      <xdr:row>38</xdr:row>
      <xdr:rowOff>62764</xdr:rowOff>
    </xdr:from>
    <xdr:ext cx="2548982" cy="2225955"/>
    <xdr:pic>
      <xdr:nvPicPr>
        <xdr:cNvPr id="2" name="Рисунок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975827" y="7301764"/>
          <a:ext cx="2548982" cy="2225955"/>
        </a:xfrm>
        <a:prstGeom prst="rect">
          <a:avLst/>
        </a:prstGeom>
      </xdr:spPr>
    </xdr:pic>
    <xdr:clientData/>
  </xdr:oneCellAnchor>
  <xdr:oneCellAnchor>
    <xdr:from>
      <xdr:col>15</xdr:col>
      <xdr:colOff>1158875</xdr:colOff>
      <xdr:row>38</xdr:row>
      <xdr:rowOff>95250</xdr:rowOff>
    </xdr:from>
    <xdr:ext cx="2054530" cy="2103302"/>
    <xdr:pic>
      <xdr:nvPicPr>
        <xdr:cNvPr id="3" name="Рисунок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9293225" y="7334250"/>
          <a:ext cx="2054530" cy="2103302"/>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15</xdr:col>
      <xdr:colOff>51954</xdr:colOff>
      <xdr:row>34</xdr:row>
      <xdr:rowOff>105350</xdr:rowOff>
    </xdr:from>
    <xdr:ext cx="2129681" cy="1986529"/>
    <xdr:pic>
      <xdr:nvPicPr>
        <xdr:cNvPr id="2" name="Рисунок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8767329" y="6582350"/>
          <a:ext cx="2129681" cy="1986529"/>
        </a:xfrm>
        <a:prstGeom prst="rect">
          <a:avLst/>
        </a:prstGeom>
      </xdr:spPr>
    </xdr:pic>
    <xdr:clientData/>
  </xdr:oneCellAnchor>
  <xdr:oneCellAnchor>
    <xdr:from>
      <xdr:col>2</xdr:col>
      <xdr:colOff>2398584</xdr:colOff>
      <xdr:row>34</xdr:row>
      <xdr:rowOff>0</xdr:rowOff>
    </xdr:from>
    <xdr:ext cx="2483392" cy="2074952"/>
    <xdr:pic>
      <xdr:nvPicPr>
        <xdr:cNvPr id="3" name="Рисунок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741359" y="6477000"/>
          <a:ext cx="2483392" cy="2074952"/>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1459643</xdr:colOff>
      <xdr:row>33</xdr:row>
      <xdr:rowOff>104749</xdr:rowOff>
    </xdr:from>
    <xdr:ext cx="2021908" cy="2059730"/>
    <xdr:pic>
      <xdr:nvPicPr>
        <xdr:cNvPr id="2" name="Рисунок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7555643" y="6391249"/>
          <a:ext cx="2021908" cy="2059730"/>
        </a:xfrm>
        <a:prstGeom prst="rect">
          <a:avLst/>
        </a:prstGeom>
      </xdr:spPr>
    </xdr:pic>
    <xdr:clientData/>
  </xdr:oneCellAnchor>
  <xdr:oneCellAnchor>
    <xdr:from>
      <xdr:col>3</xdr:col>
      <xdr:colOff>671287</xdr:colOff>
      <xdr:row>33</xdr:row>
      <xdr:rowOff>45780</xdr:rowOff>
    </xdr:from>
    <xdr:ext cx="2646721" cy="2317326"/>
    <xdr:pic>
      <xdr:nvPicPr>
        <xdr:cNvPr id="3" name="Рисунок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2328637" y="6332280"/>
          <a:ext cx="2646721" cy="231732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12</xdr:col>
      <xdr:colOff>1493819</xdr:colOff>
      <xdr:row>64</xdr:row>
      <xdr:rowOff>151292</xdr:rowOff>
    </xdr:from>
    <xdr:ext cx="2052510" cy="2107690"/>
    <xdr:pic>
      <xdr:nvPicPr>
        <xdr:cNvPr id="2" name="Рисунок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551719" y="12343292"/>
          <a:ext cx="2052510" cy="2107690"/>
        </a:xfrm>
        <a:prstGeom prst="rect">
          <a:avLst/>
        </a:prstGeom>
      </xdr:spPr>
    </xdr:pic>
    <xdr:clientData/>
  </xdr:oneCellAnchor>
  <xdr:oneCellAnchor>
    <xdr:from>
      <xdr:col>3</xdr:col>
      <xdr:colOff>89682</xdr:colOff>
      <xdr:row>64</xdr:row>
      <xdr:rowOff>87903</xdr:rowOff>
    </xdr:from>
    <xdr:ext cx="2654414" cy="2225507"/>
    <xdr:pic>
      <xdr:nvPicPr>
        <xdr:cNvPr id="3" name="Рисунок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832757" y="12279903"/>
          <a:ext cx="2654414" cy="222550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2909455</xdr:colOff>
      <xdr:row>14</xdr:row>
      <xdr:rowOff>69274</xdr:rowOff>
    </xdr:from>
    <xdr:ext cx="2892135" cy="2337954"/>
    <xdr:pic>
      <xdr:nvPicPr>
        <xdr:cNvPr id="2" name="Рисунок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1747405" y="2736274"/>
          <a:ext cx="2892135" cy="2337954"/>
        </a:xfrm>
        <a:prstGeom prst="rect">
          <a:avLst/>
        </a:prstGeom>
      </xdr:spPr>
    </xdr:pic>
    <xdr:clientData/>
  </xdr:oneCellAnchor>
  <xdr:oneCellAnchor>
    <xdr:from>
      <xdr:col>15</xdr:col>
      <xdr:colOff>1143000</xdr:colOff>
      <xdr:row>15</xdr:row>
      <xdr:rowOff>103908</xdr:rowOff>
    </xdr:from>
    <xdr:ext cx="2251363" cy="2214409"/>
    <xdr:pic>
      <xdr:nvPicPr>
        <xdr:cNvPr id="3" name="Рисунок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9296400" y="2961408"/>
          <a:ext cx="2251363" cy="2214409"/>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16</xdr:col>
      <xdr:colOff>238125</xdr:colOff>
      <xdr:row>23</xdr:row>
      <xdr:rowOff>174625</xdr:rowOff>
    </xdr:from>
    <xdr:ext cx="2091109" cy="2036240"/>
    <xdr:pic>
      <xdr:nvPicPr>
        <xdr:cNvPr id="2" name="Рисунок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9534525" y="4556125"/>
          <a:ext cx="2091109" cy="2036240"/>
        </a:xfrm>
        <a:prstGeom prst="rect">
          <a:avLst/>
        </a:prstGeom>
      </xdr:spPr>
    </xdr:pic>
    <xdr:clientData/>
  </xdr:oneCellAnchor>
  <xdr:oneCellAnchor>
    <xdr:from>
      <xdr:col>6</xdr:col>
      <xdr:colOff>15875</xdr:colOff>
      <xdr:row>23</xdr:row>
      <xdr:rowOff>79375</xdr:rowOff>
    </xdr:from>
    <xdr:ext cx="2548349" cy="2225233"/>
    <xdr:pic>
      <xdr:nvPicPr>
        <xdr:cNvPr id="3" name="Рисунок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502025" y="4460875"/>
          <a:ext cx="2548349" cy="222523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4052456</xdr:colOff>
      <xdr:row>38</xdr:row>
      <xdr:rowOff>86591</xdr:rowOff>
    </xdr:from>
    <xdr:ext cx="2892135" cy="2337954"/>
    <xdr:pic>
      <xdr:nvPicPr>
        <xdr:cNvPr id="2" name="Рисунок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1747406" y="7325591"/>
          <a:ext cx="2892135" cy="2337954"/>
        </a:xfrm>
        <a:prstGeom prst="rect">
          <a:avLst/>
        </a:prstGeom>
      </xdr:spPr>
    </xdr:pic>
    <xdr:clientData/>
  </xdr:oneCellAnchor>
  <xdr:oneCellAnchor>
    <xdr:from>
      <xdr:col>15</xdr:col>
      <xdr:colOff>1143000</xdr:colOff>
      <xdr:row>39</xdr:row>
      <xdr:rowOff>103908</xdr:rowOff>
    </xdr:from>
    <xdr:ext cx="2251363" cy="2214409"/>
    <xdr:pic>
      <xdr:nvPicPr>
        <xdr:cNvPr id="3" name="Рисунок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9296400" y="7533408"/>
          <a:ext cx="2251363" cy="2214409"/>
        </a:xfrm>
        <a:prstGeom prst="rect">
          <a:avLst/>
        </a:prstGeom>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zakupki44fz.ru/app/okpd2/16.23.19.000" TargetMode="External"/><Relationship Id="rId13" Type="http://schemas.openxmlformats.org/officeDocument/2006/relationships/hyperlink" Target="https://zakupki44fz.ru/app/okpd2/25.94.11.190" TargetMode="External"/><Relationship Id="rId18" Type="http://schemas.openxmlformats.org/officeDocument/2006/relationships/printerSettings" Target="../printerSettings/printerSettings1.bin"/><Relationship Id="rId3" Type="http://schemas.openxmlformats.org/officeDocument/2006/relationships/hyperlink" Target="https://zakupki44fz.ru/app/okpd2/25.72.14.190" TargetMode="External"/><Relationship Id="rId7" Type="http://schemas.openxmlformats.org/officeDocument/2006/relationships/hyperlink" Target="https://zakupki44fz.ru/app/okpd2/25.12.10.190" TargetMode="External"/><Relationship Id="rId12" Type="http://schemas.openxmlformats.org/officeDocument/2006/relationships/hyperlink" Target="https://zakupki44fz.ru/app/okpd2/25.94.11.190" TargetMode="External"/><Relationship Id="rId17" Type="http://schemas.openxmlformats.org/officeDocument/2006/relationships/hyperlink" Target="https://zakupki44fz.ru/app/okpd2/25.94.11.190" TargetMode="External"/><Relationship Id="rId2" Type="http://schemas.openxmlformats.org/officeDocument/2006/relationships/hyperlink" Target="https://zakupki44fz.ru/app/okpd2/22.21.10.130" TargetMode="External"/><Relationship Id="rId16" Type="http://schemas.openxmlformats.org/officeDocument/2006/relationships/hyperlink" Target="https://zakupki44fz.ru/app/okpd2/25.94.11.190" TargetMode="External"/><Relationship Id="rId1" Type="http://schemas.openxmlformats.org/officeDocument/2006/relationships/hyperlink" Target="https://zakupki44fz.ru/app/okpd2/23.31.10.122" TargetMode="External"/><Relationship Id="rId6" Type="http://schemas.openxmlformats.org/officeDocument/2006/relationships/hyperlink" Target="https://zakupki44fz.ru/app/okpd2/16.23.19.000" TargetMode="External"/><Relationship Id="rId11" Type="http://schemas.openxmlformats.org/officeDocument/2006/relationships/hyperlink" Target="https://zakupki44fz.ru/app/okpd2/25.94.11.190" TargetMode="External"/><Relationship Id="rId5" Type="http://schemas.openxmlformats.org/officeDocument/2006/relationships/hyperlink" Target="https://zakupki44fz.ru/app/okpd2/22.23.19.190" TargetMode="External"/><Relationship Id="rId15" Type="http://schemas.openxmlformats.org/officeDocument/2006/relationships/hyperlink" Target="https://zakupki44fz.ru/app/okpd2/25.94.11.190" TargetMode="External"/><Relationship Id="rId10" Type="http://schemas.openxmlformats.org/officeDocument/2006/relationships/hyperlink" Target="https://zakupki44fz.ru/app/okpd2/25.94.11.190" TargetMode="External"/><Relationship Id="rId19" Type="http://schemas.openxmlformats.org/officeDocument/2006/relationships/drawing" Target="../drawings/drawing1.xml"/><Relationship Id="rId4" Type="http://schemas.openxmlformats.org/officeDocument/2006/relationships/hyperlink" Target="https://zakupki44fz.ru/app/okpd2/22.23.11.000" TargetMode="External"/><Relationship Id="rId9" Type="http://schemas.openxmlformats.org/officeDocument/2006/relationships/hyperlink" Target="https://zakupki44fz.ru/app/okpd2/23.31.10.122" TargetMode="External"/><Relationship Id="rId14" Type="http://schemas.openxmlformats.org/officeDocument/2006/relationships/hyperlink" Target="https://zakupki44fz.ru/app/okpd2/25.94.11.190"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promrukav-shop.ru/product/prom-pr161827/72164?ysclid=mhvzulybjf985780345" TargetMode="External"/><Relationship Id="rId117" Type="http://schemas.openxmlformats.org/officeDocument/2006/relationships/hyperlink" Target="https://donplafon.ru/products/datchik_arlight_nave_pir_up_s102x102_500w_wh_230v_2_17a_multi_027872_1/" TargetMode="External"/><Relationship Id="rId21" Type="http://schemas.openxmlformats.org/officeDocument/2006/relationships/hyperlink" Target="https://promrukav-rus.ru/profil-p-obraznyj-inox-aisi-304-pp-35h30h300-2-0-mm?ysclid=mhvyxw0klt37014966" TargetMode="External"/><Relationship Id="rId42" Type="http://schemas.openxmlformats.org/officeDocument/2006/relationships/hyperlink" Target="https://www.promrukav-shop.ru/product/prom-pr162478/81451?ysclid=mhw3u1e2y0780737052" TargetMode="External"/><Relationship Id="rId47" Type="http://schemas.openxmlformats.org/officeDocument/2006/relationships/hyperlink" Target="https://www.promrukav.ru/catalog/aksessuary-dlya-metallicheskikh-lotkov/zaglushka-lotka-standart-hdz-200kh100-promrukav/?ysclid=mhw3vgndx3304708080" TargetMode="External"/><Relationship Id="rId63" Type="http://schemas.openxmlformats.org/officeDocument/2006/relationships/hyperlink" Target="https://www.promrukav-shop.ru/product/prom-pr163750/80497?ysclid=mhx3kdp91r320490012" TargetMode="External"/><Relationship Id="rId68" Type="http://schemas.openxmlformats.org/officeDocument/2006/relationships/hyperlink" Target="https://era-elektro.ru/vyklyuchatel-era-ekspert-11-1522-01-s-podsvetkoj-ip55-10ah-250v-su-belyj" TargetMode="External"/><Relationship Id="rId84" Type="http://schemas.openxmlformats.org/officeDocument/2006/relationships/hyperlink" Target="https://steel-pro.ru/catalog/molniezashchita_i_zazemlenie/zazhimy_soedinitelnye/ng3106/?ysclid=mhysmokgm291347070" TargetMode="External"/><Relationship Id="rId89" Type="http://schemas.openxmlformats.org/officeDocument/2006/relationships/hyperlink" Target="https://&#1076;&#1086;&#1084;&#1084;&#1077;&#1095;&#1090;&#1099;.&#1088;&#1092;/soedinitel_dlya_molniezashchity/soedinitel_dlya_bystr_montazha_d8_10_dkc_ng3103.html" TargetMode="External"/><Relationship Id="rId112" Type="http://schemas.openxmlformats.org/officeDocument/2006/relationships/hyperlink" Target="https://svetelektro.net/wiring-accessories/672504-legrand.html" TargetMode="External"/><Relationship Id="rId16" Type="http://schemas.openxmlformats.org/officeDocument/2006/relationships/hyperlink" Target="https://www.promrukav-shop.ru/product/prom-pr082602/71925?ysclid=mhvy1sfzzx587666759" TargetMode="External"/><Relationship Id="rId107" Type="http://schemas.openxmlformats.org/officeDocument/2006/relationships/hyperlink" Target="https://anbik.ru/coroba/item-213/" TargetMode="External"/><Relationship Id="rId11" Type="http://schemas.openxmlformats.org/officeDocument/2006/relationships/hyperlink" Target="https://secumarket.ru/product/provod-silovoy-pugvng-a-lsltx-1h6-b-100m-trts-364025" TargetMode="External"/><Relationship Id="rId32" Type="http://schemas.openxmlformats.org/officeDocument/2006/relationships/hyperlink" Target="https://www.promrukav-shop.ru/product/prom-pr161825/72162?ysclid=mhvzxv2rj0812315510" TargetMode="External"/><Relationship Id="rId37" Type="http://schemas.openxmlformats.org/officeDocument/2006/relationships/hyperlink" Target="https://svetelektro.net/tray-metal/pr16-0848-promrukav.html" TargetMode="External"/><Relationship Id="rId53" Type="http://schemas.openxmlformats.org/officeDocument/2006/relationships/hyperlink" Target="https://www.promrukav-shop.ru/product/prom-pr161067/70740?ysclid=mhx2i7w41n732058165" TargetMode="External"/><Relationship Id="rId58" Type="http://schemas.openxmlformats.org/officeDocument/2006/relationships/hyperlink" Target="https://www.promrukav-shop.ru/product/prom-pr161518/71522?ysclid=mhx2l8iomn374676321" TargetMode="External"/><Relationship Id="rId74" Type="http://schemas.openxmlformats.org/officeDocument/2006/relationships/hyperlink" Target="https://svetelektro.net/security-systems/dd-ms-39-ekf.html" TargetMode="External"/><Relationship Id="rId79" Type="http://schemas.openxmlformats.org/officeDocument/2006/relationships/hyperlink" Target="https://skat-ups.ru/catalog/ups/rapan-ups-2000/?ysclid=mhypzrcsoh128171996" TargetMode="External"/><Relationship Id="rId102" Type="http://schemas.openxmlformats.org/officeDocument/2006/relationships/hyperlink" Target="https://moscow.petrovich.ru/product/1002216/?utm_referrer=https%3a%2f%2fyandex.ru%2f" TargetMode="External"/><Relationship Id="rId123" Type="http://schemas.openxmlformats.org/officeDocument/2006/relationships/hyperlink" Target="https://www.etm.ru/cat/nn/2608201" TargetMode="External"/><Relationship Id="rId5" Type="http://schemas.openxmlformats.org/officeDocument/2006/relationships/hyperlink" Target="https://galla-cable.ru/VVGngA-LSLTx_1x95_mk-1" TargetMode="External"/><Relationship Id="rId90" Type="http://schemas.openxmlformats.org/officeDocument/2006/relationships/hyperlink" Target="https://www.promelec.ru/product/655600/?etext=&amp;yclid=15425262076240855039&amp;ybaip=1" TargetMode="External"/><Relationship Id="rId95" Type="http://schemas.openxmlformats.org/officeDocument/2006/relationships/hyperlink" Target="https://licht220.ru/catalog/derzhateli_polosy_szim/SZIM_SH133/?ysclid=mhytsupms8875424509" TargetMode="External"/><Relationship Id="rId22" Type="http://schemas.openxmlformats.org/officeDocument/2006/relationships/hyperlink" Target="https://www.promrukav.ru/catalog/sistemy-podvesa/profil-p-obraznyy-pp-35kh30kh200-2-0-mm-promrukav/?ysclid=mhvyzw2mj8380896547" TargetMode="External"/><Relationship Id="rId27" Type="http://schemas.openxmlformats.org/officeDocument/2006/relationships/hyperlink" Target="https://promrukav-rus.ru/kronshtejn-podvesa-nastennyj-usilennyj-400-promrukav?ysclid=mhvzunbaot635568968" TargetMode="External"/><Relationship Id="rId43" Type="http://schemas.openxmlformats.org/officeDocument/2006/relationships/hyperlink" Target="https://promrukav-rus.ru/zaglushka-lotka-standart-inox-aisi-304-200h100?ysclid=mhw3u2w99q709561492" TargetMode="External"/><Relationship Id="rId48" Type="http://schemas.openxmlformats.org/officeDocument/2006/relationships/hyperlink" Target="https://www.promrukav.ru/catalog/aksessuary-dlya-metallicheskikh-lotkov/zaglushka-lotka-standart-100kh100-0-7-mm-promrukav/?ysclid=mhw3x5ltef754951105" TargetMode="External"/><Relationship Id="rId64" Type="http://schemas.openxmlformats.org/officeDocument/2006/relationships/hyperlink" Target="https://promrukav-rus.ru/plastina-soedinitelnaya-standart-inox-aisi-304-100?ysclid=mhx3kftch350347274" TargetMode="External"/><Relationship Id="rId69" Type="http://schemas.openxmlformats.org/officeDocument/2006/relationships/hyperlink" Target="https://era-elektro.ru/pereklyuchatel-era-ekspert-11-1523-01-ip55-10ah-250v-su-belyj" TargetMode="External"/><Relationship Id="rId113" Type="http://schemas.openxmlformats.org/officeDocument/2006/relationships/hyperlink" Target="https://www.electrika24.ru/shop/rozetki_i_vyklyuchateli/legrand/legrand_etika/legrand_etika_beliy/legrand-etika-bel-ramka-4-aja/?ysclid=mi2zrchrwp301956562" TargetMode="External"/><Relationship Id="rId118" Type="http://schemas.openxmlformats.org/officeDocument/2006/relationships/hyperlink" Target="https://elevel.ru/shop/rozetki-i-vyklyuchateli-/rozetki/spl-rozetka-2k-3-mosaic-45kh45-elektricheskaya-s-zazemlyayushchim-kontaktom-krasnaya-spl-200009/?ysclid=mi2uyzoieo170295749" TargetMode="External"/><Relationship Id="rId80" Type="http://schemas.openxmlformats.org/officeDocument/2006/relationships/hyperlink" Target="https://www.dkcmarket.ru/nd2310.html" TargetMode="External"/><Relationship Id="rId85" Type="http://schemas.openxmlformats.org/officeDocument/2006/relationships/hyperlink" Target="https://www.promelec.ru/product/574695/?ybaip=1&amp;yclid=3059374415221882879" TargetMode="External"/><Relationship Id="rId12" Type="http://schemas.openxmlformats.org/officeDocument/2006/relationships/hyperlink" Target="https://www.promrukav.ru/catalog/lotok-perforirovannyy-standart/lotok-perforirovannyy-standart-inox-aisi-304-200kh100kh3000-0-8-mm-3-m-up-promrukav/?ysclid=mhvr99v4lx286211999" TargetMode="External"/><Relationship Id="rId17" Type="http://schemas.openxmlformats.org/officeDocument/2006/relationships/hyperlink" Target="https://dean.ru/catalogue/product/00-00081745.html" TargetMode="External"/><Relationship Id="rId33" Type="http://schemas.openxmlformats.org/officeDocument/2006/relationships/hyperlink" Target="https://promrukav-rus.ru/konsol-nastennaya-usilennaya-hdz-knu-200?ysclid=mhvzxw8ale578677745" TargetMode="External"/><Relationship Id="rId38" Type="http://schemas.openxmlformats.org/officeDocument/2006/relationships/hyperlink" Target="https://promrukav-rus.ru/zaglushka-lotka-standart-hdz-400h100?ysclid=mhw3pcxod311820830" TargetMode="External"/><Relationship Id="rId59" Type="http://schemas.openxmlformats.org/officeDocument/2006/relationships/hyperlink" Target="https://www.aktivsb.ru/prod-56664.html" TargetMode="External"/><Relationship Id="rId103" Type="http://schemas.openxmlformats.org/officeDocument/2006/relationships/hyperlink" Target="https://rs24.ru/product/2328920?utm_referrer=https%3A%2F%2Fyandex.ru%2F" TargetMode="External"/><Relationship Id="rId108" Type="http://schemas.openxmlformats.org/officeDocument/2006/relationships/hyperlink" Target="https://elektro-tovars.ru/catalog/rozetki-vyklyuchateli/aksessuary-dlya-rozetok-i-vyklyuchatelej/napolnye-lyuchki/legrand-napolnye-lyuchki/lyuchok-napolnyj-legrand-na-12-modulej-glubina-75-105-mm-seryj?ysclid=mi2wwx3k6l211472848" TargetMode="External"/><Relationship Id="rId124" Type="http://schemas.openxmlformats.org/officeDocument/2006/relationships/hyperlink" Target="https://www.etm.ru/cat/nn/3317968" TargetMode="External"/><Relationship Id="rId54" Type="http://schemas.openxmlformats.org/officeDocument/2006/relationships/hyperlink" Target="https://promrukav-rus.ru/perehodnik-uproshyonnyj-gorizontalnyj-na-400-mm-n100-promrukav?ysclid=mhx2ia8reu315956518" TargetMode="External"/><Relationship Id="rId70" Type="http://schemas.openxmlformats.org/officeDocument/2006/relationships/hyperlink" Target="https://elgroup24.ru/d_pereklyuchatel_ekspert_11_1523_01_ip55_10akh_250v_su_bel_era_b0063300.html" TargetMode="External"/><Relationship Id="rId75" Type="http://schemas.openxmlformats.org/officeDocument/2006/relationships/hyperlink" Target="https://optcable.ru/catalog/iem-5518763-datchik-dvizheniya-ik-nastennyy-1200vt-180gr-do-12m-ip44-ms-39-proxima/" TargetMode="External"/><Relationship Id="rId91" Type="http://schemas.openxmlformats.org/officeDocument/2006/relationships/hyperlink" Target="https://pik-electro.ru/catalog/eld-derzhatel-fasadnyy-100mm-dkc-nd2307/?ysclid=mhyt8nlcl7157517678" TargetMode="External"/><Relationship Id="rId96" Type="http://schemas.openxmlformats.org/officeDocument/2006/relationships/hyperlink" Target="https://steel-pro.ru/catalog/molniezashchita_i_zazemlenie/derzhateli_provodnika_universalnye/derzhatel_dlya_polosy_40kh4_skoba_otsink_stal/?ysclid=mhytsy7u5b361041259" TargetMode="External"/><Relationship Id="rId1" Type="http://schemas.openxmlformats.org/officeDocument/2006/relationships/hyperlink" Target="https://www.elektrolight.ru/kabel/kabel-silovoy-vvgng-lsltx-5kh120/" TargetMode="External"/><Relationship Id="rId6" Type="http://schemas.openxmlformats.org/officeDocument/2006/relationships/hyperlink" Target="https://atlastpk.ru/catalog/pugvng-lsltx/pugvng-a-lsltx-1kh-25/?etext=&amp;yclid=14551804292984733695&amp;ybaip=1" TargetMode="External"/><Relationship Id="rId23" Type="http://schemas.openxmlformats.org/officeDocument/2006/relationships/hyperlink" Target="https://promrukav-rus.ru/stojka-nastenno-potolochnaya-p-obraznaya-dlya-srednih-nagruzok-35h30h200-promrukav?ysclid=mhvyzxmz5f39432319" TargetMode="External"/><Relationship Id="rId28" Type="http://schemas.openxmlformats.org/officeDocument/2006/relationships/hyperlink" Target="https://www.promrukav.ru/catalog/sistemy-podvesa/konsol-nastennaya-usilennaya-hdz-knu-300-promrukav/?ysclid=mhvzw8wcof997668825" TargetMode="External"/><Relationship Id="rId49" Type="http://schemas.openxmlformats.org/officeDocument/2006/relationships/hyperlink" Target="https://www.promrukav-shop.ru/product/prom-pr160830/70593?ysclid=mhw3x81gdn657454487" TargetMode="External"/><Relationship Id="rId114" Type="http://schemas.openxmlformats.org/officeDocument/2006/relationships/hyperlink" Target="https://www.legrand2.ru/shop_legrand_752011_755000.html?ysclid=mi2zyjjzlx345945363" TargetMode="External"/><Relationship Id="rId119" Type="http://schemas.openxmlformats.org/officeDocument/2006/relationships/hyperlink" Target="https://www.tinko.ru/catalog/product/308656/?ysclid=mlqps4c4ol24109358" TargetMode="External"/><Relationship Id="rId44" Type="http://schemas.openxmlformats.org/officeDocument/2006/relationships/hyperlink" Target="https://www.promrukav.ru/catalog/aksessuary-dlya-metallicheskikh-lotkov/zaglushka-lotka-standart-inox-aisi-304-200kh100-promrukav/?ysclid=mhw3u5e11z46767938" TargetMode="External"/><Relationship Id="rId60" Type="http://schemas.openxmlformats.org/officeDocument/2006/relationships/hyperlink" Target="https://www.promrukav.ru/catalog/aksessuary-dlya-metallicheskikh-lotkov/perekhodnik-uproshchyennyy-gorizontalnyy-standart-hdz-na-100-mm-n100-promrukav/?ysclid=mhx2o8fmka886385629" TargetMode="External"/><Relationship Id="rId65" Type="http://schemas.openxmlformats.org/officeDocument/2006/relationships/hyperlink" Target="https://www.aktivsb.ru/prod-68521.html" TargetMode="External"/><Relationship Id="rId81" Type="http://schemas.openxmlformats.org/officeDocument/2006/relationships/hyperlink" Target="https://www.promelec.ru/product/694228/?etext=&amp;yclid=13421924479203016703&amp;ybaip=1" TargetMode="External"/><Relationship Id="rId86" Type="http://schemas.openxmlformats.org/officeDocument/2006/relationships/hyperlink" Target="https://www.dkcmarket.ru/ng3104.html" TargetMode="External"/><Relationship Id="rId13" Type="http://schemas.openxmlformats.org/officeDocument/2006/relationships/hyperlink" Target="https://promrukav-rus.ru/lotok-perforirovannyj-standart-inox-aisi-304-200h100h3000-0-8-mm-3-m-up?ysclid=mhvrao6dcs125145769" TargetMode="External"/><Relationship Id="rId18" Type="http://schemas.openxmlformats.org/officeDocument/2006/relationships/hyperlink" Target="https://www.promrukav.ru/catalog/sistemy-podvesa/profil-p-obraznyy-pp-35kh30kh400-2-0-mm-promrukav/?ysclid=mhvyv71ck5783404249" TargetMode="External"/><Relationship Id="rId39" Type="http://schemas.openxmlformats.org/officeDocument/2006/relationships/hyperlink" Target="https://www.promrukav-shop.ru/product/prom-pr160836/70599?ysclid=mhw3raktok337271629" TargetMode="External"/><Relationship Id="rId109" Type="http://schemas.openxmlformats.org/officeDocument/2006/relationships/hyperlink" Target="https://www.smart-electrics.ru/products/494691?ysclid=mi2wzcu7cr452013952" TargetMode="External"/><Relationship Id="rId34" Type="http://schemas.openxmlformats.org/officeDocument/2006/relationships/hyperlink" Target="https://www.promrukav.ru/catalog/aksessuary-dlya-metallicheskikh-lotkov/provod-zazemlyayushchiy-secheniem-6-mm-dlinoy-200-mm-10-sht-up-promrukav/" TargetMode="External"/><Relationship Id="rId50" Type="http://schemas.openxmlformats.org/officeDocument/2006/relationships/hyperlink" Target="https://promrukav-rus.ru/zaglushka-lotka-standart-100h100-promrukav?ysclid=mhw3x6rdnd553514470" TargetMode="External"/><Relationship Id="rId55" Type="http://schemas.openxmlformats.org/officeDocument/2006/relationships/hyperlink" Target="https://www.promrukav.ru/catalog/aksessuary-dlya-metallicheskikh-lotkov/perekhodnik-uproshchyennyy-gorizontalnyy-standart-na-200-mm-n100-0-7-mm-promrukav/?ysclid=mhx2jk0sep326887671" TargetMode="External"/><Relationship Id="rId76" Type="http://schemas.openxmlformats.org/officeDocument/2006/relationships/hyperlink" Target="https://www.etm.ru/cat/nn/102095086?ysclid=mhypjiyfji990503053" TargetMode="External"/><Relationship Id="rId97" Type="http://schemas.openxmlformats.org/officeDocument/2006/relationships/hyperlink" Target="https://rusargo.com/catalog/molniezashchita/derzhateli_polosy/14677/?ysclid=mhytt1qzrc817888773" TargetMode="External"/><Relationship Id="rId104" Type="http://schemas.openxmlformats.org/officeDocument/2006/relationships/hyperlink" Target="https://mir-smesi.ru/index.php?route=product/product&amp;product_id=19492" TargetMode="External"/><Relationship Id="rId120" Type="http://schemas.openxmlformats.org/officeDocument/2006/relationships/hyperlink" Target="https://volt-market.com/catalog/molniezashchita-i-zazemlenie/ustroystva-molniezashchity/polosa-stalnaya-goryacheotsinkovannaya-40kh4-mm-v-bukhtakh/?utm_referrer=https%3A%2F%2Fyandex.ru%2F" TargetMode="External"/><Relationship Id="rId125" Type="http://schemas.openxmlformats.org/officeDocument/2006/relationships/hyperlink" Target="https://www.chipdip.ru/product/zazemlitel-vert-iz-ugolka-50x50x5mm-3m-dkc-ne5503-8000840788?ysclid=mlqqd3x49270168615" TargetMode="External"/><Relationship Id="rId7" Type="http://schemas.openxmlformats.org/officeDocument/2006/relationships/hyperlink" Target="https://svetelektro.net/cable-wire/00-00133025-tsvetlit-kz.html" TargetMode="External"/><Relationship Id="rId71" Type="http://schemas.openxmlformats.org/officeDocument/2006/relationships/hyperlink" Target="https://elevel.ru/shop/rozetki-vyklyuchateli/ramki-dlya-rozetok-i-vyklyuchateley/era-12-5001-01-belyy-ramka-na-1-post-12/?ysclid=mhxfcqh237402862230" TargetMode="External"/><Relationship Id="rId92" Type="http://schemas.openxmlformats.org/officeDocument/2006/relationships/hyperlink" Target="https://&#1076;&#1086;&#1084;&#1084;&#1077;&#1095;&#1090;&#1099;.&#1088;&#1092;/derzhatel_provodnika_dlya_molniezashchity/derzhatel_fasadnyy_100mm_dkc_nd2307.html" TargetMode="External"/><Relationship Id="rId2" Type="http://schemas.openxmlformats.org/officeDocument/2006/relationships/hyperlink" Target="https://www.etm.ru/cat/nn/2602130?utm_source=yandex&amp;utm_medium=yandex_search&amp;ysclid=mhuobjkuwl722814600" TargetMode="External"/><Relationship Id="rId29" Type="http://schemas.openxmlformats.org/officeDocument/2006/relationships/hyperlink" Target="https://www.promrukav-shop.ru/product/prom-pr161826/72163?ysclid=mhvzwa2s9r495530220" TargetMode="External"/><Relationship Id="rId24" Type="http://schemas.openxmlformats.org/officeDocument/2006/relationships/hyperlink" Target="https://www.promrukav-shop.ru/product/prom-pr082604/72056?ysclid=mhvyzzk4ut483007510" TargetMode="External"/><Relationship Id="rId40" Type="http://schemas.openxmlformats.org/officeDocument/2006/relationships/hyperlink" Target="https://promrukav-rus.ru/zaglushka-lotka-standart-200h100-promrukav?ysclid=mhw3rbzqa89365608" TargetMode="External"/><Relationship Id="rId45" Type="http://schemas.openxmlformats.org/officeDocument/2006/relationships/hyperlink" Target="https://www.promrukav-shop.ru/product/prom-pr161254/71279?ysclid=mhw3viit7h539685003" TargetMode="External"/><Relationship Id="rId66" Type="http://schemas.openxmlformats.org/officeDocument/2006/relationships/hyperlink" Target="https://www.promrukav-shop.ru/product/prom-pr082378/74167?ysclid=mhx66l436r813160020" TargetMode="External"/><Relationship Id="rId87" Type="http://schemas.openxmlformats.org/officeDocument/2006/relationships/hyperlink" Target="https://www.etm.ru/cat/nn/1957662?utm_source=yandex&amp;utm_medium=cpc&amp;utm_campaign=Brend_DKC_Oborudovanie_nizkovoltnoe_50_DSA_RF_119200180&amp;utm_content=brand-dkc_5561694300_dynamic_places&amp;utm_term=---autotargeting&amp;etext=&amp;yclid=5824081492785496063&amp;ybaip=1" TargetMode="External"/><Relationship Id="rId110" Type="http://schemas.openxmlformats.org/officeDocument/2006/relationships/hyperlink" Target="https://elevel.ru/shop/kabel/kabel-kanaly/sistemy-prokladki-kabelya-pod-polom/dkc-lyuchok-napolnyy-c-izmenyaemoy-glubinoy-12-moduley/?ysclid=mi2x0wuxh01084708" TargetMode="External"/><Relationship Id="rId115" Type="http://schemas.openxmlformats.org/officeDocument/2006/relationships/hyperlink" Target="https://arlight.ru/catalog/product/027872-1/?ysclid=mi31pwotkg971464920" TargetMode="External"/><Relationship Id="rId61" Type="http://schemas.openxmlformats.org/officeDocument/2006/relationships/hyperlink" Target="https://www.promrukav-shop.ru/product/prom-pr161512/71516?ysclid=mhx2objku1329629095" TargetMode="External"/><Relationship Id="rId82" Type="http://schemas.openxmlformats.org/officeDocument/2006/relationships/hyperlink" Target="https://svetelektro.net/lightning-protection-and-grounding/nd2310-dkc.html" TargetMode="External"/><Relationship Id="rId19" Type="http://schemas.openxmlformats.org/officeDocument/2006/relationships/hyperlink" Target="https://promrukav-rus.ru/stojka-nastenno-potolochnaya-p-obraznaya-dlya-srednih-nagruzok-35h30h400-promrukav?ysclid=mhvyvenoen68547955" TargetMode="External"/><Relationship Id="rId14" Type="http://schemas.openxmlformats.org/officeDocument/2006/relationships/hyperlink" Target="https://www.promrukav.ru/catalog/kryshka-lotka/kryshka-lotka-inox-aisi-304-100kh3000-3-m-up-promrukav/?ysclid=mhvu2jrp9h825761801" TargetMode="External"/><Relationship Id="rId30" Type="http://schemas.openxmlformats.org/officeDocument/2006/relationships/hyperlink" Target="https://promrukav-rus.ru/konsol-nastennaya-usilennaya-hdz-knu-300?ysclid=mhvzwfwtnm345036544" TargetMode="External"/><Relationship Id="rId35" Type="http://schemas.openxmlformats.org/officeDocument/2006/relationships/hyperlink" Target="https://www.promrukav-shop.ru/product/prom-pr1302754/80119?ysclid=mhw33h198h992011270" TargetMode="External"/><Relationship Id="rId56" Type="http://schemas.openxmlformats.org/officeDocument/2006/relationships/hyperlink" Target="https://promrukav-rus.ru/perehodnik-uproshyonnyj-gorizontalnyj-na-200-mm-n100-promrukav?ysclid=mhx2jmsrrn429226101" TargetMode="External"/><Relationship Id="rId77" Type="http://schemas.openxmlformats.org/officeDocument/2006/relationships/hyperlink" Target="https://electrocom.su/catalog/13500/3753264?ysclid=mhypjp8nzn860003007" TargetMode="External"/><Relationship Id="rId100" Type="http://schemas.openxmlformats.org/officeDocument/2006/relationships/hyperlink" Target="https://www.elektrolight.ru/elektroustanovochnye-izdeliya/korobki/korobka-uravnivaniya-potentsialov-100kh100kh50-kup2604/?ysclid=mi2sgmykpt273633354" TargetMode="External"/><Relationship Id="rId105" Type="http://schemas.openxmlformats.org/officeDocument/2006/relationships/hyperlink" Target="https://elektro-tovars.ru/catalog/rozetki-vyklyuchateli/aksessuary-dlya-rozetok-i-vyklyuchatelej/napolnye-lyuchki/legrand-napolnye-lyuchki/lyuchok-napolnyj-legrand-na-24-modulya-glubina-75-105-mm-seryj?ysclid=mi2uphanws344198521" TargetMode="External"/><Relationship Id="rId126" Type="http://schemas.openxmlformats.org/officeDocument/2006/relationships/printerSettings" Target="../printerSettings/printerSettings2.bin"/><Relationship Id="rId8" Type="http://schemas.openxmlformats.org/officeDocument/2006/relationships/hyperlink" Target="https://silovoycable.ru/provod-pugvng-a-lsltx-1x25-yellow-green-cena?ysclid=mhvo5eq3vl417546051" TargetMode="External"/><Relationship Id="rId51" Type="http://schemas.openxmlformats.org/officeDocument/2006/relationships/hyperlink" Target="https://promrukav-rus.ru/zaglushka-lotka-standart-inox-aisi-304-100h100?ysclid=mhw3zms8dz220847907" TargetMode="External"/><Relationship Id="rId72" Type="http://schemas.openxmlformats.org/officeDocument/2006/relationships/hyperlink" Target="https://pik-electro.ru/catalog/eld-ramka-1-m-12-5001-01-bel-era-b0014741/?ysclid=mhxfep847d805468268" TargetMode="External"/><Relationship Id="rId93" Type="http://schemas.openxmlformats.org/officeDocument/2006/relationships/hyperlink" Target="https://e-kc.ru/cena/soedinitel-peremychkaopora-288din-obo-5320712-bettermann?ysclid=mhytnisee4682881397" TargetMode="External"/><Relationship Id="rId98" Type="http://schemas.openxmlformats.org/officeDocument/2006/relationships/hyperlink" Target="https://bazaprorab.ru/catalog/stroitelnye_i_otdelochnye_materialy/metalloprokat/truba_vgp/184356/?ysclid=mi2rpkmm1e102708101" TargetMode="External"/><Relationship Id="rId121" Type="http://schemas.openxmlformats.org/officeDocument/2006/relationships/hyperlink" Target="https://www.chipdip.ru/product/nc100855-prutok-8-mm-goryacheotsink-stal-dkc-kratno-55-8018091913?utm_source=direct&amp;utm_medium=cpc&amp;utm_campaign=Y_brand_dkc&amp;utm_content=Tovary&amp;utm_term=---autotargeting&amp;etext=&amp;yclid=14846741323969986559&amp;ybaip=1" TargetMode="External"/><Relationship Id="rId3" Type="http://schemas.openxmlformats.org/officeDocument/2006/relationships/hyperlink" Target="https://atlastpk.ru/catalog/pugvng-lsltx/pugvng-a-lsltx-1kh-95/?etext=&amp;yclid=3315839351110762495&amp;ybaip=1" TargetMode="External"/><Relationship Id="rId25" Type="http://schemas.openxmlformats.org/officeDocument/2006/relationships/hyperlink" Target="https://www.promrukav.ru/catalog/sistemy-podvesa/konsol-nastennaya-usilennaya-hdz-knu-400-promrukav/?ysclid=mhvzukhd8m503922148" TargetMode="External"/><Relationship Id="rId46" Type="http://schemas.openxmlformats.org/officeDocument/2006/relationships/hyperlink" Target="https://promrukav-rus.ru/zaglushka-lotka-standart-hdz-200h100?ysclid=mhw3vjslj3371823230" TargetMode="External"/><Relationship Id="rId67" Type="http://schemas.openxmlformats.org/officeDocument/2006/relationships/hyperlink" Target="https://www.etm.ru/cat/nn/3704321" TargetMode="External"/><Relationship Id="rId116" Type="http://schemas.openxmlformats.org/officeDocument/2006/relationships/hyperlink" Target="https://lusart.ru/datchik-arlight-nave-pir-up-s102x102-500w-wh-230v-2-17a-multi-027872-1/" TargetMode="External"/><Relationship Id="rId20" Type="http://schemas.openxmlformats.org/officeDocument/2006/relationships/hyperlink" Target="https://www.promrukav-shop.ru/product/prom-pr163913/82621?ysclid=mhvyxujohi597923738" TargetMode="External"/><Relationship Id="rId41" Type="http://schemas.openxmlformats.org/officeDocument/2006/relationships/hyperlink" Target="https://secumarket.ru/product/zaglushka-lotka-standart-200h100-promrukav-pr16-0836-91151" TargetMode="External"/><Relationship Id="rId62" Type="http://schemas.openxmlformats.org/officeDocument/2006/relationships/hyperlink" Target="https://promrukav-rus.ru/perehodnik-uproshyonnyj-gorizontalnyj-standart-hdz-na-100-mm-n100?ysclid=mhx2oevvul158048639" TargetMode="External"/><Relationship Id="rId83" Type="http://schemas.openxmlformats.org/officeDocument/2006/relationships/hyperlink" Target="https://elevel.ru/shop/molniezashchita-i-zazemlenie/soediniteli-i-klemmy-dlya-zazemleniya/dkc-soedinitel-polosa-polosa-100kh100-mm_110483/?ysclid=mhyskc0op763402267" TargetMode="External"/><Relationship Id="rId88" Type="http://schemas.openxmlformats.org/officeDocument/2006/relationships/hyperlink" Target="https://www.etm.ru/cat/nn/6886284?utm_source=yandex&amp;utm_medium=yandex_search&amp;ysclid=mhyt38ofp768107730" TargetMode="External"/><Relationship Id="rId111" Type="http://schemas.openxmlformats.org/officeDocument/2006/relationships/hyperlink" Target="https://shop220.ru/774452-ramka-legrand-valena-2-posta-belaya.htm?ysclid=mi2zltwuw7858166093" TargetMode="External"/><Relationship Id="rId15" Type="http://schemas.openxmlformats.org/officeDocument/2006/relationships/hyperlink" Target="https://www.promrukav.ru/catalog/sistemy-podvesa/kreplenie-stenovoe-napolnoe-600-2-0-mm-promrukav/?ysclid=mhvxzkbinu839509754" TargetMode="External"/><Relationship Id="rId36" Type="http://schemas.openxmlformats.org/officeDocument/2006/relationships/hyperlink" Target="https://promrukav-rus.ru/provod-zazemlyayushij-secheniem-6-mm&#178;-dlinoj-200-mm-10-sht-up?ysclid=mhw347r8z5740139207" TargetMode="External"/><Relationship Id="rId57" Type="http://schemas.openxmlformats.org/officeDocument/2006/relationships/hyperlink" Target="https://www.promrukav-shop.ru/product/prom-pr161056/70728?ysclid=mhx2jlf2uf169668510" TargetMode="External"/><Relationship Id="rId106" Type="http://schemas.openxmlformats.org/officeDocument/2006/relationships/hyperlink" Target="https://www.elektrolight.ru/kabelenesushchie-sistemy/lyuchki/napolnaya-korobka-24m-reguliruemaya-glubina-75-105-mm-seraya-089615/?ysclid=mi2upka25q745432606" TargetMode="External"/><Relationship Id="rId127" Type="http://schemas.openxmlformats.org/officeDocument/2006/relationships/drawing" Target="../drawings/drawing2.xml"/><Relationship Id="rId10" Type="http://schemas.openxmlformats.org/officeDocument/2006/relationships/hyperlink" Target="https://atlastpk.ru/catalog/pugvng-lsltx/pugvng-a-lsltx-1kh-6/?etext=&amp;yclid=4371708800242810879&amp;ybaip=1" TargetMode="External"/><Relationship Id="rId31" Type="http://schemas.openxmlformats.org/officeDocument/2006/relationships/hyperlink" Target="https://www.promrukav.ru/catalog/sistemy-podvesa/konsol-nastennaya-usilennaya-hdz-knu-200-promrukav/?ysclid=mhvzxtpl6b164415062" TargetMode="External"/><Relationship Id="rId52" Type="http://schemas.openxmlformats.org/officeDocument/2006/relationships/hyperlink" Target="https://www.promrukav.ru/catalog/aksessuary-dlya-metallicheskikh-lotkov/perekhodnik-uproshchyennyy-gorizontalnyy-standart-na-400-mm-n100-0-7-mm-promrukav/?ysclid=mhx2hqs0jv288287822" TargetMode="External"/><Relationship Id="rId73" Type="http://schemas.openxmlformats.org/officeDocument/2006/relationships/hyperlink" Target="https://e-kc.ru/cena/datchik-dvizheniya-ik-ms-39-nasten-1200vt-180grad-do-12m-ip44-ekf-dd-ms-39" TargetMode="External"/><Relationship Id="rId78" Type="http://schemas.openxmlformats.org/officeDocument/2006/relationships/hyperlink" Target="https://avs.pro/catalog/sistemy-ohranno-pojarnoy-signalizacii/opoveshchateli-ohranno-pojarnye/tablo/molniya-220-medpunkt/?ysclid=mhypjeryb6292209400" TargetMode="External"/><Relationship Id="rId94" Type="http://schemas.openxmlformats.org/officeDocument/2006/relationships/hyperlink" Target="https://incom-elektro.ru/p-soedinitel-peremyckaopora-288din-obo-5320712/?ysclid=mhytnk7vrr693920952" TargetMode="External"/><Relationship Id="rId99" Type="http://schemas.openxmlformats.org/officeDocument/2006/relationships/hyperlink" Target="https://www.electro-mpo.ru/catalog/molniezashchita_zazemlenie_ogranichiteli_perenaprya/e10_korobki_i_shkafy_s_gzsh_korobki_uravnivaniya_p/e1059-korobka-uravnivaniya-potentsialov-100kh100kh/?ysclid=mi2sgia84c904131088" TargetMode="External"/><Relationship Id="rId101" Type="http://schemas.openxmlformats.org/officeDocument/2006/relationships/hyperlink" Target="https://szim.ru/catalog/molniezashchita/komplektuyushchie_dlya_molnieotvodov/137925/?ysclid=mi2t3ot2ro513800126" TargetMode="External"/><Relationship Id="rId122" Type="http://schemas.openxmlformats.org/officeDocument/2006/relationships/hyperlink" Target="https://svetelektro.net/lightning-protection-and-grounding/nc100855-dkc.html" TargetMode="External"/><Relationship Id="rId4" Type="http://schemas.openxmlformats.org/officeDocument/2006/relationships/hyperlink" Target="https://secumarket.ru/product/provod-silovoy-pugvng-a-lsltx-1h95-0-belyy-trts-712419" TargetMode="External"/><Relationship Id="rId9" Type="http://schemas.openxmlformats.org/officeDocument/2006/relationships/hyperlink" Target="https://silovoycable.ru/provod-pugvng-a-lsltx-1x6-yellow-green-cena?ysclid=mhvo800f22924891624"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igaplast.ru/vodonagrevatel-nakopitelnyy-elektricheskiy-titaniumheat-30-v-slim-thermex/?ybaip=1&amp;yclid=9815725542679248895" TargetMode="External"/><Relationship Id="rId18" Type="http://schemas.openxmlformats.org/officeDocument/2006/relationships/hyperlink" Target="https://santex-house.ru/product/vodonagrevatel-elektricheskij-protochnij-thermex-topflow-15000-211021/" TargetMode="External"/><Relationship Id="rId26" Type="http://schemas.openxmlformats.org/officeDocument/2006/relationships/hyperlink" Target="https://www.vseinstrumenti.ru/product/membrannyj-reduktsionnyj-klapan-sanext-dprv-l-du20-vr-3-4-8556-10935578/?ysclid=mlrsr8opb3459168216&amp;utm_referrer=https://yandex.ru/" TargetMode="External"/><Relationship Id="rId39" Type="http://schemas.openxmlformats.org/officeDocument/2006/relationships/hyperlink" Target="https://santshop.ru/product/smesitel-termostaticheskiy-latunnyy-1-s-nakidnoy-gaykoy-1-1-2-far/?ysclid=mnq1ta6tp4273498142" TargetMode="External"/><Relationship Id="rId21" Type="http://schemas.openxmlformats.org/officeDocument/2006/relationships/hyperlink" Target="https://gazovie-kotly.ru/thermex-topflow-15000" TargetMode="External"/><Relationship Id="rId34" Type="http://schemas.openxmlformats.org/officeDocument/2006/relationships/hyperlink" Target="https://lunda.ru/catalog/category/c13162/product/termostaticheskij-smesitel-termofar-amerikanka_35926/item/c3510.html" TargetMode="External"/><Relationship Id="rId42" Type="http://schemas.openxmlformats.org/officeDocument/2006/relationships/drawing" Target="../drawings/drawing3.xml"/><Relationship Id="rId7" Type="http://schemas.openxmlformats.org/officeDocument/2006/relationships/hyperlink" Target="https://dispenseri.ru/catalog/santekhnika/krany_dlya_pissuarov/krany_dlya_pissuarov_sensornye/sensornyy_kran_dlya_pissuarov_ledeme_lh506_1.html?utm_medium=cpc&amp;utm_campaign=im-rf-srch-do&amp;utm_source=yandex&amp;utm_content&amp;yclid=5136679050430906367&amp;ysclid=mi2r60rt1438249070" TargetMode="External"/><Relationship Id="rId2" Type="http://schemas.openxmlformats.org/officeDocument/2006/relationships/hyperlink" Target="https://www.santehnika-room.ru/polotencesushiteli/vodyanye/ps-stile-versiya-b2-600h500-6-g-18-bez-pokrytiya-00612-6050/yprice" TargetMode="External"/><Relationship Id="rId16" Type="http://schemas.openxmlformats.org/officeDocument/2006/relationships/hyperlink" Target="https://a118.ru/catalog/protochnye_vodonagrevateli/vodonagrevatel_protochnyy_termeks_topflow_15000/" TargetMode="External"/><Relationship Id="rId20" Type="http://schemas.openxmlformats.org/officeDocument/2006/relationships/hyperlink" Target="https://santehnika1.ru/catalog/vodonagrevateli/vodonagrevatel_thermex_topflow_15000_protochnyy/?utm_source=YA-TRADE&amp;utm_campaign=YA-TRADE&amp;ysclid=mi2unmd1s7907721772" TargetMode="External"/><Relationship Id="rId29" Type="http://schemas.openxmlformats.org/officeDocument/2006/relationships/hyperlink" Target="https://www.vseinstrumenti.ru/product/membrannyj-reduktsionnyj-klapan-sanext-dprv-l-du25-vr-1-8557-10935266/" TargetMode="External"/><Relationship Id="rId41" Type="http://schemas.openxmlformats.org/officeDocument/2006/relationships/printerSettings" Target="../printerSettings/printerSettings3.bin"/><Relationship Id="rId1" Type="http://schemas.openxmlformats.org/officeDocument/2006/relationships/hyperlink" Target="https://satra.ru/polotencesushiteli/polotencesushitel_vodyanoj_stil_e_versiya-b2_60x50/" TargetMode="External"/><Relationship Id="rId6" Type="http://schemas.openxmlformats.org/officeDocument/2006/relationships/hyperlink" Target="https://stworki.ru/product/dushevaya-stoyka-stworki-vestfoll-wh626-c-khrom-37248/?ysclid=mi2pc08pn77641153" TargetMode="External"/><Relationship Id="rId11" Type="http://schemas.openxmlformats.org/officeDocument/2006/relationships/hyperlink" Target="https://www.refro.ru/product/ustroystvo-dushiruyushchee-monolith-eramini252/?ysclid=mi2sajjfjw882076291" TargetMode="External"/><Relationship Id="rId24" Type="http://schemas.openxmlformats.org/officeDocument/2006/relationships/hyperlink" Target="https://www.chipdip.ru/product/membrannyy-reduktsionnyy-klapan-dprv-l-du15-vr-1-2-sanext-8029158448" TargetMode="External"/><Relationship Id="rId32" Type="http://schemas.openxmlformats.org/officeDocument/2006/relationships/hyperlink" Target="https://all4bath.ru/inzhenernaya-santekhnika/reguliruyushchaya-armatura/termostaticheskiy-smesitel-termofar-s-obratnymi-klapanami-na-podvodyashchikh-patrubkakh-fa-3956-nr-amerikanka-far-fa-3956-12vr/?yclid=14474672137944170495&amp;ybaip=1" TargetMode="External"/><Relationship Id="rId37" Type="http://schemas.openxmlformats.org/officeDocument/2006/relationships/hyperlink" Target="https://www.termokit.ru/product/vstraivaemyy_smesitel_s_gigienicheskim_dushem_ideal_standard_idealspray_khrom_bd130aa.htm" TargetMode="External"/><Relationship Id="rId40" Type="http://schemas.openxmlformats.org/officeDocument/2006/relationships/hyperlink" Target="https://tcprofi.ru/catalog/truboprovodnaya_armatura/termostaticheskie_smesiteli/far_fa_3958_175ru_smesitel_termostaticheskiy_latunnyy_1_s_nakidnoy_gaykoy_1_1_2_40_75_s/?ysclid=mnq2w3m360257682377" TargetMode="External"/><Relationship Id="rId5" Type="http://schemas.openxmlformats.org/officeDocument/2006/relationships/hyperlink" Target="https://santehnika-tut.ru/product/dushevaya-sistema-stworki-vestfoll-wh626c-cvet-hrom-619751.html?ysclid=mhyvr9koqy465796174" TargetMode="External"/><Relationship Id="rId15" Type="http://schemas.openxmlformats.org/officeDocument/2006/relationships/hyperlink" Target="https://santehnika1.ru/catalog/vodonagrevateli/vodonagrevatel_thermex_titaniumheat_30_v_slim_nakopitelnyy/?utm_source=YA-TRADE&amp;utm_campaign=YA-TRADE&amp;ysclid=mi2truozf7300304052" TargetMode="External"/><Relationship Id="rId23" Type="http://schemas.openxmlformats.org/officeDocument/2006/relationships/hyperlink" Target="https://www.kupatika.ru/goods/membrannyy-reduktsionnyy-klapan-sanext-dprv-l-du15-vr-1-2-8555/" TargetMode="External"/><Relationship Id="rId28" Type="http://schemas.openxmlformats.org/officeDocument/2006/relationships/hyperlink" Target="https://www.kupatika.ru/goods/membrannyy-reduktsionnyy-klapan-sanext-dprv-l-du25-vr-1-8557/" TargetMode="External"/><Relationship Id="rId36" Type="http://schemas.openxmlformats.org/officeDocument/2006/relationships/hyperlink" Target="https://www.vseinstrumenti.ru/product/latunnyj-termostaticheskij-smesitel-far-1-s-nakidnoj-gajkoj-1-1-2-3958-1ru-5508529/?ysclid=mnq1rwxy9r15546057" TargetMode="External"/><Relationship Id="rId10" Type="http://schemas.openxmlformats.org/officeDocument/2006/relationships/hyperlink" Target="https://armln.ru/catalog/professionalnoe-oborudovanie-dlya-kukhni-i-torgovykh-zalov/dushiruyushchie-ustroystva-i-smesiteli/dushiruyushchie-ustroystvo-monolith-eramini252-s-kranom-smesitelem-loktevoy/?ysclid=mi2rs3cmgj31693589" TargetMode="External"/><Relationship Id="rId19" Type="http://schemas.openxmlformats.org/officeDocument/2006/relationships/hyperlink" Target="https://stoking.ru/products/vodonagrevatel-thermex-titaniumheat-100-v-bak-stalnoy-emal-kruglyy-vert-1-5-kvt?utm_source=yandex_direct&amp;utm_medium=cpc&amp;utm_campaign=Stoking_10_kategorij_Feed_Search_OrderCRM%7C702386702&amp;utm_content=gid%7C5625296493%7Caid%7C1883394557170599790&amp;utm_term=---autotargeting%7C205625296493%7Cret%7C205625296493%7Csearch%7Cnone&amp;ybaip=1&amp;yclid=393076593731305471" TargetMode="External"/><Relationship Id="rId31" Type="http://schemas.openxmlformats.org/officeDocument/2006/relationships/hyperlink" Target="https://lunda.ru/catalog/category/c13162/product/termostaticheskij-smesitel-termofar-amerikanka_117346.html?ysclid=mnpzx8qxo6638638297" TargetMode="External"/><Relationship Id="rId4" Type="http://schemas.openxmlformats.org/officeDocument/2006/relationships/hyperlink" Target="https://santehnika-online.ru/product/dushevaya_stoyka_stworki_vestfoll_wh626_c_khrom/628950/?utm_campaign=Moskva&amp;utm_content=628950&amp;utm_medium=organic&amp;utm_source=yandex_tovary&amp;utm_term=628950&amp;ysclid=mhyvnetk2x800601952" TargetMode="External"/><Relationship Id="rId9" Type="http://schemas.openxmlformats.org/officeDocument/2006/relationships/hyperlink" Target="https://aqua-mania.ru/katalog/pissuari/slivnie-ustroistva-i-sifoni-dlya-pissuarov/377570-smivnoi-klapan-podvoda-vodi-dlya-pissuara-ledeme-lh506-1" TargetMode="External"/><Relationship Id="rId14" Type="http://schemas.openxmlformats.org/officeDocument/2006/relationships/hyperlink" Target="https://www.kuvalda.ru/catalog/10578/product-81715/?utm_source=yandex.direct&amp;utm_medium=cpc&amp;utm_campaign=EPK_Moskvagoroda_prisustviya_DO_poisk&amp;utm_content=1889037615918727046_5655961869_none__%7Badtargetid%7D&amp;utm_term=---autotargeting&amp;ybaip=1&amp;yclid=17232772019588694015" TargetMode="External"/><Relationship Id="rId22" Type="http://schemas.openxmlformats.org/officeDocument/2006/relationships/hyperlink" Target="https://www.vseinstrumenti.ru/product/membrannyj-reduktsionnyj-klapan-sanext-dprv-l-du15-vr-1-2-8555-10935398/" TargetMode="External"/><Relationship Id="rId27" Type="http://schemas.openxmlformats.org/officeDocument/2006/relationships/hyperlink" Target="https://www.chipdip.ru/product/membrannyy-reduktsionnyy-klapan-dprv-l-du20-vr-3-4-sanext-8029158476?ysclid=mlrso40wr7192547055" TargetMode="External"/><Relationship Id="rId30" Type="http://schemas.openxmlformats.org/officeDocument/2006/relationships/hyperlink" Target="https://www.chipdip.ru/product/membrannyy-reduktsionnyy-klapan-dprv-l-du25-vr-1-sanext-8029074170" TargetMode="External"/><Relationship Id="rId35" Type="http://schemas.openxmlformats.org/officeDocument/2006/relationships/hyperlink" Target="https://www.vseinstrumenti.ru/product/termostaticheskij-smesitel-far-amerikanka-3-4-fa-3956-34-5120917/" TargetMode="External"/><Relationship Id="rId8" Type="http://schemas.openxmlformats.org/officeDocument/2006/relationships/hyperlink" Target="https://www.ledeme-store.ru/sensernyy-kran-dlya-pissuarov-ledeme-lh506-1/?utm_source=YandexDirect&amp;utm_medium=cpc&amp;utm_campaign=116528326&amp;utm_content=1861578855979531543&amp;utm_term=---autotargeting&amp;yclid=7143718836415496191" TargetMode="External"/><Relationship Id="rId3" Type="http://schemas.openxmlformats.org/officeDocument/2006/relationships/hyperlink" Target="https://snabsanteh.ru/catalog/polotentsesushiteli-stile/polotentsesushitel-vodyanoy-stile-versiya-b2-60x50.html?ysclid=mhytyrlsfz643008337" TargetMode="External"/><Relationship Id="rId12" Type="http://schemas.openxmlformats.org/officeDocument/2006/relationships/hyperlink" Target="https://sanok.ru/smesiteli/dushirujushhie-ustrojstva/ustrojstvo-dushirujushhee-monolith-eramini252" TargetMode="External"/><Relationship Id="rId17" Type="http://schemas.openxmlformats.org/officeDocument/2006/relationships/hyperlink" Target="https://www.vseinstrumenti.ru/product/protochnyj-elektricheskij-vodonagrevatel-termeks-topflow-15000-edeb00393-875625/?utm_campaign=webmaster&amp;utm_content=875625&amp;utm_medium=organic&amp;utm_source=Yandex&amp;utm_term=875625&amp;ysclid=mi2u1v984h109872443" TargetMode="External"/><Relationship Id="rId25" Type="http://schemas.openxmlformats.org/officeDocument/2006/relationships/hyperlink" Target="https://www.kupatika.ru/goods/membrannyy-reduktsionnyy-klapan-sanext-dprv-l-du20-vr-3-4-8556/?ysclid=mlrslznky1100762722" TargetMode="External"/><Relationship Id="rId33" Type="http://schemas.openxmlformats.org/officeDocument/2006/relationships/hyperlink" Target="https://tmtmarket.ru/item/far-termofar-fa-3950-12-klapan-termostaticheskiy-smesitelnyy-25-65c-12-vr-kvs-22-centralnoe-smeshivanie44.html?ysclid=mnq04mypvr501027801" TargetMode="External"/><Relationship Id="rId38" Type="http://schemas.openxmlformats.org/officeDocument/2006/relationships/hyperlink" Target="https://santehnika-tut.ru/product/gigienicheskij-dush-so-smesitelem-ideal-standard-ideal-spray-bd130aa-hrom-481056.html?ysclid=mn2yev8ii6961816188"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invakor.ru/store/oborudovanie-sanuzla/unitazy-rakoviny/umyvalnik-dlya-mgn-650h580h230/" TargetMode="External"/><Relationship Id="rId18" Type="http://schemas.openxmlformats.org/officeDocument/2006/relationships/hyperlink" Target="https://tekno-stroy.ru/catalog/trap-lineynyy-s-sukhim-zatvorom-i-sifonom-slim-reshetka-500-mm.html?ysclid=mi4b284fu518895973" TargetMode="External"/><Relationship Id="rId26" Type="http://schemas.openxmlformats.org/officeDocument/2006/relationships/hyperlink" Target="https://santehmoskva.ru/sifon-kapelnaja-voronka-hl21-dlja-kondicionerov-42755-42755.html?yclid=7719372560091578367" TargetMode="External"/><Relationship Id="rId39" Type="http://schemas.openxmlformats.org/officeDocument/2006/relationships/hyperlink" Target="https://kromex.su/catalog/product/60312/?ysclid=mi5kl04hkb537646662" TargetMode="External"/><Relationship Id="rId21" Type="http://schemas.openxmlformats.org/officeDocument/2006/relationships/hyperlink" Target="https://top-santehnika.ru/product/rakovina-roca-debba-50x42/?utm_source=yandex&amp;utm_medium=cpc&amp;utm_campaign=DSA_&#1057;&#1072;&#1085;&#1090;&#1077;&#1093;&#1085;&#1080;&#1082;&#1072;_&#1055;&#1086;&#1080;&#1089;&#1082;_&#1052;&#1057;&#1050;%7C704559021&amp;utm_content=phid%7C205674152855%7Crid%7C205674152855%7Ccfid%7C0%7Ccid%7C704559021%7Cgid%7C5674152855%7Caid%7C1891934524113764398%7Cadp%7Cno%7Cpos%7Cpremium3%7Csrc%7Csearch-none%7Cdvc%7Cdesktop&amp;utm_term=---autotargeting&amp;calltouch_tm=yd_c:704559021_gb:5674152855_ad:1891934524113764398_ph:205674152855_st:search_pt:premium_p:3_s:none_dt:desktop_reg:213_ret:205674152855_apt:none&amp;ybaip=1&amp;yclid=6335571528518991871" TargetMode="External"/><Relationship Id="rId34" Type="http://schemas.openxmlformats.org/officeDocument/2006/relationships/hyperlink" Target="https://www.onlinetrade.ru/catalogue/sifony_dlya_umyvalnika-c2384/alca_plast/sifon_alca_plast_a431_d32_tselnometallicheskiy_s_nakidnoy_gaykoy_5_4_a431_alca_plast-308776.html?ysclid=mi4lzi8qgp263262494&amp;utm_referrer=https%3a%2f%2fyandex.ru%2f" TargetMode="External"/><Relationship Id="rId42" Type="http://schemas.openxmlformats.org/officeDocument/2006/relationships/hyperlink" Target="https://protrubplast.ru/catalog/patrubki-npvkh/11862/?ysclid=mi5nz3i0z5651898286" TargetMode="External"/><Relationship Id="rId47" Type="http://schemas.openxmlformats.org/officeDocument/2006/relationships/hyperlink" Target="https://shop-sanequip.ru/products/pissuar-santek-gala-wh301774.html?yclid=16580378088120254463&amp;ybaip=1" TargetMode="External"/><Relationship Id="rId50" Type="http://schemas.openxmlformats.org/officeDocument/2006/relationships/hyperlink" Target="https://santehnika-tut.ru/product/installyaciya-vitra-frame-8803800-dlya-piscuara-sinyaya-502457.html?ysclid=mnr6xq8qnf686637433" TargetMode="External"/><Relationship Id="rId55" Type="http://schemas.openxmlformats.org/officeDocument/2006/relationships/hyperlink" Target="https://termag.ru/product/sinikon-standart-truba-110x1000-mm-seraya-vnutrennyaya-kanalizatsionnaya-500089" TargetMode="External"/><Relationship Id="rId7" Type="http://schemas.openxmlformats.org/officeDocument/2006/relationships/hyperlink" Target="https://www.santech.ru/catalog/278/279/i412/v1492/" TargetMode="External"/><Relationship Id="rId2" Type="http://schemas.openxmlformats.org/officeDocument/2006/relationships/hyperlink" Target="https://www.etm.ru/cat/nn/6186780?utm_source=yandex&amp;utm_medium=yandex_search&amp;ysclid=mi33buvku2940374968" TargetMode="External"/><Relationship Id="rId16" Type="http://schemas.openxmlformats.org/officeDocument/2006/relationships/hyperlink" Target="https://moscow.petrovich.ru/product/162758/?utm_source=yandex&amp;utm_medium=organic&amp;utm_campaign=serp_product&amp;utm_id=yandex_serp_product" TargetMode="External"/><Relationship Id="rId29" Type="http://schemas.openxmlformats.org/officeDocument/2006/relationships/hyperlink" Target="https://www.chipdip.ru/product/sifon-dlya-kuhonnoy-moyki-ani-grot-3-1-2-h40-ani-plast-8020117133" TargetMode="External"/><Relationship Id="rId11" Type="http://schemas.openxmlformats.org/officeDocument/2006/relationships/hyperlink" Target="https://santexru.ru/perexod-pp-h-dn-50x50-b-nap-pp-npvx-chugun-ctal-hl-9-50.html" TargetMode="External"/><Relationship Id="rId24" Type="http://schemas.openxmlformats.org/officeDocument/2006/relationships/hyperlink" Target="https://shop-roca.ru/product/-roca-debba-33799100y/?ysclid=mi4che9fy5996956724" TargetMode="External"/><Relationship Id="rId32" Type="http://schemas.openxmlformats.org/officeDocument/2006/relationships/hyperlink" Target="https://www.chipdip.ru/product/mcalpine-voronka-s-r-obr-sifonom-f40-50-i-8026896434" TargetMode="External"/><Relationship Id="rId37" Type="http://schemas.openxmlformats.org/officeDocument/2006/relationships/hyperlink" Target="https://www.santech.ru/catalog/278/282/i22097/v71984/" TargetMode="External"/><Relationship Id="rId40" Type="http://schemas.openxmlformats.org/officeDocument/2006/relationships/hyperlink" Target="https://www.vseinstrumenti.ru/product/patrubok-aquaviva-npvh-napornyj-rastrubnyj-s-npvh-flantsem-160-150-aqv107160-14786-6678661/?utm_source=yandex&amp;utm_medium=cpc&amp;utm_campaign=60077535%7Cdsa_10_Inzhenernaya-santekhnika_fid_rf&amp;utm_content=10486097665&amp;utm_term=ST:search%7CS:none%7CAP:no%7CPT:premium%7CP:2%7CDT:desktop%7CRI:213%7CCI:60077535%7CGI:4508213385%7CPI:52875519569%7CAI:10486097665%7CRT:52875519569%7CKW:---autotargeting%7CRN:&#1052;&#1086;&#1089;&#1082;&#1074;&#1072;&amp;ybaip=1&amp;yclid=3317428520848195583" TargetMode="External"/><Relationship Id="rId45" Type="http://schemas.openxmlformats.org/officeDocument/2006/relationships/hyperlink" Target="https://santehnika-online.ru/product/komplekt_pissuar_santek_gala_1wh301774_podvesnoy_smyv_alcaplast_ats001_knopochnyy_ventil_sifon_a45b/313597/?ysclid=mnr5hbqyx6773912457" TargetMode="External"/><Relationship Id="rId53" Type="http://schemas.openxmlformats.org/officeDocument/2006/relationships/hyperlink" Target="https://nasoscentr.ru/catalog/gnom-10-10g.html?ysclid=mnrap0b8ya782604009" TargetMode="External"/><Relationship Id="rId58" Type="http://schemas.openxmlformats.org/officeDocument/2006/relationships/hyperlink" Target="https://termag.ru/product/sinikon-standart-truba-50x1000-mm-seraya-vnutrennyaya-kanalizatsionnaya-500049" TargetMode="External"/><Relationship Id="rId5" Type="http://schemas.openxmlformats.org/officeDocument/2006/relationships/hyperlink" Target="https://websnab.com/akvaliv_san_300_profi" TargetMode="External"/><Relationship Id="rId19" Type="http://schemas.openxmlformats.org/officeDocument/2006/relationships/hyperlink" Target="https://www.vodoparad.ru/item/rakovina-podvesnaya-roca-debba-55x44-32799500y/?utm_source=yandex&amp;utm_medium=cpc&amp;utm_campaign=4%20-%2001.10%20-%20&#1058;&#1086;&#1074;&#1072;&#1088;&#1085;&#1072;&#1103;%20&#1082;&#1072;&#1084;&#1087;&#1072;&#1085;&#1080;&#1103;%20-%20ROCA%7C703810289&amp;utm_content=phid%7C205657278687%7Crid%7C205657278687%7Ccfid%7C0%7Ccid%7C703810289%7Cgid%7C5657278687%7Caid%7C17385002622%7Cadp%7Cno%7Cpos%7Cpremium1%7Csrc%7Csearch-none%7Cdvc%7Cdesktop&amp;utm_term=---autotargeting&amp;ybaip=1&amp;yclid=15883278816635518975" TargetMode="External"/><Relationship Id="rId4" Type="http://schemas.openxmlformats.org/officeDocument/2006/relationships/hyperlink" Target="https://minikns.ru/sanitarnyy_nasos_akvaliv_san_300_profi" TargetMode="External"/><Relationship Id="rId9" Type="http://schemas.openxmlformats.org/officeDocument/2006/relationships/hyperlink" Target="https://nerotrade.ru/catalog/kanalizatsionnye_truby_i_fitingi/vnutrennyaya_kanalizatsiya/fasonnye_chasti_dlya_vnutrenney_kanalizatsii/perekhod_s_pvkh_pp_na_chugun_stal_dn110_100_hl9_1/" TargetMode="External"/><Relationship Id="rId14" Type="http://schemas.openxmlformats.org/officeDocument/2006/relationships/hyperlink" Target="https://www.santehmag.ru/product/rosa-8945-rakovina-podvesnaya-dlya-invalidov-650580-mm/?ysclid=mi49i28qdb526458019" TargetMode="External"/><Relationship Id="rId22" Type="http://schemas.openxmlformats.org/officeDocument/2006/relationships/hyperlink" Target="https://www.vodoparad.ru/item/polupedestal-roca-debba-33799100y/" TargetMode="External"/><Relationship Id="rId27" Type="http://schemas.openxmlformats.org/officeDocument/2006/relationships/hyperlink" Target="https://santshop.ru/product/kapelnaya-voronka-s-zapakhozapirayushchim-zatvorom-hl21/?cm_id=81185617_5122908913_13410026766_53238582108_53238582108_none_search_type1_no_desktop_premium_213&amp;calltouch_tm=yd_c:104068764_gb:5367788127_ad:17221358281_ph:49183174348_st:search_pt:dynamic_places_p:1_s:yandex.ru_dt:desktop_reg:213_ret:49183174348_apt:none&amp;ybaip=1&amp;etext=&amp;ysclid=mi4iiwjbix84353503" TargetMode="External"/><Relationship Id="rId30" Type="http://schemas.openxmlformats.org/officeDocument/2006/relationships/hyperlink" Target="https://www.etm.ru/cat/nn/8512800" TargetMode="External"/><Relationship Id="rId35" Type="http://schemas.openxmlformats.org/officeDocument/2006/relationships/hyperlink" Target="https://lunda.ru/catalog/category/c20380/product/sifon-alca_32694.html" TargetMode="External"/><Relationship Id="rId43" Type="http://schemas.openxmlformats.org/officeDocument/2006/relationships/hyperlink" Target="https://www.vseinstrumenti.ru/product/nasos-esq-gnom-7-7-32-0-37-220-02-31-000028-2241574/" TargetMode="External"/><Relationship Id="rId48" Type="http://schemas.openxmlformats.org/officeDocument/2006/relationships/hyperlink" Target="https://santehnika-online.ru/product/installyatsiya_dlya_pissuara_vitra_frame_kreplenie_k_polu_i_stene/627648/?utm_source=direct&amp;utm_medium=cpc&amp;utm_campaign=y_s_epk_vendor_0_0_0_rf_dm_ttov_au-117723644&amp;utm_content=ST:search%7CS:yandex.ru%7CAP:no%7CPT:dynamic_places%7CP:1%7CDT:desktop%7CRI:213%7CRN:&#1052;&#1086;&#1089;&#1082;&#1074;&#1072;%7CCI:117723644%7CGI:5536010679%7CPI:54188339099%7CAI:1866979669979923826%7CKW:---autotargeting%7CMT:%7CMK:&amp;utm_term=---autotargeting&amp;etext=&amp;ybaip=1" TargetMode="External"/><Relationship Id="rId56" Type="http://schemas.openxmlformats.org/officeDocument/2006/relationships/hyperlink" Target="https://comtermo.ru/products/truba-dlya-vnutrenney-kanalizatsii-sinikon-110-x-1000mm-500089/" TargetMode="External"/><Relationship Id="rId8" Type="http://schemas.openxmlformats.org/officeDocument/2006/relationships/hyperlink" Target="https://santexru.ru/perexod-pp-h-dn-110x100-b-nap-pp-npvx-chugun-ctal-hl-9-1.html" TargetMode="External"/><Relationship Id="rId51" Type="http://schemas.openxmlformats.org/officeDocument/2006/relationships/hyperlink" Target="https://www.santech.ru/catalog/469/476/i622/v1/" TargetMode="External"/><Relationship Id="rId3" Type="http://schemas.openxmlformats.org/officeDocument/2006/relationships/hyperlink" Target="https://lunda.ru/catalog/category/c13291/product/ustanovka-citilift-trio-vandjord_159152.html?utm_referrer=https%3A%2F%2Fyandex.ru%2F" TargetMode="External"/><Relationship Id="rId12" Type="http://schemas.openxmlformats.org/officeDocument/2006/relationships/hyperlink" Target="https://www.vodoparad.ru/item/perekhod-pp-h-dn-50kh50-b-nap-pp-npvkh-chugun-stal-hl-9-50/" TargetMode="External"/><Relationship Id="rId17" Type="http://schemas.openxmlformats.org/officeDocument/2006/relationships/hyperlink" Target="https://www.vseinstrumenti.ru/product/linejnyj-trap-wirquin-venisio-slim-dlina-reshetki-500-mm-suhoj-zatvor-s-membranoj-novogo-pokoleniya-smart-30724165-18376020/?utm_campaign=webmaster&amp;utm_content=18376020&amp;utm_medium=organic&amp;utm_source=Yandex&amp;utm_term=18376020&amp;ysclid=mi4b0tk0qn681138027&amp;utm_referrer=https://yandex.ru/" TargetMode="External"/><Relationship Id="rId25" Type="http://schemas.openxmlformats.org/officeDocument/2006/relationships/hyperlink" Target="https://www.vseinstrumenti.ru/product/kapelnaya-voronka-hl-21-21-13717075/" TargetMode="External"/><Relationship Id="rId33" Type="http://schemas.openxmlformats.org/officeDocument/2006/relationships/hyperlink" Target="https://lunda.ru/catalog/category/c20374/product/sifon-mcalpine_23044.html" TargetMode="External"/><Relationship Id="rId38" Type="http://schemas.openxmlformats.org/officeDocument/2006/relationships/hyperlink" Target="https://www.vodoparad.ru/item/voronka-krovelnaya-s-vertikalnym-vypuskom-pp-dn-110-s-listvoulovitelem-prizhimnym-flantsem-iz-nerzha-1119080206/?ysclid=mi5kg3n52v826501325" TargetMode="External"/><Relationship Id="rId46" Type="http://schemas.openxmlformats.org/officeDocument/2006/relationships/hyperlink" Target="https://www.santehnika-room.ru/pissuary/vneshnij-podvod/komplekt-pissuar-santek-gala-wh301774-podvesnoj-smyvnoe-ustrojstvo-alcaplast-ats001-knopochnyj-ventil-sifon-dlya-pissuara-alcaplast-a45b" TargetMode="External"/><Relationship Id="rId59" Type="http://schemas.openxmlformats.org/officeDocument/2006/relationships/printerSettings" Target="../printerSettings/printerSettings4.bin"/><Relationship Id="rId20" Type="http://schemas.openxmlformats.org/officeDocument/2006/relationships/hyperlink" Target="https://otdelkino.ru/santeh/rakoviny/product/rakovina-roca-debba-50x42/?utm_source=yandex&amp;utm_medium=cpc&amp;utm_campaign=103903199_search_DP%7C97228997%7CVseSatURL%7COffK&amp;utm_term=---autotargeting&amp;utm_content=103903199_5366021708_15595640920_53225064496&amp;ybaip=1&amp;yclid=10717780415032590335" TargetMode="External"/><Relationship Id="rId41" Type="http://schemas.openxmlformats.org/officeDocument/2006/relationships/hyperlink" Target="https://santechmarket.ru/goods/patrubok-napornyy-npvkh-rastrubnyy-s-pvkh-flantsem-d160x150/?ysclid=mi5nuwdxni350062287" TargetMode="External"/><Relationship Id="rId54" Type="http://schemas.openxmlformats.org/officeDocument/2006/relationships/hyperlink" Target="https://snabline.com/shop/product/truba-kanalizatsionnaya-vnutrennyaya-sinikon-gost-32414-2013-polipropilenovaya-seryy-110x2.7x1000-mm-artikul-tov-102482" TargetMode="External"/><Relationship Id="rId1" Type="http://schemas.openxmlformats.org/officeDocument/2006/relationships/hyperlink" Target="https://www.vseinstrumenti.ru/product/universalnaya-nasosnaya-ustanovka-vandjord-citilift-trio-76511001-18267678/?utm_campaign=webmaster&amp;utm_content=18267678&amp;utm_medium=organic&amp;utm_source=Yandex&amp;utm_term=18267678&amp;ysclid=mi339k938584662771" TargetMode="External"/><Relationship Id="rId6" Type="http://schemas.openxmlformats.org/officeDocument/2006/relationships/hyperlink" Target="https://gaziteplo.ru/goods/kanalizatsionnaya_stantsiya_akvaliv_san_300_profi/?ysclid=mi3523lv23759690710" TargetMode="External"/><Relationship Id="rId15" Type="http://schemas.openxmlformats.org/officeDocument/2006/relationships/hyperlink" Target="https://invacenter.ru/umyvalnik-dlya-invalidov/?ysclid=mi49kb5ojc494728067" TargetMode="External"/><Relationship Id="rId23" Type="http://schemas.openxmlformats.org/officeDocument/2006/relationships/hyperlink" Target="https://top-santehnika.ru/product/-roca-debba-33799100y/" TargetMode="External"/><Relationship Id="rId28" Type="http://schemas.openxmlformats.org/officeDocument/2006/relationships/hyperlink" Target="https://www.vseinstrumenti.ru/product/sifon-dlya-kuhonnoj-mojki-ani-plast-grot-3-1-2-h40-a0145diy-4934388/" TargetMode="External"/><Relationship Id="rId36" Type="http://schemas.openxmlformats.org/officeDocument/2006/relationships/hyperlink" Target="https://www.termokit.ru/product/sifon_dlya_umyvalnika_32_mm_tselnometallicheskiy_s_nakidnoy_gaykoy_5_4_alcaplast_a431.htm?ysclid=mi4m6mab3v660251946" TargetMode="External"/><Relationship Id="rId49" Type="http://schemas.openxmlformats.org/officeDocument/2006/relationships/hyperlink" Target="https://www.santehnika-room.ru/sistemy-installyacii/dlya-pissuarov/rama-skrytmontazha-d-pissuara-880-3800?yclid=8308885877685223423" TargetMode="External"/><Relationship Id="rId57" Type="http://schemas.openxmlformats.org/officeDocument/2006/relationships/hyperlink" Target="https://snabline.com/shop/product/truba-kanalizatsionnaya-vnutrennyaya-sinikon-gost-32414-2013-polipropilenovaya-seryy-50x1.8x1000-mm-artikul-tov-102475?ysclid=mo2ipeuyv8265048271" TargetMode="External"/><Relationship Id="rId10" Type="http://schemas.openxmlformats.org/officeDocument/2006/relationships/hyperlink" Target="https://www.santech.ru/catalog/278/279/i412/v41475/" TargetMode="External"/><Relationship Id="rId31" Type="http://schemas.openxmlformats.org/officeDocument/2006/relationships/hyperlink" Target="https://valterra.ru/catalog/sifony-i-vypuski-dlya-moek-rakovin-bide-i-pissuarov/sifon-trubnyy-s-razryvom-strui-s-ovalnoy-priemnoy-ovalnoy-voronkoy-mcalpine/?ysclid=mi4keudlcr716881165" TargetMode="External"/><Relationship Id="rId44" Type="http://schemas.openxmlformats.org/officeDocument/2006/relationships/hyperlink" Target="https://rosbyt.ru/catalog/esq-gnom-7-7-32-0-37-220/?utm_source=yandex.webmaster&amp;utm_medium=organic&amp;utm_campaign=tovary&amp;utm_content=drenazhnye-nasosy-100-l-min&amp;utm_term=268559" TargetMode="External"/><Relationship Id="rId52" Type="http://schemas.openxmlformats.org/officeDocument/2006/relationships/hyperlink" Target="https://www.mos-nasos.ru/catalog/gnom10-10g.html?ysclid=mnraot5ww7610472901" TargetMode="External"/><Relationship Id="rId6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6" Type="http://schemas.openxmlformats.org/officeDocument/2006/relationships/hyperlink" Target="https://www.teplodvor.ru/royal-thermo-compact-c11-400-1000-ral9016.html" TargetMode="External"/><Relationship Id="rId21" Type="http://schemas.openxmlformats.org/officeDocument/2006/relationships/hyperlink" Target="https://www.teplodvor.ru/royal-thermo-hygiene-h10-400-1600-ral9016.html" TargetMode="External"/><Relationship Id="rId42" Type="http://schemas.openxmlformats.org/officeDocument/2006/relationships/hyperlink" Target="https://comfort-klimat.ru/catalog/vodosnabzhenie/truboprovodnaya-armatura-i-avtomatika/klapany-balansirovochnye/klapan-balansirovochnyy-ridan-apt-r-dn-15/" TargetMode="External"/><Relationship Id="rId47" Type="http://schemas.openxmlformats.org/officeDocument/2006/relationships/hyperlink" Target="https://santehnica-vodoley.ru/catalog/radiatory/radiatory-trubchatye/trub-radiator-s-krugloj-trub-GUARDO-TORRE-3D-400mm-vys1982mm-shir40-sekc-bp-8a273524.html" TargetMode="External"/><Relationship Id="rId63" Type="http://schemas.openxmlformats.org/officeDocument/2006/relationships/hyperlink" Target="https://zakupki44fz.ru/app/okpd2/25.21.11.120" TargetMode="External"/><Relationship Id="rId68" Type="http://schemas.openxmlformats.org/officeDocument/2006/relationships/hyperlink" Target="https://zakupki44fz.ru/app/okpd2/25.21.11.120" TargetMode="External"/><Relationship Id="rId2" Type="http://schemas.openxmlformats.org/officeDocument/2006/relationships/hyperlink" Target="https://www.teplodvor.ru/royal-thermo-hygiene-h20-400-600-ral9016.html" TargetMode="External"/><Relationship Id="rId16" Type="http://schemas.openxmlformats.org/officeDocument/2006/relationships/hyperlink" Target="https://dn.ru/radiator/stal/panelnyi/royal-thermo/hygiene-h10-400-ral9016/1000" TargetMode="External"/><Relationship Id="rId29" Type="http://schemas.openxmlformats.org/officeDocument/2006/relationships/hyperlink" Target="https://www.teplodvor.ru/royal-thermo-compact-c11-400-1200-ral9016.html" TargetMode="External"/><Relationship Id="rId11" Type="http://schemas.openxmlformats.org/officeDocument/2006/relationships/hyperlink" Target="https://www.bafus.ru/product/royal-thermo-hygiene-radiator-stalnoy-panelny-h20-400-1200-1200-400-97-mm-silver-satin-345-mm-14-64-m2-ns-1369976/" TargetMode="External"/><Relationship Id="rId24" Type="http://schemas.openxmlformats.org/officeDocument/2006/relationships/hyperlink" Target="https://www.teplodvor.ru/royal-thermo-hygiene-h30-400-600-ral9016.html" TargetMode="External"/><Relationship Id="rId32" Type="http://schemas.openxmlformats.org/officeDocument/2006/relationships/hyperlink" Target="https://dn.ru/radiator/stal/panelnyi/royal-thermo/compact-c11-400-ral9016/1400" TargetMode="External"/><Relationship Id="rId37" Type="http://schemas.openxmlformats.org/officeDocument/2006/relationships/hyperlink" Target="https://www.teplodvor.ru/royal-thermo-compact-c11-400-1800-ral9016.html" TargetMode="External"/><Relationship Id="rId40" Type="http://schemas.openxmlformats.org/officeDocument/2006/relationships/hyperlink" Target="https://www.sharangroup.ru/product/nabor-prisoyedinitelniy-dlya-radiatora-kit-1-2-beliy-global/" TargetMode="External"/><Relationship Id="rId45" Type="http://schemas.openxmlformats.org/officeDocument/2006/relationships/hyperlink" Target="https://comfort-klimat.ru/catalog/vodosnabzhenie/truboprovodnaya-armatura-i-avtomatika/klapany-balansirovochnye/klapan-balansirovochnyy-avtomaticheskiy-ridan-apt-r-dn20-pn20/" TargetMode="External"/><Relationship Id="rId53" Type="http://schemas.openxmlformats.org/officeDocument/2006/relationships/hyperlink" Target="https://zakupki44fz.ru/app/okpd2/25.21.11.120" TargetMode="External"/><Relationship Id="rId58" Type="http://schemas.openxmlformats.org/officeDocument/2006/relationships/hyperlink" Target="https://zakupki44fz.ru/app/okpd2/25.21.11.120" TargetMode="External"/><Relationship Id="rId66" Type="http://schemas.openxmlformats.org/officeDocument/2006/relationships/hyperlink" Target="https://zakupki44fz.ru/app/okpd2/25.21.11.120" TargetMode="External"/><Relationship Id="rId74" Type="http://schemas.openxmlformats.org/officeDocument/2006/relationships/printerSettings" Target="../printerSettings/printerSettings5.bin"/><Relationship Id="rId5" Type="http://schemas.openxmlformats.org/officeDocument/2006/relationships/hyperlink" Target="https://www.bafus.ru/product/royal-thermo-hygiene-radiator-stalnoy-panelny-h20-400-800-800-400-97-mm-bely-ral-9016-345-mm-9-76-m2-ns-1345458/" TargetMode="External"/><Relationship Id="rId61" Type="http://schemas.openxmlformats.org/officeDocument/2006/relationships/hyperlink" Target="https://zakupki44fz.ru/app/okpd2/25.21.11.120" TargetMode="External"/><Relationship Id="rId19" Type="http://schemas.openxmlformats.org/officeDocument/2006/relationships/hyperlink" Target="https://dn.ru/radiator/stal/panelnyi/royal-thermo/hygiene-h10-400-ral9016/1400" TargetMode="External"/><Relationship Id="rId14" Type="http://schemas.openxmlformats.org/officeDocument/2006/relationships/hyperlink" Target="https://dn.ru/radiator/stal/panelnyi/royal-thermo/hygiene-h10-400-ral9016/600" TargetMode="External"/><Relationship Id="rId22" Type="http://schemas.openxmlformats.org/officeDocument/2006/relationships/hyperlink" Target="https://dn.ru/radiator/stal/panelnyi/royal-thermo/hygiene-h10-400-ral9016/1600" TargetMode="External"/><Relationship Id="rId27" Type="http://schemas.openxmlformats.org/officeDocument/2006/relationships/hyperlink" Target="https://dn.ru/radiator/stal/panelnyi/royal-thermo/compact-c11-400-ral9016/1000" TargetMode="External"/><Relationship Id="rId30" Type="http://schemas.openxmlformats.org/officeDocument/2006/relationships/hyperlink" Target="https://www.royal-thermo.ru/catalog/product-radiator_panelnyy_royal_thermo_compact_c11_400_1200_ral9016/" TargetMode="External"/><Relationship Id="rId35" Type="http://schemas.openxmlformats.org/officeDocument/2006/relationships/hyperlink" Target="https://dn.ru/radiator/stal/panelnyi/royal-thermo/compact-c11-400-ral9016/1600" TargetMode="External"/><Relationship Id="rId43" Type="http://schemas.openxmlformats.org/officeDocument/2006/relationships/hyperlink" Target="https://rtreid.ru/catalog/2392965-klapan-apt-r-dn-20-s-komplektom-fitingov-s-naruzhney-rezboy/" TargetMode="External"/><Relationship Id="rId48" Type="http://schemas.openxmlformats.org/officeDocument/2006/relationships/hyperlink" Target="https://svdd.ru/radiatory-otopleniya-alyuminievye/76101-trubchatyj-radiator-s-krugloj-truboj-32mm-guardo-torre-3d-400x1682mm-34-sekcii-nizhnee-pravoe-podklyuchenie-seryj-matovyj.html?ysclid=mig0eawn1m904875463" TargetMode="External"/><Relationship Id="rId56" Type="http://schemas.openxmlformats.org/officeDocument/2006/relationships/hyperlink" Target="https://zakupki44fz.ru/app/okpd2/25.21.11.120" TargetMode="External"/><Relationship Id="rId64" Type="http://schemas.openxmlformats.org/officeDocument/2006/relationships/hyperlink" Target="https://zakupki44fz.ru/app/okpd2/25.21.11.120" TargetMode="External"/><Relationship Id="rId69" Type="http://schemas.openxmlformats.org/officeDocument/2006/relationships/hyperlink" Target="https://zakupki44fz.ru/app/okpd2/25.21.11.120" TargetMode="External"/><Relationship Id="rId8" Type="http://schemas.openxmlformats.org/officeDocument/2006/relationships/hyperlink" Target="https://www.bafus.ru/product/royal-thermo-hygiene-radiator-stalnoy-panelny-h20-400-1000-1000-400-97-mm-silver-satin-345-mm-12-2-m2-ns-1369972/" TargetMode="External"/><Relationship Id="rId51" Type="http://schemas.openxmlformats.org/officeDocument/2006/relationships/hyperlink" Target="https://zakupki44fz.ru/app/okpd2/25.21.11.120" TargetMode="External"/><Relationship Id="rId72" Type="http://schemas.openxmlformats.org/officeDocument/2006/relationships/hyperlink" Target="https://zakupki44fz.ru/app/okpd2/25.21.11.120" TargetMode="External"/><Relationship Id="rId3" Type="http://schemas.openxmlformats.org/officeDocument/2006/relationships/hyperlink" Target="https://www.teplodvor.ru/royal-thermo-hygiene-h20-400-800-ral9016.html" TargetMode="External"/><Relationship Id="rId12" Type="http://schemas.openxmlformats.org/officeDocument/2006/relationships/hyperlink" Target="https://dn.ru/radiator/stal/panelnyi/royal-thermo/hygiene-h20-400-ral9016/1400" TargetMode="External"/><Relationship Id="rId17" Type="http://schemas.openxmlformats.org/officeDocument/2006/relationships/hyperlink" Target="https://www.royal-thermo.ru/catalog/product-radiator_panelnyy_royal_thermo_hygiene_h10_400_1000_ral9016/" TargetMode="External"/><Relationship Id="rId25" Type="http://schemas.openxmlformats.org/officeDocument/2006/relationships/hyperlink" Target="https://www.royal-thermo.ru/catalog/product-radiator_panelnyy_royal_thermo_hygiene_h30_400_600_ral9016/" TargetMode="External"/><Relationship Id="rId33" Type="http://schemas.openxmlformats.org/officeDocument/2006/relationships/hyperlink" Target="https://www.royal-thermo.ru/catalog/product-radiator_panelnyy_royal_thermo_compact_c11_400_1400_ral9016/" TargetMode="External"/><Relationship Id="rId38" Type="http://schemas.openxmlformats.org/officeDocument/2006/relationships/hyperlink" Target="https://dn.ru/radiator/stal/panelnyi/royal-thermo/compact-c11-400-ral9016/1800" TargetMode="External"/><Relationship Id="rId46" Type="http://schemas.openxmlformats.org/officeDocument/2006/relationships/hyperlink" Target="https://warmlystore.ru/catalog/radiatory-otopleniya/trubchatye-radiatory/trubchatye-vysota-155-mm-500-mm/trubchatyy-radiator-s-krugloy-truboy-32-mm-guardo-torre-3d-400-mm-vysotoy-82-mm-shirinoy-2-sektsii-b-1187507995/?oid=2138402263" TargetMode="External"/><Relationship Id="rId59" Type="http://schemas.openxmlformats.org/officeDocument/2006/relationships/hyperlink" Target="https://zakupki44fz.ru/app/okpd2/25.21.11.120" TargetMode="External"/><Relationship Id="rId67" Type="http://schemas.openxmlformats.org/officeDocument/2006/relationships/hyperlink" Target="https://zakupki44fz.ru/app/okpd2/25.21.11.120" TargetMode="External"/><Relationship Id="rId20" Type="http://schemas.openxmlformats.org/officeDocument/2006/relationships/hyperlink" Target="https://www.royal-thermo.ru/catalog/product-radiator_panelnyy_royal_thermo_hygiene_h10_400_1400_ral9016/" TargetMode="External"/><Relationship Id="rId41" Type="http://schemas.openxmlformats.org/officeDocument/2006/relationships/hyperlink" Target="https://rosarmatorg.ru/apt-r-klapan-dn-15-003z5701r" TargetMode="External"/><Relationship Id="rId54" Type="http://schemas.openxmlformats.org/officeDocument/2006/relationships/hyperlink" Target="https://zakupki44fz.ru/app/okpd2/25.21.11.120" TargetMode="External"/><Relationship Id="rId62" Type="http://schemas.openxmlformats.org/officeDocument/2006/relationships/hyperlink" Target="https://zakupki44fz.ru/app/okpd2/25.21.11.120" TargetMode="External"/><Relationship Id="rId70" Type="http://schemas.openxmlformats.org/officeDocument/2006/relationships/hyperlink" Target="https://zakupki44fz.ru/app/okpd2/25.21.11.120" TargetMode="External"/><Relationship Id="rId75" Type="http://schemas.openxmlformats.org/officeDocument/2006/relationships/drawing" Target="../drawings/drawing5.xml"/><Relationship Id="rId1" Type="http://schemas.openxmlformats.org/officeDocument/2006/relationships/hyperlink" Target="https://dn.ru/radiator/stal/panelnyi/royal-thermo/hygiene-h20-400-ral9016/400" TargetMode="External"/><Relationship Id="rId6" Type="http://schemas.openxmlformats.org/officeDocument/2006/relationships/hyperlink" Target="https://www.teplodvor.ru/royal-thermo-hygiene-h20-400-1000-ral9016.html" TargetMode="External"/><Relationship Id="rId15" Type="http://schemas.openxmlformats.org/officeDocument/2006/relationships/hyperlink" Target="https://www.royal-thermo.ru/catalog/product-radiator_panelnyy_royal_thermo_hygiene_h10_400_600_ral9016/?ysclid=mid49ol9ds520878534" TargetMode="External"/><Relationship Id="rId23" Type="http://schemas.openxmlformats.org/officeDocument/2006/relationships/hyperlink" Target="https://www.royal-thermo.ru/catalog/product-radiator_panelnyy_royal_thermo_hygiene_h10_400_1600_ral9016/" TargetMode="External"/><Relationship Id="rId28" Type="http://schemas.openxmlformats.org/officeDocument/2006/relationships/hyperlink" Target="https://www.royal-thermo.ru/catalog/product-radiator_panelnyy_royal_thermo_compact_c11_400_1000_ral9016/" TargetMode="External"/><Relationship Id="rId36" Type="http://schemas.openxmlformats.org/officeDocument/2006/relationships/hyperlink" Target="https://www.royal-thermo.ru/catalog/product-radiator_panelnyy_royal_thermo_compact_c11_400_1600_ral9016/" TargetMode="External"/><Relationship Id="rId49" Type="http://schemas.openxmlformats.org/officeDocument/2006/relationships/hyperlink" Target="https://zakupki44fz.ru/app/okpd2/25.21.11.120" TargetMode="External"/><Relationship Id="rId57" Type="http://schemas.openxmlformats.org/officeDocument/2006/relationships/hyperlink" Target="https://zakupki44fz.ru/app/okpd2/25.21.11.120" TargetMode="External"/><Relationship Id="rId10" Type="http://schemas.openxmlformats.org/officeDocument/2006/relationships/hyperlink" Target="https://dn.ru/radiator/stal/panelnyi/royal-thermo/hygiene-h20-400-ral9016/1200" TargetMode="External"/><Relationship Id="rId31" Type="http://schemas.openxmlformats.org/officeDocument/2006/relationships/hyperlink" Target="https://www.teplodvor.ru/royal-thermo-compact-c11-400-1400-ral9016.html" TargetMode="External"/><Relationship Id="rId44" Type="http://schemas.openxmlformats.org/officeDocument/2006/relationships/hyperlink" Target="https://rosarmatorg.ru/apt-r-klapan-dn-20-003z5702r" TargetMode="External"/><Relationship Id="rId52" Type="http://schemas.openxmlformats.org/officeDocument/2006/relationships/hyperlink" Target="https://zakupki44fz.ru/app/okpd2/25.21.11.120" TargetMode="External"/><Relationship Id="rId60" Type="http://schemas.openxmlformats.org/officeDocument/2006/relationships/hyperlink" Target="https://zakupki44fz.ru/app/okpd2/25.21.11.120" TargetMode="External"/><Relationship Id="rId65" Type="http://schemas.openxmlformats.org/officeDocument/2006/relationships/hyperlink" Target="https://zakupki44fz.ru/app/okpd2/25.21.11.120" TargetMode="External"/><Relationship Id="rId73" Type="http://schemas.openxmlformats.org/officeDocument/2006/relationships/hyperlink" Target="https://zakupki44fz.ru/app/okpd2/25.21.11.120" TargetMode="External"/><Relationship Id="rId4" Type="http://schemas.openxmlformats.org/officeDocument/2006/relationships/hyperlink" Target="https://dn.ru/radiator/stal/panelnyi/royal-thermo/hygiene-h20-400-ral9016/800" TargetMode="External"/><Relationship Id="rId9" Type="http://schemas.openxmlformats.org/officeDocument/2006/relationships/hyperlink" Target="https://www.teplodvor.ru/royal-thermo-hygiene-h20-400-1200-ral9016.html" TargetMode="External"/><Relationship Id="rId13" Type="http://schemas.openxmlformats.org/officeDocument/2006/relationships/hyperlink" Target="https://www.teplodvor.ru/royal-thermo-hygiene-h10-400-600-ral9016.html" TargetMode="External"/><Relationship Id="rId18" Type="http://schemas.openxmlformats.org/officeDocument/2006/relationships/hyperlink" Target="https://www.teplodvor.ru/royal-thermo-hygiene-h10-400-1400-ral9016.html" TargetMode="External"/><Relationship Id="rId39" Type="http://schemas.openxmlformats.org/officeDocument/2006/relationships/hyperlink" Target="https://www.royal-thermo.ru/catalog/product-radiator_panelnyy_royal_thermo_compact_c11_400_1800_ral9016/" TargetMode="External"/><Relationship Id="rId34" Type="http://schemas.openxmlformats.org/officeDocument/2006/relationships/hyperlink" Target="https://www.teplodvor.ru/royal-thermo-compact-c11-400-1600-ral9016.html" TargetMode="External"/><Relationship Id="rId50" Type="http://schemas.openxmlformats.org/officeDocument/2006/relationships/hyperlink" Target="https://zakupki44fz.ru/app/okpd2/25.21.11.120" TargetMode="External"/><Relationship Id="rId55" Type="http://schemas.openxmlformats.org/officeDocument/2006/relationships/hyperlink" Target="https://zakupki44fz.ru/app/okpd2/25.21.11.120" TargetMode="External"/><Relationship Id="rId7" Type="http://schemas.openxmlformats.org/officeDocument/2006/relationships/hyperlink" Target="https://dn.ru/radiator/stal/panelnyi/royal-thermo/hygiene-h20-400-ral9016/1000" TargetMode="External"/><Relationship Id="rId71" Type="http://schemas.openxmlformats.org/officeDocument/2006/relationships/hyperlink" Target="https://zakupki44fz.ru/app/okpd2/25.21.11.120"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hyperlink" Target="https://secumarket.ru/product/blok-raspredeleniya-pitaniya-po-stoyke-opoveshcheniya-sonar-rdip-050a-23048" TargetMode="External"/><Relationship Id="rId18" Type="http://schemas.openxmlformats.org/officeDocument/2006/relationships/hyperlink" Target="https://redutsb.ru/product/rubegh-sonar-sbb-2425/?ysclid=mi4j7gylv1619068884" TargetMode="External"/><Relationship Id="rId26" Type="http://schemas.openxmlformats.org/officeDocument/2006/relationships/hyperlink" Target="https://licht220.ru/catalog/nizkovolnoe_oborudovanie_iek_iek/CO05-1M4R-LWS_IEK/?ysclid=mi4jvhvxyg63857768" TargetMode="External"/><Relationship Id="rId39" Type="http://schemas.openxmlformats.org/officeDocument/2006/relationships/hyperlink" Target="https://videoglaz.ru/mikrofony-mikrofonnye-konsoli-sonar/sonar/sonar-srm-7020s?ysclid=mi4mk5hskp830664369" TargetMode="External"/><Relationship Id="rId21" Type="http://schemas.openxmlformats.org/officeDocument/2006/relationships/hyperlink" Target="https://redutsb.ru/product/rubegh-sonar-sbb-2450/?ysclid=mi4jky5da4365056567" TargetMode="External"/><Relationship Id="rId34" Type="http://schemas.openxmlformats.org/officeDocument/2006/relationships/hyperlink" Target="https://ekm-electrics.ru/shop/goods/gromkogovoritel_translyatsionnyiy_nastennyiy_SWS_106_103_100v_6_3_15vt_180gts_15kgts_zvukov_davl_90_3db_chuvstvit_90_3db_296h200h84mm_088kg_ABS_plastik_vintov_klemmyi_do_2h15mm_SONAR_Rbz_361112-179439" TargetMode="External"/><Relationship Id="rId42" Type="http://schemas.openxmlformats.org/officeDocument/2006/relationships/hyperlink" Target="https://secumarket.ru/product/kabel-nizkotoksichnyy-ognestoykiy-gruppovoy-prokladki-dlya-sistem-protivopozharnoy-zashchity-loutoks-20ng-a-frlsltx-1x2x1-speckabel-200-m-3072" TargetMode="External"/><Relationship Id="rId47" Type="http://schemas.openxmlformats.org/officeDocument/2006/relationships/drawing" Target="../drawings/drawing8.xml"/><Relationship Id="rId7" Type="http://schemas.openxmlformats.org/officeDocument/2006/relationships/hyperlink" Target="https://videoglaz.ru/pribory-upravleniya-opovescheniem-sonar/sonar/sonar-snca-8002?ysclid=mi4hnym9cn227218736" TargetMode="External"/><Relationship Id="rId2" Type="http://schemas.openxmlformats.org/officeDocument/2006/relationships/hyperlink" Target="https://elgroup24.ru/d_shkaf_19dyuym_linea_w_18u_600kh600mm_nasten_stekl_dver_ral9005_itk_lwr5_18u66_gf.html" TargetMode="External"/><Relationship Id="rId16" Type="http://schemas.openxmlformats.org/officeDocument/2006/relationships/hyperlink" Target="https://www.redutsb.ru/product/rubegh-sonar-sbc-3250/" TargetMode="External"/><Relationship Id="rId29" Type="http://schemas.openxmlformats.org/officeDocument/2006/relationships/hyperlink" Target="https://redutsb.ru/product/cmo-stk-rackmnt-704ka/?ysclid=mi4k56udlb410493090" TargetMode="External"/><Relationship Id="rId1" Type="http://schemas.openxmlformats.org/officeDocument/2006/relationships/hyperlink" Target="https://www.it-shkaf.ru/product/itk-lwr5-18u66-gf/69371?ysclid=mi4ges1kug212821115" TargetMode="External"/><Relationship Id="rId6" Type="http://schemas.openxmlformats.org/officeDocument/2006/relationships/hyperlink" Target="https://redutsb.ru/product/rubegh-sonar-spm-c20085-ar/?ysclid=mi4hfbq5u1226144797" TargetMode="External"/><Relationship Id="rId11" Type="http://schemas.openxmlformats.org/officeDocument/2006/relationships/hyperlink" Target="https://&#1090;&#1077;&#1093;&#1082;&#1083;&#1102;&#1095;&#1080;.&#1088;&#1092;/catalog/okhranno-pozharnye-signalizats/opoveshchateli/komplekt-programmiruemogo-taymera-rubezh-sonar-stm-1004-gps-2500-komplekt/?ysclid=mi4idqr025149559689" TargetMode="External"/><Relationship Id="rId24" Type="http://schemas.openxmlformats.org/officeDocument/2006/relationships/hyperlink" Target="https://pek24.ru/k_izolyator_shleyfa_iz_1_r3_rubezh_rbz_337647/" TargetMode="External"/><Relationship Id="rId32" Type="http://schemas.openxmlformats.org/officeDocument/2006/relationships/hyperlink" Target="https://anbik.ru/setevye-skafy/item-4073/" TargetMode="External"/><Relationship Id="rId37" Type="http://schemas.openxmlformats.org/officeDocument/2006/relationships/hyperlink" Target="https://dean.ru/catalogue/product/00-00103936.html" TargetMode="External"/><Relationship Id="rId40" Type="http://schemas.openxmlformats.org/officeDocument/2006/relationships/hyperlink" Target="https://www.aktivsb.ru/prod-42816.html" TargetMode="External"/><Relationship Id="rId45" Type="http://schemas.openxmlformats.org/officeDocument/2006/relationships/hyperlink" Target="https://domodedovo.artem-tools.ru/catalog/elektrika-i-svet/kabeli-slabotochnye/parlan-u-utp-cat5e-pvcls-ng-a-frlsl_664501/" TargetMode="External"/><Relationship Id="rId5" Type="http://schemas.openxmlformats.org/officeDocument/2006/relationships/hyperlink" Target="https://pro-tek.pro/catalog/sonar-spm-c20085-ar.html?ysclid=mi4he8osfb930579604" TargetMode="External"/><Relationship Id="rId15" Type="http://schemas.openxmlformats.org/officeDocument/2006/relationships/hyperlink" Target="https://videoglaz.ru/pribory-upravleniya-opovescheniem-sonar/sonar/sonar-sbc-3250?ysclid=mi4ixs0tjw600185927" TargetMode="External"/><Relationship Id="rId23" Type="http://schemas.openxmlformats.org/officeDocument/2006/relationships/hyperlink" Target="https://dean.ru/catalogue/product/00-00077245.html" TargetMode="External"/><Relationship Id="rId28" Type="http://schemas.openxmlformats.org/officeDocument/2006/relationships/hyperlink" Target="https://www.tinko.ru/catalog/product/314287/?ysclid=mi4k4mk4b5337573410" TargetMode="External"/><Relationship Id="rId36" Type="http://schemas.openxmlformats.org/officeDocument/2006/relationships/hyperlink" Target="https://www.tinko.ru/catalog/product/326331/?ysclid=mi4mh3o1gq496433728" TargetMode="External"/><Relationship Id="rId10" Type="http://schemas.openxmlformats.org/officeDocument/2006/relationships/hyperlink" Target="https://born-shop.ru/catalog/231009.html" TargetMode="External"/><Relationship Id="rId19" Type="http://schemas.openxmlformats.org/officeDocument/2006/relationships/hyperlink" Target="https://videoglaz.ru/pribory-upravleniya-opovescheniem-sonar/sonar/sonar-sbb-2450?ysclid=mi4jkw8h6f43804296" TargetMode="External"/><Relationship Id="rId31" Type="http://schemas.openxmlformats.org/officeDocument/2006/relationships/hyperlink" Target="https://pek24.ru/k_shina_zazemleniya_483kh25x3mm_med_shmt_m1_12_tochek_podklyuch_m6_itk_er_12_325_m1/" TargetMode="External"/><Relationship Id="rId44" Type="http://schemas.openxmlformats.org/officeDocument/2006/relationships/hyperlink" Target="https://atlastpk.ru/catalog/parlan-fr/parlan-u-utp-cat5e-pvclsng-a-frlsltx-4kh2kh0-52/" TargetMode="External"/><Relationship Id="rId4" Type="http://schemas.openxmlformats.org/officeDocument/2006/relationships/hyperlink" Target="https://videoglaz.ru/pribory-upravleniya-opovescheniem-sonar/sonar/sonar-spm-c20085-ar?ysclid=mi4haoymeq873672483" TargetMode="External"/><Relationship Id="rId9" Type="http://schemas.openxmlformats.org/officeDocument/2006/relationships/hyperlink" Target="https://pro-tek.pro/catalog/sonar-stm-1004-gps-2500-komplekt.html?ysclid=mi4ibjv1pn684996914" TargetMode="External"/><Relationship Id="rId14" Type="http://schemas.openxmlformats.org/officeDocument/2006/relationships/hyperlink" Target="https://dean.ru/catalogue/product/00-00040056.html" TargetMode="External"/><Relationship Id="rId22" Type="http://schemas.openxmlformats.org/officeDocument/2006/relationships/hyperlink" Target="https://videoglaz.ru/ops-rubezh/rubezh/rubezh-iz-1-r3?ysclid=mi4jps2mti431836149" TargetMode="External"/><Relationship Id="rId27" Type="http://schemas.openxmlformats.org/officeDocument/2006/relationships/hyperlink" Target="https://pek24.ru/k_organayzer_kabelnyy_10dyuym_1u_4_koltsa_dlya_shkafa_10dyuym_linea_ws_chern_itk_co05_1m4r_lws/" TargetMode="External"/><Relationship Id="rId30" Type="http://schemas.openxmlformats.org/officeDocument/2006/relationships/hyperlink" Target="https://anbik.ru/setevye-skafy/item-5551/" TargetMode="External"/><Relationship Id="rId35" Type="http://schemas.openxmlformats.org/officeDocument/2006/relationships/hyperlink" Target="https://redutsb.ru/product/rubegh-sonar-sws-106-103/?ysclid=mi4mc5yfnh750853335" TargetMode="External"/><Relationship Id="rId43" Type="http://schemas.openxmlformats.org/officeDocument/2006/relationships/hyperlink" Target="https://secbuy.ru/product/loutoks-20ng-a-frlsltx-1kh2kh1-5-kabel-dlya-sistem-ops-i-soue-ognestoykiy-s-nizkim-dymo-i-gazovydele/?ysclid=mi4nbn6uoz600788011" TargetMode="External"/><Relationship Id="rId8" Type="http://schemas.openxmlformats.org/officeDocument/2006/relationships/hyperlink" Target="https://secumarket.ru/product/konverter-dap-ip-dlya-obedineniya-priborov-sonar-snca-8002-47226" TargetMode="External"/><Relationship Id="rId3" Type="http://schemas.openxmlformats.org/officeDocument/2006/relationships/hyperlink" Target="https://incom-elektro.ru/p-skaf-19dujm-linea-w-18u-600h600mm-nasten-stekl-dver-ral9005-itk-lwr518u66gf/?ysclid=mi4gj1ir66888452496" TargetMode="External"/><Relationship Id="rId12" Type="http://schemas.openxmlformats.org/officeDocument/2006/relationships/hyperlink" Target="https://videoglaz.ru/pribory-upravleniya-opovescheniem-sonar/sonar/sonar-rdip-50a?ysclid=mi4iny29bm923062686" TargetMode="External"/><Relationship Id="rId17" Type="http://schemas.openxmlformats.org/officeDocument/2006/relationships/hyperlink" Target="https://videoglaz.ru/pribory-upravleniya-opovescheniem-sonar/sonar/sonar-sbb-2425?ysclid=mi4j7b9bxl910716063" TargetMode="External"/><Relationship Id="rId25" Type="http://schemas.openxmlformats.org/officeDocument/2006/relationships/hyperlink" Target="https://www.tinko.ru/catalog/product/322303/" TargetMode="External"/><Relationship Id="rId33" Type="http://schemas.openxmlformats.org/officeDocument/2006/relationships/hyperlink" Target="https://www.promelec.ru/product/824355/?ysclid=mi4kd8b2e0522063228" TargetMode="External"/><Relationship Id="rId38" Type="http://schemas.openxmlformats.org/officeDocument/2006/relationships/hyperlink" Target="https://videoglaz.ru/ustroystva-okonechnye-sonar/sonar/sonar-sft-2300-m-1?ysclid=mi4mha5vza265735558" TargetMode="External"/><Relationship Id="rId46" Type="http://schemas.openxmlformats.org/officeDocument/2006/relationships/printerSettings" Target="../printerSettings/printerSettings8.bin"/><Relationship Id="rId20" Type="http://schemas.openxmlformats.org/officeDocument/2006/relationships/hyperlink" Target="https://dean.ru/catalogue/product/00-00054230.html?r1=yandext&amp;r2&amp;utm_source=yandex&amp;utm_medium=cpc&amp;utm_campaign=90531382&amp;utm_content=14587322457&amp;utm_term=---autotargeting&amp;etext=&amp;yclid=18371291243591761919" TargetMode="External"/><Relationship Id="rId41" Type="http://schemas.openxmlformats.org/officeDocument/2006/relationships/hyperlink" Target="https://videoglaz.ru/kabel-ohranno-pozharnyy/speckabel/speckabel-loutoks-20ng-a-frlsltx-1h2h15-200m-buhta-200m?ysclid=mi4mshp9yq350538495"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atlastpk.ru/catalog/kpsvvng-a-lsltx/kpsvvng-a-lsltx-1kh2kh0-5/?etext=&amp;yclid=15863299717755830271&amp;ybaip=1" TargetMode="External"/><Relationship Id="rId18" Type="http://schemas.openxmlformats.org/officeDocument/2006/relationships/hyperlink" Target="https://luis.ru/p/2474056?ysclid=mi5qy7qb3v584811644" TargetMode="External"/><Relationship Id="rId26" Type="http://schemas.openxmlformats.org/officeDocument/2006/relationships/hyperlink" Target="https://atlastpk.ru/catalog/kpsvevng-a-lsltx/kpsvevng-a-lsltx-2kh2kh0-75/?etext=&amp;yclid=17018377970334040063&amp;ybaip=1" TargetMode="External"/><Relationship Id="rId39" Type="http://schemas.openxmlformats.org/officeDocument/2006/relationships/hyperlink" Target="https://mon24.su/product/obp/?ysclid=mi5zywg2yj188179930" TargetMode="External"/><Relationship Id="rId21" Type="http://schemas.openxmlformats.org/officeDocument/2006/relationships/hyperlink" Target="https://secbuy.ru/product/rk50-7-37ng-a-hf-kabel-koaksialnyy-radiochastotnyy-dlya-sistem-teleradioveshchaniya-sputnikovoy-i-ra/?ysclid=mi5rvtj4dq151876084" TargetMode="External"/><Relationship Id="rId34" Type="http://schemas.openxmlformats.org/officeDocument/2006/relationships/hyperlink" Target="https://www.lanmark.ru/catalog/net_active/moduli-i-optsii/opora-modernizirovannaya/?ysclid=mi5ywfd4jh753011135" TargetMode="External"/><Relationship Id="rId42" Type="http://schemas.openxmlformats.org/officeDocument/2006/relationships/printerSettings" Target="../printerSettings/printerSettings9.bin"/><Relationship Id="rId7" Type="http://schemas.openxmlformats.org/officeDocument/2006/relationships/hyperlink" Target="https://tdatm.ru/catalog/sistemy_audio_veshchaniya_i_opoveshcheniya/dopolnitelnoe_k_rechevomu_opoveshcheniyu_1/ospi_tandem.html" TargetMode="External"/><Relationship Id="rId2" Type="http://schemas.openxmlformats.org/officeDocument/2006/relationships/hyperlink" Target="https://sb911.ru/products/modul-ip-dlya-ustanovki-v-bip-03?etext=&amp;yclid=11532334006635069439" TargetMode="External"/><Relationship Id="rId16" Type="http://schemas.openxmlformats.org/officeDocument/2006/relationships/hyperlink" Target="https://atlastpk.ru/catalog/kvpng-a-ls-5e/kvpefng-s-lsltx-5e-4kh2kh0-52-spetskabel/?ysclid=mi5qv79k5v406295736" TargetMode="External"/><Relationship Id="rId20" Type="http://schemas.openxmlformats.org/officeDocument/2006/relationships/hyperlink" Target="https://secbuy.ru/product/kpsvevng-a-lsltx-2kh2kh0-5-kabel-dlya-sistem-peredachi-dannykh-ponizhennoy-pozharoopasnosti-c-nizkim/?ysclid=mi5rql28zo795554286" TargetMode="External"/><Relationship Id="rId29" Type="http://schemas.openxmlformats.org/officeDocument/2006/relationships/hyperlink" Target="https://mon24.su/product/kra-4-korobka-raspredelitelnaja-abonentskaja/?ysclid=mi5vwzp61q399646942" TargetMode="External"/><Relationship Id="rId41" Type="http://schemas.openxmlformats.org/officeDocument/2006/relationships/hyperlink" Target="https://www.radioexpert.ru/product/anli-n-722-q/?ysclid=mi60owehvy928925017" TargetMode="External"/><Relationship Id="rId1" Type="http://schemas.openxmlformats.org/officeDocument/2006/relationships/hyperlink" Target="https://elbicont.ru/__elektrotehnicheskaya-produktsiya/sistemi-bezopasnosti/sb-nepraysovie/ustroystvo-podachi-programm-veshchaniya-uppv-1918-m1-isp-u-pervichniy--i/?ysclid=mi5lsyd0lw308950268" TargetMode="External"/><Relationship Id="rId6" Type="http://schemas.openxmlformats.org/officeDocument/2006/relationships/hyperlink" Target="https://mossb.ru/catalog/sredstva-i-sistemy-opoveshcheniya-muzykalnoy-translyatsii/sistemy-opoveshcheniya-o-pozhare/dopolnitelnoe-oborudovanie-soue/ustroystvo-sopryazheniya-s-rso-g-moskvy-us-1-s-komplektatsiey-bao-300-60/?ysclid=mi5mip48v1762297072" TargetMode="External"/><Relationship Id="rId11" Type="http://schemas.openxmlformats.org/officeDocument/2006/relationships/hyperlink" Target="https://timestroy.moscow/catalog/elektrika/kabel_i_provod/kps/kpsvvng_a_lsltx_1x2x1_5/?ysclid=mi5qgrgixx642545325" TargetMode="External"/><Relationship Id="rId24" Type="http://schemas.openxmlformats.org/officeDocument/2006/relationships/hyperlink" Target="https://atlastpk.ru/catalog/loutoks-20ng-a-frlsltx/loutoks-20ng-a-frlsltx-2kh2kh0-75-spetskabel/?ysclid=mi5ttdt8am628853492" TargetMode="External"/><Relationship Id="rId32" Type="http://schemas.openxmlformats.org/officeDocument/2006/relationships/hyperlink" Target="https://www.olmitec.ru/telefoniya/antenni-dlya-radiostantsiy/antenny-bazovye/antenna-anli-a-200-mu-n.html" TargetMode="External"/><Relationship Id="rId37" Type="http://schemas.openxmlformats.org/officeDocument/2006/relationships/hyperlink" Target="https://sb911.ru/products/obp-grozozaschita-75om0-2150mgts25ka?etext=&amp;yclid=15979398668111052799" TargetMode="External"/><Relationship Id="rId40" Type="http://schemas.openxmlformats.org/officeDocument/2006/relationships/hyperlink" Target="https://sb911.ru/products/grozozaschita-anli-n-722q?etext=&amp;yclid=10114757029007982591" TargetMode="External"/><Relationship Id="rId5" Type="http://schemas.openxmlformats.org/officeDocument/2006/relationships/hyperlink" Target="https://mon24.su/product/ustrojstvo-soprjazhenija-s-rso-g-moskvy-quot-us-1-quot/?ysclid=mi5minsmr2305950659" TargetMode="External"/><Relationship Id="rId15" Type="http://schemas.openxmlformats.org/officeDocument/2006/relationships/hyperlink" Target="https://www.bkk.su/catalog/kabelnaya_produktsiya/kabel_informatsionnyy/kabel_kvp/kabel_loutoks_kvpefng_a_lsltx_5e_4x2x0_52/?ysclid=mi5qthgfgw363809582" TargetMode="External"/><Relationship Id="rId23" Type="http://schemas.openxmlformats.org/officeDocument/2006/relationships/hyperlink" Target="https://security59.ru/shop/goods/rk50_7_37ng_A_HF_kabel_koaksialnyiy_radiochastotnyiy_dlya_sistem_teleradioveschaniya_sputnikovoy_i_radiosvyazi_gruppovoy_prokladki_s_ponijennyim_dyimo_i_gazovyideleniem-422276" TargetMode="External"/><Relationship Id="rId28" Type="http://schemas.openxmlformats.org/officeDocument/2006/relationships/hyperlink" Target="https://www.t-save.ru/catalog/kabel_provod/kpsvevng_a_lsltx_2kh2kh0_75_spetskabel/?ysclid=mi5uqcj62s485389343" TargetMode="External"/><Relationship Id="rId36" Type="http://schemas.openxmlformats.org/officeDocument/2006/relationships/hyperlink" Target="https://www.satellite.ru/catalog/machty-i-krepleniya/23/npmm-60?ysclid=mi5z0dmdxj448362938" TargetMode="External"/><Relationship Id="rId10" Type="http://schemas.openxmlformats.org/officeDocument/2006/relationships/hyperlink" Target="https://pek24.ru/k_kpsvvng_a_lsltx_1kh2kh1_5/" TargetMode="External"/><Relationship Id="rId19" Type="http://schemas.openxmlformats.org/officeDocument/2006/relationships/hyperlink" Target="https://paritet.su/catalog/rk_75_4_8_sat_703_1/paraks_rk_75_4_8_318/?ysclid=mi5qy9xeta732834350" TargetMode="External"/><Relationship Id="rId31" Type="http://schemas.openxmlformats.org/officeDocument/2006/relationships/hyperlink" Target="https://www.aktivsb.ru/prod-49114.html" TargetMode="External"/><Relationship Id="rId4" Type="http://schemas.openxmlformats.org/officeDocument/2006/relationships/hyperlink" Target="https://sb911.ru/products/ustrojstvo-sopryazheniya-s-rso-g-moskvy-us-1-s-bao-300?ysclid=mi5mim9yoj593217219" TargetMode="External"/><Relationship Id="rId9" Type="http://schemas.openxmlformats.org/officeDocument/2006/relationships/hyperlink" Target="https://www.informtelenet.ru/oborudovanie/price_2025-10-15.pdf" TargetMode="External"/><Relationship Id="rId14" Type="http://schemas.openxmlformats.org/officeDocument/2006/relationships/hyperlink" Target="https://ntc-market.ru/product/&#1082;&#1072;&#1073;&#1077;&#1083;&#1100;-&#1082;&#1074;&#1087;&#1101;&#1092;&#1085;&#1075;&#1089;-lsltx-5&#1077;-4&#1093;2&#1093;0-52/?ysclid=mi5qq3tskm238150366" TargetMode="External"/><Relationship Id="rId22" Type="http://schemas.openxmlformats.org/officeDocument/2006/relationships/hyperlink" Target="https://www.tinko.ru/catalog/product/293146/?ysclid=mi5rvx8mvp537055985" TargetMode="External"/><Relationship Id="rId27" Type="http://schemas.openxmlformats.org/officeDocument/2006/relationships/hyperlink" Target="https://secbuy.ru/product/kpsvevng-a-lsltx-2kh2kh0-75-kabel-dlya-sistem-peredachi-dannykh-ponizhennoy-pozharoopasnosti-c-nizki/?ysclid=mi5up67kx6786321238" TargetMode="External"/><Relationship Id="rId30" Type="http://schemas.openxmlformats.org/officeDocument/2006/relationships/hyperlink" Target="https://www.etm.ru/cat/nn/5823003?utm_source=yandex&amp;utm_medium=cpc&amp;utm_campaign=gen_SSiSA_Sistemy_bezopasnosti_90_DSA_RF_114971997&amp;utm_content=sale-ssisa_5502196818_dynamic_places&amp;utm_term=---autotargeting&amp;etext=&amp;yclid=11221524230968705023" TargetMode="External"/><Relationship Id="rId35" Type="http://schemas.openxmlformats.org/officeDocument/2006/relationships/hyperlink" Target="https://sb911.ru/products/komplekt-zazemleniya-antennoj-machty-tros-stalnoj-83mm-10m-na-konechnik-kvt35-8-9-1sht-szhim-u859m-1sht" TargetMode="External"/><Relationship Id="rId43" Type="http://schemas.openxmlformats.org/officeDocument/2006/relationships/drawing" Target="../drawings/drawing9.xml"/><Relationship Id="rId8" Type="http://schemas.openxmlformats.org/officeDocument/2006/relationships/hyperlink" Target="https://radio-dot.ru/catalog/tproduct/929173866982-obektovaya-stantsiya-ospi-tandem-rezervn" TargetMode="External"/><Relationship Id="rId3" Type="http://schemas.openxmlformats.org/officeDocument/2006/relationships/hyperlink" Target="https://mon24.su/product/modul-ip-dlja-bip-03-v-uppv-1918m1/?ysclid=mi5m4snezz196896019" TargetMode="External"/><Relationship Id="rId12" Type="http://schemas.openxmlformats.org/officeDocument/2006/relationships/hyperlink" Target="https://timestroy.moscow/catalog/elektrika/kabel_i_provod/kps/kpsvvng_a_lsltx_1x2x0_5/?ysclid=mi5ql4uos4435321506" TargetMode="External"/><Relationship Id="rId17" Type="http://schemas.openxmlformats.org/officeDocument/2006/relationships/hyperlink" Target="https://sector-sb.ru/catalog/kabel_krepezh/coax_cable/coax_cable_idoor/rk_75-48-318?ysclid=mi5qy62cmc781674303" TargetMode="External"/><Relationship Id="rId25" Type="http://schemas.openxmlformats.org/officeDocument/2006/relationships/hyperlink" Target="https://cable.ru/cable/marka-loutoks_20nga_frlsltx_2h2h0_75.php" TargetMode="External"/><Relationship Id="rId33" Type="http://schemas.openxmlformats.org/officeDocument/2006/relationships/hyperlink" Target="https://pfakt.ru/catalog/machty_sektsionnye/882/?ysclid=mi5yoly46465743952" TargetMode="External"/><Relationship Id="rId38" Type="http://schemas.openxmlformats.org/officeDocument/2006/relationships/hyperlink" Target="https://www.lanmark.ru/catalog/sks/grozozashchita/grozozashchita-75om-0-2150mgts-2-5ka/?ysclid=mi5zv6ctlw2342856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kp-inform.ru/contact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e-kc.ru/cena/cable-kpsvvng-lsltx-1-2-1?ysclid=mi747wmzaw282662092" TargetMode="External"/><Relationship Id="rId7" Type="http://schemas.openxmlformats.org/officeDocument/2006/relationships/drawing" Target="../drawings/drawing12.xml"/><Relationship Id="rId2" Type="http://schemas.openxmlformats.org/officeDocument/2006/relationships/hyperlink" Target="https://tdatm.ru/catalog/chasifikatsiya/chasy_pervichno_vtorichnye/chasovaya_stantsiya_pik_2m4002.html?ysclid=mi73sdlz7x334839465" TargetMode="External"/><Relationship Id="rId1" Type="http://schemas.openxmlformats.org/officeDocument/2006/relationships/hyperlink" Target="https://td-automatika.ru/catalog/vremya_i_chastota/pik_2m_4002_chasovaya_stantsiya/?ysclid=mi73phhja2153078341" TargetMode="External"/><Relationship Id="rId6" Type="http://schemas.openxmlformats.org/officeDocument/2006/relationships/printerSettings" Target="../printerSettings/printerSettings12.bin"/><Relationship Id="rId5" Type="http://schemas.openxmlformats.org/officeDocument/2006/relationships/hyperlink" Target="https://silovoycable.ru/cable-kpsvvng-a-lsltx-1x2x1-cena?ysclid=mi7489tni5692368187" TargetMode="External"/><Relationship Id="rId4" Type="http://schemas.openxmlformats.org/officeDocument/2006/relationships/hyperlink" Target="https://timestroy.moscow/catalog/elektrika/kabel_i_provod/kps/kpsvvng_a_lsltx_1x2x1/?ysclid=mi74879ruz540195684"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nwht.ru/catalog/marshrutizatory_i_kommutatory/kommutator_eltex_mes2300_24_ac.html" TargetMode="External"/><Relationship Id="rId18" Type="http://schemas.openxmlformats.org/officeDocument/2006/relationships/hyperlink" Target="https://www.redutsb.ru/product/osnovo-sp-ip161000pr/" TargetMode="External"/><Relationship Id="rId26" Type="http://schemas.openxmlformats.org/officeDocument/2006/relationships/hyperlink" Target="https://bast.ru/products/skat-ups-3000-rack-on-6x9?ysclid=mi7im8sybm433030421" TargetMode="External"/><Relationship Id="rId39" Type="http://schemas.openxmlformats.org/officeDocument/2006/relationships/hyperlink" Target="https://komtel.su/catalog/opticheskiy_kabel_svyazi/vnutriobektovyy/3386/?ysclid=mi8k372wy5918020874" TargetMode="External"/><Relationship Id="rId21" Type="http://schemas.openxmlformats.org/officeDocument/2006/relationships/hyperlink" Target="https://www.regard.ru/product/727732/monitor-rdw-computers-27-rdw2701k-f00v0100v2a1?utm_source=yandex&amp;utm_medium=cpc" TargetMode="External"/><Relationship Id="rId34" Type="http://schemas.openxmlformats.org/officeDocument/2006/relationships/hyperlink" Target="https://www.t-save.ru/catalog/sks/itk_pp48_1uc5eu_d05h_1u_patch_panel_kat_5e_utp_48_portov_dual_idc_vysokoy_plotnosti/?ysclid=mi8ii9nn3e512384975" TargetMode="External"/><Relationship Id="rId42" Type="http://schemas.openxmlformats.org/officeDocument/2006/relationships/hyperlink" Target="https://domodedovo.artem-tools.ru/catalog/elektrika-i-svet/kabeli-slabotochnye/kabel-parlan-u-utp-cat-5e-pvcls-ng_664503/" TargetMode="External"/><Relationship Id="rId7" Type="http://schemas.openxmlformats.org/officeDocument/2006/relationships/hyperlink" Target="https://videoglaz.ru/kupolnye-ip-kamery/trassir/trassir-tr-d2d2-v227-135-mm?ysclid=mi772hv88r586509249" TargetMode="External"/><Relationship Id="rId2" Type="http://schemas.openxmlformats.org/officeDocument/2006/relationships/hyperlink" Target="https://secumarket.ru/product/trassir-tr-d2121cl3-4mm-232239?etext=2202.h8Tj6M2MrkEgS8aWg_OBwnubzSLmGExln-SvVujg6mZiZ2h5Zm5qb3piaWRzeXlv.86c472d53a320bbdea59d3696e89f770bd73f82b&amp;yclid=13010734546087313407&amp;ybaip=1" TargetMode="External"/><Relationship Id="rId16" Type="http://schemas.openxmlformats.org/officeDocument/2006/relationships/hyperlink" Target="https://telecom.store/opticheskie-moduli/fang-hang/modul-fh-s8512cdl05-1g-dvuhvolokonnyy-sx-550m/" TargetMode="External"/><Relationship Id="rId29" Type="http://schemas.openxmlformats.org/officeDocument/2006/relationships/hyperlink" Target="https://videoglaz.ru/opticheskie-boksy-1/itk/itk-fobx24-1u-24lcud03" TargetMode="External"/><Relationship Id="rId1" Type="http://schemas.openxmlformats.org/officeDocument/2006/relationships/hyperlink" Target="https://www.dssl.ru/products/tr-d2121cl3-4-mm-ip-kamera/?ysclid=mi76l088y022137153" TargetMode="External"/><Relationship Id="rId6" Type="http://schemas.openxmlformats.org/officeDocument/2006/relationships/hyperlink" Target="https://ns-t.ru/ns-lp-1gp-d.html" TargetMode="External"/><Relationship Id="rId11" Type="http://schemas.openxmlformats.org/officeDocument/2006/relationships/hyperlink" Target="https://www.tinko.ru/catalog/product/296476/" TargetMode="External"/><Relationship Id="rId24" Type="http://schemas.openxmlformats.org/officeDocument/2006/relationships/hyperlink" Target="https://knsrussia.kns.ru/product/ibp-bastion-skat-ups-3000-rack-on-6x9/?utm_source=direct.yandex-tovarnaya&amp;utm_medium=cpc&amp;utm_term=---autotargeting&amp;utm_campaign=yamarketdbs&amp;etext=&amp;yclid=10997083177990750207&amp;ybaip=1" TargetMode="External"/><Relationship Id="rId32" Type="http://schemas.openxmlformats.org/officeDocument/2006/relationships/hyperlink" Target="https://pek24.ru/k_kross_ukomplektovannyy_1u_lc_duplex_8_portov_om3_itk_fobx24_1u_8lcud03/" TargetMode="External"/><Relationship Id="rId37" Type="http://schemas.openxmlformats.org/officeDocument/2006/relationships/hyperlink" Target="https://santeh-mos.ru/catalog/panel-kommutatsionnaya-mednaya/patch-panel-1u-kat-5e-utp-24-porta-dual-idc-itk-pp24-1uc5eu-d05/?ysclid=mi8iodr3ab950942217" TargetMode="External"/><Relationship Id="rId40" Type="http://schemas.openxmlformats.org/officeDocument/2006/relationships/hyperlink" Target="https://nk-groupltd.ru/shop/opticheskij-kabel/kabel-dlya-vnutrennej-prokladki-distribution/obr-v-nga-hf-8-g-657-a1-vnutrennij-negoryuchij-odn/?ysclid=mi8k67cn3p951854606" TargetMode="External"/><Relationship Id="rId45" Type="http://schemas.openxmlformats.org/officeDocument/2006/relationships/printerSettings" Target="../printerSettings/printerSettings13.bin"/><Relationship Id="rId5" Type="http://schemas.openxmlformats.org/officeDocument/2006/relationships/hyperlink" Target="https://videoglaz.ru/grozozaschita-cepey-upravleniya-i-ip-setey/nst/nst-ns-lp-1gp-d?ysclid=mi76wtm8sr849280056" TargetMode="External"/><Relationship Id="rId15" Type="http://schemas.openxmlformats.org/officeDocument/2006/relationships/hyperlink" Target="https://ipilot.store/product/eltex-kommutator-24-porta-1g-poe-4-porta-10g-mes2300-24p/" TargetMode="External"/><Relationship Id="rId23" Type="http://schemas.openxmlformats.org/officeDocument/2006/relationships/hyperlink" Target="https://neramsc.ru/catalog/kompyutery-i-orgtekhnika/monitory/monitor-rdw-computers-rdw-2701k/?ysclid=mi7htgdh7g267837065" TargetMode="External"/><Relationship Id="rId28" Type="http://schemas.openxmlformats.org/officeDocument/2006/relationships/hyperlink" Target="https://www.kns.ru/product/batareya-dlya-ups-bastion-skat-bc-72-18s3-rack/?utm_source=direct.yandexVSE&amp;utm_term=---autotargeting&amp;etext=&amp;yclid=9321753827703783423&amp;ybaip=1" TargetMode="External"/><Relationship Id="rId36" Type="http://schemas.openxmlformats.org/officeDocument/2006/relationships/hyperlink" Target="https://www.lanmark.ru/catalog/sks/kommutatsionnye-patch-paneli/patch-panel-48-portov/5e-kategoriya/1u-patch-panel-kat-5e-utp-48-pt-dual-idc-vysokoy-plotnosti/?ysclid=mi8iiedh4y336310607" TargetMode="External"/><Relationship Id="rId10" Type="http://schemas.openxmlformats.org/officeDocument/2006/relationships/hyperlink" Target="https://security-master.ru/catalog/videonablyudenie/videoregistrator_dlya_sistem_videonablyudeniya/2869/?ysclid=mi79soovao306306725" TargetMode="External"/><Relationship Id="rId19" Type="http://schemas.openxmlformats.org/officeDocument/2006/relationships/hyperlink" Target="https://www.vse-elementarno.ru/dlja-tv-s-diagonalu-menshe-26/2730-kronshteyn-kromax-dix-15-chernyy-4640016630097.html?ysclid=mi7h741d8946829270" TargetMode="External"/><Relationship Id="rId31" Type="http://schemas.openxmlformats.org/officeDocument/2006/relationships/hyperlink" Target="https://www.tinko.ru/catalog/product/312366/" TargetMode="External"/><Relationship Id="rId44" Type="http://schemas.openxmlformats.org/officeDocument/2006/relationships/hyperlink" Target="https://zakupki44fz.ru/app/okpd2/26.30.11.110" TargetMode="External"/><Relationship Id="rId4" Type="http://schemas.openxmlformats.org/officeDocument/2006/relationships/hyperlink" Target="https://cybernetworks.ru/product/nst-ns-lp-1gp-d/?etext=&amp;yclid=4766061945666666495&amp;ybaip=1" TargetMode="External"/><Relationship Id="rId9" Type="http://schemas.openxmlformats.org/officeDocument/2006/relationships/hyperlink" Target="https://csbpro.ru/catalog/videoregistratory/ultrastation_24_10_256_ip_registrator_do_256_kanalov/?ysclid=mi799cynu5893406492" TargetMode="External"/><Relationship Id="rId14" Type="http://schemas.openxmlformats.org/officeDocument/2006/relationships/hyperlink" Target="https://deviceden.ru/kommutatory-do-1000mbps/eltex-mes2300-24.html" TargetMode="External"/><Relationship Id="rId22" Type="http://schemas.openxmlformats.org/officeDocument/2006/relationships/hyperlink" Target="https://spb.xcom-shop.ru/rdw_computers_rdw2701kf00v3100v2a1_1201980.html?utm_source=yandex&amp;utm_medium=goods&amp;utm_campaign=xcomshop_893794_monitory&amp;utm_content=1201980_rdw_computers_rdw2701kf00v3100v2a1&amp;utm_term=1201980" TargetMode="External"/><Relationship Id="rId27" Type="http://schemas.openxmlformats.org/officeDocument/2006/relationships/hyperlink" Target="https://videoglaz.ru/batareynye-bloki/bastion/skat-bc-72-18s3-rack-8757?ysclid=mi7izdd64453416254" TargetMode="External"/><Relationship Id="rId30" Type="http://schemas.openxmlformats.org/officeDocument/2006/relationships/hyperlink" Target="https://elgroup24.ru/d_kross_ukomplektovannyy_1u_lc_duplex_24_porta_om3_itk_fobx24_1u_24lcud03.html" TargetMode="External"/><Relationship Id="rId35" Type="http://schemas.openxmlformats.org/officeDocument/2006/relationships/hyperlink" Target="https://ielectrik.ru/product/iek_itk_1u_patch-panel_kategoriya_5e_utp_48_portov_dual_idc_vysokoy_plotnosti/?ysclid=mi8iic99n7680130275" TargetMode="External"/><Relationship Id="rId43" Type="http://schemas.openxmlformats.org/officeDocument/2006/relationships/hyperlink" Target="https://paritet.su/catalog/cat5e_u_utp_1/parlan_u_utp_cat5e_pvcls_ng_a_lsltx_4kh2kh0_52/?ysclid=mi8kht0zva942573640" TargetMode="External"/><Relationship Id="rId8" Type="http://schemas.openxmlformats.org/officeDocument/2006/relationships/hyperlink" Target="https://deviceden.ru/setevye-ip-kamery/trassir-tr-d2d2-v2-2-7-13-5-mm.html?yclid=575366249946021887" TargetMode="External"/><Relationship Id="rId3" Type="http://schemas.openxmlformats.org/officeDocument/2006/relationships/hyperlink" Target="https://videoglaz.ru/ulichnye-ip-kamery/trassir/trassir-tr-d2121cl3-4-0?ysclid=mi76lb8kff368023375" TargetMode="External"/><Relationship Id="rId12" Type="http://schemas.openxmlformats.org/officeDocument/2006/relationships/hyperlink" Target="https://ip-sol.ru/catalog/detail/trassir-etskhd-professionalnoe-po-dlya-podklyucheniya-trassir/?oID=13202" TargetMode="External"/><Relationship Id="rId17" Type="http://schemas.openxmlformats.org/officeDocument/2006/relationships/hyperlink" Target="https://cybernetworks.ru/product/ustroystvo-grozozaschity-ip-setey-osnovo-sp-ip16-1000pr/?etext=&amp;yclid=5090965288292712447&amp;ybaip=1" TargetMode="External"/><Relationship Id="rId25" Type="http://schemas.openxmlformats.org/officeDocument/2006/relationships/hyperlink" Target="https://www.regard.ru/product/690347/ibp-bastion-skat-ups-3000-rack-on-6x9" TargetMode="External"/><Relationship Id="rId33" Type="http://schemas.openxmlformats.org/officeDocument/2006/relationships/hyperlink" Target="https://electroline.ru/product/iek-fobx24-1u-8lcud03.html?ysclid=mi8ibexbg7565980530" TargetMode="External"/><Relationship Id="rId38" Type="http://schemas.openxmlformats.org/officeDocument/2006/relationships/hyperlink" Target="https://secbuy.ru/product/pp24-1uc5eu-d05-1u-24-porta-dual-patch-panel-kat-5e-utp/?ysclid=mi8ir6ke1j887874379" TargetMode="External"/><Relationship Id="rId46" Type="http://schemas.openxmlformats.org/officeDocument/2006/relationships/drawing" Target="../drawings/drawing13.xml"/><Relationship Id="rId20" Type="http://schemas.openxmlformats.org/officeDocument/2006/relationships/hyperlink" Target="https://www.chipdip.ru/product/20202-kronshteyn-kromax-dix-15-chernyy-dlya-tv-15-28-8028600229" TargetMode="External"/><Relationship Id="rId41" Type="http://schemas.openxmlformats.org/officeDocument/2006/relationships/hyperlink" Target="https://videoglaz.ru/kabeli-ethernet/paritet/paritet-parlan-u-utp-cat5e-pvcls-ng-a-lsltx-4h2h052-305m?ysclid=mi8ki0xkuz71638988"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aktivsb.ru/prod-21326.html" TargetMode="External"/><Relationship Id="rId21" Type="http://schemas.openxmlformats.org/officeDocument/2006/relationships/hyperlink" Target="https://videoglaz.ru/schityvateli-proximity/rusguard/rusguard-r15-multi-gray?ysclid=mi7fse03ca537569084" TargetMode="External"/><Relationship Id="rId42" Type="http://schemas.openxmlformats.org/officeDocument/2006/relationships/hyperlink" Target="https://videoglaz.ru/istochniki-bespereboynogo-pitaniya-220v/bastion/skat-rapan-ups-3000?ysclid=mi8j0omm1q955868094" TargetMode="External"/><Relationship Id="rId47" Type="http://schemas.openxmlformats.org/officeDocument/2006/relationships/hyperlink" Target="https://videoglaz.ru/karty-proximity/smartec/smartec-st-pc010mf?ysclid=mi8k7na1gz899901018" TargetMode="External"/><Relationship Id="rId63" Type="http://schemas.openxmlformats.org/officeDocument/2006/relationships/hyperlink" Target="https://www.bkk.su/catalog/kabelnaya_produktsiya/kabel_okhrannoy_signalizatsii/kabel_kpsvv_kpsvev/kabel_kpsvevng_a_lsltx_4x2x0_5/?ysclid=mict6xjk7z787180062" TargetMode="External"/><Relationship Id="rId68" Type="http://schemas.openxmlformats.org/officeDocument/2006/relationships/hyperlink" Target="https://atlastpk.ru/catalog/kpsvvng-a-lsltx1/kpsvvng-a-lsltx-1kh2kh1-spetskabel/?ysclid=micu1rc817942757767" TargetMode="External"/><Relationship Id="rId2" Type="http://schemas.openxmlformats.org/officeDocument/2006/relationships/hyperlink" Target="https://www.aktivsb.ru/prod-61705.html" TargetMode="External"/><Relationship Id="rId16" Type="http://schemas.openxmlformats.org/officeDocument/2006/relationships/hyperlink" Target="https://videoglaz.ru/izveschateli-magnitokontaktnye/magnito-kontakt/magnito-kontakt-io-102-2-smk-1?ysclid=mi7fg0vlne60042038" TargetMode="External"/><Relationship Id="rId29" Type="http://schemas.openxmlformats.org/officeDocument/2006/relationships/hyperlink" Target="https://rs24.ru/product/2294232?utm_referrer=https%3A%2F%2Fyandex.ru%2F" TargetMode="External"/><Relationship Id="rId11" Type="http://schemas.openxmlformats.org/officeDocument/2006/relationships/hyperlink" Target="https://www.tinko.ru/catalog/product/208484/?ysclid=mi7eet8883386510451" TargetMode="External"/><Relationship Id="rId24" Type="http://schemas.openxmlformats.org/officeDocument/2006/relationships/hyperlink" Target="https://videoglaz.ru/knopki-vyhoda/smartec/smartec-st-er115?ysclid=mi7g5p2d9199488206" TargetMode="External"/><Relationship Id="rId32" Type="http://schemas.openxmlformats.org/officeDocument/2006/relationships/hyperlink" Target="https://elektrik-shop.com/shop/goods/patch_panel_19_1U_kat5E_neekranir_24_porta_RJ45_Dual_IDC_TOKOV_ELECTRIC_TKE_PP_5E_1U_24P_UTP-139147" TargetMode="External"/><Relationship Id="rId37" Type="http://schemas.openxmlformats.org/officeDocument/2006/relationships/hyperlink" Target="https://videoglaz.ru/pribory-specialnye-i-dopolnitelnye-ustroystva/rubezh/cpiu-rubezh-isp-1?utm_source=yandex_direct_27&amp;utm_medium=cpc&amp;utm_campaign=&#1044;&#1057;&#1040;-C&#1080;&#1089;&#1090;&#1077;&#1084;&#1072;%20&#1086;&#1093;&#1088;&#1072;&#1085;&#1085;&#1086;-&#1087;&#1086;&#1078;&#1072;&#1088;&#1085;&#1086;&#1081;%20&#1089;&#1080;&#1075;&#1085;&#1072;&#1083;&#1080;&#1079;&#1072;&#1094;&#1080;&#1080;&amp;utm_content=1881100748282217637&amp;utm_term=---autotargeting&amp;region=213&amp;region_name=&#1052;&#1086;&#1089;&#1082;&#1074;&#1072;.desktop.&#1052;&#1086;&#1089;&#1082;&#1074;&#1072;.205619083150.none&amp;block=premium.1&amp;source=search.none&amp;yclid=9352245760810811391" TargetMode="External"/><Relationship Id="rId40" Type="http://schemas.openxmlformats.org/officeDocument/2006/relationships/hyperlink" Target="https://www.tinko.ru/catalog/product/283742/?ysclid=mi8izqr1wo726489446" TargetMode="External"/><Relationship Id="rId45" Type="http://schemas.openxmlformats.org/officeDocument/2006/relationships/hyperlink" Target="https://videoglaz.ru/kommutatory-do-1000mbps/rvi/rvi-1nsm16g-4h?ysclid=mi8jqw389b137616623" TargetMode="External"/><Relationship Id="rId53" Type="http://schemas.openxmlformats.org/officeDocument/2006/relationships/hyperlink" Target="https://sts-kabel.ru/catalog/kabelno_provodnikovaya_produktsiya/kabeli_silovye/kabel_vvgng_a_lsltx/kabel_vvgng_a_lsltx_1_kv_2kh1_5/?utm_source=yandex&amp;utm_medium=cpc&amp;utm_campaign=dinamicheskaya_Obshch_new_rf_114398730&amp;utm_content=1854077727808695580&amp;utm_term=---autotargeting&amp;source=none&amp;device=desktop&amp;roistat=direct2_search_1854077727808695580_---autotargeting&amp;roistat_referrer=none&amp;roistat_pos=premium_2&amp;ybaip=1&amp;yclid=895009489567350783" TargetMode="External"/><Relationship Id="rId58" Type="http://schemas.openxmlformats.org/officeDocument/2006/relationships/hyperlink" Target="https://satro-paladin.com/catalog/product/133804/?ysclid=micpsvyv4z793553184" TargetMode="External"/><Relationship Id="rId66" Type="http://schemas.openxmlformats.org/officeDocument/2006/relationships/hyperlink" Target="https://secbuy.ru/product/kpsvvng-a-ls-1kh2kh0-75-spetskabel-kabel-dlya-sistem-pozharnoy-i-okhrannoy-signalizatsii-s-ponizhenn/?ysclid=mictmc83n4619099414" TargetMode="External"/><Relationship Id="rId74" Type="http://schemas.openxmlformats.org/officeDocument/2006/relationships/drawing" Target="../drawings/drawing14.xml"/><Relationship Id="rId5" Type="http://schemas.openxmlformats.org/officeDocument/2006/relationships/hyperlink" Target="https://www.aktivsb.ru/prod-61704.html" TargetMode="External"/><Relationship Id="rId61" Type="http://schemas.openxmlformats.org/officeDocument/2006/relationships/hyperlink" Target="https://msk.t-save.ru/catalog/kabel_provod/kpsvvng_a_lsltx_4kh2kh0_5_spetskabel/?ysclid=micszsoto2654414832" TargetMode="External"/><Relationship Id="rId19" Type="http://schemas.openxmlformats.org/officeDocument/2006/relationships/hyperlink" Target="https://satro-paladin.com/catalog/product/169742/?ysclid=mi7fly2xly748749496" TargetMode="External"/><Relationship Id="rId14" Type="http://schemas.openxmlformats.org/officeDocument/2006/relationships/hyperlink" Target="https://videoglaz.ru/izveschateli-magnitokontaktnye/magnito-kontakt/magnito-kontakt-io-102-26-isp00-ayaks?utm_source=yandex_direct_27&amp;utm_medium=cpc&amp;utm_campaign=&#1044;&#1057;&#1040;-C&#1080;&#1089;&#1090;&#1077;&#1084;&#1072;%20&#1086;&#1093;&#1088;&#1072;&#1085;&#1085;&#1086;-&#1087;&#1086;&#1078;&#1072;&#1088;&#1085;&#1086;&#1081;%20&#1089;&#1080;&#1075;&#1085;&#1072;&#1083;&#1080;&#1079;&#1072;&#1094;&#1080;&#1080;&amp;utm_content=1881100748282217637&amp;utm_term=---autotargeting&amp;region=213&amp;region_name=&#1052;&#1086;&#1089;&#1082;&#1074;&#1072;.desktop.&#1052;&#1086;&#1089;&#1082;&#1074;&#1072;.205619083150.none&amp;block=other.1&amp;source=search.yandex.ru&amp;yclid=11296529709190610943" TargetMode="External"/><Relationship Id="rId22" Type="http://schemas.openxmlformats.org/officeDocument/2006/relationships/hyperlink" Target="https://satro-paladin.com/catalog/product/15166/?ysclid=mi7g3ej865750602912" TargetMode="External"/><Relationship Id="rId27" Type="http://schemas.openxmlformats.org/officeDocument/2006/relationships/hyperlink" Target="https://www.etm.ru/cat/nn/221279?ysclid=mi7gcpvzz7875985393" TargetMode="External"/><Relationship Id="rId30" Type="http://schemas.openxmlformats.org/officeDocument/2006/relationships/hyperlink" Target="https://intekelectro.ru/catalog/product/533279/?ysclid=mi7gr62jaq442235708" TargetMode="External"/><Relationship Id="rId35" Type="http://schemas.openxmlformats.org/officeDocument/2006/relationships/hyperlink" Target="https://effect-nn.ru/show_8668.htm?ysclid=mhoizbky1w714493398" TargetMode="External"/><Relationship Id="rId43" Type="http://schemas.openxmlformats.org/officeDocument/2006/relationships/hyperlink" Target="https://videotechnology.ru/s/cctv/rvi_cctv/rvi-1nsm16g-4h_rvigroup-detail?ysclid=mi8jw48mi5704631294" TargetMode="External"/><Relationship Id="rId48" Type="http://schemas.openxmlformats.org/officeDocument/2006/relationships/hyperlink" Target="https://www.aktivsb.ru/prod-17580.html" TargetMode="External"/><Relationship Id="rId56" Type="http://schemas.openxmlformats.org/officeDocument/2006/relationships/hyperlink" Target="https://www.beward.ru/katalog/ip-videodomofony/ustrojstva/sm400w/?ysclid=micp7sjnfr943252313" TargetMode="External"/><Relationship Id="rId64" Type="http://schemas.openxmlformats.org/officeDocument/2006/relationships/hyperlink" Target="https://atlastpk.ru/catalog/kpsvvng-a-lsltx1/kpsvvng-a-lsltx-1kh2kh0-75-spetskabel/?ysclid=mictiwsp9f508801055" TargetMode="External"/><Relationship Id="rId69" Type="http://schemas.openxmlformats.org/officeDocument/2006/relationships/hyperlink" Target="https://skl-trade.ru/kpsvvng-a-ls-1kh2kh1-0-spetskabel?ysclid=micuaqzvvz689011671" TargetMode="External"/><Relationship Id="rId8" Type="http://schemas.openxmlformats.org/officeDocument/2006/relationships/hyperlink" Target="https://sbmall.ru/718/9821510D-CBF5-297C-00C8-3CDAA176CD88/1959/500628/?ysclid=mi7dslhhak311551615" TargetMode="External"/><Relationship Id="rId51" Type="http://schemas.openxmlformats.org/officeDocument/2006/relationships/hyperlink" Target="https://videoglaz.ru/kabeli-ethernet/rexant/kabel-vitaya-para-u-utp-cat-5e-ng-a-lsltx-4h2h052mm-24awg-indoor-solid-zelenyy-305m-rexant?ysclid=mi8ombe0ml457500122" TargetMode="External"/><Relationship Id="rId72" Type="http://schemas.openxmlformats.org/officeDocument/2006/relationships/hyperlink" Target="https://www.chipdip.ru/product/loutoks-20ng-a-frlsltx-1x2x0-5-kabel-dlya-sistem-spetskabel-8038494244" TargetMode="External"/><Relationship Id="rId3" Type="http://schemas.openxmlformats.org/officeDocument/2006/relationships/hyperlink" Target="https://www.redutsb.ru/product/rubegh-str20-ip-269652/" TargetMode="External"/><Relationship Id="rId12" Type="http://schemas.openxmlformats.org/officeDocument/2006/relationships/hyperlink" Target="https://videoglaz.ru/zamok-elektromagnitnyy/aler/aler-al-400-premiumseryy?ysclid=mi7eg0v533890873599" TargetMode="External"/><Relationship Id="rId17" Type="http://schemas.openxmlformats.org/officeDocument/2006/relationships/hyperlink" Target="https://www.tinko.ru/catalog/product/001001/?ysclid=mi7fic9k3y208200730" TargetMode="External"/><Relationship Id="rId25" Type="http://schemas.openxmlformats.org/officeDocument/2006/relationships/hyperlink" Target="https://www.tinko.ru/catalog/product/072248/?ysclid=mi7gaeg6ik708590933" TargetMode="External"/><Relationship Id="rId33" Type="http://schemas.openxmlformats.org/officeDocument/2006/relationships/hyperlink" Target="https://dinastyasnab.ru/shop/goods/patch_panel_19_1U_kat5E_neekranir_24_porta_RJ45_Dual_IDC_TOKOV_ELECTRIC_TKE_PP_5E_1U_24P_UTP-142101" TargetMode="External"/><Relationship Id="rId38" Type="http://schemas.openxmlformats.org/officeDocument/2006/relationships/hyperlink" Target="https://satro-paladin.com/catalog/product/203093/?ysclid=mi8he7fbp87997434" TargetMode="External"/><Relationship Id="rId46" Type="http://schemas.openxmlformats.org/officeDocument/2006/relationships/hyperlink" Target="https://www.tinko.ru/catalog/product/229355/?ysclid=mi8k7hk9iz144952987" TargetMode="External"/><Relationship Id="rId59" Type="http://schemas.openxmlformats.org/officeDocument/2006/relationships/hyperlink" Target="https://www.beward-shop.ru/ip-videodomofons/domofon-panel/beward-ds06ap-ip-videodomofon-poe/?ysclid=micpuvcvjf901165574" TargetMode="External"/><Relationship Id="rId67" Type="http://schemas.openxmlformats.org/officeDocument/2006/relationships/hyperlink" Target="https://svetelektro.net/cable-wire/7570716-spetskabel.html" TargetMode="External"/><Relationship Id="rId20" Type="http://schemas.openxmlformats.org/officeDocument/2006/relationships/hyperlink" Target="https://www.tinko.ru/catalog/product/280368/?ysclid=mi7fp39dl8654859445" TargetMode="External"/><Relationship Id="rId41" Type="http://schemas.openxmlformats.org/officeDocument/2006/relationships/hyperlink" Target="https://satro-paladin.com/catalog/product/178889/?ysclid=mi8j08niqs921858783" TargetMode="External"/><Relationship Id="rId54" Type="http://schemas.openxmlformats.org/officeDocument/2006/relationships/hyperlink" Target="https://www.etm.ru/cat/nn/2825254?utm_source=yandex&amp;utm_medium=yandex_search&amp;ysclid=mi8oyhozw2760718229" TargetMode="External"/><Relationship Id="rId62" Type="http://schemas.openxmlformats.org/officeDocument/2006/relationships/hyperlink" Target="https://optcable.ru/catalog/iem-6766896-kabel-kpsvvng-a-lsltx-4kh2kh0-5/?ysclid=mict0ad9lz22442367" TargetMode="External"/><Relationship Id="rId70" Type="http://schemas.openxmlformats.org/officeDocument/2006/relationships/hyperlink" Target="https://atlastpk.ru/catalog/loutoks-20ng-a-frlsltx/loutoks-20ng-a-frlsltx-1kh2kh0-5-spetskabel/?ysclid=micufgc429859566186" TargetMode="External"/><Relationship Id="rId1" Type="http://schemas.openxmlformats.org/officeDocument/2006/relationships/hyperlink" Target="https://satro-paladin.com/catalog/product/178882/?ysclid=mi7cf9zipb934816772" TargetMode="External"/><Relationship Id="rId6" Type="http://schemas.openxmlformats.org/officeDocument/2006/relationships/hyperlink" Target="https://satro-paladin.com/catalog/product/178883/?utm_source=InHouse-yandex&amp;utm_medium=cpc&amp;utm_campaign=eLama%20%7C%20&#1058;&#1086;&#1074;&#1072;&#1088;&#1085;&#1072;&#1103;%20%7C%20&#1042;&#1089;&#1077;%20&#1082;&#1072;&#1090;&#1077;&#1075;&#1086;&#1088;&#1080;&#1080;%20%7C%20&#1054;&#1087;&#1083;&#1072;&#1090;&#1072;%20&#1079;&#1072;%20&#1082;&#1083;&#1080;&#1082;&#1080;%20%7C%20&#1056;&#1060;&amp;utm_content=cid%7C116808275%7Cgid%7C5523346548%7Caid%7C16721266298%7Cadp%7Cno%7Cdvc%7Cdesktop%7Cpid%7C53953368071%7Crid%7C53953368071%7Cdid%7C53953368071%7Cpos%7Cother2%7Cadn%7Csearch%7Ccrid%7C0%7C&amp;utm_term=---autotargeting&amp;ybaip=1&amp;yclid=7575150345693429759" TargetMode="External"/><Relationship Id="rId15" Type="http://schemas.openxmlformats.org/officeDocument/2006/relationships/hyperlink" Target="https://www.chipdip.ru/product/io-102-26-isp-00-ayaks-izveschatel-ohrannyy-magnito-kontakt-8794241420" TargetMode="External"/><Relationship Id="rId23" Type="http://schemas.openxmlformats.org/officeDocument/2006/relationships/hyperlink" Target="https://www.tinko.ru/catalog/product/221657/?ysclid=mi7g2ybgoq335549709" TargetMode="External"/><Relationship Id="rId28" Type="http://schemas.openxmlformats.org/officeDocument/2006/relationships/hyperlink" Target="https://www.chipdip.ru/product/istochnik-vtorichnogo-elektropitaniya-rubezh-8031039265" TargetMode="External"/><Relationship Id="rId36" Type="http://schemas.openxmlformats.org/officeDocument/2006/relationships/hyperlink" Target="https://www.scs-online.ru/katalog/118063.html?ysclid=mhojpjqihw955373443" TargetMode="External"/><Relationship Id="rId49" Type="http://schemas.openxmlformats.org/officeDocument/2006/relationships/hyperlink" Target="https://satro-paladin.com/catalog/product/91114/?ysclid=mi8mfwezbl996867895" TargetMode="External"/><Relationship Id="rId57" Type="http://schemas.openxmlformats.org/officeDocument/2006/relationships/hyperlink" Target="https://www.tinko.ru/catalog/product/336862/?ysclid=micp857nqg274294691" TargetMode="External"/><Relationship Id="rId10" Type="http://schemas.openxmlformats.org/officeDocument/2006/relationships/hyperlink" Target="https://satro-paladin.com/catalog/product/4402/?ysclid=mi7edweoom737933813" TargetMode="External"/><Relationship Id="rId31" Type="http://schemas.openxmlformats.org/officeDocument/2006/relationships/hyperlink" Target="https://secumarket.ru/product/patch-panel-19-1u-kat-5e-neekranir-24-porta-rj45-dual-idc-tokov-electric-tke-pp-5e-1u-24p-utp-742824" TargetMode="External"/><Relationship Id="rId44" Type="http://schemas.openxmlformats.org/officeDocument/2006/relationships/hyperlink" Target="https://vt-shop.ru/product/setevoy-kommutator-rvi-1nsm16g-4h/?ysclid=mi8jxrsn3j435542032" TargetMode="External"/><Relationship Id="rId52" Type="http://schemas.openxmlformats.org/officeDocument/2006/relationships/hyperlink" Target="https://shop220.ru/vvgnga-lslth-2h15-ok-1-kabel-silovoy-vvgnga-lslth-2h15-ok-1-konkord.htm?ysclid=mi8oxa6zjs975491786" TargetMode="External"/><Relationship Id="rId60" Type="http://schemas.openxmlformats.org/officeDocument/2006/relationships/hyperlink" Target="https://www.tinko.ru/catalog/product/282041/?ysclid=micpzj9vds108437565" TargetMode="External"/><Relationship Id="rId65" Type="http://schemas.openxmlformats.org/officeDocument/2006/relationships/hyperlink" Target="https://skl-trade.ru/kpsvvng-a-lsltx-1kh2kh0-75-spetskabel?ysclid=mictjan6ze893056090" TargetMode="External"/><Relationship Id="rId73" Type="http://schemas.openxmlformats.org/officeDocument/2006/relationships/printerSettings" Target="../printerSettings/printerSettings14.bin"/><Relationship Id="rId4" Type="http://schemas.openxmlformats.org/officeDocument/2006/relationships/hyperlink" Target="https://videoglaz.ru/avtonomnye-kontrollery/rubezh/rubezh-modul-dostupa-str-1ap?ysclid=mi7d8mjfpr995295683" TargetMode="External"/><Relationship Id="rId9" Type="http://schemas.openxmlformats.org/officeDocument/2006/relationships/hyperlink" Target="https://kineticshop.ru/catalog/sistemy_bezopasnosti/465334/?ysclid=mi7drs17as686452551" TargetMode="External"/><Relationship Id="rId13" Type="http://schemas.openxmlformats.org/officeDocument/2006/relationships/hyperlink" Target="https://satro-paladin.com/catalog/product/6529/?ysclid=mi7ep1bd8g866625318" TargetMode="External"/><Relationship Id="rId18" Type="http://schemas.openxmlformats.org/officeDocument/2006/relationships/hyperlink" Target="https://www.etm.ru/cat/nn/8893298?utm_source=yandex&amp;utm_medium=yandex_search&amp;ysclid=mi7fjokx9i244476785" TargetMode="External"/><Relationship Id="rId39" Type="http://schemas.openxmlformats.org/officeDocument/2006/relationships/hyperlink" Target="https://all-bez.ru/catalog/tsentralnyy-pribor-indikatsii-i-upravleniya-tspiu-rubezh-isp-1/" TargetMode="External"/><Relationship Id="rId34" Type="http://schemas.openxmlformats.org/officeDocument/2006/relationships/hyperlink" Target="https://alphanets.ru/catalog/maxys-mx-cmc-1u-45-b-kabelnyy-organayzer-s-metallicheskimi-ko?ysclid=mhoj578sqy429408402" TargetMode="External"/><Relationship Id="rId50" Type="http://schemas.openxmlformats.org/officeDocument/2006/relationships/hyperlink" Target="https://rexant-shop.ru/product/rexant-01-0061/126785?ysclid=mi8on9ch2q561575584" TargetMode="External"/><Relationship Id="rId55" Type="http://schemas.openxmlformats.org/officeDocument/2006/relationships/hyperlink" Target="https://satro-paladin.com/catalog/product/296309/?ysclid=micp7jyrcm713880350" TargetMode="External"/><Relationship Id="rId7" Type="http://schemas.openxmlformats.org/officeDocument/2006/relationships/hyperlink" Target="https://www.etm.ru/cat/nn/6995962?ysclid=mi7djhsoli482867172" TargetMode="External"/><Relationship Id="rId71" Type="http://schemas.openxmlformats.org/officeDocument/2006/relationships/hyperlink" Target="https://skl-trade.ru/loutoks-20ng-a-frlsltx-1kh2kh0-5-spetskabel?ysclid=micugunhla17676984"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aktivsb.ru/prod-35357.html" TargetMode="External"/><Relationship Id="rId18" Type="http://schemas.openxmlformats.org/officeDocument/2006/relationships/hyperlink" Target="https://pek24.ru/k_istochnik_vtorichnogo_elektropitaniya_rezervirovannyy_adresnyy_ivepr_12_2_rs_r3_isp_2kh12_br_rubezh_rbz_216597/" TargetMode="External"/><Relationship Id="rId26" Type="http://schemas.openxmlformats.org/officeDocument/2006/relationships/hyperlink" Target="https://www.aktivsb.ru/prod-45691.html" TargetMode="External"/><Relationship Id="rId39" Type="http://schemas.openxmlformats.org/officeDocument/2006/relationships/hyperlink" Target="https://secumarket.ru/product/opoveshchatel-svetovoy-elektrotehnika-i-avtomatika-mayak-12-s-2201" TargetMode="External"/><Relationship Id="rId21" Type="http://schemas.openxmlformats.org/officeDocument/2006/relationships/hyperlink" Target="https://teko-shop.ru/catalog/ups/akb_battery/akb/akkumulyator_delta_1207_dtm/?utm_source=yandex.ru&amp;utm_medium=organic&amp;utm_campaign=yandex.ru&amp;utm_referrer=yandex.ru" TargetMode="External"/><Relationship Id="rId34" Type="http://schemas.openxmlformats.org/officeDocument/2006/relationships/hyperlink" Target="https://pek24.ru/k_metka_adresnaya_pozharnaya_am_4_r3_rubezh_rbz_337644/" TargetMode="External"/><Relationship Id="rId42" Type="http://schemas.openxmlformats.org/officeDocument/2006/relationships/hyperlink" Target="https://g-kabel.ru/catalog/kabeli/kabel-loutoks-20ng-a-frlsltx-1kh2kh0-5-spetskabel/?ysclid=mi8vz7zb38504258754" TargetMode="External"/><Relationship Id="rId47" Type="http://schemas.openxmlformats.org/officeDocument/2006/relationships/hyperlink" Target="https://paritet.su/catalog/cat5e_u_utp_1/parlan_u_utp_cat5e_pvcls_ng_a_lsltx_1kh2kh0_52_500m/?ysclid=mi8wm1xkv4834177018" TargetMode="External"/><Relationship Id="rId50" Type="http://schemas.openxmlformats.org/officeDocument/2006/relationships/hyperlink" Target="https://electro-materiali.ru/catalog/kabel-provod/kabel-vitaya-para/182059/" TargetMode="External"/><Relationship Id="rId7" Type="http://schemas.openxmlformats.org/officeDocument/2006/relationships/hyperlink" Target="https://www.aktivsb.ru/prod-35339.html?utm_campaign=rubezh&amp;etext=&amp;yclid=6181403912451129343&amp;ybaip=1" TargetMode="External"/><Relationship Id="rId2" Type="http://schemas.openxmlformats.org/officeDocument/2006/relationships/hyperlink" Target="https://evisb.ru/product/arm-depo-peresvet-110s11?ysclid=mhosx4stbl867314707" TargetMode="External"/><Relationship Id="rId16" Type="http://schemas.openxmlformats.org/officeDocument/2006/relationships/hyperlink" Target="https://www.sokrat.ru/catalog/385/5239/?ysclid=mi8s6rtiaj630137444" TargetMode="External"/><Relationship Id="rId29" Type="http://schemas.openxmlformats.org/officeDocument/2006/relationships/hyperlink" Target="https://pek24.ru/k_izveshchatel_okhrannyy_poverkhnostnyy_zvukovoy_adresnyy_io_32920_2_akusticheskiy_razbitie_stekla_rub/" TargetMode="External"/><Relationship Id="rId11" Type="http://schemas.openxmlformats.org/officeDocument/2006/relationships/hyperlink" Target="https://&#1090;&#1077;&#1093;&#1082;&#1083;&#1102;&#1095;&#1080;.&#1088;&#1092;/catalog/okhranno-pozharnye-signalizats/ispolnitelnye-moduli/modul-sopryazheniya-rubezh-ms-e/?ysclid=mi8rspee90536692410" TargetMode="External"/><Relationship Id="rId24" Type="http://schemas.openxmlformats.org/officeDocument/2006/relationships/hyperlink" Target="https://tinko-sb.ru/products/iz-1-prot-r3-223086/?etext=&amp;yclid=15862682840135630847&amp;ybaip=1" TargetMode="External"/><Relationship Id="rId32" Type="http://schemas.openxmlformats.org/officeDocument/2006/relationships/hyperlink" Target="https://www.chipdip.ru/product/izveschatel-ohrannyy-magnitoupravlyaemyy-adresnyy-io-rubezh-8031039214" TargetMode="External"/><Relationship Id="rId37" Type="http://schemas.openxmlformats.org/officeDocument/2006/relationships/hyperlink" Target="https://teko-shop.ru/catalog/ops/izveshchateli_kontaktnye/trevozhnye_knopki/astra_321/?utm_source=yandex.ru&amp;utm_campaing=tvrn_all&amp;utm_term=---autotargeting&amp;utm_region_name=&#1052;&#1086;&#1089;&#1082;&#1074;&#1072;&amp;utm_medium=%7Bmedium%7D&amp;etext=&amp;yclid=4698943801666568191&amp;ybaip=1" TargetMode="External"/><Relationship Id="rId40" Type="http://schemas.openxmlformats.org/officeDocument/2006/relationships/hyperlink" Target="https://www.tinko.ru/catalog/product/019048/?ysclid=mi8urr07uk970580412" TargetMode="External"/><Relationship Id="rId45" Type="http://schemas.openxmlformats.org/officeDocument/2006/relationships/hyperlink" Target="https://videoglaz.ru/kabel-ohranno-pozharnyy/paritet/paritet-ksvvng-a-lsltx-1h2h08-200m-1?ysclid=mi8w7alc2530652152" TargetMode="External"/><Relationship Id="rId53" Type="http://schemas.openxmlformats.org/officeDocument/2006/relationships/printerSettings" Target="../printerSettings/printerSettings15.bin"/><Relationship Id="rId5" Type="http://schemas.openxmlformats.org/officeDocument/2006/relationships/hyperlink" Target="https://likesoft24.com/product/REDOS-DSP-STD-BAS-VDI/" TargetMode="External"/><Relationship Id="rId10" Type="http://schemas.openxmlformats.org/officeDocument/2006/relationships/hyperlink" Target="https://www.aktivsb.ru/prod-35328.html" TargetMode="External"/><Relationship Id="rId19" Type="http://schemas.openxmlformats.org/officeDocument/2006/relationships/hyperlink" Target="https://pro-tek.pro/catalog/ivepr-12-2-rs-r3-2h12-br.html?ysclid=mi8sz2rabm796274039" TargetMode="External"/><Relationship Id="rId31" Type="http://schemas.openxmlformats.org/officeDocument/2006/relationships/hyperlink" Target="https://videoglaz.ru/izveschateli-magnitokontaktnye/rubezh/rubezh-io-10220-2-prot-r3?ysclid=mi8u7h7ajb563788756" TargetMode="External"/><Relationship Id="rId44" Type="http://schemas.openxmlformats.org/officeDocument/2006/relationships/hyperlink" Target="https://benitex.ru/products/good/42410/?ysclid=mi8w70tkp042824701" TargetMode="External"/><Relationship Id="rId52" Type="http://schemas.openxmlformats.org/officeDocument/2006/relationships/hyperlink" Target="https://www.promelec.ru/product/1033380/" TargetMode="External"/><Relationship Id="rId4" Type="http://schemas.openxmlformats.org/officeDocument/2006/relationships/hyperlink" Target="https://videoglaz.ru/istochniki-bespereboynogo-pitaniya-220v/ippon/ippon-back-basic-1050s-euro-1373878" TargetMode="External"/><Relationship Id="rId9" Type="http://schemas.openxmlformats.org/officeDocument/2006/relationships/hyperlink" Target="https://&#1090;&#1077;&#1093;&#1082;&#1083;&#1102;&#1095;&#1080;.&#1088;&#1092;/catalog/okhranno-pozharnye-signalizats/priemno-kontrolnye-pribory/pribor-priemno-kontrolnyy-rubezh-rubezh-2op-prot-r3/?ysclid=mi8rm54u9b717790154" TargetMode="External"/><Relationship Id="rId14" Type="http://schemas.openxmlformats.org/officeDocument/2006/relationships/hyperlink" Target="https://videoglaz.ru/ops-rubezh/rubezh/r3-rubezh-biu?ysclid=mi8s3rwpff478131559" TargetMode="External"/><Relationship Id="rId22" Type="http://schemas.openxmlformats.org/officeDocument/2006/relationships/hyperlink" Target="https://pek24.ru/k_modul_releynyy_rm_1_r3_rubezh_rbz_337646/" TargetMode="External"/><Relationship Id="rId27" Type="http://schemas.openxmlformats.org/officeDocument/2006/relationships/hyperlink" Target="https://videoglaz.ru/izveschateli-optiko-elektronnye-passivnye/rubezh/rubezh-io-40920-2-prot-r3?ysclid=mi8u1t66bz966238668" TargetMode="External"/><Relationship Id="rId30" Type="http://schemas.openxmlformats.org/officeDocument/2006/relationships/hyperlink" Target="https://www.chipdip.ru/product/izveschatel-ohrannyy-poverhnostnyy-zvukovoy-adresnyy-rubezh-8031039213" TargetMode="External"/><Relationship Id="rId35" Type="http://schemas.openxmlformats.org/officeDocument/2006/relationships/hyperlink" Target="https://satro-paladin.com/catalog/product/6562/?ysclid=mi8un4pn3t809162660" TargetMode="External"/><Relationship Id="rId43" Type="http://schemas.openxmlformats.org/officeDocument/2006/relationships/hyperlink" Target="https://atlastpk.ru/catalog/loutoks-20ng-a-frlsltx/loutoks-20ng-a-frlsltx-1kh2kh0-5-spetskabel/?ysclid=mi8vz9n6at119730538" TargetMode="External"/><Relationship Id="rId48" Type="http://schemas.openxmlformats.org/officeDocument/2006/relationships/hyperlink" Target="https://hikvision24.ru/kabel-dlya-videonabludeniya/parlan-uutp-cat5e-pvcls-nga-lsltx-1kh2kh052/" TargetMode="External"/><Relationship Id="rId8" Type="http://schemas.openxmlformats.org/officeDocument/2006/relationships/hyperlink" Target="https://videoglaz.ru/ops-rubezh/rubezh/ppkop-011249-2-1-rubezh-2op-prot-r3?ysclid=mi8rk0syeb994784557" TargetMode="External"/><Relationship Id="rId51" Type="http://schemas.openxmlformats.org/officeDocument/2006/relationships/hyperlink" Target="https://videoglaz.ru/kabeli-ethernet/paritet/paritet-parlan-u-utp-cat5e-pvcls-ng-a-lsltx-4h2h052-305m" TargetMode="External"/><Relationship Id="rId3" Type="http://schemas.openxmlformats.org/officeDocument/2006/relationships/hyperlink" Target="https://www.tinko.ru/catalog/product/303588/?ysclid=mi8qt8igeq849333485" TargetMode="External"/><Relationship Id="rId12" Type="http://schemas.openxmlformats.org/officeDocument/2006/relationships/hyperlink" Target="https://&#1090;&#1077;&#1093;&#1082;&#1083;&#1102;&#1095;&#1080;.&#1088;&#1092;/catalog/okhranno-pozharnye-signalizats/priemno-kontrolnye-pribory/blok-indikatsii-i-upravleniya-rubezh-r3-rubezh-biu/?ysclid=mi8s3eo2q25856932" TargetMode="External"/><Relationship Id="rId17" Type="http://schemas.openxmlformats.org/officeDocument/2006/relationships/hyperlink" Target="https://www.chipdip.ru/product/pritok-a-kop-01-isp-1-ustroystvo-okonechnoe-sokrat-8044033656" TargetMode="External"/><Relationship Id="rId25" Type="http://schemas.openxmlformats.org/officeDocument/2006/relationships/hyperlink" Target="https://videoglaz.ru/ops-rubezh/rubezh/rubezh-iz-1-r3?ysclid=mi8tgohxv522748226" TargetMode="External"/><Relationship Id="rId33" Type="http://schemas.openxmlformats.org/officeDocument/2006/relationships/hyperlink" Target="https://videoglaz.ru/ops-rubezh/rubezh/rubezh-am-4-r3?ysclid=mi8uag39s3362363572" TargetMode="External"/><Relationship Id="rId38" Type="http://schemas.openxmlformats.org/officeDocument/2006/relationships/hyperlink" Target="https://www.chipdip.ru/product/mayak-12-s-svetovoy-opoveschatel-8745685824" TargetMode="External"/><Relationship Id="rId46" Type="http://schemas.openxmlformats.org/officeDocument/2006/relationships/hyperlink" Target="https://svetelektro.net/cable-wire/2778699-paritet.html" TargetMode="External"/><Relationship Id="rId20" Type="http://schemas.openxmlformats.org/officeDocument/2006/relationships/hyperlink" Target="https://satro-paladin.com/catalog/product/15277/?ysclid=mi8t2g4sz5941848794" TargetMode="External"/><Relationship Id="rId41" Type="http://schemas.openxmlformats.org/officeDocument/2006/relationships/hyperlink" Target="https://silovoycable.ru/loutoks-20ng-a-frlsltx-1x2x0.5?ysclid=mi8vz4qgai534710904" TargetMode="External"/><Relationship Id="rId54" Type="http://schemas.openxmlformats.org/officeDocument/2006/relationships/drawing" Target="../drawings/drawing15.xml"/><Relationship Id="rId1" Type="http://schemas.openxmlformats.org/officeDocument/2006/relationships/hyperlink" Target="https://k-integration.ru/product/avtomatizirovannoe-rabochee-mesto-depo-peresvet-110hhh-produkcija-izgotovlena-po-dacn-466219-021-tu/?ysclid=mi8mw7ycrr125857225" TargetMode="External"/><Relationship Id="rId6" Type="http://schemas.openxmlformats.org/officeDocument/2006/relationships/hyperlink" Target="https://cit-solution.ru/market/goods/redos_dsp_std_bas_vdi_rabochaya_stantsiya_spetsialnaya_redaktsiya_bazovaya_garantiya_1_god/?ysclid=mhsusmercy701444360" TargetMode="External"/><Relationship Id="rId15" Type="http://schemas.openxmlformats.org/officeDocument/2006/relationships/hyperlink" Target="https://videoglaz.ru/spi-pritok-a/sokrat/sokrat-pritok-a-kop-01-isp-1-bez-modema-gsm-1?ysclid=mi8s6qglyr914651949" TargetMode="External"/><Relationship Id="rId23" Type="http://schemas.openxmlformats.org/officeDocument/2006/relationships/hyperlink" Target="https://incom-elektro.ru/p-modul-releynyy-rm-1-r3-rubezh-rbz-337646/?ysclid=mi8tdv96wb456889562" TargetMode="External"/><Relationship Id="rId28" Type="http://schemas.openxmlformats.org/officeDocument/2006/relationships/hyperlink" Target="https://satro-paladin.com/catalog/product/93912/?ysclid=mi8u4fyfdh233816893" TargetMode="External"/><Relationship Id="rId36" Type="http://schemas.openxmlformats.org/officeDocument/2006/relationships/hyperlink" Target="https://www.tinko.ru/catalog/product/001041/?ysclid=mi8un78j8f122553482" TargetMode="External"/><Relationship Id="rId49" Type="http://schemas.openxmlformats.org/officeDocument/2006/relationships/hyperlink" Target="https://luis.ru/p/1493154?ysclid=mi8wm650kc179496403"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videoglaz.ru/o-rabote-s-personalnymi-dannymi-rabotnikov" TargetMode="External"/><Relationship Id="rId2" Type="http://schemas.openxmlformats.org/officeDocument/2006/relationships/hyperlink" Target="https://videoglaz.ru/o-rabote-s-personalnymi-dannymi-rabotnikov" TargetMode="External"/><Relationship Id="rId1" Type="http://schemas.openxmlformats.org/officeDocument/2006/relationships/hyperlink" Target="https://videoglaz.ru/o-rabote-s-personalnymi-dannymi-rabotnikov" TargetMode="External"/><Relationship Id="rId5" Type="http://schemas.openxmlformats.org/officeDocument/2006/relationships/drawing" Target="../drawings/drawing16.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zakupki44fz.ru/app/okpd2/28.22.11.190"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tinko.ru/catalog/product/271575/?ysclid=mcd5f8zul2164755335" TargetMode="External"/><Relationship Id="rId13" Type="http://schemas.openxmlformats.org/officeDocument/2006/relationships/hyperlink" Target="https://www.ami-com.ru/catalog/perco-wmd-05s/?ysclid=m2kg95was470560969" TargetMode="External"/><Relationship Id="rId18" Type="http://schemas.openxmlformats.org/officeDocument/2006/relationships/hyperlink" Target="https://satro-paladin.com/catalog/product/91972/?ysclid=mgusyoh3bm915462012" TargetMode="External"/><Relationship Id="rId3" Type="http://schemas.openxmlformats.org/officeDocument/2006/relationships/hyperlink" Target="https://offs.pro/metal-detectors/hand-held-metal-detectors/877.html" TargetMode="External"/><Relationship Id="rId7" Type="http://schemas.openxmlformats.org/officeDocument/2006/relationships/hyperlink" Target="https://divecon.net/catalog/detektory-vzryvchatykh-veshchestv/detektor-vzryvchatykh-veshchestv-kerber/" TargetMode="External"/><Relationship Id="rId12" Type="http://schemas.openxmlformats.org/officeDocument/2006/relationships/hyperlink" Target="https://anteycentr.ru/id/arochnyy-metallodetektor-pautina-n2-1-2016.html" TargetMode="External"/><Relationship Id="rId17" Type="http://schemas.openxmlformats.org/officeDocument/2006/relationships/hyperlink" Target="https://detsys.ru/catalog/turnikety/ograzhdeniya_polurostovye_bh02_perco_dlya_turniketov/?ysclid=m2kgbh1m9d464257541" TargetMode="External"/><Relationship Id="rId2" Type="http://schemas.openxmlformats.org/officeDocument/2006/relationships/hyperlink" Target="https://www.tinko.ru/catalog/product/259386/?ysclid=mcd3lwd8hi609614314" TargetMode="External"/><Relationship Id="rId16" Type="http://schemas.openxmlformats.org/officeDocument/2006/relationships/hyperlink" Target="https://uralvision.com/perco-bh02?ysclid=m2kgs7mnbe49866499" TargetMode="External"/><Relationship Id="rId20" Type="http://schemas.openxmlformats.org/officeDocument/2006/relationships/drawing" Target="../drawings/drawing19.xml"/><Relationship Id="rId1" Type="http://schemas.openxmlformats.org/officeDocument/2006/relationships/hyperlink" Target="https://detsys.ru/catalog/arochnye-metallodetektory/metallodetektor_panelnyy_pautina_n2_1/" TargetMode="External"/><Relationship Id="rId6" Type="http://schemas.openxmlformats.org/officeDocument/2006/relationships/hyperlink" Target="https://www.t-ss.ru/detektor-vzryvchatyh-veshestv-idd-kerber-t/" TargetMode="External"/><Relationship Id="rId11" Type="http://schemas.openxmlformats.org/officeDocument/2006/relationships/hyperlink" Target="https://secbuy.ru/product/pautina-n2-1-seryy-baz-kompl-metallodetektor-iz-dvukh-paneley/" TargetMode="External"/><Relationship Id="rId5" Type="http://schemas.openxmlformats.org/officeDocument/2006/relationships/hyperlink" Target="https://detsys.ru/catalog/obnaruzhiteli-vzryvchatyh-veshhestv/kerber_t/" TargetMode="External"/><Relationship Id="rId15" Type="http://schemas.openxmlformats.org/officeDocument/2006/relationships/hyperlink" Target="https://www.tinko.ru/catalog/product/223561/" TargetMode="External"/><Relationship Id="rId10" Type="http://schemas.openxmlformats.org/officeDocument/2006/relationships/hyperlink" Target="https://multitech.pro/katalog/prochee-oborudovanie/stol-dosmotroviy-500h400h900-mm.html?ysclid=m2kg4j28yn709830726" TargetMode="External"/><Relationship Id="rId19" Type="http://schemas.openxmlformats.org/officeDocument/2006/relationships/printerSettings" Target="../printerSettings/printerSettings19.bin"/><Relationship Id="rId4" Type="http://schemas.openxmlformats.org/officeDocument/2006/relationships/hyperlink" Target="https://udedamiti.ru/dosmotrovye-metalloiskateli/ruchnoj-sfinks-vm-611rd-20" TargetMode="External"/><Relationship Id="rId9" Type="http://schemas.openxmlformats.org/officeDocument/2006/relationships/hyperlink" Target="https://secbuy.ru/product/stol-dosmotrovyy-500kh400kh900-mm-tumba-dosmotrovaya/?ysclid=mcd5guxuys884733878" TargetMode="External"/><Relationship Id="rId14" Type="http://schemas.openxmlformats.org/officeDocument/2006/relationships/hyperlink" Target="https://satro-paladin.com/catalog/product/12911/"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zakupki44fz.ru/app/okpd2/25.99.29.1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3"/>
  <sheetViews>
    <sheetView view="pageBreakPreview" topLeftCell="A85" zoomScale="55" zoomScaleNormal="59" zoomScaleSheetLayoutView="55" workbookViewId="0">
      <selection activeCell="B86" sqref="B86"/>
    </sheetView>
  </sheetViews>
  <sheetFormatPr defaultColWidth="8.7109375" defaultRowHeight="15.75" x14ac:dyDescent="0.25"/>
  <cols>
    <col min="1" max="1" width="8.140625" style="1" customWidth="1"/>
    <col min="2" max="2" width="32.28515625" style="1" customWidth="1"/>
    <col min="3" max="3" width="89.5703125" style="15" customWidth="1"/>
    <col min="4" max="4" width="49.5703125" style="15" customWidth="1"/>
    <col min="5" max="5" width="14.140625" style="16" customWidth="1"/>
    <col min="6" max="6" width="28.5703125" style="15" hidden="1" customWidth="1"/>
    <col min="7" max="7" width="28.5703125" style="15" customWidth="1"/>
    <col min="8" max="8" width="38.5703125" style="15" customWidth="1"/>
    <col min="9" max="9" width="27.5703125" style="15" customWidth="1"/>
    <col min="10" max="10" width="23.85546875" style="15" hidden="1" customWidth="1"/>
    <col min="11" max="11" width="28.5703125" style="15" customWidth="1"/>
    <col min="12" max="12" width="41.85546875" style="15" customWidth="1"/>
    <col min="13" max="13" width="25.28515625" style="15" customWidth="1"/>
    <col min="14" max="14" width="24.5703125" style="15" hidden="1" customWidth="1"/>
    <col min="15" max="15" width="28" style="15" customWidth="1"/>
    <col min="16" max="16" width="38.140625" style="15" customWidth="1"/>
    <col min="17" max="17" width="27.140625" style="17" customWidth="1"/>
    <col min="18" max="18" width="25.85546875" style="2" customWidth="1"/>
    <col min="19" max="19" width="19.5703125" style="2" customWidth="1"/>
    <col min="20" max="20" width="22.57031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ht="18.75" x14ac:dyDescent="0.25">
      <c r="C2" s="3"/>
      <c r="D2" s="3"/>
      <c r="E2" s="3"/>
      <c r="F2" s="508" t="s">
        <v>26</v>
      </c>
      <c r="G2" s="508"/>
      <c r="H2" s="508"/>
      <c r="I2" s="509"/>
      <c r="J2" s="509"/>
      <c r="K2" s="29"/>
      <c r="L2" s="26"/>
      <c r="M2" s="3"/>
      <c r="N2" s="3"/>
      <c r="O2" s="27"/>
      <c r="P2" s="24"/>
      <c r="Q2"/>
      <c r="R2"/>
      <c r="S2"/>
      <c r="T2" s="4" t="s">
        <v>0</v>
      </c>
    </row>
    <row r="3" spans="1:20" ht="18.75" x14ac:dyDescent="0.3">
      <c r="C3" s="3"/>
      <c r="D3" s="3"/>
      <c r="E3" s="3"/>
      <c r="F3" s="5"/>
      <c r="G3" s="28"/>
      <c r="H3" s="25"/>
      <c r="I3" s="6"/>
      <c r="J3" s="6"/>
      <c r="K3" s="29"/>
      <c r="L3" s="26"/>
      <c r="M3" s="3"/>
      <c r="N3" s="3"/>
      <c r="O3" s="27"/>
      <c r="P3" s="24"/>
      <c r="Q3"/>
      <c r="R3" s="510"/>
      <c r="S3" s="510"/>
      <c r="T3"/>
    </row>
    <row r="4" spans="1:20" ht="18.75" x14ac:dyDescent="0.25">
      <c r="C4" s="3"/>
      <c r="D4" s="3"/>
      <c r="E4" s="3"/>
      <c r="F4" s="5"/>
      <c r="G4" s="28"/>
      <c r="H4" s="25"/>
      <c r="I4" s="6"/>
      <c r="J4" s="6"/>
      <c r="K4" s="29"/>
      <c r="L4" s="26"/>
      <c r="M4" s="3"/>
      <c r="N4" s="3"/>
      <c r="O4" s="27"/>
      <c r="P4" s="24"/>
      <c r="Q4" s="511" t="s">
        <v>19</v>
      </c>
      <c r="R4" s="511"/>
      <c r="S4" s="511"/>
      <c r="T4" s="511"/>
    </row>
    <row r="5" spans="1:20" ht="15.75" customHeight="1" x14ac:dyDescent="0.25">
      <c r="B5" s="515" t="s">
        <v>27</v>
      </c>
      <c r="C5" s="515"/>
      <c r="D5" s="515"/>
      <c r="E5" s="515"/>
      <c r="F5" s="515"/>
      <c r="G5" s="515"/>
      <c r="H5" s="515"/>
      <c r="I5" s="515"/>
      <c r="J5" s="515"/>
      <c r="K5" s="515"/>
      <c r="L5" s="515"/>
      <c r="M5" s="515"/>
      <c r="N5" s="515"/>
      <c r="O5" s="515"/>
      <c r="P5" s="24"/>
      <c r="Q5" s="3"/>
    </row>
    <row r="6" spans="1:20" s="10" customFormat="1" ht="24.75" customHeight="1" x14ac:dyDescent="0.25">
      <c r="A6" s="7"/>
      <c r="B6" s="515"/>
      <c r="C6" s="515"/>
      <c r="D6" s="515"/>
      <c r="E6" s="515"/>
      <c r="F6" s="515"/>
      <c r="G6" s="515"/>
      <c r="H6" s="515"/>
      <c r="I6" s="515"/>
      <c r="J6" s="515"/>
      <c r="K6" s="515"/>
      <c r="L6" s="515"/>
      <c r="M6" s="515"/>
      <c r="N6" s="515"/>
      <c r="O6" s="515"/>
      <c r="P6" s="9"/>
      <c r="Q6" s="9"/>
    </row>
    <row r="7" spans="1:20" s="10" customFormat="1" ht="15.75" customHeight="1" x14ac:dyDescent="0.25">
      <c r="A7" s="7"/>
      <c r="B7" s="7"/>
      <c r="C7" s="18"/>
      <c r="D7" s="8"/>
      <c r="E7" s="9"/>
      <c r="F7" s="9"/>
      <c r="G7" s="9"/>
      <c r="H7" s="9"/>
      <c r="I7" s="9"/>
      <c r="J7" s="9"/>
      <c r="K7" s="9"/>
      <c r="L7" s="9"/>
      <c r="M7" s="9"/>
      <c r="N7" s="9"/>
      <c r="O7" s="9"/>
      <c r="P7" s="9"/>
      <c r="Q7" s="9"/>
    </row>
    <row r="8" spans="1:20" ht="24" customHeight="1" x14ac:dyDescent="0.25">
      <c r="A8" s="498" t="s">
        <v>1</v>
      </c>
      <c r="B8" s="498" t="s">
        <v>2</v>
      </c>
      <c r="C8" s="500" t="s">
        <v>3</v>
      </c>
      <c r="D8" s="502" t="s">
        <v>4</v>
      </c>
      <c r="E8" s="498" t="s">
        <v>5</v>
      </c>
      <c r="F8" s="512" t="s">
        <v>6</v>
      </c>
      <c r="G8" s="513"/>
      <c r="H8" s="513"/>
      <c r="I8" s="514"/>
      <c r="J8" s="512" t="s">
        <v>7</v>
      </c>
      <c r="K8" s="513"/>
      <c r="L8" s="513"/>
      <c r="M8" s="514"/>
      <c r="N8" s="512" t="s">
        <v>8</v>
      </c>
      <c r="O8" s="513"/>
      <c r="P8" s="513"/>
      <c r="Q8" s="514"/>
      <c r="R8" s="505" t="s">
        <v>9</v>
      </c>
      <c r="S8" s="505" t="s">
        <v>10</v>
      </c>
      <c r="T8" s="505" t="s">
        <v>11</v>
      </c>
    </row>
    <row r="9" spans="1:20" ht="91.5" customHeight="1" x14ac:dyDescent="0.25">
      <c r="A9" s="499"/>
      <c r="B9" s="499"/>
      <c r="C9" s="501"/>
      <c r="D9" s="503"/>
      <c r="E9" s="504"/>
      <c r="F9" s="30" t="s">
        <v>12</v>
      </c>
      <c r="G9" s="30" t="s">
        <v>14</v>
      </c>
      <c r="H9" s="30" t="s">
        <v>24</v>
      </c>
      <c r="I9" s="30" t="s">
        <v>13</v>
      </c>
      <c r="J9" s="30" t="s">
        <v>12</v>
      </c>
      <c r="K9" s="31" t="s">
        <v>14</v>
      </c>
      <c r="L9" s="30" t="s">
        <v>24</v>
      </c>
      <c r="M9" s="30" t="s">
        <v>13</v>
      </c>
      <c r="N9" s="30" t="s">
        <v>12</v>
      </c>
      <c r="O9" s="31" t="s">
        <v>14</v>
      </c>
      <c r="P9" s="30" t="s">
        <v>24</v>
      </c>
      <c r="Q9" s="30" t="s">
        <v>13</v>
      </c>
      <c r="R9" s="506"/>
      <c r="S9" s="506"/>
      <c r="T9" s="506"/>
    </row>
    <row r="10" spans="1:20" ht="37.5" customHeight="1" x14ac:dyDescent="0.25">
      <c r="A10" s="32">
        <v>1</v>
      </c>
      <c r="B10" s="32">
        <v>2</v>
      </c>
      <c r="C10" s="33">
        <v>3</v>
      </c>
      <c r="D10" s="34">
        <v>4</v>
      </c>
      <c r="E10" s="34">
        <v>5</v>
      </c>
      <c r="F10" s="34"/>
      <c r="G10" s="34">
        <v>6</v>
      </c>
      <c r="H10" s="34">
        <v>7</v>
      </c>
      <c r="I10" s="34">
        <v>8</v>
      </c>
      <c r="J10" s="34"/>
      <c r="K10" s="34">
        <v>9</v>
      </c>
      <c r="L10" s="34">
        <v>10</v>
      </c>
      <c r="M10" s="34">
        <v>11</v>
      </c>
      <c r="N10" s="34"/>
      <c r="O10" s="34">
        <v>12</v>
      </c>
      <c r="P10" s="34">
        <v>13</v>
      </c>
      <c r="Q10" s="34">
        <v>14</v>
      </c>
      <c r="R10" s="34">
        <v>15</v>
      </c>
      <c r="S10" s="34">
        <v>16</v>
      </c>
      <c r="T10" s="34">
        <v>17</v>
      </c>
    </row>
    <row r="11" spans="1:20" ht="58.5" customHeight="1" x14ac:dyDescent="0.25">
      <c r="A11" s="11"/>
      <c r="B11" s="11"/>
      <c r="C11" s="35" t="s">
        <v>28</v>
      </c>
      <c r="D11" s="12"/>
      <c r="E11" s="13"/>
      <c r="F11" s="12"/>
      <c r="G11" s="12"/>
      <c r="H11" s="12"/>
      <c r="I11" s="12"/>
      <c r="J11" s="12"/>
      <c r="K11" s="12"/>
      <c r="L11" s="12"/>
      <c r="M11" s="12"/>
      <c r="N11" s="12"/>
      <c r="O11" s="12"/>
      <c r="P11" s="12"/>
      <c r="Q11" s="12"/>
      <c r="R11" s="12"/>
      <c r="S11" s="12"/>
      <c r="T11" s="12"/>
    </row>
    <row r="12" spans="1:20" ht="50.1" customHeight="1" x14ac:dyDescent="0.25">
      <c r="A12" s="11">
        <v>1</v>
      </c>
      <c r="B12" s="61" t="s">
        <v>29</v>
      </c>
      <c r="C12" s="62" t="s">
        <v>30</v>
      </c>
      <c r="D12" s="62" t="s">
        <v>209</v>
      </c>
      <c r="E12" s="13" t="s">
        <v>15</v>
      </c>
      <c r="F12" s="60"/>
      <c r="G12" s="65">
        <v>1448</v>
      </c>
      <c r="H12" s="62" t="s">
        <v>31</v>
      </c>
      <c r="I12" s="63">
        <v>6670221535</v>
      </c>
      <c r="J12" s="62"/>
      <c r="K12" s="65">
        <v>1050</v>
      </c>
      <c r="L12" s="62" t="s">
        <v>32</v>
      </c>
      <c r="M12" s="63">
        <v>7717788349</v>
      </c>
      <c r="N12" s="62"/>
      <c r="O12" s="65">
        <v>950</v>
      </c>
      <c r="P12" s="62" t="s">
        <v>33</v>
      </c>
      <c r="Q12" s="64">
        <v>772139397550</v>
      </c>
      <c r="R12" s="65">
        <f>MIN(G12,K12,O12)</f>
        <v>950</v>
      </c>
      <c r="S12" s="12"/>
      <c r="T12" s="66">
        <v>45855</v>
      </c>
    </row>
    <row r="13" spans="1:20" ht="48" customHeight="1" x14ac:dyDescent="0.25">
      <c r="A13" s="11">
        <v>2</v>
      </c>
      <c r="B13" s="61" t="s">
        <v>34</v>
      </c>
      <c r="C13" s="62" t="s">
        <v>35</v>
      </c>
      <c r="D13" s="62" t="s">
        <v>210</v>
      </c>
      <c r="E13" s="13" t="s">
        <v>43</v>
      </c>
      <c r="F13" s="60"/>
      <c r="G13" s="65">
        <v>32500</v>
      </c>
      <c r="H13" s="62" t="s">
        <v>36</v>
      </c>
      <c r="I13" s="63">
        <v>5032170692</v>
      </c>
      <c r="J13" s="62" t="s">
        <v>37</v>
      </c>
      <c r="K13" s="65">
        <v>32850</v>
      </c>
      <c r="L13" s="62" t="s">
        <v>38</v>
      </c>
      <c r="M13" s="63" t="s">
        <v>39</v>
      </c>
      <c r="N13" s="62" t="s">
        <v>40</v>
      </c>
      <c r="O13" s="65">
        <v>32500</v>
      </c>
      <c r="P13" s="62" t="s">
        <v>41</v>
      </c>
      <c r="Q13" s="64" t="s">
        <v>42</v>
      </c>
      <c r="R13" s="65">
        <f t="shared" ref="R13:R76" si="0">MIN(G13,K13,O13)</f>
        <v>32500</v>
      </c>
      <c r="S13" s="12"/>
      <c r="T13" s="66">
        <v>45855</v>
      </c>
    </row>
    <row r="14" spans="1:20" ht="78.75" customHeight="1" x14ac:dyDescent="0.25">
      <c r="A14" s="11">
        <v>3</v>
      </c>
      <c r="B14" s="68" t="s">
        <v>50</v>
      </c>
      <c r="C14" s="62" t="s">
        <v>55</v>
      </c>
      <c r="D14" s="62" t="s">
        <v>212</v>
      </c>
      <c r="E14" s="13" t="s">
        <v>51</v>
      </c>
      <c r="F14" s="60"/>
      <c r="G14" s="67">
        <v>8639.9500000000007</v>
      </c>
      <c r="H14" s="68" t="s">
        <v>52</v>
      </c>
      <c r="I14" s="69">
        <v>7743259704</v>
      </c>
      <c r="J14" s="68"/>
      <c r="K14" s="67">
        <v>8769.54925</v>
      </c>
      <c r="L14" s="68" t="s">
        <v>53</v>
      </c>
      <c r="M14" s="69">
        <v>9701181489</v>
      </c>
      <c r="N14" s="68"/>
      <c r="O14" s="67">
        <v>8812.7490000000016</v>
      </c>
      <c r="P14" s="68" t="s">
        <v>54</v>
      </c>
      <c r="Q14" s="68">
        <v>7725825523</v>
      </c>
      <c r="R14" s="69">
        <f t="shared" si="0"/>
        <v>8639.9500000000007</v>
      </c>
      <c r="S14" s="12"/>
      <c r="T14" s="66">
        <v>45855</v>
      </c>
    </row>
    <row r="15" spans="1:20" ht="54" customHeight="1" x14ac:dyDescent="0.25">
      <c r="A15" s="11">
        <v>4</v>
      </c>
      <c r="B15" s="61" t="s">
        <v>50</v>
      </c>
      <c r="C15" s="62" t="s">
        <v>56</v>
      </c>
      <c r="D15" s="62" t="s">
        <v>213</v>
      </c>
      <c r="E15" s="13" t="s">
        <v>51</v>
      </c>
      <c r="F15" s="60"/>
      <c r="G15" s="67">
        <v>5500</v>
      </c>
      <c r="H15" s="68" t="s">
        <v>52</v>
      </c>
      <c r="I15" s="69">
        <v>7743259704</v>
      </c>
      <c r="J15" s="68"/>
      <c r="K15" s="67">
        <v>5582.4999999999991</v>
      </c>
      <c r="L15" s="68" t="s">
        <v>53</v>
      </c>
      <c r="M15" s="69">
        <v>9701181489</v>
      </c>
      <c r="N15" s="68"/>
      <c r="O15" s="67">
        <v>5610</v>
      </c>
      <c r="P15" s="68" t="s">
        <v>54</v>
      </c>
      <c r="Q15" s="68">
        <v>7725825523</v>
      </c>
      <c r="R15" s="65">
        <f t="shared" si="0"/>
        <v>5500</v>
      </c>
      <c r="S15" s="12"/>
      <c r="T15" s="66">
        <v>45855</v>
      </c>
    </row>
    <row r="16" spans="1:20" ht="69" customHeight="1" x14ac:dyDescent="0.25">
      <c r="A16" s="70" t="s">
        <v>167</v>
      </c>
      <c r="B16" s="61" t="s">
        <v>50</v>
      </c>
      <c r="C16" s="62" t="s">
        <v>169</v>
      </c>
      <c r="D16" s="62" t="s">
        <v>214</v>
      </c>
      <c r="E16" s="13" t="s">
        <v>51</v>
      </c>
      <c r="F16" s="60"/>
      <c r="G16" s="67">
        <v>6998.56</v>
      </c>
      <c r="H16" s="68" t="s">
        <v>52</v>
      </c>
      <c r="I16" s="69">
        <v>7743259704</v>
      </c>
      <c r="J16" s="68"/>
      <c r="K16" s="67">
        <v>7103.54</v>
      </c>
      <c r="L16" s="68" t="s">
        <v>53</v>
      </c>
      <c r="M16" s="69">
        <v>9701181489</v>
      </c>
      <c r="N16" s="68"/>
      <c r="O16" s="67">
        <v>7138.53</v>
      </c>
      <c r="P16" s="68" t="s">
        <v>54</v>
      </c>
      <c r="Q16" s="68">
        <v>7725825523</v>
      </c>
      <c r="R16" s="65">
        <f t="shared" si="0"/>
        <v>6998.56</v>
      </c>
      <c r="S16" s="12"/>
      <c r="T16" s="66">
        <v>45855</v>
      </c>
    </row>
    <row r="17" spans="1:20" ht="57" customHeight="1" x14ac:dyDescent="0.25">
      <c r="A17" s="70" t="s">
        <v>168</v>
      </c>
      <c r="B17" s="61" t="s">
        <v>50</v>
      </c>
      <c r="C17" s="62" t="s">
        <v>170</v>
      </c>
      <c r="D17" s="62" t="s">
        <v>213</v>
      </c>
      <c r="E17" s="13" t="s">
        <v>51</v>
      </c>
      <c r="F17" s="60"/>
      <c r="G17" s="67">
        <v>8639.9500000000007</v>
      </c>
      <c r="H17" s="68" t="s">
        <v>52</v>
      </c>
      <c r="I17" s="69">
        <v>7743259704</v>
      </c>
      <c r="J17" s="68"/>
      <c r="K17" s="67">
        <v>8769.5499999999993</v>
      </c>
      <c r="L17" s="68" t="s">
        <v>53</v>
      </c>
      <c r="M17" s="69">
        <v>9701181489</v>
      </c>
      <c r="N17" s="68"/>
      <c r="O17" s="67">
        <v>8812.75</v>
      </c>
      <c r="P17" s="68" t="s">
        <v>54</v>
      </c>
      <c r="Q17" s="68">
        <v>7725825523</v>
      </c>
      <c r="R17" s="65">
        <f t="shared" si="0"/>
        <v>8639.9500000000007</v>
      </c>
      <c r="S17" s="12"/>
      <c r="T17" s="66">
        <v>45855</v>
      </c>
    </row>
    <row r="18" spans="1:20" ht="50.1" customHeight="1" x14ac:dyDescent="0.25">
      <c r="A18" s="11">
        <v>5</v>
      </c>
      <c r="B18" s="61" t="s">
        <v>44</v>
      </c>
      <c r="C18" s="62" t="s">
        <v>45</v>
      </c>
      <c r="D18" s="62" t="s">
        <v>211</v>
      </c>
      <c r="E18" s="13" t="s">
        <v>46</v>
      </c>
      <c r="F18" s="60"/>
      <c r="G18" s="65">
        <v>4700</v>
      </c>
      <c r="H18" s="62" t="s">
        <v>47</v>
      </c>
      <c r="I18" s="63">
        <v>7724850679</v>
      </c>
      <c r="J18" s="62"/>
      <c r="K18" s="65">
        <v>4990</v>
      </c>
      <c r="L18" s="62" t="s">
        <v>48</v>
      </c>
      <c r="M18" s="63">
        <v>5036041610</v>
      </c>
      <c r="N18" s="62"/>
      <c r="O18" s="65">
        <v>5600</v>
      </c>
      <c r="P18" s="62" t="s">
        <v>49</v>
      </c>
      <c r="Q18" s="64">
        <v>7733617654</v>
      </c>
      <c r="R18" s="65">
        <f t="shared" si="0"/>
        <v>4700</v>
      </c>
      <c r="S18" s="12"/>
      <c r="T18" s="66">
        <v>45855</v>
      </c>
    </row>
    <row r="19" spans="1:20" ht="50.1" customHeight="1" x14ac:dyDescent="0.25">
      <c r="A19" s="11">
        <v>6</v>
      </c>
      <c r="B19" s="61" t="s">
        <v>58</v>
      </c>
      <c r="C19" s="62" t="s">
        <v>57</v>
      </c>
      <c r="D19" s="62" t="s">
        <v>215</v>
      </c>
      <c r="E19" s="13" t="s">
        <v>46</v>
      </c>
      <c r="F19" s="60"/>
      <c r="G19" s="65">
        <v>24642</v>
      </c>
      <c r="H19" s="62" t="s">
        <v>52</v>
      </c>
      <c r="I19" s="63">
        <v>7743259704</v>
      </c>
      <c r="J19" s="62"/>
      <c r="K19" s="65">
        <v>25011.63</v>
      </c>
      <c r="L19" s="62" t="s">
        <v>53</v>
      </c>
      <c r="M19" s="63">
        <v>9701181489</v>
      </c>
      <c r="N19" s="62"/>
      <c r="O19" s="65">
        <v>25134.84</v>
      </c>
      <c r="P19" s="62" t="s">
        <v>54</v>
      </c>
      <c r="Q19" s="64">
        <v>7725825523</v>
      </c>
      <c r="R19" s="65">
        <f t="shared" si="0"/>
        <v>24642</v>
      </c>
      <c r="S19" s="65">
        <v>16990</v>
      </c>
      <c r="T19" s="66">
        <v>45855</v>
      </c>
    </row>
    <row r="20" spans="1:20" ht="50.1" customHeight="1" x14ac:dyDescent="0.25">
      <c r="A20" s="11">
        <v>7</v>
      </c>
      <c r="B20" s="61" t="s">
        <v>59</v>
      </c>
      <c r="C20" s="62" t="s">
        <v>65</v>
      </c>
      <c r="D20" s="62" t="s">
        <v>216</v>
      </c>
      <c r="E20" s="13" t="s">
        <v>15</v>
      </c>
      <c r="F20" s="60"/>
      <c r="G20" s="65">
        <v>1600</v>
      </c>
      <c r="H20" s="62" t="s">
        <v>60</v>
      </c>
      <c r="I20" s="63">
        <v>7718275269</v>
      </c>
      <c r="J20" s="62" t="s">
        <v>61</v>
      </c>
      <c r="K20" s="65">
        <v>1734</v>
      </c>
      <c r="L20" s="62" t="s">
        <v>62</v>
      </c>
      <c r="M20" s="63">
        <v>5027134385</v>
      </c>
      <c r="N20" s="62" t="s">
        <v>63</v>
      </c>
      <c r="O20" s="65">
        <v>2060.73</v>
      </c>
      <c r="P20" s="62" t="s">
        <v>64</v>
      </c>
      <c r="Q20" s="64">
        <v>7709331654</v>
      </c>
      <c r="R20" s="65">
        <f t="shared" si="0"/>
        <v>1600</v>
      </c>
      <c r="S20" s="12"/>
      <c r="T20" s="66">
        <v>45855</v>
      </c>
    </row>
    <row r="21" spans="1:20" ht="84" customHeight="1" x14ac:dyDescent="0.25">
      <c r="A21" s="11">
        <v>8</v>
      </c>
      <c r="B21" s="11" t="s">
        <v>66</v>
      </c>
      <c r="C21" s="62" t="s">
        <v>70</v>
      </c>
      <c r="D21" s="62" t="s">
        <v>217</v>
      </c>
      <c r="E21" s="13" t="s">
        <v>46</v>
      </c>
      <c r="F21" s="60"/>
      <c r="G21" s="65">
        <v>32290</v>
      </c>
      <c r="H21" s="62" t="s">
        <v>67</v>
      </c>
      <c r="I21" s="63">
        <v>7801584537</v>
      </c>
      <c r="J21" s="62"/>
      <c r="K21" s="65">
        <v>36500</v>
      </c>
      <c r="L21" s="62" t="s">
        <v>68</v>
      </c>
      <c r="M21" s="63">
        <v>7720860059</v>
      </c>
      <c r="N21" s="62"/>
      <c r="O21" s="65">
        <v>38590</v>
      </c>
      <c r="P21" s="62" t="s">
        <v>69</v>
      </c>
      <c r="Q21" s="64">
        <v>7743153553</v>
      </c>
      <c r="R21" s="65">
        <f t="shared" si="0"/>
        <v>32290</v>
      </c>
      <c r="S21" s="12"/>
      <c r="T21" s="66">
        <v>45855</v>
      </c>
    </row>
    <row r="22" spans="1:20" ht="50.1" customHeight="1" x14ac:dyDescent="0.25">
      <c r="A22" s="11">
        <v>9</v>
      </c>
      <c r="B22" s="11" t="s">
        <v>71</v>
      </c>
      <c r="C22" s="62" t="s">
        <v>73</v>
      </c>
      <c r="D22" s="62" t="s">
        <v>218</v>
      </c>
      <c r="E22" s="13" t="s">
        <v>72</v>
      </c>
      <c r="F22" s="60"/>
      <c r="G22" s="65">
        <f>3690/2.7</f>
        <v>1366.6666666666665</v>
      </c>
      <c r="H22" s="62" t="s">
        <v>74</v>
      </c>
      <c r="I22" s="64">
        <v>502715020130</v>
      </c>
      <c r="J22" s="12"/>
      <c r="K22" s="65">
        <f>3080/2.7</f>
        <v>1140.7407407407406</v>
      </c>
      <c r="L22" s="62" t="s">
        <v>75</v>
      </c>
      <c r="M22" s="64">
        <v>781714510023</v>
      </c>
      <c r="N22" s="12"/>
      <c r="O22" s="65">
        <f>3490/2.7</f>
        <v>1292.5925925925926</v>
      </c>
      <c r="P22" s="62" t="s">
        <v>76</v>
      </c>
      <c r="Q22" s="64">
        <v>772603730011</v>
      </c>
      <c r="R22" s="65">
        <f t="shared" si="0"/>
        <v>1140.7407407407406</v>
      </c>
      <c r="S22" s="12"/>
      <c r="T22" s="66">
        <v>45855</v>
      </c>
    </row>
    <row r="23" spans="1:20" ht="95.25" customHeight="1" x14ac:dyDescent="0.25">
      <c r="A23" s="11">
        <v>10</v>
      </c>
      <c r="B23" s="11" t="s">
        <v>78</v>
      </c>
      <c r="C23" s="68" t="s">
        <v>77</v>
      </c>
      <c r="D23" s="62" t="s">
        <v>219</v>
      </c>
      <c r="E23" s="13" t="s">
        <v>46</v>
      </c>
      <c r="F23" s="60"/>
      <c r="G23" s="65">
        <v>28800</v>
      </c>
      <c r="H23" s="62" t="s">
        <v>84</v>
      </c>
      <c r="I23" s="64">
        <v>263501058850</v>
      </c>
      <c r="J23" s="12"/>
      <c r="K23" s="65">
        <v>19500</v>
      </c>
      <c r="L23" s="62" t="s">
        <v>85</v>
      </c>
      <c r="M23" s="64">
        <v>7719751312</v>
      </c>
      <c r="N23" s="12"/>
      <c r="O23" s="65">
        <v>18500</v>
      </c>
      <c r="P23" s="62" t="s">
        <v>86</v>
      </c>
      <c r="Q23" s="64">
        <v>4007021423</v>
      </c>
      <c r="R23" s="65">
        <f t="shared" si="0"/>
        <v>18500</v>
      </c>
      <c r="S23" s="12"/>
      <c r="T23" s="66">
        <v>45855</v>
      </c>
    </row>
    <row r="24" spans="1:20" ht="49.5" customHeight="1" x14ac:dyDescent="0.25">
      <c r="A24" s="11">
        <v>11</v>
      </c>
      <c r="B24" s="11" t="s">
        <v>79</v>
      </c>
      <c r="C24" s="68" t="s">
        <v>80</v>
      </c>
      <c r="D24" s="62" t="s">
        <v>220</v>
      </c>
      <c r="E24" s="13" t="s">
        <v>46</v>
      </c>
      <c r="F24" s="60"/>
      <c r="G24" s="65">
        <v>12800</v>
      </c>
      <c r="H24" s="62" t="s">
        <v>81</v>
      </c>
      <c r="I24" s="64">
        <v>3731001598</v>
      </c>
      <c r="J24" s="12"/>
      <c r="K24" s="65">
        <v>16352</v>
      </c>
      <c r="L24" s="62" t="s">
        <v>82</v>
      </c>
      <c r="M24" s="64">
        <v>7714306653</v>
      </c>
      <c r="N24" s="12"/>
      <c r="O24" s="65">
        <v>8500</v>
      </c>
      <c r="P24" s="62" t="s">
        <v>83</v>
      </c>
      <c r="Q24" s="64">
        <v>260505372999</v>
      </c>
      <c r="R24" s="65">
        <f t="shared" si="0"/>
        <v>8500</v>
      </c>
      <c r="S24" s="12"/>
      <c r="T24" s="66">
        <v>45855</v>
      </c>
    </row>
    <row r="25" spans="1:20" ht="50.1" customHeight="1" x14ac:dyDescent="0.25">
      <c r="A25" s="11">
        <v>12</v>
      </c>
      <c r="B25" s="11" t="s">
        <v>91</v>
      </c>
      <c r="C25" s="68" t="s">
        <v>90</v>
      </c>
      <c r="D25" s="62" t="s">
        <v>221</v>
      </c>
      <c r="E25" s="13" t="s">
        <v>46</v>
      </c>
      <c r="F25" s="60"/>
      <c r="G25" s="65">
        <v>3000</v>
      </c>
      <c r="H25" s="62" t="s">
        <v>87</v>
      </c>
      <c r="I25" s="64">
        <v>9715340001</v>
      </c>
      <c r="J25" s="12"/>
      <c r="K25" s="65">
        <v>4492.2700000000004</v>
      </c>
      <c r="L25" s="62" t="s">
        <v>88</v>
      </c>
      <c r="M25" s="64">
        <v>250540020796</v>
      </c>
      <c r="N25" s="12"/>
      <c r="O25" s="65">
        <v>4492.2700000000004</v>
      </c>
      <c r="P25" s="62" t="s">
        <v>89</v>
      </c>
      <c r="Q25" s="64">
        <v>7714967741</v>
      </c>
      <c r="R25" s="65">
        <f t="shared" si="0"/>
        <v>3000</v>
      </c>
      <c r="S25" s="12"/>
      <c r="T25" s="66">
        <v>45855</v>
      </c>
    </row>
    <row r="26" spans="1:20" ht="67.5" customHeight="1" x14ac:dyDescent="0.25">
      <c r="A26" s="11">
        <v>13</v>
      </c>
      <c r="B26" s="11" t="s">
        <v>93</v>
      </c>
      <c r="C26" s="68" t="s">
        <v>92</v>
      </c>
      <c r="D26" s="62" t="s">
        <v>214</v>
      </c>
      <c r="E26" s="13" t="s">
        <v>72</v>
      </c>
      <c r="F26" s="60"/>
      <c r="G26" s="65">
        <v>5500</v>
      </c>
      <c r="H26" s="62" t="s">
        <v>52</v>
      </c>
      <c r="I26" s="64">
        <v>7743259704</v>
      </c>
      <c r="J26" s="12"/>
      <c r="K26" s="65">
        <v>5582.5</v>
      </c>
      <c r="L26" s="62" t="s">
        <v>53</v>
      </c>
      <c r="M26" s="64">
        <v>9701181489</v>
      </c>
      <c r="N26" s="12"/>
      <c r="O26" s="65">
        <v>5610</v>
      </c>
      <c r="P26" s="62" t="s">
        <v>54</v>
      </c>
      <c r="Q26" s="64">
        <v>7725825523</v>
      </c>
      <c r="R26" s="65">
        <f t="shared" si="0"/>
        <v>5500</v>
      </c>
      <c r="S26" s="12"/>
      <c r="T26" s="66">
        <v>45855</v>
      </c>
    </row>
    <row r="27" spans="1:20" ht="50.1" customHeight="1" x14ac:dyDescent="0.25">
      <c r="A27" s="11">
        <v>14</v>
      </c>
      <c r="B27" s="11" t="s">
        <v>94</v>
      </c>
      <c r="C27" s="68" t="s">
        <v>95</v>
      </c>
      <c r="D27" s="62" t="s">
        <v>222</v>
      </c>
      <c r="E27" s="13" t="s">
        <v>46</v>
      </c>
      <c r="F27" s="60"/>
      <c r="G27" s="65">
        <v>10000</v>
      </c>
      <c r="H27" s="62" t="s">
        <v>96</v>
      </c>
      <c r="I27" s="64">
        <v>5032076298</v>
      </c>
      <c r="J27" s="12"/>
      <c r="K27" s="65">
        <v>12834</v>
      </c>
      <c r="L27" s="62" t="s">
        <v>97</v>
      </c>
      <c r="M27" s="64">
        <v>771876677421</v>
      </c>
      <c r="N27" s="12"/>
      <c r="O27" s="65">
        <v>10178</v>
      </c>
      <c r="P27" s="62" t="s">
        <v>98</v>
      </c>
      <c r="Q27" s="64">
        <v>7721783350</v>
      </c>
      <c r="R27" s="65">
        <f t="shared" si="0"/>
        <v>10000</v>
      </c>
      <c r="S27" s="12"/>
      <c r="T27" s="66">
        <v>45855</v>
      </c>
    </row>
    <row r="28" spans="1:20" ht="50.1" customHeight="1" x14ac:dyDescent="0.25">
      <c r="A28" s="11">
        <v>15</v>
      </c>
      <c r="B28" s="11" t="s">
        <v>94</v>
      </c>
      <c r="C28" s="68" t="s">
        <v>99</v>
      </c>
      <c r="D28" s="62" t="s">
        <v>223</v>
      </c>
      <c r="E28" s="13" t="s">
        <v>46</v>
      </c>
      <c r="F28" s="60"/>
      <c r="G28" s="65">
        <v>1783.2</v>
      </c>
      <c r="H28" s="62" t="s">
        <v>100</v>
      </c>
      <c r="I28" s="64">
        <v>7743690325</v>
      </c>
      <c r="J28" s="12"/>
      <c r="K28" s="65">
        <v>1828</v>
      </c>
      <c r="L28" s="62" t="s">
        <v>101</v>
      </c>
      <c r="M28" s="64">
        <v>7802348846</v>
      </c>
      <c r="N28" s="12"/>
      <c r="O28" s="65">
        <v>1768</v>
      </c>
      <c r="P28" s="62" t="s">
        <v>102</v>
      </c>
      <c r="Q28" s="64">
        <v>9718041930</v>
      </c>
      <c r="R28" s="65">
        <f t="shared" si="0"/>
        <v>1768</v>
      </c>
      <c r="S28" s="12"/>
      <c r="T28" s="66">
        <v>45855</v>
      </c>
    </row>
    <row r="29" spans="1:20" ht="50.1" customHeight="1" x14ac:dyDescent="0.25">
      <c r="A29" s="11">
        <v>16</v>
      </c>
      <c r="B29" s="11" t="s">
        <v>94</v>
      </c>
      <c r="C29" s="68" t="s">
        <v>103</v>
      </c>
      <c r="D29" s="62" t="s">
        <v>224</v>
      </c>
      <c r="E29" s="13" t="s">
        <v>46</v>
      </c>
      <c r="F29" s="60"/>
      <c r="G29" s="65">
        <v>3127</v>
      </c>
      <c r="H29" s="62" t="s">
        <v>104</v>
      </c>
      <c r="I29" s="64">
        <v>501201511709</v>
      </c>
      <c r="J29" s="12"/>
      <c r="K29" s="65">
        <v>3127</v>
      </c>
      <c r="L29" s="62" t="s">
        <v>102</v>
      </c>
      <c r="M29" s="64">
        <v>9718041930</v>
      </c>
      <c r="N29" s="12"/>
      <c r="O29" s="65">
        <v>3127.2</v>
      </c>
      <c r="P29" s="62" t="s">
        <v>100</v>
      </c>
      <c r="Q29" s="64">
        <v>7743690325</v>
      </c>
      <c r="R29" s="65">
        <f t="shared" si="0"/>
        <v>3127</v>
      </c>
      <c r="S29" s="12"/>
      <c r="T29" s="66">
        <v>45855</v>
      </c>
    </row>
    <row r="30" spans="1:20" ht="50.1" customHeight="1" x14ac:dyDescent="0.25">
      <c r="A30" s="11">
        <v>17</v>
      </c>
      <c r="B30" s="11" t="s">
        <v>94</v>
      </c>
      <c r="C30" s="68" t="s">
        <v>105</v>
      </c>
      <c r="D30" s="62" t="s">
        <v>225</v>
      </c>
      <c r="E30" s="13" t="s">
        <v>46</v>
      </c>
      <c r="F30" s="60"/>
      <c r="G30" s="65">
        <v>2684</v>
      </c>
      <c r="H30" s="62" t="s">
        <v>106</v>
      </c>
      <c r="I30" s="64">
        <v>9705201030</v>
      </c>
      <c r="J30" s="12"/>
      <c r="K30" s="65">
        <v>2684.4</v>
      </c>
      <c r="L30" s="62" t="s">
        <v>100</v>
      </c>
      <c r="M30" s="64">
        <v>7743690325</v>
      </c>
      <c r="N30" s="12"/>
      <c r="O30" s="65">
        <v>2684</v>
      </c>
      <c r="P30" s="62" t="s">
        <v>107</v>
      </c>
      <c r="Q30" s="64">
        <v>7724331419</v>
      </c>
      <c r="R30" s="65">
        <f t="shared" si="0"/>
        <v>2684</v>
      </c>
      <c r="S30" s="12"/>
      <c r="T30" s="66">
        <v>45855</v>
      </c>
    </row>
    <row r="31" spans="1:20" ht="50.1" customHeight="1" x14ac:dyDescent="0.25">
      <c r="A31" s="11">
        <v>18</v>
      </c>
      <c r="B31" s="11" t="s">
        <v>108</v>
      </c>
      <c r="C31" s="68" t="s">
        <v>109</v>
      </c>
      <c r="D31" s="62" t="s">
        <v>226</v>
      </c>
      <c r="E31" s="13" t="s">
        <v>15</v>
      </c>
      <c r="F31" s="60"/>
      <c r="G31" s="65">
        <v>9000</v>
      </c>
      <c r="H31" s="62" t="s">
        <v>89</v>
      </c>
      <c r="I31" s="64">
        <v>7714967741</v>
      </c>
      <c r="J31" s="12"/>
      <c r="K31" s="65">
        <v>9980</v>
      </c>
      <c r="L31" s="62" t="s">
        <v>114</v>
      </c>
      <c r="M31" s="64">
        <v>7727321440</v>
      </c>
      <c r="N31" s="62"/>
      <c r="O31" s="65">
        <f>46729.2/4</f>
        <v>11682.3</v>
      </c>
      <c r="P31" s="62" t="s">
        <v>115</v>
      </c>
      <c r="Q31" s="64">
        <v>7801607880</v>
      </c>
      <c r="R31" s="65">
        <f t="shared" si="0"/>
        <v>9000</v>
      </c>
      <c r="S31" s="12"/>
      <c r="T31" s="66">
        <v>45855</v>
      </c>
    </row>
    <row r="32" spans="1:20" ht="50.1" customHeight="1" x14ac:dyDescent="0.25">
      <c r="A32" s="11">
        <v>19</v>
      </c>
      <c r="B32" s="11" t="s">
        <v>108</v>
      </c>
      <c r="C32" s="68" t="s">
        <v>110</v>
      </c>
      <c r="D32" s="62" t="s">
        <v>227</v>
      </c>
      <c r="E32" s="13" t="s">
        <v>15</v>
      </c>
      <c r="F32" s="60"/>
      <c r="G32" s="65">
        <f>10704.08</f>
        <v>10704.08</v>
      </c>
      <c r="H32" s="62" t="s">
        <v>111</v>
      </c>
      <c r="I32" s="64">
        <v>7727280635</v>
      </c>
      <c r="J32" s="62"/>
      <c r="K32" s="65">
        <f>8580</f>
        <v>8580</v>
      </c>
      <c r="L32" s="65" t="s">
        <v>112</v>
      </c>
      <c r="M32" s="62">
        <v>7701357153</v>
      </c>
      <c r="N32" s="12"/>
      <c r="O32" s="65">
        <f>9072</f>
        <v>9072</v>
      </c>
      <c r="P32" s="62" t="s">
        <v>113</v>
      </c>
      <c r="Q32" s="64">
        <v>7447303576</v>
      </c>
      <c r="R32" s="65">
        <f t="shared" si="0"/>
        <v>8580</v>
      </c>
      <c r="S32" s="12"/>
      <c r="T32" s="66">
        <v>45855</v>
      </c>
    </row>
    <row r="33" spans="1:20" ht="50.1" customHeight="1" x14ac:dyDescent="0.25">
      <c r="A33" s="11">
        <v>20</v>
      </c>
      <c r="B33" s="11" t="s">
        <v>108</v>
      </c>
      <c r="C33" s="68" t="s">
        <v>116</v>
      </c>
      <c r="D33" s="62" t="s">
        <v>228</v>
      </c>
      <c r="E33" s="13" t="s">
        <v>46</v>
      </c>
      <c r="F33" s="60"/>
      <c r="G33" s="65">
        <v>2520</v>
      </c>
      <c r="H33" s="62" t="s">
        <v>117</v>
      </c>
      <c r="I33" s="64">
        <v>7716690703</v>
      </c>
      <c r="J33" s="12"/>
      <c r="K33" s="65">
        <v>2750</v>
      </c>
      <c r="L33" s="65" t="s">
        <v>118</v>
      </c>
      <c r="M33" s="62">
        <v>9715352141</v>
      </c>
      <c r="N33" s="12"/>
      <c r="O33" s="65">
        <v>2552</v>
      </c>
      <c r="P33" s="62" t="s">
        <v>119</v>
      </c>
      <c r="Q33" s="64">
        <v>7733325147</v>
      </c>
      <c r="R33" s="65">
        <f t="shared" si="0"/>
        <v>2520</v>
      </c>
      <c r="S33" s="12"/>
      <c r="T33" s="66">
        <v>45855</v>
      </c>
    </row>
    <row r="34" spans="1:20" ht="50.1" customHeight="1" x14ac:dyDescent="0.25">
      <c r="A34" s="11">
        <v>21</v>
      </c>
      <c r="B34" s="11" t="s">
        <v>120</v>
      </c>
      <c r="C34" s="68" t="s">
        <v>122</v>
      </c>
      <c r="D34" s="62" t="s">
        <v>229</v>
      </c>
      <c r="E34" s="13" t="s">
        <v>46</v>
      </c>
      <c r="F34" s="60"/>
      <c r="G34" s="65">
        <v>2396.9499999999998</v>
      </c>
      <c r="H34" s="62" t="s">
        <v>121</v>
      </c>
      <c r="I34" s="64">
        <v>7721280050</v>
      </c>
      <c r="J34" s="12"/>
      <c r="K34" s="65">
        <v>2895</v>
      </c>
      <c r="L34" s="65" t="s">
        <v>107</v>
      </c>
      <c r="M34" s="62">
        <v>7724331419</v>
      </c>
      <c r="N34" s="12"/>
      <c r="O34" s="65">
        <v>2718.74</v>
      </c>
      <c r="P34" s="62" t="s">
        <v>123</v>
      </c>
      <c r="Q34" s="64">
        <v>9705176578</v>
      </c>
      <c r="R34" s="65">
        <f t="shared" si="0"/>
        <v>2396.9499999999998</v>
      </c>
      <c r="S34" s="12"/>
      <c r="T34" s="66">
        <v>45855</v>
      </c>
    </row>
    <row r="35" spans="1:20" ht="50.1" customHeight="1" x14ac:dyDescent="0.25">
      <c r="A35" s="11">
        <v>22</v>
      </c>
      <c r="B35" s="11" t="s">
        <v>71</v>
      </c>
      <c r="C35" s="68" t="s">
        <v>124</v>
      </c>
      <c r="D35" s="62" t="s">
        <v>230</v>
      </c>
      <c r="E35" s="13" t="s">
        <v>46</v>
      </c>
      <c r="F35" s="60"/>
      <c r="G35" s="65">
        <v>2010</v>
      </c>
      <c r="H35" s="62" t="s">
        <v>125</v>
      </c>
      <c r="I35" s="64">
        <v>7729604780</v>
      </c>
      <c r="J35" s="65"/>
      <c r="K35" s="65" t="s">
        <v>127</v>
      </c>
      <c r="L35" s="65" t="s">
        <v>126</v>
      </c>
      <c r="M35" s="62">
        <v>5029069967</v>
      </c>
      <c r="N35" s="12"/>
      <c r="O35" s="65">
        <v>2785</v>
      </c>
      <c r="P35" s="62" t="s">
        <v>128</v>
      </c>
      <c r="Q35" s="64">
        <v>7733900598</v>
      </c>
      <c r="R35" s="65">
        <f t="shared" si="0"/>
        <v>2010</v>
      </c>
      <c r="S35" s="12"/>
      <c r="T35" s="66">
        <v>45855</v>
      </c>
    </row>
    <row r="36" spans="1:20" ht="68.25" customHeight="1" x14ac:dyDescent="0.25">
      <c r="A36" s="11">
        <v>23</v>
      </c>
      <c r="B36" s="11" t="s">
        <v>71</v>
      </c>
      <c r="C36" s="68" t="s">
        <v>273</v>
      </c>
      <c r="D36" s="62" t="s">
        <v>231</v>
      </c>
      <c r="E36" s="13" t="s">
        <v>46</v>
      </c>
      <c r="F36" s="60"/>
      <c r="G36" s="65">
        <v>1990</v>
      </c>
      <c r="H36" s="62" t="s">
        <v>125</v>
      </c>
      <c r="I36" s="64">
        <v>7729604780</v>
      </c>
      <c r="J36" s="65" t="s">
        <v>129</v>
      </c>
      <c r="K36" s="65">
        <v>2785</v>
      </c>
      <c r="L36" s="65" t="s">
        <v>128</v>
      </c>
      <c r="M36" s="62">
        <v>7733900598</v>
      </c>
      <c r="N36" s="12" t="s">
        <v>130</v>
      </c>
      <c r="O36" s="65">
        <v>2136.65</v>
      </c>
      <c r="P36" s="62" t="s">
        <v>131</v>
      </c>
      <c r="Q36" s="64">
        <v>772729905911</v>
      </c>
      <c r="R36" s="65">
        <f t="shared" si="0"/>
        <v>1990</v>
      </c>
      <c r="S36" s="12"/>
      <c r="T36" s="66">
        <v>45855</v>
      </c>
    </row>
    <row r="37" spans="1:20" ht="60.75" customHeight="1" x14ac:dyDescent="0.25">
      <c r="A37" s="11">
        <v>24</v>
      </c>
      <c r="B37" s="11" t="s">
        <v>132</v>
      </c>
      <c r="C37" s="68" t="s">
        <v>277</v>
      </c>
      <c r="D37" s="62" t="s">
        <v>232</v>
      </c>
      <c r="E37" s="13" t="s">
        <v>46</v>
      </c>
      <c r="F37" s="60"/>
      <c r="G37" s="65">
        <v>1675</v>
      </c>
      <c r="H37" s="62" t="s">
        <v>133</v>
      </c>
      <c r="I37" s="64">
        <v>7806255790</v>
      </c>
      <c r="J37" s="65"/>
      <c r="K37" s="65">
        <v>1751</v>
      </c>
      <c r="L37" s="65" t="s">
        <v>274</v>
      </c>
      <c r="M37" s="64">
        <v>780158311663</v>
      </c>
      <c r="N37" s="12"/>
      <c r="O37" s="65">
        <v>1820</v>
      </c>
      <c r="P37" s="62" t="s">
        <v>275</v>
      </c>
      <c r="Q37" s="64">
        <v>482561581701</v>
      </c>
      <c r="R37" s="65">
        <f t="shared" si="0"/>
        <v>1675</v>
      </c>
      <c r="S37" s="12"/>
      <c r="T37" s="66">
        <v>45855</v>
      </c>
    </row>
    <row r="38" spans="1:20" ht="60.75" customHeight="1" x14ac:dyDescent="0.25">
      <c r="A38" s="70" t="s">
        <v>276</v>
      </c>
      <c r="B38" s="11" t="s">
        <v>132</v>
      </c>
      <c r="C38" s="68" t="s">
        <v>279</v>
      </c>
      <c r="D38" s="62" t="s">
        <v>278</v>
      </c>
      <c r="E38" s="13" t="s">
        <v>46</v>
      </c>
      <c r="F38" s="60"/>
      <c r="G38" s="65">
        <v>1675</v>
      </c>
      <c r="H38" s="62" t="s">
        <v>133</v>
      </c>
      <c r="I38" s="64">
        <v>7806255790</v>
      </c>
      <c r="J38" s="65"/>
      <c r="K38" s="65">
        <v>1751</v>
      </c>
      <c r="L38" s="65" t="s">
        <v>274</v>
      </c>
      <c r="M38" s="64">
        <v>780158311663</v>
      </c>
      <c r="N38" s="12"/>
      <c r="O38" s="65">
        <v>1820</v>
      </c>
      <c r="P38" s="62" t="s">
        <v>275</v>
      </c>
      <c r="Q38" s="64">
        <v>482561581701</v>
      </c>
      <c r="R38" s="65">
        <f t="shared" si="0"/>
        <v>1675</v>
      </c>
      <c r="S38" s="12"/>
      <c r="T38" s="66">
        <v>45855</v>
      </c>
    </row>
    <row r="39" spans="1:20" ht="50.1" customHeight="1" x14ac:dyDescent="0.25">
      <c r="A39" s="11">
        <v>25</v>
      </c>
      <c r="B39" s="11" t="s">
        <v>135</v>
      </c>
      <c r="C39" s="68" t="s">
        <v>134</v>
      </c>
      <c r="D39" s="62" t="s">
        <v>233</v>
      </c>
      <c r="E39" s="13" t="s">
        <v>15</v>
      </c>
      <c r="F39" s="60"/>
      <c r="G39" s="65">
        <v>681.6</v>
      </c>
      <c r="H39" s="62" t="s">
        <v>100</v>
      </c>
      <c r="I39" s="64">
        <v>7743690325</v>
      </c>
      <c r="J39" s="65"/>
      <c r="K39" s="65">
        <v>681</v>
      </c>
      <c r="L39" s="65" t="s">
        <v>102</v>
      </c>
      <c r="M39" s="64">
        <v>9718041930</v>
      </c>
      <c r="N39" s="12"/>
      <c r="O39" s="65">
        <v>681</v>
      </c>
      <c r="P39" s="62" t="s">
        <v>136</v>
      </c>
      <c r="Q39" s="64">
        <v>772581916605</v>
      </c>
      <c r="R39" s="65">
        <f t="shared" si="0"/>
        <v>681</v>
      </c>
      <c r="S39" s="12"/>
      <c r="T39" s="66">
        <v>45855</v>
      </c>
    </row>
    <row r="40" spans="1:20" ht="50.1" customHeight="1" x14ac:dyDescent="0.25">
      <c r="A40" s="11">
        <v>26</v>
      </c>
      <c r="B40" s="11" t="s">
        <v>135</v>
      </c>
      <c r="C40" s="68" t="s">
        <v>137</v>
      </c>
      <c r="D40" s="62" t="s">
        <v>234</v>
      </c>
      <c r="E40" s="13" t="s">
        <v>15</v>
      </c>
      <c r="F40" s="60"/>
      <c r="G40" s="65">
        <v>314</v>
      </c>
      <c r="H40" s="62" t="s">
        <v>102</v>
      </c>
      <c r="I40" s="64">
        <v>9718041930</v>
      </c>
      <c r="J40" s="65"/>
      <c r="K40" s="65">
        <v>314</v>
      </c>
      <c r="L40" s="65" t="s">
        <v>97</v>
      </c>
      <c r="M40" s="64">
        <v>771876677421</v>
      </c>
      <c r="N40" s="12"/>
      <c r="O40" s="65">
        <v>314.39999999999998</v>
      </c>
      <c r="P40" s="62" t="s">
        <v>100</v>
      </c>
      <c r="Q40" s="64">
        <v>7743690325</v>
      </c>
      <c r="R40" s="65">
        <f t="shared" si="0"/>
        <v>314</v>
      </c>
      <c r="S40" s="12"/>
      <c r="T40" s="66">
        <v>45855</v>
      </c>
    </row>
    <row r="41" spans="1:20" ht="66" customHeight="1" x14ac:dyDescent="0.25">
      <c r="A41" s="11">
        <v>27</v>
      </c>
      <c r="B41" s="11" t="s">
        <v>140</v>
      </c>
      <c r="C41" s="68" t="s">
        <v>138</v>
      </c>
      <c r="D41" s="62" t="s">
        <v>235</v>
      </c>
      <c r="E41" s="13" t="s">
        <v>139</v>
      </c>
      <c r="F41" s="60"/>
      <c r="G41" s="65">
        <v>252</v>
      </c>
      <c r="H41" s="62" t="s">
        <v>141</v>
      </c>
      <c r="I41" s="64">
        <v>7751192490</v>
      </c>
      <c r="J41" s="65"/>
      <c r="K41" s="65">
        <f>1040/2.7</f>
        <v>385.18518518518516</v>
      </c>
      <c r="L41" s="65" t="s">
        <v>142</v>
      </c>
      <c r="M41" s="64">
        <v>7751247942</v>
      </c>
      <c r="N41" s="12"/>
      <c r="O41" s="65">
        <v>250</v>
      </c>
      <c r="P41" s="62" t="s">
        <v>143</v>
      </c>
      <c r="Q41" s="64">
        <v>7716690703</v>
      </c>
      <c r="R41" s="65">
        <f t="shared" si="0"/>
        <v>250</v>
      </c>
      <c r="S41" s="12"/>
      <c r="T41" s="66">
        <v>45855</v>
      </c>
    </row>
    <row r="42" spans="1:20" ht="50.1" customHeight="1" x14ac:dyDescent="0.25">
      <c r="A42" s="11">
        <v>28</v>
      </c>
      <c r="B42" s="11" t="s">
        <v>140</v>
      </c>
      <c r="C42" s="68" t="s">
        <v>144</v>
      </c>
      <c r="D42" s="62" t="s">
        <v>236</v>
      </c>
      <c r="E42" s="13" t="s">
        <v>139</v>
      </c>
      <c r="F42" s="60"/>
      <c r="G42" s="65">
        <v>290</v>
      </c>
      <c r="H42" s="62" t="s">
        <v>145</v>
      </c>
      <c r="I42" s="64">
        <v>5029119784</v>
      </c>
      <c r="J42" s="65"/>
      <c r="K42" s="65">
        <v>238</v>
      </c>
      <c r="L42" s="65" t="s">
        <v>146</v>
      </c>
      <c r="M42" s="64">
        <v>9701086154</v>
      </c>
      <c r="N42" s="12"/>
      <c r="O42" s="65">
        <v>276</v>
      </c>
      <c r="P42" s="62" t="s">
        <v>147</v>
      </c>
      <c r="Q42" s="64">
        <v>7737511031</v>
      </c>
      <c r="R42" s="65">
        <f t="shared" si="0"/>
        <v>238</v>
      </c>
      <c r="S42" s="12"/>
      <c r="T42" s="66">
        <v>45855</v>
      </c>
    </row>
    <row r="43" spans="1:20" ht="52.5" customHeight="1" x14ac:dyDescent="0.25">
      <c r="A43" s="11">
        <v>29</v>
      </c>
      <c r="B43" s="11" t="s">
        <v>149</v>
      </c>
      <c r="C43" s="39" t="s">
        <v>148</v>
      </c>
      <c r="D43" s="62" t="s">
        <v>237</v>
      </c>
      <c r="E43" s="51" t="s">
        <v>139</v>
      </c>
      <c r="F43" s="36"/>
      <c r="G43" s="65">
        <v>1500</v>
      </c>
      <c r="H43" s="62" t="s">
        <v>152</v>
      </c>
      <c r="I43" s="64">
        <v>7731323810</v>
      </c>
      <c r="J43" s="65"/>
      <c r="K43" s="65">
        <v>1500</v>
      </c>
      <c r="L43" s="65" t="s">
        <v>151</v>
      </c>
      <c r="M43" s="64">
        <v>9718263098</v>
      </c>
      <c r="N43" s="12"/>
      <c r="O43" s="65">
        <v>1500</v>
      </c>
      <c r="P43" s="62" t="s">
        <v>150</v>
      </c>
      <c r="Q43" s="64">
        <v>772729905911</v>
      </c>
      <c r="R43" s="65">
        <f t="shared" si="0"/>
        <v>1500</v>
      </c>
      <c r="S43" s="37"/>
      <c r="T43" s="38">
        <v>45855</v>
      </c>
    </row>
    <row r="44" spans="1:20" ht="90" customHeight="1" x14ac:dyDescent="0.3">
      <c r="A44" s="11">
        <v>30</v>
      </c>
      <c r="B44" s="11" t="s">
        <v>153</v>
      </c>
      <c r="C44" s="39" t="s">
        <v>157</v>
      </c>
      <c r="D44" s="52" t="s">
        <v>239</v>
      </c>
      <c r="E44" s="51" t="s">
        <v>46</v>
      </c>
      <c r="F44" s="36"/>
      <c r="G44" s="53">
        <v>32890</v>
      </c>
      <c r="H44" s="56" t="s">
        <v>154</v>
      </c>
      <c r="I44" s="57">
        <v>5007091366</v>
      </c>
      <c r="J44" s="55"/>
      <c r="K44" s="53">
        <v>31460</v>
      </c>
      <c r="L44" s="54" t="s">
        <v>155</v>
      </c>
      <c r="M44" s="58">
        <v>9726012838</v>
      </c>
      <c r="N44" s="59"/>
      <c r="O44" s="53">
        <v>28600</v>
      </c>
      <c r="P44" s="54" t="s">
        <v>156</v>
      </c>
      <c r="Q44" s="58">
        <v>9731109232</v>
      </c>
      <c r="R44" s="53">
        <f t="shared" si="0"/>
        <v>28600</v>
      </c>
      <c r="S44" s="37">
        <v>22720.52</v>
      </c>
      <c r="T44" s="38">
        <v>45855</v>
      </c>
    </row>
    <row r="45" spans="1:20" ht="235.5" customHeight="1" x14ac:dyDescent="0.3">
      <c r="A45" s="11">
        <v>31</v>
      </c>
      <c r="B45" s="11" t="s">
        <v>153</v>
      </c>
      <c r="C45" s="39" t="s">
        <v>302</v>
      </c>
      <c r="D45" s="52" t="s">
        <v>240</v>
      </c>
      <c r="E45" s="51" t="s">
        <v>46</v>
      </c>
      <c r="F45" s="36"/>
      <c r="G45" s="53">
        <v>70929.7</v>
      </c>
      <c r="H45" s="56" t="s">
        <v>154</v>
      </c>
      <c r="I45" s="57">
        <v>5007091366</v>
      </c>
      <c r="J45" s="55"/>
      <c r="K45" s="53">
        <v>67845.8</v>
      </c>
      <c r="L45" s="54" t="s">
        <v>155</v>
      </c>
      <c r="M45" s="58">
        <v>9726012838</v>
      </c>
      <c r="N45" s="59"/>
      <c r="O45" s="53">
        <v>61678</v>
      </c>
      <c r="P45" s="56" t="s">
        <v>156</v>
      </c>
      <c r="Q45" s="57">
        <v>9731109232</v>
      </c>
      <c r="R45" s="53">
        <f t="shared" si="0"/>
        <v>61678</v>
      </c>
      <c r="S45" s="37">
        <v>37539.379999999997</v>
      </c>
      <c r="T45" s="38">
        <v>45855</v>
      </c>
    </row>
    <row r="46" spans="1:20" ht="87" customHeight="1" x14ac:dyDescent="0.3">
      <c r="A46" s="11">
        <v>32</v>
      </c>
      <c r="B46" s="11" t="s">
        <v>158</v>
      </c>
      <c r="C46" s="39" t="s">
        <v>159</v>
      </c>
      <c r="D46" s="52" t="s">
        <v>241</v>
      </c>
      <c r="E46" s="51" t="s">
        <v>46</v>
      </c>
      <c r="F46" s="36"/>
      <c r="G46" s="53">
        <v>32890</v>
      </c>
      <c r="H46" s="56" t="s">
        <v>154</v>
      </c>
      <c r="I46" s="57">
        <v>5007091366</v>
      </c>
      <c r="J46" s="55"/>
      <c r="K46" s="53">
        <v>31460</v>
      </c>
      <c r="L46" s="54" t="s">
        <v>155</v>
      </c>
      <c r="M46" s="58">
        <v>9726012838</v>
      </c>
      <c r="N46" s="59"/>
      <c r="O46" s="53">
        <v>28600</v>
      </c>
      <c r="P46" s="54" t="s">
        <v>156</v>
      </c>
      <c r="Q46" s="58">
        <v>9731109232</v>
      </c>
      <c r="R46" s="53">
        <f t="shared" si="0"/>
        <v>28600</v>
      </c>
      <c r="S46" s="37">
        <v>22720.52</v>
      </c>
      <c r="T46" s="38">
        <v>45855</v>
      </c>
    </row>
    <row r="47" spans="1:20" ht="223.5" customHeight="1" x14ac:dyDescent="0.3">
      <c r="A47" s="11">
        <v>33</v>
      </c>
      <c r="B47" s="11" t="s">
        <v>158</v>
      </c>
      <c r="C47" s="39" t="s">
        <v>303</v>
      </c>
      <c r="D47" s="52" t="s">
        <v>240</v>
      </c>
      <c r="E47" s="51" t="s">
        <v>46</v>
      </c>
      <c r="F47" s="36"/>
      <c r="G47" s="53">
        <v>70929.7</v>
      </c>
      <c r="H47" s="56" t="s">
        <v>154</v>
      </c>
      <c r="I47" s="57">
        <v>5007091366</v>
      </c>
      <c r="J47" s="55"/>
      <c r="K47" s="53">
        <v>67845.8</v>
      </c>
      <c r="L47" s="54" t="s">
        <v>155</v>
      </c>
      <c r="M47" s="58">
        <v>9726012838</v>
      </c>
      <c r="N47" s="59"/>
      <c r="O47" s="53">
        <v>61678</v>
      </c>
      <c r="P47" s="56" t="s">
        <v>156</v>
      </c>
      <c r="Q47" s="57">
        <v>9731109232</v>
      </c>
      <c r="R47" s="53">
        <f t="shared" si="0"/>
        <v>61678</v>
      </c>
      <c r="S47" s="37">
        <v>37539.379999999997</v>
      </c>
      <c r="T47" s="38">
        <v>45855</v>
      </c>
    </row>
    <row r="48" spans="1:20" ht="118.5" customHeight="1" x14ac:dyDescent="0.3">
      <c r="A48" s="11">
        <v>34</v>
      </c>
      <c r="B48" s="11" t="s">
        <v>158</v>
      </c>
      <c r="C48" s="39" t="s">
        <v>161</v>
      </c>
      <c r="D48" s="52" t="s">
        <v>239</v>
      </c>
      <c r="E48" s="51" t="s">
        <v>46</v>
      </c>
      <c r="F48" s="36"/>
      <c r="G48" s="53">
        <v>32890</v>
      </c>
      <c r="H48" s="56" t="s">
        <v>154</v>
      </c>
      <c r="I48" s="57">
        <v>5007091366</v>
      </c>
      <c r="J48" s="55"/>
      <c r="K48" s="53">
        <v>31460</v>
      </c>
      <c r="L48" s="54" t="s">
        <v>155</v>
      </c>
      <c r="M48" s="58">
        <v>9726012838</v>
      </c>
      <c r="N48" s="59"/>
      <c r="O48" s="53">
        <v>28600</v>
      </c>
      <c r="P48" s="54" t="s">
        <v>156</v>
      </c>
      <c r="Q48" s="58">
        <v>9731109232</v>
      </c>
      <c r="R48" s="53">
        <f t="shared" si="0"/>
        <v>28600</v>
      </c>
      <c r="S48" s="37">
        <v>22720.52</v>
      </c>
      <c r="T48" s="38">
        <v>45855</v>
      </c>
    </row>
    <row r="49" spans="1:20" ht="118.5" customHeight="1" x14ac:dyDescent="0.3">
      <c r="A49" s="11">
        <v>35</v>
      </c>
      <c r="B49" s="11" t="s">
        <v>158</v>
      </c>
      <c r="C49" s="39" t="s">
        <v>160</v>
      </c>
      <c r="D49" s="52" t="s">
        <v>242</v>
      </c>
      <c r="E49" s="51" t="s">
        <v>46</v>
      </c>
      <c r="F49" s="36"/>
      <c r="G49" s="53">
        <v>32890</v>
      </c>
      <c r="H49" s="56" t="s">
        <v>154</v>
      </c>
      <c r="I49" s="57">
        <v>5007091366</v>
      </c>
      <c r="J49" s="55"/>
      <c r="K49" s="53">
        <v>31460</v>
      </c>
      <c r="L49" s="54" t="s">
        <v>155</v>
      </c>
      <c r="M49" s="58">
        <v>9726012838</v>
      </c>
      <c r="N49" s="59"/>
      <c r="O49" s="53">
        <v>28600</v>
      </c>
      <c r="P49" s="56" t="s">
        <v>156</v>
      </c>
      <c r="Q49" s="57">
        <v>9731109232</v>
      </c>
      <c r="R49" s="53">
        <f t="shared" si="0"/>
        <v>28600</v>
      </c>
      <c r="S49" s="37">
        <v>22720.52</v>
      </c>
      <c r="T49" s="38">
        <v>45855</v>
      </c>
    </row>
    <row r="50" spans="1:20" ht="118.5" customHeight="1" x14ac:dyDescent="0.3">
      <c r="A50" s="11">
        <v>36</v>
      </c>
      <c r="B50" s="11" t="s">
        <v>158</v>
      </c>
      <c r="C50" s="39" t="s">
        <v>162</v>
      </c>
      <c r="D50" s="52" t="s">
        <v>242</v>
      </c>
      <c r="E50" s="51" t="s">
        <v>46</v>
      </c>
      <c r="F50" s="36"/>
      <c r="G50" s="53">
        <v>32890</v>
      </c>
      <c r="H50" s="56" t="s">
        <v>154</v>
      </c>
      <c r="I50" s="57">
        <v>5007091366</v>
      </c>
      <c r="J50" s="55"/>
      <c r="K50" s="53">
        <v>31460</v>
      </c>
      <c r="L50" s="54" t="s">
        <v>155</v>
      </c>
      <c r="M50" s="58">
        <v>9726012838</v>
      </c>
      <c r="N50" s="59"/>
      <c r="O50" s="53">
        <v>28600</v>
      </c>
      <c r="P50" s="54" t="s">
        <v>156</v>
      </c>
      <c r="Q50" s="58">
        <v>9731109232</v>
      </c>
      <c r="R50" s="53">
        <f t="shared" si="0"/>
        <v>28600</v>
      </c>
      <c r="S50" s="37">
        <v>22720.52</v>
      </c>
      <c r="T50" s="38">
        <v>45855</v>
      </c>
    </row>
    <row r="51" spans="1:20" ht="118.5" customHeight="1" x14ac:dyDescent="0.3">
      <c r="A51" s="11">
        <v>37</v>
      </c>
      <c r="B51" s="11" t="s">
        <v>164</v>
      </c>
      <c r="C51" s="39" t="s">
        <v>163</v>
      </c>
      <c r="D51" s="52" t="s">
        <v>242</v>
      </c>
      <c r="E51" s="51" t="s">
        <v>46</v>
      </c>
      <c r="F51" s="36"/>
      <c r="G51" s="53">
        <v>70929.7</v>
      </c>
      <c r="H51" s="56" t="s">
        <v>154</v>
      </c>
      <c r="I51" s="57">
        <v>5007091366</v>
      </c>
      <c r="J51" s="55"/>
      <c r="K51" s="53">
        <v>67845.8</v>
      </c>
      <c r="L51" s="54" t="s">
        <v>155</v>
      </c>
      <c r="M51" s="58">
        <v>9726012838</v>
      </c>
      <c r="N51" s="59"/>
      <c r="O51" s="53">
        <v>61678</v>
      </c>
      <c r="P51" s="54" t="s">
        <v>156</v>
      </c>
      <c r="Q51" s="58">
        <v>9731109232</v>
      </c>
      <c r="R51" s="53">
        <f t="shared" si="0"/>
        <v>61678</v>
      </c>
      <c r="S51" s="37">
        <v>37539.379999999997</v>
      </c>
      <c r="T51" s="38">
        <v>45855</v>
      </c>
    </row>
    <row r="52" spans="1:20" ht="50.25" customHeight="1" x14ac:dyDescent="0.3">
      <c r="A52" s="11">
        <v>38</v>
      </c>
      <c r="B52" s="11" t="s">
        <v>164</v>
      </c>
      <c r="C52" s="39" t="s">
        <v>165</v>
      </c>
      <c r="D52" s="52" t="s">
        <v>242</v>
      </c>
      <c r="E52" s="51" t="s">
        <v>46</v>
      </c>
      <c r="F52" s="36"/>
      <c r="G52" s="53">
        <v>70929.7</v>
      </c>
      <c r="H52" s="56" t="s">
        <v>154</v>
      </c>
      <c r="I52" s="57">
        <v>5007091366</v>
      </c>
      <c r="J52" s="55"/>
      <c r="K52" s="53">
        <v>67845.8</v>
      </c>
      <c r="L52" s="54" t="s">
        <v>155</v>
      </c>
      <c r="M52" s="58">
        <v>9726012838</v>
      </c>
      <c r="N52" s="59"/>
      <c r="O52" s="53">
        <v>61678</v>
      </c>
      <c r="P52" s="56" t="s">
        <v>156</v>
      </c>
      <c r="Q52" s="57">
        <v>9731109232</v>
      </c>
      <c r="R52" s="53">
        <f t="shared" si="0"/>
        <v>61678</v>
      </c>
      <c r="S52" s="37">
        <v>37539.379999999997</v>
      </c>
      <c r="T52" s="38">
        <v>45855</v>
      </c>
    </row>
    <row r="53" spans="1:20" ht="90" customHeight="1" x14ac:dyDescent="0.3">
      <c r="A53" s="11">
        <v>39</v>
      </c>
      <c r="B53" s="11" t="s">
        <v>166</v>
      </c>
      <c r="C53" s="39" t="s">
        <v>176</v>
      </c>
      <c r="D53" s="52" t="s">
        <v>243</v>
      </c>
      <c r="E53" s="51" t="s">
        <v>46</v>
      </c>
      <c r="F53" s="36"/>
      <c r="G53" s="53">
        <v>62409.35</v>
      </c>
      <c r="H53" s="56" t="s">
        <v>154</v>
      </c>
      <c r="I53" s="57">
        <v>5007091366</v>
      </c>
      <c r="J53" s="55"/>
      <c r="K53" s="53">
        <v>59695.9</v>
      </c>
      <c r="L53" s="54" t="s">
        <v>155</v>
      </c>
      <c r="M53" s="58">
        <v>9726012838</v>
      </c>
      <c r="N53" s="59"/>
      <c r="O53" s="53">
        <v>54269</v>
      </c>
      <c r="P53" s="54" t="s">
        <v>156</v>
      </c>
      <c r="Q53" s="58">
        <v>9731109232</v>
      </c>
      <c r="R53" s="53">
        <f t="shared" si="0"/>
        <v>54269</v>
      </c>
      <c r="S53" s="37">
        <v>43419.199999999997</v>
      </c>
      <c r="T53" s="38">
        <v>45855</v>
      </c>
    </row>
    <row r="54" spans="1:20" ht="91.5" customHeight="1" x14ac:dyDescent="0.3">
      <c r="A54" s="11">
        <v>40</v>
      </c>
      <c r="B54" s="11" t="s">
        <v>166</v>
      </c>
      <c r="C54" s="39" t="s">
        <v>173</v>
      </c>
      <c r="D54" s="52" t="s">
        <v>244</v>
      </c>
      <c r="E54" s="51" t="s">
        <v>46</v>
      </c>
      <c r="F54" s="36"/>
      <c r="G54" s="53">
        <v>69526.7</v>
      </c>
      <c r="H54" s="56" t="s">
        <v>154</v>
      </c>
      <c r="I54" s="57">
        <v>5007091366</v>
      </c>
      <c r="J54" s="55"/>
      <c r="K54" s="53">
        <v>66503.8</v>
      </c>
      <c r="L54" s="54" t="s">
        <v>155</v>
      </c>
      <c r="M54" s="58">
        <v>9726012838</v>
      </c>
      <c r="N54" s="59"/>
      <c r="O54" s="53">
        <v>60458</v>
      </c>
      <c r="P54" s="54" t="s">
        <v>156</v>
      </c>
      <c r="Q54" s="58">
        <v>9731109232</v>
      </c>
      <c r="R54" s="53">
        <f t="shared" si="0"/>
        <v>60458</v>
      </c>
      <c r="S54" s="37">
        <v>49182.44</v>
      </c>
      <c r="T54" s="38">
        <v>45855</v>
      </c>
    </row>
    <row r="55" spans="1:20" ht="73.5" customHeight="1" x14ac:dyDescent="0.3">
      <c r="A55" s="11">
        <v>41</v>
      </c>
      <c r="B55" s="11" t="s">
        <v>166</v>
      </c>
      <c r="C55" s="39" t="s">
        <v>172</v>
      </c>
      <c r="D55" s="52" t="s">
        <v>245</v>
      </c>
      <c r="E55" s="51" t="s">
        <v>46</v>
      </c>
      <c r="F55" s="36"/>
      <c r="G55" s="53">
        <v>69527.7</v>
      </c>
      <c r="H55" s="56" t="s">
        <v>154</v>
      </c>
      <c r="I55" s="57">
        <v>5007091366</v>
      </c>
      <c r="J55" s="55"/>
      <c r="K55" s="53">
        <v>66503.8</v>
      </c>
      <c r="L55" s="54" t="s">
        <v>155</v>
      </c>
      <c r="M55" s="58">
        <v>9726012838</v>
      </c>
      <c r="N55" s="59"/>
      <c r="O55" s="53">
        <v>60458</v>
      </c>
      <c r="P55" s="54" t="s">
        <v>156</v>
      </c>
      <c r="Q55" s="57">
        <v>9731109232</v>
      </c>
      <c r="R55" s="53">
        <f t="shared" si="0"/>
        <v>60458</v>
      </c>
      <c r="S55" s="37">
        <v>49182.44</v>
      </c>
      <c r="T55" s="38">
        <v>45855</v>
      </c>
    </row>
    <row r="56" spans="1:20" ht="81" customHeight="1" x14ac:dyDescent="0.3">
      <c r="A56" s="11">
        <v>42</v>
      </c>
      <c r="B56" s="11" t="s">
        <v>166</v>
      </c>
      <c r="C56" s="39" t="s">
        <v>171</v>
      </c>
      <c r="D56" s="52" t="s">
        <v>246</v>
      </c>
      <c r="E56" s="51" t="s">
        <v>46</v>
      </c>
      <c r="F56" s="36"/>
      <c r="G56" s="53">
        <v>69528.7</v>
      </c>
      <c r="H56" s="56" t="s">
        <v>154</v>
      </c>
      <c r="I56" s="57">
        <v>5007091366</v>
      </c>
      <c r="J56" s="55"/>
      <c r="K56" s="53">
        <v>66503.8</v>
      </c>
      <c r="L56" s="54" t="s">
        <v>155</v>
      </c>
      <c r="M56" s="58">
        <v>9726012838</v>
      </c>
      <c r="N56" s="59"/>
      <c r="O56" s="53">
        <v>60458</v>
      </c>
      <c r="P56" s="54" t="s">
        <v>156</v>
      </c>
      <c r="Q56" s="58">
        <v>9731109232</v>
      </c>
      <c r="R56" s="53">
        <f t="shared" si="0"/>
        <v>60458</v>
      </c>
      <c r="S56" s="37">
        <v>49182.44</v>
      </c>
      <c r="T56" s="38">
        <v>45855</v>
      </c>
    </row>
    <row r="57" spans="1:20" ht="43.5" customHeight="1" x14ac:dyDescent="0.3">
      <c r="A57" s="11">
        <v>43</v>
      </c>
      <c r="B57" s="11" t="s">
        <v>174</v>
      </c>
      <c r="C57" s="39" t="s">
        <v>175</v>
      </c>
      <c r="D57" s="52" t="s">
        <v>246</v>
      </c>
      <c r="E57" s="51" t="s">
        <v>46</v>
      </c>
      <c r="F57" s="36"/>
      <c r="G57" s="53">
        <v>4485</v>
      </c>
      <c r="H57" s="56" t="s">
        <v>154</v>
      </c>
      <c r="I57" s="57">
        <v>5007091366</v>
      </c>
      <c r="J57" s="55"/>
      <c r="K57" s="53">
        <v>4290</v>
      </c>
      <c r="L57" s="54" t="s">
        <v>155</v>
      </c>
      <c r="M57" s="58">
        <v>9726012838</v>
      </c>
      <c r="N57" s="59"/>
      <c r="O57" s="53">
        <v>3900</v>
      </c>
      <c r="P57" s="54" t="s">
        <v>156</v>
      </c>
      <c r="Q57" s="58">
        <v>9731109232</v>
      </c>
      <c r="R57" s="53">
        <f t="shared" si="0"/>
        <v>3900</v>
      </c>
      <c r="S57" s="37"/>
      <c r="T57" s="38">
        <v>45855</v>
      </c>
    </row>
    <row r="58" spans="1:20" ht="39.75" customHeight="1" x14ac:dyDescent="0.3">
      <c r="A58" s="11">
        <v>44</v>
      </c>
      <c r="B58" s="11" t="s">
        <v>177</v>
      </c>
      <c r="C58" s="39" t="s">
        <v>178</v>
      </c>
      <c r="D58" s="52" t="s">
        <v>246</v>
      </c>
      <c r="E58" s="51" t="s">
        <v>46</v>
      </c>
      <c r="F58" s="36"/>
      <c r="G58" s="53">
        <v>31468.26</v>
      </c>
      <c r="H58" s="56" t="s">
        <v>154</v>
      </c>
      <c r="I58" s="57">
        <v>5007091366</v>
      </c>
      <c r="J58" s="55"/>
      <c r="K58" s="53">
        <v>30100.07</v>
      </c>
      <c r="L58" s="54" t="s">
        <v>155</v>
      </c>
      <c r="M58" s="58">
        <v>9726012838</v>
      </c>
      <c r="N58" s="59"/>
      <c r="O58" s="53">
        <v>27363.7</v>
      </c>
      <c r="P58" s="54" t="s">
        <v>156</v>
      </c>
      <c r="Q58" s="57">
        <v>9731109232</v>
      </c>
      <c r="R58" s="53">
        <f t="shared" si="0"/>
        <v>27363.7</v>
      </c>
      <c r="S58" s="37"/>
      <c r="T58" s="38">
        <v>45855</v>
      </c>
    </row>
    <row r="59" spans="1:20" ht="93.75" customHeight="1" x14ac:dyDescent="0.3">
      <c r="A59" s="11">
        <v>45</v>
      </c>
      <c r="B59" s="11" t="s">
        <v>179</v>
      </c>
      <c r="C59" s="39" t="s">
        <v>180</v>
      </c>
      <c r="D59" s="52" t="s">
        <v>247</v>
      </c>
      <c r="E59" s="51" t="s">
        <v>46</v>
      </c>
      <c r="F59" s="36"/>
      <c r="G59" s="53">
        <v>66252.649999999994</v>
      </c>
      <c r="H59" s="56" t="s">
        <v>154</v>
      </c>
      <c r="I59" s="57">
        <v>5007091366</v>
      </c>
      <c r="J59" s="55"/>
      <c r="K59" s="53">
        <v>63372.1</v>
      </c>
      <c r="L59" s="54" t="s">
        <v>155</v>
      </c>
      <c r="M59" s="58">
        <v>9726012838</v>
      </c>
      <c r="N59" s="59"/>
      <c r="O59" s="53">
        <v>57611</v>
      </c>
      <c r="P59" s="54" t="s">
        <v>156</v>
      </c>
      <c r="Q59" s="58">
        <v>9731109232</v>
      </c>
      <c r="R59" s="53">
        <f t="shared" si="0"/>
        <v>57611</v>
      </c>
      <c r="S59" s="37">
        <v>35031.33</v>
      </c>
      <c r="T59" s="38">
        <v>45855</v>
      </c>
    </row>
    <row r="60" spans="1:20" ht="78.75" customHeight="1" x14ac:dyDescent="0.3">
      <c r="A60" s="11">
        <v>46</v>
      </c>
      <c r="B60" s="11" t="s">
        <v>179</v>
      </c>
      <c r="C60" s="39" t="s">
        <v>181</v>
      </c>
      <c r="D60" s="52" t="s">
        <v>247</v>
      </c>
      <c r="E60" s="51" t="s">
        <v>46</v>
      </c>
      <c r="F60" s="36"/>
      <c r="G60" s="53">
        <v>66252.649999999994</v>
      </c>
      <c r="H60" s="56" t="s">
        <v>154</v>
      </c>
      <c r="I60" s="57">
        <v>5007091366</v>
      </c>
      <c r="J60" s="55"/>
      <c r="K60" s="53">
        <v>63372.1</v>
      </c>
      <c r="L60" s="54" t="s">
        <v>155</v>
      </c>
      <c r="M60" s="58">
        <v>9726012838</v>
      </c>
      <c r="N60" s="59"/>
      <c r="O60" s="53">
        <v>57611</v>
      </c>
      <c r="P60" s="54" t="s">
        <v>156</v>
      </c>
      <c r="Q60" s="57">
        <v>9731109232</v>
      </c>
      <c r="R60" s="53">
        <f t="shared" si="0"/>
        <v>57611</v>
      </c>
      <c r="S60" s="37">
        <v>35031.33</v>
      </c>
      <c r="T60" s="38">
        <v>45855</v>
      </c>
    </row>
    <row r="61" spans="1:20" ht="76.5" customHeight="1" x14ac:dyDescent="0.3">
      <c r="A61" s="11">
        <v>47</v>
      </c>
      <c r="B61" s="11" t="s">
        <v>179</v>
      </c>
      <c r="C61" s="39" t="s">
        <v>182</v>
      </c>
      <c r="D61" s="52" t="s">
        <v>248</v>
      </c>
      <c r="E61" s="51" t="s">
        <v>46</v>
      </c>
      <c r="F61" s="36"/>
      <c r="G61" s="53">
        <v>63458.15</v>
      </c>
      <c r="H61" s="56" t="s">
        <v>154</v>
      </c>
      <c r="I61" s="57">
        <v>5007091366</v>
      </c>
      <c r="J61" s="55"/>
      <c r="K61" s="53">
        <v>60699.1</v>
      </c>
      <c r="L61" s="54" t="s">
        <v>155</v>
      </c>
      <c r="M61" s="58">
        <v>9726012838</v>
      </c>
      <c r="N61" s="59"/>
      <c r="O61" s="53">
        <v>55181</v>
      </c>
      <c r="P61" s="54" t="s">
        <v>156</v>
      </c>
      <c r="Q61" s="58">
        <v>9731109232</v>
      </c>
      <c r="R61" s="53">
        <f t="shared" si="0"/>
        <v>55181</v>
      </c>
      <c r="S61" s="37">
        <v>35031.33</v>
      </c>
      <c r="T61" s="38">
        <v>45855</v>
      </c>
    </row>
    <row r="62" spans="1:20" ht="88.5" customHeight="1" x14ac:dyDescent="0.3">
      <c r="A62" s="11">
        <v>48</v>
      </c>
      <c r="B62" s="11" t="s">
        <v>179</v>
      </c>
      <c r="C62" s="39" t="s">
        <v>183</v>
      </c>
      <c r="D62" s="52" t="s">
        <v>249</v>
      </c>
      <c r="E62" s="51" t="s">
        <v>46</v>
      </c>
      <c r="F62" s="36"/>
      <c r="G62" s="53">
        <v>63458.15</v>
      </c>
      <c r="H62" s="56" t="s">
        <v>154</v>
      </c>
      <c r="I62" s="57">
        <v>5007091366</v>
      </c>
      <c r="J62" s="55"/>
      <c r="K62" s="53">
        <v>60699.1</v>
      </c>
      <c r="L62" s="54" t="s">
        <v>155</v>
      </c>
      <c r="M62" s="58">
        <v>9726012838</v>
      </c>
      <c r="N62" s="59"/>
      <c r="O62" s="53">
        <v>55181</v>
      </c>
      <c r="P62" s="54" t="s">
        <v>156</v>
      </c>
      <c r="Q62" s="57">
        <v>9731109232</v>
      </c>
      <c r="R62" s="53">
        <f t="shared" si="0"/>
        <v>55181</v>
      </c>
      <c r="S62" s="37">
        <v>35031.33</v>
      </c>
      <c r="T62" s="38">
        <v>45855</v>
      </c>
    </row>
    <row r="63" spans="1:20" ht="92.25" customHeight="1" x14ac:dyDescent="0.3">
      <c r="A63" s="11">
        <v>49</v>
      </c>
      <c r="B63" s="11" t="s">
        <v>179</v>
      </c>
      <c r="C63" s="39" t="s">
        <v>184</v>
      </c>
      <c r="D63" s="52" t="s">
        <v>250</v>
      </c>
      <c r="E63" s="51" t="s">
        <v>46</v>
      </c>
      <c r="F63" s="36"/>
      <c r="G63" s="53">
        <v>63458.15</v>
      </c>
      <c r="H63" s="56" t="s">
        <v>154</v>
      </c>
      <c r="I63" s="57">
        <v>5007091366</v>
      </c>
      <c r="J63" s="55"/>
      <c r="K63" s="53">
        <v>60699.1</v>
      </c>
      <c r="L63" s="54" t="s">
        <v>155</v>
      </c>
      <c r="M63" s="58">
        <v>9726012838</v>
      </c>
      <c r="N63" s="59"/>
      <c r="O63" s="53">
        <v>55181</v>
      </c>
      <c r="P63" s="54" t="s">
        <v>156</v>
      </c>
      <c r="Q63" s="58">
        <v>9731109232</v>
      </c>
      <c r="R63" s="53">
        <f t="shared" si="0"/>
        <v>55181</v>
      </c>
      <c r="S63" s="37">
        <v>35031.33</v>
      </c>
      <c r="T63" s="38">
        <v>45855</v>
      </c>
    </row>
    <row r="64" spans="1:20" ht="91.5" customHeight="1" x14ac:dyDescent="0.3">
      <c r="A64" s="11">
        <v>50</v>
      </c>
      <c r="B64" s="11" t="s">
        <v>179</v>
      </c>
      <c r="C64" s="39" t="s">
        <v>185</v>
      </c>
      <c r="D64" s="52" t="s">
        <v>251</v>
      </c>
      <c r="E64" s="51" t="s">
        <v>46</v>
      </c>
      <c r="F64" s="36"/>
      <c r="G64" s="53">
        <v>69526.7</v>
      </c>
      <c r="H64" s="56" t="s">
        <v>154</v>
      </c>
      <c r="I64" s="57">
        <v>5007091366</v>
      </c>
      <c r="J64" s="55"/>
      <c r="K64" s="53">
        <v>66503.8</v>
      </c>
      <c r="L64" s="54" t="s">
        <v>155</v>
      </c>
      <c r="M64" s="58">
        <v>9726012838</v>
      </c>
      <c r="N64" s="59"/>
      <c r="O64" s="53">
        <v>60458</v>
      </c>
      <c r="P64" s="54" t="s">
        <v>156</v>
      </c>
      <c r="Q64" s="57">
        <v>9731109232</v>
      </c>
      <c r="R64" s="53">
        <f t="shared" si="0"/>
        <v>60458</v>
      </c>
      <c r="S64" s="37">
        <v>38219.42</v>
      </c>
      <c r="T64" s="38">
        <v>45855</v>
      </c>
    </row>
    <row r="65" spans="1:20" ht="93.75" customHeight="1" x14ac:dyDescent="0.3">
      <c r="A65" s="11">
        <v>51</v>
      </c>
      <c r="B65" s="11" t="s">
        <v>179</v>
      </c>
      <c r="C65" s="39" t="s">
        <v>186</v>
      </c>
      <c r="D65" s="52" t="s">
        <v>252</v>
      </c>
      <c r="E65" s="51" t="s">
        <v>46</v>
      </c>
      <c r="F65" s="36"/>
      <c r="G65" s="53">
        <v>70389.2</v>
      </c>
      <c r="H65" s="56" t="s">
        <v>154</v>
      </c>
      <c r="I65" s="57">
        <v>5007091366</v>
      </c>
      <c r="J65" s="55"/>
      <c r="K65" s="53">
        <v>67328.800000000003</v>
      </c>
      <c r="L65" s="54" t="s">
        <v>155</v>
      </c>
      <c r="M65" s="58">
        <v>9726012838</v>
      </c>
      <c r="N65" s="59"/>
      <c r="O65" s="53">
        <v>61208</v>
      </c>
      <c r="P65" s="54" t="s">
        <v>156</v>
      </c>
      <c r="Q65" s="57">
        <v>9731109232</v>
      </c>
      <c r="R65" s="53">
        <f t="shared" si="0"/>
        <v>61208</v>
      </c>
      <c r="S65" s="37">
        <v>41407.51</v>
      </c>
      <c r="T65" s="38">
        <v>45855</v>
      </c>
    </row>
    <row r="66" spans="1:20" ht="118.5" customHeight="1" x14ac:dyDescent="0.3">
      <c r="A66" s="11">
        <v>52</v>
      </c>
      <c r="B66" s="11" t="s">
        <v>187</v>
      </c>
      <c r="C66" s="39" t="s">
        <v>188</v>
      </c>
      <c r="D66" s="52" t="s">
        <v>252</v>
      </c>
      <c r="E66" s="51" t="s">
        <v>46</v>
      </c>
      <c r="F66" s="36"/>
      <c r="G66" s="53">
        <v>63458.15</v>
      </c>
      <c r="H66" s="56" t="s">
        <v>154</v>
      </c>
      <c r="I66" s="57">
        <v>5007091366</v>
      </c>
      <c r="J66" s="55"/>
      <c r="K66" s="53">
        <v>60699.1</v>
      </c>
      <c r="L66" s="54" t="s">
        <v>155</v>
      </c>
      <c r="M66" s="58">
        <v>9726012838</v>
      </c>
      <c r="N66" s="59"/>
      <c r="O66" s="53">
        <v>55181</v>
      </c>
      <c r="P66" s="54" t="s">
        <v>156</v>
      </c>
      <c r="Q66" s="58">
        <v>9731109232</v>
      </c>
      <c r="R66" s="53">
        <f t="shared" si="0"/>
        <v>55181</v>
      </c>
      <c r="S66" s="37">
        <v>35031.33</v>
      </c>
      <c r="T66" s="38">
        <v>45855</v>
      </c>
    </row>
    <row r="67" spans="1:20" ht="96.75" customHeight="1" x14ac:dyDescent="0.3">
      <c r="A67" s="11">
        <v>53</v>
      </c>
      <c r="B67" s="11" t="s">
        <v>187</v>
      </c>
      <c r="C67" s="39" t="s">
        <v>189</v>
      </c>
      <c r="D67" s="52" t="s">
        <v>252</v>
      </c>
      <c r="E67" s="51" t="s">
        <v>46</v>
      </c>
      <c r="F67" s="36"/>
      <c r="G67" s="53">
        <v>70389.2</v>
      </c>
      <c r="H67" s="56" t="s">
        <v>154</v>
      </c>
      <c r="I67" s="57">
        <v>5007091366</v>
      </c>
      <c r="J67" s="55"/>
      <c r="K67" s="53">
        <v>67328.800000000003</v>
      </c>
      <c r="L67" s="54" t="s">
        <v>155</v>
      </c>
      <c r="M67" s="58">
        <v>9726012838</v>
      </c>
      <c r="N67" s="59"/>
      <c r="O67" s="53">
        <v>61208</v>
      </c>
      <c r="P67" s="54" t="s">
        <v>156</v>
      </c>
      <c r="Q67" s="57">
        <v>9731109232</v>
      </c>
      <c r="R67" s="53">
        <f t="shared" si="0"/>
        <v>61208</v>
      </c>
      <c r="S67" s="37">
        <v>41407.51</v>
      </c>
      <c r="T67" s="38">
        <v>45855</v>
      </c>
    </row>
    <row r="68" spans="1:20" ht="92.25" customHeight="1" x14ac:dyDescent="0.3">
      <c r="A68" s="11">
        <v>54</v>
      </c>
      <c r="B68" s="11" t="s">
        <v>187</v>
      </c>
      <c r="C68" s="39" t="s">
        <v>190</v>
      </c>
      <c r="D68" s="52" t="s">
        <v>252</v>
      </c>
      <c r="E68" s="51" t="s">
        <v>46</v>
      </c>
      <c r="F68" s="36"/>
      <c r="G68" s="53">
        <v>70389.2</v>
      </c>
      <c r="H68" s="56" t="s">
        <v>154</v>
      </c>
      <c r="I68" s="57">
        <v>5007091366</v>
      </c>
      <c r="J68" s="55"/>
      <c r="K68" s="53">
        <v>67328.800000000003</v>
      </c>
      <c r="L68" s="54" t="s">
        <v>155</v>
      </c>
      <c r="M68" s="58">
        <v>9726012838</v>
      </c>
      <c r="N68" s="59"/>
      <c r="O68" s="53">
        <v>61208</v>
      </c>
      <c r="P68" s="54" t="s">
        <v>156</v>
      </c>
      <c r="Q68" s="57">
        <v>9731109232</v>
      </c>
      <c r="R68" s="53">
        <f t="shared" si="0"/>
        <v>61208</v>
      </c>
      <c r="S68" s="37">
        <v>41407.51</v>
      </c>
      <c r="T68" s="38">
        <v>45855</v>
      </c>
    </row>
    <row r="69" spans="1:20" ht="93.75" customHeight="1" x14ac:dyDescent="0.3">
      <c r="A69" s="11">
        <v>55</v>
      </c>
      <c r="B69" s="11" t="s">
        <v>187</v>
      </c>
      <c r="C69" s="39" t="s">
        <v>191</v>
      </c>
      <c r="D69" s="52" t="s">
        <v>253</v>
      </c>
      <c r="E69" s="51" t="s">
        <v>46</v>
      </c>
      <c r="F69" s="36"/>
      <c r="G69" s="53">
        <v>63458.15</v>
      </c>
      <c r="H69" s="56" t="s">
        <v>154</v>
      </c>
      <c r="I69" s="57">
        <v>5007091366</v>
      </c>
      <c r="J69" s="55"/>
      <c r="K69" s="53">
        <v>60699.1</v>
      </c>
      <c r="L69" s="54" t="s">
        <v>155</v>
      </c>
      <c r="M69" s="58">
        <v>9726012838</v>
      </c>
      <c r="N69" s="59"/>
      <c r="O69" s="53">
        <v>55181</v>
      </c>
      <c r="P69" s="54" t="s">
        <v>156</v>
      </c>
      <c r="Q69" s="57">
        <v>9731109232</v>
      </c>
      <c r="R69" s="53">
        <f t="shared" si="0"/>
        <v>55181</v>
      </c>
      <c r="S69" s="37">
        <v>35031.33</v>
      </c>
      <c r="T69" s="38">
        <v>45855</v>
      </c>
    </row>
    <row r="70" spans="1:20" ht="118.5" customHeight="1" x14ac:dyDescent="0.3">
      <c r="A70" s="11">
        <v>56</v>
      </c>
      <c r="B70" s="11" t="s">
        <v>187</v>
      </c>
      <c r="C70" s="39" t="s">
        <v>192</v>
      </c>
      <c r="D70" s="52" t="s">
        <v>254</v>
      </c>
      <c r="E70" s="51" t="s">
        <v>46</v>
      </c>
      <c r="F70" s="36"/>
      <c r="G70" s="53">
        <v>63458.15</v>
      </c>
      <c r="H70" s="56" t="s">
        <v>154</v>
      </c>
      <c r="I70" s="57">
        <v>5007091366</v>
      </c>
      <c r="J70" s="55"/>
      <c r="K70" s="53">
        <v>60699.1</v>
      </c>
      <c r="L70" s="54" t="s">
        <v>155</v>
      </c>
      <c r="M70" s="58">
        <v>9726012838</v>
      </c>
      <c r="N70" s="59"/>
      <c r="O70" s="53">
        <v>55181</v>
      </c>
      <c r="P70" s="54" t="s">
        <v>156</v>
      </c>
      <c r="Q70" s="57">
        <v>9731109232</v>
      </c>
      <c r="R70" s="53">
        <f t="shared" si="0"/>
        <v>55181</v>
      </c>
      <c r="S70" s="37">
        <v>35031.33</v>
      </c>
      <c r="T70" s="38">
        <v>45855</v>
      </c>
    </row>
    <row r="71" spans="1:20" ht="118.5" customHeight="1" x14ac:dyDescent="0.3">
      <c r="A71" s="11">
        <v>57</v>
      </c>
      <c r="B71" s="11" t="s">
        <v>187</v>
      </c>
      <c r="C71" s="39" t="s">
        <v>193</v>
      </c>
      <c r="D71" s="52" t="s">
        <v>248</v>
      </c>
      <c r="E71" s="51" t="s">
        <v>46</v>
      </c>
      <c r="F71" s="36"/>
      <c r="G71" s="53">
        <v>66252.649999999994</v>
      </c>
      <c r="H71" s="56" t="s">
        <v>154</v>
      </c>
      <c r="I71" s="57">
        <v>5007091366</v>
      </c>
      <c r="J71" s="55"/>
      <c r="K71" s="53">
        <v>63372.1</v>
      </c>
      <c r="L71" s="54" t="s">
        <v>155</v>
      </c>
      <c r="M71" s="58">
        <v>9726012838</v>
      </c>
      <c r="N71" s="59"/>
      <c r="O71" s="53">
        <v>57611</v>
      </c>
      <c r="P71" s="54" t="s">
        <v>156</v>
      </c>
      <c r="Q71" s="57">
        <v>9731109232</v>
      </c>
      <c r="R71" s="53">
        <f t="shared" si="0"/>
        <v>57611</v>
      </c>
      <c r="S71" s="37">
        <v>35031.33</v>
      </c>
      <c r="T71" s="38">
        <v>45855</v>
      </c>
    </row>
    <row r="72" spans="1:20" ht="118.5" customHeight="1" x14ac:dyDescent="0.3">
      <c r="A72" s="11">
        <v>58</v>
      </c>
      <c r="B72" s="11" t="s">
        <v>187</v>
      </c>
      <c r="C72" s="39" t="s">
        <v>194</v>
      </c>
      <c r="D72" s="52" t="s">
        <v>248</v>
      </c>
      <c r="E72" s="51" t="s">
        <v>46</v>
      </c>
      <c r="F72" s="36"/>
      <c r="G72" s="53">
        <v>66252.649999999994</v>
      </c>
      <c r="H72" s="56" t="s">
        <v>154</v>
      </c>
      <c r="I72" s="57">
        <v>5007091366</v>
      </c>
      <c r="J72" s="55"/>
      <c r="K72" s="53">
        <v>63372.1</v>
      </c>
      <c r="L72" s="54" t="s">
        <v>155</v>
      </c>
      <c r="M72" s="58">
        <v>9726012838</v>
      </c>
      <c r="N72" s="59"/>
      <c r="O72" s="53">
        <v>57611</v>
      </c>
      <c r="P72" s="54" t="s">
        <v>156</v>
      </c>
      <c r="Q72" s="57">
        <v>9731109232</v>
      </c>
      <c r="R72" s="53">
        <f t="shared" si="0"/>
        <v>57611</v>
      </c>
      <c r="S72" s="37">
        <v>35031.33</v>
      </c>
      <c r="T72" s="38">
        <v>45855</v>
      </c>
    </row>
    <row r="73" spans="1:20" ht="225" customHeight="1" x14ac:dyDescent="0.3">
      <c r="A73" s="11">
        <v>59</v>
      </c>
      <c r="B73" s="11" t="s">
        <v>34</v>
      </c>
      <c r="C73" s="39" t="s">
        <v>198</v>
      </c>
      <c r="D73" s="52" t="s">
        <v>255</v>
      </c>
      <c r="E73" s="51" t="s">
        <v>15</v>
      </c>
      <c r="F73" s="36"/>
      <c r="G73" s="53">
        <v>83300</v>
      </c>
      <c r="H73" s="56" t="s">
        <v>195</v>
      </c>
      <c r="I73" s="57">
        <v>9704077310</v>
      </c>
      <c r="J73" s="55"/>
      <c r="K73" s="53">
        <v>80700</v>
      </c>
      <c r="L73" s="54" t="s">
        <v>196</v>
      </c>
      <c r="M73" s="58">
        <v>7722774060</v>
      </c>
      <c r="N73" s="59"/>
      <c r="O73" s="53">
        <v>77850</v>
      </c>
      <c r="P73" s="54" t="s">
        <v>197</v>
      </c>
      <c r="Q73" s="57">
        <v>7728295049</v>
      </c>
      <c r="R73" s="53">
        <f t="shared" si="0"/>
        <v>77850</v>
      </c>
      <c r="S73" s="37">
        <v>29566.75</v>
      </c>
      <c r="T73" s="38">
        <v>45855</v>
      </c>
    </row>
    <row r="74" spans="1:20" ht="201.75" customHeight="1" x14ac:dyDescent="0.3">
      <c r="A74" s="11">
        <v>60</v>
      </c>
      <c r="B74" s="11" t="s">
        <v>34</v>
      </c>
      <c r="C74" s="39" t="s">
        <v>199</v>
      </c>
      <c r="D74" s="52" t="s">
        <v>255</v>
      </c>
      <c r="E74" s="51" t="s">
        <v>15</v>
      </c>
      <c r="F74" s="36"/>
      <c r="G74" s="53">
        <v>80000</v>
      </c>
      <c r="H74" s="56" t="s">
        <v>195</v>
      </c>
      <c r="I74" s="57">
        <v>9704077310</v>
      </c>
      <c r="J74" s="55"/>
      <c r="K74" s="53">
        <v>79500</v>
      </c>
      <c r="L74" s="54" t="s">
        <v>196</v>
      </c>
      <c r="M74" s="58">
        <v>7722774060</v>
      </c>
      <c r="N74" s="59"/>
      <c r="O74" s="53">
        <v>77850</v>
      </c>
      <c r="P74" s="54" t="s">
        <v>197</v>
      </c>
      <c r="Q74" s="57">
        <v>7728295049</v>
      </c>
      <c r="R74" s="53">
        <f t="shared" si="0"/>
        <v>77850</v>
      </c>
      <c r="S74" s="37">
        <v>29566.75</v>
      </c>
      <c r="T74" s="38">
        <v>45855</v>
      </c>
    </row>
    <row r="75" spans="1:20" ht="204" customHeight="1" x14ac:dyDescent="0.3">
      <c r="A75" s="11">
        <v>61</v>
      </c>
      <c r="B75" s="11" t="s">
        <v>34</v>
      </c>
      <c r="C75" s="39" t="s">
        <v>200</v>
      </c>
      <c r="D75" s="52" t="s">
        <v>255</v>
      </c>
      <c r="E75" s="51" t="s">
        <v>15</v>
      </c>
      <c r="F75" s="36"/>
      <c r="G75" s="53">
        <v>80000</v>
      </c>
      <c r="H75" s="56" t="s">
        <v>195</v>
      </c>
      <c r="I75" s="57">
        <v>9704077310</v>
      </c>
      <c r="J75" s="55"/>
      <c r="K75" s="53">
        <v>79500</v>
      </c>
      <c r="L75" s="54" t="s">
        <v>196</v>
      </c>
      <c r="M75" s="58">
        <v>7722774060</v>
      </c>
      <c r="N75" s="59"/>
      <c r="O75" s="53">
        <v>77850</v>
      </c>
      <c r="P75" s="54" t="s">
        <v>197</v>
      </c>
      <c r="Q75" s="57">
        <v>7728295049</v>
      </c>
      <c r="R75" s="53">
        <f t="shared" si="0"/>
        <v>77850</v>
      </c>
      <c r="S75" s="37">
        <v>29566.75</v>
      </c>
      <c r="T75" s="38">
        <v>45855</v>
      </c>
    </row>
    <row r="76" spans="1:20" ht="213.75" customHeight="1" x14ac:dyDescent="0.3">
      <c r="A76" s="11">
        <v>62</v>
      </c>
      <c r="B76" s="11" t="s">
        <v>34</v>
      </c>
      <c r="C76" s="39" t="s">
        <v>201</v>
      </c>
      <c r="D76" s="52" t="s">
        <v>255</v>
      </c>
      <c r="E76" s="51" t="s">
        <v>15</v>
      </c>
      <c r="F76" s="36"/>
      <c r="G76" s="53">
        <v>80000</v>
      </c>
      <c r="H76" s="56" t="s">
        <v>195</v>
      </c>
      <c r="I76" s="57">
        <v>9704077310</v>
      </c>
      <c r="J76" s="55"/>
      <c r="K76" s="53">
        <v>79500</v>
      </c>
      <c r="L76" s="54" t="s">
        <v>196</v>
      </c>
      <c r="M76" s="58">
        <v>7722774060</v>
      </c>
      <c r="N76" s="59"/>
      <c r="O76" s="53">
        <v>77850</v>
      </c>
      <c r="P76" s="54" t="s">
        <v>197</v>
      </c>
      <c r="Q76" s="57">
        <v>7728295049</v>
      </c>
      <c r="R76" s="53">
        <f t="shared" si="0"/>
        <v>77850</v>
      </c>
      <c r="S76" s="37">
        <v>29566.75</v>
      </c>
      <c r="T76" s="38">
        <v>45855</v>
      </c>
    </row>
    <row r="77" spans="1:20" ht="44.25" customHeight="1" x14ac:dyDescent="0.3">
      <c r="A77" s="11">
        <v>63</v>
      </c>
      <c r="B77" s="11" t="s">
        <v>94</v>
      </c>
      <c r="C77" s="39" t="s">
        <v>202</v>
      </c>
      <c r="D77" s="52" t="s">
        <v>238</v>
      </c>
      <c r="E77" s="51" t="s">
        <v>46</v>
      </c>
      <c r="F77" s="36"/>
      <c r="G77" s="53">
        <v>3127</v>
      </c>
      <c r="H77" s="56" t="s">
        <v>203</v>
      </c>
      <c r="I77" s="57">
        <v>5029152090</v>
      </c>
      <c r="J77" s="55"/>
      <c r="K77" s="53">
        <v>3127</v>
      </c>
      <c r="L77" s="54" t="s">
        <v>102</v>
      </c>
      <c r="M77" s="58">
        <v>9718041930</v>
      </c>
      <c r="N77" s="59"/>
      <c r="O77" s="53">
        <v>3127.2</v>
      </c>
      <c r="P77" s="54" t="s">
        <v>100</v>
      </c>
      <c r="Q77" s="57">
        <v>7743690325</v>
      </c>
      <c r="R77" s="53">
        <f>MIN(G77,K77,O77)</f>
        <v>3127</v>
      </c>
      <c r="S77" s="37"/>
      <c r="T77" s="38">
        <v>45855</v>
      </c>
    </row>
    <row r="78" spans="1:20" ht="100.5" customHeight="1" x14ac:dyDescent="0.3">
      <c r="A78" s="11">
        <v>64</v>
      </c>
      <c r="B78" s="11" t="s">
        <v>149</v>
      </c>
      <c r="C78" s="39" t="s">
        <v>204</v>
      </c>
      <c r="D78" s="52" t="s">
        <v>256</v>
      </c>
      <c r="E78" s="51" t="s">
        <v>139</v>
      </c>
      <c r="F78" s="36"/>
      <c r="G78" s="53">
        <v>20260</v>
      </c>
      <c r="H78" s="56" t="s">
        <v>205</v>
      </c>
      <c r="I78" s="57">
        <v>7733522804</v>
      </c>
      <c r="J78" s="55"/>
      <c r="K78" s="53">
        <v>25000</v>
      </c>
      <c r="L78" s="54" t="s">
        <v>206</v>
      </c>
      <c r="M78" s="58" t="s">
        <v>207</v>
      </c>
      <c r="N78" s="59"/>
      <c r="O78" s="53">
        <v>23500</v>
      </c>
      <c r="P78" s="54" t="s">
        <v>208</v>
      </c>
      <c r="Q78" s="57">
        <v>7734387957</v>
      </c>
      <c r="R78" s="53">
        <f t="shared" ref="R78:R100" si="1">MIN(G78,K78,O78)</f>
        <v>20260</v>
      </c>
      <c r="S78" s="37"/>
      <c r="T78" s="38">
        <v>45855</v>
      </c>
    </row>
    <row r="79" spans="1:20" ht="47.25" customHeight="1" x14ac:dyDescent="0.3">
      <c r="A79" s="11">
        <v>64</v>
      </c>
      <c r="B79" s="11" t="s">
        <v>259</v>
      </c>
      <c r="C79" s="39" t="s">
        <v>266</v>
      </c>
      <c r="D79" s="52" t="s">
        <v>265</v>
      </c>
      <c r="E79" s="51" t="s">
        <v>15</v>
      </c>
      <c r="F79" s="36"/>
      <c r="G79" s="53">
        <v>37</v>
      </c>
      <c r="H79" s="56" t="s">
        <v>260</v>
      </c>
      <c r="I79" s="57">
        <v>5044064120</v>
      </c>
      <c r="J79" s="55" t="s">
        <v>261</v>
      </c>
      <c r="K79" s="53">
        <v>35</v>
      </c>
      <c r="L79" s="54" t="s">
        <v>262</v>
      </c>
      <c r="M79" s="58">
        <v>6658554954</v>
      </c>
      <c r="N79" s="59" t="s">
        <v>263</v>
      </c>
      <c r="O79" s="53">
        <v>81</v>
      </c>
      <c r="P79" s="54" t="s">
        <v>264</v>
      </c>
      <c r="Q79" s="57">
        <v>1660343052</v>
      </c>
      <c r="R79" s="53">
        <f t="shared" si="1"/>
        <v>35</v>
      </c>
      <c r="S79" s="37"/>
      <c r="T79" s="38">
        <v>45855</v>
      </c>
    </row>
    <row r="80" spans="1:20" ht="39.75" customHeight="1" x14ac:dyDescent="0.3">
      <c r="A80" s="11">
        <v>65</v>
      </c>
      <c r="B80" s="11" t="s">
        <v>44</v>
      </c>
      <c r="C80" s="39" t="s">
        <v>269</v>
      </c>
      <c r="D80" s="52" t="s">
        <v>267</v>
      </c>
      <c r="E80" s="51" t="s">
        <v>15</v>
      </c>
      <c r="F80" s="36"/>
      <c r="G80" s="53">
        <v>822</v>
      </c>
      <c r="H80" s="56" t="s">
        <v>271</v>
      </c>
      <c r="I80" s="58">
        <v>500507978802</v>
      </c>
      <c r="J80" s="55"/>
      <c r="K80" s="53">
        <v>822</v>
      </c>
      <c r="L80" s="54" t="s">
        <v>272</v>
      </c>
      <c r="M80" s="58">
        <v>7743690325</v>
      </c>
      <c r="N80" s="59"/>
      <c r="O80" s="53">
        <v>822</v>
      </c>
      <c r="P80" s="54" t="s">
        <v>49</v>
      </c>
      <c r="Q80" s="57">
        <v>7733617654</v>
      </c>
      <c r="R80" s="53">
        <f t="shared" si="1"/>
        <v>822</v>
      </c>
      <c r="S80" s="37"/>
      <c r="T80" s="38">
        <v>45855</v>
      </c>
    </row>
    <row r="81" spans="1:20" ht="53.25" customHeight="1" x14ac:dyDescent="0.3">
      <c r="A81" s="11">
        <v>66</v>
      </c>
      <c r="B81" s="11" t="s">
        <v>44</v>
      </c>
      <c r="C81" s="39" t="s">
        <v>270</v>
      </c>
      <c r="D81" s="52" t="s">
        <v>268</v>
      </c>
      <c r="E81" s="51" t="s">
        <v>15</v>
      </c>
      <c r="F81" s="36"/>
      <c r="G81" s="53">
        <v>426</v>
      </c>
      <c r="H81" s="56" t="s">
        <v>271</v>
      </c>
      <c r="I81" s="58">
        <v>500507978802</v>
      </c>
      <c r="J81" s="55"/>
      <c r="K81" s="53">
        <v>426</v>
      </c>
      <c r="L81" s="54" t="s">
        <v>272</v>
      </c>
      <c r="M81" s="58">
        <v>7743690325</v>
      </c>
      <c r="N81" s="59"/>
      <c r="O81" s="53">
        <v>426</v>
      </c>
      <c r="P81" s="54" t="s">
        <v>49</v>
      </c>
      <c r="Q81" s="57">
        <v>7733617654</v>
      </c>
      <c r="R81" s="53">
        <f t="shared" si="1"/>
        <v>426</v>
      </c>
      <c r="S81" s="37"/>
      <c r="T81" s="38">
        <v>45855</v>
      </c>
    </row>
    <row r="82" spans="1:20" ht="47.25" customHeight="1" x14ac:dyDescent="0.3">
      <c r="A82" s="11">
        <v>67</v>
      </c>
      <c r="B82" s="11" t="s">
        <v>281</v>
      </c>
      <c r="C82" s="39" t="s">
        <v>282</v>
      </c>
      <c r="D82" s="52" t="s">
        <v>280</v>
      </c>
      <c r="E82" s="51" t="s">
        <v>46</v>
      </c>
      <c r="F82" s="36"/>
      <c r="G82" s="53">
        <v>17708</v>
      </c>
      <c r="H82" s="56" t="s">
        <v>283</v>
      </c>
      <c r="I82" s="58">
        <v>9728010522</v>
      </c>
      <c r="J82" s="55" t="s">
        <v>284</v>
      </c>
      <c r="K82" s="53">
        <v>8217</v>
      </c>
      <c r="L82" s="54" t="s">
        <v>285</v>
      </c>
      <c r="M82" s="58">
        <v>2308224977</v>
      </c>
      <c r="N82" s="59" t="s">
        <v>286</v>
      </c>
      <c r="O82" s="53">
        <v>8389</v>
      </c>
      <c r="P82" s="54" t="s">
        <v>128</v>
      </c>
      <c r="Q82" s="57">
        <v>7733900598</v>
      </c>
      <c r="R82" s="53">
        <f t="shared" si="1"/>
        <v>8217</v>
      </c>
      <c r="S82" s="37"/>
      <c r="T82" s="38">
        <v>45855</v>
      </c>
    </row>
    <row r="83" spans="1:20" ht="28.5" customHeight="1" x14ac:dyDescent="0.3">
      <c r="A83" s="11">
        <v>68</v>
      </c>
      <c r="B83" s="11" t="s">
        <v>93</v>
      </c>
      <c r="C83" s="39" t="s">
        <v>288</v>
      </c>
      <c r="D83" s="52" t="s">
        <v>287</v>
      </c>
      <c r="E83" s="51" t="s">
        <v>15</v>
      </c>
      <c r="F83" s="36"/>
      <c r="G83" s="53">
        <v>17100</v>
      </c>
      <c r="H83" s="56" t="s">
        <v>289</v>
      </c>
      <c r="I83" s="58">
        <v>7751024400</v>
      </c>
      <c r="J83" s="55"/>
      <c r="K83" s="53">
        <v>17100</v>
      </c>
      <c r="L83" s="54" t="s">
        <v>290</v>
      </c>
      <c r="M83" s="72">
        <v>7713406550</v>
      </c>
      <c r="N83" s="59"/>
      <c r="O83" s="53">
        <v>19210</v>
      </c>
      <c r="P83" s="54" t="s">
        <v>291</v>
      </c>
      <c r="Q83" s="73">
        <v>7842435492</v>
      </c>
      <c r="R83" s="53">
        <f t="shared" si="1"/>
        <v>17100</v>
      </c>
      <c r="S83" s="37"/>
      <c r="T83" s="38">
        <v>45855</v>
      </c>
    </row>
    <row r="84" spans="1:20" ht="39.75" customHeight="1" x14ac:dyDescent="0.3">
      <c r="A84" s="11">
        <v>69</v>
      </c>
      <c r="B84" s="11" t="s">
        <v>294</v>
      </c>
      <c r="C84" s="39" t="s">
        <v>293</v>
      </c>
      <c r="D84" s="52" t="s">
        <v>292</v>
      </c>
      <c r="E84" s="51" t="s">
        <v>15</v>
      </c>
      <c r="F84" s="36"/>
      <c r="G84" s="53">
        <v>4800</v>
      </c>
      <c r="H84" s="56" t="s">
        <v>295</v>
      </c>
      <c r="I84" s="58">
        <v>5003139909</v>
      </c>
      <c r="J84" s="55"/>
      <c r="K84" s="53">
        <v>4800</v>
      </c>
      <c r="L84" s="54" t="s">
        <v>296</v>
      </c>
      <c r="M84" s="72">
        <v>7717766306</v>
      </c>
      <c r="N84" s="59"/>
      <c r="O84" s="53">
        <v>4690</v>
      </c>
      <c r="P84" s="54" t="s">
        <v>295</v>
      </c>
      <c r="Q84" s="73">
        <v>5003139909</v>
      </c>
      <c r="R84" s="53">
        <f t="shared" si="1"/>
        <v>4690</v>
      </c>
      <c r="S84" s="37"/>
      <c r="T84" s="38">
        <v>45855</v>
      </c>
    </row>
    <row r="85" spans="1:20" ht="30.75" customHeight="1" x14ac:dyDescent="0.3">
      <c r="A85" s="11">
        <v>70</v>
      </c>
      <c r="B85" s="11" t="s">
        <v>164</v>
      </c>
      <c r="C85" s="39" t="s">
        <v>298</v>
      </c>
      <c r="D85" s="52" t="s">
        <v>297</v>
      </c>
      <c r="E85" s="51" t="s">
        <v>15</v>
      </c>
      <c r="F85" s="36"/>
      <c r="G85" s="53">
        <v>9500</v>
      </c>
      <c r="H85" s="56" t="s">
        <v>299</v>
      </c>
      <c r="I85" s="58">
        <v>7708332976</v>
      </c>
      <c r="J85" s="55"/>
      <c r="K85" s="53">
        <v>16597</v>
      </c>
      <c r="L85" s="54" t="s">
        <v>300</v>
      </c>
      <c r="M85" s="72">
        <v>402504321431</v>
      </c>
      <c r="N85" s="59"/>
      <c r="O85" s="53">
        <v>7500</v>
      </c>
      <c r="P85" s="54" t="s">
        <v>301</v>
      </c>
      <c r="Q85" s="72">
        <v>773421924222</v>
      </c>
      <c r="R85" s="53">
        <f t="shared" si="1"/>
        <v>7500</v>
      </c>
      <c r="S85" s="37"/>
      <c r="T85" s="38">
        <v>45855</v>
      </c>
    </row>
    <row r="86" spans="1:20" ht="55.5" customHeight="1" x14ac:dyDescent="0.3">
      <c r="A86" s="11">
        <v>72</v>
      </c>
      <c r="B86" s="11" t="s">
        <v>304</v>
      </c>
      <c r="C86" s="39" t="s">
        <v>308</v>
      </c>
      <c r="D86" s="52" t="s">
        <v>324</v>
      </c>
      <c r="E86" s="51" t="s">
        <v>15</v>
      </c>
      <c r="F86" s="36"/>
      <c r="G86" s="53">
        <v>147159.6</v>
      </c>
      <c r="H86" s="56" t="s">
        <v>306</v>
      </c>
      <c r="I86" s="58">
        <v>9701120920</v>
      </c>
      <c r="J86" s="55"/>
      <c r="K86" s="53">
        <f>5.8*1.63*4740</f>
        <v>44811.959999999992</v>
      </c>
      <c r="L86" s="54" t="s">
        <v>307</v>
      </c>
      <c r="M86" s="72">
        <v>7720387266</v>
      </c>
      <c r="N86" s="59"/>
      <c r="O86" s="53">
        <v>766659.07</v>
      </c>
      <c r="P86" s="54" t="s">
        <v>325</v>
      </c>
      <c r="Q86" s="72">
        <v>7802898977</v>
      </c>
      <c r="R86" s="53">
        <f t="shared" si="1"/>
        <v>44811.959999999992</v>
      </c>
      <c r="S86" s="37"/>
      <c r="T86" s="38">
        <v>45855</v>
      </c>
    </row>
    <row r="87" spans="1:20" ht="55.5" customHeight="1" x14ac:dyDescent="0.3">
      <c r="A87" s="11">
        <v>73</v>
      </c>
      <c r="B87" s="11" t="s">
        <v>304</v>
      </c>
      <c r="C87" s="39" t="s">
        <v>309</v>
      </c>
      <c r="D87" s="52" t="s">
        <v>324</v>
      </c>
      <c r="E87" s="51" t="s">
        <v>15</v>
      </c>
      <c r="F87" s="36"/>
      <c r="G87" s="53">
        <v>175429.95</v>
      </c>
      <c r="H87" s="56" t="s">
        <v>306</v>
      </c>
      <c r="I87" s="58">
        <v>9701120920</v>
      </c>
      <c r="J87" s="55"/>
      <c r="K87" s="53">
        <f>10.415*1.07*4740</f>
        <v>52822.796999999999</v>
      </c>
      <c r="L87" s="54" t="s">
        <v>307</v>
      </c>
      <c r="M87" s="72">
        <v>7720387266</v>
      </c>
      <c r="N87" s="59"/>
      <c r="O87" s="53">
        <v>929172.29</v>
      </c>
      <c r="P87" s="54" t="s">
        <v>325</v>
      </c>
      <c r="Q87" s="72">
        <v>7802898977</v>
      </c>
      <c r="R87" s="53">
        <f t="shared" si="1"/>
        <v>52822.796999999999</v>
      </c>
      <c r="S87" s="37"/>
      <c r="T87" s="38">
        <v>45855</v>
      </c>
    </row>
    <row r="88" spans="1:20" ht="55.5" customHeight="1" x14ac:dyDescent="0.3">
      <c r="A88" s="11">
        <v>74</v>
      </c>
      <c r="B88" s="11" t="s">
        <v>305</v>
      </c>
      <c r="C88" s="39" t="s">
        <v>310</v>
      </c>
      <c r="D88" s="52" t="s">
        <v>324</v>
      </c>
      <c r="E88" s="51" t="s">
        <v>15</v>
      </c>
      <c r="F88" s="36"/>
      <c r="G88" s="53">
        <v>28944</v>
      </c>
      <c r="H88" s="56" t="s">
        <v>306</v>
      </c>
      <c r="I88" s="58">
        <v>9701120920</v>
      </c>
      <c r="J88" s="55"/>
      <c r="K88" s="53">
        <f>1.2*1.5*4740</f>
        <v>8532</v>
      </c>
      <c r="L88" s="54" t="s">
        <v>307</v>
      </c>
      <c r="M88" s="72">
        <v>7720387266</v>
      </c>
      <c r="N88" s="59"/>
      <c r="O88" s="53">
        <v>20524.28</v>
      </c>
      <c r="P88" s="54" t="s">
        <v>325</v>
      </c>
      <c r="Q88" s="72">
        <v>7802898977</v>
      </c>
      <c r="R88" s="53">
        <f t="shared" si="1"/>
        <v>8532</v>
      </c>
      <c r="S88" s="37"/>
      <c r="T88" s="38">
        <v>45855</v>
      </c>
    </row>
    <row r="89" spans="1:20" ht="55.5" customHeight="1" x14ac:dyDescent="0.3">
      <c r="A89" s="11">
        <v>75</v>
      </c>
      <c r="B89" s="11" t="s">
        <v>305</v>
      </c>
      <c r="C89" s="39" t="s">
        <v>311</v>
      </c>
      <c r="D89" s="52" t="s">
        <v>324</v>
      </c>
      <c r="E89" s="51" t="s">
        <v>15</v>
      </c>
      <c r="F89" s="36"/>
      <c r="G89" s="53">
        <v>31719.599999999999</v>
      </c>
      <c r="H89" s="56" t="s">
        <v>306</v>
      </c>
      <c r="I89" s="58">
        <v>9701120920</v>
      </c>
      <c r="J89" s="55"/>
      <c r="K89" s="53">
        <f>1.88*1.05*4740</f>
        <v>9356.76</v>
      </c>
      <c r="L89" s="54" t="s">
        <v>307</v>
      </c>
      <c r="M89" s="72">
        <v>7720387266</v>
      </c>
      <c r="N89" s="59"/>
      <c r="O89" s="53">
        <v>22371.66</v>
      </c>
      <c r="P89" s="54" t="s">
        <v>325</v>
      </c>
      <c r="Q89" s="72">
        <v>7802898977</v>
      </c>
      <c r="R89" s="53">
        <f t="shared" si="1"/>
        <v>9356.76</v>
      </c>
      <c r="S89" s="37"/>
      <c r="T89" s="38">
        <v>45855</v>
      </c>
    </row>
    <row r="90" spans="1:20" ht="55.5" customHeight="1" x14ac:dyDescent="0.3">
      <c r="A90" s="11">
        <v>76</v>
      </c>
      <c r="B90" s="11" t="s">
        <v>305</v>
      </c>
      <c r="C90" s="39" t="s">
        <v>312</v>
      </c>
      <c r="D90" s="52" t="s">
        <v>324</v>
      </c>
      <c r="E90" s="51" t="s">
        <v>15</v>
      </c>
      <c r="F90" s="36"/>
      <c r="G90" s="53">
        <v>115007.4</v>
      </c>
      <c r="H90" s="56" t="s">
        <v>306</v>
      </c>
      <c r="I90" s="58">
        <v>9701120920</v>
      </c>
      <c r="J90" s="55"/>
      <c r="K90" s="53">
        <f>4.55*1.62*4740</f>
        <v>34938.54</v>
      </c>
      <c r="L90" s="54" t="s">
        <v>307</v>
      </c>
      <c r="M90" s="72">
        <v>7720387266</v>
      </c>
      <c r="N90" s="59"/>
      <c r="O90" s="53">
        <v>600399.54</v>
      </c>
      <c r="P90" s="54" t="s">
        <v>325</v>
      </c>
      <c r="Q90" s="72">
        <v>7802898977</v>
      </c>
      <c r="R90" s="53">
        <f t="shared" si="1"/>
        <v>34938.54</v>
      </c>
      <c r="S90" s="37"/>
      <c r="T90" s="38">
        <v>45855</v>
      </c>
    </row>
    <row r="91" spans="1:20" ht="42" customHeight="1" x14ac:dyDescent="0.3">
      <c r="A91" s="11">
        <v>77</v>
      </c>
      <c r="B91" s="11" t="s">
        <v>305</v>
      </c>
      <c r="C91" s="39" t="s">
        <v>313</v>
      </c>
      <c r="D91" s="52" t="s">
        <v>324</v>
      </c>
      <c r="E91" s="51" t="s">
        <v>15</v>
      </c>
      <c r="F91" s="36"/>
      <c r="G91" s="53">
        <v>31899.3</v>
      </c>
      <c r="H91" s="56" t="s">
        <v>306</v>
      </c>
      <c r="I91" s="58">
        <v>9701120920</v>
      </c>
      <c r="J91" s="55"/>
      <c r="K91" s="53">
        <f>2.14*0.925*4740</f>
        <v>9382.8300000000017</v>
      </c>
      <c r="L91" s="54" t="s">
        <v>307</v>
      </c>
      <c r="M91" s="72">
        <v>7720387266</v>
      </c>
      <c r="N91" s="59"/>
      <c r="O91" s="53">
        <v>25319.32</v>
      </c>
      <c r="P91" s="54" t="s">
        <v>325</v>
      </c>
      <c r="Q91" s="72">
        <v>7802898977</v>
      </c>
      <c r="R91" s="53">
        <f t="shared" si="1"/>
        <v>9382.8300000000017</v>
      </c>
      <c r="S91" s="37"/>
      <c r="T91" s="38">
        <v>45855</v>
      </c>
    </row>
    <row r="92" spans="1:20" ht="55.5" customHeight="1" x14ac:dyDescent="0.3">
      <c r="A92" s="11">
        <v>78</v>
      </c>
      <c r="B92" s="11" t="s">
        <v>305</v>
      </c>
      <c r="C92" s="39" t="s">
        <v>314</v>
      </c>
      <c r="D92" s="52" t="s">
        <v>324</v>
      </c>
      <c r="E92" s="51" t="s">
        <v>15</v>
      </c>
      <c r="F92" s="36"/>
      <c r="G92" s="53">
        <v>30531.83</v>
      </c>
      <c r="H92" s="56" t="s">
        <v>306</v>
      </c>
      <c r="I92" s="58">
        <v>9701120920</v>
      </c>
      <c r="J92" s="55"/>
      <c r="K92" s="53">
        <f>2.025*0.935*4740</f>
        <v>8974.5974999999999</v>
      </c>
      <c r="L92" s="54" t="s">
        <v>307</v>
      </c>
      <c r="M92" s="72">
        <v>7720387266</v>
      </c>
      <c r="N92" s="59"/>
      <c r="O92" s="53">
        <v>24294.14</v>
      </c>
      <c r="P92" s="54" t="s">
        <v>325</v>
      </c>
      <c r="Q92" s="72">
        <v>7802898977</v>
      </c>
      <c r="R92" s="53">
        <f t="shared" si="1"/>
        <v>8974.5974999999999</v>
      </c>
      <c r="S92" s="37"/>
      <c r="T92" s="38">
        <v>45855</v>
      </c>
    </row>
    <row r="93" spans="1:20" ht="55.5" customHeight="1" x14ac:dyDescent="0.3">
      <c r="A93" s="11">
        <v>79</v>
      </c>
      <c r="B93" s="11" t="s">
        <v>305</v>
      </c>
      <c r="C93" s="39" t="s">
        <v>315</v>
      </c>
      <c r="D93" s="52" t="s">
        <v>324</v>
      </c>
      <c r="E93" s="51" t="s">
        <v>15</v>
      </c>
      <c r="F93" s="36"/>
      <c r="G93" s="53">
        <v>73333.8</v>
      </c>
      <c r="H93" s="56" t="s">
        <v>306</v>
      </c>
      <c r="I93" s="58">
        <v>9701120920</v>
      </c>
      <c r="J93" s="55"/>
      <c r="K93" s="53">
        <f>6.12*0.745*4740</f>
        <v>21611.556</v>
      </c>
      <c r="L93" s="54" t="s">
        <v>307</v>
      </c>
      <c r="M93" s="72">
        <v>7720387266</v>
      </c>
      <c r="N93" s="59"/>
      <c r="O93" s="53">
        <v>391460.17</v>
      </c>
      <c r="P93" s="54" t="s">
        <v>325</v>
      </c>
      <c r="Q93" s="72">
        <v>7802898977</v>
      </c>
      <c r="R93" s="53">
        <f t="shared" si="1"/>
        <v>21611.556</v>
      </c>
      <c r="S93" s="37"/>
      <c r="T93" s="38">
        <v>45855</v>
      </c>
    </row>
    <row r="94" spans="1:20" ht="55.5" customHeight="1" x14ac:dyDescent="0.3">
      <c r="A94" s="11">
        <v>80</v>
      </c>
      <c r="B94" s="11" t="s">
        <v>305</v>
      </c>
      <c r="C94" s="39" t="s">
        <v>316</v>
      </c>
      <c r="D94" s="52" t="s">
        <v>324</v>
      </c>
      <c r="E94" s="51" t="s">
        <v>15</v>
      </c>
      <c r="F94" s="36"/>
      <c r="G94" s="53">
        <v>77599.199999999997</v>
      </c>
      <c r="H94" s="56" t="s">
        <v>306</v>
      </c>
      <c r="I94" s="58">
        <v>9701120920</v>
      </c>
      <c r="J94" s="55"/>
      <c r="K94" s="53">
        <f>6.52*0.74*4740</f>
        <v>22869.552</v>
      </c>
      <c r="L94" s="54" t="s">
        <v>307</v>
      </c>
      <c r="M94" s="72">
        <v>7720387266</v>
      </c>
      <c r="N94" s="59"/>
      <c r="O94" s="53">
        <v>414167.45</v>
      </c>
      <c r="P94" s="54" t="s">
        <v>325</v>
      </c>
      <c r="Q94" s="72">
        <v>7802898977</v>
      </c>
      <c r="R94" s="53">
        <f t="shared" si="1"/>
        <v>22869.552</v>
      </c>
      <c r="S94" s="37"/>
      <c r="T94" s="38">
        <v>45855</v>
      </c>
    </row>
    <row r="95" spans="1:20" ht="55.5" customHeight="1" x14ac:dyDescent="0.3">
      <c r="A95" s="11">
        <v>81</v>
      </c>
      <c r="B95" s="11" t="s">
        <v>305</v>
      </c>
      <c r="C95" s="39" t="s">
        <v>317</v>
      </c>
      <c r="D95" s="52" t="s">
        <v>324</v>
      </c>
      <c r="E95" s="51" t="s">
        <v>15</v>
      </c>
      <c r="F95" s="36"/>
      <c r="G95" s="53">
        <v>74642.25</v>
      </c>
      <c r="H95" s="56" t="s">
        <v>306</v>
      </c>
      <c r="I95" s="58">
        <v>9701120920</v>
      </c>
      <c r="J95" s="55"/>
      <c r="K95" s="53">
        <f>6.23*0.745*4740</f>
        <v>21999.999</v>
      </c>
      <c r="L95" s="54" t="s">
        <v>307</v>
      </c>
      <c r="M95" s="72">
        <v>7720387266</v>
      </c>
      <c r="N95" s="59"/>
      <c r="O95" s="53">
        <v>398395.29</v>
      </c>
      <c r="P95" s="54" t="s">
        <v>325</v>
      </c>
      <c r="Q95" s="72">
        <v>7802898977</v>
      </c>
      <c r="R95" s="53">
        <f t="shared" si="1"/>
        <v>21999.999</v>
      </c>
      <c r="S95" s="37"/>
      <c r="T95" s="38">
        <v>45855</v>
      </c>
    </row>
    <row r="96" spans="1:20" ht="55.5" customHeight="1" x14ac:dyDescent="0.3">
      <c r="A96" s="11">
        <v>82</v>
      </c>
      <c r="B96" s="11" t="s">
        <v>305</v>
      </c>
      <c r="C96" s="39" t="s">
        <v>318</v>
      </c>
      <c r="D96" s="52" t="s">
        <v>324</v>
      </c>
      <c r="E96" s="51" t="s">
        <v>15</v>
      </c>
      <c r="F96" s="36"/>
      <c r="G96" s="53">
        <v>78072</v>
      </c>
      <c r="H96" s="56" t="s">
        <v>306</v>
      </c>
      <c r="I96" s="58">
        <v>9701120920</v>
      </c>
      <c r="J96" s="55"/>
      <c r="K96" s="53">
        <f>6.56*0.74*4740</f>
        <v>23009.856</v>
      </c>
      <c r="L96" s="54" t="s">
        <v>307</v>
      </c>
      <c r="M96" s="72">
        <v>7720387266</v>
      </c>
      <c r="N96" s="59"/>
      <c r="O96" s="53">
        <v>416680.75</v>
      </c>
      <c r="P96" s="54" t="s">
        <v>325</v>
      </c>
      <c r="Q96" s="72">
        <v>7802898977</v>
      </c>
      <c r="R96" s="53">
        <f t="shared" si="1"/>
        <v>23009.856</v>
      </c>
      <c r="S96" s="37"/>
      <c r="T96" s="38">
        <v>45855</v>
      </c>
    </row>
    <row r="97" spans="1:20" ht="55.5" customHeight="1" x14ac:dyDescent="0.3">
      <c r="A97" s="11">
        <v>83</v>
      </c>
      <c r="B97" s="11" t="s">
        <v>305</v>
      </c>
      <c r="C97" s="39" t="s">
        <v>319</v>
      </c>
      <c r="D97" s="52" t="s">
        <v>324</v>
      </c>
      <c r="E97" s="51" t="s">
        <v>15</v>
      </c>
      <c r="F97" s="36"/>
      <c r="G97" s="53">
        <v>28450.799999999999</v>
      </c>
      <c r="H97" s="56" t="s">
        <v>306</v>
      </c>
      <c r="I97" s="58">
        <v>9701120920</v>
      </c>
      <c r="J97" s="55"/>
      <c r="K97" s="53">
        <f>2.21*0.84*4740</f>
        <v>8799.3359999999993</v>
      </c>
      <c r="L97" s="54" t="s">
        <v>307</v>
      </c>
      <c r="M97" s="72">
        <v>7720387266</v>
      </c>
      <c r="N97" s="59"/>
      <c r="O97" s="53">
        <v>24004.74</v>
      </c>
      <c r="P97" s="54" t="s">
        <v>325</v>
      </c>
      <c r="Q97" s="72">
        <v>7802898977</v>
      </c>
      <c r="R97" s="53">
        <f t="shared" si="1"/>
        <v>8799.3359999999993</v>
      </c>
      <c r="S97" s="37"/>
      <c r="T97" s="38">
        <v>45855</v>
      </c>
    </row>
    <row r="98" spans="1:20" ht="55.5" customHeight="1" x14ac:dyDescent="0.3">
      <c r="A98" s="11">
        <v>84</v>
      </c>
      <c r="B98" s="11" t="s">
        <v>305</v>
      </c>
      <c r="C98" s="39" t="s">
        <v>320</v>
      </c>
      <c r="D98" s="52" t="s">
        <v>324</v>
      </c>
      <c r="E98" s="51" t="s">
        <v>15</v>
      </c>
      <c r="F98" s="36"/>
      <c r="G98" s="53">
        <v>89064.45</v>
      </c>
      <c r="H98" s="56" t="s">
        <v>306</v>
      </c>
      <c r="I98" s="58">
        <v>9701120920</v>
      </c>
      <c r="J98" s="55"/>
      <c r="K98" s="53">
        <f>6.53*0.855*4740</f>
        <v>26464.130999999998</v>
      </c>
      <c r="L98" s="54" t="s">
        <v>307</v>
      </c>
      <c r="M98" s="72">
        <v>7720387266</v>
      </c>
      <c r="N98" s="59"/>
      <c r="O98" s="53">
        <v>472528.57</v>
      </c>
      <c r="P98" s="54" t="s">
        <v>325</v>
      </c>
      <c r="Q98" s="72">
        <v>7802898977</v>
      </c>
      <c r="R98" s="53">
        <f t="shared" si="1"/>
        <v>26464.130999999998</v>
      </c>
      <c r="S98" s="37"/>
      <c r="T98" s="38">
        <v>45855</v>
      </c>
    </row>
    <row r="99" spans="1:20" ht="55.5" customHeight="1" x14ac:dyDescent="0.3">
      <c r="A99" s="11">
        <v>85</v>
      </c>
      <c r="B99" s="11" t="s">
        <v>305</v>
      </c>
      <c r="C99" s="39" t="s">
        <v>320</v>
      </c>
      <c r="D99" s="52" t="s">
        <v>324</v>
      </c>
      <c r="E99" s="51" t="s">
        <v>15</v>
      </c>
      <c r="F99" s="36"/>
      <c r="G99" s="53">
        <v>89064.45</v>
      </c>
      <c r="H99" s="56" t="s">
        <v>306</v>
      </c>
      <c r="I99" s="58">
        <v>9701120920</v>
      </c>
      <c r="J99" s="55"/>
      <c r="K99" s="53">
        <f>6.53*0.855*4740</f>
        <v>26464.130999999998</v>
      </c>
      <c r="L99" s="54" t="s">
        <v>307</v>
      </c>
      <c r="M99" s="72">
        <v>7720387266</v>
      </c>
      <c r="N99" s="59"/>
      <c r="O99" s="53">
        <v>472528.57</v>
      </c>
      <c r="P99" s="54" t="s">
        <v>325</v>
      </c>
      <c r="Q99" s="72">
        <v>7802898977</v>
      </c>
      <c r="R99" s="53">
        <f t="shared" si="1"/>
        <v>26464.130999999998</v>
      </c>
      <c r="S99" s="37"/>
      <c r="T99" s="38">
        <v>45855</v>
      </c>
    </row>
    <row r="100" spans="1:20" ht="55.5" customHeight="1" x14ac:dyDescent="0.3">
      <c r="A100" s="11">
        <v>86</v>
      </c>
      <c r="B100" s="11" t="s">
        <v>305</v>
      </c>
      <c r="C100" s="39" t="s">
        <v>321</v>
      </c>
      <c r="D100" s="52" t="s">
        <v>324</v>
      </c>
      <c r="E100" s="51" t="s">
        <v>15</v>
      </c>
      <c r="F100" s="36"/>
      <c r="G100" s="53">
        <v>36949.730000000003</v>
      </c>
      <c r="H100" s="56" t="s">
        <v>306</v>
      </c>
      <c r="I100" s="58">
        <v>9701120920</v>
      </c>
      <c r="J100" s="55"/>
      <c r="K100" s="53">
        <f>2.435*0.945*4740</f>
        <v>10907.095499999999</v>
      </c>
      <c r="L100" s="54" t="s">
        <v>307</v>
      </c>
      <c r="M100" s="72">
        <v>7720387266</v>
      </c>
      <c r="N100" s="59"/>
      <c r="O100" s="53">
        <v>29059.25</v>
      </c>
      <c r="P100" s="54" t="s">
        <v>325</v>
      </c>
      <c r="Q100" s="72">
        <v>7802898977</v>
      </c>
      <c r="R100" s="53">
        <f t="shared" si="1"/>
        <v>10907.095499999999</v>
      </c>
      <c r="S100" s="37"/>
      <c r="T100" s="38">
        <v>45855</v>
      </c>
    </row>
    <row r="101" spans="1:20" ht="55.5" customHeight="1" x14ac:dyDescent="0.3">
      <c r="A101" s="11">
        <v>87</v>
      </c>
      <c r="B101" s="11" t="s">
        <v>305</v>
      </c>
      <c r="C101" s="39" t="s">
        <v>322</v>
      </c>
      <c r="D101" s="52" t="s">
        <v>324</v>
      </c>
      <c r="E101" s="51" t="s">
        <v>15</v>
      </c>
      <c r="F101" s="36"/>
      <c r="G101" s="53">
        <v>74701.73</v>
      </c>
      <c r="H101" s="56" t="s">
        <v>306</v>
      </c>
      <c r="I101" s="58">
        <v>9701120920</v>
      </c>
      <c r="J101" s="55"/>
      <c r="K101" s="53">
        <f>6.235*0.745*4740</f>
        <v>22017.655500000001</v>
      </c>
      <c r="L101" s="54" t="s">
        <v>307</v>
      </c>
      <c r="M101" s="72">
        <v>7720387266</v>
      </c>
      <c r="N101" s="59"/>
      <c r="O101" s="53">
        <v>398724.12</v>
      </c>
      <c r="P101" s="54" t="s">
        <v>325</v>
      </c>
      <c r="Q101" s="72">
        <v>7802898977</v>
      </c>
      <c r="R101" s="53">
        <f>MIN(G101,K101,O101)</f>
        <v>22017.655500000001</v>
      </c>
      <c r="S101" s="37"/>
      <c r="T101" s="38">
        <v>45855</v>
      </c>
    </row>
    <row r="102" spans="1:20" ht="43.5" customHeight="1" x14ac:dyDescent="0.3">
      <c r="A102" s="11">
        <v>88</v>
      </c>
      <c r="B102" s="11" t="s">
        <v>305</v>
      </c>
      <c r="C102" s="39" t="s">
        <v>323</v>
      </c>
      <c r="D102" s="52" t="s">
        <v>324</v>
      </c>
      <c r="E102" s="51" t="s">
        <v>15</v>
      </c>
      <c r="F102" s="36"/>
      <c r="G102" s="53">
        <v>77504.639999999999</v>
      </c>
      <c r="H102" s="56" t="s">
        <v>306</v>
      </c>
      <c r="I102" s="58">
        <v>9701120920</v>
      </c>
      <c r="J102" s="55"/>
      <c r="K102" s="53">
        <f>6.512*0.74*4740</f>
        <v>22841.4912</v>
      </c>
      <c r="L102" s="54" t="s">
        <v>307</v>
      </c>
      <c r="M102" s="72">
        <v>7720387266</v>
      </c>
      <c r="N102" s="58"/>
      <c r="O102" s="53">
        <v>413657.85</v>
      </c>
      <c r="P102" s="54" t="s">
        <v>325</v>
      </c>
      <c r="Q102" s="72">
        <v>7802898977</v>
      </c>
      <c r="R102" s="53">
        <f>MIN(G102,K102,O102)</f>
        <v>22841.4912</v>
      </c>
      <c r="S102" s="37"/>
      <c r="T102" s="38">
        <v>45855</v>
      </c>
    </row>
    <row r="103" spans="1:20" ht="45.75" customHeight="1" x14ac:dyDescent="0.3">
      <c r="A103" s="11">
        <v>89</v>
      </c>
      <c r="B103" s="11" t="s">
        <v>326</v>
      </c>
      <c r="C103" s="39" t="s">
        <v>327</v>
      </c>
      <c r="D103" s="52" t="s">
        <v>341</v>
      </c>
      <c r="E103" s="51" t="s">
        <v>46</v>
      </c>
      <c r="F103" s="36"/>
      <c r="G103" s="53">
        <f>6427/2.326</f>
        <v>2763.1126397248495</v>
      </c>
      <c r="H103" s="56" t="s">
        <v>101</v>
      </c>
      <c r="I103" s="58">
        <v>7802348846</v>
      </c>
      <c r="J103" s="55"/>
      <c r="K103" s="53">
        <f>4825/2.326</f>
        <v>2074.3766122098023</v>
      </c>
      <c r="L103" s="54" t="s">
        <v>328</v>
      </c>
      <c r="M103" s="72">
        <v>7727285440</v>
      </c>
      <c r="N103" s="59"/>
      <c r="O103" s="53">
        <f>5162/2.326</f>
        <v>2219.2605331040413</v>
      </c>
      <c r="P103" s="54" t="s">
        <v>329</v>
      </c>
      <c r="Q103" s="72">
        <v>1215078714</v>
      </c>
      <c r="R103" s="53">
        <f>MIN(G103,K103,O103)</f>
        <v>2074.3766122098023</v>
      </c>
      <c r="S103" s="37"/>
      <c r="T103" s="38">
        <v>45855</v>
      </c>
    </row>
    <row r="104" spans="1:20" ht="45.75" customHeight="1" x14ac:dyDescent="0.3">
      <c r="A104" s="11">
        <v>90</v>
      </c>
      <c r="B104" s="11" t="s">
        <v>330</v>
      </c>
      <c r="C104" s="39" t="s">
        <v>335</v>
      </c>
      <c r="D104" s="52" t="s">
        <v>332</v>
      </c>
      <c r="E104" s="51" t="s">
        <v>15</v>
      </c>
      <c r="F104" s="36"/>
      <c r="G104" s="53">
        <v>115700</v>
      </c>
      <c r="H104" s="56" t="s">
        <v>331</v>
      </c>
      <c r="I104" s="58">
        <v>6679074719</v>
      </c>
      <c r="J104" s="55"/>
      <c r="K104" s="53">
        <v>80633</v>
      </c>
      <c r="L104" s="54" t="s">
        <v>333</v>
      </c>
      <c r="M104" s="72">
        <v>525203965306</v>
      </c>
      <c r="N104" s="59"/>
      <c r="O104" s="53">
        <v>46165</v>
      </c>
      <c r="P104" s="54" t="s">
        <v>334</v>
      </c>
      <c r="Q104" s="72">
        <v>7733753061</v>
      </c>
      <c r="R104" s="53">
        <f>MIN(G104,K104,O104)</f>
        <v>46165</v>
      </c>
      <c r="S104" s="37"/>
      <c r="T104" s="38">
        <v>45855</v>
      </c>
    </row>
    <row r="105" spans="1:20" ht="50.25" customHeight="1" x14ac:dyDescent="0.25">
      <c r="A105" s="11">
        <v>91</v>
      </c>
      <c r="B105" s="11" t="s">
        <v>336</v>
      </c>
      <c r="C105" s="39" t="s">
        <v>338</v>
      </c>
      <c r="D105" s="52" t="s">
        <v>342</v>
      </c>
      <c r="E105" s="51" t="s">
        <v>15</v>
      </c>
      <c r="F105" s="36"/>
      <c r="G105" s="53">
        <v>8635</v>
      </c>
      <c r="H105" s="56" t="s">
        <v>337</v>
      </c>
      <c r="I105" s="58">
        <v>7724431950</v>
      </c>
      <c r="J105" s="75"/>
      <c r="K105" s="53">
        <v>8242.5</v>
      </c>
      <c r="L105" s="54" t="s">
        <v>339</v>
      </c>
      <c r="M105" s="72">
        <v>7456035080</v>
      </c>
      <c r="N105" s="75"/>
      <c r="O105" s="53">
        <v>7850</v>
      </c>
      <c r="P105" s="54" t="s">
        <v>340</v>
      </c>
      <c r="Q105" s="72">
        <v>9731131044</v>
      </c>
      <c r="R105" s="53">
        <f>MIN(G105,K105,O105)</f>
        <v>7850</v>
      </c>
      <c r="S105" s="37">
        <v>6447.3</v>
      </c>
      <c r="T105" s="38">
        <v>45855</v>
      </c>
    </row>
    <row r="106" spans="1:20" ht="60" customHeight="1" x14ac:dyDescent="0.25">
      <c r="A106" s="40"/>
      <c r="B106" s="41"/>
      <c r="C106"/>
      <c r="D106" s="42"/>
      <c r="E106" s="43"/>
      <c r="F106" s="44"/>
      <c r="G106" s="45"/>
      <c r="H106" s="46"/>
      <c r="I106" s="47"/>
      <c r="J106" s="44"/>
      <c r="K106" s="45"/>
      <c r="L106" s="46"/>
      <c r="M106" s="48"/>
      <c r="N106" s="44"/>
      <c r="O106" s="45"/>
      <c r="P106" s="45"/>
      <c r="Q106" s="49"/>
      <c r="R106" s="45"/>
      <c r="S106" s="45"/>
      <c r="T106" s="50"/>
    </row>
    <row r="107" spans="1:20" x14ac:dyDescent="0.25">
      <c r="A107"/>
      <c r="B107"/>
      <c r="C107"/>
      <c r="D107"/>
      <c r="E107"/>
      <c r="F107"/>
      <c r="G107"/>
      <c r="H107"/>
      <c r="I107"/>
      <c r="J107"/>
      <c r="K107"/>
      <c r="L107"/>
      <c r="M107"/>
      <c r="N107"/>
      <c r="O107"/>
      <c r="P107"/>
      <c r="Q107"/>
      <c r="R107"/>
      <c r="S107"/>
      <c r="T107"/>
    </row>
    <row r="108" spans="1:20" x14ac:dyDescent="0.25">
      <c r="A108"/>
      <c r="B108" s="517" t="s">
        <v>16</v>
      </c>
      <c r="C108" s="517"/>
      <c r="D108" s="517"/>
      <c r="E108" s="14"/>
      <c r="F108" s="14"/>
      <c r="G108" s="14"/>
      <c r="H108" s="14"/>
      <c r="I108" s="14"/>
      <c r="J108" s="14"/>
      <c r="K108" s="14"/>
      <c r="L108" s="14"/>
      <c r="M108" s="14"/>
      <c r="N108" s="14"/>
      <c r="O108" s="14"/>
      <c r="P108" s="14"/>
      <c r="Q108" s="518" t="s">
        <v>25</v>
      </c>
      <c r="R108" s="518"/>
      <c r="S108" s="14"/>
      <c r="T108"/>
    </row>
    <row r="109" spans="1:20" x14ac:dyDescent="0.25">
      <c r="A109"/>
      <c r="B109" s="19"/>
      <c r="C109" s="19"/>
      <c r="D109" s="19"/>
      <c r="E109" s="14"/>
      <c r="F109" s="14"/>
      <c r="G109" s="14"/>
      <c r="H109" s="14"/>
      <c r="I109" s="14"/>
      <c r="J109" s="14"/>
      <c r="K109" s="14"/>
      <c r="L109" s="14"/>
      <c r="M109" s="14"/>
      <c r="N109" s="14"/>
      <c r="O109" s="14"/>
      <c r="P109" s="14"/>
      <c r="Q109" s="19"/>
      <c r="R109" s="19"/>
      <c r="S109" s="14"/>
      <c r="T109"/>
    </row>
    <row r="110" spans="1:20" x14ac:dyDescent="0.25">
      <c r="A110"/>
      <c r="B110" s="19"/>
      <c r="C110" s="19"/>
      <c r="D110" s="19"/>
      <c r="E110" s="14"/>
      <c r="F110" s="14"/>
      <c r="G110" s="14"/>
      <c r="H110" s="14"/>
      <c r="I110" s="14"/>
      <c r="J110" s="14"/>
      <c r="K110" s="14"/>
      <c r="L110" s="14"/>
      <c r="M110" s="14"/>
      <c r="N110" s="14"/>
      <c r="O110" s="14"/>
      <c r="P110" s="14"/>
      <c r="Q110" s="19"/>
      <c r="R110" s="19"/>
      <c r="S110" s="14"/>
      <c r="T110"/>
    </row>
    <row r="111" spans="1:20" x14ac:dyDescent="0.25">
      <c r="A111"/>
      <c r="B111" s="19"/>
      <c r="C111" s="19"/>
      <c r="D111" s="19"/>
      <c r="E111" s="14"/>
      <c r="F111" s="14"/>
      <c r="G111" s="14"/>
      <c r="H111" s="14"/>
      <c r="I111" s="14"/>
      <c r="J111" s="14"/>
      <c r="K111" s="14"/>
      <c r="L111" s="14"/>
      <c r="M111" s="14"/>
      <c r="N111" s="14"/>
      <c r="O111" s="14"/>
      <c r="P111" s="14"/>
      <c r="Q111" s="19"/>
      <c r="R111" s="19"/>
      <c r="S111" s="14"/>
      <c r="T111"/>
    </row>
    <row r="112" spans="1:20" ht="15.75" customHeight="1" x14ac:dyDescent="0.25">
      <c r="A112"/>
      <c r="B112" s="19"/>
      <c r="C112" s="520" t="s">
        <v>23</v>
      </c>
      <c r="D112" s="22"/>
      <c r="E112" s="22"/>
      <c r="F112" s="14"/>
      <c r="G112" s="14"/>
      <c r="H112" s="14"/>
      <c r="I112" s="14"/>
      <c r="J112" s="14"/>
      <c r="K112" s="14"/>
      <c r="L112" s="14"/>
      <c r="M112" s="14"/>
      <c r="N112" s="14"/>
      <c r="O112" s="14"/>
      <c r="P112" s="14"/>
      <c r="Q112" s="19"/>
      <c r="R112" s="19"/>
      <c r="S112" s="14"/>
      <c r="T112"/>
    </row>
    <row r="113" spans="1:20" ht="37.5" customHeight="1" x14ac:dyDescent="0.3">
      <c r="A113"/>
      <c r="B113" s="19"/>
      <c r="C113" s="520"/>
      <c r="D113" s="19"/>
      <c r="E113" s="14"/>
      <c r="F113" s="14"/>
      <c r="G113" s="71" t="s">
        <v>258</v>
      </c>
      <c r="H113" s="14"/>
      <c r="I113" s="14"/>
      <c r="J113" s="14"/>
      <c r="K113" s="14"/>
      <c r="L113" s="14"/>
      <c r="M113" s="14"/>
      <c r="N113" s="521" t="s">
        <v>20</v>
      </c>
      <c r="O113" s="521"/>
      <c r="P113" s="521"/>
      <c r="Q113" s="521"/>
      <c r="R113" s="19"/>
      <c r="S113" s="14"/>
      <c r="T113"/>
    </row>
    <row r="114" spans="1:20" x14ac:dyDescent="0.25">
      <c r="A114"/>
      <c r="B114" s="19"/>
      <c r="C114" s="19"/>
      <c r="D114" s="19"/>
      <c r="E114" s="14"/>
      <c r="F114" s="14"/>
      <c r="G114" s="14"/>
      <c r="H114" s="14"/>
      <c r="I114" s="14"/>
      <c r="J114" s="14"/>
      <c r="K114" s="14"/>
      <c r="L114" s="14"/>
      <c r="M114" s="14"/>
      <c r="N114" s="21" t="s">
        <v>19</v>
      </c>
      <c r="O114" s="21"/>
      <c r="P114" s="21"/>
      <c r="Q114" s="20"/>
      <c r="R114" s="19"/>
      <c r="S114" s="14"/>
      <c r="T114"/>
    </row>
    <row r="115" spans="1:20" ht="18.75" x14ac:dyDescent="0.3">
      <c r="A115"/>
      <c r="B115" s="521" t="s">
        <v>257</v>
      </c>
      <c r="C115" s="522"/>
      <c r="D115" s="522"/>
      <c r="E115" s="522"/>
      <c r="F115" s="522"/>
      <c r="G115" s="522"/>
      <c r="H115" s="522"/>
      <c r="I115" s="522"/>
      <c r="J115" s="522"/>
      <c r="K115" s="522"/>
      <c r="L115" s="522"/>
      <c r="M115" s="522"/>
      <c r="N115" s="522" t="s">
        <v>21</v>
      </c>
      <c r="O115" s="522"/>
      <c r="P115" s="522"/>
      <c r="Q115" s="522"/>
      <c r="R115" s="74" t="s">
        <v>22</v>
      </c>
      <c r="S115" s="23"/>
      <c r="T115"/>
    </row>
    <row r="116" spans="1:20" x14ac:dyDescent="0.25">
      <c r="A116"/>
      <c r="B116" s="19"/>
      <c r="C116" s="19"/>
      <c r="D116" s="19"/>
      <c r="E116" s="14"/>
      <c r="F116" s="14"/>
      <c r="G116" s="14"/>
      <c r="H116" s="14"/>
      <c r="I116" s="14"/>
      <c r="J116" s="14"/>
      <c r="K116" s="14"/>
      <c r="L116" s="14"/>
      <c r="M116" s="14"/>
      <c r="N116" s="14"/>
      <c r="O116" s="14"/>
      <c r="P116" s="14"/>
      <c r="Q116" s="19"/>
      <c r="R116" s="19"/>
      <c r="S116" s="14"/>
      <c r="T116"/>
    </row>
    <row r="117" spans="1:20" x14ac:dyDescent="0.25">
      <c r="A117"/>
      <c r="B117" s="519" t="s">
        <v>19</v>
      </c>
      <c r="C117" s="519"/>
      <c r="D117" s="519"/>
      <c r="E117" s="14"/>
      <c r="F117" s="14"/>
      <c r="G117" s="14"/>
      <c r="H117" s="14"/>
      <c r="I117" s="14"/>
      <c r="J117" s="14"/>
      <c r="K117" s="14"/>
      <c r="L117" s="14"/>
      <c r="M117" s="14"/>
      <c r="N117" s="14"/>
      <c r="O117" s="14"/>
      <c r="P117" s="14"/>
      <c r="Q117" s="519" t="s">
        <v>19</v>
      </c>
      <c r="R117" s="519"/>
      <c r="S117" s="519"/>
      <c r="T117"/>
    </row>
    <row r="118" spans="1:20" x14ac:dyDescent="0.25">
      <c r="A118"/>
      <c r="B118" s="519" t="s">
        <v>19</v>
      </c>
      <c r="C118" s="519"/>
      <c r="D118" s="519"/>
      <c r="E118" s="14"/>
      <c r="F118" s="14"/>
      <c r="G118" s="14"/>
      <c r="H118" s="14"/>
      <c r="I118" s="14"/>
      <c r="J118" s="14"/>
      <c r="K118" s="14"/>
      <c r="L118" s="14"/>
      <c r="M118" s="14"/>
      <c r="N118" s="14"/>
      <c r="O118" s="14"/>
      <c r="P118" s="14"/>
      <c r="Q118" s="519" t="s">
        <v>19</v>
      </c>
      <c r="R118" s="519"/>
      <c r="S118" s="519"/>
      <c r="T118"/>
    </row>
    <row r="119" spans="1:20" x14ac:dyDescent="0.25">
      <c r="A119"/>
      <c r="B119"/>
      <c r="C119"/>
      <c r="D119"/>
      <c r="E119"/>
      <c r="F119"/>
      <c r="G119"/>
      <c r="H119"/>
      <c r="I119"/>
      <c r="J119"/>
      <c r="K119"/>
      <c r="L119"/>
      <c r="M119"/>
      <c r="N119"/>
      <c r="O119"/>
      <c r="P119"/>
      <c r="Q119"/>
      <c r="R119"/>
      <c r="S119"/>
      <c r="T119"/>
    </row>
    <row r="120" spans="1:20" x14ac:dyDescent="0.25">
      <c r="A120"/>
      <c r="B120"/>
      <c r="C120"/>
      <c r="D120"/>
      <c r="E120"/>
      <c r="F120"/>
      <c r="G120"/>
      <c r="H120"/>
      <c r="I120"/>
      <c r="J120"/>
      <c r="K120"/>
      <c r="L120"/>
      <c r="M120"/>
      <c r="N120"/>
      <c r="O120"/>
      <c r="P120"/>
      <c r="Q120"/>
      <c r="R120"/>
      <c r="S120"/>
      <c r="T120"/>
    </row>
    <row r="121" spans="1:20" x14ac:dyDescent="0.25">
      <c r="A121"/>
      <c r="B121" s="516" t="s">
        <v>17</v>
      </c>
      <c r="C121" s="516"/>
      <c r="D121" s="516"/>
      <c r="E121" s="516"/>
      <c r="F121" s="516"/>
      <c r="G121" s="516"/>
      <c r="H121" s="516"/>
      <c r="I121" s="516"/>
      <c r="J121" s="516"/>
      <c r="K121" s="516"/>
      <c r="L121" s="516"/>
      <c r="M121" s="516"/>
      <c r="N121"/>
      <c r="O121"/>
      <c r="P121"/>
      <c r="Q121"/>
      <c r="R121"/>
      <c r="S121"/>
      <c r="T121"/>
    </row>
    <row r="122" spans="1:20" x14ac:dyDescent="0.25">
      <c r="A122"/>
      <c r="B122" s="516" t="s">
        <v>18</v>
      </c>
      <c r="C122" s="516"/>
      <c r="D122" s="516"/>
      <c r="E122" s="516"/>
      <c r="F122" s="516"/>
      <c r="G122" s="516"/>
      <c r="H122" s="516"/>
      <c r="I122" s="516"/>
      <c r="J122" s="516"/>
      <c r="K122" s="516"/>
      <c r="L122" s="516"/>
      <c r="M122" s="516"/>
      <c r="N122"/>
      <c r="O122"/>
      <c r="P122"/>
      <c r="Q122"/>
      <c r="R122"/>
      <c r="S122"/>
      <c r="T122"/>
    </row>
    <row r="123" spans="1:20" x14ac:dyDescent="0.25">
      <c r="A123"/>
      <c r="B123"/>
      <c r="C123"/>
      <c r="D123"/>
      <c r="E123"/>
      <c r="F123"/>
      <c r="G123"/>
      <c r="H123"/>
      <c r="I123"/>
      <c r="J123"/>
      <c r="K123"/>
      <c r="L123"/>
      <c r="M123"/>
      <c r="N123"/>
      <c r="O123"/>
      <c r="P123"/>
      <c r="Q123"/>
      <c r="R123"/>
      <c r="S123"/>
      <c r="T123"/>
    </row>
  </sheetData>
  <mergeCells count="28">
    <mergeCell ref="B121:M121"/>
    <mergeCell ref="B122:M122"/>
    <mergeCell ref="B108:D108"/>
    <mergeCell ref="Q108:R108"/>
    <mergeCell ref="B117:D117"/>
    <mergeCell ref="Q117:S117"/>
    <mergeCell ref="B118:D118"/>
    <mergeCell ref="Q118:S118"/>
    <mergeCell ref="C112:C113"/>
    <mergeCell ref="B115:M115"/>
    <mergeCell ref="N113:Q113"/>
    <mergeCell ref="N115:Q115"/>
    <mergeCell ref="T8:T9"/>
    <mergeCell ref="C1:Q1"/>
    <mergeCell ref="F2:J2"/>
    <mergeCell ref="R3:S3"/>
    <mergeCell ref="Q4:T4"/>
    <mergeCell ref="F8:I8"/>
    <mergeCell ref="J8:M8"/>
    <mergeCell ref="N8:Q8"/>
    <mergeCell ref="R8:R9"/>
    <mergeCell ref="S8:S9"/>
    <mergeCell ref="B5:O6"/>
    <mergeCell ref="A8:A9"/>
    <mergeCell ref="B8:B9"/>
    <mergeCell ref="C8:C9"/>
    <mergeCell ref="D8:D9"/>
    <mergeCell ref="E8:E9"/>
  </mergeCells>
  <phoneticPr fontId="26" type="noConversion"/>
  <hyperlinks>
    <hyperlink ref="B18" r:id="rId1" display="https://zakupki44fz.ru/app/okpd2/23.31.10.122" xr:uid="{00000000-0004-0000-0000-000000000000}"/>
    <hyperlink ref="B25" r:id="rId2" display="https://zakupki44fz.ru/app/okpd2/22.21.10.130" xr:uid="{00000000-0004-0000-0000-000001000000}"/>
    <hyperlink ref="B34" r:id="rId3" display="https://zakupki44fz.ru/app/okpd2/25.72.14.190" xr:uid="{00000000-0004-0000-0000-000002000000}"/>
    <hyperlink ref="B35" r:id="rId4" display="https://zakupki44fz.ru/app/okpd2/22.23.11.000" xr:uid="{00000000-0004-0000-0000-000003000000}"/>
    <hyperlink ref="B41" r:id="rId5" display="https://zakupki44fz.ru/app/okpd2/22.23.19.190" xr:uid="{00000000-0004-0000-0000-000004000000}"/>
    <hyperlink ref="B43" r:id="rId6" display="https://zakupki44fz.ru/app/okpd2/16.23.19.000" xr:uid="{00000000-0004-0000-0000-000005000000}"/>
    <hyperlink ref="B59" r:id="rId7" display="https://zakupki44fz.ru/app/okpd2/25.12.10.190" xr:uid="{00000000-0004-0000-0000-000006000000}"/>
    <hyperlink ref="B78" r:id="rId8" display="https://zakupki44fz.ru/app/okpd2/16.23.19.000" xr:uid="{00000000-0004-0000-0000-000007000000}"/>
    <hyperlink ref="B80" r:id="rId9" display="https://zakupki44fz.ru/app/okpd2/23.31.10.122" xr:uid="{00000000-0004-0000-0000-000008000000}"/>
    <hyperlink ref="B86" r:id="rId10" display="https://zakupki44fz.ru/app/okpd2/25.94.11.190" xr:uid="{00000000-0004-0000-0000-000009000000}"/>
    <hyperlink ref="B88" r:id="rId11" display="https://zakupki44fz.ru/app/okpd2/25.94.11.190" xr:uid="{00000000-0004-0000-0000-00000A000000}"/>
    <hyperlink ref="B90" r:id="rId12" display="https://zakupki44fz.ru/app/okpd2/25.94.11.190" xr:uid="{00000000-0004-0000-0000-00000B000000}"/>
    <hyperlink ref="B92" r:id="rId13" display="https://zakupki44fz.ru/app/okpd2/25.94.11.190" xr:uid="{00000000-0004-0000-0000-00000C000000}"/>
    <hyperlink ref="B94" r:id="rId14" display="https://zakupki44fz.ru/app/okpd2/25.94.11.190" xr:uid="{00000000-0004-0000-0000-00000D000000}"/>
    <hyperlink ref="B96" r:id="rId15" display="https://zakupki44fz.ru/app/okpd2/25.94.11.190" xr:uid="{00000000-0004-0000-0000-00000E000000}"/>
    <hyperlink ref="B98" r:id="rId16" display="https://zakupki44fz.ru/app/okpd2/25.94.11.190" xr:uid="{00000000-0004-0000-0000-00000F000000}"/>
    <hyperlink ref="B100" r:id="rId17" display="https://zakupki44fz.ru/app/okpd2/25.94.11.190" xr:uid="{00000000-0004-0000-0000-000010000000}"/>
  </hyperlinks>
  <printOptions horizontalCentered="1" verticalCentered="1"/>
  <pageMargins left="0.19685039370078741" right="0.19685039370078741" top="0.51181102362204722" bottom="0.51181102362204722" header="0.31496062992125984" footer="0.31496062992125984"/>
  <pageSetup paperSize="9" scale="21" orientation="landscape" r:id="rId18"/>
  <headerFooter alignWithMargins="0"/>
  <rowBreaks count="3" manualBreakCount="3">
    <brk id="39" max="16383" man="1"/>
    <brk id="58" max="16383" man="1"/>
    <brk id="73" max="16383" man="1"/>
  </rowBreaks>
  <ignoredErrors>
    <ignoredError sqref="M13 Q13" numberStoredAsText="1"/>
  </ignoredErrors>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83"/>
  <sheetViews>
    <sheetView view="pageBreakPreview" topLeftCell="A77" zoomScale="70" zoomScaleNormal="55" zoomScaleSheetLayoutView="70" zoomScalePageLayoutView="55" workbookViewId="0">
      <selection activeCell="D81" sqref="D81"/>
    </sheetView>
  </sheetViews>
  <sheetFormatPr defaultColWidth="8.7109375" defaultRowHeight="15.75" x14ac:dyDescent="0.25"/>
  <cols>
    <col min="1" max="1" width="8.140625" style="1" customWidth="1"/>
    <col min="2" max="2" width="14.140625" style="1" customWidth="1"/>
    <col min="3" max="3" width="43.85546875" style="15" customWidth="1"/>
    <col min="4" max="4" width="15" style="15" customWidth="1"/>
    <col min="5" max="5" width="9.5703125" style="16" customWidth="1"/>
    <col min="6" max="6" width="17.140625"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x14ac:dyDescent="0.25">
      <c r="A6" s="525" t="s">
        <v>1</v>
      </c>
      <c r="B6" s="525" t="s">
        <v>2</v>
      </c>
      <c r="C6" s="527"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2.25" customHeight="1" x14ac:dyDescent="0.25">
      <c r="A7" s="526"/>
      <c r="B7" s="526"/>
      <c r="C7" s="528"/>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1003</v>
      </c>
      <c r="D9" s="12"/>
      <c r="E9" s="13"/>
      <c r="F9" s="118"/>
      <c r="G9" s="123"/>
      <c r="H9" s="123"/>
      <c r="I9" s="12"/>
      <c r="J9" s="118"/>
      <c r="K9" s="118"/>
      <c r="L9" s="118"/>
      <c r="M9" s="12"/>
      <c r="N9" s="118"/>
      <c r="O9" s="118"/>
      <c r="P9" s="118"/>
      <c r="Q9" s="12"/>
      <c r="R9" s="12"/>
      <c r="S9" s="118"/>
      <c r="T9" s="12"/>
    </row>
    <row r="10" spans="1:20" ht="79.5" customHeight="1" x14ac:dyDescent="0.25">
      <c r="A10" s="469">
        <v>1</v>
      </c>
      <c r="B10" s="132" t="s">
        <v>849</v>
      </c>
      <c r="C10" s="137" t="s">
        <v>1002</v>
      </c>
      <c r="D10" s="131" t="s">
        <v>1001</v>
      </c>
      <c r="E10" s="141" t="s">
        <v>15</v>
      </c>
      <c r="F10" s="137">
        <v>536936.24</v>
      </c>
      <c r="G10" s="121" t="s">
        <v>846</v>
      </c>
      <c r="H10" s="128" t="s">
        <v>986</v>
      </c>
      <c r="I10" s="140" t="s">
        <v>593</v>
      </c>
      <c r="J10" s="137">
        <v>576709.30000000005</v>
      </c>
      <c r="K10" s="121" t="s">
        <v>844</v>
      </c>
      <c r="L10" s="128" t="s">
        <v>985</v>
      </c>
      <c r="M10" s="140" t="s">
        <v>593</v>
      </c>
      <c r="N10" s="137">
        <v>556822.77</v>
      </c>
      <c r="O10" s="121" t="s">
        <v>842</v>
      </c>
      <c r="P10" s="128" t="s">
        <v>841</v>
      </c>
      <c r="Q10" s="140" t="s">
        <v>593</v>
      </c>
      <c r="R10" s="137">
        <f t="shared" ref="R10:R41" si="0">MIN(F10,J10,N10)</f>
        <v>536936.24</v>
      </c>
      <c r="S10" s="137"/>
      <c r="T10" s="471">
        <v>45877</v>
      </c>
    </row>
    <row r="11" spans="1:20" ht="79.5" customHeight="1" x14ac:dyDescent="0.25">
      <c r="A11" s="469">
        <v>2</v>
      </c>
      <c r="B11" s="132" t="s">
        <v>849</v>
      </c>
      <c r="C11" s="137" t="s">
        <v>1000</v>
      </c>
      <c r="D11" s="131" t="s">
        <v>999</v>
      </c>
      <c r="E11" s="141" t="s">
        <v>15</v>
      </c>
      <c r="F11" s="137">
        <v>390673.02</v>
      </c>
      <c r="G11" s="121" t="s">
        <v>846</v>
      </c>
      <c r="H11" s="128" t="s">
        <v>986</v>
      </c>
      <c r="I11" s="140" t="s">
        <v>593</v>
      </c>
      <c r="J11" s="137">
        <v>419611.76</v>
      </c>
      <c r="K11" s="121" t="s">
        <v>844</v>
      </c>
      <c r="L11" s="128" t="s">
        <v>985</v>
      </c>
      <c r="M11" s="140" t="s">
        <v>593</v>
      </c>
      <c r="N11" s="137">
        <v>405142.39</v>
      </c>
      <c r="O11" s="121" t="s">
        <v>842</v>
      </c>
      <c r="P11" s="128" t="s">
        <v>841</v>
      </c>
      <c r="Q11" s="140" t="s">
        <v>593</v>
      </c>
      <c r="R11" s="137">
        <f t="shared" si="0"/>
        <v>390673.02</v>
      </c>
      <c r="S11" s="137"/>
      <c r="T11" s="471">
        <v>45877</v>
      </c>
    </row>
    <row r="12" spans="1:20" ht="79.5" customHeight="1" x14ac:dyDescent="0.25">
      <c r="A12" s="469">
        <v>3</v>
      </c>
      <c r="B12" s="132" t="s">
        <v>849</v>
      </c>
      <c r="C12" s="241" t="s">
        <v>998</v>
      </c>
      <c r="D12" s="131" t="s">
        <v>997</v>
      </c>
      <c r="E12" s="141" t="s">
        <v>15</v>
      </c>
      <c r="F12" s="137">
        <v>339617.08</v>
      </c>
      <c r="G12" s="121" t="s">
        <v>846</v>
      </c>
      <c r="H12" s="128" t="s">
        <v>986</v>
      </c>
      <c r="I12" s="140" t="s">
        <v>593</v>
      </c>
      <c r="J12" s="137">
        <v>364773.9</v>
      </c>
      <c r="K12" s="121" t="s">
        <v>844</v>
      </c>
      <c r="L12" s="128" t="s">
        <v>985</v>
      </c>
      <c r="M12" s="140" t="s">
        <v>593</v>
      </c>
      <c r="N12" s="137">
        <v>352195.49</v>
      </c>
      <c r="O12" s="121" t="s">
        <v>842</v>
      </c>
      <c r="P12" s="128" t="s">
        <v>841</v>
      </c>
      <c r="Q12" s="140" t="s">
        <v>593</v>
      </c>
      <c r="R12" s="137">
        <f t="shared" si="0"/>
        <v>339617.08</v>
      </c>
      <c r="S12" s="235"/>
      <c r="T12" s="471">
        <v>45877</v>
      </c>
    </row>
    <row r="13" spans="1:20" ht="79.5" customHeight="1" x14ac:dyDescent="0.25">
      <c r="A13" s="469">
        <v>4</v>
      </c>
      <c r="B13" s="132" t="s">
        <v>849</v>
      </c>
      <c r="C13" s="241" t="s">
        <v>996</v>
      </c>
      <c r="D13" s="131" t="s">
        <v>995</v>
      </c>
      <c r="E13" s="141" t="s">
        <v>15</v>
      </c>
      <c r="F13" s="137">
        <v>330156.03000000003</v>
      </c>
      <c r="G13" s="121" t="s">
        <v>846</v>
      </c>
      <c r="H13" s="128" t="s">
        <v>986</v>
      </c>
      <c r="I13" s="140" t="s">
        <v>593</v>
      </c>
      <c r="J13" s="137">
        <v>354612.03</v>
      </c>
      <c r="K13" s="121" t="s">
        <v>844</v>
      </c>
      <c r="L13" s="128" t="s">
        <v>985</v>
      </c>
      <c r="M13" s="140" t="s">
        <v>593</v>
      </c>
      <c r="N13" s="137">
        <v>342384.03</v>
      </c>
      <c r="O13" s="121" t="s">
        <v>842</v>
      </c>
      <c r="P13" s="128" t="s">
        <v>841</v>
      </c>
      <c r="Q13" s="140" t="s">
        <v>593</v>
      </c>
      <c r="R13" s="137">
        <f t="shared" si="0"/>
        <v>330156.03000000003</v>
      </c>
      <c r="S13" s="235"/>
      <c r="T13" s="471">
        <v>45877</v>
      </c>
    </row>
    <row r="14" spans="1:20" ht="79.5" customHeight="1" x14ac:dyDescent="0.25">
      <c r="A14" s="469">
        <v>5</v>
      </c>
      <c r="B14" s="132" t="s">
        <v>849</v>
      </c>
      <c r="C14" s="241" t="s">
        <v>994</v>
      </c>
      <c r="D14" s="131" t="s">
        <v>993</v>
      </c>
      <c r="E14" s="141" t="s">
        <v>15</v>
      </c>
      <c r="F14" s="137">
        <v>255995.17</v>
      </c>
      <c r="G14" s="121" t="s">
        <v>846</v>
      </c>
      <c r="H14" s="128" t="s">
        <v>986</v>
      </c>
      <c r="I14" s="140" t="s">
        <v>593</v>
      </c>
      <c r="J14" s="137">
        <v>274957.77</v>
      </c>
      <c r="K14" s="121" t="s">
        <v>844</v>
      </c>
      <c r="L14" s="128" t="s">
        <v>985</v>
      </c>
      <c r="M14" s="140" t="s">
        <v>593</v>
      </c>
      <c r="N14" s="137">
        <v>365476.47</v>
      </c>
      <c r="O14" s="121" t="s">
        <v>842</v>
      </c>
      <c r="P14" s="128" t="s">
        <v>841</v>
      </c>
      <c r="Q14" s="140" t="s">
        <v>593</v>
      </c>
      <c r="R14" s="137">
        <f t="shared" si="0"/>
        <v>255995.17</v>
      </c>
      <c r="S14" s="235"/>
      <c r="T14" s="471">
        <v>45877</v>
      </c>
    </row>
    <row r="15" spans="1:20" ht="79.5" customHeight="1" x14ac:dyDescent="0.25">
      <c r="A15" s="469">
        <v>6</v>
      </c>
      <c r="B15" s="132" t="s">
        <v>849</v>
      </c>
      <c r="C15" s="241" t="s">
        <v>992</v>
      </c>
      <c r="D15" s="131" t="s">
        <v>991</v>
      </c>
      <c r="E15" s="141" t="s">
        <v>15</v>
      </c>
      <c r="F15" s="137">
        <v>255995.17</v>
      </c>
      <c r="G15" s="121" t="s">
        <v>846</v>
      </c>
      <c r="H15" s="128" t="s">
        <v>986</v>
      </c>
      <c r="I15" s="140" t="s">
        <v>593</v>
      </c>
      <c r="J15" s="137">
        <v>274957.77</v>
      </c>
      <c r="K15" s="121" t="s">
        <v>844</v>
      </c>
      <c r="L15" s="128" t="s">
        <v>985</v>
      </c>
      <c r="M15" s="140" t="s">
        <v>593</v>
      </c>
      <c r="N15" s="137">
        <v>365476.47</v>
      </c>
      <c r="O15" s="121" t="s">
        <v>842</v>
      </c>
      <c r="P15" s="128" t="s">
        <v>841</v>
      </c>
      <c r="Q15" s="140" t="s">
        <v>593</v>
      </c>
      <c r="R15" s="137">
        <f t="shared" si="0"/>
        <v>255995.17</v>
      </c>
      <c r="S15" s="235"/>
      <c r="T15" s="471">
        <v>45877</v>
      </c>
    </row>
    <row r="16" spans="1:20" ht="79.5" customHeight="1" x14ac:dyDescent="0.25">
      <c r="A16" s="469">
        <v>7</v>
      </c>
      <c r="B16" s="132" t="s">
        <v>849</v>
      </c>
      <c r="C16" s="241" t="s">
        <v>990</v>
      </c>
      <c r="D16" s="131" t="s">
        <v>989</v>
      </c>
      <c r="E16" s="141" t="s">
        <v>15</v>
      </c>
      <c r="F16" s="137">
        <v>66319.7</v>
      </c>
      <c r="G16" s="121" t="s">
        <v>846</v>
      </c>
      <c r="H16" s="128" t="s">
        <v>986</v>
      </c>
      <c r="I16" s="140" t="s">
        <v>593</v>
      </c>
      <c r="J16" s="137">
        <v>71232.27</v>
      </c>
      <c r="K16" s="121" t="s">
        <v>844</v>
      </c>
      <c r="L16" s="128" t="s">
        <v>985</v>
      </c>
      <c r="M16" s="140" t="s">
        <v>593</v>
      </c>
      <c r="N16" s="137">
        <v>68775.98</v>
      </c>
      <c r="O16" s="121" t="s">
        <v>842</v>
      </c>
      <c r="P16" s="128" t="s">
        <v>841</v>
      </c>
      <c r="Q16" s="140" t="s">
        <v>593</v>
      </c>
      <c r="R16" s="137">
        <f t="shared" si="0"/>
        <v>66319.7</v>
      </c>
      <c r="S16" s="235"/>
      <c r="T16" s="471">
        <v>45877</v>
      </c>
    </row>
    <row r="17" spans="1:20" ht="79.5" customHeight="1" x14ac:dyDescent="0.25">
      <c r="A17" s="469">
        <v>8</v>
      </c>
      <c r="B17" s="132" t="s">
        <v>849</v>
      </c>
      <c r="C17" s="138" t="s">
        <v>988</v>
      </c>
      <c r="D17" s="131" t="s">
        <v>987</v>
      </c>
      <c r="E17" s="141" t="s">
        <v>15</v>
      </c>
      <c r="F17" s="133">
        <v>129880.42</v>
      </c>
      <c r="G17" s="121" t="s">
        <v>846</v>
      </c>
      <c r="H17" s="128" t="s">
        <v>986</v>
      </c>
      <c r="I17" s="140" t="s">
        <v>593</v>
      </c>
      <c r="J17" s="133">
        <v>139501.19</v>
      </c>
      <c r="K17" s="121" t="s">
        <v>844</v>
      </c>
      <c r="L17" s="128" t="s">
        <v>985</v>
      </c>
      <c r="M17" s="140" t="s">
        <v>593</v>
      </c>
      <c r="N17" s="133">
        <v>134690.81</v>
      </c>
      <c r="O17" s="121" t="s">
        <v>842</v>
      </c>
      <c r="P17" s="128" t="s">
        <v>841</v>
      </c>
      <c r="Q17" s="140" t="s">
        <v>593</v>
      </c>
      <c r="R17" s="137">
        <f t="shared" si="0"/>
        <v>129880.42</v>
      </c>
      <c r="S17" s="235"/>
      <c r="T17" s="471">
        <v>45877</v>
      </c>
    </row>
    <row r="18" spans="1:20" ht="79.5" customHeight="1" x14ac:dyDescent="0.25">
      <c r="A18" s="469">
        <v>9</v>
      </c>
      <c r="B18" s="132" t="s">
        <v>849</v>
      </c>
      <c r="C18" s="138" t="s">
        <v>984</v>
      </c>
      <c r="D18" s="131" t="s">
        <v>983</v>
      </c>
      <c r="E18" s="141" t="s">
        <v>15</v>
      </c>
      <c r="F18" s="133">
        <v>172264.5</v>
      </c>
      <c r="G18" s="121" t="s">
        <v>846</v>
      </c>
      <c r="H18" s="128" t="s">
        <v>982</v>
      </c>
      <c r="I18" s="140" t="s">
        <v>593</v>
      </c>
      <c r="J18" s="133">
        <v>185024.83</v>
      </c>
      <c r="K18" s="121" t="s">
        <v>844</v>
      </c>
      <c r="L18" s="128" t="s">
        <v>981</v>
      </c>
      <c r="M18" s="140" t="s">
        <v>593</v>
      </c>
      <c r="N18" s="133">
        <v>178644.66</v>
      </c>
      <c r="O18" s="121" t="s">
        <v>842</v>
      </c>
      <c r="P18" s="128" t="s">
        <v>841</v>
      </c>
      <c r="Q18" s="140" t="s">
        <v>593</v>
      </c>
      <c r="R18" s="137">
        <f t="shared" si="0"/>
        <v>172264.5</v>
      </c>
      <c r="S18" s="235"/>
      <c r="T18" s="471">
        <v>45877</v>
      </c>
    </row>
    <row r="19" spans="1:20" ht="79.5" customHeight="1" x14ac:dyDescent="0.25">
      <c r="A19" s="469">
        <v>10</v>
      </c>
      <c r="B19" s="132" t="s">
        <v>849</v>
      </c>
      <c r="C19" s="138" t="s">
        <v>980</v>
      </c>
      <c r="D19" s="131" t="s">
        <v>979</v>
      </c>
      <c r="E19" s="141" t="s">
        <v>15</v>
      </c>
      <c r="F19" s="133">
        <v>194719.03</v>
      </c>
      <c r="G19" s="121" t="s">
        <v>846</v>
      </c>
      <c r="H19" s="128" t="s">
        <v>978</v>
      </c>
      <c r="I19" s="140" t="s">
        <v>593</v>
      </c>
      <c r="J19" s="133">
        <v>209142.66</v>
      </c>
      <c r="K19" s="121" t="s">
        <v>844</v>
      </c>
      <c r="L19" s="128" t="s">
        <v>977</v>
      </c>
      <c r="M19" s="140" t="s">
        <v>593</v>
      </c>
      <c r="N19" s="133">
        <v>201930.85</v>
      </c>
      <c r="O19" s="121" t="s">
        <v>842</v>
      </c>
      <c r="P19" s="128" t="s">
        <v>841</v>
      </c>
      <c r="Q19" s="140" t="s">
        <v>593</v>
      </c>
      <c r="R19" s="137">
        <f t="shared" si="0"/>
        <v>194719.03</v>
      </c>
      <c r="S19" s="235"/>
      <c r="T19" s="471">
        <v>45877</v>
      </c>
    </row>
    <row r="20" spans="1:20" ht="79.5" customHeight="1" x14ac:dyDescent="0.25">
      <c r="A20" s="469">
        <v>11</v>
      </c>
      <c r="B20" s="132" t="s">
        <v>849</v>
      </c>
      <c r="C20" s="138" t="s">
        <v>976</v>
      </c>
      <c r="D20" s="131" t="s">
        <v>975</v>
      </c>
      <c r="E20" s="141" t="s">
        <v>15</v>
      </c>
      <c r="F20" s="237">
        <v>72286.97</v>
      </c>
      <c r="G20" s="121" t="s">
        <v>846</v>
      </c>
      <c r="H20" s="128" t="s">
        <v>974</v>
      </c>
      <c r="I20" s="140" t="s">
        <v>593</v>
      </c>
      <c r="J20" s="133">
        <v>77641.56</v>
      </c>
      <c r="K20" s="121" t="s">
        <v>844</v>
      </c>
      <c r="L20" s="128" t="s">
        <v>973</v>
      </c>
      <c r="M20" s="140" t="s">
        <v>593</v>
      </c>
      <c r="N20" s="133">
        <v>74964.259999999995</v>
      </c>
      <c r="O20" s="121" t="s">
        <v>842</v>
      </c>
      <c r="P20" s="128" t="s">
        <v>841</v>
      </c>
      <c r="Q20" s="140" t="s">
        <v>593</v>
      </c>
      <c r="R20" s="137">
        <f t="shared" si="0"/>
        <v>72286.97</v>
      </c>
      <c r="S20" s="235"/>
      <c r="T20" s="471">
        <v>45877</v>
      </c>
    </row>
    <row r="21" spans="1:20" ht="79.5" customHeight="1" x14ac:dyDescent="0.25">
      <c r="A21" s="469">
        <v>12</v>
      </c>
      <c r="B21" s="132" t="s">
        <v>849</v>
      </c>
      <c r="C21" s="138" t="s">
        <v>972</v>
      </c>
      <c r="D21" s="131" t="s">
        <v>971</v>
      </c>
      <c r="E21" s="141" t="s">
        <v>15</v>
      </c>
      <c r="F21" s="133">
        <v>172572.16</v>
      </c>
      <c r="G21" s="121" t="s">
        <v>846</v>
      </c>
      <c r="H21" s="128" t="s">
        <v>970</v>
      </c>
      <c r="I21" s="140" t="s">
        <v>593</v>
      </c>
      <c r="J21" s="133">
        <v>185355.28</v>
      </c>
      <c r="K21" s="121" t="s">
        <v>844</v>
      </c>
      <c r="L21" s="128" t="s">
        <v>969</v>
      </c>
      <c r="M21" s="140" t="s">
        <v>593</v>
      </c>
      <c r="N21" s="133">
        <v>178963.72</v>
      </c>
      <c r="O21" s="121" t="s">
        <v>842</v>
      </c>
      <c r="P21" s="128" t="s">
        <v>841</v>
      </c>
      <c r="Q21" s="140" t="s">
        <v>593</v>
      </c>
      <c r="R21" s="137">
        <f t="shared" si="0"/>
        <v>172572.16</v>
      </c>
      <c r="S21" s="235"/>
      <c r="T21" s="471">
        <v>45877</v>
      </c>
    </row>
    <row r="22" spans="1:20" ht="79.5" customHeight="1" x14ac:dyDescent="0.25">
      <c r="A22" s="469">
        <v>13</v>
      </c>
      <c r="B22" s="132" t="s">
        <v>849</v>
      </c>
      <c r="C22" s="138" t="s">
        <v>968</v>
      </c>
      <c r="D22" s="131" t="s">
        <v>967</v>
      </c>
      <c r="E22" s="141" t="s">
        <v>15</v>
      </c>
      <c r="F22" s="133">
        <v>142950.46</v>
      </c>
      <c r="G22" s="121" t="s">
        <v>846</v>
      </c>
      <c r="H22" s="128" t="s">
        <v>966</v>
      </c>
      <c r="I22" s="140" t="s">
        <v>593</v>
      </c>
      <c r="J22" s="133">
        <v>153539.38</v>
      </c>
      <c r="K22" s="121" t="s">
        <v>844</v>
      </c>
      <c r="L22" s="128" t="s">
        <v>965</v>
      </c>
      <c r="M22" s="140" t="s">
        <v>593</v>
      </c>
      <c r="N22" s="133">
        <v>148244.92000000001</v>
      </c>
      <c r="O22" s="121" t="s">
        <v>842</v>
      </c>
      <c r="P22" s="128" t="s">
        <v>841</v>
      </c>
      <c r="Q22" s="140" t="s">
        <v>593</v>
      </c>
      <c r="R22" s="137">
        <f t="shared" si="0"/>
        <v>142950.46</v>
      </c>
      <c r="S22" s="235"/>
      <c r="T22" s="471">
        <v>45877</v>
      </c>
    </row>
    <row r="23" spans="1:20" ht="79.5" customHeight="1" x14ac:dyDescent="0.25">
      <c r="A23" s="469">
        <v>14</v>
      </c>
      <c r="B23" s="132" t="s">
        <v>849</v>
      </c>
      <c r="C23" s="138" t="s">
        <v>964</v>
      </c>
      <c r="D23" s="131" t="s">
        <v>963</v>
      </c>
      <c r="E23" s="141" t="s">
        <v>15</v>
      </c>
      <c r="F23" s="133">
        <v>99616.2</v>
      </c>
      <c r="G23" s="121" t="s">
        <v>846</v>
      </c>
      <c r="H23" s="128" t="s">
        <v>962</v>
      </c>
      <c r="I23" s="140" t="s">
        <v>593</v>
      </c>
      <c r="J23" s="133">
        <v>106995.18</v>
      </c>
      <c r="K23" s="121" t="s">
        <v>844</v>
      </c>
      <c r="L23" s="128" t="s">
        <v>961</v>
      </c>
      <c r="M23" s="140" t="s">
        <v>593</v>
      </c>
      <c r="N23" s="133">
        <v>103305.69</v>
      </c>
      <c r="O23" s="121" t="s">
        <v>842</v>
      </c>
      <c r="P23" s="128" t="s">
        <v>841</v>
      </c>
      <c r="Q23" s="140" t="s">
        <v>593</v>
      </c>
      <c r="R23" s="137">
        <f t="shared" si="0"/>
        <v>99616.2</v>
      </c>
      <c r="S23" s="235"/>
      <c r="T23" s="471">
        <v>45877</v>
      </c>
    </row>
    <row r="24" spans="1:20" ht="79.5" customHeight="1" x14ac:dyDescent="0.25">
      <c r="A24" s="469">
        <v>15</v>
      </c>
      <c r="B24" s="132" t="s">
        <v>849</v>
      </c>
      <c r="C24" s="138" t="s">
        <v>960</v>
      </c>
      <c r="D24" s="131" t="s">
        <v>959</v>
      </c>
      <c r="E24" s="141" t="s">
        <v>15</v>
      </c>
      <c r="F24" s="133">
        <v>99616.2</v>
      </c>
      <c r="G24" s="121" t="s">
        <v>846</v>
      </c>
      <c r="H24" s="128" t="s">
        <v>958</v>
      </c>
      <c r="I24" s="140" t="s">
        <v>593</v>
      </c>
      <c r="J24" s="133">
        <v>106995.18</v>
      </c>
      <c r="K24" s="121" t="s">
        <v>844</v>
      </c>
      <c r="L24" s="128" t="s">
        <v>957</v>
      </c>
      <c r="M24" s="140" t="s">
        <v>593</v>
      </c>
      <c r="N24" s="133">
        <v>103305.69</v>
      </c>
      <c r="O24" s="121" t="s">
        <v>842</v>
      </c>
      <c r="P24" s="128" t="s">
        <v>841</v>
      </c>
      <c r="Q24" s="140" t="s">
        <v>593</v>
      </c>
      <c r="R24" s="137">
        <f t="shared" si="0"/>
        <v>99616.2</v>
      </c>
      <c r="S24" s="235"/>
      <c r="T24" s="471">
        <v>45877</v>
      </c>
    </row>
    <row r="25" spans="1:20" ht="79.5" customHeight="1" x14ac:dyDescent="0.25">
      <c r="A25" s="469">
        <v>16</v>
      </c>
      <c r="B25" s="132" t="s">
        <v>849</v>
      </c>
      <c r="C25" s="138" t="s">
        <v>956</v>
      </c>
      <c r="D25" s="131" t="s">
        <v>955</v>
      </c>
      <c r="E25" s="141" t="s">
        <v>15</v>
      </c>
      <c r="F25" s="133">
        <v>142950.46</v>
      </c>
      <c r="G25" s="121" t="s">
        <v>846</v>
      </c>
      <c r="H25" s="128" t="s">
        <v>954</v>
      </c>
      <c r="I25" s="140" t="s">
        <v>593</v>
      </c>
      <c r="J25" s="133">
        <v>153539.38</v>
      </c>
      <c r="K25" s="121" t="s">
        <v>844</v>
      </c>
      <c r="L25" s="128" t="s">
        <v>953</v>
      </c>
      <c r="M25" s="140" t="s">
        <v>593</v>
      </c>
      <c r="N25" s="133">
        <v>148244.92000000001</v>
      </c>
      <c r="O25" s="121" t="s">
        <v>842</v>
      </c>
      <c r="P25" s="128" t="s">
        <v>841</v>
      </c>
      <c r="Q25" s="140" t="s">
        <v>593</v>
      </c>
      <c r="R25" s="137">
        <f t="shared" si="0"/>
        <v>142950.46</v>
      </c>
      <c r="S25" s="235"/>
      <c r="T25" s="471">
        <v>45877</v>
      </c>
    </row>
    <row r="26" spans="1:20" ht="79.5" customHeight="1" x14ac:dyDescent="0.25">
      <c r="A26" s="469">
        <v>17</v>
      </c>
      <c r="B26" s="132" t="s">
        <v>849</v>
      </c>
      <c r="C26" s="138" t="s">
        <v>952</v>
      </c>
      <c r="D26" s="131" t="s">
        <v>951</v>
      </c>
      <c r="E26" s="141" t="s">
        <v>15</v>
      </c>
      <c r="F26" s="133">
        <v>126637.78</v>
      </c>
      <c r="G26" s="121" t="s">
        <v>846</v>
      </c>
      <c r="H26" s="128" t="s">
        <v>950</v>
      </c>
      <c r="I26" s="140" t="s">
        <v>593</v>
      </c>
      <c r="J26" s="133">
        <v>136018.35</v>
      </c>
      <c r="K26" s="121" t="s">
        <v>844</v>
      </c>
      <c r="L26" s="128" t="s">
        <v>949</v>
      </c>
      <c r="M26" s="140" t="s">
        <v>593</v>
      </c>
      <c r="N26" s="133">
        <v>131328.06</v>
      </c>
      <c r="O26" s="121" t="s">
        <v>842</v>
      </c>
      <c r="P26" s="128" t="s">
        <v>841</v>
      </c>
      <c r="Q26" s="140" t="s">
        <v>593</v>
      </c>
      <c r="R26" s="133">
        <f t="shared" si="0"/>
        <v>126637.78</v>
      </c>
      <c r="S26" s="133"/>
      <c r="T26" s="471">
        <v>45877</v>
      </c>
    </row>
    <row r="27" spans="1:20" ht="79.5" customHeight="1" x14ac:dyDescent="0.25">
      <c r="A27" s="469">
        <v>18</v>
      </c>
      <c r="B27" s="132" t="s">
        <v>849</v>
      </c>
      <c r="C27" s="138" t="s">
        <v>948</v>
      </c>
      <c r="D27" s="131" t="s">
        <v>947</v>
      </c>
      <c r="E27" s="141" t="s">
        <v>15</v>
      </c>
      <c r="F27" s="133">
        <v>74579.429999999993</v>
      </c>
      <c r="G27" s="121" t="s">
        <v>846</v>
      </c>
      <c r="H27" s="128" t="s">
        <v>946</v>
      </c>
      <c r="I27" s="140" t="s">
        <v>593</v>
      </c>
      <c r="J27" s="133">
        <v>80103.83</v>
      </c>
      <c r="K27" s="121" t="s">
        <v>844</v>
      </c>
      <c r="L27" s="128" t="s">
        <v>945</v>
      </c>
      <c r="M27" s="140" t="s">
        <v>593</v>
      </c>
      <c r="N27" s="133">
        <v>77341.63</v>
      </c>
      <c r="O27" s="121" t="s">
        <v>842</v>
      </c>
      <c r="P27" s="128" t="s">
        <v>841</v>
      </c>
      <c r="Q27" s="140" t="s">
        <v>593</v>
      </c>
      <c r="R27" s="137">
        <f t="shared" si="0"/>
        <v>74579.429999999993</v>
      </c>
      <c r="S27" s="235"/>
      <c r="T27" s="471">
        <v>45877</v>
      </c>
    </row>
    <row r="28" spans="1:20" ht="79.5" customHeight="1" x14ac:dyDescent="0.25">
      <c r="A28" s="469">
        <v>19</v>
      </c>
      <c r="B28" s="132" t="s">
        <v>849</v>
      </c>
      <c r="C28" s="138" t="s">
        <v>944</v>
      </c>
      <c r="D28" s="131" t="s">
        <v>943</v>
      </c>
      <c r="E28" s="141" t="s">
        <v>15</v>
      </c>
      <c r="F28" s="133">
        <v>102505.39</v>
      </c>
      <c r="G28" s="121" t="s">
        <v>846</v>
      </c>
      <c r="H28" s="128" t="s">
        <v>845</v>
      </c>
      <c r="I28" s="140" t="s">
        <v>593</v>
      </c>
      <c r="J28" s="133">
        <v>110098.38</v>
      </c>
      <c r="K28" s="121" t="s">
        <v>844</v>
      </c>
      <c r="L28" s="128" t="s">
        <v>843</v>
      </c>
      <c r="M28" s="140" t="s">
        <v>593</v>
      </c>
      <c r="N28" s="133">
        <v>106301.89</v>
      </c>
      <c r="O28" s="121" t="s">
        <v>842</v>
      </c>
      <c r="P28" s="128" t="s">
        <v>841</v>
      </c>
      <c r="Q28" s="140" t="s">
        <v>593</v>
      </c>
      <c r="R28" s="137">
        <f t="shared" si="0"/>
        <v>102505.39</v>
      </c>
      <c r="S28" s="235"/>
      <c r="T28" s="471">
        <v>45877</v>
      </c>
    </row>
    <row r="29" spans="1:20" ht="79.5" customHeight="1" x14ac:dyDescent="0.25">
      <c r="A29" s="469">
        <v>20</v>
      </c>
      <c r="B29" s="132" t="s">
        <v>849</v>
      </c>
      <c r="C29" s="138" t="s">
        <v>942</v>
      </c>
      <c r="D29" s="131" t="s">
        <v>941</v>
      </c>
      <c r="E29" s="141" t="s">
        <v>15</v>
      </c>
      <c r="F29" s="133">
        <v>142353.01999999999</v>
      </c>
      <c r="G29" s="121" t="s">
        <v>846</v>
      </c>
      <c r="H29" s="128" t="s">
        <v>845</v>
      </c>
      <c r="I29" s="140" t="s">
        <v>593</v>
      </c>
      <c r="J29" s="133">
        <v>152897.69</v>
      </c>
      <c r="K29" s="121" t="s">
        <v>844</v>
      </c>
      <c r="L29" s="128" t="s">
        <v>843</v>
      </c>
      <c r="M29" s="140" t="s">
        <v>593</v>
      </c>
      <c r="N29" s="133">
        <v>147625.35</v>
      </c>
      <c r="O29" s="121" t="s">
        <v>842</v>
      </c>
      <c r="P29" s="128" t="s">
        <v>841</v>
      </c>
      <c r="Q29" s="140" t="s">
        <v>593</v>
      </c>
      <c r="R29" s="137">
        <f t="shared" si="0"/>
        <v>142353.01999999999</v>
      </c>
      <c r="S29" s="235"/>
      <c r="T29" s="471">
        <v>45877</v>
      </c>
    </row>
    <row r="30" spans="1:20" ht="79.5" customHeight="1" x14ac:dyDescent="0.25">
      <c r="A30" s="469">
        <v>21</v>
      </c>
      <c r="B30" s="132" t="s">
        <v>849</v>
      </c>
      <c r="C30" s="138" t="s">
        <v>940</v>
      </c>
      <c r="D30" s="131" t="s">
        <v>939</v>
      </c>
      <c r="E30" s="141" t="s">
        <v>15</v>
      </c>
      <c r="F30" s="133">
        <v>28631.45</v>
      </c>
      <c r="G30" s="121" t="s">
        <v>846</v>
      </c>
      <c r="H30" s="128" t="s">
        <v>845</v>
      </c>
      <c r="I30" s="140" t="s">
        <v>593</v>
      </c>
      <c r="J30" s="133">
        <v>30752.3</v>
      </c>
      <c r="K30" s="121" t="s">
        <v>844</v>
      </c>
      <c r="L30" s="128" t="s">
        <v>843</v>
      </c>
      <c r="M30" s="140" t="s">
        <v>593</v>
      </c>
      <c r="N30" s="133">
        <v>29691.87</v>
      </c>
      <c r="O30" s="121" t="s">
        <v>842</v>
      </c>
      <c r="P30" s="128" t="s">
        <v>841</v>
      </c>
      <c r="Q30" s="140" t="s">
        <v>593</v>
      </c>
      <c r="R30" s="137">
        <f t="shared" si="0"/>
        <v>28631.45</v>
      </c>
      <c r="S30" s="235"/>
      <c r="T30" s="471">
        <v>45877</v>
      </c>
    </row>
    <row r="31" spans="1:20" ht="79.5" customHeight="1" x14ac:dyDescent="0.25">
      <c r="A31" s="469">
        <v>22</v>
      </c>
      <c r="B31" s="132" t="s">
        <v>849</v>
      </c>
      <c r="C31" s="138" t="s">
        <v>938</v>
      </c>
      <c r="D31" s="131" t="s">
        <v>937</v>
      </c>
      <c r="E31" s="141" t="s">
        <v>15</v>
      </c>
      <c r="F31" s="133">
        <v>29228.89</v>
      </c>
      <c r="G31" s="121" t="s">
        <v>846</v>
      </c>
      <c r="H31" s="128" t="s">
        <v>845</v>
      </c>
      <c r="I31" s="140" t="s">
        <v>593</v>
      </c>
      <c r="J31" s="133">
        <v>31393.99</v>
      </c>
      <c r="K31" s="121" t="s">
        <v>844</v>
      </c>
      <c r="L31" s="128" t="s">
        <v>843</v>
      </c>
      <c r="M31" s="140" t="s">
        <v>593</v>
      </c>
      <c r="N31" s="133">
        <v>30311.439999999999</v>
      </c>
      <c r="O31" s="121" t="s">
        <v>842</v>
      </c>
      <c r="P31" s="128" t="s">
        <v>841</v>
      </c>
      <c r="Q31" s="140" t="s">
        <v>593</v>
      </c>
      <c r="R31" s="137">
        <f t="shared" si="0"/>
        <v>29228.89</v>
      </c>
      <c r="S31" s="235"/>
      <c r="T31" s="471">
        <v>45877</v>
      </c>
    </row>
    <row r="32" spans="1:20" ht="79.5" customHeight="1" x14ac:dyDescent="0.25">
      <c r="A32" s="469">
        <v>23</v>
      </c>
      <c r="B32" s="132" t="s">
        <v>849</v>
      </c>
      <c r="C32" s="138" t="s">
        <v>936</v>
      </c>
      <c r="D32" s="131" t="s">
        <v>935</v>
      </c>
      <c r="E32" s="141" t="s">
        <v>15</v>
      </c>
      <c r="F32" s="133">
        <v>11397.92</v>
      </c>
      <c r="G32" s="121" t="s">
        <v>846</v>
      </c>
      <c r="H32" s="128" t="s">
        <v>845</v>
      </c>
      <c r="I32" s="140" t="s">
        <v>593</v>
      </c>
      <c r="J32" s="133">
        <v>12242.21</v>
      </c>
      <c r="K32" s="121" t="s">
        <v>844</v>
      </c>
      <c r="L32" s="128" t="s">
        <v>843</v>
      </c>
      <c r="M32" s="140" t="s">
        <v>593</v>
      </c>
      <c r="N32" s="133">
        <v>11820.06</v>
      </c>
      <c r="O32" s="121" t="s">
        <v>842</v>
      </c>
      <c r="P32" s="128" t="s">
        <v>841</v>
      </c>
      <c r="Q32" s="140" t="s">
        <v>593</v>
      </c>
      <c r="R32" s="137">
        <f t="shared" si="0"/>
        <v>11397.92</v>
      </c>
      <c r="S32" s="235"/>
      <c r="T32" s="471">
        <v>45877</v>
      </c>
    </row>
    <row r="33" spans="1:20" ht="79.5" customHeight="1" x14ac:dyDescent="0.25">
      <c r="A33" s="469">
        <v>24</v>
      </c>
      <c r="B33" s="132" t="s">
        <v>849</v>
      </c>
      <c r="C33" s="138" t="s">
        <v>934</v>
      </c>
      <c r="D33" s="131" t="s">
        <v>933</v>
      </c>
      <c r="E33" s="141" t="s">
        <v>15</v>
      </c>
      <c r="F33" s="133">
        <v>18864.87</v>
      </c>
      <c r="G33" s="121" t="s">
        <v>846</v>
      </c>
      <c r="H33" s="128" t="s">
        <v>845</v>
      </c>
      <c r="I33" s="140" t="s">
        <v>593</v>
      </c>
      <c r="J33" s="133">
        <v>20262.27</v>
      </c>
      <c r="K33" s="121" t="s">
        <v>844</v>
      </c>
      <c r="L33" s="128" t="s">
        <v>843</v>
      </c>
      <c r="M33" s="140" t="s">
        <v>593</v>
      </c>
      <c r="N33" s="133">
        <v>19563.57</v>
      </c>
      <c r="O33" s="121" t="s">
        <v>842</v>
      </c>
      <c r="P33" s="128" t="s">
        <v>841</v>
      </c>
      <c r="Q33" s="140" t="s">
        <v>593</v>
      </c>
      <c r="R33" s="137">
        <f t="shared" si="0"/>
        <v>18864.87</v>
      </c>
      <c r="S33" s="235"/>
      <c r="T33" s="471">
        <v>45877</v>
      </c>
    </row>
    <row r="34" spans="1:20" ht="79.5" customHeight="1" x14ac:dyDescent="0.25">
      <c r="A34" s="469">
        <v>25</v>
      </c>
      <c r="B34" s="132" t="s">
        <v>849</v>
      </c>
      <c r="C34" s="138" t="s">
        <v>932</v>
      </c>
      <c r="D34" s="131" t="s">
        <v>931</v>
      </c>
      <c r="E34" s="141" t="s">
        <v>15</v>
      </c>
      <c r="F34" s="133">
        <v>14279.95</v>
      </c>
      <c r="G34" s="121" t="s">
        <v>846</v>
      </c>
      <c r="H34" s="128" t="s">
        <v>845</v>
      </c>
      <c r="I34" s="140" t="s">
        <v>593</v>
      </c>
      <c r="J34" s="133">
        <v>15337.72</v>
      </c>
      <c r="K34" s="121" t="s">
        <v>844</v>
      </c>
      <c r="L34" s="128" t="s">
        <v>843</v>
      </c>
      <c r="M34" s="140" t="s">
        <v>593</v>
      </c>
      <c r="N34" s="133">
        <v>14808.84</v>
      </c>
      <c r="O34" s="121" t="s">
        <v>842</v>
      </c>
      <c r="P34" s="128" t="s">
        <v>841</v>
      </c>
      <c r="Q34" s="140" t="s">
        <v>593</v>
      </c>
      <c r="R34" s="137">
        <f t="shared" si="0"/>
        <v>14279.95</v>
      </c>
      <c r="S34" s="235"/>
      <c r="T34" s="471">
        <v>45877</v>
      </c>
    </row>
    <row r="35" spans="1:20" ht="79.5" customHeight="1" x14ac:dyDescent="0.25">
      <c r="A35" s="469">
        <v>26</v>
      </c>
      <c r="B35" s="132" t="s">
        <v>849</v>
      </c>
      <c r="C35" s="138" t="s">
        <v>930</v>
      </c>
      <c r="D35" s="131" t="s">
        <v>929</v>
      </c>
      <c r="E35" s="141" t="s">
        <v>15</v>
      </c>
      <c r="F35" s="133">
        <v>11397.92</v>
      </c>
      <c r="G35" s="121" t="s">
        <v>846</v>
      </c>
      <c r="H35" s="128" t="s">
        <v>845</v>
      </c>
      <c r="I35" s="140" t="s">
        <v>593</v>
      </c>
      <c r="J35" s="133">
        <v>12242.21</v>
      </c>
      <c r="K35" s="121" t="s">
        <v>844</v>
      </c>
      <c r="L35" s="128" t="s">
        <v>843</v>
      </c>
      <c r="M35" s="140" t="s">
        <v>593</v>
      </c>
      <c r="N35" s="133">
        <v>11820.06</v>
      </c>
      <c r="O35" s="121" t="s">
        <v>842</v>
      </c>
      <c r="P35" s="128" t="s">
        <v>841</v>
      </c>
      <c r="Q35" s="140" t="s">
        <v>593</v>
      </c>
      <c r="R35" s="137">
        <f t="shared" si="0"/>
        <v>11397.92</v>
      </c>
      <c r="S35" s="235"/>
      <c r="T35" s="471">
        <v>45877</v>
      </c>
    </row>
    <row r="36" spans="1:20" ht="79.5" customHeight="1" x14ac:dyDescent="0.25">
      <c r="A36" s="469">
        <v>27</v>
      </c>
      <c r="B36" s="132" t="s">
        <v>849</v>
      </c>
      <c r="C36" s="138" t="s">
        <v>928</v>
      </c>
      <c r="D36" s="131" t="s">
        <v>927</v>
      </c>
      <c r="E36" s="141" t="s">
        <v>15</v>
      </c>
      <c r="F36" s="133">
        <v>11987.49</v>
      </c>
      <c r="G36" s="121" t="s">
        <v>846</v>
      </c>
      <c r="H36" s="128" t="s">
        <v>845</v>
      </c>
      <c r="I36" s="140" t="s">
        <v>593</v>
      </c>
      <c r="J36" s="133">
        <v>12875.45</v>
      </c>
      <c r="K36" s="121" t="s">
        <v>844</v>
      </c>
      <c r="L36" s="128" t="s">
        <v>843</v>
      </c>
      <c r="M36" s="140" t="s">
        <v>593</v>
      </c>
      <c r="N36" s="133">
        <v>12431.47</v>
      </c>
      <c r="O36" s="121" t="s">
        <v>842</v>
      </c>
      <c r="P36" s="128" t="s">
        <v>841</v>
      </c>
      <c r="Q36" s="140" t="s">
        <v>593</v>
      </c>
      <c r="R36" s="137">
        <f t="shared" si="0"/>
        <v>11987.49</v>
      </c>
      <c r="S36" s="235"/>
      <c r="T36" s="471">
        <v>45877</v>
      </c>
    </row>
    <row r="37" spans="1:20" ht="79.5" customHeight="1" x14ac:dyDescent="0.25">
      <c r="A37" s="469">
        <v>28</v>
      </c>
      <c r="B37" s="132" t="s">
        <v>849</v>
      </c>
      <c r="C37" s="138" t="s">
        <v>926</v>
      </c>
      <c r="D37" s="131" t="s">
        <v>925</v>
      </c>
      <c r="E37" s="141" t="s">
        <v>15</v>
      </c>
      <c r="F37" s="133">
        <v>17169.14</v>
      </c>
      <c r="G37" s="121" t="s">
        <v>846</v>
      </c>
      <c r="H37" s="128" t="s">
        <v>845</v>
      </c>
      <c r="I37" s="140" t="s">
        <v>593</v>
      </c>
      <c r="J37" s="133">
        <v>18440.93</v>
      </c>
      <c r="K37" s="121" t="s">
        <v>844</v>
      </c>
      <c r="L37" s="128" t="s">
        <v>843</v>
      </c>
      <c r="M37" s="140" t="s">
        <v>593</v>
      </c>
      <c r="N37" s="133">
        <v>17805.03</v>
      </c>
      <c r="O37" s="121" t="s">
        <v>842</v>
      </c>
      <c r="P37" s="128" t="s">
        <v>841</v>
      </c>
      <c r="Q37" s="140" t="s">
        <v>593</v>
      </c>
      <c r="R37" s="137">
        <f t="shared" si="0"/>
        <v>17169.14</v>
      </c>
      <c r="S37" s="235"/>
      <c r="T37" s="471">
        <v>45877</v>
      </c>
    </row>
    <row r="38" spans="1:20" ht="79.5" customHeight="1" x14ac:dyDescent="0.25">
      <c r="A38" s="469">
        <v>29</v>
      </c>
      <c r="B38" s="132" t="s">
        <v>849</v>
      </c>
      <c r="C38" s="138" t="s">
        <v>924</v>
      </c>
      <c r="D38" s="131" t="s">
        <v>923</v>
      </c>
      <c r="E38" s="141" t="s">
        <v>15</v>
      </c>
      <c r="F38" s="133">
        <v>14279.95</v>
      </c>
      <c r="G38" s="121" t="s">
        <v>846</v>
      </c>
      <c r="H38" s="128" t="s">
        <v>845</v>
      </c>
      <c r="I38" s="140" t="s">
        <v>593</v>
      </c>
      <c r="J38" s="133">
        <v>15337.72</v>
      </c>
      <c r="K38" s="121" t="s">
        <v>844</v>
      </c>
      <c r="L38" s="128" t="s">
        <v>843</v>
      </c>
      <c r="M38" s="140" t="s">
        <v>593</v>
      </c>
      <c r="N38" s="133">
        <v>14808.84</v>
      </c>
      <c r="O38" s="121" t="s">
        <v>842</v>
      </c>
      <c r="P38" s="128" t="s">
        <v>841</v>
      </c>
      <c r="Q38" s="140" t="s">
        <v>593</v>
      </c>
      <c r="R38" s="137">
        <f t="shared" si="0"/>
        <v>14279.95</v>
      </c>
      <c r="S38" s="235"/>
      <c r="T38" s="471">
        <v>45877</v>
      </c>
    </row>
    <row r="39" spans="1:20" ht="79.5" customHeight="1" x14ac:dyDescent="0.25">
      <c r="A39" s="469">
        <v>30</v>
      </c>
      <c r="B39" s="132" t="s">
        <v>849</v>
      </c>
      <c r="C39" s="138" t="s">
        <v>922</v>
      </c>
      <c r="D39" s="131" t="s">
        <v>921</v>
      </c>
      <c r="E39" s="141" t="s">
        <v>15</v>
      </c>
      <c r="F39" s="237">
        <v>11397.92</v>
      </c>
      <c r="G39" s="121" t="s">
        <v>846</v>
      </c>
      <c r="H39" s="128" t="s">
        <v>845</v>
      </c>
      <c r="I39" s="140" t="s">
        <v>593</v>
      </c>
      <c r="J39" s="133">
        <v>12242.21</v>
      </c>
      <c r="K39" s="121" t="s">
        <v>844</v>
      </c>
      <c r="L39" s="128" t="s">
        <v>843</v>
      </c>
      <c r="M39" s="140" t="s">
        <v>593</v>
      </c>
      <c r="N39" s="133">
        <v>11820.06</v>
      </c>
      <c r="O39" s="121" t="s">
        <v>842</v>
      </c>
      <c r="P39" s="128" t="s">
        <v>841</v>
      </c>
      <c r="Q39" s="140" t="s">
        <v>593</v>
      </c>
      <c r="R39" s="137">
        <f t="shared" si="0"/>
        <v>11397.92</v>
      </c>
      <c r="S39" s="235"/>
      <c r="T39" s="471">
        <v>45877</v>
      </c>
    </row>
    <row r="40" spans="1:20" ht="79.5" customHeight="1" x14ac:dyDescent="0.25">
      <c r="A40" s="469">
        <v>31</v>
      </c>
      <c r="B40" s="132" t="s">
        <v>849</v>
      </c>
      <c r="C40" s="138" t="s">
        <v>920</v>
      </c>
      <c r="D40" s="131" t="s">
        <v>919</v>
      </c>
      <c r="E40" s="141" t="s">
        <v>15</v>
      </c>
      <c r="F40" s="133">
        <v>11987.49</v>
      </c>
      <c r="G40" s="121" t="s">
        <v>846</v>
      </c>
      <c r="H40" s="128" t="s">
        <v>845</v>
      </c>
      <c r="I40" s="140" t="s">
        <v>593</v>
      </c>
      <c r="J40" s="133">
        <v>12875.45</v>
      </c>
      <c r="K40" s="121" t="s">
        <v>844</v>
      </c>
      <c r="L40" s="128" t="s">
        <v>843</v>
      </c>
      <c r="M40" s="140" t="s">
        <v>593</v>
      </c>
      <c r="N40" s="133">
        <v>12431.47</v>
      </c>
      <c r="O40" s="121" t="s">
        <v>842</v>
      </c>
      <c r="P40" s="128" t="s">
        <v>841</v>
      </c>
      <c r="Q40" s="140" t="s">
        <v>593</v>
      </c>
      <c r="R40" s="137">
        <f t="shared" si="0"/>
        <v>11987.49</v>
      </c>
      <c r="S40" s="235"/>
      <c r="T40" s="471">
        <v>45877</v>
      </c>
    </row>
    <row r="41" spans="1:20" ht="79.5" customHeight="1" x14ac:dyDescent="0.25">
      <c r="A41" s="469">
        <v>32</v>
      </c>
      <c r="B41" s="132" t="s">
        <v>849</v>
      </c>
      <c r="C41" s="138" t="s">
        <v>918</v>
      </c>
      <c r="D41" s="131" t="s">
        <v>917</v>
      </c>
      <c r="E41" s="141" t="s">
        <v>15</v>
      </c>
      <c r="F41" s="133">
        <v>14279.95</v>
      </c>
      <c r="G41" s="121" t="s">
        <v>846</v>
      </c>
      <c r="H41" s="128" t="s">
        <v>845</v>
      </c>
      <c r="I41" s="140" t="s">
        <v>593</v>
      </c>
      <c r="J41" s="133">
        <v>15337.72</v>
      </c>
      <c r="K41" s="121" t="s">
        <v>844</v>
      </c>
      <c r="L41" s="128" t="s">
        <v>843</v>
      </c>
      <c r="M41" s="140" t="s">
        <v>593</v>
      </c>
      <c r="N41" s="133">
        <v>14808.84</v>
      </c>
      <c r="O41" s="121" t="s">
        <v>842</v>
      </c>
      <c r="P41" s="128" t="s">
        <v>841</v>
      </c>
      <c r="Q41" s="140" t="s">
        <v>593</v>
      </c>
      <c r="R41" s="137">
        <f t="shared" si="0"/>
        <v>14279.95</v>
      </c>
      <c r="S41" s="235"/>
      <c r="T41" s="471">
        <v>45877</v>
      </c>
    </row>
    <row r="42" spans="1:20" ht="79.5" customHeight="1" x14ac:dyDescent="0.25">
      <c r="A42" s="469">
        <v>33</v>
      </c>
      <c r="B42" s="132" t="s">
        <v>849</v>
      </c>
      <c r="C42" s="138" t="s">
        <v>916</v>
      </c>
      <c r="D42" s="131" t="s">
        <v>915</v>
      </c>
      <c r="E42" s="141" t="s">
        <v>15</v>
      </c>
      <c r="F42" s="133">
        <v>24643.97</v>
      </c>
      <c r="G42" s="121" t="s">
        <v>846</v>
      </c>
      <c r="H42" s="128" t="s">
        <v>845</v>
      </c>
      <c r="I42" s="140" t="s">
        <v>593</v>
      </c>
      <c r="J42" s="133">
        <v>26469.45</v>
      </c>
      <c r="K42" s="121" t="s">
        <v>844</v>
      </c>
      <c r="L42" s="128" t="s">
        <v>843</v>
      </c>
      <c r="M42" s="140" t="s">
        <v>593</v>
      </c>
      <c r="N42" s="133">
        <v>25556.71</v>
      </c>
      <c r="O42" s="121" t="s">
        <v>842</v>
      </c>
      <c r="P42" s="128" t="s">
        <v>841</v>
      </c>
      <c r="Q42" s="140" t="s">
        <v>593</v>
      </c>
      <c r="R42" s="137">
        <f t="shared" ref="R42:R73" si="1">MIN(F42,J42,N42)</f>
        <v>24643.97</v>
      </c>
      <c r="S42" s="235"/>
      <c r="T42" s="471">
        <v>45877</v>
      </c>
    </row>
    <row r="43" spans="1:20" ht="79.5" customHeight="1" x14ac:dyDescent="0.25">
      <c r="A43" s="469">
        <v>34</v>
      </c>
      <c r="B43" s="132" t="s">
        <v>849</v>
      </c>
      <c r="C43" s="138" t="s">
        <v>914</v>
      </c>
      <c r="D43" s="131" t="s">
        <v>913</v>
      </c>
      <c r="E43" s="141" t="s">
        <v>15</v>
      </c>
      <c r="F43" s="133">
        <v>163094.65</v>
      </c>
      <c r="G43" s="121" t="s">
        <v>846</v>
      </c>
      <c r="H43" s="128" t="s">
        <v>845</v>
      </c>
      <c r="I43" s="140" t="s">
        <v>593</v>
      </c>
      <c r="J43" s="133">
        <v>175175.73</v>
      </c>
      <c r="K43" s="121" t="s">
        <v>844</v>
      </c>
      <c r="L43" s="128" t="s">
        <v>843</v>
      </c>
      <c r="M43" s="140" t="s">
        <v>593</v>
      </c>
      <c r="N43" s="133">
        <v>169135.19</v>
      </c>
      <c r="O43" s="121" t="s">
        <v>842</v>
      </c>
      <c r="P43" s="128" t="s">
        <v>841</v>
      </c>
      <c r="Q43" s="140" t="s">
        <v>593</v>
      </c>
      <c r="R43" s="137">
        <f t="shared" si="1"/>
        <v>163094.65</v>
      </c>
      <c r="S43" s="235"/>
      <c r="T43" s="471">
        <v>45877</v>
      </c>
    </row>
    <row r="44" spans="1:20" ht="79.5" customHeight="1" x14ac:dyDescent="0.25">
      <c r="A44" s="469">
        <v>35</v>
      </c>
      <c r="B44" s="132" t="s">
        <v>849</v>
      </c>
      <c r="C44" s="138" t="s">
        <v>912</v>
      </c>
      <c r="D44" s="131" t="s">
        <v>911</v>
      </c>
      <c r="E44" s="141" t="s">
        <v>15</v>
      </c>
      <c r="F44" s="133">
        <v>27694.14</v>
      </c>
      <c r="G44" s="121" t="s">
        <v>846</v>
      </c>
      <c r="H44" s="128" t="s">
        <v>845</v>
      </c>
      <c r="I44" s="140" t="s">
        <v>593</v>
      </c>
      <c r="J44" s="133">
        <v>29745.56</v>
      </c>
      <c r="K44" s="121" t="s">
        <v>844</v>
      </c>
      <c r="L44" s="128" t="s">
        <v>843</v>
      </c>
      <c r="M44" s="140" t="s">
        <v>593</v>
      </c>
      <c r="N44" s="133">
        <v>28719.85</v>
      </c>
      <c r="O44" s="121" t="s">
        <v>842</v>
      </c>
      <c r="P44" s="128" t="s">
        <v>841</v>
      </c>
      <c r="Q44" s="140" t="s">
        <v>593</v>
      </c>
      <c r="R44" s="137">
        <f t="shared" si="1"/>
        <v>27694.14</v>
      </c>
      <c r="S44" s="235"/>
      <c r="T44" s="471">
        <v>45877</v>
      </c>
    </row>
    <row r="45" spans="1:20" ht="79.5" customHeight="1" x14ac:dyDescent="0.25">
      <c r="A45" s="469">
        <v>36</v>
      </c>
      <c r="B45" s="132" t="s">
        <v>849</v>
      </c>
      <c r="C45" s="138" t="s">
        <v>910</v>
      </c>
      <c r="D45" s="131" t="s">
        <v>909</v>
      </c>
      <c r="E45" s="141" t="s">
        <v>15</v>
      </c>
      <c r="F45" s="133">
        <v>26850.57</v>
      </c>
      <c r="G45" s="121" t="s">
        <v>846</v>
      </c>
      <c r="H45" s="128" t="s">
        <v>845</v>
      </c>
      <c r="I45" s="140" t="s">
        <v>593</v>
      </c>
      <c r="J45" s="133">
        <v>28839.5</v>
      </c>
      <c r="K45" s="121" t="s">
        <v>844</v>
      </c>
      <c r="L45" s="128" t="s">
        <v>843</v>
      </c>
      <c r="M45" s="140" t="s">
        <v>593</v>
      </c>
      <c r="N45" s="133">
        <v>27845.03</v>
      </c>
      <c r="O45" s="121" t="s">
        <v>842</v>
      </c>
      <c r="P45" s="128" t="s">
        <v>841</v>
      </c>
      <c r="Q45" s="140" t="s">
        <v>593</v>
      </c>
      <c r="R45" s="137">
        <f t="shared" si="1"/>
        <v>26850.57</v>
      </c>
      <c r="S45" s="235"/>
      <c r="T45" s="471">
        <v>45877</v>
      </c>
    </row>
    <row r="46" spans="1:20" ht="79.5" customHeight="1" x14ac:dyDescent="0.25">
      <c r="A46" s="469">
        <v>37</v>
      </c>
      <c r="B46" s="132" t="s">
        <v>849</v>
      </c>
      <c r="C46" s="138" t="s">
        <v>908</v>
      </c>
      <c r="D46" s="131" t="s">
        <v>907</v>
      </c>
      <c r="E46" s="141" t="s">
        <v>15</v>
      </c>
      <c r="F46" s="133">
        <v>129880.42</v>
      </c>
      <c r="G46" s="121" t="s">
        <v>846</v>
      </c>
      <c r="H46" s="128" t="s">
        <v>845</v>
      </c>
      <c r="I46" s="140" t="s">
        <v>593</v>
      </c>
      <c r="J46" s="133">
        <v>139501.19</v>
      </c>
      <c r="K46" s="121" t="s">
        <v>844</v>
      </c>
      <c r="L46" s="128" t="s">
        <v>843</v>
      </c>
      <c r="M46" s="140" t="s">
        <v>593</v>
      </c>
      <c r="N46" s="133">
        <v>134690.81</v>
      </c>
      <c r="O46" s="121" t="s">
        <v>842</v>
      </c>
      <c r="P46" s="128" t="s">
        <v>841</v>
      </c>
      <c r="Q46" s="140" t="s">
        <v>593</v>
      </c>
      <c r="R46" s="137">
        <f t="shared" si="1"/>
        <v>129880.42</v>
      </c>
      <c r="S46" s="235"/>
      <c r="T46" s="471">
        <v>45877</v>
      </c>
    </row>
    <row r="47" spans="1:20" ht="79.5" customHeight="1" x14ac:dyDescent="0.25">
      <c r="A47" s="469">
        <v>38</v>
      </c>
      <c r="B47" s="132" t="s">
        <v>849</v>
      </c>
      <c r="C47" s="138" t="s">
        <v>906</v>
      </c>
      <c r="D47" s="131" t="s">
        <v>905</v>
      </c>
      <c r="E47" s="141" t="s">
        <v>15</v>
      </c>
      <c r="F47" s="133">
        <v>17506.849999999999</v>
      </c>
      <c r="G47" s="121" t="s">
        <v>846</v>
      </c>
      <c r="H47" s="128" t="s">
        <v>845</v>
      </c>
      <c r="I47" s="140" t="s">
        <v>593</v>
      </c>
      <c r="J47" s="133">
        <v>18803.66</v>
      </c>
      <c r="K47" s="121" t="s">
        <v>844</v>
      </c>
      <c r="L47" s="128" t="s">
        <v>843</v>
      </c>
      <c r="M47" s="140" t="s">
        <v>593</v>
      </c>
      <c r="N47" s="133">
        <v>18155.259999999998</v>
      </c>
      <c r="O47" s="121" t="s">
        <v>842</v>
      </c>
      <c r="P47" s="128" t="s">
        <v>841</v>
      </c>
      <c r="Q47" s="140" t="s">
        <v>593</v>
      </c>
      <c r="R47" s="137">
        <f t="shared" si="1"/>
        <v>17506.849999999999</v>
      </c>
      <c r="S47" s="235"/>
      <c r="T47" s="471">
        <v>45877</v>
      </c>
    </row>
    <row r="48" spans="1:20" ht="79.5" customHeight="1" x14ac:dyDescent="0.25">
      <c r="A48" s="469">
        <v>39</v>
      </c>
      <c r="B48" s="132" t="s">
        <v>849</v>
      </c>
      <c r="C48" s="138" t="s">
        <v>904</v>
      </c>
      <c r="D48" s="131" t="s">
        <v>903</v>
      </c>
      <c r="E48" s="141" t="s">
        <v>15</v>
      </c>
      <c r="F48" s="133">
        <v>15819.71</v>
      </c>
      <c r="G48" s="121" t="s">
        <v>846</v>
      </c>
      <c r="H48" s="128" t="s">
        <v>845</v>
      </c>
      <c r="I48" s="140" t="s">
        <v>593</v>
      </c>
      <c r="J48" s="133">
        <v>16991.54</v>
      </c>
      <c r="K48" s="121" t="s">
        <v>844</v>
      </c>
      <c r="L48" s="128" t="s">
        <v>843</v>
      </c>
      <c r="M48" s="140" t="s">
        <v>593</v>
      </c>
      <c r="N48" s="133">
        <v>16405.62</v>
      </c>
      <c r="O48" s="121" t="s">
        <v>842</v>
      </c>
      <c r="P48" s="128" t="s">
        <v>841</v>
      </c>
      <c r="Q48" s="140" t="s">
        <v>593</v>
      </c>
      <c r="R48" s="137">
        <f t="shared" si="1"/>
        <v>15819.71</v>
      </c>
      <c r="S48" s="235"/>
      <c r="T48" s="471">
        <v>45877</v>
      </c>
    </row>
    <row r="49" spans="1:20" ht="79.5" customHeight="1" x14ac:dyDescent="0.25">
      <c r="A49" s="469">
        <v>40</v>
      </c>
      <c r="B49" s="132" t="s">
        <v>849</v>
      </c>
      <c r="C49" s="138" t="s">
        <v>902</v>
      </c>
      <c r="D49" s="131" t="s">
        <v>901</v>
      </c>
      <c r="E49" s="141" t="s">
        <v>15</v>
      </c>
      <c r="F49" s="133">
        <v>11608.27</v>
      </c>
      <c r="G49" s="121" t="s">
        <v>846</v>
      </c>
      <c r="H49" s="128" t="s">
        <v>845</v>
      </c>
      <c r="I49" s="140" t="s">
        <v>593</v>
      </c>
      <c r="J49" s="133">
        <v>12468.14</v>
      </c>
      <c r="K49" s="121" t="s">
        <v>844</v>
      </c>
      <c r="L49" s="128" t="s">
        <v>843</v>
      </c>
      <c r="M49" s="140" t="s">
        <v>593</v>
      </c>
      <c r="N49" s="133">
        <v>12038.21</v>
      </c>
      <c r="O49" s="121" t="s">
        <v>842</v>
      </c>
      <c r="P49" s="128" t="s">
        <v>841</v>
      </c>
      <c r="Q49" s="140" t="s">
        <v>593</v>
      </c>
      <c r="R49" s="137">
        <f t="shared" si="1"/>
        <v>11608.27</v>
      </c>
      <c r="S49" s="235"/>
      <c r="T49" s="471">
        <v>45877</v>
      </c>
    </row>
    <row r="50" spans="1:20" ht="79.5" customHeight="1" x14ac:dyDescent="0.25">
      <c r="A50" s="469">
        <v>41</v>
      </c>
      <c r="B50" s="132" t="s">
        <v>849</v>
      </c>
      <c r="C50" s="138" t="s">
        <v>900</v>
      </c>
      <c r="D50" s="131" t="s">
        <v>899</v>
      </c>
      <c r="E50" s="141" t="s">
        <v>15</v>
      </c>
      <c r="F50" s="133">
        <v>15572.14</v>
      </c>
      <c r="G50" s="121" t="s">
        <v>846</v>
      </c>
      <c r="H50" s="128" t="s">
        <v>845</v>
      </c>
      <c r="I50" s="140" t="s">
        <v>593</v>
      </c>
      <c r="J50" s="133">
        <v>16725.63</v>
      </c>
      <c r="K50" s="121" t="s">
        <v>844</v>
      </c>
      <c r="L50" s="128" t="s">
        <v>843</v>
      </c>
      <c r="M50" s="140" t="s">
        <v>593</v>
      </c>
      <c r="N50" s="133">
        <v>16148.89</v>
      </c>
      <c r="O50" s="121" t="s">
        <v>842</v>
      </c>
      <c r="P50" s="128" t="s">
        <v>841</v>
      </c>
      <c r="Q50" s="140" t="s">
        <v>593</v>
      </c>
      <c r="R50" s="137">
        <f t="shared" si="1"/>
        <v>15572.14</v>
      </c>
      <c r="S50" s="235"/>
      <c r="T50" s="471">
        <v>45877</v>
      </c>
    </row>
    <row r="51" spans="1:20" ht="79.5" customHeight="1" x14ac:dyDescent="0.25">
      <c r="A51" s="469">
        <v>42</v>
      </c>
      <c r="B51" s="132" t="s">
        <v>849</v>
      </c>
      <c r="C51" s="138" t="s">
        <v>898</v>
      </c>
      <c r="D51" s="131" t="s">
        <v>897</v>
      </c>
      <c r="E51" s="141" t="s">
        <v>15</v>
      </c>
      <c r="F51" s="133">
        <v>21376.28</v>
      </c>
      <c r="G51" s="121" t="s">
        <v>846</v>
      </c>
      <c r="H51" s="128" t="s">
        <v>845</v>
      </c>
      <c r="I51" s="140" t="s">
        <v>593</v>
      </c>
      <c r="J51" s="133">
        <v>22959.71</v>
      </c>
      <c r="K51" s="121" t="s">
        <v>844</v>
      </c>
      <c r="L51" s="128" t="s">
        <v>843</v>
      </c>
      <c r="M51" s="140" t="s">
        <v>593</v>
      </c>
      <c r="N51" s="133">
        <v>22167.99</v>
      </c>
      <c r="O51" s="121" t="s">
        <v>842</v>
      </c>
      <c r="P51" s="128" t="s">
        <v>841</v>
      </c>
      <c r="Q51" s="140" t="s">
        <v>593</v>
      </c>
      <c r="R51" s="137">
        <f t="shared" si="1"/>
        <v>21376.28</v>
      </c>
      <c r="S51" s="235"/>
      <c r="T51" s="471">
        <v>45877</v>
      </c>
    </row>
    <row r="52" spans="1:20" ht="79.5" customHeight="1" x14ac:dyDescent="0.25">
      <c r="A52" s="469">
        <v>43</v>
      </c>
      <c r="B52" s="132" t="s">
        <v>849</v>
      </c>
      <c r="C52" s="138" t="s">
        <v>896</v>
      </c>
      <c r="D52" s="131" t="s">
        <v>895</v>
      </c>
      <c r="E52" s="141" t="s">
        <v>15</v>
      </c>
      <c r="F52" s="133">
        <v>11608.27</v>
      </c>
      <c r="G52" s="121" t="s">
        <v>846</v>
      </c>
      <c r="H52" s="128" t="s">
        <v>845</v>
      </c>
      <c r="I52" s="140" t="s">
        <v>593</v>
      </c>
      <c r="J52" s="133">
        <v>12468.14</v>
      </c>
      <c r="K52" s="121" t="s">
        <v>844</v>
      </c>
      <c r="L52" s="128" t="s">
        <v>843</v>
      </c>
      <c r="M52" s="140" t="s">
        <v>593</v>
      </c>
      <c r="N52" s="133">
        <v>12038.21</v>
      </c>
      <c r="O52" s="121" t="s">
        <v>842</v>
      </c>
      <c r="P52" s="128" t="s">
        <v>841</v>
      </c>
      <c r="Q52" s="140" t="s">
        <v>593</v>
      </c>
      <c r="R52" s="137">
        <f t="shared" si="1"/>
        <v>11608.27</v>
      </c>
      <c r="S52" s="235"/>
      <c r="T52" s="471">
        <v>45877</v>
      </c>
    </row>
    <row r="53" spans="1:20" ht="79.5" customHeight="1" x14ac:dyDescent="0.25">
      <c r="A53" s="469">
        <v>44</v>
      </c>
      <c r="B53" s="132" t="s">
        <v>849</v>
      </c>
      <c r="C53" s="138" t="s">
        <v>894</v>
      </c>
      <c r="D53" s="131" t="s">
        <v>893</v>
      </c>
      <c r="E53" s="141" t="s">
        <v>15</v>
      </c>
      <c r="F53" s="133">
        <v>16663.28</v>
      </c>
      <c r="G53" s="121" t="s">
        <v>846</v>
      </c>
      <c r="H53" s="128" t="s">
        <v>845</v>
      </c>
      <c r="I53" s="140" t="s">
        <v>593</v>
      </c>
      <c r="J53" s="133">
        <v>17897.599999999999</v>
      </c>
      <c r="K53" s="121" t="s">
        <v>844</v>
      </c>
      <c r="L53" s="128" t="s">
        <v>843</v>
      </c>
      <c r="M53" s="140" t="s">
        <v>593</v>
      </c>
      <c r="N53" s="133">
        <v>17280.439999999999</v>
      </c>
      <c r="O53" s="121" t="s">
        <v>842</v>
      </c>
      <c r="P53" s="128" t="s">
        <v>841</v>
      </c>
      <c r="Q53" s="140" t="s">
        <v>593</v>
      </c>
      <c r="R53" s="137">
        <f t="shared" si="1"/>
        <v>16663.28</v>
      </c>
      <c r="S53" s="235"/>
      <c r="T53" s="471">
        <v>45877</v>
      </c>
    </row>
    <row r="54" spans="1:20" ht="79.5" customHeight="1" x14ac:dyDescent="0.25">
      <c r="A54" s="469">
        <v>45</v>
      </c>
      <c r="B54" s="132" t="s">
        <v>849</v>
      </c>
      <c r="C54" s="138" t="s">
        <v>892</v>
      </c>
      <c r="D54" s="131" t="s">
        <v>891</v>
      </c>
      <c r="E54" s="141" t="s">
        <v>15</v>
      </c>
      <c r="F54" s="133">
        <v>168812.92</v>
      </c>
      <c r="G54" s="121" t="s">
        <v>846</v>
      </c>
      <c r="H54" s="128" t="s">
        <v>845</v>
      </c>
      <c r="I54" s="140" t="s">
        <v>593</v>
      </c>
      <c r="J54" s="133">
        <v>181317.58</v>
      </c>
      <c r="K54" s="121" t="s">
        <v>844</v>
      </c>
      <c r="L54" s="128" t="s">
        <v>843</v>
      </c>
      <c r="M54" s="140" t="s">
        <v>593</v>
      </c>
      <c r="N54" s="133">
        <v>175065.25</v>
      </c>
      <c r="O54" s="121" t="s">
        <v>842</v>
      </c>
      <c r="P54" s="128" t="s">
        <v>841</v>
      </c>
      <c r="Q54" s="140" t="s">
        <v>593</v>
      </c>
      <c r="R54" s="137">
        <f t="shared" si="1"/>
        <v>168812.92</v>
      </c>
      <c r="S54" s="235"/>
      <c r="T54" s="471">
        <v>45877</v>
      </c>
    </row>
    <row r="55" spans="1:20" ht="79.5" customHeight="1" x14ac:dyDescent="0.25">
      <c r="A55" s="469">
        <v>46</v>
      </c>
      <c r="B55" s="132" t="s">
        <v>849</v>
      </c>
      <c r="C55" s="138" t="s">
        <v>890</v>
      </c>
      <c r="D55" s="131" t="s">
        <v>889</v>
      </c>
      <c r="E55" s="141" t="s">
        <v>15</v>
      </c>
      <c r="F55" s="133">
        <v>128727.03999999999</v>
      </c>
      <c r="G55" s="121" t="s">
        <v>846</v>
      </c>
      <c r="H55" s="128" t="s">
        <v>845</v>
      </c>
      <c r="I55" s="140" t="s">
        <v>593</v>
      </c>
      <c r="J55" s="133">
        <v>138262.37</v>
      </c>
      <c r="K55" s="121" t="s">
        <v>844</v>
      </c>
      <c r="L55" s="128" t="s">
        <v>843</v>
      </c>
      <c r="M55" s="140" t="s">
        <v>593</v>
      </c>
      <c r="N55" s="133">
        <v>133494.70000000001</v>
      </c>
      <c r="O55" s="121" t="s">
        <v>842</v>
      </c>
      <c r="P55" s="128" t="s">
        <v>841</v>
      </c>
      <c r="Q55" s="140" t="s">
        <v>593</v>
      </c>
      <c r="R55" s="137">
        <f t="shared" si="1"/>
        <v>128727.03999999999</v>
      </c>
      <c r="S55" s="235"/>
      <c r="T55" s="471">
        <v>45877</v>
      </c>
    </row>
    <row r="56" spans="1:20" ht="79.5" customHeight="1" x14ac:dyDescent="0.25">
      <c r="A56" s="469">
        <v>47</v>
      </c>
      <c r="B56" s="132" t="s">
        <v>849</v>
      </c>
      <c r="C56" s="138" t="s">
        <v>888</v>
      </c>
      <c r="D56" s="131" t="s">
        <v>887</v>
      </c>
      <c r="E56" s="141" t="s">
        <v>15</v>
      </c>
      <c r="F56" s="133">
        <v>128727.03999999999</v>
      </c>
      <c r="G56" s="121" t="s">
        <v>846</v>
      </c>
      <c r="H56" s="128" t="s">
        <v>845</v>
      </c>
      <c r="I56" s="140" t="s">
        <v>593</v>
      </c>
      <c r="J56" s="133">
        <v>138262.37</v>
      </c>
      <c r="K56" s="121" t="s">
        <v>844</v>
      </c>
      <c r="L56" s="128" t="s">
        <v>843</v>
      </c>
      <c r="M56" s="140" t="s">
        <v>593</v>
      </c>
      <c r="N56" s="133">
        <v>133494.70000000001</v>
      </c>
      <c r="O56" s="121" t="s">
        <v>842</v>
      </c>
      <c r="P56" s="128" t="s">
        <v>841</v>
      </c>
      <c r="Q56" s="140" t="s">
        <v>593</v>
      </c>
      <c r="R56" s="137">
        <f t="shared" si="1"/>
        <v>128727.03999999999</v>
      </c>
      <c r="S56" s="235"/>
      <c r="T56" s="471">
        <v>45877</v>
      </c>
    </row>
    <row r="57" spans="1:20" ht="79.5" customHeight="1" x14ac:dyDescent="0.25">
      <c r="A57" s="469">
        <v>48</v>
      </c>
      <c r="B57" s="132" t="s">
        <v>849</v>
      </c>
      <c r="C57" s="138" t="s">
        <v>886</v>
      </c>
      <c r="D57" s="131" t="s">
        <v>885</v>
      </c>
      <c r="E57" s="141" t="s">
        <v>15</v>
      </c>
      <c r="F57" s="133">
        <v>248561.84</v>
      </c>
      <c r="G57" s="121" t="s">
        <v>846</v>
      </c>
      <c r="H57" s="128" t="s">
        <v>845</v>
      </c>
      <c r="I57" s="140" t="s">
        <v>593</v>
      </c>
      <c r="J57" s="133">
        <v>266973.83</v>
      </c>
      <c r="K57" s="121" t="s">
        <v>844</v>
      </c>
      <c r="L57" s="128" t="s">
        <v>843</v>
      </c>
      <c r="M57" s="140" t="s">
        <v>593</v>
      </c>
      <c r="N57" s="133">
        <v>257767.83</v>
      </c>
      <c r="O57" s="121" t="s">
        <v>842</v>
      </c>
      <c r="P57" s="128" t="s">
        <v>841</v>
      </c>
      <c r="Q57" s="140" t="s">
        <v>593</v>
      </c>
      <c r="R57" s="137">
        <f t="shared" si="1"/>
        <v>248561.84</v>
      </c>
      <c r="S57" s="235"/>
      <c r="T57" s="471">
        <v>45877</v>
      </c>
    </row>
    <row r="58" spans="1:20" ht="79.5" customHeight="1" x14ac:dyDescent="0.25">
      <c r="A58" s="469">
        <v>49</v>
      </c>
      <c r="B58" s="132" t="s">
        <v>849</v>
      </c>
      <c r="C58" s="138" t="s">
        <v>884</v>
      </c>
      <c r="D58" s="131" t="s">
        <v>883</v>
      </c>
      <c r="E58" s="141" t="s">
        <v>15</v>
      </c>
      <c r="F58" s="133">
        <v>136666.94</v>
      </c>
      <c r="G58" s="121" t="s">
        <v>846</v>
      </c>
      <c r="H58" s="128" t="s">
        <v>845</v>
      </c>
      <c r="I58" s="140" t="s">
        <v>593</v>
      </c>
      <c r="J58" s="133">
        <v>146790.42000000001</v>
      </c>
      <c r="K58" s="121" t="s">
        <v>844</v>
      </c>
      <c r="L58" s="128" t="s">
        <v>843</v>
      </c>
      <c r="M58" s="140" t="s">
        <v>593</v>
      </c>
      <c r="N58" s="133">
        <v>141728.68</v>
      </c>
      <c r="O58" s="121" t="s">
        <v>842</v>
      </c>
      <c r="P58" s="128" t="s">
        <v>841</v>
      </c>
      <c r="Q58" s="140" t="s">
        <v>593</v>
      </c>
      <c r="R58" s="137">
        <f t="shared" si="1"/>
        <v>136666.94</v>
      </c>
      <c r="S58" s="235"/>
      <c r="T58" s="471">
        <v>45877</v>
      </c>
    </row>
    <row r="59" spans="1:20" ht="79.5" customHeight="1" x14ac:dyDescent="0.25">
      <c r="A59" s="469">
        <v>50</v>
      </c>
      <c r="B59" s="132" t="s">
        <v>849</v>
      </c>
      <c r="C59" s="138" t="s">
        <v>882</v>
      </c>
      <c r="D59" s="131" t="s">
        <v>881</v>
      </c>
      <c r="E59" s="141" t="s">
        <v>15</v>
      </c>
      <c r="F59" s="133">
        <v>109235.39</v>
      </c>
      <c r="G59" s="121" t="s">
        <v>846</v>
      </c>
      <c r="H59" s="128" t="s">
        <v>845</v>
      </c>
      <c r="I59" s="140" t="s">
        <v>593</v>
      </c>
      <c r="J59" s="133">
        <v>117326.9</v>
      </c>
      <c r="K59" s="121" t="s">
        <v>844</v>
      </c>
      <c r="L59" s="128" t="s">
        <v>843</v>
      </c>
      <c r="M59" s="140" t="s">
        <v>593</v>
      </c>
      <c r="N59" s="133">
        <v>113281.14</v>
      </c>
      <c r="O59" s="121" t="s">
        <v>842</v>
      </c>
      <c r="P59" s="128" t="s">
        <v>841</v>
      </c>
      <c r="Q59" s="140" t="s">
        <v>593</v>
      </c>
      <c r="R59" s="137">
        <f t="shared" si="1"/>
        <v>109235.39</v>
      </c>
      <c r="S59" s="235"/>
      <c r="T59" s="471">
        <v>45877</v>
      </c>
    </row>
    <row r="60" spans="1:20" ht="79.5" customHeight="1" x14ac:dyDescent="0.25">
      <c r="A60" s="469">
        <v>51</v>
      </c>
      <c r="B60" s="132" t="s">
        <v>849</v>
      </c>
      <c r="C60" s="138" t="s">
        <v>880</v>
      </c>
      <c r="D60" s="131" t="s">
        <v>879</v>
      </c>
      <c r="E60" s="141" t="s">
        <v>15</v>
      </c>
      <c r="F60" s="133">
        <v>109235.39</v>
      </c>
      <c r="G60" s="121" t="s">
        <v>846</v>
      </c>
      <c r="H60" s="128" t="s">
        <v>845</v>
      </c>
      <c r="I60" s="140" t="s">
        <v>593</v>
      </c>
      <c r="J60" s="133">
        <v>117326.9</v>
      </c>
      <c r="K60" s="121" t="s">
        <v>844</v>
      </c>
      <c r="L60" s="128" t="s">
        <v>843</v>
      </c>
      <c r="M60" s="140" t="s">
        <v>593</v>
      </c>
      <c r="N60" s="133">
        <v>113281.14</v>
      </c>
      <c r="O60" s="121" t="s">
        <v>842</v>
      </c>
      <c r="P60" s="128" t="s">
        <v>841</v>
      </c>
      <c r="Q60" s="140" t="s">
        <v>593</v>
      </c>
      <c r="R60" s="137">
        <f t="shared" si="1"/>
        <v>109235.39</v>
      </c>
      <c r="S60" s="235"/>
      <c r="T60" s="471">
        <v>45877</v>
      </c>
    </row>
    <row r="61" spans="1:20" ht="79.5" customHeight="1" x14ac:dyDescent="0.25">
      <c r="A61" s="469">
        <v>52</v>
      </c>
      <c r="B61" s="132" t="s">
        <v>849</v>
      </c>
      <c r="C61" s="138" t="s">
        <v>878</v>
      </c>
      <c r="D61" s="131" t="s">
        <v>877</v>
      </c>
      <c r="E61" s="141" t="s">
        <v>15</v>
      </c>
      <c r="F61" s="133">
        <v>673256.88</v>
      </c>
      <c r="G61" s="121" t="s">
        <v>846</v>
      </c>
      <c r="H61" s="128" t="s">
        <v>845</v>
      </c>
      <c r="I61" s="140" t="s">
        <v>593</v>
      </c>
      <c r="J61" s="133">
        <v>723127.76</v>
      </c>
      <c r="K61" s="121" t="s">
        <v>844</v>
      </c>
      <c r="L61" s="128" t="s">
        <v>843</v>
      </c>
      <c r="M61" s="140" t="s">
        <v>593</v>
      </c>
      <c r="N61" s="133">
        <v>698192.32</v>
      </c>
      <c r="O61" s="121" t="s">
        <v>842</v>
      </c>
      <c r="P61" s="128" t="s">
        <v>841</v>
      </c>
      <c r="Q61" s="140" t="s">
        <v>593</v>
      </c>
      <c r="R61" s="137">
        <f t="shared" si="1"/>
        <v>673256.88</v>
      </c>
      <c r="S61" s="235"/>
      <c r="T61" s="471">
        <v>45877</v>
      </c>
    </row>
    <row r="62" spans="1:20" ht="79.5" customHeight="1" x14ac:dyDescent="0.25">
      <c r="A62" s="469">
        <v>53</v>
      </c>
      <c r="B62" s="132" t="s">
        <v>849</v>
      </c>
      <c r="C62" s="138" t="s">
        <v>876</v>
      </c>
      <c r="D62" s="131" t="s">
        <v>875</v>
      </c>
      <c r="E62" s="141" t="s">
        <v>15</v>
      </c>
      <c r="F62" s="133">
        <v>510644.47999999998</v>
      </c>
      <c r="G62" s="121" t="s">
        <v>846</v>
      </c>
      <c r="H62" s="128" t="s">
        <v>845</v>
      </c>
      <c r="I62" s="140" t="s">
        <v>593</v>
      </c>
      <c r="J62" s="133">
        <v>548470</v>
      </c>
      <c r="K62" s="121" t="s">
        <v>844</v>
      </c>
      <c r="L62" s="128" t="s">
        <v>843</v>
      </c>
      <c r="M62" s="140" t="s">
        <v>593</v>
      </c>
      <c r="N62" s="133">
        <v>529557.24</v>
      </c>
      <c r="O62" s="121" t="s">
        <v>842</v>
      </c>
      <c r="P62" s="128" t="s">
        <v>841</v>
      </c>
      <c r="Q62" s="140" t="s">
        <v>593</v>
      </c>
      <c r="R62" s="137">
        <f t="shared" si="1"/>
        <v>510644.47999999998</v>
      </c>
      <c r="S62" s="235"/>
      <c r="T62" s="471">
        <v>45877</v>
      </c>
    </row>
    <row r="63" spans="1:20" ht="79.5" customHeight="1" x14ac:dyDescent="0.25">
      <c r="A63" s="469">
        <v>54</v>
      </c>
      <c r="B63" s="132" t="s">
        <v>849</v>
      </c>
      <c r="C63" s="138" t="s">
        <v>874</v>
      </c>
      <c r="D63" s="131" t="s">
        <v>873</v>
      </c>
      <c r="E63" s="141" t="s">
        <v>15</v>
      </c>
      <c r="F63" s="133">
        <v>305481.28999999998</v>
      </c>
      <c r="G63" s="121" t="s">
        <v>846</v>
      </c>
      <c r="H63" s="128" t="s">
        <v>845</v>
      </c>
      <c r="I63" s="140" t="s">
        <v>593</v>
      </c>
      <c r="J63" s="133">
        <v>328109.53999999998</v>
      </c>
      <c r="K63" s="121" t="s">
        <v>844</v>
      </c>
      <c r="L63" s="128" t="s">
        <v>843</v>
      </c>
      <c r="M63" s="140" t="s">
        <v>593</v>
      </c>
      <c r="N63" s="133">
        <v>316795.42</v>
      </c>
      <c r="O63" s="121" t="s">
        <v>842</v>
      </c>
      <c r="P63" s="128" t="s">
        <v>841</v>
      </c>
      <c r="Q63" s="140" t="s">
        <v>593</v>
      </c>
      <c r="R63" s="137">
        <f t="shared" si="1"/>
        <v>305481.28999999998</v>
      </c>
      <c r="S63" s="235"/>
      <c r="T63" s="471">
        <v>45877</v>
      </c>
    </row>
    <row r="64" spans="1:20" ht="79.5" customHeight="1" x14ac:dyDescent="0.25">
      <c r="A64" s="469">
        <v>55</v>
      </c>
      <c r="B64" s="132" t="s">
        <v>849</v>
      </c>
      <c r="C64" s="138" t="s">
        <v>872</v>
      </c>
      <c r="D64" s="131" t="s">
        <v>871</v>
      </c>
      <c r="E64" s="141" t="s">
        <v>15</v>
      </c>
      <c r="F64" s="133">
        <v>197303.42</v>
      </c>
      <c r="G64" s="121" t="s">
        <v>846</v>
      </c>
      <c r="H64" s="128" t="s">
        <v>845</v>
      </c>
      <c r="I64" s="140" t="s">
        <v>593</v>
      </c>
      <c r="J64" s="133">
        <v>211918.49</v>
      </c>
      <c r="K64" s="121" t="s">
        <v>844</v>
      </c>
      <c r="L64" s="128" t="s">
        <v>843</v>
      </c>
      <c r="M64" s="140" t="s">
        <v>593</v>
      </c>
      <c r="N64" s="133">
        <v>204610.95</v>
      </c>
      <c r="O64" s="121" t="s">
        <v>842</v>
      </c>
      <c r="P64" s="128" t="s">
        <v>841</v>
      </c>
      <c r="Q64" s="140" t="s">
        <v>593</v>
      </c>
      <c r="R64" s="137">
        <f t="shared" si="1"/>
        <v>197303.42</v>
      </c>
      <c r="S64" s="235"/>
      <c r="T64" s="471">
        <v>45877</v>
      </c>
    </row>
    <row r="65" spans="1:22" ht="79.5" customHeight="1" x14ac:dyDescent="0.25">
      <c r="A65" s="469">
        <v>56</v>
      </c>
      <c r="B65" s="132" t="s">
        <v>849</v>
      </c>
      <c r="C65" s="138" t="s">
        <v>870</v>
      </c>
      <c r="D65" s="131" t="s">
        <v>869</v>
      </c>
      <c r="E65" s="141" t="s">
        <v>15</v>
      </c>
      <c r="F65" s="133">
        <v>151054.21</v>
      </c>
      <c r="G65" s="121" t="s">
        <v>846</v>
      </c>
      <c r="H65" s="128" t="s">
        <v>845</v>
      </c>
      <c r="I65" s="140" t="s">
        <v>593</v>
      </c>
      <c r="J65" s="133">
        <v>162243.41</v>
      </c>
      <c r="K65" s="121" t="s">
        <v>844</v>
      </c>
      <c r="L65" s="128" t="s">
        <v>843</v>
      </c>
      <c r="M65" s="140" t="s">
        <v>593</v>
      </c>
      <c r="N65" s="133">
        <v>156648.81</v>
      </c>
      <c r="O65" s="121" t="s">
        <v>842</v>
      </c>
      <c r="P65" s="128" t="s">
        <v>841</v>
      </c>
      <c r="Q65" s="140" t="s">
        <v>593</v>
      </c>
      <c r="R65" s="137">
        <f t="shared" si="1"/>
        <v>151054.21</v>
      </c>
      <c r="S65" s="235"/>
      <c r="T65" s="471">
        <v>45877</v>
      </c>
    </row>
    <row r="66" spans="1:22" ht="79.5" customHeight="1" x14ac:dyDescent="0.25">
      <c r="A66" s="469">
        <v>57</v>
      </c>
      <c r="B66" s="132" t="s">
        <v>849</v>
      </c>
      <c r="C66" s="138" t="s">
        <v>868</v>
      </c>
      <c r="D66" s="131" t="s">
        <v>867</v>
      </c>
      <c r="E66" s="141" t="s">
        <v>15</v>
      </c>
      <c r="F66" s="133">
        <v>151054.21</v>
      </c>
      <c r="G66" s="121" t="s">
        <v>846</v>
      </c>
      <c r="H66" s="128" t="s">
        <v>845</v>
      </c>
      <c r="I66" s="140" t="s">
        <v>593</v>
      </c>
      <c r="J66" s="133">
        <v>162243.41</v>
      </c>
      <c r="K66" s="121" t="s">
        <v>844</v>
      </c>
      <c r="L66" s="128" t="s">
        <v>843</v>
      </c>
      <c r="M66" s="140" t="s">
        <v>593</v>
      </c>
      <c r="N66" s="133">
        <v>156648.81</v>
      </c>
      <c r="O66" s="121" t="s">
        <v>842</v>
      </c>
      <c r="P66" s="128" t="s">
        <v>841</v>
      </c>
      <c r="Q66" s="140" t="s">
        <v>593</v>
      </c>
      <c r="R66" s="137">
        <f t="shared" si="1"/>
        <v>151054.21</v>
      </c>
      <c r="S66" s="235"/>
      <c r="T66" s="471">
        <v>45877</v>
      </c>
    </row>
    <row r="67" spans="1:22" ht="79.5" customHeight="1" x14ac:dyDescent="0.25">
      <c r="A67" s="469">
        <v>58</v>
      </c>
      <c r="B67" s="132" t="s">
        <v>849</v>
      </c>
      <c r="C67" s="138" t="s">
        <v>866</v>
      </c>
      <c r="D67" s="131" t="s">
        <v>865</v>
      </c>
      <c r="E67" s="141" t="s">
        <v>15</v>
      </c>
      <c r="F67" s="133">
        <v>179479.6</v>
      </c>
      <c r="G67" s="121" t="s">
        <v>846</v>
      </c>
      <c r="H67" s="128" t="s">
        <v>845</v>
      </c>
      <c r="I67" s="140" t="s">
        <v>593</v>
      </c>
      <c r="J67" s="133">
        <v>192774.38</v>
      </c>
      <c r="K67" s="121" t="s">
        <v>844</v>
      </c>
      <c r="L67" s="128" t="s">
        <v>843</v>
      </c>
      <c r="M67" s="140" t="s">
        <v>593</v>
      </c>
      <c r="N67" s="133">
        <v>186126.99</v>
      </c>
      <c r="O67" s="121" t="s">
        <v>842</v>
      </c>
      <c r="P67" s="128" t="s">
        <v>841</v>
      </c>
      <c r="Q67" s="140" t="s">
        <v>593</v>
      </c>
      <c r="R67" s="137">
        <f t="shared" si="1"/>
        <v>179479.6</v>
      </c>
      <c r="S67" s="235"/>
      <c r="T67" s="471">
        <v>45877</v>
      </c>
    </row>
    <row r="68" spans="1:22" ht="79.5" customHeight="1" x14ac:dyDescent="0.25">
      <c r="A68" s="469">
        <v>59</v>
      </c>
      <c r="B68" s="132" t="s">
        <v>849</v>
      </c>
      <c r="C68" s="138" t="s">
        <v>864</v>
      </c>
      <c r="D68" s="131" t="s">
        <v>863</v>
      </c>
      <c r="E68" s="141" t="s">
        <v>15</v>
      </c>
      <c r="F68" s="133">
        <v>109993.1</v>
      </c>
      <c r="G68" s="121" t="s">
        <v>846</v>
      </c>
      <c r="H68" s="128" t="s">
        <v>845</v>
      </c>
      <c r="I68" s="140" t="s">
        <v>593</v>
      </c>
      <c r="J68" s="133">
        <v>118140.74</v>
      </c>
      <c r="K68" s="121" t="s">
        <v>844</v>
      </c>
      <c r="L68" s="128" t="s">
        <v>843</v>
      </c>
      <c r="M68" s="140" t="s">
        <v>593</v>
      </c>
      <c r="N68" s="133">
        <v>114066.92</v>
      </c>
      <c r="O68" s="121" t="s">
        <v>842</v>
      </c>
      <c r="P68" s="128" t="s">
        <v>841</v>
      </c>
      <c r="Q68" s="140" t="s">
        <v>593</v>
      </c>
      <c r="R68" s="137">
        <f t="shared" si="1"/>
        <v>109993.1</v>
      </c>
      <c r="S68" s="235"/>
      <c r="T68" s="471">
        <v>45877</v>
      </c>
    </row>
    <row r="69" spans="1:22" ht="79.5" customHeight="1" x14ac:dyDescent="0.25">
      <c r="A69" s="469">
        <v>60</v>
      </c>
      <c r="B69" s="132" t="s">
        <v>849</v>
      </c>
      <c r="C69" s="138" t="s">
        <v>862</v>
      </c>
      <c r="D69" s="131" t="s">
        <v>861</v>
      </c>
      <c r="E69" s="141" t="s">
        <v>15</v>
      </c>
      <c r="F69" s="133">
        <v>109993.1</v>
      </c>
      <c r="G69" s="121" t="s">
        <v>846</v>
      </c>
      <c r="H69" s="128" t="s">
        <v>845</v>
      </c>
      <c r="I69" s="140" t="s">
        <v>593</v>
      </c>
      <c r="J69" s="133">
        <v>118140.74</v>
      </c>
      <c r="K69" s="121" t="s">
        <v>844</v>
      </c>
      <c r="L69" s="128" t="s">
        <v>843</v>
      </c>
      <c r="M69" s="140" t="s">
        <v>593</v>
      </c>
      <c r="N69" s="133">
        <v>114066.92</v>
      </c>
      <c r="O69" s="121" t="s">
        <v>842</v>
      </c>
      <c r="P69" s="128" t="s">
        <v>841</v>
      </c>
      <c r="Q69" s="140" t="s">
        <v>593</v>
      </c>
      <c r="R69" s="137">
        <f t="shared" si="1"/>
        <v>109993.1</v>
      </c>
      <c r="S69" s="235"/>
      <c r="T69" s="471">
        <v>45877</v>
      </c>
    </row>
    <row r="70" spans="1:22" ht="79.5" customHeight="1" x14ac:dyDescent="0.25">
      <c r="A70" s="469">
        <v>61</v>
      </c>
      <c r="B70" s="132" t="s">
        <v>849</v>
      </c>
      <c r="C70" s="138" t="s">
        <v>860</v>
      </c>
      <c r="D70" s="131" t="s">
        <v>859</v>
      </c>
      <c r="E70" s="141" t="s">
        <v>15</v>
      </c>
      <c r="F70" s="133">
        <v>181225.42</v>
      </c>
      <c r="G70" s="121" t="s">
        <v>846</v>
      </c>
      <c r="H70" s="128" t="s">
        <v>845</v>
      </c>
      <c r="I70" s="140" t="s">
        <v>593</v>
      </c>
      <c r="J70" s="133">
        <v>194649.52</v>
      </c>
      <c r="K70" s="121" t="s">
        <v>844</v>
      </c>
      <c r="L70" s="128" t="s">
        <v>843</v>
      </c>
      <c r="M70" s="140" t="s">
        <v>593</v>
      </c>
      <c r="N70" s="133">
        <v>187937.47</v>
      </c>
      <c r="O70" s="121" t="s">
        <v>842</v>
      </c>
      <c r="P70" s="128" t="s">
        <v>841</v>
      </c>
      <c r="Q70" s="140" t="s">
        <v>593</v>
      </c>
      <c r="R70" s="137">
        <f t="shared" si="1"/>
        <v>181225.42</v>
      </c>
      <c r="S70" s="235"/>
      <c r="T70" s="471">
        <v>45877</v>
      </c>
    </row>
    <row r="71" spans="1:22" ht="79.5" customHeight="1" x14ac:dyDescent="0.25">
      <c r="A71" s="469">
        <v>62</v>
      </c>
      <c r="B71" s="132" t="s">
        <v>849</v>
      </c>
      <c r="C71" s="138" t="s">
        <v>858</v>
      </c>
      <c r="D71" s="131" t="s">
        <v>857</v>
      </c>
      <c r="E71" s="141" t="s">
        <v>15</v>
      </c>
      <c r="F71" s="133">
        <v>171658.47</v>
      </c>
      <c r="G71" s="121" t="s">
        <v>846</v>
      </c>
      <c r="H71" s="128" t="s">
        <v>845</v>
      </c>
      <c r="I71" s="140" t="s">
        <v>593</v>
      </c>
      <c r="J71" s="133">
        <v>184373.91</v>
      </c>
      <c r="K71" s="121" t="s">
        <v>844</v>
      </c>
      <c r="L71" s="128" t="s">
        <v>843</v>
      </c>
      <c r="M71" s="140" t="s">
        <v>593</v>
      </c>
      <c r="N71" s="133">
        <v>178016.19</v>
      </c>
      <c r="O71" s="121" t="s">
        <v>842</v>
      </c>
      <c r="P71" s="128" t="s">
        <v>841</v>
      </c>
      <c r="Q71" s="140" t="s">
        <v>593</v>
      </c>
      <c r="R71" s="137">
        <f t="shared" si="1"/>
        <v>171658.47</v>
      </c>
      <c r="S71" s="235"/>
      <c r="T71" s="471">
        <v>45877</v>
      </c>
      <c r="V71" s="142"/>
    </row>
    <row r="72" spans="1:22" ht="79.5" customHeight="1" x14ac:dyDescent="0.25">
      <c r="A72" s="469">
        <v>63</v>
      </c>
      <c r="B72" s="132" t="s">
        <v>849</v>
      </c>
      <c r="C72" s="138" t="s">
        <v>856</v>
      </c>
      <c r="D72" s="131" t="s">
        <v>855</v>
      </c>
      <c r="E72" s="141" t="s">
        <v>15</v>
      </c>
      <c r="F72" s="133">
        <v>388760.49</v>
      </c>
      <c r="G72" s="121" t="s">
        <v>846</v>
      </c>
      <c r="H72" s="128" t="s">
        <v>845</v>
      </c>
      <c r="I72" s="140" t="s">
        <v>593</v>
      </c>
      <c r="J72" s="133">
        <v>417557.56</v>
      </c>
      <c r="K72" s="121" t="s">
        <v>844</v>
      </c>
      <c r="L72" s="128" t="s">
        <v>843</v>
      </c>
      <c r="M72" s="140" t="s">
        <v>593</v>
      </c>
      <c r="N72" s="133">
        <v>403159.02</v>
      </c>
      <c r="O72" s="121" t="s">
        <v>842</v>
      </c>
      <c r="P72" s="128" t="s">
        <v>841</v>
      </c>
      <c r="Q72" s="140" t="s">
        <v>593</v>
      </c>
      <c r="R72" s="137">
        <f t="shared" si="1"/>
        <v>388760.49</v>
      </c>
      <c r="S72" s="235"/>
      <c r="T72" s="471">
        <v>45877</v>
      </c>
    </row>
    <row r="73" spans="1:22" ht="79.5" customHeight="1" x14ac:dyDescent="0.25">
      <c r="A73" s="469">
        <v>64</v>
      </c>
      <c r="B73" s="132" t="s">
        <v>849</v>
      </c>
      <c r="C73" s="138" t="s">
        <v>853</v>
      </c>
      <c r="D73" s="131" t="s">
        <v>854</v>
      </c>
      <c r="E73" s="141" t="s">
        <v>15</v>
      </c>
      <c r="F73" s="133">
        <v>198431.05</v>
      </c>
      <c r="G73" s="121" t="s">
        <v>846</v>
      </c>
      <c r="H73" s="128" t="s">
        <v>845</v>
      </c>
      <c r="I73" s="140" t="s">
        <v>593</v>
      </c>
      <c r="J73" s="133">
        <v>213129.64</v>
      </c>
      <c r="K73" s="121" t="s">
        <v>844</v>
      </c>
      <c r="L73" s="128" t="s">
        <v>843</v>
      </c>
      <c r="M73" s="140" t="s">
        <v>593</v>
      </c>
      <c r="N73" s="133">
        <v>205780.34</v>
      </c>
      <c r="O73" s="121" t="s">
        <v>842</v>
      </c>
      <c r="P73" s="128" t="s">
        <v>841</v>
      </c>
      <c r="Q73" s="140" t="s">
        <v>593</v>
      </c>
      <c r="R73" s="137">
        <f t="shared" si="1"/>
        <v>198431.05</v>
      </c>
      <c r="S73" s="235"/>
      <c r="T73" s="471">
        <v>45877</v>
      </c>
    </row>
    <row r="74" spans="1:22" ht="79.5" customHeight="1" x14ac:dyDescent="0.25">
      <c r="A74" s="469">
        <v>65</v>
      </c>
      <c r="B74" s="132" t="s">
        <v>849</v>
      </c>
      <c r="C74" s="138" t="s">
        <v>853</v>
      </c>
      <c r="D74" s="131" t="s">
        <v>852</v>
      </c>
      <c r="E74" s="141" t="s">
        <v>15</v>
      </c>
      <c r="F74" s="133">
        <v>198431.05</v>
      </c>
      <c r="G74" s="121" t="s">
        <v>846</v>
      </c>
      <c r="H74" s="128" t="s">
        <v>845</v>
      </c>
      <c r="I74" s="140" t="s">
        <v>593</v>
      </c>
      <c r="J74" s="133">
        <v>213129.64</v>
      </c>
      <c r="K74" s="121" t="s">
        <v>844</v>
      </c>
      <c r="L74" s="128" t="s">
        <v>843</v>
      </c>
      <c r="M74" s="140" t="s">
        <v>593</v>
      </c>
      <c r="N74" s="133">
        <v>205780.34</v>
      </c>
      <c r="O74" s="121" t="s">
        <v>842</v>
      </c>
      <c r="P74" s="128" t="s">
        <v>841</v>
      </c>
      <c r="Q74" s="140" t="s">
        <v>593</v>
      </c>
      <c r="R74" s="137">
        <f t="shared" ref="R74:R96" si="2">MIN(F74,J74,N74)</f>
        <v>198431.05</v>
      </c>
      <c r="S74" s="235"/>
      <c r="T74" s="471">
        <v>45877</v>
      </c>
    </row>
    <row r="75" spans="1:22" ht="79.5" customHeight="1" x14ac:dyDescent="0.25">
      <c r="A75" s="469">
        <v>66</v>
      </c>
      <c r="B75" s="132" t="s">
        <v>849</v>
      </c>
      <c r="C75" s="138" t="s">
        <v>851</v>
      </c>
      <c r="D75" s="131" t="s">
        <v>850</v>
      </c>
      <c r="E75" s="141" t="s">
        <v>15</v>
      </c>
      <c r="F75" s="133">
        <v>254074.77</v>
      </c>
      <c r="G75" s="121" t="s">
        <v>846</v>
      </c>
      <c r="H75" s="128" t="s">
        <v>845</v>
      </c>
      <c r="I75" s="140" t="s">
        <v>593</v>
      </c>
      <c r="J75" s="133">
        <v>272895.12</v>
      </c>
      <c r="K75" s="121" t="s">
        <v>844</v>
      </c>
      <c r="L75" s="128" t="s">
        <v>843</v>
      </c>
      <c r="M75" s="140" t="s">
        <v>593</v>
      </c>
      <c r="N75" s="133">
        <v>263484.94</v>
      </c>
      <c r="O75" s="121" t="s">
        <v>842</v>
      </c>
      <c r="P75" s="128" t="s">
        <v>841</v>
      </c>
      <c r="Q75" s="140" t="s">
        <v>593</v>
      </c>
      <c r="R75" s="137">
        <f t="shared" si="2"/>
        <v>254074.77</v>
      </c>
      <c r="S75" s="235"/>
      <c r="T75" s="471">
        <v>45877</v>
      </c>
    </row>
    <row r="76" spans="1:22" ht="79.5" customHeight="1" x14ac:dyDescent="0.25">
      <c r="A76" s="469">
        <v>67</v>
      </c>
      <c r="B76" s="132" t="s">
        <v>849</v>
      </c>
      <c r="C76" s="138" t="s">
        <v>848</v>
      </c>
      <c r="D76" s="131" t="s">
        <v>847</v>
      </c>
      <c r="E76" s="141" t="s">
        <v>15</v>
      </c>
      <c r="F76" s="133">
        <v>38599.08</v>
      </c>
      <c r="G76" s="121" t="s">
        <v>846</v>
      </c>
      <c r="H76" s="128" t="s">
        <v>845</v>
      </c>
      <c r="I76" s="140" t="s">
        <v>593</v>
      </c>
      <c r="J76" s="133">
        <v>41458.269999999997</v>
      </c>
      <c r="K76" s="121" t="s">
        <v>844</v>
      </c>
      <c r="L76" s="128" t="s">
        <v>843</v>
      </c>
      <c r="M76" s="140" t="s">
        <v>593</v>
      </c>
      <c r="N76" s="133">
        <v>40028.67</v>
      </c>
      <c r="O76" s="121" t="s">
        <v>842</v>
      </c>
      <c r="P76" s="128" t="s">
        <v>841</v>
      </c>
      <c r="Q76" s="140" t="s">
        <v>593</v>
      </c>
      <c r="R76" s="137">
        <f t="shared" si="2"/>
        <v>38599.08</v>
      </c>
      <c r="S76" s="235"/>
      <c r="T76" s="471">
        <v>45877</v>
      </c>
    </row>
    <row r="77" spans="1:22" ht="81" customHeight="1" x14ac:dyDescent="0.25">
      <c r="A77" s="469">
        <v>68</v>
      </c>
      <c r="B77" s="472" t="s">
        <v>745</v>
      </c>
      <c r="C77" s="138" t="s">
        <v>840</v>
      </c>
      <c r="D77" s="124" t="s">
        <v>3382</v>
      </c>
      <c r="E77" s="121" t="s">
        <v>818</v>
      </c>
      <c r="F77" s="133">
        <f>8193.18*1000</f>
        <v>8193180</v>
      </c>
      <c r="G77" s="121" t="s">
        <v>438</v>
      </c>
      <c r="H77" s="128" t="s">
        <v>437</v>
      </c>
      <c r="I77" s="140" t="s">
        <v>839</v>
      </c>
      <c r="J77" s="133">
        <f>9262.31*1000</f>
        <v>9262310</v>
      </c>
      <c r="K77" s="121" t="s">
        <v>836</v>
      </c>
      <c r="L77" s="128" t="s">
        <v>408</v>
      </c>
      <c r="M77" s="139" t="s">
        <v>838</v>
      </c>
      <c r="N77" s="133">
        <v>9133720</v>
      </c>
      <c r="O77" s="121" t="s">
        <v>353</v>
      </c>
      <c r="P77" s="120" t="s">
        <v>352</v>
      </c>
      <c r="Q77" s="139" t="s">
        <v>837</v>
      </c>
      <c r="R77" s="137">
        <f t="shared" si="2"/>
        <v>8193180</v>
      </c>
      <c r="S77" s="137">
        <v>7124960</v>
      </c>
      <c r="T77" s="471">
        <v>45877</v>
      </c>
    </row>
    <row r="78" spans="1:22" ht="78.75" customHeight="1" x14ac:dyDescent="0.25">
      <c r="A78" s="469">
        <v>78</v>
      </c>
      <c r="B78" s="472" t="s">
        <v>745</v>
      </c>
      <c r="C78" s="138" t="s">
        <v>828</v>
      </c>
      <c r="D78" s="124" t="s">
        <v>3383</v>
      </c>
      <c r="E78" s="121" t="s">
        <v>818</v>
      </c>
      <c r="F78" s="133">
        <f>1241.04*1000</f>
        <v>1241040</v>
      </c>
      <c r="G78" s="121" t="s">
        <v>815</v>
      </c>
      <c r="H78" s="128" t="s">
        <v>814</v>
      </c>
      <c r="I78" s="134" t="s">
        <v>827</v>
      </c>
      <c r="J78" s="133">
        <f>1497.41*1000</f>
        <v>1497410</v>
      </c>
      <c r="K78" s="121" t="s">
        <v>727</v>
      </c>
      <c r="L78" s="128" t="s">
        <v>726</v>
      </c>
      <c r="M78" s="134" t="s">
        <v>826</v>
      </c>
      <c r="N78" s="477">
        <f>1118.12*1000</f>
        <v>1118120</v>
      </c>
      <c r="O78" s="121" t="s">
        <v>825</v>
      </c>
      <c r="P78" s="129">
        <v>7706513536</v>
      </c>
      <c r="Q78" s="134" t="s">
        <v>824</v>
      </c>
      <c r="R78" s="137">
        <f t="shared" si="2"/>
        <v>1118120</v>
      </c>
      <c r="S78" s="235"/>
      <c r="T78" s="471">
        <v>45877</v>
      </c>
    </row>
    <row r="79" spans="1:22" ht="80.25" customHeight="1" x14ac:dyDescent="0.25">
      <c r="A79" s="469">
        <v>79</v>
      </c>
      <c r="B79" s="472" t="s">
        <v>745</v>
      </c>
      <c r="C79" s="138" t="s">
        <v>823</v>
      </c>
      <c r="D79" s="124" t="s">
        <v>3384</v>
      </c>
      <c r="E79" s="121" t="s">
        <v>818</v>
      </c>
      <c r="F79" s="133">
        <f>319.58*1000</f>
        <v>319580</v>
      </c>
      <c r="G79" s="121" t="s">
        <v>815</v>
      </c>
      <c r="H79" s="128" t="s">
        <v>814</v>
      </c>
      <c r="I79" s="134" t="s">
        <v>822</v>
      </c>
      <c r="J79" s="133">
        <f>364.83*1000</f>
        <v>364830</v>
      </c>
      <c r="K79" s="121" t="s">
        <v>454</v>
      </c>
      <c r="L79" s="121">
        <v>5027330076</v>
      </c>
      <c r="M79" s="134" t="s">
        <v>821</v>
      </c>
      <c r="N79" s="477">
        <f>313.73*1000</f>
        <v>313730</v>
      </c>
      <c r="O79" s="121" t="s">
        <v>817</v>
      </c>
      <c r="P79" s="129">
        <v>5032232155</v>
      </c>
      <c r="Q79" s="134" t="s">
        <v>820</v>
      </c>
      <c r="R79" s="137">
        <f t="shared" si="2"/>
        <v>313730</v>
      </c>
      <c r="S79" s="235"/>
      <c r="T79" s="471">
        <v>45877</v>
      </c>
    </row>
    <row r="80" spans="1:22" ht="69" customHeight="1" x14ac:dyDescent="0.25">
      <c r="A80" s="469">
        <v>80</v>
      </c>
      <c r="B80" s="472" t="s">
        <v>745</v>
      </c>
      <c r="C80" s="138" t="s">
        <v>819</v>
      </c>
      <c r="D80" s="124" t="s">
        <v>3385</v>
      </c>
      <c r="E80" s="121" t="s">
        <v>818</v>
      </c>
      <c r="F80" s="133">
        <f>80.52*1000</f>
        <v>80520</v>
      </c>
      <c r="G80" s="121" t="s">
        <v>817</v>
      </c>
      <c r="H80" s="129">
        <v>5032232155</v>
      </c>
      <c r="I80" s="134" t="s">
        <v>816</v>
      </c>
      <c r="J80" s="133">
        <f>74.77*1000</f>
        <v>74770</v>
      </c>
      <c r="K80" s="121" t="s">
        <v>815</v>
      </c>
      <c r="L80" s="128" t="s">
        <v>814</v>
      </c>
      <c r="M80" s="134" t="s">
        <v>813</v>
      </c>
      <c r="N80" s="477">
        <f>89.4*1000</f>
        <v>89400</v>
      </c>
      <c r="O80" s="121" t="s">
        <v>727</v>
      </c>
      <c r="P80" s="128" t="s">
        <v>726</v>
      </c>
      <c r="Q80" s="134" t="s">
        <v>812</v>
      </c>
      <c r="R80" s="137">
        <f t="shared" si="2"/>
        <v>74770</v>
      </c>
      <c r="S80" s="235"/>
      <c r="T80" s="471">
        <v>45877</v>
      </c>
    </row>
    <row r="81" spans="1:21" ht="135" customHeight="1" x14ac:dyDescent="0.3">
      <c r="A81" s="469">
        <v>81</v>
      </c>
      <c r="B81" s="132" t="s">
        <v>643</v>
      </c>
      <c r="C81" s="138" t="s">
        <v>811</v>
      </c>
      <c r="D81" s="124" t="s">
        <v>835</v>
      </c>
      <c r="E81" s="121" t="s">
        <v>15</v>
      </c>
      <c r="F81" s="133">
        <v>18696.3</v>
      </c>
      <c r="G81" s="121" t="s">
        <v>634</v>
      </c>
      <c r="H81" s="135">
        <v>7722467171</v>
      </c>
      <c r="I81" s="134" t="s">
        <v>810</v>
      </c>
      <c r="J81" s="133">
        <f>6232.1*3</f>
        <v>18696.300000000003</v>
      </c>
      <c r="K81" s="121" t="s">
        <v>797</v>
      </c>
      <c r="L81" s="478">
        <v>5404507902</v>
      </c>
      <c r="M81" s="134" t="s">
        <v>809</v>
      </c>
      <c r="N81" s="477">
        <f>5610.46*3</f>
        <v>16831.38</v>
      </c>
      <c r="O81" s="121" t="s">
        <v>629</v>
      </c>
      <c r="P81" s="129">
        <v>7724838897</v>
      </c>
      <c r="Q81" s="134" t="s">
        <v>808</v>
      </c>
      <c r="R81" s="137">
        <f t="shared" si="2"/>
        <v>16831.38</v>
      </c>
      <c r="S81" s="235"/>
      <c r="T81" s="471">
        <v>45877</v>
      </c>
    </row>
    <row r="82" spans="1:21" ht="111.75" customHeight="1" x14ac:dyDescent="0.3">
      <c r="A82" s="469">
        <v>82</v>
      </c>
      <c r="B82" s="132" t="s">
        <v>643</v>
      </c>
      <c r="C82" s="138" t="s">
        <v>807</v>
      </c>
      <c r="D82" s="124" t="s">
        <v>834</v>
      </c>
      <c r="E82" s="121" t="s">
        <v>15</v>
      </c>
      <c r="F82" s="133">
        <v>14406.93</v>
      </c>
      <c r="G82" s="121" t="s">
        <v>634</v>
      </c>
      <c r="H82" s="135">
        <v>7722467171</v>
      </c>
      <c r="I82" s="134" t="s">
        <v>806</v>
      </c>
      <c r="J82" s="133">
        <f>4802.31*3</f>
        <v>14406.93</v>
      </c>
      <c r="K82" s="121" t="s">
        <v>797</v>
      </c>
      <c r="L82" s="478">
        <v>5404507902</v>
      </c>
      <c r="M82" s="134" t="s">
        <v>805</v>
      </c>
      <c r="N82" s="477">
        <f>4323.28*3</f>
        <v>12969.84</v>
      </c>
      <c r="O82" s="121" t="s">
        <v>629</v>
      </c>
      <c r="P82" s="129">
        <v>7724838897</v>
      </c>
      <c r="Q82" s="134" t="s">
        <v>804</v>
      </c>
      <c r="R82" s="137">
        <f t="shared" si="2"/>
        <v>12969.84</v>
      </c>
      <c r="S82" s="235"/>
      <c r="T82" s="471">
        <v>45877</v>
      </c>
    </row>
    <row r="83" spans="1:21" ht="111.75" customHeight="1" x14ac:dyDescent="0.3">
      <c r="A83" s="469">
        <v>83</v>
      </c>
      <c r="B83" s="132" t="s">
        <v>643</v>
      </c>
      <c r="C83" s="138" t="s">
        <v>803</v>
      </c>
      <c r="D83" s="124" t="s">
        <v>833</v>
      </c>
      <c r="E83" s="121" t="s">
        <v>15</v>
      </c>
      <c r="F83" s="133">
        <f>9761.4</f>
        <v>9761.4</v>
      </c>
      <c r="G83" s="121" t="s">
        <v>634</v>
      </c>
      <c r="H83" s="135">
        <v>7722467171</v>
      </c>
      <c r="I83" s="134" t="s">
        <v>802</v>
      </c>
      <c r="J83" s="133">
        <f>3253.8*3</f>
        <v>9761.4000000000015</v>
      </c>
      <c r="K83" s="121" t="s">
        <v>797</v>
      </c>
      <c r="L83" s="478">
        <v>5404507902</v>
      </c>
      <c r="M83" s="134" t="s">
        <v>801</v>
      </c>
      <c r="N83" s="477">
        <f>2929.23*3</f>
        <v>8787.69</v>
      </c>
      <c r="O83" s="121" t="s">
        <v>629</v>
      </c>
      <c r="P83" s="129">
        <v>7724838897</v>
      </c>
      <c r="Q83" s="134" t="s">
        <v>800</v>
      </c>
      <c r="R83" s="137">
        <f t="shared" si="2"/>
        <v>8787.69</v>
      </c>
      <c r="S83" s="235"/>
      <c r="T83" s="471">
        <v>45877</v>
      </c>
    </row>
    <row r="84" spans="1:21" ht="111.75" customHeight="1" x14ac:dyDescent="0.3">
      <c r="A84" s="469">
        <v>84</v>
      </c>
      <c r="B84" s="132" t="s">
        <v>643</v>
      </c>
      <c r="C84" s="138" t="s">
        <v>799</v>
      </c>
      <c r="D84" s="124" t="s">
        <v>832</v>
      </c>
      <c r="E84" s="121" t="s">
        <v>15</v>
      </c>
      <c r="F84" s="133">
        <f>5596.05</f>
        <v>5596.05</v>
      </c>
      <c r="G84" s="121" t="s">
        <v>634</v>
      </c>
      <c r="H84" s="135">
        <v>7722467171</v>
      </c>
      <c r="I84" s="134" t="s">
        <v>798</v>
      </c>
      <c r="J84" s="133">
        <f>1865.35*3</f>
        <v>5596.0499999999993</v>
      </c>
      <c r="K84" s="121" t="s">
        <v>797</v>
      </c>
      <c r="L84" s="478">
        <v>5404507902</v>
      </c>
      <c r="M84" s="134" t="s">
        <v>796</v>
      </c>
      <c r="N84" s="477">
        <f>1679.28*3</f>
        <v>5037.84</v>
      </c>
      <c r="O84" s="121" t="s">
        <v>629</v>
      </c>
      <c r="P84" s="129">
        <v>7724838897</v>
      </c>
      <c r="Q84" s="134" t="s">
        <v>795</v>
      </c>
      <c r="R84" s="137">
        <f t="shared" si="2"/>
        <v>5037.84</v>
      </c>
      <c r="S84" s="137">
        <v>3637.44</v>
      </c>
      <c r="T84" s="471">
        <v>45877</v>
      </c>
    </row>
    <row r="85" spans="1:21" ht="111.75" customHeight="1" x14ac:dyDescent="0.25">
      <c r="A85" s="469">
        <v>85</v>
      </c>
      <c r="B85" s="132" t="s">
        <v>643</v>
      </c>
      <c r="C85" s="138" t="s">
        <v>794</v>
      </c>
      <c r="D85" s="124" t="s">
        <v>831</v>
      </c>
      <c r="E85" s="121" t="s">
        <v>15</v>
      </c>
      <c r="F85" s="133">
        <v>2101.27</v>
      </c>
      <c r="G85" s="121" t="s">
        <v>634</v>
      </c>
      <c r="H85" s="135">
        <v>7722467171</v>
      </c>
      <c r="I85" s="134" t="s">
        <v>793</v>
      </c>
      <c r="J85" s="133">
        <v>1449.88</v>
      </c>
      <c r="K85" s="136" t="s">
        <v>639</v>
      </c>
      <c r="L85" s="135">
        <v>9705198797</v>
      </c>
      <c r="M85" s="134" t="s">
        <v>792</v>
      </c>
      <c r="N85" s="477">
        <f>1891.67</f>
        <v>1891.67</v>
      </c>
      <c r="O85" s="121" t="s">
        <v>629</v>
      </c>
      <c r="P85" s="129">
        <v>7724838897</v>
      </c>
      <c r="Q85" s="134" t="s">
        <v>791</v>
      </c>
      <c r="R85" s="137">
        <f t="shared" si="2"/>
        <v>1449.88</v>
      </c>
      <c r="S85" s="235"/>
      <c r="T85" s="471">
        <v>45877</v>
      </c>
    </row>
    <row r="86" spans="1:21" ht="111.75" customHeight="1" x14ac:dyDescent="0.25">
      <c r="A86" s="469">
        <v>86</v>
      </c>
      <c r="B86" s="132" t="s">
        <v>643</v>
      </c>
      <c r="C86" s="138" t="s">
        <v>790</v>
      </c>
      <c r="D86" s="124" t="s">
        <v>830</v>
      </c>
      <c r="E86" s="121" t="s">
        <v>15</v>
      </c>
      <c r="F86" s="133">
        <v>3158.76</v>
      </c>
      <c r="G86" s="121" t="s">
        <v>634</v>
      </c>
      <c r="H86" s="135">
        <v>7722467171</v>
      </c>
      <c r="I86" s="134" t="s">
        <v>789</v>
      </c>
      <c r="J86" s="133">
        <v>2621.77</v>
      </c>
      <c r="K86" s="136" t="s">
        <v>639</v>
      </c>
      <c r="L86" s="135">
        <v>9705198797</v>
      </c>
      <c r="M86" s="134" t="s">
        <v>788</v>
      </c>
      <c r="N86" s="477">
        <v>2843.67</v>
      </c>
      <c r="O86" s="121" t="s">
        <v>629</v>
      </c>
      <c r="P86" s="129">
        <v>7724838897</v>
      </c>
      <c r="Q86" s="134" t="s">
        <v>787</v>
      </c>
      <c r="R86" s="137">
        <f t="shared" si="2"/>
        <v>2621.77</v>
      </c>
      <c r="S86" s="235"/>
      <c r="T86" s="471">
        <v>45877</v>
      </c>
    </row>
    <row r="87" spans="1:21" ht="102.75" customHeight="1" x14ac:dyDescent="0.25">
      <c r="A87" s="469">
        <v>87</v>
      </c>
      <c r="B87" s="132" t="s">
        <v>643</v>
      </c>
      <c r="C87" s="138" t="s">
        <v>786</v>
      </c>
      <c r="D87" s="124" t="s">
        <v>829</v>
      </c>
      <c r="E87" s="121" t="s">
        <v>15</v>
      </c>
      <c r="F87" s="133">
        <v>4614.09</v>
      </c>
      <c r="G87" s="136" t="s">
        <v>639</v>
      </c>
      <c r="H87" s="135">
        <v>9705198797</v>
      </c>
      <c r="I87" s="134" t="s">
        <v>785</v>
      </c>
      <c r="J87" s="133">
        <f>6020.04</f>
        <v>6020.04</v>
      </c>
      <c r="K87" s="121" t="s">
        <v>629</v>
      </c>
      <c r="L87" s="129">
        <v>7724838897</v>
      </c>
      <c r="M87" s="134" t="s">
        <v>784</v>
      </c>
      <c r="N87" s="477">
        <v>6687</v>
      </c>
      <c r="O87" s="121" t="s">
        <v>632</v>
      </c>
      <c r="P87" s="120" t="s">
        <v>631</v>
      </c>
      <c r="Q87" s="134" t="s">
        <v>776</v>
      </c>
      <c r="R87" s="137">
        <f t="shared" si="2"/>
        <v>4614.09</v>
      </c>
      <c r="S87" s="235"/>
      <c r="T87" s="471">
        <v>45877</v>
      </c>
    </row>
    <row r="88" spans="1:21" ht="102.75" customHeight="1" x14ac:dyDescent="0.25">
      <c r="A88" s="469">
        <v>88</v>
      </c>
      <c r="B88" s="132" t="s">
        <v>643</v>
      </c>
      <c r="C88" s="138" t="s">
        <v>783</v>
      </c>
      <c r="D88" s="124" t="s">
        <v>3386</v>
      </c>
      <c r="E88" s="121" t="s">
        <v>15</v>
      </c>
      <c r="F88" s="133">
        <v>1808.33</v>
      </c>
      <c r="G88" s="121" t="s">
        <v>634</v>
      </c>
      <c r="H88" s="135">
        <v>7722467171</v>
      </c>
      <c r="I88" s="134" t="s">
        <v>782</v>
      </c>
      <c r="J88" s="133">
        <v>1134.32</v>
      </c>
      <c r="K88" s="136" t="s">
        <v>639</v>
      </c>
      <c r="L88" s="135">
        <v>9705198797</v>
      </c>
      <c r="M88" s="134" t="s">
        <v>781</v>
      </c>
      <c r="N88" s="477">
        <v>1627.94</v>
      </c>
      <c r="O88" s="121" t="s">
        <v>629</v>
      </c>
      <c r="P88" s="129">
        <v>7724838897</v>
      </c>
      <c r="Q88" s="134" t="s">
        <v>780</v>
      </c>
      <c r="R88" s="137">
        <f t="shared" si="2"/>
        <v>1134.32</v>
      </c>
      <c r="S88" s="235"/>
      <c r="T88" s="471">
        <v>45877</v>
      </c>
    </row>
    <row r="89" spans="1:21" ht="102.75" customHeight="1" x14ac:dyDescent="0.25">
      <c r="A89" s="469">
        <v>89</v>
      </c>
      <c r="B89" s="132" t="s">
        <v>643</v>
      </c>
      <c r="C89" s="138" t="s">
        <v>779</v>
      </c>
      <c r="D89" s="124" t="s">
        <v>3387</v>
      </c>
      <c r="E89" s="121" t="s">
        <v>15</v>
      </c>
      <c r="F89" s="133">
        <v>5550.28</v>
      </c>
      <c r="G89" s="136" t="s">
        <v>639</v>
      </c>
      <c r="H89" s="135">
        <v>9705198797</v>
      </c>
      <c r="I89" s="134" t="s">
        <v>778</v>
      </c>
      <c r="J89" s="133">
        <v>6020.04</v>
      </c>
      <c r="K89" s="121" t="s">
        <v>629</v>
      </c>
      <c r="L89" s="129">
        <v>7724838897</v>
      </c>
      <c r="M89" s="134" t="s">
        <v>777</v>
      </c>
      <c r="N89" s="477">
        <v>6687</v>
      </c>
      <c r="O89" s="121" t="s">
        <v>632</v>
      </c>
      <c r="P89" s="120" t="s">
        <v>631</v>
      </c>
      <c r="Q89" s="134" t="s">
        <v>776</v>
      </c>
      <c r="R89" s="137">
        <f t="shared" si="2"/>
        <v>5550.28</v>
      </c>
      <c r="S89" s="235"/>
      <c r="T89" s="471">
        <v>45877</v>
      </c>
    </row>
    <row r="90" spans="1:21" ht="96.75" customHeight="1" x14ac:dyDescent="0.25">
      <c r="A90" s="469">
        <v>90</v>
      </c>
      <c r="B90" s="132" t="s">
        <v>750</v>
      </c>
      <c r="C90" s="138" t="s">
        <v>775</v>
      </c>
      <c r="D90" s="124" t="s">
        <v>3388</v>
      </c>
      <c r="E90" s="121" t="s">
        <v>15</v>
      </c>
      <c r="F90" s="133">
        <v>669.85</v>
      </c>
      <c r="G90" s="121" t="s">
        <v>634</v>
      </c>
      <c r="H90" s="135">
        <v>7722467171</v>
      </c>
      <c r="I90" s="134" t="s">
        <v>773</v>
      </c>
      <c r="J90" s="133">
        <v>505.43</v>
      </c>
      <c r="K90" s="136" t="s">
        <v>639</v>
      </c>
      <c r="L90" s="135">
        <v>9705198797</v>
      </c>
      <c r="M90" s="134" t="s">
        <v>772</v>
      </c>
      <c r="N90" s="477">
        <v>669.85</v>
      </c>
      <c r="O90" s="121" t="s">
        <v>632</v>
      </c>
      <c r="P90" s="120" t="s">
        <v>631</v>
      </c>
      <c r="Q90" s="134" t="s">
        <v>771</v>
      </c>
      <c r="R90" s="137">
        <f t="shared" si="2"/>
        <v>505.43</v>
      </c>
      <c r="S90" s="235"/>
      <c r="T90" s="471">
        <v>45877</v>
      </c>
    </row>
    <row r="91" spans="1:21" ht="108" customHeight="1" x14ac:dyDescent="0.25">
      <c r="A91" s="469">
        <v>91</v>
      </c>
      <c r="B91" s="132" t="s">
        <v>750</v>
      </c>
      <c r="C91" s="473" t="s">
        <v>770</v>
      </c>
      <c r="D91" s="124" t="s">
        <v>3389</v>
      </c>
      <c r="E91" s="121" t="s">
        <v>15</v>
      </c>
      <c r="F91" s="133">
        <v>400.32</v>
      </c>
      <c r="G91" s="121" t="s">
        <v>634</v>
      </c>
      <c r="H91" s="135">
        <v>7722467171</v>
      </c>
      <c r="I91" s="134" t="s">
        <v>769</v>
      </c>
      <c r="J91" s="133">
        <v>316.45</v>
      </c>
      <c r="K91" s="136" t="s">
        <v>639</v>
      </c>
      <c r="L91" s="135">
        <v>9705198797</v>
      </c>
      <c r="M91" s="121" t="s">
        <v>768</v>
      </c>
      <c r="N91" s="477">
        <v>360.39</v>
      </c>
      <c r="O91" s="121" t="s">
        <v>629</v>
      </c>
      <c r="P91" s="129">
        <v>7724838897</v>
      </c>
      <c r="Q91" s="134" t="s">
        <v>767</v>
      </c>
      <c r="R91" s="137">
        <f t="shared" si="2"/>
        <v>316.45</v>
      </c>
      <c r="S91" s="235"/>
      <c r="T91" s="471">
        <v>45877</v>
      </c>
      <c r="U91" s="411"/>
    </row>
    <row r="92" spans="1:21" ht="109.5" customHeight="1" x14ac:dyDescent="0.25">
      <c r="A92" s="469">
        <v>92</v>
      </c>
      <c r="B92" s="132" t="s">
        <v>750</v>
      </c>
      <c r="C92" s="473" t="s">
        <v>766</v>
      </c>
      <c r="D92" s="124" t="s">
        <v>3390</v>
      </c>
      <c r="E92" s="121" t="s">
        <v>15</v>
      </c>
      <c r="F92" s="133">
        <v>651.36</v>
      </c>
      <c r="G92" s="121" t="s">
        <v>634</v>
      </c>
      <c r="H92" s="135">
        <v>7722467171</v>
      </c>
      <c r="I92" s="134" t="s">
        <v>765</v>
      </c>
      <c r="J92" s="133">
        <v>540.63</v>
      </c>
      <c r="K92" s="136" t="s">
        <v>639</v>
      </c>
      <c r="L92" s="135">
        <v>9705198797</v>
      </c>
      <c r="M92" s="134" t="s">
        <v>764</v>
      </c>
      <c r="N92" s="477">
        <v>861.55</v>
      </c>
      <c r="O92" s="121" t="s">
        <v>629</v>
      </c>
      <c r="P92" s="129">
        <v>7724838897</v>
      </c>
      <c r="Q92" s="134" t="s">
        <v>763</v>
      </c>
      <c r="R92" s="137">
        <f t="shared" si="2"/>
        <v>540.63</v>
      </c>
      <c r="S92" s="235"/>
      <c r="T92" s="471">
        <v>45877</v>
      </c>
      <c r="U92" s="411"/>
    </row>
    <row r="93" spans="1:21" ht="84" customHeight="1" x14ac:dyDescent="0.25">
      <c r="A93" s="469">
        <v>93</v>
      </c>
      <c r="B93" s="132" t="s">
        <v>750</v>
      </c>
      <c r="C93" s="473" t="s">
        <v>762</v>
      </c>
      <c r="D93" s="124" t="s">
        <v>3391</v>
      </c>
      <c r="E93" s="121" t="s">
        <v>15</v>
      </c>
      <c r="F93" s="133">
        <v>262.25</v>
      </c>
      <c r="G93" s="121" t="s">
        <v>634</v>
      </c>
      <c r="H93" s="135">
        <v>7722467171</v>
      </c>
      <c r="I93" s="134" t="s">
        <v>761</v>
      </c>
      <c r="J93" s="133">
        <v>207.3</v>
      </c>
      <c r="K93" s="136" t="s">
        <v>639</v>
      </c>
      <c r="L93" s="135">
        <v>9705198797</v>
      </c>
      <c r="M93" s="134" t="s">
        <v>760</v>
      </c>
      <c r="N93" s="477">
        <v>236.09</v>
      </c>
      <c r="O93" s="121" t="s">
        <v>629</v>
      </c>
      <c r="P93" s="129">
        <v>7724838897</v>
      </c>
      <c r="Q93" s="134" t="s">
        <v>759</v>
      </c>
      <c r="R93" s="137">
        <f t="shared" si="2"/>
        <v>207.3</v>
      </c>
      <c r="S93" s="137">
        <v>174.88</v>
      </c>
      <c r="T93" s="471">
        <v>45877</v>
      </c>
    </row>
    <row r="94" spans="1:21" ht="102" customHeight="1" x14ac:dyDescent="0.25">
      <c r="A94" s="469">
        <v>94</v>
      </c>
      <c r="B94" s="132" t="s">
        <v>750</v>
      </c>
      <c r="C94" s="473" t="s">
        <v>758</v>
      </c>
      <c r="D94" s="124" t="s">
        <v>3392</v>
      </c>
      <c r="E94" s="121" t="s">
        <v>15</v>
      </c>
      <c r="F94" s="133">
        <v>1401.49</v>
      </c>
      <c r="G94" s="121" t="s">
        <v>634</v>
      </c>
      <c r="H94" s="135">
        <v>7722467171</v>
      </c>
      <c r="I94" s="134" t="s">
        <v>757</v>
      </c>
      <c r="J94" s="133">
        <v>1163.24</v>
      </c>
      <c r="K94" s="136" t="s">
        <v>639</v>
      </c>
      <c r="L94" s="135">
        <v>9705198797</v>
      </c>
      <c r="M94" s="134" t="s">
        <v>756</v>
      </c>
      <c r="N94" s="477">
        <v>1142.3800000000001</v>
      </c>
      <c r="O94" s="121" t="s">
        <v>629</v>
      </c>
      <c r="P94" s="129">
        <v>7724838897</v>
      </c>
      <c r="Q94" s="134" t="s">
        <v>755</v>
      </c>
      <c r="R94" s="137">
        <f t="shared" si="2"/>
        <v>1142.3800000000001</v>
      </c>
      <c r="S94" s="235"/>
      <c r="T94" s="471">
        <v>45877</v>
      </c>
    </row>
    <row r="95" spans="1:21" ht="75" customHeight="1" x14ac:dyDescent="0.25">
      <c r="A95" s="469">
        <v>95</v>
      </c>
      <c r="B95" s="132" t="s">
        <v>750</v>
      </c>
      <c r="C95" s="473" t="s">
        <v>754</v>
      </c>
      <c r="D95" s="124" t="s">
        <v>3393</v>
      </c>
      <c r="E95" s="121" t="s">
        <v>15</v>
      </c>
      <c r="F95" s="133">
        <v>1158.42</v>
      </c>
      <c r="G95" s="121" t="s">
        <v>634</v>
      </c>
      <c r="H95" s="135">
        <v>7722467171</v>
      </c>
      <c r="I95" s="134" t="s">
        <v>753</v>
      </c>
      <c r="J95" s="474">
        <v>915.71</v>
      </c>
      <c r="K95" s="136" t="s">
        <v>639</v>
      </c>
      <c r="L95" s="135">
        <v>9705198797</v>
      </c>
      <c r="M95" s="134" t="s">
        <v>752</v>
      </c>
      <c r="N95" s="474">
        <v>1042.8599999999999</v>
      </c>
      <c r="O95" s="121" t="s">
        <v>629</v>
      </c>
      <c r="P95" s="129">
        <v>7724838897</v>
      </c>
      <c r="Q95" s="134" t="s">
        <v>751</v>
      </c>
      <c r="R95" s="137">
        <f t="shared" si="2"/>
        <v>915.71</v>
      </c>
      <c r="S95" s="235"/>
      <c r="T95" s="471">
        <v>45877</v>
      </c>
    </row>
    <row r="96" spans="1:21" ht="77.25" customHeight="1" x14ac:dyDescent="0.25">
      <c r="A96" s="469">
        <v>96</v>
      </c>
      <c r="B96" s="132" t="s">
        <v>750</v>
      </c>
      <c r="C96" s="473" t="s">
        <v>749</v>
      </c>
      <c r="D96" s="124" t="s">
        <v>3394</v>
      </c>
      <c r="E96" s="121" t="s">
        <v>15</v>
      </c>
      <c r="F96" s="474">
        <v>988.01</v>
      </c>
      <c r="G96" s="121" t="s">
        <v>634</v>
      </c>
      <c r="H96" s="135">
        <v>7722467171</v>
      </c>
      <c r="I96" s="134" t="s">
        <v>748</v>
      </c>
      <c r="J96" s="474">
        <v>820.05</v>
      </c>
      <c r="K96" s="136" t="s">
        <v>639</v>
      </c>
      <c r="L96" s="135">
        <v>9705198797</v>
      </c>
      <c r="M96" s="134" t="s">
        <v>747</v>
      </c>
      <c r="N96" s="474">
        <v>889.46</v>
      </c>
      <c r="O96" s="121" t="s">
        <v>629</v>
      </c>
      <c r="P96" s="129">
        <v>7724838897</v>
      </c>
      <c r="Q96" s="134" t="s">
        <v>746</v>
      </c>
      <c r="R96" s="137">
        <f t="shared" si="2"/>
        <v>820.05</v>
      </c>
      <c r="S96" s="235"/>
      <c r="T96" s="471">
        <v>45877</v>
      </c>
    </row>
    <row r="97" spans="1:20" ht="82.5" customHeight="1" x14ac:dyDescent="0.25">
      <c r="A97" s="469">
        <v>97</v>
      </c>
      <c r="B97" s="472" t="s">
        <v>745</v>
      </c>
      <c r="C97" s="473" t="s">
        <v>744</v>
      </c>
      <c r="D97" s="124" t="s">
        <v>3395</v>
      </c>
      <c r="E97" s="121" t="s">
        <v>15</v>
      </c>
      <c r="F97" s="474">
        <v>1967</v>
      </c>
      <c r="G97" s="121" t="s">
        <v>634</v>
      </c>
      <c r="H97" s="135">
        <v>7722467171</v>
      </c>
      <c r="I97" s="134" t="s">
        <v>743</v>
      </c>
      <c r="J97" s="474">
        <f>148.42*10</f>
        <v>1484.1999999999998</v>
      </c>
      <c r="K97" s="136" t="s">
        <v>639</v>
      </c>
      <c r="L97" s="135">
        <v>9705198797</v>
      </c>
      <c r="M97" s="134" t="s">
        <v>742</v>
      </c>
      <c r="N97" s="474">
        <f>177.09*10</f>
        <v>1770.9</v>
      </c>
      <c r="O97" s="121" t="s">
        <v>629</v>
      </c>
      <c r="P97" s="129">
        <v>7724838897</v>
      </c>
      <c r="Q97" s="134" t="s">
        <v>741</v>
      </c>
      <c r="R97" s="137">
        <f t="shared" ref="R97:R113" si="3">MIN(F97,J97,N97)</f>
        <v>1484.1999999999998</v>
      </c>
      <c r="S97" s="235"/>
      <c r="T97" s="471">
        <v>45877</v>
      </c>
    </row>
    <row r="98" spans="1:20" ht="64.5" customHeight="1" x14ac:dyDescent="0.25">
      <c r="A98" s="469">
        <v>98</v>
      </c>
      <c r="B98" s="132" t="s">
        <v>643</v>
      </c>
      <c r="C98" s="473" t="s">
        <v>740</v>
      </c>
      <c r="D98" s="124" t="s">
        <v>3396</v>
      </c>
      <c r="E98" s="121" t="s">
        <v>15</v>
      </c>
      <c r="F98" s="474">
        <v>620</v>
      </c>
      <c r="G98" s="136" t="s">
        <v>639</v>
      </c>
      <c r="H98" s="135">
        <v>9705198797</v>
      </c>
      <c r="I98" s="134" t="s">
        <v>739</v>
      </c>
      <c r="J98" s="474">
        <v>739.73</v>
      </c>
      <c r="K98" s="121" t="s">
        <v>629</v>
      </c>
      <c r="L98" s="129">
        <v>7724838897</v>
      </c>
      <c r="M98" s="134" t="s">
        <v>738</v>
      </c>
      <c r="N98" s="474">
        <v>777.58</v>
      </c>
      <c r="O98" s="121" t="s">
        <v>454</v>
      </c>
      <c r="P98" s="121">
        <v>5027330076</v>
      </c>
      <c r="Q98" s="134" t="s">
        <v>737</v>
      </c>
      <c r="R98" s="137">
        <f t="shared" si="3"/>
        <v>620</v>
      </c>
      <c r="S98" s="235"/>
      <c r="T98" s="471">
        <v>45877</v>
      </c>
    </row>
    <row r="99" spans="1:20" ht="90.75" customHeight="1" x14ac:dyDescent="0.25">
      <c r="A99" s="469">
        <v>99</v>
      </c>
      <c r="B99" s="132" t="s">
        <v>643</v>
      </c>
      <c r="C99" s="473" t="s">
        <v>736</v>
      </c>
      <c r="D99" s="124" t="s">
        <v>3397</v>
      </c>
      <c r="E99" s="121" t="s">
        <v>15</v>
      </c>
      <c r="F99" s="474">
        <v>1094.3699999999999</v>
      </c>
      <c r="G99" s="136" t="s">
        <v>639</v>
      </c>
      <c r="H99" s="135">
        <v>9705198797</v>
      </c>
      <c r="I99" s="121" t="s">
        <v>734</v>
      </c>
      <c r="J99" s="474">
        <v>1318.52</v>
      </c>
      <c r="K99" s="121" t="s">
        <v>634</v>
      </c>
      <c r="L99" s="135">
        <v>7722467171</v>
      </c>
      <c r="M99" s="121" t="s">
        <v>733</v>
      </c>
      <c r="N99" s="474">
        <v>1187</v>
      </c>
      <c r="O99" s="121" t="s">
        <v>629</v>
      </c>
      <c r="P99" s="129">
        <v>7724838897</v>
      </c>
      <c r="Q99" s="134" t="s">
        <v>732</v>
      </c>
      <c r="R99" s="137">
        <f t="shared" si="3"/>
        <v>1094.3699999999999</v>
      </c>
      <c r="S99" s="121">
        <v>375.61</v>
      </c>
      <c r="T99" s="471">
        <v>45877</v>
      </c>
    </row>
    <row r="100" spans="1:20" ht="70.5" customHeight="1" x14ac:dyDescent="0.25">
      <c r="A100" s="469">
        <v>100</v>
      </c>
      <c r="B100" s="132" t="s">
        <v>643</v>
      </c>
      <c r="C100" s="473" t="s">
        <v>731</v>
      </c>
      <c r="D100" s="124" t="s">
        <v>3398</v>
      </c>
      <c r="E100" s="121" t="s">
        <v>15</v>
      </c>
      <c r="F100" s="474">
        <v>375.61</v>
      </c>
      <c r="G100" s="136" t="s">
        <v>639</v>
      </c>
      <c r="H100" s="135">
        <v>9705198797</v>
      </c>
      <c r="I100" s="134" t="s">
        <v>729</v>
      </c>
      <c r="J100" s="479">
        <v>448.13</v>
      </c>
      <c r="K100" s="121" t="s">
        <v>629</v>
      </c>
      <c r="L100" s="129">
        <v>7724838897</v>
      </c>
      <c r="M100" s="134" t="s">
        <v>728</v>
      </c>
      <c r="N100" s="474">
        <v>497.79</v>
      </c>
      <c r="O100" s="121" t="s">
        <v>727</v>
      </c>
      <c r="P100" s="128" t="s">
        <v>726</v>
      </c>
      <c r="Q100" s="134" t="s">
        <v>725</v>
      </c>
      <c r="R100" s="137">
        <f t="shared" si="3"/>
        <v>375.61</v>
      </c>
      <c r="S100" s="235"/>
      <c r="T100" s="471">
        <v>45877</v>
      </c>
    </row>
    <row r="101" spans="1:20" ht="63" customHeight="1" x14ac:dyDescent="0.25">
      <c r="A101" s="469">
        <v>101</v>
      </c>
      <c r="B101" s="132" t="s">
        <v>643</v>
      </c>
      <c r="C101" s="473" t="s">
        <v>724</v>
      </c>
      <c r="D101" s="124" t="s">
        <v>3399</v>
      </c>
      <c r="E101" s="121" t="s">
        <v>15</v>
      </c>
      <c r="F101" s="474">
        <v>1198.3399999999999</v>
      </c>
      <c r="G101" s="136" t="s">
        <v>639</v>
      </c>
      <c r="H101" s="135">
        <v>9705198797</v>
      </c>
      <c r="I101" s="134" t="s">
        <v>722</v>
      </c>
      <c r="J101" s="474">
        <v>1299.77</v>
      </c>
      <c r="K101" s="121" t="s">
        <v>629</v>
      </c>
      <c r="L101" s="129">
        <v>7724838897</v>
      </c>
      <c r="M101" s="134" t="s">
        <v>721</v>
      </c>
      <c r="N101" s="474">
        <v>1443.78</v>
      </c>
      <c r="O101" s="121" t="s">
        <v>634</v>
      </c>
      <c r="P101" s="135">
        <v>7722467171</v>
      </c>
      <c r="Q101" s="134" t="s">
        <v>720</v>
      </c>
      <c r="R101" s="137">
        <f t="shared" si="3"/>
        <v>1198.3399999999999</v>
      </c>
      <c r="S101" s="235"/>
      <c r="T101" s="471">
        <v>45877</v>
      </c>
    </row>
    <row r="102" spans="1:20" ht="88.5" customHeight="1" x14ac:dyDescent="0.25">
      <c r="A102" s="469">
        <v>102</v>
      </c>
      <c r="B102" s="132" t="s">
        <v>643</v>
      </c>
      <c r="C102" s="473" t="s">
        <v>719</v>
      </c>
      <c r="D102" s="124" t="s">
        <v>3400</v>
      </c>
      <c r="E102" s="121" t="s">
        <v>15</v>
      </c>
      <c r="F102" s="474">
        <v>786.73</v>
      </c>
      <c r="G102" s="136" t="s">
        <v>639</v>
      </c>
      <c r="H102" s="135">
        <v>9705198797</v>
      </c>
      <c r="I102" s="134" t="s">
        <v>717</v>
      </c>
      <c r="J102" s="474">
        <v>853.33</v>
      </c>
      <c r="K102" s="121" t="s">
        <v>629</v>
      </c>
      <c r="L102" s="129">
        <v>7724838897</v>
      </c>
      <c r="M102" s="134" t="s">
        <v>716</v>
      </c>
      <c r="N102" s="474">
        <v>947.87</v>
      </c>
      <c r="O102" s="121" t="s">
        <v>634</v>
      </c>
      <c r="P102" s="135">
        <v>7722467171</v>
      </c>
      <c r="Q102" s="134" t="s">
        <v>715</v>
      </c>
      <c r="R102" s="137">
        <f t="shared" si="3"/>
        <v>786.73</v>
      </c>
      <c r="S102" s="235"/>
      <c r="T102" s="471">
        <v>45877</v>
      </c>
    </row>
    <row r="103" spans="1:20" ht="99" customHeight="1" x14ac:dyDescent="0.25">
      <c r="A103" s="469">
        <v>103</v>
      </c>
      <c r="B103" s="132" t="s">
        <v>643</v>
      </c>
      <c r="C103" s="473" t="s">
        <v>714</v>
      </c>
      <c r="D103" s="124" t="s">
        <v>3401</v>
      </c>
      <c r="E103" s="121" t="s">
        <v>15</v>
      </c>
      <c r="F103" s="474">
        <v>398.29</v>
      </c>
      <c r="G103" s="121" t="s">
        <v>634</v>
      </c>
      <c r="H103" s="135">
        <v>7722467171</v>
      </c>
      <c r="I103" s="134" t="s">
        <v>712</v>
      </c>
      <c r="J103" s="474">
        <v>300.52999999999997</v>
      </c>
      <c r="K103" s="136" t="s">
        <v>639</v>
      </c>
      <c r="L103" s="135">
        <v>9705198797</v>
      </c>
      <c r="M103" s="134" t="s">
        <v>711</v>
      </c>
      <c r="N103" s="474">
        <v>358.56</v>
      </c>
      <c r="O103" s="121" t="s">
        <v>629</v>
      </c>
      <c r="P103" s="129">
        <v>7724838897</v>
      </c>
      <c r="Q103" s="134" t="s">
        <v>710</v>
      </c>
      <c r="R103" s="137">
        <f t="shared" si="3"/>
        <v>300.52999999999997</v>
      </c>
      <c r="S103" s="235"/>
      <c r="T103" s="471">
        <v>45877</v>
      </c>
    </row>
    <row r="104" spans="1:20" ht="92.25" customHeight="1" x14ac:dyDescent="0.25">
      <c r="A104" s="469">
        <v>104</v>
      </c>
      <c r="B104" s="132" t="s">
        <v>643</v>
      </c>
      <c r="C104" s="473" t="s">
        <v>709</v>
      </c>
      <c r="D104" s="124" t="s">
        <v>3402</v>
      </c>
      <c r="E104" s="121" t="s">
        <v>15</v>
      </c>
      <c r="F104" s="474">
        <v>116.87</v>
      </c>
      <c r="G104" s="121" t="s">
        <v>634</v>
      </c>
      <c r="H104" s="135">
        <v>7722467171</v>
      </c>
      <c r="I104" s="121" t="s">
        <v>707</v>
      </c>
      <c r="J104" s="474">
        <v>927</v>
      </c>
      <c r="K104" s="136" t="s">
        <v>639</v>
      </c>
      <c r="L104" s="135">
        <v>9705198797</v>
      </c>
      <c r="M104" s="121" t="s">
        <v>706</v>
      </c>
      <c r="N104" s="474">
        <v>1005.47</v>
      </c>
      <c r="O104" s="121" t="s">
        <v>629</v>
      </c>
      <c r="P104" s="129">
        <v>7724838897</v>
      </c>
      <c r="Q104" s="134" t="s">
        <v>705</v>
      </c>
      <c r="R104" s="137">
        <f t="shared" si="3"/>
        <v>116.87</v>
      </c>
      <c r="S104" s="235"/>
      <c r="T104" s="471">
        <v>45877</v>
      </c>
    </row>
    <row r="105" spans="1:20" ht="80.25" customHeight="1" x14ac:dyDescent="0.25">
      <c r="A105" s="238">
        <v>105</v>
      </c>
      <c r="B105" s="132" t="s">
        <v>643</v>
      </c>
      <c r="C105" s="473" t="s">
        <v>704</v>
      </c>
      <c r="D105" s="124" t="s">
        <v>3403</v>
      </c>
      <c r="E105" s="121" t="s">
        <v>15</v>
      </c>
      <c r="F105" s="474">
        <v>582.05999999999995</v>
      </c>
      <c r="G105" s="121" t="s">
        <v>634</v>
      </c>
      <c r="H105" s="135">
        <v>7722467171</v>
      </c>
      <c r="I105" s="134" t="s">
        <v>702</v>
      </c>
      <c r="J105" s="474">
        <v>420.1</v>
      </c>
      <c r="K105" s="136" t="s">
        <v>639</v>
      </c>
      <c r="L105" s="135">
        <v>9705198797</v>
      </c>
      <c r="M105" s="134" t="s">
        <v>701</v>
      </c>
      <c r="N105" s="474">
        <v>524</v>
      </c>
      <c r="O105" s="121" t="s">
        <v>629</v>
      </c>
      <c r="P105" s="129">
        <v>7724838897</v>
      </c>
      <c r="Q105" s="134" t="s">
        <v>700</v>
      </c>
      <c r="R105" s="137">
        <f t="shared" si="3"/>
        <v>420.1</v>
      </c>
      <c r="S105" s="235"/>
      <c r="T105" s="471">
        <v>45877</v>
      </c>
    </row>
    <row r="106" spans="1:20" ht="90.75" customHeight="1" x14ac:dyDescent="0.25">
      <c r="A106" s="238">
        <v>106</v>
      </c>
      <c r="B106" s="132" t="s">
        <v>643</v>
      </c>
      <c r="C106" s="473" t="s">
        <v>699</v>
      </c>
      <c r="D106" s="124" t="s">
        <v>774</v>
      </c>
      <c r="E106" s="121" t="s">
        <v>15</v>
      </c>
      <c r="F106" s="133">
        <v>334.09</v>
      </c>
      <c r="G106" s="121" t="s">
        <v>634</v>
      </c>
      <c r="H106" s="135">
        <v>7722467171</v>
      </c>
      <c r="I106" s="134" t="s">
        <v>697</v>
      </c>
      <c r="J106" s="474">
        <v>241.12</v>
      </c>
      <c r="K106" s="136" t="s">
        <v>639</v>
      </c>
      <c r="L106" s="135">
        <v>9705198797</v>
      </c>
      <c r="M106" s="134" t="s">
        <v>696</v>
      </c>
      <c r="N106" s="474">
        <v>300.77</v>
      </c>
      <c r="O106" s="121" t="s">
        <v>629</v>
      </c>
      <c r="P106" s="129">
        <v>7724838897</v>
      </c>
      <c r="Q106" s="134" t="s">
        <v>695</v>
      </c>
      <c r="R106" s="137">
        <f t="shared" si="3"/>
        <v>241.12</v>
      </c>
      <c r="S106" s="235"/>
      <c r="T106" s="471">
        <v>45877</v>
      </c>
    </row>
    <row r="107" spans="1:20" ht="93.75" customHeight="1" x14ac:dyDescent="0.25">
      <c r="A107" s="238">
        <v>107</v>
      </c>
      <c r="B107" s="132" t="s">
        <v>643</v>
      </c>
      <c r="C107" s="473" t="s">
        <v>694</v>
      </c>
      <c r="D107" s="124" t="s">
        <v>3404</v>
      </c>
      <c r="E107" s="121" t="s">
        <v>15</v>
      </c>
      <c r="F107" s="133">
        <v>944</v>
      </c>
      <c r="G107" s="121" t="s">
        <v>632</v>
      </c>
      <c r="H107" s="120" t="s">
        <v>631</v>
      </c>
      <c r="I107" s="134" t="s">
        <v>692</v>
      </c>
      <c r="J107" s="474">
        <v>783.18</v>
      </c>
      <c r="K107" s="136" t="s">
        <v>639</v>
      </c>
      <c r="L107" s="135">
        <v>9705198797</v>
      </c>
      <c r="M107" s="134" t="s">
        <v>691</v>
      </c>
      <c r="N107" s="474">
        <v>849.46</v>
      </c>
      <c r="O107" s="121" t="s">
        <v>629</v>
      </c>
      <c r="P107" s="129">
        <v>7724838897</v>
      </c>
      <c r="Q107" s="121" t="s">
        <v>690</v>
      </c>
      <c r="R107" s="137">
        <f t="shared" si="3"/>
        <v>783.18</v>
      </c>
      <c r="S107" s="235"/>
      <c r="T107" s="471">
        <v>45877</v>
      </c>
    </row>
    <row r="108" spans="1:20" ht="76.5" customHeight="1" x14ac:dyDescent="0.25">
      <c r="A108" s="238">
        <v>108</v>
      </c>
      <c r="B108" s="132" t="s">
        <v>643</v>
      </c>
      <c r="C108" s="473" t="s">
        <v>689</v>
      </c>
      <c r="D108" s="124" t="s">
        <v>3405</v>
      </c>
      <c r="E108" s="121" t="s">
        <v>15</v>
      </c>
      <c r="F108" s="474">
        <v>688.69</v>
      </c>
      <c r="G108" s="121" t="s">
        <v>634</v>
      </c>
      <c r="H108" s="135">
        <v>7722467171</v>
      </c>
      <c r="I108" s="134" t="s">
        <v>687</v>
      </c>
      <c r="J108" s="474">
        <v>571.61</v>
      </c>
      <c r="K108" s="136" t="s">
        <v>639</v>
      </c>
      <c r="L108" s="135">
        <v>9705198797</v>
      </c>
      <c r="M108" s="134" t="s">
        <v>686</v>
      </c>
      <c r="N108" s="474">
        <v>620</v>
      </c>
      <c r="O108" s="121" t="s">
        <v>629</v>
      </c>
      <c r="P108" s="129">
        <v>7724838897</v>
      </c>
      <c r="Q108" s="134" t="s">
        <v>685</v>
      </c>
      <c r="R108" s="137">
        <f t="shared" si="3"/>
        <v>571.61</v>
      </c>
      <c r="S108" s="235"/>
      <c r="T108" s="471">
        <v>45877</v>
      </c>
    </row>
    <row r="109" spans="1:20" ht="62.25" customHeight="1" x14ac:dyDescent="0.25">
      <c r="A109" s="238">
        <v>110</v>
      </c>
      <c r="B109" s="132" t="s">
        <v>643</v>
      </c>
      <c r="C109" s="473" t="s">
        <v>683</v>
      </c>
      <c r="D109" s="124" t="s">
        <v>3406</v>
      </c>
      <c r="E109" s="121" t="s">
        <v>15</v>
      </c>
      <c r="F109" s="133">
        <v>133.75</v>
      </c>
      <c r="G109" s="121" t="s">
        <v>634</v>
      </c>
      <c r="H109" s="135">
        <v>7722467171</v>
      </c>
      <c r="I109" s="134" t="s">
        <v>681</v>
      </c>
      <c r="J109" s="474">
        <v>91.75</v>
      </c>
      <c r="K109" s="136" t="s">
        <v>639</v>
      </c>
      <c r="L109" s="135">
        <v>9705198797</v>
      </c>
      <c r="M109" s="134" t="s">
        <v>680</v>
      </c>
      <c r="N109" s="474">
        <v>120.41</v>
      </c>
      <c r="O109" s="121" t="s">
        <v>629</v>
      </c>
      <c r="P109" s="129">
        <v>7724838897</v>
      </c>
      <c r="Q109" s="121" t="s">
        <v>679</v>
      </c>
      <c r="R109" s="137">
        <f t="shared" si="3"/>
        <v>91.75</v>
      </c>
      <c r="S109" s="137">
        <v>88.68</v>
      </c>
      <c r="T109" s="471">
        <v>45877</v>
      </c>
    </row>
    <row r="110" spans="1:20" ht="60.75" customHeight="1" x14ac:dyDescent="0.25">
      <c r="A110" s="238">
        <v>111</v>
      </c>
      <c r="B110" s="132" t="s">
        <v>643</v>
      </c>
      <c r="C110" s="473" t="s">
        <v>678</v>
      </c>
      <c r="D110" s="124" t="s">
        <v>3407</v>
      </c>
      <c r="E110" s="121" t="s">
        <v>15</v>
      </c>
      <c r="F110" s="474">
        <v>224</v>
      </c>
      <c r="G110" s="121" t="s">
        <v>632</v>
      </c>
      <c r="H110" s="120" t="s">
        <v>631</v>
      </c>
      <c r="I110" s="134" t="s">
        <v>676</v>
      </c>
      <c r="J110" s="474">
        <v>186.31</v>
      </c>
      <c r="K110" s="136" t="s">
        <v>639</v>
      </c>
      <c r="L110" s="135">
        <v>9705198797</v>
      </c>
      <c r="M110" s="134" t="s">
        <v>675</v>
      </c>
      <c r="N110" s="474">
        <v>202.09</v>
      </c>
      <c r="O110" s="121" t="s">
        <v>629</v>
      </c>
      <c r="P110" s="129">
        <v>7724838897</v>
      </c>
      <c r="Q110" s="134" t="s">
        <v>674</v>
      </c>
      <c r="R110" s="137">
        <f t="shared" si="3"/>
        <v>186.31</v>
      </c>
      <c r="S110" s="235"/>
      <c r="T110" s="471">
        <v>45877</v>
      </c>
    </row>
    <row r="111" spans="1:20" ht="69.75" customHeight="1" x14ac:dyDescent="0.25">
      <c r="A111" s="238">
        <v>113</v>
      </c>
      <c r="B111" s="132" t="s">
        <v>305</v>
      </c>
      <c r="C111" s="473" t="s">
        <v>672</v>
      </c>
      <c r="D111" s="124" t="s">
        <v>3408</v>
      </c>
      <c r="E111" s="121" t="s">
        <v>15</v>
      </c>
      <c r="F111" s="133">
        <v>11.16</v>
      </c>
      <c r="G111" s="121" t="s">
        <v>634</v>
      </c>
      <c r="H111" s="135">
        <v>7722467171</v>
      </c>
      <c r="I111" s="134" t="s">
        <v>670</v>
      </c>
      <c r="J111" s="474">
        <v>9.26</v>
      </c>
      <c r="K111" s="136" t="s">
        <v>639</v>
      </c>
      <c r="L111" s="135">
        <v>9705198797</v>
      </c>
      <c r="M111" s="134" t="s">
        <v>669</v>
      </c>
      <c r="N111" s="474">
        <v>10.039999999999999</v>
      </c>
      <c r="O111" s="121" t="s">
        <v>629</v>
      </c>
      <c r="P111" s="129">
        <v>7724838897</v>
      </c>
      <c r="Q111" s="134" t="s">
        <v>668</v>
      </c>
      <c r="R111" s="137">
        <f t="shared" si="3"/>
        <v>9.26</v>
      </c>
      <c r="S111" s="235"/>
      <c r="T111" s="471">
        <v>45877</v>
      </c>
    </row>
    <row r="112" spans="1:20" ht="61.5" customHeight="1" x14ac:dyDescent="0.25">
      <c r="A112" s="238">
        <v>126</v>
      </c>
      <c r="B112" s="132" t="s">
        <v>649</v>
      </c>
      <c r="C112" s="473" t="s">
        <v>661</v>
      </c>
      <c r="D112" s="124" t="s">
        <v>3409</v>
      </c>
      <c r="E112" s="121" t="s">
        <v>15</v>
      </c>
      <c r="F112" s="133">
        <v>21.66</v>
      </c>
      <c r="G112" s="121" t="s">
        <v>634</v>
      </c>
      <c r="H112" s="135">
        <v>7722467171</v>
      </c>
      <c r="I112" s="134" t="s">
        <v>660</v>
      </c>
      <c r="J112" s="474">
        <v>17.010000000000002</v>
      </c>
      <c r="K112" s="136" t="s">
        <v>639</v>
      </c>
      <c r="L112" s="135">
        <v>9705198797</v>
      </c>
      <c r="M112" s="134" t="s">
        <v>659</v>
      </c>
      <c r="N112" s="474">
        <v>19.5</v>
      </c>
      <c r="O112" s="121" t="s">
        <v>629</v>
      </c>
      <c r="P112" s="129">
        <v>7724838897</v>
      </c>
      <c r="Q112" s="134" t="s">
        <v>658</v>
      </c>
      <c r="R112" s="137">
        <f t="shared" si="3"/>
        <v>17.010000000000002</v>
      </c>
      <c r="S112" s="235"/>
      <c r="T112" s="471">
        <v>45877</v>
      </c>
    </row>
    <row r="113" spans="1:20" ht="72.75" customHeight="1" x14ac:dyDescent="0.25">
      <c r="A113" s="238">
        <v>127</v>
      </c>
      <c r="B113" s="132" t="s">
        <v>649</v>
      </c>
      <c r="C113" s="473" t="s">
        <v>657</v>
      </c>
      <c r="D113" s="124" t="s">
        <v>3410</v>
      </c>
      <c r="E113" s="121" t="s">
        <v>15</v>
      </c>
      <c r="F113" s="133">
        <v>26.35</v>
      </c>
      <c r="G113" s="121" t="s">
        <v>634</v>
      </c>
      <c r="H113" s="135">
        <v>7722467171</v>
      </c>
      <c r="I113" s="134" t="s">
        <v>656</v>
      </c>
      <c r="J113" s="474">
        <v>21.31</v>
      </c>
      <c r="K113" s="136" t="s">
        <v>639</v>
      </c>
      <c r="L113" s="135">
        <v>9705198797</v>
      </c>
      <c r="M113" s="134" t="s">
        <v>655</v>
      </c>
      <c r="N113" s="474">
        <v>23.73</v>
      </c>
      <c r="O113" s="121" t="s">
        <v>629</v>
      </c>
      <c r="P113" s="129">
        <v>7724838897</v>
      </c>
      <c r="Q113" s="134" t="s">
        <v>654</v>
      </c>
      <c r="R113" s="137">
        <f t="shared" si="3"/>
        <v>21.31</v>
      </c>
      <c r="S113" s="235"/>
      <c r="T113" s="471">
        <v>45877</v>
      </c>
    </row>
    <row r="114" spans="1:20" ht="89.25" customHeight="1" x14ac:dyDescent="0.25">
      <c r="A114" s="238">
        <v>130</v>
      </c>
      <c r="B114" s="132" t="s">
        <v>643</v>
      </c>
      <c r="C114" s="473" t="s">
        <v>653</v>
      </c>
      <c r="D114" s="124" t="s">
        <v>3411</v>
      </c>
      <c r="E114" s="121" t="s">
        <v>15</v>
      </c>
      <c r="F114" s="133">
        <v>31.16</v>
      </c>
      <c r="G114" s="121" t="s">
        <v>634</v>
      </c>
      <c r="H114" s="135">
        <v>7722467171</v>
      </c>
      <c r="I114" s="134" t="s">
        <v>652</v>
      </c>
      <c r="J114" s="474">
        <v>25.86</v>
      </c>
      <c r="K114" s="136" t="s">
        <v>639</v>
      </c>
      <c r="L114" s="135">
        <v>9705198797</v>
      </c>
      <c r="M114" s="134" t="s">
        <v>651</v>
      </c>
      <c r="N114" s="474">
        <v>28.05</v>
      </c>
      <c r="O114" s="121" t="s">
        <v>629</v>
      </c>
      <c r="P114" s="129">
        <v>7724838897</v>
      </c>
      <c r="Q114" s="134" t="s">
        <v>650</v>
      </c>
      <c r="R114" s="137">
        <f t="shared" ref="R114:R144" si="4">MIN(F114,J114,N114)</f>
        <v>25.86</v>
      </c>
      <c r="S114" s="235"/>
      <c r="T114" s="471">
        <v>45877</v>
      </c>
    </row>
    <row r="115" spans="1:20" ht="64.5" hidden="1" customHeight="1" x14ac:dyDescent="0.25">
      <c r="A115" s="238">
        <v>131</v>
      </c>
      <c r="B115" s="132" t="s">
        <v>649</v>
      </c>
      <c r="C115" s="473" t="s">
        <v>648</v>
      </c>
      <c r="D115" s="124" t="s">
        <v>647</v>
      </c>
      <c r="E115" s="121" t="s">
        <v>15</v>
      </c>
      <c r="F115" s="133">
        <v>8.25</v>
      </c>
      <c r="G115" s="121" t="s">
        <v>634</v>
      </c>
      <c r="H115" s="135">
        <v>7722467171</v>
      </c>
      <c r="I115" s="134" t="s">
        <v>646</v>
      </c>
      <c r="J115" s="474">
        <v>5.69</v>
      </c>
      <c r="K115" s="136" t="s">
        <v>639</v>
      </c>
      <c r="L115" s="135">
        <v>9705198797</v>
      </c>
      <c r="M115" s="134" t="s">
        <v>645</v>
      </c>
      <c r="N115" s="474">
        <v>7.42</v>
      </c>
      <c r="O115" s="121" t="s">
        <v>629</v>
      </c>
      <c r="P115" s="129">
        <v>7724838897</v>
      </c>
      <c r="Q115" s="134" t="s">
        <v>644</v>
      </c>
      <c r="R115" s="137">
        <f t="shared" si="4"/>
        <v>5.69</v>
      </c>
      <c r="S115" s="235"/>
      <c r="T115" s="471">
        <v>45877</v>
      </c>
    </row>
    <row r="116" spans="1:20" ht="70.5" hidden="1" customHeight="1" x14ac:dyDescent="0.25">
      <c r="A116" s="238">
        <v>132</v>
      </c>
      <c r="B116" s="132" t="s">
        <v>643</v>
      </c>
      <c r="C116" s="473" t="s">
        <v>642</v>
      </c>
      <c r="D116" s="124" t="s">
        <v>641</v>
      </c>
      <c r="E116" s="121" t="s">
        <v>15</v>
      </c>
      <c r="F116" s="133">
        <v>5.84</v>
      </c>
      <c r="G116" s="121" t="s">
        <v>634</v>
      </c>
      <c r="H116" s="135">
        <v>7722467171</v>
      </c>
      <c r="I116" s="134" t="s">
        <v>640</v>
      </c>
      <c r="J116" s="474">
        <v>4.03</v>
      </c>
      <c r="K116" s="136" t="s">
        <v>639</v>
      </c>
      <c r="L116" s="135">
        <v>9705198797</v>
      </c>
      <c r="M116" s="134" t="s">
        <v>638</v>
      </c>
      <c r="N116" s="474">
        <v>5.26</v>
      </c>
      <c r="O116" s="121" t="s">
        <v>629</v>
      </c>
      <c r="P116" s="129">
        <v>7724838897</v>
      </c>
      <c r="Q116" s="134" t="s">
        <v>637</v>
      </c>
      <c r="R116" s="137">
        <f t="shared" si="4"/>
        <v>4.03</v>
      </c>
      <c r="S116" s="235"/>
      <c r="T116" s="471">
        <v>45877</v>
      </c>
    </row>
    <row r="117" spans="1:20" ht="74.25" hidden="1" customHeight="1" x14ac:dyDescent="0.25">
      <c r="A117" s="238">
        <v>133</v>
      </c>
      <c r="B117" s="132" t="s">
        <v>305</v>
      </c>
      <c r="C117" s="473" t="s">
        <v>636</v>
      </c>
      <c r="D117" s="124" t="s">
        <v>635</v>
      </c>
      <c r="E117" s="121" t="s">
        <v>15</v>
      </c>
      <c r="F117" s="133">
        <v>53.92</v>
      </c>
      <c r="G117" s="121" t="s">
        <v>634</v>
      </c>
      <c r="H117" s="135">
        <v>7722467171</v>
      </c>
      <c r="I117" s="121" t="s">
        <v>633</v>
      </c>
      <c r="J117" s="474">
        <v>53.93</v>
      </c>
      <c r="K117" s="121" t="s">
        <v>632</v>
      </c>
      <c r="L117" s="120" t="s">
        <v>631</v>
      </c>
      <c r="M117" s="134" t="s">
        <v>630</v>
      </c>
      <c r="N117" s="474">
        <v>48.54</v>
      </c>
      <c r="O117" s="121" t="s">
        <v>629</v>
      </c>
      <c r="P117" s="129">
        <v>7724838897</v>
      </c>
      <c r="Q117" s="134" t="s">
        <v>628</v>
      </c>
      <c r="R117" s="137">
        <f t="shared" si="4"/>
        <v>48.54</v>
      </c>
      <c r="S117" s="235"/>
      <c r="T117" s="471">
        <v>45877</v>
      </c>
    </row>
    <row r="118" spans="1:20" ht="198" customHeight="1" x14ac:dyDescent="0.25">
      <c r="A118" s="238">
        <v>134</v>
      </c>
      <c r="B118" s="132" t="s">
        <v>601</v>
      </c>
      <c r="C118" s="473" t="s">
        <v>3361</v>
      </c>
      <c r="D118" s="131" t="s">
        <v>626</v>
      </c>
      <c r="E118" s="121" t="s">
        <v>15</v>
      </c>
      <c r="F118" s="133">
        <v>22292</v>
      </c>
      <c r="G118" s="121" t="s">
        <v>599</v>
      </c>
      <c r="H118" s="135">
        <v>5027124563</v>
      </c>
      <c r="I118" s="121" t="s">
        <v>598</v>
      </c>
      <c r="J118" s="474">
        <v>22515</v>
      </c>
      <c r="K118" s="121" t="s">
        <v>597</v>
      </c>
      <c r="L118" s="120" t="s">
        <v>596</v>
      </c>
      <c r="M118" s="121" t="s">
        <v>595</v>
      </c>
      <c r="N118" s="474">
        <v>21434.99</v>
      </c>
      <c r="O118" s="121" t="s">
        <v>594</v>
      </c>
      <c r="P118" s="129">
        <v>7724360868</v>
      </c>
      <c r="Q118" s="121" t="s">
        <v>593</v>
      </c>
      <c r="R118" s="137">
        <f t="shared" si="4"/>
        <v>21434.99</v>
      </c>
      <c r="S118" s="235"/>
      <c r="T118" s="471">
        <v>45877</v>
      </c>
    </row>
    <row r="119" spans="1:20" ht="225.75" customHeight="1" x14ac:dyDescent="0.25">
      <c r="A119" s="238">
        <v>135</v>
      </c>
      <c r="B119" s="132" t="s">
        <v>601</v>
      </c>
      <c r="C119" s="473" t="s">
        <v>3362</v>
      </c>
      <c r="D119" s="131" t="s">
        <v>627</v>
      </c>
      <c r="E119" s="121" t="s">
        <v>15</v>
      </c>
      <c r="F119" s="133">
        <v>35853</v>
      </c>
      <c r="G119" s="121" t="s">
        <v>599</v>
      </c>
      <c r="H119" s="135">
        <v>5027124563</v>
      </c>
      <c r="I119" s="121" t="s">
        <v>598</v>
      </c>
      <c r="J119" s="474">
        <v>36212</v>
      </c>
      <c r="K119" s="121" t="s">
        <v>597</v>
      </c>
      <c r="L119" s="120" t="s">
        <v>596</v>
      </c>
      <c r="M119" s="121" t="s">
        <v>595</v>
      </c>
      <c r="N119" s="474">
        <v>34473.82</v>
      </c>
      <c r="O119" s="121" t="s">
        <v>594</v>
      </c>
      <c r="P119" s="129">
        <v>7724360868</v>
      </c>
      <c r="Q119" s="121" t="s">
        <v>593</v>
      </c>
      <c r="R119" s="137">
        <f t="shared" si="4"/>
        <v>34473.82</v>
      </c>
      <c r="S119" s="137">
        <v>27735</v>
      </c>
      <c r="T119" s="471">
        <v>45877</v>
      </c>
    </row>
    <row r="120" spans="1:20" ht="215.25" customHeight="1" x14ac:dyDescent="0.25">
      <c r="A120" s="238">
        <v>136</v>
      </c>
      <c r="B120" s="132" t="s">
        <v>601</v>
      </c>
      <c r="C120" s="473" t="s">
        <v>3363</v>
      </c>
      <c r="D120" s="131" t="s">
        <v>626</v>
      </c>
      <c r="E120" s="121" t="s">
        <v>15</v>
      </c>
      <c r="F120" s="133">
        <v>22292</v>
      </c>
      <c r="G120" s="121" t="s">
        <v>599</v>
      </c>
      <c r="H120" s="135">
        <v>5027124563</v>
      </c>
      <c r="I120" s="121" t="s">
        <v>598</v>
      </c>
      <c r="J120" s="474">
        <v>22515</v>
      </c>
      <c r="K120" s="121" t="s">
        <v>597</v>
      </c>
      <c r="L120" s="120" t="s">
        <v>596</v>
      </c>
      <c r="M120" s="121" t="s">
        <v>595</v>
      </c>
      <c r="N120" s="474">
        <v>21434.99</v>
      </c>
      <c r="O120" s="121" t="s">
        <v>594</v>
      </c>
      <c r="P120" s="129">
        <v>7724360868</v>
      </c>
      <c r="Q120" s="121" t="s">
        <v>593</v>
      </c>
      <c r="R120" s="137">
        <f t="shared" si="4"/>
        <v>21434.99</v>
      </c>
      <c r="S120" s="235"/>
      <c r="T120" s="471">
        <v>45877</v>
      </c>
    </row>
    <row r="121" spans="1:20" ht="187.5" customHeight="1" x14ac:dyDescent="0.25">
      <c r="A121" s="469">
        <v>137</v>
      </c>
      <c r="B121" s="132" t="s">
        <v>601</v>
      </c>
      <c r="C121" s="473" t="s">
        <v>3364</v>
      </c>
      <c r="D121" s="131" t="s">
        <v>625</v>
      </c>
      <c r="E121" s="121" t="s">
        <v>15</v>
      </c>
      <c r="F121" s="133">
        <v>22292</v>
      </c>
      <c r="G121" s="121" t="s">
        <v>599</v>
      </c>
      <c r="H121" s="135">
        <v>5027124563</v>
      </c>
      <c r="I121" s="121" t="s">
        <v>598</v>
      </c>
      <c r="J121" s="474">
        <v>22515</v>
      </c>
      <c r="K121" s="121" t="s">
        <v>597</v>
      </c>
      <c r="L121" s="120" t="s">
        <v>596</v>
      </c>
      <c r="M121" s="121" t="s">
        <v>595</v>
      </c>
      <c r="N121" s="474">
        <v>21434.99</v>
      </c>
      <c r="O121" s="121" t="s">
        <v>594</v>
      </c>
      <c r="P121" s="129">
        <v>7724360868</v>
      </c>
      <c r="Q121" s="121" t="s">
        <v>593</v>
      </c>
      <c r="R121" s="137">
        <f t="shared" si="4"/>
        <v>21434.99</v>
      </c>
      <c r="S121" s="137">
        <v>14057</v>
      </c>
      <c r="T121" s="471">
        <v>45877</v>
      </c>
    </row>
    <row r="122" spans="1:20" ht="237" customHeight="1" x14ac:dyDescent="0.25">
      <c r="A122" s="469">
        <v>138</v>
      </c>
      <c r="B122" s="132" t="s">
        <v>601</v>
      </c>
      <c r="C122" s="473" t="s">
        <v>3365</v>
      </c>
      <c r="D122" s="131" t="s">
        <v>624</v>
      </c>
      <c r="E122" s="121" t="s">
        <v>15</v>
      </c>
      <c r="F122" s="133">
        <v>35853</v>
      </c>
      <c r="G122" s="121" t="s">
        <v>599</v>
      </c>
      <c r="H122" s="135">
        <v>5027124563</v>
      </c>
      <c r="I122" s="121" t="s">
        <v>598</v>
      </c>
      <c r="J122" s="474">
        <v>36212</v>
      </c>
      <c r="K122" s="121" t="s">
        <v>597</v>
      </c>
      <c r="L122" s="120" t="s">
        <v>596</v>
      </c>
      <c r="M122" s="121" t="s">
        <v>595</v>
      </c>
      <c r="N122" s="474">
        <v>34473.82</v>
      </c>
      <c r="O122" s="121" t="s">
        <v>594</v>
      </c>
      <c r="P122" s="129">
        <v>7724360868</v>
      </c>
      <c r="Q122" s="121" t="s">
        <v>593</v>
      </c>
      <c r="R122" s="137">
        <f t="shared" si="4"/>
        <v>34473.82</v>
      </c>
      <c r="S122" s="137">
        <v>20546</v>
      </c>
      <c r="T122" s="471">
        <v>45877</v>
      </c>
    </row>
    <row r="123" spans="1:20" ht="258.75" customHeight="1" x14ac:dyDescent="0.25">
      <c r="A123" s="469">
        <v>139</v>
      </c>
      <c r="B123" s="132" t="s">
        <v>601</v>
      </c>
      <c r="C123" s="473" t="s">
        <v>3366</v>
      </c>
      <c r="D123" s="131" t="s">
        <v>623</v>
      </c>
      <c r="E123" s="121" t="s">
        <v>15</v>
      </c>
      <c r="F123" s="133">
        <v>35853</v>
      </c>
      <c r="G123" s="121" t="s">
        <v>599</v>
      </c>
      <c r="H123" s="135">
        <v>5027124563</v>
      </c>
      <c r="I123" s="121" t="s">
        <v>598</v>
      </c>
      <c r="J123" s="474">
        <v>36212</v>
      </c>
      <c r="K123" s="121" t="s">
        <v>597</v>
      </c>
      <c r="L123" s="120" t="s">
        <v>596</v>
      </c>
      <c r="M123" s="121" t="s">
        <v>595</v>
      </c>
      <c r="N123" s="474">
        <v>34473.82</v>
      </c>
      <c r="O123" s="121" t="s">
        <v>594</v>
      </c>
      <c r="P123" s="129">
        <v>7724360868</v>
      </c>
      <c r="Q123" s="121" t="s">
        <v>593</v>
      </c>
      <c r="R123" s="137">
        <f t="shared" si="4"/>
        <v>34473.82</v>
      </c>
      <c r="S123" s="137">
        <v>27735</v>
      </c>
      <c r="T123" s="471">
        <v>45877</v>
      </c>
    </row>
    <row r="124" spans="1:20" ht="217.5" customHeight="1" x14ac:dyDescent="0.25">
      <c r="A124" s="469">
        <v>140</v>
      </c>
      <c r="B124" s="132" t="s">
        <v>601</v>
      </c>
      <c r="C124" s="473" t="s">
        <v>3367</v>
      </c>
      <c r="D124" s="131" t="s">
        <v>623</v>
      </c>
      <c r="E124" s="121" t="s">
        <v>15</v>
      </c>
      <c r="F124" s="133">
        <v>35853</v>
      </c>
      <c r="G124" s="121" t="s">
        <v>599</v>
      </c>
      <c r="H124" s="135">
        <v>5027124563</v>
      </c>
      <c r="I124" s="121" t="s">
        <v>598</v>
      </c>
      <c r="J124" s="474">
        <v>36212</v>
      </c>
      <c r="K124" s="121" t="s">
        <v>597</v>
      </c>
      <c r="L124" s="120" t="s">
        <v>596</v>
      </c>
      <c r="M124" s="121" t="s">
        <v>595</v>
      </c>
      <c r="N124" s="474">
        <v>34473.82</v>
      </c>
      <c r="O124" s="121" t="s">
        <v>594</v>
      </c>
      <c r="P124" s="129">
        <v>7724360868</v>
      </c>
      <c r="Q124" s="121" t="s">
        <v>593</v>
      </c>
      <c r="R124" s="137">
        <f t="shared" si="4"/>
        <v>34473.82</v>
      </c>
      <c r="S124" s="137">
        <v>27735</v>
      </c>
      <c r="T124" s="471">
        <v>45877</v>
      </c>
    </row>
    <row r="125" spans="1:20" ht="192.75" customHeight="1" x14ac:dyDescent="0.25">
      <c r="A125" s="469">
        <v>141</v>
      </c>
      <c r="B125" s="132" t="s">
        <v>601</v>
      </c>
      <c r="C125" s="473" t="s">
        <v>3368</v>
      </c>
      <c r="D125" s="131" t="s">
        <v>622</v>
      </c>
      <c r="E125" s="121" t="s">
        <v>15</v>
      </c>
      <c r="F125" s="133">
        <v>37785</v>
      </c>
      <c r="G125" s="121" t="s">
        <v>599</v>
      </c>
      <c r="H125" s="135">
        <v>5027124563</v>
      </c>
      <c r="I125" s="121" t="s">
        <v>598</v>
      </c>
      <c r="J125" s="474">
        <v>38163</v>
      </c>
      <c r="K125" s="121" t="s">
        <v>597</v>
      </c>
      <c r="L125" s="120" t="s">
        <v>596</v>
      </c>
      <c r="M125" s="121" t="s">
        <v>595</v>
      </c>
      <c r="N125" s="474">
        <v>36331.79</v>
      </c>
      <c r="O125" s="121" t="s">
        <v>594</v>
      </c>
      <c r="P125" s="129">
        <v>7724360868</v>
      </c>
      <c r="Q125" s="121" t="s">
        <v>593</v>
      </c>
      <c r="R125" s="137">
        <f t="shared" si="4"/>
        <v>36331.79</v>
      </c>
      <c r="S125" s="235"/>
      <c r="T125" s="471">
        <v>45877</v>
      </c>
    </row>
    <row r="126" spans="1:20" ht="224.25" customHeight="1" x14ac:dyDescent="0.25">
      <c r="A126" s="469">
        <v>142</v>
      </c>
      <c r="B126" s="132" t="s">
        <v>601</v>
      </c>
      <c r="C126" s="473" t="s">
        <v>3369</v>
      </c>
      <c r="D126" s="131" t="s">
        <v>621</v>
      </c>
      <c r="E126" s="121" t="s">
        <v>15</v>
      </c>
      <c r="F126" s="133">
        <v>54017</v>
      </c>
      <c r="G126" s="121" t="s">
        <v>599</v>
      </c>
      <c r="H126" s="135">
        <v>5027124563</v>
      </c>
      <c r="I126" s="121" t="s">
        <v>598</v>
      </c>
      <c r="J126" s="474">
        <v>54557</v>
      </c>
      <c r="K126" s="121" t="s">
        <v>597</v>
      </c>
      <c r="L126" s="120" t="s">
        <v>596</v>
      </c>
      <c r="M126" s="121" t="s">
        <v>595</v>
      </c>
      <c r="N126" s="474">
        <v>51939</v>
      </c>
      <c r="O126" s="121" t="s">
        <v>594</v>
      </c>
      <c r="P126" s="129">
        <v>7724360868</v>
      </c>
      <c r="Q126" s="121" t="s">
        <v>593</v>
      </c>
      <c r="R126" s="137">
        <f t="shared" si="4"/>
        <v>51939</v>
      </c>
      <c r="S126" s="137">
        <v>45298</v>
      </c>
      <c r="T126" s="471">
        <v>45877</v>
      </c>
    </row>
    <row r="127" spans="1:20" ht="179.25" customHeight="1" x14ac:dyDescent="0.25">
      <c r="A127" s="469">
        <v>143</v>
      </c>
      <c r="B127" s="132" t="s">
        <v>601</v>
      </c>
      <c r="C127" s="473" t="s">
        <v>3370</v>
      </c>
      <c r="D127" s="131" t="s">
        <v>620</v>
      </c>
      <c r="E127" s="121" t="s">
        <v>15</v>
      </c>
      <c r="F127" s="133">
        <v>47110</v>
      </c>
      <c r="G127" s="121" t="s">
        <v>599</v>
      </c>
      <c r="H127" s="135">
        <v>5027124563</v>
      </c>
      <c r="I127" s="121" t="s">
        <v>598</v>
      </c>
      <c r="J127" s="474">
        <v>47581</v>
      </c>
      <c r="K127" s="121" t="s">
        <v>597</v>
      </c>
      <c r="L127" s="120" t="s">
        <v>596</v>
      </c>
      <c r="M127" s="121" t="s">
        <v>595</v>
      </c>
      <c r="N127" s="474">
        <v>45298</v>
      </c>
      <c r="O127" s="121" t="s">
        <v>594</v>
      </c>
      <c r="P127" s="129">
        <v>7724360868</v>
      </c>
      <c r="Q127" s="121" t="s">
        <v>593</v>
      </c>
      <c r="R127" s="137">
        <f t="shared" si="4"/>
        <v>45298</v>
      </c>
      <c r="S127" s="137">
        <v>37597</v>
      </c>
      <c r="T127" s="471">
        <v>45877</v>
      </c>
    </row>
    <row r="128" spans="1:20" ht="212.25" customHeight="1" x14ac:dyDescent="0.25">
      <c r="A128" s="469">
        <v>144</v>
      </c>
      <c r="B128" s="132" t="s">
        <v>601</v>
      </c>
      <c r="C128" s="473" t="s">
        <v>3371</v>
      </c>
      <c r="D128" s="131" t="s">
        <v>619</v>
      </c>
      <c r="E128" s="121" t="s">
        <v>15</v>
      </c>
      <c r="F128" s="133">
        <v>61885</v>
      </c>
      <c r="G128" s="121" t="s">
        <v>599</v>
      </c>
      <c r="H128" s="135">
        <v>5027124563</v>
      </c>
      <c r="I128" s="121" t="s">
        <v>598</v>
      </c>
      <c r="J128" s="474">
        <v>62504</v>
      </c>
      <c r="K128" s="121" t="s">
        <v>597</v>
      </c>
      <c r="L128" s="120" t="s">
        <v>596</v>
      </c>
      <c r="M128" s="121" t="s">
        <v>595</v>
      </c>
      <c r="N128" s="474">
        <v>59505</v>
      </c>
      <c r="O128" s="121" t="s">
        <v>594</v>
      </c>
      <c r="P128" s="129">
        <v>7724360868</v>
      </c>
      <c r="Q128" s="121" t="s">
        <v>593</v>
      </c>
      <c r="R128" s="137">
        <f t="shared" si="4"/>
        <v>59505</v>
      </c>
      <c r="S128" s="137">
        <v>50639</v>
      </c>
      <c r="T128" s="471">
        <v>45877</v>
      </c>
    </row>
    <row r="129" spans="1:20" ht="183" customHeight="1" x14ac:dyDescent="0.25">
      <c r="A129" s="469">
        <v>145</v>
      </c>
      <c r="B129" s="132" t="s">
        <v>601</v>
      </c>
      <c r="C129" s="473" t="s">
        <v>3372</v>
      </c>
      <c r="D129" s="131" t="s">
        <v>618</v>
      </c>
      <c r="E129" s="121" t="s">
        <v>15</v>
      </c>
      <c r="F129" s="133">
        <v>10282</v>
      </c>
      <c r="G129" s="121" t="s">
        <v>599</v>
      </c>
      <c r="H129" s="135">
        <v>5027124563</v>
      </c>
      <c r="I129" s="121" t="s">
        <v>598</v>
      </c>
      <c r="J129" s="474">
        <v>10385</v>
      </c>
      <c r="K129" s="121" t="s">
        <v>597</v>
      </c>
      <c r="L129" s="120" t="s">
        <v>596</v>
      </c>
      <c r="M129" s="121" t="s">
        <v>595</v>
      </c>
      <c r="N129" s="474">
        <v>9886.48</v>
      </c>
      <c r="O129" s="121" t="s">
        <v>594</v>
      </c>
      <c r="P129" s="129">
        <v>7724360868</v>
      </c>
      <c r="Q129" s="121" t="s">
        <v>593</v>
      </c>
      <c r="R129" s="137">
        <f t="shared" si="4"/>
        <v>9886.48</v>
      </c>
      <c r="S129" s="235"/>
      <c r="T129" s="471">
        <v>45877</v>
      </c>
    </row>
    <row r="130" spans="1:20" ht="153" customHeight="1" x14ac:dyDescent="0.25">
      <c r="A130" s="469">
        <v>146</v>
      </c>
      <c r="B130" s="132" t="s">
        <v>601</v>
      </c>
      <c r="C130" s="473" t="s">
        <v>3373</v>
      </c>
      <c r="D130" s="131" t="s">
        <v>617</v>
      </c>
      <c r="E130" s="121" t="s">
        <v>15</v>
      </c>
      <c r="F130" s="133">
        <v>13481</v>
      </c>
      <c r="G130" s="121" t="s">
        <v>599</v>
      </c>
      <c r="H130" s="135">
        <v>5027124563</v>
      </c>
      <c r="I130" s="121" t="s">
        <v>598</v>
      </c>
      <c r="J130" s="474">
        <v>13616</v>
      </c>
      <c r="K130" s="121" t="s">
        <v>597</v>
      </c>
      <c r="L130" s="120" t="s">
        <v>596</v>
      </c>
      <c r="M130" s="121" t="s">
        <v>595</v>
      </c>
      <c r="N130" s="474">
        <v>12962.02</v>
      </c>
      <c r="O130" s="121" t="s">
        <v>594</v>
      </c>
      <c r="P130" s="129">
        <v>7724360868</v>
      </c>
      <c r="Q130" s="121" t="s">
        <v>593</v>
      </c>
      <c r="R130" s="137">
        <f t="shared" si="4"/>
        <v>12962.02</v>
      </c>
      <c r="S130" s="235"/>
      <c r="T130" s="471">
        <v>45877</v>
      </c>
    </row>
    <row r="131" spans="1:20" ht="156" customHeight="1" x14ac:dyDescent="0.25">
      <c r="A131" s="469">
        <v>147</v>
      </c>
      <c r="B131" s="132" t="s">
        <v>601</v>
      </c>
      <c r="C131" s="473" t="s">
        <v>3374</v>
      </c>
      <c r="D131" s="131" t="s">
        <v>616</v>
      </c>
      <c r="E131" s="121" t="s">
        <v>15</v>
      </c>
      <c r="F131" s="133">
        <v>15239</v>
      </c>
      <c r="G131" s="121" t="s">
        <v>599</v>
      </c>
      <c r="H131" s="135">
        <v>5027124563</v>
      </c>
      <c r="I131" s="121" t="s">
        <v>598</v>
      </c>
      <c r="J131" s="474">
        <v>15391</v>
      </c>
      <c r="K131" s="121" t="s">
        <v>597</v>
      </c>
      <c r="L131" s="120" t="s">
        <v>596</v>
      </c>
      <c r="M131" s="121" t="s">
        <v>595</v>
      </c>
      <c r="N131" s="474">
        <v>14652.58</v>
      </c>
      <c r="O131" s="121" t="s">
        <v>594</v>
      </c>
      <c r="P131" s="129">
        <v>7724360868</v>
      </c>
      <c r="Q131" s="121" t="s">
        <v>593</v>
      </c>
      <c r="R131" s="137">
        <f t="shared" si="4"/>
        <v>14652.58</v>
      </c>
      <c r="S131" s="235"/>
      <c r="T131" s="471">
        <v>45877</v>
      </c>
    </row>
    <row r="132" spans="1:20" ht="227.25" customHeight="1" x14ac:dyDescent="0.25">
      <c r="A132" s="469">
        <v>148</v>
      </c>
      <c r="B132" s="132" t="s">
        <v>601</v>
      </c>
      <c r="C132" s="475" t="s">
        <v>615</v>
      </c>
      <c r="D132" s="131" t="s">
        <v>614</v>
      </c>
      <c r="E132" s="121" t="s">
        <v>15</v>
      </c>
      <c r="F132" s="133">
        <v>29671</v>
      </c>
      <c r="G132" s="121" t="s">
        <v>599</v>
      </c>
      <c r="H132" s="135">
        <v>5027124563</v>
      </c>
      <c r="I132" s="121" t="s">
        <v>598</v>
      </c>
      <c r="J132" s="474">
        <v>29968</v>
      </c>
      <c r="K132" s="121" t="s">
        <v>597</v>
      </c>
      <c r="L132" s="120" t="s">
        <v>596</v>
      </c>
      <c r="M132" s="121" t="s">
        <v>595</v>
      </c>
      <c r="N132" s="474">
        <v>28529.89</v>
      </c>
      <c r="O132" s="121" t="s">
        <v>594</v>
      </c>
      <c r="P132" s="129">
        <v>7724360868</v>
      </c>
      <c r="Q132" s="121" t="s">
        <v>593</v>
      </c>
      <c r="R132" s="137">
        <f t="shared" si="4"/>
        <v>28529.89</v>
      </c>
      <c r="S132" s="137">
        <v>21927</v>
      </c>
      <c r="T132" s="471">
        <v>45877</v>
      </c>
    </row>
    <row r="133" spans="1:20" ht="197.25" customHeight="1" x14ac:dyDescent="0.25">
      <c r="A133" s="469">
        <v>149</v>
      </c>
      <c r="B133" s="132" t="s">
        <v>601</v>
      </c>
      <c r="C133" s="473" t="s">
        <v>3375</v>
      </c>
      <c r="D133" s="131" t="s">
        <v>613</v>
      </c>
      <c r="E133" s="121" t="s">
        <v>15</v>
      </c>
      <c r="F133" s="133">
        <v>2309</v>
      </c>
      <c r="G133" s="121" t="s">
        <v>599</v>
      </c>
      <c r="H133" s="135">
        <v>5027124563</v>
      </c>
      <c r="I133" s="121" t="s">
        <v>598</v>
      </c>
      <c r="J133" s="474">
        <v>2332</v>
      </c>
      <c r="K133" s="121" t="s">
        <v>597</v>
      </c>
      <c r="L133" s="120" t="s">
        <v>596</v>
      </c>
      <c r="M133" s="121" t="s">
        <v>595</v>
      </c>
      <c r="N133" s="474">
        <v>2220.13</v>
      </c>
      <c r="O133" s="121" t="s">
        <v>594</v>
      </c>
      <c r="P133" s="129">
        <v>7724360868</v>
      </c>
      <c r="Q133" s="121" t="s">
        <v>593</v>
      </c>
      <c r="R133" s="137">
        <f t="shared" si="4"/>
        <v>2220.13</v>
      </c>
      <c r="S133" s="235"/>
      <c r="T133" s="471">
        <v>45877</v>
      </c>
    </row>
    <row r="134" spans="1:20" ht="203.25" customHeight="1" x14ac:dyDescent="0.25">
      <c r="A134" s="469">
        <v>150</v>
      </c>
      <c r="B134" s="132" t="s">
        <v>601</v>
      </c>
      <c r="C134" s="473" t="s">
        <v>3376</v>
      </c>
      <c r="D134" s="131" t="s">
        <v>612</v>
      </c>
      <c r="E134" s="121" t="s">
        <v>15</v>
      </c>
      <c r="F134" s="133">
        <v>7150</v>
      </c>
      <c r="G134" s="121" t="s">
        <v>599</v>
      </c>
      <c r="H134" s="135">
        <v>5027124563</v>
      </c>
      <c r="I134" s="121" t="s">
        <v>598</v>
      </c>
      <c r="J134" s="474">
        <v>7222</v>
      </c>
      <c r="K134" s="121" t="s">
        <v>597</v>
      </c>
      <c r="L134" s="120" t="s">
        <v>596</v>
      </c>
      <c r="M134" s="121" t="s">
        <v>595</v>
      </c>
      <c r="N134" s="474">
        <v>6875.38</v>
      </c>
      <c r="O134" s="121" t="s">
        <v>594</v>
      </c>
      <c r="P134" s="129">
        <v>7724360868</v>
      </c>
      <c r="Q134" s="121" t="s">
        <v>593</v>
      </c>
      <c r="R134" s="137">
        <f t="shared" si="4"/>
        <v>6875.38</v>
      </c>
      <c r="S134" s="235"/>
      <c r="T134" s="471">
        <v>45877</v>
      </c>
    </row>
    <row r="135" spans="1:20" ht="201.75" customHeight="1" x14ac:dyDescent="0.25">
      <c r="A135" s="469">
        <v>151</v>
      </c>
      <c r="B135" s="132" t="s">
        <v>601</v>
      </c>
      <c r="C135" s="473" t="s">
        <v>3377</v>
      </c>
      <c r="D135" s="131" t="s">
        <v>611</v>
      </c>
      <c r="E135" s="121" t="s">
        <v>15</v>
      </c>
      <c r="F135" s="133">
        <v>2972</v>
      </c>
      <c r="G135" s="121" t="s">
        <v>599</v>
      </c>
      <c r="H135" s="135">
        <v>5027124563</v>
      </c>
      <c r="I135" s="121" t="s">
        <v>598</v>
      </c>
      <c r="J135" s="474">
        <v>3002</v>
      </c>
      <c r="K135" s="121" t="s">
        <v>597</v>
      </c>
      <c r="L135" s="120" t="s">
        <v>596</v>
      </c>
      <c r="M135" s="121" t="s">
        <v>595</v>
      </c>
      <c r="N135" s="474">
        <v>2858</v>
      </c>
      <c r="O135" s="121" t="s">
        <v>594</v>
      </c>
      <c r="P135" s="129">
        <v>7724360868</v>
      </c>
      <c r="Q135" s="121" t="s">
        <v>593</v>
      </c>
      <c r="R135" s="137">
        <f t="shared" si="4"/>
        <v>2858</v>
      </c>
      <c r="S135" s="235"/>
      <c r="T135" s="471">
        <v>45877</v>
      </c>
    </row>
    <row r="136" spans="1:20" ht="124.5" customHeight="1" x14ac:dyDescent="0.25">
      <c r="A136" s="469">
        <v>152</v>
      </c>
      <c r="B136" s="132" t="s">
        <v>601</v>
      </c>
      <c r="C136" s="473" t="s">
        <v>3378</v>
      </c>
      <c r="D136" s="131" t="s">
        <v>610</v>
      </c>
      <c r="E136" s="121" t="s">
        <v>15</v>
      </c>
      <c r="F136" s="133">
        <v>9157</v>
      </c>
      <c r="G136" s="121" t="s">
        <v>599</v>
      </c>
      <c r="H136" s="135">
        <v>5027124563</v>
      </c>
      <c r="I136" s="121" t="s">
        <v>598</v>
      </c>
      <c r="J136" s="474">
        <v>9249</v>
      </c>
      <c r="K136" s="121" t="s">
        <v>597</v>
      </c>
      <c r="L136" s="120" t="s">
        <v>596</v>
      </c>
      <c r="M136" s="121" t="s">
        <v>595</v>
      </c>
      <c r="N136" s="474">
        <v>8804</v>
      </c>
      <c r="O136" s="121" t="s">
        <v>594</v>
      </c>
      <c r="P136" s="129">
        <v>7724360868</v>
      </c>
      <c r="Q136" s="121" t="s">
        <v>593</v>
      </c>
      <c r="R136" s="137">
        <f t="shared" si="4"/>
        <v>8804</v>
      </c>
      <c r="S136" s="137">
        <v>8965</v>
      </c>
      <c r="T136" s="471">
        <v>45877</v>
      </c>
    </row>
    <row r="137" spans="1:20" ht="124.5" customHeight="1" x14ac:dyDescent="0.25">
      <c r="A137" s="469">
        <v>153</v>
      </c>
      <c r="B137" s="132" t="s">
        <v>601</v>
      </c>
      <c r="C137" s="473" t="s">
        <v>3379</v>
      </c>
      <c r="D137" s="131" t="s">
        <v>609</v>
      </c>
      <c r="E137" s="121" t="s">
        <v>15</v>
      </c>
      <c r="F137" s="133">
        <v>19259</v>
      </c>
      <c r="G137" s="121" t="s">
        <v>599</v>
      </c>
      <c r="H137" s="135">
        <v>5027124563</v>
      </c>
      <c r="I137" s="121" t="s">
        <v>598</v>
      </c>
      <c r="J137" s="474">
        <v>19452</v>
      </c>
      <c r="K137" s="121" t="s">
        <v>597</v>
      </c>
      <c r="L137" s="120" t="s">
        <v>596</v>
      </c>
      <c r="M137" s="121" t="s">
        <v>595</v>
      </c>
      <c r="N137" s="474">
        <v>18518.349999999999</v>
      </c>
      <c r="O137" s="121" t="s">
        <v>594</v>
      </c>
      <c r="P137" s="129">
        <v>7724360868</v>
      </c>
      <c r="Q137" s="121" t="s">
        <v>593</v>
      </c>
      <c r="R137" s="137">
        <f t="shared" si="4"/>
        <v>18518.349999999999</v>
      </c>
      <c r="S137" s="137">
        <v>15265</v>
      </c>
      <c r="T137" s="471">
        <v>45877</v>
      </c>
    </row>
    <row r="138" spans="1:20" ht="163.5" customHeight="1" x14ac:dyDescent="0.25">
      <c r="A138" s="469">
        <v>154</v>
      </c>
      <c r="B138" s="132" t="s">
        <v>601</v>
      </c>
      <c r="C138" s="473" t="s">
        <v>3380</v>
      </c>
      <c r="D138" s="124" t="s">
        <v>3412</v>
      </c>
      <c r="E138" s="121" t="s">
        <v>15</v>
      </c>
      <c r="F138" s="133">
        <v>1450</v>
      </c>
      <c r="G138" s="121" t="s">
        <v>608</v>
      </c>
      <c r="H138" s="135">
        <v>7726432243</v>
      </c>
      <c r="I138" s="121" t="s">
        <v>607</v>
      </c>
      <c r="J138" s="474">
        <v>1150</v>
      </c>
      <c r="K138" s="480" t="s">
        <v>606</v>
      </c>
      <c r="L138" s="120" t="s">
        <v>605</v>
      </c>
      <c r="M138" s="121" t="s">
        <v>604</v>
      </c>
      <c r="N138" s="474">
        <v>1450</v>
      </c>
      <c r="O138" s="481" t="s">
        <v>603</v>
      </c>
      <c r="P138" s="482">
        <v>773127777848</v>
      </c>
      <c r="Q138" s="134" t="s">
        <v>602</v>
      </c>
      <c r="R138" s="137">
        <f t="shared" si="4"/>
        <v>1150</v>
      </c>
      <c r="S138" s="235"/>
      <c r="T138" s="471">
        <v>45877</v>
      </c>
    </row>
    <row r="139" spans="1:20" ht="254.25" customHeight="1" x14ac:dyDescent="0.25">
      <c r="A139" s="469">
        <v>155</v>
      </c>
      <c r="B139" s="132" t="s">
        <v>601</v>
      </c>
      <c r="C139" s="473" t="s">
        <v>3381</v>
      </c>
      <c r="D139" s="131" t="s">
        <v>600</v>
      </c>
      <c r="E139" s="121" t="s">
        <v>15</v>
      </c>
      <c r="F139" s="133">
        <v>19022</v>
      </c>
      <c r="G139" s="121" t="s">
        <v>599</v>
      </c>
      <c r="H139" s="135">
        <v>5027124563</v>
      </c>
      <c r="I139" s="121" t="s">
        <v>598</v>
      </c>
      <c r="J139" s="474">
        <v>19212</v>
      </c>
      <c r="K139" s="121" t="s">
        <v>597</v>
      </c>
      <c r="L139" s="120" t="s">
        <v>596</v>
      </c>
      <c r="M139" s="121" t="s">
        <v>595</v>
      </c>
      <c r="N139" s="474">
        <v>18290.86</v>
      </c>
      <c r="O139" s="121" t="s">
        <v>594</v>
      </c>
      <c r="P139" s="129">
        <v>7724360868</v>
      </c>
      <c r="Q139" s="121" t="s">
        <v>593</v>
      </c>
      <c r="R139" s="137">
        <f t="shared" si="4"/>
        <v>18290.86</v>
      </c>
      <c r="S139" s="137">
        <v>13834</v>
      </c>
      <c r="T139" s="471">
        <v>45877</v>
      </c>
    </row>
    <row r="140" spans="1:20" ht="101.25" customHeight="1" x14ac:dyDescent="0.25">
      <c r="A140" s="469">
        <v>156</v>
      </c>
      <c r="B140" s="472" t="s">
        <v>499</v>
      </c>
      <c r="C140" s="138" t="s">
        <v>592</v>
      </c>
      <c r="D140" s="124" t="s">
        <v>3413</v>
      </c>
      <c r="E140" s="121" t="s">
        <v>15</v>
      </c>
      <c r="F140" s="133">
        <v>789.57</v>
      </c>
      <c r="G140" s="121" t="s">
        <v>353</v>
      </c>
      <c r="H140" s="120" t="s">
        <v>456</v>
      </c>
      <c r="I140" s="134" t="s">
        <v>591</v>
      </c>
      <c r="J140" s="474">
        <v>455</v>
      </c>
      <c r="K140" s="121" t="s">
        <v>578</v>
      </c>
      <c r="L140" s="120" t="s">
        <v>577</v>
      </c>
      <c r="M140" s="134" t="s">
        <v>590</v>
      </c>
      <c r="N140" s="474">
        <v>790</v>
      </c>
      <c r="O140" s="121" t="s">
        <v>589</v>
      </c>
      <c r="P140" s="129">
        <v>5050118350</v>
      </c>
      <c r="Q140" s="134" t="s">
        <v>588</v>
      </c>
      <c r="R140" s="137">
        <f t="shared" si="4"/>
        <v>455</v>
      </c>
      <c r="S140" s="235"/>
      <c r="T140" s="471">
        <v>45877</v>
      </c>
    </row>
    <row r="141" spans="1:20" ht="75.75" customHeight="1" x14ac:dyDescent="0.25">
      <c r="A141" s="469">
        <v>157</v>
      </c>
      <c r="B141" s="472" t="s">
        <v>499</v>
      </c>
      <c r="C141" s="138" t="s">
        <v>587</v>
      </c>
      <c r="D141" s="124" t="s">
        <v>3414</v>
      </c>
      <c r="E141" s="121" t="s">
        <v>15</v>
      </c>
      <c r="F141" s="133">
        <v>743</v>
      </c>
      <c r="G141" s="121" t="s">
        <v>586</v>
      </c>
      <c r="H141" s="129">
        <v>772070227066</v>
      </c>
      <c r="I141" s="134" t="s">
        <v>585</v>
      </c>
      <c r="J141" s="474">
        <v>428</v>
      </c>
      <c r="K141" s="121" t="s">
        <v>584</v>
      </c>
      <c r="L141" s="120" t="s">
        <v>583</v>
      </c>
      <c r="M141" s="134" t="s">
        <v>582</v>
      </c>
      <c r="N141" s="474">
        <v>431.94</v>
      </c>
      <c r="O141" s="121" t="s">
        <v>581</v>
      </c>
      <c r="P141" s="129">
        <v>780432107632</v>
      </c>
      <c r="Q141" s="134" t="s">
        <v>580</v>
      </c>
      <c r="R141" s="137">
        <f t="shared" si="4"/>
        <v>428</v>
      </c>
      <c r="S141" s="235"/>
      <c r="T141" s="471">
        <v>45877</v>
      </c>
    </row>
    <row r="142" spans="1:20" ht="66" customHeight="1" x14ac:dyDescent="0.25">
      <c r="A142" s="469">
        <v>158</v>
      </c>
      <c r="B142" s="472" t="s">
        <v>499</v>
      </c>
      <c r="C142" s="138" t="s">
        <v>579</v>
      </c>
      <c r="D142" s="124" t="s">
        <v>735</v>
      </c>
      <c r="E142" s="121" t="s">
        <v>15</v>
      </c>
      <c r="F142" s="133">
        <v>27</v>
      </c>
      <c r="G142" s="121" t="s">
        <v>578</v>
      </c>
      <c r="H142" s="120" t="s">
        <v>577</v>
      </c>
      <c r="I142" s="134" t="s">
        <v>576</v>
      </c>
      <c r="J142" s="474">
        <v>47.04</v>
      </c>
      <c r="K142" s="121" t="s">
        <v>474</v>
      </c>
      <c r="L142" s="120" t="s">
        <v>473</v>
      </c>
      <c r="M142" s="134" t="s">
        <v>575</v>
      </c>
      <c r="N142" s="474">
        <v>27.95</v>
      </c>
      <c r="O142" s="121" t="s">
        <v>447</v>
      </c>
      <c r="P142" s="129">
        <v>330102828707</v>
      </c>
      <c r="Q142" s="134" t="s">
        <v>574</v>
      </c>
      <c r="R142" s="137">
        <f t="shared" si="4"/>
        <v>27</v>
      </c>
      <c r="S142" s="235"/>
      <c r="T142" s="471">
        <v>45877</v>
      </c>
    </row>
    <row r="143" spans="1:20" ht="66" customHeight="1" x14ac:dyDescent="0.25">
      <c r="A143" s="469">
        <v>159</v>
      </c>
      <c r="B143" s="472" t="s">
        <v>489</v>
      </c>
      <c r="C143" s="138" t="s">
        <v>573</v>
      </c>
      <c r="D143" s="124" t="s">
        <v>730</v>
      </c>
      <c r="E143" s="121" t="s">
        <v>15</v>
      </c>
      <c r="F143" s="133">
        <v>665.74</v>
      </c>
      <c r="G143" s="121" t="s">
        <v>438</v>
      </c>
      <c r="H143" s="120" t="s">
        <v>437</v>
      </c>
      <c r="I143" s="134" t="s">
        <v>572</v>
      </c>
      <c r="J143" s="474">
        <v>624.14</v>
      </c>
      <c r="K143" s="121" t="s">
        <v>454</v>
      </c>
      <c r="L143" s="121">
        <v>5027330076</v>
      </c>
      <c r="M143" s="134" t="s">
        <v>571</v>
      </c>
      <c r="N143" s="474">
        <v>636.62</v>
      </c>
      <c r="O143" s="121" t="s">
        <v>570</v>
      </c>
      <c r="P143" s="129">
        <v>361913762984</v>
      </c>
      <c r="Q143" s="134" t="s">
        <v>569</v>
      </c>
      <c r="R143" s="137">
        <f t="shared" si="4"/>
        <v>624.14</v>
      </c>
      <c r="S143" s="235"/>
      <c r="T143" s="471">
        <v>45877</v>
      </c>
    </row>
    <row r="144" spans="1:20" ht="77.25" customHeight="1" x14ac:dyDescent="0.25">
      <c r="A144" s="469">
        <v>160</v>
      </c>
      <c r="B144" s="472" t="s">
        <v>568</v>
      </c>
      <c r="C144" s="138" t="s">
        <v>567</v>
      </c>
      <c r="D144" s="124" t="s">
        <v>3415</v>
      </c>
      <c r="E144" s="121" t="s">
        <v>15</v>
      </c>
      <c r="F144" s="133">
        <v>780.8</v>
      </c>
      <c r="G144" s="121" t="s">
        <v>353</v>
      </c>
      <c r="H144" s="120" t="s">
        <v>456</v>
      </c>
      <c r="I144" s="134" t="s">
        <v>566</v>
      </c>
      <c r="J144" s="474">
        <v>753.13</v>
      </c>
      <c r="K144" s="121" t="s">
        <v>565</v>
      </c>
      <c r="L144" s="120" t="s">
        <v>564</v>
      </c>
      <c r="M144" s="134" t="s">
        <v>563</v>
      </c>
      <c r="N144" s="474">
        <v>823</v>
      </c>
      <c r="O144" s="121" t="s">
        <v>562</v>
      </c>
      <c r="P144" s="129">
        <v>6686017888</v>
      </c>
      <c r="Q144" s="134" t="s">
        <v>561</v>
      </c>
      <c r="R144" s="137">
        <f t="shared" si="4"/>
        <v>753.13</v>
      </c>
      <c r="S144" s="235"/>
      <c r="T144" s="471">
        <v>45877</v>
      </c>
    </row>
    <row r="145" spans="1:20" ht="81" customHeight="1" x14ac:dyDescent="0.25">
      <c r="A145" s="469">
        <v>161</v>
      </c>
      <c r="B145" s="472" t="s">
        <v>560</v>
      </c>
      <c r="C145" s="138" t="s">
        <v>559</v>
      </c>
      <c r="D145" s="124" t="s">
        <v>723</v>
      </c>
      <c r="E145" s="121" t="s">
        <v>15</v>
      </c>
      <c r="F145" s="133">
        <v>15567</v>
      </c>
      <c r="G145" s="121" t="s">
        <v>558</v>
      </c>
      <c r="H145" s="120" t="s">
        <v>557</v>
      </c>
      <c r="I145" s="121" t="s">
        <v>556</v>
      </c>
      <c r="J145" s="474">
        <v>15599</v>
      </c>
      <c r="K145" s="121" t="s">
        <v>555</v>
      </c>
      <c r="L145" s="120" t="s">
        <v>554</v>
      </c>
      <c r="M145" s="134" t="s">
        <v>553</v>
      </c>
      <c r="N145" s="474">
        <v>20010</v>
      </c>
      <c r="O145" s="121" t="s">
        <v>552</v>
      </c>
      <c r="P145" s="129">
        <v>9725036498</v>
      </c>
      <c r="Q145" s="134" t="s">
        <v>551</v>
      </c>
      <c r="R145" s="137">
        <f t="shared" ref="R145:R170" si="5">MIN(F145,J145,N145)</f>
        <v>15567</v>
      </c>
      <c r="S145" s="235"/>
      <c r="T145" s="471">
        <v>45877</v>
      </c>
    </row>
    <row r="146" spans="1:20" ht="82.5" customHeight="1" x14ac:dyDescent="0.25">
      <c r="A146" s="469">
        <v>162</v>
      </c>
      <c r="B146" s="472" t="s">
        <v>499</v>
      </c>
      <c r="C146" s="138" t="s">
        <v>550</v>
      </c>
      <c r="D146" s="124" t="s">
        <v>718</v>
      </c>
      <c r="E146" s="121" t="s">
        <v>15</v>
      </c>
      <c r="F146" s="474">
        <v>1620</v>
      </c>
      <c r="G146" s="121" t="s">
        <v>378</v>
      </c>
      <c r="H146" s="120" t="s">
        <v>377</v>
      </c>
      <c r="I146" s="134" t="s">
        <v>549</v>
      </c>
      <c r="J146" s="474">
        <v>1558</v>
      </c>
      <c r="K146" s="121" t="s">
        <v>548</v>
      </c>
      <c r="L146" s="483">
        <v>771506394281</v>
      </c>
      <c r="M146" s="134" t="s">
        <v>547</v>
      </c>
      <c r="N146" s="474">
        <v>1620</v>
      </c>
      <c r="O146" s="121" t="s">
        <v>546</v>
      </c>
      <c r="P146" s="120" t="s">
        <v>545</v>
      </c>
      <c r="Q146" s="134" t="s">
        <v>544</v>
      </c>
      <c r="R146" s="137">
        <f t="shared" si="5"/>
        <v>1558</v>
      </c>
      <c r="S146" s="235"/>
      <c r="T146" s="471">
        <v>45877</v>
      </c>
    </row>
    <row r="147" spans="1:20" ht="82.5" customHeight="1" x14ac:dyDescent="0.25">
      <c r="A147" s="469">
        <v>163</v>
      </c>
      <c r="B147" s="472" t="s">
        <v>520</v>
      </c>
      <c r="C147" s="138" t="s">
        <v>543</v>
      </c>
      <c r="D147" s="124" t="s">
        <v>713</v>
      </c>
      <c r="E147" s="121" t="s">
        <v>15</v>
      </c>
      <c r="F147" s="133">
        <v>12687</v>
      </c>
      <c r="G147" s="121" t="s">
        <v>542</v>
      </c>
      <c r="H147" s="120" t="s">
        <v>541</v>
      </c>
      <c r="I147" s="134" t="s">
        <v>540</v>
      </c>
      <c r="J147" s="474">
        <v>18216</v>
      </c>
      <c r="K147" s="121" t="s">
        <v>518</v>
      </c>
      <c r="L147" s="120" t="s">
        <v>539</v>
      </c>
      <c r="M147" s="134" t="s">
        <v>538</v>
      </c>
      <c r="N147" s="474">
        <v>12289.03</v>
      </c>
      <c r="O147" s="121" t="s">
        <v>409</v>
      </c>
      <c r="P147" s="120" t="s">
        <v>408</v>
      </c>
      <c r="Q147" s="134" t="s">
        <v>537</v>
      </c>
      <c r="R147" s="137">
        <f t="shared" si="5"/>
        <v>12289.03</v>
      </c>
      <c r="S147" s="121"/>
      <c r="T147" s="471">
        <v>45877</v>
      </c>
    </row>
    <row r="148" spans="1:20" ht="84" customHeight="1" x14ac:dyDescent="0.25">
      <c r="A148" s="469">
        <v>164</v>
      </c>
      <c r="B148" s="472" t="s">
        <v>499</v>
      </c>
      <c r="C148" s="138" t="s">
        <v>536</v>
      </c>
      <c r="D148" s="124" t="s">
        <v>708</v>
      </c>
      <c r="E148" s="121" t="s">
        <v>15</v>
      </c>
      <c r="F148" s="133">
        <v>437.6</v>
      </c>
      <c r="G148" s="484" t="s">
        <v>474</v>
      </c>
      <c r="H148" s="484">
        <v>7720298746</v>
      </c>
      <c r="I148" s="134" t="s">
        <v>535</v>
      </c>
      <c r="J148" s="474">
        <v>363.21</v>
      </c>
      <c r="K148" s="121" t="s">
        <v>534</v>
      </c>
      <c r="L148" s="120" t="s">
        <v>533</v>
      </c>
      <c r="M148" s="134" t="s">
        <v>532</v>
      </c>
      <c r="N148" s="474">
        <v>437.6</v>
      </c>
      <c r="O148" s="121" t="s">
        <v>531</v>
      </c>
      <c r="P148" s="485" t="s">
        <v>530</v>
      </c>
      <c r="Q148" s="486" t="s">
        <v>529</v>
      </c>
      <c r="R148" s="487">
        <f t="shared" si="5"/>
        <v>363.21</v>
      </c>
      <c r="S148" s="488">
        <v>283.8</v>
      </c>
      <c r="T148" s="471">
        <v>45877</v>
      </c>
    </row>
    <row r="149" spans="1:20" ht="66" customHeight="1" x14ac:dyDescent="0.25">
      <c r="A149" s="469">
        <v>165</v>
      </c>
      <c r="B149" s="472" t="s">
        <v>499</v>
      </c>
      <c r="C149" s="138" t="s">
        <v>528</v>
      </c>
      <c r="D149" s="124" t="s">
        <v>703</v>
      </c>
      <c r="E149" s="121" t="s">
        <v>15</v>
      </c>
      <c r="F149" s="133">
        <v>461.24</v>
      </c>
      <c r="G149" s="484" t="s">
        <v>527</v>
      </c>
      <c r="H149" s="120" t="s">
        <v>526</v>
      </c>
      <c r="I149" s="134" t="s">
        <v>525</v>
      </c>
      <c r="J149" s="474">
        <v>557.9</v>
      </c>
      <c r="K149" s="489" t="s">
        <v>524</v>
      </c>
      <c r="L149" s="120" t="s">
        <v>523</v>
      </c>
      <c r="M149" s="134" t="s">
        <v>522</v>
      </c>
      <c r="N149" s="474">
        <v>270</v>
      </c>
      <c r="O149" s="121" t="s">
        <v>350</v>
      </c>
      <c r="P149" s="120" t="s">
        <v>349</v>
      </c>
      <c r="Q149" s="134" t="s">
        <v>521</v>
      </c>
      <c r="R149" s="137">
        <f t="shared" si="5"/>
        <v>270</v>
      </c>
      <c r="S149" s="121"/>
      <c r="T149" s="471">
        <v>45877</v>
      </c>
    </row>
    <row r="150" spans="1:20" ht="89.25" customHeight="1" x14ac:dyDescent="0.25">
      <c r="A150" s="469">
        <v>168</v>
      </c>
      <c r="B150" s="472" t="s">
        <v>520</v>
      </c>
      <c r="C150" s="138" t="s">
        <v>519</v>
      </c>
      <c r="D150" s="124" t="s">
        <v>698</v>
      </c>
      <c r="E150" s="121" t="s">
        <v>15</v>
      </c>
      <c r="F150" s="133">
        <v>12461</v>
      </c>
      <c r="G150" s="490" t="s">
        <v>518</v>
      </c>
      <c r="H150" s="491">
        <v>507704284789</v>
      </c>
      <c r="I150" s="134" t="s">
        <v>517</v>
      </c>
      <c r="J150" s="474">
        <v>9000</v>
      </c>
      <c r="K150" s="121" t="s">
        <v>516</v>
      </c>
      <c r="L150" s="120" t="s">
        <v>515</v>
      </c>
      <c r="M150" s="134" t="s">
        <v>514</v>
      </c>
      <c r="N150" s="474">
        <v>9112.74</v>
      </c>
      <c r="O150" s="484" t="s">
        <v>474</v>
      </c>
      <c r="P150" s="484">
        <v>7720298746</v>
      </c>
      <c r="Q150" s="134" t="s">
        <v>513</v>
      </c>
      <c r="R150" s="137">
        <f t="shared" si="5"/>
        <v>9000</v>
      </c>
      <c r="S150" s="235"/>
      <c r="T150" s="471">
        <v>45877</v>
      </c>
    </row>
    <row r="151" spans="1:20" ht="66" customHeight="1" x14ac:dyDescent="0.25">
      <c r="A151" s="469">
        <v>169</v>
      </c>
      <c r="B151" s="472" t="s">
        <v>499</v>
      </c>
      <c r="C151" s="138" t="s">
        <v>512</v>
      </c>
      <c r="D151" s="124" t="s">
        <v>693</v>
      </c>
      <c r="E151" s="121" t="s">
        <v>15</v>
      </c>
      <c r="F151" s="133">
        <v>66</v>
      </c>
      <c r="G151" s="490" t="s">
        <v>511</v>
      </c>
      <c r="H151" s="491">
        <v>7727789038</v>
      </c>
      <c r="I151" s="134" t="s">
        <v>510</v>
      </c>
      <c r="J151" s="474">
        <v>164.25</v>
      </c>
      <c r="K151" s="121" t="s">
        <v>506</v>
      </c>
      <c r="L151" s="120" t="s">
        <v>505</v>
      </c>
      <c r="M151" s="134" t="s">
        <v>509</v>
      </c>
      <c r="N151" s="474">
        <v>93.07</v>
      </c>
      <c r="O151" s="484" t="s">
        <v>474</v>
      </c>
      <c r="P151" s="484">
        <v>7720298746</v>
      </c>
      <c r="Q151" s="134" t="s">
        <v>508</v>
      </c>
      <c r="R151" s="137">
        <f t="shared" si="5"/>
        <v>66</v>
      </c>
      <c r="S151" s="235"/>
      <c r="T151" s="471">
        <v>45877</v>
      </c>
    </row>
    <row r="152" spans="1:20" ht="66" customHeight="1" x14ac:dyDescent="0.25">
      <c r="A152" s="469">
        <v>170</v>
      </c>
      <c r="B152" s="472" t="s">
        <v>499</v>
      </c>
      <c r="C152" s="138" t="s">
        <v>507</v>
      </c>
      <c r="D152" s="124" t="s">
        <v>688</v>
      </c>
      <c r="E152" s="121" t="s">
        <v>15</v>
      </c>
      <c r="F152" s="133">
        <v>219.99</v>
      </c>
      <c r="G152" s="121" t="s">
        <v>506</v>
      </c>
      <c r="H152" s="120" t="s">
        <v>505</v>
      </c>
      <c r="I152" s="134" t="s">
        <v>504</v>
      </c>
      <c r="J152" s="474">
        <v>183.33</v>
      </c>
      <c r="K152" s="121" t="s">
        <v>454</v>
      </c>
      <c r="L152" s="120" t="s">
        <v>503</v>
      </c>
      <c r="M152" s="134" t="s">
        <v>502</v>
      </c>
      <c r="N152" s="474">
        <v>199</v>
      </c>
      <c r="O152" s="484" t="s">
        <v>501</v>
      </c>
      <c r="P152" s="491">
        <v>771506394281</v>
      </c>
      <c r="Q152" s="134" t="s">
        <v>500</v>
      </c>
      <c r="R152" s="137">
        <f t="shared" si="5"/>
        <v>183.33</v>
      </c>
      <c r="S152" s="235"/>
      <c r="T152" s="471">
        <v>45877</v>
      </c>
    </row>
    <row r="153" spans="1:20" ht="66" customHeight="1" x14ac:dyDescent="0.25">
      <c r="A153" s="469">
        <v>171</v>
      </c>
      <c r="B153" s="472" t="s">
        <v>499</v>
      </c>
      <c r="C153" s="138" t="s">
        <v>498</v>
      </c>
      <c r="D153" s="124" t="s">
        <v>684</v>
      </c>
      <c r="E153" s="121" t="s">
        <v>15</v>
      </c>
      <c r="F153" s="133">
        <v>1372</v>
      </c>
      <c r="G153" s="121" t="s">
        <v>497</v>
      </c>
      <c r="H153" s="120" t="s">
        <v>496</v>
      </c>
      <c r="I153" s="134" t="s">
        <v>495</v>
      </c>
      <c r="J153" s="474">
        <v>1500</v>
      </c>
      <c r="K153" s="121" t="s">
        <v>494</v>
      </c>
      <c r="L153" s="120" t="s">
        <v>493</v>
      </c>
      <c r="M153" s="134" t="s">
        <v>492</v>
      </c>
      <c r="N153" s="474">
        <v>919</v>
      </c>
      <c r="O153" s="484" t="s">
        <v>491</v>
      </c>
      <c r="P153" s="129">
        <v>590613176910</v>
      </c>
      <c r="Q153" s="134" t="s">
        <v>490</v>
      </c>
      <c r="R153" s="137">
        <f t="shared" si="5"/>
        <v>919</v>
      </c>
      <c r="S153" s="235"/>
      <c r="T153" s="471">
        <v>45877</v>
      </c>
    </row>
    <row r="154" spans="1:20" ht="66" customHeight="1" x14ac:dyDescent="0.25">
      <c r="A154" s="469">
        <v>173</v>
      </c>
      <c r="B154" s="472" t="s">
        <v>489</v>
      </c>
      <c r="C154" s="138" t="s">
        <v>488</v>
      </c>
      <c r="D154" s="124" t="s">
        <v>682</v>
      </c>
      <c r="E154" s="121" t="s">
        <v>15</v>
      </c>
      <c r="F154" s="133">
        <v>2890.76</v>
      </c>
      <c r="G154" s="121" t="s">
        <v>487</v>
      </c>
      <c r="H154" s="120" t="s">
        <v>486</v>
      </c>
      <c r="I154" s="134" t="s">
        <v>485</v>
      </c>
      <c r="J154" s="474">
        <v>2891</v>
      </c>
      <c r="K154" s="121" t="s">
        <v>484</v>
      </c>
      <c r="L154" s="120" t="s">
        <v>483</v>
      </c>
      <c r="M154" s="134" t="s">
        <v>482</v>
      </c>
      <c r="N154" s="474">
        <v>2891</v>
      </c>
      <c r="O154" s="484" t="s">
        <v>481</v>
      </c>
      <c r="P154" s="129">
        <v>7718264250</v>
      </c>
      <c r="Q154" s="134" t="s">
        <v>480</v>
      </c>
      <c r="R154" s="137">
        <f t="shared" si="5"/>
        <v>2890.76</v>
      </c>
      <c r="S154" s="235"/>
      <c r="T154" s="471">
        <v>45877</v>
      </c>
    </row>
    <row r="155" spans="1:20" ht="63" customHeight="1" x14ac:dyDescent="0.25">
      <c r="A155" s="469">
        <v>174</v>
      </c>
      <c r="B155" s="472" t="s">
        <v>355</v>
      </c>
      <c r="C155" s="138" t="s">
        <v>479</v>
      </c>
      <c r="D155" s="124" t="s">
        <v>677</v>
      </c>
      <c r="E155" s="121" t="s">
        <v>15</v>
      </c>
      <c r="F155" s="133">
        <v>244.08</v>
      </c>
      <c r="G155" s="121" t="s">
        <v>466</v>
      </c>
      <c r="H155" s="136">
        <v>6686053967</v>
      </c>
      <c r="I155" s="134" t="s">
        <v>478</v>
      </c>
      <c r="J155" s="474">
        <v>244.08</v>
      </c>
      <c r="K155" s="121" t="s">
        <v>450</v>
      </c>
      <c r="L155" s="120" t="s">
        <v>449</v>
      </c>
      <c r="M155" s="134" t="s">
        <v>477</v>
      </c>
      <c r="N155" s="474">
        <v>209.71</v>
      </c>
      <c r="O155" s="121" t="s">
        <v>454</v>
      </c>
      <c r="P155" s="121">
        <v>5027330076</v>
      </c>
      <c r="Q155" s="134" t="s">
        <v>476</v>
      </c>
      <c r="R155" s="137">
        <f t="shared" si="5"/>
        <v>209.71</v>
      </c>
      <c r="S155" s="235"/>
      <c r="T155" s="471">
        <v>45877</v>
      </c>
    </row>
    <row r="156" spans="1:20" ht="68.25" customHeight="1" x14ac:dyDescent="0.25">
      <c r="A156" s="469">
        <v>175</v>
      </c>
      <c r="B156" s="472" t="s">
        <v>386</v>
      </c>
      <c r="C156" s="473" t="s">
        <v>475</v>
      </c>
      <c r="D156" s="124" t="s">
        <v>673</v>
      </c>
      <c r="E156" s="121" t="s">
        <v>15</v>
      </c>
      <c r="F156" s="133">
        <v>1146.54</v>
      </c>
      <c r="G156" s="121" t="s">
        <v>474</v>
      </c>
      <c r="H156" s="120" t="s">
        <v>473</v>
      </c>
      <c r="I156" s="134" t="s">
        <v>472</v>
      </c>
      <c r="J156" s="474">
        <v>917.23</v>
      </c>
      <c r="K156" s="121" t="s">
        <v>466</v>
      </c>
      <c r="L156" s="120" t="s">
        <v>465</v>
      </c>
      <c r="M156" s="134" t="s">
        <v>471</v>
      </c>
      <c r="N156" s="474">
        <v>1127.42</v>
      </c>
      <c r="O156" s="121" t="s">
        <v>429</v>
      </c>
      <c r="P156" s="129">
        <v>7715777616</v>
      </c>
      <c r="Q156" s="134" t="s">
        <v>470</v>
      </c>
      <c r="R156" s="137">
        <f t="shared" si="5"/>
        <v>917.23</v>
      </c>
      <c r="S156" s="235"/>
      <c r="T156" s="471">
        <v>45877</v>
      </c>
    </row>
    <row r="157" spans="1:20" ht="61.5" customHeight="1" x14ac:dyDescent="0.25">
      <c r="A157" s="469">
        <v>176</v>
      </c>
      <c r="B157" s="472" t="s">
        <v>386</v>
      </c>
      <c r="C157" s="138" t="s">
        <v>469</v>
      </c>
      <c r="D157" s="124" t="s">
        <v>671</v>
      </c>
      <c r="E157" s="121" t="s">
        <v>15</v>
      </c>
      <c r="F157" s="474">
        <v>313.26</v>
      </c>
      <c r="G157" s="121" t="s">
        <v>450</v>
      </c>
      <c r="H157" s="120" t="s">
        <v>449</v>
      </c>
      <c r="I157" s="134" t="s">
        <v>468</v>
      </c>
      <c r="J157" s="474">
        <v>328.65</v>
      </c>
      <c r="K157" s="121" t="s">
        <v>353</v>
      </c>
      <c r="L157" s="120" t="s">
        <v>352</v>
      </c>
      <c r="M157" s="121" t="s">
        <v>467</v>
      </c>
      <c r="N157" s="474">
        <v>313.26</v>
      </c>
      <c r="O157" s="121" t="s">
        <v>466</v>
      </c>
      <c r="P157" s="120" t="s">
        <v>465</v>
      </c>
      <c r="Q157" s="134" t="s">
        <v>464</v>
      </c>
      <c r="R157" s="137">
        <f t="shared" si="5"/>
        <v>313.26</v>
      </c>
      <c r="S157" s="235"/>
      <c r="T157" s="471">
        <v>45877</v>
      </c>
    </row>
    <row r="158" spans="1:20" ht="78.75" customHeight="1" x14ac:dyDescent="0.25">
      <c r="A158" s="469">
        <v>177</v>
      </c>
      <c r="B158" s="472" t="s">
        <v>355</v>
      </c>
      <c r="C158" s="138" t="s">
        <v>463</v>
      </c>
      <c r="D158" s="124" t="s">
        <v>3416</v>
      </c>
      <c r="E158" s="121" t="s">
        <v>15</v>
      </c>
      <c r="F158" s="474">
        <v>158.87</v>
      </c>
      <c r="G158" s="121" t="s">
        <v>462</v>
      </c>
      <c r="H158" s="128" t="s">
        <v>461</v>
      </c>
      <c r="I158" s="134" t="s">
        <v>460</v>
      </c>
      <c r="J158" s="474">
        <v>190.48</v>
      </c>
      <c r="K158" s="121" t="s">
        <v>353</v>
      </c>
      <c r="L158" s="120" t="s">
        <v>456</v>
      </c>
      <c r="M158" s="134" t="s">
        <v>459</v>
      </c>
      <c r="N158" s="474">
        <v>181.56</v>
      </c>
      <c r="O158" s="121" t="s">
        <v>450</v>
      </c>
      <c r="P158" s="120" t="s">
        <v>449</v>
      </c>
      <c r="Q158" s="134" t="s">
        <v>458</v>
      </c>
      <c r="R158" s="137">
        <f t="shared" si="5"/>
        <v>158.87</v>
      </c>
      <c r="S158" s="235"/>
      <c r="T158" s="471">
        <v>45877</v>
      </c>
    </row>
    <row r="159" spans="1:20" ht="68.25" customHeight="1" x14ac:dyDescent="0.25">
      <c r="A159" s="469">
        <v>178</v>
      </c>
      <c r="B159" s="472" t="s">
        <v>386</v>
      </c>
      <c r="C159" s="138" t="s">
        <v>457</v>
      </c>
      <c r="D159" s="124" t="s">
        <v>3417</v>
      </c>
      <c r="E159" s="121" t="s">
        <v>15</v>
      </c>
      <c r="F159" s="474">
        <v>144.88999999999999</v>
      </c>
      <c r="G159" s="121" t="s">
        <v>353</v>
      </c>
      <c r="H159" s="120" t="s">
        <v>456</v>
      </c>
      <c r="I159" s="134" t="s">
        <v>455</v>
      </c>
      <c r="J159" s="474">
        <v>118.66</v>
      </c>
      <c r="K159" s="121" t="s">
        <v>454</v>
      </c>
      <c r="L159" s="121">
        <v>5027330076</v>
      </c>
      <c r="M159" s="134" t="s">
        <v>453</v>
      </c>
      <c r="N159" s="474">
        <v>102</v>
      </c>
      <c r="O159" s="121" t="s">
        <v>445</v>
      </c>
      <c r="P159" s="120" t="s">
        <v>444</v>
      </c>
      <c r="Q159" s="134" t="s">
        <v>452</v>
      </c>
      <c r="R159" s="137">
        <f t="shared" si="5"/>
        <v>102</v>
      </c>
      <c r="S159" s="235"/>
      <c r="T159" s="471">
        <v>45877</v>
      </c>
    </row>
    <row r="160" spans="1:20" ht="80.25" customHeight="1" x14ac:dyDescent="0.25">
      <c r="A160" s="469">
        <v>179</v>
      </c>
      <c r="B160" s="472" t="s">
        <v>355</v>
      </c>
      <c r="C160" s="138" t="s">
        <v>451</v>
      </c>
      <c r="D160" s="124" t="s">
        <v>3418</v>
      </c>
      <c r="E160" s="121" t="s">
        <v>15</v>
      </c>
      <c r="F160" s="474">
        <v>214.56</v>
      </c>
      <c r="G160" s="121" t="s">
        <v>450</v>
      </c>
      <c r="H160" s="120" t="s">
        <v>449</v>
      </c>
      <c r="I160" s="134" t="s">
        <v>448</v>
      </c>
      <c r="J160" s="474">
        <v>166.75</v>
      </c>
      <c r="K160" s="121" t="s">
        <v>447</v>
      </c>
      <c r="L160" s="129">
        <v>330102828707</v>
      </c>
      <c r="M160" s="134" t="s">
        <v>446</v>
      </c>
      <c r="N160" s="474">
        <v>159</v>
      </c>
      <c r="O160" s="121" t="s">
        <v>445</v>
      </c>
      <c r="P160" s="120" t="s">
        <v>444</v>
      </c>
      <c r="Q160" s="134" t="s">
        <v>443</v>
      </c>
      <c r="R160" s="137">
        <f t="shared" si="5"/>
        <v>159</v>
      </c>
      <c r="S160" s="235"/>
      <c r="T160" s="471">
        <v>45877</v>
      </c>
    </row>
    <row r="161" spans="1:20" ht="81" customHeight="1" x14ac:dyDescent="0.25">
      <c r="A161" s="469">
        <v>180</v>
      </c>
      <c r="B161" s="472" t="s">
        <v>386</v>
      </c>
      <c r="C161" s="138" t="s">
        <v>442</v>
      </c>
      <c r="D161" s="124" t="s">
        <v>667</v>
      </c>
      <c r="E161" s="121" t="s">
        <v>15</v>
      </c>
      <c r="F161" s="474">
        <v>170.25</v>
      </c>
      <c r="G161" s="121" t="s">
        <v>441</v>
      </c>
      <c r="H161" s="120" t="s">
        <v>440</v>
      </c>
      <c r="I161" s="134" t="s">
        <v>439</v>
      </c>
      <c r="J161" s="474">
        <v>182.5</v>
      </c>
      <c r="K161" s="121" t="s">
        <v>438</v>
      </c>
      <c r="L161" s="128" t="s">
        <v>437</v>
      </c>
      <c r="M161" s="134" t="s">
        <v>436</v>
      </c>
      <c r="N161" s="474">
        <v>170.41</v>
      </c>
      <c r="O161" s="121" t="s">
        <v>435</v>
      </c>
      <c r="P161" s="120" t="s">
        <v>434</v>
      </c>
      <c r="Q161" s="134" t="s">
        <v>433</v>
      </c>
      <c r="R161" s="137">
        <f t="shared" si="5"/>
        <v>170.25</v>
      </c>
      <c r="S161" s="235"/>
      <c r="T161" s="471">
        <v>45877</v>
      </c>
    </row>
    <row r="162" spans="1:20" ht="76.5" customHeight="1" x14ac:dyDescent="0.25">
      <c r="A162" s="469">
        <v>181</v>
      </c>
      <c r="B162" s="472" t="s">
        <v>355</v>
      </c>
      <c r="C162" s="138" t="s">
        <v>432</v>
      </c>
      <c r="D162" s="124" t="s">
        <v>666</v>
      </c>
      <c r="E162" s="121" t="s">
        <v>15</v>
      </c>
      <c r="F162" s="474">
        <v>102</v>
      </c>
      <c r="G162" s="121" t="s">
        <v>431</v>
      </c>
      <c r="H162" s="120" t="s">
        <v>391</v>
      </c>
      <c r="I162" s="134" t="s">
        <v>430</v>
      </c>
      <c r="J162" s="474">
        <v>120</v>
      </c>
      <c r="K162" s="121" t="s">
        <v>429</v>
      </c>
      <c r="L162" s="121">
        <v>7715777616</v>
      </c>
      <c r="M162" s="134" t="s">
        <v>428</v>
      </c>
      <c r="N162" s="474">
        <v>102</v>
      </c>
      <c r="O162" s="121" t="s">
        <v>395</v>
      </c>
      <c r="P162" s="120" t="s">
        <v>394</v>
      </c>
      <c r="Q162" s="134" t="s">
        <v>427</v>
      </c>
      <c r="R162" s="137">
        <f t="shared" si="5"/>
        <v>102</v>
      </c>
      <c r="S162" s="235"/>
      <c r="T162" s="471">
        <v>45877</v>
      </c>
    </row>
    <row r="163" spans="1:20" ht="70.5" customHeight="1" x14ac:dyDescent="0.25">
      <c r="A163" s="469">
        <v>182</v>
      </c>
      <c r="B163" s="472" t="s">
        <v>426</v>
      </c>
      <c r="C163" s="138" t="s">
        <v>425</v>
      </c>
      <c r="D163" s="124" t="s">
        <v>3419</v>
      </c>
      <c r="E163" s="121" t="s">
        <v>424</v>
      </c>
      <c r="F163" s="474">
        <v>335</v>
      </c>
      <c r="G163" s="121" t="s">
        <v>389</v>
      </c>
      <c r="H163" s="120" t="s">
        <v>388</v>
      </c>
      <c r="I163" s="134" t="s">
        <v>423</v>
      </c>
      <c r="J163" s="474">
        <v>260</v>
      </c>
      <c r="K163" s="121" t="s">
        <v>422</v>
      </c>
      <c r="L163" s="121">
        <v>7733768406</v>
      </c>
      <c r="M163" s="134" t="s">
        <v>421</v>
      </c>
      <c r="N163" s="474">
        <v>465</v>
      </c>
      <c r="O163" s="121" t="s">
        <v>420</v>
      </c>
      <c r="P163" s="120" t="s">
        <v>419</v>
      </c>
      <c r="Q163" s="134" t="s">
        <v>418</v>
      </c>
      <c r="R163" s="137">
        <f t="shared" si="5"/>
        <v>260</v>
      </c>
      <c r="S163" s="235"/>
      <c r="T163" s="471">
        <v>45877</v>
      </c>
    </row>
    <row r="164" spans="1:20" ht="66.75" customHeight="1" x14ac:dyDescent="0.25">
      <c r="A164" s="469">
        <v>183</v>
      </c>
      <c r="B164" s="472" t="s">
        <v>417</v>
      </c>
      <c r="C164" s="138" t="s">
        <v>416</v>
      </c>
      <c r="D164" s="124" t="s">
        <v>665</v>
      </c>
      <c r="E164" s="121" t="s">
        <v>15</v>
      </c>
      <c r="F164" s="474">
        <v>435</v>
      </c>
      <c r="G164" s="121" t="s">
        <v>415</v>
      </c>
      <c r="H164" s="128" t="s">
        <v>414</v>
      </c>
      <c r="I164" s="134" t="s">
        <v>413</v>
      </c>
      <c r="J164" s="474">
        <v>403.74</v>
      </c>
      <c r="K164" s="121" t="s">
        <v>412</v>
      </c>
      <c r="L164" s="120" t="s">
        <v>411</v>
      </c>
      <c r="M164" s="134" t="s">
        <v>410</v>
      </c>
      <c r="N164" s="474">
        <v>410</v>
      </c>
      <c r="O164" s="121" t="s">
        <v>409</v>
      </c>
      <c r="P164" s="120" t="s">
        <v>408</v>
      </c>
      <c r="Q164" s="134" t="s">
        <v>407</v>
      </c>
      <c r="R164" s="137">
        <f t="shared" si="5"/>
        <v>403.74</v>
      </c>
      <c r="S164" s="235"/>
      <c r="T164" s="471">
        <v>45877</v>
      </c>
    </row>
    <row r="165" spans="1:20" ht="89.25" customHeight="1" x14ac:dyDescent="0.25">
      <c r="A165" s="469">
        <v>184</v>
      </c>
      <c r="B165" s="472" t="s">
        <v>406</v>
      </c>
      <c r="C165" s="138" t="s">
        <v>405</v>
      </c>
      <c r="D165" s="124" t="s">
        <v>3420</v>
      </c>
      <c r="E165" s="121" t="s">
        <v>15</v>
      </c>
      <c r="F165" s="474">
        <v>4360</v>
      </c>
      <c r="G165" s="121" t="s">
        <v>404</v>
      </c>
      <c r="H165" s="128" t="s">
        <v>403</v>
      </c>
      <c r="I165" s="134" t="s">
        <v>402</v>
      </c>
      <c r="J165" s="474">
        <v>4338</v>
      </c>
      <c r="K165" s="121" t="s">
        <v>401</v>
      </c>
      <c r="L165" s="120" t="s">
        <v>400</v>
      </c>
      <c r="M165" s="134" t="s">
        <v>399</v>
      </c>
      <c r="N165" s="474">
        <v>6540</v>
      </c>
      <c r="O165" s="121" t="s">
        <v>347</v>
      </c>
      <c r="P165" s="135">
        <v>7722753969</v>
      </c>
      <c r="Q165" s="134" t="s">
        <v>398</v>
      </c>
      <c r="R165" s="137">
        <f t="shared" si="5"/>
        <v>4338</v>
      </c>
      <c r="S165" s="235"/>
      <c r="T165" s="471">
        <v>45877</v>
      </c>
    </row>
    <row r="166" spans="1:20" ht="92.25" customHeight="1" x14ac:dyDescent="0.25">
      <c r="A166" s="469">
        <v>185</v>
      </c>
      <c r="B166" s="472" t="s">
        <v>397</v>
      </c>
      <c r="C166" s="138" t="s">
        <v>396</v>
      </c>
      <c r="D166" s="124" t="s">
        <v>664</v>
      </c>
      <c r="E166" s="121" t="s">
        <v>15</v>
      </c>
      <c r="F166" s="474">
        <v>5700</v>
      </c>
      <c r="G166" s="121" t="s">
        <v>395</v>
      </c>
      <c r="H166" s="128" t="s">
        <v>394</v>
      </c>
      <c r="I166" s="134" t="s">
        <v>393</v>
      </c>
      <c r="J166" s="474">
        <v>3986</v>
      </c>
      <c r="K166" s="121" t="s">
        <v>392</v>
      </c>
      <c r="L166" s="120" t="s">
        <v>391</v>
      </c>
      <c r="M166" s="134" t="s">
        <v>390</v>
      </c>
      <c r="N166" s="474">
        <v>5129</v>
      </c>
      <c r="O166" s="121" t="s">
        <v>389</v>
      </c>
      <c r="P166" s="120" t="s">
        <v>388</v>
      </c>
      <c r="Q166" s="134" t="s">
        <v>387</v>
      </c>
      <c r="R166" s="137">
        <f t="shared" si="5"/>
        <v>3986</v>
      </c>
      <c r="S166" s="235"/>
      <c r="T166" s="471">
        <v>45877</v>
      </c>
    </row>
    <row r="167" spans="1:20" ht="83.25" customHeight="1" x14ac:dyDescent="0.25">
      <c r="A167" s="470">
        <v>186</v>
      </c>
      <c r="B167" s="476" t="s">
        <v>386</v>
      </c>
      <c r="C167" s="492" t="s">
        <v>385</v>
      </c>
      <c r="D167" s="493" t="s">
        <v>3421</v>
      </c>
      <c r="E167" s="488" t="s">
        <v>15</v>
      </c>
      <c r="F167" s="474">
        <v>125</v>
      </c>
      <c r="G167" s="121" t="s">
        <v>384</v>
      </c>
      <c r="H167" s="128" t="s">
        <v>383</v>
      </c>
      <c r="I167" s="486" t="s">
        <v>382</v>
      </c>
      <c r="J167" s="494">
        <v>95</v>
      </c>
      <c r="K167" s="495" t="s">
        <v>381</v>
      </c>
      <c r="L167" s="485" t="s">
        <v>380</v>
      </c>
      <c r="M167" s="486" t="s">
        <v>379</v>
      </c>
      <c r="N167" s="494">
        <v>126.6</v>
      </c>
      <c r="O167" s="488" t="s">
        <v>378</v>
      </c>
      <c r="P167" s="485" t="s">
        <v>377</v>
      </c>
      <c r="Q167" s="486" t="s">
        <v>376</v>
      </c>
      <c r="R167" s="487">
        <f t="shared" si="5"/>
        <v>95</v>
      </c>
      <c r="S167" s="496"/>
      <c r="T167" s="497">
        <v>45877</v>
      </c>
    </row>
    <row r="168" spans="1:20" ht="61.5" customHeight="1" x14ac:dyDescent="0.25">
      <c r="A168" s="470">
        <v>187</v>
      </c>
      <c r="B168" s="476" t="s">
        <v>375</v>
      </c>
      <c r="C168" s="492" t="s">
        <v>374</v>
      </c>
      <c r="D168" s="493" t="s">
        <v>663</v>
      </c>
      <c r="E168" s="488" t="s">
        <v>373</v>
      </c>
      <c r="F168" s="474">
        <v>371.02</v>
      </c>
      <c r="G168" s="128" t="s">
        <v>372</v>
      </c>
      <c r="H168" s="128" t="s">
        <v>371</v>
      </c>
      <c r="I168" s="134" t="s">
        <v>370</v>
      </c>
      <c r="J168" s="474">
        <v>356.07</v>
      </c>
      <c r="K168" s="480" t="s">
        <v>369</v>
      </c>
      <c r="L168" s="120" t="s">
        <v>368</v>
      </c>
      <c r="M168" s="134" t="s">
        <v>367</v>
      </c>
      <c r="N168" s="474">
        <v>315</v>
      </c>
      <c r="O168" s="121" t="s">
        <v>366</v>
      </c>
      <c r="P168" s="120" t="s">
        <v>365</v>
      </c>
      <c r="Q168" s="134" t="s">
        <v>364</v>
      </c>
      <c r="R168" s="487">
        <f t="shared" si="5"/>
        <v>315</v>
      </c>
      <c r="S168" s="496"/>
      <c r="T168" s="497">
        <v>45877</v>
      </c>
    </row>
    <row r="169" spans="1:20" ht="78" customHeight="1" x14ac:dyDescent="0.25">
      <c r="A169" s="469">
        <v>188</v>
      </c>
      <c r="B169" s="472" t="s">
        <v>363</v>
      </c>
      <c r="C169" s="138" t="s">
        <v>362</v>
      </c>
      <c r="D169" s="493" t="s">
        <v>662</v>
      </c>
      <c r="E169" s="121" t="s">
        <v>361</v>
      </c>
      <c r="F169" s="474">
        <v>10450</v>
      </c>
      <c r="G169" s="121" t="s">
        <v>350</v>
      </c>
      <c r="H169" s="120" t="s">
        <v>349</v>
      </c>
      <c r="I169" s="134" t="s">
        <v>360</v>
      </c>
      <c r="J169" s="474">
        <v>6612</v>
      </c>
      <c r="K169" s="480" t="s">
        <v>359</v>
      </c>
      <c r="L169" s="120" t="s">
        <v>358</v>
      </c>
      <c r="M169" s="134" t="s">
        <v>357</v>
      </c>
      <c r="N169" s="474">
        <f>149.48*55</f>
        <v>8221.4</v>
      </c>
      <c r="O169" s="121" t="s">
        <v>353</v>
      </c>
      <c r="P169" s="120" t="s">
        <v>352</v>
      </c>
      <c r="Q169" s="134" t="s">
        <v>356</v>
      </c>
      <c r="R169" s="137">
        <f t="shared" si="5"/>
        <v>6612</v>
      </c>
      <c r="S169" s="235"/>
      <c r="T169" s="471">
        <v>45877</v>
      </c>
    </row>
    <row r="170" spans="1:20" ht="99.75" customHeight="1" x14ac:dyDescent="0.25">
      <c r="A170" s="469">
        <v>189</v>
      </c>
      <c r="B170" s="472" t="s">
        <v>355</v>
      </c>
      <c r="C170" s="138" t="s">
        <v>354</v>
      </c>
      <c r="D170" s="124" t="s">
        <v>3422</v>
      </c>
      <c r="E170" s="121" t="s">
        <v>15</v>
      </c>
      <c r="F170" s="474">
        <v>4833.6899999999996</v>
      </c>
      <c r="G170" s="121" t="s">
        <v>353</v>
      </c>
      <c r="H170" s="120" t="s">
        <v>352</v>
      </c>
      <c r="I170" s="134" t="s">
        <v>351</v>
      </c>
      <c r="J170" s="474">
        <v>4850</v>
      </c>
      <c r="K170" s="121" t="s">
        <v>350</v>
      </c>
      <c r="L170" s="120" t="s">
        <v>349</v>
      </c>
      <c r="M170" s="134" t="s">
        <v>348</v>
      </c>
      <c r="N170" s="474">
        <v>4607</v>
      </c>
      <c r="O170" s="121" t="s">
        <v>347</v>
      </c>
      <c r="P170" s="120" t="s">
        <v>346</v>
      </c>
      <c r="Q170" s="134" t="s">
        <v>345</v>
      </c>
      <c r="R170" s="137">
        <f t="shared" si="5"/>
        <v>4607</v>
      </c>
      <c r="S170" s="235"/>
      <c r="T170" s="471">
        <v>45877</v>
      </c>
    </row>
    <row r="171" spans="1:20" ht="7.5" customHeight="1" x14ac:dyDescent="0.25"/>
    <row r="172" spans="1:20" x14ac:dyDescent="0.25">
      <c r="A172" s="91"/>
      <c r="B172" s="116"/>
      <c r="C172" s="116"/>
      <c r="D172" s="116" t="s">
        <v>16</v>
      </c>
      <c r="E172" s="114"/>
      <c r="F172" s="112"/>
      <c r="G172" s="113"/>
      <c r="H172" s="112"/>
      <c r="I172" s="114"/>
      <c r="J172" s="112"/>
      <c r="K172" s="113"/>
      <c r="L172" s="112"/>
      <c r="M172" s="114"/>
      <c r="N172" s="112"/>
      <c r="O172" s="113"/>
      <c r="P172" s="116" t="s">
        <v>25</v>
      </c>
      <c r="Q172" s="116"/>
      <c r="R172" s="115"/>
      <c r="S172" s="112"/>
      <c r="T172" s="91"/>
    </row>
    <row r="173" spans="1:20" x14ac:dyDescent="0.25">
      <c r="A173" s="91"/>
      <c r="B173" s="538" t="s">
        <v>19</v>
      </c>
      <c r="C173" s="538"/>
      <c r="D173" s="538"/>
      <c r="E173" s="114"/>
      <c r="F173" s="112"/>
      <c r="G173" s="113"/>
      <c r="H173" s="112"/>
      <c r="I173" s="114"/>
      <c r="J173" s="112"/>
      <c r="K173" s="113"/>
      <c r="L173" s="112"/>
      <c r="M173" s="114"/>
      <c r="N173" s="112"/>
      <c r="O173" s="113"/>
      <c r="P173" s="112"/>
      <c r="Q173" s="101" t="s">
        <v>19</v>
      </c>
      <c r="R173" s="533"/>
      <c r="S173" s="533"/>
      <c r="T173" s="91"/>
    </row>
    <row r="174" spans="1:20" ht="18.75" x14ac:dyDescent="0.3">
      <c r="A174" s="91"/>
      <c r="B174" s="91"/>
      <c r="C174" s="91"/>
      <c r="D174" s="91"/>
      <c r="E174" s="91"/>
      <c r="F174" s="92"/>
      <c r="G174" s="93"/>
      <c r="H174" s="92"/>
      <c r="I174" s="91"/>
      <c r="J174" s="92"/>
      <c r="K174" s="93"/>
      <c r="L174" s="92"/>
      <c r="M174" s="91"/>
      <c r="N174" s="107" t="s">
        <v>20</v>
      </c>
      <c r="O174" s="106"/>
      <c r="P174" s="92"/>
      <c r="Q174" s="91"/>
      <c r="R174" s="91"/>
      <c r="S174" s="92"/>
      <c r="T174" s="91"/>
    </row>
    <row r="175" spans="1:20" ht="47.25" customHeight="1" x14ac:dyDescent="0.3">
      <c r="A175" s="524" t="s">
        <v>344</v>
      </c>
      <c r="B175" s="524"/>
      <c r="C175" s="524"/>
      <c r="D175" s="111" t="s">
        <v>19</v>
      </c>
      <c r="E175" s="91"/>
      <c r="F175" s="92"/>
      <c r="G175" s="106" t="s">
        <v>343</v>
      </c>
      <c r="H175" s="92"/>
      <c r="I175" s="110" t="s">
        <v>19</v>
      </c>
      <c r="J175" s="108"/>
      <c r="K175" s="109"/>
      <c r="L175" s="108"/>
      <c r="M175" s="91"/>
      <c r="N175" s="107" t="s">
        <v>21</v>
      </c>
      <c r="O175" s="106"/>
      <c r="P175" s="92"/>
      <c r="Q175" s="105"/>
      <c r="R175" s="91"/>
      <c r="S175" s="104" t="s">
        <v>22</v>
      </c>
      <c r="T175" s="91"/>
    </row>
    <row r="176" spans="1:20" x14ac:dyDescent="0.25">
      <c r="A176" s="91"/>
      <c r="B176" s="531" t="s">
        <v>19</v>
      </c>
      <c r="C176" s="531"/>
      <c r="D176" s="531"/>
      <c r="E176" s="531"/>
      <c r="F176" s="531"/>
      <c r="G176" s="531"/>
      <c r="H176" s="531"/>
      <c r="I176" s="531"/>
      <c r="J176" s="531"/>
      <c r="K176" s="531"/>
      <c r="L176" s="531"/>
      <c r="M176" s="531"/>
      <c r="N176" s="102"/>
      <c r="O176" s="103" t="s">
        <v>19</v>
      </c>
      <c r="P176" s="102"/>
      <c r="Q176" s="101"/>
      <c r="R176" s="91"/>
      <c r="S176" s="92"/>
      <c r="T176" s="91"/>
    </row>
    <row r="177" spans="1:20" ht="18.75" x14ac:dyDescent="0.3">
      <c r="A177" s="91"/>
      <c r="B177" s="100"/>
      <c r="C177" s="98"/>
      <c r="D177" s="98"/>
      <c r="E177" s="98"/>
      <c r="F177" s="98"/>
      <c r="G177" s="99"/>
      <c r="H177" s="98"/>
      <c r="I177" s="98"/>
      <c r="J177" s="98"/>
      <c r="K177" s="99"/>
      <c r="L177" s="98"/>
      <c r="M177" s="98"/>
      <c r="N177" s="96"/>
      <c r="O177" s="97"/>
      <c r="P177" s="96"/>
      <c r="Q177" s="95"/>
      <c r="R177" s="91"/>
      <c r="S177" s="94"/>
      <c r="T177" s="91"/>
    </row>
    <row r="178" spans="1:20" x14ac:dyDescent="0.25">
      <c r="A178" s="91"/>
      <c r="B178" s="91"/>
      <c r="C178" s="91"/>
      <c r="D178" s="91"/>
      <c r="E178" s="91"/>
      <c r="F178" s="92"/>
      <c r="G178" s="93"/>
      <c r="H178" s="92"/>
      <c r="I178" s="91"/>
      <c r="J178" s="92"/>
      <c r="K178" s="93"/>
      <c r="L178" s="92"/>
      <c r="M178" s="91"/>
      <c r="N178" s="92"/>
      <c r="O178" s="93"/>
      <c r="P178" s="92"/>
      <c r="Q178" s="91"/>
      <c r="R178" s="91"/>
      <c r="S178" s="92"/>
      <c r="T178" s="91"/>
    </row>
    <row r="182" spans="1:20" x14ac:dyDescent="0.25">
      <c r="B182" s="523" t="s">
        <v>17</v>
      </c>
      <c r="C182" s="523"/>
      <c r="D182" s="523"/>
      <c r="E182" s="523"/>
      <c r="F182" s="523"/>
      <c r="G182" s="523"/>
      <c r="H182" s="523"/>
      <c r="I182" s="523"/>
      <c r="J182" s="523"/>
      <c r="K182" s="523"/>
      <c r="L182" s="523"/>
      <c r="M182" s="523"/>
      <c r="N182" s="89"/>
      <c r="O182" s="90"/>
      <c r="P182" s="89"/>
    </row>
    <row r="183" spans="1:20" x14ac:dyDescent="0.25">
      <c r="B183" s="523" t="s">
        <v>18</v>
      </c>
      <c r="C183" s="523"/>
      <c r="D183" s="523"/>
      <c r="E183" s="523"/>
      <c r="F183" s="523"/>
      <c r="G183" s="523"/>
      <c r="H183" s="523"/>
      <c r="I183" s="523"/>
      <c r="J183" s="523"/>
      <c r="K183" s="523"/>
      <c r="L183" s="523"/>
      <c r="M183" s="523"/>
      <c r="N183" s="89"/>
      <c r="O183" s="90"/>
      <c r="P183" s="89"/>
    </row>
  </sheetData>
  <mergeCells count="20">
    <mergeCell ref="R173:S173"/>
    <mergeCell ref="T6:T7"/>
    <mergeCell ref="C1:Q1"/>
    <mergeCell ref="R6:R7"/>
    <mergeCell ref="S6:S7"/>
    <mergeCell ref="N6:Q6"/>
    <mergeCell ref="A4:T4"/>
    <mergeCell ref="A2:T2"/>
    <mergeCell ref="J6:M6"/>
    <mergeCell ref="B173:D173"/>
    <mergeCell ref="B183:M183"/>
    <mergeCell ref="B182:M182"/>
    <mergeCell ref="A175:C175"/>
    <mergeCell ref="A6:A7"/>
    <mergeCell ref="B6:B7"/>
    <mergeCell ref="C6:C7"/>
    <mergeCell ref="D6:D7"/>
    <mergeCell ref="E6:E7"/>
    <mergeCell ref="B176:M176"/>
    <mergeCell ref="F6:I6"/>
  </mergeCells>
  <hyperlinks>
    <hyperlink ref="M77" r:id="rId1" xr:uid="{00000000-0004-0000-0100-000000000000}"/>
    <hyperlink ref="Q77" r:id="rId2" xr:uid="{00000000-0004-0000-0100-000001000000}"/>
    <hyperlink ref="I78" r:id="rId3" xr:uid="{00000000-0004-0000-0100-000002000000}"/>
    <hyperlink ref="M78" r:id="rId4" xr:uid="{00000000-0004-0000-0100-000003000000}"/>
    <hyperlink ref="Q78" r:id="rId5" xr:uid="{00000000-0004-0000-0100-000004000000}"/>
    <hyperlink ref="I79" r:id="rId6" xr:uid="{00000000-0004-0000-0100-000005000000}"/>
    <hyperlink ref="M79" r:id="rId7" xr:uid="{00000000-0004-0000-0100-000006000000}"/>
    <hyperlink ref="Q79" r:id="rId8" xr:uid="{00000000-0004-0000-0100-000007000000}"/>
    <hyperlink ref="I80" r:id="rId9" xr:uid="{00000000-0004-0000-0100-000008000000}"/>
    <hyperlink ref="M80" r:id="rId10" xr:uid="{00000000-0004-0000-0100-000009000000}"/>
    <hyperlink ref="Q80" r:id="rId11" xr:uid="{00000000-0004-0000-0100-00000A000000}"/>
    <hyperlink ref="I81" r:id="rId12" xr:uid="{00000000-0004-0000-0100-00000B000000}"/>
    <hyperlink ref="Q81" r:id="rId13" xr:uid="{00000000-0004-0000-0100-00000C000000}"/>
    <hyperlink ref="I84" r:id="rId14" xr:uid="{00000000-0004-0000-0100-00000D000000}"/>
    <hyperlink ref="I90" r:id="rId15" xr:uid="{00000000-0004-0000-0100-00000E000000}"/>
    <hyperlink ref="M90" r:id="rId16" xr:uid="{00000000-0004-0000-0100-00000F000000}"/>
    <hyperlink ref="Q90" r:id="rId17" xr:uid="{00000000-0004-0000-0100-000010000000}"/>
    <hyperlink ref="I91" r:id="rId18" xr:uid="{00000000-0004-0000-0100-000011000000}"/>
    <hyperlink ref="Q91" r:id="rId19" xr:uid="{00000000-0004-0000-0100-000012000000}"/>
    <hyperlink ref="M92" r:id="rId20" xr:uid="{00000000-0004-0000-0100-000013000000}"/>
    <hyperlink ref="Q92" r:id="rId21" xr:uid="{00000000-0004-0000-0100-000014000000}"/>
    <hyperlink ref="I93" r:id="rId22" xr:uid="{00000000-0004-0000-0100-000015000000}"/>
    <hyperlink ref="Q93" r:id="rId23" xr:uid="{00000000-0004-0000-0100-000016000000}"/>
    <hyperlink ref="M93" r:id="rId24" xr:uid="{00000000-0004-0000-0100-000017000000}"/>
    <hyperlink ref="I94" r:id="rId25" xr:uid="{00000000-0004-0000-0100-000018000000}"/>
    <hyperlink ref="M94" r:id="rId26" xr:uid="{00000000-0004-0000-0100-000019000000}"/>
    <hyperlink ref="Q94" r:id="rId27" xr:uid="{00000000-0004-0000-0100-00001A000000}"/>
    <hyperlink ref="I95" r:id="rId28" xr:uid="{00000000-0004-0000-0100-00001B000000}"/>
    <hyperlink ref="M95" r:id="rId29" xr:uid="{00000000-0004-0000-0100-00001C000000}"/>
    <hyperlink ref="Q95" r:id="rId30" xr:uid="{00000000-0004-0000-0100-00001D000000}"/>
    <hyperlink ref="I96" r:id="rId31" xr:uid="{00000000-0004-0000-0100-00001E000000}"/>
    <hyperlink ref="M96" r:id="rId32" xr:uid="{00000000-0004-0000-0100-00001F000000}"/>
    <hyperlink ref="Q96" r:id="rId33" xr:uid="{00000000-0004-0000-0100-000020000000}"/>
    <hyperlink ref="I97" r:id="rId34" xr:uid="{00000000-0004-0000-0100-000021000000}"/>
    <hyperlink ref="M97" r:id="rId35" xr:uid="{00000000-0004-0000-0100-000022000000}"/>
    <hyperlink ref="Q97" r:id="rId36" xr:uid="{00000000-0004-0000-0100-000023000000}"/>
    <hyperlink ref="Q98" r:id="rId37" xr:uid="{00000000-0004-0000-0100-000024000000}"/>
    <hyperlink ref="Q99" r:id="rId38" xr:uid="{00000000-0004-0000-0100-000025000000}"/>
    <hyperlink ref="I100" r:id="rId39" xr:uid="{00000000-0004-0000-0100-000026000000}"/>
    <hyperlink ref="M100" r:id="rId40" xr:uid="{00000000-0004-0000-0100-000027000000}"/>
    <hyperlink ref="Q100" r:id="rId41" xr:uid="{00000000-0004-0000-0100-000028000000}"/>
    <hyperlink ref="I101" r:id="rId42" xr:uid="{00000000-0004-0000-0100-000029000000}"/>
    <hyperlink ref="M101" r:id="rId43" xr:uid="{00000000-0004-0000-0100-00002A000000}"/>
    <hyperlink ref="Q101" r:id="rId44" xr:uid="{00000000-0004-0000-0100-00002B000000}"/>
    <hyperlink ref="I102" r:id="rId45" xr:uid="{00000000-0004-0000-0100-00002C000000}"/>
    <hyperlink ref="M102" r:id="rId46" xr:uid="{00000000-0004-0000-0100-00002D000000}"/>
    <hyperlink ref="Q102" r:id="rId47" xr:uid="{00000000-0004-0000-0100-00002E000000}"/>
    <hyperlink ref="I103" r:id="rId48" xr:uid="{00000000-0004-0000-0100-00002F000000}"/>
    <hyperlink ref="M103" r:id="rId49" xr:uid="{00000000-0004-0000-0100-000030000000}"/>
    <hyperlink ref="Q103" r:id="rId50" xr:uid="{00000000-0004-0000-0100-000031000000}"/>
    <hyperlink ref="Q104" r:id="rId51" xr:uid="{00000000-0004-0000-0100-000032000000}"/>
    <hyperlink ref="I105" r:id="rId52" xr:uid="{00000000-0004-0000-0100-000033000000}"/>
    <hyperlink ref="M105" r:id="rId53" xr:uid="{00000000-0004-0000-0100-000034000000}"/>
    <hyperlink ref="Q105" r:id="rId54" xr:uid="{00000000-0004-0000-0100-000035000000}"/>
    <hyperlink ref="I106" r:id="rId55" xr:uid="{00000000-0004-0000-0100-000036000000}"/>
    <hyperlink ref="Q106" r:id="rId56" xr:uid="{00000000-0004-0000-0100-000037000000}"/>
    <hyperlink ref="M106" r:id="rId57" xr:uid="{00000000-0004-0000-0100-000038000000}"/>
    <hyperlink ref="M107" r:id="rId58" xr:uid="{00000000-0004-0000-0100-000039000000}"/>
    <hyperlink ref="I107" r:id="rId59" xr:uid="{00000000-0004-0000-0100-00003A000000}"/>
    <hyperlink ref="I108" r:id="rId60" xr:uid="{00000000-0004-0000-0100-00003B000000}"/>
    <hyperlink ref="M108" r:id="rId61" xr:uid="{00000000-0004-0000-0100-00003C000000}"/>
    <hyperlink ref="Q108" r:id="rId62" xr:uid="{00000000-0004-0000-0100-00003D000000}"/>
    <hyperlink ref="M110" r:id="rId63" xr:uid="{00000000-0004-0000-0100-00003E000000}"/>
    <hyperlink ref="Q110" r:id="rId64" xr:uid="{00000000-0004-0000-0100-00003F000000}"/>
    <hyperlink ref="I110" r:id="rId65" xr:uid="{00000000-0004-0000-0100-000040000000}"/>
    <hyperlink ref="M116" r:id="rId66" xr:uid="{00000000-0004-0000-0100-000041000000}"/>
    <hyperlink ref="I140" r:id="rId67" xr:uid="{00000000-0004-0000-0100-000042000000}"/>
    <hyperlink ref="M140" r:id="rId68" xr:uid="{00000000-0004-0000-0100-000043000000}"/>
    <hyperlink ref="M141" r:id="rId69" xr:uid="{00000000-0004-0000-0100-000044000000}"/>
    <hyperlink ref="Q141" r:id="rId70" xr:uid="{00000000-0004-0000-0100-000045000000}"/>
    <hyperlink ref="M142" r:id="rId71" xr:uid="{00000000-0004-0000-0100-000046000000}"/>
    <hyperlink ref="Q142" r:id="rId72" xr:uid="{00000000-0004-0000-0100-000047000000}"/>
    <hyperlink ref="I143" r:id="rId73" xr:uid="{00000000-0004-0000-0100-000048000000}"/>
    <hyperlink ref="M143" r:id="rId74" xr:uid="{00000000-0004-0000-0100-000049000000}"/>
    <hyperlink ref="Q143" r:id="rId75" xr:uid="{00000000-0004-0000-0100-00004A000000}"/>
    <hyperlink ref="I144" r:id="rId76" xr:uid="{00000000-0004-0000-0100-00004B000000}"/>
    <hyperlink ref="M144" r:id="rId77" xr:uid="{00000000-0004-0000-0100-00004C000000}"/>
    <hyperlink ref="Q144" r:id="rId78" xr:uid="{00000000-0004-0000-0100-00004D000000}"/>
    <hyperlink ref="M145" display="https://www.onlinetrade.ru/catalogue/istochniki_bespereboynogo_pitaniya_ibp-c153/bastion/istochnik_bespereboynogo_pitaniya_bastion_rapan_ups_2000_s_akb_2kh7ach-2574753.html?utm_source=ydirect&amp;utm_medium=cpc&amp;utm_term=5333816452&amp;etext=&amp;yclid=171549572736000" xr:uid="{00000000-0004-0000-0100-00004E000000}"/>
    <hyperlink ref="Q145" r:id="rId79" xr:uid="{00000000-0004-0000-0100-00004F000000}"/>
    <hyperlink ref="I155" r:id="rId80" xr:uid="{00000000-0004-0000-0100-000050000000}"/>
    <hyperlink ref="M155" r:id="rId81" xr:uid="{00000000-0004-0000-0100-000051000000}"/>
    <hyperlink ref="Q155" r:id="rId82" xr:uid="{00000000-0004-0000-0100-000052000000}"/>
    <hyperlink ref="I156" r:id="rId83" xr:uid="{00000000-0004-0000-0100-000053000000}"/>
    <hyperlink ref="Q156" r:id="rId84" xr:uid="{00000000-0004-0000-0100-000054000000}"/>
    <hyperlink ref="I157" r:id="rId85" xr:uid="{00000000-0004-0000-0100-000055000000}"/>
    <hyperlink ref="Q157" r:id="rId86" xr:uid="{00000000-0004-0000-0100-000056000000}"/>
    <hyperlink ref="I158" display="https://dkc-msk.ru/products/universalnyy-derzhatel-s-betonom-nd1000/?etext=2202.xonFsZI854ykptI1URO-fohE_zwJd_SPjjG6BHYbRw5zsDubb19mVIAPLbzhk3VDIwlhu-M482yln27TBPt6QhkIMQ8zcAf3MoI31zzoleF0cm1mZ2l2cHlvcnd4bWN6.ccf917a69c33c584e983bd74c2319bac75313862&amp;yclid" xr:uid="{00000000-0004-0000-0100-000057000000}"/>
    <hyperlink ref="M158" r:id="rId87" xr:uid="{00000000-0004-0000-0100-000058000000}"/>
    <hyperlink ref="I159" r:id="rId88" xr:uid="{00000000-0004-0000-0100-000059000000}"/>
    <hyperlink ref="Q159" r:id="rId89" xr:uid="{00000000-0004-0000-0100-00005A000000}"/>
    <hyperlink ref="I160" r:id="rId90" xr:uid="{00000000-0004-0000-0100-00005B000000}"/>
    <hyperlink ref="M160" r:id="rId91" xr:uid="{00000000-0004-0000-0100-00005C000000}"/>
    <hyperlink ref="Q160" r:id="rId92" xr:uid="{00000000-0004-0000-0100-00005D000000}"/>
    <hyperlink ref="M161" r:id="rId93" xr:uid="{00000000-0004-0000-0100-00005E000000}"/>
    <hyperlink ref="Q161" r:id="rId94" xr:uid="{00000000-0004-0000-0100-00005F000000}"/>
    <hyperlink ref="I162" r:id="rId95" xr:uid="{00000000-0004-0000-0100-000060000000}"/>
    <hyperlink ref="M162" r:id="rId96" xr:uid="{00000000-0004-0000-0100-000061000000}"/>
    <hyperlink ref="Q162" r:id="rId97" xr:uid="{00000000-0004-0000-0100-000062000000}"/>
    <hyperlink ref="Q163" r:id="rId98" xr:uid="{00000000-0004-0000-0100-000063000000}"/>
    <hyperlink ref="I164" display="https://stoking.ru/products/korobka-uravnivaniya-potencialov-kup-dlya-otkrytoy-ustanovki-promrukav-100h100h50?utm_source=yandex_direct&amp;utm_medium=cpc&amp;utm_campaign=Stoking_10_kategorij_Feed_Search_OrderCRM%7C702386702&amp;utm_content=gid%7C5625750575%7Caid%7C1" xr:uid="{00000000-0004-0000-0100-000064000000}"/>
    <hyperlink ref="M164" r:id="rId99" xr:uid="{00000000-0004-0000-0100-000065000000}"/>
    <hyperlink ref="Q164" r:id="rId100" xr:uid="{00000000-0004-0000-0100-000066000000}"/>
    <hyperlink ref="I166" r:id="rId101" xr:uid="{00000000-0004-0000-0100-000067000000}"/>
    <hyperlink ref="I167" r:id="rId102" xr:uid="{00000000-0004-0000-0100-000068000000}"/>
    <hyperlink ref="Q167" r:id="rId103" xr:uid="{00000000-0004-0000-0100-000069000000}"/>
    <hyperlink ref="I147" r:id="rId104" xr:uid="{00000000-0004-0000-0100-00006A000000}"/>
    <hyperlink ref="M147" r:id="rId105" xr:uid="{00000000-0004-0000-0100-00006B000000}"/>
    <hyperlink ref="Q147" r:id="rId106" xr:uid="{00000000-0004-0000-0100-00006C000000}"/>
    <hyperlink ref="I149" r:id="rId107" xr:uid="{00000000-0004-0000-0100-00006D000000}"/>
    <hyperlink ref="I150" r:id="rId108" xr:uid="{00000000-0004-0000-0100-00006E000000}"/>
    <hyperlink ref="M150" r:id="rId109" xr:uid="{00000000-0004-0000-0100-00006F000000}"/>
    <hyperlink ref="Q150" r:id="rId110" xr:uid="{00000000-0004-0000-0100-000070000000}"/>
    <hyperlink ref="I151" display="https://idistribute.ru/products/ramka_legrand_inspiria_2_posta_155kh84kh10_mm_vkhshkhg_ploskaya_universalnaya_tsvet_belyy_leg_673940/?utm_source=yandex&amp;utm_medium=cpc&amp;utm_campaign=ya_epk_dsa_obschaya_rf&amp;utm_term=---autotargeting&amp;utm_content=116777176&amp;camp" xr:uid="{00000000-0004-0000-0100-000071000000}"/>
    <hyperlink ref="M151" r:id="rId111" xr:uid="{00000000-0004-0000-0100-000072000000}"/>
    <hyperlink ref="I152" display="https://shop220.ru/672504-ramka-legrand-etika-4-posta-belyy.htm?utm_term=---autotargeting&amp;utm_val=click1&amp;utm_source=yandex-direct1&amp;utm_campaign=Склад%20МСК%20и%20МО%20ТК%201&amp;utm_content=16857356844&amp;utm_device=desktop&amp;utm_network=%7Bnetwork%7D&amp;source_type=" xr:uid="{00000000-0004-0000-0100-000073000000}"/>
    <hyperlink ref="M152" r:id="rId112" xr:uid="{00000000-0004-0000-0100-000074000000}"/>
    <hyperlink ref="Q152" r:id="rId113" xr:uid="{00000000-0004-0000-0100-000075000000}"/>
    <hyperlink ref="I153" r:id="rId114" xr:uid="{00000000-0004-0000-0100-000076000000}"/>
    <hyperlink ref="I154" r:id="rId115" xr:uid="{00000000-0004-0000-0100-000077000000}"/>
    <hyperlink ref="M154" r:id="rId116" xr:uid="{00000000-0004-0000-0100-000078000000}"/>
    <hyperlink ref="Q154" r:id="rId117" xr:uid="{00000000-0004-0000-0100-000079000000}"/>
    <hyperlink ref="I148" r:id="rId118" xr:uid="{00000000-0004-0000-0100-00007A000000}"/>
    <hyperlink ref="M168" r:id="rId119" xr:uid="{00000000-0004-0000-0100-00007B000000}"/>
    <hyperlink ref="Q168" r:id="rId120" xr:uid="{00000000-0004-0000-0100-00007C000000}"/>
    <hyperlink ref="I169" r:id="rId121" xr:uid="{00000000-0004-0000-0100-00007D000000}"/>
    <hyperlink ref="M169" r:id="rId122" xr:uid="{00000000-0004-0000-0100-00007E000000}"/>
    <hyperlink ref="Q169" r:id="rId123" xr:uid="{00000000-0004-0000-0100-00007F000000}"/>
    <hyperlink ref="I170" r:id="rId124" xr:uid="{00000000-0004-0000-0100-000080000000}"/>
    <hyperlink ref="M170" r:id="rId125" xr:uid="{00000000-0004-0000-0100-000081000000}"/>
    <hyperlink ref="Q170" display="https://www.vseinstrumenti.ru/product/vertikalnyj-zazemlitel-iz-ugolka-dkc-50x50x5mm-l-3000mm-ne5503-1156908/?utm_source=yandex&amp;utm_medium=cpc&amp;utm_campaign=119160180%7Cfokb2b_dsa_na_na_na_rf_all-category&amp;utm_content=1872277718298226164&amp;utm_term=ST:search%" xr:uid="{00000000-0004-0000-0100-000082000000}"/>
  </hyperlinks>
  <pageMargins left="0.31496062992125984" right="0.31496062992125984" top="0.74803149606299213" bottom="0.74803149606299213" header="0.31496062992125984" footer="0.31496062992125984"/>
  <pageSetup paperSize="9" scale="43" fitToHeight="0" orientation="landscape" r:id="rId126"/>
  <drawing r:id="rId12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2"/>
  <sheetViews>
    <sheetView view="pageBreakPreview" topLeftCell="A16" zoomScale="60" zoomScaleNormal="80" workbookViewId="0">
      <selection activeCell="V25" sqref="V25"/>
    </sheetView>
  </sheetViews>
  <sheetFormatPr defaultColWidth="8.7109375" defaultRowHeight="15.75" x14ac:dyDescent="0.25"/>
  <cols>
    <col min="1" max="1" width="9.28515625" style="1" customWidth="1"/>
    <col min="2" max="2" width="15.42578125" style="1" customWidth="1"/>
    <col min="3" max="3" width="60.140625" style="15" customWidth="1"/>
    <col min="4" max="4" width="23.85546875" style="15" customWidth="1"/>
    <col min="5" max="5" width="8" style="16" customWidth="1"/>
    <col min="6" max="6" width="32.85546875" style="15" hidden="1" customWidth="1"/>
    <col min="7" max="7" width="22.140625" style="15" customWidth="1"/>
    <col min="8" max="8" width="24.42578125" style="15" customWidth="1"/>
    <col min="9" max="9" width="19.7109375" style="15" customWidth="1"/>
    <col min="10" max="10" width="27.140625" style="15" hidden="1" customWidth="1"/>
    <col min="11" max="11" width="18.5703125" style="15" customWidth="1"/>
    <col min="12" max="12" width="27" style="15" customWidth="1"/>
    <col min="13" max="13" width="17.5703125" style="15" customWidth="1"/>
    <col min="14" max="14" width="21.85546875" style="15" hidden="1" customWidth="1"/>
    <col min="15" max="15" width="20.140625" style="15" customWidth="1"/>
    <col min="16" max="16" width="27" style="15" customWidth="1"/>
    <col min="17" max="17" width="22.5703125" style="17" customWidth="1"/>
    <col min="18" max="18" width="17.7109375" style="2" customWidth="1"/>
    <col min="19" max="19" width="20.5703125" style="155" customWidth="1"/>
    <col min="20" max="20" width="21.1406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x14ac:dyDescent="0.25">
      <c r="C2" s="77"/>
      <c r="D2" s="77"/>
      <c r="E2" s="77"/>
      <c r="F2" s="507"/>
      <c r="G2" s="507"/>
      <c r="H2" s="507"/>
      <c r="I2" s="541"/>
      <c r="J2" s="541"/>
      <c r="K2" s="206"/>
      <c r="L2" s="206"/>
      <c r="M2" s="77"/>
      <c r="N2" s="77"/>
      <c r="O2" s="77"/>
      <c r="P2" s="77"/>
      <c r="Q2" s="14"/>
      <c r="R2" s="14"/>
      <c r="S2" s="156"/>
      <c r="T2" s="14" t="s">
        <v>0</v>
      </c>
    </row>
    <row r="3" spans="1:20" x14ac:dyDescent="0.25">
      <c r="C3" s="77"/>
      <c r="D3" s="77"/>
      <c r="E3" s="77"/>
      <c r="F3" s="77"/>
      <c r="G3" s="77"/>
      <c r="H3" s="77"/>
      <c r="I3" s="206"/>
      <c r="J3" s="206"/>
      <c r="K3" s="206"/>
      <c r="L3" s="206"/>
      <c r="M3" s="77"/>
      <c r="N3" s="77"/>
      <c r="O3" s="77"/>
      <c r="P3" s="77"/>
      <c r="Q3" s="14"/>
      <c r="R3" s="542"/>
      <c r="S3" s="542"/>
      <c r="T3" s="14"/>
    </row>
    <row r="4" spans="1:20" x14ac:dyDescent="0.25">
      <c r="C4" s="77"/>
      <c r="D4" s="77"/>
      <c r="E4" s="77"/>
      <c r="F4" s="77"/>
      <c r="G4" s="77"/>
      <c r="H4" s="77"/>
      <c r="I4" s="206"/>
      <c r="J4" s="206"/>
      <c r="K4" s="206"/>
      <c r="L4" s="206"/>
      <c r="M4" s="77"/>
      <c r="N4" s="77"/>
      <c r="O4" s="77"/>
      <c r="P4" s="77"/>
      <c r="Q4" s="14"/>
      <c r="R4" s="207"/>
      <c r="S4" s="204"/>
      <c r="T4" s="14"/>
    </row>
    <row r="5" spans="1:20" ht="21.4" customHeight="1" x14ac:dyDescent="0.25">
      <c r="C5" s="77"/>
      <c r="D5" s="77"/>
      <c r="E5" s="77"/>
      <c r="F5" s="547" t="s">
        <v>26</v>
      </c>
      <c r="G5" s="547"/>
      <c r="H5" s="547"/>
      <c r="I5" s="541"/>
      <c r="J5" s="541"/>
      <c r="K5" s="206"/>
      <c r="L5" s="206"/>
      <c r="M5" s="77"/>
      <c r="N5" s="77"/>
      <c r="O5" s="77"/>
      <c r="P5" s="77"/>
      <c r="Q5" s="84"/>
      <c r="R5" s="205"/>
      <c r="S5" s="204"/>
      <c r="T5" s="14"/>
    </row>
    <row r="6" spans="1:20" s="87" customFormat="1" ht="38.25" customHeight="1" x14ac:dyDescent="0.25">
      <c r="A6" s="203"/>
      <c r="B6" s="203"/>
      <c r="C6" s="548" t="s">
        <v>1124</v>
      </c>
      <c r="D6" s="549"/>
      <c r="E6" s="549"/>
      <c r="F6" s="549"/>
      <c r="G6" s="549"/>
      <c r="H6" s="549"/>
      <c r="I6" s="549"/>
      <c r="J6" s="549"/>
      <c r="K6" s="549"/>
      <c r="L6" s="549"/>
      <c r="M6" s="550"/>
      <c r="N6" s="550"/>
      <c r="O6" s="550"/>
      <c r="P6" s="550"/>
      <c r="Q6" s="550"/>
      <c r="R6" s="550"/>
      <c r="S6" s="550"/>
    </row>
    <row r="7" spans="1:20" s="87" customFormat="1" ht="15.75" customHeight="1" x14ac:dyDescent="0.25">
      <c r="A7" s="203"/>
      <c r="B7" s="203"/>
      <c r="C7" s="202"/>
      <c r="D7" s="201"/>
      <c r="E7" s="200"/>
      <c r="F7" s="200"/>
      <c r="G7" s="200"/>
      <c r="H7" s="200"/>
      <c r="I7" s="200"/>
      <c r="J7" s="200"/>
      <c r="K7" s="200"/>
      <c r="L7" s="200"/>
      <c r="M7" s="200"/>
      <c r="N7" s="200"/>
      <c r="O7" s="200"/>
      <c r="P7" s="200"/>
      <c r="Q7" s="200"/>
      <c r="S7" s="199"/>
    </row>
    <row r="8" spans="1:20" s="196" customFormat="1" ht="24" customHeight="1" x14ac:dyDescent="0.25">
      <c r="A8" s="551" t="s">
        <v>1</v>
      </c>
      <c r="B8" s="551" t="s">
        <v>1123</v>
      </c>
      <c r="C8" s="553" t="s">
        <v>3</v>
      </c>
      <c r="D8" s="553" t="s">
        <v>4</v>
      </c>
      <c r="E8" s="551" t="s">
        <v>5</v>
      </c>
      <c r="F8" s="543" t="s">
        <v>6</v>
      </c>
      <c r="G8" s="543"/>
      <c r="H8" s="543"/>
      <c r="I8" s="544"/>
      <c r="J8" s="543" t="s">
        <v>7</v>
      </c>
      <c r="K8" s="543"/>
      <c r="L8" s="543"/>
      <c r="M8" s="544"/>
      <c r="N8" s="543" t="s">
        <v>8</v>
      </c>
      <c r="O8" s="543"/>
      <c r="P8" s="543"/>
      <c r="Q8" s="544"/>
      <c r="R8" s="545" t="s">
        <v>1122</v>
      </c>
      <c r="S8" s="546" t="s">
        <v>10</v>
      </c>
      <c r="T8" s="545" t="s">
        <v>11</v>
      </c>
    </row>
    <row r="9" spans="1:20" s="196" customFormat="1" ht="128.25" customHeight="1" x14ac:dyDescent="0.25">
      <c r="A9" s="552"/>
      <c r="B9" s="552"/>
      <c r="C9" s="544"/>
      <c r="D9" s="544"/>
      <c r="E9" s="544"/>
      <c r="F9" s="197" t="s">
        <v>12</v>
      </c>
      <c r="G9" s="198" t="s">
        <v>14</v>
      </c>
      <c r="H9" s="197" t="s">
        <v>12</v>
      </c>
      <c r="I9" s="197" t="s">
        <v>13</v>
      </c>
      <c r="J9" s="197" t="s">
        <v>12</v>
      </c>
      <c r="K9" s="198" t="s">
        <v>14</v>
      </c>
      <c r="L9" s="197" t="s">
        <v>12</v>
      </c>
      <c r="M9" s="197" t="s">
        <v>13</v>
      </c>
      <c r="N9" s="197" t="s">
        <v>12</v>
      </c>
      <c r="O9" s="198" t="s">
        <v>14</v>
      </c>
      <c r="P9" s="197" t="s">
        <v>12</v>
      </c>
      <c r="Q9" s="197" t="s">
        <v>13</v>
      </c>
      <c r="R9" s="545"/>
      <c r="S9" s="546"/>
      <c r="T9" s="545"/>
    </row>
    <row r="10" spans="1:20" x14ac:dyDescent="0.25">
      <c r="A10" s="194">
        <v>1</v>
      </c>
      <c r="B10" s="194">
        <f>A10+1</f>
        <v>2</v>
      </c>
      <c r="C10" s="194">
        <f>B10+1</f>
        <v>3</v>
      </c>
      <c r="D10" s="194">
        <f>C10+1</f>
        <v>4</v>
      </c>
      <c r="E10" s="194">
        <f>D10+1</f>
        <v>5</v>
      </c>
      <c r="F10" s="194"/>
      <c r="G10" s="194">
        <v>6</v>
      </c>
      <c r="H10" s="194">
        <v>7</v>
      </c>
      <c r="I10" s="194">
        <v>8</v>
      </c>
      <c r="J10" s="194"/>
      <c r="K10" s="194">
        <v>9</v>
      </c>
      <c r="L10" s="194">
        <v>10</v>
      </c>
      <c r="M10" s="194">
        <v>11</v>
      </c>
      <c r="N10" s="194"/>
      <c r="O10" s="194">
        <v>12</v>
      </c>
      <c r="P10" s="194">
        <v>13</v>
      </c>
      <c r="Q10" s="194">
        <v>14</v>
      </c>
      <c r="R10" s="194">
        <v>15</v>
      </c>
      <c r="S10" s="195">
        <f>R10+1</f>
        <v>16</v>
      </c>
      <c r="T10" s="194">
        <f>S10+1</f>
        <v>17</v>
      </c>
    </row>
    <row r="11" spans="1:20" ht="25.5" customHeight="1" x14ac:dyDescent="0.25">
      <c r="A11" s="11"/>
      <c r="B11" s="193" t="s">
        <v>1121</v>
      </c>
      <c r="C11" s="192" t="s">
        <v>1120</v>
      </c>
      <c r="D11" s="12"/>
      <c r="E11" s="13"/>
      <c r="F11" s="12"/>
      <c r="G11" s="12"/>
      <c r="H11" s="12"/>
      <c r="I11" s="12"/>
      <c r="J11" s="12"/>
      <c r="K11" s="12"/>
      <c r="L11" s="12"/>
      <c r="M11" s="12"/>
      <c r="N11" s="12"/>
      <c r="O11" s="60"/>
      <c r="P11" s="12"/>
      <c r="Q11" s="189"/>
      <c r="R11" s="12"/>
      <c r="S11" s="191"/>
      <c r="T11" s="12"/>
    </row>
    <row r="12" spans="1:20" ht="60.75" customHeight="1" x14ac:dyDescent="0.25">
      <c r="A12" s="188">
        <v>1</v>
      </c>
      <c r="B12" s="188" t="s">
        <v>1119</v>
      </c>
      <c r="C12" s="181" t="s">
        <v>1118</v>
      </c>
      <c r="D12" s="171" t="s">
        <v>1117</v>
      </c>
      <c r="E12" s="13" t="s">
        <v>15</v>
      </c>
      <c r="F12" s="178" t="s">
        <v>1116</v>
      </c>
      <c r="G12" s="186">
        <v>14750</v>
      </c>
      <c r="H12" s="13" t="s">
        <v>1012</v>
      </c>
      <c r="I12" s="13">
        <v>7729739610</v>
      </c>
      <c r="J12" s="178" t="s">
        <v>1115</v>
      </c>
      <c r="K12" s="190">
        <v>14750</v>
      </c>
      <c r="L12" s="13" t="s">
        <v>1114</v>
      </c>
      <c r="M12" s="13">
        <v>5047167847</v>
      </c>
      <c r="N12" s="178" t="s">
        <v>1113</v>
      </c>
      <c r="O12" s="186">
        <v>16767</v>
      </c>
      <c r="P12" s="13" t="s">
        <v>1112</v>
      </c>
      <c r="Q12" s="189">
        <v>620200681500</v>
      </c>
      <c r="R12" s="185">
        <f t="shared" ref="R12:R25" si="0">MIN(G12,K12,O12)</f>
        <v>14750</v>
      </c>
      <c r="S12" s="184"/>
      <c r="T12" s="13" t="s">
        <v>1020</v>
      </c>
    </row>
    <row r="13" spans="1:20" ht="87" customHeight="1" x14ac:dyDescent="0.25">
      <c r="A13" s="188">
        <v>2</v>
      </c>
      <c r="B13" s="188" t="s">
        <v>1094</v>
      </c>
      <c r="C13" s="181" t="s">
        <v>1111</v>
      </c>
      <c r="D13" s="171" t="s">
        <v>1110</v>
      </c>
      <c r="E13" s="13" t="s">
        <v>15</v>
      </c>
      <c r="F13" s="178" t="s">
        <v>1109</v>
      </c>
      <c r="G13" s="186">
        <v>11400</v>
      </c>
      <c r="H13" s="13" t="s">
        <v>1108</v>
      </c>
      <c r="I13" s="187" t="s">
        <v>1107</v>
      </c>
      <c r="J13" s="178" t="s">
        <v>1106</v>
      </c>
      <c r="K13" s="186">
        <v>11400</v>
      </c>
      <c r="L13" s="13" t="s">
        <v>203</v>
      </c>
      <c r="M13" s="13">
        <v>5029152090</v>
      </c>
      <c r="N13" s="178" t="s">
        <v>1105</v>
      </c>
      <c r="O13" s="186">
        <v>10830</v>
      </c>
      <c r="P13" s="13" t="s">
        <v>1104</v>
      </c>
      <c r="Q13" s="189">
        <v>772795206514</v>
      </c>
      <c r="R13" s="185">
        <f t="shared" si="0"/>
        <v>10830</v>
      </c>
      <c r="S13" s="184"/>
      <c r="T13" s="13" t="s">
        <v>1020</v>
      </c>
    </row>
    <row r="14" spans="1:20" ht="54" customHeight="1" x14ac:dyDescent="0.25">
      <c r="A14" s="188">
        <v>3</v>
      </c>
      <c r="B14" s="188" t="s">
        <v>1103</v>
      </c>
      <c r="C14" s="181" t="s">
        <v>1102</v>
      </c>
      <c r="D14" s="171" t="s">
        <v>1101</v>
      </c>
      <c r="E14" s="13" t="s">
        <v>15</v>
      </c>
      <c r="F14" s="178" t="s">
        <v>1100</v>
      </c>
      <c r="G14" s="186">
        <v>4769</v>
      </c>
      <c r="H14" s="13" t="s">
        <v>1099</v>
      </c>
      <c r="I14" s="13">
        <v>7715757659</v>
      </c>
      <c r="J14" s="178" t="s">
        <v>1098</v>
      </c>
      <c r="K14" s="186">
        <v>4328</v>
      </c>
      <c r="L14" s="13" t="s">
        <v>1097</v>
      </c>
      <c r="M14" s="13">
        <v>9726002935</v>
      </c>
      <c r="N14" s="178" t="s">
        <v>1096</v>
      </c>
      <c r="O14" s="186">
        <v>4958</v>
      </c>
      <c r="P14" s="13" t="s">
        <v>1095</v>
      </c>
      <c r="Q14" s="189">
        <v>7842103024</v>
      </c>
      <c r="R14" s="185">
        <f t="shared" si="0"/>
        <v>4328</v>
      </c>
      <c r="S14" s="184"/>
      <c r="T14" s="13" t="s">
        <v>1020</v>
      </c>
    </row>
    <row r="15" spans="1:20" ht="54" customHeight="1" x14ac:dyDescent="0.25">
      <c r="A15" s="188">
        <v>4</v>
      </c>
      <c r="B15" s="188" t="s">
        <v>1094</v>
      </c>
      <c r="C15" s="181" t="s">
        <v>1093</v>
      </c>
      <c r="D15" s="171" t="s">
        <v>1092</v>
      </c>
      <c r="E15" s="13" t="s">
        <v>15</v>
      </c>
      <c r="F15" s="178" t="s">
        <v>1091</v>
      </c>
      <c r="G15" s="186">
        <v>29445</v>
      </c>
      <c r="H15" s="13" t="s">
        <v>1090</v>
      </c>
      <c r="I15" s="13">
        <v>519001001</v>
      </c>
      <c r="J15" s="178" t="s">
        <v>1089</v>
      </c>
      <c r="K15" s="186">
        <v>28072</v>
      </c>
      <c r="L15" s="13" t="s">
        <v>1088</v>
      </c>
      <c r="M15" s="13">
        <v>5018207894</v>
      </c>
      <c r="N15" s="178" t="s">
        <v>1087</v>
      </c>
      <c r="O15" s="186">
        <v>28580</v>
      </c>
      <c r="P15" s="13" t="s">
        <v>1086</v>
      </c>
      <c r="Q15" s="189" t="s">
        <v>1085</v>
      </c>
      <c r="R15" s="185">
        <f t="shared" si="0"/>
        <v>28072</v>
      </c>
      <c r="S15" s="184"/>
      <c r="T15" s="13" t="s">
        <v>1020</v>
      </c>
    </row>
    <row r="16" spans="1:20" ht="140.25" customHeight="1" x14ac:dyDescent="0.25">
      <c r="A16" s="188">
        <v>5</v>
      </c>
      <c r="B16" s="188" t="s">
        <v>1068</v>
      </c>
      <c r="C16" s="181" t="s">
        <v>1084</v>
      </c>
      <c r="D16" s="171" t="s">
        <v>1083</v>
      </c>
      <c r="E16" s="13" t="s">
        <v>15</v>
      </c>
      <c r="F16" s="178" t="s">
        <v>1082</v>
      </c>
      <c r="G16" s="186">
        <v>7490</v>
      </c>
      <c r="H16" s="13" t="s">
        <v>1081</v>
      </c>
      <c r="I16" s="187" t="s">
        <v>1080</v>
      </c>
      <c r="J16" s="178" t="s">
        <v>1079</v>
      </c>
      <c r="K16" s="186">
        <v>7490</v>
      </c>
      <c r="L16" s="13" t="s">
        <v>1078</v>
      </c>
      <c r="M16" s="189">
        <v>6319060894</v>
      </c>
      <c r="N16" s="178" t="s">
        <v>1077</v>
      </c>
      <c r="O16" s="186">
        <v>6831</v>
      </c>
      <c r="P16" s="13" t="s">
        <v>1076</v>
      </c>
      <c r="Q16" s="13">
        <v>7724456143</v>
      </c>
      <c r="R16" s="185">
        <f t="shared" si="0"/>
        <v>6831</v>
      </c>
      <c r="S16" s="184"/>
      <c r="T16" s="13" t="s">
        <v>1020</v>
      </c>
    </row>
    <row r="17" spans="1:20" ht="121.5" customHeight="1" x14ac:dyDescent="0.25">
      <c r="A17" s="188">
        <v>6</v>
      </c>
      <c r="B17" s="188" t="s">
        <v>1068</v>
      </c>
      <c r="C17" s="181" t="s">
        <v>1075</v>
      </c>
      <c r="D17" s="171" t="s">
        <v>1074</v>
      </c>
      <c r="E17" s="13" t="s">
        <v>15</v>
      </c>
      <c r="F17" s="178" t="s">
        <v>1073</v>
      </c>
      <c r="G17" s="186">
        <v>11000</v>
      </c>
      <c r="H17" s="13" t="s">
        <v>1072</v>
      </c>
      <c r="I17" s="13">
        <v>9724129277</v>
      </c>
      <c r="J17" s="178" t="s">
        <v>1071</v>
      </c>
      <c r="K17" s="186">
        <v>12874</v>
      </c>
      <c r="L17" s="13" t="s">
        <v>347</v>
      </c>
      <c r="M17" s="13">
        <v>7722753969</v>
      </c>
      <c r="N17" s="178" t="s">
        <v>1070</v>
      </c>
      <c r="O17" s="186">
        <v>12200</v>
      </c>
      <c r="P17" s="13" t="s">
        <v>1069</v>
      </c>
      <c r="Q17" s="189">
        <v>301728307728</v>
      </c>
      <c r="R17" s="185">
        <f t="shared" si="0"/>
        <v>11000</v>
      </c>
      <c r="S17" s="184"/>
      <c r="T17" s="13" t="s">
        <v>1020</v>
      </c>
    </row>
    <row r="18" spans="1:20" ht="137.25" customHeight="1" x14ac:dyDescent="0.25">
      <c r="A18" s="188">
        <v>7</v>
      </c>
      <c r="B18" s="188" t="s">
        <v>1068</v>
      </c>
      <c r="C18" s="181" t="s">
        <v>1067</v>
      </c>
      <c r="D18" s="171" t="s">
        <v>1066</v>
      </c>
      <c r="E18" s="13" t="s">
        <v>15</v>
      </c>
      <c r="F18" s="178" t="s">
        <v>1065</v>
      </c>
      <c r="G18" s="186">
        <v>11307</v>
      </c>
      <c r="H18" s="13" t="s">
        <v>415</v>
      </c>
      <c r="I18" s="13">
        <v>5904993922</v>
      </c>
      <c r="J18" s="178" t="s">
        <v>1064</v>
      </c>
      <c r="K18" s="186">
        <v>12681</v>
      </c>
      <c r="L18" s="13" t="s">
        <v>1063</v>
      </c>
      <c r="M18" s="187" t="s">
        <v>1062</v>
      </c>
      <c r="N18" s="178" t="s">
        <v>1061</v>
      </c>
      <c r="O18" s="186">
        <v>12200</v>
      </c>
      <c r="P18" s="13" t="s">
        <v>1060</v>
      </c>
      <c r="Q18" s="13">
        <v>5001122089</v>
      </c>
      <c r="R18" s="185">
        <f t="shared" si="0"/>
        <v>11307</v>
      </c>
      <c r="S18" s="184"/>
      <c r="T18" s="13" t="s">
        <v>1020</v>
      </c>
    </row>
    <row r="19" spans="1:20" ht="63" customHeight="1" x14ac:dyDescent="0.25">
      <c r="A19" s="182">
        <v>8</v>
      </c>
      <c r="B19" s="161" t="s">
        <v>1028</v>
      </c>
      <c r="C19" s="181" t="s">
        <v>1059</v>
      </c>
      <c r="D19" s="171" t="s">
        <v>1058</v>
      </c>
      <c r="E19" s="180" t="s">
        <v>15</v>
      </c>
      <c r="F19" s="178" t="s">
        <v>1057</v>
      </c>
      <c r="G19" s="179">
        <v>869</v>
      </c>
      <c r="H19" s="183" t="s">
        <v>1046</v>
      </c>
      <c r="I19" s="168" t="s">
        <v>1045</v>
      </c>
      <c r="J19" s="178" t="s">
        <v>1056</v>
      </c>
      <c r="K19" s="177">
        <v>1520</v>
      </c>
      <c r="L19" s="163" t="s">
        <v>347</v>
      </c>
      <c r="M19" s="163">
        <v>7722753969</v>
      </c>
      <c r="N19" s="178" t="s">
        <v>1055</v>
      </c>
      <c r="O19" s="177">
        <v>1820</v>
      </c>
      <c r="P19" s="163" t="s">
        <v>350</v>
      </c>
      <c r="Q19" s="176">
        <v>7729108750</v>
      </c>
      <c r="R19" s="175">
        <f t="shared" si="0"/>
        <v>869</v>
      </c>
      <c r="S19" s="174"/>
      <c r="T19" s="13" t="s">
        <v>1020</v>
      </c>
    </row>
    <row r="20" spans="1:20" ht="61.5" customHeight="1" x14ac:dyDescent="0.25">
      <c r="A20" s="182">
        <v>9</v>
      </c>
      <c r="B20" s="161" t="s">
        <v>1028</v>
      </c>
      <c r="C20" s="181" t="s">
        <v>1054</v>
      </c>
      <c r="D20" s="171" t="s">
        <v>1053</v>
      </c>
      <c r="E20" s="180" t="s">
        <v>15</v>
      </c>
      <c r="F20" s="178" t="s">
        <v>1052</v>
      </c>
      <c r="G20" s="179">
        <v>2190</v>
      </c>
      <c r="H20" s="183" t="s">
        <v>1046</v>
      </c>
      <c r="I20" s="168" t="s">
        <v>1045</v>
      </c>
      <c r="J20" s="178" t="s">
        <v>1051</v>
      </c>
      <c r="K20" s="177">
        <v>2333</v>
      </c>
      <c r="L20" s="163" t="s">
        <v>347</v>
      </c>
      <c r="M20" s="163">
        <v>7722753969</v>
      </c>
      <c r="N20" s="178" t="s">
        <v>1050</v>
      </c>
      <c r="O20" s="177">
        <v>2420</v>
      </c>
      <c r="P20" s="163" t="s">
        <v>350</v>
      </c>
      <c r="Q20" s="176">
        <v>7729108750</v>
      </c>
      <c r="R20" s="175">
        <f t="shared" si="0"/>
        <v>2190</v>
      </c>
      <c r="S20" s="174"/>
      <c r="T20" s="13" t="s">
        <v>1020</v>
      </c>
    </row>
    <row r="21" spans="1:20" ht="65.25" customHeight="1" x14ac:dyDescent="0.25">
      <c r="A21" s="182">
        <v>10</v>
      </c>
      <c r="B21" s="161" t="s">
        <v>1028</v>
      </c>
      <c r="C21" s="181" t="s">
        <v>1049</v>
      </c>
      <c r="D21" s="171" t="s">
        <v>1048</v>
      </c>
      <c r="E21" s="180" t="s">
        <v>15</v>
      </c>
      <c r="F21" s="178" t="s">
        <v>1047</v>
      </c>
      <c r="G21" s="179">
        <v>2390</v>
      </c>
      <c r="H21" s="183" t="s">
        <v>1046</v>
      </c>
      <c r="I21" s="168" t="s">
        <v>1045</v>
      </c>
      <c r="J21" s="178" t="s">
        <v>1044</v>
      </c>
      <c r="K21" s="177">
        <v>2437</v>
      </c>
      <c r="L21" s="163" t="s">
        <v>347</v>
      </c>
      <c r="M21" s="163">
        <v>7722753969</v>
      </c>
      <c r="N21" s="178" t="s">
        <v>1043</v>
      </c>
      <c r="O21" s="177">
        <v>2660</v>
      </c>
      <c r="P21" s="163" t="s">
        <v>350</v>
      </c>
      <c r="Q21" s="176">
        <v>7729108750</v>
      </c>
      <c r="R21" s="175">
        <f t="shared" si="0"/>
        <v>2390</v>
      </c>
      <c r="S21" s="174"/>
      <c r="T21" s="13" t="s">
        <v>1020</v>
      </c>
    </row>
    <row r="22" spans="1:20" ht="50.25" customHeight="1" x14ac:dyDescent="0.25">
      <c r="A22" s="182">
        <v>11</v>
      </c>
      <c r="B22" s="161" t="s">
        <v>1028</v>
      </c>
      <c r="C22" s="181" t="s">
        <v>1042</v>
      </c>
      <c r="D22" s="171" t="s">
        <v>1041</v>
      </c>
      <c r="E22" s="180" t="s">
        <v>15</v>
      </c>
      <c r="F22" s="178" t="s">
        <v>1040</v>
      </c>
      <c r="G22" s="179">
        <v>13864.69</v>
      </c>
      <c r="H22" s="177" t="s">
        <v>1032</v>
      </c>
      <c r="I22" s="168" t="s">
        <v>1031</v>
      </c>
      <c r="J22" s="178" t="s">
        <v>1039</v>
      </c>
      <c r="K22" s="177">
        <v>13494</v>
      </c>
      <c r="L22" s="163" t="s">
        <v>1038</v>
      </c>
      <c r="M22" s="163">
        <v>7714359260</v>
      </c>
      <c r="N22" s="178" t="s">
        <v>1037</v>
      </c>
      <c r="O22" s="177">
        <v>13800</v>
      </c>
      <c r="P22" s="163" t="s">
        <v>1036</v>
      </c>
      <c r="Q22" s="176">
        <v>7715478133</v>
      </c>
      <c r="R22" s="175">
        <f t="shared" si="0"/>
        <v>13494</v>
      </c>
      <c r="S22" s="174"/>
      <c r="T22" s="13" t="s">
        <v>1020</v>
      </c>
    </row>
    <row r="23" spans="1:20" ht="50.25" customHeight="1" x14ac:dyDescent="0.25">
      <c r="A23" s="182">
        <v>12</v>
      </c>
      <c r="B23" s="161" t="s">
        <v>1028</v>
      </c>
      <c r="C23" s="181" t="s">
        <v>1035</v>
      </c>
      <c r="D23" s="171" t="s">
        <v>1034</v>
      </c>
      <c r="E23" s="180" t="s">
        <v>15</v>
      </c>
      <c r="F23" s="178" t="s">
        <v>1033</v>
      </c>
      <c r="G23" s="179">
        <v>13744.52</v>
      </c>
      <c r="H23" s="177" t="s">
        <v>1032</v>
      </c>
      <c r="I23" s="168" t="s">
        <v>1031</v>
      </c>
      <c r="J23" s="178" t="s">
        <v>1030</v>
      </c>
      <c r="K23" s="177">
        <v>12297</v>
      </c>
      <c r="L23" s="163" t="s">
        <v>347</v>
      </c>
      <c r="M23" s="163">
        <v>7722753969</v>
      </c>
      <c r="N23" s="178" t="s">
        <v>1029</v>
      </c>
      <c r="O23" s="177">
        <v>13165</v>
      </c>
      <c r="P23" s="163" t="s">
        <v>415</v>
      </c>
      <c r="Q23" s="176">
        <v>5904993922</v>
      </c>
      <c r="R23" s="175">
        <f t="shared" si="0"/>
        <v>12297</v>
      </c>
      <c r="S23" s="174"/>
      <c r="T23" s="13" t="s">
        <v>1020</v>
      </c>
    </row>
    <row r="24" spans="1:20" ht="53.25" customHeight="1" x14ac:dyDescent="0.25">
      <c r="A24" s="182">
        <v>13</v>
      </c>
      <c r="B24" s="161" t="s">
        <v>1028</v>
      </c>
      <c r="C24" s="181" t="s">
        <v>1027</v>
      </c>
      <c r="D24" s="171" t="s">
        <v>1026</v>
      </c>
      <c r="E24" s="180" t="s">
        <v>15</v>
      </c>
      <c r="F24" s="178" t="s">
        <v>1025</v>
      </c>
      <c r="G24" s="179">
        <v>15590</v>
      </c>
      <c r="H24" s="163" t="s">
        <v>347</v>
      </c>
      <c r="I24" s="163">
        <v>7722753969</v>
      </c>
      <c r="J24" s="178" t="s">
        <v>1024</v>
      </c>
      <c r="K24" s="177">
        <v>17808</v>
      </c>
      <c r="L24" s="163" t="s">
        <v>1023</v>
      </c>
      <c r="M24" s="176">
        <v>772431770788</v>
      </c>
      <c r="N24" s="178" t="s">
        <v>1022</v>
      </c>
      <c r="O24" s="177">
        <v>17765</v>
      </c>
      <c r="P24" s="163" t="s">
        <v>1021</v>
      </c>
      <c r="Q24" s="176">
        <v>772146738507</v>
      </c>
      <c r="R24" s="175">
        <f t="shared" si="0"/>
        <v>15590</v>
      </c>
      <c r="S24" s="174"/>
      <c r="T24" s="13" t="s">
        <v>1020</v>
      </c>
    </row>
    <row r="25" spans="1:20" ht="51" customHeight="1" x14ac:dyDescent="0.25">
      <c r="A25" s="170">
        <v>14</v>
      </c>
      <c r="B25" s="173" t="s">
        <v>1019</v>
      </c>
      <c r="C25" s="172" t="s">
        <v>1018</v>
      </c>
      <c r="D25" s="171" t="s">
        <v>1017</v>
      </c>
      <c r="E25" s="170" t="s">
        <v>15</v>
      </c>
      <c r="F25" s="169" t="s">
        <v>1016</v>
      </c>
      <c r="G25" s="162">
        <v>11413</v>
      </c>
      <c r="H25" s="164" t="s">
        <v>1015</v>
      </c>
      <c r="I25" s="168" t="s">
        <v>1014</v>
      </c>
      <c r="J25" s="166" t="s">
        <v>1013</v>
      </c>
      <c r="K25" s="165">
        <v>13893</v>
      </c>
      <c r="L25" s="164" t="s">
        <v>1012</v>
      </c>
      <c r="M25" s="167">
        <v>7729739610</v>
      </c>
      <c r="N25" s="166" t="s">
        <v>1011</v>
      </c>
      <c r="O25" s="165">
        <v>13025</v>
      </c>
      <c r="P25" s="164" t="s">
        <v>1010</v>
      </c>
      <c r="Q25" s="163">
        <v>5029199148</v>
      </c>
      <c r="R25" s="162">
        <f t="shared" si="0"/>
        <v>11413</v>
      </c>
      <c r="S25" s="161"/>
      <c r="T25" s="13" t="s">
        <v>1020</v>
      </c>
    </row>
    <row r="26" spans="1:20" ht="15.75" customHeight="1" x14ac:dyDescent="0.25">
      <c r="A26" s="160"/>
      <c r="I26" s="87"/>
      <c r="J26" s="87"/>
      <c r="K26" s="87"/>
      <c r="L26" s="87"/>
      <c r="M26" s="87"/>
      <c r="N26" s="87"/>
      <c r="O26" s="87"/>
      <c r="P26" s="87"/>
      <c r="Q26" s="159"/>
    </row>
    <row r="27" spans="1:20" x14ac:dyDescent="0.25">
      <c r="A27" s="14"/>
      <c r="B27" s="14"/>
      <c r="C27" s="14"/>
      <c r="D27" s="14"/>
      <c r="E27" s="14"/>
      <c r="F27" s="14"/>
      <c r="G27" s="14"/>
      <c r="H27" s="14"/>
      <c r="I27" s="14"/>
      <c r="J27" s="14"/>
      <c r="K27" s="14"/>
      <c r="L27" s="14"/>
      <c r="M27" s="14"/>
      <c r="N27" s="14"/>
      <c r="O27" s="14"/>
      <c r="P27" s="14"/>
      <c r="Q27" s="14"/>
      <c r="R27" s="14"/>
      <c r="S27" s="156"/>
      <c r="T27" s="14"/>
    </row>
    <row r="28" spans="1:20" x14ac:dyDescent="0.25">
      <c r="A28" s="14"/>
      <c r="B28" s="517" t="s">
        <v>16</v>
      </c>
      <c r="C28" s="517"/>
      <c r="D28" s="517"/>
      <c r="E28" s="14"/>
      <c r="F28" s="14"/>
      <c r="G28" s="14"/>
      <c r="H28" s="14"/>
      <c r="I28" s="14"/>
      <c r="J28" s="14"/>
      <c r="K28" s="14"/>
      <c r="L28" s="14"/>
      <c r="M28" s="14"/>
      <c r="N28" s="14"/>
      <c r="O28" s="14"/>
      <c r="P28" s="14"/>
      <c r="Q28" s="518" t="s">
        <v>25</v>
      </c>
      <c r="R28" s="518"/>
      <c r="S28" s="156"/>
      <c r="T28" s="14"/>
    </row>
    <row r="29" spans="1:20" x14ac:dyDescent="0.25">
      <c r="A29" s="14"/>
      <c r="B29" s="82"/>
      <c r="C29" s="82"/>
      <c r="D29" s="82"/>
      <c r="E29" s="14"/>
      <c r="F29" s="14"/>
      <c r="G29" s="14"/>
      <c r="H29" s="14"/>
      <c r="I29" s="14"/>
      <c r="J29" s="14"/>
      <c r="K29" s="14"/>
      <c r="L29" s="14"/>
      <c r="M29" s="14"/>
      <c r="N29" s="14"/>
      <c r="O29" s="14"/>
      <c r="P29" s="14"/>
      <c r="Q29" s="82"/>
      <c r="R29" s="82"/>
      <c r="S29" s="156"/>
      <c r="T29" s="14"/>
    </row>
    <row r="30" spans="1:20" x14ac:dyDescent="0.25">
      <c r="A30" s="14"/>
      <c r="B30" s="82"/>
      <c r="C30" s="82"/>
      <c r="D30" s="82"/>
      <c r="E30" s="14"/>
      <c r="F30" s="14"/>
      <c r="G30" s="14"/>
      <c r="H30" s="14"/>
      <c r="I30" s="14"/>
      <c r="J30" s="14"/>
      <c r="K30" s="14"/>
      <c r="L30" s="14"/>
      <c r="M30" s="14"/>
      <c r="N30" s="14"/>
      <c r="O30" s="14"/>
      <c r="P30" s="14"/>
      <c r="Q30" s="82"/>
      <c r="R30" s="82"/>
      <c r="S30" s="156"/>
      <c r="T30" s="14"/>
    </row>
    <row r="31" spans="1:20" x14ac:dyDescent="0.25">
      <c r="A31" s="14"/>
      <c r="B31" s="82"/>
      <c r="C31" s="82"/>
      <c r="D31" s="82"/>
      <c r="E31" s="14"/>
      <c r="F31" s="14"/>
      <c r="G31" s="14"/>
      <c r="H31" s="14"/>
      <c r="I31" s="14"/>
      <c r="J31" s="14"/>
      <c r="K31" s="14"/>
      <c r="L31" s="14"/>
      <c r="M31" s="14"/>
      <c r="N31" s="14"/>
      <c r="O31" s="14" t="s">
        <v>1009</v>
      </c>
      <c r="P31" s="14"/>
      <c r="Q31" s="82"/>
      <c r="R31" s="82"/>
      <c r="S31" s="156"/>
      <c r="T31" s="14"/>
    </row>
    <row r="32" spans="1:20" x14ac:dyDescent="0.25">
      <c r="A32" s="14"/>
      <c r="B32" s="82"/>
      <c r="C32" s="520" t="s">
        <v>23</v>
      </c>
      <c r="D32" s="82"/>
      <c r="E32" s="14"/>
      <c r="F32" s="14"/>
      <c r="G32" s="14"/>
      <c r="H32" s="14"/>
      <c r="I32" s="14"/>
      <c r="J32" s="14"/>
      <c r="K32" s="14"/>
      <c r="L32" s="14"/>
      <c r="M32" s="14"/>
      <c r="N32" s="520" t="s">
        <v>1008</v>
      </c>
      <c r="O32" s="520"/>
      <c r="P32" s="520"/>
      <c r="Q32" s="520"/>
      <c r="R32" s="82"/>
      <c r="S32" s="156"/>
      <c r="T32" s="14"/>
    </row>
    <row r="33" spans="1:20" ht="15.75" customHeight="1" x14ac:dyDescent="0.25">
      <c r="A33" s="14"/>
      <c r="B33" s="82"/>
      <c r="C33" s="520"/>
      <c r="D33" s="21"/>
      <c r="E33" s="21"/>
      <c r="F33" s="14"/>
      <c r="G33" s="14"/>
      <c r="H33" s="157" t="s">
        <v>1007</v>
      </c>
      <c r="I33" s="14"/>
      <c r="J33" s="14"/>
      <c r="K33" s="14"/>
      <c r="L33" s="14"/>
      <c r="M33" s="14"/>
      <c r="N33" s="21" t="s">
        <v>19</v>
      </c>
      <c r="O33" s="540" t="s">
        <v>21</v>
      </c>
      <c r="P33" s="540"/>
      <c r="Q33" s="540"/>
      <c r="R33" s="540"/>
      <c r="S33" s="156" t="s">
        <v>22</v>
      </c>
      <c r="T33" s="14"/>
    </row>
    <row r="34" spans="1:20" x14ac:dyDescent="0.25">
      <c r="A34" s="14"/>
      <c r="B34" s="520" t="s">
        <v>1006</v>
      </c>
      <c r="C34" s="520"/>
      <c r="D34" s="520"/>
      <c r="E34" s="520"/>
      <c r="F34" s="520"/>
      <c r="G34" s="520"/>
      <c r="H34" s="520"/>
      <c r="I34" s="520"/>
      <c r="J34" s="520"/>
      <c r="K34" s="520"/>
      <c r="L34" s="520"/>
      <c r="M34" s="520"/>
      <c r="N34" s="540"/>
      <c r="O34" s="540"/>
      <c r="P34" s="540"/>
      <c r="Q34" s="540"/>
      <c r="R34" s="82"/>
      <c r="S34" s="158"/>
      <c r="T34" s="14"/>
    </row>
    <row r="35" spans="1:20" x14ac:dyDescent="0.25">
      <c r="A35" s="14"/>
      <c r="B35" s="82"/>
      <c r="C35" s="82"/>
      <c r="D35" s="82"/>
      <c r="E35" s="14"/>
      <c r="F35" s="14"/>
      <c r="G35" s="14"/>
      <c r="H35" s="157"/>
      <c r="I35" s="14"/>
      <c r="J35" s="14"/>
      <c r="K35" s="14"/>
      <c r="L35" s="14"/>
      <c r="M35" s="14"/>
      <c r="N35" s="14"/>
      <c r="O35" s="14"/>
      <c r="P35" s="14"/>
      <c r="Q35" s="82"/>
      <c r="R35" s="82"/>
      <c r="S35" s="156"/>
      <c r="T35" s="14"/>
    </row>
    <row r="36" spans="1:20" x14ac:dyDescent="0.25">
      <c r="A36" s="14"/>
      <c r="B36" s="519"/>
      <c r="C36" s="519"/>
      <c r="D36" s="519"/>
      <c r="E36" s="14"/>
      <c r="F36" s="14"/>
      <c r="G36" s="14"/>
      <c r="H36" s="14"/>
      <c r="I36" s="14"/>
      <c r="J36" s="14"/>
      <c r="K36" s="14"/>
      <c r="L36" s="14"/>
      <c r="M36" s="14"/>
      <c r="N36" s="14"/>
      <c r="O36" s="14"/>
      <c r="P36" s="14"/>
      <c r="Q36" s="519" t="s">
        <v>19</v>
      </c>
      <c r="R36" s="519"/>
      <c r="S36" s="519"/>
      <c r="T36" s="14"/>
    </row>
    <row r="37" spans="1:20" x14ac:dyDescent="0.25">
      <c r="A37" s="14"/>
      <c r="B37" s="519" t="s">
        <v>19</v>
      </c>
      <c r="C37" s="519"/>
      <c r="D37" s="519"/>
      <c r="E37" s="14"/>
      <c r="F37" s="14"/>
      <c r="G37" s="14"/>
      <c r="H37" s="14"/>
      <c r="I37" s="14"/>
      <c r="J37" s="14"/>
      <c r="K37" s="14"/>
      <c r="L37" s="14"/>
      <c r="M37" s="14"/>
      <c r="N37" s="14"/>
      <c r="O37" s="14"/>
      <c r="P37" s="14"/>
      <c r="Q37" s="519" t="s">
        <v>19</v>
      </c>
      <c r="R37" s="519"/>
      <c r="S37" s="519"/>
      <c r="T37" s="14"/>
    </row>
    <row r="38" spans="1:20" x14ac:dyDescent="0.25">
      <c r="A38" s="14"/>
      <c r="B38" s="14"/>
      <c r="C38" s="14"/>
      <c r="D38" s="14"/>
      <c r="E38" s="14"/>
      <c r="F38" s="14"/>
      <c r="G38" s="14"/>
      <c r="H38" s="14"/>
      <c r="I38" s="14"/>
      <c r="J38" s="14"/>
      <c r="K38" s="14"/>
      <c r="L38" s="14"/>
      <c r="M38" s="14"/>
      <c r="N38" s="14"/>
      <c r="O38" s="14"/>
      <c r="P38" s="14"/>
      <c r="Q38" s="14"/>
      <c r="R38" s="14"/>
      <c r="S38" s="156"/>
      <c r="T38" s="14"/>
    </row>
    <row r="39" spans="1:20" x14ac:dyDescent="0.25">
      <c r="A39" s="14"/>
      <c r="B39" s="14"/>
      <c r="C39" s="14"/>
      <c r="D39" s="14"/>
      <c r="E39" s="14"/>
      <c r="F39" s="14"/>
      <c r="G39" s="14"/>
      <c r="H39" s="14"/>
      <c r="I39" s="14"/>
      <c r="J39" s="14"/>
      <c r="K39" s="14"/>
      <c r="L39" s="14"/>
      <c r="M39" s="14"/>
      <c r="N39" s="14"/>
      <c r="O39" s="14"/>
      <c r="P39" s="14"/>
      <c r="Q39" s="14"/>
      <c r="R39" s="14"/>
      <c r="S39" s="156"/>
      <c r="T39" s="14"/>
    </row>
    <row r="40" spans="1:20" x14ac:dyDescent="0.25">
      <c r="A40" s="14"/>
      <c r="B40" s="539" t="s">
        <v>17</v>
      </c>
      <c r="C40" s="539"/>
      <c r="D40" s="539"/>
      <c r="E40" s="539"/>
      <c r="F40" s="539"/>
      <c r="G40" s="539"/>
      <c r="H40" s="539"/>
      <c r="I40" s="539"/>
      <c r="J40" s="539"/>
      <c r="K40" s="539"/>
      <c r="L40" s="539"/>
      <c r="M40" s="539"/>
      <c r="N40" s="14"/>
      <c r="O40" s="14"/>
      <c r="P40" s="14"/>
      <c r="Q40" s="14"/>
      <c r="R40" s="14"/>
      <c r="S40" s="156"/>
      <c r="T40" s="14"/>
    </row>
    <row r="41" spans="1:20" x14ac:dyDescent="0.25">
      <c r="A41" s="14"/>
      <c r="B41" s="539" t="s">
        <v>18</v>
      </c>
      <c r="C41" s="539"/>
      <c r="D41" s="539"/>
      <c r="E41" s="539"/>
      <c r="F41" s="539"/>
      <c r="G41" s="539"/>
      <c r="H41" s="539"/>
      <c r="I41" s="539"/>
      <c r="J41" s="539"/>
      <c r="K41" s="539"/>
      <c r="L41" s="539"/>
      <c r="M41" s="539"/>
      <c r="N41" s="14"/>
      <c r="O41" s="14"/>
      <c r="P41" s="14"/>
      <c r="Q41" s="14"/>
      <c r="R41" s="14"/>
      <c r="S41" s="156"/>
      <c r="T41" s="14"/>
    </row>
    <row r="42" spans="1:20" x14ac:dyDescent="0.25">
      <c r="A42" s="14"/>
      <c r="B42" s="14"/>
      <c r="C42" s="14"/>
      <c r="D42" s="14"/>
      <c r="E42" s="14"/>
      <c r="F42" s="14"/>
      <c r="G42" s="14"/>
      <c r="H42" s="14"/>
      <c r="I42" s="14"/>
      <c r="J42" s="14"/>
      <c r="K42" s="14"/>
      <c r="L42" s="14"/>
      <c r="M42" s="14"/>
      <c r="N42" s="14"/>
      <c r="O42" s="14"/>
      <c r="P42" s="14"/>
      <c r="Q42" s="14"/>
      <c r="R42" s="14"/>
      <c r="S42" s="156"/>
      <c r="T42" s="14"/>
    </row>
  </sheetData>
  <mergeCells count="29">
    <mergeCell ref="T8:T9"/>
    <mergeCell ref="A8:A9"/>
    <mergeCell ref="B8:B9"/>
    <mergeCell ref="C8:C9"/>
    <mergeCell ref="D8:D9"/>
    <mergeCell ref="E8:E9"/>
    <mergeCell ref="C1:Q1"/>
    <mergeCell ref="F2:J2"/>
    <mergeCell ref="R3:S3"/>
    <mergeCell ref="F8:I8"/>
    <mergeCell ref="J8:M8"/>
    <mergeCell ref="N8:Q8"/>
    <mergeCell ref="R8:R9"/>
    <mergeCell ref="S8:S9"/>
    <mergeCell ref="F5:J5"/>
    <mergeCell ref="C6:S6"/>
    <mergeCell ref="B40:M40"/>
    <mergeCell ref="B41:M41"/>
    <mergeCell ref="B28:D28"/>
    <mergeCell ref="Q28:R28"/>
    <mergeCell ref="B36:D36"/>
    <mergeCell ref="Q36:S36"/>
    <mergeCell ref="B37:D37"/>
    <mergeCell ref="Q37:S37"/>
    <mergeCell ref="N32:Q32"/>
    <mergeCell ref="N34:Q34"/>
    <mergeCell ref="B34:M34"/>
    <mergeCell ref="C32:C33"/>
    <mergeCell ref="O33:R33"/>
  </mergeCells>
  <hyperlinks>
    <hyperlink ref="F12" r:id="rId1" xr:uid="{00000000-0004-0000-0200-000000000000}"/>
    <hyperlink ref="J12" r:id="rId2" xr:uid="{00000000-0004-0000-0200-000001000000}"/>
    <hyperlink ref="N12" r:id="rId3" xr:uid="{00000000-0004-0000-0200-000002000000}"/>
    <hyperlink ref="F13" r:id="rId4" xr:uid="{00000000-0004-0000-0200-000003000000}"/>
    <hyperlink ref="J13" r:id="rId5" xr:uid="{00000000-0004-0000-0200-000004000000}"/>
    <hyperlink ref="N13" r:id="rId6" xr:uid="{00000000-0004-0000-0200-000005000000}"/>
    <hyperlink ref="F14" r:id="rId7" display="https://dispenseri.ru/catalog/santekhnika/krany_dlya_pissuarov/krany_dlya_pissuarov_sensornye/sensornyy_kran_dlya_pissuarov_ledeme_lh506_1.html?utm_medium=cpc&amp;utm_campaign=im-rf-srch-do&amp;utm_source=yandex&amp;utm_content&amp;yclid=5136679050430906367&amp;ysclid=mi2r60rt1438249070" xr:uid="{00000000-0004-0000-0200-000006000000}"/>
    <hyperlink ref="J14" r:id="rId8" xr:uid="{00000000-0004-0000-0200-000007000000}"/>
    <hyperlink ref="N14" r:id="rId9" xr:uid="{00000000-0004-0000-0200-000008000000}"/>
    <hyperlink ref="F15" r:id="rId10" xr:uid="{00000000-0004-0000-0200-000009000000}"/>
    <hyperlink ref="J15" r:id="rId11" xr:uid="{00000000-0004-0000-0200-00000A000000}"/>
    <hyperlink ref="N15" r:id="rId12" xr:uid="{00000000-0004-0000-0200-00000B000000}"/>
    <hyperlink ref="F16" r:id="rId13" xr:uid="{00000000-0004-0000-0200-00000C000000}"/>
    <hyperlink ref="J16" r:id="rId14" display="https://www.kuvalda.ru/catalog/10578/product-81715/?utm_source=yandex.direct&amp;utm_medium=cpc&amp;utm_campaign=EPK_Moskvagoroda_prisustviya_DO_poisk&amp;utm_content=1889037615918727046_5655961869_none__%7Badtargetid%7D&amp;utm_term=---autotargeting&amp;ybaip=1&amp;yclid=17232772019588694015" xr:uid="{00000000-0004-0000-0200-00000D000000}"/>
    <hyperlink ref="N16" r:id="rId15" xr:uid="{00000000-0004-0000-0200-00000E000000}"/>
    <hyperlink ref="F17" r:id="rId16" xr:uid="{00000000-0004-0000-0200-00000F000000}"/>
    <hyperlink ref="J17" r:id="rId17" xr:uid="{00000000-0004-0000-0200-000010000000}"/>
    <hyperlink ref="N17" r:id="rId18" xr:uid="{00000000-0004-0000-0200-000011000000}"/>
    <hyperlink ref="F18" r:id="rId19" display="https://stoking.ru/products/vodonagrevatel-thermex-titaniumheat-100-v-bak-stalnoy-emal-kruglyy-vert-1-5-kvt?utm_source=yandex_direct&amp;utm_medium=cpc&amp;utm_campaign=Stoking_10_kategorij_Feed_Search_OrderCRM%7C702386702&amp;utm_content=gid%7C5625296493%7Caid%7C1883394557170599790&amp;utm_term=---autotargeting%7C205625296493%7Cret%7C205625296493%7Csearch%7Cnone&amp;ybaip=1&amp;yclid=393076593731305471" xr:uid="{00000000-0004-0000-0200-000012000000}"/>
    <hyperlink ref="J18" r:id="rId20" xr:uid="{00000000-0004-0000-0200-000013000000}"/>
    <hyperlink ref="N18" r:id="rId21" xr:uid="{00000000-0004-0000-0200-000014000000}"/>
    <hyperlink ref="J19" r:id="rId22" location="searchQuery=Мембранный+редукционный+клапан+SANEXT+DPRV-L+ДУ15&amp;searchType=srp" xr:uid="{00000000-0004-0000-0200-000015000000}"/>
    <hyperlink ref="F19" r:id="rId23" xr:uid="{00000000-0004-0000-0200-000016000000}"/>
    <hyperlink ref="N19" r:id="rId24" xr:uid="{00000000-0004-0000-0200-000017000000}"/>
    <hyperlink ref="F20" r:id="rId25" xr:uid="{00000000-0004-0000-0200-000018000000}"/>
    <hyperlink ref="J20" r:id="rId26" xr:uid="{00000000-0004-0000-0200-000019000000}"/>
    <hyperlink ref="N20" r:id="rId27" xr:uid="{00000000-0004-0000-0200-00001A000000}"/>
    <hyperlink ref="F21" r:id="rId28" xr:uid="{00000000-0004-0000-0200-00001B000000}"/>
    <hyperlink ref="J21" r:id="rId29" location="searchQuery=Мембранный+редукционный+клапан+SANEXT+DPRV-L+ДУ25&amp;searchType=srp" xr:uid="{00000000-0004-0000-0200-00001C000000}"/>
    <hyperlink ref="N21" r:id="rId30" xr:uid="{00000000-0004-0000-0200-00001D000000}"/>
    <hyperlink ref="F22" r:id="rId31" xr:uid="{00000000-0004-0000-0200-00001E000000}"/>
    <hyperlink ref="J22" r:id="rId32" xr:uid="{00000000-0004-0000-0200-00001F000000}"/>
    <hyperlink ref="N22" r:id="rId33" xr:uid="{00000000-0004-0000-0200-000020000000}"/>
    <hyperlink ref="F23" r:id="rId34" xr:uid="{00000000-0004-0000-0200-000021000000}"/>
    <hyperlink ref="J23" r:id="rId35" xr:uid="{00000000-0004-0000-0200-000022000000}"/>
    <hyperlink ref="F24" r:id="rId36" xr:uid="{00000000-0004-0000-0200-000023000000}"/>
    <hyperlink ref="F25" r:id="rId37" xr:uid="{00000000-0004-0000-0200-000024000000}"/>
    <hyperlink ref="N25" r:id="rId38" xr:uid="{00000000-0004-0000-0200-000025000000}"/>
    <hyperlink ref="J24" r:id="rId39" xr:uid="{00000000-0004-0000-0200-000026000000}"/>
    <hyperlink ref="N24" r:id="rId40" xr:uid="{00000000-0004-0000-0200-000027000000}"/>
  </hyperlinks>
  <printOptions horizontalCentered="1"/>
  <pageMargins left="0.70866141732283472" right="0.70866141732283472" top="0.74803149606299213" bottom="0.74803149606299213" header="0.31496062992125984" footer="0.31496062992125984"/>
  <pageSetup paperSize="9" scale="30" orientation="landscape" r:id="rId41"/>
  <drawing r:id="rId4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2"/>
  <sheetViews>
    <sheetView tabSelected="1" view="pageBreakPreview" zoomScale="60" zoomScaleNormal="80" workbookViewId="0">
      <selection activeCell="X35" sqref="X35"/>
    </sheetView>
  </sheetViews>
  <sheetFormatPr defaultColWidth="8.7109375" defaultRowHeight="15.75" x14ac:dyDescent="0.25"/>
  <cols>
    <col min="1" max="1" width="9.28515625" style="1" customWidth="1"/>
    <col min="2" max="2" width="15.42578125" style="1" customWidth="1"/>
    <col min="3" max="3" width="60.140625" style="15" customWidth="1"/>
    <col min="4" max="4" width="33" style="15" customWidth="1"/>
    <col min="5" max="5" width="8.140625" style="16" customWidth="1"/>
    <col min="6" max="6" width="17.85546875" style="15" hidden="1" customWidth="1"/>
    <col min="7" max="7" width="18" style="15" customWidth="1"/>
    <col min="8" max="8" width="24.42578125" style="15" customWidth="1"/>
    <col min="9" max="9" width="18.5703125" style="15" customWidth="1"/>
    <col min="10" max="10" width="19" style="15" hidden="1" customWidth="1"/>
    <col min="11" max="11" width="16.7109375" style="15" customWidth="1"/>
    <col min="12" max="12" width="27" style="15" customWidth="1"/>
    <col min="13" max="13" width="16.7109375" style="15" customWidth="1"/>
    <col min="14" max="14" width="20.28515625" style="15" hidden="1" customWidth="1"/>
    <col min="15" max="15" width="17.5703125" style="15" customWidth="1"/>
    <col min="16" max="16" width="27" style="15" customWidth="1"/>
    <col min="17" max="17" width="22.5703125" style="17" customWidth="1"/>
    <col min="18" max="18" width="17.7109375" style="2" customWidth="1"/>
    <col min="19" max="19" width="20.5703125" style="2" customWidth="1"/>
    <col min="20" max="20" width="21.1406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x14ac:dyDescent="0.25">
      <c r="C2" s="77"/>
      <c r="D2" s="77"/>
      <c r="E2" s="77"/>
      <c r="F2" s="507"/>
      <c r="G2" s="507"/>
      <c r="H2" s="507"/>
      <c r="I2" s="541"/>
      <c r="J2" s="541"/>
      <c r="K2" s="206"/>
      <c r="L2" s="206"/>
      <c r="M2" s="77"/>
      <c r="N2" s="77"/>
      <c r="O2" s="77"/>
      <c r="P2" s="77"/>
      <c r="Q2" s="14"/>
      <c r="R2" s="14"/>
      <c r="S2" s="14"/>
      <c r="T2" s="14" t="s">
        <v>0</v>
      </c>
    </row>
    <row r="3" spans="1:20" x14ac:dyDescent="0.25">
      <c r="C3" s="77"/>
      <c r="D3" s="77"/>
      <c r="E3" s="77"/>
      <c r="F3" s="77"/>
      <c r="G3" s="77"/>
      <c r="H3" s="77"/>
      <c r="I3" s="206"/>
      <c r="J3" s="206"/>
      <c r="K3" s="206"/>
      <c r="L3" s="206"/>
      <c r="M3" s="77"/>
      <c r="N3" s="77"/>
      <c r="O3" s="77"/>
      <c r="P3" s="77"/>
      <c r="Q3" s="14"/>
      <c r="R3" s="542"/>
      <c r="S3" s="542"/>
      <c r="T3" s="14"/>
    </row>
    <row r="4" spans="1:20" x14ac:dyDescent="0.25">
      <c r="C4" s="77"/>
      <c r="D4" s="77"/>
      <c r="E4" s="77"/>
      <c r="F4" s="77"/>
      <c r="G4" s="77"/>
      <c r="H4" s="77"/>
      <c r="I4" s="206"/>
      <c r="J4" s="206"/>
      <c r="K4" s="206"/>
      <c r="L4" s="206"/>
      <c r="M4" s="77"/>
      <c r="N4" s="77"/>
      <c r="O4" s="77"/>
      <c r="P4" s="77"/>
      <c r="Q4" s="14"/>
      <c r="R4" s="207"/>
      <c r="S4" s="207"/>
      <c r="T4" s="14"/>
    </row>
    <row r="5" spans="1:20" ht="21.4" customHeight="1" x14ac:dyDescent="0.25">
      <c r="C5" s="77"/>
      <c r="D5" s="77"/>
      <c r="E5" s="77"/>
      <c r="F5" s="547" t="s">
        <v>26</v>
      </c>
      <c r="G5" s="547"/>
      <c r="H5" s="547"/>
      <c r="I5" s="541"/>
      <c r="J5" s="541"/>
      <c r="K5" s="206"/>
      <c r="L5" s="206"/>
      <c r="M5" s="77"/>
      <c r="N5" s="77"/>
      <c r="O5" s="77"/>
      <c r="P5" s="77"/>
      <c r="Q5" s="84"/>
      <c r="R5" s="205"/>
      <c r="S5" s="207"/>
      <c r="T5" s="14"/>
    </row>
    <row r="6" spans="1:20" s="87" customFormat="1" ht="38.25" customHeight="1" x14ac:dyDescent="0.25">
      <c r="A6" s="203"/>
      <c r="B6" s="203"/>
      <c r="C6" s="548" t="s">
        <v>1124</v>
      </c>
      <c r="D6" s="549"/>
      <c r="E6" s="549"/>
      <c r="F6" s="549"/>
      <c r="G6" s="549"/>
      <c r="H6" s="549"/>
      <c r="I6" s="549"/>
      <c r="J6" s="549"/>
      <c r="K6" s="549"/>
      <c r="L6" s="549"/>
      <c r="M6" s="550"/>
      <c r="N6" s="550"/>
      <c r="O6" s="550"/>
      <c r="P6" s="550"/>
      <c r="Q6" s="550"/>
      <c r="R6" s="550"/>
      <c r="S6" s="550"/>
    </row>
    <row r="7" spans="1:20" s="87" customFormat="1" ht="15.75" customHeight="1" x14ac:dyDescent="0.25">
      <c r="A7" s="203"/>
      <c r="B7" s="203"/>
      <c r="C7" s="202"/>
      <c r="D7" s="201"/>
      <c r="E7" s="200"/>
      <c r="F7" s="200"/>
      <c r="G7" s="200"/>
      <c r="H7" s="200"/>
      <c r="I7" s="200"/>
      <c r="J7" s="200"/>
      <c r="K7" s="200"/>
      <c r="L7" s="200"/>
      <c r="M7" s="200"/>
      <c r="N7" s="200"/>
      <c r="O7" s="200"/>
      <c r="P7" s="200"/>
      <c r="Q7" s="200"/>
    </row>
    <row r="8" spans="1:20" s="196" customFormat="1" ht="24" customHeight="1" x14ac:dyDescent="0.25">
      <c r="A8" s="551" t="s">
        <v>1</v>
      </c>
      <c r="B8" s="551" t="s">
        <v>1123</v>
      </c>
      <c r="C8" s="553" t="s">
        <v>3</v>
      </c>
      <c r="D8" s="553" t="s">
        <v>4</v>
      </c>
      <c r="E8" s="551" t="s">
        <v>5</v>
      </c>
      <c r="F8" s="543" t="s">
        <v>6</v>
      </c>
      <c r="G8" s="543"/>
      <c r="H8" s="543"/>
      <c r="I8" s="544"/>
      <c r="J8" s="543" t="s">
        <v>7</v>
      </c>
      <c r="K8" s="543"/>
      <c r="L8" s="543"/>
      <c r="M8" s="544"/>
      <c r="N8" s="543" t="s">
        <v>8</v>
      </c>
      <c r="O8" s="543"/>
      <c r="P8" s="543"/>
      <c r="Q8" s="544"/>
      <c r="R8" s="545" t="s">
        <v>1122</v>
      </c>
      <c r="S8" s="545" t="s">
        <v>10</v>
      </c>
      <c r="T8" s="545" t="s">
        <v>11</v>
      </c>
    </row>
    <row r="9" spans="1:20" s="196" customFormat="1" ht="128.25" customHeight="1" x14ac:dyDescent="0.25">
      <c r="A9" s="552"/>
      <c r="B9" s="552"/>
      <c r="C9" s="544"/>
      <c r="D9" s="544"/>
      <c r="E9" s="544"/>
      <c r="F9" s="197" t="s">
        <v>12</v>
      </c>
      <c r="G9" s="198" t="s">
        <v>14</v>
      </c>
      <c r="H9" s="197" t="s">
        <v>12</v>
      </c>
      <c r="I9" s="197" t="s">
        <v>13</v>
      </c>
      <c r="J9" s="197" t="s">
        <v>12</v>
      </c>
      <c r="K9" s="198" t="s">
        <v>14</v>
      </c>
      <c r="L9" s="197" t="s">
        <v>12</v>
      </c>
      <c r="M9" s="197" t="s">
        <v>13</v>
      </c>
      <c r="N9" s="197" t="s">
        <v>12</v>
      </c>
      <c r="O9" s="198" t="s">
        <v>14</v>
      </c>
      <c r="P9" s="197" t="s">
        <v>12</v>
      </c>
      <c r="Q9" s="197" t="s">
        <v>13</v>
      </c>
      <c r="R9" s="545"/>
      <c r="S9" s="545"/>
      <c r="T9" s="545"/>
    </row>
    <row r="10" spans="1:20" x14ac:dyDescent="0.25">
      <c r="A10" s="194">
        <v>1</v>
      </c>
      <c r="B10" s="194">
        <f>A10+1</f>
        <v>2</v>
      </c>
      <c r="C10" s="194">
        <f>B10+1</f>
        <v>3</v>
      </c>
      <c r="D10" s="194">
        <f>C10+1</f>
        <v>4</v>
      </c>
      <c r="E10" s="194">
        <f>D10+1</f>
        <v>5</v>
      </c>
      <c r="F10" s="194"/>
      <c r="G10" s="194">
        <v>6</v>
      </c>
      <c r="H10" s="194">
        <v>7</v>
      </c>
      <c r="I10" s="194">
        <v>8</v>
      </c>
      <c r="J10" s="194"/>
      <c r="K10" s="194">
        <v>9</v>
      </c>
      <c r="L10" s="194">
        <v>10</v>
      </c>
      <c r="M10" s="194">
        <v>11</v>
      </c>
      <c r="N10" s="194"/>
      <c r="O10" s="194">
        <v>12</v>
      </c>
      <c r="P10" s="194">
        <v>13</v>
      </c>
      <c r="Q10" s="194">
        <v>14</v>
      </c>
      <c r="R10" s="194">
        <v>15</v>
      </c>
      <c r="S10" s="194">
        <f>R10+1</f>
        <v>16</v>
      </c>
      <c r="T10" s="194">
        <f>S10+1</f>
        <v>17</v>
      </c>
    </row>
    <row r="11" spans="1:20" ht="25.5" customHeight="1" x14ac:dyDescent="0.25">
      <c r="A11" s="11"/>
      <c r="B11" s="193" t="s">
        <v>1289</v>
      </c>
      <c r="C11" s="192" t="s">
        <v>1288</v>
      </c>
      <c r="D11" s="12"/>
      <c r="E11" s="13"/>
      <c r="F11" s="12"/>
      <c r="G11" s="12"/>
      <c r="H11" s="12"/>
      <c r="I11" s="12"/>
      <c r="J11" s="12"/>
      <c r="K11" s="12"/>
      <c r="L11" s="12"/>
      <c r="M11" s="12"/>
      <c r="N11" s="12"/>
      <c r="O11" s="60"/>
      <c r="P11" s="12"/>
      <c r="Q11" s="189"/>
      <c r="R11" s="12"/>
      <c r="S11" s="12"/>
      <c r="T11" s="12"/>
    </row>
    <row r="12" spans="1:20" ht="45.75" customHeight="1" x14ac:dyDescent="0.25">
      <c r="A12" s="188">
        <v>1</v>
      </c>
      <c r="B12" s="211">
        <v>44193</v>
      </c>
      <c r="C12" s="181" t="s">
        <v>1287</v>
      </c>
      <c r="D12" s="171" t="s">
        <v>1286</v>
      </c>
      <c r="E12" s="13" t="s">
        <v>15</v>
      </c>
      <c r="F12" s="178" t="s">
        <v>1285</v>
      </c>
      <c r="G12" s="186">
        <v>49900</v>
      </c>
      <c r="H12" s="163" t="s">
        <v>347</v>
      </c>
      <c r="I12" s="163">
        <v>7722753969</v>
      </c>
      <c r="J12" s="178" t="s">
        <v>1284</v>
      </c>
      <c r="K12" s="190">
        <v>49634.82</v>
      </c>
      <c r="L12" s="13" t="s">
        <v>1283</v>
      </c>
      <c r="M12" s="13">
        <v>7842224734</v>
      </c>
      <c r="N12" s="178" t="s">
        <v>1282</v>
      </c>
      <c r="O12" s="186">
        <v>49900.800000000003</v>
      </c>
      <c r="P12" s="13" t="s">
        <v>1032</v>
      </c>
      <c r="Q12" s="189">
        <v>7705674361</v>
      </c>
      <c r="R12" s="185">
        <f t="shared" ref="R12:R36" si="0">MIN(G12,K12,O12)</f>
        <v>49634.82</v>
      </c>
      <c r="S12" s="13"/>
      <c r="T12" s="13" t="s">
        <v>1020</v>
      </c>
    </row>
    <row r="13" spans="1:20" ht="49.5" customHeight="1" x14ac:dyDescent="0.25">
      <c r="A13" s="188">
        <v>2</v>
      </c>
      <c r="B13" s="188" t="s">
        <v>1153</v>
      </c>
      <c r="C13" s="181" t="s">
        <v>1281</v>
      </c>
      <c r="D13" s="171" t="s">
        <v>1280</v>
      </c>
      <c r="E13" s="13" t="s">
        <v>15</v>
      </c>
      <c r="F13" s="178" t="s">
        <v>1279</v>
      </c>
      <c r="G13" s="186">
        <v>13270</v>
      </c>
      <c r="H13" s="13" t="s">
        <v>1278</v>
      </c>
      <c r="I13" s="187" t="s">
        <v>1277</v>
      </c>
      <c r="J13" s="178" t="s">
        <v>1276</v>
      </c>
      <c r="K13" s="186">
        <v>13270</v>
      </c>
      <c r="L13" s="13" t="s">
        <v>1275</v>
      </c>
      <c r="M13" s="187" t="s">
        <v>1274</v>
      </c>
      <c r="N13" s="178" t="s">
        <v>1273</v>
      </c>
      <c r="O13" s="186">
        <v>13270</v>
      </c>
      <c r="P13" s="13" t="s">
        <v>1272</v>
      </c>
      <c r="Q13" s="189">
        <v>634503166573</v>
      </c>
      <c r="R13" s="185">
        <f t="shared" si="0"/>
        <v>13270</v>
      </c>
      <c r="S13" s="13"/>
      <c r="T13" s="13" t="s">
        <v>1020</v>
      </c>
    </row>
    <row r="14" spans="1:20" ht="33.75" customHeight="1" x14ac:dyDescent="0.25">
      <c r="A14" s="188">
        <v>3</v>
      </c>
      <c r="B14" s="188" t="s">
        <v>1265</v>
      </c>
      <c r="C14" s="181" t="s">
        <v>1271</v>
      </c>
      <c r="D14" s="171" t="s">
        <v>1270</v>
      </c>
      <c r="E14" s="13" t="s">
        <v>15</v>
      </c>
      <c r="F14" s="178" t="s">
        <v>1269</v>
      </c>
      <c r="G14" s="186">
        <v>3447.7</v>
      </c>
      <c r="H14" s="13" t="s">
        <v>1149</v>
      </c>
      <c r="I14" s="13">
        <v>7736192449</v>
      </c>
      <c r="J14" s="178" t="s">
        <v>1268</v>
      </c>
      <c r="K14" s="186">
        <v>2549.5</v>
      </c>
      <c r="L14" s="13" t="s">
        <v>1260</v>
      </c>
      <c r="M14" s="13" t="s">
        <v>1259</v>
      </c>
      <c r="N14" s="178" t="s">
        <v>1267</v>
      </c>
      <c r="O14" s="186">
        <v>3094</v>
      </c>
      <c r="P14" s="13" t="s">
        <v>1266</v>
      </c>
      <c r="Q14" s="189">
        <v>4703163221</v>
      </c>
      <c r="R14" s="185">
        <f t="shared" si="0"/>
        <v>2549.5</v>
      </c>
      <c r="S14" s="184"/>
      <c r="T14" s="13" t="s">
        <v>1020</v>
      </c>
    </row>
    <row r="15" spans="1:20" ht="35.25" customHeight="1" x14ac:dyDescent="0.25">
      <c r="A15" s="188">
        <v>4</v>
      </c>
      <c r="B15" s="188" t="s">
        <v>1265</v>
      </c>
      <c r="C15" s="181" t="s">
        <v>1264</v>
      </c>
      <c r="D15" s="171" t="s">
        <v>1263</v>
      </c>
      <c r="E15" s="13" t="s">
        <v>15</v>
      </c>
      <c r="F15" s="178" t="s">
        <v>1262</v>
      </c>
      <c r="G15" s="186">
        <v>2168.9</v>
      </c>
      <c r="H15" s="13" t="s">
        <v>1149</v>
      </c>
      <c r="I15" s="13">
        <v>7736192449</v>
      </c>
      <c r="J15" s="178" t="s">
        <v>1261</v>
      </c>
      <c r="K15" s="186">
        <v>1603.3</v>
      </c>
      <c r="L15" s="13" t="s">
        <v>1260</v>
      </c>
      <c r="M15" s="13" t="s">
        <v>1259</v>
      </c>
      <c r="N15" s="178" t="s">
        <v>1258</v>
      </c>
      <c r="O15" s="186">
        <v>1977</v>
      </c>
      <c r="P15" s="13" t="s">
        <v>1191</v>
      </c>
      <c r="Q15" s="189">
        <v>7751246233</v>
      </c>
      <c r="R15" s="185">
        <f t="shared" si="0"/>
        <v>1603.3</v>
      </c>
      <c r="S15" s="184"/>
      <c r="T15" s="13" t="s">
        <v>1020</v>
      </c>
    </row>
    <row r="16" spans="1:20" ht="57.75" customHeight="1" x14ac:dyDescent="0.25">
      <c r="A16" s="188">
        <v>5</v>
      </c>
      <c r="B16" s="188" t="s">
        <v>1162</v>
      </c>
      <c r="C16" s="181" t="s">
        <v>1257</v>
      </c>
      <c r="D16" s="171" t="s">
        <v>1256</v>
      </c>
      <c r="E16" s="13" t="s">
        <v>15</v>
      </c>
      <c r="F16" s="178" t="s">
        <v>1255</v>
      </c>
      <c r="G16" s="186">
        <v>9900</v>
      </c>
      <c r="H16" s="13" t="s">
        <v>1254</v>
      </c>
      <c r="I16" s="187" t="s">
        <v>1253</v>
      </c>
      <c r="J16" s="178" t="s">
        <v>1252</v>
      </c>
      <c r="K16" s="186">
        <v>9079</v>
      </c>
      <c r="L16" s="13" t="s">
        <v>1251</v>
      </c>
      <c r="M16" s="189">
        <v>7725823484</v>
      </c>
      <c r="N16" s="178" t="s">
        <v>1250</v>
      </c>
      <c r="O16" s="186">
        <v>9900</v>
      </c>
      <c r="P16" s="13" t="s">
        <v>1249</v>
      </c>
      <c r="Q16" s="13">
        <v>6670319178</v>
      </c>
      <c r="R16" s="185">
        <f t="shared" si="0"/>
        <v>9079</v>
      </c>
      <c r="S16" s="13"/>
      <c r="T16" s="13" t="s">
        <v>1020</v>
      </c>
    </row>
    <row r="17" spans="1:20" ht="53.25" customHeight="1" x14ac:dyDescent="0.25">
      <c r="A17" s="188">
        <v>6</v>
      </c>
      <c r="B17" s="188" t="s">
        <v>1248</v>
      </c>
      <c r="C17" s="181" t="s">
        <v>1247</v>
      </c>
      <c r="D17" s="171" t="s">
        <v>1246</v>
      </c>
      <c r="E17" s="13" t="s">
        <v>15</v>
      </c>
      <c r="F17" s="178" t="s">
        <v>1245</v>
      </c>
      <c r="G17" s="186">
        <v>12756</v>
      </c>
      <c r="H17" s="187" t="s">
        <v>1244</v>
      </c>
      <c r="I17" s="187" t="s">
        <v>383</v>
      </c>
      <c r="J17" s="178" t="s">
        <v>1243</v>
      </c>
      <c r="K17" s="186">
        <v>14300</v>
      </c>
      <c r="L17" s="13" t="s">
        <v>347</v>
      </c>
      <c r="M17" s="13">
        <v>7722753969</v>
      </c>
      <c r="N17" s="178" t="s">
        <v>1242</v>
      </c>
      <c r="O17" s="186">
        <v>12755</v>
      </c>
      <c r="P17" s="13" t="s">
        <v>1241</v>
      </c>
      <c r="Q17" s="189">
        <v>9728005353</v>
      </c>
      <c r="R17" s="185">
        <f t="shared" si="0"/>
        <v>12755</v>
      </c>
      <c r="S17" s="13"/>
      <c r="T17" s="13" t="s">
        <v>1020</v>
      </c>
    </row>
    <row r="18" spans="1:20" ht="45.75" customHeight="1" x14ac:dyDescent="0.25">
      <c r="A18" s="188">
        <v>7</v>
      </c>
      <c r="B18" s="188" t="s">
        <v>1162</v>
      </c>
      <c r="C18" s="181" t="s">
        <v>1240</v>
      </c>
      <c r="D18" s="171" t="s">
        <v>1239</v>
      </c>
      <c r="E18" s="13" t="s">
        <v>15</v>
      </c>
      <c r="F18" s="178" t="s">
        <v>1238</v>
      </c>
      <c r="G18" s="186">
        <v>3418</v>
      </c>
      <c r="H18" s="187" t="s">
        <v>1191</v>
      </c>
      <c r="I18" s="187" t="s">
        <v>1232</v>
      </c>
      <c r="J18" s="178" t="s">
        <v>1237</v>
      </c>
      <c r="K18" s="186">
        <v>3105</v>
      </c>
      <c r="L18" s="13" t="s">
        <v>102</v>
      </c>
      <c r="M18" s="13">
        <v>9718041930</v>
      </c>
      <c r="N18" s="178" t="s">
        <v>1236</v>
      </c>
      <c r="O18" s="186">
        <v>2940</v>
      </c>
      <c r="P18" s="13" t="s">
        <v>1228</v>
      </c>
      <c r="Q18" s="189">
        <v>9719006671</v>
      </c>
      <c r="R18" s="185">
        <f t="shared" si="0"/>
        <v>2940</v>
      </c>
      <c r="S18" s="13"/>
      <c r="T18" s="13" t="s">
        <v>1020</v>
      </c>
    </row>
    <row r="19" spans="1:20" ht="61.5" customHeight="1" x14ac:dyDescent="0.25">
      <c r="A19" s="188">
        <v>8</v>
      </c>
      <c r="B19" s="188" t="s">
        <v>1162</v>
      </c>
      <c r="C19" s="181" t="s">
        <v>1235</v>
      </c>
      <c r="D19" s="171" t="s">
        <v>1234</v>
      </c>
      <c r="E19" s="13" t="s">
        <v>15</v>
      </c>
      <c r="F19" s="178" t="s">
        <v>1233</v>
      </c>
      <c r="G19" s="186">
        <v>2847</v>
      </c>
      <c r="H19" s="187" t="s">
        <v>1191</v>
      </c>
      <c r="I19" s="187" t="s">
        <v>1232</v>
      </c>
      <c r="J19" s="178" t="s">
        <v>1231</v>
      </c>
      <c r="K19" s="186">
        <v>3542</v>
      </c>
      <c r="L19" s="171" t="s">
        <v>1230</v>
      </c>
      <c r="M19" s="13">
        <v>9710087250</v>
      </c>
      <c r="N19" s="178" t="s">
        <v>1229</v>
      </c>
      <c r="O19" s="186">
        <v>3539</v>
      </c>
      <c r="P19" s="13" t="s">
        <v>1228</v>
      </c>
      <c r="Q19" s="189">
        <v>9719006671</v>
      </c>
      <c r="R19" s="185">
        <f t="shared" si="0"/>
        <v>2847</v>
      </c>
      <c r="S19" s="13"/>
      <c r="T19" s="13" t="s">
        <v>1020</v>
      </c>
    </row>
    <row r="20" spans="1:20" ht="53.25" customHeight="1" x14ac:dyDescent="0.25">
      <c r="A20" s="188">
        <v>9</v>
      </c>
      <c r="B20" s="188" t="s">
        <v>1162</v>
      </c>
      <c r="C20" s="181" t="s">
        <v>1227</v>
      </c>
      <c r="D20" s="171" t="s">
        <v>1224</v>
      </c>
      <c r="E20" s="13" t="s">
        <v>15</v>
      </c>
      <c r="F20" s="178"/>
      <c r="G20" s="186">
        <v>138500</v>
      </c>
      <c r="H20" s="13" t="s">
        <v>1223</v>
      </c>
      <c r="I20" s="189">
        <v>7814299270</v>
      </c>
      <c r="J20" s="178"/>
      <c r="K20" s="186">
        <v>148333</v>
      </c>
      <c r="L20" s="13" t="s">
        <v>1222</v>
      </c>
      <c r="M20" s="189">
        <v>6671092473</v>
      </c>
      <c r="N20" s="178"/>
      <c r="O20" s="186">
        <v>141270</v>
      </c>
      <c r="P20" s="163" t="s">
        <v>1221</v>
      </c>
      <c r="Q20" s="163">
        <v>7703775780</v>
      </c>
      <c r="R20" s="185">
        <f t="shared" si="0"/>
        <v>138500</v>
      </c>
      <c r="S20" s="13"/>
      <c r="T20" s="13" t="s">
        <v>1020</v>
      </c>
    </row>
    <row r="21" spans="1:20" ht="53.25" customHeight="1" x14ac:dyDescent="0.25">
      <c r="A21" s="188">
        <v>10</v>
      </c>
      <c r="B21" s="188" t="s">
        <v>1162</v>
      </c>
      <c r="C21" s="181" t="s">
        <v>1226</v>
      </c>
      <c r="D21" s="171" t="s">
        <v>1224</v>
      </c>
      <c r="E21" s="13" t="s">
        <v>15</v>
      </c>
      <c r="F21" s="178"/>
      <c r="G21" s="186">
        <v>151811.5</v>
      </c>
      <c r="H21" s="13" t="s">
        <v>1223</v>
      </c>
      <c r="I21" s="189">
        <v>7814299270</v>
      </c>
      <c r="J21" s="178"/>
      <c r="K21" s="186">
        <v>162589</v>
      </c>
      <c r="L21" s="13" t="s">
        <v>1222</v>
      </c>
      <c r="M21" s="189">
        <v>6671092473</v>
      </c>
      <c r="N21" s="178"/>
      <c r="O21" s="186">
        <v>154847.73000000001</v>
      </c>
      <c r="P21" s="163" t="s">
        <v>1221</v>
      </c>
      <c r="Q21" s="163">
        <v>7703775780</v>
      </c>
      <c r="R21" s="185">
        <f t="shared" si="0"/>
        <v>151811.5</v>
      </c>
      <c r="S21" s="13"/>
      <c r="T21" s="13" t="s">
        <v>1020</v>
      </c>
    </row>
    <row r="22" spans="1:20" ht="53.25" customHeight="1" x14ac:dyDescent="0.25">
      <c r="A22" s="188">
        <v>11</v>
      </c>
      <c r="B22" s="188" t="s">
        <v>1162</v>
      </c>
      <c r="C22" s="181" t="s">
        <v>1225</v>
      </c>
      <c r="D22" s="171" t="s">
        <v>1224</v>
      </c>
      <c r="E22" s="13" t="s">
        <v>15</v>
      </c>
      <c r="F22" s="178"/>
      <c r="G22" s="186">
        <v>262200</v>
      </c>
      <c r="H22" s="13" t="s">
        <v>1223</v>
      </c>
      <c r="I22" s="189">
        <v>7814299270</v>
      </c>
      <c r="J22" s="178"/>
      <c r="K22" s="186">
        <v>280816.8</v>
      </c>
      <c r="L22" s="13" t="s">
        <v>1222</v>
      </c>
      <c r="M22" s="189">
        <v>6671092473</v>
      </c>
      <c r="N22" s="178"/>
      <c r="O22" s="186">
        <v>267444</v>
      </c>
      <c r="P22" s="163" t="s">
        <v>1221</v>
      </c>
      <c r="Q22" s="163">
        <v>7703775780</v>
      </c>
      <c r="R22" s="185">
        <f t="shared" si="0"/>
        <v>262200</v>
      </c>
      <c r="S22" s="13"/>
      <c r="T22" s="13" t="s">
        <v>1020</v>
      </c>
    </row>
    <row r="23" spans="1:20" ht="42" customHeight="1" x14ac:dyDescent="0.25">
      <c r="A23" s="188">
        <v>12</v>
      </c>
      <c r="B23" s="188" t="s">
        <v>1203</v>
      </c>
      <c r="C23" s="181" t="s">
        <v>1220</v>
      </c>
      <c r="D23" s="171" t="s">
        <v>1219</v>
      </c>
      <c r="E23" s="13" t="s">
        <v>15</v>
      </c>
      <c r="F23" s="178" t="s">
        <v>1218</v>
      </c>
      <c r="G23" s="186">
        <v>1957</v>
      </c>
      <c r="H23" s="163" t="s">
        <v>347</v>
      </c>
      <c r="I23" s="163">
        <v>7722753969</v>
      </c>
      <c r="J23" s="178" t="s">
        <v>1217</v>
      </c>
      <c r="K23" s="186">
        <v>1200</v>
      </c>
      <c r="L23" s="13" t="s">
        <v>1216</v>
      </c>
      <c r="M23" s="189">
        <v>775125831765</v>
      </c>
      <c r="N23" s="178" t="s">
        <v>1215</v>
      </c>
      <c r="O23" s="186">
        <v>1201</v>
      </c>
      <c r="P23" s="13" t="s">
        <v>1023</v>
      </c>
      <c r="Q23" s="189">
        <v>772431770788</v>
      </c>
      <c r="R23" s="185">
        <f t="shared" si="0"/>
        <v>1200</v>
      </c>
      <c r="S23" s="13"/>
      <c r="T23" s="13" t="s">
        <v>1020</v>
      </c>
    </row>
    <row r="24" spans="1:20" ht="36" customHeight="1" x14ac:dyDescent="0.25">
      <c r="A24" s="188">
        <v>13</v>
      </c>
      <c r="B24" s="188" t="s">
        <v>1203</v>
      </c>
      <c r="C24" s="181" t="s">
        <v>1214</v>
      </c>
      <c r="D24" s="171" t="s">
        <v>1213</v>
      </c>
      <c r="E24" s="13" t="s">
        <v>15</v>
      </c>
      <c r="F24" s="178" t="s">
        <v>1212</v>
      </c>
      <c r="G24" s="186">
        <v>820</v>
      </c>
      <c r="H24" s="163" t="s">
        <v>347</v>
      </c>
      <c r="I24" s="163">
        <v>7722753969</v>
      </c>
      <c r="J24" s="178" t="s">
        <v>1211</v>
      </c>
      <c r="K24" s="186">
        <v>1350</v>
      </c>
      <c r="L24" s="13" t="s">
        <v>350</v>
      </c>
      <c r="M24" s="189">
        <v>7729108750</v>
      </c>
      <c r="N24" s="178" t="s">
        <v>1210</v>
      </c>
      <c r="O24" s="186">
        <v>1348.4</v>
      </c>
      <c r="P24" s="163" t="s">
        <v>353</v>
      </c>
      <c r="Q24" s="163">
        <v>7842224734</v>
      </c>
      <c r="R24" s="185">
        <f t="shared" si="0"/>
        <v>820</v>
      </c>
      <c r="S24" s="13"/>
      <c r="T24" s="13" t="s">
        <v>1020</v>
      </c>
    </row>
    <row r="25" spans="1:20" ht="39.75" customHeight="1" x14ac:dyDescent="0.25">
      <c r="A25" s="188">
        <v>14</v>
      </c>
      <c r="B25" s="188" t="s">
        <v>1203</v>
      </c>
      <c r="C25" s="181" t="s">
        <v>1209</v>
      </c>
      <c r="D25" s="171" t="s">
        <v>1208</v>
      </c>
      <c r="E25" s="13" t="s">
        <v>15</v>
      </c>
      <c r="F25" s="178" t="s">
        <v>1207</v>
      </c>
      <c r="G25" s="186">
        <v>1666.44</v>
      </c>
      <c r="H25" s="163" t="s">
        <v>1206</v>
      </c>
      <c r="I25" s="163">
        <v>7751202130</v>
      </c>
      <c r="J25" s="178" t="s">
        <v>1205</v>
      </c>
      <c r="K25" s="186">
        <v>1400</v>
      </c>
      <c r="L25" s="13" t="s">
        <v>350</v>
      </c>
      <c r="M25" s="189">
        <v>7729108750</v>
      </c>
      <c r="N25" s="178" t="s">
        <v>1204</v>
      </c>
      <c r="O25" s="186">
        <v>1465.8</v>
      </c>
      <c r="P25" s="163" t="s">
        <v>1032</v>
      </c>
      <c r="Q25" s="163">
        <v>7705674361</v>
      </c>
      <c r="R25" s="185">
        <f t="shared" si="0"/>
        <v>1400</v>
      </c>
      <c r="S25" s="13"/>
      <c r="T25" s="13" t="s">
        <v>1020</v>
      </c>
    </row>
    <row r="26" spans="1:20" ht="40.5" customHeight="1" x14ac:dyDescent="0.25">
      <c r="A26" s="188">
        <v>15</v>
      </c>
      <c r="B26" s="188" t="s">
        <v>1203</v>
      </c>
      <c r="C26" s="181" t="s">
        <v>1202</v>
      </c>
      <c r="D26" s="171" t="s">
        <v>1201</v>
      </c>
      <c r="E26" s="13" t="s">
        <v>15</v>
      </c>
      <c r="F26" s="178" t="s">
        <v>1200</v>
      </c>
      <c r="G26" s="186">
        <v>2574.6</v>
      </c>
      <c r="H26" s="163" t="s">
        <v>1032</v>
      </c>
      <c r="I26" s="163">
        <v>7705674361</v>
      </c>
      <c r="J26" s="178" t="s">
        <v>1199</v>
      </c>
      <c r="K26" s="186">
        <v>2450</v>
      </c>
      <c r="L26" s="13" t="s">
        <v>1198</v>
      </c>
      <c r="M26" s="189">
        <v>773509237</v>
      </c>
      <c r="N26" s="178" t="s">
        <v>1197</v>
      </c>
      <c r="O26" s="186">
        <v>2729</v>
      </c>
      <c r="P26" s="163" t="s">
        <v>1015</v>
      </c>
      <c r="Q26" s="163">
        <v>9715287781</v>
      </c>
      <c r="R26" s="185">
        <f t="shared" si="0"/>
        <v>2450</v>
      </c>
      <c r="S26" s="13"/>
      <c r="T26" s="13" t="s">
        <v>1020</v>
      </c>
    </row>
    <row r="27" spans="1:20" ht="90" customHeight="1" x14ac:dyDescent="0.25">
      <c r="A27" s="188">
        <v>16</v>
      </c>
      <c r="B27" s="188" t="s">
        <v>1196</v>
      </c>
      <c r="C27" s="181" t="s">
        <v>1195</v>
      </c>
      <c r="D27" s="171" t="s">
        <v>1194</v>
      </c>
      <c r="E27" s="13" t="s">
        <v>15</v>
      </c>
      <c r="F27" s="178" t="s">
        <v>1193</v>
      </c>
      <c r="G27" s="186">
        <v>5512.7</v>
      </c>
      <c r="H27" s="13" t="s">
        <v>1149</v>
      </c>
      <c r="I27" s="13">
        <v>7736192449</v>
      </c>
      <c r="J27" s="178" t="s">
        <v>1192</v>
      </c>
      <c r="K27" s="186">
        <v>5526</v>
      </c>
      <c r="L27" s="13" t="s">
        <v>1191</v>
      </c>
      <c r="M27" s="189">
        <v>7751246233</v>
      </c>
      <c r="N27" s="178" t="s">
        <v>1190</v>
      </c>
      <c r="O27" s="186">
        <v>6340</v>
      </c>
      <c r="P27" s="163" t="s">
        <v>1189</v>
      </c>
      <c r="Q27" s="163" t="s">
        <v>1188</v>
      </c>
      <c r="R27" s="185">
        <f t="shared" si="0"/>
        <v>5512.7</v>
      </c>
      <c r="S27" s="13"/>
      <c r="T27" s="13" t="s">
        <v>1020</v>
      </c>
    </row>
    <row r="28" spans="1:20" ht="36" customHeight="1" x14ac:dyDescent="0.25">
      <c r="A28" s="188">
        <v>17</v>
      </c>
      <c r="B28" s="188" t="s">
        <v>1136</v>
      </c>
      <c r="C28" s="181" t="s">
        <v>1187</v>
      </c>
      <c r="D28" s="171" t="s">
        <v>1186</v>
      </c>
      <c r="E28" s="13" t="s">
        <v>15</v>
      </c>
      <c r="F28" s="178" t="s">
        <v>1185</v>
      </c>
      <c r="G28" s="186">
        <v>4020</v>
      </c>
      <c r="H28" s="163" t="s">
        <v>347</v>
      </c>
      <c r="I28" s="163">
        <v>7722753969</v>
      </c>
      <c r="J28" s="178" t="s">
        <v>1184</v>
      </c>
      <c r="K28" s="186">
        <v>5056.6099999999997</v>
      </c>
      <c r="L28" s="13" t="s">
        <v>1183</v>
      </c>
      <c r="M28" s="189">
        <v>5029268810</v>
      </c>
      <c r="N28" s="178" t="s">
        <v>1182</v>
      </c>
      <c r="O28" s="186">
        <v>5949</v>
      </c>
      <c r="P28" s="163" t="s">
        <v>1181</v>
      </c>
      <c r="Q28" s="163">
        <v>5074070844</v>
      </c>
      <c r="R28" s="185">
        <f t="shared" si="0"/>
        <v>4020</v>
      </c>
      <c r="S28" s="13"/>
      <c r="T28" s="13" t="s">
        <v>1020</v>
      </c>
    </row>
    <row r="29" spans="1:20" ht="39.75" customHeight="1" x14ac:dyDescent="0.25">
      <c r="A29" s="188">
        <v>18</v>
      </c>
      <c r="B29" s="188" t="s">
        <v>1153</v>
      </c>
      <c r="C29" s="181" t="s">
        <v>1180</v>
      </c>
      <c r="D29" s="171" t="s">
        <v>1179</v>
      </c>
      <c r="E29" s="13" t="s">
        <v>15</v>
      </c>
      <c r="F29" s="178" t="s">
        <v>1178</v>
      </c>
      <c r="G29" s="186">
        <v>8799</v>
      </c>
      <c r="H29" s="163" t="s">
        <v>347</v>
      </c>
      <c r="I29" s="163">
        <v>7722753969</v>
      </c>
      <c r="J29" s="178" t="s">
        <v>1177</v>
      </c>
      <c r="K29" s="186">
        <v>8271</v>
      </c>
      <c r="L29" s="13" t="s">
        <v>1171</v>
      </c>
      <c r="M29" s="189">
        <v>7743250099</v>
      </c>
      <c r="N29" s="178" t="s">
        <v>1176</v>
      </c>
      <c r="O29" s="186">
        <v>8799</v>
      </c>
      <c r="P29" s="163" t="s">
        <v>1170</v>
      </c>
      <c r="Q29" s="163">
        <v>5838009836</v>
      </c>
      <c r="R29" s="185">
        <f t="shared" si="0"/>
        <v>8271</v>
      </c>
      <c r="S29" s="13"/>
      <c r="T29" s="13" t="s">
        <v>1020</v>
      </c>
    </row>
    <row r="30" spans="1:20" ht="39.75" customHeight="1" x14ac:dyDescent="0.25">
      <c r="A30" s="188">
        <v>19</v>
      </c>
      <c r="B30" s="188" t="s">
        <v>1162</v>
      </c>
      <c r="C30" s="181" t="s">
        <v>1175</v>
      </c>
      <c r="D30" s="171" t="s">
        <v>1174</v>
      </c>
      <c r="E30" s="13" t="s">
        <v>15</v>
      </c>
      <c r="F30" s="178"/>
      <c r="G30" s="186">
        <v>13500</v>
      </c>
      <c r="H30" s="13" t="s">
        <v>347</v>
      </c>
      <c r="I30" s="13">
        <v>7722753969</v>
      </c>
      <c r="J30" s="178"/>
      <c r="K30" s="186">
        <v>13270.6</v>
      </c>
      <c r="L30" s="13" t="s">
        <v>1171</v>
      </c>
      <c r="M30" s="210">
        <v>7743250099</v>
      </c>
      <c r="N30" s="178"/>
      <c r="O30" s="186">
        <v>12380</v>
      </c>
      <c r="P30" s="13" t="s">
        <v>1170</v>
      </c>
      <c r="Q30" s="13">
        <v>5838009836</v>
      </c>
      <c r="R30" s="185">
        <f t="shared" si="0"/>
        <v>12380</v>
      </c>
      <c r="S30" s="190">
        <v>12150</v>
      </c>
      <c r="T30" s="13" t="s">
        <v>1020</v>
      </c>
    </row>
    <row r="31" spans="1:20" ht="32.25" customHeight="1" x14ac:dyDescent="0.25">
      <c r="A31" s="209">
        <v>20</v>
      </c>
      <c r="B31" s="188" t="s">
        <v>1162</v>
      </c>
      <c r="C31" s="181" t="s">
        <v>1173</v>
      </c>
      <c r="D31" s="171" t="s">
        <v>1172</v>
      </c>
      <c r="E31" s="13" t="s">
        <v>15</v>
      </c>
      <c r="F31" s="178"/>
      <c r="G31" s="186">
        <v>14700</v>
      </c>
      <c r="H31" s="13" t="s">
        <v>347</v>
      </c>
      <c r="I31" s="13">
        <v>7722753969</v>
      </c>
      <c r="J31" s="178"/>
      <c r="K31" s="186">
        <v>12300</v>
      </c>
      <c r="L31" s="13" t="s">
        <v>1171</v>
      </c>
      <c r="M31" s="210">
        <v>7743250099</v>
      </c>
      <c r="N31" s="178"/>
      <c r="O31" s="186">
        <v>12500</v>
      </c>
      <c r="P31" s="13" t="s">
        <v>1170</v>
      </c>
      <c r="Q31" s="13">
        <v>5838009836</v>
      </c>
      <c r="R31" s="185">
        <f t="shared" si="0"/>
        <v>12300</v>
      </c>
      <c r="S31" s="190">
        <v>11799</v>
      </c>
      <c r="T31" s="13" t="s">
        <v>1020</v>
      </c>
    </row>
    <row r="32" spans="1:20" ht="38.25" customHeight="1" x14ac:dyDescent="0.25">
      <c r="A32" s="209">
        <v>21</v>
      </c>
      <c r="B32" s="188" t="s">
        <v>1162</v>
      </c>
      <c r="C32" s="181" t="s">
        <v>1169</v>
      </c>
      <c r="D32" s="171" t="s">
        <v>1168</v>
      </c>
      <c r="E32" s="13" t="s">
        <v>15</v>
      </c>
      <c r="F32" s="178" t="s">
        <v>1167</v>
      </c>
      <c r="G32" s="186">
        <v>12700</v>
      </c>
      <c r="H32" s="163" t="s">
        <v>1158</v>
      </c>
      <c r="I32" s="168" t="s">
        <v>1157</v>
      </c>
      <c r="J32" s="178" t="s">
        <v>1166</v>
      </c>
      <c r="K32" s="186">
        <v>11356</v>
      </c>
      <c r="L32" s="13" t="s">
        <v>1114</v>
      </c>
      <c r="M32" s="189">
        <v>5047167847</v>
      </c>
      <c r="N32" s="178" t="s">
        <v>1165</v>
      </c>
      <c r="O32" s="186">
        <v>8835</v>
      </c>
      <c r="P32" s="163" t="s">
        <v>1164</v>
      </c>
      <c r="Q32" s="168" t="s">
        <v>1163</v>
      </c>
      <c r="R32" s="185">
        <f t="shared" si="0"/>
        <v>8835</v>
      </c>
      <c r="S32" s="190"/>
      <c r="T32" s="13" t="s">
        <v>1020</v>
      </c>
    </row>
    <row r="33" spans="1:20" ht="43.5" customHeight="1" x14ac:dyDescent="0.25">
      <c r="A33" s="209">
        <v>22</v>
      </c>
      <c r="B33" s="188" t="s">
        <v>1162</v>
      </c>
      <c r="C33" s="181" t="s">
        <v>1161</v>
      </c>
      <c r="D33" s="171" t="s">
        <v>1160</v>
      </c>
      <c r="E33" s="13" t="s">
        <v>15</v>
      </c>
      <c r="F33" s="178" t="s">
        <v>1159</v>
      </c>
      <c r="G33" s="186">
        <v>11930</v>
      </c>
      <c r="H33" s="163" t="s">
        <v>1158</v>
      </c>
      <c r="I33" s="168" t="s">
        <v>1157</v>
      </c>
      <c r="J33" s="178" t="s">
        <v>1156</v>
      </c>
      <c r="K33" s="186">
        <v>10397</v>
      </c>
      <c r="L33" s="13" t="s">
        <v>1114</v>
      </c>
      <c r="M33" s="189">
        <v>5047167847</v>
      </c>
      <c r="N33" s="178" t="s">
        <v>1155</v>
      </c>
      <c r="O33" s="186">
        <v>12090</v>
      </c>
      <c r="P33" s="163" t="s">
        <v>1010</v>
      </c>
      <c r="Q33" s="168" t="s">
        <v>1154</v>
      </c>
      <c r="R33" s="185">
        <f t="shared" si="0"/>
        <v>10397</v>
      </c>
      <c r="S33" s="190"/>
      <c r="T33" s="13" t="s">
        <v>1020</v>
      </c>
    </row>
    <row r="34" spans="1:20" ht="42.75" customHeight="1" x14ac:dyDescent="0.25">
      <c r="A34" s="209">
        <v>23</v>
      </c>
      <c r="B34" s="188" t="s">
        <v>1153</v>
      </c>
      <c r="C34" s="181" t="s">
        <v>1152</v>
      </c>
      <c r="D34" s="171" t="s">
        <v>1151</v>
      </c>
      <c r="E34" s="13" t="s">
        <v>15</v>
      </c>
      <c r="F34" s="178" t="s">
        <v>1150</v>
      </c>
      <c r="G34" s="186">
        <v>116980.7</v>
      </c>
      <c r="H34" s="163" t="s">
        <v>1149</v>
      </c>
      <c r="I34" s="168" t="s">
        <v>1148</v>
      </c>
      <c r="J34" s="178" t="s">
        <v>1147</v>
      </c>
      <c r="K34" s="186">
        <v>83000</v>
      </c>
      <c r="L34" s="13" t="s">
        <v>1146</v>
      </c>
      <c r="M34" s="189" t="s">
        <v>1145</v>
      </c>
      <c r="N34" s="178" t="s">
        <v>1144</v>
      </c>
      <c r="O34" s="186">
        <v>153000</v>
      </c>
      <c r="P34" s="163" t="s">
        <v>1143</v>
      </c>
      <c r="Q34" s="168" t="s">
        <v>1142</v>
      </c>
      <c r="R34" s="185">
        <f t="shared" si="0"/>
        <v>83000</v>
      </c>
      <c r="S34" s="190"/>
      <c r="T34" s="13" t="s">
        <v>1020</v>
      </c>
    </row>
    <row r="35" spans="1:20" ht="42" customHeight="1" x14ac:dyDescent="0.25">
      <c r="A35" s="209">
        <v>24</v>
      </c>
      <c r="B35" s="188" t="s">
        <v>1136</v>
      </c>
      <c r="C35" s="181" t="s">
        <v>1141</v>
      </c>
      <c r="D35" s="171" t="s">
        <v>1140</v>
      </c>
      <c r="E35" s="13" t="s">
        <v>139</v>
      </c>
      <c r="F35" s="178" t="s">
        <v>1139</v>
      </c>
      <c r="G35" s="186">
        <v>467.63</v>
      </c>
      <c r="H35" s="163" t="s">
        <v>1132</v>
      </c>
      <c r="I35" s="168" t="s">
        <v>1131</v>
      </c>
      <c r="J35" s="178" t="s">
        <v>1138</v>
      </c>
      <c r="K35" s="186">
        <v>300</v>
      </c>
      <c r="L35" s="13" t="s">
        <v>1129</v>
      </c>
      <c r="M35" s="189">
        <v>503830201200</v>
      </c>
      <c r="N35" s="178" t="s">
        <v>1137</v>
      </c>
      <c r="O35" s="186">
        <v>468</v>
      </c>
      <c r="P35" s="163" t="s">
        <v>1127</v>
      </c>
      <c r="Q35" s="168" t="s">
        <v>1126</v>
      </c>
      <c r="R35" s="185">
        <f t="shared" si="0"/>
        <v>300</v>
      </c>
      <c r="S35" s="190"/>
      <c r="T35" s="13" t="s">
        <v>1020</v>
      </c>
    </row>
    <row r="36" spans="1:20" ht="46.5" customHeight="1" x14ac:dyDescent="0.25">
      <c r="A36" s="209">
        <v>25</v>
      </c>
      <c r="B36" s="188" t="s">
        <v>1136</v>
      </c>
      <c r="C36" s="181" t="s">
        <v>1135</v>
      </c>
      <c r="D36" s="171" t="s">
        <v>1134</v>
      </c>
      <c r="E36" s="13" t="s">
        <v>139</v>
      </c>
      <c r="F36" s="178" t="s">
        <v>1133</v>
      </c>
      <c r="G36" s="186">
        <v>185.39</v>
      </c>
      <c r="H36" s="163" t="s">
        <v>1132</v>
      </c>
      <c r="I36" s="168" t="s">
        <v>1131</v>
      </c>
      <c r="J36" s="178" t="s">
        <v>1130</v>
      </c>
      <c r="K36" s="186">
        <v>105</v>
      </c>
      <c r="L36" s="13" t="s">
        <v>1129</v>
      </c>
      <c r="M36" s="189">
        <v>503830201200</v>
      </c>
      <c r="N36" s="178" t="s">
        <v>1128</v>
      </c>
      <c r="O36" s="186">
        <v>181</v>
      </c>
      <c r="P36" s="163" t="s">
        <v>1127</v>
      </c>
      <c r="Q36" s="168" t="s">
        <v>1126</v>
      </c>
      <c r="R36" s="185">
        <f t="shared" si="0"/>
        <v>105</v>
      </c>
      <c r="S36" s="190"/>
      <c r="T36" s="13" t="s">
        <v>1020</v>
      </c>
    </row>
    <row r="37" spans="1:20" x14ac:dyDescent="0.25">
      <c r="A37" s="160"/>
      <c r="I37" s="87"/>
      <c r="J37" s="87"/>
      <c r="K37" s="87"/>
      <c r="L37" s="87"/>
      <c r="M37" s="87"/>
      <c r="N37" s="87"/>
      <c r="O37" s="87"/>
      <c r="P37" s="87"/>
      <c r="Q37" s="159"/>
    </row>
    <row r="38" spans="1:20" ht="15.75" customHeight="1" x14ac:dyDescent="0.25">
      <c r="A38" s="14"/>
      <c r="B38" s="517" t="s">
        <v>16</v>
      </c>
      <c r="C38" s="517"/>
      <c r="D38" s="517"/>
      <c r="E38" s="14"/>
      <c r="F38" s="14"/>
      <c r="G38" s="14"/>
      <c r="H38" s="14"/>
      <c r="I38" s="14"/>
      <c r="J38" s="14"/>
      <c r="K38" s="14"/>
      <c r="L38" s="14"/>
      <c r="M38" s="14"/>
      <c r="N38" s="14"/>
      <c r="O38" s="14"/>
      <c r="P38" s="14"/>
      <c r="Q38" s="518" t="s">
        <v>25</v>
      </c>
      <c r="R38" s="518"/>
      <c r="S38" s="14"/>
      <c r="T38" s="14"/>
    </row>
    <row r="39" spans="1:20" x14ac:dyDescent="0.25">
      <c r="A39" s="14"/>
      <c r="B39" s="82"/>
      <c r="C39" s="82"/>
      <c r="D39" s="82"/>
      <c r="E39" s="14"/>
      <c r="F39" s="14"/>
      <c r="G39" s="14"/>
      <c r="H39" s="14"/>
      <c r="I39" s="14"/>
      <c r="J39" s="14"/>
      <c r="K39" s="14"/>
      <c r="L39" s="14"/>
      <c r="M39" s="14"/>
      <c r="N39" s="14"/>
      <c r="O39" s="14"/>
      <c r="P39" s="14"/>
      <c r="Q39" s="82"/>
      <c r="R39" s="82"/>
      <c r="S39" s="14"/>
      <c r="T39" s="14"/>
    </row>
    <row r="40" spans="1:20" x14ac:dyDescent="0.25">
      <c r="A40" s="14"/>
      <c r="B40" s="82"/>
      <c r="C40" s="82"/>
      <c r="D40" s="82"/>
      <c r="E40" s="14"/>
      <c r="F40" s="14"/>
      <c r="G40" s="14"/>
      <c r="H40" s="14"/>
      <c r="I40" s="14"/>
      <c r="J40" s="14"/>
      <c r="K40" s="14"/>
      <c r="L40" s="14"/>
      <c r="M40" s="14"/>
      <c r="N40" s="14"/>
      <c r="O40" s="14"/>
      <c r="P40" s="14"/>
      <c r="Q40" s="82"/>
      <c r="R40" s="82"/>
      <c r="S40" s="14"/>
      <c r="T40" s="14"/>
    </row>
    <row r="41" spans="1:20" x14ac:dyDescent="0.25">
      <c r="A41" s="14"/>
      <c r="B41" s="82"/>
      <c r="C41" s="82"/>
      <c r="D41" s="82"/>
      <c r="E41" s="14"/>
      <c r="F41" s="14"/>
      <c r="G41" s="14"/>
      <c r="H41" s="14"/>
      <c r="I41" s="14"/>
      <c r="J41" s="14"/>
      <c r="K41" s="14"/>
      <c r="L41" s="14"/>
      <c r="M41" s="14"/>
      <c r="N41" s="14"/>
      <c r="O41" s="14" t="s">
        <v>1009</v>
      </c>
      <c r="P41" s="14"/>
      <c r="Q41" s="82"/>
      <c r="R41" s="82"/>
      <c r="S41" s="14"/>
      <c r="T41" s="14"/>
    </row>
    <row r="42" spans="1:20" x14ac:dyDescent="0.25">
      <c r="A42" s="14"/>
      <c r="B42" s="82"/>
      <c r="C42" s="520" t="s">
        <v>23</v>
      </c>
      <c r="D42" s="82"/>
      <c r="E42" s="14"/>
      <c r="F42" s="14"/>
      <c r="G42" s="14"/>
      <c r="H42" s="14"/>
      <c r="I42" s="14"/>
      <c r="J42" s="14"/>
      <c r="K42" s="14"/>
      <c r="L42" s="14"/>
      <c r="M42" s="14"/>
      <c r="N42" s="520" t="s">
        <v>1008</v>
      </c>
      <c r="O42" s="520"/>
      <c r="P42" s="520"/>
      <c r="Q42" s="520"/>
      <c r="R42" s="82"/>
      <c r="S42" s="14"/>
      <c r="T42" s="14"/>
    </row>
    <row r="43" spans="1:20" x14ac:dyDescent="0.25">
      <c r="A43" s="14"/>
      <c r="B43" s="82"/>
      <c r="C43" s="520"/>
      <c r="D43" s="21"/>
      <c r="E43" s="21"/>
      <c r="F43" s="14"/>
      <c r="G43" s="14"/>
      <c r="H43" s="157" t="s">
        <v>1007</v>
      </c>
      <c r="I43" s="14"/>
      <c r="J43" s="14"/>
      <c r="K43" s="14"/>
      <c r="L43" s="14"/>
      <c r="M43" s="14"/>
      <c r="N43" s="21" t="s">
        <v>19</v>
      </c>
      <c r="O43" s="540" t="s">
        <v>21</v>
      </c>
      <c r="P43" s="540"/>
      <c r="Q43" s="540"/>
      <c r="R43" s="540"/>
      <c r="S43" s="14" t="s">
        <v>22</v>
      </c>
      <c r="T43" s="14"/>
    </row>
    <row r="44" spans="1:20" x14ac:dyDescent="0.25">
      <c r="A44" s="14"/>
      <c r="B44" s="520" t="s">
        <v>1006</v>
      </c>
      <c r="C44" s="540"/>
      <c r="D44" s="540"/>
      <c r="E44" s="540"/>
      <c r="F44" s="540"/>
      <c r="G44" s="540"/>
      <c r="H44" s="540"/>
      <c r="I44" s="540"/>
      <c r="J44" s="540"/>
      <c r="K44" s="540"/>
      <c r="L44" s="540"/>
      <c r="M44" s="540"/>
      <c r="N44" s="540"/>
      <c r="O44" s="540"/>
      <c r="P44" s="540"/>
      <c r="Q44" s="540"/>
      <c r="R44" s="82"/>
      <c r="S44" s="208"/>
      <c r="T44" s="14"/>
    </row>
    <row r="45" spans="1:20" x14ac:dyDescent="0.25">
      <c r="A45" s="14"/>
      <c r="B45" s="82"/>
      <c r="C45" s="82"/>
      <c r="D45" s="82"/>
      <c r="E45" s="14"/>
      <c r="F45" s="14"/>
      <c r="G45" s="14"/>
      <c r="H45" s="157"/>
      <c r="I45" s="14"/>
      <c r="J45" s="14"/>
      <c r="K45" s="14"/>
      <c r="L45" s="14"/>
      <c r="M45" s="14"/>
      <c r="N45" s="14"/>
      <c r="O45" s="14"/>
      <c r="P45" s="14"/>
      <c r="Q45" s="82"/>
      <c r="R45" s="82"/>
      <c r="S45" s="14"/>
      <c r="T45" s="14"/>
    </row>
    <row r="46" spans="1:20" x14ac:dyDescent="0.25">
      <c r="A46" s="14"/>
      <c r="B46" s="519"/>
      <c r="C46" s="519"/>
      <c r="D46" s="519"/>
      <c r="E46" s="14"/>
      <c r="F46" s="14"/>
      <c r="G46" s="14"/>
      <c r="H46" s="14"/>
      <c r="I46" s="14"/>
      <c r="J46" s="14"/>
      <c r="K46" s="14"/>
      <c r="L46" s="14"/>
      <c r="M46" s="14"/>
      <c r="N46" s="14"/>
      <c r="O46" s="14"/>
      <c r="P46" s="14"/>
      <c r="Q46" s="519" t="s">
        <v>19</v>
      </c>
      <c r="R46" s="519"/>
      <c r="S46" s="519"/>
      <c r="T46" s="14"/>
    </row>
    <row r="47" spans="1:20" x14ac:dyDescent="0.25">
      <c r="A47" s="14"/>
      <c r="B47" s="519" t="s">
        <v>19</v>
      </c>
      <c r="C47" s="519"/>
      <c r="D47" s="519"/>
      <c r="E47" s="14"/>
      <c r="F47" s="14"/>
      <c r="G47" s="14"/>
      <c r="H47" s="14"/>
      <c r="I47" s="14"/>
      <c r="J47" s="14"/>
      <c r="K47" s="14"/>
      <c r="L47" s="14"/>
      <c r="M47" s="14"/>
      <c r="N47" s="14"/>
      <c r="O47" s="14"/>
      <c r="P47" s="14"/>
      <c r="Q47" s="519" t="s">
        <v>19</v>
      </c>
      <c r="R47" s="519"/>
      <c r="S47" s="519"/>
      <c r="T47" s="14"/>
    </row>
    <row r="48" spans="1:20" x14ac:dyDescent="0.25">
      <c r="A48" s="14"/>
      <c r="B48" s="14"/>
      <c r="C48" s="14"/>
      <c r="D48" s="14"/>
      <c r="E48" s="14"/>
      <c r="F48" s="14"/>
      <c r="G48" s="14"/>
      <c r="H48" s="14"/>
      <c r="I48" s="14"/>
      <c r="J48" s="14"/>
      <c r="K48" s="14"/>
      <c r="L48" s="14"/>
      <c r="M48" s="14"/>
      <c r="N48" s="14"/>
      <c r="O48" s="14"/>
      <c r="P48" s="14"/>
      <c r="Q48" s="14"/>
      <c r="R48" s="14"/>
      <c r="S48" s="14"/>
      <c r="T48" s="14"/>
    </row>
    <row r="49" spans="1:20" x14ac:dyDescent="0.25">
      <c r="A49" s="14"/>
      <c r="B49" s="14"/>
      <c r="C49" s="14"/>
      <c r="D49" s="14"/>
      <c r="E49" s="14"/>
      <c r="F49" s="14"/>
      <c r="G49" s="14"/>
      <c r="H49" s="14"/>
      <c r="I49" s="14"/>
      <c r="J49" s="14"/>
      <c r="K49" s="14"/>
      <c r="L49" s="14"/>
      <c r="M49" s="14"/>
      <c r="N49" s="14"/>
      <c r="O49" s="14"/>
      <c r="P49" s="14"/>
      <c r="Q49" s="14"/>
      <c r="R49" s="14"/>
      <c r="S49" s="14"/>
      <c r="T49" s="14"/>
    </row>
    <row r="50" spans="1:20" x14ac:dyDescent="0.25">
      <c r="A50" s="14"/>
      <c r="B50" s="539" t="s">
        <v>17</v>
      </c>
      <c r="C50" s="539"/>
      <c r="D50" s="539"/>
      <c r="E50" s="539"/>
      <c r="F50" s="539"/>
      <c r="G50" s="539"/>
      <c r="H50" s="539"/>
      <c r="I50" s="539"/>
      <c r="J50" s="539"/>
      <c r="K50" s="539"/>
      <c r="L50" s="539"/>
      <c r="M50" s="539"/>
      <c r="N50" s="14"/>
      <c r="O50" s="14"/>
      <c r="P50" s="14"/>
      <c r="Q50" s="14"/>
      <c r="R50" s="14"/>
      <c r="S50" s="14"/>
      <c r="T50" s="14"/>
    </row>
    <row r="51" spans="1:20" x14ac:dyDescent="0.25">
      <c r="A51" s="14"/>
      <c r="B51" s="539" t="s">
        <v>18</v>
      </c>
      <c r="C51" s="539"/>
      <c r="D51" s="539"/>
      <c r="E51" s="539"/>
      <c r="F51" s="539"/>
      <c r="G51" s="539"/>
      <c r="H51" s="539"/>
      <c r="I51" s="539"/>
      <c r="J51" s="539"/>
      <c r="K51" s="539"/>
      <c r="L51" s="539"/>
      <c r="M51" s="539"/>
      <c r="N51" s="14"/>
      <c r="O51" s="14"/>
      <c r="P51" s="14"/>
      <c r="Q51" s="14"/>
      <c r="R51" s="14"/>
      <c r="S51" s="14"/>
      <c r="T51" s="14"/>
    </row>
    <row r="52" spans="1:20" x14ac:dyDescent="0.25">
      <c r="A52" s="14"/>
      <c r="B52" s="14"/>
      <c r="C52" s="14"/>
      <c r="D52" s="14"/>
      <c r="E52" s="14"/>
      <c r="F52" s="14"/>
      <c r="G52" s="14"/>
      <c r="H52" s="14"/>
      <c r="I52" s="14"/>
      <c r="J52" s="14"/>
      <c r="K52" s="14"/>
      <c r="L52" s="14"/>
      <c r="M52" s="14"/>
      <c r="N52" s="14"/>
      <c r="O52" s="14"/>
      <c r="P52" s="14"/>
      <c r="Q52" s="14"/>
      <c r="R52" s="14"/>
      <c r="S52" s="14"/>
      <c r="T52" s="14"/>
    </row>
  </sheetData>
  <mergeCells count="29">
    <mergeCell ref="T8:T9"/>
    <mergeCell ref="A8:A9"/>
    <mergeCell ref="B8:B9"/>
    <mergeCell ref="C8:C9"/>
    <mergeCell ref="D8:D9"/>
    <mergeCell ref="E8:E9"/>
    <mergeCell ref="C1:Q1"/>
    <mergeCell ref="F2:J2"/>
    <mergeCell ref="R3:S3"/>
    <mergeCell ref="F8:I8"/>
    <mergeCell ref="J8:M8"/>
    <mergeCell ref="N8:Q8"/>
    <mergeCell ref="R8:R9"/>
    <mergeCell ref="S8:S9"/>
    <mergeCell ref="F5:J5"/>
    <mergeCell ref="C6:S6"/>
    <mergeCell ref="B50:M50"/>
    <mergeCell ref="B51:M51"/>
    <mergeCell ref="B38:D38"/>
    <mergeCell ref="Q38:R38"/>
    <mergeCell ref="B46:D46"/>
    <mergeCell ref="Q46:S46"/>
    <mergeCell ref="B47:D47"/>
    <mergeCell ref="Q47:S47"/>
    <mergeCell ref="N42:Q42"/>
    <mergeCell ref="N44:Q44"/>
    <mergeCell ref="B44:M44"/>
    <mergeCell ref="C42:C43"/>
    <mergeCell ref="O43:R43"/>
  </mergeCells>
  <hyperlinks>
    <hyperlink ref="F12" r:id="rId1" xr:uid="{00000000-0004-0000-0300-000000000000}"/>
    <hyperlink ref="J12" r:id="rId2" xr:uid="{00000000-0004-0000-0300-000001000000}"/>
    <hyperlink ref="N12" r:id="rId3" xr:uid="{00000000-0004-0000-0300-000002000000}"/>
    <hyperlink ref="F13" r:id="rId4" xr:uid="{00000000-0004-0000-0300-000003000000}"/>
    <hyperlink ref="J13" r:id="rId5" xr:uid="{00000000-0004-0000-0300-000004000000}"/>
    <hyperlink ref="N13" r:id="rId6" xr:uid="{00000000-0004-0000-0300-000005000000}"/>
    <hyperlink ref="F14" r:id="rId7" xr:uid="{00000000-0004-0000-0300-000006000000}"/>
    <hyperlink ref="J14" r:id="rId8" xr:uid="{00000000-0004-0000-0300-000007000000}"/>
    <hyperlink ref="N14" r:id="rId9" xr:uid="{00000000-0004-0000-0300-000008000000}"/>
    <hyperlink ref="F15" r:id="rId10" xr:uid="{00000000-0004-0000-0300-000009000000}"/>
    <hyperlink ref="J15" r:id="rId11" xr:uid="{00000000-0004-0000-0300-00000A000000}"/>
    <hyperlink ref="N15" r:id="rId12" xr:uid="{00000000-0004-0000-0300-00000B000000}"/>
    <hyperlink ref="F16" r:id="rId13" xr:uid="{00000000-0004-0000-0300-00000C000000}"/>
    <hyperlink ref="J16" r:id="rId14" xr:uid="{00000000-0004-0000-0300-00000D000000}"/>
    <hyperlink ref="N16" r:id="rId15" xr:uid="{00000000-0004-0000-0300-00000E000000}"/>
    <hyperlink ref="F17" r:id="rId16" xr:uid="{00000000-0004-0000-0300-00000F000000}"/>
    <hyperlink ref="J17" r:id="rId17" display="https://www.vseinstrumenti.ru/product/linejnyj-trap-wirquin-venisio-slim-dlina-reshetki-500-mm-suhoj-zatvor-s-membranoj-novogo-pokoleniya-smart-30724165-18376020/?utm_campaign=webmaster&amp;utm_content=18376020&amp;utm_medium=organic&amp;utm_source=Yandex&amp;utm_term=18376020&amp;ysclid=mi4b0tk0qn681138027&amp;utm_referrer=https://yandex.ru/" xr:uid="{00000000-0004-0000-0300-000010000000}"/>
    <hyperlink ref="N17" r:id="rId18" xr:uid="{00000000-0004-0000-0300-000011000000}"/>
    <hyperlink ref="F18" r:id="rId19" display="https://www.vodoparad.ru/item/rakovina-podvesnaya-roca-debba-55x44-32799500y/?utm_source=yandex&amp;utm_medium=cpc&amp;utm_campaign=4%20-%2001.10%20-%20Товарная%20кампания%20-%20ROCA%7C703810289&amp;utm_content=phid%7C205657278687%7Crid%7C205657278687%7Ccfid%7C0%7Ccid%7C703810289%7Cgid%7C5657278687%7Caid%7C17385002622%7Cadp%7Cno%7Cpos%7Cpremium1%7Csrc%7Csearch-none%7Cdvc%7Cdesktop&amp;utm_term=---autotargeting&amp;ybaip=1&amp;yclid=15883278816635518975" xr:uid="{00000000-0004-0000-0300-000012000000}"/>
    <hyperlink ref="J18" r:id="rId20" display="https://otdelkino.ru/santeh/rakoviny/product/rakovina-roca-debba-50x42/?utm_source=yandex&amp;utm_medium=cpc&amp;utm_campaign=103903199_search_DP%7C97228997%7CVseSatURL%7COffK&amp;utm_term=---autotargeting&amp;utm_content=103903199_5366021708_15595640920_53225064496&amp;ybaip=1&amp;yclid=10717780415032590335" xr:uid="{00000000-0004-0000-0300-000013000000}"/>
    <hyperlink ref="N18" r:id="rId21" display="https://top-santehnika.ru/product/rakovina-roca-debba-50x42/?utm_source=yandex&amp;utm_medium=cpc&amp;utm_campaign=DSA_Сантехника_Поиск_МСК%7C704559021&amp;utm_content=phid%7C205674152855%7Crid%7C205674152855%7Ccfid%7C0%7Ccid%7C704559021%7Cgid%7C5674152855%7Caid%7C1891934524113764398%7Cadp%7Cno%7Cpos%7Cpremium3%7Csrc%7Csearch-none%7Cdvc%7Cdesktop&amp;utm_term=---autotargeting&amp;calltouch_tm=yd_c:704559021_gb:5674152855_ad:1891934524113764398_ph:205674152855_st:search_pt:premium_p:3_s:none_dt:desktop_reg:213_ret:205674152855_apt:none&amp;ybaip=1&amp;yclid=6335571528518991871" xr:uid="{00000000-0004-0000-0300-000014000000}"/>
    <hyperlink ref="F19" r:id="rId22" xr:uid="{00000000-0004-0000-0300-000015000000}"/>
    <hyperlink ref="N19" r:id="rId23" xr:uid="{00000000-0004-0000-0300-000016000000}"/>
    <hyperlink ref="J19" r:id="rId24" xr:uid="{00000000-0004-0000-0300-000017000000}"/>
    <hyperlink ref="F23" r:id="rId25" xr:uid="{00000000-0004-0000-0300-000018000000}"/>
    <hyperlink ref="J23" r:id="rId26" xr:uid="{00000000-0004-0000-0300-000019000000}"/>
    <hyperlink ref="N23" r:id="rId27" display="https://santshop.ru/product/kapelnaya-voronka-s-zapakhozapirayushchim-zatvorom-hl21/?cm_id=81185617_5122908913_13410026766_53238582108_53238582108_none_search_type1_no_desktop_premium_213&amp;calltouch_tm=yd_c:104068764_gb:5367788127_ad:17221358281_ph:49183174348_st:search_pt:dynamic_places_p:1_s:yandex.ru_dt:desktop_reg:213_ret:49183174348_apt:none&amp;ybaip=1&amp;etext=&amp;ysclid=mi4iiwjbix84353503" xr:uid="{00000000-0004-0000-0300-00001A000000}"/>
    <hyperlink ref="F24" r:id="rId28" xr:uid="{00000000-0004-0000-0300-00001B000000}"/>
    <hyperlink ref="J24" r:id="rId29" xr:uid="{00000000-0004-0000-0300-00001C000000}"/>
    <hyperlink ref="N24" r:id="rId30" xr:uid="{00000000-0004-0000-0300-00001D000000}"/>
    <hyperlink ref="F25" r:id="rId31" xr:uid="{00000000-0004-0000-0300-00001E000000}"/>
    <hyperlink ref="J25" r:id="rId32" xr:uid="{00000000-0004-0000-0300-00001F000000}"/>
    <hyperlink ref="N25" r:id="rId33" xr:uid="{00000000-0004-0000-0300-000020000000}"/>
    <hyperlink ref="J26" r:id="rId34" xr:uid="{00000000-0004-0000-0300-000021000000}"/>
    <hyperlink ref="F26" r:id="rId35" xr:uid="{00000000-0004-0000-0300-000022000000}"/>
    <hyperlink ref="N26" r:id="rId36" xr:uid="{00000000-0004-0000-0300-000023000000}"/>
    <hyperlink ref="F27" r:id="rId37" xr:uid="{00000000-0004-0000-0300-000024000000}"/>
    <hyperlink ref="J27" r:id="rId38" xr:uid="{00000000-0004-0000-0300-000025000000}"/>
    <hyperlink ref="N27" r:id="rId39" xr:uid="{00000000-0004-0000-0300-000026000000}"/>
    <hyperlink ref="F28" r:id="rId40" display="https://www.vseinstrumenti.ru/product/patrubok-aquaviva-npvh-napornyj-rastrubnyj-s-npvh-flantsem-160-150-aqv107160-14786-6678661/?utm_source=yandex&amp;utm_medium=cpc&amp;utm_campaign=60077535%7Cdsa_10_Inzhenernaya-santekhnika_fid_rf&amp;utm_content=10486097665&amp;utm_term=ST:search%7CS:none%7CAP:no%7CPT:premium%7CP:2%7CDT:desktop%7CRI:213%7CCI:60077535%7CGI:4508213385%7CPI:52875519569%7CAI:10486097665%7CRT:52875519569%7CKW:---autotargeting%7CRN:Москва&amp;ybaip=1&amp;yclid=3317428520848195583" xr:uid="{00000000-0004-0000-0300-000027000000}"/>
    <hyperlink ref="J28" r:id="rId41" xr:uid="{00000000-0004-0000-0300-000028000000}"/>
    <hyperlink ref="N28" r:id="rId42" xr:uid="{00000000-0004-0000-0300-000029000000}"/>
    <hyperlink ref="F29" r:id="rId43" location="characteristics" xr:uid="{00000000-0004-0000-0300-00002A000000}"/>
    <hyperlink ref="N29" r:id="rId44" xr:uid="{00000000-0004-0000-0300-00002B000000}"/>
    <hyperlink ref="F32" r:id="rId45" xr:uid="{00000000-0004-0000-0300-00002C000000}"/>
    <hyperlink ref="J32" r:id="rId46" xr:uid="{00000000-0004-0000-0300-00002D000000}"/>
    <hyperlink ref="N32" r:id="rId47" xr:uid="{00000000-0004-0000-0300-00002E000000}"/>
    <hyperlink ref="F33" r:id="rId48" display="https://santehnika-online.ru/product/installyatsiya_dlya_pissuara_vitra_frame_kreplenie_k_polu_i_stene/627648/?utm_source=direct&amp;utm_medium=cpc&amp;utm_campaign=y_s_epk_vendor_0_0_0_rf_dm_ttov_au-117723644&amp;utm_content=ST:search%7CS:yandex.ru%7CAP:no%7CPT:dynamic_places%7CP:1%7CDT:desktop%7CRI:213%7CRN:Москва%7CCI:117723644%7CGI:5536010679%7CPI:54188339099%7CAI:1866979669979923826%7CKW:---autotargeting%7CMT:%7CMK:&amp;utm_term=---autotargeting&amp;etext=&amp;ybaip=1" xr:uid="{00000000-0004-0000-0300-00002F000000}"/>
    <hyperlink ref="J33" r:id="rId49" xr:uid="{00000000-0004-0000-0300-000030000000}"/>
    <hyperlink ref="N33" r:id="rId50" xr:uid="{00000000-0004-0000-0300-000031000000}"/>
    <hyperlink ref="F34" r:id="rId51" xr:uid="{00000000-0004-0000-0300-000032000000}"/>
    <hyperlink ref="J34" r:id="rId52" xr:uid="{00000000-0004-0000-0300-000033000000}"/>
    <hyperlink ref="N34" r:id="rId53" xr:uid="{00000000-0004-0000-0300-000034000000}"/>
    <hyperlink ref="F35" r:id="rId54" xr:uid="{00000000-0004-0000-0300-000035000000}"/>
    <hyperlink ref="J35" r:id="rId55" xr:uid="{00000000-0004-0000-0300-000036000000}"/>
    <hyperlink ref="N35" r:id="rId56" xr:uid="{00000000-0004-0000-0300-000037000000}"/>
    <hyperlink ref="F36" r:id="rId57" xr:uid="{00000000-0004-0000-0300-000038000000}"/>
    <hyperlink ref="J36" r:id="rId58" xr:uid="{00000000-0004-0000-0300-000039000000}"/>
  </hyperlinks>
  <printOptions horizontalCentered="1"/>
  <pageMargins left="0.70866141732283472" right="0.70866141732283472" top="0.74803149606299213" bottom="0.74803149606299213" header="0.31496062992125984" footer="0.31496062992125984"/>
  <pageSetup paperSize="9" scale="29" orientation="landscape" r:id="rId59"/>
  <drawing r:id="rId6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3"/>
  <sheetViews>
    <sheetView view="pageBreakPreview" topLeftCell="A25" zoomScale="40" zoomScaleNormal="55" zoomScaleSheetLayoutView="40" zoomScalePageLayoutView="70" workbookViewId="0">
      <selection activeCell="Z33" sqref="Z33"/>
    </sheetView>
  </sheetViews>
  <sheetFormatPr defaultColWidth="8.7109375" defaultRowHeight="15.75" x14ac:dyDescent="0.25"/>
  <cols>
    <col min="1" max="1" width="8.140625" style="1" customWidth="1"/>
    <col min="2" max="2" width="15" style="1" customWidth="1"/>
    <col min="3" max="3" width="48.28515625" style="15" customWidth="1"/>
    <col min="4" max="4" width="17.28515625" style="15" customWidth="1"/>
    <col min="5" max="5" width="9.5703125" style="16" customWidth="1"/>
    <col min="6" max="6" width="20"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x14ac:dyDescent="0.25">
      <c r="A6" s="525" t="s">
        <v>1</v>
      </c>
      <c r="B6" s="525" t="s">
        <v>2</v>
      </c>
      <c r="C6" s="527"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7.5" customHeight="1" x14ac:dyDescent="0.25">
      <c r="A7" s="526"/>
      <c r="B7" s="526"/>
      <c r="C7" s="528"/>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1468</v>
      </c>
      <c r="D9" s="12"/>
      <c r="E9" s="13"/>
      <c r="F9" s="118"/>
      <c r="G9" s="123"/>
      <c r="H9" s="123"/>
      <c r="I9" s="12"/>
      <c r="J9" s="118"/>
      <c r="K9" s="118"/>
      <c r="L9" s="118"/>
      <c r="M9" s="12"/>
      <c r="N9" s="118"/>
      <c r="O9" s="118"/>
      <c r="P9" s="118"/>
      <c r="Q9" s="12"/>
      <c r="R9" s="12"/>
      <c r="S9" s="118"/>
      <c r="T9" s="12"/>
    </row>
    <row r="10" spans="1:20" ht="82.5" customHeight="1" x14ac:dyDescent="0.25">
      <c r="A10" s="126">
        <v>1</v>
      </c>
      <c r="B10" s="227" t="s">
        <v>1346</v>
      </c>
      <c r="C10" s="145" t="s">
        <v>1467</v>
      </c>
      <c r="D10" s="226" t="s">
        <v>1466</v>
      </c>
      <c r="E10" s="143" t="s">
        <v>1297</v>
      </c>
      <c r="F10" s="119">
        <v>14486</v>
      </c>
      <c r="G10" s="123" t="s">
        <v>1444</v>
      </c>
      <c r="H10" s="240">
        <v>6670455452</v>
      </c>
      <c r="I10" s="222" t="s">
        <v>1463</v>
      </c>
      <c r="J10" s="119">
        <v>12635</v>
      </c>
      <c r="K10" s="123" t="s">
        <v>1449</v>
      </c>
      <c r="L10" s="127" t="s">
        <v>1448</v>
      </c>
      <c r="M10" s="222" t="s">
        <v>1447</v>
      </c>
      <c r="N10" s="119">
        <v>11490</v>
      </c>
      <c r="O10" s="123" t="s">
        <v>1441</v>
      </c>
      <c r="P10" s="127" t="s">
        <v>1440</v>
      </c>
      <c r="Q10" s="123" t="s">
        <v>1439</v>
      </c>
      <c r="R10" s="119">
        <f t="shared" ref="R10:R39" si="0">MIN(F10,J10,N10)</f>
        <v>11490</v>
      </c>
      <c r="S10" s="119"/>
      <c r="T10" s="117">
        <v>45887</v>
      </c>
    </row>
    <row r="11" spans="1:20" ht="89.25" customHeight="1" x14ac:dyDescent="0.25">
      <c r="A11" s="126">
        <v>2</v>
      </c>
      <c r="B11" s="227" t="s">
        <v>1346</v>
      </c>
      <c r="C11" s="145" t="s">
        <v>1465</v>
      </c>
      <c r="D11" s="226" t="s">
        <v>1464</v>
      </c>
      <c r="E11" s="143" t="s">
        <v>1297</v>
      </c>
      <c r="F11" s="119">
        <v>22140</v>
      </c>
      <c r="G11" s="123" t="s">
        <v>1444</v>
      </c>
      <c r="H11" s="240">
        <v>6670455452</v>
      </c>
      <c r="I11" s="222" t="s">
        <v>1463</v>
      </c>
      <c r="J11" s="119">
        <v>21054</v>
      </c>
      <c r="K11" s="123" t="s">
        <v>1449</v>
      </c>
      <c r="L11" s="127" t="s">
        <v>1448</v>
      </c>
      <c r="M11" s="222" t="s">
        <v>1447</v>
      </c>
      <c r="N11" s="119">
        <v>19140</v>
      </c>
      <c r="O11" s="123" t="s">
        <v>1441</v>
      </c>
      <c r="P11" s="127" t="s">
        <v>1440</v>
      </c>
      <c r="Q11" s="123" t="s">
        <v>1439</v>
      </c>
      <c r="R11" s="119">
        <f t="shared" si="0"/>
        <v>19140</v>
      </c>
      <c r="S11" s="119"/>
      <c r="T11" s="117">
        <v>45887</v>
      </c>
    </row>
    <row r="12" spans="1:20" ht="90.75" customHeight="1" x14ac:dyDescent="0.25">
      <c r="A12" s="126">
        <v>3</v>
      </c>
      <c r="B12" s="227" t="s">
        <v>1346</v>
      </c>
      <c r="C12" s="145" t="s">
        <v>1462</v>
      </c>
      <c r="D12" s="226" t="s">
        <v>1461</v>
      </c>
      <c r="E12" s="143" t="s">
        <v>1297</v>
      </c>
      <c r="F12" s="119">
        <v>39990</v>
      </c>
      <c r="G12" s="123" t="s">
        <v>1460</v>
      </c>
      <c r="H12" s="127" t="s">
        <v>1459</v>
      </c>
      <c r="I12" s="222" t="s">
        <v>1458</v>
      </c>
      <c r="J12" s="119">
        <v>40681</v>
      </c>
      <c r="K12" s="123" t="s">
        <v>1449</v>
      </c>
      <c r="L12" s="127" t="s">
        <v>1448</v>
      </c>
      <c r="M12" s="222" t="s">
        <v>1447</v>
      </c>
      <c r="N12" s="119">
        <v>36990</v>
      </c>
      <c r="O12" s="123" t="s">
        <v>1441</v>
      </c>
      <c r="P12" s="127" t="s">
        <v>1440</v>
      </c>
      <c r="Q12" s="123" t="s">
        <v>1439</v>
      </c>
      <c r="R12" s="119">
        <f t="shared" si="0"/>
        <v>36990</v>
      </c>
      <c r="S12" s="119"/>
      <c r="T12" s="117">
        <v>45887</v>
      </c>
    </row>
    <row r="13" spans="1:20" ht="90.75" customHeight="1" x14ac:dyDescent="0.25">
      <c r="A13" s="126">
        <v>4</v>
      </c>
      <c r="B13" s="227" t="s">
        <v>1346</v>
      </c>
      <c r="C13" s="145" t="s">
        <v>1457</v>
      </c>
      <c r="D13" s="226" t="s">
        <v>1456</v>
      </c>
      <c r="E13" s="143" t="s">
        <v>1297</v>
      </c>
      <c r="F13" s="119">
        <v>44897</v>
      </c>
      <c r="G13" s="123" t="s">
        <v>1455</v>
      </c>
      <c r="H13" s="127" t="s">
        <v>1454</v>
      </c>
      <c r="I13" s="222" t="s">
        <v>1453</v>
      </c>
      <c r="J13" s="119">
        <v>47480</v>
      </c>
      <c r="K13" s="123" t="s">
        <v>1449</v>
      </c>
      <c r="L13" s="127" t="s">
        <v>1448</v>
      </c>
      <c r="M13" s="222" t="s">
        <v>1447</v>
      </c>
      <c r="N13" s="119">
        <v>43170</v>
      </c>
      <c r="O13" s="123" t="s">
        <v>1441</v>
      </c>
      <c r="P13" s="127" t="s">
        <v>1440</v>
      </c>
      <c r="Q13" s="123" t="s">
        <v>1439</v>
      </c>
      <c r="R13" s="119">
        <f t="shared" si="0"/>
        <v>43170</v>
      </c>
      <c r="S13" s="118"/>
      <c r="T13" s="117">
        <v>45887</v>
      </c>
    </row>
    <row r="14" spans="1:20" ht="87" customHeight="1" x14ac:dyDescent="0.25">
      <c r="A14" s="126">
        <v>5</v>
      </c>
      <c r="B14" s="227" t="s">
        <v>1346</v>
      </c>
      <c r="C14" s="145" t="s">
        <v>1452</v>
      </c>
      <c r="D14" s="226" t="s">
        <v>1451</v>
      </c>
      <c r="E14" s="143" t="s">
        <v>1297</v>
      </c>
      <c r="F14" s="119">
        <v>14138</v>
      </c>
      <c r="G14" s="123" t="s">
        <v>1444</v>
      </c>
      <c r="H14" s="240">
        <v>6670455452</v>
      </c>
      <c r="I14" s="222" t="s">
        <v>1450</v>
      </c>
      <c r="J14" s="119">
        <v>12635</v>
      </c>
      <c r="K14" s="123" t="s">
        <v>1449</v>
      </c>
      <c r="L14" s="127" t="s">
        <v>1448</v>
      </c>
      <c r="M14" s="222" t="s">
        <v>1447</v>
      </c>
      <c r="N14" s="119">
        <v>11490</v>
      </c>
      <c r="O14" s="123" t="s">
        <v>1441</v>
      </c>
      <c r="P14" s="127" t="s">
        <v>1440</v>
      </c>
      <c r="Q14" s="123" t="s">
        <v>1439</v>
      </c>
      <c r="R14" s="119">
        <f t="shared" si="0"/>
        <v>11490</v>
      </c>
      <c r="S14" s="118"/>
      <c r="T14" s="117">
        <v>45887</v>
      </c>
    </row>
    <row r="15" spans="1:20" ht="80.25" customHeight="1" x14ac:dyDescent="0.25">
      <c r="A15" s="126">
        <v>6</v>
      </c>
      <c r="B15" s="227" t="s">
        <v>1346</v>
      </c>
      <c r="C15" s="241" t="s">
        <v>1446</v>
      </c>
      <c r="D15" s="226" t="s">
        <v>1445</v>
      </c>
      <c r="E15" s="143" t="s">
        <v>1297</v>
      </c>
      <c r="F15" s="119">
        <v>22140</v>
      </c>
      <c r="G15" s="123" t="s">
        <v>1444</v>
      </c>
      <c r="H15" s="240">
        <v>6670455452</v>
      </c>
      <c r="I15" s="222" t="s">
        <v>1443</v>
      </c>
      <c r="J15" s="119">
        <v>22107</v>
      </c>
      <c r="K15" s="123" t="s">
        <v>1046</v>
      </c>
      <c r="L15" s="122" t="s">
        <v>1045</v>
      </c>
      <c r="M15" s="222" t="s">
        <v>1442</v>
      </c>
      <c r="N15" s="119">
        <v>19140</v>
      </c>
      <c r="O15" s="123" t="s">
        <v>1441</v>
      </c>
      <c r="P15" s="127" t="s">
        <v>1440</v>
      </c>
      <c r="Q15" s="123" t="s">
        <v>1439</v>
      </c>
      <c r="R15" s="119">
        <f t="shared" si="0"/>
        <v>19140</v>
      </c>
      <c r="S15" s="118"/>
      <c r="T15" s="117">
        <v>45887</v>
      </c>
    </row>
    <row r="16" spans="1:20" ht="65.25" customHeight="1" x14ac:dyDescent="0.25">
      <c r="A16" s="126">
        <v>7</v>
      </c>
      <c r="B16" s="227" t="s">
        <v>1346</v>
      </c>
      <c r="C16" s="145" t="s">
        <v>1438</v>
      </c>
      <c r="D16" s="226" t="s">
        <v>1437</v>
      </c>
      <c r="E16" s="143" t="s">
        <v>1297</v>
      </c>
      <c r="F16" s="119">
        <v>4020</v>
      </c>
      <c r="G16" s="123" t="s">
        <v>1343</v>
      </c>
      <c r="H16" s="229">
        <v>770870527604</v>
      </c>
      <c r="I16" s="222" t="s">
        <v>1436</v>
      </c>
      <c r="J16" s="119">
        <v>4641</v>
      </c>
      <c r="K16" s="123" t="s">
        <v>1341</v>
      </c>
      <c r="L16" s="127" t="s">
        <v>1340</v>
      </c>
      <c r="M16" s="222" t="s">
        <v>1435</v>
      </c>
      <c r="N16" s="119">
        <v>4250</v>
      </c>
      <c r="O16" s="223" t="s">
        <v>1338</v>
      </c>
      <c r="P16" s="127" t="s">
        <v>1337</v>
      </c>
      <c r="Q16" s="222" t="s">
        <v>1434</v>
      </c>
      <c r="R16" s="119">
        <f t="shared" si="0"/>
        <v>4020</v>
      </c>
      <c r="S16" s="118"/>
      <c r="T16" s="117">
        <v>45887</v>
      </c>
    </row>
    <row r="17" spans="1:20" ht="70.5" customHeight="1" x14ac:dyDescent="0.25">
      <c r="A17" s="126">
        <v>8</v>
      </c>
      <c r="B17" s="227" t="s">
        <v>1346</v>
      </c>
      <c r="C17" s="145" t="s">
        <v>1433</v>
      </c>
      <c r="D17" s="226" t="s">
        <v>1432</v>
      </c>
      <c r="E17" s="143" t="s">
        <v>1297</v>
      </c>
      <c r="F17" s="119">
        <v>4920</v>
      </c>
      <c r="G17" s="123" t="s">
        <v>1343</v>
      </c>
      <c r="H17" s="229">
        <v>770870527604</v>
      </c>
      <c r="I17" s="222" t="s">
        <v>1431</v>
      </c>
      <c r="J17" s="236">
        <v>5677.97</v>
      </c>
      <c r="K17" s="123" t="s">
        <v>1341</v>
      </c>
      <c r="L17" s="127" t="s">
        <v>1340</v>
      </c>
      <c r="M17" s="222" t="s">
        <v>1430</v>
      </c>
      <c r="N17" s="119">
        <v>4090</v>
      </c>
      <c r="O17" s="236" t="s">
        <v>1409</v>
      </c>
      <c r="P17" s="127" t="s">
        <v>1408</v>
      </c>
      <c r="Q17" s="239" t="s">
        <v>1429</v>
      </c>
      <c r="R17" s="119">
        <f t="shared" si="0"/>
        <v>4090</v>
      </c>
      <c r="S17" s="118"/>
      <c r="T17" s="117">
        <v>45887</v>
      </c>
    </row>
    <row r="18" spans="1:20" ht="69.75" customHeight="1" x14ac:dyDescent="0.25">
      <c r="A18" s="126">
        <v>9</v>
      </c>
      <c r="B18" s="227" t="s">
        <v>1346</v>
      </c>
      <c r="C18" s="145" t="s">
        <v>1428</v>
      </c>
      <c r="D18" s="226" t="s">
        <v>1427</v>
      </c>
      <c r="E18" s="143" t="s">
        <v>1297</v>
      </c>
      <c r="F18" s="130">
        <v>5830</v>
      </c>
      <c r="G18" s="123" t="s">
        <v>1343</v>
      </c>
      <c r="H18" s="229">
        <v>770870527604</v>
      </c>
      <c r="I18" s="222" t="s">
        <v>1426</v>
      </c>
      <c r="J18" s="130">
        <v>6735.09</v>
      </c>
      <c r="K18" s="123" t="s">
        <v>1341</v>
      </c>
      <c r="L18" s="127" t="s">
        <v>1340</v>
      </c>
      <c r="M18" s="222" t="s">
        <v>1425</v>
      </c>
      <c r="N18" s="130">
        <v>4850</v>
      </c>
      <c r="O18" s="236" t="s">
        <v>1409</v>
      </c>
      <c r="P18" s="127" t="s">
        <v>1408</v>
      </c>
      <c r="Q18" s="222" t="s">
        <v>1424</v>
      </c>
      <c r="R18" s="119">
        <f t="shared" si="0"/>
        <v>4850</v>
      </c>
      <c r="S18" s="118"/>
      <c r="T18" s="117">
        <v>45887</v>
      </c>
    </row>
    <row r="19" spans="1:20" ht="68.25" customHeight="1" x14ac:dyDescent="0.25">
      <c r="A19" s="126">
        <v>10</v>
      </c>
      <c r="B19" s="227" t="s">
        <v>1346</v>
      </c>
      <c r="C19" s="145" t="s">
        <v>1423</v>
      </c>
      <c r="D19" s="226" t="s">
        <v>1422</v>
      </c>
      <c r="E19" s="143" t="s">
        <v>1297</v>
      </c>
      <c r="F19" s="130">
        <v>6750</v>
      </c>
      <c r="G19" s="123" t="s">
        <v>1343</v>
      </c>
      <c r="H19" s="229">
        <v>770870527604</v>
      </c>
      <c r="I19" s="222" t="s">
        <v>1421</v>
      </c>
      <c r="J19" s="130">
        <v>7796.28</v>
      </c>
      <c r="K19" s="123" t="s">
        <v>1341</v>
      </c>
      <c r="L19" s="127" t="s">
        <v>1340</v>
      </c>
      <c r="M19" s="222" t="s">
        <v>1420</v>
      </c>
      <c r="N19" s="130">
        <v>5850</v>
      </c>
      <c r="O19" s="236" t="s">
        <v>1409</v>
      </c>
      <c r="P19" s="127" t="s">
        <v>1408</v>
      </c>
      <c r="Q19" s="222" t="s">
        <v>1419</v>
      </c>
      <c r="R19" s="119">
        <f t="shared" si="0"/>
        <v>5850</v>
      </c>
      <c r="S19" s="118"/>
      <c r="T19" s="117">
        <v>45887</v>
      </c>
    </row>
    <row r="20" spans="1:20" ht="71.25" customHeight="1" x14ac:dyDescent="0.25">
      <c r="A20" s="126">
        <v>11</v>
      </c>
      <c r="B20" s="227" t="s">
        <v>1346</v>
      </c>
      <c r="C20" s="145" t="s">
        <v>1418</v>
      </c>
      <c r="D20" s="226" t="s">
        <v>1417</v>
      </c>
      <c r="E20" s="143" t="s">
        <v>1297</v>
      </c>
      <c r="F20" s="130">
        <v>7660</v>
      </c>
      <c r="G20" s="123" t="s">
        <v>1343</v>
      </c>
      <c r="H20" s="229">
        <v>770870527604</v>
      </c>
      <c r="I20" s="222" t="s">
        <v>1416</v>
      </c>
      <c r="J20" s="130">
        <v>8846.2900000000009</v>
      </c>
      <c r="K20" s="123" t="s">
        <v>1341</v>
      </c>
      <c r="L20" s="127" t="s">
        <v>1340</v>
      </c>
      <c r="M20" s="222" t="s">
        <v>1415</v>
      </c>
      <c r="N20" s="130">
        <v>6650</v>
      </c>
      <c r="O20" s="236" t="s">
        <v>1409</v>
      </c>
      <c r="P20" s="127" t="s">
        <v>1408</v>
      </c>
      <c r="Q20" s="222" t="s">
        <v>1414</v>
      </c>
      <c r="R20" s="119">
        <f t="shared" si="0"/>
        <v>6650</v>
      </c>
      <c r="S20" s="118"/>
      <c r="T20" s="117">
        <v>45887</v>
      </c>
    </row>
    <row r="21" spans="1:20" s="234" customFormat="1" ht="71.25" customHeight="1" x14ac:dyDescent="0.25">
      <c r="A21" s="238">
        <v>12</v>
      </c>
      <c r="B21" s="227" t="s">
        <v>1346</v>
      </c>
      <c r="C21" s="145" t="s">
        <v>1413</v>
      </c>
      <c r="D21" s="226" t="s">
        <v>1412</v>
      </c>
      <c r="E21" s="143" t="s">
        <v>1297</v>
      </c>
      <c r="F21" s="237">
        <v>8640</v>
      </c>
      <c r="G21" s="123" t="s">
        <v>1343</v>
      </c>
      <c r="H21" s="229">
        <v>770870527604</v>
      </c>
      <c r="I21" s="139" t="s">
        <v>1411</v>
      </c>
      <c r="J21" s="133">
        <v>9978.6299999999992</v>
      </c>
      <c r="K21" s="123" t="s">
        <v>1341</v>
      </c>
      <c r="L21" s="127" t="s">
        <v>1340</v>
      </c>
      <c r="M21" s="222" t="s">
        <v>1410</v>
      </c>
      <c r="N21" s="133">
        <v>7490</v>
      </c>
      <c r="O21" s="236" t="s">
        <v>1409</v>
      </c>
      <c r="P21" s="127" t="s">
        <v>1408</v>
      </c>
      <c r="Q21" s="222" t="s">
        <v>1407</v>
      </c>
      <c r="R21" s="137">
        <f t="shared" si="0"/>
        <v>7490</v>
      </c>
      <c r="S21" s="235"/>
      <c r="T21" s="117">
        <v>45887</v>
      </c>
    </row>
    <row r="22" spans="1:20" ht="75" customHeight="1" x14ac:dyDescent="0.25">
      <c r="A22" s="126">
        <v>13</v>
      </c>
      <c r="B22" s="227" t="s">
        <v>1346</v>
      </c>
      <c r="C22" s="145" t="s">
        <v>1406</v>
      </c>
      <c r="D22" s="226" t="s">
        <v>1405</v>
      </c>
      <c r="E22" s="143" t="s">
        <v>1297</v>
      </c>
      <c r="F22" s="130">
        <v>3150</v>
      </c>
      <c r="G22" s="123" t="s">
        <v>1343</v>
      </c>
      <c r="H22" s="229">
        <v>770870527604</v>
      </c>
      <c r="I22" s="222" t="s">
        <v>1404</v>
      </c>
      <c r="J22" s="130">
        <v>3731.44</v>
      </c>
      <c r="K22" s="123" t="s">
        <v>1341</v>
      </c>
      <c r="L22" s="127" t="s">
        <v>1340</v>
      </c>
      <c r="M22" s="222" t="s">
        <v>1403</v>
      </c>
      <c r="N22" s="130">
        <v>3410</v>
      </c>
      <c r="O22" s="223" t="s">
        <v>1338</v>
      </c>
      <c r="P22" s="127" t="s">
        <v>1337</v>
      </c>
      <c r="Q22" s="222" t="s">
        <v>1402</v>
      </c>
      <c r="R22" s="119">
        <f t="shared" si="0"/>
        <v>3150</v>
      </c>
      <c r="S22" s="118"/>
      <c r="T22" s="117">
        <v>45887</v>
      </c>
    </row>
    <row r="23" spans="1:20" ht="70.5" customHeight="1" x14ac:dyDescent="0.25">
      <c r="A23" s="126">
        <v>14</v>
      </c>
      <c r="B23" s="227" t="s">
        <v>1346</v>
      </c>
      <c r="C23" s="145" t="s">
        <v>1401</v>
      </c>
      <c r="D23" s="226" t="s">
        <v>1400</v>
      </c>
      <c r="E23" s="143" t="s">
        <v>1297</v>
      </c>
      <c r="F23" s="130">
        <v>4590</v>
      </c>
      <c r="G23" s="123" t="s">
        <v>1343</v>
      </c>
      <c r="H23" s="229">
        <v>770870527604</v>
      </c>
      <c r="I23" s="233" t="s">
        <v>1399</v>
      </c>
      <c r="J23" s="130">
        <v>5388.28</v>
      </c>
      <c r="K23" s="123" t="s">
        <v>1341</v>
      </c>
      <c r="L23" s="127" t="s">
        <v>1340</v>
      </c>
      <c r="M23" s="233" t="s">
        <v>1398</v>
      </c>
      <c r="N23" s="130">
        <v>4930</v>
      </c>
      <c r="O23" s="223" t="s">
        <v>1338</v>
      </c>
      <c r="P23" s="127" t="s">
        <v>1337</v>
      </c>
      <c r="Q23" s="232" t="s">
        <v>1397</v>
      </c>
      <c r="R23" s="119">
        <f t="shared" si="0"/>
        <v>4590</v>
      </c>
      <c r="S23" s="118"/>
      <c r="T23" s="117">
        <v>45887</v>
      </c>
    </row>
    <row r="24" spans="1:20" ht="72" customHeight="1" x14ac:dyDescent="0.25">
      <c r="A24" s="126">
        <v>15</v>
      </c>
      <c r="B24" s="227" t="s">
        <v>1346</v>
      </c>
      <c r="C24" s="145" t="s">
        <v>1396</v>
      </c>
      <c r="D24" s="226" t="s">
        <v>1395</v>
      </c>
      <c r="E24" s="143" t="s">
        <v>1297</v>
      </c>
      <c r="F24" s="130">
        <v>6020</v>
      </c>
      <c r="G24" s="123" t="s">
        <v>1343</v>
      </c>
      <c r="H24" s="229">
        <v>770870527604</v>
      </c>
      <c r="I24" s="222" t="s">
        <v>1394</v>
      </c>
      <c r="J24" s="130">
        <v>7043.08</v>
      </c>
      <c r="K24" s="123" t="s">
        <v>1341</v>
      </c>
      <c r="L24" s="127" t="s">
        <v>1340</v>
      </c>
      <c r="M24" s="222" t="s">
        <v>1393</v>
      </c>
      <c r="N24" s="130">
        <v>6450</v>
      </c>
      <c r="O24" s="223" t="s">
        <v>1338</v>
      </c>
      <c r="P24" s="127" t="s">
        <v>1337</v>
      </c>
      <c r="Q24" s="222" t="s">
        <v>1392</v>
      </c>
      <c r="R24" s="119">
        <f t="shared" si="0"/>
        <v>6020</v>
      </c>
      <c r="S24" s="118"/>
      <c r="T24" s="117">
        <v>45887</v>
      </c>
    </row>
    <row r="25" spans="1:20" ht="73.5" customHeight="1" x14ac:dyDescent="0.25">
      <c r="A25" s="126">
        <v>16</v>
      </c>
      <c r="B25" s="227" t="s">
        <v>1346</v>
      </c>
      <c r="C25" s="145" t="s">
        <v>1391</v>
      </c>
      <c r="D25" s="226" t="s">
        <v>1390</v>
      </c>
      <c r="E25" s="143" t="s">
        <v>1297</v>
      </c>
      <c r="F25" s="130">
        <v>6710</v>
      </c>
      <c r="G25" s="123" t="s">
        <v>1343</v>
      </c>
      <c r="H25" s="229">
        <v>770870527604</v>
      </c>
      <c r="I25" s="222" t="s">
        <v>1389</v>
      </c>
      <c r="J25" s="130">
        <v>7841</v>
      </c>
      <c r="K25" s="123" t="s">
        <v>1341</v>
      </c>
      <c r="L25" s="127" t="s">
        <v>1340</v>
      </c>
      <c r="M25" s="222" t="s">
        <v>1388</v>
      </c>
      <c r="N25" s="130">
        <v>7180</v>
      </c>
      <c r="O25" s="223" t="s">
        <v>1338</v>
      </c>
      <c r="P25" s="127" t="s">
        <v>1337</v>
      </c>
      <c r="Q25" s="222" t="s">
        <v>1387</v>
      </c>
      <c r="R25" s="119">
        <f t="shared" si="0"/>
        <v>6710</v>
      </c>
      <c r="S25" s="118"/>
      <c r="T25" s="117">
        <v>45887</v>
      </c>
    </row>
    <row r="26" spans="1:20" ht="82.5" customHeight="1" x14ac:dyDescent="0.25">
      <c r="A26" s="126">
        <v>17</v>
      </c>
      <c r="B26" s="227" t="s">
        <v>1346</v>
      </c>
      <c r="C26" s="145" t="s">
        <v>1386</v>
      </c>
      <c r="D26" s="226" t="s">
        <v>1385</v>
      </c>
      <c r="E26" s="143" t="s">
        <v>1297</v>
      </c>
      <c r="F26" s="130">
        <v>7080</v>
      </c>
      <c r="G26" s="123" t="s">
        <v>1343</v>
      </c>
      <c r="H26" s="229">
        <v>770870527604</v>
      </c>
      <c r="I26" s="222" t="s">
        <v>1384</v>
      </c>
      <c r="J26" s="130">
        <v>8176.44</v>
      </c>
      <c r="K26" s="123" t="s">
        <v>1341</v>
      </c>
      <c r="L26" s="127" t="s">
        <v>1340</v>
      </c>
      <c r="M26" s="222" t="s">
        <v>1383</v>
      </c>
      <c r="N26" s="130">
        <v>7480</v>
      </c>
      <c r="O26" s="223" t="s">
        <v>1338</v>
      </c>
      <c r="P26" s="127" t="s">
        <v>1337</v>
      </c>
      <c r="Q26" s="222" t="s">
        <v>1382</v>
      </c>
      <c r="R26" s="119">
        <f t="shared" si="0"/>
        <v>7080</v>
      </c>
      <c r="S26" s="118"/>
      <c r="T26" s="117">
        <v>45887</v>
      </c>
    </row>
    <row r="27" spans="1:20" ht="81" customHeight="1" x14ac:dyDescent="0.25">
      <c r="A27" s="126">
        <v>18</v>
      </c>
      <c r="B27" s="227" t="s">
        <v>1346</v>
      </c>
      <c r="C27" s="145" t="s">
        <v>1381</v>
      </c>
      <c r="D27" s="226" t="s">
        <v>1380</v>
      </c>
      <c r="E27" s="143" t="s">
        <v>1297</v>
      </c>
      <c r="F27" s="130">
        <v>4830</v>
      </c>
      <c r="G27" s="123" t="s">
        <v>1343</v>
      </c>
      <c r="H27" s="229">
        <v>770870527604</v>
      </c>
      <c r="I27" s="222" t="s">
        <v>1379</v>
      </c>
      <c r="J27" s="130">
        <v>5625.11</v>
      </c>
      <c r="K27" s="123" t="s">
        <v>1341</v>
      </c>
      <c r="L27" s="127" t="s">
        <v>1340</v>
      </c>
      <c r="M27" s="222" t="s">
        <v>1378</v>
      </c>
      <c r="N27" s="130">
        <v>5150</v>
      </c>
      <c r="O27" s="223" t="s">
        <v>1338</v>
      </c>
      <c r="P27" s="127" t="s">
        <v>1337</v>
      </c>
      <c r="Q27" s="222" t="s">
        <v>1377</v>
      </c>
      <c r="R27" s="119">
        <f t="shared" si="0"/>
        <v>4830</v>
      </c>
      <c r="S27" s="130"/>
      <c r="T27" s="117">
        <v>45887</v>
      </c>
    </row>
    <row r="28" spans="1:20" ht="80.25" customHeight="1" x14ac:dyDescent="0.25">
      <c r="A28" s="126">
        <v>19</v>
      </c>
      <c r="B28" s="227" t="s">
        <v>1346</v>
      </c>
      <c r="C28" s="145" t="s">
        <v>1376</v>
      </c>
      <c r="D28" s="226" t="s">
        <v>1375</v>
      </c>
      <c r="E28" s="143" t="s">
        <v>1297</v>
      </c>
      <c r="F28" s="130">
        <v>5570</v>
      </c>
      <c r="G28" s="123" t="s">
        <v>1343</v>
      </c>
      <c r="H28" s="229">
        <v>770870527604</v>
      </c>
      <c r="I28" s="222" t="s">
        <v>1374</v>
      </c>
      <c r="J28" s="130">
        <v>6475.89</v>
      </c>
      <c r="K28" s="123" t="s">
        <v>1341</v>
      </c>
      <c r="L28" s="127" t="s">
        <v>1340</v>
      </c>
      <c r="M28" s="222" t="s">
        <v>1373</v>
      </c>
      <c r="N28" s="130">
        <v>5930</v>
      </c>
      <c r="O28" s="223" t="s">
        <v>1338</v>
      </c>
      <c r="P28" s="127" t="s">
        <v>1337</v>
      </c>
      <c r="Q28" s="222" t="s">
        <v>1372</v>
      </c>
      <c r="R28" s="119">
        <f t="shared" si="0"/>
        <v>5570</v>
      </c>
      <c r="S28" s="118"/>
      <c r="T28" s="117">
        <v>45887</v>
      </c>
    </row>
    <row r="29" spans="1:20" ht="75.75" customHeight="1" x14ac:dyDescent="0.25">
      <c r="A29" s="126">
        <v>20</v>
      </c>
      <c r="B29" s="227" t="s">
        <v>1346</v>
      </c>
      <c r="C29" s="145" t="s">
        <v>1371</v>
      </c>
      <c r="D29" s="226" t="s">
        <v>1370</v>
      </c>
      <c r="E29" s="143" t="s">
        <v>1297</v>
      </c>
      <c r="F29" s="130">
        <v>6350</v>
      </c>
      <c r="G29" s="123" t="s">
        <v>1343</v>
      </c>
      <c r="H29" s="229">
        <v>770870527604</v>
      </c>
      <c r="I29" s="222" t="s">
        <v>1369</v>
      </c>
      <c r="J29" s="130">
        <v>7380.55</v>
      </c>
      <c r="K29" s="123" t="s">
        <v>1341</v>
      </c>
      <c r="L29" s="127" t="s">
        <v>1340</v>
      </c>
      <c r="M29" s="222" t="s">
        <v>1368</v>
      </c>
      <c r="N29" s="130">
        <v>6760</v>
      </c>
      <c r="O29" s="223" t="s">
        <v>1338</v>
      </c>
      <c r="P29" s="127" t="s">
        <v>1337</v>
      </c>
      <c r="Q29" s="222" t="s">
        <v>1367</v>
      </c>
      <c r="R29" s="119">
        <f t="shared" si="0"/>
        <v>6350</v>
      </c>
      <c r="S29" s="118"/>
      <c r="T29" s="117">
        <v>45887</v>
      </c>
    </row>
    <row r="30" spans="1:20" ht="75.75" customHeight="1" x14ac:dyDescent="0.25">
      <c r="A30" s="126">
        <v>21</v>
      </c>
      <c r="B30" s="227" t="s">
        <v>1346</v>
      </c>
      <c r="C30" s="145" t="s">
        <v>1366</v>
      </c>
      <c r="D30" s="226" t="s">
        <v>1365</v>
      </c>
      <c r="E30" s="143" t="s">
        <v>1297</v>
      </c>
      <c r="F30" s="130">
        <v>7090</v>
      </c>
      <c r="G30" s="123" t="s">
        <v>1343</v>
      </c>
      <c r="H30" s="229">
        <v>770870527604</v>
      </c>
      <c r="I30" s="222" t="s">
        <v>1364</v>
      </c>
      <c r="J30" s="130">
        <v>8231.33</v>
      </c>
      <c r="K30" s="123" t="s">
        <v>1341</v>
      </c>
      <c r="L30" s="127" t="s">
        <v>1340</v>
      </c>
      <c r="M30" s="222" t="s">
        <v>1363</v>
      </c>
      <c r="N30" s="130">
        <v>7530</v>
      </c>
      <c r="O30" s="223" t="s">
        <v>1338</v>
      </c>
      <c r="P30" s="127" t="s">
        <v>1337</v>
      </c>
      <c r="Q30" s="222" t="s">
        <v>1362</v>
      </c>
      <c r="R30" s="119">
        <f t="shared" si="0"/>
        <v>7090</v>
      </c>
      <c r="S30" s="118"/>
      <c r="T30" s="117">
        <v>45887</v>
      </c>
    </row>
    <row r="31" spans="1:20" ht="84.75" customHeight="1" x14ac:dyDescent="0.25">
      <c r="A31" s="126">
        <v>22</v>
      </c>
      <c r="B31" s="231" t="s">
        <v>1346</v>
      </c>
      <c r="C31" s="145" t="s">
        <v>1361</v>
      </c>
      <c r="D31" s="226" t="s">
        <v>1360</v>
      </c>
      <c r="E31" s="143" t="s">
        <v>1297</v>
      </c>
      <c r="F31" s="130">
        <v>7850</v>
      </c>
      <c r="G31" s="123" t="s">
        <v>1343</v>
      </c>
      <c r="H31" s="229">
        <v>770870527604</v>
      </c>
      <c r="I31" s="222" t="s">
        <v>1359</v>
      </c>
      <c r="J31" s="130">
        <v>9131.91</v>
      </c>
      <c r="K31" s="123" t="s">
        <v>1341</v>
      </c>
      <c r="L31" s="127" t="s">
        <v>1340</v>
      </c>
      <c r="M31" s="222" t="s">
        <v>1358</v>
      </c>
      <c r="N31" s="130">
        <v>8360</v>
      </c>
      <c r="O31" s="223" t="s">
        <v>1338</v>
      </c>
      <c r="P31" s="127" t="s">
        <v>1337</v>
      </c>
      <c r="Q31" s="222" t="s">
        <v>1357</v>
      </c>
      <c r="R31" s="119">
        <f t="shared" si="0"/>
        <v>7850</v>
      </c>
      <c r="S31" s="118"/>
      <c r="T31" s="117">
        <v>45887</v>
      </c>
    </row>
    <row r="32" spans="1:20" ht="82.5" customHeight="1" x14ac:dyDescent="0.25">
      <c r="A32" s="126">
        <v>23</v>
      </c>
      <c r="B32" s="231" t="s">
        <v>1346</v>
      </c>
      <c r="C32" s="145" t="s">
        <v>1356</v>
      </c>
      <c r="D32" s="226" t="s">
        <v>1355</v>
      </c>
      <c r="E32" s="143" t="s">
        <v>1297</v>
      </c>
      <c r="F32" s="130">
        <v>12040</v>
      </c>
      <c r="G32" s="123" t="s">
        <v>1343</v>
      </c>
      <c r="H32" s="229">
        <v>770870527604</v>
      </c>
      <c r="I32" s="222" t="s">
        <v>1354</v>
      </c>
      <c r="J32" s="130">
        <v>13903.19</v>
      </c>
      <c r="K32" s="123" t="s">
        <v>1341</v>
      </c>
      <c r="L32" s="127" t="s">
        <v>1340</v>
      </c>
      <c r="M32" s="222" t="s">
        <v>1353</v>
      </c>
      <c r="N32" s="130">
        <v>12730</v>
      </c>
      <c r="O32" s="223" t="s">
        <v>1338</v>
      </c>
      <c r="P32" s="127" t="s">
        <v>1337</v>
      </c>
      <c r="Q32" s="222" t="s">
        <v>1352</v>
      </c>
      <c r="R32" s="119">
        <f t="shared" si="0"/>
        <v>12040</v>
      </c>
      <c r="S32" s="118"/>
      <c r="T32" s="117">
        <v>45887</v>
      </c>
    </row>
    <row r="33" spans="1:20" ht="81" customHeight="1" x14ac:dyDescent="0.25">
      <c r="A33" s="126">
        <v>24</v>
      </c>
      <c r="B33" s="231" t="s">
        <v>1346</v>
      </c>
      <c r="C33" s="145" t="s">
        <v>1351</v>
      </c>
      <c r="D33" s="226" t="s">
        <v>1350</v>
      </c>
      <c r="E33" s="143" t="s">
        <v>1297</v>
      </c>
      <c r="F33" s="130">
        <v>6820</v>
      </c>
      <c r="G33" s="123" t="s">
        <v>1343</v>
      </c>
      <c r="H33" s="229">
        <v>770870527604</v>
      </c>
      <c r="I33" s="222" t="s">
        <v>1349</v>
      </c>
      <c r="J33" s="130">
        <v>7867.43</v>
      </c>
      <c r="K33" s="123" t="s">
        <v>1341</v>
      </c>
      <c r="L33" s="127" t="s">
        <v>1340</v>
      </c>
      <c r="M33" s="222" t="s">
        <v>1348</v>
      </c>
      <c r="N33" s="130">
        <v>7200</v>
      </c>
      <c r="O33" s="223" t="s">
        <v>1338</v>
      </c>
      <c r="P33" s="127" t="s">
        <v>1337</v>
      </c>
      <c r="Q33" s="222" t="s">
        <v>1347</v>
      </c>
      <c r="R33" s="119">
        <f t="shared" si="0"/>
        <v>6820</v>
      </c>
      <c r="S33" s="118"/>
      <c r="T33" s="117">
        <v>45887</v>
      </c>
    </row>
    <row r="34" spans="1:20" ht="66" customHeight="1" x14ac:dyDescent="0.25">
      <c r="A34" s="126">
        <v>25</v>
      </c>
      <c r="B34" s="231" t="s">
        <v>1346</v>
      </c>
      <c r="C34" s="145" t="s">
        <v>1345</v>
      </c>
      <c r="D34" s="226" t="s">
        <v>1344</v>
      </c>
      <c r="E34" s="143" t="s">
        <v>1297</v>
      </c>
      <c r="F34" s="130">
        <v>8430</v>
      </c>
      <c r="G34" s="123" t="s">
        <v>1343</v>
      </c>
      <c r="H34" s="229">
        <v>770870527604</v>
      </c>
      <c r="I34" s="222" t="s">
        <v>1342</v>
      </c>
      <c r="J34" s="130">
        <v>9727.56</v>
      </c>
      <c r="K34" s="123" t="s">
        <v>1341</v>
      </c>
      <c r="L34" s="127" t="s">
        <v>1340</v>
      </c>
      <c r="M34" s="222" t="s">
        <v>1339</v>
      </c>
      <c r="N34" s="130">
        <v>8910</v>
      </c>
      <c r="O34" s="223" t="s">
        <v>1338</v>
      </c>
      <c r="P34" s="127" t="s">
        <v>1337</v>
      </c>
      <c r="Q34" s="222" t="s">
        <v>1336</v>
      </c>
      <c r="R34" s="119">
        <f t="shared" si="0"/>
        <v>8430</v>
      </c>
      <c r="S34" s="118"/>
      <c r="T34" s="117">
        <v>45887</v>
      </c>
    </row>
    <row r="35" spans="1:20" ht="69" customHeight="1" x14ac:dyDescent="0.25">
      <c r="A35" s="126">
        <v>26</v>
      </c>
      <c r="B35" s="227" t="s">
        <v>1335</v>
      </c>
      <c r="C35" s="145" t="s">
        <v>1334</v>
      </c>
      <c r="D35" s="226" t="s">
        <v>1333</v>
      </c>
      <c r="E35" s="143" t="s">
        <v>1297</v>
      </c>
      <c r="F35" s="130">
        <v>890</v>
      </c>
      <c r="G35" s="123" t="s">
        <v>1332</v>
      </c>
      <c r="H35" s="230">
        <v>773378286316</v>
      </c>
      <c r="I35" s="222" t="s">
        <v>1331</v>
      </c>
      <c r="J35" s="130">
        <v>1152.3</v>
      </c>
      <c r="K35" s="123" t="s">
        <v>1330</v>
      </c>
      <c r="L35" s="127" t="s">
        <v>1329</v>
      </c>
      <c r="M35" s="222" t="s">
        <v>1328</v>
      </c>
      <c r="N35" s="130">
        <v>660</v>
      </c>
      <c r="O35" s="228" t="s">
        <v>1327</v>
      </c>
      <c r="P35" s="127" t="s">
        <v>1326</v>
      </c>
      <c r="Q35" s="222" t="s">
        <v>1325</v>
      </c>
      <c r="R35" s="119">
        <f t="shared" si="0"/>
        <v>660</v>
      </c>
      <c r="S35" s="118"/>
      <c r="T35" s="117">
        <v>45887</v>
      </c>
    </row>
    <row r="36" spans="1:20" ht="64.5" customHeight="1" x14ac:dyDescent="0.25">
      <c r="A36" s="126">
        <v>27</v>
      </c>
      <c r="B36" s="227" t="s">
        <v>1310</v>
      </c>
      <c r="C36" s="145" t="s">
        <v>1324</v>
      </c>
      <c r="D36" s="226" t="s">
        <v>1323</v>
      </c>
      <c r="E36" s="143" t="s">
        <v>1297</v>
      </c>
      <c r="F36" s="130">
        <v>15610</v>
      </c>
      <c r="G36" s="123" t="s">
        <v>1315</v>
      </c>
      <c r="H36" s="229">
        <v>7722493380</v>
      </c>
      <c r="I36" s="222" t="s">
        <v>1322</v>
      </c>
      <c r="J36" s="130">
        <v>19502</v>
      </c>
      <c r="K36" s="123" t="s">
        <v>1313</v>
      </c>
      <c r="L36" s="127" t="s">
        <v>1312</v>
      </c>
      <c r="M36" s="222" t="s">
        <v>1321</v>
      </c>
      <c r="N36" s="130">
        <v>20077</v>
      </c>
      <c r="O36" s="223" t="s">
        <v>415</v>
      </c>
      <c r="P36" s="127" t="s">
        <v>414</v>
      </c>
      <c r="Q36" s="222" t="s">
        <v>1320</v>
      </c>
      <c r="R36" s="119">
        <f t="shared" si="0"/>
        <v>15610</v>
      </c>
      <c r="S36" s="118"/>
      <c r="T36" s="117">
        <v>45887</v>
      </c>
    </row>
    <row r="37" spans="1:20" ht="69.75" customHeight="1" x14ac:dyDescent="0.25">
      <c r="A37" s="126">
        <v>28</v>
      </c>
      <c r="B37" s="227" t="s">
        <v>1310</v>
      </c>
      <c r="C37" s="145" t="s">
        <v>1319</v>
      </c>
      <c r="D37" s="226" t="s">
        <v>1318</v>
      </c>
      <c r="E37" s="143" t="s">
        <v>1297</v>
      </c>
      <c r="F37" s="130">
        <v>19185.48</v>
      </c>
      <c r="G37" s="123" t="s">
        <v>1317</v>
      </c>
      <c r="H37" s="229">
        <v>5257110759</v>
      </c>
      <c r="I37" s="222" t="s">
        <v>1316</v>
      </c>
      <c r="J37" s="130">
        <v>16812</v>
      </c>
      <c r="K37" s="123" t="s">
        <v>1315</v>
      </c>
      <c r="L37" s="229">
        <v>7722493380</v>
      </c>
      <c r="M37" s="222" t="s">
        <v>1314</v>
      </c>
      <c r="N37" s="130">
        <v>21003</v>
      </c>
      <c r="O37" s="123" t="s">
        <v>1313</v>
      </c>
      <c r="P37" s="127" t="s">
        <v>1312</v>
      </c>
      <c r="Q37" s="222" t="s">
        <v>1311</v>
      </c>
      <c r="R37" s="119">
        <f t="shared" si="0"/>
        <v>16812</v>
      </c>
      <c r="S37" s="118"/>
      <c r="T37" s="117">
        <v>45887</v>
      </c>
    </row>
    <row r="38" spans="1:20" ht="73.5" customHeight="1" x14ac:dyDescent="0.25">
      <c r="A38" s="126">
        <v>29</v>
      </c>
      <c r="B38" s="227" t="s">
        <v>1310</v>
      </c>
      <c r="C38" s="145" t="s">
        <v>1309</v>
      </c>
      <c r="D38" s="226" t="s">
        <v>1308</v>
      </c>
      <c r="E38" s="143" t="s">
        <v>1297</v>
      </c>
      <c r="F38" s="130">
        <v>20109</v>
      </c>
      <c r="G38" s="123" t="s">
        <v>1149</v>
      </c>
      <c r="H38" s="229">
        <v>7736192449</v>
      </c>
      <c r="I38" s="222" t="s">
        <v>1307</v>
      </c>
      <c r="J38" s="130">
        <v>29572</v>
      </c>
      <c r="K38" s="123" t="s">
        <v>1306</v>
      </c>
      <c r="L38" s="127" t="s">
        <v>1305</v>
      </c>
      <c r="M38" s="222" t="s">
        <v>1304</v>
      </c>
      <c r="N38" s="130">
        <v>23204</v>
      </c>
      <c r="O38" s="228" t="s">
        <v>1303</v>
      </c>
      <c r="P38" s="127" t="s">
        <v>1302</v>
      </c>
      <c r="Q38" s="222" t="s">
        <v>1301</v>
      </c>
      <c r="R38" s="119">
        <f t="shared" si="0"/>
        <v>20109</v>
      </c>
      <c r="S38" s="118"/>
      <c r="T38" s="117">
        <v>45887</v>
      </c>
    </row>
    <row r="39" spans="1:20" ht="75.75" customHeight="1" x14ac:dyDescent="0.25">
      <c r="A39" s="126">
        <v>30</v>
      </c>
      <c r="B39" s="227" t="s">
        <v>1300</v>
      </c>
      <c r="C39" s="145" t="s">
        <v>1299</v>
      </c>
      <c r="D39" s="226" t="s">
        <v>1298</v>
      </c>
      <c r="E39" s="143" t="s">
        <v>1297</v>
      </c>
      <c r="F39" s="130">
        <v>14481.86</v>
      </c>
      <c r="G39" s="225" t="s">
        <v>1296</v>
      </c>
      <c r="H39" s="224">
        <v>503603557094</v>
      </c>
      <c r="I39" s="222" t="s">
        <v>1295</v>
      </c>
      <c r="J39" s="130">
        <v>19016</v>
      </c>
      <c r="K39" s="123" t="s">
        <v>1294</v>
      </c>
      <c r="L39" s="127" t="s">
        <v>1014</v>
      </c>
      <c r="M39" s="222" t="s">
        <v>1293</v>
      </c>
      <c r="N39" s="130">
        <v>20515.599999999999</v>
      </c>
      <c r="O39" s="223" t="s">
        <v>1292</v>
      </c>
      <c r="P39" s="127" t="s">
        <v>1291</v>
      </c>
      <c r="Q39" s="222" t="s">
        <v>1290</v>
      </c>
      <c r="R39" s="119">
        <f t="shared" si="0"/>
        <v>14481.86</v>
      </c>
      <c r="S39" s="118"/>
      <c r="T39" s="117">
        <v>45887</v>
      </c>
    </row>
    <row r="40" spans="1:20" ht="30" customHeight="1" x14ac:dyDescent="0.25">
      <c r="A40" s="221"/>
      <c r="B40" s="220"/>
      <c r="C40" s="219"/>
      <c r="D40" s="218"/>
      <c r="E40" s="215"/>
      <c r="F40" s="216"/>
      <c r="G40" s="215"/>
      <c r="H40" s="217"/>
      <c r="I40" s="215"/>
      <c r="J40" s="216"/>
      <c r="K40" s="215"/>
      <c r="L40" s="215"/>
      <c r="M40" s="215"/>
      <c r="N40" s="216"/>
      <c r="O40" s="215"/>
      <c r="P40" s="215"/>
      <c r="Q40" s="215"/>
      <c r="R40" s="214"/>
      <c r="S40" s="213"/>
      <c r="T40" s="212"/>
    </row>
    <row r="42" spans="1:20" x14ac:dyDescent="0.25">
      <c r="A42" s="91"/>
      <c r="B42" s="116"/>
      <c r="C42" s="116"/>
      <c r="D42" s="116" t="s">
        <v>16</v>
      </c>
      <c r="E42" s="114"/>
      <c r="F42" s="112"/>
      <c r="G42" s="113"/>
      <c r="H42" s="112"/>
      <c r="I42" s="114"/>
      <c r="J42" s="112"/>
      <c r="K42" s="113"/>
      <c r="L42" s="112"/>
      <c r="M42" s="114"/>
      <c r="N42" s="112"/>
      <c r="O42" s="113"/>
      <c r="P42" s="116" t="s">
        <v>25</v>
      </c>
      <c r="Q42" s="116"/>
      <c r="R42" s="115"/>
      <c r="S42" s="112"/>
      <c r="T42" s="91"/>
    </row>
    <row r="43" spans="1:20" x14ac:dyDescent="0.25">
      <c r="A43" s="91"/>
      <c r="B43" s="538" t="s">
        <v>19</v>
      </c>
      <c r="C43" s="538"/>
      <c r="D43" s="538"/>
      <c r="E43" s="114"/>
      <c r="F43" s="112"/>
      <c r="G43" s="113"/>
      <c r="H43" s="112"/>
      <c r="I43" s="114"/>
      <c r="J43" s="112"/>
      <c r="K43" s="113"/>
      <c r="L43" s="112"/>
      <c r="M43" s="114"/>
      <c r="N43" s="112"/>
      <c r="O43" s="113"/>
      <c r="P43" s="112"/>
      <c r="Q43" s="101" t="s">
        <v>19</v>
      </c>
      <c r="R43" s="533"/>
      <c r="S43" s="533"/>
      <c r="T43" s="91"/>
    </row>
    <row r="44" spans="1:20" ht="18.75" x14ac:dyDescent="0.3">
      <c r="A44" s="91"/>
      <c r="B44" s="91"/>
      <c r="C44" s="91"/>
      <c r="D44" s="91"/>
      <c r="E44" s="91"/>
      <c r="F44" s="92"/>
      <c r="G44" s="93"/>
      <c r="H44" s="92"/>
      <c r="I44" s="91"/>
      <c r="J44" s="92"/>
      <c r="K44" s="93"/>
      <c r="L44" s="92"/>
      <c r="M44" s="91"/>
      <c r="N44" s="107" t="s">
        <v>20</v>
      </c>
      <c r="O44" s="106"/>
      <c r="P44" s="92"/>
      <c r="Q44" s="91"/>
      <c r="R44" s="91"/>
      <c r="S44" s="92"/>
      <c r="T44" s="91"/>
    </row>
    <row r="45" spans="1:20" ht="47.25" customHeight="1" x14ac:dyDescent="0.3">
      <c r="A45" s="524" t="s">
        <v>344</v>
      </c>
      <c r="B45" s="524"/>
      <c r="C45" s="524"/>
      <c r="D45" s="111" t="s">
        <v>19</v>
      </c>
      <c r="E45" s="91"/>
      <c r="F45" s="92"/>
      <c r="G45" s="106" t="s">
        <v>343</v>
      </c>
      <c r="H45" s="92"/>
      <c r="I45" s="110" t="s">
        <v>19</v>
      </c>
      <c r="J45" s="108"/>
      <c r="K45" s="109"/>
      <c r="L45" s="108"/>
      <c r="M45" s="91"/>
      <c r="N45" s="107" t="s">
        <v>21</v>
      </c>
      <c r="O45" s="106"/>
      <c r="P45" s="92"/>
      <c r="Q45" s="105"/>
      <c r="R45" s="91"/>
      <c r="S45" s="104" t="s">
        <v>22</v>
      </c>
      <c r="T45" s="91"/>
    </row>
    <row r="46" spans="1:20" x14ac:dyDescent="0.25">
      <c r="A46" s="91"/>
      <c r="B46" s="531" t="s">
        <v>19</v>
      </c>
      <c r="C46" s="531"/>
      <c r="D46" s="531"/>
      <c r="E46" s="531"/>
      <c r="F46" s="531"/>
      <c r="G46" s="531"/>
      <c r="H46" s="531"/>
      <c r="I46" s="531"/>
      <c r="J46" s="531"/>
      <c r="K46" s="531"/>
      <c r="L46" s="531"/>
      <c r="M46" s="531"/>
      <c r="N46" s="102"/>
      <c r="O46" s="103" t="s">
        <v>19</v>
      </c>
      <c r="P46" s="102"/>
      <c r="Q46" s="101"/>
      <c r="R46" s="91"/>
      <c r="S46" s="92"/>
      <c r="T46" s="91"/>
    </row>
    <row r="47" spans="1:20" ht="18.75" x14ac:dyDescent="0.3">
      <c r="A47" s="91"/>
      <c r="B47" s="100"/>
      <c r="C47" s="98"/>
      <c r="D47" s="98"/>
      <c r="E47" s="98"/>
      <c r="F47" s="98"/>
      <c r="G47" s="99"/>
      <c r="H47" s="98"/>
      <c r="I47" s="98"/>
      <c r="J47" s="98"/>
      <c r="K47" s="99"/>
      <c r="L47" s="98"/>
      <c r="M47" s="98"/>
      <c r="N47" s="96"/>
      <c r="O47" s="97"/>
      <c r="P47" s="96"/>
      <c r="Q47" s="95"/>
      <c r="R47" s="91"/>
      <c r="S47" s="94"/>
      <c r="T47" s="91"/>
    </row>
    <row r="48" spans="1:20" x14ac:dyDescent="0.25">
      <c r="A48" s="91"/>
      <c r="B48" s="91"/>
      <c r="C48" s="91"/>
      <c r="D48" s="91"/>
      <c r="E48" s="91"/>
      <c r="F48" s="92"/>
      <c r="G48" s="93"/>
      <c r="H48" s="92"/>
      <c r="I48" s="91"/>
      <c r="J48" s="92"/>
      <c r="K48" s="93"/>
      <c r="L48" s="92"/>
      <c r="M48" s="91"/>
      <c r="N48" s="92"/>
      <c r="O48" s="93"/>
      <c r="P48" s="92"/>
      <c r="Q48" s="91"/>
      <c r="R48" s="91"/>
      <c r="S48" s="92"/>
      <c r="T48" s="91"/>
    </row>
    <row r="52" spans="2:16" x14ac:dyDescent="0.25">
      <c r="B52" s="523" t="s">
        <v>17</v>
      </c>
      <c r="C52" s="523"/>
      <c r="D52" s="523"/>
      <c r="E52" s="523"/>
      <c r="F52" s="523"/>
      <c r="G52" s="523"/>
      <c r="H52" s="523"/>
      <c r="I52" s="523"/>
      <c r="J52" s="523"/>
      <c r="K52" s="523"/>
      <c r="L52" s="523"/>
      <c r="M52" s="523"/>
      <c r="N52" s="89"/>
      <c r="O52" s="90"/>
      <c r="P52" s="89"/>
    </row>
    <row r="53" spans="2:16" x14ac:dyDescent="0.25">
      <c r="B53" s="523" t="s">
        <v>18</v>
      </c>
      <c r="C53" s="523"/>
      <c r="D53" s="523"/>
      <c r="E53" s="523"/>
      <c r="F53" s="523"/>
      <c r="G53" s="523"/>
      <c r="H53" s="523"/>
      <c r="I53" s="523"/>
      <c r="J53" s="523"/>
      <c r="K53" s="523"/>
      <c r="L53" s="523"/>
      <c r="M53" s="523"/>
      <c r="N53" s="89"/>
      <c r="O53" s="90"/>
      <c r="P53" s="89"/>
    </row>
  </sheetData>
  <mergeCells count="20">
    <mergeCell ref="B53:M53"/>
    <mergeCell ref="B52:M52"/>
    <mergeCell ref="A45:C45"/>
    <mergeCell ref="A6:A7"/>
    <mergeCell ref="B6:B7"/>
    <mergeCell ref="C6:C7"/>
    <mergeCell ref="D6:D7"/>
    <mergeCell ref="E6:E7"/>
    <mergeCell ref="B46:M46"/>
    <mergeCell ref="F6:I6"/>
    <mergeCell ref="J6:M6"/>
    <mergeCell ref="B43:D43"/>
    <mergeCell ref="R43:S43"/>
    <mergeCell ref="T6:T7"/>
    <mergeCell ref="C1:Q1"/>
    <mergeCell ref="R6:R7"/>
    <mergeCell ref="S6:S7"/>
    <mergeCell ref="N6:Q6"/>
    <mergeCell ref="A4:T4"/>
    <mergeCell ref="A2:T2"/>
  </mergeCells>
  <hyperlinks>
    <hyperlink ref="M16" r:id="rId1" xr:uid="{00000000-0004-0000-0400-000000000000}"/>
    <hyperlink ref="I17" r:id="rId2" xr:uid="{00000000-0004-0000-0400-000001000000}"/>
    <hyperlink ref="I18" r:id="rId3" xr:uid="{00000000-0004-0000-0400-000002000000}"/>
    <hyperlink ref="M18" r:id="rId4" xr:uid="{00000000-0004-0000-0400-000003000000}"/>
    <hyperlink ref="Q18" r:id="rId5" xr:uid="{00000000-0004-0000-0400-000004000000}"/>
    <hyperlink ref="I19" r:id="rId6" xr:uid="{00000000-0004-0000-0400-000005000000}"/>
    <hyperlink ref="M19" r:id="rId7" xr:uid="{00000000-0004-0000-0400-000006000000}"/>
    <hyperlink ref="Q19" r:id="rId8" xr:uid="{00000000-0004-0000-0400-000007000000}"/>
    <hyperlink ref="I20" r:id="rId9" xr:uid="{00000000-0004-0000-0400-000008000000}"/>
    <hyperlink ref="M20" r:id="rId10" xr:uid="{00000000-0004-0000-0400-000009000000}"/>
    <hyperlink ref="Q20" r:id="rId11" xr:uid="{00000000-0004-0000-0400-00000A000000}"/>
    <hyperlink ref="M21" r:id="rId12" xr:uid="{00000000-0004-0000-0400-00000B000000}"/>
    <hyperlink ref="I22" r:id="rId13" xr:uid="{00000000-0004-0000-0400-00000C000000}"/>
    <hyperlink ref="M22" r:id="rId14" xr:uid="{00000000-0004-0000-0400-00000D000000}"/>
    <hyperlink ref="Q22" r:id="rId15" xr:uid="{00000000-0004-0000-0400-00000E000000}"/>
    <hyperlink ref="M23" r:id="rId16" xr:uid="{00000000-0004-0000-0400-00000F000000}"/>
    <hyperlink ref="Q23" r:id="rId17" xr:uid="{00000000-0004-0000-0400-000010000000}"/>
    <hyperlink ref="I24" r:id="rId18" xr:uid="{00000000-0004-0000-0400-000011000000}"/>
    <hyperlink ref="M24" r:id="rId19" xr:uid="{00000000-0004-0000-0400-000012000000}"/>
    <hyperlink ref="Q24" r:id="rId20" xr:uid="{00000000-0004-0000-0400-000013000000}"/>
    <hyperlink ref="I25" r:id="rId21" xr:uid="{00000000-0004-0000-0400-000014000000}"/>
    <hyperlink ref="M25" r:id="rId22" xr:uid="{00000000-0004-0000-0400-000015000000}"/>
    <hyperlink ref="Q25" r:id="rId23" xr:uid="{00000000-0004-0000-0400-000016000000}"/>
    <hyperlink ref="I26" r:id="rId24" xr:uid="{00000000-0004-0000-0400-000017000000}"/>
    <hyperlink ref="Q26" r:id="rId25" xr:uid="{00000000-0004-0000-0400-000018000000}"/>
    <hyperlink ref="I27" r:id="rId26" xr:uid="{00000000-0004-0000-0400-000019000000}"/>
    <hyperlink ref="M27" r:id="rId27" xr:uid="{00000000-0004-0000-0400-00001A000000}"/>
    <hyperlink ref="Q27" r:id="rId28" xr:uid="{00000000-0004-0000-0400-00001B000000}"/>
    <hyperlink ref="I28" r:id="rId29" xr:uid="{00000000-0004-0000-0400-00001C000000}"/>
    <hyperlink ref="Q28" r:id="rId30" xr:uid="{00000000-0004-0000-0400-00001D000000}"/>
    <hyperlink ref="I29" r:id="rId31" xr:uid="{00000000-0004-0000-0400-00001E000000}"/>
    <hyperlink ref="M29" r:id="rId32" xr:uid="{00000000-0004-0000-0400-00001F000000}"/>
    <hyperlink ref="Q29" r:id="rId33" xr:uid="{00000000-0004-0000-0400-000020000000}"/>
    <hyperlink ref="I30" r:id="rId34" xr:uid="{00000000-0004-0000-0400-000021000000}"/>
    <hyperlink ref="M30" r:id="rId35" xr:uid="{00000000-0004-0000-0400-000022000000}"/>
    <hyperlink ref="Q30" r:id="rId36" xr:uid="{00000000-0004-0000-0400-000023000000}"/>
    <hyperlink ref="I31" r:id="rId37" xr:uid="{00000000-0004-0000-0400-000024000000}"/>
    <hyperlink ref="M31" r:id="rId38" xr:uid="{00000000-0004-0000-0400-000025000000}"/>
    <hyperlink ref="Q31" r:id="rId39" xr:uid="{00000000-0004-0000-0400-000026000000}"/>
    <hyperlink ref="I35" r:id="rId40" xr:uid="{00000000-0004-0000-0400-000027000000}"/>
    <hyperlink ref="I36" r:id="rId41" xr:uid="{00000000-0004-0000-0400-000028000000}"/>
    <hyperlink ref="M36" r:id="rId42" xr:uid="{00000000-0004-0000-0400-000029000000}"/>
    <hyperlink ref="Q36" display="https://stoking.ru/products/regulyator-perepada-davleniya-ridan-apt-r3-dn15?utm_source=yandex_direct&amp;utm_medium=cpc&amp;utm_campaign=Stoking_Reguliruyushhee_oborudovanie_Feed_Search_OrderCRM%7C700076526&amp;utm_content=gid%7C5581211601%7Caid%7C1875216892194304994" xr:uid="{00000000-0004-0000-0400-00002A000000}"/>
    <hyperlink ref="I37" r:id="rId43" xr:uid="{00000000-0004-0000-0400-00002B000000}"/>
    <hyperlink ref="M37" r:id="rId44" xr:uid="{00000000-0004-0000-0400-00002C000000}"/>
    <hyperlink ref="Q37" r:id="rId45" xr:uid="{00000000-0004-0000-0400-00002D000000}"/>
    <hyperlink ref="I11" r:id="rId46" xr:uid="{00000000-0004-0000-0400-00002E000000}"/>
    <hyperlink ref="I13" r:id="rId47" xr:uid="{00000000-0004-0000-0400-00002F000000}"/>
    <hyperlink ref="I12" r:id="rId48" xr:uid="{00000000-0004-0000-0400-000030000000}"/>
    <hyperlink ref="B10" r:id="rId49" display="https://zakupki44fz.ru/app/okpd2/25.21.11.120" xr:uid="{00000000-0004-0000-0400-000031000000}"/>
    <hyperlink ref="B11" r:id="rId50" display="https://zakupki44fz.ru/app/okpd2/25.21.11.120" xr:uid="{00000000-0004-0000-0400-000032000000}"/>
    <hyperlink ref="B12" r:id="rId51" display="https://zakupki44fz.ru/app/okpd2/25.21.11.120" xr:uid="{00000000-0004-0000-0400-000033000000}"/>
    <hyperlink ref="B13" r:id="rId52" display="https://zakupki44fz.ru/app/okpd2/25.21.11.120" xr:uid="{00000000-0004-0000-0400-000034000000}"/>
    <hyperlink ref="B14" r:id="rId53" display="https://zakupki44fz.ru/app/okpd2/25.21.11.120" xr:uid="{00000000-0004-0000-0400-000035000000}"/>
    <hyperlink ref="B15" r:id="rId54" display="https://zakupki44fz.ru/app/okpd2/25.21.11.120" xr:uid="{00000000-0004-0000-0400-000036000000}"/>
    <hyperlink ref="B16" r:id="rId55" display="https://zakupki44fz.ru/app/okpd2/25.21.11.120" xr:uid="{00000000-0004-0000-0400-000037000000}"/>
    <hyperlink ref="B17" r:id="rId56" display="https://zakupki44fz.ru/app/okpd2/25.21.11.120" xr:uid="{00000000-0004-0000-0400-000038000000}"/>
    <hyperlink ref="B18" r:id="rId57" display="https://zakupki44fz.ru/app/okpd2/25.21.11.120" xr:uid="{00000000-0004-0000-0400-000039000000}"/>
    <hyperlink ref="B19" r:id="rId58" display="https://zakupki44fz.ru/app/okpd2/25.21.11.120" xr:uid="{00000000-0004-0000-0400-00003A000000}"/>
    <hyperlink ref="B20" r:id="rId59" display="https://zakupki44fz.ru/app/okpd2/25.21.11.120" xr:uid="{00000000-0004-0000-0400-00003B000000}"/>
    <hyperlink ref="B21" r:id="rId60" display="https://zakupki44fz.ru/app/okpd2/25.21.11.120" xr:uid="{00000000-0004-0000-0400-00003C000000}"/>
    <hyperlink ref="B22" r:id="rId61" display="https://zakupki44fz.ru/app/okpd2/25.21.11.120" xr:uid="{00000000-0004-0000-0400-00003D000000}"/>
    <hyperlink ref="B23" r:id="rId62" display="https://zakupki44fz.ru/app/okpd2/25.21.11.120" xr:uid="{00000000-0004-0000-0400-00003E000000}"/>
    <hyperlink ref="B24" r:id="rId63" display="https://zakupki44fz.ru/app/okpd2/25.21.11.120" xr:uid="{00000000-0004-0000-0400-00003F000000}"/>
    <hyperlink ref="B25" r:id="rId64" display="https://zakupki44fz.ru/app/okpd2/25.21.11.120" xr:uid="{00000000-0004-0000-0400-000040000000}"/>
    <hyperlink ref="B26" r:id="rId65" display="https://zakupki44fz.ru/app/okpd2/25.21.11.120" xr:uid="{00000000-0004-0000-0400-000041000000}"/>
    <hyperlink ref="B27" r:id="rId66" display="https://zakupki44fz.ru/app/okpd2/25.21.11.120" xr:uid="{00000000-0004-0000-0400-000042000000}"/>
    <hyperlink ref="B28" r:id="rId67" display="https://zakupki44fz.ru/app/okpd2/25.21.11.120" xr:uid="{00000000-0004-0000-0400-000043000000}"/>
    <hyperlink ref="B29" r:id="rId68" display="https://zakupki44fz.ru/app/okpd2/25.21.11.120" xr:uid="{00000000-0004-0000-0400-000044000000}"/>
    <hyperlink ref="B30" r:id="rId69" display="https://zakupki44fz.ru/app/okpd2/25.21.11.120" xr:uid="{00000000-0004-0000-0400-000045000000}"/>
    <hyperlink ref="B31" r:id="rId70" display="https://zakupki44fz.ru/app/okpd2/25.21.11.120" xr:uid="{00000000-0004-0000-0400-000046000000}"/>
    <hyperlink ref="B32" r:id="rId71" display="https://zakupki44fz.ru/app/okpd2/25.21.11.120" xr:uid="{00000000-0004-0000-0400-000047000000}"/>
    <hyperlink ref="B33" r:id="rId72" display="https://zakupki44fz.ru/app/okpd2/25.21.11.120" xr:uid="{00000000-0004-0000-0400-000048000000}"/>
    <hyperlink ref="B34" r:id="rId73" display="https://zakupki44fz.ru/app/okpd2/25.21.11.120" xr:uid="{00000000-0004-0000-0400-000049000000}"/>
  </hyperlinks>
  <pageMargins left="0.31496062992125984" right="0.31496062992125984" top="0.74803149606299213" bottom="0.74803149606299213" header="0.31496062992125984" footer="0.31496062992125984"/>
  <pageSetup paperSize="9" scale="41" fitToHeight="0" orientation="landscape" r:id="rId74"/>
  <drawing r:id="rId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81"/>
  <sheetViews>
    <sheetView view="pageBreakPreview" topLeftCell="A7" zoomScale="64" zoomScaleNormal="59" zoomScaleSheetLayoutView="64" workbookViewId="0">
      <selection activeCell="A12" sqref="A12"/>
    </sheetView>
  </sheetViews>
  <sheetFormatPr defaultColWidth="8.7109375" defaultRowHeight="15.75" x14ac:dyDescent="0.25"/>
  <cols>
    <col min="1" max="1" width="10.5703125" style="1" customWidth="1"/>
    <col min="2" max="2" width="17.7109375" style="1" customWidth="1"/>
    <col min="3" max="3" width="49.42578125" style="15" customWidth="1"/>
    <col min="4" max="4" width="17.7109375" style="15" customWidth="1"/>
    <col min="5" max="5" width="12.85546875" style="16" customWidth="1"/>
    <col min="6" max="6" width="15.28515625" style="16" customWidth="1"/>
    <col min="7" max="7" width="28.5703125" style="15" customWidth="1"/>
    <col min="8" max="8" width="20.85546875" style="15" bestFit="1" customWidth="1"/>
    <col min="9" max="9" width="23.28515625" style="17" customWidth="1"/>
    <col min="10" max="11" width="23.85546875" style="15" customWidth="1"/>
    <col min="12" max="12" width="17" style="17" customWidth="1"/>
    <col min="13" max="13" width="24.5703125" style="15" customWidth="1"/>
    <col min="14" max="14" width="20.42578125" style="17" bestFit="1" customWidth="1"/>
    <col min="15" max="15" width="20.28515625" style="2" customWidth="1"/>
    <col min="16" max="16" width="19.5703125" style="2" customWidth="1"/>
    <col min="17" max="17" width="22.5703125" style="2" customWidth="1"/>
    <col min="18" max="16384" width="8.7109375" style="2"/>
  </cols>
  <sheetData>
    <row r="1" spans="1:17" x14ac:dyDescent="0.25">
      <c r="C1" s="507"/>
      <c r="D1" s="507"/>
      <c r="E1" s="507"/>
      <c r="F1" s="507"/>
      <c r="G1" s="507"/>
      <c r="H1" s="507"/>
      <c r="I1" s="507"/>
      <c r="J1" s="507"/>
      <c r="K1" s="507"/>
      <c r="L1" s="507"/>
      <c r="M1" s="507"/>
      <c r="N1" s="507"/>
    </row>
    <row r="2" spans="1:17" ht="18.75" x14ac:dyDescent="0.25">
      <c r="C2" s="77"/>
      <c r="D2" s="77"/>
      <c r="E2" s="77"/>
      <c r="F2" s="77"/>
      <c r="G2" s="508"/>
      <c r="H2" s="509"/>
      <c r="I2" s="509"/>
      <c r="J2" s="79"/>
      <c r="K2" s="77"/>
      <c r="L2" s="77"/>
      <c r="M2" s="77"/>
      <c r="N2"/>
      <c r="O2"/>
      <c r="P2"/>
      <c r="Q2" s="4" t="s">
        <v>0</v>
      </c>
    </row>
    <row r="3" spans="1:17" ht="18.75" x14ac:dyDescent="0.3">
      <c r="C3" s="77"/>
      <c r="D3" s="77"/>
      <c r="E3" s="77"/>
      <c r="F3" s="77"/>
      <c r="G3" s="78"/>
      <c r="H3" s="79"/>
      <c r="I3" s="79"/>
      <c r="J3" s="79"/>
      <c r="K3" s="77"/>
      <c r="L3" s="77"/>
      <c r="M3" s="77"/>
      <c r="N3"/>
      <c r="O3" s="510"/>
      <c r="P3" s="510"/>
      <c r="Q3"/>
    </row>
    <row r="4" spans="1:17" ht="18.75" x14ac:dyDescent="0.3">
      <c r="C4" s="77"/>
      <c r="D4" s="77"/>
      <c r="E4" s="77"/>
      <c r="F4" s="77"/>
      <c r="G4" s="78"/>
      <c r="H4" s="79"/>
      <c r="I4" s="79"/>
      <c r="J4" s="79"/>
      <c r="K4" s="77"/>
      <c r="L4" s="77"/>
      <c r="M4" s="77"/>
      <c r="N4"/>
      <c r="O4" s="80"/>
      <c r="P4" s="80"/>
      <c r="Q4"/>
    </row>
    <row r="5" spans="1:17" ht="18.75" x14ac:dyDescent="0.3">
      <c r="C5" s="77"/>
      <c r="D5" s="77"/>
      <c r="E5" s="77"/>
      <c r="F5" s="77"/>
      <c r="G5" s="78"/>
      <c r="H5" s="79"/>
      <c r="I5" s="79"/>
      <c r="J5" s="79"/>
      <c r="K5" s="77"/>
      <c r="L5" s="77"/>
      <c r="M5" s="77"/>
      <c r="N5"/>
      <c r="O5" s="80"/>
      <c r="P5" s="80"/>
      <c r="Q5"/>
    </row>
    <row r="6" spans="1:17" ht="18.75" x14ac:dyDescent="0.3">
      <c r="C6" s="77"/>
      <c r="D6" s="77"/>
      <c r="E6" s="77"/>
      <c r="F6" s="77"/>
      <c r="G6" s="78"/>
      <c r="H6" s="79"/>
      <c r="I6" s="79"/>
      <c r="J6" s="79"/>
      <c r="K6" s="77"/>
      <c r="L6" s="77"/>
      <c r="M6" s="77"/>
      <c r="N6"/>
      <c r="O6" s="80"/>
      <c r="P6" s="80"/>
      <c r="Q6"/>
    </row>
    <row r="7" spans="1:17" ht="37.5" customHeight="1" x14ac:dyDescent="0.3">
      <c r="C7" s="77"/>
      <c r="D7" s="77"/>
      <c r="E7" s="77"/>
      <c r="F7" s="77"/>
      <c r="G7" s="78" t="s">
        <v>1005</v>
      </c>
      <c r="H7" s="79"/>
      <c r="I7" s="79"/>
      <c r="J7" s="79"/>
      <c r="K7" s="77"/>
      <c r="L7" s="77"/>
      <c r="M7" s="77"/>
      <c r="N7" s="85"/>
      <c r="O7" s="20"/>
      <c r="P7" s="80"/>
      <c r="Q7"/>
    </row>
    <row r="8" spans="1:17" ht="18.75" x14ac:dyDescent="0.25">
      <c r="C8" s="77"/>
      <c r="D8" s="77"/>
      <c r="E8" s="77"/>
      <c r="F8" s="77"/>
      <c r="G8" s="78"/>
      <c r="H8" s="79"/>
      <c r="I8" s="79"/>
      <c r="J8" s="79"/>
      <c r="K8" s="77"/>
      <c r="L8" s="77"/>
      <c r="M8" s="77"/>
      <c r="N8" s="21"/>
      <c r="O8" s="20"/>
      <c r="P8" s="329"/>
      <c r="Q8"/>
    </row>
    <row r="9" spans="1:17" ht="18.75" x14ac:dyDescent="0.3">
      <c r="C9" s="77"/>
      <c r="D9" s="77"/>
      <c r="E9" s="77"/>
      <c r="F9" s="77"/>
      <c r="G9" s="78"/>
      <c r="H9" s="79"/>
      <c r="I9" s="79"/>
      <c r="J9" s="79"/>
      <c r="K9" s="77"/>
      <c r="L9" s="77"/>
      <c r="M9" s="77"/>
      <c r="N9" s="522"/>
      <c r="O9" s="522"/>
      <c r="P9" s="329"/>
      <c r="Q9" s="23"/>
    </row>
    <row r="10" spans="1:17" x14ac:dyDescent="0.25">
      <c r="C10" s="77"/>
      <c r="D10" s="77"/>
      <c r="E10" s="77"/>
      <c r="F10" s="77"/>
      <c r="G10" s="77"/>
      <c r="H10" s="77"/>
      <c r="I10" s="77"/>
      <c r="J10" s="77"/>
      <c r="K10" s="77"/>
      <c r="L10" s="77"/>
      <c r="M10" s="77"/>
      <c r="N10" s="77"/>
    </row>
    <row r="11" spans="1:17" s="10" customFormat="1" ht="49.5" customHeight="1" x14ac:dyDescent="0.25">
      <c r="A11" s="559" t="s">
        <v>2045</v>
      </c>
      <c r="B11" s="559"/>
      <c r="C11" s="559"/>
      <c r="D11" s="559"/>
      <c r="E11" s="559"/>
      <c r="F11" s="559"/>
      <c r="G11" s="559"/>
      <c r="H11" s="559"/>
      <c r="I11" s="559"/>
      <c r="J11" s="559"/>
      <c r="K11" s="559"/>
      <c r="L11" s="559"/>
      <c r="M11" s="559"/>
      <c r="N11" s="559"/>
      <c r="O11" s="559"/>
    </row>
    <row r="12" spans="1:17" s="10" customFormat="1" ht="15.75" customHeight="1" x14ac:dyDescent="0.25">
      <c r="A12" s="7"/>
      <c r="B12" s="7"/>
      <c r="C12" s="18"/>
      <c r="D12" s="8"/>
      <c r="E12" s="9"/>
      <c r="F12" s="9"/>
      <c r="G12" s="9"/>
      <c r="H12" s="9"/>
      <c r="I12" s="9"/>
      <c r="J12" s="9"/>
      <c r="K12" s="9"/>
      <c r="L12" s="9"/>
      <c r="M12" s="9"/>
      <c r="N12" s="9"/>
    </row>
    <row r="13" spans="1:17" ht="24" customHeight="1" x14ac:dyDescent="0.25">
      <c r="A13" s="560" t="s">
        <v>1</v>
      </c>
      <c r="B13" s="560" t="s">
        <v>2</v>
      </c>
      <c r="C13" s="562" t="s">
        <v>3</v>
      </c>
      <c r="D13" s="564" t="s">
        <v>4</v>
      </c>
      <c r="E13" s="560" t="s">
        <v>5</v>
      </c>
      <c r="F13" s="328"/>
      <c r="G13" s="556"/>
      <c r="H13" s="557"/>
      <c r="I13" s="327"/>
      <c r="J13" s="556"/>
      <c r="K13" s="558"/>
      <c r="L13" s="558"/>
      <c r="M13" s="556"/>
      <c r="N13" s="558"/>
      <c r="O13" s="554" t="s">
        <v>9</v>
      </c>
      <c r="P13" s="554" t="s">
        <v>10</v>
      </c>
      <c r="Q13" s="554" t="s">
        <v>11</v>
      </c>
    </row>
    <row r="14" spans="1:17" ht="91.5" customHeight="1" x14ac:dyDescent="0.25">
      <c r="A14" s="561"/>
      <c r="B14" s="561"/>
      <c r="C14" s="563"/>
      <c r="D14" s="565"/>
      <c r="E14" s="566"/>
      <c r="F14" s="326" t="s">
        <v>14</v>
      </c>
      <c r="G14" s="324" t="s">
        <v>12</v>
      </c>
      <c r="H14" s="324" t="s">
        <v>13</v>
      </c>
      <c r="I14" s="325" t="s">
        <v>14</v>
      </c>
      <c r="J14" s="324" t="s">
        <v>12</v>
      </c>
      <c r="K14" s="324" t="s">
        <v>13</v>
      </c>
      <c r="L14" s="325" t="s">
        <v>14</v>
      </c>
      <c r="M14" s="324" t="s">
        <v>12</v>
      </c>
      <c r="N14" s="324" t="s">
        <v>13</v>
      </c>
      <c r="O14" s="555"/>
      <c r="P14" s="555"/>
      <c r="Q14" s="555"/>
    </row>
    <row r="15" spans="1:17" x14ac:dyDescent="0.25">
      <c r="A15" s="194">
        <v>1</v>
      </c>
      <c r="B15" s="194">
        <v>2</v>
      </c>
      <c r="C15" s="323">
        <v>3</v>
      </c>
      <c r="D15" s="321">
        <v>4</v>
      </c>
      <c r="E15" s="322">
        <v>5</v>
      </c>
      <c r="F15" s="322">
        <v>6</v>
      </c>
      <c r="G15" s="321">
        <v>7</v>
      </c>
      <c r="H15" s="321">
        <v>8</v>
      </c>
      <c r="I15" s="321">
        <v>9</v>
      </c>
      <c r="J15" s="321">
        <v>10</v>
      </c>
      <c r="K15" s="321">
        <v>11</v>
      </c>
      <c r="L15" s="321">
        <v>12</v>
      </c>
      <c r="M15" s="321">
        <v>13</v>
      </c>
      <c r="N15" s="321">
        <v>14</v>
      </c>
      <c r="O15" s="321">
        <v>15</v>
      </c>
      <c r="P15" s="321">
        <v>16</v>
      </c>
      <c r="Q15" s="321">
        <v>17</v>
      </c>
    </row>
    <row r="16" spans="1:17" ht="28.5" customHeight="1" x14ac:dyDescent="0.25">
      <c r="A16" s="11"/>
      <c r="B16" s="11"/>
      <c r="C16" s="146" t="s">
        <v>2044</v>
      </c>
      <c r="D16" s="12"/>
      <c r="E16" s="13"/>
      <c r="F16" s="320"/>
      <c r="G16" s="318"/>
      <c r="H16" s="12"/>
      <c r="I16" s="319"/>
      <c r="J16" s="318"/>
      <c r="K16" s="12"/>
      <c r="L16" s="12"/>
      <c r="M16" s="318"/>
      <c r="N16" s="12"/>
      <c r="O16" s="12"/>
      <c r="P16" s="12"/>
      <c r="Q16" s="12"/>
    </row>
    <row r="17" spans="1:17" ht="60" customHeight="1" x14ac:dyDescent="0.25">
      <c r="A17" s="275"/>
      <c r="B17" s="274"/>
      <c r="C17" s="286" t="s">
        <v>2043</v>
      </c>
      <c r="D17" s="267"/>
      <c r="E17" s="252"/>
      <c r="F17" s="306"/>
      <c r="G17" s="315"/>
      <c r="H17" s="282"/>
      <c r="I17" s="317"/>
      <c r="J17" s="315"/>
      <c r="K17" s="316"/>
      <c r="L17" s="266"/>
      <c r="M17" s="315"/>
      <c r="N17" s="276"/>
      <c r="O17" s="119">
        <f t="shared" ref="O17:O22" si="0">MIN(F17,I17,L17)</f>
        <v>0</v>
      </c>
      <c r="P17" s="75"/>
      <c r="Q17" s="117"/>
    </row>
    <row r="18" spans="1:17" ht="60" customHeight="1" x14ac:dyDescent="0.25">
      <c r="A18" s="182" t="s">
        <v>2042</v>
      </c>
      <c r="B18" s="268" t="s">
        <v>1478</v>
      </c>
      <c r="C18" s="309" t="s">
        <v>2041</v>
      </c>
      <c r="D18" s="267" t="s">
        <v>2040</v>
      </c>
      <c r="E18" s="252" t="s">
        <v>15</v>
      </c>
      <c r="F18" s="313">
        <v>86670</v>
      </c>
      <c r="G18" s="280" t="s">
        <v>2035</v>
      </c>
      <c r="H18" s="282" t="s">
        <v>2034</v>
      </c>
      <c r="I18" s="305">
        <v>86670</v>
      </c>
      <c r="J18" s="280" t="s">
        <v>1475</v>
      </c>
      <c r="K18" s="279" t="s">
        <v>2039</v>
      </c>
      <c r="L18" s="305">
        <v>86670</v>
      </c>
      <c r="M18" s="293" t="s">
        <v>2033</v>
      </c>
      <c r="N18" s="314" t="s">
        <v>2032</v>
      </c>
      <c r="O18" s="119">
        <f t="shared" si="0"/>
        <v>86670</v>
      </c>
      <c r="P18" s="75"/>
      <c r="Q18" s="117">
        <v>45876</v>
      </c>
    </row>
    <row r="19" spans="1:17" ht="60" customHeight="1" x14ac:dyDescent="0.25">
      <c r="A19" s="182" t="s">
        <v>2038</v>
      </c>
      <c r="B19" s="268" t="s">
        <v>1478</v>
      </c>
      <c r="C19" s="309" t="s">
        <v>2037</v>
      </c>
      <c r="D19" s="267" t="s">
        <v>2036</v>
      </c>
      <c r="E19" s="252" t="s">
        <v>15</v>
      </c>
      <c r="F19" s="313">
        <v>51300</v>
      </c>
      <c r="G19" s="280" t="s">
        <v>2035</v>
      </c>
      <c r="H19" s="282" t="s">
        <v>2034</v>
      </c>
      <c r="I19" s="305">
        <v>51300</v>
      </c>
      <c r="J19" s="293" t="s">
        <v>2033</v>
      </c>
      <c r="K19" s="314" t="s">
        <v>2032</v>
      </c>
      <c r="L19" s="305">
        <v>57000</v>
      </c>
      <c r="M19" s="295" t="s">
        <v>1171</v>
      </c>
      <c r="N19" s="294" t="s">
        <v>1510</v>
      </c>
      <c r="O19" s="119">
        <f t="shared" si="0"/>
        <v>51300</v>
      </c>
      <c r="P19" s="75"/>
      <c r="Q19" s="117">
        <v>45876</v>
      </c>
    </row>
    <row r="20" spans="1:17" ht="60" customHeight="1" x14ac:dyDescent="0.25">
      <c r="A20" s="182" t="s">
        <v>2031</v>
      </c>
      <c r="B20" s="268" t="s">
        <v>1478</v>
      </c>
      <c r="C20" s="309" t="s">
        <v>2030</v>
      </c>
      <c r="D20" s="267" t="s">
        <v>2029</v>
      </c>
      <c r="E20" s="252" t="s">
        <v>15</v>
      </c>
      <c r="F20" s="313">
        <v>66003</v>
      </c>
      <c r="G20" s="280" t="s">
        <v>2028</v>
      </c>
      <c r="H20" s="282" t="s">
        <v>2027</v>
      </c>
      <c r="I20" s="305">
        <v>81450</v>
      </c>
      <c r="J20" s="280" t="s">
        <v>2026</v>
      </c>
      <c r="K20" s="279" t="s">
        <v>2025</v>
      </c>
      <c r="L20" s="305">
        <v>66302.100000000006</v>
      </c>
      <c r="M20" s="277" t="s">
        <v>2024</v>
      </c>
      <c r="N20" s="276" t="s">
        <v>2023</v>
      </c>
      <c r="O20" s="119">
        <f t="shared" si="0"/>
        <v>66003</v>
      </c>
      <c r="P20" s="75"/>
      <c r="Q20" s="117">
        <v>45876</v>
      </c>
    </row>
    <row r="21" spans="1:17" ht="60" customHeight="1" x14ac:dyDescent="0.25">
      <c r="A21" s="182" t="s">
        <v>2022</v>
      </c>
      <c r="B21" s="268" t="s">
        <v>1478</v>
      </c>
      <c r="C21" s="309" t="s">
        <v>2021</v>
      </c>
      <c r="D21" s="267" t="s">
        <v>2020</v>
      </c>
      <c r="E21" s="252" t="s">
        <v>15</v>
      </c>
      <c r="F21" s="313">
        <v>631</v>
      </c>
      <c r="G21" s="280" t="s">
        <v>2019</v>
      </c>
      <c r="H21" s="282" t="s">
        <v>2018</v>
      </c>
      <c r="I21" s="305">
        <v>707</v>
      </c>
      <c r="J21" s="280" t="s">
        <v>2017</v>
      </c>
      <c r="K21" s="279" t="s">
        <v>2016</v>
      </c>
      <c r="L21" s="305">
        <v>698</v>
      </c>
      <c r="M21" s="277" t="s">
        <v>2015</v>
      </c>
      <c r="N21" s="276" t="s">
        <v>2014</v>
      </c>
      <c r="O21" s="119">
        <f t="shared" si="0"/>
        <v>631</v>
      </c>
      <c r="P21" s="75"/>
      <c r="Q21" s="117">
        <v>45876</v>
      </c>
    </row>
    <row r="22" spans="1:17" ht="60" customHeight="1" x14ac:dyDescent="0.25">
      <c r="A22" s="182" t="s">
        <v>2013</v>
      </c>
      <c r="B22" s="268" t="s">
        <v>1478</v>
      </c>
      <c r="C22" s="309" t="s">
        <v>2012</v>
      </c>
      <c r="D22" s="267" t="s">
        <v>2011</v>
      </c>
      <c r="E22" s="252" t="s">
        <v>15</v>
      </c>
      <c r="F22" s="308">
        <v>2249</v>
      </c>
      <c r="G22" s="280" t="s">
        <v>2010</v>
      </c>
      <c r="H22" s="282" t="s">
        <v>2009</v>
      </c>
      <c r="I22" s="305">
        <v>2660.4</v>
      </c>
      <c r="J22" s="280" t="s">
        <v>2008</v>
      </c>
      <c r="K22" s="279" t="s">
        <v>2007</v>
      </c>
      <c r="L22" s="305">
        <v>1554</v>
      </c>
      <c r="M22" s="277" t="s">
        <v>2006</v>
      </c>
      <c r="N22" s="276" t="s">
        <v>2005</v>
      </c>
      <c r="O22" s="119">
        <f t="shared" si="0"/>
        <v>1554</v>
      </c>
      <c r="P22" s="75"/>
      <c r="Q22" s="117">
        <v>45876</v>
      </c>
    </row>
    <row r="23" spans="1:17" ht="60" customHeight="1" x14ac:dyDescent="0.25">
      <c r="A23" s="275"/>
      <c r="B23" s="274"/>
      <c r="C23" s="312" t="s">
        <v>2004</v>
      </c>
      <c r="D23" s="267"/>
      <c r="E23" s="252"/>
      <c r="F23" s="308"/>
      <c r="G23" s="280"/>
      <c r="H23" s="282"/>
      <c r="I23" s="305"/>
      <c r="J23" s="280"/>
      <c r="K23" s="279"/>
      <c r="L23" s="305"/>
      <c r="M23" s="277"/>
      <c r="N23" s="276"/>
      <c r="O23" s="119"/>
      <c r="P23" s="75"/>
      <c r="Q23" s="117"/>
    </row>
    <row r="24" spans="1:17" ht="60" customHeight="1" x14ac:dyDescent="0.25">
      <c r="A24" s="182"/>
      <c r="B24" s="268"/>
      <c r="C24" s="310" t="s">
        <v>2003</v>
      </c>
      <c r="D24" s="267"/>
      <c r="E24" s="252"/>
      <c r="F24" s="308"/>
      <c r="G24" s="280"/>
      <c r="H24" s="282"/>
      <c r="I24" s="305"/>
      <c r="J24" s="280"/>
      <c r="K24" s="279"/>
      <c r="L24" s="305"/>
      <c r="M24" s="277"/>
      <c r="N24" s="276"/>
      <c r="O24" s="119"/>
      <c r="P24" s="75"/>
      <c r="Q24" s="117"/>
    </row>
    <row r="25" spans="1:17" ht="60" customHeight="1" x14ac:dyDescent="0.25">
      <c r="A25" s="182" t="s">
        <v>2002</v>
      </c>
      <c r="B25" s="268" t="s">
        <v>1478</v>
      </c>
      <c r="C25" s="309" t="s">
        <v>1981</v>
      </c>
      <c r="D25" s="267" t="s">
        <v>1997</v>
      </c>
      <c r="E25" s="252" t="s">
        <v>15</v>
      </c>
      <c r="F25" s="308">
        <v>15264.3</v>
      </c>
      <c r="G25" s="280" t="s">
        <v>1563</v>
      </c>
      <c r="H25" s="282" t="s">
        <v>1562</v>
      </c>
      <c r="I25" s="305">
        <v>15722.23</v>
      </c>
      <c r="J25" s="280" t="s">
        <v>1561</v>
      </c>
      <c r="K25" s="279" t="s">
        <v>1560</v>
      </c>
      <c r="L25" s="305">
        <v>16027.52</v>
      </c>
      <c r="M25" s="277" t="s">
        <v>1559</v>
      </c>
      <c r="N25" s="276" t="s">
        <v>1558</v>
      </c>
      <c r="O25" s="119">
        <f>MIN(F25,I25,L25)</f>
        <v>15264.3</v>
      </c>
      <c r="P25" s="307">
        <v>9200</v>
      </c>
      <c r="Q25" s="117">
        <v>45876</v>
      </c>
    </row>
    <row r="26" spans="1:17" ht="60" customHeight="1" x14ac:dyDescent="0.25">
      <c r="A26" s="182" t="s">
        <v>2001</v>
      </c>
      <c r="B26" s="268" t="s">
        <v>1478</v>
      </c>
      <c r="C26" s="309" t="s">
        <v>1966</v>
      </c>
      <c r="D26" s="267" t="s">
        <v>1997</v>
      </c>
      <c r="E26" s="252" t="s">
        <v>15</v>
      </c>
      <c r="F26" s="308">
        <v>163383.29999999999</v>
      </c>
      <c r="G26" s="280" t="s">
        <v>1563</v>
      </c>
      <c r="H26" s="282" t="s">
        <v>1562</v>
      </c>
      <c r="I26" s="305">
        <v>168284.79999999999</v>
      </c>
      <c r="J26" s="280" t="s">
        <v>1561</v>
      </c>
      <c r="K26" s="279" t="s">
        <v>1560</v>
      </c>
      <c r="L26" s="305">
        <v>171552.47</v>
      </c>
      <c r="M26" s="277" t="s">
        <v>1559</v>
      </c>
      <c r="N26" s="276" t="s">
        <v>1558</v>
      </c>
      <c r="O26" s="119">
        <f>MIN(F26,I26,L26)</f>
        <v>163383.29999999999</v>
      </c>
      <c r="P26" s="307">
        <v>41088</v>
      </c>
      <c r="Q26" s="117">
        <v>45876</v>
      </c>
    </row>
    <row r="27" spans="1:17" ht="60" customHeight="1" x14ac:dyDescent="0.25">
      <c r="A27" s="182"/>
      <c r="B27" s="268"/>
      <c r="C27" s="310" t="s">
        <v>2000</v>
      </c>
      <c r="D27" s="267"/>
      <c r="E27" s="252"/>
      <c r="F27" s="308"/>
      <c r="G27" s="280"/>
      <c r="H27" s="282"/>
      <c r="I27" s="305"/>
      <c r="J27" s="280"/>
      <c r="K27" s="279"/>
      <c r="L27" s="305"/>
      <c r="M27" s="277"/>
      <c r="N27" s="276"/>
      <c r="O27" s="119"/>
      <c r="P27" s="311"/>
      <c r="Q27" s="117">
        <v>45876</v>
      </c>
    </row>
    <row r="28" spans="1:17" ht="60" customHeight="1" x14ac:dyDescent="0.25">
      <c r="A28" s="182" t="s">
        <v>1999</v>
      </c>
      <c r="B28" s="268" t="s">
        <v>1478</v>
      </c>
      <c r="C28" s="309" t="s">
        <v>1981</v>
      </c>
      <c r="D28" s="267" t="s">
        <v>1997</v>
      </c>
      <c r="E28" s="252" t="s">
        <v>15</v>
      </c>
      <c r="F28" s="308">
        <v>15264.3</v>
      </c>
      <c r="G28" s="280" t="s">
        <v>1563</v>
      </c>
      <c r="H28" s="282" t="s">
        <v>1562</v>
      </c>
      <c r="I28" s="305">
        <v>15722.23</v>
      </c>
      <c r="J28" s="280" t="s">
        <v>1561</v>
      </c>
      <c r="K28" s="279" t="s">
        <v>1560</v>
      </c>
      <c r="L28" s="305">
        <v>16027.52</v>
      </c>
      <c r="M28" s="277" t="s">
        <v>1559</v>
      </c>
      <c r="N28" s="276" t="s">
        <v>1558</v>
      </c>
      <c r="O28" s="119">
        <f>MIN(F28,I28,L28)</f>
        <v>15264.3</v>
      </c>
      <c r="P28" s="307">
        <v>9200</v>
      </c>
      <c r="Q28" s="117">
        <v>45876</v>
      </c>
    </row>
    <row r="29" spans="1:17" ht="60" customHeight="1" x14ac:dyDescent="0.25">
      <c r="A29" s="182" t="s">
        <v>1998</v>
      </c>
      <c r="B29" s="268" t="s">
        <v>1478</v>
      </c>
      <c r="C29" s="309" t="s">
        <v>1966</v>
      </c>
      <c r="D29" s="267" t="s">
        <v>1997</v>
      </c>
      <c r="E29" s="252" t="s">
        <v>15</v>
      </c>
      <c r="F29" s="308">
        <v>163383.29999999999</v>
      </c>
      <c r="G29" s="280" t="s">
        <v>1563</v>
      </c>
      <c r="H29" s="282" t="s">
        <v>1562</v>
      </c>
      <c r="I29" s="305">
        <v>168284.79999999999</v>
      </c>
      <c r="J29" s="280" t="s">
        <v>1561</v>
      </c>
      <c r="K29" s="279" t="s">
        <v>1560</v>
      </c>
      <c r="L29" s="305">
        <v>171552.47</v>
      </c>
      <c r="M29" s="277" t="s">
        <v>1559</v>
      </c>
      <c r="N29" s="276" t="s">
        <v>1558</v>
      </c>
      <c r="O29" s="119">
        <f>MIN(F29,I29,L29)</f>
        <v>163383.29999999999</v>
      </c>
      <c r="P29" s="307">
        <v>41088</v>
      </c>
      <c r="Q29" s="117">
        <v>45876</v>
      </c>
    </row>
    <row r="30" spans="1:17" ht="60" customHeight="1" x14ac:dyDescent="0.25">
      <c r="A30" s="182"/>
      <c r="B30" s="268"/>
      <c r="C30" s="310" t="s">
        <v>1996</v>
      </c>
      <c r="D30" s="267"/>
      <c r="E30" s="252"/>
      <c r="F30" s="308"/>
      <c r="G30" s="280"/>
      <c r="H30" s="282"/>
      <c r="I30" s="305"/>
      <c r="J30" s="280"/>
      <c r="K30" s="279"/>
      <c r="L30" s="305"/>
      <c r="M30" s="277"/>
      <c r="N30" s="276"/>
      <c r="O30" s="119"/>
      <c r="P30" s="307"/>
      <c r="Q30" s="117">
        <v>45876</v>
      </c>
    </row>
    <row r="31" spans="1:17" ht="60" customHeight="1" x14ac:dyDescent="0.25">
      <c r="A31" s="182" t="s">
        <v>1995</v>
      </c>
      <c r="B31" s="268" t="s">
        <v>1478</v>
      </c>
      <c r="C31" s="309" t="s">
        <v>1959</v>
      </c>
      <c r="D31" s="267" t="s">
        <v>1986</v>
      </c>
      <c r="E31" s="252" t="s">
        <v>15</v>
      </c>
      <c r="F31" s="308">
        <v>15155.7</v>
      </c>
      <c r="G31" s="280" t="s">
        <v>1563</v>
      </c>
      <c r="H31" s="282" t="s">
        <v>1562</v>
      </c>
      <c r="I31" s="305">
        <v>15610.37</v>
      </c>
      <c r="J31" s="280" t="s">
        <v>1561</v>
      </c>
      <c r="K31" s="279" t="s">
        <v>1560</v>
      </c>
      <c r="L31" s="305">
        <v>15913.49</v>
      </c>
      <c r="M31" s="277" t="s">
        <v>1559</v>
      </c>
      <c r="N31" s="276" t="s">
        <v>1558</v>
      </c>
      <c r="O31" s="119">
        <f t="shared" ref="O31:O40" si="1">MIN(F31,I31,L31)</f>
        <v>15155.7</v>
      </c>
      <c r="P31" s="307">
        <v>9050</v>
      </c>
      <c r="Q31" s="117">
        <v>45876</v>
      </c>
    </row>
    <row r="32" spans="1:17" ht="60" customHeight="1" x14ac:dyDescent="0.25">
      <c r="A32" s="182" t="s">
        <v>1994</v>
      </c>
      <c r="B32" s="268" t="s">
        <v>1478</v>
      </c>
      <c r="C32" s="309" t="s">
        <v>1966</v>
      </c>
      <c r="D32" s="267" t="s">
        <v>1986</v>
      </c>
      <c r="E32" s="252" t="s">
        <v>15</v>
      </c>
      <c r="F32" s="308">
        <v>163383.29999999999</v>
      </c>
      <c r="G32" s="280" t="s">
        <v>1563</v>
      </c>
      <c r="H32" s="282" t="s">
        <v>1562</v>
      </c>
      <c r="I32" s="305">
        <v>168284.79999999999</v>
      </c>
      <c r="J32" s="280" t="s">
        <v>1561</v>
      </c>
      <c r="K32" s="279" t="s">
        <v>1560</v>
      </c>
      <c r="L32" s="305">
        <v>171552.47</v>
      </c>
      <c r="M32" s="277" t="s">
        <v>1559</v>
      </c>
      <c r="N32" s="276" t="s">
        <v>1558</v>
      </c>
      <c r="O32" s="119">
        <f t="shared" si="1"/>
        <v>163383.29999999999</v>
      </c>
      <c r="P32" s="307">
        <v>41088</v>
      </c>
      <c r="Q32" s="117">
        <v>45876</v>
      </c>
    </row>
    <row r="33" spans="1:17" ht="60" customHeight="1" x14ac:dyDescent="0.25">
      <c r="A33" s="182"/>
      <c r="B33" s="268"/>
      <c r="C33" s="310" t="s">
        <v>1993</v>
      </c>
      <c r="D33" s="267"/>
      <c r="E33" s="252"/>
      <c r="F33" s="308"/>
      <c r="G33" s="280"/>
      <c r="H33" s="282"/>
      <c r="I33" s="305"/>
      <c r="J33" s="280"/>
      <c r="K33" s="279"/>
      <c r="L33" s="305"/>
      <c r="M33" s="277"/>
      <c r="N33" s="276"/>
      <c r="O33" s="119">
        <f t="shared" si="1"/>
        <v>0</v>
      </c>
      <c r="P33" s="307"/>
      <c r="Q33" s="117">
        <v>45876</v>
      </c>
    </row>
    <row r="34" spans="1:17" ht="60" customHeight="1" x14ac:dyDescent="0.25">
      <c r="A34" s="182" t="s">
        <v>1992</v>
      </c>
      <c r="B34" s="268" t="s">
        <v>1478</v>
      </c>
      <c r="C34" s="309" t="s">
        <v>1959</v>
      </c>
      <c r="D34" s="267" t="s">
        <v>1986</v>
      </c>
      <c r="E34" s="252" t="s">
        <v>15</v>
      </c>
      <c r="F34" s="308">
        <v>15155.7</v>
      </c>
      <c r="G34" s="280" t="s">
        <v>1563</v>
      </c>
      <c r="H34" s="282" t="s">
        <v>1562</v>
      </c>
      <c r="I34" s="305">
        <v>15610.37</v>
      </c>
      <c r="J34" s="280" t="s">
        <v>1561</v>
      </c>
      <c r="K34" s="279" t="s">
        <v>1560</v>
      </c>
      <c r="L34" s="305">
        <v>15913.49</v>
      </c>
      <c r="M34" s="277" t="s">
        <v>1559</v>
      </c>
      <c r="N34" s="276" t="s">
        <v>1558</v>
      </c>
      <c r="O34" s="119">
        <f t="shared" si="1"/>
        <v>15155.7</v>
      </c>
      <c r="P34" s="307">
        <v>9050</v>
      </c>
      <c r="Q34" s="117">
        <v>45876</v>
      </c>
    </row>
    <row r="35" spans="1:17" ht="60" customHeight="1" x14ac:dyDescent="0.25">
      <c r="A35" s="182" t="s">
        <v>1991</v>
      </c>
      <c r="B35" s="268" t="s">
        <v>1478</v>
      </c>
      <c r="C35" s="309" t="s">
        <v>1957</v>
      </c>
      <c r="D35" s="267" t="s">
        <v>1986</v>
      </c>
      <c r="E35" s="252" t="s">
        <v>15</v>
      </c>
      <c r="F35" s="308">
        <v>40719</v>
      </c>
      <c r="G35" s="280" t="s">
        <v>1563</v>
      </c>
      <c r="H35" s="282" t="s">
        <v>1562</v>
      </c>
      <c r="I35" s="305">
        <v>41940.57</v>
      </c>
      <c r="J35" s="280" t="s">
        <v>1561</v>
      </c>
      <c r="K35" s="279" t="s">
        <v>1560</v>
      </c>
      <c r="L35" s="305">
        <v>42754.95</v>
      </c>
      <c r="M35" s="277" t="s">
        <v>1559</v>
      </c>
      <c r="N35" s="276" t="s">
        <v>1558</v>
      </c>
      <c r="O35" s="119">
        <f t="shared" si="1"/>
        <v>40719</v>
      </c>
      <c r="P35" s="307">
        <v>15720</v>
      </c>
      <c r="Q35" s="117">
        <v>45876</v>
      </c>
    </row>
    <row r="36" spans="1:17" ht="60" customHeight="1" x14ac:dyDescent="0.25">
      <c r="A36" s="182"/>
      <c r="B36" s="268"/>
      <c r="C36" s="310" t="s">
        <v>1990</v>
      </c>
      <c r="D36" s="267"/>
      <c r="E36" s="252"/>
      <c r="F36" s="308"/>
      <c r="G36" s="280"/>
      <c r="H36" s="282"/>
      <c r="I36" s="305"/>
      <c r="J36" s="280"/>
      <c r="K36" s="279"/>
      <c r="L36" s="305"/>
      <c r="M36" s="277"/>
      <c r="N36" s="276"/>
      <c r="O36" s="119">
        <f t="shared" si="1"/>
        <v>0</v>
      </c>
      <c r="P36" s="307"/>
      <c r="Q36" s="117">
        <v>45876</v>
      </c>
    </row>
    <row r="37" spans="1:17" ht="60" customHeight="1" x14ac:dyDescent="0.25">
      <c r="A37" s="182" t="s">
        <v>1989</v>
      </c>
      <c r="B37" s="268" t="s">
        <v>1478</v>
      </c>
      <c r="C37" s="309" t="s">
        <v>1959</v>
      </c>
      <c r="D37" s="267" t="s">
        <v>1988</v>
      </c>
      <c r="E37" s="252" t="s">
        <v>15</v>
      </c>
      <c r="F37" s="308">
        <v>15155.7</v>
      </c>
      <c r="G37" s="280" t="s">
        <v>1563</v>
      </c>
      <c r="H37" s="282" t="s">
        <v>1562</v>
      </c>
      <c r="I37" s="305">
        <v>15610.37</v>
      </c>
      <c r="J37" s="280" t="s">
        <v>1561</v>
      </c>
      <c r="K37" s="279" t="s">
        <v>1560</v>
      </c>
      <c r="L37" s="305">
        <v>15913.49</v>
      </c>
      <c r="M37" s="277" t="s">
        <v>1559</v>
      </c>
      <c r="N37" s="276" t="s">
        <v>1558</v>
      </c>
      <c r="O37" s="119">
        <f t="shared" si="1"/>
        <v>15155.7</v>
      </c>
      <c r="P37" s="307">
        <v>9050</v>
      </c>
      <c r="Q37" s="117">
        <v>45876</v>
      </c>
    </row>
    <row r="38" spans="1:17" ht="60" customHeight="1" x14ac:dyDescent="0.25">
      <c r="A38" s="182" t="s">
        <v>1987</v>
      </c>
      <c r="B38" s="268" t="s">
        <v>1478</v>
      </c>
      <c r="C38" s="309" t="s">
        <v>1966</v>
      </c>
      <c r="D38" s="267" t="s">
        <v>1986</v>
      </c>
      <c r="E38" s="252" t="s">
        <v>15</v>
      </c>
      <c r="F38" s="308">
        <v>163383.29999999999</v>
      </c>
      <c r="G38" s="280" t="s">
        <v>1563</v>
      </c>
      <c r="H38" s="282" t="s">
        <v>1562</v>
      </c>
      <c r="I38" s="305">
        <v>168284.79999999999</v>
      </c>
      <c r="J38" s="280" t="s">
        <v>1561</v>
      </c>
      <c r="K38" s="279" t="s">
        <v>1560</v>
      </c>
      <c r="L38" s="305">
        <v>171552.47</v>
      </c>
      <c r="M38" s="277" t="s">
        <v>1559</v>
      </c>
      <c r="N38" s="276" t="s">
        <v>1558</v>
      </c>
      <c r="O38" s="119">
        <f t="shared" si="1"/>
        <v>163383.29999999999</v>
      </c>
      <c r="P38" s="307">
        <v>41088</v>
      </c>
      <c r="Q38" s="117">
        <v>45876</v>
      </c>
    </row>
    <row r="39" spans="1:17" ht="60" customHeight="1" x14ac:dyDescent="0.25">
      <c r="A39" s="182"/>
      <c r="B39" s="268"/>
      <c r="C39" s="310" t="s">
        <v>1985</v>
      </c>
      <c r="D39" s="267"/>
      <c r="E39" s="252"/>
      <c r="F39" s="308"/>
      <c r="G39" s="280"/>
      <c r="H39" s="282"/>
      <c r="I39" s="305"/>
      <c r="J39" s="280"/>
      <c r="K39" s="279"/>
      <c r="L39" s="305"/>
      <c r="M39" s="277"/>
      <c r="N39" s="276"/>
      <c r="O39" s="119">
        <f t="shared" si="1"/>
        <v>0</v>
      </c>
      <c r="P39" s="307"/>
      <c r="Q39" s="117">
        <v>45876</v>
      </c>
    </row>
    <row r="40" spans="1:17" ht="60" customHeight="1" x14ac:dyDescent="0.25">
      <c r="A40" s="182" t="s">
        <v>1984</v>
      </c>
      <c r="B40" s="268" t="s">
        <v>1478</v>
      </c>
      <c r="C40" s="309" t="s">
        <v>1954</v>
      </c>
      <c r="D40" s="267" t="s">
        <v>1976</v>
      </c>
      <c r="E40" s="252" t="s">
        <v>15</v>
      </c>
      <c r="F40" s="308">
        <v>130242</v>
      </c>
      <c r="G40" s="280" t="s">
        <v>1563</v>
      </c>
      <c r="H40" s="282" t="s">
        <v>1562</v>
      </c>
      <c r="I40" s="305">
        <v>134149.26</v>
      </c>
      <c r="J40" s="280" t="s">
        <v>1561</v>
      </c>
      <c r="K40" s="279" t="s">
        <v>1560</v>
      </c>
      <c r="L40" s="305">
        <v>136754.1</v>
      </c>
      <c r="M40" s="277" t="s">
        <v>1559</v>
      </c>
      <c r="N40" s="276" t="s">
        <v>1558</v>
      </c>
      <c r="O40" s="119">
        <f t="shared" si="1"/>
        <v>130242</v>
      </c>
      <c r="P40" s="307">
        <v>79520</v>
      </c>
      <c r="Q40" s="117">
        <v>45876</v>
      </c>
    </row>
    <row r="41" spans="1:17" ht="60" customHeight="1" x14ac:dyDescent="0.25">
      <c r="A41" s="182"/>
      <c r="B41" s="268"/>
      <c r="C41" s="310" t="s">
        <v>1983</v>
      </c>
      <c r="D41" s="267"/>
      <c r="E41" s="252"/>
      <c r="F41" s="308"/>
      <c r="G41" s="280"/>
      <c r="H41" s="282"/>
      <c r="I41" s="305"/>
      <c r="J41" s="280"/>
      <c r="K41" s="279"/>
      <c r="L41" s="305"/>
      <c r="M41" s="277"/>
      <c r="N41" s="276"/>
      <c r="O41" s="119"/>
      <c r="P41" s="307"/>
      <c r="Q41" s="117">
        <v>45876</v>
      </c>
    </row>
    <row r="42" spans="1:17" ht="60" customHeight="1" x14ac:dyDescent="0.25">
      <c r="A42" s="182" t="s">
        <v>1982</v>
      </c>
      <c r="B42" s="268" t="s">
        <v>1478</v>
      </c>
      <c r="C42" s="309" t="s">
        <v>1981</v>
      </c>
      <c r="D42" s="267" t="s">
        <v>1976</v>
      </c>
      <c r="E42" s="252" t="s">
        <v>15</v>
      </c>
      <c r="F42" s="308">
        <v>15264.3</v>
      </c>
      <c r="G42" s="280" t="s">
        <v>1563</v>
      </c>
      <c r="H42" s="282" t="s">
        <v>1562</v>
      </c>
      <c r="I42" s="305">
        <v>15722.23</v>
      </c>
      <c r="J42" s="280" t="s">
        <v>1561</v>
      </c>
      <c r="K42" s="279" t="s">
        <v>1560</v>
      </c>
      <c r="L42" s="305">
        <v>16027.52</v>
      </c>
      <c r="M42" s="277" t="s">
        <v>1559</v>
      </c>
      <c r="N42" s="276" t="s">
        <v>1558</v>
      </c>
      <c r="O42" s="119">
        <f>MIN(F42,I42,L42)</f>
        <v>15264.3</v>
      </c>
      <c r="P42" s="307">
        <v>9200</v>
      </c>
      <c r="Q42" s="117">
        <v>45876</v>
      </c>
    </row>
    <row r="43" spans="1:17" ht="60" customHeight="1" x14ac:dyDescent="0.25">
      <c r="A43" s="182" t="s">
        <v>1980</v>
      </c>
      <c r="B43" s="268" t="s">
        <v>1478</v>
      </c>
      <c r="C43" s="309" t="s">
        <v>1979</v>
      </c>
      <c r="D43" s="267" t="s">
        <v>1976</v>
      </c>
      <c r="E43" s="252" t="s">
        <v>15</v>
      </c>
      <c r="F43" s="308">
        <v>54516</v>
      </c>
      <c r="G43" s="280" t="s">
        <v>1563</v>
      </c>
      <c r="H43" s="282" t="s">
        <v>1562</v>
      </c>
      <c r="I43" s="305">
        <v>56151.48</v>
      </c>
      <c r="J43" s="280" t="s">
        <v>1561</v>
      </c>
      <c r="K43" s="279" t="s">
        <v>1560</v>
      </c>
      <c r="L43" s="305">
        <v>57241.8</v>
      </c>
      <c r="M43" s="277" t="s">
        <v>1559</v>
      </c>
      <c r="N43" s="276" t="s">
        <v>1558</v>
      </c>
      <c r="O43" s="119">
        <f>MIN(F43,I43,L43)</f>
        <v>54516</v>
      </c>
      <c r="P43" s="307">
        <v>14800</v>
      </c>
      <c r="Q43" s="117">
        <v>45876</v>
      </c>
    </row>
    <row r="44" spans="1:17" ht="60" customHeight="1" x14ac:dyDescent="0.25">
      <c r="A44" s="182" t="s">
        <v>1978</v>
      </c>
      <c r="B44" s="268" t="s">
        <v>1478</v>
      </c>
      <c r="C44" s="309" t="s">
        <v>1977</v>
      </c>
      <c r="D44" s="267" t="s">
        <v>1976</v>
      </c>
      <c r="E44" s="252" t="s">
        <v>15</v>
      </c>
      <c r="F44" s="308">
        <v>5912.4</v>
      </c>
      <c r="G44" s="280" t="s">
        <v>1563</v>
      </c>
      <c r="H44" s="282" t="s">
        <v>1562</v>
      </c>
      <c r="I44" s="305">
        <v>6089.77</v>
      </c>
      <c r="J44" s="280" t="s">
        <v>1561</v>
      </c>
      <c r="K44" s="279" t="s">
        <v>1560</v>
      </c>
      <c r="L44" s="305">
        <v>6208.02</v>
      </c>
      <c r="M44" s="277" t="s">
        <v>1559</v>
      </c>
      <c r="N44" s="276" t="s">
        <v>1558</v>
      </c>
      <c r="O44" s="119">
        <f>MIN(F44,I44,L44)</f>
        <v>5912.4</v>
      </c>
      <c r="P44" s="307">
        <v>1400</v>
      </c>
      <c r="Q44" s="117">
        <v>45876</v>
      </c>
    </row>
    <row r="45" spans="1:17" ht="60" customHeight="1" x14ac:dyDescent="0.25">
      <c r="A45" s="182"/>
      <c r="B45" s="268"/>
      <c r="C45" s="310" t="s">
        <v>1975</v>
      </c>
      <c r="D45" s="267"/>
      <c r="E45" s="252"/>
      <c r="F45" s="308"/>
      <c r="G45" s="280"/>
      <c r="H45" s="282"/>
      <c r="I45" s="305"/>
      <c r="J45" s="280"/>
      <c r="K45" s="279"/>
      <c r="L45" s="305"/>
      <c r="M45" s="277"/>
      <c r="N45" s="276"/>
      <c r="O45" s="119"/>
      <c r="P45" s="307"/>
      <c r="Q45" s="117">
        <v>45876</v>
      </c>
    </row>
    <row r="46" spans="1:17" ht="60" customHeight="1" x14ac:dyDescent="0.25">
      <c r="A46" s="182" t="s">
        <v>1974</v>
      </c>
      <c r="B46" s="268" t="s">
        <v>1478</v>
      </c>
      <c r="C46" s="309" t="s">
        <v>1973</v>
      </c>
      <c r="D46" s="267" t="s">
        <v>1962</v>
      </c>
      <c r="E46" s="252" t="s">
        <v>15</v>
      </c>
      <c r="F46" s="308">
        <v>15155.7</v>
      </c>
      <c r="G46" s="280" t="s">
        <v>1563</v>
      </c>
      <c r="H46" s="282" t="s">
        <v>1562</v>
      </c>
      <c r="I46" s="305">
        <v>15610.37</v>
      </c>
      <c r="J46" s="280" t="s">
        <v>1561</v>
      </c>
      <c r="K46" s="279" t="s">
        <v>1560</v>
      </c>
      <c r="L46" s="305">
        <v>15913.49</v>
      </c>
      <c r="M46" s="277" t="s">
        <v>1559</v>
      </c>
      <c r="N46" s="276" t="s">
        <v>1558</v>
      </c>
      <c r="O46" s="119">
        <f>MIN(F46,I46,L46)</f>
        <v>15155.7</v>
      </c>
      <c r="P46" s="307">
        <v>9050</v>
      </c>
      <c r="Q46" s="117">
        <v>45876</v>
      </c>
    </row>
    <row r="47" spans="1:17" ht="60" customHeight="1" x14ac:dyDescent="0.25">
      <c r="A47" s="182" t="s">
        <v>1972</v>
      </c>
      <c r="B47" s="268" t="s">
        <v>1478</v>
      </c>
      <c r="C47" s="309" t="s">
        <v>1971</v>
      </c>
      <c r="D47" s="267" t="s">
        <v>1970</v>
      </c>
      <c r="E47" s="252" t="s">
        <v>15</v>
      </c>
      <c r="F47" s="308">
        <v>163383.29999999999</v>
      </c>
      <c r="G47" s="280" t="s">
        <v>1563</v>
      </c>
      <c r="H47" s="282" t="s">
        <v>1562</v>
      </c>
      <c r="I47" s="305">
        <v>168284.79999999999</v>
      </c>
      <c r="J47" s="280" t="s">
        <v>1561</v>
      </c>
      <c r="K47" s="279" t="s">
        <v>1560</v>
      </c>
      <c r="L47" s="305">
        <v>171552.47</v>
      </c>
      <c r="M47" s="277" t="s">
        <v>1559</v>
      </c>
      <c r="N47" s="276" t="s">
        <v>1558</v>
      </c>
      <c r="O47" s="119">
        <f>MIN(F47,I47,L47)</f>
        <v>163383.29999999999</v>
      </c>
      <c r="P47" s="307">
        <v>41088</v>
      </c>
      <c r="Q47" s="117">
        <v>45876</v>
      </c>
    </row>
    <row r="48" spans="1:17" ht="60" customHeight="1" x14ac:dyDescent="0.25">
      <c r="A48" s="182"/>
      <c r="B48" s="268"/>
      <c r="C48" s="310" t="s">
        <v>1969</v>
      </c>
      <c r="D48" s="267"/>
      <c r="E48" s="252"/>
      <c r="F48" s="308"/>
      <c r="G48" s="280"/>
      <c r="H48" s="282"/>
      <c r="I48" s="305"/>
      <c r="J48" s="280"/>
      <c r="K48" s="279"/>
      <c r="L48" s="305"/>
      <c r="M48" s="277"/>
      <c r="N48" s="276"/>
      <c r="O48" s="119">
        <f>MIN(F48,I48,L48)</f>
        <v>0</v>
      </c>
      <c r="P48" s="307"/>
      <c r="Q48" s="117">
        <v>45876</v>
      </c>
    </row>
    <row r="49" spans="1:17" ht="60" customHeight="1" x14ac:dyDescent="0.25">
      <c r="A49" s="182" t="s">
        <v>1968</v>
      </c>
      <c r="B49" s="268" t="s">
        <v>1478</v>
      </c>
      <c r="C49" s="309" t="s">
        <v>1959</v>
      </c>
      <c r="D49" s="267" t="s">
        <v>1962</v>
      </c>
      <c r="E49" s="252" t="s">
        <v>15</v>
      </c>
      <c r="F49" s="308">
        <v>15155.7</v>
      </c>
      <c r="G49" s="280" t="s">
        <v>1563</v>
      </c>
      <c r="H49" s="282" t="s">
        <v>1562</v>
      </c>
      <c r="I49" s="305">
        <v>15610.37</v>
      </c>
      <c r="J49" s="280" t="s">
        <v>1561</v>
      </c>
      <c r="K49" s="279" t="s">
        <v>1560</v>
      </c>
      <c r="L49" s="305">
        <v>15913.49</v>
      </c>
      <c r="M49" s="277" t="s">
        <v>1559</v>
      </c>
      <c r="N49" s="276" t="s">
        <v>1558</v>
      </c>
      <c r="O49" s="119">
        <f>MIN(F49,I49,L49)</f>
        <v>15155.7</v>
      </c>
      <c r="P49" s="307">
        <v>9050</v>
      </c>
      <c r="Q49" s="117">
        <v>45876</v>
      </c>
    </row>
    <row r="50" spans="1:17" ht="60" customHeight="1" x14ac:dyDescent="0.25">
      <c r="A50" s="182" t="s">
        <v>1967</v>
      </c>
      <c r="B50" s="268" t="s">
        <v>1478</v>
      </c>
      <c r="C50" s="309" t="s">
        <v>1966</v>
      </c>
      <c r="D50" s="267" t="s">
        <v>1962</v>
      </c>
      <c r="E50" s="252" t="s">
        <v>15</v>
      </c>
      <c r="F50" s="308">
        <v>163383.29999999999</v>
      </c>
      <c r="G50" s="280" t="s">
        <v>1563</v>
      </c>
      <c r="H50" s="282" t="s">
        <v>1562</v>
      </c>
      <c r="I50" s="305">
        <v>168284.79999999999</v>
      </c>
      <c r="J50" s="280" t="s">
        <v>1561</v>
      </c>
      <c r="K50" s="279" t="s">
        <v>1560</v>
      </c>
      <c r="L50" s="305">
        <v>171552.47</v>
      </c>
      <c r="M50" s="277" t="s">
        <v>1559</v>
      </c>
      <c r="N50" s="276" t="s">
        <v>1558</v>
      </c>
      <c r="O50" s="119">
        <f>MIN(F50,I50,L50)</f>
        <v>163383.29999999999</v>
      </c>
      <c r="P50" s="307">
        <v>41088</v>
      </c>
      <c r="Q50" s="117">
        <v>45876</v>
      </c>
    </row>
    <row r="51" spans="1:17" ht="60" customHeight="1" x14ac:dyDescent="0.25">
      <c r="A51" s="182"/>
      <c r="B51" s="268"/>
      <c r="C51" s="310" t="s">
        <v>1965</v>
      </c>
      <c r="D51" s="267"/>
      <c r="E51" s="252"/>
      <c r="F51" s="308"/>
      <c r="G51" s="280"/>
      <c r="H51" s="282"/>
      <c r="I51" s="305"/>
      <c r="J51" s="280"/>
      <c r="K51" s="279"/>
      <c r="L51" s="305"/>
      <c r="M51" s="277"/>
      <c r="N51" s="276"/>
      <c r="O51" s="119"/>
      <c r="P51" s="307"/>
      <c r="Q51" s="117">
        <v>45876</v>
      </c>
    </row>
    <row r="52" spans="1:17" ht="60" customHeight="1" x14ac:dyDescent="0.25">
      <c r="A52" s="182" t="s">
        <v>1964</v>
      </c>
      <c r="B52" s="268" t="s">
        <v>1478</v>
      </c>
      <c r="C52" s="309" t="s">
        <v>1963</v>
      </c>
      <c r="D52" s="267" t="s">
        <v>1962</v>
      </c>
      <c r="E52" s="252" t="s">
        <v>15</v>
      </c>
      <c r="F52" s="308">
        <v>130242</v>
      </c>
      <c r="G52" s="280" t="s">
        <v>1563</v>
      </c>
      <c r="H52" s="282" t="s">
        <v>1562</v>
      </c>
      <c r="I52" s="305">
        <v>134149.26</v>
      </c>
      <c r="J52" s="280" t="s">
        <v>1561</v>
      </c>
      <c r="K52" s="279" t="s">
        <v>1560</v>
      </c>
      <c r="L52" s="305">
        <v>136754.1</v>
      </c>
      <c r="M52" s="277" t="s">
        <v>1559</v>
      </c>
      <c r="N52" s="276" t="s">
        <v>1558</v>
      </c>
      <c r="O52" s="119">
        <f>MIN(F52,I52,L52)</f>
        <v>130242</v>
      </c>
      <c r="P52" s="307">
        <v>79520</v>
      </c>
      <c r="Q52" s="117">
        <v>45876</v>
      </c>
    </row>
    <row r="53" spans="1:17" ht="60" customHeight="1" x14ac:dyDescent="0.25">
      <c r="A53" s="182"/>
      <c r="B53" s="268"/>
      <c r="C53" s="310" t="s">
        <v>1961</v>
      </c>
      <c r="D53" s="267"/>
      <c r="E53" s="252"/>
      <c r="F53" s="308"/>
      <c r="G53" s="280"/>
      <c r="H53" s="282"/>
      <c r="I53" s="305"/>
      <c r="J53" s="280"/>
      <c r="K53" s="279"/>
      <c r="L53" s="305"/>
      <c r="M53" s="277"/>
      <c r="N53" s="276"/>
      <c r="O53" s="119"/>
      <c r="P53" s="311"/>
      <c r="Q53" s="117">
        <v>45876</v>
      </c>
    </row>
    <row r="54" spans="1:17" ht="60" customHeight="1" x14ac:dyDescent="0.25">
      <c r="A54" s="182" t="s">
        <v>1960</v>
      </c>
      <c r="B54" s="268" t="s">
        <v>1478</v>
      </c>
      <c r="C54" s="309" t="s">
        <v>1959</v>
      </c>
      <c r="D54" s="267" t="s">
        <v>1953</v>
      </c>
      <c r="E54" s="252" t="s">
        <v>15</v>
      </c>
      <c r="F54" s="308">
        <v>15155.7</v>
      </c>
      <c r="G54" s="280" t="s">
        <v>1563</v>
      </c>
      <c r="H54" s="282" t="s">
        <v>1562</v>
      </c>
      <c r="I54" s="305">
        <v>15610.37</v>
      </c>
      <c r="J54" s="280" t="s">
        <v>1561</v>
      </c>
      <c r="K54" s="279" t="s">
        <v>1560</v>
      </c>
      <c r="L54" s="305">
        <v>15913.49</v>
      </c>
      <c r="M54" s="277" t="s">
        <v>1559</v>
      </c>
      <c r="N54" s="276" t="s">
        <v>1558</v>
      </c>
      <c r="O54" s="119">
        <f>MIN(F54,I54,L54)</f>
        <v>15155.7</v>
      </c>
      <c r="P54" s="307">
        <v>9050</v>
      </c>
      <c r="Q54" s="117">
        <v>45876</v>
      </c>
    </row>
    <row r="55" spans="1:17" ht="60" customHeight="1" x14ac:dyDescent="0.25">
      <c r="A55" s="182" t="s">
        <v>1958</v>
      </c>
      <c r="B55" s="268" t="s">
        <v>1478</v>
      </c>
      <c r="C55" s="309" t="s">
        <v>1957</v>
      </c>
      <c r="D55" s="267" t="s">
        <v>1953</v>
      </c>
      <c r="E55" s="252" t="s">
        <v>15</v>
      </c>
      <c r="F55" s="308">
        <v>40719</v>
      </c>
      <c r="G55" s="280" t="s">
        <v>1563</v>
      </c>
      <c r="H55" s="282" t="s">
        <v>1562</v>
      </c>
      <c r="I55" s="305">
        <v>41940.57</v>
      </c>
      <c r="J55" s="280" t="s">
        <v>1561</v>
      </c>
      <c r="K55" s="279" t="s">
        <v>1560</v>
      </c>
      <c r="L55" s="305">
        <v>42754.95</v>
      </c>
      <c r="M55" s="277" t="s">
        <v>1559</v>
      </c>
      <c r="N55" s="276" t="s">
        <v>1558</v>
      </c>
      <c r="O55" s="119">
        <f>MIN(F55,I55,L55)</f>
        <v>40719</v>
      </c>
      <c r="P55" s="307">
        <v>15720</v>
      </c>
      <c r="Q55" s="117">
        <v>45876</v>
      </c>
    </row>
    <row r="56" spans="1:17" ht="60" customHeight="1" x14ac:dyDescent="0.25">
      <c r="A56" s="182"/>
      <c r="B56" s="268"/>
      <c r="C56" s="310" t="s">
        <v>1956</v>
      </c>
      <c r="D56" s="267"/>
      <c r="E56" s="252"/>
      <c r="F56" s="308"/>
      <c r="G56" s="280"/>
      <c r="H56" s="282"/>
      <c r="I56" s="305"/>
      <c r="J56" s="280"/>
      <c r="K56" s="279"/>
      <c r="L56" s="305"/>
      <c r="M56" s="277"/>
      <c r="N56" s="276"/>
      <c r="O56" s="119"/>
      <c r="P56" s="307"/>
      <c r="Q56" s="117">
        <v>45876</v>
      </c>
    </row>
    <row r="57" spans="1:17" ht="60" customHeight="1" x14ac:dyDescent="0.25">
      <c r="A57" s="182" t="s">
        <v>1955</v>
      </c>
      <c r="B57" s="268" t="s">
        <v>1478</v>
      </c>
      <c r="C57" s="309" t="s">
        <v>1954</v>
      </c>
      <c r="D57" s="267" t="s">
        <v>1953</v>
      </c>
      <c r="E57" s="252" t="s">
        <v>15</v>
      </c>
      <c r="F57" s="308">
        <v>130242</v>
      </c>
      <c r="G57" s="280" t="s">
        <v>1563</v>
      </c>
      <c r="H57" s="282" t="s">
        <v>1562</v>
      </c>
      <c r="I57" s="305">
        <v>134149.26</v>
      </c>
      <c r="J57" s="280" t="s">
        <v>1561</v>
      </c>
      <c r="K57" s="279" t="s">
        <v>1560</v>
      </c>
      <c r="L57" s="305">
        <v>136754.1</v>
      </c>
      <c r="M57" s="277" t="s">
        <v>1559</v>
      </c>
      <c r="N57" s="276" t="s">
        <v>1558</v>
      </c>
      <c r="O57" s="119">
        <f>MIN(F57,I57,L57)</f>
        <v>130242</v>
      </c>
      <c r="P57" s="307">
        <v>79520</v>
      </c>
      <c r="Q57" s="117">
        <v>45876</v>
      </c>
    </row>
    <row r="58" spans="1:17" ht="60" customHeight="1" x14ac:dyDescent="0.25">
      <c r="A58" s="182"/>
      <c r="B58" s="268"/>
      <c r="C58" s="310" t="s">
        <v>1952</v>
      </c>
      <c r="D58" s="267"/>
      <c r="E58" s="252"/>
      <c r="F58" s="308"/>
      <c r="G58" s="280"/>
      <c r="H58" s="282"/>
      <c r="I58" s="305"/>
      <c r="J58" s="280"/>
      <c r="K58" s="279"/>
      <c r="L58" s="305"/>
      <c r="M58" s="277"/>
      <c r="N58" s="276"/>
      <c r="O58" s="119"/>
      <c r="P58" s="307"/>
      <c r="Q58" s="117">
        <v>45876</v>
      </c>
    </row>
    <row r="59" spans="1:17" ht="60" customHeight="1" x14ac:dyDescent="0.25">
      <c r="A59" s="182" t="s">
        <v>1951</v>
      </c>
      <c r="B59" s="268" t="s">
        <v>1478</v>
      </c>
      <c r="C59" s="309" t="s">
        <v>1950</v>
      </c>
      <c r="D59" s="267" t="s">
        <v>1949</v>
      </c>
      <c r="E59" s="252" t="s">
        <v>15</v>
      </c>
      <c r="F59" s="308">
        <v>130242</v>
      </c>
      <c r="G59" s="280" t="s">
        <v>1563</v>
      </c>
      <c r="H59" s="282" t="s">
        <v>1562</v>
      </c>
      <c r="I59" s="305">
        <v>134149.26</v>
      </c>
      <c r="J59" s="280" t="s">
        <v>1561</v>
      </c>
      <c r="K59" s="279" t="s">
        <v>1560</v>
      </c>
      <c r="L59" s="305">
        <v>136754.1</v>
      </c>
      <c r="M59" s="277" t="s">
        <v>1559</v>
      </c>
      <c r="N59" s="276" t="s">
        <v>1558</v>
      </c>
      <c r="O59" s="119">
        <f t="shared" ref="O59:O90" si="2">MIN(F59,I59,L59)</f>
        <v>130242</v>
      </c>
      <c r="P59" s="307">
        <v>79520</v>
      </c>
      <c r="Q59" s="117">
        <v>45876</v>
      </c>
    </row>
    <row r="60" spans="1:17" ht="60" customHeight="1" x14ac:dyDescent="0.25">
      <c r="A60" s="275"/>
      <c r="B60" s="274"/>
      <c r="C60" s="286" t="s">
        <v>1948</v>
      </c>
      <c r="D60" s="267"/>
      <c r="E60" s="252"/>
      <c r="F60" s="306"/>
      <c r="G60" s="280"/>
      <c r="H60" s="282"/>
      <c r="I60" s="305"/>
      <c r="J60" s="280"/>
      <c r="K60" s="279"/>
      <c r="L60" s="305"/>
      <c r="M60" s="277"/>
      <c r="N60" s="276"/>
      <c r="O60" s="119">
        <f t="shared" si="2"/>
        <v>0</v>
      </c>
      <c r="P60" s="126"/>
      <c r="Q60" s="117"/>
    </row>
    <row r="61" spans="1:17" ht="60" customHeight="1" x14ac:dyDescent="0.25">
      <c r="A61" s="182" t="s">
        <v>1947</v>
      </c>
      <c r="B61" s="268" t="s">
        <v>1478</v>
      </c>
      <c r="C61" s="283" t="s">
        <v>1946</v>
      </c>
      <c r="D61" s="267" t="s">
        <v>1917</v>
      </c>
      <c r="E61" s="252" t="s">
        <v>1819</v>
      </c>
      <c r="F61" s="299">
        <v>1296666</v>
      </c>
      <c r="G61" s="280" t="s">
        <v>1563</v>
      </c>
      <c r="H61" s="282" t="s">
        <v>1562</v>
      </c>
      <c r="I61" s="299">
        <v>1335565.98</v>
      </c>
      <c r="J61" s="280" t="s">
        <v>1561</v>
      </c>
      <c r="K61" s="279" t="s">
        <v>1560</v>
      </c>
      <c r="L61" s="302">
        <v>1361499.3</v>
      </c>
      <c r="M61" s="277" t="s">
        <v>1559</v>
      </c>
      <c r="N61" s="276" t="s">
        <v>1558</v>
      </c>
      <c r="O61" s="119">
        <f t="shared" si="2"/>
        <v>1296666</v>
      </c>
      <c r="P61" s="143">
        <v>1037333</v>
      </c>
      <c r="Q61" s="117">
        <v>45876</v>
      </c>
    </row>
    <row r="62" spans="1:17" ht="60" customHeight="1" x14ac:dyDescent="0.25">
      <c r="A62" s="182" t="s">
        <v>1945</v>
      </c>
      <c r="B62" s="268" t="s">
        <v>1478</v>
      </c>
      <c r="C62" s="283" t="s">
        <v>1944</v>
      </c>
      <c r="D62" s="267" t="s">
        <v>1917</v>
      </c>
      <c r="E62" s="252" t="s">
        <v>1819</v>
      </c>
      <c r="F62" s="299">
        <v>1471365</v>
      </c>
      <c r="G62" s="280" t="s">
        <v>1563</v>
      </c>
      <c r="H62" s="282" t="s">
        <v>1562</v>
      </c>
      <c r="I62" s="299">
        <v>1515505.95</v>
      </c>
      <c r="J62" s="280" t="s">
        <v>1561</v>
      </c>
      <c r="K62" s="279" t="s">
        <v>1560</v>
      </c>
      <c r="L62" s="302">
        <v>1544933.25</v>
      </c>
      <c r="M62" s="277" t="s">
        <v>1559</v>
      </c>
      <c r="N62" s="276" t="s">
        <v>1558</v>
      </c>
      <c r="O62" s="119">
        <f t="shared" si="2"/>
        <v>1471365</v>
      </c>
      <c r="P62" s="143">
        <v>1177092</v>
      </c>
      <c r="Q62" s="117">
        <v>45876</v>
      </c>
    </row>
    <row r="63" spans="1:17" ht="60" customHeight="1" x14ac:dyDescent="0.25">
      <c r="A63" s="182" t="s">
        <v>1943</v>
      </c>
      <c r="B63" s="268" t="s">
        <v>1478</v>
      </c>
      <c r="C63" s="283" t="s">
        <v>1942</v>
      </c>
      <c r="D63" s="267" t="s">
        <v>1917</v>
      </c>
      <c r="E63" s="252" t="s">
        <v>1819</v>
      </c>
      <c r="F63" s="299">
        <v>799848</v>
      </c>
      <c r="G63" s="280" t="s">
        <v>1563</v>
      </c>
      <c r="H63" s="282" t="s">
        <v>1562</v>
      </c>
      <c r="I63" s="299">
        <v>823843.44</v>
      </c>
      <c r="J63" s="280" t="s">
        <v>1561</v>
      </c>
      <c r="K63" s="279" t="s">
        <v>1560</v>
      </c>
      <c r="L63" s="302">
        <v>839840.4</v>
      </c>
      <c r="M63" s="277" t="s">
        <v>1559</v>
      </c>
      <c r="N63" s="276" t="s">
        <v>1558</v>
      </c>
      <c r="O63" s="119">
        <f t="shared" si="2"/>
        <v>799848</v>
      </c>
      <c r="P63" s="143">
        <v>639878</v>
      </c>
      <c r="Q63" s="117">
        <v>45876</v>
      </c>
    </row>
    <row r="64" spans="1:17" ht="60" customHeight="1" x14ac:dyDescent="0.25">
      <c r="A64" s="182" t="s">
        <v>1941</v>
      </c>
      <c r="B64" s="268" t="s">
        <v>1478</v>
      </c>
      <c r="C64" s="283" t="s">
        <v>1940</v>
      </c>
      <c r="D64" s="267" t="s">
        <v>1917</v>
      </c>
      <c r="E64" s="252" t="s">
        <v>1819</v>
      </c>
      <c r="F64" s="299">
        <v>766510.5</v>
      </c>
      <c r="G64" s="280" t="s">
        <v>1563</v>
      </c>
      <c r="H64" s="282" t="s">
        <v>1562</v>
      </c>
      <c r="I64" s="299">
        <v>789505.82</v>
      </c>
      <c r="J64" s="280" t="s">
        <v>1561</v>
      </c>
      <c r="K64" s="279" t="s">
        <v>1560</v>
      </c>
      <c r="L64" s="302">
        <v>804836.03</v>
      </c>
      <c r="M64" s="277" t="s">
        <v>1559</v>
      </c>
      <c r="N64" s="276" t="s">
        <v>1558</v>
      </c>
      <c r="O64" s="119">
        <f t="shared" si="2"/>
        <v>766510.5</v>
      </c>
      <c r="P64" s="143">
        <v>613208</v>
      </c>
      <c r="Q64" s="117">
        <v>45876</v>
      </c>
    </row>
    <row r="65" spans="1:17" ht="60" customHeight="1" x14ac:dyDescent="0.25">
      <c r="A65" s="182" t="s">
        <v>1939</v>
      </c>
      <c r="B65" s="268" t="s">
        <v>1478</v>
      </c>
      <c r="C65" s="283" t="s">
        <v>1938</v>
      </c>
      <c r="D65" s="267" t="s">
        <v>1917</v>
      </c>
      <c r="E65" s="252" t="s">
        <v>1819</v>
      </c>
      <c r="F65" s="299">
        <v>799848</v>
      </c>
      <c r="G65" s="280" t="s">
        <v>1563</v>
      </c>
      <c r="H65" s="282" t="s">
        <v>1562</v>
      </c>
      <c r="I65" s="299">
        <v>823843.44</v>
      </c>
      <c r="J65" s="280" t="s">
        <v>1561</v>
      </c>
      <c r="K65" s="279" t="s">
        <v>1560</v>
      </c>
      <c r="L65" s="302">
        <v>839840.4</v>
      </c>
      <c r="M65" s="277" t="s">
        <v>1559</v>
      </c>
      <c r="N65" s="276" t="s">
        <v>1558</v>
      </c>
      <c r="O65" s="119">
        <f t="shared" si="2"/>
        <v>799848</v>
      </c>
      <c r="P65" s="143">
        <v>639878</v>
      </c>
      <c r="Q65" s="117">
        <v>45876</v>
      </c>
    </row>
    <row r="66" spans="1:17" ht="60" customHeight="1" x14ac:dyDescent="0.25">
      <c r="A66" s="182" t="s">
        <v>1937</v>
      </c>
      <c r="B66" s="268" t="s">
        <v>1478</v>
      </c>
      <c r="C66" s="283" t="s">
        <v>1936</v>
      </c>
      <c r="D66" s="267" t="s">
        <v>1917</v>
      </c>
      <c r="E66" s="252" t="s">
        <v>1819</v>
      </c>
      <c r="F66" s="299">
        <v>138778.5</v>
      </c>
      <c r="G66" s="280" t="s">
        <v>1563</v>
      </c>
      <c r="H66" s="282" t="s">
        <v>1562</v>
      </c>
      <c r="I66" s="299">
        <v>142941.85999999999</v>
      </c>
      <c r="J66" s="280" t="s">
        <v>1561</v>
      </c>
      <c r="K66" s="279" t="s">
        <v>1560</v>
      </c>
      <c r="L66" s="302">
        <v>145717.43</v>
      </c>
      <c r="M66" s="277" t="s">
        <v>1559</v>
      </c>
      <c r="N66" s="276" t="s">
        <v>1558</v>
      </c>
      <c r="O66" s="119">
        <f t="shared" si="2"/>
        <v>138778.5</v>
      </c>
      <c r="P66" s="143">
        <v>104084</v>
      </c>
      <c r="Q66" s="117">
        <v>45876</v>
      </c>
    </row>
    <row r="67" spans="1:17" ht="60" customHeight="1" x14ac:dyDescent="0.25">
      <c r="A67" s="182" t="s">
        <v>1935</v>
      </c>
      <c r="B67" s="268" t="s">
        <v>1478</v>
      </c>
      <c r="C67" s="283" t="s">
        <v>1934</v>
      </c>
      <c r="D67" s="267" t="s">
        <v>1917</v>
      </c>
      <c r="E67" s="252" t="s">
        <v>1819</v>
      </c>
      <c r="F67" s="299">
        <v>1592010</v>
      </c>
      <c r="G67" s="280" t="s">
        <v>1563</v>
      </c>
      <c r="H67" s="282" t="s">
        <v>1562</v>
      </c>
      <c r="I67" s="299">
        <v>1639770.3</v>
      </c>
      <c r="J67" s="280" t="s">
        <v>1561</v>
      </c>
      <c r="K67" s="279" t="s">
        <v>1560</v>
      </c>
      <c r="L67" s="302">
        <v>1671610.5</v>
      </c>
      <c r="M67" s="277" t="s">
        <v>1559</v>
      </c>
      <c r="N67" s="276" t="s">
        <v>1558</v>
      </c>
      <c r="O67" s="119">
        <f t="shared" si="2"/>
        <v>1592010</v>
      </c>
      <c r="P67" s="143">
        <v>1273608</v>
      </c>
      <c r="Q67" s="117">
        <v>45876</v>
      </c>
    </row>
    <row r="68" spans="1:17" ht="60" customHeight="1" x14ac:dyDescent="0.25">
      <c r="A68" s="182" t="s">
        <v>1933</v>
      </c>
      <c r="B68" s="268" t="s">
        <v>1478</v>
      </c>
      <c r="C68" s="283" t="s">
        <v>1932</v>
      </c>
      <c r="D68" s="267" t="s">
        <v>1917</v>
      </c>
      <c r="E68" s="252" t="s">
        <v>1819</v>
      </c>
      <c r="F68" s="299">
        <v>983020.5</v>
      </c>
      <c r="G68" s="280" t="s">
        <v>1563</v>
      </c>
      <c r="H68" s="282" t="s">
        <v>1562</v>
      </c>
      <c r="I68" s="299">
        <v>1012511.12</v>
      </c>
      <c r="J68" s="280" t="s">
        <v>1561</v>
      </c>
      <c r="K68" s="279" t="s">
        <v>1560</v>
      </c>
      <c r="L68" s="302">
        <v>1032171.53</v>
      </c>
      <c r="M68" s="277" t="s">
        <v>1559</v>
      </c>
      <c r="N68" s="276" t="s">
        <v>1558</v>
      </c>
      <c r="O68" s="119">
        <f t="shared" si="2"/>
        <v>983020.5</v>
      </c>
      <c r="P68" s="143">
        <v>786416</v>
      </c>
      <c r="Q68" s="117">
        <v>45876</v>
      </c>
    </row>
    <row r="69" spans="1:17" ht="60" customHeight="1" x14ac:dyDescent="0.25">
      <c r="A69" s="182" t="s">
        <v>1931</v>
      </c>
      <c r="B69" s="268" t="s">
        <v>1478</v>
      </c>
      <c r="C69" s="283" t="s">
        <v>1930</v>
      </c>
      <c r="D69" s="267" t="s">
        <v>1917</v>
      </c>
      <c r="E69" s="252" t="s">
        <v>1819</v>
      </c>
      <c r="F69" s="299">
        <v>971019</v>
      </c>
      <c r="G69" s="280" t="s">
        <v>1563</v>
      </c>
      <c r="H69" s="282" t="s">
        <v>1562</v>
      </c>
      <c r="I69" s="299">
        <v>1000149.57</v>
      </c>
      <c r="J69" s="280" t="s">
        <v>1561</v>
      </c>
      <c r="K69" s="279" t="s">
        <v>1560</v>
      </c>
      <c r="L69" s="302">
        <v>1019569.95</v>
      </c>
      <c r="M69" s="277" t="s">
        <v>1559</v>
      </c>
      <c r="N69" s="276" t="s">
        <v>1558</v>
      </c>
      <c r="O69" s="119">
        <f t="shared" si="2"/>
        <v>971019</v>
      </c>
      <c r="P69" s="143">
        <v>776815</v>
      </c>
      <c r="Q69" s="117">
        <v>45876</v>
      </c>
    </row>
    <row r="70" spans="1:17" ht="60" customHeight="1" x14ac:dyDescent="0.25">
      <c r="A70" s="182" t="s">
        <v>1929</v>
      </c>
      <c r="B70" s="268" t="s">
        <v>1478</v>
      </c>
      <c r="C70" s="283" t="s">
        <v>1928</v>
      </c>
      <c r="D70" s="267" t="s">
        <v>1917</v>
      </c>
      <c r="E70" s="252" t="s">
        <v>1819</v>
      </c>
      <c r="F70" s="299">
        <v>533862</v>
      </c>
      <c r="G70" s="280" t="s">
        <v>1563</v>
      </c>
      <c r="H70" s="282" t="s">
        <v>1562</v>
      </c>
      <c r="I70" s="299">
        <v>549877.86</v>
      </c>
      <c r="J70" s="280" t="s">
        <v>1561</v>
      </c>
      <c r="K70" s="279" t="s">
        <v>1560</v>
      </c>
      <c r="L70" s="302">
        <v>560555.1</v>
      </c>
      <c r="M70" s="277" t="s">
        <v>1559</v>
      </c>
      <c r="N70" s="276" t="s">
        <v>1558</v>
      </c>
      <c r="O70" s="119">
        <f t="shared" si="2"/>
        <v>533862</v>
      </c>
      <c r="P70" s="143">
        <v>427090</v>
      </c>
      <c r="Q70" s="117">
        <v>45876</v>
      </c>
    </row>
    <row r="71" spans="1:17" ht="60" customHeight="1" x14ac:dyDescent="0.25">
      <c r="A71" s="182" t="s">
        <v>1927</v>
      </c>
      <c r="B71" s="268" t="s">
        <v>1478</v>
      </c>
      <c r="C71" s="283" t="s">
        <v>1926</v>
      </c>
      <c r="D71" s="267" t="s">
        <v>1917</v>
      </c>
      <c r="E71" s="252" t="s">
        <v>1819</v>
      </c>
      <c r="F71" s="299">
        <v>766510.5</v>
      </c>
      <c r="G71" s="280" t="s">
        <v>1563</v>
      </c>
      <c r="H71" s="282" t="s">
        <v>1562</v>
      </c>
      <c r="I71" s="304">
        <v>789505.82</v>
      </c>
      <c r="J71" s="280" t="s">
        <v>1561</v>
      </c>
      <c r="K71" s="279" t="s">
        <v>1560</v>
      </c>
      <c r="L71" s="302">
        <v>804836.03</v>
      </c>
      <c r="M71" s="277" t="s">
        <v>1559</v>
      </c>
      <c r="N71" s="276" t="s">
        <v>1558</v>
      </c>
      <c r="O71" s="119">
        <f t="shared" si="2"/>
        <v>766510.5</v>
      </c>
      <c r="P71" s="143">
        <v>613208</v>
      </c>
      <c r="Q71" s="117">
        <v>45876</v>
      </c>
    </row>
    <row r="72" spans="1:17" ht="60" customHeight="1" x14ac:dyDescent="0.25">
      <c r="A72" s="182" t="s">
        <v>1925</v>
      </c>
      <c r="B72" s="268" t="s">
        <v>1478</v>
      </c>
      <c r="C72" s="283" t="s">
        <v>1924</v>
      </c>
      <c r="D72" s="267" t="s">
        <v>1917</v>
      </c>
      <c r="E72" s="252" t="s">
        <v>1819</v>
      </c>
      <c r="F72" s="299">
        <v>18847.5</v>
      </c>
      <c r="G72" s="280" t="s">
        <v>1563</v>
      </c>
      <c r="H72" s="282" t="s">
        <v>1562</v>
      </c>
      <c r="I72" s="299">
        <v>19412.93</v>
      </c>
      <c r="J72" s="280" t="s">
        <v>1561</v>
      </c>
      <c r="K72" s="279" t="s">
        <v>1560</v>
      </c>
      <c r="L72" s="302">
        <v>19789.88</v>
      </c>
      <c r="M72" s="277" t="s">
        <v>1559</v>
      </c>
      <c r="N72" s="276" t="s">
        <v>1558</v>
      </c>
      <c r="O72" s="119">
        <f t="shared" si="2"/>
        <v>18847.5</v>
      </c>
      <c r="P72" s="143">
        <v>14136</v>
      </c>
      <c r="Q72" s="117">
        <v>45876</v>
      </c>
    </row>
    <row r="73" spans="1:17" ht="60" customHeight="1" x14ac:dyDescent="0.25">
      <c r="A73" s="182" t="s">
        <v>1923</v>
      </c>
      <c r="B73" s="268" t="s">
        <v>1478</v>
      </c>
      <c r="C73" s="283" t="s">
        <v>1922</v>
      </c>
      <c r="D73" s="267" t="s">
        <v>1917</v>
      </c>
      <c r="E73" s="252" t="s">
        <v>1819</v>
      </c>
      <c r="F73" s="299">
        <v>162445.5</v>
      </c>
      <c r="G73" s="280" t="s">
        <v>1563</v>
      </c>
      <c r="H73" s="282" t="s">
        <v>1562</v>
      </c>
      <c r="I73" s="299">
        <v>167318.87</v>
      </c>
      <c r="J73" s="280" t="s">
        <v>1561</v>
      </c>
      <c r="K73" s="279" t="s">
        <v>1560</v>
      </c>
      <c r="L73" s="302">
        <v>170567.78</v>
      </c>
      <c r="M73" s="277" t="s">
        <v>1559</v>
      </c>
      <c r="N73" s="276" t="s">
        <v>1558</v>
      </c>
      <c r="O73" s="119">
        <f t="shared" si="2"/>
        <v>162445.5</v>
      </c>
      <c r="P73" s="143">
        <v>121834</v>
      </c>
      <c r="Q73" s="117">
        <v>45876</v>
      </c>
    </row>
    <row r="74" spans="1:17" ht="60" customHeight="1" x14ac:dyDescent="0.25">
      <c r="A74" s="182" t="s">
        <v>1921</v>
      </c>
      <c r="B74" s="268" t="s">
        <v>1478</v>
      </c>
      <c r="C74" s="283" t="s">
        <v>1920</v>
      </c>
      <c r="D74" s="267" t="s">
        <v>1917</v>
      </c>
      <c r="E74" s="252" t="s">
        <v>1819</v>
      </c>
      <c r="F74" s="299">
        <v>766510.5</v>
      </c>
      <c r="G74" s="280" t="s">
        <v>1563</v>
      </c>
      <c r="H74" s="282" t="s">
        <v>1562</v>
      </c>
      <c r="I74" s="299">
        <v>789505.82</v>
      </c>
      <c r="J74" s="280" t="s">
        <v>1561</v>
      </c>
      <c r="K74" s="279" t="s">
        <v>1560</v>
      </c>
      <c r="L74" s="302">
        <v>804836.03</v>
      </c>
      <c r="M74" s="277" t="s">
        <v>1559</v>
      </c>
      <c r="N74" s="276" t="s">
        <v>1558</v>
      </c>
      <c r="O74" s="119">
        <f t="shared" si="2"/>
        <v>766510.5</v>
      </c>
      <c r="P74" s="143">
        <v>613208</v>
      </c>
      <c r="Q74" s="117">
        <v>45876</v>
      </c>
    </row>
    <row r="75" spans="1:17" ht="60" customHeight="1" x14ac:dyDescent="0.25">
      <c r="A75" s="182" t="s">
        <v>1919</v>
      </c>
      <c r="B75" s="268" t="s">
        <v>1478</v>
      </c>
      <c r="C75" s="283" t="s">
        <v>1918</v>
      </c>
      <c r="D75" s="267" t="s">
        <v>1917</v>
      </c>
      <c r="E75" s="252" t="s">
        <v>1819</v>
      </c>
      <c r="F75" s="299">
        <v>16044</v>
      </c>
      <c r="G75" s="280" t="s">
        <v>1563</v>
      </c>
      <c r="H75" s="282" t="s">
        <v>1562</v>
      </c>
      <c r="I75" s="299">
        <v>16525.32</v>
      </c>
      <c r="J75" s="280" t="s">
        <v>1561</v>
      </c>
      <c r="K75" s="279" t="s">
        <v>1560</v>
      </c>
      <c r="L75" s="302">
        <v>16846.2</v>
      </c>
      <c r="M75" s="277" t="s">
        <v>1559</v>
      </c>
      <c r="N75" s="276" t="s">
        <v>1558</v>
      </c>
      <c r="O75" s="119">
        <f t="shared" si="2"/>
        <v>16044</v>
      </c>
      <c r="P75" s="143">
        <v>12033</v>
      </c>
      <c r="Q75" s="117">
        <v>45876</v>
      </c>
    </row>
    <row r="76" spans="1:17" ht="60" customHeight="1" x14ac:dyDescent="0.25">
      <c r="A76" s="182" t="s">
        <v>1916</v>
      </c>
      <c r="B76" s="268" t="s">
        <v>1478</v>
      </c>
      <c r="C76" s="283" t="s">
        <v>1915</v>
      </c>
      <c r="D76" s="267" t="s">
        <v>1820</v>
      </c>
      <c r="E76" s="252" t="s">
        <v>1819</v>
      </c>
      <c r="F76" s="303">
        <v>63829.5</v>
      </c>
      <c r="G76" s="280" t="s">
        <v>1563</v>
      </c>
      <c r="H76" s="282" t="s">
        <v>1562</v>
      </c>
      <c r="I76" s="299">
        <v>65744.39</v>
      </c>
      <c r="J76" s="280" t="s">
        <v>1561</v>
      </c>
      <c r="K76" s="279" t="s">
        <v>1560</v>
      </c>
      <c r="L76" s="302">
        <v>67020.98</v>
      </c>
      <c r="M76" s="277" t="s">
        <v>1559</v>
      </c>
      <c r="N76" s="276" t="s">
        <v>1558</v>
      </c>
      <c r="O76" s="119">
        <f t="shared" si="2"/>
        <v>63829.5</v>
      </c>
      <c r="P76" s="143">
        <v>47872</v>
      </c>
      <c r="Q76" s="117">
        <v>45876</v>
      </c>
    </row>
    <row r="77" spans="1:17" ht="60" customHeight="1" x14ac:dyDescent="0.25">
      <c r="A77" s="182" t="s">
        <v>1914</v>
      </c>
      <c r="B77" s="268" t="s">
        <v>1478</v>
      </c>
      <c r="C77" s="283" t="s">
        <v>1913</v>
      </c>
      <c r="D77" s="267" t="s">
        <v>1820</v>
      </c>
      <c r="E77" s="252" t="s">
        <v>1819</v>
      </c>
      <c r="F77" s="299">
        <v>55062</v>
      </c>
      <c r="G77" s="280" t="s">
        <v>1563</v>
      </c>
      <c r="H77" s="282" t="s">
        <v>1562</v>
      </c>
      <c r="I77" s="299">
        <v>56713.86</v>
      </c>
      <c r="J77" s="280" t="s">
        <v>1561</v>
      </c>
      <c r="K77" s="279" t="s">
        <v>1560</v>
      </c>
      <c r="L77" s="302">
        <v>57815.1</v>
      </c>
      <c r="M77" s="277" t="s">
        <v>1559</v>
      </c>
      <c r="N77" s="276" t="s">
        <v>1558</v>
      </c>
      <c r="O77" s="119">
        <f t="shared" si="2"/>
        <v>55062</v>
      </c>
      <c r="P77" s="143">
        <v>41297</v>
      </c>
      <c r="Q77" s="117">
        <v>45876</v>
      </c>
    </row>
    <row r="78" spans="1:17" ht="60" customHeight="1" x14ac:dyDescent="0.25">
      <c r="A78" s="182" t="s">
        <v>1912</v>
      </c>
      <c r="B78" s="268" t="s">
        <v>1478</v>
      </c>
      <c r="C78" s="283" t="s">
        <v>1911</v>
      </c>
      <c r="D78" s="267" t="s">
        <v>1820</v>
      </c>
      <c r="E78" s="252" t="s">
        <v>1819</v>
      </c>
      <c r="F78" s="299">
        <v>45087</v>
      </c>
      <c r="G78" s="280" t="s">
        <v>1563</v>
      </c>
      <c r="H78" s="282" t="s">
        <v>1562</v>
      </c>
      <c r="I78" s="299">
        <v>46439.61</v>
      </c>
      <c r="J78" s="280" t="s">
        <v>1561</v>
      </c>
      <c r="K78" s="279" t="s">
        <v>1560</v>
      </c>
      <c r="L78" s="302">
        <v>47341.35</v>
      </c>
      <c r="M78" s="277" t="s">
        <v>1559</v>
      </c>
      <c r="N78" s="276" t="s">
        <v>1558</v>
      </c>
      <c r="O78" s="119">
        <f t="shared" si="2"/>
        <v>45087</v>
      </c>
      <c r="P78" s="143">
        <v>33815</v>
      </c>
      <c r="Q78" s="117">
        <v>45876</v>
      </c>
    </row>
    <row r="79" spans="1:17" ht="60" customHeight="1" x14ac:dyDescent="0.25">
      <c r="A79" s="182" t="s">
        <v>1910</v>
      </c>
      <c r="B79" s="268" t="s">
        <v>1478</v>
      </c>
      <c r="C79" s="283" t="s">
        <v>1909</v>
      </c>
      <c r="D79" s="267" t="s">
        <v>1820</v>
      </c>
      <c r="E79" s="252" t="s">
        <v>1819</v>
      </c>
      <c r="F79" s="299">
        <v>63829.5</v>
      </c>
      <c r="G79" s="280" t="s">
        <v>1563</v>
      </c>
      <c r="H79" s="282" t="s">
        <v>1562</v>
      </c>
      <c r="I79" s="299">
        <v>65744.39</v>
      </c>
      <c r="J79" s="280" t="s">
        <v>1561</v>
      </c>
      <c r="K79" s="279" t="s">
        <v>1560</v>
      </c>
      <c r="L79" s="302">
        <v>67020.98</v>
      </c>
      <c r="M79" s="277" t="s">
        <v>1559</v>
      </c>
      <c r="N79" s="276" t="s">
        <v>1558</v>
      </c>
      <c r="O79" s="119">
        <f t="shared" si="2"/>
        <v>63829.5</v>
      </c>
      <c r="P79" s="143">
        <v>47872</v>
      </c>
      <c r="Q79" s="117">
        <v>45876</v>
      </c>
    </row>
    <row r="80" spans="1:17" ht="60" customHeight="1" x14ac:dyDescent="0.25">
      <c r="A80" s="182" t="s">
        <v>1908</v>
      </c>
      <c r="B80" s="268" t="s">
        <v>1478</v>
      </c>
      <c r="C80" s="283" t="s">
        <v>1907</v>
      </c>
      <c r="D80" s="267" t="s">
        <v>1820</v>
      </c>
      <c r="E80" s="252" t="s">
        <v>1819</v>
      </c>
      <c r="F80" s="299">
        <v>45087</v>
      </c>
      <c r="G80" s="280" t="s">
        <v>1563</v>
      </c>
      <c r="H80" s="282" t="s">
        <v>1562</v>
      </c>
      <c r="I80" s="299">
        <v>46439.61</v>
      </c>
      <c r="J80" s="280" t="s">
        <v>1561</v>
      </c>
      <c r="K80" s="279" t="s">
        <v>1560</v>
      </c>
      <c r="L80" s="302">
        <v>47341.35</v>
      </c>
      <c r="M80" s="277" t="s">
        <v>1559</v>
      </c>
      <c r="N80" s="276" t="s">
        <v>1558</v>
      </c>
      <c r="O80" s="119">
        <f t="shared" si="2"/>
        <v>45087</v>
      </c>
      <c r="P80" s="143">
        <v>33815</v>
      </c>
      <c r="Q80" s="117">
        <v>45876</v>
      </c>
    </row>
    <row r="81" spans="1:17" ht="60" customHeight="1" x14ac:dyDescent="0.25">
      <c r="A81" s="182" t="s">
        <v>1906</v>
      </c>
      <c r="B81" s="268" t="s">
        <v>1478</v>
      </c>
      <c r="C81" s="283" t="s">
        <v>1905</v>
      </c>
      <c r="D81" s="267" t="s">
        <v>1820</v>
      </c>
      <c r="E81" s="252" t="s">
        <v>1819</v>
      </c>
      <c r="F81" s="299">
        <v>45087</v>
      </c>
      <c r="G81" s="280" t="s">
        <v>1563</v>
      </c>
      <c r="H81" s="282" t="s">
        <v>1562</v>
      </c>
      <c r="I81" s="299">
        <v>46439.61</v>
      </c>
      <c r="J81" s="280" t="s">
        <v>1561</v>
      </c>
      <c r="K81" s="279" t="s">
        <v>1560</v>
      </c>
      <c r="L81" s="302">
        <v>47341.35</v>
      </c>
      <c r="M81" s="277" t="s">
        <v>1559</v>
      </c>
      <c r="N81" s="276" t="s">
        <v>1558</v>
      </c>
      <c r="O81" s="119">
        <f t="shared" si="2"/>
        <v>45087</v>
      </c>
      <c r="P81" s="143">
        <v>33815</v>
      </c>
      <c r="Q81" s="117">
        <v>45876</v>
      </c>
    </row>
    <row r="82" spans="1:17" ht="60" customHeight="1" x14ac:dyDescent="0.25">
      <c r="A82" s="182" t="s">
        <v>1904</v>
      </c>
      <c r="B82" s="268" t="s">
        <v>1478</v>
      </c>
      <c r="C82" s="283" t="s">
        <v>1903</v>
      </c>
      <c r="D82" s="267" t="s">
        <v>1820</v>
      </c>
      <c r="E82" s="252" t="s">
        <v>1819</v>
      </c>
      <c r="F82" s="299">
        <v>45087</v>
      </c>
      <c r="G82" s="280" t="s">
        <v>1563</v>
      </c>
      <c r="H82" s="282" t="s">
        <v>1562</v>
      </c>
      <c r="I82" s="299">
        <v>46439.61</v>
      </c>
      <c r="J82" s="280" t="s">
        <v>1561</v>
      </c>
      <c r="K82" s="279" t="s">
        <v>1560</v>
      </c>
      <c r="L82" s="302">
        <v>47341.35</v>
      </c>
      <c r="M82" s="277" t="s">
        <v>1559</v>
      </c>
      <c r="N82" s="276" t="s">
        <v>1558</v>
      </c>
      <c r="O82" s="119">
        <f t="shared" si="2"/>
        <v>45087</v>
      </c>
      <c r="P82" s="143">
        <v>33815</v>
      </c>
      <c r="Q82" s="117">
        <v>45876</v>
      </c>
    </row>
    <row r="83" spans="1:17" ht="60" customHeight="1" x14ac:dyDescent="0.25">
      <c r="A83" s="182" t="s">
        <v>1902</v>
      </c>
      <c r="B83" s="268" t="s">
        <v>1478</v>
      </c>
      <c r="C83" s="283" t="s">
        <v>1901</v>
      </c>
      <c r="D83" s="267" t="s">
        <v>1820</v>
      </c>
      <c r="E83" s="252" t="s">
        <v>1819</v>
      </c>
      <c r="F83" s="299">
        <v>55062</v>
      </c>
      <c r="G83" s="280" t="s">
        <v>1563</v>
      </c>
      <c r="H83" s="282" t="s">
        <v>1562</v>
      </c>
      <c r="I83" s="299">
        <v>56713.86</v>
      </c>
      <c r="J83" s="280" t="s">
        <v>1561</v>
      </c>
      <c r="K83" s="279" t="s">
        <v>1560</v>
      </c>
      <c r="L83" s="302">
        <v>57815.1</v>
      </c>
      <c r="M83" s="277" t="s">
        <v>1559</v>
      </c>
      <c r="N83" s="276" t="s">
        <v>1558</v>
      </c>
      <c r="O83" s="119">
        <f t="shared" si="2"/>
        <v>55062</v>
      </c>
      <c r="P83" s="143">
        <v>41297</v>
      </c>
      <c r="Q83" s="117">
        <v>45876</v>
      </c>
    </row>
    <row r="84" spans="1:17" ht="60" customHeight="1" x14ac:dyDescent="0.25">
      <c r="A84" s="182" t="s">
        <v>1900</v>
      </c>
      <c r="B84" s="268" t="s">
        <v>1478</v>
      </c>
      <c r="C84" s="283" t="s">
        <v>1899</v>
      </c>
      <c r="D84" s="267" t="s">
        <v>1820</v>
      </c>
      <c r="E84" s="252" t="s">
        <v>1819</v>
      </c>
      <c r="F84" s="299">
        <v>55062</v>
      </c>
      <c r="G84" s="280" t="s">
        <v>1563</v>
      </c>
      <c r="H84" s="282" t="s">
        <v>1562</v>
      </c>
      <c r="I84" s="299">
        <v>56713.86</v>
      </c>
      <c r="J84" s="280" t="s">
        <v>1561</v>
      </c>
      <c r="K84" s="279" t="s">
        <v>1560</v>
      </c>
      <c r="L84" s="302">
        <v>57815.1</v>
      </c>
      <c r="M84" s="277" t="s">
        <v>1559</v>
      </c>
      <c r="N84" s="276" t="s">
        <v>1558</v>
      </c>
      <c r="O84" s="119">
        <f t="shared" si="2"/>
        <v>55062</v>
      </c>
      <c r="P84" s="143">
        <v>41297</v>
      </c>
      <c r="Q84" s="117">
        <v>45876</v>
      </c>
    </row>
    <row r="85" spans="1:17" ht="60" customHeight="1" x14ac:dyDescent="0.25">
      <c r="A85" s="182" t="s">
        <v>1898</v>
      </c>
      <c r="B85" s="268" t="s">
        <v>1478</v>
      </c>
      <c r="C85" s="283" t="s">
        <v>1897</v>
      </c>
      <c r="D85" s="267" t="s">
        <v>1820</v>
      </c>
      <c r="E85" s="252" t="s">
        <v>1819</v>
      </c>
      <c r="F85" s="299">
        <v>55062</v>
      </c>
      <c r="G85" s="280" t="s">
        <v>1563</v>
      </c>
      <c r="H85" s="282" t="s">
        <v>1562</v>
      </c>
      <c r="I85" s="299">
        <v>56713.86</v>
      </c>
      <c r="J85" s="280" t="s">
        <v>1561</v>
      </c>
      <c r="K85" s="279" t="s">
        <v>1560</v>
      </c>
      <c r="L85" s="302">
        <v>57815.1</v>
      </c>
      <c r="M85" s="277" t="s">
        <v>1559</v>
      </c>
      <c r="N85" s="276" t="s">
        <v>1558</v>
      </c>
      <c r="O85" s="119">
        <f t="shared" si="2"/>
        <v>55062</v>
      </c>
      <c r="P85" s="143">
        <v>41297</v>
      </c>
      <c r="Q85" s="117">
        <v>45876</v>
      </c>
    </row>
    <row r="86" spans="1:17" ht="60" customHeight="1" x14ac:dyDescent="0.25">
      <c r="A86" s="182" t="s">
        <v>1896</v>
      </c>
      <c r="B86" s="268" t="s">
        <v>1478</v>
      </c>
      <c r="C86" s="283" t="s">
        <v>1895</v>
      </c>
      <c r="D86" s="267" t="s">
        <v>1820</v>
      </c>
      <c r="E86" s="252" t="s">
        <v>1819</v>
      </c>
      <c r="F86" s="299">
        <v>55062</v>
      </c>
      <c r="G86" s="280" t="s">
        <v>1563</v>
      </c>
      <c r="H86" s="282" t="s">
        <v>1562</v>
      </c>
      <c r="I86" s="299">
        <v>56713.86</v>
      </c>
      <c r="J86" s="280" t="s">
        <v>1561</v>
      </c>
      <c r="K86" s="279" t="s">
        <v>1560</v>
      </c>
      <c r="L86" s="302">
        <v>57815.1</v>
      </c>
      <c r="M86" s="277" t="s">
        <v>1559</v>
      </c>
      <c r="N86" s="276" t="s">
        <v>1558</v>
      </c>
      <c r="O86" s="119">
        <f t="shared" si="2"/>
        <v>55062</v>
      </c>
      <c r="P86" s="143">
        <v>41297</v>
      </c>
      <c r="Q86" s="117">
        <v>45876</v>
      </c>
    </row>
    <row r="87" spans="1:17" ht="60" customHeight="1" x14ac:dyDescent="0.25">
      <c r="A87" s="182" t="s">
        <v>1894</v>
      </c>
      <c r="B87" s="268" t="s">
        <v>1478</v>
      </c>
      <c r="C87" s="283" t="s">
        <v>1893</v>
      </c>
      <c r="D87" s="267" t="s">
        <v>1820</v>
      </c>
      <c r="E87" s="252" t="s">
        <v>1819</v>
      </c>
      <c r="F87" s="299">
        <v>63829.5</v>
      </c>
      <c r="G87" s="280" t="s">
        <v>1563</v>
      </c>
      <c r="H87" s="282" t="s">
        <v>1562</v>
      </c>
      <c r="I87" s="299">
        <v>65744.39</v>
      </c>
      <c r="J87" s="280" t="s">
        <v>1561</v>
      </c>
      <c r="K87" s="279" t="s">
        <v>1560</v>
      </c>
      <c r="L87" s="302">
        <v>67020.98</v>
      </c>
      <c r="M87" s="277" t="s">
        <v>1559</v>
      </c>
      <c r="N87" s="276" t="s">
        <v>1558</v>
      </c>
      <c r="O87" s="119">
        <f t="shared" si="2"/>
        <v>63829.5</v>
      </c>
      <c r="P87" s="143">
        <v>47872</v>
      </c>
      <c r="Q87" s="117">
        <v>45876</v>
      </c>
    </row>
    <row r="88" spans="1:17" ht="60" customHeight="1" x14ac:dyDescent="0.25">
      <c r="A88" s="182" t="s">
        <v>1892</v>
      </c>
      <c r="B88" s="268" t="s">
        <v>1478</v>
      </c>
      <c r="C88" s="283" t="s">
        <v>1891</v>
      </c>
      <c r="D88" s="267" t="s">
        <v>1820</v>
      </c>
      <c r="E88" s="252" t="s">
        <v>1819</v>
      </c>
      <c r="F88" s="299">
        <v>63829.5</v>
      </c>
      <c r="G88" s="280" t="s">
        <v>1563</v>
      </c>
      <c r="H88" s="282" t="s">
        <v>1562</v>
      </c>
      <c r="I88" s="299">
        <v>65744.39</v>
      </c>
      <c r="J88" s="280" t="s">
        <v>1561</v>
      </c>
      <c r="K88" s="279" t="s">
        <v>1560</v>
      </c>
      <c r="L88" s="302">
        <v>67020.98</v>
      </c>
      <c r="M88" s="277" t="s">
        <v>1559</v>
      </c>
      <c r="N88" s="276" t="s">
        <v>1558</v>
      </c>
      <c r="O88" s="119">
        <f t="shared" si="2"/>
        <v>63829.5</v>
      </c>
      <c r="P88" s="143">
        <v>47872</v>
      </c>
      <c r="Q88" s="117">
        <v>45876</v>
      </c>
    </row>
    <row r="89" spans="1:17" ht="60" customHeight="1" x14ac:dyDescent="0.25">
      <c r="A89" s="182" t="s">
        <v>1890</v>
      </c>
      <c r="B89" s="268" t="s">
        <v>1478</v>
      </c>
      <c r="C89" s="283" t="s">
        <v>1889</v>
      </c>
      <c r="D89" s="267" t="s">
        <v>1820</v>
      </c>
      <c r="E89" s="252" t="s">
        <v>1819</v>
      </c>
      <c r="F89" s="299">
        <v>63829.5</v>
      </c>
      <c r="G89" s="280" t="s">
        <v>1563</v>
      </c>
      <c r="H89" s="282" t="s">
        <v>1562</v>
      </c>
      <c r="I89" s="299">
        <v>65744.39</v>
      </c>
      <c r="J89" s="280" t="s">
        <v>1561</v>
      </c>
      <c r="K89" s="279" t="s">
        <v>1560</v>
      </c>
      <c r="L89" s="302">
        <v>67020.98</v>
      </c>
      <c r="M89" s="277" t="s">
        <v>1559</v>
      </c>
      <c r="N89" s="276" t="s">
        <v>1558</v>
      </c>
      <c r="O89" s="119">
        <f t="shared" si="2"/>
        <v>63829.5</v>
      </c>
      <c r="P89" s="143">
        <v>47872</v>
      </c>
      <c r="Q89" s="117">
        <v>45876</v>
      </c>
    </row>
    <row r="90" spans="1:17" ht="60" customHeight="1" x14ac:dyDescent="0.25">
      <c r="A90" s="182" t="s">
        <v>1888</v>
      </c>
      <c r="B90" s="268" t="s">
        <v>1478</v>
      </c>
      <c r="C90" s="283" t="s">
        <v>1887</v>
      </c>
      <c r="D90" s="267" t="s">
        <v>1820</v>
      </c>
      <c r="E90" s="252" t="s">
        <v>1819</v>
      </c>
      <c r="F90" s="299">
        <v>63829.5</v>
      </c>
      <c r="G90" s="280" t="s">
        <v>1563</v>
      </c>
      <c r="H90" s="282" t="s">
        <v>1562</v>
      </c>
      <c r="I90" s="299">
        <v>65744.39</v>
      </c>
      <c r="J90" s="280" t="s">
        <v>1561</v>
      </c>
      <c r="K90" s="279" t="s">
        <v>1560</v>
      </c>
      <c r="L90" s="302">
        <v>67020.98</v>
      </c>
      <c r="M90" s="277" t="s">
        <v>1559</v>
      </c>
      <c r="N90" s="276" t="s">
        <v>1558</v>
      </c>
      <c r="O90" s="119">
        <f t="shared" si="2"/>
        <v>63829.5</v>
      </c>
      <c r="P90" s="143">
        <v>47872</v>
      </c>
      <c r="Q90" s="117">
        <v>45876</v>
      </c>
    </row>
    <row r="91" spans="1:17" ht="60" customHeight="1" x14ac:dyDescent="0.25">
      <c r="A91" s="182" t="s">
        <v>1886</v>
      </c>
      <c r="B91" s="268" t="s">
        <v>1478</v>
      </c>
      <c r="C91" s="283" t="s">
        <v>1885</v>
      </c>
      <c r="D91" s="267" t="s">
        <v>1820</v>
      </c>
      <c r="E91" s="252" t="s">
        <v>1819</v>
      </c>
      <c r="F91" s="299">
        <v>63829.5</v>
      </c>
      <c r="G91" s="280" t="s">
        <v>1563</v>
      </c>
      <c r="H91" s="282" t="s">
        <v>1562</v>
      </c>
      <c r="I91" s="299">
        <v>65744.39</v>
      </c>
      <c r="J91" s="280" t="s">
        <v>1561</v>
      </c>
      <c r="K91" s="279" t="s">
        <v>1560</v>
      </c>
      <c r="L91" s="302">
        <v>67020.98</v>
      </c>
      <c r="M91" s="277" t="s">
        <v>1559</v>
      </c>
      <c r="N91" s="276" t="s">
        <v>1558</v>
      </c>
      <c r="O91" s="119">
        <f t="shared" ref="O91:O123" si="3">MIN(F91,I91,L91)</f>
        <v>63829.5</v>
      </c>
      <c r="P91" s="143">
        <v>47872</v>
      </c>
      <c r="Q91" s="117">
        <v>45876</v>
      </c>
    </row>
    <row r="92" spans="1:17" ht="60" customHeight="1" x14ac:dyDescent="0.25">
      <c r="A92" s="182" t="s">
        <v>1884</v>
      </c>
      <c r="B92" s="268" t="s">
        <v>1478</v>
      </c>
      <c r="C92" s="283" t="s">
        <v>1883</v>
      </c>
      <c r="D92" s="267" t="s">
        <v>1820</v>
      </c>
      <c r="E92" s="252" t="s">
        <v>1819</v>
      </c>
      <c r="F92" s="299">
        <v>379375.5</v>
      </c>
      <c r="G92" s="280" t="s">
        <v>1563</v>
      </c>
      <c r="H92" s="282" t="s">
        <v>1562</v>
      </c>
      <c r="I92" s="299">
        <v>390756.77</v>
      </c>
      <c r="J92" s="280" t="s">
        <v>1561</v>
      </c>
      <c r="K92" s="279" t="s">
        <v>1560</v>
      </c>
      <c r="L92" s="302">
        <v>398344.28</v>
      </c>
      <c r="M92" s="277" t="s">
        <v>1559</v>
      </c>
      <c r="N92" s="276" t="s">
        <v>1558</v>
      </c>
      <c r="O92" s="119">
        <f t="shared" si="3"/>
        <v>379375.5</v>
      </c>
      <c r="P92" s="143">
        <v>303500</v>
      </c>
      <c r="Q92" s="117">
        <v>45876</v>
      </c>
    </row>
    <row r="93" spans="1:17" ht="60" customHeight="1" x14ac:dyDescent="0.25">
      <c r="A93" s="182" t="s">
        <v>1882</v>
      </c>
      <c r="B93" s="268" t="s">
        <v>1478</v>
      </c>
      <c r="C93" s="283" t="s">
        <v>1881</v>
      </c>
      <c r="D93" s="267" t="s">
        <v>1820</v>
      </c>
      <c r="E93" s="252" t="s">
        <v>1819</v>
      </c>
      <c r="F93" s="299">
        <v>45087</v>
      </c>
      <c r="G93" s="280" t="s">
        <v>1563</v>
      </c>
      <c r="H93" s="282" t="s">
        <v>1562</v>
      </c>
      <c r="I93" s="299">
        <v>46439.61</v>
      </c>
      <c r="J93" s="280" t="s">
        <v>1561</v>
      </c>
      <c r="K93" s="279" t="s">
        <v>1560</v>
      </c>
      <c r="L93" s="302">
        <v>47341.35</v>
      </c>
      <c r="M93" s="277" t="s">
        <v>1559</v>
      </c>
      <c r="N93" s="276" t="s">
        <v>1558</v>
      </c>
      <c r="O93" s="119">
        <f t="shared" si="3"/>
        <v>45087</v>
      </c>
      <c r="P93" s="143">
        <v>33815</v>
      </c>
      <c r="Q93" s="117">
        <v>45876</v>
      </c>
    </row>
    <row r="94" spans="1:17" ht="60" customHeight="1" x14ac:dyDescent="0.25">
      <c r="A94" s="182" t="s">
        <v>1880</v>
      </c>
      <c r="B94" s="268" t="s">
        <v>1478</v>
      </c>
      <c r="C94" s="283" t="s">
        <v>1879</v>
      </c>
      <c r="D94" s="267" t="s">
        <v>1820</v>
      </c>
      <c r="E94" s="252" t="s">
        <v>1819</v>
      </c>
      <c r="F94" s="299">
        <v>45087</v>
      </c>
      <c r="G94" s="280" t="s">
        <v>1563</v>
      </c>
      <c r="H94" s="282" t="s">
        <v>1562</v>
      </c>
      <c r="I94" s="299">
        <v>46439.61</v>
      </c>
      <c r="J94" s="280" t="s">
        <v>1561</v>
      </c>
      <c r="K94" s="279" t="s">
        <v>1560</v>
      </c>
      <c r="L94" s="302">
        <v>47341.35</v>
      </c>
      <c r="M94" s="277" t="s">
        <v>1559</v>
      </c>
      <c r="N94" s="276" t="s">
        <v>1558</v>
      </c>
      <c r="O94" s="119">
        <f t="shared" si="3"/>
        <v>45087</v>
      </c>
      <c r="P94" s="143">
        <v>33815</v>
      </c>
      <c r="Q94" s="117">
        <v>45876</v>
      </c>
    </row>
    <row r="95" spans="1:17" ht="60" customHeight="1" x14ac:dyDescent="0.25">
      <c r="A95" s="182" t="s">
        <v>1878</v>
      </c>
      <c r="B95" s="268" t="s">
        <v>1478</v>
      </c>
      <c r="C95" s="283" t="s">
        <v>1877</v>
      </c>
      <c r="D95" s="267" t="s">
        <v>1820</v>
      </c>
      <c r="E95" s="252" t="s">
        <v>1819</v>
      </c>
      <c r="F95" s="299">
        <v>55062</v>
      </c>
      <c r="G95" s="280" t="s">
        <v>1563</v>
      </c>
      <c r="H95" s="282" t="s">
        <v>1562</v>
      </c>
      <c r="I95" s="299">
        <v>56713.86</v>
      </c>
      <c r="J95" s="280" t="s">
        <v>1561</v>
      </c>
      <c r="K95" s="279" t="s">
        <v>1560</v>
      </c>
      <c r="L95" s="302">
        <v>57815.1</v>
      </c>
      <c r="M95" s="277" t="s">
        <v>1559</v>
      </c>
      <c r="N95" s="276" t="s">
        <v>1558</v>
      </c>
      <c r="O95" s="119">
        <f t="shared" si="3"/>
        <v>55062</v>
      </c>
      <c r="P95" s="143">
        <v>41297</v>
      </c>
      <c r="Q95" s="117">
        <v>45876</v>
      </c>
    </row>
    <row r="96" spans="1:17" ht="60" customHeight="1" x14ac:dyDescent="0.25">
      <c r="A96" s="182" t="s">
        <v>1876</v>
      </c>
      <c r="B96" s="268" t="s">
        <v>1478</v>
      </c>
      <c r="C96" s="283" t="s">
        <v>1875</v>
      </c>
      <c r="D96" s="267" t="s">
        <v>1820</v>
      </c>
      <c r="E96" s="252" t="s">
        <v>1819</v>
      </c>
      <c r="F96" s="299">
        <v>48121.5</v>
      </c>
      <c r="G96" s="280" t="s">
        <v>1563</v>
      </c>
      <c r="H96" s="282" t="s">
        <v>1562</v>
      </c>
      <c r="I96" s="299">
        <v>49565.15</v>
      </c>
      <c r="J96" s="280" t="s">
        <v>1561</v>
      </c>
      <c r="K96" s="279" t="s">
        <v>1560</v>
      </c>
      <c r="L96" s="302">
        <v>50527.58</v>
      </c>
      <c r="M96" s="277" t="s">
        <v>1559</v>
      </c>
      <c r="N96" s="276" t="s">
        <v>1558</v>
      </c>
      <c r="O96" s="119">
        <f t="shared" si="3"/>
        <v>48121.5</v>
      </c>
      <c r="P96" s="143">
        <v>36091</v>
      </c>
      <c r="Q96" s="117">
        <v>45876</v>
      </c>
    </row>
    <row r="97" spans="1:17" ht="60" customHeight="1" x14ac:dyDescent="0.25">
      <c r="A97" s="182" t="s">
        <v>1874</v>
      </c>
      <c r="B97" s="268" t="s">
        <v>1478</v>
      </c>
      <c r="C97" s="283" t="s">
        <v>1873</v>
      </c>
      <c r="D97" s="267" t="s">
        <v>1820</v>
      </c>
      <c r="E97" s="252" t="s">
        <v>1819</v>
      </c>
      <c r="F97" s="299">
        <v>267771</v>
      </c>
      <c r="G97" s="280" t="s">
        <v>1563</v>
      </c>
      <c r="H97" s="282" t="s">
        <v>1562</v>
      </c>
      <c r="I97" s="299">
        <v>275804.13</v>
      </c>
      <c r="J97" s="280" t="s">
        <v>1561</v>
      </c>
      <c r="K97" s="279" t="s">
        <v>1560</v>
      </c>
      <c r="L97" s="302">
        <v>281159.55</v>
      </c>
      <c r="M97" s="277" t="s">
        <v>1559</v>
      </c>
      <c r="N97" s="276" t="s">
        <v>1558</v>
      </c>
      <c r="O97" s="119">
        <f t="shared" si="3"/>
        <v>267771</v>
      </c>
      <c r="P97" s="143">
        <v>214217</v>
      </c>
      <c r="Q97" s="117">
        <v>45876</v>
      </c>
    </row>
    <row r="98" spans="1:17" ht="72.75" customHeight="1" x14ac:dyDescent="0.25">
      <c r="A98" s="182" t="s">
        <v>1872</v>
      </c>
      <c r="B98" s="268" t="s">
        <v>1478</v>
      </c>
      <c r="C98" s="283" t="s">
        <v>1871</v>
      </c>
      <c r="D98" s="267" t="s">
        <v>1820</v>
      </c>
      <c r="E98" s="252" t="s">
        <v>1819</v>
      </c>
      <c r="F98" s="299">
        <v>63829.5</v>
      </c>
      <c r="G98" s="280" t="s">
        <v>1563</v>
      </c>
      <c r="H98" s="282" t="s">
        <v>1562</v>
      </c>
      <c r="I98" s="299">
        <v>65744.39</v>
      </c>
      <c r="J98" s="280" t="s">
        <v>1561</v>
      </c>
      <c r="K98" s="279" t="s">
        <v>1560</v>
      </c>
      <c r="L98" s="302">
        <v>67020.98</v>
      </c>
      <c r="M98" s="277" t="s">
        <v>1559</v>
      </c>
      <c r="N98" s="276" t="s">
        <v>1558</v>
      </c>
      <c r="O98" s="119">
        <f t="shared" si="3"/>
        <v>63829.5</v>
      </c>
      <c r="P98" s="143">
        <v>47872</v>
      </c>
      <c r="Q98" s="117">
        <v>45876</v>
      </c>
    </row>
    <row r="99" spans="1:17" ht="69.75" customHeight="1" x14ac:dyDescent="0.25">
      <c r="A99" s="182" t="s">
        <v>1870</v>
      </c>
      <c r="B99" s="268" t="s">
        <v>1478</v>
      </c>
      <c r="C99" s="283" t="s">
        <v>1869</v>
      </c>
      <c r="D99" s="267" t="s">
        <v>1820</v>
      </c>
      <c r="E99" s="252" t="s">
        <v>1819</v>
      </c>
      <c r="F99" s="299">
        <v>55062</v>
      </c>
      <c r="G99" s="280" t="s">
        <v>1563</v>
      </c>
      <c r="H99" s="282" t="s">
        <v>1562</v>
      </c>
      <c r="I99" s="299">
        <v>56713.86</v>
      </c>
      <c r="J99" s="280" t="s">
        <v>1561</v>
      </c>
      <c r="K99" s="279" t="s">
        <v>1560</v>
      </c>
      <c r="L99" s="302">
        <v>57815.1</v>
      </c>
      <c r="M99" s="277" t="s">
        <v>1559</v>
      </c>
      <c r="N99" s="276" t="s">
        <v>1558</v>
      </c>
      <c r="O99" s="119">
        <f t="shared" si="3"/>
        <v>55062</v>
      </c>
      <c r="P99" s="143">
        <v>41297</v>
      </c>
      <c r="Q99" s="117">
        <v>45876</v>
      </c>
    </row>
    <row r="100" spans="1:17" ht="74.25" customHeight="1" x14ac:dyDescent="0.25">
      <c r="A100" s="182" t="s">
        <v>1868</v>
      </c>
      <c r="B100" s="268" t="s">
        <v>1478</v>
      </c>
      <c r="C100" s="283" t="s">
        <v>1867</v>
      </c>
      <c r="D100" s="267" t="s">
        <v>1820</v>
      </c>
      <c r="E100" s="252" t="s">
        <v>1819</v>
      </c>
      <c r="F100" s="299">
        <v>55062</v>
      </c>
      <c r="G100" s="280" t="s">
        <v>1563</v>
      </c>
      <c r="H100" s="282" t="s">
        <v>1562</v>
      </c>
      <c r="I100" s="299">
        <v>56713.86</v>
      </c>
      <c r="J100" s="280" t="s">
        <v>1561</v>
      </c>
      <c r="K100" s="279" t="s">
        <v>1560</v>
      </c>
      <c r="L100" s="302">
        <v>57815.1</v>
      </c>
      <c r="M100" s="277" t="s">
        <v>1559</v>
      </c>
      <c r="N100" s="276" t="s">
        <v>1558</v>
      </c>
      <c r="O100" s="119">
        <f t="shared" si="3"/>
        <v>55062</v>
      </c>
      <c r="P100" s="143">
        <v>41297</v>
      </c>
      <c r="Q100" s="117">
        <v>45876</v>
      </c>
    </row>
    <row r="101" spans="1:17" ht="83.25" customHeight="1" x14ac:dyDescent="0.25">
      <c r="A101" s="182" t="s">
        <v>1866</v>
      </c>
      <c r="B101" s="268" t="s">
        <v>1478</v>
      </c>
      <c r="C101" s="283" t="s">
        <v>1865</v>
      </c>
      <c r="D101" s="267" t="s">
        <v>1820</v>
      </c>
      <c r="E101" s="252" t="s">
        <v>1819</v>
      </c>
      <c r="F101" s="299">
        <v>595224</v>
      </c>
      <c r="G101" s="280" t="s">
        <v>1563</v>
      </c>
      <c r="H101" s="282" t="s">
        <v>1562</v>
      </c>
      <c r="I101" s="300">
        <v>613080.72</v>
      </c>
      <c r="J101" s="280" t="s">
        <v>1561</v>
      </c>
      <c r="K101" s="279" t="s">
        <v>1560</v>
      </c>
      <c r="L101" s="301">
        <v>624985.19999999995</v>
      </c>
      <c r="M101" s="277" t="s">
        <v>1559</v>
      </c>
      <c r="N101" s="276" t="s">
        <v>1558</v>
      </c>
      <c r="O101" s="119">
        <f t="shared" si="3"/>
        <v>595224</v>
      </c>
      <c r="P101" s="143">
        <v>476179</v>
      </c>
      <c r="Q101" s="117">
        <v>45876</v>
      </c>
    </row>
    <row r="102" spans="1:17" ht="78" customHeight="1" x14ac:dyDescent="0.25">
      <c r="A102" s="182" t="s">
        <v>1864</v>
      </c>
      <c r="B102" s="268" t="s">
        <v>1478</v>
      </c>
      <c r="C102" s="283" t="s">
        <v>1863</v>
      </c>
      <c r="D102" s="267" t="s">
        <v>1820</v>
      </c>
      <c r="E102" s="252" t="s">
        <v>1819</v>
      </c>
      <c r="F102" s="299">
        <v>595224</v>
      </c>
      <c r="G102" s="280" t="s">
        <v>1563</v>
      </c>
      <c r="H102" s="282" t="s">
        <v>1562</v>
      </c>
      <c r="I102" s="300">
        <v>613080.72</v>
      </c>
      <c r="J102" s="280" t="s">
        <v>1561</v>
      </c>
      <c r="K102" s="279" t="s">
        <v>1560</v>
      </c>
      <c r="L102" s="289">
        <v>624985.19999999995</v>
      </c>
      <c r="M102" s="277" t="s">
        <v>1559</v>
      </c>
      <c r="N102" s="276" t="s">
        <v>1558</v>
      </c>
      <c r="O102" s="119">
        <f t="shared" si="3"/>
        <v>595224</v>
      </c>
      <c r="P102" s="143">
        <v>476179</v>
      </c>
      <c r="Q102" s="117">
        <v>45876</v>
      </c>
    </row>
    <row r="103" spans="1:17" ht="63" customHeight="1" x14ac:dyDescent="0.25">
      <c r="A103" s="182" t="s">
        <v>1862</v>
      </c>
      <c r="B103" s="268" t="s">
        <v>1478</v>
      </c>
      <c r="C103" s="283" t="s">
        <v>1861</v>
      </c>
      <c r="D103" s="267" t="s">
        <v>1820</v>
      </c>
      <c r="E103" s="252" t="s">
        <v>1819</v>
      </c>
      <c r="F103" s="299">
        <v>45087</v>
      </c>
      <c r="G103" s="280" t="s">
        <v>1563</v>
      </c>
      <c r="H103" s="282" t="s">
        <v>1562</v>
      </c>
      <c r="I103" s="289">
        <v>46439.61</v>
      </c>
      <c r="J103" s="280" t="s">
        <v>1561</v>
      </c>
      <c r="K103" s="279" t="s">
        <v>1560</v>
      </c>
      <c r="L103" s="289">
        <v>47341.35</v>
      </c>
      <c r="M103" s="277" t="s">
        <v>1559</v>
      </c>
      <c r="N103" s="276" t="s">
        <v>1558</v>
      </c>
      <c r="O103" s="119">
        <f t="shared" si="3"/>
        <v>45087</v>
      </c>
      <c r="P103" s="143">
        <v>33815</v>
      </c>
      <c r="Q103" s="117">
        <v>45876</v>
      </c>
    </row>
    <row r="104" spans="1:17" ht="76.5" customHeight="1" x14ac:dyDescent="0.25">
      <c r="A104" s="182" t="s">
        <v>1860</v>
      </c>
      <c r="B104" s="268" t="s">
        <v>1478</v>
      </c>
      <c r="C104" s="283" t="s">
        <v>1859</v>
      </c>
      <c r="D104" s="267" t="s">
        <v>1820</v>
      </c>
      <c r="E104" s="252" t="s">
        <v>1819</v>
      </c>
      <c r="F104" s="299">
        <v>379375.5</v>
      </c>
      <c r="G104" s="280" t="s">
        <v>1563</v>
      </c>
      <c r="H104" s="282" t="s">
        <v>1562</v>
      </c>
      <c r="I104" s="281">
        <v>390756.77</v>
      </c>
      <c r="J104" s="280" t="s">
        <v>1561</v>
      </c>
      <c r="K104" s="279" t="s">
        <v>1560</v>
      </c>
      <c r="L104" s="289">
        <v>398344.28</v>
      </c>
      <c r="M104" s="277" t="s">
        <v>1559</v>
      </c>
      <c r="N104" s="276" t="s">
        <v>1558</v>
      </c>
      <c r="O104" s="119">
        <f t="shared" si="3"/>
        <v>379375.5</v>
      </c>
      <c r="P104" s="143">
        <v>303500</v>
      </c>
      <c r="Q104" s="117">
        <v>45876</v>
      </c>
    </row>
    <row r="105" spans="1:17" ht="82.5" customHeight="1" x14ac:dyDescent="0.25">
      <c r="A105" s="182" t="s">
        <v>1858</v>
      </c>
      <c r="B105" s="268" t="s">
        <v>1478</v>
      </c>
      <c r="C105" s="283" t="s">
        <v>1857</v>
      </c>
      <c r="D105" s="267" t="s">
        <v>1820</v>
      </c>
      <c r="E105" s="252" t="s">
        <v>1819</v>
      </c>
      <c r="F105" s="299">
        <v>415170</v>
      </c>
      <c r="G105" s="280" t="s">
        <v>1563</v>
      </c>
      <c r="H105" s="282" t="s">
        <v>1562</v>
      </c>
      <c r="I105" s="289">
        <v>427625.1</v>
      </c>
      <c r="J105" s="280" t="s">
        <v>1561</v>
      </c>
      <c r="K105" s="279" t="s">
        <v>1560</v>
      </c>
      <c r="L105" s="289">
        <v>435928.5</v>
      </c>
      <c r="M105" s="277" t="s">
        <v>1559</v>
      </c>
      <c r="N105" s="276" t="s">
        <v>1558</v>
      </c>
      <c r="O105" s="119">
        <f t="shared" si="3"/>
        <v>415170</v>
      </c>
      <c r="P105" s="143">
        <v>332136</v>
      </c>
      <c r="Q105" s="117">
        <v>45876</v>
      </c>
    </row>
    <row r="106" spans="1:17" ht="72" customHeight="1" x14ac:dyDescent="0.25">
      <c r="A106" s="182" t="s">
        <v>1856</v>
      </c>
      <c r="B106" s="268" t="s">
        <v>1478</v>
      </c>
      <c r="C106" s="283" t="s">
        <v>1855</v>
      </c>
      <c r="D106" s="267" t="s">
        <v>1820</v>
      </c>
      <c r="E106" s="252" t="s">
        <v>1819</v>
      </c>
      <c r="F106" s="299">
        <v>45087</v>
      </c>
      <c r="G106" s="280" t="s">
        <v>1563</v>
      </c>
      <c r="H106" s="282" t="s">
        <v>1562</v>
      </c>
      <c r="I106" s="289">
        <v>46439.61</v>
      </c>
      <c r="J106" s="280" t="s">
        <v>1561</v>
      </c>
      <c r="K106" s="279" t="s">
        <v>1560</v>
      </c>
      <c r="L106" s="289">
        <v>47341.35</v>
      </c>
      <c r="M106" s="277" t="s">
        <v>1559</v>
      </c>
      <c r="N106" s="276" t="s">
        <v>1558</v>
      </c>
      <c r="O106" s="119">
        <f t="shared" si="3"/>
        <v>45087</v>
      </c>
      <c r="P106" s="143">
        <v>33815</v>
      </c>
      <c r="Q106" s="117">
        <v>45876</v>
      </c>
    </row>
    <row r="107" spans="1:17" ht="81.75" customHeight="1" x14ac:dyDescent="0.25">
      <c r="A107" s="182" t="s">
        <v>1854</v>
      </c>
      <c r="B107" s="268" t="s">
        <v>1478</v>
      </c>
      <c r="C107" s="283" t="s">
        <v>1853</v>
      </c>
      <c r="D107" s="267" t="s">
        <v>1820</v>
      </c>
      <c r="E107" s="252" t="s">
        <v>1819</v>
      </c>
      <c r="F107" s="299">
        <v>55062</v>
      </c>
      <c r="G107" s="280" t="s">
        <v>1563</v>
      </c>
      <c r="H107" s="282" t="s">
        <v>1562</v>
      </c>
      <c r="I107" s="289">
        <v>56713.86</v>
      </c>
      <c r="J107" s="280" t="s">
        <v>1561</v>
      </c>
      <c r="K107" s="279" t="s">
        <v>1560</v>
      </c>
      <c r="L107" s="289">
        <v>57815.1</v>
      </c>
      <c r="M107" s="277" t="s">
        <v>1559</v>
      </c>
      <c r="N107" s="276" t="s">
        <v>1558</v>
      </c>
      <c r="O107" s="119">
        <f t="shared" si="3"/>
        <v>55062</v>
      </c>
      <c r="P107" s="143">
        <v>41297</v>
      </c>
      <c r="Q107" s="117">
        <v>45876</v>
      </c>
    </row>
    <row r="108" spans="1:17" ht="78.75" customHeight="1" x14ac:dyDescent="0.25">
      <c r="A108" s="182" t="s">
        <v>1852</v>
      </c>
      <c r="B108" s="268" t="s">
        <v>1478</v>
      </c>
      <c r="C108" s="283" t="s">
        <v>1851</v>
      </c>
      <c r="D108" s="267" t="s">
        <v>1820</v>
      </c>
      <c r="E108" s="252" t="s">
        <v>1819</v>
      </c>
      <c r="F108" s="299">
        <v>45087</v>
      </c>
      <c r="G108" s="280" t="s">
        <v>1563</v>
      </c>
      <c r="H108" s="282" t="s">
        <v>1562</v>
      </c>
      <c r="I108" s="289">
        <v>46439.61</v>
      </c>
      <c r="J108" s="280" t="s">
        <v>1561</v>
      </c>
      <c r="K108" s="279" t="s">
        <v>1560</v>
      </c>
      <c r="L108" s="289">
        <v>47341.35</v>
      </c>
      <c r="M108" s="277" t="s">
        <v>1559</v>
      </c>
      <c r="N108" s="276" t="s">
        <v>1558</v>
      </c>
      <c r="O108" s="119">
        <f t="shared" si="3"/>
        <v>45087</v>
      </c>
      <c r="P108" s="143">
        <v>33815</v>
      </c>
      <c r="Q108" s="117">
        <v>45876</v>
      </c>
    </row>
    <row r="109" spans="1:17" ht="69.75" customHeight="1" x14ac:dyDescent="0.25">
      <c r="A109" s="182" t="s">
        <v>1850</v>
      </c>
      <c r="B109" s="268" t="s">
        <v>1478</v>
      </c>
      <c r="C109" s="283" t="s">
        <v>1849</v>
      </c>
      <c r="D109" s="267" t="s">
        <v>1820</v>
      </c>
      <c r="E109" s="252" t="s">
        <v>1819</v>
      </c>
      <c r="F109" s="299">
        <v>55062</v>
      </c>
      <c r="G109" s="280" t="s">
        <v>1563</v>
      </c>
      <c r="H109" s="282" t="s">
        <v>1562</v>
      </c>
      <c r="I109" s="289">
        <v>56713.86</v>
      </c>
      <c r="J109" s="280" t="s">
        <v>1561</v>
      </c>
      <c r="K109" s="279" t="s">
        <v>1560</v>
      </c>
      <c r="L109" s="289">
        <v>57815.1</v>
      </c>
      <c r="M109" s="277" t="s">
        <v>1559</v>
      </c>
      <c r="N109" s="276" t="s">
        <v>1558</v>
      </c>
      <c r="O109" s="119">
        <f t="shared" si="3"/>
        <v>55062</v>
      </c>
      <c r="P109" s="143">
        <v>41297</v>
      </c>
      <c r="Q109" s="117">
        <v>45876</v>
      </c>
    </row>
    <row r="110" spans="1:17" ht="84.75" customHeight="1" x14ac:dyDescent="0.25">
      <c r="A110" s="182" t="s">
        <v>1848</v>
      </c>
      <c r="B110" s="268" t="s">
        <v>1478</v>
      </c>
      <c r="C110" s="283" t="s">
        <v>1847</v>
      </c>
      <c r="D110" s="267" t="s">
        <v>1820</v>
      </c>
      <c r="E110" s="252" t="s">
        <v>1819</v>
      </c>
      <c r="F110" s="299">
        <v>45087</v>
      </c>
      <c r="G110" s="280" t="s">
        <v>1563</v>
      </c>
      <c r="H110" s="282" t="s">
        <v>1562</v>
      </c>
      <c r="I110" s="289">
        <v>46439.61</v>
      </c>
      <c r="J110" s="280" t="s">
        <v>1561</v>
      </c>
      <c r="K110" s="279" t="s">
        <v>1560</v>
      </c>
      <c r="L110" s="289">
        <v>47341.35</v>
      </c>
      <c r="M110" s="277" t="s">
        <v>1559</v>
      </c>
      <c r="N110" s="276" t="s">
        <v>1558</v>
      </c>
      <c r="O110" s="119">
        <f t="shared" si="3"/>
        <v>45087</v>
      </c>
      <c r="P110" s="143">
        <v>33815</v>
      </c>
      <c r="Q110" s="117">
        <v>45876</v>
      </c>
    </row>
    <row r="111" spans="1:17" ht="76.5" customHeight="1" x14ac:dyDescent="0.25">
      <c r="A111" s="182" t="s">
        <v>1846</v>
      </c>
      <c r="B111" s="268" t="s">
        <v>1478</v>
      </c>
      <c r="C111" s="283" t="s">
        <v>1845</v>
      </c>
      <c r="D111" s="267" t="s">
        <v>1820</v>
      </c>
      <c r="E111" s="252" t="s">
        <v>1819</v>
      </c>
      <c r="F111" s="299">
        <v>415170</v>
      </c>
      <c r="G111" s="280" t="s">
        <v>1563</v>
      </c>
      <c r="H111" s="282" t="s">
        <v>1562</v>
      </c>
      <c r="I111" s="289">
        <v>427625.1</v>
      </c>
      <c r="J111" s="280" t="s">
        <v>1561</v>
      </c>
      <c r="K111" s="279" t="s">
        <v>1560</v>
      </c>
      <c r="L111" s="289">
        <v>435928.5</v>
      </c>
      <c r="M111" s="277" t="s">
        <v>1559</v>
      </c>
      <c r="N111" s="276" t="s">
        <v>1558</v>
      </c>
      <c r="O111" s="119">
        <f t="shared" si="3"/>
        <v>415170</v>
      </c>
      <c r="P111" s="143">
        <v>332136</v>
      </c>
      <c r="Q111" s="117">
        <v>45876</v>
      </c>
    </row>
    <row r="112" spans="1:17" ht="93" customHeight="1" x14ac:dyDescent="0.25">
      <c r="A112" s="182" t="s">
        <v>1844</v>
      </c>
      <c r="B112" s="268" t="s">
        <v>1478</v>
      </c>
      <c r="C112" s="283" t="s">
        <v>1843</v>
      </c>
      <c r="D112" s="267" t="s">
        <v>1820</v>
      </c>
      <c r="E112" s="252" t="s">
        <v>1819</v>
      </c>
      <c r="F112" s="299">
        <v>63829.5</v>
      </c>
      <c r="G112" s="280" t="s">
        <v>1563</v>
      </c>
      <c r="H112" s="282" t="s">
        <v>1562</v>
      </c>
      <c r="I112" s="289">
        <v>65744.39</v>
      </c>
      <c r="J112" s="280" t="s">
        <v>1561</v>
      </c>
      <c r="K112" s="279" t="s">
        <v>1560</v>
      </c>
      <c r="L112" s="289">
        <v>67020.98</v>
      </c>
      <c r="M112" s="277" t="s">
        <v>1559</v>
      </c>
      <c r="N112" s="276" t="s">
        <v>1558</v>
      </c>
      <c r="O112" s="119">
        <f t="shared" si="3"/>
        <v>63829.5</v>
      </c>
      <c r="P112" s="143">
        <v>47872</v>
      </c>
      <c r="Q112" s="117">
        <v>45876</v>
      </c>
    </row>
    <row r="113" spans="1:17" ht="82.5" customHeight="1" x14ac:dyDescent="0.25">
      <c r="A113" s="182" t="s">
        <v>1842</v>
      </c>
      <c r="B113" s="268" t="s">
        <v>1478</v>
      </c>
      <c r="C113" s="283" t="s">
        <v>1841</v>
      </c>
      <c r="D113" s="267" t="s">
        <v>1820</v>
      </c>
      <c r="E113" s="252" t="s">
        <v>1819</v>
      </c>
      <c r="F113" s="299">
        <v>63829.5</v>
      </c>
      <c r="G113" s="280" t="s">
        <v>1563</v>
      </c>
      <c r="H113" s="282" t="s">
        <v>1562</v>
      </c>
      <c r="I113" s="289">
        <v>65744.39</v>
      </c>
      <c r="J113" s="280" t="s">
        <v>1561</v>
      </c>
      <c r="K113" s="279" t="s">
        <v>1560</v>
      </c>
      <c r="L113" s="289">
        <v>67020.98</v>
      </c>
      <c r="M113" s="277" t="s">
        <v>1559</v>
      </c>
      <c r="N113" s="276" t="s">
        <v>1558</v>
      </c>
      <c r="O113" s="119">
        <f t="shared" si="3"/>
        <v>63829.5</v>
      </c>
      <c r="P113" s="143">
        <v>47872</v>
      </c>
      <c r="Q113" s="117">
        <v>45876</v>
      </c>
    </row>
    <row r="114" spans="1:17" ht="79.5" customHeight="1" x14ac:dyDescent="0.25">
      <c r="A114" s="182" t="s">
        <v>1840</v>
      </c>
      <c r="B114" s="268" t="s">
        <v>1478</v>
      </c>
      <c r="C114" s="283" t="s">
        <v>1839</v>
      </c>
      <c r="D114" s="267" t="s">
        <v>1820</v>
      </c>
      <c r="E114" s="252" t="s">
        <v>1819</v>
      </c>
      <c r="F114" s="299">
        <v>63829.5</v>
      </c>
      <c r="G114" s="280" t="s">
        <v>1563</v>
      </c>
      <c r="H114" s="282" t="s">
        <v>1562</v>
      </c>
      <c r="I114" s="289">
        <v>65744.39</v>
      </c>
      <c r="J114" s="280" t="s">
        <v>1561</v>
      </c>
      <c r="K114" s="279" t="s">
        <v>1560</v>
      </c>
      <c r="L114" s="289">
        <v>67020.98</v>
      </c>
      <c r="M114" s="277" t="s">
        <v>1559</v>
      </c>
      <c r="N114" s="276" t="s">
        <v>1558</v>
      </c>
      <c r="O114" s="119">
        <f t="shared" si="3"/>
        <v>63829.5</v>
      </c>
      <c r="P114" s="143">
        <v>47872</v>
      </c>
      <c r="Q114" s="117">
        <v>45876</v>
      </c>
    </row>
    <row r="115" spans="1:17" ht="89.25" customHeight="1" x14ac:dyDescent="0.25">
      <c r="A115" s="182" t="s">
        <v>1838</v>
      </c>
      <c r="B115" s="268" t="s">
        <v>1478</v>
      </c>
      <c r="C115" s="283" t="s">
        <v>1837</v>
      </c>
      <c r="D115" s="267" t="s">
        <v>1820</v>
      </c>
      <c r="E115" s="252" t="s">
        <v>1819</v>
      </c>
      <c r="F115" s="299">
        <v>63829.5</v>
      </c>
      <c r="G115" s="280" t="s">
        <v>1563</v>
      </c>
      <c r="H115" s="282" t="s">
        <v>1562</v>
      </c>
      <c r="I115" s="289">
        <v>65744.39</v>
      </c>
      <c r="J115" s="280" t="s">
        <v>1561</v>
      </c>
      <c r="K115" s="279" t="s">
        <v>1560</v>
      </c>
      <c r="L115" s="289">
        <v>67020.98</v>
      </c>
      <c r="M115" s="277" t="s">
        <v>1559</v>
      </c>
      <c r="N115" s="276" t="s">
        <v>1558</v>
      </c>
      <c r="O115" s="119">
        <f t="shared" si="3"/>
        <v>63829.5</v>
      </c>
      <c r="P115" s="143">
        <v>47872</v>
      </c>
      <c r="Q115" s="117">
        <v>45876</v>
      </c>
    </row>
    <row r="116" spans="1:17" ht="74.25" customHeight="1" x14ac:dyDescent="0.25">
      <c r="A116" s="182" t="s">
        <v>1836</v>
      </c>
      <c r="B116" s="268" t="s">
        <v>1478</v>
      </c>
      <c r="C116" s="283" t="s">
        <v>1835</v>
      </c>
      <c r="D116" s="267" t="s">
        <v>1820</v>
      </c>
      <c r="E116" s="252" t="s">
        <v>1819</v>
      </c>
      <c r="F116" s="299">
        <v>74361</v>
      </c>
      <c r="G116" s="280" t="s">
        <v>1563</v>
      </c>
      <c r="H116" s="282" t="s">
        <v>1562</v>
      </c>
      <c r="I116" s="289">
        <v>76591.83</v>
      </c>
      <c r="J116" s="280" t="s">
        <v>1561</v>
      </c>
      <c r="K116" s="279" t="s">
        <v>1560</v>
      </c>
      <c r="L116" s="289">
        <v>78079.05</v>
      </c>
      <c r="M116" s="277" t="s">
        <v>1559</v>
      </c>
      <c r="N116" s="276" t="s">
        <v>1558</v>
      </c>
      <c r="O116" s="119">
        <f t="shared" si="3"/>
        <v>74361</v>
      </c>
      <c r="P116" s="143">
        <v>55771</v>
      </c>
      <c r="Q116" s="117">
        <v>45876</v>
      </c>
    </row>
    <row r="117" spans="1:17" ht="70.5" customHeight="1" x14ac:dyDescent="0.25">
      <c r="A117" s="182" t="s">
        <v>1834</v>
      </c>
      <c r="B117" s="268" t="s">
        <v>1478</v>
      </c>
      <c r="C117" s="283" t="s">
        <v>1833</v>
      </c>
      <c r="D117" s="267" t="s">
        <v>1820</v>
      </c>
      <c r="E117" s="252" t="s">
        <v>1819</v>
      </c>
      <c r="F117" s="299">
        <v>108255</v>
      </c>
      <c r="G117" s="280" t="s">
        <v>1563</v>
      </c>
      <c r="H117" s="282" t="s">
        <v>1562</v>
      </c>
      <c r="I117" s="289">
        <v>111502.65</v>
      </c>
      <c r="J117" s="280" t="s">
        <v>1561</v>
      </c>
      <c r="K117" s="279" t="s">
        <v>1560</v>
      </c>
      <c r="L117" s="289">
        <v>113667.75</v>
      </c>
      <c r="M117" s="277" t="s">
        <v>1559</v>
      </c>
      <c r="N117" s="276" t="s">
        <v>1558</v>
      </c>
      <c r="O117" s="119">
        <f t="shared" si="3"/>
        <v>108255</v>
      </c>
      <c r="P117" s="143">
        <v>81191</v>
      </c>
      <c r="Q117" s="117">
        <v>45876</v>
      </c>
    </row>
    <row r="118" spans="1:17" ht="68.25" customHeight="1" x14ac:dyDescent="0.25">
      <c r="A118" s="182" t="s">
        <v>1832</v>
      </c>
      <c r="B118" s="268" t="s">
        <v>1478</v>
      </c>
      <c r="C118" s="283" t="s">
        <v>1831</v>
      </c>
      <c r="D118" s="267" t="s">
        <v>1820</v>
      </c>
      <c r="E118" s="252" t="s">
        <v>1819</v>
      </c>
      <c r="F118" s="299">
        <v>74361</v>
      </c>
      <c r="G118" s="280" t="s">
        <v>1563</v>
      </c>
      <c r="H118" s="282" t="s">
        <v>1562</v>
      </c>
      <c r="I118" s="289">
        <v>76591.83</v>
      </c>
      <c r="J118" s="280" t="s">
        <v>1561</v>
      </c>
      <c r="K118" s="279" t="s">
        <v>1560</v>
      </c>
      <c r="L118" s="289">
        <v>78079.05</v>
      </c>
      <c r="M118" s="277" t="s">
        <v>1559</v>
      </c>
      <c r="N118" s="276" t="s">
        <v>1558</v>
      </c>
      <c r="O118" s="119">
        <f t="shared" si="3"/>
        <v>74361</v>
      </c>
      <c r="P118" s="143">
        <v>55771</v>
      </c>
      <c r="Q118" s="117">
        <v>45876</v>
      </c>
    </row>
    <row r="119" spans="1:17" ht="86.25" customHeight="1" x14ac:dyDescent="0.25">
      <c r="A119" s="182" t="s">
        <v>1830</v>
      </c>
      <c r="B119" s="268" t="s">
        <v>1478</v>
      </c>
      <c r="C119" s="283" t="s">
        <v>1829</v>
      </c>
      <c r="D119" s="267" t="s">
        <v>1820</v>
      </c>
      <c r="E119" s="252" t="s">
        <v>1819</v>
      </c>
      <c r="F119" s="299">
        <v>78970.5</v>
      </c>
      <c r="G119" s="280" t="s">
        <v>1563</v>
      </c>
      <c r="H119" s="282" t="s">
        <v>1562</v>
      </c>
      <c r="I119" s="289">
        <v>81339.62</v>
      </c>
      <c r="J119" s="280" t="s">
        <v>1561</v>
      </c>
      <c r="K119" s="279" t="s">
        <v>1560</v>
      </c>
      <c r="L119" s="289">
        <v>82919.03</v>
      </c>
      <c r="M119" s="277" t="s">
        <v>1559</v>
      </c>
      <c r="N119" s="276" t="s">
        <v>1558</v>
      </c>
      <c r="O119" s="119">
        <f t="shared" si="3"/>
        <v>78970.5</v>
      </c>
      <c r="P119" s="143">
        <v>59228</v>
      </c>
      <c r="Q119" s="117">
        <v>45876</v>
      </c>
    </row>
    <row r="120" spans="1:17" ht="84" customHeight="1" x14ac:dyDescent="0.25">
      <c r="A120" s="182" t="s">
        <v>1828</v>
      </c>
      <c r="B120" s="268" t="s">
        <v>1478</v>
      </c>
      <c r="C120" s="283" t="s">
        <v>1827</v>
      </c>
      <c r="D120" s="267" t="s">
        <v>1820</v>
      </c>
      <c r="E120" s="252" t="s">
        <v>1819</v>
      </c>
      <c r="F120" s="299">
        <v>74361</v>
      </c>
      <c r="G120" s="280" t="s">
        <v>1563</v>
      </c>
      <c r="H120" s="282" t="s">
        <v>1562</v>
      </c>
      <c r="I120" s="289">
        <v>76591.83</v>
      </c>
      <c r="J120" s="280" t="s">
        <v>1561</v>
      </c>
      <c r="K120" s="279" t="s">
        <v>1560</v>
      </c>
      <c r="L120" s="289">
        <v>78079.05</v>
      </c>
      <c r="M120" s="277" t="s">
        <v>1559</v>
      </c>
      <c r="N120" s="276" t="s">
        <v>1558</v>
      </c>
      <c r="O120" s="119">
        <f t="shared" si="3"/>
        <v>74361</v>
      </c>
      <c r="P120" s="143">
        <v>55771</v>
      </c>
      <c r="Q120" s="117">
        <v>45876</v>
      </c>
    </row>
    <row r="121" spans="1:17" ht="84" customHeight="1" x14ac:dyDescent="0.25">
      <c r="A121" s="182" t="s">
        <v>1826</v>
      </c>
      <c r="B121" s="268" t="s">
        <v>1478</v>
      </c>
      <c r="C121" s="283" t="s">
        <v>1825</v>
      </c>
      <c r="D121" s="267" t="s">
        <v>1820</v>
      </c>
      <c r="E121" s="252" t="s">
        <v>1819</v>
      </c>
      <c r="F121" s="299">
        <v>74361</v>
      </c>
      <c r="G121" s="280" t="s">
        <v>1563</v>
      </c>
      <c r="H121" s="282" t="s">
        <v>1562</v>
      </c>
      <c r="I121" s="289">
        <v>76591.83</v>
      </c>
      <c r="J121" s="280" t="s">
        <v>1561</v>
      </c>
      <c r="K121" s="279" t="s">
        <v>1560</v>
      </c>
      <c r="L121" s="289">
        <v>78079.05</v>
      </c>
      <c r="M121" s="277" t="s">
        <v>1559</v>
      </c>
      <c r="N121" s="276" t="s">
        <v>1558</v>
      </c>
      <c r="O121" s="119">
        <f t="shared" si="3"/>
        <v>74361</v>
      </c>
      <c r="P121" s="143">
        <v>55771</v>
      </c>
      <c r="Q121" s="117">
        <v>45876</v>
      </c>
    </row>
    <row r="122" spans="1:17" ht="84" customHeight="1" x14ac:dyDescent="0.25">
      <c r="A122" s="182" t="s">
        <v>1824</v>
      </c>
      <c r="B122" s="268" t="s">
        <v>1478</v>
      </c>
      <c r="C122" s="283" t="s">
        <v>1823</v>
      </c>
      <c r="D122" s="267" t="s">
        <v>1820</v>
      </c>
      <c r="E122" s="252" t="s">
        <v>1819</v>
      </c>
      <c r="F122" s="299">
        <v>74361</v>
      </c>
      <c r="G122" s="280" t="s">
        <v>1563</v>
      </c>
      <c r="H122" s="282" t="s">
        <v>1562</v>
      </c>
      <c r="I122" s="289">
        <v>76591.83</v>
      </c>
      <c r="J122" s="280" t="s">
        <v>1561</v>
      </c>
      <c r="K122" s="279" t="s">
        <v>1560</v>
      </c>
      <c r="L122" s="289">
        <v>78079.05</v>
      </c>
      <c r="M122" s="277" t="s">
        <v>1559</v>
      </c>
      <c r="N122" s="276" t="s">
        <v>1558</v>
      </c>
      <c r="O122" s="119">
        <f t="shared" si="3"/>
        <v>74361</v>
      </c>
      <c r="P122" s="143">
        <v>55771</v>
      </c>
      <c r="Q122" s="117">
        <v>45876</v>
      </c>
    </row>
    <row r="123" spans="1:17" ht="78.75" customHeight="1" x14ac:dyDescent="0.25">
      <c r="A123" s="182" t="s">
        <v>1822</v>
      </c>
      <c r="B123" s="268" t="s">
        <v>1478</v>
      </c>
      <c r="C123" s="283" t="s">
        <v>1821</v>
      </c>
      <c r="D123" s="267" t="s">
        <v>1820</v>
      </c>
      <c r="E123" s="252" t="s">
        <v>1819</v>
      </c>
      <c r="F123" s="299">
        <v>74361</v>
      </c>
      <c r="G123" s="280" t="s">
        <v>1563</v>
      </c>
      <c r="H123" s="282" t="s">
        <v>1562</v>
      </c>
      <c r="I123" s="289">
        <v>76591.83</v>
      </c>
      <c r="J123" s="280" t="s">
        <v>1561</v>
      </c>
      <c r="K123" s="279" t="s">
        <v>1560</v>
      </c>
      <c r="L123" s="289">
        <v>78079.05</v>
      </c>
      <c r="M123" s="277" t="s">
        <v>1559</v>
      </c>
      <c r="N123" s="276" t="s">
        <v>1558</v>
      </c>
      <c r="O123" s="119">
        <f t="shared" si="3"/>
        <v>74361</v>
      </c>
      <c r="P123" s="143">
        <v>55771</v>
      </c>
      <c r="Q123" s="117">
        <v>45876</v>
      </c>
    </row>
    <row r="124" spans="1:17" ht="36.75" customHeight="1" x14ac:dyDescent="0.25">
      <c r="A124" s="275"/>
      <c r="B124" s="274"/>
      <c r="C124" s="273" t="s">
        <v>1818</v>
      </c>
      <c r="D124" s="267"/>
      <c r="E124" s="252"/>
      <c r="F124" s="278"/>
      <c r="G124" s="295"/>
      <c r="H124" s="282"/>
      <c r="I124" s="281"/>
      <c r="J124" s="295"/>
      <c r="K124" s="294"/>
      <c r="L124" s="281"/>
      <c r="M124" s="293"/>
      <c r="N124" s="276"/>
      <c r="O124" s="119"/>
      <c r="P124" s="143"/>
      <c r="Q124" s="117"/>
    </row>
    <row r="125" spans="1:17" ht="97.5" customHeight="1" x14ac:dyDescent="0.25">
      <c r="A125" s="182" t="s">
        <v>1817</v>
      </c>
      <c r="B125" s="268" t="s">
        <v>58</v>
      </c>
      <c r="C125" s="283" t="s">
        <v>1816</v>
      </c>
      <c r="D125" s="267" t="s">
        <v>1813</v>
      </c>
      <c r="E125" s="252" t="s">
        <v>15</v>
      </c>
      <c r="F125" s="278">
        <v>6943</v>
      </c>
      <c r="G125" s="295" t="s">
        <v>1498</v>
      </c>
      <c r="H125" s="282" t="s">
        <v>1497</v>
      </c>
      <c r="I125" s="281">
        <v>7565</v>
      </c>
      <c r="J125" s="295" t="s">
        <v>1778</v>
      </c>
      <c r="K125" s="294" t="s">
        <v>1777</v>
      </c>
      <c r="L125" s="281">
        <v>8728.5</v>
      </c>
      <c r="M125" s="293" t="s">
        <v>1812</v>
      </c>
      <c r="N125" s="276" t="s">
        <v>1811</v>
      </c>
      <c r="O125" s="119">
        <f t="shared" ref="O125:O156" si="4">MIN(F125,I125,L125)</f>
        <v>6943</v>
      </c>
      <c r="P125" s="143"/>
      <c r="Q125" s="117">
        <v>45876</v>
      </c>
    </row>
    <row r="126" spans="1:17" ht="83.25" customHeight="1" x14ac:dyDescent="0.25">
      <c r="A126" s="182" t="s">
        <v>1815</v>
      </c>
      <c r="B126" s="268" t="s">
        <v>58</v>
      </c>
      <c r="C126" s="283" t="s">
        <v>1814</v>
      </c>
      <c r="D126" s="267" t="s">
        <v>1813</v>
      </c>
      <c r="E126" s="252" t="s">
        <v>15</v>
      </c>
      <c r="F126" s="278">
        <v>6943</v>
      </c>
      <c r="G126" s="295" t="s">
        <v>1498</v>
      </c>
      <c r="H126" s="282" t="s">
        <v>1497</v>
      </c>
      <c r="I126" s="281">
        <v>7565</v>
      </c>
      <c r="J126" s="295" t="s">
        <v>1778</v>
      </c>
      <c r="K126" s="294" t="s">
        <v>1777</v>
      </c>
      <c r="L126" s="281">
        <v>8728.5</v>
      </c>
      <c r="M126" s="293" t="s">
        <v>1812</v>
      </c>
      <c r="N126" s="276" t="s">
        <v>1811</v>
      </c>
      <c r="O126" s="119">
        <f t="shared" si="4"/>
        <v>6943</v>
      </c>
      <c r="P126" s="143"/>
      <c r="Q126" s="117">
        <v>45876</v>
      </c>
    </row>
    <row r="127" spans="1:17" ht="97.5" customHeight="1" x14ac:dyDescent="0.25">
      <c r="A127" s="182" t="s">
        <v>1810</v>
      </c>
      <c r="B127" s="268" t="s">
        <v>58</v>
      </c>
      <c r="C127" s="283" t="s">
        <v>1809</v>
      </c>
      <c r="D127" s="267" t="s">
        <v>1808</v>
      </c>
      <c r="E127" s="252" t="s">
        <v>15</v>
      </c>
      <c r="F127" s="278">
        <v>1288</v>
      </c>
      <c r="G127" s="293" t="s">
        <v>1776</v>
      </c>
      <c r="H127" s="276" t="s">
        <v>1775</v>
      </c>
      <c r="I127" s="281">
        <v>1211</v>
      </c>
      <c r="J127" s="295" t="s">
        <v>1792</v>
      </c>
      <c r="K127" s="294" t="s">
        <v>1791</v>
      </c>
      <c r="L127" s="281">
        <v>1348</v>
      </c>
      <c r="M127" s="293" t="s">
        <v>1774</v>
      </c>
      <c r="N127" s="276" t="s">
        <v>1773</v>
      </c>
      <c r="O127" s="119">
        <f t="shared" si="4"/>
        <v>1211</v>
      </c>
      <c r="P127" s="143"/>
      <c r="Q127" s="117">
        <v>45876</v>
      </c>
    </row>
    <row r="128" spans="1:17" ht="83.25" customHeight="1" x14ac:dyDescent="0.25">
      <c r="A128" s="182" t="s">
        <v>1807</v>
      </c>
      <c r="B128" s="268" t="s">
        <v>58</v>
      </c>
      <c r="C128" s="283" t="s">
        <v>1806</v>
      </c>
      <c r="D128" s="267" t="s">
        <v>1805</v>
      </c>
      <c r="E128" s="252" t="s">
        <v>15</v>
      </c>
      <c r="F128" s="278">
        <v>1524</v>
      </c>
      <c r="G128" s="293" t="s">
        <v>1778</v>
      </c>
      <c r="H128" s="276" t="s">
        <v>1777</v>
      </c>
      <c r="I128" s="281">
        <v>1599</v>
      </c>
      <c r="J128" s="295" t="s">
        <v>1792</v>
      </c>
      <c r="K128" s="294" t="s">
        <v>1791</v>
      </c>
      <c r="L128" s="281">
        <v>1831</v>
      </c>
      <c r="M128" s="293" t="s">
        <v>1774</v>
      </c>
      <c r="N128" s="276" t="s">
        <v>1773</v>
      </c>
      <c r="O128" s="119">
        <f t="shared" si="4"/>
        <v>1524</v>
      </c>
      <c r="P128" s="143"/>
      <c r="Q128" s="117">
        <v>45876</v>
      </c>
    </row>
    <row r="129" spans="1:17" ht="81" customHeight="1" x14ac:dyDescent="0.25">
      <c r="A129" s="182" t="s">
        <v>1804</v>
      </c>
      <c r="B129" s="268" t="s">
        <v>58</v>
      </c>
      <c r="C129" s="283" t="s">
        <v>1803</v>
      </c>
      <c r="D129" s="267" t="s">
        <v>1802</v>
      </c>
      <c r="E129" s="252" t="s">
        <v>15</v>
      </c>
      <c r="F129" s="278">
        <v>1941</v>
      </c>
      <c r="G129" s="293" t="s">
        <v>1778</v>
      </c>
      <c r="H129" s="276" t="s">
        <v>1777</v>
      </c>
      <c r="I129" s="281">
        <v>2311</v>
      </c>
      <c r="J129" s="295" t="s">
        <v>1792</v>
      </c>
      <c r="K129" s="294" t="s">
        <v>1791</v>
      </c>
      <c r="L129" s="281">
        <v>2335</v>
      </c>
      <c r="M129" s="293" t="s">
        <v>1774</v>
      </c>
      <c r="N129" s="276" t="s">
        <v>1773</v>
      </c>
      <c r="O129" s="119">
        <f t="shared" si="4"/>
        <v>1941</v>
      </c>
      <c r="P129" s="143"/>
      <c r="Q129" s="117">
        <v>45876</v>
      </c>
    </row>
    <row r="130" spans="1:17" ht="81" customHeight="1" x14ac:dyDescent="0.25">
      <c r="A130" s="182" t="s">
        <v>1801</v>
      </c>
      <c r="B130" s="268" t="s">
        <v>58</v>
      </c>
      <c r="C130" s="283" t="s">
        <v>1800</v>
      </c>
      <c r="D130" s="267" t="s">
        <v>1799</v>
      </c>
      <c r="E130" s="252" t="s">
        <v>15</v>
      </c>
      <c r="F130" s="278">
        <v>2489</v>
      </c>
      <c r="G130" s="293" t="s">
        <v>1778</v>
      </c>
      <c r="H130" s="276" t="s">
        <v>1777</v>
      </c>
      <c r="I130" s="281">
        <v>2696</v>
      </c>
      <c r="J130" s="295" t="s">
        <v>1792</v>
      </c>
      <c r="K130" s="294" t="s">
        <v>1791</v>
      </c>
      <c r="L130" s="281">
        <v>2990</v>
      </c>
      <c r="M130" s="293" t="s">
        <v>1774</v>
      </c>
      <c r="N130" s="276" t="s">
        <v>1773</v>
      </c>
      <c r="O130" s="119">
        <f t="shared" si="4"/>
        <v>2489</v>
      </c>
      <c r="P130" s="143"/>
      <c r="Q130" s="117">
        <v>45876</v>
      </c>
    </row>
    <row r="131" spans="1:17" ht="84.75" customHeight="1" x14ac:dyDescent="0.25">
      <c r="A131" s="182" t="s">
        <v>1798</v>
      </c>
      <c r="B131" s="268" t="s">
        <v>58</v>
      </c>
      <c r="C131" s="283" t="s">
        <v>1797</v>
      </c>
      <c r="D131" s="267" t="s">
        <v>1796</v>
      </c>
      <c r="E131" s="252" t="s">
        <v>15</v>
      </c>
      <c r="F131" s="278">
        <v>2386</v>
      </c>
      <c r="G131" s="293" t="s">
        <v>1778</v>
      </c>
      <c r="H131" s="276" t="s">
        <v>1777</v>
      </c>
      <c r="I131" s="281">
        <v>2807</v>
      </c>
      <c r="J131" s="295" t="s">
        <v>1792</v>
      </c>
      <c r="K131" s="294" t="s">
        <v>1791</v>
      </c>
      <c r="L131" s="281">
        <v>2867</v>
      </c>
      <c r="M131" s="293" t="s">
        <v>1774</v>
      </c>
      <c r="N131" s="276" t="s">
        <v>1773</v>
      </c>
      <c r="O131" s="119">
        <f t="shared" si="4"/>
        <v>2386</v>
      </c>
      <c r="P131" s="143"/>
      <c r="Q131" s="117">
        <v>45876</v>
      </c>
    </row>
    <row r="132" spans="1:17" ht="81" customHeight="1" x14ac:dyDescent="0.25">
      <c r="A132" s="182" t="s">
        <v>1795</v>
      </c>
      <c r="B132" s="268" t="s">
        <v>58</v>
      </c>
      <c r="C132" s="283" t="s">
        <v>1794</v>
      </c>
      <c r="D132" s="267" t="s">
        <v>1793</v>
      </c>
      <c r="E132" s="252" t="s">
        <v>15</v>
      </c>
      <c r="F132" s="278">
        <v>1994</v>
      </c>
      <c r="G132" s="293" t="s">
        <v>1778</v>
      </c>
      <c r="H132" s="276" t="s">
        <v>1777</v>
      </c>
      <c r="I132" s="281">
        <v>2406</v>
      </c>
      <c r="J132" s="295" t="s">
        <v>1792</v>
      </c>
      <c r="K132" s="294" t="s">
        <v>1791</v>
      </c>
      <c r="L132" s="281">
        <v>2394</v>
      </c>
      <c r="M132" s="293" t="s">
        <v>1774</v>
      </c>
      <c r="N132" s="276" t="s">
        <v>1773</v>
      </c>
      <c r="O132" s="119">
        <f t="shared" si="4"/>
        <v>1994</v>
      </c>
      <c r="P132" s="143"/>
      <c r="Q132" s="117">
        <v>45876</v>
      </c>
    </row>
    <row r="133" spans="1:17" ht="81" customHeight="1" x14ac:dyDescent="0.25">
      <c r="A133" s="182" t="s">
        <v>1790</v>
      </c>
      <c r="B133" s="268" t="s">
        <v>58</v>
      </c>
      <c r="C133" s="283" t="s">
        <v>1789</v>
      </c>
      <c r="D133" s="267" t="s">
        <v>1788</v>
      </c>
      <c r="E133" s="252" t="s">
        <v>15</v>
      </c>
      <c r="F133" s="278">
        <v>2802</v>
      </c>
      <c r="G133" s="293" t="s">
        <v>1778</v>
      </c>
      <c r="H133" s="276" t="s">
        <v>1777</v>
      </c>
      <c r="I133" s="281">
        <v>3055</v>
      </c>
      <c r="J133" s="293" t="s">
        <v>1776</v>
      </c>
      <c r="K133" s="276" t="s">
        <v>1775</v>
      </c>
      <c r="L133" s="281">
        <v>3366</v>
      </c>
      <c r="M133" s="293" t="s">
        <v>1774</v>
      </c>
      <c r="N133" s="276" t="s">
        <v>1773</v>
      </c>
      <c r="O133" s="119">
        <f t="shared" si="4"/>
        <v>2802</v>
      </c>
      <c r="P133" s="143"/>
      <c r="Q133" s="117">
        <v>45876</v>
      </c>
    </row>
    <row r="134" spans="1:17" ht="81" customHeight="1" x14ac:dyDescent="0.25">
      <c r="A134" s="182" t="s">
        <v>1787</v>
      </c>
      <c r="B134" s="268" t="s">
        <v>58</v>
      </c>
      <c r="C134" s="283" t="s">
        <v>1786</v>
      </c>
      <c r="D134" s="267" t="s">
        <v>1785</v>
      </c>
      <c r="E134" s="252" t="s">
        <v>15</v>
      </c>
      <c r="F134" s="278">
        <v>3592</v>
      </c>
      <c r="G134" s="293" t="s">
        <v>1778</v>
      </c>
      <c r="H134" s="276" t="s">
        <v>1777</v>
      </c>
      <c r="I134" s="281">
        <v>4076</v>
      </c>
      <c r="J134" s="293" t="s">
        <v>1776</v>
      </c>
      <c r="K134" s="276" t="s">
        <v>1775</v>
      </c>
      <c r="L134" s="281">
        <v>4315</v>
      </c>
      <c r="M134" s="293" t="s">
        <v>1774</v>
      </c>
      <c r="N134" s="276" t="s">
        <v>1773</v>
      </c>
      <c r="O134" s="119">
        <f t="shared" si="4"/>
        <v>3592</v>
      </c>
      <c r="P134" s="143"/>
      <c r="Q134" s="117">
        <v>45876</v>
      </c>
    </row>
    <row r="135" spans="1:17" ht="97.5" customHeight="1" x14ac:dyDescent="0.25">
      <c r="A135" s="182" t="s">
        <v>1784</v>
      </c>
      <c r="B135" s="268" t="s">
        <v>58</v>
      </c>
      <c r="C135" s="283" t="s">
        <v>1783</v>
      </c>
      <c r="D135" s="267" t="s">
        <v>1782</v>
      </c>
      <c r="E135" s="252" t="s">
        <v>15</v>
      </c>
      <c r="F135" s="278">
        <v>4249</v>
      </c>
      <c r="G135" s="293" t="s">
        <v>1778</v>
      </c>
      <c r="H135" s="276" t="s">
        <v>1777</v>
      </c>
      <c r="I135" s="281">
        <v>4517</v>
      </c>
      <c r="J135" s="293" t="s">
        <v>1776</v>
      </c>
      <c r="K135" s="276" t="s">
        <v>1775</v>
      </c>
      <c r="L135" s="281">
        <v>5104</v>
      </c>
      <c r="M135" s="293" t="s">
        <v>1774</v>
      </c>
      <c r="N135" s="276" t="s">
        <v>1773</v>
      </c>
      <c r="O135" s="119">
        <f t="shared" si="4"/>
        <v>4249</v>
      </c>
      <c r="P135" s="143"/>
      <c r="Q135" s="117">
        <v>45876</v>
      </c>
    </row>
    <row r="136" spans="1:17" ht="82.5" customHeight="1" x14ac:dyDescent="0.25">
      <c r="A136" s="182" t="s">
        <v>1781</v>
      </c>
      <c r="B136" s="268" t="s">
        <v>58</v>
      </c>
      <c r="C136" s="283" t="s">
        <v>1780</v>
      </c>
      <c r="D136" s="267" t="s">
        <v>1779</v>
      </c>
      <c r="E136" s="252" t="s">
        <v>15</v>
      </c>
      <c r="F136" s="278">
        <v>7036</v>
      </c>
      <c r="G136" s="293" t="s">
        <v>1778</v>
      </c>
      <c r="H136" s="276" t="s">
        <v>1777</v>
      </c>
      <c r="I136" s="297">
        <v>5759</v>
      </c>
      <c r="J136" s="293" t="s">
        <v>1776</v>
      </c>
      <c r="K136" s="276" t="s">
        <v>1775</v>
      </c>
      <c r="L136" s="281">
        <v>6223</v>
      </c>
      <c r="M136" s="293" t="s">
        <v>1774</v>
      </c>
      <c r="N136" s="276" t="s">
        <v>1773</v>
      </c>
      <c r="O136" s="119">
        <f t="shared" si="4"/>
        <v>5759</v>
      </c>
      <c r="P136" s="143"/>
      <c r="Q136" s="117">
        <v>45876</v>
      </c>
    </row>
    <row r="137" spans="1:17" ht="51.75" customHeight="1" x14ac:dyDescent="0.25">
      <c r="A137" s="275"/>
      <c r="B137" s="274"/>
      <c r="C137" s="298" t="s">
        <v>1772</v>
      </c>
      <c r="D137" s="267"/>
      <c r="E137" s="252"/>
      <c r="F137" s="278"/>
      <c r="G137" s="295"/>
      <c r="H137" s="282"/>
      <c r="I137" s="281"/>
      <c r="J137" s="295"/>
      <c r="K137" s="294"/>
      <c r="L137" s="281"/>
      <c r="M137" s="293"/>
      <c r="N137" s="276"/>
      <c r="O137" s="119">
        <f t="shared" si="4"/>
        <v>0</v>
      </c>
      <c r="P137" s="143"/>
      <c r="Q137" s="117"/>
    </row>
    <row r="138" spans="1:17" ht="75" customHeight="1" x14ac:dyDescent="0.25">
      <c r="A138" s="182" t="s">
        <v>1771</v>
      </c>
      <c r="B138" s="268" t="s">
        <v>1478</v>
      </c>
      <c r="C138" s="283" t="s">
        <v>1770</v>
      </c>
      <c r="D138" s="267" t="s">
        <v>1564</v>
      </c>
      <c r="E138" s="252" t="s">
        <v>15</v>
      </c>
      <c r="F138" s="278">
        <v>48016.5</v>
      </c>
      <c r="G138" s="280" t="s">
        <v>1563</v>
      </c>
      <c r="H138" s="282" t="s">
        <v>1562</v>
      </c>
      <c r="I138" s="281">
        <v>49457</v>
      </c>
      <c r="J138" s="280" t="s">
        <v>1561</v>
      </c>
      <c r="K138" s="279" t="s">
        <v>1560</v>
      </c>
      <c r="L138" s="289">
        <v>50417.33</v>
      </c>
      <c r="M138" s="277" t="s">
        <v>1559</v>
      </c>
      <c r="N138" s="276" t="s">
        <v>1558</v>
      </c>
      <c r="O138" s="119">
        <f t="shared" si="4"/>
        <v>48016.5</v>
      </c>
      <c r="P138" s="143">
        <v>19207</v>
      </c>
      <c r="Q138" s="117">
        <v>45876</v>
      </c>
    </row>
    <row r="139" spans="1:17" ht="66" customHeight="1" x14ac:dyDescent="0.25">
      <c r="A139" s="182" t="s">
        <v>1769</v>
      </c>
      <c r="B139" s="268" t="s">
        <v>1478</v>
      </c>
      <c r="C139" s="283" t="s">
        <v>1768</v>
      </c>
      <c r="D139" s="267" t="s">
        <v>1564</v>
      </c>
      <c r="E139" s="252" t="s">
        <v>15</v>
      </c>
      <c r="F139" s="278">
        <v>48016.5</v>
      </c>
      <c r="G139" s="280" t="s">
        <v>1563</v>
      </c>
      <c r="H139" s="282" t="s">
        <v>1562</v>
      </c>
      <c r="I139" s="281">
        <v>49457</v>
      </c>
      <c r="J139" s="280" t="s">
        <v>1561</v>
      </c>
      <c r="K139" s="279" t="s">
        <v>1560</v>
      </c>
      <c r="L139" s="289">
        <v>50417.33</v>
      </c>
      <c r="M139" s="277" t="s">
        <v>1559</v>
      </c>
      <c r="N139" s="276" t="s">
        <v>1558</v>
      </c>
      <c r="O139" s="119">
        <f t="shared" si="4"/>
        <v>48016.5</v>
      </c>
      <c r="P139" s="143">
        <v>19207</v>
      </c>
      <c r="Q139" s="117">
        <v>45876</v>
      </c>
    </row>
    <row r="140" spans="1:17" ht="75" customHeight="1" x14ac:dyDescent="0.25">
      <c r="A140" s="182" t="s">
        <v>1767</v>
      </c>
      <c r="B140" s="268" t="s">
        <v>1478</v>
      </c>
      <c r="C140" s="283" t="s">
        <v>1766</v>
      </c>
      <c r="D140" s="267" t="s">
        <v>1564</v>
      </c>
      <c r="E140" s="252" t="s">
        <v>15</v>
      </c>
      <c r="F140" s="278">
        <v>48688.5</v>
      </c>
      <c r="G140" s="280" t="s">
        <v>1563</v>
      </c>
      <c r="H140" s="282" t="s">
        <v>1562</v>
      </c>
      <c r="I140" s="281">
        <v>50149.16</v>
      </c>
      <c r="J140" s="280" t="s">
        <v>1561</v>
      </c>
      <c r="K140" s="279" t="s">
        <v>1560</v>
      </c>
      <c r="L140" s="281">
        <v>51122.93</v>
      </c>
      <c r="M140" s="277" t="s">
        <v>1559</v>
      </c>
      <c r="N140" s="276" t="s">
        <v>1558</v>
      </c>
      <c r="O140" s="119">
        <f t="shared" si="4"/>
        <v>48688.5</v>
      </c>
      <c r="P140" s="143">
        <v>19475</v>
      </c>
      <c r="Q140" s="117">
        <v>45876</v>
      </c>
    </row>
    <row r="141" spans="1:17" ht="68.25" customHeight="1" x14ac:dyDescent="0.25">
      <c r="A141" s="182" t="s">
        <v>1765</v>
      </c>
      <c r="B141" s="268" t="s">
        <v>1478</v>
      </c>
      <c r="C141" s="283" t="s">
        <v>1764</v>
      </c>
      <c r="D141" s="267" t="s">
        <v>1564</v>
      </c>
      <c r="E141" s="252" t="s">
        <v>15</v>
      </c>
      <c r="F141" s="278">
        <v>50253</v>
      </c>
      <c r="G141" s="280" t="s">
        <v>1563</v>
      </c>
      <c r="H141" s="282" t="s">
        <v>1562</v>
      </c>
      <c r="I141" s="281">
        <v>51760.59</v>
      </c>
      <c r="J141" s="280" t="s">
        <v>1561</v>
      </c>
      <c r="K141" s="279" t="s">
        <v>1560</v>
      </c>
      <c r="L141" s="281">
        <v>52765.65</v>
      </c>
      <c r="M141" s="277" t="s">
        <v>1559</v>
      </c>
      <c r="N141" s="276" t="s">
        <v>1558</v>
      </c>
      <c r="O141" s="119">
        <f t="shared" si="4"/>
        <v>50253</v>
      </c>
      <c r="P141" s="143">
        <v>20101</v>
      </c>
      <c r="Q141" s="117">
        <v>45876</v>
      </c>
    </row>
    <row r="142" spans="1:17" ht="69" customHeight="1" x14ac:dyDescent="0.25">
      <c r="A142" s="182" t="s">
        <v>1763</v>
      </c>
      <c r="B142" s="268" t="s">
        <v>1478</v>
      </c>
      <c r="C142" s="283" t="s">
        <v>1762</v>
      </c>
      <c r="D142" s="267" t="s">
        <v>1564</v>
      </c>
      <c r="E142" s="252" t="s">
        <v>15</v>
      </c>
      <c r="F142" s="278">
        <v>51607.5</v>
      </c>
      <c r="G142" s="280" t="s">
        <v>1563</v>
      </c>
      <c r="H142" s="282" t="s">
        <v>1562</v>
      </c>
      <c r="I142" s="289">
        <v>53155.73</v>
      </c>
      <c r="J142" s="280" t="s">
        <v>1561</v>
      </c>
      <c r="K142" s="279" t="s">
        <v>1560</v>
      </c>
      <c r="L142" s="289">
        <v>54187.88</v>
      </c>
      <c r="M142" s="277" t="s">
        <v>1559</v>
      </c>
      <c r="N142" s="276" t="s">
        <v>1558</v>
      </c>
      <c r="O142" s="119">
        <f t="shared" si="4"/>
        <v>51607.5</v>
      </c>
      <c r="P142" s="143">
        <v>20643</v>
      </c>
      <c r="Q142" s="117">
        <v>45876</v>
      </c>
    </row>
    <row r="143" spans="1:17" ht="74.25" customHeight="1" x14ac:dyDescent="0.25">
      <c r="A143" s="182" t="s">
        <v>1761</v>
      </c>
      <c r="B143" s="268" t="s">
        <v>1478</v>
      </c>
      <c r="C143" s="283" t="s">
        <v>1760</v>
      </c>
      <c r="D143" s="267" t="s">
        <v>1564</v>
      </c>
      <c r="E143" s="252" t="s">
        <v>15</v>
      </c>
      <c r="F143" s="278">
        <v>53056.5</v>
      </c>
      <c r="G143" s="280" t="s">
        <v>1563</v>
      </c>
      <c r="H143" s="282" t="s">
        <v>1562</v>
      </c>
      <c r="I143" s="281">
        <v>54648.2</v>
      </c>
      <c r="J143" s="280" t="s">
        <v>1561</v>
      </c>
      <c r="K143" s="279" t="s">
        <v>1560</v>
      </c>
      <c r="L143" s="281">
        <v>55709.33</v>
      </c>
      <c r="M143" s="277" t="s">
        <v>1559</v>
      </c>
      <c r="N143" s="276" t="s">
        <v>1558</v>
      </c>
      <c r="O143" s="119">
        <f t="shared" si="4"/>
        <v>53056.5</v>
      </c>
      <c r="P143" s="143">
        <v>21223</v>
      </c>
      <c r="Q143" s="117">
        <v>45876</v>
      </c>
    </row>
    <row r="144" spans="1:17" ht="60" customHeight="1" x14ac:dyDescent="0.25">
      <c r="A144" s="182" t="s">
        <v>1759</v>
      </c>
      <c r="B144" s="268" t="s">
        <v>1478</v>
      </c>
      <c r="C144" s="283" t="s">
        <v>1758</v>
      </c>
      <c r="D144" s="267" t="s">
        <v>1564</v>
      </c>
      <c r="E144" s="252" t="s">
        <v>15</v>
      </c>
      <c r="F144" s="278">
        <v>45885</v>
      </c>
      <c r="G144" s="280" t="s">
        <v>1563</v>
      </c>
      <c r="H144" s="282" t="s">
        <v>1562</v>
      </c>
      <c r="I144" s="281">
        <v>47261.55</v>
      </c>
      <c r="J144" s="280" t="s">
        <v>1561</v>
      </c>
      <c r="K144" s="279" t="s">
        <v>1560</v>
      </c>
      <c r="L144" s="281">
        <v>48179.25</v>
      </c>
      <c r="M144" s="277" t="s">
        <v>1559</v>
      </c>
      <c r="N144" s="276" t="s">
        <v>1558</v>
      </c>
      <c r="O144" s="119">
        <f t="shared" si="4"/>
        <v>45885</v>
      </c>
      <c r="P144" s="143">
        <v>20635</v>
      </c>
      <c r="Q144" s="117">
        <v>45876</v>
      </c>
    </row>
    <row r="145" spans="1:17" ht="74.25" customHeight="1" x14ac:dyDescent="0.25">
      <c r="A145" s="182" t="s">
        <v>1757</v>
      </c>
      <c r="B145" s="268" t="s">
        <v>1478</v>
      </c>
      <c r="C145" s="283" t="s">
        <v>1756</v>
      </c>
      <c r="D145" s="267" t="s">
        <v>1564</v>
      </c>
      <c r="E145" s="252" t="s">
        <v>15</v>
      </c>
      <c r="F145" s="278">
        <v>46777.5</v>
      </c>
      <c r="G145" s="280" t="s">
        <v>1563</v>
      </c>
      <c r="H145" s="282" t="s">
        <v>1562</v>
      </c>
      <c r="I145" s="281">
        <v>48180.83</v>
      </c>
      <c r="J145" s="280" t="s">
        <v>1561</v>
      </c>
      <c r="K145" s="279" t="s">
        <v>1560</v>
      </c>
      <c r="L145" s="281">
        <v>49116.38</v>
      </c>
      <c r="M145" s="277" t="s">
        <v>1559</v>
      </c>
      <c r="N145" s="276" t="s">
        <v>1558</v>
      </c>
      <c r="O145" s="119">
        <f t="shared" si="4"/>
        <v>46777.5</v>
      </c>
      <c r="P145" s="143">
        <v>21050</v>
      </c>
      <c r="Q145" s="117">
        <v>45876</v>
      </c>
    </row>
    <row r="146" spans="1:17" ht="72" customHeight="1" x14ac:dyDescent="0.25">
      <c r="A146" s="182" t="s">
        <v>1755</v>
      </c>
      <c r="B146" s="268" t="s">
        <v>1478</v>
      </c>
      <c r="C146" s="283" t="s">
        <v>1754</v>
      </c>
      <c r="D146" s="267" t="s">
        <v>1564</v>
      </c>
      <c r="E146" s="252" t="s">
        <v>15</v>
      </c>
      <c r="F146" s="278">
        <v>47229</v>
      </c>
      <c r="G146" s="280" t="s">
        <v>1563</v>
      </c>
      <c r="H146" s="282" t="s">
        <v>1562</v>
      </c>
      <c r="I146" s="281">
        <v>48645.87</v>
      </c>
      <c r="J146" s="280" t="s">
        <v>1561</v>
      </c>
      <c r="K146" s="279" t="s">
        <v>1560</v>
      </c>
      <c r="L146" s="281">
        <v>49590.45</v>
      </c>
      <c r="M146" s="277" t="s">
        <v>1559</v>
      </c>
      <c r="N146" s="276" t="s">
        <v>1558</v>
      </c>
      <c r="O146" s="119">
        <f t="shared" si="4"/>
        <v>47229</v>
      </c>
      <c r="P146" s="143">
        <v>21253</v>
      </c>
      <c r="Q146" s="117">
        <v>45876</v>
      </c>
    </row>
    <row r="147" spans="1:17" ht="69" customHeight="1" x14ac:dyDescent="0.25">
      <c r="A147" s="182" t="s">
        <v>1753</v>
      </c>
      <c r="B147" s="268" t="s">
        <v>1478</v>
      </c>
      <c r="C147" s="283" t="s">
        <v>1752</v>
      </c>
      <c r="D147" s="267" t="s">
        <v>1564</v>
      </c>
      <c r="E147" s="252" t="s">
        <v>15</v>
      </c>
      <c r="F147" s="278">
        <v>48573</v>
      </c>
      <c r="G147" s="280" t="s">
        <v>1563</v>
      </c>
      <c r="H147" s="282" t="s">
        <v>1562</v>
      </c>
      <c r="I147" s="281">
        <v>50030.19</v>
      </c>
      <c r="J147" s="280" t="s">
        <v>1561</v>
      </c>
      <c r="K147" s="279" t="s">
        <v>1560</v>
      </c>
      <c r="L147" s="281">
        <v>51001.65</v>
      </c>
      <c r="M147" s="277" t="s">
        <v>1559</v>
      </c>
      <c r="N147" s="276" t="s">
        <v>1558</v>
      </c>
      <c r="O147" s="119">
        <f t="shared" si="4"/>
        <v>48573</v>
      </c>
      <c r="P147" s="143">
        <v>21858</v>
      </c>
      <c r="Q147" s="117">
        <v>45876</v>
      </c>
    </row>
    <row r="148" spans="1:17" ht="63.75" customHeight="1" x14ac:dyDescent="0.25">
      <c r="A148" s="182" t="s">
        <v>1751</v>
      </c>
      <c r="B148" s="268" t="s">
        <v>1478</v>
      </c>
      <c r="C148" s="283" t="s">
        <v>1750</v>
      </c>
      <c r="D148" s="267" t="s">
        <v>1564</v>
      </c>
      <c r="E148" s="252" t="s">
        <v>15</v>
      </c>
      <c r="F148" s="278">
        <v>48573</v>
      </c>
      <c r="G148" s="280" t="s">
        <v>1563</v>
      </c>
      <c r="H148" s="282" t="s">
        <v>1562</v>
      </c>
      <c r="I148" s="281">
        <v>50030.19</v>
      </c>
      <c r="J148" s="280" t="s">
        <v>1561</v>
      </c>
      <c r="K148" s="279" t="s">
        <v>1560</v>
      </c>
      <c r="L148" s="281">
        <v>51001.65</v>
      </c>
      <c r="M148" s="277" t="s">
        <v>1559</v>
      </c>
      <c r="N148" s="276" t="s">
        <v>1558</v>
      </c>
      <c r="O148" s="119">
        <f t="shared" si="4"/>
        <v>48573</v>
      </c>
      <c r="P148" s="143">
        <v>21858</v>
      </c>
      <c r="Q148" s="117">
        <v>45876</v>
      </c>
    </row>
    <row r="149" spans="1:17" ht="66.75" customHeight="1" x14ac:dyDescent="0.25">
      <c r="A149" s="182" t="s">
        <v>1749</v>
      </c>
      <c r="B149" s="268" t="s">
        <v>1478</v>
      </c>
      <c r="C149" s="283" t="s">
        <v>1748</v>
      </c>
      <c r="D149" s="267" t="s">
        <v>1564</v>
      </c>
      <c r="E149" s="252" t="s">
        <v>15</v>
      </c>
      <c r="F149" s="278">
        <v>48573</v>
      </c>
      <c r="G149" s="280" t="s">
        <v>1563</v>
      </c>
      <c r="H149" s="282" t="s">
        <v>1562</v>
      </c>
      <c r="I149" s="281">
        <v>50030.19</v>
      </c>
      <c r="J149" s="280" t="s">
        <v>1561</v>
      </c>
      <c r="K149" s="279" t="s">
        <v>1560</v>
      </c>
      <c r="L149" s="281">
        <v>51001.65</v>
      </c>
      <c r="M149" s="277" t="s">
        <v>1559</v>
      </c>
      <c r="N149" s="276" t="s">
        <v>1558</v>
      </c>
      <c r="O149" s="119">
        <f t="shared" si="4"/>
        <v>48573</v>
      </c>
      <c r="P149" s="143">
        <v>21858</v>
      </c>
      <c r="Q149" s="117">
        <v>45876</v>
      </c>
    </row>
    <row r="150" spans="1:17" ht="66" customHeight="1" x14ac:dyDescent="0.25">
      <c r="A150" s="182" t="s">
        <v>1747</v>
      </c>
      <c r="B150" s="268" t="s">
        <v>1478</v>
      </c>
      <c r="C150" s="283" t="s">
        <v>1746</v>
      </c>
      <c r="D150" s="267" t="s">
        <v>1564</v>
      </c>
      <c r="E150" s="252" t="s">
        <v>15</v>
      </c>
      <c r="F150" s="278">
        <v>48573</v>
      </c>
      <c r="G150" s="280" t="s">
        <v>1563</v>
      </c>
      <c r="H150" s="282" t="s">
        <v>1562</v>
      </c>
      <c r="I150" s="281">
        <v>50030.19</v>
      </c>
      <c r="J150" s="280" t="s">
        <v>1561</v>
      </c>
      <c r="K150" s="279" t="s">
        <v>1560</v>
      </c>
      <c r="L150" s="281">
        <v>51001.65</v>
      </c>
      <c r="M150" s="277" t="s">
        <v>1559</v>
      </c>
      <c r="N150" s="276" t="s">
        <v>1558</v>
      </c>
      <c r="O150" s="119">
        <f t="shared" si="4"/>
        <v>48573</v>
      </c>
      <c r="P150" s="143">
        <v>21858</v>
      </c>
      <c r="Q150" s="117">
        <v>45876</v>
      </c>
    </row>
    <row r="151" spans="1:17" ht="68.25" customHeight="1" x14ac:dyDescent="0.25">
      <c r="A151" s="182" t="s">
        <v>1745</v>
      </c>
      <c r="B151" s="268" t="s">
        <v>1478</v>
      </c>
      <c r="C151" s="283" t="s">
        <v>1744</v>
      </c>
      <c r="D151" s="267" t="s">
        <v>1564</v>
      </c>
      <c r="E151" s="252" t="s">
        <v>15</v>
      </c>
      <c r="F151" s="278">
        <v>48573</v>
      </c>
      <c r="G151" s="280" t="s">
        <v>1563</v>
      </c>
      <c r="H151" s="282" t="s">
        <v>1562</v>
      </c>
      <c r="I151" s="281">
        <v>50030.19</v>
      </c>
      <c r="J151" s="280" t="s">
        <v>1561</v>
      </c>
      <c r="K151" s="279" t="s">
        <v>1560</v>
      </c>
      <c r="L151" s="281">
        <v>51001.65</v>
      </c>
      <c r="M151" s="277" t="s">
        <v>1559</v>
      </c>
      <c r="N151" s="276" t="s">
        <v>1558</v>
      </c>
      <c r="O151" s="119">
        <f t="shared" si="4"/>
        <v>48573</v>
      </c>
      <c r="P151" s="143">
        <v>21858</v>
      </c>
      <c r="Q151" s="117">
        <v>45876</v>
      </c>
    </row>
    <row r="152" spans="1:17" ht="68.25" customHeight="1" x14ac:dyDescent="0.25">
      <c r="A152" s="182" t="s">
        <v>1743</v>
      </c>
      <c r="B152" s="268" t="s">
        <v>1478</v>
      </c>
      <c r="C152" s="283" t="s">
        <v>1742</v>
      </c>
      <c r="D152" s="267" t="s">
        <v>1564</v>
      </c>
      <c r="E152" s="252" t="s">
        <v>15</v>
      </c>
      <c r="F152" s="278">
        <v>48573</v>
      </c>
      <c r="G152" s="280" t="s">
        <v>1563</v>
      </c>
      <c r="H152" s="282" t="s">
        <v>1562</v>
      </c>
      <c r="I152" s="281">
        <v>50030.19</v>
      </c>
      <c r="J152" s="280" t="s">
        <v>1561</v>
      </c>
      <c r="K152" s="279" t="s">
        <v>1560</v>
      </c>
      <c r="L152" s="281">
        <v>51001.65</v>
      </c>
      <c r="M152" s="277" t="s">
        <v>1559</v>
      </c>
      <c r="N152" s="276" t="s">
        <v>1558</v>
      </c>
      <c r="O152" s="119">
        <f t="shared" si="4"/>
        <v>48573</v>
      </c>
      <c r="P152" s="143">
        <v>21858</v>
      </c>
      <c r="Q152" s="117">
        <v>45876</v>
      </c>
    </row>
    <row r="153" spans="1:17" ht="68.25" customHeight="1" x14ac:dyDescent="0.25">
      <c r="A153" s="182" t="s">
        <v>1741</v>
      </c>
      <c r="B153" s="268" t="s">
        <v>1478</v>
      </c>
      <c r="C153" s="283" t="s">
        <v>1740</v>
      </c>
      <c r="D153" s="267" t="s">
        <v>1564</v>
      </c>
      <c r="E153" s="252" t="s">
        <v>15</v>
      </c>
      <c r="F153" s="278">
        <v>49581</v>
      </c>
      <c r="G153" s="280" t="s">
        <v>1563</v>
      </c>
      <c r="H153" s="282" t="s">
        <v>1562</v>
      </c>
      <c r="I153" s="281">
        <v>51068.43</v>
      </c>
      <c r="J153" s="280" t="s">
        <v>1561</v>
      </c>
      <c r="K153" s="279" t="s">
        <v>1560</v>
      </c>
      <c r="L153" s="281">
        <v>52060.05</v>
      </c>
      <c r="M153" s="277" t="s">
        <v>1559</v>
      </c>
      <c r="N153" s="276" t="s">
        <v>1558</v>
      </c>
      <c r="O153" s="119">
        <f t="shared" si="4"/>
        <v>49581</v>
      </c>
      <c r="P153" s="143">
        <v>24791</v>
      </c>
      <c r="Q153" s="117">
        <v>45876</v>
      </c>
    </row>
    <row r="154" spans="1:17" ht="68.25" customHeight="1" x14ac:dyDescent="0.25">
      <c r="A154" s="182" t="s">
        <v>1739</v>
      </c>
      <c r="B154" s="268" t="s">
        <v>1478</v>
      </c>
      <c r="C154" s="283" t="s">
        <v>1738</v>
      </c>
      <c r="D154" s="267" t="s">
        <v>1564</v>
      </c>
      <c r="E154" s="252" t="s">
        <v>15</v>
      </c>
      <c r="F154" s="278">
        <v>49581</v>
      </c>
      <c r="G154" s="280" t="s">
        <v>1563</v>
      </c>
      <c r="H154" s="282" t="s">
        <v>1562</v>
      </c>
      <c r="I154" s="281">
        <v>51068.43</v>
      </c>
      <c r="J154" s="280" t="s">
        <v>1561</v>
      </c>
      <c r="K154" s="279" t="s">
        <v>1560</v>
      </c>
      <c r="L154" s="281">
        <v>52060.05</v>
      </c>
      <c r="M154" s="277" t="s">
        <v>1559</v>
      </c>
      <c r="N154" s="276" t="s">
        <v>1558</v>
      </c>
      <c r="O154" s="119">
        <f t="shared" si="4"/>
        <v>49581</v>
      </c>
      <c r="P154" s="143">
        <v>24791</v>
      </c>
      <c r="Q154" s="117">
        <v>45876</v>
      </c>
    </row>
    <row r="155" spans="1:17" ht="68.25" customHeight="1" x14ac:dyDescent="0.25">
      <c r="A155" s="182" t="s">
        <v>1737</v>
      </c>
      <c r="B155" s="268" t="s">
        <v>1478</v>
      </c>
      <c r="C155" s="283" t="s">
        <v>1736</v>
      </c>
      <c r="D155" s="267" t="s">
        <v>1564</v>
      </c>
      <c r="E155" s="252" t="s">
        <v>15</v>
      </c>
      <c r="F155" s="278">
        <v>49581</v>
      </c>
      <c r="G155" s="280" t="s">
        <v>1563</v>
      </c>
      <c r="H155" s="282" t="s">
        <v>1562</v>
      </c>
      <c r="I155" s="281">
        <v>51068.43</v>
      </c>
      <c r="J155" s="280" t="s">
        <v>1561</v>
      </c>
      <c r="K155" s="279" t="s">
        <v>1560</v>
      </c>
      <c r="L155" s="281">
        <v>52060.05</v>
      </c>
      <c r="M155" s="277" t="s">
        <v>1559</v>
      </c>
      <c r="N155" s="276" t="s">
        <v>1558</v>
      </c>
      <c r="O155" s="119">
        <f t="shared" si="4"/>
        <v>49581</v>
      </c>
      <c r="P155" s="143">
        <v>24791</v>
      </c>
      <c r="Q155" s="117">
        <v>45876</v>
      </c>
    </row>
    <row r="156" spans="1:17" ht="68.25" customHeight="1" x14ac:dyDescent="0.25">
      <c r="A156" s="182" t="s">
        <v>1735</v>
      </c>
      <c r="B156" s="268" t="s">
        <v>1478</v>
      </c>
      <c r="C156" s="283" t="s">
        <v>1734</v>
      </c>
      <c r="D156" s="267" t="s">
        <v>1564</v>
      </c>
      <c r="E156" s="252" t="s">
        <v>15</v>
      </c>
      <c r="F156" s="278">
        <v>49581</v>
      </c>
      <c r="G156" s="280" t="s">
        <v>1563</v>
      </c>
      <c r="H156" s="282" t="s">
        <v>1562</v>
      </c>
      <c r="I156" s="281">
        <v>51068.43</v>
      </c>
      <c r="J156" s="280" t="s">
        <v>1561</v>
      </c>
      <c r="K156" s="279" t="s">
        <v>1560</v>
      </c>
      <c r="L156" s="281">
        <v>52060.05</v>
      </c>
      <c r="M156" s="277" t="s">
        <v>1559</v>
      </c>
      <c r="N156" s="276" t="s">
        <v>1558</v>
      </c>
      <c r="O156" s="119">
        <f t="shared" si="4"/>
        <v>49581</v>
      </c>
      <c r="P156" s="143">
        <v>24791</v>
      </c>
      <c r="Q156" s="117">
        <v>45876</v>
      </c>
    </row>
    <row r="157" spans="1:17" ht="68.25" customHeight="1" x14ac:dyDescent="0.25">
      <c r="A157" s="182" t="s">
        <v>1733</v>
      </c>
      <c r="B157" s="268" t="s">
        <v>1478</v>
      </c>
      <c r="C157" s="283" t="s">
        <v>1732</v>
      </c>
      <c r="D157" s="267" t="s">
        <v>1564</v>
      </c>
      <c r="E157" s="252" t="s">
        <v>15</v>
      </c>
      <c r="F157" s="278">
        <v>52500</v>
      </c>
      <c r="G157" s="280" t="s">
        <v>1563</v>
      </c>
      <c r="H157" s="282" t="s">
        <v>1562</v>
      </c>
      <c r="I157" s="297">
        <v>54075</v>
      </c>
      <c r="J157" s="280" t="s">
        <v>1561</v>
      </c>
      <c r="K157" s="279" t="s">
        <v>1560</v>
      </c>
      <c r="L157" s="297">
        <v>55125</v>
      </c>
      <c r="M157" s="277" t="s">
        <v>1559</v>
      </c>
      <c r="N157" s="276" t="s">
        <v>1558</v>
      </c>
      <c r="O157" s="119">
        <f t="shared" ref="O157:O174" si="5">MIN(F157,I157,L157)</f>
        <v>52500</v>
      </c>
      <c r="P157" s="143">
        <v>26250</v>
      </c>
      <c r="Q157" s="117">
        <v>45876</v>
      </c>
    </row>
    <row r="158" spans="1:17" ht="68.25" customHeight="1" x14ac:dyDescent="0.25">
      <c r="A158" s="182" t="s">
        <v>1731</v>
      </c>
      <c r="B158" s="268" t="s">
        <v>1478</v>
      </c>
      <c r="C158" s="283" t="s">
        <v>1730</v>
      </c>
      <c r="D158" s="267" t="s">
        <v>1564</v>
      </c>
      <c r="E158" s="252" t="s">
        <v>15</v>
      </c>
      <c r="F158" s="278">
        <v>55755</v>
      </c>
      <c r="G158" s="280" t="s">
        <v>1563</v>
      </c>
      <c r="H158" s="282" t="s">
        <v>1562</v>
      </c>
      <c r="I158" s="297">
        <v>57427.65</v>
      </c>
      <c r="J158" s="280" t="s">
        <v>1561</v>
      </c>
      <c r="K158" s="279" t="s">
        <v>1560</v>
      </c>
      <c r="L158" s="297">
        <v>58542.75</v>
      </c>
      <c r="M158" s="277" t="s">
        <v>1559</v>
      </c>
      <c r="N158" s="276" t="s">
        <v>1558</v>
      </c>
      <c r="O158" s="119">
        <f t="shared" si="5"/>
        <v>55755</v>
      </c>
      <c r="P158" s="143">
        <v>27878</v>
      </c>
      <c r="Q158" s="117">
        <v>45876</v>
      </c>
    </row>
    <row r="159" spans="1:17" ht="68.25" customHeight="1" x14ac:dyDescent="0.25">
      <c r="A159" s="182" t="s">
        <v>1729</v>
      </c>
      <c r="B159" s="268" t="s">
        <v>1478</v>
      </c>
      <c r="C159" s="283" t="s">
        <v>1728</v>
      </c>
      <c r="D159" s="267" t="s">
        <v>1564</v>
      </c>
      <c r="E159" s="252" t="s">
        <v>15</v>
      </c>
      <c r="F159" s="278">
        <v>62706</v>
      </c>
      <c r="G159" s="280" t="s">
        <v>1563</v>
      </c>
      <c r="H159" s="282" t="s">
        <v>1562</v>
      </c>
      <c r="I159" s="281">
        <v>64587.18</v>
      </c>
      <c r="J159" s="280" t="s">
        <v>1561</v>
      </c>
      <c r="K159" s="279" t="s">
        <v>1560</v>
      </c>
      <c r="L159" s="281">
        <v>65841.3</v>
      </c>
      <c r="M159" s="277" t="s">
        <v>1559</v>
      </c>
      <c r="N159" s="276" t="s">
        <v>1558</v>
      </c>
      <c r="O159" s="119">
        <f t="shared" si="5"/>
        <v>62706</v>
      </c>
      <c r="P159" s="143">
        <v>31353</v>
      </c>
      <c r="Q159" s="117">
        <v>45876</v>
      </c>
    </row>
    <row r="160" spans="1:17" ht="68.25" customHeight="1" x14ac:dyDescent="0.25">
      <c r="A160" s="182" t="s">
        <v>1727</v>
      </c>
      <c r="B160" s="268" t="s">
        <v>1478</v>
      </c>
      <c r="C160" s="283" t="s">
        <v>1726</v>
      </c>
      <c r="D160" s="267" t="s">
        <v>1564</v>
      </c>
      <c r="E160" s="252" t="s">
        <v>15</v>
      </c>
      <c r="F160" s="278">
        <v>62706</v>
      </c>
      <c r="G160" s="280" t="s">
        <v>1563</v>
      </c>
      <c r="H160" s="282" t="s">
        <v>1562</v>
      </c>
      <c r="I160" s="281">
        <v>64587.18</v>
      </c>
      <c r="J160" s="280" t="s">
        <v>1561</v>
      </c>
      <c r="K160" s="279" t="s">
        <v>1560</v>
      </c>
      <c r="L160" s="281">
        <v>65841.3</v>
      </c>
      <c r="M160" s="277" t="s">
        <v>1559</v>
      </c>
      <c r="N160" s="276" t="s">
        <v>1558</v>
      </c>
      <c r="O160" s="119">
        <f t="shared" si="5"/>
        <v>62706</v>
      </c>
      <c r="P160" s="143">
        <v>31353</v>
      </c>
      <c r="Q160" s="117">
        <v>45876</v>
      </c>
    </row>
    <row r="161" spans="1:17" ht="66" customHeight="1" x14ac:dyDescent="0.25">
      <c r="A161" s="182" t="s">
        <v>1725</v>
      </c>
      <c r="B161" s="268" t="s">
        <v>1487</v>
      </c>
      <c r="C161" s="283" t="s">
        <v>1724</v>
      </c>
      <c r="D161" s="267" t="s">
        <v>1723</v>
      </c>
      <c r="E161" s="252" t="s">
        <v>46</v>
      </c>
      <c r="F161" s="278">
        <v>259.5</v>
      </c>
      <c r="G161" s="295" t="s">
        <v>1722</v>
      </c>
      <c r="H161" s="282" t="s">
        <v>1721</v>
      </c>
      <c r="I161" s="281">
        <v>275.5</v>
      </c>
      <c r="J161" s="295" t="s">
        <v>1720</v>
      </c>
      <c r="K161" s="294" t="s">
        <v>1719</v>
      </c>
      <c r="L161" s="281">
        <v>314.63</v>
      </c>
      <c r="M161" s="296" t="s">
        <v>1718</v>
      </c>
      <c r="N161" s="276" t="s">
        <v>1717</v>
      </c>
      <c r="O161" s="119">
        <f t="shared" si="5"/>
        <v>259.5</v>
      </c>
      <c r="P161" s="143"/>
      <c r="Q161" s="117">
        <v>45876</v>
      </c>
    </row>
    <row r="162" spans="1:17" ht="60" customHeight="1" x14ac:dyDescent="0.25">
      <c r="A162" s="275"/>
      <c r="B162" s="274"/>
      <c r="C162" s="286" t="s">
        <v>1716</v>
      </c>
      <c r="D162" s="267"/>
      <c r="E162" s="252"/>
      <c r="F162" s="278"/>
      <c r="G162" s="295"/>
      <c r="H162" s="282"/>
      <c r="I162" s="281"/>
      <c r="J162" s="295"/>
      <c r="K162" s="294"/>
      <c r="L162" s="281"/>
      <c r="M162" s="293"/>
      <c r="N162" s="276"/>
      <c r="O162" s="119">
        <f t="shared" si="5"/>
        <v>0</v>
      </c>
      <c r="P162" s="143"/>
      <c r="Q162" s="117"/>
    </row>
    <row r="163" spans="1:17" ht="60" customHeight="1" x14ac:dyDescent="0.25">
      <c r="A163" s="182"/>
      <c r="B163" s="268"/>
      <c r="C163" s="288" t="s">
        <v>1715</v>
      </c>
      <c r="D163" s="267" t="s">
        <v>1708</v>
      </c>
      <c r="E163" s="252"/>
      <c r="F163" s="278"/>
      <c r="G163" s="295"/>
      <c r="H163" s="282"/>
      <c r="I163" s="281"/>
      <c r="J163" s="295"/>
      <c r="K163" s="294"/>
      <c r="L163" s="281"/>
      <c r="M163" s="293"/>
      <c r="N163" s="276"/>
      <c r="O163" s="119">
        <f t="shared" si="5"/>
        <v>0</v>
      </c>
      <c r="P163" s="143"/>
      <c r="Q163" s="117"/>
    </row>
    <row r="164" spans="1:17" ht="60" customHeight="1" x14ac:dyDescent="0.25">
      <c r="A164" s="182" t="s">
        <v>1714</v>
      </c>
      <c r="B164" s="268" t="s">
        <v>1478</v>
      </c>
      <c r="C164" s="283" t="s">
        <v>1713</v>
      </c>
      <c r="D164" s="267" t="s">
        <v>1708</v>
      </c>
      <c r="E164" s="252" t="s">
        <v>15</v>
      </c>
      <c r="F164" s="278">
        <v>328681.5</v>
      </c>
      <c r="G164" s="280" t="s">
        <v>1563</v>
      </c>
      <c r="H164" s="282" t="s">
        <v>1562</v>
      </c>
      <c r="I164" s="289">
        <v>338541.95</v>
      </c>
      <c r="J164" s="280" t="s">
        <v>1561</v>
      </c>
      <c r="K164" s="279" t="s">
        <v>1560</v>
      </c>
      <c r="L164" s="289">
        <v>345115.58</v>
      </c>
      <c r="M164" s="277" t="s">
        <v>1559</v>
      </c>
      <c r="N164" s="276" t="s">
        <v>1558</v>
      </c>
      <c r="O164" s="119">
        <f t="shared" si="5"/>
        <v>328681.5</v>
      </c>
      <c r="P164" s="143">
        <v>279379</v>
      </c>
      <c r="Q164" s="117">
        <v>45876</v>
      </c>
    </row>
    <row r="165" spans="1:17" ht="60" customHeight="1" x14ac:dyDescent="0.25">
      <c r="A165" s="182" t="s">
        <v>1712</v>
      </c>
      <c r="B165" s="268" t="s">
        <v>1478</v>
      </c>
      <c r="C165" s="283" t="s">
        <v>1695</v>
      </c>
      <c r="D165" s="267" t="s">
        <v>1708</v>
      </c>
      <c r="E165" s="252" t="s">
        <v>15</v>
      </c>
      <c r="F165" s="278">
        <v>19855.5</v>
      </c>
      <c r="G165" s="280" t="s">
        <v>1563</v>
      </c>
      <c r="H165" s="282" t="s">
        <v>1562</v>
      </c>
      <c r="I165" s="281">
        <v>20451.169999999998</v>
      </c>
      <c r="J165" s="280" t="s">
        <v>1561</v>
      </c>
      <c r="K165" s="279" t="s">
        <v>1560</v>
      </c>
      <c r="L165" s="281">
        <v>20848.28</v>
      </c>
      <c r="M165" s="277" t="s">
        <v>1559</v>
      </c>
      <c r="N165" s="276" t="s">
        <v>1558</v>
      </c>
      <c r="O165" s="119">
        <f t="shared" si="5"/>
        <v>19855.5</v>
      </c>
      <c r="P165" s="143"/>
      <c r="Q165" s="117">
        <v>45876</v>
      </c>
    </row>
    <row r="166" spans="1:17" ht="60" customHeight="1" x14ac:dyDescent="0.25">
      <c r="A166" s="182" t="s">
        <v>1711</v>
      </c>
      <c r="B166" s="268" t="s">
        <v>1478</v>
      </c>
      <c r="C166" s="283" t="s">
        <v>1693</v>
      </c>
      <c r="D166" s="267" t="s">
        <v>1708</v>
      </c>
      <c r="E166" s="252" t="s">
        <v>15</v>
      </c>
      <c r="F166" s="278">
        <v>22659</v>
      </c>
      <c r="G166" s="280" t="s">
        <v>1563</v>
      </c>
      <c r="H166" s="282" t="s">
        <v>1562</v>
      </c>
      <c r="I166" s="281">
        <v>23338.77</v>
      </c>
      <c r="J166" s="280" t="s">
        <v>1561</v>
      </c>
      <c r="K166" s="279" t="s">
        <v>1560</v>
      </c>
      <c r="L166" s="281">
        <v>23791.95</v>
      </c>
      <c r="M166" s="277" t="s">
        <v>1559</v>
      </c>
      <c r="N166" s="276" t="s">
        <v>1558</v>
      </c>
      <c r="O166" s="119">
        <f t="shared" si="5"/>
        <v>22659</v>
      </c>
      <c r="P166" s="143">
        <v>19260</v>
      </c>
      <c r="Q166" s="117">
        <v>45876</v>
      </c>
    </row>
    <row r="167" spans="1:17" ht="60" customHeight="1" x14ac:dyDescent="0.25">
      <c r="A167" s="182" t="s">
        <v>1710</v>
      </c>
      <c r="B167" s="268" t="s">
        <v>1478</v>
      </c>
      <c r="C167" s="283" t="s">
        <v>1691</v>
      </c>
      <c r="D167" s="267" t="s">
        <v>1708</v>
      </c>
      <c r="E167" s="252" t="s">
        <v>15</v>
      </c>
      <c r="F167" s="278">
        <v>7738.5</v>
      </c>
      <c r="G167" s="280" t="s">
        <v>1563</v>
      </c>
      <c r="H167" s="282" t="s">
        <v>1562</v>
      </c>
      <c r="I167" s="281">
        <v>7970.66</v>
      </c>
      <c r="J167" s="280" t="s">
        <v>1561</v>
      </c>
      <c r="K167" s="279" t="s">
        <v>1560</v>
      </c>
      <c r="L167" s="281">
        <v>8125.43</v>
      </c>
      <c r="M167" s="277" t="s">
        <v>1559</v>
      </c>
      <c r="N167" s="276" t="s">
        <v>1558</v>
      </c>
      <c r="O167" s="119">
        <f t="shared" si="5"/>
        <v>7738.5</v>
      </c>
      <c r="P167" s="143"/>
      <c r="Q167" s="117">
        <v>45876</v>
      </c>
    </row>
    <row r="168" spans="1:17" ht="60" customHeight="1" x14ac:dyDescent="0.25">
      <c r="A168" s="182" t="s">
        <v>1709</v>
      </c>
      <c r="B168" s="268" t="s">
        <v>1478</v>
      </c>
      <c r="C168" s="283" t="s">
        <v>1689</v>
      </c>
      <c r="D168" s="267" t="s">
        <v>1708</v>
      </c>
      <c r="E168" s="252" t="s">
        <v>15</v>
      </c>
      <c r="F168" s="278">
        <v>17608.5</v>
      </c>
      <c r="G168" s="280" t="s">
        <v>1563</v>
      </c>
      <c r="H168" s="282" t="s">
        <v>1562</v>
      </c>
      <c r="I168" s="281">
        <v>18136.759999999998</v>
      </c>
      <c r="J168" s="280" t="s">
        <v>1561</v>
      </c>
      <c r="K168" s="279" t="s">
        <v>1560</v>
      </c>
      <c r="L168" s="281">
        <v>18488.93</v>
      </c>
      <c r="M168" s="277" t="s">
        <v>1559</v>
      </c>
      <c r="N168" s="276" t="s">
        <v>1558</v>
      </c>
      <c r="O168" s="119">
        <f t="shared" si="5"/>
        <v>17608.5</v>
      </c>
      <c r="P168" s="143"/>
      <c r="Q168" s="117">
        <v>45876</v>
      </c>
    </row>
    <row r="169" spans="1:17" ht="60" customHeight="1" x14ac:dyDescent="0.25">
      <c r="A169" s="182"/>
      <c r="B169" s="268"/>
      <c r="C169" s="290" t="s">
        <v>1707</v>
      </c>
      <c r="D169" s="292"/>
      <c r="E169" s="252"/>
      <c r="F169" s="278"/>
      <c r="G169" s="280"/>
      <c r="H169" s="282"/>
      <c r="I169" s="281"/>
      <c r="J169" s="280"/>
      <c r="K169" s="279"/>
      <c r="L169" s="281"/>
      <c r="M169" s="277"/>
      <c r="N169" s="276"/>
      <c r="O169" s="119">
        <f t="shared" si="5"/>
        <v>0</v>
      </c>
      <c r="P169" s="143"/>
      <c r="Q169" s="117"/>
    </row>
    <row r="170" spans="1:17" ht="60" customHeight="1" x14ac:dyDescent="0.25">
      <c r="A170" s="182" t="s">
        <v>1706</v>
      </c>
      <c r="B170" s="268" t="s">
        <v>1478</v>
      </c>
      <c r="C170" s="283" t="s">
        <v>1705</v>
      </c>
      <c r="D170" s="267" t="s">
        <v>1700</v>
      </c>
      <c r="E170" s="252" t="s">
        <v>15</v>
      </c>
      <c r="F170" s="278">
        <v>392406</v>
      </c>
      <c r="G170" s="280" t="s">
        <v>1563</v>
      </c>
      <c r="H170" s="282" t="s">
        <v>1562</v>
      </c>
      <c r="I170" s="281">
        <v>404178.18</v>
      </c>
      <c r="J170" s="280" t="s">
        <v>1561</v>
      </c>
      <c r="K170" s="279" t="s">
        <v>1560</v>
      </c>
      <c r="L170" s="281">
        <v>412026.3</v>
      </c>
      <c r="M170" s="277" t="s">
        <v>1559</v>
      </c>
      <c r="N170" s="276" t="s">
        <v>1558</v>
      </c>
      <c r="O170" s="119">
        <f t="shared" si="5"/>
        <v>392406</v>
      </c>
      <c r="P170" s="143">
        <v>333545</v>
      </c>
      <c r="Q170" s="117">
        <v>45876</v>
      </c>
    </row>
    <row r="171" spans="1:17" ht="60" customHeight="1" x14ac:dyDescent="0.25">
      <c r="A171" s="182" t="s">
        <v>1704</v>
      </c>
      <c r="B171" s="268" t="s">
        <v>1478</v>
      </c>
      <c r="C171" s="283" t="s">
        <v>1695</v>
      </c>
      <c r="D171" s="267" t="s">
        <v>1700</v>
      </c>
      <c r="E171" s="252" t="s">
        <v>15</v>
      </c>
      <c r="F171" s="278">
        <v>19855.5</v>
      </c>
      <c r="G171" s="280" t="s">
        <v>1563</v>
      </c>
      <c r="H171" s="282" t="s">
        <v>1562</v>
      </c>
      <c r="I171" s="281">
        <v>20451.169999999998</v>
      </c>
      <c r="J171" s="280" t="s">
        <v>1561</v>
      </c>
      <c r="K171" s="279" t="s">
        <v>1560</v>
      </c>
      <c r="L171" s="281">
        <v>20848.28</v>
      </c>
      <c r="M171" s="277" t="s">
        <v>1559</v>
      </c>
      <c r="N171" s="276" t="s">
        <v>1558</v>
      </c>
      <c r="O171" s="119">
        <f t="shared" si="5"/>
        <v>19855.5</v>
      </c>
      <c r="P171" s="143"/>
      <c r="Q171" s="117">
        <v>45876</v>
      </c>
    </row>
    <row r="172" spans="1:17" ht="60" customHeight="1" x14ac:dyDescent="0.25">
      <c r="A172" s="182" t="s">
        <v>1703</v>
      </c>
      <c r="B172" s="268" t="s">
        <v>1478</v>
      </c>
      <c r="C172" s="283" t="s">
        <v>1693</v>
      </c>
      <c r="D172" s="267" t="s">
        <v>1700</v>
      </c>
      <c r="E172" s="252" t="s">
        <v>15</v>
      </c>
      <c r="F172" s="278">
        <v>22659</v>
      </c>
      <c r="G172" s="280" t="s">
        <v>1563</v>
      </c>
      <c r="H172" s="282" t="s">
        <v>1562</v>
      </c>
      <c r="I172" s="281">
        <v>23338.77</v>
      </c>
      <c r="J172" s="280" t="s">
        <v>1561</v>
      </c>
      <c r="K172" s="279" t="s">
        <v>1560</v>
      </c>
      <c r="L172" s="281">
        <v>23791.95</v>
      </c>
      <c r="M172" s="277" t="s">
        <v>1559</v>
      </c>
      <c r="N172" s="276" t="s">
        <v>1558</v>
      </c>
      <c r="O172" s="119">
        <f t="shared" si="5"/>
        <v>22659</v>
      </c>
      <c r="P172" s="143">
        <v>19260</v>
      </c>
      <c r="Q172" s="117">
        <v>45876</v>
      </c>
    </row>
    <row r="173" spans="1:17" ht="60" customHeight="1" x14ac:dyDescent="0.25">
      <c r="A173" s="182" t="s">
        <v>1702</v>
      </c>
      <c r="B173" s="268" t="s">
        <v>1478</v>
      </c>
      <c r="C173" s="283" t="s">
        <v>1691</v>
      </c>
      <c r="D173" s="267" t="s">
        <v>1700</v>
      </c>
      <c r="E173" s="252" t="s">
        <v>15</v>
      </c>
      <c r="F173" s="278">
        <v>7738.5</v>
      </c>
      <c r="G173" s="280" t="s">
        <v>1563</v>
      </c>
      <c r="H173" s="282" t="s">
        <v>1562</v>
      </c>
      <c r="I173" s="281">
        <v>7970.66</v>
      </c>
      <c r="J173" s="280" t="s">
        <v>1561</v>
      </c>
      <c r="K173" s="279" t="s">
        <v>1560</v>
      </c>
      <c r="L173" s="281">
        <v>8125.43</v>
      </c>
      <c r="M173" s="277" t="s">
        <v>1559</v>
      </c>
      <c r="N173" s="276" t="s">
        <v>1558</v>
      </c>
      <c r="O173" s="119">
        <f t="shared" si="5"/>
        <v>7738.5</v>
      </c>
      <c r="P173" s="143"/>
      <c r="Q173" s="117">
        <v>45876</v>
      </c>
    </row>
    <row r="174" spans="1:17" ht="60" customHeight="1" x14ac:dyDescent="0.25">
      <c r="A174" s="182" t="s">
        <v>1701</v>
      </c>
      <c r="B174" s="268" t="s">
        <v>1478</v>
      </c>
      <c r="C174" s="283" t="s">
        <v>1689</v>
      </c>
      <c r="D174" s="267" t="s">
        <v>1700</v>
      </c>
      <c r="E174" s="252" t="s">
        <v>15</v>
      </c>
      <c r="F174" s="278">
        <v>17608.5</v>
      </c>
      <c r="G174" s="280" t="s">
        <v>1563</v>
      </c>
      <c r="H174" s="282" t="s">
        <v>1562</v>
      </c>
      <c r="I174" s="281">
        <v>18136.759999999998</v>
      </c>
      <c r="J174" s="280" t="s">
        <v>1561</v>
      </c>
      <c r="K174" s="279" t="s">
        <v>1560</v>
      </c>
      <c r="L174" s="281">
        <v>18488.93</v>
      </c>
      <c r="M174" s="277" t="s">
        <v>1559</v>
      </c>
      <c r="N174" s="276" t="s">
        <v>1558</v>
      </c>
      <c r="O174" s="119">
        <f t="shared" si="5"/>
        <v>17608.5</v>
      </c>
      <c r="P174" s="143"/>
      <c r="Q174" s="117">
        <v>45876</v>
      </c>
    </row>
    <row r="175" spans="1:17" ht="60" customHeight="1" x14ac:dyDescent="0.25">
      <c r="A175" s="182"/>
      <c r="B175" s="268"/>
      <c r="C175" s="288" t="s">
        <v>1699</v>
      </c>
      <c r="D175" s="267"/>
      <c r="E175" s="252"/>
      <c r="F175" s="278"/>
      <c r="G175" s="280"/>
      <c r="H175" s="282"/>
      <c r="I175" s="281"/>
      <c r="J175" s="280"/>
      <c r="K175" s="279"/>
      <c r="L175" s="281"/>
      <c r="M175" s="277"/>
      <c r="N175" s="276"/>
      <c r="O175" s="119"/>
      <c r="P175" s="143"/>
      <c r="Q175" s="117"/>
    </row>
    <row r="176" spans="1:17" ht="60" customHeight="1" x14ac:dyDescent="0.25">
      <c r="A176" s="182" t="s">
        <v>1698</v>
      </c>
      <c r="B176" s="268" t="s">
        <v>1478</v>
      </c>
      <c r="C176" s="283" t="s">
        <v>1697</v>
      </c>
      <c r="D176" s="267" t="s">
        <v>1677</v>
      </c>
      <c r="E176" s="252" t="s">
        <v>15</v>
      </c>
      <c r="F176" s="284">
        <v>419779.5</v>
      </c>
      <c r="G176" s="280" t="s">
        <v>1563</v>
      </c>
      <c r="H176" s="282" t="s">
        <v>1562</v>
      </c>
      <c r="I176" s="281">
        <v>432372.89</v>
      </c>
      <c r="J176" s="280" t="s">
        <v>1561</v>
      </c>
      <c r="K176" s="279" t="s">
        <v>1560</v>
      </c>
      <c r="L176" s="281">
        <v>440768.48</v>
      </c>
      <c r="M176" s="277" t="s">
        <v>1559</v>
      </c>
      <c r="N176" s="276" t="s">
        <v>1558</v>
      </c>
      <c r="O176" s="119">
        <f t="shared" ref="O176:O207" si="6">MIN(F176,I176,L176)</f>
        <v>419779.5</v>
      </c>
      <c r="P176" s="143">
        <v>356813</v>
      </c>
      <c r="Q176" s="117">
        <v>45876</v>
      </c>
    </row>
    <row r="177" spans="1:17" ht="60" customHeight="1" x14ac:dyDescent="0.25">
      <c r="A177" s="182" t="s">
        <v>1696</v>
      </c>
      <c r="B177" s="268" t="s">
        <v>1478</v>
      </c>
      <c r="C177" s="283" t="s">
        <v>1695</v>
      </c>
      <c r="D177" s="267" t="s">
        <v>1677</v>
      </c>
      <c r="E177" s="252" t="s">
        <v>15</v>
      </c>
      <c r="F177" s="278">
        <v>19855.5</v>
      </c>
      <c r="G177" s="280" t="s">
        <v>1563</v>
      </c>
      <c r="H177" s="282" t="s">
        <v>1562</v>
      </c>
      <c r="I177" s="281">
        <v>20451.169999999998</v>
      </c>
      <c r="J177" s="280" t="s">
        <v>1561</v>
      </c>
      <c r="K177" s="279" t="s">
        <v>1560</v>
      </c>
      <c r="L177" s="281">
        <v>20848.28</v>
      </c>
      <c r="M177" s="277" t="s">
        <v>1559</v>
      </c>
      <c r="N177" s="276" t="s">
        <v>1558</v>
      </c>
      <c r="O177" s="119">
        <f t="shared" si="6"/>
        <v>19855.5</v>
      </c>
      <c r="P177" s="143"/>
      <c r="Q177" s="117">
        <v>45876</v>
      </c>
    </row>
    <row r="178" spans="1:17" ht="60" customHeight="1" x14ac:dyDescent="0.25">
      <c r="A178" s="182" t="s">
        <v>1694</v>
      </c>
      <c r="B178" s="268" t="s">
        <v>1478</v>
      </c>
      <c r="C178" s="283" t="s">
        <v>1693</v>
      </c>
      <c r="D178" s="267" t="s">
        <v>1677</v>
      </c>
      <c r="E178" s="252" t="s">
        <v>15</v>
      </c>
      <c r="F178" s="278">
        <v>22659</v>
      </c>
      <c r="G178" s="280" t="s">
        <v>1563</v>
      </c>
      <c r="H178" s="282" t="s">
        <v>1562</v>
      </c>
      <c r="I178" s="289">
        <v>23338.77</v>
      </c>
      <c r="J178" s="280" t="s">
        <v>1561</v>
      </c>
      <c r="K178" s="279" t="s">
        <v>1560</v>
      </c>
      <c r="L178" s="281">
        <v>23791.95</v>
      </c>
      <c r="M178" s="277" t="s">
        <v>1559</v>
      </c>
      <c r="N178" s="276" t="s">
        <v>1558</v>
      </c>
      <c r="O178" s="119">
        <f t="shared" si="6"/>
        <v>22659</v>
      </c>
      <c r="P178" s="143">
        <v>19260</v>
      </c>
      <c r="Q178" s="117">
        <v>45876</v>
      </c>
    </row>
    <row r="179" spans="1:17" ht="60" customHeight="1" x14ac:dyDescent="0.25">
      <c r="A179" s="182" t="s">
        <v>1692</v>
      </c>
      <c r="B179" s="268" t="s">
        <v>1478</v>
      </c>
      <c r="C179" s="283" t="s">
        <v>1691</v>
      </c>
      <c r="D179" s="267" t="s">
        <v>1677</v>
      </c>
      <c r="E179" s="252" t="s">
        <v>15</v>
      </c>
      <c r="F179" s="278">
        <v>7738.5</v>
      </c>
      <c r="G179" s="280" t="s">
        <v>1563</v>
      </c>
      <c r="H179" s="282" t="s">
        <v>1562</v>
      </c>
      <c r="I179" s="289">
        <v>7970.66</v>
      </c>
      <c r="J179" s="280" t="s">
        <v>1561</v>
      </c>
      <c r="K179" s="279" t="s">
        <v>1560</v>
      </c>
      <c r="L179" s="281">
        <v>8125.43</v>
      </c>
      <c r="M179" s="277" t="s">
        <v>1559</v>
      </c>
      <c r="N179" s="276" t="s">
        <v>1558</v>
      </c>
      <c r="O179" s="119">
        <f t="shared" si="6"/>
        <v>7738.5</v>
      </c>
      <c r="P179" s="143"/>
      <c r="Q179" s="117">
        <v>45876</v>
      </c>
    </row>
    <row r="180" spans="1:17" ht="60" customHeight="1" x14ac:dyDescent="0.25">
      <c r="A180" s="182" t="s">
        <v>1690</v>
      </c>
      <c r="B180" s="268" t="s">
        <v>1478</v>
      </c>
      <c r="C180" s="283" t="s">
        <v>1689</v>
      </c>
      <c r="D180" s="267" t="s">
        <v>1677</v>
      </c>
      <c r="E180" s="252" t="s">
        <v>15</v>
      </c>
      <c r="F180" s="278">
        <v>17608.5</v>
      </c>
      <c r="G180" s="280" t="s">
        <v>1563</v>
      </c>
      <c r="H180" s="282" t="s">
        <v>1562</v>
      </c>
      <c r="I180" s="289">
        <v>18136.759999999998</v>
      </c>
      <c r="J180" s="280" t="s">
        <v>1561</v>
      </c>
      <c r="K180" s="279" t="s">
        <v>1560</v>
      </c>
      <c r="L180" s="281">
        <v>18488.93</v>
      </c>
      <c r="M180" s="277" t="s">
        <v>1559</v>
      </c>
      <c r="N180" s="276" t="s">
        <v>1558</v>
      </c>
      <c r="O180" s="119">
        <f t="shared" si="6"/>
        <v>17608.5</v>
      </c>
      <c r="P180" s="143"/>
      <c r="Q180" s="117">
        <v>45876</v>
      </c>
    </row>
    <row r="181" spans="1:17" ht="60" customHeight="1" x14ac:dyDescent="0.25">
      <c r="A181" s="182"/>
      <c r="B181" s="268"/>
      <c r="C181" s="290" t="s">
        <v>1688</v>
      </c>
      <c r="D181" s="267"/>
      <c r="E181" s="252"/>
      <c r="F181" s="284"/>
      <c r="G181" s="280"/>
      <c r="H181" s="282"/>
      <c r="I181" s="281"/>
      <c r="J181" s="280"/>
      <c r="K181" s="279"/>
      <c r="L181" s="281"/>
      <c r="M181" s="277"/>
      <c r="N181" s="276"/>
      <c r="O181" s="119">
        <f t="shared" si="6"/>
        <v>0</v>
      </c>
      <c r="P181" s="143"/>
      <c r="Q181" s="117"/>
    </row>
    <row r="182" spans="1:17" ht="60" customHeight="1" x14ac:dyDescent="0.25">
      <c r="A182" s="182" t="s">
        <v>1687</v>
      </c>
      <c r="B182" s="268" t="s">
        <v>1478</v>
      </c>
      <c r="C182" s="283" t="s">
        <v>1686</v>
      </c>
      <c r="D182" s="267" t="s">
        <v>1677</v>
      </c>
      <c r="E182" s="252" t="s">
        <v>15</v>
      </c>
      <c r="F182" s="284">
        <v>704151</v>
      </c>
      <c r="G182" s="280" t="s">
        <v>1563</v>
      </c>
      <c r="H182" s="282" t="s">
        <v>1562</v>
      </c>
      <c r="I182" s="281">
        <v>725275.53</v>
      </c>
      <c r="J182" s="280" t="s">
        <v>1561</v>
      </c>
      <c r="K182" s="279" t="s">
        <v>1560</v>
      </c>
      <c r="L182" s="281">
        <v>739358.55</v>
      </c>
      <c r="M182" s="277" t="s">
        <v>1559</v>
      </c>
      <c r="N182" s="276" t="s">
        <v>1558</v>
      </c>
      <c r="O182" s="119">
        <f t="shared" si="6"/>
        <v>704151</v>
      </c>
      <c r="P182" s="143">
        <v>598528</v>
      </c>
      <c r="Q182" s="117">
        <v>45876</v>
      </c>
    </row>
    <row r="183" spans="1:17" ht="60" customHeight="1" x14ac:dyDescent="0.25">
      <c r="A183" s="182" t="s">
        <v>1685</v>
      </c>
      <c r="B183" s="268" t="s">
        <v>1478</v>
      </c>
      <c r="C183" s="283" t="s">
        <v>1684</v>
      </c>
      <c r="D183" s="267" t="s">
        <v>1677</v>
      </c>
      <c r="E183" s="252" t="s">
        <v>15</v>
      </c>
      <c r="F183" s="284">
        <v>25242</v>
      </c>
      <c r="G183" s="280" t="s">
        <v>1563</v>
      </c>
      <c r="H183" s="282" t="s">
        <v>1562</v>
      </c>
      <c r="I183" s="281">
        <v>25999.26</v>
      </c>
      <c r="J183" s="280" t="s">
        <v>1561</v>
      </c>
      <c r="K183" s="279" t="s">
        <v>1560</v>
      </c>
      <c r="L183" s="281">
        <v>26504.1</v>
      </c>
      <c r="M183" s="277" t="s">
        <v>1559</v>
      </c>
      <c r="N183" s="276" t="s">
        <v>1558</v>
      </c>
      <c r="O183" s="119">
        <f t="shared" si="6"/>
        <v>25242</v>
      </c>
      <c r="P183" s="143"/>
      <c r="Q183" s="117">
        <v>45876</v>
      </c>
    </row>
    <row r="184" spans="1:17" ht="60" customHeight="1" x14ac:dyDescent="0.25">
      <c r="A184" s="182" t="s">
        <v>1683</v>
      </c>
      <c r="B184" s="268" t="s">
        <v>1478</v>
      </c>
      <c r="C184" s="283" t="s">
        <v>1682</v>
      </c>
      <c r="D184" s="267" t="s">
        <v>1677</v>
      </c>
      <c r="E184" s="252" t="s">
        <v>15</v>
      </c>
      <c r="F184" s="284">
        <v>33652</v>
      </c>
      <c r="G184" s="280" t="s">
        <v>1563</v>
      </c>
      <c r="H184" s="282" t="s">
        <v>1562</v>
      </c>
      <c r="I184" s="281">
        <v>34662.080000000002</v>
      </c>
      <c r="J184" s="280" t="s">
        <v>1561</v>
      </c>
      <c r="K184" s="279" t="s">
        <v>1560</v>
      </c>
      <c r="L184" s="281">
        <v>35335.129999999997</v>
      </c>
      <c r="M184" s="277" t="s">
        <v>1559</v>
      </c>
      <c r="N184" s="276" t="s">
        <v>1558</v>
      </c>
      <c r="O184" s="119">
        <f t="shared" si="6"/>
        <v>33652</v>
      </c>
      <c r="P184" s="143">
        <v>28605</v>
      </c>
      <c r="Q184" s="117">
        <v>45876</v>
      </c>
    </row>
    <row r="185" spans="1:17" ht="60" customHeight="1" x14ac:dyDescent="0.25">
      <c r="A185" s="182" t="s">
        <v>1681</v>
      </c>
      <c r="B185" s="268" t="s">
        <v>1478</v>
      </c>
      <c r="C185" s="283" t="s">
        <v>1680</v>
      </c>
      <c r="D185" s="267" t="s">
        <v>1677</v>
      </c>
      <c r="E185" s="252" t="s">
        <v>15</v>
      </c>
      <c r="F185" s="284">
        <v>11781</v>
      </c>
      <c r="G185" s="280" t="s">
        <v>1563</v>
      </c>
      <c r="H185" s="282" t="s">
        <v>1562</v>
      </c>
      <c r="I185" s="281">
        <v>12134.43</v>
      </c>
      <c r="J185" s="280" t="s">
        <v>1561</v>
      </c>
      <c r="K185" s="279" t="s">
        <v>1560</v>
      </c>
      <c r="L185" s="281">
        <v>12370.05</v>
      </c>
      <c r="M185" s="277" t="s">
        <v>1559</v>
      </c>
      <c r="N185" s="276" t="s">
        <v>1558</v>
      </c>
      <c r="O185" s="119">
        <f t="shared" si="6"/>
        <v>11781</v>
      </c>
      <c r="P185" s="143"/>
      <c r="Q185" s="117">
        <v>45876</v>
      </c>
    </row>
    <row r="186" spans="1:17" ht="60" customHeight="1" x14ac:dyDescent="0.25">
      <c r="A186" s="182" t="s">
        <v>1679</v>
      </c>
      <c r="B186" s="268" t="s">
        <v>1478</v>
      </c>
      <c r="C186" s="283" t="s">
        <v>1678</v>
      </c>
      <c r="D186" s="267" t="s">
        <v>1677</v>
      </c>
      <c r="E186" s="252" t="s">
        <v>15</v>
      </c>
      <c r="F186" s="284">
        <v>21315</v>
      </c>
      <c r="G186" s="280" t="s">
        <v>1563</v>
      </c>
      <c r="H186" s="282" t="s">
        <v>1562</v>
      </c>
      <c r="I186" s="281">
        <v>21954.45</v>
      </c>
      <c r="J186" s="280" t="s">
        <v>1561</v>
      </c>
      <c r="K186" s="279" t="s">
        <v>1560</v>
      </c>
      <c r="L186" s="281">
        <v>22380.75</v>
      </c>
      <c r="M186" s="277" t="s">
        <v>1559</v>
      </c>
      <c r="N186" s="276" t="s">
        <v>1558</v>
      </c>
      <c r="O186" s="119">
        <f t="shared" si="6"/>
        <v>21315</v>
      </c>
      <c r="P186" s="143"/>
      <c r="Q186" s="117">
        <v>45876</v>
      </c>
    </row>
    <row r="187" spans="1:17" ht="60" customHeight="1" x14ac:dyDescent="0.25">
      <c r="A187" s="182"/>
      <c r="B187" s="268"/>
      <c r="C187" s="290" t="s">
        <v>1676</v>
      </c>
      <c r="D187" s="267"/>
      <c r="E187" s="252"/>
      <c r="F187" s="284"/>
      <c r="G187" s="280"/>
      <c r="H187" s="282"/>
      <c r="I187" s="281"/>
      <c r="J187" s="280"/>
      <c r="K187" s="279"/>
      <c r="L187" s="281"/>
      <c r="M187" s="277"/>
      <c r="N187" s="276"/>
      <c r="O187" s="119">
        <f t="shared" si="6"/>
        <v>0</v>
      </c>
      <c r="P187" s="143"/>
      <c r="Q187" s="117"/>
    </row>
    <row r="188" spans="1:17" ht="60" customHeight="1" x14ac:dyDescent="0.25">
      <c r="A188" s="182" t="s">
        <v>1675</v>
      </c>
      <c r="B188" s="268" t="s">
        <v>1478</v>
      </c>
      <c r="C188" s="283" t="s">
        <v>1674</v>
      </c>
      <c r="D188" s="267" t="s">
        <v>1640</v>
      </c>
      <c r="E188" s="252" t="s">
        <v>15</v>
      </c>
      <c r="F188" s="291">
        <v>106008</v>
      </c>
      <c r="G188" s="280" t="s">
        <v>1563</v>
      </c>
      <c r="H188" s="282" t="s">
        <v>1562</v>
      </c>
      <c r="I188" s="289">
        <v>109188.24</v>
      </c>
      <c r="J188" s="280" t="s">
        <v>1561</v>
      </c>
      <c r="K188" s="279" t="s">
        <v>1560</v>
      </c>
      <c r="L188" s="284">
        <v>111308.4</v>
      </c>
      <c r="M188" s="277" t="s">
        <v>1559</v>
      </c>
      <c r="N188" s="276" t="s">
        <v>1558</v>
      </c>
      <c r="O188" s="119">
        <f t="shared" si="6"/>
        <v>106008</v>
      </c>
      <c r="P188" s="143">
        <v>90107</v>
      </c>
      <c r="Q188" s="117">
        <v>45876</v>
      </c>
    </row>
    <row r="189" spans="1:17" ht="60" customHeight="1" x14ac:dyDescent="0.25">
      <c r="A189" s="182" t="s">
        <v>1673</v>
      </c>
      <c r="B189" s="268" t="s">
        <v>1478</v>
      </c>
      <c r="C189" s="283" t="s">
        <v>1635</v>
      </c>
      <c r="D189" s="267" t="s">
        <v>1640</v>
      </c>
      <c r="E189" s="252" t="s">
        <v>15</v>
      </c>
      <c r="F189" s="284">
        <v>20863.5</v>
      </c>
      <c r="G189" s="280" t="s">
        <v>1563</v>
      </c>
      <c r="H189" s="282" t="s">
        <v>1562</v>
      </c>
      <c r="I189" s="281">
        <v>21489.41</v>
      </c>
      <c r="J189" s="280" t="s">
        <v>1561</v>
      </c>
      <c r="K189" s="279" t="s">
        <v>1560</v>
      </c>
      <c r="L189" s="284">
        <v>21906.68</v>
      </c>
      <c r="M189" s="277" t="s">
        <v>1559</v>
      </c>
      <c r="N189" s="276" t="s">
        <v>1558</v>
      </c>
      <c r="O189" s="119">
        <f t="shared" si="6"/>
        <v>20863.5</v>
      </c>
      <c r="P189" s="143"/>
      <c r="Q189" s="117">
        <v>45876</v>
      </c>
    </row>
    <row r="190" spans="1:17" ht="60" customHeight="1" x14ac:dyDescent="0.25">
      <c r="A190" s="182" t="s">
        <v>1672</v>
      </c>
      <c r="B190" s="268" t="s">
        <v>1478</v>
      </c>
      <c r="C190" s="283" t="s">
        <v>1633</v>
      </c>
      <c r="D190" s="267" t="s">
        <v>1640</v>
      </c>
      <c r="E190" s="252" t="s">
        <v>15</v>
      </c>
      <c r="F190" s="284">
        <v>17944.5</v>
      </c>
      <c r="G190" s="280" t="s">
        <v>1563</v>
      </c>
      <c r="H190" s="282" t="s">
        <v>1562</v>
      </c>
      <c r="I190" s="281">
        <v>18482.84</v>
      </c>
      <c r="J190" s="280" t="s">
        <v>1561</v>
      </c>
      <c r="K190" s="279" t="s">
        <v>1560</v>
      </c>
      <c r="L190" s="284">
        <v>18841.73</v>
      </c>
      <c r="M190" s="277" t="s">
        <v>1559</v>
      </c>
      <c r="N190" s="276" t="s">
        <v>1558</v>
      </c>
      <c r="O190" s="119">
        <f t="shared" si="6"/>
        <v>17944.5</v>
      </c>
      <c r="P190" s="143"/>
      <c r="Q190" s="117">
        <v>45876</v>
      </c>
    </row>
    <row r="191" spans="1:17" ht="60" customHeight="1" x14ac:dyDescent="0.25">
      <c r="A191" s="182"/>
      <c r="B191" s="268"/>
      <c r="C191" s="290" t="s">
        <v>1671</v>
      </c>
      <c r="D191" s="267"/>
      <c r="E191" s="252"/>
      <c r="F191" s="284"/>
      <c r="G191" s="280"/>
      <c r="H191" s="282"/>
      <c r="I191" s="281"/>
      <c r="J191" s="280"/>
      <c r="K191" s="279"/>
      <c r="L191" s="281"/>
      <c r="M191" s="277"/>
      <c r="N191" s="276"/>
      <c r="O191" s="119">
        <f t="shared" si="6"/>
        <v>0</v>
      </c>
      <c r="P191" s="143"/>
      <c r="Q191" s="117"/>
    </row>
    <row r="192" spans="1:17" ht="60" customHeight="1" x14ac:dyDescent="0.25">
      <c r="A192" s="182" t="s">
        <v>1670</v>
      </c>
      <c r="B192" s="268" t="s">
        <v>1478</v>
      </c>
      <c r="C192" s="283" t="s">
        <v>1669</v>
      </c>
      <c r="D192" s="267" t="s">
        <v>1640</v>
      </c>
      <c r="E192" s="252" t="s">
        <v>15</v>
      </c>
      <c r="F192" s="284">
        <v>16831.5</v>
      </c>
      <c r="G192" s="280" t="s">
        <v>1563</v>
      </c>
      <c r="H192" s="282" t="s">
        <v>1562</v>
      </c>
      <c r="I192" s="289">
        <v>17336.45</v>
      </c>
      <c r="J192" s="280" t="s">
        <v>1561</v>
      </c>
      <c r="K192" s="279" t="s">
        <v>1560</v>
      </c>
      <c r="L192" s="281">
        <v>17673.080000000002</v>
      </c>
      <c r="M192" s="277" t="s">
        <v>1559</v>
      </c>
      <c r="N192" s="276" t="s">
        <v>1558</v>
      </c>
      <c r="O192" s="119">
        <f t="shared" si="6"/>
        <v>16831.5</v>
      </c>
      <c r="P192" s="143"/>
      <c r="Q192" s="117">
        <v>45876</v>
      </c>
    </row>
    <row r="193" spans="1:17" ht="60" customHeight="1" x14ac:dyDescent="0.25">
      <c r="A193" s="182" t="s">
        <v>1668</v>
      </c>
      <c r="B193" s="268" t="s">
        <v>1478</v>
      </c>
      <c r="C193" s="283" t="s">
        <v>1667</v>
      </c>
      <c r="D193" s="267" t="s">
        <v>1640</v>
      </c>
      <c r="E193" s="252" t="s">
        <v>15</v>
      </c>
      <c r="F193" s="284">
        <v>95130</v>
      </c>
      <c r="G193" s="280" t="s">
        <v>1563</v>
      </c>
      <c r="H193" s="282" t="s">
        <v>1562</v>
      </c>
      <c r="I193" s="281">
        <v>97983.9</v>
      </c>
      <c r="J193" s="280" t="s">
        <v>1561</v>
      </c>
      <c r="K193" s="279" t="s">
        <v>1560</v>
      </c>
      <c r="L193" s="281">
        <v>99886.5</v>
      </c>
      <c r="M193" s="277" t="s">
        <v>1559</v>
      </c>
      <c r="N193" s="276" t="s">
        <v>1558</v>
      </c>
      <c r="O193" s="119">
        <f t="shared" si="6"/>
        <v>95130</v>
      </c>
      <c r="P193" s="143">
        <v>80861</v>
      </c>
      <c r="Q193" s="117">
        <v>45876</v>
      </c>
    </row>
    <row r="194" spans="1:17" ht="60" customHeight="1" x14ac:dyDescent="0.25">
      <c r="A194" s="182" t="s">
        <v>1666</v>
      </c>
      <c r="B194" s="268" t="s">
        <v>1478</v>
      </c>
      <c r="C194" s="283" t="s">
        <v>1665</v>
      </c>
      <c r="D194" s="267" t="s">
        <v>1640</v>
      </c>
      <c r="E194" s="252" t="s">
        <v>15</v>
      </c>
      <c r="F194" s="284">
        <v>19855.5</v>
      </c>
      <c r="G194" s="280" t="s">
        <v>1563</v>
      </c>
      <c r="H194" s="282" t="s">
        <v>1562</v>
      </c>
      <c r="I194" s="281">
        <v>20451.169999999998</v>
      </c>
      <c r="J194" s="280" t="s">
        <v>1561</v>
      </c>
      <c r="K194" s="279" t="s">
        <v>1560</v>
      </c>
      <c r="L194" s="281">
        <v>20848.28</v>
      </c>
      <c r="M194" s="277" t="s">
        <v>1559</v>
      </c>
      <c r="N194" s="276" t="s">
        <v>1558</v>
      </c>
      <c r="O194" s="119">
        <f t="shared" si="6"/>
        <v>19855.5</v>
      </c>
      <c r="P194" s="143"/>
      <c r="Q194" s="117">
        <v>45876</v>
      </c>
    </row>
    <row r="195" spans="1:17" ht="60" customHeight="1" x14ac:dyDescent="0.25">
      <c r="A195" s="182"/>
      <c r="B195" s="268"/>
      <c r="C195" s="288" t="s">
        <v>1664</v>
      </c>
      <c r="D195" s="267"/>
      <c r="E195" s="252"/>
      <c r="F195" s="284"/>
      <c r="G195" s="280"/>
      <c r="H195" s="282"/>
      <c r="I195" s="281"/>
      <c r="J195" s="280"/>
      <c r="K195" s="279"/>
      <c r="L195" s="281"/>
      <c r="M195" s="277"/>
      <c r="N195" s="276"/>
      <c r="O195" s="119">
        <f t="shared" si="6"/>
        <v>0</v>
      </c>
      <c r="P195" s="143"/>
      <c r="Q195" s="117"/>
    </row>
    <row r="196" spans="1:17" ht="60" customHeight="1" x14ac:dyDescent="0.25">
      <c r="A196" s="182" t="s">
        <v>1663</v>
      </c>
      <c r="B196" s="268" t="s">
        <v>1478</v>
      </c>
      <c r="C196" s="287" t="s">
        <v>1662</v>
      </c>
      <c r="D196" s="267" t="s">
        <v>1655</v>
      </c>
      <c r="E196" s="252" t="s">
        <v>15</v>
      </c>
      <c r="F196" s="284">
        <v>4042.5</v>
      </c>
      <c r="G196" s="280" t="s">
        <v>1563</v>
      </c>
      <c r="H196" s="282" t="s">
        <v>1562</v>
      </c>
      <c r="I196" s="281">
        <v>4163.78</v>
      </c>
      <c r="J196" s="280" t="s">
        <v>1561</v>
      </c>
      <c r="K196" s="279" t="s">
        <v>1560</v>
      </c>
      <c r="L196" s="281">
        <v>4244.63</v>
      </c>
      <c r="M196" s="277" t="s">
        <v>1559</v>
      </c>
      <c r="N196" s="276" t="s">
        <v>1558</v>
      </c>
      <c r="O196" s="119">
        <f t="shared" si="6"/>
        <v>4042.5</v>
      </c>
      <c r="P196" s="143"/>
      <c r="Q196" s="117">
        <v>45876</v>
      </c>
    </row>
    <row r="197" spans="1:17" ht="60" customHeight="1" x14ac:dyDescent="0.25">
      <c r="A197" s="182" t="s">
        <v>1661</v>
      </c>
      <c r="B197" s="268" t="s">
        <v>1478</v>
      </c>
      <c r="C197" s="287" t="s">
        <v>1660</v>
      </c>
      <c r="D197" s="267" t="s">
        <v>1655</v>
      </c>
      <c r="E197" s="252" t="s">
        <v>15</v>
      </c>
      <c r="F197" s="284">
        <v>136405.5</v>
      </c>
      <c r="G197" s="280" t="s">
        <v>1563</v>
      </c>
      <c r="H197" s="282" t="s">
        <v>1562</v>
      </c>
      <c r="I197" s="281">
        <v>140497.67000000001</v>
      </c>
      <c r="J197" s="280" t="s">
        <v>1561</v>
      </c>
      <c r="K197" s="279" t="s">
        <v>1560</v>
      </c>
      <c r="L197" s="281">
        <v>143225.78</v>
      </c>
      <c r="M197" s="277" t="s">
        <v>1559</v>
      </c>
      <c r="N197" s="276" t="s">
        <v>1558</v>
      </c>
      <c r="O197" s="119">
        <f t="shared" si="6"/>
        <v>136405.5</v>
      </c>
      <c r="P197" s="143">
        <v>115945</v>
      </c>
      <c r="Q197" s="117">
        <v>45876</v>
      </c>
    </row>
    <row r="198" spans="1:17" ht="60" customHeight="1" x14ac:dyDescent="0.25">
      <c r="A198" s="182" t="s">
        <v>1659</v>
      </c>
      <c r="B198" s="268" t="s">
        <v>1478</v>
      </c>
      <c r="C198" s="287" t="s">
        <v>1658</v>
      </c>
      <c r="D198" s="267" t="s">
        <v>1655</v>
      </c>
      <c r="E198" s="252" t="s">
        <v>15</v>
      </c>
      <c r="F198" s="284">
        <v>9754.5</v>
      </c>
      <c r="G198" s="280" t="s">
        <v>1563</v>
      </c>
      <c r="H198" s="282" t="s">
        <v>1562</v>
      </c>
      <c r="I198" s="281">
        <v>10047.14</v>
      </c>
      <c r="J198" s="280" t="s">
        <v>1561</v>
      </c>
      <c r="K198" s="279" t="s">
        <v>1560</v>
      </c>
      <c r="L198" s="281">
        <v>10242.23</v>
      </c>
      <c r="M198" s="277" t="s">
        <v>1559</v>
      </c>
      <c r="N198" s="276" t="s">
        <v>1558</v>
      </c>
      <c r="O198" s="119">
        <f t="shared" si="6"/>
        <v>9754.5</v>
      </c>
      <c r="P198" s="143"/>
      <c r="Q198" s="117">
        <v>45876</v>
      </c>
    </row>
    <row r="199" spans="1:17" ht="60" customHeight="1" x14ac:dyDescent="0.25">
      <c r="A199" s="182" t="s">
        <v>1657</v>
      </c>
      <c r="B199" s="268" t="s">
        <v>1478</v>
      </c>
      <c r="C199" s="287" t="s">
        <v>1656</v>
      </c>
      <c r="D199" s="267" t="s">
        <v>1655</v>
      </c>
      <c r="E199" s="252" t="s">
        <v>15</v>
      </c>
      <c r="F199" s="284">
        <v>8410.5</v>
      </c>
      <c r="G199" s="280" t="s">
        <v>1563</v>
      </c>
      <c r="H199" s="282" t="s">
        <v>1562</v>
      </c>
      <c r="I199" s="281">
        <v>8662.82</v>
      </c>
      <c r="J199" s="280" t="s">
        <v>1561</v>
      </c>
      <c r="K199" s="279" t="s">
        <v>1560</v>
      </c>
      <c r="L199" s="281">
        <v>8831.0300000000007</v>
      </c>
      <c r="M199" s="277" t="s">
        <v>1559</v>
      </c>
      <c r="N199" s="276" t="s">
        <v>1558</v>
      </c>
      <c r="O199" s="119">
        <f t="shared" si="6"/>
        <v>8410.5</v>
      </c>
      <c r="P199" s="143"/>
      <c r="Q199" s="117">
        <v>45876</v>
      </c>
    </row>
    <row r="200" spans="1:17" ht="60" customHeight="1" x14ac:dyDescent="0.25">
      <c r="A200" s="182"/>
      <c r="B200" s="268"/>
      <c r="C200" s="288" t="s">
        <v>1654</v>
      </c>
      <c r="D200" s="267"/>
      <c r="E200" s="252"/>
      <c r="F200" s="284"/>
      <c r="G200" s="280"/>
      <c r="H200" s="282"/>
      <c r="I200" s="281"/>
      <c r="J200" s="280"/>
      <c r="K200" s="279"/>
      <c r="L200" s="281"/>
      <c r="M200" s="277"/>
      <c r="N200" s="276"/>
      <c r="O200" s="119">
        <f t="shared" si="6"/>
        <v>0</v>
      </c>
      <c r="P200" s="143"/>
      <c r="Q200" s="117"/>
    </row>
    <row r="201" spans="1:17" ht="60" customHeight="1" x14ac:dyDescent="0.25">
      <c r="A201" s="182" t="s">
        <v>1653</v>
      </c>
      <c r="B201" s="268" t="s">
        <v>1478</v>
      </c>
      <c r="C201" s="287" t="s">
        <v>1652</v>
      </c>
      <c r="D201" s="267" t="s">
        <v>1640</v>
      </c>
      <c r="E201" s="252" t="s">
        <v>15</v>
      </c>
      <c r="F201" s="284">
        <v>18396</v>
      </c>
      <c r="G201" s="280" t="s">
        <v>1563</v>
      </c>
      <c r="H201" s="282" t="s">
        <v>1562</v>
      </c>
      <c r="I201" s="281">
        <v>18947.88</v>
      </c>
      <c r="J201" s="280" t="s">
        <v>1561</v>
      </c>
      <c r="K201" s="279" t="s">
        <v>1560</v>
      </c>
      <c r="L201" s="281">
        <v>19315.8</v>
      </c>
      <c r="M201" s="277" t="s">
        <v>1559</v>
      </c>
      <c r="N201" s="276" t="s">
        <v>1558</v>
      </c>
      <c r="O201" s="119">
        <f t="shared" si="6"/>
        <v>18396</v>
      </c>
      <c r="P201" s="143"/>
      <c r="Q201" s="117">
        <v>45876</v>
      </c>
    </row>
    <row r="202" spans="1:17" ht="60" customHeight="1" x14ac:dyDescent="0.25">
      <c r="A202" s="182" t="s">
        <v>1651</v>
      </c>
      <c r="B202" s="268" t="s">
        <v>1478</v>
      </c>
      <c r="C202" s="287" t="s">
        <v>1650</v>
      </c>
      <c r="D202" s="267" t="s">
        <v>1640</v>
      </c>
      <c r="E202" s="252" t="s">
        <v>15</v>
      </c>
      <c r="F202" s="284">
        <v>127323</v>
      </c>
      <c r="G202" s="280" t="s">
        <v>1563</v>
      </c>
      <c r="H202" s="282" t="s">
        <v>1562</v>
      </c>
      <c r="I202" s="281">
        <v>131142.69</v>
      </c>
      <c r="J202" s="280" t="s">
        <v>1561</v>
      </c>
      <c r="K202" s="279" t="s">
        <v>1560</v>
      </c>
      <c r="L202" s="281">
        <v>133689.15</v>
      </c>
      <c r="M202" s="277" t="s">
        <v>1559</v>
      </c>
      <c r="N202" s="276" t="s">
        <v>1558</v>
      </c>
      <c r="O202" s="119">
        <f t="shared" si="6"/>
        <v>127323</v>
      </c>
      <c r="P202" s="143">
        <v>108225</v>
      </c>
      <c r="Q202" s="117">
        <v>45876</v>
      </c>
    </row>
    <row r="203" spans="1:17" ht="60" customHeight="1" x14ac:dyDescent="0.25">
      <c r="A203" s="182" t="s">
        <v>1649</v>
      </c>
      <c r="B203" s="268" t="s">
        <v>1478</v>
      </c>
      <c r="C203" s="287" t="s">
        <v>1648</v>
      </c>
      <c r="D203" s="267" t="s">
        <v>1640</v>
      </c>
      <c r="E203" s="252" t="s">
        <v>15</v>
      </c>
      <c r="F203" s="284">
        <v>24454.5</v>
      </c>
      <c r="G203" s="280" t="s">
        <v>1563</v>
      </c>
      <c r="H203" s="282" t="s">
        <v>1562</v>
      </c>
      <c r="I203" s="281">
        <v>25188.14</v>
      </c>
      <c r="J203" s="280" t="s">
        <v>1561</v>
      </c>
      <c r="K203" s="279" t="s">
        <v>1560</v>
      </c>
      <c r="L203" s="281">
        <v>25677.23</v>
      </c>
      <c r="M203" s="277" t="s">
        <v>1559</v>
      </c>
      <c r="N203" s="276" t="s">
        <v>1558</v>
      </c>
      <c r="O203" s="119">
        <f t="shared" si="6"/>
        <v>24454.5</v>
      </c>
      <c r="P203" s="143"/>
      <c r="Q203" s="117">
        <v>45876</v>
      </c>
    </row>
    <row r="204" spans="1:17" ht="60" customHeight="1" x14ac:dyDescent="0.25">
      <c r="A204" s="182"/>
      <c r="B204" s="268"/>
      <c r="C204" s="288" t="s">
        <v>1647</v>
      </c>
      <c r="D204" s="267"/>
      <c r="E204" s="252"/>
      <c r="F204" s="284"/>
      <c r="G204" s="280"/>
      <c r="H204" s="282"/>
      <c r="I204" s="281"/>
      <c r="J204" s="280"/>
      <c r="K204" s="279"/>
      <c r="L204" s="281"/>
      <c r="M204" s="277"/>
      <c r="N204" s="276"/>
      <c r="O204" s="119">
        <f t="shared" si="6"/>
        <v>0</v>
      </c>
      <c r="P204" s="143"/>
      <c r="Q204" s="117"/>
    </row>
    <row r="205" spans="1:17" ht="60" customHeight="1" x14ac:dyDescent="0.25">
      <c r="A205" s="182" t="s">
        <v>1646</v>
      </c>
      <c r="B205" s="268" t="s">
        <v>1478</v>
      </c>
      <c r="C205" s="287" t="s">
        <v>1645</v>
      </c>
      <c r="D205" s="267" t="s">
        <v>1640</v>
      </c>
      <c r="E205" s="252" t="s">
        <v>15</v>
      </c>
      <c r="F205" s="284">
        <v>19068</v>
      </c>
      <c r="G205" s="280" t="s">
        <v>1563</v>
      </c>
      <c r="H205" s="282" t="s">
        <v>1562</v>
      </c>
      <c r="I205" s="281">
        <v>19640.04</v>
      </c>
      <c r="J205" s="280" t="s">
        <v>1561</v>
      </c>
      <c r="K205" s="279" t="s">
        <v>1560</v>
      </c>
      <c r="L205" s="281">
        <v>20021.400000000001</v>
      </c>
      <c r="M205" s="277" t="s">
        <v>1559</v>
      </c>
      <c r="N205" s="276" t="s">
        <v>1558</v>
      </c>
      <c r="O205" s="119">
        <f t="shared" si="6"/>
        <v>19068</v>
      </c>
      <c r="P205" s="143"/>
      <c r="Q205" s="117">
        <v>45876</v>
      </c>
    </row>
    <row r="206" spans="1:17" ht="60" customHeight="1" x14ac:dyDescent="0.25">
      <c r="A206" s="182" t="s">
        <v>1644</v>
      </c>
      <c r="B206" s="268" t="s">
        <v>1478</v>
      </c>
      <c r="C206" s="287" t="s">
        <v>1643</v>
      </c>
      <c r="D206" s="267" t="s">
        <v>1640</v>
      </c>
      <c r="E206" s="252" t="s">
        <v>15</v>
      </c>
      <c r="F206" s="284">
        <v>249375</v>
      </c>
      <c r="G206" s="280" t="s">
        <v>1563</v>
      </c>
      <c r="H206" s="282" t="s">
        <v>1562</v>
      </c>
      <c r="I206" s="281">
        <v>256856.25</v>
      </c>
      <c r="J206" s="280" t="s">
        <v>1561</v>
      </c>
      <c r="K206" s="279" t="s">
        <v>1560</v>
      </c>
      <c r="L206" s="281">
        <v>261843.75</v>
      </c>
      <c r="M206" s="277" t="s">
        <v>1559</v>
      </c>
      <c r="N206" s="276" t="s">
        <v>1558</v>
      </c>
      <c r="O206" s="119">
        <f t="shared" si="6"/>
        <v>249375</v>
      </c>
      <c r="P206" s="143">
        <v>211969</v>
      </c>
      <c r="Q206" s="117">
        <v>45876</v>
      </c>
    </row>
    <row r="207" spans="1:17" ht="60" customHeight="1" x14ac:dyDescent="0.25">
      <c r="A207" s="182" t="s">
        <v>1642</v>
      </c>
      <c r="B207" s="268" t="s">
        <v>1478</v>
      </c>
      <c r="C207" s="287" t="s">
        <v>1641</v>
      </c>
      <c r="D207" s="267" t="s">
        <v>1640</v>
      </c>
      <c r="E207" s="252" t="s">
        <v>15</v>
      </c>
      <c r="F207" s="284">
        <v>25242</v>
      </c>
      <c r="G207" s="280" t="s">
        <v>1563</v>
      </c>
      <c r="H207" s="282" t="s">
        <v>1562</v>
      </c>
      <c r="I207" s="281">
        <v>25999.26</v>
      </c>
      <c r="J207" s="280" t="s">
        <v>1561</v>
      </c>
      <c r="K207" s="279" t="s">
        <v>1560</v>
      </c>
      <c r="L207" s="281">
        <v>26504.1</v>
      </c>
      <c r="M207" s="277" t="s">
        <v>1559</v>
      </c>
      <c r="N207" s="276" t="s">
        <v>1558</v>
      </c>
      <c r="O207" s="119">
        <f t="shared" si="6"/>
        <v>25242</v>
      </c>
      <c r="P207" s="143"/>
      <c r="Q207" s="117">
        <v>45876</v>
      </c>
    </row>
    <row r="208" spans="1:17" ht="60" customHeight="1" x14ac:dyDescent="0.25">
      <c r="A208" s="182"/>
      <c r="B208" s="268"/>
      <c r="C208" s="288" t="s">
        <v>1639</v>
      </c>
      <c r="D208" s="267"/>
      <c r="E208" s="252"/>
      <c r="F208" s="284"/>
      <c r="G208" s="280"/>
      <c r="H208" s="282"/>
      <c r="I208" s="281"/>
      <c r="J208" s="280"/>
      <c r="K208" s="279"/>
      <c r="L208" s="281"/>
      <c r="M208" s="277"/>
      <c r="N208" s="276"/>
      <c r="O208" s="119"/>
      <c r="P208" s="143"/>
      <c r="Q208" s="117"/>
    </row>
    <row r="209" spans="1:17" ht="60" customHeight="1" x14ac:dyDescent="0.25">
      <c r="A209" s="182" t="s">
        <v>1638</v>
      </c>
      <c r="B209" s="268" t="s">
        <v>1478</v>
      </c>
      <c r="C209" s="287" t="s">
        <v>1637</v>
      </c>
      <c r="D209" s="267" t="s">
        <v>1632</v>
      </c>
      <c r="E209" s="252" t="s">
        <v>15</v>
      </c>
      <c r="F209" s="284">
        <v>134389.5</v>
      </c>
      <c r="G209" s="280" t="s">
        <v>1563</v>
      </c>
      <c r="H209" s="282" t="s">
        <v>1562</v>
      </c>
      <c r="I209" s="281">
        <v>138421.19</v>
      </c>
      <c r="J209" s="280" t="s">
        <v>1561</v>
      </c>
      <c r="K209" s="279" t="s">
        <v>1560</v>
      </c>
      <c r="L209" s="281">
        <v>141108.98000000001</v>
      </c>
      <c r="M209" s="277" t="s">
        <v>1559</v>
      </c>
      <c r="N209" s="276" t="s">
        <v>1558</v>
      </c>
      <c r="O209" s="119">
        <f t="shared" ref="O209:O240" si="7">MIN(F209,I209,L209)</f>
        <v>134389.5</v>
      </c>
      <c r="P209" s="143">
        <v>114231</v>
      </c>
      <c r="Q209" s="117">
        <v>45876</v>
      </c>
    </row>
    <row r="210" spans="1:17" ht="60" customHeight="1" x14ac:dyDescent="0.25">
      <c r="A210" s="182" t="s">
        <v>1636</v>
      </c>
      <c r="B210" s="268" t="s">
        <v>1478</v>
      </c>
      <c r="C210" s="283" t="s">
        <v>1635</v>
      </c>
      <c r="D210" s="267" t="s">
        <v>1632</v>
      </c>
      <c r="E210" s="252" t="s">
        <v>15</v>
      </c>
      <c r="F210" s="284">
        <v>20863.5</v>
      </c>
      <c r="G210" s="280" t="s">
        <v>1563</v>
      </c>
      <c r="H210" s="282" t="s">
        <v>1562</v>
      </c>
      <c r="I210" s="281">
        <v>21489.41</v>
      </c>
      <c r="J210" s="280" t="s">
        <v>1561</v>
      </c>
      <c r="K210" s="279" t="s">
        <v>1560</v>
      </c>
      <c r="L210" s="281">
        <v>21906.68</v>
      </c>
      <c r="M210" s="277" t="s">
        <v>1559</v>
      </c>
      <c r="N210" s="276" t="s">
        <v>1558</v>
      </c>
      <c r="O210" s="119">
        <f t="shared" si="7"/>
        <v>20863.5</v>
      </c>
      <c r="P210" s="143"/>
      <c r="Q210" s="117">
        <v>45876</v>
      </c>
    </row>
    <row r="211" spans="1:17" ht="60" customHeight="1" x14ac:dyDescent="0.25">
      <c r="A211" s="182" t="s">
        <v>1634</v>
      </c>
      <c r="B211" s="268" t="s">
        <v>1478</v>
      </c>
      <c r="C211" s="283" t="s">
        <v>1633</v>
      </c>
      <c r="D211" s="267" t="s">
        <v>1632</v>
      </c>
      <c r="E211" s="252" t="s">
        <v>15</v>
      </c>
      <c r="F211" s="284">
        <v>17944.5</v>
      </c>
      <c r="G211" s="280" t="s">
        <v>1563</v>
      </c>
      <c r="H211" s="282" t="s">
        <v>1562</v>
      </c>
      <c r="I211" s="281">
        <v>18482.84</v>
      </c>
      <c r="J211" s="280" t="s">
        <v>1561</v>
      </c>
      <c r="K211" s="279" t="s">
        <v>1560</v>
      </c>
      <c r="L211" s="284">
        <v>18841.73</v>
      </c>
      <c r="M211" s="277" t="s">
        <v>1559</v>
      </c>
      <c r="N211" s="276" t="s">
        <v>1558</v>
      </c>
      <c r="O211" s="119">
        <f t="shared" si="7"/>
        <v>17944.5</v>
      </c>
      <c r="P211" s="143"/>
      <c r="Q211" s="117">
        <v>45876</v>
      </c>
    </row>
    <row r="212" spans="1:17" ht="60" customHeight="1" x14ac:dyDescent="0.25">
      <c r="A212" s="275"/>
      <c r="B212" s="274"/>
      <c r="C212" s="286" t="s">
        <v>1631</v>
      </c>
      <c r="D212" s="267"/>
      <c r="E212" s="252"/>
      <c r="F212" s="278"/>
      <c r="G212" s="280"/>
      <c r="H212" s="282"/>
      <c r="I212" s="281"/>
      <c r="J212" s="280"/>
      <c r="K212" s="279"/>
      <c r="L212" s="278"/>
      <c r="M212" s="277"/>
      <c r="N212" s="276"/>
      <c r="O212" s="119">
        <f t="shared" si="7"/>
        <v>0</v>
      </c>
      <c r="P212" s="143"/>
      <c r="Q212" s="117"/>
    </row>
    <row r="213" spans="1:17" ht="60" customHeight="1" x14ac:dyDescent="0.25">
      <c r="A213" s="182" t="s">
        <v>1630</v>
      </c>
      <c r="B213" s="268" t="s">
        <v>1478</v>
      </c>
      <c r="C213" s="285" t="s">
        <v>1629</v>
      </c>
      <c r="D213" s="267" t="s">
        <v>1564</v>
      </c>
      <c r="E213" s="252" t="s">
        <v>15</v>
      </c>
      <c r="F213" s="278">
        <v>58107</v>
      </c>
      <c r="G213" s="280" t="s">
        <v>1563</v>
      </c>
      <c r="H213" s="282" t="s">
        <v>1562</v>
      </c>
      <c r="I213" s="281">
        <v>59850.21</v>
      </c>
      <c r="J213" s="280" t="s">
        <v>1561</v>
      </c>
      <c r="K213" s="279" t="s">
        <v>1560</v>
      </c>
      <c r="L213" s="278">
        <v>61012.35</v>
      </c>
      <c r="M213" s="277" t="s">
        <v>1559</v>
      </c>
      <c r="N213" s="276" t="s">
        <v>1558</v>
      </c>
      <c r="O213" s="119">
        <f t="shared" si="7"/>
        <v>58107</v>
      </c>
      <c r="P213" s="143">
        <v>26148</v>
      </c>
      <c r="Q213" s="117">
        <v>45876</v>
      </c>
    </row>
    <row r="214" spans="1:17" ht="60" customHeight="1" x14ac:dyDescent="0.25">
      <c r="A214" s="182" t="s">
        <v>1628</v>
      </c>
      <c r="B214" s="268" t="s">
        <v>1478</v>
      </c>
      <c r="C214" s="283" t="s">
        <v>1627</v>
      </c>
      <c r="D214" s="267" t="s">
        <v>1564</v>
      </c>
      <c r="E214" s="252" t="s">
        <v>15</v>
      </c>
      <c r="F214" s="278">
        <v>55755</v>
      </c>
      <c r="G214" s="280" t="s">
        <v>1563</v>
      </c>
      <c r="H214" s="282" t="s">
        <v>1562</v>
      </c>
      <c r="I214" s="281">
        <v>57427.65</v>
      </c>
      <c r="J214" s="280" t="s">
        <v>1561</v>
      </c>
      <c r="K214" s="279" t="s">
        <v>1560</v>
      </c>
      <c r="L214" s="284">
        <v>58542.75</v>
      </c>
      <c r="M214" s="277" t="s">
        <v>1559</v>
      </c>
      <c r="N214" s="276" t="s">
        <v>1558</v>
      </c>
      <c r="O214" s="119">
        <f t="shared" si="7"/>
        <v>55755</v>
      </c>
      <c r="P214" s="143">
        <v>25090</v>
      </c>
      <c r="Q214" s="117">
        <v>45876</v>
      </c>
    </row>
    <row r="215" spans="1:17" ht="60" customHeight="1" x14ac:dyDescent="0.25">
      <c r="A215" s="182" t="s">
        <v>1626</v>
      </c>
      <c r="B215" s="268" t="s">
        <v>1478</v>
      </c>
      <c r="C215" s="283" t="s">
        <v>1625</v>
      </c>
      <c r="D215" s="267" t="s">
        <v>1564</v>
      </c>
      <c r="E215" s="252" t="s">
        <v>15</v>
      </c>
      <c r="F215" s="278">
        <v>62034</v>
      </c>
      <c r="G215" s="280" t="s">
        <v>1563</v>
      </c>
      <c r="H215" s="282" t="s">
        <v>1562</v>
      </c>
      <c r="I215" s="281">
        <v>63895.02</v>
      </c>
      <c r="J215" s="280" t="s">
        <v>1561</v>
      </c>
      <c r="K215" s="279" t="s">
        <v>1560</v>
      </c>
      <c r="L215" s="278">
        <v>65135.7</v>
      </c>
      <c r="M215" s="277" t="s">
        <v>1559</v>
      </c>
      <c r="N215" s="276" t="s">
        <v>1558</v>
      </c>
      <c r="O215" s="119">
        <f t="shared" si="7"/>
        <v>62034</v>
      </c>
      <c r="P215" s="143">
        <v>27915</v>
      </c>
      <c r="Q215" s="117">
        <v>45876</v>
      </c>
    </row>
    <row r="216" spans="1:17" ht="60" customHeight="1" x14ac:dyDescent="0.25">
      <c r="A216" s="182" t="s">
        <v>1624</v>
      </c>
      <c r="B216" s="268" t="s">
        <v>1478</v>
      </c>
      <c r="C216" s="283" t="s">
        <v>1623</v>
      </c>
      <c r="D216" s="267" t="s">
        <v>1564</v>
      </c>
      <c r="E216" s="252" t="s">
        <v>15</v>
      </c>
      <c r="F216" s="278">
        <v>63042</v>
      </c>
      <c r="G216" s="280" t="s">
        <v>1563</v>
      </c>
      <c r="H216" s="282" t="s">
        <v>1562</v>
      </c>
      <c r="I216" s="281">
        <v>64933.26</v>
      </c>
      <c r="J216" s="280" t="s">
        <v>1561</v>
      </c>
      <c r="K216" s="279" t="s">
        <v>1560</v>
      </c>
      <c r="L216" s="278">
        <v>66194.100000000006</v>
      </c>
      <c r="M216" s="277" t="s">
        <v>1559</v>
      </c>
      <c r="N216" s="276" t="s">
        <v>1558</v>
      </c>
      <c r="O216" s="119">
        <f t="shared" si="7"/>
        <v>63042</v>
      </c>
      <c r="P216" s="143">
        <v>31521</v>
      </c>
      <c r="Q216" s="117">
        <v>45876</v>
      </c>
    </row>
    <row r="217" spans="1:17" ht="60" customHeight="1" x14ac:dyDescent="0.25">
      <c r="A217" s="182" t="s">
        <v>1622</v>
      </c>
      <c r="B217" s="268" t="s">
        <v>1478</v>
      </c>
      <c r="C217" s="283" t="s">
        <v>1621</v>
      </c>
      <c r="D217" s="267" t="s">
        <v>1564</v>
      </c>
      <c r="E217" s="252" t="s">
        <v>15</v>
      </c>
      <c r="F217" s="278">
        <v>62254.5</v>
      </c>
      <c r="G217" s="280" t="s">
        <v>1563</v>
      </c>
      <c r="H217" s="282" t="s">
        <v>1562</v>
      </c>
      <c r="I217" s="281">
        <v>64122.14</v>
      </c>
      <c r="J217" s="280" t="s">
        <v>1561</v>
      </c>
      <c r="K217" s="279" t="s">
        <v>1560</v>
      </c>
      <c r="L217" s="278">
        <v>65367.23</v>
      </c>
      <c r="M217" s="277" t="s">
        <v>1559</v>
      </c>
      <c r="N217" s="276" t="s">
        <v>1558</v>
      </c>
      <c r="O217" s="119">
        <f t="shared" si="7"/>
        <v>62254.5</v>
      </c>
      <c r="P217" s="143">
        <v>31127</v>
      </c>
      <c r="Q217" s="117">
        <v>45876</v>
      </c>
    </row>
    <row r="218" spans="1:17" ht="60" customHeight="1" x14ac:dyDescent="0.25">
      <c r="A218" s="182" t="s">
        <v>1620</v>
      </c>
      <c r="B218" s="268" t="s">
        <v>1478</v>
      </c>
      <c r="C218" s="283" t="s">
        <v>1619</v>
      </c>
      <c r="D218" s="267" t="s">
        <v>1564</v>
      </c>
      <c r="E218" s="252" t="s">
        <v>15</v>
      </c>
      <c r="F218" s="278">
        <v>64281</v>
      </c>
      <c r="G218" s="280" t="s">
        <v>1563</v>
      </c>
      <c r="H218" s="282" t="s">
        <v>1562</v>
      </c>
      <c r="I218" s="281">
        <v>66209.429999999993</v>
      </c>
      <c r="J218" s="280" t="s">
        <v>1561</v>
      </c>
      <c r="K218" s="279" t="s">
        <v>1560</v>
      </c>
      <c r="L218" s="278">
        <v>67495.05</v>
      </c>
      <c r="M218" s="277" t="s">
        <v>1559</v>
      </c>
      <c r="N218" s="276" t="s">
        <v>1558</v>
      </c>
      <c r="O218" s="119">
        <f t="shared" si="7"/>
        <v>64281</v>
      </c>
      <c r="P218" s="143">
        <v>32141</v>
      </c>
      <c r="Q218" s="117">
        <v>45876</v>
      </c>
    </row>
    <row r="219" spans="1:17" ht="60" customHeight="1" x14ac:dyDescent="0.25">
      <c r="A219" s="182" t="s">
        <v>1618</v>
      </c>
      <c r="B219" s="268" t="s">
        <v>1478</v>
      </c>
      <c r="C219" s="283" t="s">
        <v>1617</v>
      </c>
      <c r="D219" s="267" t="s">
        <v>1564</v>
      </c>
      <c r="E219" s="252" t="s">
        <v>15</v>
      </c>
      <c r="F219" s="278">
        <v>64617</v>
      </c>
      <c r="G219" s="280" t="s">
        <v>1563</v>
      </c>
      <c r="H219" s="282" t="s">
        <v>1562</v>
      </c>
      <c r="I219" s="281">
        <v>66555.509999999995</v>
      </c>
      <c r="J219" s="280" t="s">
        <v>1561</v>
      </c>
      <c r="K219" s="279" t="s">
        <v>1560</v>
      </c>
      <c r="L219" s="278">
        <v>67847.850000000006</v>
      </c>
      <c r="M219" s="277" t="s">
        <v>1559</v>
      </c>
      <c r="N219" s="276" t="s">
        <v>1558</v>
      </c>
      <c r="O219" s="119">
        <f t="shared" si="7"/>
        <v>64617</v>
      </c>
      <c r="P219" s="143">
        <v>32309</v>
      </c>
      <c r="Q219" s="117">
        <v>45876</v>
      </c>
    </row>
    <row r="220" spans="1:17" ht="60" customHeight="1" x14ac:dyDescent="0.25">
      <c r="A220" s="182" t="s">
        <v>1616</v>
      </c>
      <c r="B220" s="268" t="s">
        <v>1478</v>
      </c>
      <c r="C220" s="283" t="s">
        <v>1615</v>
      </c>
      <c r="D220" s="267" t="s">
        <v>1564</v>
      </c>
      <c r="E220" s="252" t="s">
        <v>15</v>
      </c>
      <c r="F220" s="278">
        <v>125191.5</v>
      </c>
      <c r="G220" s="280" t="s">
        <v>1563</v>
      </c>
      <c r="H220" s="282" t="s">
        <v>1562</v>
      </c>
      <c r="I220" s="281">
        <v>128947.25</v>
      </c>
      <c r="J220" s="280" t="s">
        <v>1561</v>
      </c>
      <c r="K220" s="279" t="s">
        <v>1560</v>
      </c>
      <c r="L220" s="278">
        <v>131451.07999999999</v>
      </c>
      <c r="M220" s="277" t="s">
        <v>1559</v>
      </c>
      <c r="N220" s="276" t="s">
        <v>1558</v>
      </c>
      <c r="O220" s="119">
        <f t="shared" si="7"/>
        <v>125191.5</v>
      </c>
      <c r="P220" s="143">
        <v>37557</v>
      </c>
      <c r="Q220" s="117">
        <v>45876</v>
      </c>
    </row>
    <row r="221" spans="1:17" ht="60" customHeight="1" x14ac:dyDescent="0.25">
      <c r="A221" s="182" t="s">
        <v>1614</v>
      </c>
      <c r="B221" s="268" t="s">
        <v>1478</v>
      </c>
      <c r="C221" s="283" t="s">
        <v>1613</v>
      </c>
      <c r="D221" s="267" t="s">
        <v>1564</v>
      </c>
      <c r="E221" s="252" t="s">
        <v>15</v>
      </c>
      <c r="F221" s="278">
        <v>64617</v>
      </c>
      <c r="G221" s="280" t="s">
        <v>1563</v>
      </c>
      <c r="H221" s="282" t="s">
        <v>1562</v>
      </c>
      <c r="I221" s="281">
        <v>66555.509999999995</v>
      </c>
      <c r="J221" s="280" t="s">
        <v>1561</v>
      </c>
      <c r="K221" s="279" t="s">
        <v>1560</v>
      </c>
      <c r="L221" s="278">
        <v>67847.850000000006</v>
      </c>
      <c r="M221" s="277" t="s">
        <v>1559</v>
      </c>
      <c r="N221" s="276" t="s">
        <v>1558</v>
      </c>
      <c r="O221" s="119">
        <f t="shared" si="7"/>
        <v>64617</v>
      </c>
      <c r="P221" s="143">
        <v>32309</v>
      </c>
      <c r="Q221" s="117">
        <v>45876</v>
      </c>
    </row>
    <row r="222" spans="1:17" ht="60" customHeight="1" x14ac:dyDescent="0.25">
      <c r="A222" s="182" t="s">
        <v>1612</v>
      </c>
      <c r="B222" s="268" t="s">
        <v>1478</v>
      </c>
      <c r="C222" s="283" t="s">
        <v>1611</v>
      </c>
      <c r="D222" s="267" t="s">
        <v>1564</v>
      </c>
      <c r="E222" s="252" t="s">
        <v>15</v>
      </c>
      <c r="F222" s="278">
        <v>72240</v>
      </c>
      <c r="G222" s="280" t="s">
        <v>1563</v>
      </c>
      <c r="H222" s="282" t="s">
        <v>1562</v>
      </c>
      <c r="I222" s="281">
        <v>74407.199999999997</v>
      </c>
      <c r="J222" s="280" t="s">
        <v>1561</v>
      </c>
      <c r="K222" s="279" t="s">
        <v>1560</v>
      </c>
      <c r="L222" s="278">
        <v>75852</v>
      </c>
      <c r="M222" s="277" t="s">
        <v>1559</v>
      </c>
      <c r="N222" s="276" t="s">
        <v>1558</v>
      </c>
      <c r="O222" s="119">
        <f t="shared" si="7"/>
        <v>72240</v>
      </c>
      <c r="P222" s="143">
        <v>36120</v>
      </c>
      <c r="Q222" s="117">
        <v>45876</v>
      </c>
    </row>
    <row r="223" spans="1:17" ht="60" customHeight="1" x14ac:dyDescent="0.25">
      <c r="A223" s="182" t="s">
        <v>1610</v>
      </c>
      <c r="B223" s="268" t="s">
        <v>1478</v>
      </c>
      <c r="C223" s="283" t="s">
        <v>1609</v>
      </c>
      <c r="D223" s="267" t="s">
        <v>1564</v>
      </c>
      <c r="E223" s="252" t="s">
        <v>15</v>
      </c>
      <c r="F223" s="278">
        <v>65404.5</v>
      </c>
      <c r="G223" s="280" t="s">
        <v>1563</v>
      </c>
      <c r="H223" s="282" t="s">
        <v>1562</v>
      </c>
      <c r="I223" s="281">
        <v>67366.64</v>
      </c>
      <c r="J223" s="280" t="s">
        <v>1561</v>
      </c>
      <c r="K223" s="279" t="s">
        <v>1560</v>
      </c>
      <c r="L223" s="278">
        <v>68674.73</v>
      </c>
      <c r="M223" s="277" t="s">
        <v>1559</v>
      </c>
      <c r="N223" s="276" t="s">
        <v>1558</v>
      </c>
      <c r="O223" s="119">
        <f t="shared" si="7"/>
        <v>65404.5</v>
      </c>
      <c r="P223" s="143">
        <v>32702</v>
      </c>
      <c r="Q223" s="117">
        <v>45876</v>
      </c>
    </row>
    <row r="224" spans="1:17" ht="60" customHeight="1" x14ac:dyDescent="0.25">
      <c r="A224" s="182" t="s">
        <v>1608</v>
      </c>
      <c r="B224" s="268" t="s">
        <v>1478</v>
      </c>
      <c r="C224" s="283" t="s">
        <v>1607</v>
      </c>
      <c r="D224" s="267" t="s">
        <v>1564</v>
      </c>
      <c r="E224" s="252" t="s">
        <v>15</v>
      </c>
      <c r="F224" s="278">
        <v>130242</v>
      </c>
      <c r="G224" s="280" t="s">
        <v>1563</v>
      </c>
      <c r="H224" s="282" t="s">
        <v>1562</v>
      </c>
      <c r="I224" s="281">
        <v>134149.26</v>
      </c>
      <c r="J224" s="280" t="s">
        <v>1561</v>
      </c>
      <c r="K224" s="279" t="s">
        <v>1560</v>
      </c>
      <c r="L224" s="278">
        <v>136754.1</v>
      </c>
      <c r="M224" s="277" t="s">
        <v>1559</v>
      </c>
      <c r="N224" s="276" t="s">
        <v>1558</v>
      </c>
      <c r="O224" s="119">
        <f t="shared" si="7"/>
        <v>130242</v>
      </c>
      <c r="P224" s="143">
        <v>52097</v>
      </c>
      <c r="Q224" s="117">
        <v>45876</v>
      </c>
    </row>
    <row r="225" spans="1:17" ht="60" customHeight="1" x14ac:dyDescent="0.25">
      <c r="A225" s="182" t="s">
        <v>1606</v>
      </c>
      <c r="B225" s="268" t="s">
        <v>1478</v>
      </c>
      <c r="C225" s="283" t="s">
        <v>1605</v>
      </c>
      <c r="D225" s="267" t="s">
        <v>1564</v>
      </c>
      <c r="E225" s="252" t="s">
        <v>15</v>
      </c>
      <c r="F225" s="284">
        <v>106620</v>
      </c>
      <c r="G225" s="280" t="s">
        <v>1563</v>
      </c>
      <c r="H225" s="282" t="s">
        <v>1562</v>
      </c>
      <c r="I225" s="281">
        <v>108185.5</v>
      </c>
      <c r="J225" s="280" t="s">
        <v>1561</v>
      </c>
      <c r="K225" s="279" t="s">
        <v>1560</v>
      </c>
      <c r="L225" s="278">
        <v>110815.15</v>
      </c>
      <c r="M225" s="277" t="s">
        <v>1559</v>
      </c>
      <c r="N225" s="276" t="s">
        <v>1558</v>
      </c>
      <c r="O225" s="119">
        <f t="shared" si="7"/>
        <v>106620</v>
      </c>
      <c r="P225" s="143">
        <v>42648</v>
      </c>
      <c r="Q225" s="117">
        <v>45876</v>
      </c>
    </row>
    <row r="226" spans="1:17" ht="60" customHeight="1" x14ac:dyDescent="0.25">
      <c r="A226" s="182" t="s">
        <v>1604</v>
      </c>
      <c r="B226" s="268" t="s">
        <v>1478</v>
      </c>
      <c r="C226" s="283" t="s">
        <v>1603</v>
      </c>
      <c r="D226" s="267" t="s">
        <v>1564</v>
      </c>
      <c r="E226" s="252" t="s">
        <v>15</v>
      </c>
      <c r="F226" s="278">
        <v>123396</v>
      </c>
      <c r="G226" s="280" t="s">
        <v>1563</v>
      </c>
      <c r="H226" s="282" t="s">
        <v>1562</v>
      </c>
      <c r="I226" s="281">
        <v>127097.88</v>
      </c>
      <c r="J226" s="280" t="s">
        <v>1561</v>
      </c>
      <c r="K226" s="279" t="s">
        <v>1560</v>
      </c>
      <c r="L226" s="278">
        <v>129565.8</v>
      </c>
      <c r="M226" s="277" t="s">
        <v>1559</v>
      </c>
      <c r="N226" s="276" t="s">
        <v>1558</v>
      </c>
      <c r="O226" s="119">
        <f t="shared" si="7"/>
        <v>123396</v>
      </c>
      <c r="P226" s="143">
        <v>49358</v>
      </c>
      <c r="Q226" s="117">
        <v>45876</v>
      </c>
    </row>
    <row r="227" spans="1:17" ht="60" customHeight="1" x14ac:dyDescent="0.25">
      <c r="A227" s="182" t="s">
        <v>1602</v>
      </c>
      <c r="B227" s="268" t="s">
        <v>1478</v>
      </c>
      <c r="C227" s="283" t="s">
        <v>1601</v>
      </c>
      <c r="D227" s="267" t="s">
        <v>1564</v>
      </c>
      <c r="E227" s="252" t="s">
        <v>15</v>
      </c>
      <c r="F227" s="278">
        <v>121495.5</v>
      </c>
      <c r="G227" s="280" t="s">
        <v>1563</v>
      </c>
      <c r="H227" s="282" t="s">
        <v>1562</v>
      </c>
      <c r="I227" s="281">
        <v>125140.37</v>
      </c>
      <c r="J227" s="280" t="s">
        <v>1561</v>
      </c>
      <c r="K227" s="279" t="s">
        <v>1560</v>
      </c>
      <c r="L227" s="278">
        <v>127570.28</v>
      </c>
      <c r="M227" s="277" t="s">
        <v>1559</v>
      </c>
      <c r="N227" s="276" t="s">
        <v>1558</v>
      </c>
      <c r="O227" s="119">
        <f t="shared" si="7"/>
        <v>121495.5</v>
      </c>
      <c r="P227" s="143">
        <v>60748</v>
      </c>
      <c r="Q227" s="117">
        <v>45876</v>
      </c>
    </row>
    <row r="228" spans="1:17" ht="60" customHeight="1" x14ac:dyDescent="0.25">
      <c r="A228" s="182" t="s">
        <v>1600</v>
      </c>
      <c r="B228" s="268" t="s">
        <v>1478</v>
      </c>
      <c r="C228" s="283" t="s">
        <v>1599</v>
      </c>
      <c r="D228" s="267" t="s">
        <v>1564</v>
      </c>
      <c r="E228" s="252" t="s">
        <v>15</v>
      </c>
      <c r="F228" s="278">
        <v>123175.5</v>
      </c>
      <c r="G228" s="280" t="s">
        <v>1563</v>
      </c>
      <c r="H228" s="282" t="s">
        <v>1562</v>
      </c>
      <c r="I228" s="281">
        <v>126870.77</v>
      </c>
      <c r="J228" s="280" t="s">
        <v>1561</v>
      </c>
      <c r="K228" s="279" t="s">
        <v>1560</v>
      </c>
      <c r="L228" s="278">
        <v>129334.28</v>
      </c>
      <c r="M228" s="277" t="s">
        <v>1559</v>
      </c>
      <c r="N228" s="276" t="s">
        <v>1558</v>
      </c>
      <c r="O228" s="119">
        <f t="shared" si="7"/>
        <v>123175.5</v>
      </c>
      <c r="P228" s="143">
        <v>61588</v>
      </c>
      <c r="Q228" s="117">
        <v>45876</v>
      </c>
    </row>
    <row r="229" spans="1:17" ht="60" customHeight="1" x14ac:dyDescent="0.25">
      <c r="A229" s="182" t="s">
        <v>1598</v>
      </c>
      <c r="B229" s="268" t="s">
        <v>1478</v>
      </c>
      <c r="C229" s="283" t="s">
        <v>1597</v>
      </c>
      <c r="D229" s="267" t="s">
        <v>1564</v>
      </c>
      <c r="E229" s="252" t="s">
        <v>15</v>
      </c>
      <c r="F229" s="278">
        <v>125191.5</v>
      </c>
      <c r="G229" s="280" t="s">
        <v>1563</v>
      </c>
      <c r="H229" s="282" t="s">
        <v>1562</v>
      </c>
      <c r="I229" s="281">
        <v>128947.25</v>
      </c>
      <c r="J229" s="280" t="s">
        <v>1561</v>
      </c>
      <c r="K229" s="279" t="s">
        <v>1560</v>
      </c>
      <c r="L229" s="278">
        <v>131451.07999999999</v>
      </c>
      <c r="M229" s="277" t="s">
        <v>1559</v>
      </c>
      <c r="N229" s="276" t="s">
        <v>1558</v>
      </c>
      <c r="O229" s="119">
        <f t="shared" si="7"/>
        <v>125191.5</v>
      </c>
      <c r="P229" s="143">
        <v>74844</v>
      </c>
      <c r="Q229" s="117">
        <v>45876</v>
      </c>
    </row>
    <row r="230" spans="1:17" ht="60" customHeight="1" x14ac:dyDescent="0.25">
      <c r="A230" s="182" t="s">
        <v>1596</v>
      </c>
      <c r="B230" s="268" t="s">
        <v>1478</v>
      </c>
      <c r="C230" s="283" t="s">
        <v>1595</v>
      </c>
      <c r="D230" s="267" t="s">
        <v>1564</v>
      </c>
      <c r="E230" s="252" t="s">
        <v>15</v>
      </c>
      <c r="F230" s="278">
        <v>49581</v>
      </c>
      <c r="G230" s="280" t="s">
        <v>1563</v>
      </c>
      <c r="H230" s="282" t="s">
        <v>1562</v>
      </c>
      <c r="I230" s="281">
        <v>51068.43</v>
      </c>
      <c r="J230" s="280" t="s">
        <v>1561</v>
      </c>
      <c r="K230" s="279" t="s">
        <v>1560</v>
      </c>
      <c r="L230" s="278">
        <v>52060.05</v>
      </c>
      <c r="M230" s="277" t="s">
        <v>1559</v>
      </c>
      <c r="N230" s="276" t="s">
        <v>1558</v>
      </c>
      <c r="O230" s="119">
        <f t="shared" si="7"/>
        <v>49581</v>
      </c>
      <c r="P230" s="143">
        <v>26148</v>
      </c>
      <c r="Q230" s="117">
        <v>45876</v>
      </c>
    </row>
    <row r="231" spans="1:17" ht="60" customHeight="1" x14ac:dyDescent="0.25">
      <c r="A231" s="182" t="s">
        <v>1594</v>
      </c>
      <c r="B231" s="268" t="s">
        <v>1478</v>
      </c>
      <c r="C231" s="283" t="s">
        <v>1593</v>
      </c>
      <c r="D231" s="267" t="s">
        <v>1564</v>
      </c>
      <c r="E231" s="252" t="s">
        <v>15</v>
      </c>
      <c r="F231" s="278">
        <v>52500</v>
      </c>
      <c r="G231" s="280" t="s">
        <v>1563</v>
      </c>
      <c r="H231" s="282" t="s">
        <v>1562</v>
      </c>
      <c r="I231" s="281">
        <v>54075</v>
      </c>
      <c r="J231" s="280" t="s">
        <v>1561</v>
      </c>
      <c r="K231" s="279" t="s">
        <v>1560</v>
      </c>
      <c r="L231" s="278">
        <v>55125</v>
      </c>
      <c r="M231" s="277" t="s">
        <v>1559</v>
      </c>
      <c r="N231" s="276" t="s">
        <v>1558</v>
      </c>
      <c r="O231" s="119">
        <f t="shared" si="7"/>
        <v>52500</v>
      </c>
      <c r="P231" s="143">
        <v>25090</v>
      </c>
      <c r="Q231" s="117">
        <v>45876</v>
      </c>
    </row>
    <row r="232" spans="1:17" ht="60" customHeight="1" x14ac:dyDescent="0.25">
      <c r="A232" s="182" t="s">
        <v>1592</v>
      </c>
      <c r="B232" s="268" t="s">
        <v>1478</v>
      </c>
      <c r="C232" s="283" t="s">
        <v>1591</v>
      </c>
      <c r="D232" s="267" t="s">
        <v>1564</v>
      </c>
      <c r="E232" s="252" t="s">
        <v>15</v>
      </c>
      <c r="F232" s="278">
        <v>56647.5</v>
      </c>
      <c r="G232" s="280" t="s">
        <v>1563</v>
      </c>
      <c r="H232" s="282" t="s">
        <v>1562</v>
      </c>
      <c r="I232" s="281">
        <v>58346.93</v>
      </c>
      <c r="J232" s="280" t="s">
        <v>1561</v>
      </c>
      <c r="K232" s="279" t="s">
        <v>1560</v>
      </c>
      <c r="L232" s="278">
        <v>59479.88</v>
      </c>
      <c r="M232" s="277" t="s">
        <v>1559</v>
      </c>
      <c r="N232" s="276" t="s">
        <v>1558</v>
      </c>
      <c r="O232" s="119">
        <f t="shared" si="7"/>
        <v>56647.5</v>
      </c>
      <c r="P232" s="143">
        <v>25491</v>
      </c>
      <c r="Q232" s="117">
        <v>45876</v>
      </c>
    </row>
    <row r="233" spans="1:17" ht="60" customHeight="1" x14ac:dyDescent="0.25">
      <c r="A233" s="182" t="s">
        <v>1590</v>
      </c>
      <c r="B233" s="268" t="s">
        <v>1478</v>
      </c>
      <c r="C233" s="283" t="s">
        <v>1589</v>
      </c>
      <c r="D233" s="267" t="s">
        <v>1564</v>
      </c>
      <c r="E233" s="252" t="s">
        <v>15</v>
      </c>
      <c r="F233" s="278">
        <v>55755</v>
      </c>
      <c r="G233" s="280" t="s">
        <v>1563</v>
      </c>
      <c r="H233" s="282" t="s">
        <v>1562</v>
      </c>
      <c r="I233" s="281">
        <v>57427.65</v>
      </c>
      <c r="J233" s="280" t="s">
        <v>1561</v>
      </c>
      <c r="K233" s="279" t="s">
        <v>1560</v>
      </c>
      <c r="L233" s="278">
        <v>58542.75</v>
      </c>
      <c r="M233" s="277" t="s">
        <v>1559</v>
      </c>
      <c r="N233" s="276" t="s">
        <v>1558</v>
      </c>
      <c r="O233" s="119">
        <f t="shared" si="7"/>
        <v>55755</v>
      </c>
      <c r="P233" s="143">
        <v>27915</v>
      </c>
      <c r="Q233" s="117">
        <v>45876</v>
      </c>
    </row>
    <row r="234" spans="1:17" ht="60" customHeight="1" x14ac:dyDescent="0.25">
      <c r="A234" s="182" t="s">
        <v>1588</v>
      </c>
      <c r="B234" s="268" t="s">
        <v>1478</v>
      </c>
      <c r="C234" s="283" t="s">
        <v>1587</v>
      </c>
      <c r="D234" s="267" t="s">
        <v>1564</v>
      </c>
      <c r="E234" s="252" t="s">
        <v>15</v>
      </c>
      <c r="F234" s="278">
        <v>55755</v>
      </c>
      <c r="G234" s="280" t="s">
        <v>1563</v>
      </c>
      <c r="H234" s="282" t="s">
        <v>1562</v>
      </c>
      <c r="I234" s="281">
        <v>57427.65</v>
      </c>
      <c r="J234" s="280" t="s">
        <v>1561</v>
      </c>
      <c r="K234" s="279" t="s">
        <v>1560</v>
      </c>
      <c r="L234" s="278">
        <v>58542.75</v>
      </c>
      <c r="M234" s="277" t="s">
        <v>1559</v>
      </c>
      <c r="N234" s="276" t="s">
        <v>1558</v>
      </c>
      <c r="O234" s="119">
        <f t="shared" si="7"/>
        <v>55755</v>
      </c>
      <c r="P234" s="143">
        <v>27915</v>
      </c>
      <c r="Q234" s="117">
        <v>45876</v>
      </c>
    </row>
    <row r="235" spans="1:17" ht="60" customHeight="1" x14ac:dyDescent="0.25">
      <c r="A235" s="182" t="s">
        <v>1586</v>
      </c>
      <c r="B235" s="268" t="s">
        <v>1478</v>
      </c>
      <c r="C235" s="283" t="s">
        <v>1585</v>
      </c>
      <c r="D235" s="267" t="s">
        <v>1564</v>
      </c>
      <c r="E235" s="252" t="s">
        <v>15</v>
      </c>
      <c r="F235" s="278">
        <v>62706</v>
      </c>
      <c r="G235" s="280" t="s">
        <v>1563</v>
      </c>
      <c r="H235" s="282" t="s">
        <v>1562</v>
      </c>
      <c r="I235" s="281">
        <v>64587.18</v>
      </c>
      <c r="J235" s="280" t="s">
        <v>1561</v>
      </c>
      <c r="K235" s="279" t="s">
        <v>1560</v>
      </c>
      <c r="L235" s="278">
        <v>65841.3</v>
      </c>
      <c r="M235" s="277" t="s">
        <v>1559</v>
      </c>
      <c r="N235" s="276" t="s">
        <v>1558</v>
      </c>
      <c r="O235" s="119">
        <f t="shared" si="7"/>
        <v>62706</v>
      </c>
      <c r="P235" s="143">
        <v>31353</v>
      </c>
      <c r="Q235" s="117">
        <v>45876</v>
      </c>
    </row>
    <row r="236" spans="1:17" ht="60" customHeight="1" x14ac:dyDescent="0.25">
      <c r="A236" s="182" t="s">
        <v>1584</v>
      </c>
      <c r="B236" s="268" t="s">
        <v>1478</v>
      </c>
      <c r="C236" s="283" t="s">
        <v>1583</v>
      </c>
      <c r="D236" s="267" t="s">
        <v>1564</v>
      </c>
      <c r="E236" s="252" t="s">
        <v>15</v>
      </c>
      <c r="F236" s="278">
        <v>62706</v>
      </c>
      <c r="G236" s="280" t="s">
        <v>1563</v>
      </c>
      <c r="H236" s="282" t="s">
        <v>1562</v>
      </c>
      <c r="I236" s="281">
        <v>64587.18</v>
      </c>
      <c r="J236" s="280" t="s">
        <v>1561</v>
      </c>
      <c r="K236" s="279" t="s">
        <v>1560</v>
      </c>
      <c r="L236" s="278">
        <v>65841.3</v>
      </c>
      <c r="M236" s="277" t="s">
        <v>1559</v>
      </c>
      <c r="N236" s="276" t="s">
        <v>1558</v>
      </c>
      <c r="O236" s="119">
        <f t="shared" si="7"/>
        <v>62706</v>
      </c>
      <c r="P236" s="143">
        <v>31353</v>
      </c>
      <c r="Q236" s="117">
        <v>45876</v>
      </c>
    </row>
    <row r="237" spans="1:17" ht="60" customHeight="1" x14ac:dyDescent="0.25">
      <c r="A237" s="182" t="s">
        <v>1582</v>
      </c>
      <c r="B237" s="268" t="s">
        <v>1478</v>
      </c>
      <c r="C237" s="283" t="s">
        <v>1581</v>
      </c>
      <c r="D237" s="267" t="s">
        <v>1564</v>
      </c>
      <c r="E237" s="252" t="s">
        <v>15</v>
      </c>
      <c r="F237" s="278">
        <v>62706</v>
      </c>
      <c r="G237" s="280" t="s">
        <v>1563</v>
      </c>
      <c r="H237" s="282" t="s">
        <v>1562</v>
      </c>
      <c r="I237" s="281">
        <v>64587.18</v>
      </c>
      <c r="J237" s="280" t="s">
        <v>1561</v>
      </c>
      <c r="K237" s="279" t="s">
        <v>1560</v>
      </c>
      <c r="L237" s="278">
        <v>65841.3</v>
      </c>
      <c r="M237" s="277" t="s">
        <v>1559</v>
      </c>
      <c r="N237" s="276" t="s">
        <v>1558</v>
      </c>
      <c r="O237" s="119">
        <f t="shared" si="7"/>
        <v>62706</v>
      </c>
      <c r="P237" s="143">
        <v>31353</v>
      </c>
      <c r="Q237" s="117">
        <v>45876</v>
      </c>
    </row>
    <row r="238" spans="1:17" ht="60" customHeight="1" x14ac:dyDescent="0.25">
      <c r="A238" s="182" t="s">
        <v>1580</v>
      </c>
      <c r="B238" s="268" t="s">
        <v>1478</v>
      </c>
      <c r="C238" s="283" t="s">
        <v>1579</v>
      </c>
      <c r="D238" s="267" t="s">
        <v>1564</v>
      </c>
      <c r="E238" s="252" t="s">
        <v>15</v>
      </c>
      <c r="F238" s="278">
        <v>62706</v>
      </c>
      <c r="G238" s="280" t="s">
        <v>1563</v>
      </c>
      <c r="H238" s="282" t="s">
        <v>1562</v>
      </c>
      <c r="I238" s="281">
        <v>64587.18</v>
      </c>
      <c r="J238" s="280" t="s">
        <v>1561</v>
      </c>
      <c r="K238" s="279" t="s">
        <v>1560</v>
      </c>
      <c r="L238" s="278">
        <v>65841.3</v>
      </c>
      <c r="M238" s="277" t="s">
        <v>1559</v>
      </c>
      <c r="N238" s="276" t="s">
        <v>1558</v>
      </c>
      <c r="O238" s="119">
        <f t="shared" si="7"/>
        <v>62706</v>
      </c>
      <c r="P238" s="143">
        <v>31353</v>
      </c>
      <c r="Q238" s="117">
        <v>45876</v>
      </c>
    </row>
    <row r="239" spans="1:17" ht="60" customHeight="1" x14ac:dyDescent="0.25">
      <c r="A239" s="182" t="s">
        <v>1578</v>
      </c>
      <c r="B239" s="268" t="s">
        <v>1478</v>
      </c>
      <c r="C239" s="283" t="s">
        <v>1577</v>
      </c>
      <c r="D239" s="267" t="s">
        <v>1564</v>
      </c>
      <c r="E239" s="252" t="s">
        <v>15</v>
      </c>
      <c r="F239" s="278">
        <v>62706</v>
      </c>
      <c r="G239" s="280" t="s">
        <v>1563</v>
      </c>
      <c r="H239" s="282" t="s">
        <v>1562</v>
      </c>
      <c r="I239" s="281">
        <v>64587.18</v>
      </c>
      <c r="J239" s="280" t="s">
        <v>1561</v>
      </c>
      <c r="K239" s="279" t="s">
        <v>1560</v>
      </c>
      <c r="L239" s="278">
        <v>65841.3</v>
      </c>
      <c r="M239" s="277" t="s">
        <v>1559</v>
      </c>
      <c r="N239" s="276" t="s">
        <v>1558</v>
      </c>
      <c r="O239" s="119">
        <f t="shared" si="7"/>
        <v>62706</v>
      </c>
      <c r="P239" s="143">
        <v>31353</v>
      </c>
      <c r="Q239" s="117">
        <v>45876</v>
      </c>
    </row>
    <row r="240" spans="1:17" ht="60" customHeight="1" x14ac:dyDescent="0.25">
      <c r="A240" s="182" t="s">
        <v>1576</v>
      </c>
      <c r="B240" s="268" t="s">
        <v>1478</v>
      </c>
      <c r="C240" s="283" t="s">
        <v>1575</v>
      </c>
      <c r="D240" s="267" t="s">
        <v>1564</v>
      </c>
      <c r="E240" s="252" t="s">
        <v>15</v>
      </c>
      <c r="F240" s="278">
        <v>62706</v>
      </c>
      <c r="G240" s="280" t="s">
        <v>1563</v>
      </c>
      <c r="H240" s="282" t="s">
        <v>1562</v>
      </c>
      <c r="I240" s="281">
        <v>64587.18</v>
      </c>
      <c r="J240" s="280" t="s">
        <v>1561</v>
      </c>
      <c r="K240" s="279" t="s">
        <v>1560</v>
      </c>
      <c r="L240" s="278">
        <v>65841.3</v>
      </c>
      <c r="M240" s="277" t="s">
        <v>1559</v>
      </c>
      <c r="N240" s="276" t="s">
        <v>1558</v>
      </c>
      <c r="O240" s="119">
        <f t="shared" si="7"/>
        <v>62706</v>
      </c>
      <c r="P240" s="143">
        <v>31353</v>
      </c>
      <c r="Q240" s="117">
        <v>45876</v>
      </c>
    </row>
    <row r="241" spans="1:17" ht="60" customHeight="1" x14ac:dyDescent="0.25">
      <c r="A241" s="182" t="s">
        <v>1574</v>
      </c>
      <c r="B241" s="268" t="s">
        <v>1478</v>
      </c>
      <c r="C241" s="283" t="s">
        <v>1573</v>
      </c>
      <c r="D241" s="267" t="s">
        <v>1564</v>
      </c>
      <c r="E241" s="252" t="s">
        <v>15</v>
      </c>
      <c r="F241" s="278">
        <v>70224</v>
      </c>
      <c r="G241" s="280" t="s">
        <v>1563</v>
      </c>
      <c r="H241" s="282" t="s">
        <v>1562</v>
      </c>
      <c r="I241" s="281">
        <v>72330.720000000001</v>
      </c>
      <c r="J241" s="280" t="s">
        <v>1561</v>
      </c>
      <c r="K241" s="279" t="s">
        <v>1560</v>
      </c>
      <c r="L241" s="278">
        <v>73735.199999999997</v>
      </c>
      <c r="M241" s="277" t="s">
        <v>1559</v>
      </c>
      <c r="N241" s="276" t="s">
        <v>1558</v>
      </c>
      <c r="O241" s="119">
        <f t="shared" ref="O241:O264" si="8">MIN(F241,I241,L241)</f>
        <v>70224</v>
      </c>
      <c r="P241" s="143">
        <v>35112</v>
      </c>
      <c r="Q241" s="117">
        <v>45876</v>
      </c>
    </row>
    <row r="242" spans="1:17" ht="60" customHeight="1" x14ac:dyDescent="0.25">
      <c r="A242" s="182" t="s">
        <v>1572</v>
      </c>
      <c r="B242" s="268" t="s">
        <v>1478</v>
      </c>
      <c r="C242" s="283" t="s">
        <v>1571</v>
      </c>
      <c r="D242" s="267" t="s">
        <v>1564</v>
      </c>
      <c r="E242" s="252" t="s">
        <v>15</v>
      </c>
      <c r="F242" s="278">
        <v>70224</v>
      </c>
      <c r="G242" s="280" t="s">
        <v>1563</v>
      </c>
      <c r="H242" s="282" t="s">
        <v>1562</v>
      </c>
      <c r="I242" s="281">
        <v>72330.720000000001</v>
      </c>
      <c r="J242" s="280" t="s">
        <v>1561</v>
      </c>
      <c r="K242" s="279" t="s">
        <v>1560</v>
      </c>
      <c r="L242" s="278">
        <v>73735.199999999997</v>
      </c>
      <c r="M242" s="277" t="s">
        <v>1559</v>
      </c>
      <c r="N242" s="276" t="s">
        <v>1558</v>
      </c>
      <c r="O242" s="119">
        <f t="shared" si="8"/>
        <v>70224</v>
      </c>
      <c r="P242" s="143">
        <v>35112</v>
      </c>
      <c r="Q242" s="117">
        <v>45876</v>
      </c>
    </row>
    <row r="243" spans="1:17" ht="60" customHeight="1" x14ac:dyDescent="0.25">
      <c r="A243" s="182" t="s">
        <v>1570</v>
      </c>
      <c r="B243" s="268" t="s">
        <v>1478</v>
      </c>
      <c r="C243" s="283" t="s">
        <v>1569</v>
      </c>
      <c r="D243" s="267" t="s">
        <v>1564</v>
      </c>
      <c r="E243" s="252" t="s">
        <v>15</v>
      </c>
      <c r="F243" s="278">
        <v>70224</v>
      </c>
      <c r="G243" s="280" t="s">
        <v>1563</v>
      </c>
      <c r="H243" s="282" t="s">
        <v>1562</v>
      </c>
      <c r="I243" s="281">
        <v>72330.720000000001</v>
      </c>
      <c r="J243" s="280" t="s">
        <v>1561</v>
      </c>
      <c r="K243" s="279" t="s">
        <v>1560</v>
      </c>
      <c r="L243" s="278">
        <v>73735.199999999997</v>
      </c>
      <c r="M243" s="277" t="s">
        <v>1559</v>
      </c>
      <c r="N243" s="276" t="s">
        <v>1558</v>
      </c>
      <c r="O243" s="119">
        <f t="shared" si="8"/>
        <v>70224</v>
      </c>
      <c r="P243" s="143">
        <v>35112</v>
      </c>
      <c r="Q243" s="117">
        <v>45876</v>
      </c>
    </row>
    <row r="244" spans="1:17" ht="60" customHeight="1" x14ac:dyDescent="0.25">
      <c r="A244" s="182" t="s">
        <v>1568</v>
      </c>
      <c r="B244" s="268" t="s">
        <v>1478</v>
      </c>
      <c r="C244" s="283" t="s">
        <v>1567</v>
      </c>
      <c r="D244" s="267" t="s">
        <v>1564</v>
      </c>
      <c r="E244" s="252" t="s">
        <v>15</v>
      </c>
      <c r="F244" s="278">
        <v>93786</v>
      </c>
      <c r="G244" s="280" t="s">
        <v>1563</v>
      </c>
      <c r="H244" s="282" t="s">
        <v>1562</v>
      </c>
      <c r="I244" s="281">
        <v>96599.58</v>
      </c>
      <c r="J244" s="280" t="s">
        <v>1561</v>
      </c>
      <c r="K244" s="279" t="s">
        <v>1560</v>
      </c>
      <c r="L244" s="278">
        <v>98475.3</v>
      </c>
      <c r="M244" s="277" t="s">
        <v>1559</v>
      </c>
      <c r="N244" s="276" t="s">
        <v>1558</v>
      </c>
      <c r="O244" s="119">
        <f t="shared" si="8"/>
        <v>93786</v>
      </c>
      <c r="P244" s="143">
        <v>56272</v>
      </c>
      <c r="Q244" s="117">
        <v>45876</v>
      </c>
    </row>
    <row r="245" spans="1:17" ht="60" customHeight="1" x14ac:dyDescent="0.25">
      <c r="A245" s="182" t="s">
        <v>1566</v>
      </c>
      <c r="B245" s="268" t="s">
        <v>1478</v>
      </c>
      <c r="C245" s="283" t="s">
        <v>1565</v>
      </c>
      <c r="D245" s="267" t="s">
        <v>1564</v>
      </c>
      <c r="E245" s="252" t="s">
        <v>15</v>
      </c>
      <c r="F245" s="278">
        <v>124740</v>
      </c>
      <c r="G245" s="280" t="s">
        <v>1563</v>
      </c>
      <c r="H245" s="282" t="s">
        <v>1562</v>
      </c>
      <c r="I245" s="281">
        <v>128482.2</v>
      </c>
      <c r="J245" s="280" t="s">
        <v>1561</v>
      </c>
      <c r="K245" s="279" t="s">
        <v>1560</v>
      </c>
      <c r="L245" s="278">
        <v>130977</v>
      </c>
      <c r="M245" s="277" t="s">
        <v>1559</v>
      </c>
      <c r="N245" s="276" t="s">
        <v>1558</v>
      </c>
      <c r="O245" s="119">
        <f t="shared" si="8"/>
        <v>124740</v>
      </c>
      <c r="P245" s="143">
        <v>74844</v>
      </c>
      <c r="Q245" s="117">
        <v>45876</v>
      </c>
    </row>
    <row r="246" spans="1:17" ht="60" customHeight="1" x14ac:dyDescent="0.25">
      <c r="A246" s="275"/>
      <c r="B246" s="274"/>
      <c r="C246" s="273" t="s">
        <v>1557</v>
      </c>
      <c r="D246" s="272"/>
      <c r="E246" s="252"/>
      <c r="F246" s="266"/>
      <c r="G246" s="265"/>
      <c r="H246" s="177"/>
      <c r="I246" s="264"/>
      <c r="J246" s="263"/>
      <c r="K246" s="262"/>
      <c r="L246" s="266"/>
      <c r="M246" s="270"/>
      <c r="N246" s="259"/>
      <c r="O246" s="119">
        <f t="shared" si="8"/>
        <v>0</v>
      </c>
      <c r="P246" s="75"/>
      <c r="Q246" s="117">
        <v>45876</v>
      </c>
    </row>
    <row r="247" spans="1:17" ht="60" customHeight="1" x14ac:dyDescent="0.25">
      <c r="A247" s="182" t="s">
        <v>1556</v>
      </c>
      <c r="B247" s="268" t="s">
        <v>1478</v>
      </c>
      <c r="C247" s="255" t="s">
        <v>1555</v>
      </c>
      <c r="D247" s="267" t="s">
        <v>1554</v>
      </c>
      <c r="E247" s="253" t="s">
        <v>15</v>
      </c>
      <c r="F247" s="266">
        <v>2857000</v>
      </c>
      <c r="G247" s="265" t="s">
        <v>1171</v>
      </c>
      <c r="H247" s="177" t="s">
        <v>1510</v>
      </c>
      <c r="I247" s="264">
        <v>2857000</v>
      </c>
      <c r="J247" s="263" t="s">
        <v>1509</v>
      </c>
      <c r="K247" s="262" t="s">
        <v>1508</v>
      </c>
      <c r="L247" s="266">
        <v>2857000</v>
      </c>
      <c r="M247" s="270" t="s">
        <v>1549</v>
      </c>
      <c r="N247" s="259" t="s">
        <v>1553</v>
      </c>
      <c r="O247" s="271">
        <f t="shared" si="8"/>
        <v>2857000</v>
      </c>
      <c r="P247" s="75"/>
      <c r="Q247" s="117">
        <v>45876</v>
      </c>
    </row>
    <row r="248" spans="1:17" ht="60" customHeight="1" x14ac:dyDescent="0.25">
      <c r="A248" s="182" t="s">
        <v>1552</v>
      </c>
      <c r="B248" s="268" t="s">
        <v>1478</v>
      </c>
      <c r="C248" s="255" t="s">
        <v>1551</v>
      </c>
      <c r="D248" s="267" t="s">
        <v>1550</v>
      </c>
      <c r="E248" s="253" t="s">
        <v>15</v>
      </c>
      <c r="F248" s="266">
        <v>297000</v>
      </c>
      <c r="G248" s="265" t="s">
        <v>1171</v>
      </c>
      <c r="H248" s="177" t="s">
        <v>1510</v>
      </c>
      <c r="I248" s="264">
        <v>297000</v>
      </c>
      <c r="J248" s="263" t="s">
        <v>1509</v>
      </c>
      <c r="K248" s="262" t="s">
        <v>1508</v>
      </c>
      <c r="L248" s="266">
        <v>297000</v>
      </c>
      <c r="M248" s="270" t="s">
        <v>1549</v>
      </c>
      <c r="N248" s="259" t="s">
        <v>1548</v>
      </c>
      <c r="O248" s="271">
        <f t="shared" si="8"/>
        <v>297000</v>
      </c>
      <c r="P248" s="75"/>
      <c r="Q248" s="117">
        <v>45876</v>
      </c>
    </row>
    <row r="249" spans="1:17" ht="60" customHeight="1" x14ac:dyDescent="0.25">
      <c r="A249" s="182" t="s">
        <v>1547</v>
      </c>
      <c r="B249" s="268" t="s">
        <v>1478</v>
      </c>
      <c r="C249" s="255" t="s">
        <v>1546</v>
      </c>
      <c r="D249" s="267" t="s">
        <v>1545</v>
      </c>
      <c r="E249" s="253" t="s">
        <v>15</v>
      </c>
      <c r="F249" s="266">
        <v>14000</v>
      </c>
      <c r="G249" s="265" t="s">
        <v>1171</v>
      </c>
      <c r="H249" s="177" t="s">
        <v>1510</v>
      </c>
      <c r="I249" s="264">
        <v>14000</v>
      </c>
      <c r="J249" s="263" t="s">
        <v>1509</v>
      </c>
      <c r="K249" s="262" t="s">
        <v>1508</v>
      </c>
      <c r="L249" s="266">
        <v>14000</v>
      </c>
      <c r="M249" s="270" t="s">
        <v>1544</v>
      </c>
      <c r="N249" s="259" t="s">
        <v>1543</v>
      </c>
      <c r="O249" s="271">
        <f t="shared" si="8"/>
        <v>14000</v>
      </c>
      <c r="P249" s="75"/>
      <c r="Q249" s="117">
        <v>45876</v>
      </c>
    </row>
    <row r="250" spans="1:17" ht="60" customHeight="1" x14ac:dyDescent="0.25">
      <c r="A250" s="182" t="s">
        <v>1542</v>
      </c>
      <c r="B250" s="268" t="s">
        <v>1478</v>
      </c>
      <c r="C250" s="255" t="s">
        <v>1541</v>
      </c>
      <c r="D250" s="267" t="s">
        <v>1540</v>
      </c>
      <c r="E250" s="253" t="s">
        <v>15</v>
      </c>
      <c r="F250" s="266">
        <v>18000</v>
      </c>
      <c r="G250" s="265" t="s">
        <v>1171</v>
      </c>
      <c r="H250" s="177" t="s">
        <v>1510</v>
      </c>
      <c r="I250" s="264">
        <v>18000</v>
      </c>
      <c r="J250" s="263" t="s">
        <v>1509</v>
      </c>
      <c r="K250" s="262" t="s">
        <v>1508</v>
      </c>
      <c r="L250" s="266">
        <v>18000</v>
      </c>
      <c r="M250" s="270" t="s">
        <v>1533</v>
      </c>
      <c r="N250" s="259" t="s">
        <v>1532</v>
      </c>
      <c r="O250" s="271">
        <f t="shared" si="8"/>
        <v>18000</v>
      </c>
      <c r="P250" s="75"/>
      <c r="Q250" s="117">
        <v>45876</v>
      </c>
    </row>
    <row r="251" spans="1:17" ht="60" customHeight="1" x14ac:dyDescent="0.25">
      <c r="A251" s="182" t="s">
        <v>1539</v>
      </c>
      <c r="B251" s="268" t="s">
        <v>1478</v>
      </c>
      <c r="C251" s="255" t="s">
        <v>1538</v>
      </c>
      <c r="D251" s="267" t="s">
        <v>1537</v>
      </c>
      <c r="E251" s="253" t="s">
        <v>15</v>
      </c>
      <c r="F251" s="266">
        <v>31000</v>
      </c>
      <c r="G251" s="265" t="s">
        <v>1171</v>
      </c>
      <c r="H251" s="177" t="s">
        <v>1510</v>
      </c>
      <c r="I251" s="264">
        <v>31000</v>
      </c>
      <c r="J251" s="263" t="s">
        <v>1509</v>
      </c>
      <c r="K251" s="262" t="s">
        <v>1508</v>
      </c>
      <c r="L251" s="266">
        <v>31000</v>
      </c>
      <c r="M251" s="270" t="s">
        <v>1533</v>
      </c>
      <c r="N251" s="259" t="s">
        <v>1532</v>
      </c>
      <c r="O251" s="258">
        <f t="shared" si="8"/>
        <v>31000</v>
      </c>
      <c r="P251" s="75"/>
      <c r="Q251" s="117">
        <v>45876</v>
      </c>
    </row>
    <row r="252" spans="1:17" ht="60" customHeight="1" x14ac:dyDescent="0.25">
      <c r="A252" s="182" t="s">
        <v>1536</v>
      </c>
      <c r="B252" s="268" t="s">
        <v>1478</v>
      </c>
      <c r="C252" s="255" t="s">
        <v>1535</v>
      </c>
      <c r="D252" s="267" t="s">
        <v>1534</v>
      </c>
      <c r="E252" s="253" t="s">
        <v>15</v>
      </c>
      <c r="F252" s="266">
        <v>518000</v>
      </c>
      <c r="G252" s="265" t="s">
        <v>1171</v>
      </c>
      <c r="H252" s="177" t="s">
        <v>1510</v>
      </c>
      <c r="I252" s="264">
        <v>518000</v>
      </c>
      <c r="J252" s="263" t="s">
        <v>1509</v>
      </c>
      <c r="K252" s="262" t="s">
        <v>1508</v>
      </c>
      <c r="L252" s="266">
        <v>518000</v>
      </c>
      <c r="M252" s="270" t="s">
        <v>1533</v>
      </c>
      <c r="N252" s="259" t="s">
        <v>1532</v>
      </c>
      <c r="O252" s="258">
        <f t="shared" si="8"/>
        <v>518000</v>
      </c>
      <c r="P252" s="75"/>
      <c r="Q252" s="117">
        <v>45876</v>
      </c>
    </row>
    <row r="253" spans="1:17" ht="60" customHeight="1" x14ac:dyDescent="0.25">
      <c r="A253" s="182" t="s">
        <v>1531</v>
      </c>
      <c r="B253" s="268" t="s">
        <v>1478</v>
      </c>
      <c r="C253" s="255" t="s">
        <v>1530</v>
      </c>
      <c r="D253" s="267" t="s">
        <v>1529</v>
      </c>
      <c r="E253" s="253" t="s">
        <v>15</v>
      </c>
      <c r="F253" s="266">
        <v>297800</v>
      </c>
      <c r="G253" s="265" t="s">
        <v>1171</v>
      </c>
      <c r="H253" s="177" t="s">
        <v>1510</v>
      </c>
      <c r="I253" s="264">
        <v>297800</v>
      </c>
      <c r="J253" s="263" t="s">
        <v>1509</v>
      </c>
      <c r="K253" s="262" t="s">
        <v>1508</v>
      </c>
      <c r="L253" s="266">
        <v>297800</v>
      </c>
      <c r="M253" s="270" t="s">
        <v>1507</v>
      </c>
      <c r="N253" s="259" t="s">
        <v>1506</v>
      </c>
      <c r="O253" s="258">
        <f t="shared" si="8"/>
        <v>297800</v>
      </c>
      <c r="P253" s="75"/>
      <c r="Q253" s="117">
        <v>45876</v>
      </c>
    </row>
    <row r="254" spans="1:17" ht="60" customHeight="1" x14ac:dyDescent="0.25">
      <c r="A254" s="182" t="s">
        <v>1528</v>
      </c>
      <c r="B254" s="268" t="s">
        <v>1478</v>
      </c>
      <c r="C254" s="255" t="s">
        <v>1527</v>
      </c>
      <c r="D254" s="267" t="s">
        <v>1526</v>
      </c>
      <c r="E254" s="253" t="s">
        <v>15</v>
      </c>
      <c r="F254" s="266">
        <v>287300</v>
      </c>
      <c r="G254" s="265" t="s">
        <v>1171</v>
      </c>
      <c r="H254" s="177" t="s">
        <v>1510</v>
      </c>
      <c r="I254" s="264">
        <v>287300</v>
      </c>
      <c r="J254" s="263" t="s">
        <v>1509</v>
      </c>
      <c r="K254" s="262" t="s">
        <v>1508</v>
      </c>
      <c r="L254" s="266">
        <v>287300</v>
      </c>
      <c r="M254" s="270" t="s">
        <v>1525</v>
      </c>
      <c r="N254" s="259" t="s">
        <v>1524</v>
      </c>
      <c r="O254" s="258">
        <f t="shared" si="8"/>
        <v>287300</v>
      </c>
      <c r="P254" s="75"/>
      <c r="Q254" s="117">
        <v>45876</v>
      </c>
    </row>
    <row r="255" spans="1:17" ht="60" customHeight="1" x14ac:dyDescent="0.25">
      <c r="A255" s="182" t="s">
        <v>1523</v>
      </c>
      <c r="B255" s="268" t="s">
        <v>1478</v>
      </c>
      <c r="C255" s="255" t="s">
        <v>1522</v>
      </c>
      <c r="D255" s="267" t="s">
        <v>1521</v>
      </c>
      <c r="E255" s="253" t="s">
        <v>15</v>
      </c>
      <c r="F255" s="266">
        <v>87600</v>
      </c>
      <c r="G255" s="265" t="s">
        <v>1171</v>
      </c>
      <c r="H255" s="177" t="s">
        <v>1510</v>
      </c>
      <c r="I255" s="264">
        <v>87600</v>
      </c>
      <c r="J255" s="263" t="s">
        <v>1509</v>
      </c>
      <c r="K255" s="262" t="s">
        <v>1508</v>
      </c>
      <c r="L255" s="266">
        <v>87600</v>
      </c>
      <c r="M255" s="270" t="s">
        <v>1520</v>
      </c>
      <c r="N255" s="259" t="s">
        <v>1519</v>
      </c>
      <c r="O255" s="258">
        <f t="shared" si="8"/>
        <v>87600</v>
      </c>
      <c r="P255" s="75"/>
      <c r="Q255" s="117">
        <v>45876</v>
      </c>
    </row>
    <row r="256" spans="1:17" ht="60" customHeight="1" x14ac:dyDescent="0.25">
      <c r="A256" s="182" t="s">
        <v>1518</v>
      </c>
      <c r="B256" s="268" t="s">
        <v>1478</v>
      </c>
      <c r="C256" s="255" t="s">
        <v>1517</v>
      </c>
      <c r="D256" s="267" t="s">
        <v>1516</v>
      </c>
      <c r="E256" s="253" t="s">
        <v>15</v>
      </c>
      <c r="F256" s="266">
        <v>112100</v>
      </c>
      <c r="G256" s="265" t="s">
        <v>1171</v>
      </c>
      <c r="H256" s="177" t="s">
        <v>1510</v>
      </c>
      <c r="I256" s="264">
        <v>112100</v>
      </c>
      <c r="J256" s="263" t="s">
        <v>1509</v>
      </c>
      <c r="K256" s="262" t="s">
        <v>1508</v>
      </c>
      <c r="L256" s="266">
        <v>114900</v>
      </c>
      <c r="M256" s="270" t="s">
        <v>1515</v>
      </c>
      <c r="N256" s="259" t="s">
        <v>1514</v>
      </c>
      <c r="O256" s="258">
        <f t="shared" si="8"/>
        <v>112100</v>
      </c>
      <c r="P256" s="75"/>
      <c r="Q256" s="117">
        <v>45876</v>
      </c>
    </row>
    <row r="257" spans="1:19" ht="60" customHeight="1" x14ac:dyDescent="0.25">
      <c r="A257" s="182" t="s">
        <v>1513</v>
      </c>
      <c r="B257" s="268" t="s">
        <v>1478</v>
      </c>
      <c r="C257" s="255" t="s">
        <v>1512</v>
      </c>
      <c r="D257" s="267" t="s">
        <v>1511</v>
      </c>
      <c r="E257" s="253" t="s">
        <v>15</v>
      </c>
      <c r="F257" s="266">
        <v>153400</v>
      </c>
      <c r="G257" s="265" t="s">
        <v>1171</v>
      </c>
      <c r="H257" s="177" t="s">
        <v>1510</v>
      </c>
      <c r="I257" s="264">
        <v>153400</v>
      </c>
      <c r="J257" s="263" t="s">
        <v>1509</v>
      </c>
      <c r="K257" s="262" t="s">
        <v>1508</v>
      </c>
      <c r="L257" s="266">
        <v>153400</v>
      </c>
      <c r="M257" s="270" t="s">
        <v>1507</v>
      </c>
      <c r="N257" s="259" t="s">
        <v>1506</v>
      </c>
      <c r="O257" s="258">
        <f t="shared" si="8"/>
        <v>153400</v>
      </c>
      <c r="P257" s="75"/>
      <c r="Q257" s="117">
        <v>45876</v>
      </c>
    </row>
    <row r="258" spans="1:19" ht="60" customHeight="1" x14ac:dyDescent="0.25">
      <c r="A258" s="182" t="s">
        <v>1505</v>
      </c>
      <c r="B258" s="268" t="s">
        <v>1478</v>
      </c>
      <c r="C258" s="255" t="s">
        <v>1504</v>
      </c>
      <c r="D258" s="267" t="s">
        <v>1503</v>
      </c>
      <c r="E258" s="253" t="s">
        <v>15</v>
      </c>
      <c r="F258" s="266">
        <v>22289</v>
      </c>
      <c r="G258" s="265" t="s">
        <v>1502</v>
      </c>
      <c r="H258" s="177" t="s">
        <v>1501</v>
      </c>
      <c r="I258" s="264">
        <v>20587</v>
      </c>
      <c r="J258" s="263" t="s">
        <v>1500</v>
      </c>
      <c r="K258" s="262" t="s">
        <v>1499</v>
      </c>
      <c r="L258" s="266">
        <v>24000</v>
      </c>
      <c r="M258" s="270" t="s">
        <v>1498</v>
      </c>
      <c r="N258" s="259" t="s">
        <v>1497</v>
      </c>
      <c r="O258" s="258">
        <f t="shared" si="8"/>
        <v>20587</v>
      </c>
      <c r="P258" s="75"/>
      <c r="Q258" s="117">
        <v>45876</v>
      </c>
    </row>
    <row r="259" spans="1:19" ht="60" customHeight="1" x14ac:dyDescent="0.25">
      <c r="A259" s="182" t="s">
        <v>1496</v>
      </c>
      <c r="B259" s="268" t="s">
        <v>1487</v>
      </c>
      <c r="C259" s="255" t="s">
        <v>1495</v>
      </c>
      <c r="D259" s="267" t="s">
        <v>1485</v>
      </c>
      <c r="E259" s="253" t="s">
        <v>72</v>
      </c>
      <c r="F259" s="266">
        <v>38</v>
      </c>
      <c r="G259" s="265" t="s">
        <v>1149</v>
      </c>
      <c r="H259" s="177" t="s">
        <v>1484</v>
      </c>
      <c r="I259" s="264">
        <v>38</v>
      </c>
      <c r="J259" s="263" t="s">
        <v>1483</v>
      </c>
      <c r="K259" s="262" t="s">
        <v>1482</v>
      </c>
      <c r="L259" s="261">
        <v>38</v>
      </c>
      <c r="M259" s="269" t="s">
        <v>1481</v>
      </c>
      <c r="N259" s="259" t="s">
        <v>1480</v>
      </c>
      <c r="O259" s="258">
        <f t="shared" si="8"/>
        <v>38</v>
      </c>
      <c r="P259" s="75"/>
      <c r="Q259" s="117">
        <v>45876</v>
      </c>
    </row>
    <row r="260" spans="1:19" ht="60" customHeight="1" x14ac:dyDescent="0.25">
      <c r="A260" s="182" t="s">
        <v>1494</v>
      </c>
      <c r="B260" s="268" t="s">
        <v>1487</v>
      </c>
      <c r="C260" s="255" t="s">
        <v>1493</v>
      </c>
      <c r="D260" s="267" t="s">
        <v>1485</v>
      </c>
      <c r="E260" s="253" t="s">
        <v>72</v>
      </c>
      <c r="F260" s="266">
        <v>42</v>
      </c>
      <c r="G260" s="265" t="s">
        <v>1149</v>
      </c>
      <c r="H260" s="177" t="s">
        <v>1484</v>
      </c>
      <c r="I260" s="264">
        <v>42</v>
      </c>
      <c r="J260" s="263" t="s">
        <v>1483</v>
      </c>
      <c r="K260" s="262" t="s">
        <v>1482</v>
      </c>
      <c r="L260" s="261">
        <v>42</v>
      </c>
      <c r="M260" s="269" t="s">
        <v>1481</v>
      </c>
      <c r="N260" s="259" t="s">
        <v>1480</v>
      </c>
      <c r="O260" s="258">
        <f t="shared" si="8"/>
        <v>42</v>
      </c>
      <c r="P260" s="75"/>
      <c r="Q260" s="117">
        <v>45876</v>
      </c>
    </row>
    <row r="261" spans="1:19" ht="60" customHeight="1" x14ac:dyDescent="0.25">
      <c r="A261" s="182" t="s">
        <v>1492</v>
      </c>
      <c r="B261" s="268" t="s">
        <v>1487</v>
      </c>
      <c r="C261" s="255" t="s">
        <v>1491</v>
      </c>
      <c r="D261" s="267" t="s">
        <v>1485</v>
      </c>
      <c r="E261" s="253" t="s">
        <v>72</v>
      </c>
      <c r="F261" s="266">
        <v>44</v>
      </c>
      <c r="G261" s="265" t="s">
        <v>1149</v>
      </c>
      <c r="H261" s="177" t="s">
        <v>1484</v>
      </c>
      <c r="I261" s="264">
        <v>44</v>
      </c>
      <c r="J261" s="263" t="s">
        <v>1483</v>
      </c>
      <c r="K261" s="262" t="s">
        <v>1482</v>
      </c>
      <c r="L261" s="261">
        <v>44</v>
      </c>
      <c r="M261" s="269" t="s">
        <v>1481</v>
      </c>
      <c r="N261" s="259" t="s">
        <v>1480</v>
      </c>
      <c r="O261" s="258">
        <f t="shared" si="8"/>
        <v>44</v>
      </c>
      <c r="P261" s="75"/>
      <c r="Q261" s="117">
        <v>45876</v>
      </c>
    </row>
    <row r="262" spans="1:19" ht="60" customHeight="1" x14ac:dyDescent="0.25">
      <c r="A262" s="182" t="s">
        <v>1490</v>
      </c>
      <c r="B262" s="268" t="s">
        <v>1487</v>
      </c>
      <c r="C262" s="255" t="s">
        <v>1489</v>
      </c>
      <c r="D262" s="267" t="s">
        <v>1485</v>
      </c>
      <c r="E262" s="253" t="s">
        <v>72</v>
      </c>
      <c r="F262" s="266">
        <v>49</v>
      </c>
      <c r="G262" s="265" t="s">
        <v>1149</v>
      </c>
      <c r="H262" s="177" t="s">
        <v>1484</v>
      </c>
      <c r="I262" s="264">
        <v>49</v>
      </c>
      <c r="J262" s="263" t="s">
        <v>1483</v>
      </c>
      <c r="K262" s="262" t="s">
        <v>1482</v>
      </c>
      <c r="L262" s="261">
        <v>49</v>
      </c>
      <c r="M262" s="269" t="s">
        <v>1481</v>
      </c>
      <c r="N262" s="259" t="s">
        <v>1480</v>
      </c>
      <c r="O262" s="258">
        <f t="shared" si="8"/>
        <v>49</v>
      </c>
      <c r="P262" s="75"/>
      <c r="Q262" s="117">
        <v>45876</v>
      </c>
    </row>
    <row r="263" spans="1:19" ht="60" customHeight="1" x14ac:dyDescent="0.25">
      <c r="A263" s="182" t="s">
        <v>1488</v>
      </c>
      <c r="B263" s="268" t="s">
        <v>1487</v>
      </c>
      <c r="C263" s="255" t="s">
        <v>1486</v>
      </c>
      <c r="D263" s="267" t="s">
        <v>1485</v>
      </c>
      <c r="E263" s="253" t="s">
        <v>72</v>
      </c>
      <c r="F263" s="266">
        <v>62</v>
      </c>
      <c r="G263" s="265" t="s">
        <v>1149</v>
      </c>
      <c r="H263" s="177" t="s">
        <v>1484</v>
      </c>
      <c r="I263" s="264">
        <v>62</v>
      </c>
      <c r="J263" s="263" t="s">
        <v>1483</v>
      </c>
      <c r="K263" s="262" t="s">
        <v>1482</v>
      </c>
      <c r="L263" s="261">
        <v>62</v>
      </c>
      <c r="M263" s="269" t="s">
        <v>1481</v>
      </c>
      <c r="N263" s="259" t="s">
        <v>1480</v>
      </c>
      <c r="O263" s="258">
        <f t="shared" si="8"/>
        <v>62</v>
      </c>
      <c r="P263" s="75"/>
      <c r="Q263" s="117">
        <v>45876</v>
      </c>
    </row>
    <row r="264" spans="1:19" ht="60" customHeight="1" x14ac:dyDescent="0.25">
      <c r="A264" s="182" t="s">
        <v>1479</v>
      </c>
      <c r="B264" s="268" t="s">
        <v>1478</v>
      </c>
      <c r="C264" s="255" t="s">
        <v>1477</v>
      </c>
      <c r="D264" s="267" t="s">
        <v>1476</v>
      </c>
      <c r="E264" s="253" t="s">
        <v>15</v>
      </c>
      <c r="F264" s="266">
        <v>3881</v>
      </c>
      <c r="G264" s="265" t="s">
        <v>1475</v>
      </c>
      <c r="H264" s="177" t="s">
        <v>1474</v>
      </c>
      <c r="I264" s="264">
        <v>4200</v>
      </c>
      <c r="J264" s="263" t="s">
        <v>1473</v>
      </c>
      <c r="K264" s="262" t="s">
        <v>1472</v>
      </c>
      <c r="L264" s="261">
        <v>3850</v>
      </c>
      <c r="M264" s="260" t="s">
        <v>1471</v>
      </c>
      <c r="N264" s="259" t="s">
        <v>1470</v>
      </c>
      <c r="O264" s="258">
        <f t="shared" si="8"/>
        <v>3850</v>
      </c>
      <c r="P264" s="75"/>
      <c r="Q264" s="117">
        <v>45876</v>
      </c>
    </row>
    <row r="265" spans="1:19" ht="52.5" customHeight="1" x14ac:dyDescent="0.25">
      <c r="A265" s="257"/>
      <c r="B265" s="256"/>
      <c r="C265" s="255"/>
      <c r="D265" s="254"/>
      <c r="E265" s="253"/>
      <c r="F265" s="252"/>
      <c r="G265" s="251"/>
      <c r="H265" s="250"/>
      <c r="I265" s="248"/>
      <c r="J265" s="247"/>
      <c r="K265" s="249"/>
      <c r="L265" s="248"/>
      <c r="M265" s="247"/>
      <c r="N265" s="123"/>
      <c r="O265" s="119"/>
      <c r="P265" s="246"/>
      <c r="Q265" s="246"/>
      <c r="R265" s="245"/>
      <c r="S265" s="245"/>
    </row>
    <row r="267" spans="1:19" x14ac:dyDescent="0.25">
      <c r="A267"/>
      <c r="B267"/>
      <c r="C267"/>
      <c r="D267"/>
      <c r="E267"/>
      <c r="F267"/>
      <c r="G267"/>
      <c r="H267"/>
      <c r="I267"/>
      <c r="J267"/>
      <c r="K267"/>
      <c r="L267"/>
      <c r="M267"/>
      <c r="N267"/>
      <c r="O267"/>
      <c r="P267"/>
      <c r="Q267"/>
    </row>
    <row r="268" spans="1:19" ht="18.75" x14ac:dyDescent="0.3">
      <c r="A268"/>
      <c r="B268" s="567" t="s">
        <v>16</v>
      </c>
      <c r="C268" s="567"/>
      <c r="D268" s="567"/>
      <c r="E268" s="14"/>
      <c r="F268" s="14"/>
      <c r="G268" s="14"/>
      <c r="H268" s="14"/>
      <c r="I268" s="14"/>
      <c r="J268" s="14"/>
      <c r="K268" s="14"/>
      <c r="L268" s="14"/>
      <c r="M268" s="14"/>
      <c r="N268" s="568" t="s">
        <v>25</v>
      </c>
      <c r="O268" s="568"/>
      <c r="P268" s="14"/>
      <c r="Q268"/>
    </row>
    <row r="269" spans="1:19" x14ac:dyDescent="0.25">
      <c r="A269"/>
      <c r="B269" s="82"/>
      <c r="C269" s="82"/>
      <c r="D269" s="82"/>
      <c r="E269" s="14"/>
      <c r="F269" s="14"/>
      <c r="G269" s="14"/>
      <c r="H269" s="14"/>
      <c r="I269" s="14"/>
      <c r="J269" s="14"/>
      <c r="K269" s="14"/>
      <c r="L269" s="14"/>
      <c r="M269" s="14"/>
      <c r="N269" s="82"/>
      <c r="O269" s="82"/>
      <c r="P269" s="14"/>
      <c r="Q269"/>
    </row>
    <row r="270" spans="1:19" x14ac:dyDescent="0.25">
      <c r="A270"/>
      <c r="B270" s="82"/>
      <c r="C270" s="82"/>
      <c r="D270" s="82"/>
      <c r="E270" s="14"/>
      <c r="F270" s="14"/>
      <c r="G270" s="14"/>
      <c r="H270" s="14"/>
      <c r="I270" s="14"/>
      <c r="J270" s="14"/>
      <c r="K270" s="14"/>
      <c r="L270" s="14"/>
      <c r="M270" s="14"/>
      <c r="N270" s="82"/>
      <c r="O270" s="82"/>
      <c r="P270" s="14"/>
      <c r="Q270"/>
    </row>
    <row r="271" spans="1:19" x14ac:dyDescent="0.25">
      <c r="A271"/>
      <c r="B271" s="82"/>
      <c r="C271" s="82"/>
      <c r="D271" s="82"/>
      <c r="E271" s="14"/>
      <c r="F271" s="14"/>
      <c r="G271" s="14"/>
      <c r="H271" s="14"/>
      <c r="I271" s="14"/>
      <c r="J271" s="14"/>
      <c r="K271" s="14"/>
      <c r="L271" s="14"/>
      <c r="M271" s="14"/>
      <c r="N271" s="82"/>
      <c r="O271" s="82"/>
      <c r="P271" s="14"/>
      <c r="Q271"/>
    </row>
    <row r="272" spans="1:19" ht="37.5" customHeight="1" x14ac:dyDescent="0.3">
      <c r="A272"/>
      <c r="B272" s="82"/>
      <c r="C272" s="243" t="s">
        <v>23</v>
      </c>
      <c r="D272" s="21"/>
      <c r="E272" s="21"/>
      <c r="F272" s="21"/>
      <c r="G272" s="14"/>
      <c r="H272" s="14"/>
      <c r="I272" s="14"/>
      <c r="J272" s="14"/>
      <c r="K272" s="14"/>
      <c r="L272" s="571" t="s">
        <v>1009</v>
      </c>
      <c r="M272" s="571"/>
      <c r="N272" s="571"/>
      <c r="O272" s="82"/>
      <c r="P272" s="14"/>
      <c r="Q272"/>
    </row>
    <row r="273" spans="1:17" ht="18.75" x14ac:dyDescent="0.3">
      <c r="A273"/>
      <c r="B273" s="82"/>
      <c r="C273" s="82"/>
      <c r="D273" s="82"/>
      <c r="E273" s="14"/>
      <c r="F273" s="14"/>
      <c r="G273" s="244" t="s">
        <v>1469</v>
      </c>
      <c r="H273" s="14"/>
      <c r="I273" s="14"/>
      <c r="J273" s="14"/>
      <c r="K273" s="14"/>
      <c r="L273" s="243"/>
      <c r="M273" s="243"/>
      <c r="N273" s="242"/>
      <c r="O273" s="82"/>
      <c r="P273" s="14"/>
      <c r="Q273"/>
    </row>
    <row r="274" spans="1:17" ht="18.75" x14ac:dyDescent="0.3">
      <c r="A274"/>
      <c r="B274" s="569"/>
      <c r="C274" s="570"/>
      <c r="D274" s="570"/>
      <c r="E274" s="570"/>
      <c r="F274" s="570"/>
      <c r="G274" s="570"/>
      <c r="H274" s="570"/>
      <c r="I274" s="570"/>
      <c r="J274" s="570"/>
      <c r="K274" s="570"/>
      <c r="L274" s="522" t="s">
        <v>21</v>
      </c>
      <c r="M274" s="522"/>
      <c r="N274" s="522"/>
      <c r="O274" s="82"/>
      <c r="P274" s="23" t="s">
        <v>22</v>
      </c>
      <c r="Q274"/>
    </row>
    <row r="275" spans="1:17" x14ac:dyDescent="0.25">
      <c r="A275"/>
      <c r="B275" s="519" t="s">
        <v>19</v>
      </c>
      <c r="C275" s="519"/>
      <c r="D275" s="519"/>
      <c r="E275" s="14"/>
      <c r="F275" s="14"/>
      <c r="G275" s="14"/>
      <c r="H275" s="14"/>
      <c r="I275" s="14"/>
      <c r="J275" s="14"/>
      <c r="K275" s="14"/>
      <c r="L275" s="14"/>
      <c r="M275" s="14"/>
      <c r="N275" s="519" t="s">
        <v>19</v>
      </c>
      <c r="O275" s="519"/>
      <c r="P275" s="519"/>
      <c r="Q275"/>
    </row>
    <row r="276" spans="1:17" x14ac:dyDescent="0.25">
      <c r="A276"/>
      <c r="B276" s="519" t="s">
        <v>19</v>
      </c>
      <c r="C276" s="519"/>
      <c r="D276" s="519"/>
      <c r="E276" s="14"/>
      <c r="F276" s="14"/>
      <c r="G276" s="14"/>
      <c r="H276" s="14"/>
      <c r="I276" s="14"/>
      <c r="J276" s="14"/>
      <c r="K276" s="14"/>
      <c r="L276" s="14"/>
      <c r="M276" s="14"/>
      <c r="N276" s="519" t="s">
        <v>19</v>
      </c>
      <c r="O276" s="519"/>
      <c r="P276" s="519"/>
      <c r="Q276"/>
    </row>
    <row r="277" spans="1:17" x14ac:dyDescent="0.25">
      <c r="A277"/>
      <c r="B277"/>
      <c r="C277"/>
      <c r="D277"/>
      <c r="E277"/>
      <c r="F277"/>
      <c r="G277"/>
      <c r="H277"/>
      <c r="I277"/>
      <c r="J277"/>
      <c r="K277"/>
      <c r="L277"/>
      <c r="M277"/>
      <c r="N277"/>
      <c r="O277"/>
      <c r="P277"/>
      <c r="Q277"/>
    </row>
    <row r="278" spans="1:17" x14ac:dyDescent="0.25">
      <c r="A278"/>
      <c r="B278"/>
      <c r="C278"/>
      <c r="D278"/>
      <c r="E278"/>
      <c r="F278"/>
      <c r="G278"/>
      <c r="H278"/>
      <c r="I278"/>
      <c r="J278"/>
      <c r="K278"/>
      <c r="L278"/>
      <c r="M278"/>
      <c r="N278"/>
      <c r="O278"/>
      <c r="P278"/>
      <c r="Q278"/>
    </row>
    <row r="279" spans="1:17" x14ac:dyDescent="0.25">
      <c r="A279"/>
      <c r="B279" s="516" t="s">
        <v>17</v>
      </c>
      <c r="C279" s="516"/>
      <c r="D279" s="516"/>
      <c r="E279" s="516"/>
      <c r="F279" s="516"/>
      <c r="G279" s="516"/>
      <c r="H279" s="516"/>
      <c r="I279" s="516"/>
      <c r="J279" s="516"/>
      <c r="K279" s="516"/>
      <c r="L279"/>
      <c r="M279"/>
      <c r="N279"/>
      <c r="O279"/>
      <c r="P279"/>
      <c r="Q279"/>
    </row>
    <row r="280" spans="1:17" x14ac:dyDescent="0.25">
      <c r="A280"/>
      <c r="B280" s="516" t="s">
        <v>18</v>
      </c>
      <c r="C280" s="516"/>
      <c r="D280" s="516"/>
      <c r="E280" s="516"/>
      <c r="F280" s="516"/>
      <c r="G280" s="516"/>
      <c r="H280" s="516"/>
      <c r="I280" s="516"/>
      <c r="J280" s="516"/>
      <c r="K280" s="516"/>
      <c r="L280"/>
      <c r="M280"/>
      <c r="N280"/>
      <c r="O280"/>
      <c r="P280"/>
      <c r="Q280"/>
    </row>
    <row r="281" spans="1:17" x14ac:dyDescent="0.25">
      <c r="A281"/>
      <c r="B281"/>
      <c r="C281"/>
      <c r="D281"/>
      <c r="E281"/>
      <c r="F281"/>
      <c r="G281"/>
      <c r="H281"/>
      <c r="I281"/>
      <c r="J281"/>
      <c r="K281"/>
      <c r="L281"/>
      <c r="M281"/>
      <c r="N281"/>
      <c r="O281"/>
      <c r="P281"/>
      <c r="Q281"/>
    </row>
  </sheetData>
  <mergeCells count="27">
    <mergeCell ref="B279:K279"/>
    <mergeCell ref="B280:K280"/>
    <mergeCell ref="B268:D268"/>
    <mergeCell ref="N268:O268"/>
    <mergeCell ref="B275:D275"/>
    <mergeCell ref="N275:P275"/>
    <mergeCell ref="B276:D276"/>
    <mergeCell ref="N276:P276"/>
    <mergeCell ref="B274:K274"/>
    <mergeCell ref="L272:N272"/>
    <mergeCell ref="L274:N274"/>
    <mergeCell ref="Q13:Q14"/>
    <mergeCell ref="C1:N1"/>
    <mergeCell ref="G2:I2"/>
    <mergeCell ref="O3:P3"/>
    <mergeCell ref="G13:H13"/>
    <mergeCell ref="J13:L13"/>
    <mergeCell ref="M13:N13"/>
    <mergeCell ref="O13:O14"/>
    <mergeCell ref="P13:P14"/>
    <mergeCell ref="N9:O9"/>
    <mergeCell ref="A11:O11"/>
    <mergeCell ref="A13:A14"/>
    <mergeCell ref="B13:B14"/>
    <mergeCell ref="C13:C14"/>
    <mergeCell ref="D13:D14"/>
    <mergeCell ref="E13:E14"/>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4"/>
  <sheetViews>
    <sheetView view="pageBreakPreview" topLeftCell="A10" zoomScale="50" zoomScaleNormal="60" zoomScaleSheetLayoutView="50" workbookViewId="0">
      <selection activeCell="P45" sqref="P45"/>
    </sheetView>
  </sheetViews>
  <sheetFormatPr defaultColWidth="8.7109375" defaultRowHeight="18.75" x14ac:dyDescent="0.25"/>
  <cols>
    <col min="1" max="1" width="8.140625" style="334" customWidth="1"/>
    <col min="2" max="2" width="16.5703125" style="334" customWidth="1"/>
    <col min="3" max="3" width="106" style="332" customWidth="1"/>
    <col min="4" max="4" width="23" style="332" customWidth="1"/>
    <col min="5" max="5" width="12.7109375" style="333" customWidth="1"/>
    <col min="6" max="13" width="28.140625" style="332" customWidth="1"/>
    <col min="14" max="14" width="28.140625" style="331" customWidth="1"/>
    <col min="15" max="17" width="28.140625" style="330" customWidth="1"/>
    <col min="18" max="16384" width="8.7109375" style="330"/>
  </cols>
  <sheetData>
    <row r="1" spans="1:17" x14ac:dyDescent="0.25">
      <c r="C1" s="508"/>
      <c r="D1" s="508"/>
      <c r="E1" s="508"/>
      <c r="F1" s="508"/>
      <c r="G1" s="508"/>
      <c r="H1" s="508"/>
      <c r="I1" s="508"/>
      <c r="J1" s="508"/>
      <c r="K1" s="508"/>
      <c r="L1" s="508"/>
      <c r="M1" s="508"/>
      <c r="N1" s="508"/>
    </row>
    <row r="2" spans="1:17" x14ac:dyDescent="0.3">
      <c r="C2" s="78"/>
      <c r="D2" s="78"/>
      <c r="E2" s="78"/>
      <c r="F2" s="508"/>
      <c r="G2" s="508"/>
      <c r="H2" s="577"/>
      <c r="I2" s="365"/>
      <c r="J2" s="365"/>
      <c r="K2" s="78"/>
      <c r="L2" s="78"/>
      <c r="M2" s="78"/>
      <c r="N2" s="335"/>
      <c r="O2" s="335"/>
      <c r="P2" s="335"/>
      <c r="Q2" s="335" t="s">
        <v>0</v>
      </c>
    </row>
    <row r="3" spans="1:17" x14ac:dyDescent="0.3">
      <c r="C3" s="78"/>
      <c r="D3" s="78"/>
      <c r="E3" s="78"/>
      <c r="F3" s="78"/>
      <c r="G3" s="78"/>
      <c r="H3" s="365"/>
      <c r="I3" s="365"/>
      <c r="J3" s="365"/>
      <c r="K3" s="78"/>
      <c r="L3" s="78"/>
      <c r="M3" s="78"/>
      <c r="N3" s="335"/>
      <c r="O3" s="510"/>
      <c r="P3" s="510"/>
      <c r="Q3" s="335"/>
    </row>
    <row r="4" spans="1:17" x14ac:dyDescent="0.3">
      <c r="C4" s="78"/>
      <c r="D4" s="78"/>
      <c r="E4" s="78"/>
      <c r="F4" s="78"/>
      <c r="G4" s="78"/>
      <c r="H4" s="365"/>
      <c r="I4" s="365"/>
      <c r="J4" s="365"/>
      <c r="K4" s="78"/>
      <c r="L4" s="78"/>
      <c r="M4" s="78"/>
      <c r="N4" s="335"/>
      <c r="O4" s="80"/>
      <c r="P4" s="80"/>
      <c r="Q4" s="335"/>
    </row>
    <row r="5" spans="1:17" x14ac:dyDescent="0.3">
      <c r="C5" s="78"/>
      <c r="D5" s="78"/>
      <c r="E5" s="78"/>
      <c r="F5" s="78"/>
      <c r="G5" s="78"/>
      <c r="H5" s="365"/>
      <c r="I5" s="365"/>
      <c r="J5" s="365"/>
      <c r="K5" s="78"/>
      <c r="L5" s="78"/>
      <c r="M5" s="78"/>
      <c r="N5" s="243" t="s">
        <v>19</v>
      </c>
      <c r="O5" s="242"/>
      <c r="P5" s="80"/>
      <c r="Q5" s="335"/>
    </row>
    <row r="6" spans="1:17" x14ac:dyDescent="0.3">
      <c r="C6" s="78"/>
      <c r="D6" s="78"/>
      <c r="E6" s="78"/>
      <c r="F6" s="508"/>
      <c r="G6" s="508"/>
      <c r="H6" s="577"/>
      <c r="I6" s="365"/>
      <c r="J6" s="365"/>
      <c r="K6" s="78"/>
      <c r="L6" s="78"/>
      <c r="M6" s="78"/>
      <c r="N6" s="522"/>
      <c r="O6" s="522"/>
      <c r="P6" s="80"/>
      <c r="Q6" s="23"/>
    </row>
    <row r="7" spans="1:17" x14ac:dyDescent="0.3">
      <c r="C7" s="78"/>
      <c r="D7" s="78"/>
      <c r="E7" s="78"/>
      <c r="F7" s="78"/>
      <c r="G7" s="78"/>
      <c r="H7" s="365"/>
      <c r="I7" s="365"/>
      <c r="J7" s="365"/>
      <c r="K7" s="78"/>
      <c r="L7" s="78"/>
      <c r="M7" s="78"/>
      <c r="N7" s="335"/>
      <c r="O7" s="80"/>
      <c r="P7" s="80"/>
      <c r="Q7" s="335"/>
    </row>
    <row r="8" spans="1:17" x14ac:dyDescent="0.3">
      <c r="C8" s="78"/>
      <c r="D8" s="78"/>
      <c r="E8" s="78"/>
      <c r="F8" s="78"/>
      <c r="G8" s="78"/>
      <c r="H8" s="365"/>
      <c r="I8" s="365"/>
      <c r="J8" s="365"/>
      <c r="K8" s="78"/>
      <c r="L8" s="78"/>
      <c r="M8" s="78"/>
      <c r="N8" s="335"/>
      <c r="O8" s="80"/>
      <c r="P8" s="80"/>
      <c r="Q8" s="335"/>
    </row>
    <row r="9" spans="1:17" x14ac:dyDescent="0.3">
      <c r="C9" s="78"/>
      <c r="D9" s="78"/>
      <c r="E9" s="78"/>
      <c r="F9" s="78"/>
      <c r="G9" s="367"/>
      <c r="H9" s="366"/>
      <c r="I9" s="365"/>
      <c r="J9" s="365"/>
      <c r="K9" s="78"/>
      <c r="L9" s="78"/>
      <c r="M9" s="78"/>
      <c r="N9" s="335"/>
      <c r="O9" s="576"/>
      <c r="P9" s="576"/>
      <c r="Q9" s="335"/>
    </row>
    <row r="10" spans="1:17" x14ac:dyDescent="0.3">
      <c r="C10" s="78"/>
      <c r="D10" s="78"/>
      <c r="E10" s="78"/>
      <c r="F10" s="78"/>
      <c r="G10" s="78"/>
      <c r="H10" s="365"/>
      <c r="I10" s="365"/>
      <c r="J10" s="365"/>
      <c r="K10" s="78"/>
      <c r="L10" s="78"/>
      <c r="M10" s="78"/>
      <c r="N10" s="576" t="s">
        <v>19</v>
      </c>
      <c r="O10" s="576"/>
      <c r="P10" s="576"/>
      <c r="Q10" s="576"/>
    </row>
    <row r="11" spans="1:17" x14ac:dyDescent="0.25">
      <c r="C11" s="78"/>
      <c r="D11" s="78"/>
      <c r="E11" s="78"/>
      <c r="F11" s="78"/>
      <c r="G11" s="78"/>
      <c r="H11" s="78"/>
      <c r="I11" s="78"/>
      <c r="J11" s="78"/>
      <c r="K11" s="78"/>
      <c r="L11" s="78"/>
      <c r="M11" s="78"/>
      <c r="N11" s="78"/>
    </row>
    <row r="12" spans="1:17" s="360" customFormat="1" ht="20.65" customHeight="1" x14ac:dyDescent="0.3">
      <c r="A12" s="364"/>
      <c r="B12" s="364"/>
      <c r="C12" s="572" t="s">
        <v>2131</v>
      </c>
      <c r="D12" s="572"/>
      <c r="E12" s="572"/>
      <c r="F12" s="572"/>
      <c r="G12" s="572"/>
      <c r="H12" s="572"/>
      <c r="I12" s="572"/>
      <c r="J12" s="572"/>
      <c r="K12" s="572"/>
      <c r="L12" s="361"/>
      <c r="M12" s="361"/>
      <c r="N12" s="361"/>
    </row>
    <row r="13" spans="1:17" s="360" customFormat="1" ht="15.75" customHeight="1" x14ac:dyDescent="0.3">
      <c r="A13" s="364"/>
      <c r="B13" s="364"/>
      <c r="C13" s="363"/>
      <c r="D13" s="362"/>
      <c r="E13" s="361"/>
      <c r="F13" s="361"/>
      <c r="G13" s="361"/>
      <c r="H13" s="361"/>
      <c r="I13" s="361"/>
      <c r="J13" s="361"/>
      <c r="K13" s="361"/>
      <c r="L13" s="361"/>
      <c r="M13" s="361"/>
      <c r="N13" s="361"/>
    </row>
    <row r="14" spans="1:17" s="357" customFormat="1" ht="24" customHeight="1" x14ac:dyDescent="0.25">
      <c r="A14" s="578" t="s">
        <v>1</v>
      </c>
      <c r="B14" s="578" t="s">
        <v>1123</v>
      </c>
      <c r="C14" s="580" t="s">
        <v>3</v>
      </c>
      <c r="D14" s="582" t="s">
        <v>4</v>
      </c>
      <c r="E14" s="578" t="s">
        <v>5</v>
      </c>
      <c r="F14" s="573" t="s">
        <v>2130</v>
      </c>
      <c r="G14" s="573"/>
      <c r="H14" s="574"/>
      <c r="I14" s="573" t="s">
        <v>2129</v>
      </c>
      <c r="J14" s="573"/>
      <c r="K14" s="574"/>
      <c r="L14" s="573" t="s">
        <v>2128</v>
      </c>
      <c r="M14" s="573"/>
      <c r="N14" s="574"/>
      <c r="O14" s="505" t="s">
        <v>1122</v>
      </c>
      <c r="P14" s="505" t="s">
        <v>10</v>
      </c>
      <c r="Q14" s="505" t="s">
        <v>11</v>
      </c>
    </row>
    <row r="15" spans="1:17" s="357" customFormat="1" ht="138.4" customHeight="1" x14ac:dyDescent="0.25">
      <c r="A15" s="579"/>
      <c r="B15" s="579"/>
      <c r="C15" s="581"/>
      <c r="D15" s="583"/>
      <c r="E15" s="583"/>
      <c r="F15" s="359" t="s">
        <v>14</v>
      </c>
      <c r="G15" s="358" t="s">
        <v>12</v>
      </c>
      <c r="H15" s="358" t="s">
        <v>13</v>
      </c>
      <c r="I15" s="359" t="s">
        <v>14</v>
      </c>
      <c r="J15" s="358" t="s">
        <v>12</v>
      </c>
      <c r="K15" s="358" t="s">
        <v>13</v>
      </c>
      <c r="L15" s="359" t="s">
        <v>14</v>
      </c>
      <c r="M15" s="358" t="s">
        <v>12</v>
      </c>
      <c r="N15" s="358" t="s">
        <v>13</v>
      </c>
      <c r="O15" s="506"/>
      <c r="P15" s="506"/>
      <c r="Q15" s="506"/>
    </row>
    <row r="16" spans="1:17" x14ac:dyDescent="0.25">
      <c r="A16" s="356">
        <v>1</v>
      </c>
      <c r="B16" s="356">
        <f>A16+1</f>
        <v>2</v>
      </c>
      <c r="C16" s="356">
        <f>B16+1</f>
        <v>3</v>
      </c>
      <c r="D16" s="356">
        <f>C16+1</f>
        <v>4</v>
      </c>
      <c r="E16" s="356">
        <f>D16+1</f>
        <v>5</v>
      </c>
      <c r="F16" s="356">
        <v>6</v>
      </c>
      <c r="G16" s="356">
        <v>7</v>
      </c>
      <c r="H16" s="356">
        <v>8</v>
      </c>
      <c r="I16" s="356">
        <v>9</v>
      </c>
      <c r="J16" s="356">
        <v>10</v>
      </c>
      <c r="K16" s="356">
        <v>11</v>
      </c>
      <c r="L16" s="356">
        <v>12</v>
      </c>
      <c r="M16" s="356">
        <v>13</v>
      </c>
      <c r="N16" s="356">
        <v>14</v>
      </c>
      <c r="O16" s="356">
        <v>15</v>
      </c>
      <c r="P16" s="356">
        <v>16</v>
      </c>
      <c r="Q16" s="356">
        <v>17</v>
      </c>
    </row>
    <row r="17" spans="1:17" ht="21" customHeight="1" x14ac:dyDescent="0.25">
      <c r="A17" s="61"/>
      <c r="B17" s="61"/>
      <c r="C17" s="354" t="s">
        <v>2127</v>
      </c>
      <c r="D17" s="354"/>
      <c r="E17" s="68"/>
      <c r="F17" s="354"/>
      <c r="G17" s="354"/>
      <c r="H17" s="354"/>
      <c r="I17" s="354"/>
      <c r="J17" s="349"/>
      <c r="K17" s="354"/>
      <c r="L17" s="355"/>
      <c r="M17" s="354"/>
      <c r="N17" s="354"/>
      <c r="O17" s="354"/>
      <c r="P17" s="354"/>
      <c r="Q17" s="354"/>
    </row>
    <row r="18" spans="1:17" ht="37.35" customHeight="1" x14ac:dyDescent="0.25">
      <c r="A18" s="350">
        <v>1</v>
      </c>
      <c r="B18" s="345" t="s">
        <v>2070</v>
      </c>
      <c r="C18" s="346" t="s">
        <v>2126</v>
      </c>
      <c r="D18" s="349" t="s">
        <v>2125</v>
      </c>
      <c r="E18" s="351" t="s">
        <v>15</v>
      </c>
      <c r="F18" s="347">
        <v>42981</v>
      </c>
      <c r="G18" s="346" t="s">
        <v>2048</v>
      </c>
      <c r="H18" s="345">
        <v>6454052297</v>
      </c>
      <c r="I18" s="342">
        <v>42981</v>
      </c>
      <c r="J18" s="346" t="s">
        <v>378</v>
      </c>
      <c r="K18" s="345">
        <v>7704844420</v>
      </c>
      <c r="L18" s="342">
        <v>42981</v>
      </c>
      <c r="M18" s="346" t="s">
        <v>2122</v>
      </c>
      <c r="N18" s="345">
        <v>5024202968</v>
      </c>
      <c r="O18" s="342">
        <f t="shared" ref="O18:O45" si="0">MIN(F18,I18,L18)</f>
        <v>42981</v>
      </c>
      <c r="P18" s="342"/>
      <c r="Q18" s="341" t="s">
        <v>2046</v>
      </c>
    </row>
    <row r="19" spans="1:17" ht="37.35" customHeight="1" x14ac:dyDescent="0.25">
      <c r="A19" s="350">
        <v>2</v>
      </c>
      <c r="B19" s="345" t="s">
        <v>2070</v>
      </c>
      <c r="C19" s="346" t="s">
        <v>2124</v>
      </c>
      <c r="D19" s="349" t="s">
        <v>2123</v>
      </c>
      <c r="E19" s="351" t="s">
        <v>15</v>
      </c>
      <c r="F19" s="347">
        <v>21132</v>
      </c>
      <c r="G19" s="346" t="s">
        <v>2048</v>
      </c>
      <c r="H19" s="345">
        <v>6454052297</v>
      </c>
      <c r="I19" s="342">
        <v>21132</v>
      </c>
      <c r="J19" s="344" t="s">
        <v>378</v>
      </c>
      <c r="K19" s="353">
        <v>7704844420</v>
      </c>
      <c r="L19" s="342">
        <v>21132</v>
      </c>
      <c r="M19" s="346" t="s">
        <v>2122</v>
      </c>
      <c r="N19" s="345">
        <v>5024202968</v>
      </c>
      <c r="O19" s="342">
        <f t="shared" si="0"/>
        <v>21132</v>
      </c>
      <c r="P19" s="342"/>
      <c r="Q19" s="341" t="s">
        <v>2046</v>
      </c>
    </row>
    <row r="20" spans="1:17" ht="37.35" customHeight="1" x14ac:dyDescent="0.25">
      <c r="A20" s="350">
        <v>3</v>
      </c>
      <c r="B20" s="345" t="s">
        <v>2121</v>
      </c>
      <c r="C20" s="346" t="s">
        <v>2120</v>
      </c>
      <c r="D20" s="349" t="s">
        <v>2119</v>
      </c>
      <c r="E20" s="351" t="s">
        <v>15</v>
      </c>
      <c r="F20" s="347">
        <v>19567</v>
      </c>
      <c r="G20" s="346" t="s">
        <v>2048</v>
      </c>
      <c r="H20" s="345">
        <v>6454052297</v>
      </c>
      <c r="I20" s="342">
        <v>19567</v>
      </c>
      <c r="J20" s="344" t="s">
        <v>727</v>
      </c>
      <c r="K20" s="353">
        <v>6453073463</v>
      </c>
      <c r="L20" s="342">
        <v>16828</v>
      </c>
      <c r="M20" s="344" t="s">
        <v>2094</v>
      </c>
      <c r="N20" s="352">
        <v>366500848808</v>
      </c>
      <c r="O20" s="342">
        <f t="shared" si="0"/>
        <v>16828</v>
      </c>
      <c r="P20" s="342"/>
      <c r="Q20" s="341" t="s">
        <v>2046</v>
      </c>
    </row>
    <row r="21" spans="1:17" ht="37.35" customHeight="1" x14ac:dyDescent="0.25">
      <c r="A21" s="350">
        <v>4</v>
      </c>
      <c r="B21" s="345" t="s">
        <v>2105</v>
      </c>
      <c r="C21" s="346" t="s">
        <v>2118</v>
      </c>
      <c r="D21" s="349" t="s">
        <v>2117</v>
      </c>
      <c r="E21" s="351" t="s">
        <v>15</v>
      </c>
      <c r="F21" s="347">
        <v>1406</v>
      </c>
      <c r="G21" s="346" t="s">
        <v>2048</v>
      </c>
      <c r="H21" s="345">
        <v>6454052297</v>
      </c>
      <c r="I21" s="342">
        <v>1406</v>
      </c>
      <c r="J21" s="344" t="s">
        <v>632</v>
      </c>
      <c r="K21" s="343" t="s">
        <v>631</v>
      </c>
      <c r="L21" s="342">
        <v>1406</v>
      </c>
      <c r="M21" s="344" t="s">
        <v>2080</v>
      </c>
      <c r="N21" s="352">
        <v>6454107010</v>
      </c>
      <c r="O21" s="342">
        <f t="shared" si="0"/>
        <v>1406</v>
      </c>
      <c r="P21" s="342"/>
      <c r="Q21" s="341" t="s">
        <v>2046</v>
      </c>
    </row>
    <row r="22" spans="1:17" ht="37.35" customHeight="1" x14ac:dyDescent="0.25">
      <c r="A22" s="350">
        <v>5</v>
      </c>
      <c r="B22" s="345" t="s">
        <v>2105</v>
      </c>
      <c r="C22" s="346" t="s">
        <v>2116</v>
      </c>
      <c r="D22" s="349" t="s">
        <v>2115</v>
      </c>
      <c r="E22" s="351" t="s">
        <v>15</v>
      </c>
      <c r="F22" s="347">
        <v>523</v>
      </c>
      <c r="G22" s="346" t="s">
        <v>2048</v>
      </c>
      <c r="H22" s="345">
        <v>6454052297</v>
      </c>
      <c r="I22" s="342">
        <v>523.28</v>
      </c>
      <c r="J22" s="344" t="s">
        <v>353</v>
      </c>
      <c r="K22" s="343">
        <v>7842224734</v>
      </c>
      <c r="L22" s="342">
        <v>523</v>
      </c>
      <c r="M22" s="344" t="s">
        <v>2112</v>
      </c>
      <c r="N22" s="352">
        <v>7733897105</v>
      </c>
      <c r="O22" s="342">
        <f t="shared" si="0"/>
        <v>523</v>
      </c>
      <c r="P22" s="342"/>
      <c r="Q22" s="341" t="s">
        <v>2046</v>
      </c>
    </row>
    <row r="23" spans="1:17" ht="37.35" customHeight="1" x14ac:dyDescent="0.25">
      <c r="A23" s="350">
        <v>6</v>
      </c>
      <c r="B23" s="345" t="s">
        <v>2105</v>
      </c>
      <c r="C23" s="346" t="s">
        <v>2114</v>
      </c>
      <c r="D23" s="349" t="s">
        <v>2113</v>
      </c>
      <c r="E23" s="351" t="s">
        <v>15</v>
      </c>
      <c r="F23" s="347">
        <v>208.2</v>
      </c>
      <c r="G23" s="344" t="s">
        <v>378</v>
      </c>
      <c r="H23" s="353">
        <v>7704844420</v>
      </c>
      <c r="I23" s="342">
        <v>208</v>
      </c>
      <c r="J23" s="344" t="s">
        <v>2112</v>
      </c>
      <c r="K23" s="352">
        <v>7733897105</v>
      </c>
      <c r="L23" s="342">
        <v>208</v>
      </c>
      <c r="M23" s="344" t="s">
        <v>2111</v>
      </c>
      <c r="N23" s="352">
        <v>280123207322</v>
      </c>
      <c r="O23" s="342">
        <f t="shared" si="0"/>
        <v>208</v>
      </c>
      <c r="P23" s="342"/>
      <c r="Q23" s="341" t="s">
        <v>2046</v>
      </c>
    </row>
    <row r="24" spans="1:17" ht="37.35" customHeight="1" x14ac:dyDescent="0.25">
      <c r="A24" s="350">
        <v>7</v>
      </c>
      <c r="B24" s="345" t="s">
        <v>2105</v>
      </c>
      <c r="C24" s="346" t="s">
        <v>2110</v>
      </c>
      <c r="D24" s="349" t="s">
        <v>2109</v>
      </c>
      <c r="E24" s="351" t="s">
        <v>15</v>
      </c>
      <c r="F24" s="347">
        <v>23328</v>
      </c>
      <c r="G24" s="344" t="s">
        <v>632</v>
      </c>
      <c r="H24" s="343" t="s">
        <v>631</v>
      </c>
      <c r="I24" s="342">
        <v>23328</v>
      </c>
      <c r="J24" s="344" t="s">
        <v>2095</v>
      </c>
      <c r="K24" s="345">
        <v>5050118350</v>
      </c>
      <c r="L24" s="342">
        <v>21868</v>
      </c>
      <c r="M24" s="344" t="s">
        <v>2108</v>
      </c>
      <c r="N24" s="352">
        <v>7725292113</v>
      </c>
      <c r="O24" s="342">
        <f t="shared" si="0"/>
        <v>21868</v>
      </c>
      <c r="P24" s="342"/>
      <c r="Q24" s="341" t="s">
        <v>2046</v>
      </c>
    </row>
    <row r="25" spans="1:17" ht="37.35" customHeight="1" x14ac:dyDescent="0.25">
      <c r="A25" s="350">
        <v>8</v>
      </c>
      <c r="B25" s="345" t="s">
        <v>2105</v>
      </c>
      <c r="C25" s="346" t="s">
        <v>2107</v>
      </c>
      <c r="D25" s="349" t="s">
        <v>2106</v>
      </c>
      <c r="E25" s="351" t="s">
        <v>15</v>
      </c>
      <c r="F25" s="347">
        <v>1243</v>
      </c>
      <c r="G25" s="346" t="s">
        <v>2048</v>
      </c>
      <c r="H25" s="345">
        <v>6454052297</v>
      </c>
      <c r="I25" s="342">
        <v>1243</v>
      </c>
      <c r="J25" s="344" t="s">
        <v>2047</v>
      </c>
      <c r="K25" s="345">
        <v>9721058155</v>
      </c>
      <c r="L25" s="342">
        <v>1243.6600000000001</v>
      </c>
      <c r="M25" s="344" t="s">
        <v>353</v>
      </c>
      <c r="N25" s="343">
        <v>7842224734</v>
      </c>
      <c r="O25" s="342">
        <f t="shared" si="0"/>
        <v>1243</v>
      </c>
      <c r="P25" s="342"/>
      <c r="Q25" s="341" t="s">
        <v>2046</v>
      </c>
    </row>
    <row r="26" spans="1:17" ht="37.35" customHeight="1" x14ac:dyDescent="0.25">
      <c r="A26" s="350">
        <v>9</v>
      </c>
      <c r="B26" s="345" t="s">
        <v>2105</v>
      </c>
      <c r="C26" s="346" t="s">
        <v>2104</v>
      </c>
      <c r="D26" s="349" t="s">
        <v>2103</v>
      </c>
      <c r="E26" s="351" t="s">
        <v>15</v>
      </c>
      <c r="F26" s="347">
        <v>1504</v>
      </c>
      <c r="G26" s="346" t="s">
        <v>2048</v>
      </c>
      <c r="H26" s="345">
        <v>6454052297</v>
      </c>
      <c r="I26" s="342">
        <v>1504</v>
      </c>
      <c r="J26" s="344" t="s">
        <v>2080</v>
      </c>
      <c r="K26" s="352">
        <v>6454107010</v>
      </c>
      <c r="L26" s="342">
        <v>1504.2</v>
      </c>
      <c r="M26" s="346" t="s">
        <v>378</v>
      </c>
      <c r="N26" s="345">
        <v>7704844420</v>
      </c>
      <c r="O26" s="342">
        <f t="shared" si="0"/>
        <v>1504</v>
      </c>
      <c r="P26" s="342"/>
      <c r="Q26" s="341" t="s">
        <v>2046</v>
      </c>
    </row>
    <row r="27" spans="1:17" ht="37.35" customHeight="1" x14ac:dyDescent="0.25">
      <c r="A27" s="350">
        <v>10</v>
      </c>
      <c r="B27" s="345" t="s">
        <v>2102</v>
      </c>
      <c r="C27" s="346" t="s">
        <v>2101</v>
      </c>
      <c r="D27" s="349" t="s">
        <v>2100</v>
      </c>
      <c r="E27" s="351" t="s">
        <v>15</v>
      </c>
      <c r="F27" s="347">
        <v>681</v>
      </c>
      <c r="G27" s="346" t="s">
        <v>2048</v>
      </c>
      <c r="H27" s="345">
        <v>6454052297</v>
      </c>
      <c r="I27" s="342">
        <v>681</v>
      </c>
      <c r="J27" s="344" t="s">
        <v>2080</v>
      </c>
      <c r="K27" s="352">
        <v>6454107010</v>
      </c>
      <c r="L27" s="342">
        <v>681</v>
      </c>
      <c r="M27" s="344" t="s">
        <v>632</v>
      </c>
      <c r="N27" s="343" t="s">
        <v>631</v>
      </c>
      <c r="O27" s="342">
        <f t="shared" si="0"/>
        <v>681</v>
      </c>
      <c r="P27" s="342"/>
      <c r="Q27" s="341" t="s">
        <v>2046</v>
      </c>
    </row>
    <row r="28" spans="1:17" ht="37.35" customHeight="1" x14ac:dyDescent="0.25">
      <c r="A28" s="350">
        <v>11</v>
      </c>
      <c r="B28" s="345" t="s">
        <v>2070</v>
      </c>
      <c r="C28" s="346" t="s">
        <v>2099</v>
      </c>
      <c r="D28" s="349" t="s">
        <v>2098</v>
      </c>
      <c r="E28" s="351" t="s">
        <v>15</v>
      </c>
      <c r="F28" s="347">
        <v>1613</v>
      </c>
      <c r="G28" s="346" t="s">
        <v>2048</v>
      </c>
      <c r="H28" s="345">
        <v>6454052297</v>
      </c>
      <c r="I28" s="342">
        <v>1613</v>
      </c>
      <c r="J28" s="344" t="s">
        <v>632</v>
      </c>
      <c r="K28" s="343" t="s">
        <v>631</v>
      </c>
      <c r="L28" s="342">
        <v>1613</v>
      </c>
      <c r="M28" s="344" t="s">
        <v>2080</v>
      </c>
      <c r="N28" s="352">
        <v>6454107010</v>
      </c>
      <c r="O28" s="342">
        <f t="shared" si="0"/>
        <v>1613</v>
      </c>
      <c r="P28" s="342"/>
      <c r="Q28" s="341" t="s">
        <v>2046</v>
      </c>
    </row>
    <row r="29" spans="1:17" ht="37.35" customHeight="1" x14ac:dyDescent="0.25">
      <c r="A29" s="350">
        <v>12</v>
      </c>
      <c r="B29" s="345" t="s">
        <v>2070</v>
      </c>
      <c r="C29" s="346" t="s">
        <v>2097</v>
      </c>
      <c r="D29" s="349" t="s">
        <v>2096</v>
      </c>
      <c r="E29" s="351" t="s">
        <v>15</v>
      </c>
      <c r="F29" s="347">
        <v>1613</v>
      </c>
      <c r="G29" s="344" t="s">
        <v>2080</v>
      </c>
      <c r="H29" s="352">
        <v>6454107010</v>
      </c>
      <c r="I29" s="342">
        <v>1614</v>
      </c>
      <c r="J29" s="344" t="s">
        <v>2095</v>
      </c>
      <c r="K29" s="345">
        <v>5050118350</v>
      </c>
      <c r="L29" s="342">
        <v>1387</v>
      </c>
      <c r="M29" s="344" t="s">
        <v>2094</v>
      </c>
      <c r="N29" s="352">
        <v>366500848808</v>
      </c>
      <c r="O29" s="342">
        <f t="shared" si="0"/>
        <v>1387</v>
      </c>
      <c r="P29" s="342"/>
      <c r="Q29" s="341" t="s">
        <v>2046</v>
      </c>
    </row>
    <row r="30" spans="1:17" ht="37.35" customHeight="1" x14ac:dyDescent="0.25">
      <c r="A30" s="350">
        <v>13</v>
      </c>
      <c r="B30" s="345" t="s">
        <v>2070</v>
      </c>
      <c r="C30" s="344" t="s">
        <v>2093</v>
      </c>
      <c r="D30" s="349" t="s">
        <v>2092</v>
      </c>
      <c r="E30" s="351" t="s">
        <v>15</v>
      </c>
      <c r="F30" s="347">
        <v>1613</v>
      </c>
      <c r="G30" s="346" t="s">
        <v>2048</v>
      </c>
      <c r="H30" s="345">
        <v>6454052297</v>
      </c>
      <c r="I30" s="342">
        <v>1691.63</v>
      </c>
      <c r="J30" s="344" t="s">
        <v>353</v>
      </c>
      <c r="K30" s="343">
        <v>7842224734</v>
      </c>
      <c r="L30" s="342">
        <v>1613</v>
      </c>
      <c r="M30" s="344" t="s">
        <v>632</v>
      </c>
      <c r="N30" s="343" t="s">
        <v>631</v>
      </c>
      <c r="O30" s="342">
        <f t="shared" si="0"/>
        <v>1613</v>
      </c>
      <c r="P30" s="342"/>
      <c r="Q30" s="341" t="s">
        <v>2046</v>
      </c>
    </row>
    <row r="31" spans="1:17" ht="37.35" customHeight="1" x14ac:dyDescent="0.25">
      <c r="A31" s="350">
        <v>14</v>
      </c>
      <c r="B31" s="345" t="s">
        <v>560</v>
      </c>
      <c r="C31" s="344" t="s">
        <v>2091</v>
      </c>
      <c r="D31" s="349" t="s">
        <v>2090</v>
      </c>
      <c r="E31" s="351" t="s">
        <v>15</v>
      </c>
      <c r="F31" s="347">
        <v>8306</v>
      </c>
      <c r="G31" s="346" t="s">
        <v>2048</v>
      </c>
      <c r="H31" s="345">
        <v>6454052297</v>
      </c>
      <c r="I31" s="342">
        <v>8310.35</v>
      </c>
      <c r="J31" s="344" t="s">
        <v>353</v>
      </c>
      <c r="K31" s="343">
        <v>7842224734</v>
      </c>
      <c r="L31" s="342">
        <v>8306</v>
      </c>
      <c r="M31" s="344" t="s">
        <v>2047</v>
      </c>
      <c r="N31" s="345">
        <v>9721058155</v>
      </c>
      <c r="O31" s="342">
        <f t="shared" si="0"/>
        <v>8306</v>
      </c>
      <c r="P31" s="342"/>
      <c r="Q31" s="341" t="s">
        <v>2046</v>
      </c>
    </row>
    <row r="32" spans="1:17" ht="37.35" customHeight="1" x14ac:dyDescent="0.25">
      <c r="A32" s="350">
        <v>15</v>
      </c>
      <c r="B32" s="345" t="s">
        <v>560</v>
      </c>
      <c r="C32" s="344" t="s">
        <v>2089</v>
      </c>
      <c r="D32" s="349" t="s">
        <v>2088</v>
      </c>
      <c r="E32" s="351" t="s">
        <v>15</v>
      </c>
      <c r="F32" s="347">
        <v>13025</v>
      </c>
      <c r="G32" s="346" t="s">
        <v>2048</v>
      </c>
      <c r="H32" s="345">
        <v>6454052297</v>
      </c>
      <c r="I32" s="342">
        <v>13031.83</v>
      </c>
      <c r="J32" s="344" t="s">
        <v>353</v>
      </c>
      <c r="K32" s="343">
        <v>7842224734</v>
      </c>
      <c r="L32" s="342">
        <v>13025</v>
      </c>
      <c r="M32" s="344" t="s">
        <v>2047</v>
      </c>
      <c r="N32" s="345">
        <v>9721058155</v>
      </c>
      <c r="O32" s="342">
        <f t="shared" si="0"/>
        <v>13025</v>
      </c>
      <c r="P32" s="342"/>
      <c r="Q32" s="341" t="s">
        <v>2046</v>
      </c>
    </row>
    <row r="33" spans="1:19" ht="37.35" customHeight="1" x14ac:dyDescent="0.25">
      <c r="A33" s="350">
        <v>16</v>
      </c>
      <c r="B33" s="345" t="s">
        <v>560</v>
      </c>
      <c r="C33" s="344" t="s">
        <v>2087</v>
      </c>
      <c r="D33" s="349" t="s">
        <v>2086</v>
      </c>
      <c r="E33" s="351" t="s">
        <v>15</v>
      </c>
      <c r="F33" s="347">
        <v>7634</v>
      </c>
      <c r="G33" s="346" t="s">
        <v>2048</v>
      </c>
      <c r="H33" s="345">
        <v>6454052297</v>
      </c>
      <c r="I33" s="342">
        <v>7638</v>
      </c>
      <c r="J33" s="344" t="s">
        <v>353</v>
      </c>
      <c r="K33" s="343">
        <v>7842224734</v>
      </c>
      <c r="L33" s="342">
        <v>7634</v>
      </c>
      <c r="M33" s="344" t="s">
        <v>2047</v>
      </c>
      <c r="N33" s="345">
        <v>9721058155</v>
      </c>
      <c r="O33" s="342">
        <f t="shared" si="0"/>
        <v>7634</v>
      </c>
      <c r="P33" s="342"/>
      <c r="Q33" s="341" t="s">
        <v>2046</v>
      </c>
      <c r="R33" s="340"/>
      <c r="S33" s="340"/>
    </row>
    <row r="34" spans="1:19" ht="37.35" customHeight="1" x14ac:dyDescent="0.25">
      <c r="A34" s="350">
        <v>17</v>
      </c>
      <c r="B34" s="345" t="s">
        <v>2075</v>
      </c>
      <c r="C34" s="344" t="s">
        <v>2085</v>
      </c>
      <c r="D34" s="349" t="s">
        <v>2084</v>
      </c>
      <c r="E34" s="351" t="s">
        <v>15</v>
      </c>
      <c r="F34" s="347">
        <v>3108</v>
      </c>
      <c r="G34" s="346" t="s">
        <v>2048</v>
      </c>
      <c r="H34" s="345">
        <v>6454052297</v>
      </c>
      <c r="I34" s="342">
        <v>3207.6</v>
      </c>
      <c r="J34" s="344" t="s">
        <v>2083</v>
      </c>
      <c r="K34" s="343">
        <v>7721801761</v>
      </c>
      <c r="L34" s="342">
        <v>3108</v>
      </c>
      <c r="M34" s="344" t="s">
        <v>2047</v>
      </c>
      <c r="N34" s="345">
        <v>9721058155</v>
      </c>
      <c r="O34" s="342">
        <f t="shared" si="0"/>
        <v>3108</v>
      </c>
      <c r="P34" s="342"/>
      <c r="Q34" s="341" t="s">
        <v>2046</v>
      </c>
    </row>
    <row r="35" spans="1:19" ht="37.35" customHeight="1" x14ac:dyDescent="0.25">
      <c r="A35" s="350">
        <v>18</v>
      </c>
      <c r="B35" s="345" t="s">
        <v>2075</v>
      </c>
      <c r="C35" s="344" t="s">
        <v>2082</v>
      </c>
      <c r="D35" s="349" t="s">
        <v>2081</v>
      </c>
      <c r="E35" s="351" t="s">
        <v>15</v>
      </c>
      <c r="F35" s="347">
        <v>2994</v>
      </c>
      <c r="G35" s="346" t="s">
        <v>2048</v>
      </c>
      <c r="H35" s="345">
        <v>6454052297</v>
      </c>
      <c r="I35" s="342">
        <v>2994</v>
      </c>
      <c r="J35" s="344" t="s">
        <v>2080</v>
      </c>
      <c r="K35" s="352">
        <v>6454107010</v>
      </c>
      <c r="L35" s="342">
        <v>2994</v>
      </c>
      <c r="M35" s="344" t="s">
        <v>632</v>
      </c>
      <c r="N35" s="343" t="s">
        <v>631</v>
      </c>
      <c r="O35" s="342">
        <f t="shared" si="0"/>
        <v>2994</v>
      </c>
      <c r="P35" s="342"/>
      <c r="Q35" s="341" t="s">
        <v>2046</v>
      </c>
    </row>
    <row r="36" spans="1:19" ht="37.35" customHeight="1" x14ac:dyDescent="0.25">
      <c r="A36" s="350">
        <v>19</v>
      </c>
      <c r="B36" s="345" t="s">
        <v>2075</v>
      </c>
      <c r="C36" s="344" t="s">
        <v>2079</v>
      </c>
      <c r="D36" s="349" t="s">
        <v>2078</v>
      </c>
      <c r="E36" s="351" t="s">
        <v>15</v>
      </c>
      <c r="F36" s="347">
        <v>3675</v>
      </c>
      <c r="G36" s="346" t="s">
        <v>2048</v>
      </c>
      <c r="H36" s="345">
        <v>6454052297</v>
      </c>
      <c r="I36" s="342">
        <v>3675</v>
      </c>
      <c r="J36" s="344" t="s">
        <v>2077</v>
      </c>
      <c r="K36" s="352">
        <v>7719840097</v>
      </c>
      <c r="L36" s="342">
        <v>3524</v>
      </c>
      <c r="M36" s="344" t="s">
        <v>2076</v>
      </c>
      <c r="N36" s="343">
        <v>7810862526</v>
      </c>
      <c r="O36" s="342">
        <f t="shared" si="0"/>
        <v>3524</v>
      </c>
      <c r="P36" s="342"/>
      <c r="Q36" s="341" t="s">
        <v>2046</v>
      </c>
    </row>
    <row r="37" spans="1:19" ht="37.35" customHeight="1" x14ac:dyDescent="0.25">
      <c r="A37" s="350">
        <v>20</v>
      </c>
      <c r="B37" s="345" t="s">
        <v>2075</v>
      </c>
      <c r="C37" s="344" t="s">
        <v>2074</v>
      </c>
      <c r="D37" s="349" t="s">
        <v>2073</v>
      </c>
      <c r="E37" s="351" t="s">
        <v>15</v>
      </c>
      <c r="F37" s="347">
        <v>4672</v>
      </c>
      <c r="G37" s="346" t="s">
        <v>2048</v>
      </c>
      <c r="H37" s="345">
        <v>6454052297</v>
      </c>
      <c r="I37" s="342">
        <v>4672</v>
      </c>
      <c r="J37" s="344" t="s">
        <v>2047</v>
      </c>
      <c r="K37" s="345">
        <v>9721058155</v>
      </c>
      <c r="L37" s="342">
        <v>5022.5</v>
      </c>
      <c r="M37" s="344" t="s">
        <v>395</v>
      </c>
      <c r="N37" s="343">
        <v>7804628380</v>
      </c>
      <c r="O37" s="342">
        <f t="shared" si="0"/>
        <v>4672</v>
      </c>
      <c r="P37" s="342"/>
      <c r="Q37" s="341" t="s">
        <v>2046</v>
      </c>
    </row>
    <row r="38" spans="1:19" ht="37.35" customHeight="1" x14ac:dyDescent="0.25">
      <c r="A38" s="350">
        <v>21</v>
      </c>
      <c r="B38" s="345" t="s">
        <v>560</v>
      </c>
      <c r="C38" s="344" t="s">
        <v>2072</v>
      </c>
      <c r="D38" s="349" t="s">
        <v>2071</v>
      </c>
      <c r="E38" s="351" t="s">
        <v>15</v>
      </c>
      <c r="F38" s="347">
        <v>7759</v>
      </c>
      <c r="G38" s="346" t="s">
        <v>2048</v>
      </c>
      <c r="H38" s="345">
        <v>6454052297</v>
      </c>
      <c r="I38" s="342">
        <v>7759</v>
      </c>
      <c r="J38" s="344" t="s">
        <v>369</v>
      </c>
      <c r="K38" s="345">
        <v>7702680818</v>
      </c>
      <c r="L38" s="342">
        <v>7759</v>
      </c>
      <c r="M38" s="344" t="s">
        <v>632</v>
      </c>
      <c r="N38" s="343" t="s">
        <v>631</v>
      </c>
      <c r="O38" s="342">
        <f t="shared" si="0"/>
        <v>7759</v>
      </c>
      <c r="P38" s="342"/>
      <c r="Q38" s="341" t="s">
        <v>2046</v>
      </c>
    </row>
    <row r="39" spans="1:19" ht="37.35" customHeight="1" x14ac:dyDescent="0.25">
      <c r="A39" s="350">
        <v>22</v>
      </c>
      <c r="B39" s="345" t="s">
        <v>2070</v>
      </c>
      <c r="C39" s="344" t="s">
        <v>2069</v>
      </c>
      <c r="D39" s="349" t="s">
        <v>2068</v>
      </c>
      <c r="E39" s="351" t="s">
        <v>15</v>
      </c>
      <c r="F39" s="347">
        <v>683</v>
      </c>
      <c r="G39" s="346" t="s">
        <v>2048</v>
      </c>
      <c r="H39" s="345">
        <v>6454052297</v>
      </c>
      <c r="I39" s="342">
        <v>683</v>
      </c>
      <c r="J39" s="344" t="s">
        <v>369</v>
      </c>
      <c r="K39" s="345">
        <v>7702680818</v>
      </c>
      <c r="L39" s="342">
        <v>683</v>
      </c>
      <c r="M39" s="344" t="s">
        <v>2047</v>
      </c>
      <c r="N39" s="345">
        <v>9721058155</v>
      </c>
      <c r="O39" s="342">
        <f t="shared" si="0"/>
        <v>683</v>
      </c>
      <c r="P39" s="342"/>
      <c r="Q39" s="341" t="s">
        <v>2046</v>
      </c>
    </row>
    <row r="40" spans="1:19" ht="37.35" customHeight="1" x14ac:dyDescent="0.25">
      <c r="A40" s="350">
        <v>23</v>
      </c>
      <c r="B40" s="345" t="s">
        <v>2060</v>
      </c>
      <c r="C40" s="344" t="s">
        <v>2067</v>
      </c>
      <c r="D40" s="349" t="s">
        <v>2066</v>
      </c>
      <c r="E40" s="351" t="s">
        <v>818</v>
      </c>
      <c r="F40" s="347">
        <v>24156.71</v>
      </c>
      <c r="G40" s="344" t="s">
        <v>369</v>
      </c>
      <c r="H40" s="345">
        <v>7702680818</v>
      </c>
      <c r="I40" s="342">
        <v>28390</v>
      </c>
      <c r="J40" s="344" t="s">
        <v>2063</v>
      </c>
      <c r="K40" s="345">
        <v>5402584411</v>
      </c>
      <c r="L40" s="342">
        <v>24130</v>
      </c>
      <c r="M40" s="344" t="s">
        <v>2047</v>
      </c>
      <c r="N40" s="345">
        <v>9721058155</v>
      </c>
      <c r="O40" s="342">
        <f t="shared" si="0"/>
        <v>24130</v>
      </c>
      <c r="P40" s="342"/>
      <c r="Q40" s="341" t="s">
        <v>2046</v>
      </c>
    </row>
    <row r="41" spans="1:19" ht="37.35" customHeight="1" x14ac:dyDescent="0.25">
      <c r="A41" s="350">
        <v>24</v>
      </c>
      <c r="B41" s="345" t="s">
        <v>2060</v>
      </c>
      <c r="C41" s="344" t="s">
        <v>2065</v>
      </c>
      <c r="D41" s="349" t="s">
        <v>2064</v>
      </c>
      <c r="E41" s="351" t="s">
        <v>818</v>
      </c>
      <c r="F41" s="347">
        <v>58231.32</v>
      </c>
      <c r="G41" s="344" t="s">
        <v>369</v>
      </c>
      <c r="H41" s="345">
        <v>7702680818</v>
      </c>
      <c r="I41" s="342">
        <v>60560</v>
      </c>
      <c r="J41" s="344" t="s">
        <v>2063</v>
      </c>
      <c r="K41" s="345">
        <v>5402584411</v>
      </c>
      <c r="L41" s="342">
        <v>56730</v>
      </c>
      <c r="M41" s="344" t="s">
        <v>2047</v>
      </c>
      <c r="N41" s="345">
        <v>9721058155</v>
      </c>
      <c r="O41" s="342">
        <f t="shared" si="0"/>
        <v>56730</v>
      </c>
      <c r="P41" s="342"/>
      <c r="Q41" s="341" t="s">
        <v>2046</v>
      </c>
    </row>
    <row r="42" spans="1:19" ht="37.35" customHeight="1" x14ac:dyDescent="0.25">
      <c r="A42" s="350">
        <v>25</v>
      </c>
      <c r="B42" s="345" t="s">
        <v>2060</v>
      </c>
      <c r="C42" s="344" t="s">
        <v>2062</v>
      </c>
      <c r="D42" s="349" t="s">
        <v>2061</v>
      </c>
      <c r="E42" s="351" t="s">
        <v>818</v>
      </c>
      <c r="F42" s="347">
        <v>41783.660000000003</v>
      </c>
      <c r="G42" s="344" t="s">
        <v>369</v>
      </c>
      <c r="H42" s="345">
        <v>7702680818</v>
      </c>
      <c r="I42" s="342">
        <v>41420</v>
      </c>
      <c r="J42" s="344" t="s">
        <v>353</v>
      </c>
      <c r="K42" s="343">
        <v>7842224734</v>
      </c>
      <c r="L42" s="342">
        <v>41430</v>
      </c>
      <c r="M42" s="344" t="s">
        <v>2047</v>
      </c>
      <c r="N42" s="345">
        <v>9721058155</v>
      </c>
      <c r="O42" s="342">
        <f t="shared" si="0"/>
        <v>41420</v>
      </c>
      <c r="P42" s="342"/>
      <c r="Q42" s="341" t="s">
        <v>2046</v>
      </c>
      <c r="R42" s="340"/>
      <c r="S42" s="340"/>
    </row>
    <row r="43" spans="1:19" ht="37.35" customHeight="1" x14ac:dyDescent="0.25">
      <c r="A43" s="350">
        <v>26</v>
      </c>
      <c r="B43" s="345" t="s">
        <v>2060</v>
      </c>
      <c r="C43" s="344" t="s">
        <v>2059</v>
      </c>
      <c r="D43" s="349" t="s">
        <v>2058</v>
      </c>
      <c r="E43" s="351" t="s">
        <v>818</v>
      </c>
      <c r="F43" s="347">
        <v>31866.98</v>
      </c>
      <c r="G43" s="344" t="s">
        <v>369</v>
      </c>
      <c r="H43" s="345">
        <v>7702680818</v>
      </c>
      <c r="I43" s="342">
        <v>31580</v>
      </c>
      <c r="J43" s="344" t="s">
        <v>353</v>
      </c>
      <c r="K43" s="343">
        <v>7842224734</v>
      </c>
      <c r="L43" s="342">
        <v>31840</v>
      </c>
      <c r="M43" s="344" t="s">
        <v>2047</v>
      </c>
      <c r="N43" s="345">
        <v>9721058155</v>
      </c>
      <c r="O43" s="342">
        <f t="shared" si="0"/>
        <v>31580</v>
      </c>
      <c r="P43" s="342"/>
      <c r="Q43" s="341" t="s">
        <v>2046</v>
      </c>
      <c r="R43" s="340"/>
      <c r="S43" s="340"/>
    </row>
    <row r="44" spans="1:19" ht="37.35" customHeight="1" x14ac:dyDescent="0.25">
      <c r="A44" s="350">
        <v>27</v>
      </c>
      <c r="B44" s="345" t="s">
        <v>2057</v>
      </c>
      <c r="C44" s="344" t="s">
        <v>2056</v>
      </c>
      <c r="D44" s="349" t="s">
        <v>2055</v>
      </c>
      <c r="E44" s="351" t="s">
        <v>15</v>
      </c>
      <c r="F44" s="347">
        <v>200700</v>
      </c>
      <c r="G44" s="344" t="s">
        <v>2054</v>
      </c>
      <c r="H44" s="345">
        <v>7707377156</v>
      </c>
      <c r="I44" s="342">
        <v>210420</v>
      </c>
      <c r="J44" s="344" t="s">
        <v>2053</v>
      </c>
      <c r="K44" s="343">
        <v>9718105246</v>
      </c>
      <c r="L44" s="342">
        <v>215868</v>
      </c>
      <c r="M44" s="344" t="s">
        <v>2052</v>
      </c>
      <c r="N44" s="345">
        <v>7727417181</v>
      </c>
      <c r="O44" s="342">
        <f t="shared" si="0"/>
        <v>200700</v>
      </c>
      <c r="P44" s="342">
        <v>134364</v>
      </c>
      <c r="Q44" s="341" t="s">
        <v>2046</v>
      </c>
      <c r="R44" s="340"/>
      <c r="S44" s="340"/>
    </row>
    <row r="45" spans="1:19" ht="37.35" customHeight="1" x14ac:dyDescent="0.25">
      <c r="A45" s="350">
        <v>28</v>
      </c>
      <c r="B45" s="345" t="s">
        <v>2051</v>
      </c>
      <c r="C45" s="344" t="s">
        <v>2050</v>
      </c>
      <c r="D45" s="349" t="s">
        <v>2049</v>
      </c>
      <c r="E45" s="348" t="s">
        <v>15</v>
      </c>
      <c r="F45" s="347">
        <v>23388</v>
      </c>
      <c r="G45" s="346" t="s">
        <v>2048</v>
      </c>
      <c r="H45" s="345">
        <v>6454052297</v>
      </c>
      <c r="I45" s="342">
        <v>23388</v>
      </c>
      <c r="J45" s="344" t="s">
        <v>2047</v>
      </c>
      <c r="K45" s="345">
        <v>9721058155</v>
      </c>
      <c r="L45" s="342">
        <v>23388</v>
      </c>
      <c r="M45" s="344" t="s">
        <v>632</v>
      </c>
      <c r="N45" s="343" t="s">
        <v>631</v>
      </c>
      <c r="O45" s="342">
        <f t="shared" si="0"/>
        <v>23388</v>
      </c>
      <c r="P45" s="342"/>
      <c r="Q45" s="341" t="s">
        <v>2046</v>
      </c>
      <c r="R45" s="340"/>
      <c r="S45" s="340"/>
    </row>
    <row r="47" spans="1:19" x14ac:dyDescent="0.3">
      <c r="A47" s="335"/>
      <c r="B47" s="335"/>
      <c r="C47" s="335"/>
      <c r="D47" s="335"/>
      <c r="E47" s="335"/>
      <c r="F47" s="335"/>
      <c r="G47" s="335"/>
      <c r="H47" s="335"/>
      <c r="I47" s="335"/>
      <c r="J47" s="335"/>
      <c r="K47" s="335"/>
      <c r="L47" s="335"/>
      <c r="M47" s="335"/>
      <c r="N47" s="335"/>
      <c r="O47" s="335"/>
      <c r="P47" s="335"/>
      <c r="Q47" s="335"/>
    </row>
    <row r="48" spans="1:19" x14ac:dyDescent="0.3">
      <c r="A48" s="335"/>
      <c r="B48" s="567" t="s">
        <v>16</v>
      </c>
      <c r="C48" s="567"/>
      <c r="D48" s="567"/>
      <c r="E48" s="335"/>
      <c r="F48" s="335"/>
      <c r="G48" s="335"/>
      <c r="H48" s="335"/>
      <c r="I48" s="335"/>
      <c r="J48" s="335"/>
      <c r="K48" s="335"/>
      <c r="L48" s="335"/>
      <c r="M48" s="335"/>
      <c r="N48" s="568" t="s">
        <v>25</v>
      </c>
      <c r="O48" s="568"/>
      <c r="P48" s="335"/>
      <c r="Q48" s="335"/>
    </row>
    <row r="49" spans="1:17" x14ac:dyDescent="0.3">
      <c r="A49" s="335"/>
      <c r="B49" s="336"/>
      <c r="C49" s="336"/>
      <c r="D49" s="336"/>
      <c r="E49" s="335"/>
      <c r="F49" s="335"/>
      <c r="G49" s="335"/>
      <c r="H49" s="335"/>
      <c r="I49" s="335"/>
      <c r="J49" s="335"/>
      <c r="K49" s="335"/>
      <c r="L49" s="335"/>
      <c r="M49" s="335"/>
      <c r="N49" s="336"/>
      <c r="O49" s="336"/>
      <c r="P49" s="335"/>
      <c r="Q49" s="335"/>
    </row>
    <row r="50" spans="1:17" x14ac:dyDescent="0.3">
      <c r="A50" s="335"/>
      <c r="B50" s="336"/>
      <c r="C50" s="336"/>
      <c r="D50" s="336"/>
      <c r="E50" s="335"/>
      <c r="F50" s="335"/>
      <c r="G50" s="335"/>
      <c r="H50" s="335"/>
      <c r="I50" s="335"/>
      <c r="J50" s="335"/>
      <c r="K50" s="335"/>
      <c r="L50" s="335"/>
      <c r="M50" s="335"/>
      <c r="N50" s="336"/>
      <c r="O50" s="336"/>
      <c r="P50" s="335"/>
      <c r="Q50" s="335"/>
    </row>
    <row r="51" spans="1:17" x14ac:dyDescent="0.3">
      <c r="A51" s="335"/>
      <c r="B51" s="336"/>
      <c r="C51" s="336"/>
      <c r="D51" s="336"/>
      <c r="E51" s="335"/>
      <c r="F51" s="335"/>
      <c r="G51" s="335"/>
      <c r="H51" s="335"/>
      <c r="I51" s="335"/>
      <c r="J51" s="335"/>
      <c r="K51" s="335"/>
      <c r="L51" s="335"/>
      <c r="M51" s="335"/>
      <c r="N51" s="336"/>
      <c r="O51" s="336"/>
      <c r="P51" s="335"/>
      <c r="Q51" s="335"/>
    </row>
    <row r="52" spans="1:17" x14ac:dyDescent="0.3">
      <c r="A52" s="335"/>
      <c r="B52" s="336"/>
      <c r="C52" s="336"/>
      <c r="D52" s="336"/>
      <c r="E52" s="335"/>
      <c r="F52" s="335"/>
      <c r="G52" s="335"/>
      <c r="H52" s="335"/>
      <c r="I52" s="335"/>
      <c r="J52" s="335"/>
      <c r="K52" s="335"/>
      <c r="L52" s="335"/>
      <c r="M52" s="335"/>
      <c r="N52" s="336"/>
      <c r="O52" s="336"/>
      <c r="P52" s="335"/>
      <c r="Q52" s="335"/>
    </row>
    <row r="53" spans="1:17" ht="37.5" customHeight="1" x14ac:dyDescent="0.3">
      <c r="A53" s="335"/>
      <c r="B53" s="336"/>
      <c r="C53" s="243" t="s">
        <v>23</v>
      </c>
      <c r="D53" s="243"/>
      <c r="E53" s="243"/>
      <c r="F53" s="335"/>
      <c r="G53" s="337"/>
      <c r="H53" s="335"/>
      <c r="I53" s="335"/>
      <c r="J53" s="335"/>
      <c r="K53" s="335"/>
      <c r="L53" s="571" t="s">
        <v>1009</v>
      </c>
      <c r="M53" s="571"/>
      <c r="N53" s="571"/>
      <c r="O53" s="336"/>
      <c r="P53" s="335"/>
      <c r="Q53" s="335"/>
    </row>
    <row r="54" spans="1:17" x14ac:dyDescent="0.3">
      <c r="A54" s="335"/>
      <c r="B54" s="339"/>
      <c r="C54" s="243"/>
      <c r="D54" s="336"/>
      <c r="E54" s="335"/>
      <c r="F54" s="335"/>
      <c r="G54" s="335"/>
      <c r="H54" s="335"/>
      <c r="I54" s="335"/>
      <c r="J54" s="335"/>
      <c r="K54" s="335"/>
      <c r="L54" s="243"/>
      <c r="M54" s="243"/>
      <c r="N54" s="242"/>
      <c r="O54" s="336"/>
      <c r="P54" s="335"/>
      <c r="Q54" s="335"/>
    </row>
    <row r="55" spans="1:17" ht="18" customHeight="1" x14ac:dyDescent="0.3">
      <c r="A55" s="335"/>
      <c r="B55" s="338"/>
      <c r="C55" s="243"/>
      <c r="D55" s="243"/>
      <c r="E55" s="243"/>
      <c r="F55" s="337"/>
      <c r="G55" s="337" t="s">
        <v>1007</v>
      </c>
      <c r="H55" s="337"/>
      <c r="I55" s="243"/>
      <c r="J55" s="243"/>
      <c r="K55" s="243"/>
      <c r="L55" s="522" t="s">
        <v>21</v>
      </c>
      <c r="M55" s="522"/>
      <c r="N55" s="522"/>
      <c r="O55" s="336"/>
      <c r="P55" s="23" t="s">
        <v>22</v>
      </c>
      <c r="Q55" s="335"/>
    </row>
    <row r="56" spans="1:17" x14ac:dyDescent="0.3">
      <c r="A56" s="335"/>
      <c r="B56" s="336"/>
      <c r="C56" s="336"/>
      <c r="D56" s="336"/>
      <c r="E56" s="335"/>
      <c r="F56" s="335"/>
      <c r="G56" s="335"/>
      <c r="H56" s="335"/>
      <c r="I56" s="335"/>
      <c r="J56" s="335"/>
      <c r="K56" s="335"/>
      <c r="L56" s="335"/>
      <c r="M56" s="335"/>
      <c r="N56" s="336"/>
      <c r="O56" s="336"/>
      <c r="P56" s="335"/>
      <c r="Q56" s="335"/>
    </row>
    <row r="57" spans="1:17" x14ac:dyDescent="0.3">
      <c r="A57" s="335"/>
      <c r="B57" s="336"/>
      <c r="C57" s="336"/>
      <c r="D57" s="336"/>
      <c r="E57" s="335"/>
      <c r="F57" s="335"/>
      <c r="G57" s="335"/>
      <c r="H57" s="335"/>
      <c r="I57" s="335"/>
      <c r="J57" s="335"/>
      <c r="K57" s="335"/>
      <c r="L57" s="335"/>
      <c r="M57" s="335"/>
      <c r="N57" s="336"/>
      <c r="O57" s="336"/>
      <c r="P57" s="335"/>
      <c r="Q57" s="335"/>
    </row>
    <row r="58" spans="1:17" x14ac:dyDescent="0.3">
      <c r="A58" s="335"/>
      <c r="B58" s="576" t="s">
        <v>19</v>
      </c>
      <c r="C58" s="576"/>
      <c r="D58" s="576"/>
      <c r="E58" s="335"/>
      <c r="F58" s="335"/>
      <c r="G58" s="335"/>
      <c r="H58" s="335"/>
      <c r="I58" s="335"/>
      <c r="J58" s="335"/>
      <c r="K58" s="335"/>
      <c r="L58" s="335"/>
      <c r="M58" s="335"/>
      <c r="N58" s="576" t="s">
        <v>19</v>
      </c>
      <c r="O58" s="576"/>
      <c r="P58" s="576"/>
      <c r="Q58" s="335"/>
    </row>
    <row r="59" spans="1:17" x14ac:dyDescent="0.3">
      <c r="A59" s="335"/>
      <c r="B59" s="576" t="s">
        <v>19</v>
      </c>
      <c r="C59" s="576"/>
      <c r="D59" s="576"/>
      <c r="E59" s="335"/>
      <c r="F59" s="335"/>
      <c r="G59" s="335"/>
      <c r="H59" s="335"/>
      <c r="I59" s="335"/>
      <c r="J59" s="335"/>
      <c r="K59" s="335"/>
      <c r="L59" s="335"/>
      <c r="M59" s="335"/>
      <c r="N59" s="576" t="s">
        <v>19</v>
      </c>
      <c r="O59" s="576"/>
      <c r="P59" s="576"/>
      <c r="Q59" s="335"/>
    </row>
    <row r="60" spans="1:17" x14ac:dyDescent="0.3">
      <c r="A60" s="335"/>
      <c r="B60" s="335"/>
      <c r="C60" s="335"/>
      <c r="D60" s="335"/>
      <c r="E60" s="335"/>
      <c r="F60" s="335"/>
      <c r="G60" s="335"/>
      <c r="H60" s="335"/>
      <c r="I60" s="335"/>
      <c r="J60" s="335"/>
      <c r="K60" s="335"/>
      <c r="L60" s="335"/>
      <c r="M60" s="335"/>
      <c r="N60" s="335"/>
      <c r="O60" s="335"/>
      <c r="P60" s="335"/>
      <c r="Q60" s="335"/>
    </row>
    <row r="61" spans="1:17" x14ac:dyDescent="0.3">
      <c r="A61" s="335"/>
      <c r="B61" s="335"/>
      <c r="C61" s="335"/>
      <c r="D61" s="335"/>
      <c r="E61" s="335"/>
      <c r="F61" s="335"/>
      <c r="G61" s="335"/>
      <c r="H61" s="335"/>
      <c r="I61" s="335"/>
      <c r="J61" s="335"/>
      <c r="K61" s="335"/>
      <c r="L61" s="335"/>
      <c r="M61" s="335"/>
      <c r="N61" s="335"/>
      <c r="O61" s="335"/>
      <c r="P61" s="335"/>
      <c r="Q61" s="335"/>
    </row>
    <row r="62" spans="1:17" x14ac:dyDescent="0.3">
      <c r="A62" s="335"/>
      <c r="B62" s="575" t="s">
        <v>17</v>
      </c>
      <c r="C62" s="575"/>
      <c r="D62" s="575"/>
      <c r="E62" s="575"/>
      <c r="F62" s="575"/>
      <c r="G62" s="575"/>
      <c r="H62" s="575"/>
      <c r="I62" s="575"/>
      <c r="J62" s="575"/>
      <c r="K62" s="575"/>
      <c r="L62" s="335"/>
      <c r="M62" s="335"/>
      <c r="N62" s="335"/>
      <c r="O62" s="335"/>
      <c r="P62" s="335"/>
      <c r="Q62" s="335"/>
    </row>
    <row r="63" spans="1:17" x14ac:dyDescent="0.3">
      <c r="A63" s="335"/>
      <c r="B63" s="575" t="s">
        <v>18</v>
      </c>
      <c r="C63" s="575"/>
      <c r="D63" s="575"/>
      <c r="E63" s="575"/>
      <c r="F63" s="575"/>
      <c r="G63" s="575"/>
      <c r="H63" s="575"/>
      <c r="I63" s="575"/>
      <c r="J63" s="575"/>
      <c r="K63" s="575"/>
      <c r="L63" s="335"/>
      <c r="M63" s="335"/>
      <c r="N63" s="335"/>
      <c r="O63" s="335"/>
      <c r="P63" s="335"/>
      <c r="Q63" s="335"/>
    </row>
    <row r="64" spans="1:17" x14ac:dyDescent="0.3">
      <c r="A64" s="335"/>
      <c r="B64" s="335"/>
      <c r="C64" s="335"/>
      <c r="D64" s="335"/>
      <c r="E64" s="335"/>
      <c r="F64" s="335"/>
      <c r="G64" s="335"/>
      <c r="H64" s="335"/>
      <c r="I64" s="335"/>
      <c r="J64" s="335"/>
      <c r="K64" s="335"/>
      <c r="L64" s="335"/>
      <c r="M64" s="335"/>
      <c r="N64" s="335"/>
      <c r="O64" s="335"/>
      <c r="P64" s="335"/>
      <c r="Q64" s="335"/>
    </row>
  </sheetData>
  <mergeCells count="29">
    <mergeCell ref="Q14:Q15"/>
    <mergeCell ref="A14:A15"/>
    <mergeCell ref="B14:B15"/>
    <mergeCell ref="C14:C15"/>
    <mergeCell ref="D14:D15"/>
    <mergeCell ref="E14:E15"/>
    <mergeCell ref="P14:P15"/>
    <mergeCell ref="C1:N1"/>
    <mergeCell ref="F2:H2"/>
    <mergeCell ref="O3:P3"/>
    <mergeCell ref="O9:P9"/>
    <mergeCell ref="N10:Q10"/>
    <mergeCell ref="N6:O6"/>
    <mergeCell ref="F6:H6"/>
    <mergeCell ref="B62:K62"/>
    <mergeCell ref="B63:K63"/>
    <mergeCell ref="B48:D48"/>
    <mergeCell ref="N48:O48"/>
    <mergeCell ref="B58:D58"/>
    <mergeCell ref="N58:P58"/>
    <mergeCell ref="B59:D59"/>
    <mergeCell ref="N59:P59"/>
    <mergeCell ref="L53:N53"/>
    <mergeCell ref="L55:N55"/>
    <mergeCell ref="C12:K12"/>
    <mergeCell ref="F14:H14"/>
    <mergeCell ref="I14:K14"/>
    <mergeCell ref="L14:N14"/>
    <mergeCell ref="O14:O15"/>
  </mergeCells>
  <pageMargins left="0.70866141732283472" right="0.70866141732283472" top="0.74803149606299213" bottom="0.74803149606299213" header="0.31496062992125984" footer="0.31496062992125984"/>
  <pageSetup paperSize="9" scale="26"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42"/>
  <sheetViews>
    <sheetView view="pageBreakPreview" topLeftCell="A10" zoomScale="70" zoomScaleNormal="55" zoomScaleSheetLayoutView="70" zoomScalePageLayoutView="70" workbookViewId="0">
      <selection activeCell="O13" sqref="O13"/>
    </sheetView>
  </sheetViews>
  <sheetFormatPr defaultColWidth="8.7109375" defaultRowHeight="15.75" x14ac:dyDescent="0.25"/>
  <cols>
    <col min="1" max="1" width="8.140625" style="1" customWidth="1"/>
    <col min="2" max="2" width="14.140625" style="1" customWidth="1"/>
    <col min="3" max="3" width="48.28515625" style="15" customWidth="1"/>
    <col min="4" max="4" width="15" style="15" customWidth="1"/>
    <col min="5" max="5" width="9.5703125" style="16" customWidth="1"/>
    <col min="6" max="6" width="17.140625"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ht="15.75" customHeight="1" x14ac:dyDescent="0.25">
      <c r="A6" s="525" t="s">
        <v>1</v>
      </c>
      <c r="B6" s="525" t="s">
        <v>2</v>
      </c>
      <c r="C6" s="584"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2.25" customHeight="1" x14ac:dyDescent="0.25">
      <c r="A7" s="526"/>
      <c r="B7" s="526"/>
      <c r="C7" s="585"/>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2265</v>
      </c>
      <c r="D9" s="12"/>
      <c r="E9" s="13"/>
      <c r="F9" s="118"/>
      <c r="G9" s="123"/>
      <c r="H9" s="123"/>
      <c r="I9" s="12"/>
      <c r="J9" s="118"/>
      <c r="K9" s="118"/>
      <c r="L9" s="118"/>
      <c r="M9" s="12"/>
      <c r="N9" s="118"/>
      <c r="O9" s="118"/>
      <c r="P9" s="118"/>
      <c r="Q9" s="12"/>
      <c r="R9" s="12"/>
      <c r="S9" s="118"/>
      <c r="T9" s="12"/>
    </row>
    <row r="10" spans="1:20" ht="67.5" customHeight="1" x14ac:dyDescent="0.25">
      <c r="A10" s="126">
        <v>1</v>
      </c>
      <c r="B10" s="125" t="s">
        <v>2264</v>
      </c>
      <c r="C10" s="236" t="s">
        <v>2263</v>
      </c>
      <c r="D10" s="124" t="s">
        <v>2262</v>
      </c>
      <c r="E10" s="143" t="s">
        <v>1297</v>
      </c>
      <c r="F10" s="119">
        <v>22698.04</v>
      </c>
      <c r="G10" s="123" t="s">
        <v>639</v>
      </c>
      <c r="H10" s="127" t="s">
        <v>2261</v>
      </c>
      <c r="I10" s="222" t="s">
        <v>2260</v>
      </c>
      <c r="J10" s="119">
        <v>23574.47</v>
      </c>
      <c r="K10" s="123" t="s">
        <v>2259</v>
      </c>
      <c r="L10" s="127" t="s">
        <v>2258</v>
      </c>
      <c r="M10" s="222" t="s">
        <v>2257</v>
      </c>
      <c r="N10" s="119">
        <v>24216.959999999999</v>
      </c>
      <c r="O10" s="123" t="s">
        <v>435</v>
      </c>
      <c r="P10" s="127" t="s">
        <v>434</v>
      </c>
      <c r="Q10" s="222" t="s">
        <v>2256</v>
      </c>
      <c r="R10" s="119">
        <f t="shared" ref="R10:R28" si="0">MIN(F10,J10,N10)</f>
        <v>22698.04</v>
      </c>
      <c r="S10" s="119"/>
      <c r="T10" s="117">
        <v>45888</v>
      </c>
    </row>
    <row r="11" spans="1:20" ht="87.75" customHeight="1" x14ac:dyDescent="0.25">
      <c r="A11" s="126">
        <v>2</v>
      </c>
      <c r="B11" s="125" t="s">
        <v>2070</v>
      </c>
      <c r="C11" s="236" t="s">
        <v>2255</v>
      </c>
      <c r="D11" s="124" t="s">
        <v>2254</v>
      </c>
      <c r="E11" s="143" t="s">
        <v>1297</v>
      </c>
      <c r="F11" s="119">
        <v>283140</v>
      </c>
      <c r="G11" s="123" t="s">
        <v>2146</v>
      </c>
      <c r="H11" s="127" t="s">
        <v>2145</v>
      </c>
      <c r="I11" s="222" t="s">
        <v>2253</v>
      </c>
      <c r="J11" s="119">
        <v>283140</v>
      </c>
      <c r="K11" s="123" t="s">
        <v>797</v>
      </c>
      <c r="L11" s="127" t="s">
        <v>2239</v>
      </c>
      <c r="M11" s="222" t="s">
        <v>2252</v>
      </c>
      <c r="N11" s="119">
        <v>283140</v>
      </c>
      <c r="O11" s="123" t="s">
        <v>2163</v>
      </c>
      <c r="P11" s="127" t="s">
        <v>2162</v>
      </c>
      <c r="Q11" s="222" t="s">
        <v>2251</v>
      </c>
      <c r="R11" s="119">
        <f t="shared" si="0"/>
        <v>283140</v>
      </c>
      <c r="S11" s="119"/>
      <c r="T11" s="117">
        <v>45888</v>
      </c>
    </row>
    <row r="12" spans="1:20" ht="57.75" customHeight="1" x14ac:dyDescent="0.25">
      <c r="A12" s="126">
        <v>3</v>
      </c>
      <c r="B12" s="125" t="s">
        <v>2211</v>
      </c>
      <c r="C12" s="145" t="s">
        <v>2250</v>
      </c>
      <c r="D12" s="124" t="s">
        <v>2249</v>
      </c>
      <c r="E12" s="143" t="s">
        <v>1297</v>
      </c>
      <c r="F12" s="119">
        <v>60500</v>
      </c>
      <c r="G12" s="123" t="s">
        <v>2146</v>
      </c>
      <c r="H12" s="127" t="s">
        <v>2145</v>
      </c>
      <c r="I12" s="222" t="s">
        <v>2248</v>
      </c>
      <c r="J12" s="119">
        <v>60500</v>
      </c>
      <c r="K12" s="123" t="s">
        <v>727</v>
      </c>
      <c r="L12" s="127" t="s">
        <v>726</v>
      </c>
      <c r="M12" s="222" t="s">
        <v>2247</v>
      </c>
      <c r="N12" s="119">
        <v>64281.25</v>
      </c>
      <c r="O12" s="123" t="s">
        <v>454</v>
      </c>
      <c r="P12" s="127" t="s">
        <v>503</v>
      </c>
      <c r="Q12" s="222" t="s">
        <v>2246</v>
      </c>
      <c r="R12" s="119">
        <f t="shared" si="0"/>
        <v>60500</v>
      </c>
      <c r="S12" s="118"/>
      <c r="T12" s="117">
        <v>45888</v>
      </c>
    </row>
    <row r="13" spans="1:20" ht="72.75" customHeight="1" x14ac:dyDescent="0.25">
      <c r="A13" s="126">
        <v>4</v>
      </c>
      <c r="B13" s="125" t="s">
        <v>2245</v>
      </c>
      <c r="C13" s="145" t="s">
        <v>2244</v>
      </c>
      <c r="D13" s="124" t="s">
        <v>2243</v>
      </c>
      <c r="E13" s="143" t="s">
        <v>1297</v>
      </c>
      <c r="F13" s="119">
        <v>70564</v>
      </c>
      <c r="G13" s="123" t="s">
        <v>2242</v>
      </c>
      <c r="H13" s="127" t="s">
        <v>2241</v>
      </c>
      <c r="I13" s="222" t="s">
        <v>2240</v>
      </c>
      <c r="J13" s="119">
        <v>70564</v>
      </c>
      <c r="K13" s="123" t="s">
        <v>797</v>
      </c>
      <c r="L13" s="127" t="s">
        <v>2239</v>
      </c>
      <c r="M13" s="222" t="s">
        <v>2238</v>
      </c>
      <c r="N13" s="119">
        <v>70564</v>
      </c>
      <c r="O13" s="123" t="s">
        <v>2237</v>
      </c>
      <c r="P13" s="127" t="s">
        <v>2236</v>
      </c>
      <c r="Q13" s="222" t="s">
        <v>2235</v>
      </c>
      <c r="R13" s="119">
        <f t="shared" si="0"/>
        <v>70564</v>
      </c>
      <c r="S13" s="118"/>
      <c r="T13" s="117">
        <v>45888</v>
      </c>
    </row>
    <row r="14" spans="1:20" ht="49.5" customHeight="1" x14ac:dyDescent="0.25">
      <c r="A14" s="126">
        <v>5</v>
      </c>
      <c r="B14" s="125" t="s">
        <v>2234</v>
      </c>
      <c r="C14" s="145" t="s">
        <v>2233</v>
      </c>
      <c r="D14" s="124" t="s">
        <v>2232</v>
      </c>
      <c r="E14" s="143" t="s">
        <v>1297</v>
      </c>
      <c r="F14" s="119">
        <v>26547</v>
      </c>
      <c r="G14" s="123" t="s">
        <v>2146</v>
      </c>
      <c r="H14" s="127" t="s">
        <v>2145</v>
      </c>
      <c r="I14" s="222" t="s">
        <v>2231</v>
      </c>
      <c r="J14" s="119">
        <v>26547</v>
      </c>
      <c r="K14" s="123" t="s">
        <v>727</v>
      </c>
      <c r="L14" s="127" t="s">
        <v>726</v>
      </c>
      <c r="M14" s="222" t="s">
        <v>2230</v>
      </c>
      <c r="N14" s="119">
        <v>26547</v>
      </c>
      <c r="O14" s="123" t="s">
        <v>2151</v>
      </c>
      <c r="P14" s="127" t="s">
        <v>631</v>
      </c>
      <c r="Q14" s="222" t="s">
        <v>2229</v>
      </c>
      <c r="R14" s="119">
        <f t="shared" si="0"/>
        <v>26547</v>
      </c>
      <c r="S14" s="118"/>
      <c r="T14" s="117">
        <v>45888</v>
      </c>
    </row>
    <row r="15" spans="1:20" ht="57.75" customHeight="1" x14ac:dyDescent="0.25">
      <c r="A15" s="126">
        <v>6</v>
      </c>
      <c r="B15" s="125" t="s">
        <v>2228</v>
      </c>
      <c r="C15" s="145" t="s">
        <v>2227</v>
      </c>
      <c r="D15" s="124" t="s">
        <v>2226</v>
      </c>
      <c r="E15" s="143" t="s">
        <v>1297</v>
      </c>
      <c r="F15" s="119">
        <v>49701</v>
      </c>
      <c r="G15" s="123" t="s">
        <v>2151</v>
      </c>
      <c r="H15" s="127" t="s">
        <v>631</v>
      </c>
      <c r="I15" s="222" t="s">
        <v>2225</v>
      </c>
      <c r="J15" s="119">
        <v>49701</v>
      </c>
      <c r="K15" s="123" t="s">
        <v>2146</v>
      </c>
      <c r="L15" s="127" t="s">
        <v>2145</v>
      </c>
      <c r="M15" s="222" t="s">
        <v>2224</v>
      </c>
      <c r="N15" s="119">
        <v>49701</v>
      </c>
      <c r="O15" s="123" t="s">
        <v>2163</v>
      </c>
      <c r="P15" s="127" t="s">
        <v>2162</v>
      </c>
      <c r="Q15" s="222" t="s">
        <v>2223</v>
      </c>
      <c r="R15" s="119">
        <f t="shared" si="0"/>
        <v>49701</v>
      </c>
      <c r="S15" s="118"/>
      <c r="T15" s="117">
        <v>45888</v>
      </c>
    </row>
    <row r="16" spans="1:20" ht="66" customHeight="1" x14ac:dyDescent="0.25">
      <c r="A16" s="126">
        <v>7</v>
      </c>
      <c r="B16" s="125" t="s">
        <v>2217</v>
      </c>
      <c r="C16" s="145" t="s">
        <v>2222</v>
      </c>
      <c r="D16" s="124" t="s">
        <v>2221</v>
      </c>
      <c r="E16" s="143" t="s">
        <v>1297</v>
      </c>
      <c r="F16" s="119">
        <v>49500</v>
      </c>
      <c r="G16" s="123" t="s">
        <v>2146</v>
      </c>
      <c r="H16" s="127" t="s">
        <v>2145</v>
      </c>
      <c r="I16" s="222" t="s">
        <v>2220</v>
      </c>
      <c r="J16" s="119">
        <v>49500</v>
      </c>
      <c r="K16" s="123" t="s">
        <v>2151</v>
      </c>
      <c r="L16" s="127" t="s">
        <v>631</v>
      </c>
      <c r="M16" s="140" t="s">
        <v>2219</v>
      </c>
      <c r="N16" s="119">
        <v>49500</v>
      </c>
      <c r="O16" s="123" t="s">
        <v>2163</v>
      </c>
      <c r="P16" s="127" t="s">
        <v>2162</v>
      </c>
      <c r="Q16" s="222" t="s">
        <v>2218</v>
      </c>
      <c r="R16" s="119">
        <f t="shared" si="0"/>
        <v>49500</v>
      </c>
      <c r="S16" s="118"/>
      <c r="T16" s="117">
        <v>45888</v>
      </c>
    </row>
    <row r="17" spans="1:20" ht="72.75" customHeight="1" x14ac:dyDescent="0.25">
      <c r="A17" s="126">
        <v>8</v>
      </c>
      <c r="B17" s="125" t="s">
        <v>2217</v>
      </c>
      <c r="C17" s="145" t="s">
        <v>2216</v>
      </c>
      <c r="D17" s="124" t="s">
        <v>2215</v>
      </c>
      <c r="E17" s="143" t="s">
        <v>1297</v>
      </c>
      <c r="F17" s="130">
        <v>77000</v>
      </c>
      <c r="G17" s="123" t="s">
        <v>2146</v>
      </c>
      <c r="H17" s="127" t="s">
        <v>2145</v>
      </c>
      <c r="I17" s="222" t="s">
        <v>2214</v>
      </c>
      <c r="J17" s="130">
        <v>77000</v>
      </c>
      <c r="K17" s="123" t="s">
        <v>2151</v>
      </c>
      <c r="L17" s="127" t="s">
        <v>631</v>
      </c>
      <c r="M17" s="222" t="s">
        <v>2213</v>
      </c>
      <c r="N17" s="130">
        <v>77000</v>
      </c>
      <c r="O17" s="123" t="s">
        <v>2163</v>
      </c>
      <c r="P17" s="127" t="s">
        <v>2162</v>
      </c>
      <c r="Q17" s="222" t="s">
        <v>2212</v>
      </c>
      <c r="R17" s="119">
        <f t="shared" si="0"/>
        <v>77000</v>
      </c>
      <c r="S17" s="118"/>
      <c r="T17" s="117">
        <v>45888</v>
      </c>
    </row>
    <row r="18" spans="1:20" ht="65.25" customHeight="1" x14ac:dyDescent="0.25">
      <c r="A18" s="126">
        <v>9</v>
      </c>
      <c r="B18" s="125" t="s">
        <v>2211</v>
      </c>
      <c r="C18" s="125" t="s">
        <v>2210</v>
      </c>
      <c r="D18" s="124" t="s">
        <v>2209</v>
      </c>
      <c r="E18" s="143" t="s">
        <v>1297</v>
      </c>
      <c r="F18" s="130">
        <v>988</v>
      </c>
      <c r="G18" s="123" t="s">
        <v>2146</v>
      </c>
      <c r="H18" s="127" t="s">
        <v>2145</v>
      </c>
      <c r="I18" s="222" t="s">
        <v>2208</v>
      </c>
      <c r="J18" s="130">
        <v>681</v>
      </c>
      <c r="K18" s="123" t="s">
        <v>2151</v>
      </c>
      <c r="L18" s="127" t="s">
        <v>631</v>
      </c>
      <c r="M18" s="222" t="s">
        <v>2207</v>
      </c>
      <c r="N18" s="130">
        <v>681</v>
      </c>
      <c r="O18" s="123" t="s">
        <v>2190</v>
      </c>
      <c r="P18" s="127" t="s">
        <v>440</v>
      </c>
      <c r="Q18" s="222" t="s">
        <v>2206</v>
      </c>
      <c r="R18" s="119">
        <f>MIN(F18,J18,N18)</f>
        <v>681</v>
      </c>
      <c r="S18" s="118"/>
      <c r="T18" s="117">
        <v>45888</v>
      </c>
    </row>
    <row r="19" spans="1:20" ht="66" customHeight="1" x14ac:dyDescent="0.25">
      <c r="A19" s="126">
        <v>10</v>
      </c>
      <c r="B19" s="125" t="s">
        <v>2198</v>
      </c>
      <c r="C19" s="125" t="s">
        <v>2205</v>
      </c>
      <c r="D19" s="124" t="s">
        <v>2204</v>
      </c>
      <c r="E19" s="143" t="s">
        <v>1297</v>
      </c>
      <c r="F19" s="130">
        <v>914.17</v>
      </c>
      <c r="G19" s="123" t="s">
        <v>369</v>
      </c>
      <c r="H19" s="127" t="s">
        <v>368</v>
      </c>
      <c r="I19" s="222" t="s">
        <v>2203</v>
      </c>
      <c r="J19" s="130">
        <v>516</v>
      </c>
      <c r="K19" s="123" t="s">
        <v>392</v>
      </c>
      <c r="L19" s="122" t="s">
        <v>2202</v>
      </c>
      <c r="M19" s="222" t="s">
        <v>2201</v>
      </c>
      <c r="N19" s="130">
        <v>777.6</v>
      </c>
      <c r="O19" s="123" t="s">
        <v>2200</v>
      </c>
      <c r="P19" s="127" t="s">
        <v>440</v>
      </c>
      <c r="Q19" s="222" t="s">
        <v>2199</v>
      </c>
      <c r="R19" s="119">
        <f t="shared" si="0"/>
        <v>516</v>
      </c>
      <c r="S19" s="118"/>
      <c r="T19" s="117">
        <v>45888</v>
      </c>
    </row>
    <row r="20" spans="1:20" ht="61.5" customHeight="1" x14ac:dyDescent="0.25">
      <c r="A20" s="126">
        <v>11</v>
      </c>
      <c r="B20" s="125" t="s">
        <v>2198</v>
      </c>
      <c r="C20" s="125" t="s">
        <v>2197</v>
      </c>
      <c r="D20" s="124" t="s">
        <v>2196</v>
      </c>
      <c r="E20" s="143" t="s">
        <v>1297</v>
      </c>
      <c r="F20" s="144">
        <v>4190</v>
      </c>
      <c r="G20" s="123" t="s">
        <v>369</v>
      </c>
      <c r="H20" s="127" t="s">
        <v>368</v>
      </c>
      <c r="I20" s="222" t="s">
        <v>2195</v>
      </c>
      <c r="J20" s="130">
        <v>3562</v>
      </c>
      <c r="K20" s="123" t="s">
        <v>2163</v>
      </c>
      <c r="L20" s="127" t="s">
        <v>2162</v>
      </c>
      <c r="M20" s="222" t="s">
        <v>2194</v>
      </c>
      <c r="N20" s="130">
        <v>3914.98</v>
      </c>
      <c r="O20" s="123" t="s">
        <v>2188</v>
      </c>
      <c r="P20" s="127" t="s">
        <v>2187</v>
      </c>
      <c r="Q20" s="222" t="s">
        <v>2193</v>
      </c>
      <c r="R20" s="119">
        <f t="shared" si="0"/>
        <v>3562</v>
      </c>
      <c r="S20" s="118"/>
      <c r="T20" s="117">
        <v>45888</v>
      </c>
    </row>
    <row r="21" spans="1:20" ht="61.5" customHeight="1" x14ac:dyDescent="0.25">
      <c r="A21" s="126">
        <v>12</v>
      </c>
      <c r="B21" s="125" t="s">
        <v>355</v>
      </c>
      <c r="C21" s="125" t="s">
        <v>2192</v>
      </c>
      <c r="D21" s="124" t="s">
        <v>2191</v>
      </c>
      <c r="E21" s="143" t="s">
        <v>1297</v>
      </c>
      <c r="F21" s="144">
        <v>2556</v>
      </c>
      <c r="G21" s="123" t="s">
        <v>2190</v>
      </c>
      <c r="H21" s="127" t="s">
        <v>440</v>
      </c>
      <c r="I21" s="222" t="s">
        <v>2189</v>
      </c>
      <c r="J21" s="130">
        <v>1816.1</v>
      </c>
      <c r="K21" s="123" t="s">
        <v>2188</v>
      </c>
      <c r="L21" s="127" t="s">
        <v>2187</v>
      </c>
      <c r="M21" s="222" t="s">
        <v>2186</v>
      </c>
      <c r="N21" s="130">
        <v>2555.52</v>
      </c>
      <c r="O21" s="123" t="s">
        <v>2185</v>
      </c>
      <c r="P21" s="127" t="s">
        <v>449</v>
      </c>
      <c r="Q21" s="222" t="s">
        <v>2184</v>
      </c>
      <c r="R21" s="119">
        <f t="shared" si="0"/>
        <v>1816.1</v>
      </c>
      <c r="S21" s="118"/>
      <c r="T21" s="117">
        <v>45888</v>
      </c>
    </row>
    <row r="22" spans="1:20" ht="63" customHeight="1" x14ac:dyDescent="0.25">
      <c r="A22" s="126">
        <v>13</v>
      </c>
      <c r="B22" s="125" t="s">
        <v>386</v>
      </c>
      <c r="C22" s="125" t="s">
        <v>2183</v>
      </c>
      <c r="D22" s="124" t="s">
        <v>2182</v>
      </c>
      <c r="E22" s="143" t="s">
        <v>1297</v>
      </c>
      <c r="F22" s="144">
        <v>3493</v>
      </c>
      <c r="G22" s="123" t="s">
        <v>2146</v>
      </c>
      <c r="H22" s="127" t="s">
        <v>2145</v>
      </c>
      <c r="I22" s="222" t="s">
        <v>2181</v>
      </c>
      <c r="J22" s="130">
        <v>3493</v>
      </c>
      <c r="K22" s="123" t="s">
        <v>2151</v>
      </c>
      <c r="L22" s="127" t="s">
        <v>631</v>
      </c>
      <c r="M22" s="222" t="s">
        <v>2180</v>
      </c>
      <c r="N22" s="130">
        <v>3493</v>
      </c>
      <c r="O22" s="123" t="s">
        <v>2163</v>
      </c>
      <c r="P22" s="127" t="s">
        <v>2162</v>
      </c>
      <c r="Q22" s="222" t="s">
        <v>2179</v>
      </c>
      <c r="R22" s="119">
        <f t="shared" si="0"/>
        <v>3493</v>
      </c>
      <c r="S22" s="118"/>
      <c r="T22" s="117">
        <v>45888</v>
      </c>
    </row>
    <row r="23" spans="1:20" ht="43.5" customHeight="1" x14ac:dyDescent="0.25">
      <c r="A23" s="126">
        <v>14</v>
      </c>
      <c r="B23" s="125" t="s">
        <v>2178</v>
      </c>
      <c r="C23" s="125" t="s">
        <v>2177</v>
      </c>
      <c r="D23" s="124" t="s">
        <v>2176</v>
      </c>
      <c r="E23" s="143" t="s">
        <v>1297</v>
      </c>
      <c r="F23" s="144">
        <v>2382.3200000000002</v>
      </c>
      <c r="G23" s="123" t="s">
        <v>369</v>
      </c>
      <c r="H23" s="127" t="s">
        <v>368</v>
      </c>
      <c r="I23" s="222" t="s">
        <v>2175</v>
      </c>
      <c r="J23" s="130">
        <v>2033</v>
      </c>
      <c r="K23" s="123" t="s">
        <v>2174</v>
      </c>
      <c r="L23" s="127" t="s">
        <v>2173</v>
      </c>
      <c r="M23" s="222" t="s">
        <v>2172</v>
      </c>
      <c r="N23" s="130">
        <v>2033</v>
      </c>
      <c r="O23" s="123" t="s">
        <v>2151</v>
      </c>
      <c r="P23" s="127" t="s">
        <v>631</v>
      </c>
      <c r="Q23" s="222" t="s">
        <v>2171</v>
      </c>
      <c r="R23" s="119">
        <f t="shared" si="0"/>
        <v>2033</v>
      </c>
      <c r="S23" s="118"/>
      <c r="T23" s="117">
        <v>45888</v>
      </c>
    </row>
    <row r="24" spans="1:20" ht="57" customHeight="1" x14ac:dyDescent="0.25">
      <c r="A24" s="126">
        <v>15</v>
      </c>
      <c r="B24" s="125" t="s">
        <v>2170</v>
      </c>
      <c r="C24" s="125" t="s">
        <v>2169</v>
      </c>
      <c r="D24" s="124" t="s">
        <v>2168</v>
      </c>
      <c r="E24" s="143" t="s">
        <v>1297</v>
      </c>
      <c r="F24" s="144">
        <v>2695</v>
      </c>
      <c r="G24" s="123" t="s">
        <v>2151</v>
      </c>
      <c r="H24" s="127" t="s">
        <v>631</v>
      </c>
      <c r="I24" s="222" t="s">
        <v>2167</v>
      </c>
      <c r="J24" s="130">
        <v>2994</v>
      </c>
      <c r="K24" s="123" t="s">
        <v>2166</v>
      </c>
      <c r="L24" s="127" t="s">
        <v>2165</v>
      </c>
      <c r="M24" s="222" t="s">
        <v>2164</v>
      </c>
      <c r="N24" s="130">
        <v>2994</v>
      </c>
      <c r="O24" s="123" t="s">
        <v>2163</v>
      </c>
      <c r="P24" s="127" t="s">
        <v>2162</v>
      </c>
      <c r="Q24" s="222" t="s">
        <v>2161</v>
      </c>
      <c r="R24" s="119">
        <f t="shared" si="0"/>
        <v>2695</v>
      </c>
      <c r="S24" s="118"/>
      <c r="T24" s="117">
        <v>45888</v>
      </c>
    </row>
    <row r="25" spans="1:20" ht="65.25" customHeight="1" x14ac:dyDescent="0.25">
      <c r="A25" s="126">
        <v>16</v>
      </c>
      <c r="B25" s="125" t="s">
        <v>2155</v>
      </c>
      <c r="C25" s="125" t="s">
        <v>2160</v>
      </c>
      <c r="D25" s="124" t="s">
        <v>2159</v>
      </c>
      <c r="E25" s="143" t="s">
        <v>1297</v>
      </c>
      <c r="F25" s="144">
        <v>5238</v>
      </c>
      <c r="G25" s="123" t="s">
        <v>369</v>
      </c>
      <c r="H25" s="127" t="s">
        <v>368</v>
      </c>
      <c r="I25" s="222" t="s">
        <v>2158</v>
      </c>
      <c r="J25" s="130">
        <v>5238</v>
      </c>
      <c r="K25" s="123" t="s">
        <v>2151</v>
      </c>
      <c r="L25" s="127" t="s">
        <v>631</v>
      </c>
      <c r="M25" s="222" t="s">
        <v>2157</v>
      </c>
      <c r="N25" s="130">
        <v>5238</v>
      </c>
      <c r="O25" s="123" t="s">
        <v>2146</v>
      </c>
      <c r="P25" s="127" t="s">
        <v>2145</v>
      </c>
      <c r="Q25" s="222" t="s">
        <v>2156</v>
      </c>
      <c r="R25" s="119">
        <f t="shared" si="0"/>
        <v>5238</v>
      </c>
      <c r="S25" s="118"/>
      <c r="T25" s="117">
        <v>45888</v>
      </c>
    </row>
    <row r="26" spans="1:20" ht="63.75" customHeight="1" x14ac:dyDescent="0.25">
      <c r="A26" s="126">
        <v>17</v>
      </c>
      <c r="B26" s="125" t="s">
        <v>2155</v>
      </c>
      <c r="C26" s="125" t="s">
        <v>2154</v>
      </c>
      <c r="D26" s="124" t="s">
        <v>2153</v>
      </c>
      <c r="E26" s="143" t="s">
        <v>1297</v>
      </c>
      <c r="F26" s="144">
        <v>39325</v>
      </c>
      <c r="G26" s="123" t="s">
        <v>2146</v>
      </c>
      <c r="H26" s="127" t="s">
        <v>2145</v>
      </c>
      <c r="I26" s="222" t="s">
        <v>2152</v>
      </c>
      <c r="J26" s="130">
        <v>35393</v>
      </c>
      <c r="K26" s="123" t="s">
        <v>2151</v>
      </c>
      <c r="L26" s="127" t="s">
        <v>631</v>
      </c>
      <c r="M26" s="222" t="s">
        <v>2150</v>
      </c>
      <c r="N26" s="130">
        <v>39325</v>
      </c>
      <c r="O26" s="123" t="s">
        <v>369</v>
      </c>
      <c r="P26" s="127" t="s">
        <v>368</v>
      </c>
      <c r="Q26" s="222" t="s">
        <v>2149</v>
      </c>
      <c r="R26" s="119">
        <f t="shared" si="0"/>
        <v>35393</v>
      </c>
      <c r="S26" s="118"/>
      <c r="T26" s="117">
        <v>45888</v>
      </c>
    </row>
    <row r="27" spans="1:20" ht="67.5" customHeight="1" x14ac:dyDescent="0.25">
      <c r="A27" s="126">
        <v>18</v>
      </c>
      <c r="B27" s="125" t="s">
        <v>2139</v>
      </c>
      <c r="C27" s="125" t="s">
        <v>2148</v>
      </c>
      <c r="D27" s="124" t="s">
        <v>2147</v>
      </c>
      <c r="E27" s="143" t="s">
        <v>818</v>
      </c>
      <c r="F27" s="144">
        <f>(38459/200)*1000</f>
        <v>192295</v>
      </c>
      <c r="G27" s="123" t="s">
        <v>2146</v>
      </c>
      <c r="H27" s="127" t="s">
        <v>2145</v>
      </c>
      <c r="I27" s="222" t="s">
        <v>2144</v>
      </c>
      <c r="J27" s="130">
        <f>142.13*1000</f>
        <v>142130</v>
      </c>
      <c r="K27" s="123" t="s">
        <v>727</v>
      </c>
      <c r="L27" s="127" t="s">
        <v>726</v>
      </c>
      <c r="M27" s="222" t="s">
        <v>2143</v>
      </c>
      <c r="N27" s="130">
        <v>187404</v>
      </c>
      <c r="O27" s="123" t="s">
        <v>2142</v>
      </c>
      <c r="P27" s="127" t="s">
        <v>2141</v>
      </c>
      <c r="Q27" s="222" t="s">
        <v>2140</v>
      </c>
      <c r="R27" s="119">
        <f t="shared" si="0"/>
        <v>142130</v>
      </c>
      <c r="S27" s="118"/>
      <c r="T27" s="117">
        <v>45888</v>
      </c>
    </row>
    <row r="28" spans="1:20" ht="60.75" customHeight="1" x14ac:dyDescent="0.25">
      <c r="A28" s="126">
        <v>19</v>
      </c>
      <c r="B28" s="125" t="s">
        <v>2139</v>
      </c>
      <c r="C28" s="125" t="s">
        <v>2138</v>
      </c>
      <c r="D28" s="124" t="s">
        <v>2137</v>
      </c>
      <c r="E28" s="143" t="s">
        <v>818</v>
      </c>
      <c r="F28" s="144">
        <f>129.04*1000</f>
        <v>129039.99999999999</v>
      </c>
      <c r="G28" s="123" t="s">
        <v>353</v>
      </c>
      <c r="H28" s="127" t="s">
        <v>352</v>
      </c>
      <c r="I28" s="222" t="s">
        <v>2136</v>
      </c>
      <c r="J28" s="130">
        <f>210.36*1000</f>
        <v>210360</v>
      </c>
      <c r="K28" s="123" t="s">
        <v>815</v>
      </c>
      <c r="L28" s="127" t="s">
        <v>814</v>
      </c>
      <c r="M28" s="222" t="s">
        <v>2135</v>
      </c>
      <c r="N28" s="130">
        <f>144*1000</f>
        <v>144000</v>
      </c>
      <c r="O28" s="123" t="s">
        <v>2134</v>
      </c>
      <c r="P28" s="127" t="s">
        <v>2133</v>
      </c>
      <c r="Q28" s="222" t="s">
        <v>2132</v>
      </c>
      <c r="R28" s="119">
        <f t="shared" si="0"/>
        <v>129039.99999999999</v>
      </c>
      <c r="S28" s="118"/>
      <c r="T28" s="117">
        <v>45888</v>
      </c>
    </row>
    <row r="29" spans="1:20" ht="30" customHeight="1" x14ac:dyDescent="0.25">
      <c r="A29" s="221"/>
      <c r="B29" s="220"/>
      <c r="C29" s="219"/>
      <c r="D29" s="218"/>
      <c r="E29" s="215"/>
      <c r="F29" s="216"/>
      <c r="G29" s="215"/>
      <c r="H29" s="217"/>
      <c r="I29" s="215"/>
      <c r="J29" s="216"/>
      <c r="K29" s="215"/>
      <c r="L29" s="215"/>
      <c r="M29" s="215"/>
      <c r="N29" s="216"/>
      <c r="O29" s="215"/>
      <c r="P29" s="215"/>
      <c r="Q29" s="215"/>
      <c r="R29" s="214"/>
      <c r="S29" s="213"/>
      <c r="T29" s="212"/>
    </row>
    <row r="31" spans="1:20" x14ac:dyDescent="0.25">
      <c r="A31" s="91"/>
      <c r="B31" s="116"/>
      <c r="C31" s="116"/>
      <c r="D31" s="116" t="s">
        <v>16</v>
      </c>
      <c r="E31" s="114"/>
      <c r="F31" s="112"/>
      <c r="G31" s="113"/>
      <c r="H31" s="112"/>
      <c r="I31" s="114"/>
      <c r="J31" s="112"/>
      <c r="K31" s="113"/>
      <c r="L31" s="112"/>
      <c r="M31" s="114"/>
      <c r="N31" s="112"/>
      <c r="O31" s="113"/>
      <c r="P31" s="116" t="s">
        <v>25</v>
      </c>
      <c r="Q31" s="116"/>
      <c r="R31" s="115"/>
      <c r="S31" s="112"/>
      <c r="T31" s="91"/>
    </row>
    <row r="32" spans="1:20" x14ac:dyDescent="0.25">
      <c r="A32" s="91"/>
      <c r="B32" s="538" t="s">
        <v>19</v>
      </c>
      <c r="C32" s="538"/>
      <c r="D32" s="538"/>
      <c r="E32" s="114"/>
      <c r="F32" s="112"/>
      <c r="G32" s="113"/>
      <c r="H32" s="112"/>
      <c r="I32" s="114"/>
      <c r="J32" s="112"/>
      <c r="K32" s="113"/>
      <c r="L32" s="112"/>
      <c r="M32" s="114"/>
      <c r="N32" s="112"/>
      <c r="O32" s="113"/>
      <c r="P32" s="112"/>
      <c r="Q32" s="101" t="s">
        <v>19</v>
      </c>
      <c r="R32" s="533"/>
      <c r="S32" s="533"/>
      <c r="T32" s="91"/>
    </row>
    <row r="33" spans="1:20" ht="18.75" x14ac:dyDescent="0.3">
      <c r="A33" s="91"/>
      <c r="B33" s="91"/>
      <c r="C33" s="91"/>
      <c r="D33" s="91"/>
      <c r="E33" s="91"/>
      <c r="F33" s="92"/>
      <c r="G33" s="93"/>
      <c r="H33" s="92"/>
      <c r="I33" s="91"/>
      <c r="J33" s="92"/>
      <c r="K33" s="93"/>
      <c r="L33" s="92"/>
      <c r="M33" s="91"/>
      <c r="N33" s="107" t="s">
        <v>20</v>
      </c>
      <c r="O33" s="106"/>
      <c r="P33" s="92"/>
      <c r="Q33" s="91"/>
      <c r="R33" s="91"/>
      <c r="S33" s="92"/>
      <c r="T33" s="91"/>
    </row>
    <row r="34" spans="1:20" ht="47.25" customHeight="1" x14ac:dyDescent="0.3">
      <c r="A34" s="524" t="s">
        <v>344</v>
      </c>
      <c r="B34" s="524"/>
      <c r="C34" s="524"/>
      <c r="D34" s="111" t="s">
        <v>19</v>
      </c>
      <c r="E34" s="91"/>
      <c r="F34" s="92"/>
      <c r="G34" s="106" t="s">
        <v>343</v>
      </c>
      <c r="H34" s="92"/>
      <c r="I34" s="110" t="s">
        <v>19</v>
      </c>
      <c r="J34" s="108"/>
      <c r="K34" s="109"/>
      <c r="L34" s="108"/>
      <c r="M34" s="91"/>
      <c r="N34" s="107" t="s">
        <v>21</v>
      </c>
      <c r="O34" s="106"/>
      <c r="P34" s="92"/>
      <c r="Q34" s="105"/>
      <c r="R34" s="91"/>
      <c r="S34" s="104" t="s">
        <v>22</v>
      </c>
      <c r="T34" s="91"/>
    </row>
    <row r="35" spans="1:20" x14ac:dyDescent="0.25">
      <c r="A35" s="91"/>
      <c r="B35" s="531" t="s">
        <v>19</v>
      </c>
      <c r="C35" s="531"/>
      <c r="D35" s="531"/>
      <c r="E35" s="531"/>
      <c r="F35" s="531"/>
      <c r="G35" s="531"/>
      <c r="H35" s="531"/>
      <c r="I35" s="531"/>
      <c r="J35" s="531"/>
      <c r="K35" s="531"/>
      <c r="L35" s="531"/>
      <c r="M35" s="531"/>
      <c r="N35" s="102"/>
      <c r="O35" s="103" t="s">
        <v>19</v>
      </c>
      <c r="P35" s="102"/>
      <c r="Q35" s="101"/>
      <c r="R35" s="91"/>
      <c r="S35" s="92"/>
      <c r="T35" s="91"/>
    </row>
    <row r="36" spans="1:20" ht="18.75" x14ac:dyDescent="0.3">
      <c r="A36" s="91"/>
      <c r="B36" s="100"/>
      <c r="C36" s="98"/>
      <c r="D36" s="98"/>
      <c r="E36" s="98"/>
      <c r="F36" s="98"/>
      <c r="G36" s="99"/>
      <c r="H36" s="98"/>
      <c r="I36" s="98"/>
      <c r="J36" s="98"/>
      <c r="K36" s="99"/>
      <c r="L36" s="98"/>
      <c r="M36" s="98"/>
      <c r="N36" s="96"/>
      <c r="O36" s="97"/>
      <c r="P36" s="96"/>
      <c r="Q36" s="95"/>
      <c r="R36" s="91"/>
      <c r="S36" s="94"/>
      <c r="T36" s="91"/>
    </row>
    <row r="37" spans="1:20" x14ac:dyDescent="0.25">
      <c r="A37" s="91"/>
      <c r="B37" s="91"/>
      <c r="C37" s="91"/>
      <c r="D37" s="91"/>
      <c r="E37" s="91"/>
      <c r="F37" s="92"/>
      <c r="G37" s="93"/>
      <c r="H37" s="92"/>
      <c r="I37" s="91"/>
      <c r="J37" s="92"/>
      <c r="K37" s="93"/>
      <c r="L37" s="92"/>
      <c r="M37" s="91"/>
      <c r="N37" s="92"/>
      <c r="O37" s="93"/>
      <c r="P37" s="92"/>
      <c r="Q37" s="91"/>
      <c r="R37" s="91"/>
      <c r="S37" s="92"/>
      <c r="T37" s="91"/>
    </row>
    <row r="41" spans="1:20" x14ac:dyDescent="0.25">
      <c r="B41" s="523" t="s">
        <v>17</v>
      </c>
      <c r="C41" s="523"/>
      <c r="D41" s="523"/>
      <c r="E41" s="523"/>
      <c r="F41" s="523"/>
      <c r="G41" s="523"/>
      <c r="H41" s="523"/>
      <c r="I41" s="523"/>
      <c r="J41" s="523"/>
      <c r="K41" s="523"/>
      <c r="L41" s="523"/>
      <c r="M41" s="523"/>
      <c r="N41" s="89"/>
      <c r="O41" s="90"/>
      <c r="P41" s="89"/>
    </row>
    <row r="42" spans="1:20" x14ac:dyDescent="0.25">
      <c r="B42" s="523" t="s">
        <v>18</v>
      </c>
      <c r="C42" s="523"/>
      <c r="D42" s="523"/>
      <c r="E42" s="523"/>
      <c r="F42" s="523"/>
      <c r="G42" s="523"/>
      <c r="H42" s="523"/>
      <c r="I42" s="523"/>
      <c r="J42" s="523"/>
      <c r="K42" s="523"/>
      <c r="L42" s="523"/>
      <c r="M42" s="523"/>
      <c r="N42" s="89"/>
      <c r="O42" s="90"/>
      <c r="P42" s="89"/>
    </row>
  </sheetData>
  <mergeCells count="20">
    <mergeCell ref="B42:M42"/>
    <mergeCell ref="B41:M41"/>
    <mergeCell ref="A34:C34"/>
    <mergeCell ref="A6:A7"/>
    <mergeCell ref="B6:B7"/>
    <mergeCell ref="C6:C7"/>
    <mergeCell ref="D6:D7"/>
    <mergeCell ref="E6:E7"/>
    <mergeCell ref="B35:M35"/>
    <mergeCell ref="F6:I6"/>
    <mergeCell ref="J6:M6"/>
    <mergeCell ref="B32:D32"/>
    <mergeCell ref="R32:S32"/>
    <mergeCell ref="T6:T7"/>
    <mergeCell ref="C1:Q1"/>
    <mergeCell ref="R6:R7"/>
    <mergeCell ref="S6:S7"/>
    <mergeCell ref="N6:Q6"/>
    <mergeCell ref="A4:T4"/>
    <mergeCell ref="A2:T2"/>
  </mergeCells>
  <conditionalFormatting sqref="G18:H18">
    <cfRule type="duplicateValues" dxfId="3" priority="3"/>
  </conditionalFormatting>
  <conditionalFormatting sqref="G22:H22">
    <cfRule type="duplicateValues" dxfId="2" priority="2"/>
  </conditionalFormatting>
  <conditionalFormatting sqref="G27:H27">
    <cfRule type="duplicateValues" dxfId="1" priority="1"/>
  </conditionalFormatting>
  <hyperlinks>
    <hyperlink ref="I10" r:id="rId1" xr:uid="{00000000-0004-0000-0700-000000000000}"/>
    <hyperlink ref="M10" r:id="rId2" xr:uid="{00000000-0004-0000-0700-000001000000}"/>
    <hyperlink ref="Q10" r:id="rId3" xr:uid="{00000000-0004-0000-0700-000002000000}"/>
    <hyperlink ref="I11" r:id="rId4" xr:uid="{00000000-0004-0000-0700-000003000000}"/>
    <hyperlink ref="M11" r:id="rId5" xr:uid="{00000000-0004-0000-0700-000004000000}"/>
    <hyperlink ref="Q11" r:id="rId6" xr:uid="{00000000-0004-0000-0700-000005000000}"/>
    <hyperlink ref="I12" r:id="rId7" xr:uid="{00000000-0004-0000-0700-000006000000}"/>
    <hyperlink ref="M12" r:id="rId8" xr:uid="{00000000-0004-0000-0700-000007000000}"/>
    <hyperlink ref="M13" r:id="rId9" xr:uid="{00000000-0004-0000-0700-000008000000}"/>
    <hyperlink ref="Q13" r:id="rId10" xr:uid="{00000000-0004-0000-0700-000009000000}"/>
    <hyperlink ref="I13" r:id="rId11" xr:uid="{00000000-0004-0000-0700-00000A000000}"/>
    <hyperlink ref="I14" r:id="rId12" xr:uid="{00000000-0004-0000-0700-00000B000000}"/>
    <hyperlink ref="M14" r:id="rId13" xr:uid="{00000000-0004-0000-0700-00000C000000}"/>
    <hyperlink ref="Q14" r:id="rId14" xr:uid="{00000000-0004-0000-0700-00000D000000}"/>
    <hyperlink ref="I15" display="https://dean.ru/catalogue/product/00-00036041.html?r1=yandext&amp;r2&amp;utm_source=yandex&amp;utm_medium=cpc&amp;utm_campaign=90531382&amp;utm_content=14587322457&amp;utm_term=---autotargeting&amp;etext=2202.5z7cx_05fN3WVUTLPvPDbxYwO1luvP01Rxdc9puxBL4l0yBsLkFbf_ifA0KiVQggOWRrayKEhS" xr:uid="{00000000-0004-0000-0700-00000E000000}"/>
    <hyperlink ref="M15" r:id="rId15" xr:uid="{00000000-0004-0000-0700-00000F000000}"/>
    <hyperlink ref="Q15" r:id="rId16" xr:uid="{00000000-0004-0000-0700-000010000000}"/>
    <hyperlink ref="I16" r:id="rId17" xr:uid="{00000000-0004-0000-0700-000011000000}"/>
    <hyperlink ref="Q16" r:id="rId18" xr:uid="{00000000-0004-0000-0700-000012000000}"/>
    <hyperlink ref="I17" r:id="rId19" xr:uid="{00000000-0004-0000-0700-000013000000}"/>
    <hyperlink ref="M17" r:id="rId20" xr:uid="{00000000-0004-0000-0700-000014000000}"/>
    <hyperlink ref="Q17" r:id="rId21" xr:uid="{00000000-0004-0000-0700-000015000000}"/>
    <hyperlink ref="I18" r:id="rId22" xr:uid="{00000000-0004-0000-0700-000016000000}"/>
    <hyperlink ref="M18" r:id="rId23" xr:uid="{00000000-0004-0000-0700-000017000000}"/>
    <hyperlink ref="Q18" r:id="rId24" xr:uid="{00000000-0004-0000-0700-000018000000}"/>
    <hyperlink ref="I19" r:id="rId25" xr:uid="{00000000-0004-0000-0700-000019000000}"/>
    <hyperlink ref="M19" r:id="rId26" xr:uid="{00000000-0004-0000-0700-00001A000000}"/>
    <hyperlink ref="Q19" r:id="rId27" xr:uid="{00000000-0004-0000-0700-00001B000000}"/>
    <hyperlink ref="I20" r:id="rId28" xr:uid="{00000000-0004-0000-0700-00001C000000}"/>
    <hyperlink ref="M20" r:id="rId29" xr:uid="{00000000-0004-0000-0700-00001D000000}"/>
    <hyperlink ref="Q20" r:id="rId30" xr:uid="{00000000-0004-0000-0700-00001E000000}"/>
    <hyperlink ref="I21" r:id="rId31" xr:uid="{00000000-0004-0000-0700-00001F000000}"/>
    <hyperlink ref="M21" r:id="rId32" xr:uid="{00000000-0004-0000-0700-000020000000}"/>
    <hyperlink ref="Q21" r:id="rId33" xr:uid="{00000000-0004-0000-0700-000021000000}"/>
    <hyperlink ref="I24" display="https://www.aktivsb.ru/prod-52483.html?utm_source=yandex-direct&amp;utm_medium=cpc&amp;utm_campaign=115109389&amp;utm_content=1860489914266435206&amp;utm_term=---autotargeting&amp;etext=2202.WkGnyI72U9NKHNPCypF8i1NIzx8u1KHDQvwMOSpKaHwFo5jhJnyXPbYPDNANuPKJApRb6snl47TfxWr_yXll" xr:uid="{00000000-0004-0000-0700-000022000000}"/>
    <hyperlink ref="M24" r:id="rId34" xr:uid="{00000000-0004-0000-0700-000023000000}"/>
    <hyperlink ref="Q24" r:id="rId35" xr:uid="{00000000-0004-0000-0700-000024000000}"/>
    <hyperlink ref="I25" r:id="rId36" xr:uid="{00000000-0004-0000-0700-000025000000}"/>
    <hyperlink ref="M25" r:id="rId37" xr:uid="{00000000-0004-0000-0700-000026000000}"/>
    <hyperlink ref="Q25" r:id="rId38" xr:uid="{00000000-0004-0000-0700-000027000000}"/>
    <hyperlink ref="I26" r:id="rId39" xr:uid="{00000000-0004-0000-0700-000028000000}"/>
    <hyperlink ref="M26" r:id="rId40" xr:uid="{00000000-0004-0000-0700-000029000000}"/>
    <hyperlink ref="I27" r:id="rId41" xr:uid="{00000000-0004-0000-0700-00002A000000}"/>
    <hyperlink ref="M27" r:id="rId42" xr:uid="{00000000-0004-0000-0700-00002B000000}"/>
    <hyperlink ref="Q27" r:id="rId43" xr:uid="{00000000-0004-0000-0700-00002C000000}"/>
    <hyperlink ref="M28" r:id="rId44" xr:uid="{00000000-0004-0000-0700-00002D000000}"/>
    <hyperlink ref="Q28" r:id="rId45" xr:uid="{00000000-0004-0000-0700-00002E000000}"/>
  </hyperlinks>
  <pageMargins left="0.31496062992125984" right="0.31496062992125984" top="0.74803149606299213" bottom="0.74803149606299213" header="0.31496062992125984" footer="0.31496062992125984"/>
  <pageSetup paperSize="9" scale="42" fitToHeight="0" orientation="landscape" r:id="rId46"/>
  <drawing r:id="rId4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41"/>
  <sheetViews>
    <sheetView view="pageBreakPreview" zoomScale="55" zoomScaleNormal="55" zoomScaleSheetLayoutView="55" zoomScalePageLayoutView="70" workbookViewId="0">
      <selection activeCell="U12" sqref="U12"/>
    </sheetView>
  </sheetViews>
  <sheetFormatPr defaultColWidth="8.7109375" defaultRowHeight="15.75" x14ac:dyDescent="0.25"/>
  <cols>
    <col min="1" max="1" width="8.140625" style="1" customWidth="1"/>
    <col min="2" max="2" width="20.140625" style="1" customWidth="1"/>
    <col min="3" max="3" width="48.28515625" style="15" customWidth="1"/>
    <col min="4" max="4" width="24.140625" style="15" customWidth="1"/>
    <col min="5" max="5" width="9.5703125" style="16" customWidth="1"/>
    <col min="6" max="6" width="20.28515625"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ht="15.75" customHeight="1" x14ac:dyDescent="0.25">
      <c r="A6" s="525" t="s">
        <v>1</v>
      </c>
      <c r="B6" s="525" t="s">
        <v>2</v>
      </c>
      <c r="C6" s="584"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2.25" customHeight="1" x14ac:dyDescent="0.25">
      <c r="A7" s="526"/>
      <c r="B7" s="526"/>
      <c r="C7" s="585"/>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2406</v>
      </c>
      <c r="D9" s="12"/>
      <c r="E9" s="13"/>
      <c r="F9" s="118"/>
      <c r="G9" s="123"/>
      <c r="H9" s="123"/>
      <c r="I9" s="12"/>
      <c r="J9" s="118"/>
      <c r="K9" s="118"/>
      <c r="L9" s="118"/>
      <c r="M9" s="12"/>
      <c r="N9" s="118"/>
      <c r="O9" s="118"/>
      <c r="P9" s="118"/>
      <c r="Q9" s="12"/>
      <c r="R9" s="12"/>
      <c r="S9" s="118"/>
      <c r="T9" s="12"/>
    </row>
    <row r="10" spans="1:20" ht="67.5" customHeight="1" x14ac:dyDescent="0.25">
      <c r="A10" s="126">
        <v>1</v>
      </c>
      <c r="B10" s="350" t="s">
        <v>2278</v>
      </c>
      <c r="C10" s="344" t="s">
        <v>2405</v>
      </c>
      <c r="D10" s="371" t="s">
        <v>2404</v>
      </c>
      <c r="E10" s="370" t="s">
        <v>15</v>
      </c>
      <c r="F10" s="382">
        <v>516000</v>
      </c>
      <c r="G10" s="369" t="s">
        <v>2275</v>
      </c>
      <c r="H10" s="368">
        <v>621401462596</v>
      </c>
      <c r="I10" s="381" t="s">
        <v>2403</v>
      </c>
      <c r="J10" s="37">
        <v>502320</v>
      </c>
      <c r="K10" s="369" t="s">
        <v>2402</v>
      </c>
      <c r="L10" s="378">
        <v>2312127366</v>
      </c>
      <c r="M10" s="380" t="s">
        <v>2401</v>
      </c>
      <c r="N10" s="37">
        <v>399507.72</v>
      </c>
      <c r="O10" s="379" t="s">
        <v>2400</v>
      </c>
      <c r="P10" s="378">
        <v>7814796835</v>
      </c>
      <c r="Q10" s="377" t="s">
        <v>2399</v>
      </c>
      <c r="R10" s="119">
        <f t="shared" ref="R10:R27" si="0">MIN(F10,J10,N10)</f>
        <v>399507.72</v>
      </c>
      <c r="S10" s="119"/>
      <c r="T10" s="117">
        <v>45890</v>
      </c>
    </row>
    <row r="11" spans="1:20" ht="87.75" customHeight="1" x14ac:dyDescent="0.25">
      <c r="A11" s="126">
        <v>2</v>
      </c>
      <c r="B11" s="350" t="s">
        <v>2278</v>
      </c>
      <c r="C11" s="236" t="s">
        <v>2398</v>
      </c>
      <c r="D11" s="371" t="s">
        <v>2397</v>
      </c>
      <c r="E11" s="370" t="s">
        <v>15</v>
      </c>
      <c r="F11" s="119">
        <v>40800</v>
      </c>
      <c r="G11" s="369" t="s">
        <v>2275</v>
      </c>
      <c r="H11" s="368">
        <v>621401462596</v>
      </c>
      <c r="I11" s="222" t="s">
        <v>2396</v>
      </c>
      <c r="J11" s="119">
        <v>43232</v>
      </c>
      <c r="K11" s="123" t="s">
        <v>2281</v>
      </c>
      <c r="L11" s="127" t="s">
        <v>2280</v>
      </c>
      <c r="M11" s="222" t="s">
        <v>2395</v>
      </c>
      <c r="N11" s="119">
        <v>33880</v>
      </c>
      <c r="O11" s="123" t="s">
        <v>2389</v>
      </c>
      <c r="P11" s="127" t="s">
        <v>2388</v>
      </c>
      <c r="Q11" s="222" t="s">
        <v>2394</v>
      </c>
      <c r="R11" s="119">
        <f t="shared" si="0"/>
        <v>33880</v>
      </c>
      <c r="S11" s="119"/>
      <c r="T11" s="117">
        <v>45890</v>
      </c>
    </row>
    <row r="12" spans="1:20" ht="57.75" customHeight="1" x14ac:dyDescent="0.25">
      <c r="A12" s="126">
        <v>3</v>
      </c>
      <c r="B12" s="350" t="s">
        <v>2278</v>
      </c>
      <c r="C12" s="145" t="s">
        <v>2393</v>
      </c>
      <c r="D12" s="371" t="s">
        <v>2392</v>
      </c>
      <c r="E12" s="370" t="s">
        <v>15</v>
      </c>
      <c r="F12" s="119">
        <v>1004500</v>
      </c>
      <c r="G12" s="369" t="s">
        <v>2275</v>
      </c>
      <c r="H12" s="368">
        <v>621401462596</v>
      </c>
      <c r="I12" s="222" t="s">
        <v>2391</v>
      </c>
      <c r="J12" s="119">
        <v>1108630</v>
      </c>
      <c r="K12" s="123" t="s">
        <v>2281</v>
      </c>
      <c r="L12" s="127" t="s">
        <v>2280</v>
      </c>
      <c r="M12" s="222" t="s">
        <v>2390</v>
      </c>
      <c r="N12" s="119">
        <v>1108360</v>
      </c>
      <c r="O12" s="123" t="s">
        <v>2389</v>
      </c>
      <c r="P12" s="127" t="s">
        <v>2388</v>
      </c>
      <c r="Q12" s="222" t="s">
        <v>2387</v>
      </c>
      <c r="R12" s="119">
        <f t="shared" si="0"/>
        <v>1004500</v>
      </c>
      <c r="S12" s="118"/>
      <c r="T12" s="117">
        <v>45890</v>
      </c>
    </row>
    <row r="13" spans="1:20" ht="72.75" customHeight="1" x14ac:dyDescent="0.25">
      <c r="A13" s="126">
        <v>4</v>
      </c>
      <c r="B13" s="376" t="s">
        <v>2070</v>
      </c>
      <c r="C13" s="145" t="s">
        <v>2386</v>
      </c>
      <c r="D13" s="371" t="s">
        <v>2385</v>
      </c>
      <c r="E13" s="370" t="s">
        <v>15</v>
      </c>
      <c r="F13" s="119">
        <v>131790</v>
      </c>
      <c r="G13" s="123" t="s">
        <v>395</v>
      </c>
      <c r="H13" s="127" t="s">
        <v>2384</v>
      </c>
      <c r="I13" s="222" t="s">
        <v>2383</v>
      </c>
      <c r="J13" s="119">
        <v>150000</v>
      </c>
      <c r="K13" s="123" t="s">
        <v>2382</v>
      </c>
      <c r="L13" s="127" t="s">
        <v>2381</v>
      </c>
      <c r="M13" s="222" t="s">
        <v>2380</v>
      </c>
      <c r="N13" s="119">
        <v>98000</v>
      </c>
      <c r="O13" s="123" t="s">
        <v>2379</v>
      </c>
      <c r="P13" s="127" t="s">
        <v>2378</v>
      </c>
      <c r="Q13" s="222" t="s">
        <v>2377</v>
      </c>
      <c r="R13" s="119">
        <f t="shared" si="0"/>
        <v>98000</v>
      </c>
      <c r="S13" s="118"/>
      <c r="T13" s="117">
        <v>45890</v>
      </c>
    </row>
    <row r="14" spans="1:20" s="372" customFormat="1" ht="72.75" customHeight="1" x14ac:dyDescent="0.25">
      <c r="A14" s="126">
        <v>5</v>
      </c>
      <c r="B14" s="350" t="s">
        <v>2139</v>
      </c>
      <c r="C14" s="145" t="s">
        <v>2376</v>
      </c>
      <c r="D14" s="371" t="s">
        <v>2375</v>
      </c>
      <c r="E14" s="143" t="s">
        <v>818</v>
      </c>
      <c r="F14" s="119">
        <f>58.78*1000</f>
        <v>58780</v>
      </c>
      <c r="G14" s="123" t="s">
        <v>441</v>
      </c>
      <c r="H14" s="127" t="s">
        <v>440</v>
      </c>
      <c r="I14" s="222" t="s">
        <v>2374</v>
      </c>
      <c r="J14" s="119">
        <f>51.93*1000</f>
        <v>51930</v>
      </c>
      <c r="K14" s="123" t="s">
        <v>2366</v>
      </c>
      <c r="L14" s="127" t="s">
        <v>2365</v>
      </c>
      <c r="M14" s="222" t="s">
        <v>2373</v>
      </c>
      <c r="N14" s="119">
        <f>51*1000</f>
        <v>51000</v>
      </c>
      <c r="O14" s="123" t="s">
        <v>2369</v>
      </c>
      <c r="P14" s="127" t="s">
        <v>2368</v>
      </c>
      <c r="Q14" s="222" t="s">
        <v>2372</v>
      </c>
      <c r="R14" s="119">
        <f t="shared" si="0"/>
        <v>51000</v>
      </c>
      <c r="S14" s="118"/>
      <c r="T14" s="117">
        <v>45890</v>
      </c>
    </row>
    <row r="15" spans="1:20" s="372" customFormat="1" ht="73.5" customHeight="1" x14ac:dyDescent="0.25">
      <c r="A15" s="126">
        <v>6</v>
      </c>
      <c r="B15" s="350" t="s">
        <v>2139</v>
      </c>
      <c r="C15" s="145" t="s">
        <v>2371</v>
      </c>
      <c r="D15" s="371" t="s">
        <v>2370</v>
      </c>
      <c r="E15" s="143" t="s">
        <v>818</v>
      </c>
      <c r="F15" s="119">
        <f>21*1000</f>
        <v>21000</v>
      </c>
      <c r="G15" s="123" t="s">
        <v>2369</v>
      </c>
      <c r="H15" s="127" t="s">
        <v>2368</v>
      </c>
      <c r="I15" s="222" t="s">
        <v>2367</v>
      </c>
      <c r="J15" s="119">
        <f>19.86*1000</f>
        <v>19860</v>
      </c>
      <c r="K15" s="123" t="s">
        <v>2366</v>
      </c>
      <c r="L15" s="127" t="s">
        <v>2365</v>
      </c>
      <c r="M15" s="222" t="s">
        <v>2364</v>
      </c>
      <c r="N15" s="119">
        <f>20.88*1000</f>
        <v>20880</v>
      </c>
      <c r="O15" s="123" t="s">
        <v>815</v>
      </c>
      <c r="P15" s="127" t="s">
        <v>814</v>
      </c>
      <c r="Q15" s="222" t="s">
        <v>2363</v>
      </c>
      <c r="R15" s="119">
        <f t="shared" si="0"/>
        <v>19860</v>
      </c>
      <c r="S15" s="118"/>
      <c r="T15" s="117">
        <v>45890</v>
      </c>
    </row>
    <row r="16" spans="1:20" s="372" customFormat="1" ht="61.5" customHeight="1" x14ac:dyDescent="0.25">
      <c r="A16" s="126">
        <v>7</v>
      </c>
      <c r="B16" s="350" t="s">
        <v>2139</v>
      </c>
      <c r="C16" s="145" t="s">
        <v>2362</v>
      </c>
      <c r="D16" s="371" t="s">
        <v>2361</v>
      </c>
      <c r="E16" s="143" t="s">
        <v>818</v>
      </c>
      <c r="F16" s="119">
        <f>138.88*1000</f>
        <v>138880</v>
      </c>
      <c r="G16" s="123" t="s">
        <v>2360</v>
      </c>
      <c r="H16" s="127" t="s">
        <v>2359</v>
      </c>
      <c r="I16" s="222" t="s">
        <v>2358</v>
      </c>
      <c r="J16" s="119">
        <f>146.28*1000</f>
        <v>146280</v>
      </c>
      <c r="K16" s="123" t="s">
        <v>2357</v>
      </c>
      <c r="L16" s="127" t="s">
        <v>2356</v>
      </c>
      <c r="M16" s="222" t="s">
        <v>2355</v>
      </c>
      <c r="N16" s="119">
        <f>134.95*1000</f>
        <v>134950</v>
      </c>
      <c r="O16" s="123" t="s">
        <v>815</v>
      </c>
      <c r="P16" s="127" t="s">
        <v>814</v>
      </c>
      <c r="Q16" s="222" t="s">
        <v>2354</v>
      </c>
      <c r="R16" s="119">
        <f t="shared" si="0"/>
        <v>134950</v>
      </c>
      <c r="S16" s="118"/>
      <c r="T16" s="117">
        <v>45890</v>
      </c>
    </row>
    <row r="17" spans="1:20" s="372" customFormat="1" ht="62.25" customHeight="1" x14ac:dyDescent="0.25">
      <c r="A17" s="126">
        <v>8</v>
      </c>
      <c r="B17" s="350" t="s">
        <v>2139</v>
      </c>
      <c r="C17" s="145" t="s">
        <v>2353</v>
      </c>
      <c r="D17" s="371" t="s">
        <v>2352</v>
      </c>
      <c r="E17" s="143" t="s">
        <v>818</v>
      </c>
      <c r="F17" s="130">
        <f>(24300/250)*1000</f>
        <v>97200</v>
      </c>
      <c r="G17" s="123" t="s">
        <v>2351</v>
      </c>
      <c r="H17" s="127" t="s">
        <v>2350</v>
      </c>
      <c r="I17" s="222" t="s">
        <v>2349</v>
      </c>
      <c r="J17" s="130">
        <f>142.38*1000</f>
        <v>142380</v>
      </c>
      <c r="K17" s="123" t="s">
        <v>2348</v>
      </c>
      <c r="L17" s="127" t="s">
        <v>2347</v>
      </c>
      <c r="M17" s="222" t="s">
        <v>2346</v>
      </c>
      <c r="N17" s="130">
        <v>84900</v>
      </c>
      <c r="O17" s="123" t="s">
        <v>2345</v>
      </c>
      <c r="P17" s="127" t="s">
        <v>2344</v>
      </c>
      <c r="Q17" s="222" t="s">
        <v>2343</v>
      </c>
      <c r="R17" s="119">
        <f t="shared" si="0"/>
        <v>84900</v>
      </c>
      <c r="S17" s="118"/>
      <c r="T17" s="117">
        <v>45890</v>
      </c>
    </row>
    <row r="18" spans="1:20" ht="67.5" customHeight="1" x14ac:dyDescent="0.25">
      <c r="A18" s="126">
        <v>9</v>
      </c>
      <c r="B18" s="350" t="s">
        <v>2139</v>
      </c>
      <c r="C18" s="125" t="s">
        <v>2342</v>
      </c>
      <c r="D18" s="371" t="s">
        <v>2341</v>
      </c>
      <c r="E18" s="143" t="s">
        <v>818</v>
      </c>
      <c r="F18" s="130">
        <f>(28773/200)*1000</f>
        <v>143865</v>
      </c>
      <c r="G18" s="123" t="s">
        <v>2146</v>
      </c>
      <c r="H18" s="127" t="s">
        <v>2145</v>
      </c>
      <c r="I18" s="222" t="s">
        <v>2340</v>
      </c>
      <c r="J18" s="130">
        <f>129.34*1000</f>
        <v>129340</v>
      </c>
      <c r="K18" s="123" t="s">
        <v>815</v>
      </c>
      <c r="L18" s="127" t="s">
        <v>814</v>
      </c>
      <c r="M18" s="222" t="s">
        <v>2339</v>
      </c>
      <c r="N18" s="130">
        <f>56842</f>
        <v>56842</v>
      </c>
      <c r="O18" s="123" t="s">
        <v>2142</v>
      </c>
      <c r="P18" s="127" t="s">
        <v>2141</v>
      </c>
      <c r="Q18" s="222" t="s">
        <v>2338</v>
      </c>
      <c r="R18" s="119">
        <f t="shared" si="0"/>
        <v>56842</v>
      </c>
      <c r="S18" s="118"/>
      <c r="T18" s="117">
        <v>45890</v>
      </c>
    </row>
    <row r="19" spans="1:20" ht="63" customHeight="1" x14ac:dyDescent="0.25">
      <c r="A19" s="126">
        <v>10</v>
      </c>
      <c r="B19" s="350" t="s">
        <v>2139</v>
      </c>
      <c r="C19" s="125" t="s">
        <v>2337</v>
      </c>
      <c r="D19" s="371" t="s">
        <v>2336</v>
      </c>
      <c r="E19" s="143" t="s">
        <v>818</v>
      </c>
      <c r="F19" s="130">
        <v>335064</v>
      </c>
      <c r="G19" s="123" t="s">
        <v>2142</v>
      </c>
      <c r="H19" s="127" t="s">
        <v>2141</v>
      </c>
      <c r="I19" s="222" t="s">
        <v>2335</v>
      </c>
      <c r="J19" s="130">
        <v>335064</v>
      </c>
      <c r="K19" s="123" t="s">
        <v>369</v>
      </c>
      <c r="L19" s="122" t="s">
        <v>368</v>
      </c>
      <c r="M19" s="222" t="s">
        <v>2334</v>
      </c>
      <c r="N19" s="130">
        <v>335070</v>
      </c>
      <c r="O19" s="123" t="s">
        <v>2333</v>
      </c>
      <c r="P19" s="127" t="s">
        <v>2332</v>
      </c>
      <c r="Q19" s="222" t="s">
        <v>2331</v>
      </c>
      <c r="R19" s="119">
        <f t="shared" si="0"/>
        <v>335064</v>
      </c>
      <c r="S19" s="118"/>
      <c r="T19" s="117">
        <v>45890</v>
      </c>
    </row>
    <row r="20" spans="1:20" s="372" customFormat="1" ht="66" customHeight="1" x14ac:dyDescent="0.25">
      <c r="A20" s="126">
        <v>11</v>
      </c>
      <c r="B20" s="350" t="s">
        <v>2139</v>
      </c>
      <c r="C20" s="125" t="s">
        <v>2330</v>
      </c>
      <c r="D20" s="371" t="s">
        <v>2329</v>
      </c>
      <c r="E20" s="143" t="s">
        <v>818</v>
      </c>
      <c r="F20" s="144">
        <f>221.52*1000</f>
        <v>221520</v>
      </c>
      <c r="G20" s="123" t="s">
        <v>815</v>
      </c>
      <c r="H20" s="127" t="s">
        <v>814</v>
      </c>
      <c r="I20" s="222" t="s">
        <v>2328</v>
      </c>
      <c r="J20" s="130">
        <v>240120</v>
      </c>
      <c r="K20" s="123" t="s">
        <v>2142</v>
      </c>
      <c r="L20" s="127" t="s">
        <v>2141</v>
      </c>
      <c r="M20" s="222" t="s">
        <v>2327</v>
      </c>
      <c r="N20" s="130">
        <f>245000</f>
        <v>245000</v>
      </c>
      <c r="O20" s="123" t="s">
        <v>2326</v>
      </c>
      <c r="P20" s="127" t="s">
        <v>2325</v>
      </c>
      <c r="Q20" s="222" t="s">
        <v>2324</v>
      </c>
      <c r="R20" s="119">
        <f t="shared" si="0"/>
        <v>221520</v>
      </c>
      <c r="S20" s="118"/>
      <c r="T20" s="117">
        <v>45890</v>
      </c>
    </row>
    <row r="21" spans="1:20" s="372" customFormat="1" ht="68.25" customHeight="1" x14ac:dyDescent="0.25">
      <c r="A21" s="126">
        <v>12</v>
      </c>
      <c r="B21" s="350" t="s">
        <v>2139</v>
      </c>
      <c r="C21" s="125" t="s">
        <v>2323</v>
      </c>
      <c r="D21" s="371" t="s">
        <v>2322</v>
      </c>
      <c r="E21" s="143" t="s">
        <v>818</v>
      </c>
      <c r="F21" s="144">
        <f>59520</f>
        <v>59520</v>
      </c>
      <c r="G21" s="123" t="s">
        <v>815</v>
      </c>
      <c r="H21" s="127" t="s">
        <v>814</v>
      </c>
      <c r="I21" s="222" t="s">
        <v>2321</v>
      </c>
      <c r="J21" s="130">
        <v>74214</v>
      </c>
      <c r="K21" s="123" t="s">
        <v>2142</v>
      </c>
      <c r="L21" s="127" t="s">
        <v>2141</v>
      </c>
      <c r="M21" s="222" t="s">
        <v>2320</v>
      </c>
      <c r="N21" s="130">
        <f>55000</f>
        <v>55000</v>
      </c>
      <c r="O21" s="123" t="s">
        <v>2319</v>
      </c>
      <c r="P21" s="127" t="s">
        <v>2318</v>
      </c>
      <c r="Q21" s="222" t="s">
        <v>2317</v>
      </c>
      <c r="R21" s="119">
        <f t="shared" si="0"/>
        <v>55000</v>
      </c>
      <c r="S21" s="118"/>
      <c r="T21" s="117">
        <v>45890</v>
      </c>
    </row>
    <row r="22" spans="1:20" s="372" customFormat="1" ht="65.25" customHeight="1" x14ac:dyDescent="0.25">
      <c r="A22" s="126">
        <v>13</v>
      </c>
      <c r="B22" s="350" t="s">
        <v>2316</v>
      </c>
      <c r="C22" s="125" t="s">
        <v>2315</v>
      </c>
      <c r="D22" s="371" t="s">
        <v>2314</v>
      </c>
      <c r="E22" s="375" t="s">
        <v>15</v>
      </c>
      <c r="F22" s="144">
        <v>428</v>
      </c>
      <c r="G22" s="123" t="s">
        <v>2281</v>
      </c>
      <c r="H22" s="127" t="s">
        <v>2280</v>
      </c>
      <c r="I22" s="222" t="s">
        <v>2313</v>
      </c>
      <c r="J22" s="130">
        <v>366.24</v>
      </c>
      <c r="K22" s="123" t="s">
        <v>2312</v>
      </c>
      <c r="L22" s="122" t="s">
        <v>456</v>
      </c>
      <c r="M22" s="222" t="s">
        <v>2311</v>
      </c>
      <c r="N22" s="130">
        <v>534</v>
      </c>
      <c r="O22" s="123" t="s">
        <v>632</v>
      </c>
      <c r="P22" s="127" t="s">
        <v>631</v>
      </c>
      <c r="Q22" s="222" t="s">
        <v>2310</v>
      </c>
      <c r="R22" s="119">
        <f t="shared" si="0"/>
        <v>366.24</v>
      </c>
      <c r="S22" s="118"/>
      <c r="T22" s="117">
        <v>45890</v>
      </c>
    </row>
    <row r="23" spans="1:20" s="372" customFormat="1" ht="69.75" customHeight="1" x14ac:dyDescent="0.25">
      <c r="A23" s="126">
        <v>14</v>
      </c>
      <c r="B23" s="350" t="s">
        <v>2278</v>
      </c>
      <c r="C23" s="125" t="s">
        <v>2309</v>
      </c>
      <c r="D23" s="371" t="s">
        <v>2308</v>
      </c>
      <c r="E23" s="375" t="s">
        <v>15</v>
      </c>
      <c r="F23" s="144">
        <v>12206</v>
      </c>
      <c r="G23" s="123" t="s">
        <v>2307</v>
      </c>
      <c r="H23" s="127" t="s">
        <v>2306</v>
      </c>
      <c r="I23" s="222" t="s">
        <v>2305</v>
      </c>
      <c r="J23" s="130">
        <v>14990</v>
      </c>
      <c r="K23" s="123" t="s">
        <v>2273</v>
      </c>
      <c r="L23" s="127" t="s">
        <v>2272</v>
      </c>
      <c r="M23" s="222" t="s">
        <v>2304</v>
      </c>
      <c r="N23" s="130">
        <v>11900</v>
      </c>
      <c r="O23" s="123" t="s">
        <v>2270</v>
      </c>
      <c r="P23" s="127" t="s">
        <v>2269</v>
      </c>
      <c r="Q23" s="222" t="s">
        <v>2303</v>
      </c>
      <c r="R23" s="119">
        <f t="shared" si="0"/>
        <v>11900</v>
      </c>
      <c r="S23" s="118"/>
      <c r="T23" s="117">
        <v>45890</v>
      </c>
    </row>
    <row r="24" spans="1:20" s="372" customFormat="1" ht="66.75" customHeight="1" x14ac:dyDescent="0.25">
      <c r="A24" s="126">
        <v>15</v>
      </c>
      <c r="B24" s="350" t="s">
        <v>93</v>
      </c>
      <c r="C24" s="125" t="s">
        <v>2302</v>
      </c>
      <c r="D24" s="371" t="s">
        <v>2301</v>
      </c>
      <c r="E24" s="375" t="s">
        <v>15</v>
      </c>
      <c r="F24" s="144">
        <v>48624</v>
      </c>
      <c r="G24" s="123" t="s">
        <v>2290</v>
      </c>
      <c r="H24" s="127" t="s">
        <v>2300</v>
      </c>
      <c r="I24" s="222" t="s">
        <v>2299</v>
      </c>
      <c r="J24" s="130">
        <v>61354</v>
      </c>
      <c r="K24" s="123" t="s">
        <v>2284</v>
      </c>
      <c r="L24" s="127" t="s">
        <v>2283</v>
      </c>
      <c r="M24" s="222" t="s">
        <v>2298</v>
      </c>
      <c r="N24" s="130">
        <v>54350</v>
      </c>
      <c r="O24" s="123" t="s">
        <v>2297</v>
      </c>
      <c r="P24" s="127" t="s">
        <v>2296</v>
      </c>
      <c r="Q24" s="222" t="s">
        <v>2295</v>
      </c>
      <c r="R24" s="119">
        <f t="shared" si="0"/>
        <v>48624</v>
      </c>
      <c r="S24" s="118"/>
      <c r="T24" s="117">
        <v>45890</v>
      </c>
    </row>
    <row r="25" spans="1:20" s="372" customFormat="1" ht="73.5" customHeight="1" x14ac:dyDescent="0.25">
      <c r="A25" s="126">
        <v>16</v>
      </c>
      <c r="B25" s="350" t="s">
        <v>355</v>
      </c>
      <c r="C25" s="125" t="s">
        <v>2294</v>
      </c>
      <c r="D25" s="371" t="s">
        <v>2293</v>
      </c>
      <c r="E25" s="375" t="s">
        <v>15</v>
      </c>
      <c r="F25" s="144">
        <v>2900</v>
      </c>
      <c r="G25" s="374" t="s">
        <v>2275</v>
      </c>
      <c r="H25" s="373">
        <v>621401462596</v>
      </c>
      <c r="I25" s="222" t="s">
        <v>2292</v>
      </c>
      <c r="J25" s="130">
        <v>3136</v>
      </c>
      <c r="K25" s="123" t="s">
        <v>2284</v>
      </c>
      <c r="L25" s="127" t="s">
        <v>2283</v>
      </c>
      <c r="M25" s="222" t="s">
        <v>2291</v>
      </c>
      <c r="N25" s="130">
        <v>4239</v>
      </c>
      <c r="O25" s="123" t="s">
        <v>2290</v>
      </c>
      <c r="P25" s="127">
        <v>7702459140</v>
      </c>
      <c r="Q25" s="222" t="s">
        <v>2289</v>
      </c>
      <c r="R25" s="119">
        <f t="shared" si="0"/>
        <v>2900</v>
      </c>
      <c r="S25" s="118"/>
      <c r="T25" s="117">
        <v>45890</v>
      </c>
    </row>
    <row r="26" spans="1:20" ht="63.75" customHeight="1" x14ac:dyDescent="0.25">
      <c r="A26" s="126">
        <v>17</v>
      </c>
      <c r="B26" s="350" t="s">
        <v>2278</v>
      </c>
      <c r="C26" s="125" t="s">
        <v>2288</v>
      </c>
      <c r="D26" s="371" t="s">
        <v>2287</v>
      </c>
      <c r="E26" s="370" t="s">
        <v>15</v>
      </c>
      <c r="F26" s="144">
        <v>7500</v>
      </c>
      <c r="G26" s="123" t="s">
        <v>2275</v>
      </c>
      <c r="H26" s="127" t="s">
        <v>2286</v>
      </c>
      <c r="I26" s="222" t="s">
        <v>2285</v>
      </c>
      <c r="J26" s="130">
        <v>6180</v>
      </c>
      <c r="K26" s="123" t="s">
        <v>2284</v>
      </c>
      <c r="L26" s="127" t="s">
        <v>2283</v>
      </c>
      <c r="M26" s="222" t="s">
        <v>2282</v>
      </c>
      <c r="N26" s="130">
        <v>4076</v>
      </c>
      <c r="O26" s="123" t="s">
        <v>2281</v>
      </c>
      <c r="P26" s="127" t="s">
        <v>2280</v>
      </c>
      <c r="Q26" s="222" t="s">
        <v>2279</v>
      </c>
      <c r="R26" s="119">
        <f t="shared" si="0"/>
        <v>4076</v>
      </c>
      <c r="S26" s="118"/>
      <c r="T26" s="117">
        <v>45890</v>
      </c>
    </row>
    <row r="27" spans="1:20" ht="63.75" customHeight="1" x14ac:dyDescent="0.25">
      <c r="A27" s="126">
        <v>18</v>
      </c>
      <c r="B27" s="350" t="s">
        <v>2278</v>
      </c>
      <c r="C27" s="125" t="s">
        <v>2277</v>
      </c>
      <c r="D27" s="371" t="s">
        <v>2276</v>
      </c>
      <c r="E27" s="370" t="s">
        <v>15</v>
      </c>
      <c r="F27" s="144">
        <v>7500</v>
      </c>
      <c r="G27" s="369" t="s">
        <v>2275</v>
      </c>
      <c r="H27" s="368">
        <v>621401462596</v>
      </c>
      <c r="I27" s="222" t="s">
        <v>2274</v>
      </c>
      <c r="J27" s="130">
        <v>5590</v>
      </c>
      <c r="K27" s="123" t="s">
        <v>2273</v>
      </c>
      <c r="L27" s="127" t="s">
        <v>2272</v>
      </c>
      <c r="M27" s="222" t="s">
        <v>2271</v>
      </c>
      <c r="N27" s="130">
        <v>5100</v>
      </c>
      <c r="O27" s="123" t="s">
        <v>2270</v>
      </c>
      <c r="P27" s="127" t="s">
        <v>2269</v>
      </c>
      <c r="Q27" s="222" t="s">
        <v>2268</v>
      </c>
      <c r="R27" s="119">
        <f t="shared" si="0"/>
        <v>5100</v>
      </c>
      <c r="S27" s="118"/>
      <c r="T27" s="117">
        <v>45890</v>
      </c>
    </row>
    <row r="28" spans="1:20" ht="30" customHeight="1" x14ac:dyDescent="0.25">
      <c r="A28" s="221"/>
      <c r="B28" s="220"/>
      <c r="C28" s="219"/>
      <c r="D28" s="218"/>
      <c r="E28" s="215"/>
      <c r="F28" s="216"/>
      <c r="G28" s="215"/>
      <c r="H28" s="217"/>
      <c r="I28" s="215"/>
      <c r="J28" s="216"/>
      <c r="K28" s="215"/>
      <c r="L28" s="215"/>
      <c r="M28" s="215"/>
      <c r="N28" s="216"/>
      <c r="O28" s="215"/>
      <c r="P28" s="215"/>
      <c r="Q28" s="215"/>
      <c r="R28" s="214"/>
      <c r="S28" s="213"/>
      <c r="T28" s="212"/>
    </row>
    <row r="30" spans="1:20" x14ac:dyDescent="0.25">
      <c r="A30" s="91"/>
      <c r="B30" s="116"/>
      <c r="C30" s="116"/>
      <c r="D30" s="116" t="s">
        <v>16</v>
      </c>
      <c r="E30" s="114"/>
      <c r="F30" s="112"/>
      <c r="G30" s="113"/>
      <c r="H30" s="112"/>
      <c r="I30" s="114"/>
      <c r="J30" s="112"/>
      <c r="K30" s="113"/>
      <c r="L30" s="112"/>
      <c r="M30" s="114"/>
      <c r="N30" s="112"/>
      <c r="O30" s="113"/>
      <c r="P30" s="116" t="s">
        <v>25</v>
      </c>
      <c r="Q30" s="116"/>
      <c r="R30" s="115"/>
      <c r="S30" s="112"/>
      <c r="T30" s="91"/>
    </row>
    <row r="31" spans="1:20" x14ac:dyDescent="0.25">
      <c r="A31" s="91"/>
      <c r="B31" s="538" t="s">
        <v>19</v>
      </c>
      <c r="C31" s="538"/>
      <c r="D31" s="538"/>
      <c r="E31" s="114"/>
      <c r="F31" s="112"/>
      <c r="G31" s="113"/>
      <c r="H31" s="112"/>
      <c r="I31" s="114"/>
      <c r="J31" s="112"/>
      <c r="K31" s="113"/>
      <c r="L31" s="112"/>
      <c r="M31" s="114"/>
      <c r="N31" s="112"/>
      <c r="O31" s="113"/>
      <c r="P31" s="112"/>
      <c r="Q31" s="101" t="s">
        <v>19</v>
      </c>
      <c r="R31" s="533"/>
      <c r="S31" s="533"/>
      <c r="T31" s="91"/>
    </row>
    <row r="32" spans="1:20" ht="18.75" x14ac:dyDescent="0.3">
      <c r="A32" s="524" t="s">
        <v>2267</v>
      </c>
      <c r="B32" s="524"/>
      <c r="C32" s="524"/>
      <c r="D32" s="91"/>
      <c r="E32" s="91"/>
      <c r="F32" s="92"/>
      <c r="G32" s="93"/>
      <c r="H32" s="92"/>
      <c r="I32" s="91"/>
      <c r="J32" s="92"/>
      <c r="K32" s="93"/>
      <c r="L32" s="92"/>
      <c r="M32" s="91"/>
      <c r="N32" s="107" t="s">
        <v>20</v>
      </c>
      <c r="O32" s="106"/>
      <c r="P32" s="92"/>
      <c r="Q32" s="91"/>
      <c r="R32" s="91"/>
      <c r="S32" s="92"/>
      <c r="T32" s="91"/>
    </row>
    <row r="33" spans="1:20" ht="47.25" customHeight="1" x14ac:dyDescent="0.3">
      <c r="A33" s="524" t="s">
        <v>2266</v>
      </c>
      <c r="B33" s="524"/>
      <c r="C33" s="524"/>
      <c r="D33" s="111" t="s">
        <v>19</v>
      </c>
      <c r="E33" s="91"/>
      <c r="F33" s="92"/>
      <c r="G33" s="106" t="s">
        <v>343</v>
      </c>
      <c r="H33" s="92"/>
      <c r="I33" s="110" t="s">
        <v>19</v>
      </c>
      <c r="J33" s="108"/>
      <c r="K33" s="109"/>
      <c r="L33" s="108"/>
      <c r="M33" s="91"/>
      <c r="N33" s="107" t="s">
        <v>21</v>
      </c>
      <c r="O33" s="106"/>
      <c r="P33" s="92"/>
      <c r="Q33" s="105"/>
      <c r="R33" s="91"/>
      <c r="S33" s="104" t="s">
        <v>22</v>
      </c>
      <c r="T33" s="91"/>
    </row>
    <row r="34" spans="1:20" x14ac:dyDescent="0.25">
      <c r="A34" s="91"/>
      <c r="B34" s="531" t="s">
        <v>19</v>
      </c>
      <c r="C34" s="531"/>
      <c r="D34" s="531"/>
      <c r="E34" s="531"/>
      <c r="F34" s="531"/>
      <c r="G34" s="531"/>
      <c r="H34" s="531"/>
      <c r="I34" s="531"/>
      <c r="J34" s="531"/>
      <c r="K34" s="531"/>
      <c r="L34" s="531"/>
      <c r="M34" s="531"/>
      <c r="N34" s="102"/>
      <c r="O34" s="103" t="s">
        <v>19</v>
      </c>
      <c r="P34" s="102"/>
      <c r="Q34" s="101"/>
      <c r="R34" s="91"/>
      <c r="S34" s="92"/>
      <c r="T34" s="91"/>
    </row>
    <row r="35" spans="1:20" ht="18.75" x14ac:dyDescent="0.3">
      <c r="A35" s="91"/>
      <c r="B35" s="100"/>
      <c r="C35" s="98"/>
      <c r="D35" s="98"/>
      <c r="E35" s="98"/>
      <c r="F35" s="98"/>
      <c r="G35" s="99"/>
      <c r="H35" s="98"/>
      <c r="I35" s="98"/>
      <c r="J35" s="98"/>
      <c r="K35" s="99"/>
      <c r="L35" s="98"/>
      <c r="M35" s="98"/>
      <c r="N35" s="96"/>
      <c r="O35" s="97"/>
      <c r="P35" s="96"/>
      <c r="Q35" s="95"/>
      <c r="R35" s="91"/>
      <c r="S35" s="94"/>
      <c r="T35" s="91"/>
    </row>
    <row r="36" spans="1:20" x14ac:dyDescent="0.25">
      <c r="A36" s="91"/>
      <c r="B36" s="91"/>
      <c r="C36" s="91"/>
      <c r="D36" s="91"/>
      <c r="E36" s="91"/>
      <c r="F36" s="92"/>
      <c r="G36" s="93"/>
      <c r="H36" s="92"/>
      <c r="I36" s="91"/>
      <c r="J36" s="92"/>
      <c r="K36" s="93"/>
      <c r="L36" s="92"/>
      <c r="M36" s="91"/>
      <c r="N36" s="92"/>
      <c r="O36" s="93"/>
      <c r="P36" s="92"/>
      <c r="Q36" s="91"/>
      <c r="R36" s="91"/>
      <c r="S36" s="92"/>
      <c r="T36" s="91"/>
    </row>
    <row r="40" spans="1:20" x14ac:dyDescent="0.25">
      <c r="B40" s="523" t="s">
        <v>17</v>
      </c>
      <c r="C40" s="523"/>
      <c r="D40" s="523"/>
      <c r="E40" s="523"/>
      <c r="F40" s="523"/>
      <c r="G40" s="523"/>
      <c r="H40" s="523"/>
      <c r="I40" s="523"/>
      <c r="J40" s="523"/>
      <c r="K40" s="523"/>
      <c r="L40" s="523"/>
      <c r="M40" s="523"/>
      <c r="N40" s="89"/>
      <c r="O40" s="90"/>
      <c r="P40" s="89"/>
    </row>
    <row r="41" spans="1:20" x14ac:dyDescent="0.25">
      <c r="B41" s="523" t="s">
        <v>18</v>
      </c>
      <c r="C41" s="523"/>
      <c r="D41" s="523"/>
      <c r="E41" s="523"/>
      <c r="F41" s="523"/>
      <c r="G41" s="523"/>
      <c r="H41" s="523"/>
      <c r="I41" s="523"/>
      <c r="J41" s="523"/>
      <c r="K41" s="523"/>
      <c r="L41" s="523"/>
      <c r="M41" s="523"/>
      <c r="N41" s="89"/>
      <c r="O41" s="90"/>
      <c r="P41" s="89"/>
    </row>
  </sheetData>
  <mergeCells count="21">
    <mergeCell ref="B41:M41"/>
    <mergeCell ref="B40:M40"/>
    <mergeCell ref="A33:C33"/>
    <mergeCell ref="A6:A7"/>
    <mergeCell ref="B6:B7"/>
    <mergeCell ref="C6:C7"/>
    <mergeCell ref="D6:D7"/>
    <mergeCell ref="E6:E7"/>
    <mergeCell ref="B34:M34"/>
    <mergeCell ref="F6:I6"/>
    <mergeCell ref="B31:D31"/>
    <mergeCell ref="A32:C32"/>
    <mergeCell ref="R31:S31"/>
    <mergeCell ref="T6:T7"/>
    <mergeCell ref="C1:Q1"/>
    <mergeCell ref="R6:R7"/>
    <mergeCell ref="S6:S7"/>
    <mergeCell ref="N6:Q6"/>
    <mergeCell ref="A4:T4"/>
    <mergeCell ref="A2:T2"/>
    <mergeCell ref="J6:M6"/>
  </mergeCells>
  <conditionalFormatting sqref="G18:H18">
    <cfRule type="duplicateValues" dxfId="0" priority="1"/>
  </conditionalFormatting>
  <hyperlinks>
    <hyperlink ref="Q10" r:id="rId1" xr:uid="{00000000-0004-0000-0800-000000000000}"/>
    <hyperlink ref="I11" r:id="rId2" xr:uid="{00000000-0004-0000-0800-000001000000}"/>
    <hyperlink ref="M11" r:id="rId3" xr:uid="{00000000-0004-0000-0800-000002000000}"/>
    <hyperlink ref="Q11" display="https://mossb.ru/catalog/sredstva-i-sistemy-opoveshcheniya-muzykalnoy-translyatsii/sistemy-opoveshcheniya-muzykalnoy-translyatsii/stantsii-opoveshcheniya/modul-ip-dlya-ustanovki-v-bip-03-primenyaetsya-tolko-v-g-moskve-dlya-priema-potokovogo-veshchaniya-r/" xr:uid="{00000000-0004-0000-0800-000003000000}"/>
    <hyperlink ref="I12" r:id="rId4" xr:uid="{00000000-0004-0000-0800-000004000000}"/>
    <hyperlink ref="M12" r:id="rId5" xr:uid="{00000000-0004-0000-0800-000005000000}"/>
    <hyperlink ref="Q12" r:id="rId6" xr:uid="{00000000-0004-0000-0800-000006000000}"/>
    <hyperlink ref="I13" r:id="rId7" xr:uid="{00000000-0004-0000-0800-000007000000}"/>
    <hyperlink ref="M13" r:id="rId8" xr:uid="{00000000-0004-0000-0800-000008000000}"/>
    <hyperlink ref="Q13" r:id="rId9" xr:uid="{00000000-0004-0000-0800-000009000000}"/>
    <hyperlink ref="I14" r:id="rId10" xr:uid="{00000000-0004-0000-0800-00000A000000}"/>
    <hyperlink ref="Q14" r:id="rId11" xr:uid="{00000000-0004-0000-0800-00000B000000}"/>
    <hyperlink ref="I15" r:id="rId12" xr:uid="{00000000-0004-0000-0800-00000C000000}"/>
    <hyperlink ref="M15" display="https://satro-paladin.com/catalog/product/183204/?utm_source=InHouse-yandex&amp;utm_medium=cpc&amp;utm_campaign=eLama%20%7C%20Товарная%20%7C%20Все%20категории%20%7C%20Оплата%20за%20клики%20%7C%20РФ&amp;utm_content=cid%7C116808275%7Cgid%7C5523346548%7Caid%7C1672126629" xr:uid="{00000000-0004-0000-0800-00000D000000}"/>
    <hyperlink ref="Q15" r:id="rId13" xr:uid="{00000000-0004-0000-0800-00000E000000}"/>
    <hyperlink ref="I16" r:id="rId14" xr:uid="{00000000-0004-0000-0800-00000F000000}"/>
    <hyperlink ref="M16" r:id="rId15" xr:uid="{00000000-0004-0000-0800-000010000000}"/>
    <hyperlink ref="Q16" r:id="rId16" xr:uid="{00000000-0004-0000-0800-000011000000}"/>
    <hyperlink ref="I17" r:id="rId17" xr:uid="{00000000-0004-0000-0800-000012000000}"/>
    <hyperlink ref="M17" r:id="rId18" xr:uid="{00000000-0004-0000-0800-000013000000}"/>
    <hyperlink ref="Q17" r:id="rId19" xr:uid="{00000000-0004-0000-0800-000014000000}"/>
    <hyperlink ref="I18" display="https://videoglaz.ru/kabel-ohranno-pozharnyy/speckabel/speckabel-kpsvevng-a-lsltx-2h2h05-200m-buhta-200m?utm_source=yandex_direct_27&amp;utm_medium=cpc&amp;utm_campaign=ДСА-Кабели%20и%20провода&amp;utm_content=1881101732902587212&amp;utm_term=---autotargeting&amp;region=213&amp;" xr:uid="{00000000-0004-0000-0800-000015000000}"/>
    <hyperlink ref="Q18" r:id="rId20" xr:uid="{00000000-0004-0000-0800-000016000000}"/>
    <hyperlink ref="I19" r:id="rId21" xr:uid="{00000000-0004-0000-0800-000017000000}"/>
    <hyperlink ref="M19" r:id="rId22" xr:uid="{00000000-0004-0000-0800-000018000000}"/>
    <hyperlink ref="Q19" r:id="rId23" xr:uid="{00000000-0004-0000-0800-000019000000}"/>
    <hyperlink ref="I20" r:id="rId24" xr:uid="{00000000-0004-0000-0800-00001A000000}"/>
    <hyperlink ref="Q20" r:id="rId25" xr:uid="{00000000-0004-0000-0800-00001B000000}"/>
    <hyperlink ref="I21" r:id="rId26" xr:uid="{00000000-0004-0000-0800-00001C000000}"/>
    <hyperlink ref="M21" r:id="rId27" xr:uid="{00000000-0004-0000-0800-00001D000000}"/>
    <hyperlink ref="Q21" r:id="rId28" xr:uid="{00000000-0004-0000-0800-00001E000000}"/>
    <hyperlink ref="I22" r:id="rId29" xr:uid="{00000000-0004-0000-0800-00001F000000}"/>
    <hyperlink ref="M22" r:id="rId30" xr:uid="{00000000-0004-0000-0800-000020000000}"/>
    <hyperlink ref="Q22" r:id="rId31" xr:uid="{00000000-0004-0000-0800-000021000000}"/>
    <hyperlink ref="I23" display="https://autoflesh.ru/product/antenno-fidernoe-oborudovanie-/statsionarnye-antenny/anli-a-200-mu-omni-antenna/?utm_source=yd&amp;utm_medium=cpc&amp;utm_campaign=yd_dm_epk_s_RF_autoflesh_anteny&amp;utm_content=tid%7C205613388335_205613388335%7Ccid%7C701545204%7Cgid%7C5" xr:uid="{00000000-0004-0000-0800-000022000000}"/>
    <hyperlink ref="M23" r:id="rId32" xr:uid="{00000000-0004-0000-0800-000023000000}"/>
    <hyperlink ref="I24" r:id="rId33" xr:uid="{00000000-0004-0000-0800-000024000000}"/>
    <hyperlink ref="M24" r:id="rId34" xr:uid="{00000000-0004-0000-0800-000025000000}"/>
    <hyperlink ref="I25" r:id="rId35" xr:uid="{00000000-0004-0000-0800-000026000000}"/>
    <hyperlink ref="Q24" r:id="rId36" xr:uid="{00000000-0004-0000-0800-000027000000}"/>
    <hyperlink ref="I26" r:id="rId37" xr:uid="{00000000-0004-0000-0800-000028000000}"/>
    <hyperlink ref="M26" r:id="rId38" xr:uid="{00000000-0004-0000-0800-000029000000}"/>
    <hyperlink ref="Q26" r:id="rId39" xr:uid="{00000000-0004-0000-0800-00002A000000}"/>
    <hyperlink ref="I27" r:id="rId40" xr:uid="{00000000-0004-0000-0800-00002B000000}"/>
    <hyperlink ref="Q27" r:id="rId41" xr:uid="{00000000-0004-0000-0800-00002C000000}"/>
  </hyperlinks>
  <pageMargins left="0.31496062992125984" right="0.31496062992125984" top="0.74803149606299213" bottom="0.74803149606299213" header="0.31496062992125984" footer="0.31496062992125984"/>
  <pageSetup paperSize="9" scale="40" fitToHeight="0" orientation="landscape" r:id="rId42"/>
  <drawing r:id="rId4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1"/>
  <sheetViews>
    <sheetView view="pageBreakPreview" topLeftCell="A2" zoomScale="60" zoomScaleNormal="60" workbookViewId="0">
      <selection activeCell="M22" sqref="M22:N22"/>
    </sheetView>
  </sheetViews>
  <sheetFormatPr defaultColWidth="8.7109375" defaultRowHeight="18.75" x14ac:dyDescent="0.25"/>
  <cols>
    <col min="1" max="1" width="8.140625" style="334" customWidth="1"/>
    <col min="2" max="2" width="16.5703125" style="334" customWidth="1"/>
    <col min="3" max="3" width="68.7109375" style="332" customWidth="1"/>
    <col min="4" max="4" width="23" style="332" customWidth="1"/>
    <col min="5" max="5" width="12.7109375" style="333" customWidth="1"/>
    <col min="6" max="13" width="28.140625" style="332" customWidth="1"/>
    <col min="14" max="14" width="28.140625" style="331" customWidth="1"/>
    <col min="15" max="17" width="28.140625" style="330" customWidth="1"/>
    <col min="18" max="16384" width="8.7109375" style="330"/>
  </cols>
  <sheetData>
    <row r="1" spans="1:17" x14ac:dyDescent="0.25">
      <c r="C1" s="508"/>
      <c r="D1" s="508"/>
      <c r="E1" s="508"/>
      <c r="F1" s="508"/>
      <c r="G1" s="508"/>
      <c r="H1" s="508"/>
      <c r="I1" s="508"/>
      <c r="J1" s="508"/>
      <c r="K1" s="508"/>
      <c r="L1" s="508"/>
      <c r="M1" s="508"/>
      <c r="N1" s="508"/>
    </row>
    <row r="2" spans="1:17" x14ac:dyDescent="0.3">
      <c r="C2" s="78"/>
      <c r="D2" s="78"/>
      <c r="E2" s="78"/>
      <c r="F2" s="508"/>
      <c r="G2" s="508"/>
      <c r="H2" s="577"/>
      <c r="I2" s="365"/>
      <c r="J2" s="365"/>
      <c r="K2" s="78"/>
      <c r="L2" s="78"/>
      <c r="M2" s="78"/>
      <c r="N2" s="335"/>
      <c r="O2" s="335"/>
      <c r="P2" s="335"/>
      <c r="Q2" s="335" t="s">
        <v>0</v>
      </c>
    </row>
    <row r="3" spans="1:17" x14ac:dyDescent="0.3">
      <c r="C3" s="78"/>
      <c r="D3" s="78"/>
      <c r="E3" s="78"/>
      <c r="F3" s="78"/>
      <c r="G3" s="78"/>
      <c r="H3" s="365"/>
      <c r="I3" s="365"/>
      <c r="J3" s="365"/>
      <c r="K3" s="78"/>
      <c r="L3" s="78"/>
      <c r="M3" s="78"/>
      <c r="N3" s="335"/>
      <c r="O3" s="510"/>
      <c r="P3" s="510"/>
      <c r="Q3" s="335"/>
    </row>
    <row r="4" spans="1:17" x14ac:dyDescent="0.3">
      <c r="C4" s="78"/>
      <c r="D4" s="78"/>
      <c r="E4" s="78"/>
      <c r="F4" s="78"/>
      <c r="G4" s="78"/>
      <c r="H4" s="365"/>
      <c r="I4" s="365"/>
      <c r="J4" s="365"/>
      <c r="K4" s="78"/>
      <c r="L4" s="78"/>
      <c r="M4" s="78"/>
      <c r="N4" s="335"/>
      <c r="O4" s="80"/>
      <c r="P4" s="80"/>
      <c r="Q4" s="335"/>
    </row>
    <row r="5" spans="1:17" x14ac:dyDescent="0.3">
      <c r="C5" s="78"/>
      <c r="D5" s="78"/>
      <c r="E5" s="78"/>
      <c r="F5" s="78"/>
      <c r="G5" s="78"/>
      <c r="H5" s="365"/>
      <c r="I5" s="365"/>
      <c r="J5" s="365"/>
      <c r="K5" s="78"/>
      <c r="L5" s="78"/>
      <c r="M5" s="78"/>
      <c r="N5" s="243" t="s">
        <v>19</v>
      </c>
      <c r="O5" s="242"/>
      <c r="P5" s="80"/>
      <c r="Q5" s="335"/>
    </row>
    <row r="6" spans="1:17" x14ac:dyDescent="0.3">
      <c r="C6" s="78"/>
      <c r="D6" s="78"/>
      <c r="E6" s="78"/>
      <c r="F6" s="508"/>
      <c r="G6" s="508"/>
      <c r="H6" s="577"/>
      <c r="I6" s="365"/>
      <c r="J6" s="365"/>
      <c r="K6" s="78"/>
      <c r="L6" s="78"/>
      <c r="M6" s="78"/>
      <c r="N6" s="522"/>
      <c r="O6" s="522"/>
      <c r="P6" s="80"/>
      <c r="Q6" s="23"/>
    </row>
    <row r="7" spans="1:17" x14ac:dyDescent="0.3">
      <c r="C7" s="78"/>
      <c r="D7" s="78"/>
      <c r="E7" s="78"/>
      <c r="F7" s="78"/>
      <c r="G7" s="78"/>
      <c r="H7" s="365"/>
      <c r="I7" s="365"/>
      <c r="J7" s="365"/>
      <c r="K7" s="78"/>
      <c r="L7" s="78"/>
      <c r="M7" s="78"/>
      <c r="N7" s="335"/>
      <c r="O7" s="80"/>
      <c r="P7" s="80"/>
      <c r="Q7" s="335"/>
    </row>
    <row r="8" spans="1:17" x14ac:dyDescent="0.3">
      <c r="C8" s="78"/>
      <c r="D8" s="78"/>
      <c r="E8" s="78"/>
      <c r="F8" s="78"/>
      <c r="G8" s="78"/>
      <c r="H8" s="365"/>
      <c r="I8" s="365"/>
      <c r="J8" s="365"/>
      <c r="K8" s="78"/>
      <c r="L8" s="78"/>
      <c r="M8" s="78"/>
      <c r="N8" s="335"/>
      <c r="O8" s="80"/>
      <c r="P8" s="80"/>
      <c r="Q8" s="335"/>
    </row>
    <row r="9" spans="1:17" x14ac:dyDescent="0.3">
      <c r="C9" s="78"/>
      <c r="D9" s="78"/>
      <c r="E9" s="78"/>
      <c r="F9" s="78"/>
      <c r="G9" s="367"/>
      <c r="H9" s="366"/>
      <c r="I9" s="365"/>
      <c r="J9" s="365"/>
      <c r="K9" s="78"/>
      <c r="L9" s="78"/>
      <c r="M9" s="78"/>
      <c r="N9" s="335"/>
      <c r="O9" s="576"/>
      <c r="P9" s="576"/>
      <c r="Q9" s="335"/>
    </row>
    <row r="10" spans="1:17" x14ac:dyDescent="0.3">
      <c r="C10" s="78"/>
      <c r="D10" s="78"/>
      <c r="E10" s="78"/>
      <c r="F10" s="78"/>
      <c r="G10" s="78"/>
      <c r="H10" s="365"/>
      <c r="I10" s="365"/>
      <c r="J10" s="365"/>
      <c r="K10" s="78"/>
      <c r="L10" s="78"/>
      <c r="M10" s="78"/>
      <c r="N10" s="576" t="s">
        <v>19</v>
      </c>
      <c r="O10" s="576"/>
      <c r="P10" s="576"/>
      <c r="Q10" s="576"/>
    </row>
    <row r="11" spans="1:17" x14ac:dyDescent="0.25">
      <c r="C11" s="78"/>
      <c r="D11" s="78"/>
      <c r="E11" s="78"/>
      <c r="F11" s="78"/>
      <c r="G11" s="78"/>
      <c r="H11" s="78"/>
      <c r="I11" s="78"/>
      <c r="J11" s="78"/>
      <c r="K11" s="78"/>
      <c r="L11" s="78"/>
      <c r="M11" s="78"/>
      <c r="N11" s="78"/>
    </row>
    <row r="12" spans="1:17" s="360" customFormat="1" ht="20.65" customHeight="1" x14ac:dyDescent="0.3">
      <c r="A12" s="364"/>
      <c r="B12" s="364"/>
      <c r="C12" s="572" t="s">
        <v>2131</v>
      </c>
      <c r="D12" s="572"/>
      <c r="E12" s="572"/>
      <c r="F12" s="572"/>
      <c r="G12" s="572"/>
      <c r="H12" s="572"/>
      <c r="I12" s="572"/>
      <c r="J12" s="572"/>
      <c r="K12" s="572"/>
      <c r="L12" s="361"/>
      <c r="M12" s="361"/>
      <c r="N12" s="361"/>
    </row>
    <row r="13" spans="1:17" s="360" customFormat="1" ht="15.75" customHeight="1" x14ac:dyDescent="0.3">
      <c r="A13" s="364"/>
      <c r="B13" s="364"/>
      <c r="C13" s="363"/>
      <c r="D13" s="362"/>
      <c r="E13" s="361"/>
      <c r="F13" s="361"/>
      <c r="G13" s="361"/>
      <c r="H13" s="361"/>
      <c r="I13" s="361"/>
      <c r="J13" s="361"/>
      <c r="K13" s="361"/>
      <c r="L13" s="361"/>
      <c r="M13" s="361"/>
      <c r="N13" s="361"/>
    </row>
    <row r="14" spans="1:17" s="357" customFormat="1" ht="24" customHeight="1" x14ac:dyDescent="0.25">
      <c r="A14" s="578" t="s">
        <v>1</v>
      </c>
      <c r="B14" s="578" t="s">
        <v>1123</v>
      </c>
      <c r="C14" s="580" t="s">
        <v>3</v>
      </c>
      <c r="D14" s="582" t="s">
        <v>4</v>
      </c>
      <c r="E14" s="578" t="s">
        <v>5</v>
      </c>
      <c r="F14" s="573" t="s">
        <v>2130</v>
      </c>
      <c r="G14" s="573"/>
      <c r="H14" s="574"/>
      <c r="I14" s="573" t="s">
        <v>2129</v>
      </c>
      <c r="J14" s="573"/>
      <c r="K14" s="574"/>
      <c r="L14" s="573" t="s">
        <v>2128</v>
      </c>
      <c r="M14" s="573"/>
      <c r="N14" s="574"/>
      <c r="O14" s="505" t="s">
        <v>1122</v>
      </c>
      <c r="P14" s="505" t="s">
        <v>10</v>
      </c>
      <c r="Q14" s="505" t="s">
        <v>11</v>
      </c>
    </row>
    <row r="15" spans="1:17" s="357" customFormat="1" ht="138.4" customHeight="1" x14ac:dyDescent="0.25">
      <c r="A15" s="579"/>
      <c r="B15" s="579"/>
      <c r="C15" s="581"/>
      <c r="D15" s="583"/>
      <c r="E15" s="583"/>
      <c r="F15" s="359" t="s">
        <v>14</v>
      </c>
      <c r="G15" s="358" t="s">
        <v>12</v>
      </c>
      <c r="H15" s="358" t="s">
        <v>13</v>
      </c>
      <c r="I15" s="359" t="s">
        <v>14</v>
      </c>
      <c r="J15" s="358" t="s">
        <v>12</v>
      </c>
      <c r="K15" s="358" t="s">
        <v>13</v>
      </c>
      <c r="L15" s="359" t="s">
        <v>14</v>
      </c>
      <c r="M15" s="358" t="s">
        <v>12</v>
      </c>
      <c r="N15" s="358" t="s">
        <v>13</v>
      </c>
      <c r="O15" s="506"/>
      <c r="P15" s="506"/>
      <c r="Q15" s="506"/>
    </row>
    <row r="16" spans="1:17" x14ac:dyDescent="0.25">
      <c r="A16" s="356">
        <v>1</v>
      </c>
      <c r="B16" s="356">
        <f>A16+1</f>
        <v>2</v>
      </c>
      <c r="C16" s="356">
        <f>B16+1</f>
        <v>3</v>
      </c>
      <c r="D16" s="356">
        <f>C16+1</f>
        <v>4</v>
      </c>
      <c r="E16" s="356">
        <f>D16+1</f>
        <v>5</v>
      </c>
      <c r="F16" s="356">
        <v>6</v>
      </c>
      <c r="G16" s="356">
        <v>7</v>
      </c>
      <c r="H16" s="356">
        <v>8</v>
      </c>
      <c r="I16" s="356">
        <v>9</v>
      </c>
      <c r="J16" s="356">
        <v>10</v>
      </c>
      <c r="K16" s="356">
        <v>11</v>
      </c>
      <c r="L16" s="356">
        <v>12</v>
      </c>
      <c r="M16" s="356">
        <v>13</v>
      </c>
      <c r="N16" s="356">
        <v>14</v>
      </c>
      <c r="O16" s="356">
        <v>15</v>
      </c>
      <c r="P16" s="356">
        <v>16</v>
      </c>
      <c r="Q16" s="356">
        <v>17</v>
      </c>
    </row>
    <row r="17" spans="1:17" ht="21" customHeight="1" x14ac:dyDescent="0.25">
      <c r="A17" s="61"/>
      <c r="B17" s="61"/>
      <c r="C17" s="354" t="s">
        <v>2427</v>
      </c>
      <c r="D17" s="354"/>
      <c r="E17" s="68"/>
      <c r="F17" s="354"/>
      <c r="G17" s="354"/>
      <c r="H17" s="354"/>
      <c r="I17" s="354"/>
      <c r="J17" s="349"/>
      <c r="K17" s="354"/>
      <c r="L17" s="355"/>
      <c r="M17" s="354"/>
      <c r="N17" s="354"/>
      <c r="O17" s="354"/>
      <c r="P17" s="354"/>
      <c r="Q17" s="354"/>
    </row>
    <row r="18" spans="1:17" ht="44.25" customHeight="1" x14ac:dyDescent="0.25">
      <c r="A18" s="350">
        <v>1</v>
      </c>
      <c r="B18" s="168" t="s">
        <v>2278</v>
      </c>
      <c r="C18" s="346" t="s">
        <v>2426</v>
      </c>
      <c r="D18" s="349" t="s">
        <v>2425</v>
      </c>
      <c r="E18" s="351" t="s">
        <v>15</v>
      </c>
      <c r="F18" s="384">
        <v>82490.2</v>
      </c>
      <c r="G18" s="161" t="s">
        <v>2424</v>
      </c>
      <c r="H18" s="383">
        <v>6672239376</v>
      </c>
      <c r="I18" s="384">
        <v>77500</v>
      </c>
      <c r="J18" s="161" t="s">
        <v>2423</v>
      </c>
      <c r="K18" s="383">
        <v>621401462596</v>
      </c>
      <c r="L18" s="384">
        <v>78247.05</v>
      </c>
      <c r="M18" s="161" t="s">
        <v>2422</v>
      </c>
      <c r="N18" s="383">
        <v>7810709510</v>
      </c>
      <c r="O18" s="342">
        <f>MIN(F18,I18,L18)</f>
        <v>77500</v>
      </c>
      <c r="P18" s="342"/>
      <c r="Q18" s="341" t="s">
        <v>2046</v>
      </c>
    </row>
    <row r="19" spans="1:17" ht="44.25" customHeight="1" x14ac:dyDescent="0.25">
      <c r="A19" s="350">
        <v>2</v>
      </c>
      <c r="B19" s="168" t="s">
        <v>2139</v>
      </c>
      <c r="C19" s="346" t="s">
        <v>2421</v>
      </c>
      <c r="D19" s="349" t="s">
        <v>2420</v>
      </c>
      <c r="E19" s="351" t="s">
        <v>818</v>
      </c>
      <c r="F19" s="384">
        <v>160560</v>
      </c>
      <c r="G19" s="161" t="s">
        <v>2417</v>
      </c>
      <c r="H19" s="383">
        <v>9721058155</v>
      </c>
      <c r="I19" s="384">
        <v>160560</v>
      </c>
      <c r="J19" s="161" t="s">
        <v>2151</v>
      </c>
      <c r="K19" s="385" t="s">
        <v>631</v>
      </c>
      <c r="L19" s="384">
        <v>161000</v>
      </c>
      <c r="M19" s="161" t="s">
        <v>2146</v>
      </c>
      <c r="N19" s="383">
        <v>7719840097</v>
      </c>
      <c r="O19" s="342">
        <f>MIN(F19,I19,L19)</f>
        <v>160560</v>
      </c>
      <c r="P19" s="342"/>
      <c r="Q19" s="341" t="s">
        <v>2046</v>
      </c>
    </row>
    <row r="20" spans="1:17" ht="44.25" customHeight="1" x14ac:dyDescent="0.25">
      <c r="A20" s="350">
        <v>3</v>
      </c>
      <c r="B20" s="168" t="s">
        <v>2139</v>
      </c>
      <c r="C20" s="346" t="s">
        <v>2419</v>
      </c>
      <c r="D20" s="349" t="s">
        <v>2418</v>
      </c>
      <c r="E20" s="351" t="s">
        <v>818</v>
      </c>
      <c r="F20" s="384">
        <v>258980</v>
      </c>
      <c r="G20" s="161" t="s">
        <v>2417</v>
      </c>
      <c r="H20" s="383">
        <v>9721058155</v>
      </c>
      <c r="I20" s="384">
        <v>258980</v>
      </c>
      <c r="J20" s="161" t="s">
        <v>2151</v>
      </c>
      <c r="K20" s="383">
        <v>105070781</v>
      </c>
      <c r="L20" s="384">
        <f>129490/0.5</f>
        <v>258980</v>
      </c>
      <c r="M20" s="161" t="s">
        <v>2146</v>
      </c>
      <c r="N20" s="383">
        <v>7719840097</v>
      </c>
      <c r="O20" s="342">
        <f>MIN(F20,I20,L20)</f>
        <v>258980</v>
      </c>
      <c r="P20" s="342"/>
      <c r="Q20" s="341" t="s">
        <v>2046</v>
      </c>
    </row>
    <row r="21" spans="1:17" ht="44.25" customHeight="1" x14ac:dyDescent="0.25">
      <c r="A21" s="350">
        <v>4</v>
      </c>
      <c r="B21" s="168" t="s">
        <v>2416</v>
      </c>
      <c r="C21" s="346" t="s">
        <v>2415</v>
      </c>
      <c r="D21" s="349" t="s">
        <v>2414</v>
      </c>
      <c r="E21" s="351" t="s">
        <v>15</v>
      </c>
      <c r="F21" s="384">
        <v>6750</v>
      </c>
      <c r="G21" s="161" t="s">
        <v>2413</v>
      </c>
      <c r="H21" s="383">
        <v>672706353161</v>
      </c>
      <c r="I21" s="384">
        <v>5500</v>
      </c>
      <c r="J21" s="161" t="s">
        <v>2412</v>
      </c>
      <c r="K21" s="383">
        <v>230840040450</v>
      </c>
      <c r="L21" s="384">
        <v>12000</v>
      </c>
      <c r="M21" s="161" t="s">
        <v>2411</v>
      </c>
      <c r="N21" s="383">
        <v>7733894672</v>
      </c>
      <c r="O21" s="342">
        <f>MIN(F21,I21,L21)</f>
        <v>5500</v>
      </c>
      <c r="P21" s="342"/>
      <c r="Q21" s="341" t="s">
        <v>2046</v>
      </c>
    </row>
    <row r="22" spans="1:17" ht="44.25" customHeight="1" x14ac:dyDescent="0.25">
      <c r="A22" s="350">
        <v>5</v>
      </c>
      <c r="B22" s="168" t="s">
        <v>355</v>
      </c>
      <c r="C22" s="346" t="s">
        <v>2410</v>
      </c>
      <c r="D22" s="349" t="s">
        <v>2409</v>
      </c>
      <c r="E22" s="351" t="s">
        <v>15</v>
      </c>
      <c r="F22" s="384">
        <v>6849</v>
      </c>
      <c r="G22" s="161" t="s">
        <v>2408</v>
      </c>
      <c r="H22" s="383">
        <v>772861067947</v>
      </c>
      <c r="I22" s="384">
        <v>6081</v>
      </c>
      <c r="J22" s="161" t="s">
        <v>2284</v>
      </c>
      <c r="K22" s="383">
        <v>5018131860</v>
      </c>
      <c r="L22" s="384">
        <v>7500</v>
      </c>
      <c r="M22" s="161" t="s">
        <v>2407</v>
      </c>
      <c r="N22" s="383">
        <v>621401462596</v>
      </c>
      <c r="O22" s="342">
        <f>MIN(F22,I22,L22)</f>
        <v>6081</v>
      </c>
      <c r="P22" s="342"/>
      <c r="Q22" s="341" t="s">
        <v>2046</v>
      </c>
    </row>
    <row r="24" spans="1:17" x14ac:dyDescent="0.3">
      <c r="A24" s="335"/>
      <c r="B24" s="335"/>
      <c r="C24" s="335"/>
      <c r="D24" s="335"/>
      <c r="E24" s="335"/>
      <c r="F24" s="335"/>
      <c r="G24" s="335"/>
      <c r="H24" s="335"/>
      <c r="I24" s="335"/>
      <c r="J24" s="335"/>
      <c r="K24" s="335"/>
      <c r="L24" s="335"/>
      <c r="M24" s="335"/>
      <c r="N24" s="335"/>
      <c r="O24" s="335"/>
      <c r="P24" s="335"/>
      <c r="Q24" s="335"/>
    </row>
    <row r="25" spans="1:17" x14ac:dyDescent="0.3">
      <c r="A25" s="335"/>
      <c r="B25" s="567" t="s">
        <v>16</v>
      </c>
      <c r="C25" s="567"/>
      <c r="D25" s="567"/>
      <c r="E25" s="335"/>
      <c r="F25" s="335"/>
      <c r="G25" s="335"/>
      <c r="H25" s="335"/>
      <c r="I25" s="335"/>
      <c r="J25" s="335"/>
      <c r="K25" s="335"/>
      <c r="L25" s="335"/>
      <c r="M25" s="335"/>
      <c r="N25" s="568" t="s">
        <v>25</v>
      </c>
      <c r="O25" s="568"/>
      <c r="P25" s="335"/>
      <c r="Q25" s="335"/>
    </row>
    <row r="26" spans="1:17" x14ac:dyDescent="0.3">
      <c r="A26" s="335"/>
      <c r="B26" s="336"/>
      <c r="C26" s="336"/>
      <c r="D26" s="336"/>
      <c r="E26" s="335"/>
      <c r="F26" s="335"/>
      <c r="G26" s="335"/>
      <c r="H26" s="335"/>
      <c r="I26" s="335"/>
      <c r="J26" s="335"/>
      <c r="K26" s="335"/>
      <c r="L26" s="335"/>
      <c r="M26" s="335"/>
      <c r="N26" s="336"/>
      <c r="O26" s="336"/>
      <c r="P26" s="335"/>
      <c r="Q26" s="335"/>
    </row>
    <row r="27" spans="1:17" x14ac:dyDescent="0.3">
      <c r="A27" s="335"/>
      <c r="B27" s="336"/>
      <c r="C27" s="336"/>
      <c r="D27" s="336"/>
      <c r="E27" s="335"/>
      <c r="F27" s="335"/>
      <c r="G27" s="335"/>
      <c r="H27" s="335"/>
      <c r="I27" s="335"/>
      <c r="J27" s="335"/>
      <c r="K27" s="335"/>
      <c r="L27" s="335"/>
      <c r="M27" s="335"/>
      <c r="N27" s="336"/>
      <c r="O27" s="336"/>
      <c r="P27" s="335"/>
      <c r="Q27" s="335"/>
    </row>
    <row r="28" spans="1:17" x14ac:dyDescent="0.3">
      <c r="A28" s="335"/>
      <c r="B28" s="336"/>
      <c r="C28" s="336"/>
      <c r="D28" s="336"/>
      <c r="E28" s="335"/>
      <c r="F28" s="335"/>
      <c r="G28" s="335"/>
      <c r="H28" s="335"/>
      <c r="I28" s="335"/>
      <c r="J28" s="335"/>
      <c r="K28" s="335"/>
      <c r="L28" s="335"/>
      <c r="M28" s="335"/>
      <c r="N28" s="336"/>
      <c r="O28" s="336"/>
      <c r="P28" s="335"/>
      <c r="Q28" s="335"/>
    </row>
    <row r="29" spans="1:17" x14ac:dyDescent="0.3">
      <c r="A29" s="335"/>
      <c r="B29" s="336"/>
      <c r="C29" s="336"/>
      <c r="D29" s="336"/>
      <c r="E29" s="335"/>
      <c r="F29" s="335"/>
      <c r="G29" s="335"/>
      <c r="H29" s="335"/>
      <c r="I29" s="335"/>
      <c r="J29" s="335"/>
      <c r="K29" s="335"/>
      <c r="L29" s="335"/>
      <c r="M29" s="335"/>
      <c r="N29" s="336"/>
      <c r="O29" s="336"/>
      <c r="P29" s="335"/>
      <c r="Q29" s="335"/>
    </row>
    <row r="30" spans="1:17" ht="37.5" customHeight="1" x14ac:dyDescent="0.3">
      <c r="A30" s="335"/>
      <c r="B30" s="336"/>
      <c r="C30" s="243" t="s">
        <v>23</v>
      </c>
      <c r="D30" s="243"/>
      <c r="E30" s="243"/>
      <c r="F30" s="335"/>
      <c r="G30" s="337"/>
      <c r="H30" s="335"/>
      <c r="I30" s="335"/>
      <c r="J30" s="335"/>
      <c r="K30" s="335"/>
      <c r="L30" s="571" t="s">
        <v>1009</v>
      </c>
      <c r="M30" s="571"/>
      <c r="N30" s="571"/>
      <c r="O30" s="336"/>
      <c r="P30" s="335"/>
      <c r="Q30" s="335"/>
    </row>
    <row r="31" spans="1:17" x14ac:dyDescent="0.3">
      <c r="A31" s="335"/>
      <c r="B31" s="339"/>
      <c r="C31" s="243"/>
      <c r="D31" s="336"/>
      <c r="E31" s="335"/>
      <c r="F31" s="335"/>
      <c r="G31" s="335"/>
      <c r="H31" s="335"/>
      <c r="I31" s="335"/>
      <c r="J31" s="335"/>
      <c r="K31" s="335"/>
      <c r="L31" s="243"/>
      <c r="M31" s="243"/>
      <c r="N31" s="242"/>
      <c r="O31" s="336"/>
      <c r="P31" s="335"/>
      <c r="Q31" s="335"/>
    </row>
    <row r="32" spans="1:17" ht="18" customHeight="1" x14ac:dyDescent="0.3">
      <c r="A32" s="335"/>
      <c r="B32" s="338"/>
      <c r="C32" s="243"/>
      <c r="D32" s="243"/>
      <c r="E32" s="243"/>
      <c r="F32" s="337"/>
      <c r="G32" s="337" t="s">
        <v>1007</v>
      </c>
      <c r="H32" s="337"/>
      <c r="I32" s="243"/>
      <c r="J32" s="243"/>
      <c r="K32" s="243"/>
      <c r="L32" s="522" t="s">
        <v>21</v>
      </c>
      <c r="M32" s="522"/>
      <c r="N32" s="522"/>
      <c r="O32" s="336"/>
      <c r="P32" s="23" t="s">
        <v>22</v>
      </c>
      <c r="Q32" s="335"/>
    </row>
    <row r="33" spans="1:17" x14ac:dyDescent="0.3">
      <c r="A33" s="335"/>
      <c r="B33" s="336"/>
      <c r="C33" s="336"/>
      <c r="D33" s="336"/>
      <c r="E33" s="335"/>
      <c r="F33" s="335"/>
      <c r="G33" s="335"/>
      <c r="H33" s="335"/>
      <c r="I33" s="335"/>
      <c r="J33" s="335"/>
      <c r="K33" s="335"/>
      <c r="L33" s="335"/>
      <c r="M33" s="335"/>
      <c r="N33" s="336"/>
      <c r="O33" s="336"/>
      <c r="P33" s="335"/>
      <c r="Q33" s="335"/>
    </row>
    <row r="34" spans="1:17" x14ac:dyDescent="0.3">
      <c r="A34" s="335"/>
      <c r="B34" s="336"/>
      <c r="C34" s="336"/>
      <c r="D34" s="336"/>
      <c r="E34" s="335"/>
      <c r="F34" s="335"/>
      <c r="G34" s="335"/>
      <c r="H34" s="335"/>
      <c r="I34" s="335"/>
      <c r="J34" s="335"/>
      <c r="K34" s="335"/>
      <c r="L34" s="335"/>
      <c r="M34" s="335"/>
      <c r="N34" s="336"/>
      <c r="O34" s="336"/>
      <c r="P34" s="335"/>
      <c r="Q34" s="335"/>
    </row>
    <row r="35" spans="1:17" x14ac:dyDescent="0.3">
      <c r="A35" s="335"/>
      <c r="B35" s="576" t="s">
        <v>19</v>
      </c>
      <c r="C35" s="576"/>
      <c r="D35" s="576"/>
      <c r="E35" s="335"/>
      <c r="F35" s="335"/>
      <c r="G35" s="335"/>
      <c r="H35" s="335"/>
      <c r="I35" s="335"/>
      <c r="J35" s="335"/>
      <c r="K35" s="335"/>
      <c r="L35" s="335"/>
      <c r="M35" s="335"/>
      <c r="N35" s="576" t="s">
        <v>19</v>
      </c>
      <c r="O35" s="576"/>
      <c r="P35" s="576"/>
      <c r="Q35" s="335"/>
    </row>
    <row r="36" spans="1:17" x14ac:dyDescent="0.3">
      <c r="A36" s="335"/>
      <c r="B36" s="576" t="s">
        <v>19</v>
      </c>
      <c r="C36" s="576"/>
      <c r="D36" s="576"/>
      <c r="E36" s="335"/>
      <c r="F36" s="335"/>
      <c r="G36" s="335"/>
      <c r="H36" s="335"/>
      <c r="I36" s="335"/>
      <c r="J36" s="335"/>
      <c r="K36" s="335"/>
      <c r="L36" s="335"/>
      <c r="M36" s="335"/>
      <c r="N36" s="576" t="s">
        <v>19</v>
      </c>
      <c r="O36" s="576"/>
      <c r="P36" s="576"/>
      <c r="Q36" s="335"/>
    </row>
    <row r="37" spans="1:17" x14ac:dyDescent="0.3">
      <c r="A37" s="335"/>
      <c r="B37" s="335"/>
      <c r="C37" s="335"/>
      <c r="D37" s="335"/>
      <c r="E37" s="335"/>
      <c r="F37" s="335"/>
      <c r="G37" s="335"/>
      <c r="H37" s="335"/>
      <c r="I37" s="335"/>
      <c r="J37" s="335"/>
      <c r="K37" s="335"/>
      <c r="L37" s="335"/>
      <c r="M37" s="335"/>
      <c r="N37" s="335"/>
      <c r="O37" s="335"/>
      <c r="P37" s="335"/>
      <c r="Q37" s="335"/>
    </row>
    <row r="38" spans="1:17" x14ac:dyDescent="0.3">
      <c r="A38" s="335"/>
      <c r="B38" s="335"/>
      <c r="C38" s="335"/>
      <c r="D38" s="335"/>
      <c r="E38" s="335"/>
      <c r="F38" s="335"/>
      <c r="G38" s="335"/>
      <c r="H38" s="335"/>
      <c r="I38" s="335"/>
      <c r="J38" s="335"/>
      <c r="K38" s="335"/>
      <c r="L38" s="335"/>
      <c r="M38" s="335"/>
      <c r="N38" s="335"/>
      <c r="O38" s="335"/>
      <c r="P38" s="335"/>
      <c r="Q38" s="335"/>
    </row>
    <row r="39" spans="1:17" x14ac:dyDescent="0.3">
      <c r="A39" s="335"/>
      <c r="B39" s="575" t="s">
        <v>17</v>
      </c>
      <c r="C39" s="575"/>
      <c r="D39" s="575"/>
      <c r="E39" s="575"/>
      <c r="F39" s="575"/>
      <c r="G39" s="575"/>
      <c r="H39" s="575"/>
      <c r="I39" s="575"/>
      <c r="J39" s="575"/>
      <c r="K39" s="575"/>
      <c r="L39" s="335"/>
      <c r="M39" s="335"/>
      <c r="N39" s="335"/>
      <c r="O39" s="335"/>
      <c r="P39" s="335"/>
      <c r="Q39" s="335"/>
    </row>
    <row r="40" spans="1:17" x14ac:dyDescent="0.3">
      <c r="A40" s="335"/>
      <c r="B40" s="575" t="s">
        <v>18</v>
      </c>
      <c r="C40" s="575"/>
      <c r="D40" s="575"/>
      <c r="E40" s="575"/>
      <c r="F40" s="575"/>
      <c r="G40" s="575"/>
      <c r="H40" s="575"/>
      <c r="I40" s="575"/>
      <c r="J40" s="575"/>
      <c r="K40" s="575"/>
      <c r="L40" s="335"/>
      <c r="M40" s="335"/>
      <c r="N40" s="335"/>
      <c r="O40" s="335"/>
      <c r="P40" s="335"/>
      <c r="Q40" s="335"/>
    </row>
    <row r="41" spans="1:17" x14ac:dyDescent="0.3">
      <c r="A41" s="335"/>
      <c r="B41" s="335"/>
      <c r="C41" s="335"/>
      <c r="D41" s="335"/>
      <c r="E41" s="335"/>
      <c r="F41" s="335"/>
      <c r="G41" s="335"/>
      <c r="H41" s="335"/>
      <c r="I41" s="335"/>
      <c r="J41" s="335"/>
      <c r="K41" s="335"/>
      <c r="L41" s="335"/>
      <c r="M41" s="335"/>
      <c r="N41" s="335"/>
      <c r="O41" s="335"/>
      <c r="P41" s="335"/>
      <c r="Q41" s="335"/>
    </row>
  </sheetData>
  <mergeCells count="29">
    <mergeCell ref="Q14:Q15"/>
    <mergeCell ref="A14:A15"/>
    <mergeCell ref="B14:B15"/>
    <mergeCell ref="C14:C15"/>
    <mergeCell ref="D14:D15"/>
    <mergeCell ref="E14:E15"/>
    <mergeCell ref="P14:P15"/>
    <mergeCell ref="C1:N1"/>
    <mergeCell ref="F2:H2"/>
    <mergeCell ref="O3:P3"/>
    <mergeCell ref="O9:P9"/>
    <mergeCell ref="N10:Q10"/>
    <mergeCell ref="N6:O6"/>
    <mergeCell ref="F6:H6"/>
    <mergeCell ref="B39:K39"/>
    <mergeCell ref="B40:K40"/>
    <mergeCell ref="B25:D25"/>
    <mergeCell ref="N25:O25"/>
    <mergeCell ref="B35:D35"/>
    <mergeCell ref="N35:P35"/>
    <mergeCell ref="B36:D36"/>
    <mergeCell ref="N36:P36"/>
    <mergeCell ref="L30:N30"/>
    <mergeCell ref="L32:N32"/>
    <mergeCell ref="C12:K12"/>
    <mergeCell ref="F14:H14"/>
    <mergeCell ref="I14:K14"/>
    <mergeCell ref="L14:N14"/>
    <mergeCell ref="O14:O15"/>
  </mergeCells>
  <pageMargins left="0.70866141732283472" right="0.70866141732283472" top="0.74803149606299213" bottom="0.74803149606299213" header="0.31496062992125984" footer="0.31496062992125984"/>
  <pageSetup paperSize="9" scale="2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68"/>
  <sheetViews>
    <sheetView view="pageBreakPreview" topLeftCell="A38" zoomScale="50" zoomScaleNormal="60" zoomScaleSheetLayoutView="50" workbookViewId="0">
      <selection activeCell="P46" sqref="P46"/>
    </sheetView>
  </sheetViews>
  <sheetFormatPr defaultColWidth="8.7109375" defaultRowHeight="18.75" x14ac:dyDescent="0.25"/>
  <cols>
    <col min="1" max="1" width="8.140625" style="334" customWidth="1"/>
    <col min="2" max="2" width="16.5703125" style="334" customWidth="1"/>
    <col min="3" max="3" width="99.5703125" style="332" customWidth="1"/>
    <col min="4" max="4" width="23" style="332" customWidth="1"/>
    <col min="5" max="5" width="12.7109375" style="333" customWidth="1"/>
    <col min="6" max="13" width="28.140625" style="332" customWidth="1"/>
    <col min="14" max="14" width="28.140625" style="331" customWidth="1"/>
    <col min="15" max="17" width="28.140625" style="330" customWidth="1"/>
    <col min="18" max="16384" width="8.7109375" style="330"/>
  </cols>
  <sheetData>
    <row r="1" spans="1:17" x14ac:dyDescent="0.25">
      <c r="C1" s="508"/>
      <c r="D1" s="508"/>
      <c r="E1" s="508"/>
      <c r="F1" s="508"/>
      <c r="G1" s="508"/>
      <c r="H1" s="508"/>
      <c r="I1" s="508"/>
      <c r="J1" s="508"/>
      <c r="K1" s="508"/>
      <c r="L1" s="508"/>
      <c r="M1" s="508"/>
      <c r="N1" s="508"/>
    </row>
    <row r="2" spans="1:17" x14ac:dyDescent="0.3">
      <c r="C2" s="78"/>
      <c r="D2" s="78"/>
      <c r="E2" s="78"/>
      <c r="F2" s="508"/>
      <c r="G2" s="508"/>
      <c r="H2" s="577"/>
      <c r="I2" s="365"/>
      <c r="J2" s="365"/>
      <c r="K2" s="78"/>
      <c r="L2" s="78"/>
      <c r="M2" s="78"/>
      <c r="N2" s="335"/>
      <c r="O2" s="335"/>
      <c r="P2" s="335"/>
      <c r="Q2" s="335" t="s">
        <v>0</v>
      </c>
    </row>
    <row r="3" spans="1:17" x14ac:dyDescent="0.3">
      <c r="C3" s="78"/>
      <c r="D3" s="78"/>
      <c r="E3" s="78"/>
      <c r="F3" s="78"/>
      <c r="G3" s="78"/>
      <c r="H3" s="365"/>
      <c r="I3" s="365"/>
      <c r="J3" s="365"/>
      <c r="K3" s="78"/>
      <c r="L3" s="78"/>
      <c r="M3" s="78"/>
      <c r="N3" s="335"/>
      <c r="O3" s="510"/>
      <c r="P3" s="510"/>
      <c r="Q3" s="335"/>
    </row>
    <row r="4" spans="1:17" x14ac:dyDescent="0.3">
      <c r="C4" s="78"/>
      <c r="D4" s="78"/>
      <c r="E4" s="78"/>
      <c r="F4" s="78"/>
      <c r="G4" s="78"/>
      <c r="H4" s="365"/>
      <c r="I4" s="365"/>
      <c r="J4" s="365"/>
      <c r="K4" s="78"/>
      <c r="L4" s="78"/>
      <c r="M4" s="78"/>
      <c r="N4" s="335"/>
      <c r="O4" s="80"/>
      <c r="P4" s="80"/>
      <c r="Q4" s="335"/>
    </row>
    <row r="5" spans="1:17" x14ac:dyDescent="0.3">
      <c r="C5" s="78"/>
      <c r="D5" s="78"/>
      <c r="E5" s="78"/>
      <c r="F5" s="78"/>
      <c r="G5" s="78"/>
      <c r="H5" s="365"/>
      <c r="I5" s="365"/>
      <c r="J5" s="365"/>
      <c r="K5" s="78"/>
      <c r="L5" s="78"/>
      <c r="M5" s="78"/>
      <c r="N5" s="243" t="s">
        <v>19</v>
      </c>
      <c r="O5" s="242"/>
      <c r="P5" s="80"/>
      <c r="Q5" s="335"/>
    </row>
    <row r="6" spans="1:17" x14ac:dyDescent="0.3">
      <c r="C6" s="78"/>
      <c r="D6" s="78"/>
      <c r="E6" s="78"/>
      <c r="F6" s="508"/>
      <c r="G6" s="508"/>
      <c r="H6" s="577"/>
      <c r="I6" s="365"/>
      <c r="J6" s="365"/>
      <c r="K6" s="78"/>
      <c r="L6" s="78"/>
      <c r="M6" s="78"/>
      <c r="N6" s="522"/>
      <c r="O6" s="522"/>
      <c r="P6" s="80"/>
      <c r="Q6" s="23"/>
    </row>
    <row r="7" spans="1:17" x14ac:dyDescent="0.3">
      <c r="C7" s="78"/>
      <c r="D7" s="78"/>
      <c r="E7" s="78"/>
      <c r="F7" s="78"/>
      <c r="G7" s="78"/>
      <c r="H7" s="365"/>
      <c r="I7" s="365"/>
      <c r="J7" s="365"/>
      <c r="K7" s="78"/>
      <c r="L7" s="78"/>
      <c r="M7" s="78"/>
      <c r="N7" s="335"/>
      <c r="O7" s="80"/>
      <c r="P7" s="80"/>
      <c r="Q7" s="335"/>
    </row>
    <row r="8" spans="1:17" x14ac:dyDescent="0.3">
      <c r="C8" s="78"/>
      <c r="D8" s="78"/>
      <c r="E8" s="78"/>
      <c r="F8" s="78"/>
      <c r="G8" s="78"/>
      <c r="H8" s="365"/>
      <c r="I8" s="365"/>
      <c r="J8" s="365"/>
      <c r="K8" s="78"/>
      <c r="L8" s="78"/>
      <c r="M8" s="78"/>
      <c r="N8" s="335"/>
      <c r="O8" s="80"/>
      <c r="P8" s="80"/>
      <c r="Q8" s="335"/>
    </row>
    <row r="9" spans="1:17" x14ac:dyDescent="0.3">
      <c r="C9" s="78"/>
      <c r="D9" s="78"/>
      <c r="E9" s="78"/>
      <c r="F9" s="78"/>
      <c r="G9" s="367"/>
      <c r="H9" s="366"/>
      <c r="I9" s="365"/>
      <c r="J9" s="365"/>
      <c r="K9" s="78"/>
      <c r="L9" s="78"/>
      <c r="M9" s="78"/>
      <c r="N9" s="335"/>
      <c r="O9" s="576"/>
      <c r="P9" s="576"/>
      <c r="Q9" s="335"/>
    </row>
    <row r="10" spans="1:17" x14ac:dyDescent="0.3">
      <c r="C10" s="78"/>
      <c r="D10" s="78"/>
      <c r="E10" s="78"/>
      <c r="F10" s="78"/>
      <c r="G10" s="78"/>
      <c r="H10" s="365"/>
      <c r="I10" s="365"/>
      <c r="J10" s="365"/>
      <c r="K10" s="78"/>
      <c r="L10" s="78"/>
      <c r="M10" s="78"/>
      <c r="N10" s="576" t="s">
        <v>19</v>
      </c>
      <c r="O10" s="576"/>
      <c r="P10" s="576"/>
      <c r="Q10" s="576"/>
    </row>
    <row r="11" spans="1:17" x14ac:dyDescent="0.25">
      <c r="C11" s="78"/>
      <c r="D11" s="78"/>
      <c r="E11" s="78"/>
      <c r="F11" s="78"/>
      <c r="G11" s="78"/>
      <c r="H11" s="78"/>
      <c r="I11" s="78"/>
      <c r="J11" s="78"/>
      <c r="K11" s="78"/>
      <c r="L11" s="78"/>
      <c r="M11" s="78"/>
      <c r="N11" s="78"/>
    </row>
    <row r="12" spans="1:17" s="360" customFormat="1" ht="20.65" customHeight="1" x14ac:dyDescent="0.3">
      <c r="A12" s="364"/>
      <c r="B12" s="364"/>
      <c r="C12" s="572" t="s">
        <v>2131</v>
      </c>
      <c r="D12" s="572"/>
      <c r="E12" s="572"/>
      <c r="F12" s="572"/>
      <c r="G12" s="572"/>
      <c r="H12" s="572"/>
      <c r="I12" s="572"/>
      <c r="J12" s="572"/>
      <c r="K12" s="572"/>
      <c r="L12" s="361"/>
      <c r="M12" s="361"/>
      <c r="N12" s="361"/>
    </row>
    <row r="13" spans="1:17" s="360" customFormat="1" ht="15.75" customHeight="1" x14ac:dyDescent="0.3">
      <c r="A13" s="364"/>
      <c r="B13" s="364"/>
      <c r="C13" s="363"/>
      <c r="D13" s="362"/>
      <c r="E13" s="361"/>
      <c r="F13" s="361"/>
      <c r="G13" s="361"/>
      <c r="H13" s="361"/>
      <c r="I13" s="361"/>
      <c r="J13" s="361"/>
      <c r="K13" s="361"/>
      <c r="L13" s="361"/>
      <c r="M13" s="361"/>
      <c r="N13" s="361"/>
    </row>
    <row r="14" spans="1:17" s="357" customFormat="1" ht="24" customHeight="1" x14ac:dyDescent="0.25">
      <c r="A14" s="578" t="s">
        <v>1</v>
      </c>
      <c r="B14" s="578" t="s">
        <v>1123</v>
      </c>
      <c r="C14" s="580" t="s">
        <v>3</v>
      </c>
      <c r="D14" s="582" t="s">
        <v>4</v>
      </c>
      <c r="E14" s="578" t="s">
        <v>5</v>
      </c>
      <c r="F14" s="573" t="s">
        <v>2130</v>
      </c>
      <c r="G14" s="573"/>
      <c r="H14" s="574"/>
      <c r="I14" s="573" t="s">
        <v>2129</v>
      </c>
      <c r="J14" s="573"/>
      <c r="K14" s="574"/>
      <c r="L14" s="573" t="s">
        <v>2128</v>
      </c>
      <c r="M14" s="573"/>
      <c r="N14" s="574"/>
      <c r="O14" s="505" t="s">
        <v>1122</v>
      </c>
      <c r="P14" s="505" t="s">
        <v>10</v>
      </c>
      <c r="Q14" s="505" t="s">
        <v>11</v>
      </c>
    </row>
    <row r="15" spans="1:17" s="357" customFormat="1" ht="138.4" customHeight="1" x14ac:dyDescent="0.25">
      <c r="A15" s="579"/>
      <c r="B15" s="579"/>
      <c r="C15" s="581"/>
      <c r="D15" s="583"/>
      <c r="E15" s="583"/>
      <c r="F15" s="359" t="s">
        <v>14</v>
      </c>
      <c r="G15" s="358" t="s">
        <v>12</v>
      </c>
      <c r="H15" s="358" t="s">
        <v>13</v>
      </c>
      <c r="I15" s="359" t="s">
        <v>14</v>
      </c>
      <c r="J15" s="358" t="s">
        <v>12</v>
      </c>
      <c r="K15" s="358" t="s">
        <v>13</v>
      </c>
      <c r="L15" s="359" t="s">
        <v>14</v>
      </c>
      <c r="M15" s="358" t="s">
        <v>12</v>
      </c>
      <c r="N15" s="358" t="s">
        <v>13</v>
      </c>
      <c r="O15" s="506"/>
      <c r="P15" s="506"/>
      <c r="Q15" s="506"/>
    </row>
    <row r="16" spans="1:17" x14ac:dyDescent="0.25">
      <c r="A16" s="356">
        <v>1</v>
      </c>
      <c r="B16" s="356">
        <f>A16+1</f>
        <v>2</v>
      </c>
      <c r="C16" s="356">
        <f>B16+1</f>
        <v>3</v>
      </c>
      <c r="D16" s="356">
        <f>C16+1</f>
        <v>4</v>
      </c>
      <c r="E16" s="356">
        <f>D16+1</f>
        <v>5</v>
      </c>
      <c r="F16" s="356">
        <v>6</v>
      </c>
      <c r="G16" s="356">
        <v>7</v>
      </c>
      <c r="H16" s="356">
        <v>8</v>
      </c>
      <c r="I16" s="356">
        <v>9</v>
      </c>
      <c r="J16" s="356">
        <v>10</v>
      </c>
      <c r="K16" s="356">
        <v>11</v>
      </c>
      <c r="L16" s="356">
        <v>12</v>
      </c>
      <c r="M16" s="356">
        <v>13</v>
      </c>
      <c r="N16" s="356">
        <v>14</v>
      </c>
      <c r="O16" s="356">
        <v>15</v>
      </c>
      <c r="P16" s="356">
        <v>16</v>
      </c>
      <c r="Q16" s="356">
        <v>17</v>
      </c>
    </row>
    <row r="17" spans="1:17" ht="21" customHeight="1" x14ac:dyDescent="0.25">
      <c r="A17" s="61"/>
      <c r="B17" s="61"/>
      <c r="C17" s="354" t="s">
        <v>2544</v>
      </c>
      <c r="D17" s="354"/>
      <c r="E17" s="68"/>
      <c r="F17" s="354"/>
      <c r="G17" s="354"/>
      <c r="H17" s="354"/>
      <c r="I17" s="354"/>
      <c r="J17" s="349"/>
      <c r="K17" s="354"/>
      <c r="L17" s="355"/>
      <c r="M17" s="354"/>
      <c r="N17" s="354"/>
      <c r="O17" s="354"/>
      <c r="P17" s="354"/>
      <c r="Q17" s="354"/>
    </row>
    <row r="18" spans="1:17" ht="49.35" customHeight="1" x14ac:dyDescent="0.25">
      <c r="A18" s="350">
        <v>1</v>
      </c>
      <c r="B18" s="256" t="s">
        <v>2264</v>
      </c>
      <c r="C18" s="390" t="s">
        <v>2543</v>
      </c>
      <c r="D18" s="349" t="s">
        <v>2542</v>
      </c>
      <c r="E18" s="351" t="s">
        <v>15</v>
      </c>
      <c r="F18" s="347">
        <v>199780.52</v>
      </c>
      <c r="G18" s="346" t="s">
        <v>2536</v>
      </c>
      <c r="H18" s="345">
        <v>5029156850</v>
      </c>
      <c r="I18" s="342">
        <v>195488.81</v>
      </c>
      <c r="J18" s="346" t="s">
        <v>2541</v>
      </c>
      <c r="K18" s="345">
        <v>7717803967</v>
      </c>
      <c r="L18" s="342">
        <v>202700.94</v>
      </c>
      <c r="M18" s="346" t="s">
        <v>511</v>
      </c>
      <c r="N18" s="345">
        <v>7727789038</v>
      </c>
      <c r="O18" s="342">
        <f t="shared" ref="O18:O49" si="0">MIN(F18,I18,L18)</f>
        <v>195488.81</v>
      </c>
      <c r="P18" s="342"/>
      <c r="Q18" s="341" t="s">
        <v>2046</v>
      </c>
    </row>
    <row r="19" spans="1:17" ht="49.35" customHeight="1" x14ac:dyDescent="0.25">
      <c r="A19" s="350">
        <v>2</v>
      </c>
      <c r="B19" s="256" t="s">
        <v>2264</v>
      </c>
      <c r="C19" s="390" t="s">
        <v>2540</v>
      </c>
      <c r="D19" s="349" t="s">
        <v>2539</v>
      </c>
      <c r="E19" s="351" t="s">
        <v>15</v>
      </c>
      <c r="F19" s="347">
        <v>41245</v>
      </c>
      <c r="G19" s="346" t="s">
        <v>2513</v>
      </c>
      <c r="H19" s="386">
        <v>772608475809</v>
      </c>
      <c r="I19" s="342">
        <v>42609</v>
      </c>
      <c r="J19" s="346" t="s">
        <v>2284</v>
      </c>
      <c r="K19" s="345">
        <v>5018131860</v>
      </c>
      <c r="L19" s="342">
        <v>41245</v>
      </c>
      <c r="M19" s="346" t="s">
        <v>2146</v>
      </c>
      <c r="N19" s="345">
        <v>7719840097</v>
      </c>
      <c r="O19" s="342">
        <f t="shared" si="0"/>
        <v>41245</v>
      </c>
      <c r="P19" s="342"/>
      <c r="Q19" s="341" t="s">
        <v>2046</v>
      </c>
    </row>
    <row r="20" spans="1:17" ht="49.35" customHeight="1" x14ac:dyDescent="0.25">
      <c r="A20" s="350">
        <v>3</v>
      </c>
      <c r="B20" s="256" t="s">
        <v>2264</v>
      </c>
      <c r="C20" s="390" t="s">
        <v>2538</v>
      </c>
      <c r="D20" s="349" t="s">
        <v>2537</v>
      </c>
      <c r="E20" s="351" t="s">
        <v>15</v>
      </c>
      <c r="F20" s="347">
        <v>31786.880000000001</v>
      </c>
      <c r="G20" s="346" t="s">
        <v>2536</v>
      </c>
      <c r="H20" s="345">
        <v>5029156850</v>
      </c>
      <c r="I20" s="342">
        <v>32749</v>
      </c>
      <c r="J20" s="346" t="s">
        <v>2513</v>
      </c>
      <c r="K20" s="386">
        <v>772608475809</v>
      </c>
      <c r="L20" s="342">
        <v>28334</v>
      </c>
      <c r="M20" s="346" t="s">
        <v>2535</v>
      </c>
      <c r="N20" s="345">
        <v>2130207401</v>
      </c>
      <c r="O20" s="342">
        <f t="shared" si="0"/>
        <v>28334</v>
      </c>
      <c r="P20" s="342"/>
      <c r="Q20" s="341" t="s">
        <v>2046</v>
      </c>
    </row>
    <row r="21" spans="1:17" ht="49.35" customHeight="1" x14ac:dyDescent="0.25">
      <c r="A21" s="350">
        <v>4</v>
      </c>
      <c r="B21" s="182" t="s">
        <v>2534</v>
      </c>
      <c r="C21" s="390" t="s">
        <v>2533</v>
      </c>
      <c r="D21" s="349" t="s">
        <v>2532</v>
      </c>
      <c r="E21" s="351" t="s">
        <v>15</v>
      </c>
      <c r="F21" s="347">
        <v>650</v>
      </c>
      <c r="G21" s="346" t="s">
        <v>2531</v>
      </c>
      <c r="H21" s="345">
        <v>7718979307</v>
      </c>
      <c r="I21" s="342">
        <v>664</v>
      </c>
      <c r="J21" s="346" t="s">
        <v>1198</v>
      </c>
      <c r="K21" s="345">
        <v>7735092378</v>
      </c>
      <c r="L21" s="342">
        <v>670</v>
      </c>
      <c r="M21" s="346" t="s">
        <v>350</v>
      </c>
      <c r="N21" s="345">
        <v>7729108750</v>
      </c>
      <c r="O21" s="342">
        <f t="shared" si="0"/>
        <v>650</v>
      </c>
      <c r="P21" s="342"/>
      <c r="Q21" s="341" t="s">
        <v>2046</v>
      </c>
    </row>
    <row r="22" spans="1:17" ht="49.35" customHeight="1" x14ac:dyDescent="0.25">
      <c r="A22" s="350">
        <v>5</v>
      </c>
      <c r="B22" s="256" t="s">
        <v>2264</v>
      </c>
      <c r="C22" s="390" t="s">
        <v>2530</v>
      </c>
      <c r="D22" s="349" t="s">
        <v>2529</v>
      </c>
      <c r="E22" s="351" t="s">
        <v>15</v>
      </c>
      <c r="F22" s="347">
        <v>7566</v>
      </c>
      <c r="G22" s="346" t="s">
        <v>2481</v>
      </c>
      <c r="H22" s="345">
        <v>9715308907</v>
      </c>
      <c r="I22" s="342">
        <v>7570</v>
      </c>
      <c r="J22" s="346" t="s">
        <v>2333</v>
      </c>
      <c r="K22" s="386">
        <v>504809933724</v>
      </c>
      <c r="L22" s="342">
        <v>6430</v>
      </c>
      <c r="M22" s="346" t="s">
        <v>558</v>
      </c>
      <c r="N22" s="345">
        <v>7743553167</v>
      </c>
      <c r="O22" s="342">
        <f t="shared" si="0"/>
        <v>6430</v>
      </c>
      <c r="P22" s="342"/>
      <c r="Q22" s="341" t="s">
        <v>2046</v>
      </c>
    </row>
    <row r="23" spans="1:17" ht="49.35" customHeight="1" x14ac:dyDescent="0.25">
      <c r="A23" s="350">
        <v>6</v>
      </c>
      <c r="B23" s="256" t="s">
        <v>2264</v>
      </c>
      <c r="C23" s="390" t="s">
        <v>2528</v>
      </c>
      <c r="D23" s="349" t="s">
        <v>2527</v>
      </c>
      <c r="E23" s="351" t="s">
        <v>15</v>
      </c>
      <c r="F23" s="391">
        <v>4434.78</v>
      </c>
      <c r="G23" s="346" t="s">
        <v>2417</v>
      </c>
      <c r="H23" s="345">
        <v>9721058155</v>
      </c>
      <c r="I23" s="342">
        <v>4434</v>
      </c>
      <c r="J23" s="346" t="s">
        <v>2526</v>
      </c>
      <c r="K23" s="345">
        <v>9715282712</v>
      </c>
      <c r="L23" s="342">
        <v>4760</v>
      </c>
      <c r="M23" s="346" t="s">
        <v>350</v>
      </c>
      <c r="N23" s="345">
        <v>7729108750</v>
      </c>
      <c r="O23" s="342">
        <f t="shared" si="0"/>
        <v>4434</v>
      </c>
      <c r="P23" s="342"/>
      <c r="Q23" s="341" t="s">
        <v>2046</v>
      </c>
    </row>
    <row r="24" spans="1:17" ht="49.35" customHeight="1" x14ac:dyDescent="0.25">
      <c r="A24" s="350">
        <v>7</v>
      </c>
      <c r="B24" s="256" t="s">
        <v>2264</v>
      </c>
      <c r="C24" s="390" t="s">
        <v>2525</v>
      </c>
      <c r="D24" s="349" t="s">
        <v>2524</v>
      </c>
      <c r="E24" s="351" t="s">
        <v>15</v>
      </c>
      <c r="F24" s="347">
        <v>1715.95</v>
      </c>
      <c r="G24" s="346" t="s">
        <v>2080</v>
      </c>
      <c r="H24" s="345">
        <v>6454107010</v>
      </c>
      <c r="I24" s="342">
        <v>1942</v>
      </c>
      <c r="J24" s="346" t="s">
        <v>2284</v>
      </c>
      <c r="K24" s="345">
        <v>5018131860</v>
      </c>
      <c r="L24" s="342">
        <v>1888</v>
      </c>
      <c r="M24" s="346" t="s">
        <v>2513</v>
      </c>
      <c r="N24" s="386">
        <v>772608475809</v>
      </c>
      <c r="O24" s="342">
        <f t="shared" si="0"/>
        <v>1715.95</v>
      </c>
      <c r="P24" s="342"/>
      <c r="Q24" s="341" t="s">
        <v>2046</v>
      </c>
    </row>
    <row r="25" spans="1:17" ht="49.35" customHeight="1" x14ac:dyDescent="0.25">
      <c r="A25" s="350">
        <v>8</v>
      </c>
      <c r="B25" s="389" t="s">
        <v>2523</v>
      </c>
      <c r="C25" s="390" t="s">
        <v>2522</v>
      </c>
      <c r="D25" s="349" t="s">
        <v>2521</v>
      </c>
      <c r="E25" s="351" t="s">
        <v>15</v>
      </c>
      <c r="F25" s="347">
        <v>8672</v>
      </c>
      <c r="G25" s="346" t="s">
        <v>2513</v>
      </c>
      <c r="H25" s="386">
        <v>772608475809</v>
      </c>
      <c r="I25" s="342">
        <v>9544.35</v>
      </c>
      <c r="J25" s="346" t="s">
        <v>2319</v>
      </c>
      <c r="K25" s="345">
        <v>2312127366</v>
      </c>
      <c r="L25" s="342">
        <v>8376.7999999999993</v>
      </c>
      <c r="M25" s="346" t="s">
        <v>511</v>
      </c>
      <c r="N25" s="386">
        <v>7727789038</v>
      </c>
      <c r="O25" s="342">
        <f t="shared" si="0"/>
        <v>8376.7999999999993</v>
      </c>
      <c r="P25" s="342"/>
      <c r="Q25" s="341" t="s">
        <v>2046</v>
      </c>
    </row>
    <row r="26" spans="1:17" ht="49.35" customHeight="1" x14ac:dyDescent="0.25">
      <c r="A26" s="350">
        <v>9</v>
      </c>
      <c r="B26" s="256" t="s">
        <v>2264</v>
      </c>
      <c r="C26" s="390" t="s">
        <v>2520</v>
      </c>
      <c r="D26" s="349" t="s">
        <v>2519</v>
      </c>
      <c r="E26" s="351" t="s">
        <v>15</v>
      </c>
      <c r="F26" s="347">
        <v>168139</v>
      </c>
      <c r="G26" s="346" t="s">
        <v>2513</v>
      </c>
      <c r="H26" s="386">
        <v>772608475809</v>
      </c>
      <c r="I26" s="342">
        <v>164795</v>
      </c>
      <c r="J26" s="346" t="s">
        <v>558</v>
      </c>
      <c r="K26" s="345">
        <v>7743553167</v>
      </c>
      <c r="L26" s="342">
        <v>178667.97</v>
      </c>
      <c r="M26" s="346" t="s">
        <v>511</v>
      </c>
      <c r="N26" s="386">
        <v>7727789038</v>
      </c>
      <c r="O26" s="342">
        <f t="shared" si="0"/>
        <v>164795</v>
      </c>
      <c r="P26" s="342"/>
      <c r="Q26" s="341" t="s">
        <v>2046</v>
      </c>
    </row>
    <row r="27" spans="1:17" ht="49.35" customHeight="1" x14ac:dyDescent="0.25">
      <c r="A27" s="350">
        <v>10</v>
      </c>
      <c r="B27" s="256" t="s">
        <v>2264</v>
      </c>
      <c r="C27" s="390" t="s">
        <v>2518</v>
      </c>
      <c r="D27" s="349" t="s">
        <v>2517</v>
      </c>
      <c r="E27" s="351" t="s">
        <v>15</v>
      </c>
      <c r="F27" s="347">
        <v>44203</v>
      </c>
      <c r="G27" s="346" t="s">
        <v>2481</v>
      </c>
      <c r="H27" s="345">
        <v>9715308907</v>
      </c>
      <c r="I27" s="342">
        <v>37572.47</v>
      </c>
      <c r="J27" s="346" t="s">
        <v>511</v>
      </c>
      <c r="K27" s="386">
        <v>7727789038</v>
      </c>
      <c r="L27" s="342">
        <v>38899</v>
      </c>
      <c r="M27" s="346" t="s">
        <v>2146</v>
      </c>
      <c r="N27" s="345">
        <v>7719840097</v>
      </c>
      <c r="O27" s="342">
        <f t="shared" si="0"/>
        <v>37572.47</v>
      </c>
      <c r="P27" s="342"/>
      <c r="Q27" s="341" t="s">
        <v>2046</v>
      </c>
    </row>
    <row r="28" spans="1:17" ht="49.35" customHeight="1" x14ac:dyDescent="0.25">
      <c r="A28" s="350">
        <v>11</v>
      </c>
      <c r="B28" s="389" t="s">
        <v>2512</v>
      </c>
      <c r="C28" s="390" t="s">
        <v>2516</v>
      </c>
      <c r="D28" s="349" t="s">
        <v>2515</v>
      </c>
      <c r="E28" s="351" t="s">
        <v>15</v>
      </c>
      <c r="F28" s="347">
        <v>5043.46</v>
      </c>
      <c r="G28" s="346" t="s">
        <v>2417</v>
      </c>
      <c r="H28" s="345">
        <v>9721058155</v>
      </c>
      <c r="I28" s="342">
        <v>4287</v>
      </c>
      <c r="J28" s="346" t="s">
        <v>2514</v>
      </c>
      <c r="K28" s="386">
        <v>7717798361</v>
      </c>
      <c r="L28" s="342">
        <v>4030</v>
      </c>
      <c r="M28" s="346" t="s">
        <v>2513</v>
      </c>
      <c r="N28" s="386">
        <v>772608475809</v>
      </c>
      <c r="O28" s="342">
        <f t="shared" si="0"/>
        <v>4030</v>
      </c>
      <c r="P28" s="342"/>
      <c r="Q28" s="341" t="s">
        <v>2046</v>
      </c>
    </row>
    <row r="29" spans="1:17" ht="49.35" customHeight="1" x14ac:dyDescent="0.25">
      <c r="A29" s="350">
        <v>12</v>
      </c>
      <c r="B29" s="256" t="s">
        <v>2512</v>
      </c>
      <c r="C29" s="390" t="s">
        <v>2511</v>
      </c>
      <c r="D29" s="349" t="s">
        <v>2510</v>
      </c>
      <c r="E29" s="351" t="s">
        <v>15</v>
      </c>
      <c r="F29" s="347">
        <v>1913.4</v>
      </c>
      <c r="G29" s="346" t="s">
        <v>378</v>
      </c>
      <c r="H29" s="345">
        <v>7704844420</v>
      </c>
      <c r="I29" s="342">
        <v>1913.04</v>
      </c>
      <c r="J29" s="346" t="s">
        <v>2509</v>
      </c>
      <c r="K29" s="386">
        <v>7710284470</v>
      </c>
      <c r="L29" s="342">
        <v>1913.04</v>
      </c>
      <c r="M29" s="346" t="s">
        <v>2417</v>
      </c>
      <c r="N29" s="386">
        <v>9721058155</v>
      </c>
      <c r="O29" s="342">
        <f t="shared" si="0"/>
        <v>1913.04</v>
      </c>
      <c r="P29" s="342"/>
      <c r="Q29" s="341" t="s">
        <v>2046</v>
      </c>
    </row>
    <row r="30" spans="1:17" ht="49.35" customHeight="1" x14ac:dyDescent="0.25">
      <c r="A30" s="350">
        <v>13</v>
      </c>
      <c r="B30" s="388" t="s">
        <v>2178</v>
      </c>
      <c r="C30" s="387" t="s">
        <v>2508</v>
      </c>
      <c r="D30" s="349" t="s">
        <v>2507</v>
      </c>
      <c r="E30" s="351" t="s">
        <v>15</v>
      </c>
      <c r="F30" s="347">
        <v>100818.24000000001</v>
      </c>
      <c r="G30" s="346" t="s">
        <v>2500</v>
      </c>
      <c r="H30" s="345">
        <v>7731262780</v>
      </c>
      <c r="I30" s="342">
        <v>90736.8</v>
      </c>
      <c r="J30" s="346" t="s">
        <v>378</v>
      </c>
      <c r="K30" s="386">
        <v>7704844420</v>
      </c>
      <c r="L30" s="342">
        <v>90736</v>
      </c>
      <c r="M30" s="346" t="s">
        <v>347</v>
      </c>
      <c r="N30" s="386">
        <v>7722753969</v>
      </c>
      <c r="O30" s="342">
        <f t="shared" si="0"/>
        <v>90736</v>
      </c>
      <c r="P30" s="342"/>
      <c r="Q30" s="341" t="s">
        <v>2046</v>
      </c>
    </row>
    <row r="31" spans="1:17" ht="49.35" customHeight="1" x14ac:dyDescent="0.25">
      <c r="A31" s="350">
        <v>14</v>
      </c>
      <c r="B31" s="388" t="s">
        <v>2178</v>
      </c>
      <c r="C31" s="387" t="s">
        <v>2506</v>
      </c>
      <c r="D31" s="349" t="s">
        <v>2505</v>
      </c>
      <c r="E31" s="351" t="s">
        <v>15</v>
      </c>
      <c r="F31" s="347">
        <v>49058.96</v>
      </c>
      <c r="G31" s="346" t="s">
        <v>369</v>
      </c>
      <c r="H31" s="345">
        <v>7702680818</v>
      </c>
      <c r="I31" s="342">
        <v>49059</v>
      </c>
      <c r="J31" s="346" t="s">
        <v>378</v>
      </c>
      <c r="K31" s="386">
        <v>7704844420</v>
      </c>
      <c r="L31" s="342">
        <v>49059</v>
      </c>
      <c r="M31" s="346" t="s">
        <v>2481</v>
      </c>
      <c r="N31" s="386">
        <v>9715308907</v>
      </c>
      <c r="O31" s="342">
        <f t="shared" si="0"/>
        <v>49058.96</v>
      </c>
      <c r="P31" s="342"/>
      <c r="Q31" s="341" t="s">
        <v>2046</v>
      </c>
    </row>
    <row r="32" spans="1:17" ht="49.35" customHeight="1" x14ac:dyDescent="0.25">
      <c r="A32" s="350">
        <v>15</v>
      </c>
      <c r="B32" s="389" t="s">
        <v>849</v>
      </c>
      <c r="C32" s="387" t="s">
        <v>2504</v>
      </c>
      <c r="D32" s="349" t="s">
        <v>2503</v>
      </c>
      <c r="E32" s="351" t="s">
        <v>15</v>
      </c>
      <c r="F32" s="347">
        <v>6688</v>
      </c>
      <c r="G32" s="346" t="s">
        <v>2502</v>
      </c>
      <c r="H32" s="345">
        <v>7701043608</v>
      </c>
      <c r="I32" s="342">
        <v>6688</v>
      </c>
      <c r="J32" s="346" t="s">
        <v>2501</v>
      </c>
      <c r="K32" s="345">
        <v>9706006466</v>
      </c>
      <c r="L32" s="342">
        <v>6688</v>
      </c>
      <c r="M32" s="346" t="s">
        <v>2500</v>
      </c>
      <c r="N32" s="345">
        <v>7731262780</v>
      </c>
      <c r="O32" s="342">
        <f t="shared" si="0"/>
        <v>6688</v>
      </c>
      <c r="P32" s="342"/>
      <c r="Q32" s="341" t="s">
        <v>2046</v>
      </c>
    </row>
    <row r="33" spans="1:19" ht="49.35" customHeight="1" x14ac:dyDescent="0.25">
      <c r="A33" s="350">
        <v>16</v>
      </c>
      <c r="B33" s="389" t="s">
        <v>849</v>
      </c>
      <c r="C33" s="387" t="s">
        <v>2499</v>
      </c>
      <c r="D33" s="349" t="s">
        <v>2498</v>
      </c>
      <c r="E33" s="351" t="s">
        <v>15</v>
      </c>
      <c r="F33" s="347">
        <v>2537.69</v>
      </c>
      <c r="G33" s="346" t="s">
        <v>727</v>
      </c>
      <c r="H33" s="345">
        <v>6453073463</v>
      </c>
      <c r="I33" s="342">
        <v>2442</v>
      </c>
      <c r="J33" s="344" t="s">
        <v>2497</v>
      </c>
      <c r="K33" s="386">
        <v>505014608754</v>
      </c>
      <c r="L33" s="342">
        <v>2438</v>
      </c>
      <c r="M33" s="346" t="s">
        <v>347</v>
      </c>
      <c r="N33" s="386">
        <v>7722753969</v>
      </c>
      <c r="O33" s="342">
        <f t="shared" si="0"/>
        <v>2438</v>
      </c>
      <c r="P33" s="342"/>
      <c r="Q33" s="341" t="s">
        <v>2046</v>
      </c>
      <c r="R33" s="340"/>
      <c r="S33" s="340"/>
    </row>
    <row r="34" spans="1:19" ht="49.35" customHeight="1" x14ac:dyDescent="0.25">
      <c r="A34" s="350">
        <v>17</v>
      </c>
      <c r="B34" s="256" t="s">
        <v>2264</v>
      </c>
      <c r="C34" s="387" t="s">
        <v>2496</v>
      </c>
      <c r="D34" s="349" t="s">
        <v>2495</v>
      </c>
      <c r="E34" s="351" t="s">
        <v>15</v>
      </c>
      <c r="F34" s="347">
        <v>630.72</v>
      </c>
      <c r="G34" s="346" t="s">
        <v>2494</v>
      </c>
      <c r="H34" s="345">
        <v>7736263386</v>
      </c>
      <c r="I34" s="342">
        <v>634</v>
      </c>
      <c r="J34" s="346" t="s">
        <v>347</v>
      </c>
      <c r="K34" s="386">
        <v>7722753969</v>
      </c>
      <c r="L34" s="342">
        <v>564</v>
      </c>
      <c r="M34" s="346" t="s">
        <v>2493</v>
      </c>
      <c r="N34" s="386">
        <v>7721285490</v>
      </c>
      <c r="O34" s="342">
        <f t="shared" si="0"/>
        <v>564</v>
      </c>
      <c r="P34" s="342"/>
      <c r="Q34" s="341" t="s">
        <v>2046</v>
      </c>
    </row>
    <row r="35" spans="1:19" ht="49.35" customHeight="1" x14ac:dyDescent="0.25">
      <c r="A35" s="350">
        <v>18</v>
      </c>
      <c r="B35" s="388" t="s">
        <v>2487</v>
      </c>
      <c r="C35" s="387" t="s">
        <v>2492</v>
      </c>
      <c r="D35" s="349" t="s">
        <v>2491</v>
      </c>
      <c r="E35" s="351" t="s">
        <v>15</v>
      </c>
      <c r="F35" s="347">
        <v>8990</v>
      </c>
      <c r="G35" s="346" t="s">
        <v>2490</v>
      </c>
      <c r="H35" s="345">
        <v>7702777224</v>
      </c>
      <c r="I35" s="342">
        <v>8029</v>
      </c>
      <c r="J35" s="346" t="s">
        <v>2489</v>
      </c>
      <c r="K35" s="386">
        <v>7816575327</v>
      </c>
      <c r="L35" s="342">
        <v>9810</v>
      </c>
      <c r="M35" s="346" t="s">
        <v>2488</v>
      </c>
      <c r="N35" s="386">
        <v>7724365425</v>
      </c>
      <c r="O35" s="342">
        <f t="shared" si="0"/>
        <v>8029</v>
      </c>
      <c r="P35" s="342"/>
      <c r="Q35" s="341" t="s">
        <v>2046</v>
      </c>
    </row>
    <row r="36" spans="1:19" ht="49.35" customHeight="1" x14ac:dyDescent="0.25">
      <c r="A36" s="350">
        <v>19</v>
      </c>
      <c r="B36" s="388" t="s">
        <v>2487</v>
      </c>
      <c r="C36" s="387" t="s">
        <v>2486</v>
      </c>
      <c r="D36" s="349" t="s">
        <v>2485</v>
      </c>
      <c r="E36" s="351" t="s">
        <v>15</v>
      </c>
      <c r="F36" s="347">
        <v>1675.52</v>
      </c>
      <c r="G36" s="346" t="s">
        <v>2484</v>
      </c>
      <c r="H36" s="345">
        <v>7724416493</v>
      </c>
      <c r="I36" s="342">
        <v>1870</v>
      </c>
      <c r="J36" s="346" t="s">
        <v>350</v>
      </c>
      <c r="K36" s="386">
        <v>7729108750</v>
      </c>
      <c r="L36" s="342">
        <v>1644</v>
      </c>
      <c r="M36" s="346" t="s">
        <v>347</v>
      </c>
      <c r="N36" s="386">
        <v>7722753969</v>
      </c>
      <c r="O36" s="342">
        <f t="shared" si="0"/>
        <v>1644</v>
      </c>
      <c r="P36" s="342"/>
      <c r="Q36" s="341" t="s">
        <v>2046</v>
      </c>
    </row>
    <row r="37" spans="1:19" ht="49.35" customHeight="1" x14ac:dyDescent="0.25">
      <c r="A37" s="350">
        <v>20</v>
      </c>
      <c r="B37" s="256" t="s">
        <v>2264</v>
      </c>
      <c r="C37" s="387" t="s">
        <v>2483</v>
      </c>
      <c r="D37" s="349" t="s">
        <v>2482</v>
      </c>
      <c r="E37" s="351" t="s">
        <v>15</v>
      </c>
      <c r="F37" s="347">
        <v>5246</v>
      </c>
      <c r="G37" s="346" t="s">
        <v>2284</v>
      </c>
      <c r="H37" s="345">
        <v>5018131860</v>
      </c>
      <c r="I37" s="342">
        <v>5797.1</v>
      </c>
      <c r="J37" s="346" t="s">
        <v>369</v>
      </c>
      <c r="K37" s="345">
        <v>7702680818</v>
      </c>
      <c r="L37" s="342">
        <v>4435</v>
      </c>
      <c r="M37" s="346" t="s">
        <v>2481</v>
      </c>
      <c r="N37" s="386">
        <v>9715308907</v>
      </c>
      <c r="O37" s="342">
        <f t="shared" si="0"/>
        <v>4435</v>
      </c>
      <c r="P37" s="342"/>
      <c r="Q37" s="341" t="s">
        <v>2046</v>
      </c>
    </row>
    <row r="38" spans="1:19" ht="49.35" customHeight="1" x14ac:dyDescent="0.25">
      <c r="A38" s="350">
        <v>21</v>
      </c>
      <c r="B38" s="388" t="s">
        <v>2475</v>
      </c>
      <c r="C38" s="387" t="s">
        <v>2480</v>
      </c>
      <c r="D38" s="349" t="s">
        <v>2479</v>
      </c>
      <c r="E38" s="351" t="s">
        <v>15</v>
      </c>
      <c r="F38" s="347">
        <v>2471.88</v>
      </c>
      <c r="G38" s="346" t="s">
        <v>450</v>
      </c>
      <c r="H38" s="345">
        <v>6659197470</v>
      </c>
      <c r="I38" s="342">
        <v>2528.0500000000002</v>
      </c>
      <c r="J38" s="346" t="s">
        <v>534</v>
      </c>
      <c r="K38" s="345">
        <v>7734440520</v>
      </c>
      <c r="L38" s="342">
        <v>2471.86</v>
      </c>
      <c r="M38" s="346" t="s">
        <v>369</v>
      </c>
      <c r="N38" s="386">
        <v>7702680818</v>
      </c>
      <c r="O38" s="342">
        <f t="shared" si="0"/>
        <v>2471.86</v>
      </c>
      <c r="P38" s="342"/>
      <c r="Q38" s="341" t="s">
        <v>2046</v>
      </c>
    </row>
    <row r="39" spans="1:19" ht="49.35" customHeight="1" x14ac:dyDescent="0.25">
      <c r="A39" s="350">
        <v>22</v>
      </c>
      <c r="B39" s="388" t="s">
        <v>2475</v>
      </c>
      <c r="C39" s="387" t="s">
        <v>2478</v>
      </c>
      <c r="D39" s="349" t="s">
        <v>2477</v>
      </c>
      <c r="E39" s="351" t="s">
        <v>15</v>
      </c>
      <c r="F39" s="347">
        <v>634.98</v>
      </c>
      <c r="G39" s="346" t="s">
        <v>2476</v>
      </c>
      <c r="H39" s="345">
        <v>7703467391</v>
      </c>
      <c r="I39" s="342">
        <v>599</v>
      </c>
      <c r="J39" s="344" t="s">
        <v>501</v>
      </c>
      <c r="K39" s="386">
        <v>771506394281</v>
      </c>
      <c r="L39" s="342">
        <v>881.71</v>
      </c>
      <c r="M39" s="346" t="s">
        <v>2438</v>
      </c>
      <c r="N39" s="386">
        <v>7842224734</v>
      </c>
      <c r="O39" s="342">
        <f t="shared" si="0"/>
        <v>599</v>
      </c>
      <c r="P39" s="342"/>
      <c r="Q39" s="341" t="s">
        <v>2046</v>
      </c>
    </row>
    <row r="40" spans="1:19" ht="49.35" customHeight="1" x14ac:dyDescent="0.25">
      <c r="A40" s="350">
        <v>23</v>
      </c>
      <c r="B40" s="388" t="s">
        <v>2475</v>
      </c>
      <c r="C40" s="387" t="s">
        <v>2474</v>
      </c>
      <c r="D40" s="349" t="s">
        <v>2473</v>
      </c>
      <c r="E40" s="351" t="s">
        <v>15</v>
      </c>
      <c r="F40" s="347">
        <v>2471.88</v>
      </c>
      <c r="G40" s="346" t="s">
        <v>450</v>
      </c>
      <c r="H40" s="345">
        <v>6659197470</v>
      </c>
      <c r="I40" s="342">
        <v>2528.0500000000002</v>
      </c>
      <c r="J40" s="346" t="s">
        <v>534</v>
      </c>
      <c r="K40" s="345">
        <v>7734440520</v>
      </c>
      <c r="L40" s="342">
        <v>2471.88</v>
      </c>
      <c r="M40" s="346" t="s">
        <v>2438</v>
      </c>
      <c r="N40" s="386">
        <v>7842224734</v>
      </c>
      <c r="O40" s="342">
        <f t="shared" si="0"/>
        <v>2471.88</v>
      </c>
      <c r="P40" s="342"/>
      <c r="Q40" s="341" t="s">
        <v>2046</v>
      </c>
    </row>
    <row r="41" spans="1:19" ht="49.35" customHeight="1" x14ac:dyDescent="0.25">
      <c r="A41" s="350">
        <v>24</v>
      </c>
      <c r="B41" s="388" t="s">
        <v>849</v>
      </c>
      <c r="C41" s="387" t="s">
        <v>2472</v>
      </c>
      <c r="D41" s="349" t="s">
        <v>2471</v>
      </c>
      <c r="E41" s="351" t="s">
        <v>15</v>
      </c>
      <c r="F41" s="347">
        <v>562.41999999999996</v>
      </c>
      <c r="G41" s="344" t="s">
        <v>2470</v>
      </c>
      <c r="H41" s="386">
        <v>561404718520</v>
      </c>
      <c r="I41" s="342">
        <v>520</v>
      </c>
      <c r="J41" s="346" t="s">
        <v>2469</v>
      </c>
      <c r="K41" s="345">
        <v>7703713417</v>
      </c>
      <c r="L41" s="342">
        <v>470</v>
      </c>
      <c r="M41" s="346" t="s">
        <v>350</v>
      </c>
      <c r="N41" s="345">
        <v>7729108750</v>
      </c>
      <c r="O41" s="342">
        <f t="shared" si="0"/>
        <v>470</v>
      </c>
      <c r="P41" s="342"/>
      <c r="Q41" s="341" t="s">
        <v>2046</v>
      </c>
    </row>
    <row r="42" spans="1:19" ht="49.35" customHeight="1" x14ac:dyDescent="0.25">
      <c r="A42" s="350">
        <v>25</v>
      </c>
      <c r="B42" s="388" t="s">
        <v>2468</v>
      </c>
      <c r="C42" s="387" t="s">
        <v>2467</v>
      </c>
      <c r="D42" s="349" t="s">
        <v>2466</v>
      </c>
      <c r="E42" s="351" t="s">
        <v>15</v>
      </c>
      <c r="F42" s="347">
        <v>224000</v>
      </c>
      <c r="G42" s="344" t="s">
        <v>2465</v>
      </c>
      <c r="H42" s="386">
        <v>5047208540</v>
      </c>
      <c r="I42" s="342">
        <v>183996</v>
      </c>
      <c r="J42" s="346" t="s">
        <v>2146</v>
      </c>
      <c r="K42" s="345">
        <v>7719840097</v>
      </c>
      <c r="L42" s="342">
        <v>207234</v>
      </c>
      <c r="M42" s="346" t="s">
        <v>2464</v>
      </c>
      <c r="N42" s="345">
        <v>7704357909</v>
      </c>
      <c r="O42" s="342">
        <f t="shared" si="0"/>
        <v>183996</v>
      </c>
      <c r="P42" s="342"/>
      <c r="Q42" s="341" t="s">
        <v>2046</v>
      </c>
    </row>
    <row r="43" spans="1:19" ht="49.35" customHeight="1" x14ac:dyDescent="0.25">
      <c r="A43" s="350">
        <v>26</v>
      </c>
      <c r="B43" s="388" t="s">
        <v>2458</v>
      </c>
      <c r="C43" s="387" t="s">
        <v>2463</v>
      </c>
      <c r="D43" s="349" t="s">
        <v>2462</v>
      </c>
      <c r="E43" s="351" t="s">
        <v>15</v>
      </c>
      <c r="F43" s="347">
        <v>76050</v>
      </c>
      <c r="G43" s="344" t="s">
        <v>2461</v>
      </c>
      <c r="H43" s="386">
        <v>7202078651</v>
      </c>
      <c r="I43" s="342">
        <v>76050</v>
      </c>
      <c r="J43" s="346" t="s">
        <v>2460</v>
      </c>
      <c r="K43" s="345">
        <v>7719558453</v>
      </c>
      <c r="L43" s="342">
        <v>72990</v>
      </c>
      <c r="M43" s="346" t="s">
        <v>2459</v>
      </c>
      <c r="N43" s="345">
        <v>7724929417</v>
      </c>
      <c r="O43" s="342">
        <f t="shared" si="0"/>
        <v>72990</v>
      </c>
      <c r="P43" s="342"/>
      <c r="Q43" s="341" t="s">
        <v>2046</v>
      </c>
    </row>
    <row r="44" spans="1:19" ht="49.35" customHeight="1" x14ac:dyDescent="0.25">
      <c r="A44" s="350">
        <v>27</v>
      </c>
      <c r="B44" s="388" t="s">
        <v>2458</v>
      </c>
      <c r="C44" s="387" t="s">
        <v>2457</v>
      </c>
      <c r="D44" s="349" t="s">
        <v>2456</v>
      </c>
      <c r="E44" s="351" t="s">
        <v>15</v>
      </c>
      <c r="F44" s="347">
        <v>15875</v>
      </c>
      <c r="G44" s="344" t="s">
        <v>2455</v>
      </c>
      <c r="H44" s="386">
        <v>7709864010</v>
      </c>
      <c r="I44" s="342">
        <v>16200</v>
      </c>
      <c r="J44" s="346" t="s">
        <v>2454</v>
      </c>
      <c r="K44" s="345">
        <v>7714479293</v>
      </c>
      <c r="L44" s="342">
        <v>15525</v>
      </c>
      <c r="M44" s="346" t="s">
        <v>2453</v>
      </c>
      <c r="N44" s="345">
        <v>7714966730</v>
      </c>
      <c r="O44" s="342">
        <f t="shared" si="0"/>
        <v>15525</v>
      </c>
      <c r="P44" s="342"/>
      <c r="Q44" s="341" t="s">
        <v>2046</v>
      </c>
    </row>
    <row r="45" spans="1:19" ht="49.35" customHeight="1" x14ac:dyDescent="0.25">
      <c r="A45" s="350">
        <v>28</v>
      </c>
      <c r="B45" s="388" t="s">
        <v>2139</v>
      </c>
      <c r="C45" s="387" t="s">
        <v>2452</v>
      </c>
      <c r="D45" s="349" t="s">
        <v>2451</v>
      </c>
      <c r="E45" s="351" t="s">
        <v>818</v>
      </c>
      <c r="F45" s="347">
        <v>81340</v>
      </c>
      <c r="G45" s="344" t="s">
        <v>2450</v>
      </c>
      <c r="H45" s="345">
        <v>5040070405</v>
      </c>
      <c r="I45" s="342">
        <v>85410</v>
      </c>
      <c r="J45" s="344" t="s">
        <v>2449</v>
      </c>
      <c r="K45" s="345">
        <v>3443109644</v>
      </c>
      <c r="L45" s="342">
        <v>85410</v>
      </c>
      <c r="M45" s="344" t="s">
        <v>2448</v>
      </c>
      <c r="N45" s="345">
        <v>3442071557</v>
      </c>
      <c r="O45" s="342">
        <f t="shared" si="0"/>
        <v>81340</v>
      </c>
      <c r="P45" s="342">
        <v>80136</v>
      </c>
      <c r="Q45" s="341" t="s">
        <v>2046</v>
      </c>
    </row>
    <row r="46" spans="1:19" ht="49.35" customHeight="1" x14ac:dyDescent="0.25">
      <c r="A46" s="350">
        <v>29</v>
      </c>
      <c r="B46" s="388" t="s">
        <v>2442</v>
      </c>
      <c r="C46" s="387" t="s">
        <v>2447</v>
      </c>
      <c r="D46" s="349" t="s">
        <v>2446</v>
      </c>
      <c r="E46" s="351" t="s">
        <v>818</v>
      </c>
      <c r="F46" s="347">
        <v>60000</v>
      </c>
      <c r="G46" s="344" t="s">
        <v>2445</v>
      </c>
      <c r="H46" s="345">
        <v>7724743324</v>
      </c>
      <c r="I46" s="342">
        <v>57200</v>
      </c>
      <c r="J46" s="344" t="s">
        <v>2444</v>
      </c>
      <c r="K46" s="345">
        <v>5027330076</v>
      </c>
      <c r="L46" s="342">
        <v>50820</v>
      </c>
      <c r="M46" s="344" t="s">
        <v>2443</v>
      </c>
      <c r="N46" s="345">
        <v>6659002145</v>
      </c>
      <c r="O46" s="342">
        <f t="shared" si="0"/>
        <v>50820</v>
      </c>
      <c r="P46" s="342"/>
      <c r="Q46" s="341" t="s">
        <v>2046</v>
      </c>
    </row>
    <row r="47" spans="1:19" ht="49.35" customHeight="1" x14ac:dyDescent="0.25">
      <c r="A47" s="350">
        <v>30</v>
      </c>
      <c r="B47" s="388" t="s">
        <v>2442</v>
      </c>
      <c r="C47" s="387" t="s">
        <v>2441</v>
      </c>
      <c r="D47" s="349" t="s">
        <v>2440</v>
      </c>
      <c r="E47" s="351" t="s">
        <v>818</v>
      </c>
      <c r="F47" s="347">
        <v>77430</v>
      </c>
      <c r="G47" s="344" t="s">
        <v>2439</v>
      </c>
      <c r="H47" s="345">
        <v>9729260282</v>
      </c>
      <c r="I47" s="342">
        <v>86000</v>
      </c>
      <c r="J47" s="344" t="s">
        <v>2134</v>
      </c>
      <c r="K47" s="345">
        <v>9701078957</v>
      </c>
      <c r="L47" s="342">
        <v>81510</v>
      </c>
      <c r="M47" s="344" t="s">
        <v>2438</v>
      </c>
      <c r="N47" s="345">
        <v>7842224734</v>
      </c>
      <c r="O47" s="342">
        <f t="shared" si="0"/>
        <v>77430</v>
      </c>
      <c r="P47" s="342"/>
      <c r="Q47" s="341" t="s">
        <v>2046</v>
      </c>
      <c r="R47" s="340"/>
      <c r="S47" s="340"/>
    </row>
    <row r="48" spans="1:19" ht="49.35" customHeight="1" x14ac:dyDescent="0.25">
      <c r="A48" s="350">
        <v>31</v>
      </c>
      <c r="B48" s="388" t="s">
        <v>2432</v>
      </c>
      <c r="C48" s="387" t="s">
        <v>2437</v>
      </c>
      <c r="D48" s="349" t="s">
        <v>2436</v>
      </c>
      <c r="E48" s="351" t="s">
        <v>15</v>
      </c>
      <c r="F48" s="347">
        <v>954.06</v>
      </c>
      <c r="G48" s="344" t="s">
        <v>2435</v>
      </c>
      <c r="H48" s="345">
        <v>7725262856</v>
      </c>
      <c r="I48" s="342">
        <v>954</v>
      </c>
      <c r="J48" s="344" t="s">
        <v>2434</v>
      </c>
      <c r="K48" s="345">
        <v>7727572010</v>
      </c>
      <c r="L48" s="342">
        <v>954</v>
      </c>
      <c r="M48" s="344" t="s">
        <v>2433</v>
      </c>
      <c r="N48" s="345">
        <v>7805324152</v>
      </c>
      <c r="O48" s="342">
        <f t="shared" si="0"/>
        <v>954</v>
      </c>
      <c r="P48" s="342"/>
      <c r="Q48" s="341" t="s">
        <v>2046</v>
      </c>
      <c r="R48" s="340"/>
      <c r="S48" s="340"/>
    </row>
    <row r="49" spans="1:19" ht="49.35" customHeight="1" x14ac:dyDescent="0.25">
      <c r="A49" s="350">
        <v>32</v>
      </c>
      <c r="B49" s="388" t="s">
        <v>2432</v>
      </c>
      <c r="C49" s="387" t="s">
        <v>2431</v>
      </c>
      <c r="D49" s="349" t="s">
        <v>2430</v>
      </c>
      <c r="E49" s="351" t="s">
        <v>15</v>
      </c>
      <c r="F49" s="347">
        <v>75</v>
      </c>
      <c r="G49" s="344" t="s">
        <v>2429</v>
      </c>
      <c r="H49" s="386">
        <v>352801934630</v>
      </c>
      <c r="I49" s="342">
        <v>60</v>
      </c>
      <c r="J49" s="344" t="s">
        <v>2428</v>
      </c>
      <c r="K49" s="345">
        <v>7814334774</v>
      </c>
      <c r="L49" s="342">
        <v>51</v>
      </c>
      <c r="M49" s="346" t="s">
        <v>350</v>
      </c>
      <c r="N49" s="345">
        <v>7729108750</v>
      </c>
      <c r="O49" s="342">
        <f t="shared" si="0"/>
        <v>51</v>
      </c>
      <c r="P49" s="342"/>
      <c r="Q49" s="341" t="s">
        <v>2046</v>
      </c>
      <c r="R49" s="340"/>
      <c r="S49" s="340"/>
    </row>
    <row r="51" spans="1:19" x14ac:dyDescent="0.3">
      <c r="A51" s="335"/>
      <c r="B51" s="335"/>
      <c r="C51" s="335"/>
      <c r="D51" s="335"/>
      <c r="E51" s="335"/>
      <c r="F51" s="335"/>
      <c r="G51" s="335"/>
      <c r="H51" s="335"/>
      <c r="I51" s="335"/>
      <c r="J51" s="335"/>
      <c r="K51" s="335"/>
      <c r="L51" s="335"/>
      <c r="M51" s="335"/>
      <c r="N51" s="335"/>
      <c r="O51" s="335"/>
      <c r="P51" s="335"/>
      <c r="Q51" s="335"/>
    </row>
    <row r="52" spans="1:19" x14ac:dyDescent="0.3">
      <c r="A52" s="335"/>
      <c r="B52" s="567" t="s">
        <v>16</v>
      </c>
      <c r="C52" s="567"/>
      <c r="D52" s="567"/>
      <c r="E52" s="335"/>
      <c r="F52" s="335"/>
      <c r="G52" s="335"/>
      <c r="H52" s="335"/>
      <c r="I52" s="335"/>
      <c r="J52" s="335"/>
      <c r="K52" s="335"/>
      <c r="L52" s="335"/>
      <c r="M52" s="335"/>
      <c r="N52" s="568" t="s">
        <v>25</v>
      </c>
      <c r="O52" s="568"/>
      <c r="P52" s="335"/>
      <c r="Q52" s="335"/>
    </row>
    <row r="53" spans="1:19" x14ac:dyDescent="0.3">
      <c r="A53" s="335"/>
      <c r="B53" s="336"/>
      <c r="C53" s="336"/>
      <c r="D53" s="336"/>
      <c r="E53" s="335"/>
      <c r="F53" s="335"/>
      <c r="G53" s="335"/>
      <c r="H53" s="335"/>
      <c r="I53" s="335"/>
      <c r="J53" s="335"/>
      <c r="K53" s="335"/>
      <c r="L53" s="335"/>
      <c r="M53" s="335"/>
      <c r="N53" s="336"/>
      <c r="O53" s="336"/>
      <c r="P53" s="335"/>
      <c r="Q53" s="335"/>
    </row>
    <row r="54" spans="1:19" x14ac:dyDescent="0.3">
      <c r="A54" s="335"/>
      <c r="B54" s="336"/>
      <c r="C54" s="336"/>
      <c r="D54" s="336"/>
      <c r="E54" s="335"/>
      <c r="F54" s="335"/>
      <c r="G54" s="335"/>
      <c r="H54" s="335"/>
      <c r="I54" s="335"/>
      <c r="J54" s="335"/>
      <c r="K54" s="335"/>
      <c r="L54" s="335"/>
      <c r="M54" s="335"/>
      <c r="N54" s="336"/>
      <c r="O54" s="336"/>
      <c r="P54" s="335"/>
      <c r="Q54" s="335"/>
    </row>
    <row r="55" spans="1:19" x14ac:dyDescent="0.3">
      <c r="A55" s="335"/>
      <c r="B55" s="336"/>
      <c r="C55" s="336"/>
      <c r="D55" s="336"/>
      <c r="E55" s="335"/>
      <c r="F55" s="335"/>
      <c r="G55" s="335"/>
      <c r="H55" s="335"/>
      <c r="I55" s="335"/>
      <c r="J55" s="335"/>
      <c r="K55" s="335"/>
      <c r="L55" s="335"/>
      <c r="M55" s="335"/>
      <c r="N55" s="336"/>
      <c r="O55" s="336"/>
      <c r="P55" s="335"/>
      <c r="Q55" s="335"/>
    </row>
    <row r="56" spans="1:19" x14ac:dyDescent="0.3">
      <c r="A56" s="335"/>
      <c r="B56" s="336"/>
      <c r="C56" s="336"/>
      <c r="D56" s="336"/>
      <c r="E56" s="335"/>
      <c r="F56" s="335"/>
      <c r="G56" s="335"/>
      <c r="H56" s="335"/>
      <c r="I56" s="335"/>
      <c r="J56" s="335"/>
      <c r="K56" s="335"/>
      <c r="L56" s="335"/>
      <c r="M56" s="335"/>
      <c r="N56" s="336"/>
      <c r="O56" s="336"/>
      <c r="P56" s="335"/>
      <c r="Q56" s="335"/>
    </row>
    <row r="57" spans="1:19" ht="37.5" customHeight="1" x14ac:dyDescent="0.3">
      <c r="A57" s="335"/>
      <c r="B57" s="336"/>
      <c r="C57" s="243" t="s">
        <v>23</v>
      </c>
      <c r="D57" s="243"/>
      <c r="E57" s="243"/>
      <c r="F57" s="335"/>
      <c r="G57" s="337"/>
      <c r="H57" s="335"/>
      <c r="I57" s="335"/>
      <c r="J57" s="335"/>
      <c r="K57" s="335"/>
      <c r="L57" s="571" t="s">
        <v>1009</v>
      </c>
      <c r="M57" s="571"/>
      <c r="N57" s="571"/>
      <c r="O57" s="336"/>
      <c r="P57" s="335"/>
      <c r="Q57" s="335"/>
    </row>
    <row r="58" spans="1:19" x14ac:dyDescent="0.3">
      <c r="A58" s="335"/>
      <c r="B58" s="339"/>
      <c r="C58" s="243"/>
      <c r="D58" s="336"/>
      <c r="E58" s="335"/>
      <c r="F58" s="335"/>
      <c r="G58" s="335"/>
      <c r="H58" s="335"/>
      <c r="I58" s="335"/>
      <c r="J58" s="335"/>
      <c r="K58" s="335"/>
      <c r="L58" s="243"/>
      <c r="M58" s="243"/>
      <c r="N58" s="242"/>
      <c r="O58" s="336"/>
      <c r="P58" s="335"/>
      <c r="Q58" s="335"/>
    </row>
    <row r="59" spans="1:19" ht="18" customHeight="1" x14ac:dyDescent="0.3">
      <c r="A59" s="335"/>
      <c r="B59" s="338"/>
      <c r="C59" s="243"/>
      <c r="D59" s="243"/>
      <c r="E59" s="243"/>
      <c r="F59" s="337"/>
      <c r="G59" s="337" t="s">
        <v>1007</v>
      </c>
      <c r="H59" s="337"/>
      <c r="I59" s="243"/>
      <c r="J59" s="243"/>
      <c r="K59" s="243"/>
      <c r="L59" s="522" t="s">
        <v>21</v>
      </c>
      <c r="M59" s="522"/>
      <c r="N59" s="522"/>
      <c r="O59" s="336"/>
      <c r="P59" s="23" t="s">
        <v>22</v>
      </c>
      <c r="Q59" s="335"/>
    </row>
    <row r="60" spans="1:19" x14ac:dyDescent="0.3">
      <c r="A60" s="335"/>
      <c r="B60" s="336"/>
      <c r="C60" s="336"/>
      <c r="D60" s="336"/>
      <c r="E60" s="335"/>
      <c r="F60" s="335"/>
      <c r="G60" s="335"/>
      <c r="H60" s="335"/>
      <c r="I60" s="335"/>
      <c r="J60" s="335"/>
      <c r="K60" s="335"/>
      <c r="L60" s="335"/>
      <c r="M60" s="335"/>
      <c r="N60" s="336"/>
      <c r="O60" s="336"/>
      <c r="P60" s="335"/>
      <c r="Q60" s="335"/>
    </row>
    <row r="61" spans="1:19" x14ac:dyDescent="0.3">
      <c r="A61" s="335"/>
      <c r="B61" s="336"/>
      <c r="C61" s="336"/>
      <c r="D61" s="336"/>
      <c r="E61" s="335"/>
      <c r="F61" s="335"/>
      <c r="G61" s="335"/>
      <c r="H61" s="335"/>
      <c r="I61" s="335"/>
      <c r="J61" s="335"/>
      <c r="K61" s="335"/>
      <c r="L61" s="335"/>
      <c r="M61" s="335"/>
      <c r="N61" s="336"/>
      <c r="O61" s="336"/>
      <c r="P61" s="335"/>
      <c r="Q61" s="335"/>
    </row>
    <row r="62" spans="1:19" x14ac:dyDescent="0.3">
      <c r="A62" s="335"/>
      <c r="B62" s="576" t="s">
        <v>19</v>
      </c>
      <c r="C62" s="576"/>
      <c r="D62" s="576"/>
      <c r="E62" s="335"/>
      <c r="F62" s="335"/>
      <c r="G62" s="335"/>
      <c r="H62" s="335"/>
      <c r="I62" s="335"/>
      <c r="J62" s="335"/>
      <c r="K62" s="335"/>
      <c r="L62" s="335"/>
      <c r="M62" s="335"/>
      <c r="N62" s="576" t="s">
        <v>19</v>
      </c>
      <c r="O62" s="576"/>
      <c r="P62" s="576"/>
      <c r="Q62" s="335"/>
    </row>
    <row r="63" spans="1:19" x14ac:dyDescent="0.3">
      <c r="A63" s="335"/>
      <c r="B63" s="576" t="s">
        <v>19</v>
      </c>
      <c r="C63" s="576"/>
      <c r="D63" s="576"/>
      <c r="E63" s="335"/>
      <c r="F63" s="335"/>
      <c r="G63" s="335"/>
      <c r="H63" s="335"/>
      <c r="I63" s="335"/>
      <c r="J63" s="335"/>
      <c r="K63" s="335"/>
      <c r="L63" s="335"/>
      <c r="M63" s="335"/>
      <c r="N63" s="576" t="s">
        <v>19</v>
      </c>
      <c r="O63" s="576"/>
      <c r="P63" s="576"/>
      <c r="Q63" s="335"/>
    </row>
    <row r="64" spans="1:19" x14ac:dyDescent="0.3">
      <c r="A64" s="335"/>
      <c r="B64" s="335"/>
      <c r="C64" s="335"/>
      <c r="D64" s="335"/>
      <c r="E64" s="335"/>
      <c r="F64" s="335"/>
      <c r="G64" s="335"/>
      <c r="H64" s="335"/>
      <c r="I64" s="335"/>
      <c r="J64" s="335"/>
      <c r="K64" s="335"/>
      <c r="L64" s="335"/>
      <c r="M64" s="335"/>
      <c r="N64" s="335"/>
      <c r="O64" s="335"/>
      <c r="P64" s="335"/>
      <c r="Q64" s="335"/>
    </row>
    <row r="65" spans="1:17" x14ac:dyDescent="0.3">
      <c r="A65" s="335"/>
      <c r="B65" s="335"/>
      <c r="C65" s="335"/>
      <c r="D65" s="335"/>
      <c r="E65" s="335"/>
      <c r="F65" s="335"/>
      <c r="G65" s="335"/>
      <c r="H65" s="335"/>
      <c r="I65" s="335"/>
      <c r="J65" s="335"/>
      <c r="K65" s="335"/>
      <c r="L65" s="335"/>
      <c r="M65" s="335"/>
      <c r="N65" s="335"/>
      <c r="O65" s="335"/>
      <c r="P65" s="335"/>
      <c r="Q65" s="335"/>
    </row>
    <row r="66" spans="1:17" x14ac:dyDescent="0.3">
      <c r="A66" s="335"/>
      <c r="B66" s="575" t="s">
        <v>17</v>
      </c>
      <c r="C66" s="575"/>
      <c r="D66" s="575"/>
      <c r="E66" s="575"/>
      <c r="F66" s="575"/>
      <c r="G66" s="575"/>
      <c r="H66" s="575"/>
      <c r="I66" s="575"/>
      <c r="J66" s="575"/>
      <c r="K66" s="575"/>
      <c r="L66" s="335"/>
      <c r="M66" s="335"/>
      <c r="N66" s="335"/>
      <c r="O66" s="335"/>
      <c r="P66" s="335"/>
      <c r="Q66" s="335"/>
    </row>
    <row r="67" spans="1:17" x14ac:dyDescent="0.3">
      <c r="A67" s="335"/>
      <c r="B67" s="575" t="s">
        <v>18</v>
      </c>
      <c r="C67" s="575"/>
      <c r="D67" s="575"/>
      <c r="E67" s="575"/>
      <c r="F67" s="575"/>
      <c r="G67" s="575"/>
      <c r="H67" s="575"/>
      <c r="I67" s="575"/>
      <c r="J67" s="575"/>
      <c r="K67" s="575"/>
      <c r="L67" s="335"/>
      <c r="M67" s="335"/>
      <c r="N67" s="335"/>
      <c r="O67" s="335"/>
      <c r="P67" s="335"/>
      <c r="Q67" s="335"/>
    </row>
    <row r="68" spans="1:17" x14ac:dyDescent="0.3">
      <c r="A68" s="335"/>
      <c r="B68" s="335"/>
      <c r="C68" s="335"/>
      <c r="D68" s="335"/>
      <c r="E68" s="335"/>
      <c r="F68" s="335"/>
      <c r="G68" s="335"/>
      <c r="H68" s="335"/>
      <c r="I68" s="335"/>
      <c r="J68" s="335"/>
      <c r="K68" s="335"/>
      <c r="L68" s="335"/>
      <c r="M68" s="335"/>
      <c r="N68" s="335"/>
      <c r="O68" s="335"/>
      <c r="P68" s="335"/>
      <c r="Q68" s="335"/>
    </row>
  </sheetData>
  <mergeCells count="29">
    <mergeCell ref="B66:K66"/>
    <mergeCell ref="B67:K67"/>
    <mergeCell ref="B52:D52"/>
    <mergeCell ref="N52:O52"/>
    <mergeCell ref="B62:D62"/>
    <mergeCell ref="N62:P62"/>
    <mergeCell ref="B63:D63"/>
    <mergeCell ref="N63:P63"/>
    <mergeCell ref="L57:N57"/>
    <mergeCell ref="L59:N59"/>
    <mergeCell ref="Q14:Q15"/>
    <mergeCell ref="C1:N1"/>
    <mergeCell ref="F2:H2"/>
    <mergeCell ref="O3:P3"/>
    <mergeCell ref="O9:P9"/>
    <mergeCell ref="N10:Q10"/>
    <mergeCell ref="F14:H14"/>
    <mergeCell ref="I14:K14"/>
    <mergeCell ref="L14:N14"/>
    <mergeCell ref="O14:O15"/>
    <mergeCell ref="P14:P15"/>
    <mergeCell ref="N6:O6"/>
    <mergeCell ref="F6:H6"/>
    <mergeCell ref="C12:K12"/>
    <mergeCell ref="A14:A15"/>
    <mergeCell ref="B14:B15"/>
    <mergeCell ref="C14:C15"/>
    <mergeCell ref="D14:D15"/>
    <mergeCell ref="E14:E15"/>
  </mergeCells>
  <hyperlinks>
    <hyperlink ref="G42" r:id="rId1" location="OOO" tooltip="реквизиты" display="https://kp-inform.ru/contacts/ - OOO" xr:uid="{00000000-0004-0000-0A00-000000000000}"/>
  </hyperlinks>
  <pageMargins left="0.70866141732283472" right="0.70866141732283472" top="0.74803149606299213" bottom="0.74803149606299213" header="0.31496062992125984" footer="0.31496062992125984"/>
  <pageSetup paperSize="9" scale="26"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25"/>
  <sheetViews>
    <sheetView view="pageBreakPreview" zoomScale="70" zoomScaleNormal="55" zoomScaleSheetLayoutView="70" zoomScalePageLayoutView="70" workbookViewId="0">
      <selection activeCell="V11" sqref="V11"/>
    </sheetView>
  </sheetViews>
  <sheetFormatPr defaultColWidth="8.7109375" defaultRowHeight="15.75" x14ac:dyDescent="0.25"/>
  <cols>
    <col min="1" max="1" width="8.140625" style="1" customWidth="1"/>
    <col min="2" max="2" width="20.140625" style="1" customWidth="1"/>
    <col min="3" max="3" width="48.28515625" style="15" customWidth="1"/>
    <col min="4" max="4" width="24.140625" style="15" customWidth="1"/>
    <col min="5" max="5" width="9.5703125" style="16" customWidth="1"/>
    <col min="6" max="6" width="20.28515625" style="88" customWidth="1"/>
    <col min="7" max="7" width="23.7109375" style="88" customWidth="1"/>
    <col min="8" max="8" width="20.1406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ht="15.75" customHeight="1" x14ac:dyDescent="0.25">
      <c r="A6" s="525" t="s">
        <v>1</v>
      </c>
      <c r="B6" s="525" t="s">
        <v>2</v>
      </c>
      <c r="C6" s="584"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2.25" customHeight="1" x14ac:dyDescent="0.25">
      <c r="A7" s="526"/>
      <c r="B7" s="526"/>
      <c r="C7" s="585"/>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2559</v>
      </c>
      <c r="D9" s="12"/>
      <c r="E9" s="13"/>
      <c r="F9" s="118"/>
      <c r="G9" s="123"/>
      <c r="H9" s="123"/>
      <c r="I9" s="12"/>
      <c r="J9" s="118"/>
      <c r="K9" s="118"/>
      <c r="L9" s="118"/>
      <c r="M9" s="12"/>
      <c r="N9" s="118"/>
      <c r="O9" s="118"/>
      <c r="P9" s="118"/>
      <c r="Q9" s="12"/>
      <c r="R9" s="12"/>
      <c r="S9" s="118"/>
      <c r="T9" s="12"/>
    </row>
    <row r="10" spans="1:20" ht="84" customHeight="1" x14ac:dyDescent="0.25">
      <c r="A10" s="188">
        <v>1</v>
      </c>
      <c r="B10" s="344" t="s">
        <v>2558</v>
      </c>
      <c r="C10" s="344" t="s">
        <v>2557</v>
      </c>
      <c r="D10" s="394" t="s">
        <v>2556</v>
      </c>
      <c r="E10" s="370" t="s">
        <v>1297</v>
      </c>
      <c r="F10" s="382">
        <v>111312</v>
      </c>
      <c r="G10" s="369" t="s">
        <v>2555</v>
      </c>
      <c r="H10" s="368">
        <v>6731035472</v>
      </c>
      <c r="I10" s="381" t="s">
        <v>2554</v>
      </c>
      <c r="J10" s="382">
        <v>92760</v>
      </c>
      <c r="K10" s="369" t="s">
        <v>2553</v>
      </c>
      <c r="L10" s="378">
        <v>9715411990</v>
      </c>
      <c r="M10" s="380" t="s">
        <v>2552</v>
      </c>
      <c r="N10" s="382">
        <v>100950</v>
      </c>
      <c r="O10" s="379" t="s">
        <v>395</v>
      </c>
      <c r="P10" s="378">
        <v>7804628380</v>
      </c>
      <c r="Q10" s="377" t="s">
        <v>2551</v>
      </c>
      <c r="R10" s="382">
        <f>MIN(F10,J10,N10)</f>
        <v>92760</v>
      </c>
      <c r="S10" s="271"/>
      <c r="T10" s="392">
        <v>45891</v>
      </c>
    </row>
    <row r="11" spans="1:20" ht="91.5" customHeight="1" x14ac:dyDescent="0.25">
      <c r="A11" s="188">
        <v>2</v>
      </c>
      <c r="B11" s="344" t="s">
        <v>2060</v>
      </c>
      <c r="C11" s="344" t="s">
        <v>2550</v>
      </c>
      <c r="D11" s="394" t="s">
        <v>2549</v>
      </c>
      <c r="E11" s="370" t="s">
        <v>818</v>
      </c>
      <c r="F11" s="382">
        <f>40.76*1000</f>
        <v>40760</v>
      </c>
      <c r="G11" s="369" t="s">
        <v>2083</v>
      </c>
      <c r="H11" s="368">
        <v>7721801761</v>
      </c>
      <c r="I11" s="169" t="s">
        <v>2548</v>
      </c>
      <c r="J11" s="382">
        <v>37000</v>
      </c>
      <c r="K11" s="13" t="s">
        <v>2369</v>
      </c>
      <c r="L11" s="393" t="s">
        <v>2368</v>
      </c>
      <c r="M11" s="169" t="s">
        <v>2547</v>
      </c>
      <c r="N11" s="382">
        <v>36090</v>
      </c>
      <c r="O11" s="13" t="s">
        <v>817</v>
      </c>
      <c r="P11" s="393" t="s">
        <v>2546</v>
      </c>
      <c r="Q11" s="169" t="s">
        <v>2545</v>
      </c>
      <c r="R11" s="382">
        <f>MIN(F11,J11,N11)</f>
        <v>36090</v>
      </c>
      <c r="S11" s="271"/>
      <c r="T11" s="392">
        <v>45891</v>
      </c>
    </row>
    <row r="12" spans="1:20" ht="30" customHeight="1" x14ac:dyDescent="0.25">
      <c r="A12" s="221"/>
      <c r="B12" s="220"/>
      <c r="C12" s="219"/>
      <c r="D12" s="218"/>
      <c r="E12" s="215"/>
      <c r="F12" s="216"/>
      <c r="G12" s="215"/>
      <c r="H12" s="217"/>
      <c r="I12" s="215"/>
      <c r="J12" s="216"/>
      <c r="K12" s="215"/>
      <c r="L12" s="215"/>
      <c r="M12" s="215"/>
      <c r="N12" s="216"/>
      <c r="O12" s="215"/>
      <c r="P12" s="215"/>
      <c r="Q12" s="215"/>
      <c r="R12" s="214"/>
      <c r="S12" s="213"/>
      <c r="T12" s="212"/>
    </row>
    <row r="14" spans="1:20" x14ac:dyDescent="0.25">
      <c r="A14" s="91"/>
      <c r="B14" s="116"/>
      <c r="C14" s="116"/>
      <c r="D14" s="116" t="s">
        <v>16</v>
      </c>
      <c r="E14" s="114"/>
      <c r="F14" s="112"/>
      <c r="G14" s="113"/>
      <c r="H14" s="112"/>
      <c r="I14" s="114"/>
      <c r="J14" s="112"/>
      <c r="K14" s="113"/>
      <c r="L14" s="112"/>
      <c r="M14" s="114"/>
      <c r="N14" s="112"/>
      <c r="O14" s="113"/>
      <c r="P14" s="116" t="s">
        <v>25</v>
      </c>
      <c r="Q14" s="116"/>
      <c r="R14" s="115"/>
      <c r="S14" s="112"/>
      <c r="T14" s="91"/>
    </row>
    <row r="15" spans="1:20" x14ac:dyDescent="0.25">
      <c r="A15" s="91"/>
      <c r="B15" s="538" t="s">
        <v>19</v>
      </c>
      <c r="C15" s="538"/>
      <c r="D15" s="538"/>
      <c r="E15" s="114"/>
      <c r="F15" s="112"/>
      <c r="G15" s="113"/>
      <c r="H15" s="112"/>
      <c r="I15" s="114"/>
      <c r="J15" s="112"/>
      <c r="K15" s="113"/>
      <c r="L15" s="112"/>
      <c r="M15" s="114"/>
      <c r="N15" s="112"/>
      <c r="O15" s="113"/>
      <c r="P15" s="112"/>
      <c r="Q15" s="101" t="s">
        <v>19</v>
      </c>
      <c r="R15" s="533"/>
      <c r="S15" s="533"/>
      <c r="T15" s="91"/>
    </row>
    <row r="16" spans="1:20" ht="18.75" x14ac:dyDescent="0.3">
      <c r="A16" s="524" t="s">
        <v>2267</v>
      </c>
      <c r="B16" s="524"/>
      <c r="C16" s="524"/>
      <c r="D16" s="91"/>
      <c r="E16" s="91"/>
      <c r="F16" s="92"/>
      <c r="G16" s="93"/>
      <c r="H16" s="92"/>
      <c r="I16" s="91"/>
      <c r="J16" s="92"/>
      <c r="K16" s="93"/>
      <c r="L16" s="92"/>
      <c r="M16" s="91"/>
      <c r="N16" s="107" t="s">
        <v>20</v>
      </c>
      <c r="O16" s="106"/>
      <c r="P16" s="92"/>
      <c r="Q16" s="91"/>
      <c r="R16" s="91"/>
      <c r="S16" s="92"/>
      <c r="T16" s="91"/>
    </row>
    <row r="17" spans="1:20" ht="47.25" customHeight="1" x14ac:dyDescent="0.3">
      <c r="A17" s="524" t="s">
        <v>2266</v>
      </c>
      <c r="B17" s="524"/>
      <c r="C17" s="524"/>
      <c r="D17" s="111" t="s">
        <v>19</v>
      </c>
      <c r="E17" s="91"/>
      <c r="F17" s="106" t="s">
        <v>343</v>
      </c>
      <c r="G17" s="106"/>
      <c r="H17" s="92"/>
      <c r="I17" s="110" t="s">
        <v>19</v>
      </c>
      <c r="J17" s="108"/>
      <c r="K17" s="109"/>
      <c r="L17" s="108"/>
      <c r="M17" s="91"/>
      <c r="N17" s="107" t="s">
        <v>21</v>
      </c>
      <c r="O17" s="106"/>
      <c r="P17" s="92"/>
      <c r="Q17" s="105"/>
      <c r="R17" s="91"/>
      <c r="S17" s="104" t="s">
        <v>22</v>
      </c>
      <c r="T17" s="91"/>
    </row>
    <row r="18" spans="1:20" x14ac:dyDescent="0.25">
      <c r="A18" s="91"/>
      <c r="B18" s="531" t="s">
        <v>19</v>
      </c>
      <c r="C18" s="531"/>
      <c r="D18" s="531"/>
      <c r="E18" s="531"/>
      <c r="F18" s="531"/>
      <c r="G18" s="531"/>
      <c r="H18" s="531"/>
      <c r="I18" s="531"/>
      <c r="J18" s="531"/>
      <c r="K18" s="531"/>
      <c r="L18" s="531"/>
      <c r="M18" s="531"/>
      <c r="N18" s="102"/>
      <c r="O18" s="103" t="s">
        <v>19</v>
      </c>
      <c r="P18" s="102"/>
      <c r="Q18" s="101"/>
      <c r="R18" s="91"/>
      <c r="S18" s="92"/>
      <c r="T18" s="91"/>
    </row>
    <row r="19" spans="1:20" ht="18.75" x14ac:dyDescent="0.3">
      <c r="A19" s="91"/>
      <c r="B19" s="100"/>
      <c r="C19" s="98"/>
      <c r="D19" s="98"/>
      <c r="E19" s="98"/>
      <c r="F19" s="98"/>
      <c r="G19" s="99"/>
      <c r="H19" s="98"/>
      <c r="I19" s="98"/>
      <c r="J19" s="98"/>
      <c r="K19" s="99"/>
      <c r="L19" s="98"/>
      <c r="M19" s="98"/>
      <c r="N19" s="96"/>
      <c r="O19" s="97"/>
      <c r="P19" s="96"/>
      <c r="Q19" s="95"/>
      <c r="R19" s="91"/>
      <c r="S19" s="94"/>
      <c r="T19" s="91"/>
    </row>
    <row r="20" spans="1:20" x14ac:dyDescent="0.25">
      <c r="A20" s="91"/>
      <c r="B20" s="91"/>
      <c r="C20" s="91"/>
      <c r="D20" s="91"/>
      <c r="E20" s="91"/>
      <c r="F20" s="92"/>
      <c r="G20" s="93"/>
      <c r="H20" s="92"/>
      <c r="I20" s="91"/>
      <c r="J20" s="92"/>
      <c r="K20" s="93"/>
      <c r="L20" s="92"/>
      <c r="M20" s="91"/>
      <c r="N20" s="92"/>
      <c r="O20" s="93"/>
      <c r="P20" s="92"/>
      <c r="Q20" s="91"/>
      <c r="R20" s="91"/>
      <c r="S20" s="92"/>
      <c r="T20" s="91"/>
    </row>
    <row r="24" spans="1:20" x14ac:dyDescent="0.25">
      <c r="B24" s="523" t="s">
        <v>17</v>
      </c>
      <c r="C24" s="523"/>
      <c r="D24" s="523"/>
      <c r="E24" s="523"/>
      <c r="F24" s="523"/>
      <c r="G24" s="523"/>
      <c r="H24" s="523"/>
      <c r="I24" s="523"/>
      <c r="J24" s="523"/>
      <c r="K24" s="523"/>
      <c r="L24" s="523"/>
      <c r="M24" s="523"/>
      <c r="N24" s="89"/>
      <c r="O24" s="90"/>
      <c r="P24" s="89"/>
    </row>
    <row r="25" spans="1:20" x14ac:dyDescent="0.25">
      <c r="B25" s="523" t="s">
        <v>18</v>
      </c>
      <c r="C25" s="523"/>
      <c r="D25" s="523"/>
      <c r="E25" s="523"/>
      <c r="F25" s="523"/>
      <c r="G25" s="523"/>
      <c r="H25" s="523"/>
      <c r="I25" s="523"/>
      <c r="J25" s="523"/>
      <c r="K25" s="523"/>
      <c r="L25" s="523"/>
      <c r="M25" s="523"/>
      <c r="N25" s="89"/>
      <c r="O25" s="90"/>
      <c r="P25" s="89"/>
    </row>
  </sheetData>
  <mergeCells count="21">
    <mergeCell ref="B25:M25"/>
    <mergeCell ref="B24:M24"/>
    <mergeCell ref="A17:C17"/>
    <mergeCell ref="A6:A7"/>
    <mergeCell ref="B6:B7"/>
    <mergeCell ref="C6:C7"/>
    <mergeCell ref="D6:D7"/>
    <mergeCell ref="E6:E7"/>
    <mergeCell ref="B18:M18"/>
    <mergeCell ref="F6:I6"/>
    <mergeCell ref="B15:D15"/>
    <mergeCell ref="A16:C16"/>
    <mergeCell ref="R15:S15"/>
    <mergeCell ref="T6:T7"/>
    <mergeCell ref="C1:Q1"/>
    <mergeCell ref="R6:R7"/>
    <mergeCell ref="S6:S7"/>
    <mergeCell ref="N6:Q6"/>
    <mergeCell ref="A4:T4"/>
    <mergeCell ref="A2:T2"/>
    <mergeCell ref="J6:M6"/>
  </mergeCells>
  <hyperlinks>
    <hyperlink ref="I10" r:id="rId1" xr:uid="{00000000-0004-0000-0B00-000000000000}"/>
    <hyperlink ref="Q10" r:id="rId2" xr:uid="{00000000-0004-0000-0B00-000001000000}"/>
    <hyperlink ref="I11" r:id="rId3" xr:uid="{00000000-0004-0000-0B00-000002000000}"/>
    <hyperlink ref="M11" r:id="rId4" xr:uid="{00000000-0004-0000-0B00-000003000000}"/>
    <hyperlink ref="Q11" r:id="rId5" xr:uid="{00000000-0004-0000-0B00-000004000000}"/>
  </hyperlinks>
  <pageMargins left="0.31496062992125984" right="0.31496062992125984" top="0.74803149606299213" bottom="0.74803149606299213" header="0.31496062992125984" footer="0.31496062992125984"/>
  <pageSetup paperSize="9" scale="40" fitToHeight="0" orientation="landscape" r:id="rId6"/>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44"/>
  <sheetViews>
    <sheetView view="pageBreakPreview" topLeftCell="A22" zoomScale="55" zoomScaleNormal="55" zoomScaleSheetLayoutView="55" zoomScalePageLayoutView="70" workbookViewId="0">
      <selection activeCell="S30" sqref="S30"/>
    </sheetView>
  </sheetViews>
  <sheetFormatPr defaultColWidth="8.7109375" defaultRowHeight="15.75" x14ac:dyDescent="0.25"/>
  <cols>
    <col min="1" max="1" width="8.140625" style="1" customWidth="1"/>
    <col min="2" max="2" width="12.140625" style="1" customWidth="1"/>
    <col min="3" max="3" width="48.28515625" style="15" customWidth="1"/>
    <col min="4" max="4" width="15" style="15" customWidth="1"/>
    <col min="5" max="5" width="9.5703125" style="16" customWidth="1"/>
    <col min="6" max="6" width="20"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x14ac:dyDescent="0.25">
      <c r="A6" s="525" t="s">
        <v>1</v>
      </c>
      <c r="B6" s="525" t="s">
        <v>2</v>
      </c>
      <c r="C6" s="527"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94.25" customHeight="1" x14ac:dyDescent="0.25">
      <c r="A7" s="526"/>
      <c r="B7" s="526"/>
      <c r="C7" s="528"/>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2728</v>
      </c>
      <c r="D9" s="12"/>
      <c r="E9" s="13"/>
      <c r="F9" s="118"/>
      <c r="G9" s="123"/>
      <c r="H9" s="123"/>
      <c r="I9" s="12"/>
      <c r="J9" s="118"/>
      <c r="K9" s="118"/>
      <c r="L9" s="118"/>
      <c r="M9" s="12"/>
      <c r="N9" s="118"/>
      <c r="O9" s="118"/>
      <c r="P9" s="118"/>
      <c r="Q9" s="12"/>
      <c r="R9" s="12"/>
      <c r="S9" s="118"/>
      <c r="T9" s="12"/>
    </row>
    <row r="10" spans="1:20" ht="136.5" customHeight="1" x14ac:dyDescent="0.25">
      <c r="A10" s="126">
        <v>1</v>
      </c>
      <c r="B10" s="396" t="s">
        <v>2715</v>
      </c>
      <c r="C10" s="145" t="s">
        <v>2727</v>
      </c>
      <c r="D10" s="395" t="s">
        <v>2726</v>
      </c>
      <c r="E10" s="143" t="s">
        <v>1297</v>
      </c>
      <c r="F10" s="119">
        <v>10090</v>
      </c>
      <c r="G10" s="123" t="s">
        <v>2693</v>
      </c>
      <c r="H10" s="127" t="s">
        <v>2692</v>
      </c>
      <c r="I10" s="222" t="s">
        <v>2725</v>
      </c>
      <c r="J10" s="119">
        <v>8916</v>
      </c>
      <c r="K10" s="123" t="s">
        <v>727</v>
      </c>
      <c r="L10" s="127" t="s">
        <v>726</v>
      </c>
      <c r="M10" s="222" t="s">
        <v>2724</v>
      </c>
      <c r="N10" s="119">
        <v>10090</v>
      </c>
      <c r="O10" s="123" t="s">
        <v>2146</v>
      </c>
      <c r="P10" s="127" t="s">
        <v>2145</v>
      </c>
      <c r="Q10" s="222" t="s">
        <v>2723</v>
      </c>
      <c r="R10" s="119">
        <f t="shared" ref="R10:R30" si="0">MIN(F10,J10,N10)</f>
        <v>8916</v>
      </c>
      <c r="S10" s="119"/>
      <c r="T10" s="117">
        <v>45908</v>
      </c>
    </row>
    <row r="11" spans="1:20" ht="96.75" customHeight="1" x14ac:dyDescent="0.25">
      <c r="A11" s="126">
        <v>2</v>
      </c>
      <c r="B11" s="398" t="s">
        <v>2658</v>
      </c>
      <c r="C11" s="402" t="s">
        <v>2722</v>
      </c>
      <c r="D11" s="395" t="s">
        <v>2721</v>
      </c>
      <c r="E11" s="143" t="s">
        <v>1297</v>
      </c>
      <c r="F11" s="119">
        <v>3610</v>
      </c>
      <c r="G11" s="123" t="s">
        <v>2655</v>
      </c>
      <c r="H11" s="127" t="s">
        <v>2654</v>
      </c>
      <c r="I11" s="222" t="s">
        <v>2720</v>
      </c>
      <c r="J11" s="119">
        <v>3249</v>
      </c>
      <c r="K11" s="123" t="s">
        <v>2146</v>
      </c>
      <c r="L11" s="127" t="s">
        <v>2145</v>
      </c>
      <c r="M11" s="222" t="s">
        <v>2719</v>
      </c>
      <c r="N11" s="119">
        <v>3610</v>
      </c>
      <c r="O11" s="123" t="s">
        <v>2718</v>
      </c>
      <c r="P11" s="127" t="s">
        <v>2717</v>
      </c>
      <c r="Q11" s="222" t="s">
        <v>2716</v>
      </c>
      <c r="R11" s="119">
        <f t="shared" si="0"/>
        <v>3249</v>
      </c>
      <c r="S11" s="119"/>
      <c r="T11" s="117">
        <v>45908</v>
      </c>
    </row>
    <row r="12" spans="1:20" ht="114" customHeight="1" x14ac:dyDescent="0.25">
      <c r="A12" s="126">
        <v>3</v>
      </c>
      <c r="B12" s="399" t="s">
        <v>2715</v>
      </c>
      <c r="C12" s="145" t="s">
        <v>2714</v>
      </c>
      <c r="D12" s="395" t="s">
        <v>2713</v>
      </c>
      <c r="E12" s="143" t="s">
        <v>1297</v>
      </c>
      <c r="F12" s="119">
        <v>11475</v>
      </c>
      <c r="G12" s="123" t="s">
        <v>727</v>
      </c>
      <c r="H12" s="127" t="s">
        <v>726</v>
      </c>
      <c r="I12" s="222" t="s">
        <v>2712</v>
      </c>
      <c r="J12" s="119">
        <v>12750</v>
      </c>
      <c r="K12" s="123" t="s">
        <v>2146</v>
      </c>
      <c r="L12" s="127" t="s">
        <v>2145</v>
      </c>
      <c r="M12" s="222" t="s">
        <v>2711</v>
      </c>
      <c r="N12" s="119">
        <v>11475</v>
      </c>
      <c r="O12" s="123" t="s">
        <v>2674</v>
      </c>
      <c r="P12" s="127" t="s">
        <v>2673</v>
      </c>
      <c r="Q12" s="222" t="s">
        <v>2710</v>
      </c>
      <c r="R12" s="119">
        <f t="shared" si="0"/>
        <v>11475</v>
      </c>
      <c r="S12" s="118"/>
      <c r="T12" s="117">
        <v>45908</v>
      </c>
    </row>
    <row r="13" spans="1:20" ht="93" customHeight="1" x14ac:dyDescent="0.25">
      <c r="A13" s="126">
        <v>4</v>
      </c>
      <c r="B13" s="396" t="s">
        <v>2709</v>
      </c>
      <c r="C13" s="145" t="s">
        <v>2708</v>
      </c>
      <c r="D13" s="395" t="s">
        <v>2707</v>
      </c>
      <c r="E13" s="143" t="s">
        <v>1297</v>
      </c>
      <c r="F13" s="119">
        <v>2682924</v>
      </c>
      <c r="G13" s="123" t="s">
        <v>2706</v>
      </c>
      <c r="H13" s="127" t="s">
        <v>2705</v>
      </c>
      <c r="I13" s="222" t="s">
        <v>2704</v>
      </c>
      <c r="J13" s="119">
        <v>6563655</v>
      </c>
      <c r="K13" s="123" t="s">
        <v>2703</v>
      </c>
      <c r="L13" s="127" t="s">
        <v>2702</v>
      </c>
      <c r="M13" s="222" t="s">
        <v>2701</v>
      </c>
      <c r="N13" s="119">
        <v>3259145</v>
      </c>
      <c r="O13" s="123" t="s">
        <v>2700</v>
      </c>
      <c r="P13" s="127" t="s">
        <v>2699</v>
      </c>
      <c r="Q13" s="222" t="s">
        <v>2698</v>
      </c>
      <c r="R13" s="119">
        <f t="shared" si="0"/>
        <v>2682924</v>
      </c>
      <c r="S13" s="118"/>
      <c r="T13" s="117">
        <v>45908</v>
      </c>
    </row>
    <row r="14" spans="1:20" ht="83.25" customHeight="1" x14ac:dyDescent="0.25">
      <c r="A14" s="126">
        <v>5</v>
      </c>
      <c r="B14" s="396" t="s">
        <v>2697</v>
      </c>
      <c r="C14" s="145" t="s">
        <v>2696</v>
      </c>
      <c r="D14" s="395" t="s">
        <v>2695</v>
      </c>
      <c r="E14" s="143" t="s">
        <v>1297</v>
      </c>
      <c r="F14" s="119">
        <v>179000</v>
      </c>
      <c r="G14" s="123" t="s">
        <v>369</v>
      </c>
      <c r="H14" s="127" t="s">
        <v>368</v>
      </c>
      <c r="I14" s="222" t="s">
        <v>2694</v>
      </c>
      <c r="J14" s="119">
        <v>179000</v>
      </c>
      <c r="K14" s="123" t="s">
        <v>2693</v>
      </c>
      <c r="L14" s="127" t="s">
        <v>2692</v>
      </c>
      <c r="M14" s="222" t="s">
        <v>2691</v>
      </c>
      <c r="N14" s="119">
        <v>179000</v>
      </c>
      <c r="O14" s="123" t="s">
        <v>2690</v>
      </c>
      <c r="P14" s="127" t="s">
        <v>2689</v>
      </c>
      <c r="Q14" s="222" t="s">
        <v>2688</v>
      </c>
      <c r="R14" s="119">
        <f t="shared" si="0"/>
        <v>179000</v>
      </c>
      <c r="S14" s="118"/>
      <c r="T14" s="117">
        <v>45908</v>
      </c>
    </row>
    <row r="15" spans="1:20" ht="122.25" customHeight="1" x14ac:dyDescent="0.25">
      <c r="A15" s="126">
        <v>6</v>
      </c>
      <c r="B15" s="396" t="s">
        <v>2278</v>
      </c>
      <c r="C15" s="145" t="s">
        <v>2687</v>
      </c>
      <c r="D15" s="395" t="s">
        <v>2686</v>
      </c>
      <c r="E15" s="143" t="s">
        <v>1297</v>
      </c>
      <c r="F15" s="119">
        <v>308578</v>
      </c>
      <c r="G15" s="123" t="s">
        <v>2627</v>
      </c>
      <c r="H15" s="127" t="s">
        <v>2626</v>
      </c>
      <c r="I15" s="401" t="s">
        <v>593</v>
      </c>
      <c r="J15" s="236">
        <v>312540</v>
      </c>
      <c r="K15" s="236" t="s">
        <v>2683</v>
      </c>
      <c r="L15" s="127" t="s">
        <v>2682</v>
      </c>
      <c r="M15" s="140" t="s">
        <v>593</v>
      </c>
      <c r="N15" s="236">
        <v>317680</v>
      </c>
      <c r="O15" s="236" t="s">
        <v>2683</v>
      </c>
      <c r="P15" s="127" t="s">
        <v>2682</v>
      </c>
      <c r="Q15" s="140" t="s">
        <v>593</v>
      </c>
      <c r="R15" s="119">
        <f t="shared" si="0"/>
        <v>308578</v>
      </c>
      <c r="S15" s="118"/>
      <c r="T15" s="117">
        <v>45908</v>
      </c>
    </row>
    <row r="16" spans="1:20" ht="119.25" customHeight="1" x14ac:dyDescent="0.35">
      <c r="A16" s="126">
        <v>7</v>
      </c>
      <c r="B16" s="396" t="s">
        <v>2278</v>
      </c>
      <c r="C16" s="145" t="s">
        <v>2685</v>
      </c>
      <c r="D16" s="395" t="s">
        <v>2684</v>
      </c>
      <c r="E16" s="143" t="s">
        <v>1297</v>
      </c>
      <c r="F16" s="119">
        <v>472415</v>
      </c>
      <c r="G16" s="123" t="s">
        <v>2627</v>
      </c>
      <c r="H16" s="127" t="s">
        <v>2626</v>
      </c>
      <c r="I16" s="401" t="s">
        <v>593</v>
      </c>
      <c r="J16" s="236">
        <v>479980</v>
      </c>
      <c r="K16" s="236" t="s">
        <v>2683</v>
      </c>
      <c r="L16" s="127" t="s">
        <v>2682</v>
      </c>
      <c r="M16" s="140" t="s">
        <v>593</v>
      </c>
      <c r="N16" s="119">
        <v>485760</v>
      </c>
      <c r="O16" s="123" t="s">
        <v>2681</v>
      </c>
      <c r="P16" s="127" t="s">
        <v>2680</v>
      </c>
      <c r="Q16" s="400" t="s">
        <v>593</v>
      </c>
      <c r="R16" s="119">
        <f t="shared" si="0"/>
        <v>472415</v>
      </c>
      <c r="S16" s="118"/>
      <c r="T16" s="117">
        <v>45908</v>
      </c>
    </row>
    <row r="17" spans="1:20" ht="122.25" customHeight="1" x14ac:dyDescent="0.25">
      <c r="A17" s="126">
        <v>8</v>
      </c>
      <c r="B17" s="399" t="s">
        <v>2278</v>
      </c>
      <c r="C17" s="145" t="s">
        <v>2679</v>
      </c>
      <c r="D17" s="395" t="s">
        <v>2678</v>
      </c>
      <c r="E17" s="143" t="s">
        <v>1297</v>
      </c>
      <c r="F17" s="130">
        <f>145490*1.2</f>
        <v>174588</v>
      </c>
      <c r="G17" s="123" t="s">
        <v>2677</v>
      </c>
      <c r="H17" s="127" t="s">
        <v>2676</v>
      </c>
      <c r="I17" s="222" t="s">
        <v>2675</v>
      </c>
      <c r="J17" s="130">
        <v>123437</v>
      </c>
      <c r="K17" s="236" t="s">
        <v>2674</v>
      </c>
      <c r="L17" s="127" t="s">
        <v>2673</v>
      </c>
      <c r="M17" s="222" t="s">
        <v>2672</v>
      </c>
      <c r="N17" s="130">
        <v>159660</v>
      </c>
      <c r="O17" s="123" t="s">
        <v>2671</v>
      </c>
      <c r="P17" s="127" t="s">
        <v>2670</v>
      </c>
      <c r="Q17" s="222" t="s">
        <v>2669</v>
      </c>
      <c r="R17" s="119">
        <f t="shared" si="0"/>
        <v>123437</v>
      </c>
      <c r="S17" s="118"/>
      <c r="T17" s="117">
        <v>45908</v>
      </c>
    </row>
    <row r="18" spans="1:20" ht="84" customHeight="1" x14ac:dyDescent="0.25">
      <c r="A18" s="126">
        <v>9</v>
      </c>
      <c r="B18" s="396" t="s">
        <v>2668</v>
      </c>
      <c r="C18" s="125" t="s">
        <v>2667</v>
      </c>
      <c r="D18" s="395" t="s">
        <v>2666</v>
      </c>
      <c r="E18" s="143" t="s">
        <v>1297</v>
      </c>
      <c r="F18" s="130">
        <v>3090</v>
      </c>
      <c r="G18" s="123" t="s">
        <v>2665</v>
      </c>
      <c r="H18" s="127" t="s">
        <v>2664</v>
      </c>
      <c r="I18" s="222" t="s">
        <v>2663</v>
      </c>
      <c r="J18" s="130">
        <v>3197</v>
      </c>
      <c r="K18" s="123" t="s">
        <v>2662</v>
      </c>
      <c r="L18" s="127" t="s">
        <v>2661</v>
      </c>
      <c r="M18" s="222" t="s">
        <v>2660</v>
      </c>
      <c r="N18" s="130">
        <v>2845</v>
      </c>
      <c r="O18" s="123" t="s">
        <v>558</v>
      </c>
      <c r="P18" s="127" t="s">
        <v>557</v>
      </c>
      <c r="Q18" s="222" t="s">
        <v>2659</v>
      </c>
      <c r="R18" s="119">
        <f t="shared" si="0"/>
        <v>2845</v>
      </c>
      <c r="S18" s="118"/>
      <c r="T18" s="117">
        <v>45908</v>
      </c>
    </row>
    <row r="19" spans="1:20" ht="91.5" customHeight="1" x14ac:dyDescent="0.25">
      <c r="A19" s="126">
        <v>10</v>
      </c>
      <c r="B19" s="398" t="s">
        <v>2658</v>
      </c>
      <c r="C19" s="125" t="s">
        <v>2657</v>
      </c>
      <c r="D19" s="395" t="s">
        <v>2656</v>
      </c>
      <c r="E19" s="143" t="s">
        <v>1297</v>
      </c>
      <c r="F19" s="130">
        <v>56500</v>
      </c>
      <c r="G19" s="123" t="s">
        <v>2655</v>
      </c>
      <c r="H19" s="127" t="s">
        <v>2654</v>
      </c>
      <c r="I19" s="222" t="s">
        <v>2653</v>
      </c>
      <c r="J19" s="130">
        <v>50355</v>
      </c>
      <c r="K19" s="123" t="s">
        <v>2163</v>
      </c>
      <c r="L19" s="127" t="s">
        <v>2162</v>
      </c>
      <c r="M19" s="222" t="s">
        <v>2652</v>
      </c>
      <c r="N19" s="130">
        <v>59541</v>
      </c>
      <c r="O19" s="123" t="s">
        <v>2651</v>
      </c>
      <c r="P19" s="127" t="s">
        <v>2650</v>
      </c>
      <c r="Q19" s="222" t="s">
        <v>2649</v>
      </c>
      <c r="R19" s="119">
        <f t="shared" si="0"/>
        <v>50355</v>
      </c>
      <c r="S19" s="118"/>
      <c r="T19" s="117">
        <v>45908</v>
      </c>
    </row>
    <row r="20" spans="1:20" ht="87" customHeight="1" x14ac:dyDescent="0.25">
      <c r="A20" s="126">
        <v>11</v>
      </c>
      <c r="B20" s="396" t="s">
        <v>2648</v>
      </c>
      <c r="C20" s="125" t="s">
        <v>2647</v>
      </c>
      <c r="D20" s="395" t="s">
        <v>2646</v>
      </c>
      <c r="E20" s="143" t="s">
        <v>1297</v>
      </c>
      <c r="F20" s="144">
        <v>1450</v>
      </c>
      <c r="G20" s="123" t="s">
        <v>2645</v>
      </c>
      <c r="H20" s="127" t="s">
        <v>2644</v>
      </c>
      <c r="I20" s="222" t="s">
        <v>2643</v>
      </c>
      <c r="J20" s="130">
        <v>3374</v>
      </c>
      <c r="K20" s="123" t="s">
        <v>2642</v>
      </c>
      <c r="L20" s="127" t="s">
        <v>2641</v>
      </c>
      <c r="M20" s="222" t="s">
        <v>2640</v>
      </c>
      <c r="N20" s="130">
        <v>1400</v>
      </c>
      <c r="O20" s="123" t="s">
        <v>350</v>
      </c>
      <c r="P20" s="127" t="s">
        <v>349</v>
      </c>
      <c r="Q20" s="222" t="s">
        <v>2639</v>
      </c>
      <c r="R20" s="119">
        <f t="shared" si="0"/>
        <v>1400</v>
      </c>
      <c r="S20" s="118"/>
      <c r="T20" s="117">
        <v>45908</v>
      </c>
    </row>
    <row r="21" spans="1:20" ht="92.25" customHeight="1" x14ac:dyDescent="0.25">
      <c r="A21" s="126">
        <v>12</v>
      </c>
      <c r="B21" s="396" t="s">
        <v>2638</v>
      </c>
      <c r="C21" s="125" t="s">
        <v>2637</v>
      </c>
      <c r="D21" s="395" t="s">
        <v>2636</v>
      </c>
      <c r="E21" s="143" t="s">
        <v>1297</v>
      </c>
      <c r="F21" s="130">
        <v>21350</v>
      </c>
      <c r="G21" s="123" t="s">
        <v>2618</v>
      </c>
      <c r="H21" s="127" t="s">
        <v>2617</v>
      </c>
      <c r="I21" s="222" t="s">
        <v>2635</v>
      </c>
      <c r="J21" s="130">
        <v>22120</v>
      </c>
      <c r="K21" s="123" t="s">
        <v>558</v>
      </c>
      <c r="L21" s="127" t="s">
        <v>557</v>
      </c>
      <c r="M21" s="222" t="s">
        <v>2634</v>
      </c>
      <c r="N21" s="130">
        <v>25300</v>
      </c>
      <c r="O21" s="123" t="s">
        <v>2633</v>
      </c>
      <c r="P21" s="127" t="s">
        <v>2632</v>
      </c>
      <c r="Q21" s="222" t="s">
        <v>2631</v>
      </c>
      <c r="R21" s="119">
        <f t="shared" si="0"/>
        <v>21350</v>
      </c>
      <c r="S21" s="118"/>
      <c r="T21" s="117">
        <v>45908</v>
      </c>
    </row>
    <row r="22" spans="1:20" ht="117.75" customHeight="1" x14ac:dyDescent="0.25">
      <c r="A22" s="126">
        <v>13</v>
      </c>
      <c r="B22" s="353" t="s">
        <v>2630</v>
      </c>
      <c r="C22" s="125" t="s">
        <v>2629</v>
      </c>
      <c r="D22" s="395" t="s">
        <v>2628</v>
      </c>
      <c r="E22" s="143" t="s">
        <v>1297</v>
      </c>
      <c r="F22" s="130">
        <v>548650</v>
      </c>
      <c r="G22" s="123" t="s">
        <v>2627</v>
      </c>
      <c r="H22" s="127" t="s">
        <v>2626</v>
      </c>
      <c r="I22" s="130" t="s">
        <v>593</v>
      </c>
      <c r="J22" s="130">
        <v>564748</v>
      </c>
      <c r="K22" s="130" t="s">
        <v>2625</v>
      </c>
      <c r="L22" s="127" t="s">
        <v>2624</v>
      </c>
      <c r="M22" s="130" t="s">
        <v>593</v>
      </c>
      <c r="N22" s="130">
        <v>550800</v>
      </c>
      <c r="O22" s="123" t="s">
        <v>2623</v>
      </c>
      <c r="P22" s="127" t="s">
        <v>2622</v>
      </c>
      <c r="Q22" s="130" t="s">
        <v>593</v>
      </c>
      <c r="R22" s="119">
        <f t="shared" si="0"/>
        <v>548650</v>
      </c>
      <c r="S22" s="118"/>
      <c r="T22" s="117">
        <v>45908</v>
      </c>
    </row>
    <row r="23" spans="1:20" ht="78.75" customHeight="1" x14ac:dyDescent="0.25">
      <c r="A23" s="126">
        <v>14</v>
      </c>
      <c r="B23" s="396" t="s">
        <v>560</v>
      </c>
      <c r="C23" s="125" t="s">
        <v>2621</v>
      </c>
      <c r="D23" s="395" t="s">
        <v>2620</v>
      </c>
      <c r="E23" s="143" t="s">
        <v>1297</v>
      </c>
      <c r="F23" s="130">
        <v>96233</v>
      </c>
      <c r="G23" s="123" t="s">
        <v>2607</v>
      </c>
      <c r="H23" s="127" t="s">
        <v>2606</v>
      </c>
      <c r="I23" s="222" t="s">
        <v>2619</v>
      </c>
      <c r="J23" s="130">
        <v>101880</v>
      </c>
      <c r="K23" s="123" t="s">
        <v>2618</v>
      </c>
      <c r="L23" s="127" t="s">
        <v>2617</v>
      </c>
      <c r="M23" s="222" t="s">
        <v>2616</v>
      </c>
      <c r="N23" s="130">
        <v>139340</v>
      </c>
      <c r="O23" s="123" t="s">
        <v>2615</v>
      </c>
      <c r="P23" s="127" t="s">
        <v>2614</v>
      </c>
      <c r="Q23" s="222" t="s">
        <v>2613</v>
      </c>
      <c r="R23" s="119">
        <f t="shared" si="0"/>
        <v>96233</v>
      </c>
      <c r="S23" s="118"/>
      <c r="T23" s="117">
        <v>45908</v>
      </c>
    </row>
    <row r="24" spans="1:20" ht="85.5" customHeight="1" x14ac:dyDescent="0.25">
      <c r="A24" s="126">
        <v>15</v>
      </c>
      <c r="B24" s="397" t="s">
        <v>2612</v>
      </c>
      <c r="C24" s="125" t="s">
        <v>2611</v>
      </c>
      <c r="D24" s="395" t="s">
        <v>2610</v>
      </c>
      <c r="E24" s="143" t="s">
        <v>1297</v>
      </c>
      <c r="F24" s="130">
        <v>100330</v>
      </c>
      <c r="G24" s="123" t="s">
        <v>2509</v>
      </c>
      <c r="H24" s="127" t="s">
        <v>2347</v>
      </c>
      <c r="I24" s="222" t="s">
        <v>2609</v>
      </c>
      <c r="J24" s="130">
        <v>100330</v>
      </c>
      <c r="K24" s="123" t="s">
        <v>2146</v>
      </c>
      <c r="L24" s="127" t="s">
        <v>2145</v>
      </c>
      <c r="M24" s="222" t="s">
        <v>2608</v>
      </c>
      <c r="N24" s="130">
        <v>79969</v>
      </c>
      <c r="O24" s="123" t="s">
        <v>2607</v>
      </c>
      <c r="P24" s="127" t="s">
        <v>2606</v>
      </c>
      <c r="Q24" s="222" t="s">
        <v>2605</v>
      </c>
      <c r="R24" s="119">
        <f t="shared" si="0"/>
        <v>79969</v>
      </c>
      <c r="S24" s="118"/>
      <c r="T24" s="117">
        <v>45908</v>
      </c>
    </row>
    <row r="25" spans="1:20" ht="90.75" customHeight="1" x14ac:dyDescent="0.25">
      <c r="A25" s="126">
        <v>16</v>
      </c>
      <c r="B25" s="396" t="s">
        <v>2487</v>
      </c>
      <c r="C25" s="125" t="s">
        <v>2604</v>
      </c>
      <c r="D25" s="395" t="s">
        <v>2603</v>
      </c>
      <c r="E25" s="143" t="s">
        <v>1297</v>
      </c>
      <c r="F25" s="130">
        <v>31996</v>
      </c>
      <c r="G25" s="123" t="s">
        <v>2146</v>
      </c>
      <c r="H25" s="127" t="s">
        <v>2145</v>
      </c>
      <c r="I25" s="222" t="s">
        <v>2602</v>
      </c>
      <c r="J25" s="130">
        <v>28616.07</v>
      </c>
      <c r="K25" s="123" t="s">
        <v>581</v>
      </c>
      <c r="L25" s="127" t="s">
        <v>2258</v>
      </c>
      <c r="M25" s="222" t="s">
        <v>2601</v>
      </c>
      <c r="N25" s="130">
        <v>44663.78</v>
      </c>
      <c r="O25" s="123" t="s">
        <v>369</v>
      </c>
      <c r="P25" s="127" t="s">
        <v>368</v>
      </c>
      <c r="Q25" s="222" t="s">
        <v>2600</v>
      </c>
      <c r="R25" s="119">
        <f t="shared" si="0"/>
        <v>28616.07</v>
      </c>
      <c r="S25" s="118"/>
      <c r="T25" s="117">
        <v>45908</v>
      </c>
    </row>
    <row r="26" spans="1:20" ht="88.5" customHeight="1" x14ac:dyDescent="0.25">
      <c r="A26" s="126">
        <v>17</v>
      </c>
      <c r="B26" s="396" t="s">
        <v>2487</v>
      </c>
      <c r="C26" s="125" t="s">
        <v>2599</v>
      </c>
      <c r="D26" s="395" t="s">
        <v>2598</v>
      </c>
      <c r="E26" s="143" t="s">
        <v>1297</v>
      </c>
      <c r="F26" s="130">
        <v>15122.4</v>
      </c>
      <c r="G26" s="123" t="s">
        <v>441</v>
      </c>
      <c r="H26" s="127" t="s">
        <v>440</v>
      </c>
      <c r="I26" s="222" t="s">
        <v>2597</v>
      </c>
      <c r="J26" s="130">
        <v>15130</v>
      </c>
      <c r="K26" s="123" t="s">
        <v>350</v>
      </c>
      <c r="L26" s="127" t="s">
        <v>349</v>
      </c>
      <c r="M26" s="222" t="s">
        <v>2596</v>
      </c>
      <c r="N26" s="130">
        <v>15122.34</v>
      </c>
      <c r="O26" s="123" t="s">
        <v>2595</v>
      </c>
      <c r="P26" s="127" t="s">
        <v>2594</v>
      </c>
      <c r="Q26" s="222" t="s">
        <v>2593</v>
      </c>
      <c r="R26" s="130">
        <f t="shared" si="0"/>
        <v>15122.34</v>
      </c>
      <c r="S26" s="130"/>
      <c r="T26" s="117">
        <v>45908</v>
      </c>
    </row>
    <row r="27" spans="1:20" ht="86.25" customHeight="1" x14ac:dyDescent="0.25">
      <c r="A27" s="126">
        <v>18</v>
      </c>
      <c r="B27" s="396" t="s">
        <v>849</v>
      </c>
      <c r="C27" s="125" t="s">
        <v>2592</v>
      </c>
      <c r="D27" s="395" t="s">
        <v>2591</v>
      </c>
      <c r="E27" s="143" t="s">
        <v>1297</v>
      </c>
      <c r="F27" s="130">
        <v>11835.82</v>
      </c>
      <c r="G27" s="123" t="s">
        <v>2402</v>
      </c>
      <c r="H27" s="127" t="s">
        <v>2318</v>
      </c>
      <c r="I27" s="222" t="s">
        <v>2590</v>
      </c>
      <c r="J27" s="130">
        <v>15805</v>
      </c>
      <c r="K27" s="123" t="s">
        <v>2589</v>
      </c>
      <c r="L27" s="127" t="s">
        <v>2588</v>
      </c>
      <c r="M27" s="222" t="s">
        <v>2587</v>
      </c>
      <c r="N27" s="130">
        <v>13535</v>
      </c>
      <c r="O27" s="123" t="s">
        <v>2586</v>
      </c>
      <c r="P27" s="127" t="s">
        <v>2283</v>
      </c>
      <c r="Q27" s="222" t="s">
        <v>2585</v>
      </c>
      <c r="R27" s="119">
        <f t="shared" si="0"/>
        <v>11835.82</v>
      </c>
      <c r="S27" s="118"/>
      <c r="T27" s="117">
        <v>45908</v>
      </c>
    </row>
    <row r="28" spans="1:20" ht="87" customHeight="1" x14ac:dyDescent="0.25">
      <c r="A28" s="126">
        <v>19</v>
      </c>
      <c r="B28" s="396" t="s">
        <v>849</v>
      </c>
      <c r="C28" s="125" t="s">
        <v>2584</v>
      </c>
      <c r="D28" s="395" t="s">
        <v>2583</v>
      </c>
      <c r="E28" s="143" t="s">
        <v>1297</v>
      </c>
      <c r="F28" s="130">
        <v>4810</v>
      </c>
      <c r="G28" s="123" t="s">
        <v>2582</v>
      </c>
      <c r="H28" s="127" t="s">
        <v>2581</v>
      </c>
      <c r="I28" s="222" t="s">
        <v>2580</v>
      </c>
      <c r="J28" s="130">
        <v>4353.6000000000004</v>
      </c>
      <c r="K28" s="123" t="s">
        <v>2579</v>
      </c>
      <c r="L28" s="127" t="s">
        <v>2578</v>
      </c>
      <c r="M28" s="140" t="s">
        <v>2577</v>
      </c>
      <c r="N28" s="130">
        <v>4354</v>
      </c>
      <c r="O28" s="123" t="s">
        <v>2481</v>
      </c>
      <c r="P28" s="127" t="s">
        <v>2141</v>
      </c>
      <c r="Q28" s="222" t="s">
        <v>2576</v>
      </c>
      <c r="R28" s="119">
        <f t="shared" si="0"/>
        <v>4353.6000000000004</v>
      </c>
      <c r="S28" s="118"/>
      <c r="T28" s="117">
        <v>45908</v>
      </c>
    </row>
    <row r="29" spans="1:20" ht="85.5" customHeight="1" x14ac:dyDescent="0.25">
      <c r="A29" s="126">
        <v>20</v>
      </c>
      <c r="B29" s="353" t="s">
        <v>2060</v>
      </c>
      <c r="C29" s="125" t="s">
        <v>2575</v>
      </c>
      <c r="D29" s="395" t="s">
        <v>2574</v>
      </c>
      <c r="E29" s="143" t="s">
        <v>818</v>
      </c>
      <c r="F29" s="130">
        <v>88360.9</v>
      </c>
      <c r="G29" s="123" t="s">
        <v>2573</v>
      </c>
      <c r="H29" s="127" t="s">
        <v>2572</v>
      </c>
      <c r="I29" s="222" t="s">
        <v>2571</v>
      </c>
      <c r="J29" s="130">
        <f>95000</f>
        <v>95000</v>
      </c>
      <c r="K29" s="123" t="s">
        <v>2570</v>
      </c>
      <c r="L29" s="127" t="s">
        <v>2569</v>
      </c>
      <c r="M29" s="222" t="s">
        <v>2568</v>
      </c>
      <c r="N29" s="130">
        <v>80136</v>
      </c>
      <c r="O29" s="123" t="s">
        <v>2567</v>
      </c>
      <c r="P29" s="127" t="s">
        <v>2566</v>
      </c>
      <c r="Q29" s="140" t="s">
        <v>2565</v>
      </c>
      <c r="R29" s="119">
        <f t="shared" si="0"/>
        <v>80136</v>
      </c>
      <c r="S29" s="118"/>
      <c r="T29" s="117">
        <v>45908</v>
      </c>
    </row>
    <row r="30" spans="1:20" ht="93.75" customHeight="1" x14ac:dyDescent="0.25">
      <c r="A30" s="126">
        <v>21</v>
      </c>
      <c r="B30" s="353" t="s">
        <v>2060</v>
      </c>
      <c r="C30" s="125" t="s">
        <v>2564</v>
      </c>
      <c r="D30" s="395" t="s">
        <v>2563</v>
      </c>
      <c r="E30" s="143" t="s">
        <v>818</v>
      </c>
      <c r="F30" s="130">
        <v>96350</v>
      </c>
      <c r="G30" s="123" t="s">
        <v>2146</v>
      </c>
      <c r="H30" s="127" t="s">
        <v>2145</v>
      </c>
      <c r="I30" s="222" t="s">
        <v>2562</v>
      </c>
      <c r="J30" s="130">
        <v>96000</v>
      </c>
      <c r="K30" s="123" t="s">
        <v>2134</v>
      </c>
      <c r="L30" s="127" t="s">
        <v>2133</v>
      </c>
      <c r="M30" s="222" t="s">
        <v>2561</v>
      </c>
      <c r="N30" s="130">
        <v>91430</v>
      </c>
      <c r="O30" s="123" t="s">
        <v>2345</v>
      </c>
      <c r="P30" s="127" t="s">
        <v>2344</v>
      </c>
      <c r="Q30" s="222" t="s">
        <v>2560</v>
      </c>
      <c r="R30" s="119">
        <f t="shared" si="0"/>
        <v>91430</v>
      </c>
      <c r="S30" s="118"/>
      <c r="T30" s="117">
        <v>45908</v>
      </c>
    </row>
    <row r="31" spans="1:20" ht="30" customHeight="1" x14ac:dyDescent="0.25">
      <c r="A31" s="221"/>
      <c r="B31" s="220"/>
      <c r="C31" s="219"/>
      <c r="D31" s="218"/>
      <c r="E31" s="215"/>
      <c r="F31" s="216"/>
      <c r="G31" s="215"/>
      <c r="H31" s="217"/>
      <c r="I31" s="215"/>
      <c r="J31" s="216"/>
      <c r="K31" s="215"/>
      <c r="L31" s="215"/>
      <c r="M31" s="215"/>
      <c r="N31" s="216"/>
      <c r="O31" s="215"/>
      <c r="P31" s="215"/>
      <c r="Q31" s="215"/>
      <c r="R31" s="214"/>
      <c r="S31" s="213"/>
      <c r="T31" s="212"/>
    </row>
    <row r="33" spans="1:20" x14ac:dyDescent="0.25">
      <c r="A33" s="91"/>
      <c r="B33" s="116"/>
      <c r="C33" s="116"/>
      <c r="D33" s="116" t="s">
        <v>16</v>
      </c>
      <c r="E33" s="114"/>
      <c r="F33" s="112"/>
      <c r="G33" s="113"/>
      <c r="H33" s="112"/>
      <c r="I33" s="114"/>
      <c r="J33" s="112"/>
      <c r="K33" s="113"/>
      <c r="L33" s="112"/>
      <c r="M33" s="114"/>
      <c r="N33" s="112"/>
      <c r="O33" s="113"/>
      <c r="P33" s="116" t="s">
        <v>25</v>
      </c>
      <c r="Q33" s="116"/>
      <c r="R33" s="115"/>
      <c r="S33" s="112"/>
      <c r="T33" s="91"/>
    </row>
    <row r="34" spans="1:20" x14ac:dyDescent="0.25">
      <c r="A34" s="91"/>
      <c r="B34" s="538" t="s">
        <v>19</v>
      </c>
      <c r="C34" s="538"/>
      <c r="D34" s="538"/>
      <c r="E34" s="114"/>
      <c r="F34" s="112"/>
      <c r="G34" s="113"/>
      <c r="H34" s="112"/>
      <c r="I34" s="114"/>
      <c r="J34" s="112"/>
      <c r="K34" s="113"/>
      <c r="L34" s="112"/>
      <c r="M34" s="114"/>
      <c r="N34" s="112"/>
      <c r="O34" s="113"/>
      <c r="P34" s="112"/>
      <c r="Q34" s="101" t="s">
        <v>19</v>
      </c>
      <c r="R34" s="533"/>
      <c r="S34" s="533"/>
      <c r="T34" s="91"/>
    </row>
    <row r="35" spans="1:20" ht="18.75" x14ac:dyDescent="0.3">
      <c r="A35" s="91"/>
      <c r="B35" s="91"/>
      <c r="C35" s="91"/>
      <c r="D35" s="91"/>
      <c r="E35" s="91"/>
      <c r="F35" s="92"/>
      <c r="G35" s="93"/>
      <c r="H35" s="92"/>
      <c r="I35" s="91"/>
      <c r="J35" s="92"/>
      <c r="K35" s="93"/>
      <c r="L35" s="92"/>
      <c r="M35" s="91"/>
      <c r="N35" s="107" t="s">
        <v>20</v>
      </c>
      <c r="O35" s="106"/>
      <c r="P35" s="92"/>
      <c r="Q35" s="91"/>
      <c r="R35" s="91"/>
      <c r="S35" s="92"/>
      <c r="T35" s="91"/>
    </row>
    <row r="36" spans="1:20" ht="47.25" customHeight="1" x14ac:dyDescent="0.3">
      <c r="A36" s="524" t="s">
        <v>344</v>
      </c>
      <c r="B36" s="524"/>
      <c r="C36" s="524"/>
      <c r="D36" s="111" t="s">
        <v>19</v>
      </c>
      <c r="E36" s="91"/>
      <c r="F36" s="92"/>
      <c r="G36" s="106" t="s">
        <v>343</v>
      </c>
      <c r="H36" s="92"/>
      <c r="I36" s="110" t="s">
        <v>19</v>
      </c>
      <c r="J36" s="108"/>
      <c r="K36" s="109"/>
      <c r="L36" s="108"/>
      <c r="M36" s="91"/>
      <c r="N36" s="107" t="s">
        <v>21</v>
      </c>
      <c r="O36" s="106"/>
      <c r="P36" s="92"/>
      <c r="Q36" s="105"/>
      <c r="R36" s="91"/>
      <c r="S36" s="104" t="s">
        <v>22</v>
      </c>
      <c r="T36" s="91"/>
    </row>
    <row r="37" spans="1:20" x14ac:dyDescent="0.25">
      <c r="A37" s="91"/>
      <c r="B37" s="531" t="s">
        <v>19</v>
      </c>
      <c r="C37" s="531"/>
      <c r="D37" s="531"/>
      <c r="E37" s="531"/>
      <c r="F37" s="531"/>
      <c r="G37" s="531"/>
      <c r="H37" s="531"/>
      <c r="I37" s="531"/>
      <c r="J37" s="531"/>
      <c r="K37" s="531"/>
      <c r="L37" s="531"/>
      <c r="M37" s="531"/>
      <c r="N37" s="102"/>
      <c r="O37" s="103" t="s">
        <v>19</v>
      </c>
      <c r="P37" s="102"/>
      <c r="Q37" s="101"/>
      <c r="R37" s="91"/>
      <c r="S37" s="92"/>
      <c r="T37" s="91"/>
    </row>
    <row r="38" spans="1:20" ht="18.75" x14ac:dyDescent="0.3">
      <c r="A38" s="91"/>
      <c r="B38" s="100"/>
      <c r="C38" s="98"/>
      <c r="D38" s="98"/>
      <c r="E38" s="98"/>
      <c r="F38" s="98"/>
      <c r="G38" s="99"/>
      <c r="H38" s="98"/>
      <c r="I38" s="98"/>
      <c r="J38" s="98"/>
      <c r="K38" s="99"/>
      <c r="L38" s="98"/>
      <c r="M38" s="98"/>
      <c r="N38" s="96"/>
      <c r="O38" s="97"/>
      <c r="P38" s="96"/>
      <c r="Q38" s="95"/>
      <c r="R38" s="91"/>
      <c r="S38" s="94"/>
      <c r="T38" s="91"/>
    </row>
    <row r="39" spans="1:20" x14ac:dyDescent="0.25">
      <c r="A39" s="91"/>
      <c r="B39" s="91"/>
      <c r="C39" s="91"/>
      <c r="D39" s="91"/>
      <c r="E39" s="91"/>
      <c r="F39" s="92"/>
      <c r="G39" s="93"/>
      <c r="H39" s="92"/>
      <c r="I39" s="91"/>
      <c r="J39" s="92"/>
      <c r="K39" s="93"/>
      <c r="L39" s="92"/>
      <c r="M39" s="91"/>
      <c r="N39" s="92"/>
      <c r="O39" s="93"/>
      <c r="P39" s="92"/>
      <c r="Q39" s="91"/>
      <c r="R39" s="91"/>
      <c r="S39" s="92"/>
      <c r="T39" s="91"/>
    </row>
    <row r="43" spans="1:20" x14ac:dyDescent="0.25">
      <c r="B43" s="523" t="s">
        <v>17</v>
      </c>
      <c r="C43" s="523"/>
      <c r="D43" s="523"/>
      <c r="E43" s="523"/>
      <c r="F43" s="523"/>
      <c r="G43" s="523"/>
      <c r="H43" s="523"/>
      <c r="I43" s="523"/>
      <c r="J43" s="523"/>
      <c r="K43" s="523"/>
      <c r="L43" s="523"/>
      <c r="M43" s="523"/>
      <c r="N43" s="89"/>
      <c r="O43" s="90"/>
      <c r="P43" s="89"/>
    </row>
    <row r="44" spans="1:20" x14ac:dyDescent="0.25">
      <c r="B44" s="523" t="s">
        <v>18</v>
      </c>
      <c r="C44" s="523"/>
      <c r="D44" s="523"/>
      <c r="E44" s="523"/>
      <c r="F44" s="523"/>
      <c r="G44" s="523"/>
      <c r="H44" s="523"/>
      <c r="I44" s="523"/>
      <c r="J44" s="523"/>
      <c r="K44" s="523"/>
      <c r="L44" s="523"/>
      <c r="M44" s="523"/>
      <c r="N44" s="89"/>
      <c r="O44" s="90"/>
      <c r="P44" s="89"/>
    </row>
  </sheetData>
  <mergeCells count="20">
    <mergeCell ref="R34:S34"/>
    <mergeCell ref="T6:T7"/>
    <mergeCell ref="C1:Q1"/>
    <mergeCell ref="R6:R7"/>
    <mergeCell ref="S6:S7"/>
    <mergeCell ref="N6:Q6"/>
    <mergeCell ref="A4:T4"/>
    <mergeCell ref="A2:T2"/>
    <mergeCell ref="J6:M6"/>
    <mergeCell ref="B34:D34"/>
    <mergeCell ref="B44:M44"/>
    <mergeCell ref="B43:M43"/>
    <mergeCell ref="A36:C36"/>
    <mergeCell ref="A6:A7"/>
    <mergeCell ref="B6:B7"/>
    <mergeCell ref="C6:C7"/>
    <mergeCell ref="D6:D7"/>
    <mergeCell ref="E6:E7"/>
    <mergeCell ref="B37:M37"/>
    <mergeCell ref="F6:I6"/>
  </mergeCells>
  <hyperlinks>
    <hyperlink ref="I10" r:id="rId1" xr:uid="{00000000-0004-0000-0C00-000000000000}"/>
    <hyperlink ref="M10" r:id="rId2" xr:uid="{00000000-0004-0000-0C00-000001000000}"/>
    <hyperlink ref="Q10" r:id="rId3" xr:uid="{00000000-0004-0000-0C00-000002000000}"/>
    <hyperlink ref="I11" r:id="rId4" xr:uid="{00000000-0004-0000-0C00-000003000000}"/>
    <hyperlink ref="M11" r:id="rId5" xr:uid="{00000000-0004-0000-0C00-000004000000}"/>
    <hyperlink ref="Q11" r:id="rId6" xr:uid="{00000000-0004-0000-0C00-000005000000}"/>
    <hyperlink ref="I12" display="https://secumarket.ru/product/kupolnaya-ip-videokamera-2-mp-2-7-13-5-mm-poe-tr-d2d2-v2-2-7-13-5-trassir-802021?etext=2202.pMAbnOgTcXpCRKL5PcL6I3Af50k91pK3EPLnYD7qLwp6eHpjanpqYm56Zm1hYnpl.ec304354c6c7d072dc40194f39b8384865057a2b&amp;yclid=8003253571313729535&amp;y" xr:uid="{00000000-0004-0000-0C00-000006000000}"/>
    <hyperlink ref="M12" r:id="rId7" xr:uid="{00000000-0004-0000-0C00-000007000000}"/>
    <hyperlink ref="Q12" r:id="rId8" xr:uid="{00000000-0004-0000-0C00-000008000000}"/>
    <hyperlink ref="M13" r:id="rId9" xr:uid="{00000000-0004-0000-0C00-000009000000}"/>
    <hyperlink ref="Q13" r:id="rId10" xr:uid="{00000000-0004-0000-0C00-00000A000000}"/>
    <hyperlink ref="I14" r:id="rId11" xr:uid="{00000000-0004-0000-0C00-00000B000000}"/>
    <hyperlink ref="M14" display="https://www.dssl.ru/products/etskhd/?utm_source=dssl-yd&amp;utm_medium=cpc&amp;utm_campaign=dssl_yd_rf_performance&amp;utm_term=_52409160941&amp;utm_content=astat:52409160941%7Cret:52409160941%7Cdsa:52409160941%7Ccid:112515165%7Cgid:5467218881%7Caid:1846167210872455611%7" xr:uid="{00000000-0004-0000-0C00-00000C000000}"/>
    <hyperlink ref="Q14" r:id="rId12" xr:uid="{00000000-0004-0000-0C00-00000D000000}"/>
    <hyperlink ref="I17" r:id="rId13" xr:uid="{00000000-0004-0000-0C00-00000E000000}"/>
    <hyperlink ref="M17" r:id="rId14" xr:uid="{00000000-0004-0000-0C00-00000F000000}"/>
    <hyperlink ref="Q17" r:id="rId15" xr:uid="{00000000-0004-0000-0C00-000010000000}"/>
    <hyperlink ref="I18" r:id="rId16" xr:uid="{00000000-0004-0000-0C00-000011000000}"/>
    <hyperlink ref="I19" r:id="rId17" xr:uid="{00000000-0004-0000-0C00-000012000000}"/>
    <hyperlink ref="M19" r:id="rId18" xr:uid="{00000000-0004-0000-0C00-000013000000}"/>
    <hyperlink ref="I20" r:id="rId19" xr:uid="{00000000-0004-0000-0C00-000014000000}"/>
    <hyperlink ref="Q20" r:id="rId20" xr:uid="{00000000-0004-0000-0C00-000015000000}"/>
    <hyperlink ref="I21" r:id="rId21" xr:uid="{00000000-0004-0000-0C00-000016000000}"/>
    <hyperlink ref="M21" r:id="rId22" xr:uid="{00000000-0004-0000-0C00-000017000000}"/>
    <hyperlink ref="Q21" r:id="rId23" xr:uid="{00000000-0004-0000-0C00-000018000000}"/>
    <hyperlink ref="I23" r:id="rId24" xr:uid="{00000000-0004-0000-0C00-000019000000}"/>
    <hyperlink ref="M23" r:id="rId25" xr:uid="{00000000-0004-0000-0C00-00001A000000}"/>
    <hyperlink ref="Q23" r:id="rId26" xr:uid="{00000000-0004-0000-0C00-00001B000000}"/>
    <hyperlink ref="I24" display="https://luis.ru/p/2967881?utm_source=yandex&amp;utm_medium=cpc&amp;utm_campaign=Shopping_108044427&amp;utm_content=15903062729&amp;utm_term=---autotargeting&amp;etext=2202.1UiPpFR-trpZEKfAwZzJPOH24S1tB1Op2TsSGGJvdGzIObGu9W40Ix18UpGdPB4ufVAGzcDnGLaiYICPQX-u7vQrbZ7McT0QfCzhSJi" xr:uid="{00000000-0004-0000-0C00-00001C000000}"/>
    <hyperlink ref="M24" r:id="rId27" xr:uid="{00000000-0004-0000-0C00-00001D000000}"/>
    <hyperlink ref="Q24" r:id="rId28" xr:uid="{00000000-0004-0000-0C00-00001E000000}"/>
    <hyperlink ref="I25" r:id="rId29" xr:uid="{00000000-0004-0000-0C00-00001F000000}"/>
    <hyperlink ref="M25" r:id="rId30" xr:uid="{00000000-0004-0000-0C00-000020000000}"/>
    <hyperlink ref="Q25" r:id="rId31" xr:uid="{00000000-0004-0000-0C00-000021000000}"/>
    <hyperlink ref="I26" r:id="rId32" xr:uid="{00000000-0004-0000-0C00-000022000000}"/>
    <hyperlink ref="Q26" r:id="rId33" xr:uid="{00000000-0004-0000-0C00-000023000000}"/>
    <hyperlink ref="I27" r:id="rId34" xr:uid="{00000000-0004-0000-0C00-000024000000}"/>
    <hyperlink ref="M27" r:id="rId35" xr:uid="{00000000-0004-0000-0C00-000025000000}"/>
    <hyperlink ref="Q27" r:id="rId36" xr:uid="{00000000-0004-0000-0C00-000026000000}"/>
    <hyperlink ref="I28" r:id="rId37" xr:uid="{00000000-0004-0000-0C00-000027000000}"/>
    <hyperlink ref="Q28" r:id="rId38" xr:uid="{00000000-0004-0000-0C00-000028000000}"/>
    <hyperlink ref="I29" r:id="rId39" xr:uid="{00000000-0004-0000-0C00-000029000000}"/>
    <hyperlink ref="M29" r:id="rId40" xr:uid="{00000000-0004-0000-0C00-00002A000000}"/>
    <hyperlink ref="I30" r:id="rId41" xr:uid="{00000000-0004-0000-0C00-00002B000000}"/>
    <hyperlink ref="M30" r:id="rId42" xr:uid="{00000000-0004-0000-0C00-00002C000000}"/>
    <hyperlink ref="Q30" r:id="rId43" xr:uid="{00000000-0004-0000-0C00-00002D000000}"/>
    <hyperlink ref="B14" r:id="rId44" display="https://zakupki44fz.ru/app/okpd2/26.30.11.110" xr:uid="{00000000-0004-0000-0C00-00002E000000}"/>
  </hyperlinks>
  <pageMargins left="0.31496062992125984" right="0.31496062992125984" top="0.74803149606299213" bottom="0.74803149606299213" header="0.31496062992125984" footer="0.31496062992125984"/>
  <pageSetup paperSize="9" scale="42" fitToHeight="0" orientation="landscape" r:id="rId45"/>
  <drawing r:id="rId4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52"/>
  <sheetViews>
    <sheetView view="pageBreakPreview" zoomScale="60" zoomScaleNormal="80" workbookViewId="0">
      <selection activeCell="Z24" sqref="Z24"/>
    </sheetView>
  </sheetViews>
  <sheetFormatPr defaultColWidth="8.7109375" defaultRowHeight="15.75" x14ac:dyDescent="0.25"/>
  <cols>
    <col min="1" max="1" width="9.28515625" style="1" customWidth="1"/>
    <col min="2" max="2" width="15.42578125" style="1" customWidth="1"/>
    <col min="3" max="3" width="60.140625" style="15" customWidth="1"/>
    <col min="4" max="4" width="33" style="15" customWidth="1"/>
    <col min="5" max="5" width="8.42578125" style="16" customWidth="1"/>
    <col min="6" max="6" width="17.140625" style="15" hidden="1" customWidth="1"/>
    <col min="7" max="7" width="18" style="15" customWidth="1"/>
    <col min="8" max="8" width="24.42578125" style="15" customWidth="1"/>
    <col min="9" max="9" width="19.85546875" style="15" customWidth="1"/>
    <col min="10" max="10" width="0.28515625" style="15" hidden="1" customWidth="1"/>
    <col min="11" max="11" width="16.7109375" style="15" customWidth="1"/>
    <col min="12" max="12" width="25.42578125" style="15" customWidth="1"/>
    <col min="13" max="13" width="17.140625" style="15" customWidth="1"/>
    <col min="14" max="14" width="12.42578125" style="15" hidden="1" customWidth="1"/>
    <col min="15" max="15" width="17.5703125" style="15" customWidth="1"/>
    <col min="16" max="16" width="27" style="15" customWidth="1"/>
    <col min="17" max="17" width="22.5703125" style="17" customWidth="1"/>
    <col min="18" max="18" width="17.7109375" style="2" customWidth="1"/>
    <col min="19" max="19" width="20.5703125" style="155" customWidth="1"/>
    <col min="20" max="20" width="21.1406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x14ac:dyDescent="0.25">
      <c r="C2" s="77"/>
      <c r="D2" s="77"/>
      <c r="E2" s="77"/>
      <c r="F2" s="507"/>
      <c r="G2" s="507"/>
      <c r="H2" s="507"/>
      <c r="I2" s="541"/>
      <c r="J2" s="541"/>
      <c r="K2" s="206"/>
      <c r="L2" s="206"/>
      <c r="M2" s="77"/>
      <c r="N2" s="77"/>
      <c r="O2" s="77"/>
      <c r="P2" s="77"/>
      <c r="Q2" s="14"/>
      <c r="R2" s="14"/>
      <c r="S2" s="156"/>
      <c r="T2" s="14" t="s">
        <v>0</v>
      </c>
    </row>
    <row r="3" spans="1:20" x14ac:dyDescent="0.25">
      <c r="C3" s="77"/>
      <c r="D3" s="77"/>
      <c r="E3" s="77"/>
      <c r="F3" s="77"/>
      <c r="G3" s="77"/>
      <c r="H3" s="77"/>
      <c r="I3" s="206"/>
      <c r="J3" s="206"/>
      <c r="K3" s="206"/>
      <c r="L3" s="206"/>
      <c r="M3" s="77"/>
      <c r="N3" s="77"/>
      <c r="O3" s="77"/>
      <c r="P3" s="77"/>
      <c r="Q3" s="14"/>
      <c r="R3" s="542"/>
      <c r="S3" s="542"/>
      <c r="T3" s="14"/>
    </row>
    <row r="4" spans="1:20" x14ac:dyDescent="0.25">
      <c r="C4" s="77"/>
      <c r="D4" s="77"/>
      <c r="E4" s="77"/>
      <c r="F4" s="77"/>
      <c r="G4" s="77"/>
      <c r="H4" s="77"/>
      <c r="I4" s="206"/>
      <c r="J4" s="206"/>
      <c r="K4" s="206"/>
      <c r="L4" s="206"/>
      <c r="M4" s="77"/>
      <c r="N4" s="77"/>
      <c r="O4" s="77"/>
      <c r="P4" s="77"/>
      <c r="Q4" s="14"/>
      <c r="R4" s="207"/>
      <c r="S4" s="204"/>
      <c r="T4" s="14"/>
    </row>
    <row r="5" spans="1:20" ht="21.4" customHeight="1" x14ac:dyDescent="0.25">
      <c r="C5" s="77"/>
      <c r="D5" s="77"/>
      <c r="E5" s="77"/>
      <c r="F5" s="547" t="s">
        <v>26</v>
      </c>
      <c r="G5" s="547"/>
      <c r="H5" s="547"/>
      <c r="I5" s="541"/>
      <c r="J5" s="541"/>
      <c r="K5" s="206"/>
      <c r="L5" s="206"/>
      <c r="M5" s="77"/>
      <c r="N5" s="77"/>
      <c r="O5" s="77"/>
      <c r="P5" s="77"/>
      <c r="Q5" s="84"/>
      <c r="R5" s="205"/>
      <c r="S5" s="204"/>
      <c r="T5" s="14"/>
    </row>
    <row r="6" spans="1:20" s="87" customFormat="1" ht="38.25" customHeight="1" x14ac:dyDescent="0.25">
      <c r="A6" s="203"/>
      <c r="B6" s="203"/>
      <c r="C6" s="548" t="s">
        <v>1124</v>
      </c>
      <c r="D6" s="549"/>
      <c r="E6" s="549"/>
      <c r="F6" s="549"/>
      <c r="G6" s="549"/>
      <c r="H6" s="549"/>
      <c r="I6" s="549"/>
      <c r="J6" s="549"/>
      <c r="K6" s="549"/>
      <c r="L6" s="549"/>
      <c r="M6" s="550"/>
      <c r="N6" s="550"/>
      <c r="O6" s="550"/>
      <c r="P6" s="550"/>
      <c r="Q6" s="550"/>
      <c r="R6" s="550"/>
      <c r="S6" s="550"/>
    </row>
    <row r="7" spans="1:20" s="87" customFormat="1" ht="15.75" customHeight="1" x14ac:dyDescent="0.25">
      <c r="A7" s="203"/>
      <c r="B7" s="203"/>
      <c r="C7" s="202"/>
      <c r="D7" s="201"/>
      <c r="E7" s="200"/>
      <c r="F7" s="200"/>
      <c r="G7" s="200"/>
      <c r="H7" s="200"/>
      <c r="I7" s="200"/>
      <c r="J7" s="200"/>
      <c r="K7" s="200"/>
      <c r="L7" s="200"/>
      <c r="M7" s="200"/>
      <c r="N7" s="200"/>
      <c r="O7" s="200"/>
      <c r="P7" s="200"/>
      <c r="Q7" s="200"/>
      <c r="S7" s="199"/>
    </row>
    <row r="8" spans="1:20" s="196" customFormat="1" ht="24" customHeight="1" x14ac:dyDescent="0.25">
      <c r="A8" s="551" t="s">
        <v>1</v>
      </c>
      <c r="B8" s="551" t="s">
        <v>1123</v>
      </c>
      <c r="C8" s="553" t="s">
        <v>3</v>
      </c>
      <c r="D8" s="553" t="s">
        <v>4</v>
      </c>
      <c r="E8" s="551" t="s">
        <v>5</v>
      </c>
      <c r="F8" s="543" t="s">
        <v>6</v>
      </c>
      <c r="G8" s="543"/>
      <c r="H8" s="543"/>
      <c r="I8" s="544"/>
      <c r="J8" s="543" t="s">
        <v>7</v>
      </c>
      <c r="K8" s="543"/>
      <c r="L8" s="543"/>
      <c r="M8" s="544"/>
      <c r="N8" s="543" t="s">
        <v>8</v>
      </c>
      <c r="O8" s="543"/>
      <c r="P8" s="543"/>
      <c r="Q8" s="544"/>
      <c r="R8" s="545" t="s">
        <v>1122</v>
      </c>
      <c r="S8" s="546" t="s">
        <v>10</v>
      </c>
      <c r="T8" s="545" t="s">
        <v>11</v>
      </c>
    </row>
    <row r="9" spans="1:20" s="196" customFormat="1" ht="128.25" customHeight="1" x14ac:dyDescent="0.25">
      <c r="A9" s="552"/>
      <c r="B9" s="552"/>
      <c r="C9" s="544"/>
      <c r="D9" s="544"/>
      <c r="E9" s="544"/>
      <c r="F9" s="197" t="s">
        <v>12</v>
      </c>
      <c r="G9" s="198" t="s">
        <v>14</v>
      </c>
      <c r="H9" s="197" t="s">
        <v>12</v>
      </c>
      <c r="I9" s="197" t="s">
        <v>13</v>
      </c>
      <c r="J9" s="197" t="s">
        <v>12</v>
      </c>
      <c r="K9" s="198" t="s">
        <v>14</v>
      </c>
      <c r="L9" s="197" t="s">
        <v>12</v>
      </c>
      <c r="M9" s="197" t="s">
        <v>13</v>
      </c>
      <c r="N9" s="197" t="s">
        <v>12</v>
      </c>
      <c r="O9" s="198" t="s">
        <v>14</v>
      </c>
      <c r="P9" s="197" t="s">
        <v>12</v>
      </c>
      <c r="Q9" s="197" t="s">
        <v>13</v>
      </c>
      <c r="R9" s="545"/>
      <c r="S9" s="546"/>
      <c r="T9" s="545"/>
    </row>
    <row r="10" spans="1:20" x14ac:dyDescent="0.25">
      <c r="A10" s="194">
        <v>1</v>
      </c>
      <c r="B10" s="194">
        <f>A10+1</f>
        <v>2</v>
      </c>
      <c r="C10" s="194">
        <f>B10+1</f>
        <v>3</v>
      </c>
      <c r="D10" s="194">
        <f>C10+1</f>
        <v>4</v>
      </c>
      <c r="E10" s="194">
        <f>D10+1</f>
        <v>5</v>
      </c>
      <c r="F10" s="194"/>
      <c r="G10" s="194">
        <v>6</v>
      </c>
      <c r="H10" s="194">
        <v>7</v>
      </c>
      <c r="I10" s="194">
        <v>8</v>
      </c>
      <c r="J10" s="194"/>
      <c r="K10" s="194">
        <v>9</v>
      </c>
      <c r="L10" s="194">
        <v>10</v>
      </c>
      <c r="M10" s="194">
        <v>11</v>
      </c>
      <c r="N10" s="194"/>
      <c r="O10" s="194">
        <v>12</v>
      </c>
      <c r="P10" s="194">
        <v>13</v>
      </c>
      <c r="Q10" s="194">
        <v>14</v>
      </c>
      <c r="R10" s="194">
        <v>15</v>
      </c>
      <c r="S10" s="195">
        <f>R10+1</f>
        <v>16</v>
      </c>
      <c r="T10" s="194">
        <f>S10+1</f>
        <v>17</v>
      </c>
    </row>
    <row r="11" spans="1:20" ht="25.5" customHeight="1" x14ac:dyDescent="0.25">
      <c r="A11" s="11"/>
      <c r="B11" s="193" t="s">
        <v>2877</v>
      </c>
      <c r="C11" s="192" t="s">
        <v>2876</v>
      </c>
      <c r="D11" s="12"/>
      <c r="E11" s="13"/>
      <c r="F11" s="12"/>
      <c r="G11" s="12"/>
      <c r="H11" s="12"/>
      <c r="I11" s="12"/>
      <c r="J11" s="12"/>
      <c r="K11" s="12"/>
      <c r="L11" s="12"/>
      <c r="M11" s="12"/>
      <c r="N11" s="12"/>
      <c r="O11" s="60"/>
      <c r="P11" s="12"/>
      <c r="Q11" s="189"/>
      <c r="R11" s="12"/>
      <c r="S11" s="191"/>
      <c r="T11" s="12"/>
    </row>
    <row r="12" spans="1:20" ht="45.75" customHeight="1" x14ac:dyDescent="0.25">
      <c r="A12" s="188">
        <v>1</v>
      </c>
      <c r="B12" s="211" t="s">
        <v>2744</v>
      </c>
      <c r="C12" s="181" t="s">
        <v>2875</v>
      </c>
      <c r="D12" s="171" t="s">
        <v>2874</v>
      </c>
      <c r="E12" s="13" t="s">
        <v>15</v>
      </c>
      <c r="F12" s="178" t="s">
        <v>2873</v>
      </c>
      <c r="G12" s="186">
        <v>64500</v>
      </c>
      <c r="H12" s="163" t="s">
        <v>2366</v>
      </c>
      <c r="I12" s="163">
        <v>9721058155</v>
      </c>
      <c r="J12" s="178" t="s">
        <v>2872</v>
      </c>
      <c r="K12" s="190">
        <v>64500</v>
      </c>
      <c r="L12" s="163" t="s">
        <v>2778</v>
      </c>
      <c r="M12" s="163">
        <v>105070781</v>
      </c>
      <c r="N12" s="178" t="s">
        <v>2871</v>
      </c>
      <c r="O12" s="186">
        <v>64500</v>
      </c>
      <c r="P12" s="13" t="s">
        <v>2870</v>
      </c>
      <c r="Q12" s="189">
        <v>7717798361</v>
      </c>
      <c r="R12" s="185">
        <f t="shared" ref="R12:R35" si="0">MIN(G12,K12,O12)</f>
        <v>64500</v>
      </c>
      <c r="S12" s="184"/>
      <c r="T12" s="13" t="s">
        <v>1125</v>
      </c>
    </row>
    <row r="13" spans="1:20" ht="49.5" customHeight="1" x14ac:dyDescent="0.25">
      <c r="A13" s="188">
        <v>2</v>
      </c>
      <c r="B13" s="188" t="s">
        <v>2864</v>
      </c>
      <c r="C13" s="181" t="s">
        <v>2869</v>
      </c>
      <c r="D13" s="171" t="s">
        <v>2868</v>
      </c>
      <c r="E13" s="13" t="s">
        <v>15</v>
      </c>
      <c r="F13" s="178" t="s">
        <v>2867</v>
      </c>
      <c r="G13" s="186">
        <v>15900</v>
      </c>
      <c r="H13" s="13" t="s">
        <v>2077</v>
      </c>
      <c r="I13" s="187" t="s">
        <v>2145</v>
      </c>
      <c r="J13" s="178" t="s">
        <v>2866</v>
      </c>
      <c r="K13" s="186">
        <v>15900</v>
      </c>
      <c r="L13" s="163" t="s">
        <v>2778</v>
      </c>
      <c r="M13" s="163">
        <v>105070781</v>
      </c>
      <c r="N13" s="178" t="s">
        <v>2865</v>
      </c>
      <c r="O13" s="186">
        <v>15900</v>
      </c>
      <c r="P13" s="163" t="s">
        <v>2366</v>
      </c>
      <c r="Q13" s="163">
        <v>9721058155</v>
      </c>
      <c r="R13" s="185">
        <f t="shared" si="0"/>
        <v>15900</v>
      </c>
      <c r="S13" s="184"/>
      <c r="T13" s="13" t="s">
        <v>1125</v>
      </c>
    </row>
    <row r="14" spans="1:20" ht="33.75" customHeight="1" x14ac:dyDescent="0.25">
      <c r="A14" s="188">
        <v>3</v>
      </c>
      <c r="B14" s="188" t="s">
        <v>2864</v>
      </c>
      <c r="C14" s="181" t="s">
        <v>2863</v>
      </c>
      <c r="D14" s="171" t="s">
        <v>2862</v>
      </c>
      <c r="E14" s="13" t="s">
        <v>15</v>
      </c>
      <c r="F14" s="178" t="s">
        <v>2861</v>
      </c>
      <c r="G14" s="186">
        <v>159743.32999999999</v>
      </c>
      <c r="H14" s="13" t="s">
        <v>353</v>
      </c>
      <c r="I14" s="13">
        <v>7842224734</v>
      </c>
      <c r="J14" s="178" t="s">
        <v>2860</v>
      </c>
      <c r="K14" s="186">
        <v>77017</v>
      </c>
      <c r="L14" s="13" t="s">
        <v>2859</v>
      </c>
      <c r="M14" s="13">
        <v>5024200689</v>
      </c>
      <c r="N14" s="178" t="s">
        <v>2858</v>
      </c>
      <c r="O14" s="186">
        <v>65340</v>
      </c>
      <c r="P14" s="13" t="s">
        <v>2857</v>
      </c>
      <c r="Q14" s="189">
        <v>9703013585</v>
      </c>
      <c r="R14" s="185">
        <f t="shared" si="0"/>
        <v>65340</v>
      </c>
      <c r="S14" s="184"/>
      <c r="T14" s="13" t="s">
        <v>1125</v>
      </c>
    </row>
    <row r="15" spans="1:20" ht="35.25" customHeight="1" x14ac:dyDescent="0.25">
      <c r="A15" s="188">
        <v>4</v>
      </c>
      <c r="B15" s="211" t="s">
        <v>2744</v>
      </c>
      <c r="C15" s="181" t="s">
        <v>2856</v>
      </c>
      <c r="D15" s="171" t="s">
        <v>2855</v>
      </c>
      <c r="E15" s="13" t="s">
        <v>15</v>
      </c>
      <c r="F15" s="178" t="s">
        <v>2854</v>
      </c>
      <c r="G15" s="186">
        <v>15610</v>
      </c>
      <c r="H15" s="163" t="s">
        <v>2366</v>
      </c>
      <c r="I15" s="163">
        <v>9721058155</v>
      </c>
      <c r="J15" s="178" t="s">
        <v>2853</v>
      </c>
      <c r="K15" s="186">
        <v>15610</v>
      </c>
      <c r="L15" s="13" t="s">
        <v>369</v>
      </c>
      <c r="M15" s="13">
        <v>7702680818</v>
      </c>
      <c r="N15" s="178" t="s">
        <v>2852</v>
      </c>
      <c r="O15" s="186">
        <v>14184</v>
      </c>
      <c r="P15" s="13" t="s">
        <v>2077</v>
      </c>
      <c r="Q15" s="187" t="s">
        <v>2145</v>
      </c>
      <c r="R15" s="185">
        <f t="shared" si="0"/>
        <v>14184</v>
      </c>
      <c r="S15" s="184"/>
      <c r="T15" s="13" t="s">
        <v>1125</v>
      </c>
    </row>
    <row r="16" spans="1:20" ht="50.25" customHeight="1" x14ac:dyDescent="0.25">
      <c r="A16" s="188">
        <v>5</v>
      </c>
      <c r="B16" s="211" t="s">
        <v>2744</v>
      </c>
      <c r="C16" s="181" t="s">
        <v>2851</v>
      </c>
      <c r="D16" s="171" t="s">
        <v>2850</v>
      </c>
      <c r="E16" s="13" t="s">
        <v>15</v>
      </c>
      <c r="F16" s="178" t="s">
        <v>2849</v>
      </c>
      <c r="G16" s="186">
        <v>416</v>
      </c>
      <c r="H16" s="163" t="s">
        <v>2366</v>
      </c>
      <c r="I16" s="163">
        <v>9721058155</v>
      </c>
      <c r="J16" s="178" t="s">
        <v>2848</v>
      </c>
      <c r="K16" s="186">
        <v>454</v>
      </c>
      <c r="L16" s="13" t="s">
        <v>2077</v>
      </c>
      <c r="M16" s="187" t="s">
        <v>2145</v>
      </c>
      <c r="N16" s="178" t="s">
        <v>2847</v>
      </c>
      <c r="O16" s="186">
        <v>530</v>
      </c>
      <c r="P16" s="163" t="s">
        <v>350</v>
      </c>
      <c r="Q16" s="189">
        <v>7729108750</v>
      </c>
      <c r="R16" s="185">
        <f t="shared" si="0"/>
        <v>416</v>
      </c>
      <c r="S16" s="184"/>
      <c r="T16" s="13" t="s">
        <v>1125</v>
      </c>
    </row>
    <row r="17" spans="1:20" ht="45.75" customHeight="1" x14ac:dyDescent="0.25">
      <c r="A17" s="188">
        <v>6</v>
      </c>
      <c r="B17" s="211" t="s">
        <v>2744</v>
      </c>
      <c r="C17" s="181" t="s">
        <v>2846</v>
      </c>
      <c r="D17" s="171" t="s">
        <v>2845</v>
      </c>
      <c r="E17" s="13" t="s">
        <v>15</v>
      </c>
      <c r="F17" s="178" t="s">
        <v>2844</v>
      </c>
      <c r="G17" s="186">
        <v>131</v>
      </c>
      <c r="H17" s="13" t="s">
        <v>2077</v>
      </c>
      <c r="I17" s="187" t="s">
        <v>2145</v>
      </c>
      <c r="J17" s="178" t="s">
        <v>2843</v>
      </c>
      <c r="K17" s="186">
        <v>113.2</v>
      </c>
      <c r="L17" s="13" t="s">
        <v>369</v>
      </c>
      <c r="M17" s="13">
        <v>7702680818</v>
      </c>
      <c r="N17" s="178" t="s">
        <v>2842</v>
      </c>
      <c r="O17" s="186">
        <v>112.8</v>
      </c>
      <c r="P17" s="13" t="s">
        <v>353</v>
      </c>
      <c r="Q17" s="13">
        <v>7842224734</v>
      </c>
      <c r="R17" s="185">
        <f t="shared" si="0"/>
        <v>112.8</v>
      </c>
      <c r="S17" s="184"/>
      <c r="T17" s="13" t="s">
        <v>1125</v>
      </c>
    </row>
    <row r="18" spans="1:20" ht="51.75" customHeight="1" x14ac:dyDescent="0.25">
      <c r="A18" s="188">
        <v>7</v>
      </c>
      <c r="B18" s="188" t="s">
        <v>2744</v>
      </c>
      <c r="C18" s="181" t="s">
        <v>2841</v>
      </c>
      <c r="D18" s="171" t="s">
        <v>2840</v>
      </c>
      <c r="E18" s="13" t="s">
        <v>15</v>
      </c>
      <c r="F18" s="178" t="s">
        <v>2839</v>
      </c>
      <c r="G18" s="186">
        <v>15900</v>
      </c>
      <c r="H18" s="163" t="s">
        <v>2366</v>
      </c>
      <c r="I18" s="163">
        <v>9721058155</v>
      </c>
      <c r="J18" s="178" t="s">
        <v>2838</v>
      </c>
      <c r="K18" s="186">
        <v>15900</v>
      </c>
      <c r="L18" s="13" t="s">
        <v>369</v>
      </c>
      <c r="M18" s="13">
        <v>7702680818</v>
      </c>
      <c r="N18" s="178" t="s">
        <v>2837</v>
      </c>
      <c r="O18" s="186">
        <v>15900</v>
      </c>
      <c r="P18" s="13" t="s">
        <v>2077</v>
      </c>
      <c r="Q18" s="187" t="s">
        <v>2145</v>
      </c>
      <c r="R18" s="185">
        <f t="shared" si="0"/>
        <v>15900</v>
      </c>
      <c r="S18" s="184"/>
      <c r="T18" s="13" t="s">
        <v>1125</v>
      </c>
    </row>
    <row r="19" spans="1:20" ht="35.25" customHeight="1" x14ac:dyDescent="0.25">
      <c r="A19" s="188">
        <v>8</v>
      </c>
      <c r="B19" s="188" t="s">
        <v>2744</v>
      </c>
      <c r="C19" s="181" t="s">
        <v>2836</v>
      </c>
      <c r="D19" s="171" t="s">
        <v>2835</v>
      </c>
      <c r="E19" s="13" t="s">
        <v>15</v>
      </c>
      <c r="F19" s="178" t="s">
        <v>2834</v>
      </c>
      <c r="G19" s="186">
        <v>1150</v>
      </c>
      <c r="H19" s="163" t="s">
        <v>2366</v>
      </c>
      <c r="I19" s="163">
        <v>9721058155</v>
      </c>
      <c r="J19" s="178" t="s">
        <v>2833</v>
      </c>
      <c r="K19" s="186">
        <v>1150</v>
      </c>
      <c r="L19" s="13" t="s">
        <v>369</v>
      </c>
      <c r="M19" s="13">
        <v>7702680818</v>
      </c>
      <c r="N19" s="178" t="s">
        <v>2832</v>
      </c>
      <c r="O19" s="186">
        <v>1150</v>
      </c>
      <c r="P19" s="13" t="s">
        <v>2077</v>
      </c>
      <c r="Q19" s="187" t="s">
        <v>2145</v>
      </c>
      <c r="R19" s="185">
        <f t="shared" si="0"/>
        <v>1150</v>
      </c>
      <c r="S19" s="184"/>
      <c r="T19" s="13" t="s">
        <v>1125</v>
      </c>
    </row>
    <row r="20" spans="1:20" ht="42" customHeight="1" x14ac:dyDescent="0.25">
      <c r="A20" s="188">
        <v>9</v>
      </c>
      <c r="B20" s="188" t="s">
        <v>2744</v>
      </c>
      <c r="C20" s="181" t="s">
        <v>2831</v>
      </c>
      <c r="D20" s="171" t="s">
        <v>2830</v>
      </c>
      <c r="E20" s="13" t="s">
        <v>15</v>
      </c>
      <c r="F20" s="178" t="s">
        <v>2829</v>
      </c>
      <c r="G20" s="186">
        <v>1087.5</v>
      </c>
      <c r="H20" s="13" t="s">
        <v>369</v>
      </c>
      <c r="I20" s="13">
        <v>7702680818</v>
      </c>
      <c r="J20" s="178" t="s">
        <v>2828</v>
      </c>
      <c r="K20" s="186">
        <v>1088</v>
      </c>
      <c r="L20" s="163" t="s">
        <v>2778</v>
      </c>
      <c r="M20" s="163">
        <v>105070781</v>
      </c>
      <c r="N20" s="178" t="s">
        <v>2827</v>
      </c>
      <c r="O20" s="186">
        <v>1267.3800000000001</v>
      </c>
      <c r="P20" s="13" t="s">
        <v>353</v>
      </c>
      <c r="Q20" s="13">
        <v>7842224734</v>
      </c>
      <c r="R20" s="185">
        <f t="shared" si="0"/>
        <v>1087.5</v>
      </c>
      <c r="S20" s="184"/>
      <c r="T20" s="13" t="s">
        <v>1125</v>
      </c>
    </row>
    <row r="21" spans="1:20" ht="36.75" customHeight="1" x14ac:dyDescent="0.25">
      <c r="A21" s="188">
        <v>10</v>
      </c>
      <c r="B21" s="188" t="s">
        <v>2798</v>
      </c>
      <c r="C21" s="181" t="s">
        <v>2826</v>
      </c>
      <c r="D21" s="171" t="s">
        <v>2825</v>
      </c>
      <c r="E21" s="13" t="s">
        <v>15</v>
      </c>
      <c r="F21" s="178" t="s">
        <v>2824</v>
      </c>
      <c r="G21" s="186">
        <v>9750</v>
      </c>
      <c r="H21" s="163" t="s">
        <v>350</v>
      </c>
      <c r="I21" s="189">
        <v>7729108750</v>
      </c>
      <c r="J21" s="178" t="s">
        <v>2823</v>
      </c>
      <c r="K21" s="186">
        <v>8715</v>
      </c>
      <c r="L21" s="13" t="s">
        <v>378</v>
      </c>
      <c r="M21" s="189">
        <v>7704844420</v>
      </c>
      <c r="N21" s="178" t="s">
        <v>2822</v>
      </c>
      <c r="O21" s="186">
        <v>9369</v>
      </c>
      <c r="P21" s="163" t="s">
        <v>2821</v>
      </c>
      <c r="Q21" s="163">
        <v>3662238160</v>
      </c>
      <c r="R21" s="185">
        <f t="shared" si="0"/>
        <v>8715</v>
      </c>
      <c r="S21" s="184"/>
      <c r="T21" s="13" t="s">
        <v>1125</v>
      </c>
    </row>
    <row r="22" spans="1:20" ht="43.5" customHeight="1" x14ac:dyDescent="0.25">
      <c r="A22" s="188">
        <v>11</v>
      </c>
      <c r="B22" s="188" t="s">
        <v>2820</v>
      </c>
      <c r="C22" s="181" t="s">
        <v>2819</v>
      </c>
      <c r="D22" s="171" t="s">
        <v>2818</v>
      </c>
      <c r="E22" s="13" t="s">
        <v>15</v>
      </c>
      <c r="F22" s="178" t="s">
        <v>2817</v>
      </c>
      <c r="G22" s="186">
        <v>2788.8</v>
      </c>
      <c r="H22" s="13" t="s">
        <v>727</v>
      </c>
      <c r="I22" s="189">
        <v>6453073463</v>
      </c>
      <c r="J22" s="178" t="s">
        <v>2816</v>
      </c>
      <c r="K22" s="186">
        <v>2789</v>
      </c>
      <c r="L22" s="13" t="s">
        <v>2815</v>
      </c>
      <c r="M22" s="189">
        <v>504217663396</v>
      </c>
      <c r="N22" s="178" t="s">
        <v>2814</v>
      </c>
      <c r="O22" s="186">
        <v>2705.14</v>
      </c>
      <c r="P22" s="163" t="s">
        <v>2813</v>
      </c>
      <c r="Q22" s="163">
        <v>7610131367</v>
      </c>
      <c r="R22" s="185">
        <f t="shared" si="0"/>
        <v>2705.14</v>
      </c>
      <c r="S22" s="184"/>
      <c r="T22" s="13" t="s">
        <v>1125</v>
      </c>
    </row>
    <row r="23" spans="1:20" ht="44.25" customHeight="1" x14ac:dyDescent="0.25">
      <c r="A23" s="188">
        <v>12</v>
      </c>
      <c r="B23" s="407" t="s">
        <v>2812</v>
      </c>
      <c r="C23" s="406" t="s">
        <v>2811</v>
      </c>
      <c r="D23" s="171" t="s">
        <v>2810</v>
      </c>
      <c r="E23" s="163" t="s">
        <v>15</v>
      </c>
      <c r="F23" s="178" t="s">
        <v>2809</v>
      </c>
      <c r="G23" s="405">
        <v>513.79</v>
      </c>
      <c r="H23" s="163" t="s">
        <v>2541</v>
      </c>
      <c r="I23" s="189">
        <v>7717803967</v>
      </c>
      <c r="J23" s="178" t="s">
        <v>2808</v>
      </c>
      <c r="K23" s="405">
        <v>430</v>
      </c>
      <c r="L23" s="163" t="s">
        <v>2807</v>
      </c>
      <c r="M23" s="163">
        <v>5256121772</v>
      </c>
      <c r="N23" s="178" t="s">
        <v>2806</v>
      </c>
      <c r="O23" s="405">
        <v>580.29999999999995</v>
      </c>
      <c r="P23" s="163" t="s">
        <v>2805</v>
      </c>
      <c r="Q23" s="189">
        <v>7715756341</v>
      </c>
      <c r="R23" s="175">
        <f t="shared" si="0"/>
        <v>430</v>
      </c>
      <c r="S23" s="184"/>
      <c r="T23" s="13" t="s">
        <v>1125</v>
      </c>
    </row>
    <row r="24" spans="1:20" ht="68.25" customHeight="1" x14ac:dyDescent="0.25">
      <c r="A24" s="188">
        <v>13</v>
      </c>
      <c r="B24" s="188" t="s">
        <v>2744</v>
      </c>
      <c r="C24" s="181" t="s">
        <v>2804</v>
      </c>
      <c r="D24" s="171" t="s">
        <v>2803</v>
      </c>
      <c r="E24" s="163" t="s">
        <v>15</v>
      </c>
      <c r="F24" s="178" t="s">
        <v>2802</v>
      </c>
      <c r="G24" s="186">
        <v>468387</v>
      </c>
      <c r="H24" s="13" t="s">
        <v>2077</v>
      </c>
      <c r="I24" s="187" t="s">
        <v>2145</v>
      </c>
      <c r="J24" s="178" t="s">
        <v>2801</v>
      </c>
      <c r="K24" s="186">
        <v>468387</v>
      </c>
      <c r="L24" s="163" t="s">
        <v>2366</v>
      </c>
      <c r="M24" s="163">
        <v>9721058155</v>
      </c>
      <c r="N24" s="178" t="s">
        <v>2800</v>
      </c>
      <c r="O24" s="186">
        <v>486387</v>
      </c>
      <c r="P24" s="163" t="s">
        <v>2799</v>
      </c>
      <c r="Q24" s="163">
        <v>5007081181</v>
      </c>
      <c r="R24" s="185">
        <f t="shared" si="0"/>
        <v>468387</v>
      </c>
      <c r="S24" s="184"/>
      <c r="T24" s="13" t="s">
        <v>1125</v>
      </c>
    </row>
    <row r="25" spans="1:20" ht="36.75" customHeight="1" x14ac:dyDescent="0.25">
      <c r="A25" s="188">
        <v>14</v>
      </c>
      <c r="B25" s="188" t="s">
        <v>2798</v>
      </c>
      <c r="C25" s="181" t="s">
        <v>2797</v>
      </c>
      <c r="D25" s="171" t="s">
        <v>2796</v>
      </c>
      <c r="E25" s="163" t="s">
        <v>15</v>
      </c>
      <c r="F25" s="178" t="s">
        <v>2795</v>
      </c>
      <c r="G25" s="186">
        <v>40150</v>
      </c>
      <c r="H25" s="13" t="s">
        <v>369</v>
      </c>
      <c r="I25" s="13">
        <v>7702680818</v>
      </c>
      <c r="J25" s="178" t="s">
        <v>2794</v>
      </c>
      <c r="K25" s="186">
        <v>41385.379999999997</v>
      </c>
      <c r="L25" s="163" t="s">
        <v>2366</v>
      </c>
      <c r="M25" s="163">
        <v>9721058155</v>
      </c>
      <c r="N25" s="178" t="s">
        <v>2793</v>
      </c>
      <c r="O25" s="186">
        <v>40150</v>
      </c>
      <c r="P25" s="13" t="s">
        <v>2077</v>
      </c>
      <c r="Q25" s="187" t="s">
        <v>2145</v>
      </c>
      <c r="R25" s="185">
        <f t="shared" si="0"/>
        <v>40150</v>
      </c>
      <c r="S25" s="184"/>
      <c r="T25" s="13" t="s">
        <v>1125</v>
      </c>
    </row>
    <row r="26" spans="1:20" ht="44.25" customHeight="1" x14ac:dyDescent="0.25">
      <c r="A26" s="188">
        <v>15</v>
      </c>
      <c r="B26" s="188" t="s">
        <v>2792</v>
      </c>
      <c r="C26" s="181" t="s">
        <v>2791</v>
      </c>
      <c r="D26" s="171" t="s">
        <v>2790</v>
      </c>
      <c r="E26" s="163" t="s">
        <v>15</v>
      </c>
      <c r="F26" s="178" t="s">
        <v>2789</v>
      </c>
      <c r="G26" s="186">
        <v>26811</v>
      </c>
      <c r="H26" s="13" t="s">
        <v>2077</v>
      </c>
      <c r="I26" s="187" t="s">
        <v>2145</v>
      </c>
      <c r="J26" s="178" t="s">
        <v>2788</v>
      </c>
      <c r="K26" s="186">
        <v>22343</v>
      </c>
      <c r="L26" s="13" t="s">
        <v>2787</v>
      </c>
      <c r="M26" s="189" t="s">
        <v>2786</v>
      </c>
      <c r="N26" s="178" t="s">
        <v>2785</v>
      </c>
      <c r="O26" s="186">
        <v>29790</v>
      </c>
      <c r="P26" s="163" t="s">
        <v>2784</v>
      </c>
      <c r="Q26" s="163">
        <v>7727146213</v>
      </c>
      <c r="R26" s="185">
        <f t="shared" si="0"/>
        <v>22343</v>
      </c>
      <c r="S26" s="184"/>
      <c r="T26" s="13" t="s">
        <v>1125</v>
      </c>
    </row>
    <row r="27" spans="1:20" ht="39.75" customHeight="1" x14ac:dyDescent="0.25">
      <c r="A27" s="188">
        <v>16</v>
      </c>
      <c r="B27" s="188" t="s">
        <v>2744</v>
      </c>
      <c r="C27" s="181" t="s">
        <v>2783</v>
      </c>
      <c r="D27" s="171" t="s">
        <v>2782</v>
      </c>
      <c r="E27" s="163" t="s">
        <v>15</v>
      </c>
      <c r="F27" s="178" t="s">
        <v>2781</v>
      </c>
      <c r="G27" s="186">
        <v>20</v>
      </c>
      <c r="H27" s="13" t="s">
        <v>369</v>
      </c>
      <c r="I27" s="13">
        <v>7702680818</v>
      </c>
      <c r="J27" s="178" t="s">
        <v>2780</v>
      </c>
      <c r="K27" s="186">
        <v>20</v>
      </c>
      <c r="L27" s="13" t="s">
        <v>2077</v>
      </c>
      <c r="M27" s="187" t="s">
        <v>2145</v>
      </c>
      <c r="N27" s="178" t="s">
        <v>2779</v>
      </c>
      <c r="O27" s="186">
        <v>20</v>
      </c>
      <c r="P27" s="163" t="s">
        <v>2778</v>
      </c>
      <c r="Q27" s="163">
        <v>105070781</v>
      </c>
      <c r="R27" s="185">
        <f t="shared" si="0"/>
        <v>20</v>
      </c>
      <c r="S27" s="184"/>
      <c r="T27" s="13" t="s">
        <v>1125</v>
      </c>
    </row>
    <row r="28" spans="1:20" ht="43.5" customHeight="1" x14ac:dyDescent="0.25">
      <c r="A28" s="188">
        <v>17</v>
      </c>
      <c r="B28" s="188" t="s">
        <v>2737</v>
      </c>
      <c r="C28" s="181" t="s">
        <v>2777</v>
      </c>
      <c r="D28" s="171" t="s">
        <v>2776</v>
      </c>
      <c r="E28" s="13" t="s">
        <v>818</v>
      </c>
      <c r="F28" s="404" t="s">
        <v>2775</v>
      </c>
      <c r="G28" s="186">
        <v>67870</v>
      </c>
      <c r="H28" s="163" t="s">
        <v>815</v>
      </c>
      <c r="I28" s="163">
        <v>7713587786</v>
      </c>
      <c r="J28" s="178" t="s">
        <v>2774</v>
      </c>
      <c r="K28" s="186">
        <v>77142</v>
      </c>
      <c r="L28" s="163" t="s">
        <v>2763</v>
      </c>
      <c r="M28" s="403">
        <v>6679042890</v>
      </c>
      <c r="N28" s="178" t="s">
        <v>2773</v>
      </c>
      <c r="O28" s="186">
        <v>78522</v>
      </c>
      <c r="P28" s="13" t="s">
        <v>2481</v>
      </c>
      <c r="Q28" s="13">
        <v>9715308907</v>
      </c>
      <c r="R28" s="185">
        <f t="shared" si="0"/>
        <v>67870</v>
      </c>
      <c r="S28" s="184"/>
      <c r="T28" s="13" t="s">
        <v>1125</v>
      </c>
    </row>
    <row r="29" spans="1:20" ht="43.5" customHeight="1" x14ac:dyDescent="0.25">
      <c r="A29" s="188">
        <v>18</v>
      </c>
      <c r="B29" s="188" t="s">
        <v>2737</v>
      </c>
      <c r="C29" s="181" t="s">
        <v>2772</v>
      </c>
      <c r="D29" s="171" t="s">
        <v>2771</v>
      </c>
      <c r="E29" s="13" t="s">
        <v>818</v>
      </c>
      <c r="F29" s="178" t="s">
        <v>2770</v>
      </c>
      <c r="G29" s="186">
        <v>103350</v>
      </c>
      <c r="H29" s="163" t="s">
        <v>454</v>
      </c>
      <c r="I29" s="163">
        <v>5027330076</v>
      </c>
      <c r="J29" s="178" t="s">
        <v>2769</v>
      </c>
      <c r="K29" s="186">
        <v>82860</v>
      </c>
      <c r="L29" s="163" t="s">
        <v>815</v>
      </c>
      <c r="M29" s="163">
        <v>7713587786</v>
      </c>
      <c r="N29" s="178" t="s">
        <v>2768</v>
      </c>
      <c r="O29" s="186">
        <v>96600</v>
      </c>
      <c r="P29" s="163" t="s">
        <v>2763</v>
      </c>
      <c r="Q29" s="403">
        <v>6679042890</v>
      </c>
      <c r="R29" s="185">
        <f t="shared" si="0"/>
        <v>82860</v>
      </c>
      <c r="S29" s="184"/>
      <c r="T29" s="13" t="s">
        <v>1125</v>
      </c>
    </row>
    <row r="30" spans="1:20" ht="43.5" customHeight="1" x14ac:dyDescent="0.25">
      <c r="A30" s="188">
        <v>19</v>
      </c>
      <c r="B30" s="188" t="s">
        <v>2737</v>
      </c>
      <c r="C30" s="181" t="s">
        <v>2767</v>
      </c>
      <c r="D30" s="171" t="s">
        <v>2766</v>
      </c>
      <c r="E30" s="13" t="s">
        <v>818</v>
      </c>
      <c r="F30" s="178" t="s">
        <v>2765</v>
      </c>
      <c r="G30" s="186">
        <v>82080</v>
      </c>
      <c r="H30" s="163" t="s">
        <v>815</v>
      </c>
      <c r="I30" s="163">
        <v>7713587786</v>
      </c>
      <c r="J30" s="178" t="s">
        <v>2764</v>
      </c>
      <c r="K30" s="186">
        <v>94392</v>
      </c>
      <c r="L30" s="163" t="s">
        <v>2763</v>
      </c>
      <c r="M30" s="403">
        <v>6679042890</v>
      </c>
      <c r="N30" s="178" t="s">
        <v>2762</v>
      </c>
      <c r="O30" s="186">
        <v>110000</v>
      </c>
      <c r="P30" s="163" t="s">
        <v>350</v>
      </c>
      <c r="Q30" s="403">
        <v>7729108750</v>
      </c>
      <c r="R30" s="185">
        <f t="shared" si="0"/>
        <v>82080</v>
      </c>
      <c r="S30" s="184"/>
      <c r="T30" s="13" t="s">
        <v>1125</v>
      </c>
    </row>
    <row r="31" spans="1:20" ht="43.5" customHeight="1" x14ac:dyDescent="0.25">
      <c r="A31" s="188">
        <v>20</v>
      </c>
      <c r="B31" s="188" t="s">
        <v>2737</v>
      </c>
      <c r="C31" s="181" t="s">
        <v>2761</v>
      </c>
      <c r="D31" s="171" t="s">
        <v>2760</v>
      </c>
      <c r="E31" s="13" t="s">
        <v>818</v>
      </c>
      <c r="F31" s="178" t="s">
        <v>2759</v>
      </c>
      <c r="G31" s="186">
        <v>25581.94</v>
      </c>
      <c r="H31" s="163" t="s">
        <v>2366</v>
      </c>
      <c r="I31" s="163">
        <v>9721058155</v>
      </c>
      <c r="J31" s="178" t="s">
        <v>2758</v>
      </c>
      <c r="K31" s="186">
        <v>18675</v>
      </c>
      <c r="L31" s="13" t="s">
        <v>2077</v>
      </c>
      <c r="M31" s="187" t="s">
        <v>2145</v>
      </c>
      <c r="N31" s="178" t="s">
        <v>2757</v>
      </c>
      <c r="O31" s="186">
        <v>25581.94</v>
      </c>
      <c r="P31" s="163" t="s">
        <v>2756</v>
      </c>
      <c r="Q31" s="163">
        <v>9705198797</v>
      </c>
      <c r="R31" s="185">
        <f t="shared" si="0"/>
        <v>18675</v>
      </c>
      <c r="S31" s="184"/>
      <c r="T31" s="13" t="s">
        <v>1125</v>
      </c>
    </row>
    <row r="32" spans="1:20" ht="51.75" customHeight="1" x14ac:dyDescent="0.25">
      <c r="A32" s="188">
        <v>21</v>
      </c>
      <c r="B32" s="188" t="s">
        <v>2737</v>
      </c>
      <c r="C32" s="181" t="s">
        <v>2755</v>
      </c>
      <c r="D32" s="171" t="s">
        <v>2754</v>
      </c>
      <c r="E32" s="13" t="s">
        <v>139</v>
      </c>
      <c r="F32" s="178" t="s">
        <v>2753</v>
      </c>
      <c r="G32" s="186">
        <v>69.010000000000005</v>
      </c>
      <c r="H32" s="163" t="s">
        <v>506</v>
      </c>
      <c r="I32" s="163">
        <v>7722786153</v>
      </c>
      <c r="J32" s="178" t="s">
        <v>2752</v>
      </c>
      <c r="K32" s="186">
        <v>67.349999999999994</v>
      </c>
      <c r="L32" s="163" t="s">
        <v>2751</v>
      </c>
      <c r="M32" s="403">
        <v>5904263387</v>
      </c>
      <c r="N32" s="178" t="s">
        <v>2750</v>
      </c>
      <c r="O32" s="186">
        <v>58.82</v>
      </c>
      <c r="P32" s="13" t="s">
        <v>353</v>
      </c>
      <c r="Q32" s="13">
        <v>7842224734</v>
      </c>
      <c r="R32" s="185">
        <f t="shared" si="0"/>
        <v>58.82</v>
      </c>
      <c r="S32" s="184"/>
      <c r="T32" s="13" t="s">
        <v>1125</v>
      </c>
    </row>
    <row r="33" spans="1:20" ht="53.25" customHeight="1" x14ac:dyDescent="0.25">
      <c r="A33" s="188">
        <v>22</v>
      </c>
      <c r="B33" s="188" t="s">
        <v>2744</v>
      </c>
      <c r="C33" s="181" t="s">
        <v>2749</v>
      </c>
      <c r="D33" s="171" t="s">
        <v>2748</v>
      </c>
      <c r="E33" s="163" t="s">
        <v>15</v>
      </c>
      <c r="F33" s="178" t="s">
        <v>2747</v>
      </c>
      <c r="G33" s="186">
        <v>12800</v>
      </c>
      <c r="H33" s="163" t="s">
        <v>2366</v>
      </c>
      <c r="I33" s="163">
        <v>9721058155</v>
      </c>
      <c r="J33" s="178" t="s">
        <v>2746</v>
      </c>
      <c r="K33" s="186">
        <v>12800</v>
      </c>
      <c r="L33" s="163" t="s">
        <v>2739</v>
      </c>
      <c r="M33" s="403">
        <v>2465266818</v>
      </c>
      <c r="N33" s="178" t="s">
        <v>2745</v>
      </c>
      <c r="O33" s="186">
        <v>12800</v>
      </c>
      <c r="P33" s="13" t="s">
        <v>369</v>
      </c>
      <c r="Q33" s="13">
        <v>7702680818</v>
      </c>
      <c r="R33" s="185">
        <f t="shared" si="0"/>
        <v>12800</v>
      </c>
      <c r="S33" s="184"/>
      <c r="T33" s="13" t="s">
        <v>1125</v>
      </c>
    </row>
    <row r="34" spans="1:20" ht="43.5" customHeight="1" x14ac:dyDescent="0.25">
      <c r="A34" s="188">
        <v>23</v>
      </c>
      <c r="B34" s="188" t="s">
        <v>2744</v>
      </c>
      <c r="C34" s="181" t="s">
        <v>2743</v>
      </c>
      <c r="D34" s="171" t="s">
        <v>2742</v>
      </c>
      <c r="E34" s="163" t="s">
        <v>15</v>
      </c>
      <c r="F34" s="178" t="s">
        <v>2741</v>
      </c>
      <c r="G34" s="186">
        <v>22800</v>
      </c>
      <c r="H34" s="163" t="s">
        <v>2366</v>
      </c>
      <c r="I34" s="163">
        <v>9721058155</v>
      </c>
      <c r="J34" s="178" t="s">
        <v>2740</v>
      </c>
      <c r="K34" s="186">
        <v>20700</v>
      </c>
      <c r="L34" s="163" t="s">
        <v>2739</v>
      </c>
      <c r="M34" s="403">
        <v>2465266818</v>
      </c>
      <c r="N34" s="178" t="s">
        <v>2738</v>
      </c>
      <c r="O34" s="186">
        <v>22800</v>
      </c>
      <c r="P34" s="13" t="s">
        <v>369</v>
      </c>
      <c r="Q34" s="13">
        <v>7702680818</v>
      </c>
      <c r="R34" s="185">
        <f t="shared" si="0"/>
        <v>20700</v>
      </c>
      <c r="S34" s="184"/>
      <c r="T34" s="13" t="s">
        <v>1125</v>
      </c>
    </row>
    <row r="35" spans="1:20" ht="43.5" customHeight="1" x14ac:dyDescent="0.25">
      <c r="A35" s="188">
        <v>24</v>
      </c>
      <c r="B35" s="188" t="s">
        <v>2737</v>
      </c>
      <c r="C35" s="181" t="s">
        <v>2736</v>
      </c>
      <c r="D35" s="171" t="s">
        <v>2735</v>
      </c>
      <c r="E35" s="13" t="s">
        <v>139</v>
      </c>
      <c r="F35" s="178" t="s">
        <v>2734</v>
      </c>
      <c r="G35" s="186">
        <v>240.73</v>
      </c>
      <c r="H35" s="163" t="s">
        <v>2733</v>
      </c>
      <c r="I35" s="163">
        <v>2312127366</v>
      </c>
      <c r="J35" s="178" t="s">
        <v>2732</v>
      </c>
      <c r="K35" s="186">
        <v>211.39</v>
      </c>
      <c r="L35" s="163" t="s">
        <v>570</v>
      </c>
      <c r="M35" s="168" t="s">
        <v>2731</v>
      </c>
      <c r="N35" s="178" t="s">
        <v>2730</v>
      </c>
      <c r="O35" s="186">
        <v>260.52</v>
      </c>
      <c r="P35" s="13" t="s">
        <v>2729</v>
      </c>
      <c r="Q35" s="13">
        <v>7810623359</v>
      </c>
      <c r="R35" s="185">
        <f t="shared" si="0"/>
        <v>211.39</v>
      </c>
      <c r="S35" s="184"/>
      <c r="T35" s="13" t="s">
        <v>1125</v>
      </c>
    </row>
    <row r="36" spans="1:20" x14ac:dyDescent="0.25">
      <c r="A36" s="160"/>
      <c r="I36" s="87"/>
      <c r="J36" s="87"/>
      <c r="K36" s="87"/>
      <c r="L36" s="87"/>
      <c r="M36" s="87"/>
      <c r="N36" s="87"/>
      <c r="O36" s="87"/>
      <c r="P36" s="87"/>
      <c r="Q36" s="159"/>
    </row>
    <row r="37" spans="1:20" x14ac:dyDescent="0.25">
      <c r="A37" s="14"/>
      <c r="B37" s="14"/>
      <c r="C37" s="14"/>
      <c r="D37" s="14"/>
      <c r="E37" s="14"/>
      <c r="F37" s="14"/>
      <c r="G37" s="14"/>
      <c r="H37" s="14"/>
      <c r="I37" s="14"/>
      <c r="J37" s="14"/>
      <c r="K37" s="14"/>
      <c r="L37" s="14"/>
      <c r="M37" s="14"/>
      <c r="N37" s="14"/>
      <c r="O37" s="14"/>
      <c r="P37" s="14"/>
      <c r="Q37" s="14"/>
      <c r="R37" s="14"/>
      <c r="S37" s="156"/>
      <c r="T37" s="14"/>
    </row>
    <row r="38" spans="1:20" x14ac:dyDescent="0.25">
      <c r="A38" s="14"/>
      <c r="B38" s="517" t="s">
        <v>16</v>
      </c>
      <c r="C38" s="517"/>
      <c r="D38" s="517"/>
      <c r="E38" s="14"/>
      <c r="F38" s="14"/>
      <c r="G38" s="14"/>
      <c r="H38" s="14"/>
      <c r="I38" s="14"/>
      <c r="J38" s="14"/>
      <c r="K38" s="14"/>
      <c r="L38" s="14"/>
      <c r="M38" s="14"/>
      <c r="N38" s="14"/>
      <c r="O38" s="14"/>
      <c r="P38" s="14"/>
      <c r="Q38" s="518" t="s">
        <v>25</v>
      </c>
      <c r="R38" s="518"/>
      <c r="S38" s="156"/>
      <c r="T38" s="14"/>
    </row>
    <row r="39" spans="1:20" x14ac:dyDescent="0.25">
      <c r="A39" s="14"/>
      <c r="B39" s="82"/>
      <c r="C39" s="82"/>
      <c r="D39" s="82"/>
      <c r="E39" s="14"/>
      <c r="F39" s="14"/>
      <c r="G39" s="14"/>
      <c r="H39" s="14"/>
      <c r="I39" s="14"/>
      <c r="J39" s="14"/>
      <c r="K39" s="14"/>
      <c r="L39" s="14"/>
      <c r="M39" s="14"/>
      <c r="N39" s="14"/>
      <c r="O39" s="14"/>
      <c r="P39" s="14"/>
      <c r="Q39" s="82"/>
      <c r="R39" s="82"/>
      <c r="S39" s="156"/>
      <c r="T39" s="14"/>
    </row>
    <row r="40" spans="1:20" x14ac:dyDescent="0.25">
      <c r="A40" s="14"/>
      <c r="B40" s="82"/>
      <c r="C40" s="82"/>
      <c r="D40" s="82"/>
      <c r="E40" s="14"/>
      <c r="F40" s="14"/>
      <c r="G40" s="14"/>
      <c r="H40" s="14"/>
      <c r="I40" s="14"/>
      <c r="J40" s="14"/>
      <c r="K40" s="14"/>
      <c r="L40" s="14"/>
      <c r="M40" s="14"/>
      <c r="N40" s="14"/>
      <c r="O40" s="14"/>
      <c r="P40" s="14"/>
      <c r="Q40" s="82"/>
      <c r="R40" s="82"/>
      <c r="S40" s="156"/>
      <c r="T40" s="14"/>
    </row>
    <row r="41" spans="1:20" x14ac:dyDescent="0.25">
      <c r="A41" s="14"/>
      <c r="B41" s="82"/>
      <c r="C41" s="82"/>
      <c r="D41" s="82"/>
      <c r="E41" s="14"/>
      <c r="F41" s="14"/>
      <c r="G41" s="14"/>
      <c r="H41" s="14"/>
      <c r="I41" s="14"/>
      <c r="J41" s="14"/>
      <c r="K41" s="14"/>
      <c r="L41" s="14"/>
      <c r="M41" s="14"/>
      <c r="N41" s="14"/>
      <c r="O41" s="14" t="s">
        <v>1009</v>
      </c>
      <c r="P41" s="14"/>
      <c r="Q41" s="82"/>
      <c r="R41" s="82"/>
      <c r="S41" s="156"/>
      <c r="T41" s="14"/>
    </row>
    <row r="42" spans="1:20" ht="37.5" customHeight="1" x14ac:dyDescent="0.25">
      <c r="A42" s="14"/>
      <c r="B42" s="82"/>
      <c r="C42" s="520" t="s">
        <v>23</v>
      </c>
      <c r="D42" s="82"/>
      <c r="E42" s="14"/>
      <c r="F42" s="14"/>
      <c r="G42" s="14"/>
      <c r="H42" s="14"/>
      <c r="I42" s="14"/>
      <c r="J42" s="14"/>
      <c r="K42" s="14"/>
      <c r="L42" s="14"/>
      <c r="M42" s="14"/>
      <c r="N42" s="520" t="s">
        <v>1008</v>
      </c>
      <c r="O42" s="520"/>
      <c r="P42" s="520"/>
      <c r="Q42" s="520"/>
      <c r="R42" s="82"/>
      <c r="S42" s="156"/>
      <c r="T42" s="14"/>
    </row>
    <row r="43" spans="1:20" ht="15.75" customHeight="1" x14ac:dyDescent="0.25">
      <c r="A43" s="14"/>
      <c r="B43" s="82"/>
      <c r="C43" s="520"/>
      <c r="D43" s="21"/>
      <c r="E43" s="21"/>
      <c r="F43" s="14"/>
      <c r="G43" s="14"/>
      <c r="H43" s="157" t="s">
        <v>1007</v>
      </c>
      <c r="I43" s="14"/>
      <c r="J43" s="14"/>
      <c r="K43" s="14"/>
      <c r="L43" s="14"/>
      <c r="M43" s="14"/>
      <c r="N43" s="21" t="s">
        <v>19</v>
      </c>
      <c r="O43" s="540" t="s">
        <v>21</v>
      </c>
      <c r="P43" s="540"/>
      <c r="Q43" s="540"/>
      <c r="R43" s="540"/>
      <c r="S43" s="156" t="s">
        <v>22</v>
      </c>
      <c r="T43" s="14"/>
    </row>
    <row r="44" spans="1:20" x14ac:dyDescent="0.25">
      <c r="A44" s="14"/>
      <c r="B44" s="520" t="s">
        <v>1006</v>
      </c>
      <c r="C44" s="540"/>
      <c r="D44" s="540"/>
      <c r="E44" s="540"/>
      <c r="F44" s="540"/>
      <c r="G44" s="540"/>
      <c r="H44" s="540"/>
      <c r="I44" s="540"/>
      <c r="J44" s="540"/>
      <c r="K44" s="540"/>
      <c r="L44" s="540"/>
      <c r="M44" s="540"/>
      <c r="N44" s="540"/>
      <c r="O44" s="540"/>
      <c r="P44" s="540"/>
      <c r="Q44" s="540"/>
      <c r="R44" s="82"/>
      <c r="S44" s="158"/>
      <c r="T44" s="14"/>
    </row>
    <row r="45" spans="1:20" x14ac:dyDescent="0.25">
      <c r="A45" s="14"/>
      <c r="B45" s="82"/>
      <c r="C45" s="82"/>
      <c r="D45" s="82"/>
      <c r="E45" s="14"/>
      <c r="F45" s="14"/>
      <c r="G45" s="14"/>
      <c r="H45" s="157"/>
      <c r="I45" s="14"/>
      <c r="J45" s="14"/>
      <c r="K45" s="14"/>
      <c r="L45" s="14"/>
      <c r="M45" s="14"/>
      <c r="N45" s="14"/>
      <c r="O45" s="14"/>
      <c r="P45" s="14"/>
      <c r="Q45" s="82"/>
      <c r="R45" s="82"/>
      <c r="S45" s="156"/>
      <c r="T45" s="14"/>
    </row>
    <row r="46" spans="1:20" x14ac:dyDescent="0.25">
      <c r="A46" s="14"/>
      <c r="B46" s="519"/>
      <c r="C46" s="519"/>
      <c r="D46" s="519"/>
      <c r="E46" s="14"/>
      <c r="F46" s="14"/>
      <c r="G46" s="14"/>
      <c r="H46" s="14"/>
      <c r="I46" s="14"/>
      <c r="J46" s="14"/>
      <c r="K46" s="14"/>
      <c r="L46" s="14"/>
      <c r="M46" s="14"/>
      <c r="N46" s="14"/>
      <c r="O46" s="14"/>
      <c r="P46" s="14"/>
      <c r="Q46" s="519" t="s">
        <v>19</v>
      </c>
      <c r="R46" s="519"/>
      <c r="S46" s="519"/>
      <c r="T46" s="14"/>
    </row>
    <row r="47" spans="1:20" x14ac:dyDescent="0.25">
      <c r="A47" s="14"/>
      <c r="B47" s="519" t="s">
        <v>19</v>
      </c>
      <c r="C47" s="519"/>
      <c r="D47" s="519"/>
      <c r="E47" s="14"/>
      <c r="F47" s="14"/>
      <c r="G47" s="14"/>
      <c r="H47" s="14"/>
      <c r="I47" s="14"/>
      <c r="J47" s="14"/>
      <c r="K47" s="14"/>
      <c r="L47" s="14"/>
      <c r="M47" s="14"/>
      <c r="N47" s="14"/>
      <c r="O47" s="14"/>
      <c r="P47" s="14"/>
      <c r="Q47" s="519" t="s">
        <v>19</v>
      </c>
      <c r="R47" s="519"/>
      <c r="S47" s="519"/>
      <c r="T47" s="14"/>
    </row>
    <row r="48" spans="1:20" x14ac:dyDescent="0.25">
      <c r="A48" s="14"/>
      <c r="B48" s="14"/>
      <c r="C48" s="14"/>
      <c r="D48" s="14"/>
      <c r="E48" s="14"/>
      <c r="F48" s="14"/>
      <c r="G48" s="14"/>
      <c r="H48" s="14"/>
      <c r="I48" s="14"/>
      <c r="J48" s="14"/>
      <c r="K48" s="14"/>
      <c r="L48" s="14"/>
      <c r="M48" s="14"/>
      <c r="N48" s="14"/>
      <c r="O48" s="14"/>
      <c r="P48" s="14"/>
      <c r="Q48" s="14"/>
      <c r="R48" s="14"/>
      <c r="S48" s="156"/>
      <c r="T48" s="14"/>
    </row>
    <row r="49" spans="1:20" x14ac:dyDescent="0.25">
      <c r="A49" s="14"/>
      <c r="B49" s="14"/>
      <c r="C49" s="14"/>
      <c r="D49" s="14"/>
      <c r="E49" s="14"/>
      <c r="F49" s="14"/>
      <c r="G49" s="14"/>
      <c r="H49" s="14"/>
      <c r="I49" s="14"/>
      <c r="J49" s="14"/>
      <c r="K49" s="14"/>
      <c r="L49" s="14"/>
      <c r="M49" s="14"/>
      <c r="N49" s="14"/>
      <c r="O49" s="14"/>
      <c r="P49" s="14"/>
      <c r="Q49" s="14"/>
      <c r="R49" s="14"/>
      <c r="S49" s="156"/>
      <c r="T49" s="14"/>
    </row>
    <row r="50" spans="1:20" x14ac:dyDescent="0.25">
      <c r="A50" s="14"/>
      <c r="B50" s="539" t="s">
        <v>17</v>
      </c>
      <c r="C50" s="539"/>
      <c r="D50" s="539"/>
      <c r="E50" s="539"/>
      <c r="F50" s="539"/>
      <c r="G50" s="539"/>
      <c r="H50" s="539"/>
      <c r="I50" s="539"/>
      <c r="J50" s="539"/>
      <c r="K50" s="539"/>
      <c r="L50" s="539"/>
      <c r="M50" s="539"/>
      <c r="N50" s="14"/>
      <c r="O50" s="14"/>
      <c r="P50" s="14"/>
      <c r="Q50" s="14"/>
      <c r="R50" s="14"/>
      <c r="S50" s="156"/>
      <c r="T50" s="14"/>
    </row>
    <row r="51" spans="1:20" x14ac:dyDescent="0.25">
      <c r="A51" s="14"/>
      <c r="B51" s="539" t="s">
        <v>18</v>
      </c>
      <c r="C51" s="539"/>
      <c r="D51" s="539"/>
      <c r="E51" s="539"/>
      <c r="F51" s="539"/>
      <c r="G51" s="539"/>
      <c r="H51" s="539"/>
      <c r="I51" s="539"/>
      <c r="J51" s="539"/>
      <c r="K51" s="539"/>
      <c r="L51" s="539"/>
      <c r="M51" s="539"/>
      <c r="N51" s="14"/>
      <c r="O51" s="14"/>
      <c r="P51" s="14"/>
      <c r="Q51" s="14"/>
      <c r="R51" s="14"/>
      <c r="S51" s="156"/>
      <c r="T51" s="14"/>
    </row>
    <row r="52" spans="1:20" x14ac:dyDescent="0.25">
      <c r="A52" s="14"/>
      <c r="B52" s="14"/>
      <c r="C52" s="14"/>
      <c r="D52" s="14"/>
      <c r="E52" s="14"/>
      <c r="F52" s="14"/>
      <c r="G52" s="14"/>
      <c r="H52" s="14"/>
      <c r="I52" s="14"/>
      <c r="J52" s="14"/>
      <c r="K52" s="14"/>
      <c r="L52" s="14"/>
      <c r="M52" s="14"/>
      <c r="N52" s="14"/>
      <c r="O52" s="14"/>
      <c r="P52" s="14"/>
      <c r="Q52" s="14"/>
      <c r="R52" s="14"/>
      <c r="S52" s="156"/>
      <c r="T52" s="14"/>
    </row>
  </sheetData>
  <mergeCells count="29">
    <mergeCell ref="T8:T9"/>
    <mergeCell ref="A8:A9"/>
    <mergeCell ref="B8:B9"/>
    <mergeCell ref="C8:C9"/>
    <mergeCell ref="D8:D9"/>
    <mergeCell ref="E8:E9"/>
    <mergeCell ref="C1:Q1"/>
    <mergeCell ref="F2:J2"/>
    <mergeCell ref="R3:S3"/>
    <mergeCell ref="F8:I8"/>
    <mergeCell ref="J8:M8"/>
    <mergeCell ref="N8:Q8"/>
    <mergeCell ref="R8:R9"/>
    <mergeCell ref="S8:S9"/>
    <mergeCell ref="F5:J5"/>
    <mergeCell ref="C6:S6"/>
    <mergeCell ref="B50:M50"/>
    <mergeCell ref="B51:M51"/>
    <mergeCell ref="B38:D38"/>
    <mergeCell ref="Q38:R38"/>
    <mergeCell ref="B46:D46"/>
    <mergeCell ref="Q46:S46"/>
    <mergeCell ref="B47:D47"/>
    <mergeCell ref="Q47:S47"/>
    <mergeCell ref="N42:Q42"/>
    <mergeCell ref="N44:Q44"/>
    <mergeCell ref="B44:M44"/>
    <mergeCell ref="C42:C43"/>
    <mergeCell ref="O43:R43"/>
  </mergeCells>
  <hyperlinks>
    <hyperlink ref="F12" r:id="rId1" xr:uid="{00000000-0004-0000-0D00-000000000000}"/>
    <hyperlink ref="J12" r:id="rId2" xr:uid="{00000000-0004-0000-0D00-000001000000}"/>
    <hyperlink ref="N12" r:id="rId3" xr:uid="{00000000-0004-0000-0D00-000002000000}"/>
    <hyperlink ref="F13" r:id="rId4" xr:uid="{00000000-0004-0000-0D00-000003000000}"/>
    <hyperlink ref="J13" r:id="rId5" xr:uid="{00000000-0004-0000-0D00-000004000000}"/>
    <hyperlink ref="N13" r:id="rId6" display="https://satro-paladin.com/catalog/product/178883/?utm_source=InHouse-yandex&amp;utm_medium=cpc&amp;utm_campaign=eLama%20%7C%20Товарная%20%7C%20Все%20категории%20%7C%20Оплата%20за%20клики%20%7C%20РФ&amp;utm_content=cid%7C116808275%7Cgid%7C5523346548%7Caid%7C16721266298%7Cadp%7Cno%7Cdvc%7Cdesktop%7Cpid%7C53953368071%7Crid%7C53953368071%7Cdid%7C53953368071%7Cpos%7Cother2%7Cadn%7Csearch%7Ccrid%7C0%7C&amp;utm_term=---autotargeting&amp;ybaip=1&amp;yclid=7575150345693429759" xr:uid="{00000000-0004-0000-0D00-000005000000}"/>
    <hyperlink ref="F14" r:id="rId7" xr:uid="{00000000-0004-0000-0D00-000006000000}"/>
    <hyperlink ref="J14" r:id="rId8" xr:uid="{00000000-0004-0000-0D00-000007000000}"/>
    <hyperlink ref="N14" r:id="rId9" xr:uid="{00000000-0004-0000-0D00-000008000000}"/>
    <hyperlink ref="F15" r:id="rId10" xr:uid="{00000000-0004-0000-0D00-000009000000}"/>
    <hyperlink ref="J15" r:id="rId11" xr:uid="{00000000-0004-0000-0D00-00000A000000}"/>
    <hyperlink ref="N15" r:id="rId12" xr:uid="{00000000-0004-0000-0D00-00000B000000}"/>
    <hyperlink ref="F16" r:id="rId13" xr:uid="{00000000-0004-0000-0D00-00000C000000}"/>
    <hyperlink ref="J16" r:id="rId14" display="https://videoglaz.ru/izveschateli-magnitokontaktnye/magnito-kontakt/magnito-kontakt-io-102-26-isp00-ayaks?utm_source=yandex_direct_27&amp;utm_medium=cpc&amp;utm_campaign=ДСА-Cистема%20охранно-пожарной%20сигнализации&amp;utm_content=1881100748282217637&amp;utm_term=---autotargeting&amp;region=213&amp;region_name=Москва.desktop.Москва.205619083150.none&amp;block=other.1&amp;source=search.yandex.ru&amp;yclid=11296529709190610943" xr:uid="{00000000-0004-0000-0D00-00000D000000}"/>
    <hyperlink ref="N16" r:id="rId15" xr:uid="{00000000-0004-0000-0D00-00000E000000}"/>
    <hyperlink ref="F17" r:id="rId16" xr:uid="{00000000-0004-0000-0D00-00000F000000}"/>
    <hyperlink ref="J17" r:id="rId17" xr:uid="{00000000-0004-0000-0D00-000010000000}"/>
    <hyperlink ref="N17" r:id="rId18" xr:uid="{00000000-0004-0000-0D00-000011000000}"/>
    <hyperlink ref="F18" r:id="rId19" xr:uid="{00000000-0004-0000-0D00-000012000000}"/>
    <hyperlink ref="J18" r:id="rId20" xr:uid="{00000000-0004-0000-0D00-000013000000}"/>
    <hyperlink ref="N18" r:id="rId21" xr:uid="{00000000-0004-0000-0D00-000014000000}"/>
    <hyperlink ref="F19" r:id="rId22" xr:uid="{00000000-0004-0000-0D00-000015000000}"/>
    <hyperlink ref="J19" r:id="rId23" xr:uid="{00000000-0004-0000-0D00-000016000000}"/>
    <hyperlink ref="N19" r:id="rId24" xr:uid="{00000000-0004-0000-0D00-000017000000}"/>
    <hyperlink ref="F20" r:id="rId25" xr:uid="{00000000-0004-0000-0D00-000018000000}"/>
    <hyperlink ref="J20" r:id="rId26" xr:uid="{00000000-0004-0000-0D00-000019000000}"/>
    <hyperlink ref="N20" r:id="rId27" xr:uid="{00000000-0004-0000-0D00-00001A000000}"/>
    <hyperlink ref="F21" r:id="rId28" xr:uid="{00000000-0004-0000-0D00-00001B000000}"/>
    <hyperlink ref="J21" r:id="rId29" xr:uid="{00000000-0004-0000-0D00-00001C000000}"/>
    <hyperlink ref="N21" r:id="rId30" xr:uid="{00000000-0004-0000-0D00-00001D000000}"/>
    <hyperlink ref="F22" r:id="rId31" xr:uid="{00000000-0004-0000-0D00-00001E000000}"/>
    <hyperlink ref="J22" r:id="rId32" xr:uid="{00000000-0004-0000-0D00-00001F000000}"/>
    <hyperlink ref="N22" r:id="rId33" xr:uid="{00000000-0004-0000-0D00-000020000000}"/>
    <hyperlink ref="F23" r:id="rId34" xr:uid="{00000000-0004-0000-0D00-000021000000}"/>
    <hyperlink ref="J23" r:id="rId35" xr:uid="{00000000-0004-0000-0D00-000022000000}"/>
    <hyperlink ref="N23" r:id="rId36" xr:uid="{00000000-0004-0000-0D00-000023000000}"/>
    <hyperlink ref="F24" r:id="rId37" display="https://videoglaz.ru/pribory-specialnye-i-dopolnitelnye-ustroystva/rubezh/cpiu-rubezh-isp-1?utm_source=yandex_direct_27&amp;utm_medium=cpc&amp;utm_campaign=ДСА-Cистема%20охранно-пожарной%20сигнализации&amp;utm_content=1881100748282217637&amp;utm_term=---autotargeting&amp;region=213&amp;region_name=Москва.desktop.Москва.205619083150.none&amp;block=premium.1&amp;source=search.none&amp;yclid=9352245760810811391" xr:uid="{00000000-0004-0000-0D00-000024000000}"/>
    <hyperlink ref="J24" r:id="rId38" xr:uid="{00000000-0004-0000-0D00-000025000000}"/>
    <hyperlink ref="N24" r:id="rId39" xr:uid="{00000000-0004-0000-0D00-000026000000}"/>
    <hyperlink ref="F25" r:id="rId40" xr:uid="{00000000-0004-0000-0D00-000027000000}"/>
    <hyperlink ref="J25" r:id="rId41" xr:uid="{00000000-0004-0000-0D00-000028000000}"/>
    <hyperlink ref="N25" r:id="rId42" xr:uid="{00000000-0004-0000-0D00-000029000000}"/>
    <hyperlink ref="J26" r:id="rId43" xr:uid="{00000000-0004-0000-0D00-00002A000000}"/>
    <hyperlink ref="N26" r:id="rId44" xr:uid="{00000000-0004-0000-0D00-00002B000000}"/>
    <hyperlink ref="F26" r:id="rId45" xr:uid="{00000000-0004-0000-0D00-00002C000000}"/>
    <hyperlink ref="F27" r:id="rId46" xr:uid="{00000000-0004-0000-0D00-00002D000000}"/>
    <hyperlink ref="J27" r:id="rId47" xr:uid="{00000000-0004-0000-0D00-00002E000000}"/>
    <hyperlink ref="N27" r:id="rId48" xr:uid="{00000000-0004-0000-0D00-00002F000000}"/>
    <hyperlink ref="F31" r:id="rId49" xr:uid="{00000000-0004-0000-0D00-000030000000}"/>
    <hyperlink ref="N31" r:id="rId50" xr:uid="{00000000-0004-0000-0D00-000031000000}"/>
    <hyperlink ref="J31" r:id="rId51" xr:uid="{00000000-0004-0000-0D00-000032000000}"/>
    <hyperlink ref="F32" r:id="rId52" xr:uid="{00000000-0004-0000-0D00-000033000000}"/>
    <hyperlink ref="J32" r:id="rId53" display="https://sts-kabel.ru/catalog/kabelno_provodnikovaya_produktsiya/kabeli_silovye/kabel_vvgng_a_lsltx/kabel_vvgng_a_lsltx_1_kv_2kh1_5/?utm_source=yandex&amp;utm_medium=cpc&amp;utm_campaign=dinamicheskaya_Obshch_new_rf_114398730&amp;utm_content=1854077727808695580&amp;utm_term=---autotargeting&amp;source=none&amp;device=desktop&amp;roistat=direct2_search_1854077727808695580_---autotargeting&amp;roistat_referrer=none&amp;roistat_pos=premium_2&amp;ybaip=1&amp;yclid=895009489567350783" xr:uid="{00000000-0004-0000-0D00-000034000000}"/>
    <hyperlink ref="N32" r:id="rId54" xr:uid="{00000000-0004-0000-0D00-000035000000}"/>
    <hyperlink ref="F33" r:id="rId55" xr:uid="{00000000-0004-0000-0D00-000036000000}"/>
    <hyperlink ref="J33" r:id="rId56" xr:uid="{00000000-0004-0000-0D00-000037000000}"/>
    <hyperlink ref="N33" r:id="rId57" xr:uid="{00000000-0004-0000-0D00-000038000000}"/>
    <hyperlink ref="F34" r:id="rId58" xr:uid="{00000000-0004-0000-0D00-000039000000}"/>
    <hyperlink ref="J34" r:id="rId59" xr:uid="{00000000-0004-0000-0D00-00003A000000}"/>
    <hyperlink ref="N34" r:id="rId60" xr:uid="{00000000-0004-0000-0D00-00003B000000}"/>
    <hyperlink ref="F35" r:id="rId61" xr:uid="{00000000-0004-0000-0D00-00003C000000}"/>
    <hyperlink ref="J35" r:id="rId62" xr:uid="{00000000-0004-0000-0D00-00003D000000}"/>
    <hyperlink ref="N35" r:id="rId63" xr:uid="{00000000-0004-0000-0D00-00003E000000}"/>
    <hyperlink ref="F28" r:id="rId64" display="https://atlastpk.ru/catalog/kpsvvng-a-lsltx1/kpsvvng-a-lsltx-1kh2kh0-75-spetskabel/?ysclid=mictiwsp9f508801055" xr:uid="{00000000-0004-0000-0D00-00003F000000}"/>
    <hyperlink ref="J28" r:id="rId65" xr:uid="{00000000-0004-0000-0D00-000040000000}"/>
    <hyperlink ref="N28" r:id="rId66" xr:uid="{00000000-0004-0000-0D00-000041000000}"/>
    <hyperlink ref="F29" r:id="rId67" xr:uid="{00000000-0004-0000-0D00-000042000000}"/>
    <hyperlink ref="J29" r:id="rId68" xr:uid="{00000000-0004-0000-0D00-000043000000}"/>
    <hyperlink ref="N29" r:id="rId69" xr:uid="{00000000-0004-0000-0D00-000044000000}"/>
    <hyperlink ref="F30" r:id="rId70" xr:uid="{00000000-0004-0000-0D00-000045000000}"/>
    <hyperlink ref="J30" r:id="rId71" xr:uid="{00000000-0004-0000-0D00-000046000000}"/>
    <hyperlink ref="N30" r:id="rId72" xr:uid="{00000000-0004-0000-0D00-000047000000}"/>
  </hyperlinks>
  <printOptions horizontalCentered="1"/>
  <pageMargins left="0.70866141732283472" right="0.70866141732283472" top="0.74803149606299213" bottom="0.74803149606299213" header="0.31496062992125984" footer="0.31496062992125984"/>
  <pageSetup paperSize="9" scale="29" orientation="landscape" r:id="rId73"/>
  <drawing r:id="rId7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T44"/>
  <sheetViews>
    <sheetView view="pageBreakPreview" topLeftCell="A25" zoomScale="55" zoomScaleNormal="55" zoomScaleSheetLayoutView="55" zoomScalePageLayoutView="70" workbookViewId="0">
      <selection activeCell="W28" sqref="W28"/>
    </sheetView>
  </sheetViews>
  <sheetFormatPr defaultColWidth="8.7109375" defaultRowHeight="15.75" x14ac:dyDescent="0.25"/>
  <cols>
    <col min="1" max="1" width="8.140625" style="1" customWidth="1"/>
    <col min="2" max="2" width="12.140625" style="1" customWidth="1"/>
    <col min="3" max="3" width="48.28515625" style="15" customWidth="1"/>
    <col min="4" max="4" width="17.28515625" style="15" customWidth="1"/>
    <col min="5" max="5" width="9.5703125" style="16" customWidth="1"/>
    <col min="6" max="6" width="20" style="88" customWidth="1"/>
    <col min="7" max="7" width="23.7109375" style="88" customWidth="1"/>
    <col min="8" max="8" width="20.5703125" style="88" customWidth="1"/>
    <col min="9" max="9" width="31.7109375" style="15" hidden="1" customWidth="1"/>
    <col min="10" max="10" width="18.42578125" style="87" customWidth="1"/>
    <col min="11" max="11" width="24.28515625" style="88" customWidth="1"/>
    <col min="12" max="12" width="19.5703125" style="87" customWidth="1"/>
    <col min="13" max="13" width="22" style="15" hidden="1" customWidth="1"/>
    <col min="14" max="14" width="17.85546875" style="87" customWidth="1"/>
    <col min="15" max="15" width="24.28515625" style="88" customWidth="1"/>
    <col min="16" max="16" width="19" style="87" customWidth="1"/>
    <col min="17" max="17" width="22" style="15" hidden="1" customWidth="1"/>
    <col min="18" max="18" width="17.85546875" style="2" customWidth="1"/>
    <col min="19" max="19" width="17.85546875" style="86" customWidth="1"/>
    <col min="20" max="20" width="15.28515625" style="2" customWidth="1"/>
    <col min="21" max="21" width="8.7109375" style="2"/>
    <col min="22" max="22" width="14.140625" style="2" bestFit="1" customWidth="1"/>
    <col min="23" max="23" width="21" style="2" customWidth="1"/>
    <col min="24" max="16384" width="8.7109375" style="2"/>
  </cols>
  <sheetData>
    <row r="1" spans="1:20" x14ac:dyDescent="0.25">
      <c r="C1" s="507"/>
      <c r="D1" s="507"/>
      <c r="E1" s="507"/>
      <c r="F1" s="507"/>
      <c r="G1" s="507"/>
      <c r="H1" s="507"/>
      <c r="I1" s="507"/>
      <c r="J1" s="507"/>
      <c r="K1" s="507"/>
      <c r="L1" s="507"/>
      <c r="M1" s="507"/>
      <c r="N1" s="507"/>
      <c r="O1" s="507"/>
      <c r="P1" s="507"/>
      <c r="Q1" s="507"/>
    </row>
    <row r="2" spans="1:20" ht="23.25" customHeight="1" x14ac:dyDescent="0.25">
      <c r="A2" s="537" t="s">
        <v>1005</v>
      </c>
      <c r="B2" s="537"/>
      <c r="C2" s="537"/>
      <c r="D2" s="537"/>
      <c r="E2" s="537"/>
      <c r="F2" s="537"/>
      <c r="G2" s="537"/>
      <c r="H2" s="537"/>
      <c r="I2" s="537"/>
      <c r="J2" s="537"/>
      <c r="K2" s="537"/>
      <c r="L2" s="537"/>
      <c r="M2" s="537"/>
      <c r="N2" s="537"/>
      <c r="O2" s="537"/>
      <c r="P2" s="537"/>
      <c r="Q2" s="537"/>
      <c r="R2" s="537"/>
      <c r="S2" s="537"/>
      <c r="T2" s="537"/>
    </row>
    <row r="3" spans="1:20" x14ac:dyDescent="0.25">
      <c r="C3" s="77"/>
      <c r="D3" s="77"/>
      <c r="E3" s="77"/>
      <c r="F3" s="153"/>
      <c r="G3" s="154"/>
      <c r="H3" s="153"/>
      <c r="I3" s="77"/>
      <c r="J3" s="153"/>
      <c r="K3" s="154"/>
      <c r="L3" s="153"/>
      <c r="M3" s="77"/>
      <c r="N3" s="153"/>
      <c r="O3" s="154"/>
      <c r="P3" s="153"/>
      <c r="Q3" s="77"/>
    </row>
    <row r="4" spans="1:20" s="10" customFormat="1" ht="48" customHeight="1" x14ac:dyDescent="0.35">
      <c r="A4" s="535" t="s">
        <v>1004</v>
      </c>
      <c r="B4" s="536"/>
      <c r="C4" s="536"/>
      <c r="D4" s="536"/>
      <c r="E4" s="536"/>
      <c r="F4" s="536"/>
      <c r="G4" s="536"/>
      <c r="H4" s="536"/>
      <c r="I4" s="536"/>
      <c r="J4" s="536"/>
      <c r="K4" s="536"/>
      <c r="L4" s="536"/>
      <c r="M4" s="536"/>
      <c r="N4" s="536"/>
      <c r="O4" s="536"/>
      <c r="P4" s="536"/>
      <c r="Q4" s="536"/>
      <c r="R4" s="536"/>
      <c r="S4" s="536"/>
      <c r="T4" s="536"/>
    </row>
    <row r="5" spans="1:20" s="10" customFormat="1" ht="18.75" x14ac:dyDescent="0.25">
      <c r="A5" s="152"/>
      <c r="B5" s="152"/>
      <c r="C5" s="151"/>
      <c r="D5" s="150"/>
      <c r="E5" s="148"/>
      <c r="F5" s="148"/>
      <c r="G5" s="149"/>
      <c r="H5" s="148"/>
      <c r="I5" s="148"/>
      <c r="J5" s="148"/>
      <c r="K5" s="149"/>
      <c r="L5" s="148"/>
      <c r="M5" s="148"/>
      <c r="N5" s="148"/>
      <c r="O5" s="149"/>
      <c r="P5" s="148"/>
      <c r="Q5" s="148"/>
    </row>
    <row r="6" spans="1:20" x14ac:dyDescent="0.25">
      <c r="A6" s="525" t="s">
        <v>1</v>
      </c>
      <c r="B6" s="525" t="s">
        <v>2</v>
      </c>
      <c r="C6" s="527" t="s">
        <v>3</v>
      </c>
      <c r="D6" s="529" t="s">
        <v>4</v>
      </c>
      <c r="E6" s="525" t="s">
        <v>5</v>
      </c>
      <c r="F6" s="532" t="s">
        <v>6</v>
      </c>
      <c r="G6" s="532"/>
      <c r="H6" s="532"/>
      <c r="I6" s="532"/>
      <c r="J6" s="532" t="s">
        <v>7</v>
      </c>
      <c r="K6" s="532"/>
      <c r="L6" s="532"/>
      <c r="M6" s="532"/>
      <c r="N6" s="532" t="s">
        <v>8</v>
      </c>
      <c r="O6" s="532"/>
      <c r="P6" s="532"/>
      <c r="Q6" s="532"/>
      <c r="R6" s="534" t="s">
        <v>9</v>
      </c>
      <c r="S6" s="534" t="s">
        <v>10</v>
      </c>
      <c r="T6" s="534" t="s">
        <v>11</v>
      </c>
    </row>
    <row r="7" spans="1:20" ht="187.5" customHeight="1" x14ac:dyDescent="0.25">
      <c r="A7" s="526"/>
      <c r="B7" s="526"/>
      <c r="C7" s="528"/>
      <c r="D7" s="528"/>
      <c r="E7" s="530"/>
      <c r="F7" s="147" t="s">
        <v>14</v>
      </c>
      <c r="G7" s="12" t="s">
        <v>12</v>
      </c>
      <c r="H7" s="12" t="s">
        <v>13</v>
      </c>
      <c r="I7" s="12"/>
      <c r="J7" s="147" t="s">
        <v>14</v>
      </c>
      <c r="K7" s="12" t="s">
        <v>12</v>
      </c>
      <c r="L7" s="12" t="s">
        <v>13</v>
      </c>
      <c r="M7" s="12"/>
      <c r="N7" s="147" t="s">
        <v>14</v>
      </c>
      <c r="O7" s="12" t="s">
        <v>12</v>
      </c>
      <c r="P7" s="12" t="s">
        <v>13</v>
      </c>
      <c r="Q7" s="12"/>
      <c r="R7" s="534"/>
      <c r="S7" s="534"/>
      <c r="T7" s="534"/>
    </row>
    <row r="8" spans="1:20" x14ac:dyDescent="0.25">
      <c r="A8" s="11">
        <v>1</v>
      </c>
      <c r="B8" s="11">
        <v>2</v>
      </c>
      <c r="C8" s="11">
        <v>3</v>
      </c>
      <c r="D8" s="11">
        <v>4</v>
      </c>
      <c r="E8" s="11">
        <v>5</v>
      </c>
      <c r="F8" s="126">
        <v>6</v>
      </c>
      <c r="G8" s="126">
        <v>7</v>
      </c>
      <c r="H8" s="126">
        <v>8</v>
      </c>
      <c r="I8" s="11">
        <v>9</v>
      </c>
      <c r="J8" s="126">
        <v>9</v>
      </c>
      <c r="K8" s="126">
        <v>10</v>
      </c>
      <c r="L8" s="126">
        <v>11</v>
      </c>
      <c r="M8" s="11">
        <v>13</v>
      </c>
      <c r="N8" s="126">
        <v>12</v>
      </c>
      <c r="O8" s="126">
        <v>13</v>
      </c>
      <c r="P8" s="126">
        <v>14</v>
      </c>
      <c r="Q8" s="11">
        <v>17</v>
      </c>
      <c r="R8" s="11">
        <v>15</v>
      </c>
      <c r="S8" s="11">
        <v>16</v>
      </c>
      <c r="T8" s="11">
        <v>17</v>
      </c>
    </row>
    <row r="9" spans="1:20" x14ac:dyDescent="0.25">
      <c r="A9" s="11"/>
      <c r="B9" s="11"/>
      <c r="C9" s="146" t="s">
        <v>3022</v>
      </c>
      <c r="D9" s="12"/>
      <c r="E9" s="13"/>
      <c r="F9" s="118"/>
      <c r="G9" s="123"/>
      <c r="H9" s="123"/>
      <c r="I9" s="12"/>
      <c r="J9" s="118"/>
      <c r="K9" s="118"/>
      <c r="L9" s="118"/>
      <c r="M9" s="12"/>
      <c r="N9" s="118"/>
      <c r="O9" s="118"/>
      <c r="P9" s="118"/>
      <c r="Q9" s="12"/>
      <c r="R9" s="12"/>
      <c r="S9" s="118"/>
      <c r="T9" s="12"/>
    </row>
    <row r="10" spans="1:20" ht="75.75" customHeight="1" x14ac:dyDescent="0.25">
      <c r="A10" s="126">
        <v>1</v>
      </c>
      <c r="B10" s="396" t="s">
        <v>3021</v>
      </c>
      <c r="C10" s="145" t="s">
        <v>3020</v>
      </c>
      <c r="D10" s="226" t="s">
        <v>3019</v>
      </c>
      <c r="E10" s="143" t="s">
        <v>1297</v>
      </c>
      <c r="F10" s="119">
        <v>85420</v>
      </c>
      <c r="G10" s="123" t="s">
        <v>3018</v>
      </c>
      <c r="H10" s="127" t="s">
        <v>3017</v>
      </c>
      <c r="I10" s="222" t="s">
        <v>3016</v>
      </c>
      <c r="J10" s="119">
        <v>107318</v>
      </c>
      <c r="K10" s="123" t="s">
        <v>3015</v>
      </c>
      <c r="L10" s="127" t="s">
        <v>3014</v>
      </c>
      <c r="M10" s="222" t="s">
        <v>3013</v>
      </c>
      <c r="N10" s="119">
        <v>75500</v>
      </c>
      <c r="O10" s="123" t="s">
        <v>3012</v>
      </c>
      <c r="P10" s="127" t="s">
        <v>3011</v>
      </c>
      <c r="Q10" s="414" t="s">
        <v>3010</v>
      </c>
      <c r="R10" s="119">
        <f t="shared" ref="R10:R30" si="0">MIN(F10,J10,N10)</f>
        <v>75500</v>
      </c>
      <c r="S10" s="119"/>
      <c r="T10" s="117">
        <v>45908</v>
      </c>
    </row>
    <row r="11" spans="1:20" ht="96" customHeight="1" x14ac:dyDescent="0.25">
      <c r="A11" s="126">
        <v>2</v>
      </c>
      <c r="B11" s="396" t="s">
        <v>3009</v>
      </c>
      <c r="C11" s="145" t="s">
        <v>3008</v>
      </c>
      <c r="D11" s="226" t="s">
        <v>3007</v>
      </c>
      <c r="E11" s="143" t="s">
        <v>1297</v>
      </c>
      <c r="F11" s="119">
        <v>14600</v>
      </c>
      <c r="G11" s="123" t="s">
        <v>3006</v>
      </c>
      <c r="H11" s="123">
        <v>7730269423</v>
      </c>
      <c r="I11" s="222" t="s">
        <v>3005</v>
      </c>
      <c r="J11" s="119">
        <v>14600</v>
      </c>
      <c r="K11" s="123" t="s">
        <v>3004</v>
      </c>
      <c r="L11" s="127" t="s">
        <v>3003</v>
      </c>
      <c r="M11" s="222" t="s">
        <v>3002</v>
      </c>
      <c r="N11" s="119">
        <v>14600</v>
      </c>
      <c r="O11" s="123" t="s">
        <v>3001</v>
      </c>
      <c r="P11" s="127" t="s">
        <v>3000</v>
      </c>
      <c r="Q11" s="414" t="s">
        <v>2999</v>
      </c>
      <c r="R11" s="119">
        <f t="shared" si="0"/>
        <v>14600</v>
      </c>
      <c r="S11" s="119"/>
      <c r="T11" s="117">
        <v>45908</v>
      </c>
    </row>
    <row r="12" spans="1:20" ht="75" customHeight="1" x14ac:dyDescent="0.25">
      <c r="A12" s="126">
        <v>3</v>
      </c>
      <c r="B12" s="173" t="s">
        <v>560</v>
      </c>
      <c r="C12" s="402" t="s">
        <v>2998</v>
      </c>
      <c r="D12" s="226" t="s">
        <v>2997</v>
      </c>
      <c r="E12" s="143" t="s">
        <v>1297</v>
      </c>
      <c r="F12" s="119">
        <v>11290</v>
      </c>
      <c r="G12" s="123" t="s">
        <v>369</v>
      </c>
      <c r="H12" s="127" t="s">
        <v>368</v>
      </c>
      <c r="I12" s="222" t="s">
        <v>2996</v>
      </c>
      <c r="J12" s="119">
        <v>11290</v>
      </c>
      <c r="K12" s="123" t="s">
        <v>2146</v>
      </c>
      <c r="L12" s="127" t="s">
        <v>2145</v>
      </c>
      <c r="M12" s="222" t="s">
        <v>2995</v>
      </c>
      <c r="N12" s="119">
        <v>11290</v>
      </c>
      <c r="O12" s="123" t="s">
        <v>350</v>
      </c>
      <c r="P12" s="127" t="s">
        <v>349</v>
      </c>
      <c r="Q12" s="222" t="s">
        <v>2994</v>
      </c>
      <c r="R12" s="119">
        <f t="shared" si="0"/>
        <v>11290</v>
      </c>
      <c r="S12" s="119"/>
      <c r="T12" s="117">
        <v>45908</v>
      </c>
    </row>
    <row r="13" spans="1:20" ht="98.25" customHeight="1" x14ac:dyDescent="0.25">
      <c r="A13" s="126">
        <v>4</v>
      </c>
      <c r="B13" s="173" t="s">
        <v>2211</v>
      </c>
      <c r="C13" s="145" t="s">
        <v>2993</v>
      </c>
      <c r="D13" s="226" t="s">
        <v>2992</v>
      </c>
      <c r="E13" s="143" t="s">
        <v>1297</v>
      </c>
      <c r="F13" s="119">
        <v>88057</v>
      </c>
      <c r="G13" s="123" t="s">
        <v>632</v>
      </c>
      <c r="H13" s="127" t="s">
        <v>631</v>
      </c>
      <c r="I13" s="222" t="s">
        <v>2991</v>
      </c>
      <c r="J13" s="119">
        <v>88057</v>
      </c>
      <c r="K13" s="123" t="s">
        <v>2146</v>
      </c>
      <c r="L13" s="127" t="s">
        <v>2145</v>
      </c>
      <c r="M13" s="222" t="s">
        <v>2990</v>
      </c>
      <c r="N13" s="119">
        <v>88057</v>
      </c>
      <c r="O13" s="123" t="s">
        <v>2242</v>
      </c>
      <c r="P13" s="127" t="s">
        <v>2241</v>
      </c>
      <c r="Q13" s="222" t="s">
        <v>2989</v>
      </c>
      <c r="R13" s="119">
        <f t="shared" si="0"/>
        <v>88057</v>
      </c>
      <c r="S13" s="118"/>
      <c r="T13" s="117">
        <v>45908</v>
      </c>
    </row>
    <row r="14" spans="1:20" ht="69" customHeight="1" x14ac:dyDescent="0.25">
      <c r="A14" s="126">
        <v>5</v>
      </c>
      <c r="B14" s="173" t="s">
        <v>2155</v>
      </c>
      <c r="C14" s="145" t="s">
        <v>2988</v>
      </c>
      <c r="D14" s="226" t="s">
        <v>2987</v>
      </c>
      <c r="E14" s="143" t="s">
        <v>1297</v>
      </c>
      <c r="F14" s="119">
        <v>9185</v>
      </c>
      <c r="G14" s="123" t="s">
        <v>632</v>
      </c>
      <c r="H14" s="127" t="s">
        <v>631</v>
      </c>
      <c r="I14" s="222" t="s">
        <v>2986</v>
      </c>
      <c r="J14" s="119">
        <v>8799</v>
      </c>
      <c r="K14" s="123" t="s">
        <v>727</v>
      </c>
      <c r="L14" s="413" t="s">
        <v>2912</v>
      </c>
      <c r="M14" s="222" t="s">
        <v>2985</v>
      </c>
      <c r="N14" s="119">
        <v>9185</v>
      </c>
      <c r="O14" s="123" t="s">
        <v>2242</v>
      </c>
      <c r="P14" s="127" t="s">
        <v>2241</v>
      </c>
      <c r="Q14" s="222" t="s">
        <v>2984</v>
      </c>
      <c r="R14" s="119">
        <f t="shared" si="0"/>
        <v>8799</v>
      </c>
      <c r="S14" s="118"/>
      <c r="T14" s="117">
        <v>45908</v>
      </c>
    </row>
    <row r="15" spans="1:20" ht="76.5" customHeight="1" x14ac:dyDescent="0.25">
      <c r="A15" s="126">
        <v>6</v>
      </c>
      <c r="B15" s="173" t="s">
        <v>2070</v>
      </c>
      <c r="C15" s="145" t="s">
        <v>2983</v>
      </c>
      <c r="D15" s="226" t="s">
        <v>2982</v>
      </c>
      <c r="E15" s="143" t="s">
        <v>1297</v>
      </c>
      <c r="F15" s="119">
        <v>21132</v>
      </c>
      <c r="G15" s="123" t="s">
        <v>2242</v>
      </c>
      <c r="H15" s="127" t="s">
        <v>2241</v>
      </c>
      <c r="I15" s="222" t="s">
        <v>2981</v>
      </c>
      <c r="J15" s="119">
        <v>22236</v>
      </c>
      <c r="K15" s="123" t="s">
        <v>632</v>
      </c>
      <c r="L15" s="127" t="s">
        <v>631</v>
      </c>
      <c r="M15" s="222" t="s">
        <v>2980</v>
      </c>
      <c r="N15" s="119">
        <v>21132</v>
      </c>
      <c r="O15" s="123" t="s">
        <v>2146</v>
      </c>
      <c r="P15" s="127" t="s">
        <v>2145</v>
      </c>
      <c r="Q15" s="222" t="s">
        <v>2979</v>
      </c>
      <c r="R15" s="119">
        <f t="shared" si="0"/>
        <v>21132</v>
      </c>
      <c r="S15" s="118"/>
      <c r="T15" s="117">
        <v>45908</v>
      </c>
    </row>
    <row r="16" spans="1:20" ht="72" customHeight="1" x14ac:dyDescent="0.25">
      <c r="A16" s="126">
        <v>7</v>
      </c>
      <c r="B16" s="173" t="s">
        <v>2070</v>
      </c>
      <c r="C16" s="145" t="s">
        <v>2978</v>
      </c>
      <c r="D16" s="226" t="s">
        <v>2977</v>
      </c>
      <c r="E16" s="143" t="s">
        <v>1297</v>
      </c>
      <c r="F16" s="119">
        <v>17608</v>
      </c>
      <c r="G16" s="123" t="s">
        <v>2146</v>
      </c>
      <c r="H16" s="127" t="s">
        <v>2145</v>
      </c>
      <c r="I16" s="222" t="s">
        <v>2976</v>
      </c>
      <c r="J16" s="119">
        <v>16136</v>
      </c>
      <c r="K16" s="123" t="s">
        <v>2975</v>
      </c>
      <c r="L16" s="127" t="s">
        <v>2974</v>
      </c>
      <c r="M16" s="222" t="s">
        <v>2973</v>
      </c>
      <c r="N16" s="119">
        <v>21350</v>
      </c>
      <c r="O16" s="123" t="s">
        <v>350</v>
      </c>
      <c r="P16" s="127" t="s">
        <v>349</v>
      </c>
      <c r="Q16" s="222" t="s">
        <v>2972</v>
      </c>
      <c r="R16" s="119">
        <f t="shared" si="0"/>
        <v>16136</v>
      </c>
      <c r="S16" s="118"/>
      <c r="T16" s="117">
        <v>45908</v>
      </c>
    </row>
    <row r="17" spans="1:20" ht="79.5" customHeight="1" x14ac:dyDescent="0.25">
      <c r="A17" s="126">
        <v>8</v>
      </c>
      <c r="B17" s="408" t="s">
        <v>2155</v>
      </c>
      <c r="C17" s="145" t="s">
        <v>2971</v>
      </c>
      <c r="D17" s="226" t="s">
        <v>2970</v>
      </c>
      <c r="E17" s="143" t="s">
        <v>1297</v>
      </c>
      <c r="F17" s="119">
        <v>7418.45</v>
      </c>
      <c r="G17" s="123" t="s">
        <v>441</v>
      </c>
      <c r="H17" s="127" t="s">
        <v>440</v>
      </c>
      <c r="I17" s="222" t="s">
        <v>2969</v>
      </c>
      <c r="J17" s="236">
        <v>7634</v>
      </c>
      <c r="K17" s="236" t="s">
        <v>797</v>
      </c>
      <c r="L17" s="127" t="s">
        <v>2239</v>
      </c>
      <c r="M17" s="222" t="s">
        <v>2968</v>
      </c>
      <c r="N17" s="119">
        <v>7634</v>
      </c>
      <c r="O17" s="123" t="s">
        <v>2366</v>
      </c>
      <c r="P17" s="127" t="s">
        <v>2365</v>
      </c>
      <c r="Q17" s="222" t="s">
        <v>2967</v>
      </c>
      <c r="R17" s="119">
        <f t="shared" si="0"/>
        <v>7418.45</v>
      </c>
      <c r="S17" s="118"/>
      <c r="T17" s="117">
        <v>45908</v>
      </c>
    </row>
    <row r="18" spans="1:20" ht="78.75" customHeight="1" x14ac:dyDescent="0.25">
      <c r="A18" s="126">
        <v>9</v>
      </c>
      <c r="B18" s="399" t="s">
        <v>2966</v>
      </c>
      <c r="C18" s="145" t="s">
        <v>2965</v>
      </c>
      <c r="D18" s="226" t="s">
        <v>2964</v>
      </c>
      <c r="E18" s="143" t="s">
        <v>1297</v>
      </c>
      <c r="F18" s="130">
        <v>1771.99</v>
      </c>
      <c r="G18" s="123" t="s">
        <v>2366</v>
      </c>
      <c r="H18" s="127">
        <v>9721058155</v>
      </c>
      <c r="I18" s="222" t="s">
        <v>2963</v>
      </c>
      <c r="J18" s="130">
        <v>1410</v>
      </c>
      <c r="K18" s="123" t="s">
        <v>350</v>
      </c>
      <c r="L18" s="127" t="s">
        <v>349</v>
      </c>
      <c r="M18" s="222" t="s">
        <v>2962</v>
      </c>
      <c r="N18" s="130">
        <v>1772.25</v>
      </c>
      <c r="O18" s="123" t="s">
        <v>2919</v>
      </c>
      <c r="P18" s="127" t="s">
        <v>2918</v>
      </c>
      <c r="Q18" s="222" t="s">
        <v>2961</v>
      </c>
      <c r="R18" s="119">
        <f t="shared" si="0"/>
        <v>1410</v>
      </c>
      <c r="S18" s="118"/>
      <c r="T18" s="117">
        <v>45908</v>
      </c>
    </row>
    <row r="19" spans="1:20" ht="87.75" customHeight="1" x14ac:dyDescent="0.25">
      <c r="A19" s="126">
        <v>10</v>
      </c>
      <c r="B19" s="408" t="s">
        <v>2960</v>
      </c>
      <c r="C19" s="125" t="s">
        <v>2959</v>
      </c>
      <c r="D19" s="226" t="s">
        <v>2958</v>
      </c>
      <c r="E19" s="143" t="s">
        <v>1297</v>
      </c>
      <c r="F19" s="130">
        <v>1461.09</v>
      </c>
      <c r="G19" s="123" t="s">
        <v>441</v>
      </c>
      <c r="H19" s="127" t="s">
        <v>440</v>
      </c>
      <c r="I19" s="222" t="s">
        <v>2957</v>
      </c>
      <c r="J19" s="130">
        <v>1503</v>
      </c>
      <c r="K19" s="123" t="s">
        <v>2366</v>
      </c>
      <c r="L19" s="127">
        <v>9721058155</v>
      </c>
      <c r="M19" s="222" t="s">
        <v>2956</v>
      </c>
      <c r="N19" s="130">
        <v>1403.46</v>
      </c>
      <c r="O19" s="123" t="s">
        <v>2955</v>
      </c>
      <c r="P19" s="127" t="s">
        <v>434</v>
      </c>
      <c r="Q19" s="222" t="s">
        <v>2954</v>
      </c>
      <c r="R19" s="119">
        <f t="shared" si="0"/>
        <v>1403.46</v>
      </c>
      <c r="S19" s="118"/>
      <c r="T19" s="117">
        <v>45908</v>
      </c>
    </row>
    <row r="20" spans="1:20" ht="77.25" customHeight="1" x14ac:dyDescent="0.25">
      <c r="A20" s="126">
        <v>11</v>
      </c>
      <c r="B20" s="173" t="s">
        <v>2936</v>
      </c>
      <c r="C20" s="125" t="s">
        <v>2953</v>
      </c>
      <c r="D20" s="226" t="s">
        <v>2952</v>
      </c>
      <c r="E20" s="143" t="s">
        <v>1297</v>
      </c>
      <c r="F20" s="130">
        <v>682</v>
      </c>
      <c r="G20" s="123" t="s">
        <v>2951</v>
      </c>
      <c r="H20" s="127" t="s">
        <v>2950</v>
      </c>
      <c r="I20" s="222" t="s">
        <v>2949</v>
      </c>
      <c r="J20" s="130">
        <v>681.72</v>
      </c>
      <c r="K20" s="123" t="s">
        <v>2366</v>
      </c>
      <c r="L20" s="127">
        <v>9721058155</v>
      </c>
      <c r="M20" s="222" t="s">
        <v>2948</v>
      </c>
      <c r="N20" s="130">
        <v>988</v>
      </c>
      <c r="O20" s="123" t="s">
        <v>2146</v>
      </c>
      <c r="P20" s="127" t="s">
        <v>2145</v>
      </c>
      <c r="Q20" s="222" t="s">
        <v>2947</v>
      </c>
      <c r="R20" s="119">
        <f t="shared" si="0"/>
        <v>681.72</v>
      </c>
      <c r="S20" s="118"/>
      <c r="T20" s="117">
        <v>45908</v>
      </c>
    </row>
    <row r="21" spans="1:20" s="412" customFormat="1" ht="75.75" customHeight="1" x14ac:dyDescent="0.25">
      <c r="A21" s="238">
        <v>12</v>
      </c>
      <c r="B21" s="173" t="s">
        <v>2936</v>
      </c>
      <c r="C21" s="138" t="s">
        <v>2946</v>
      </c>
      <c r="D21" s="226" t="s">
        <v>2945</v>
      </c>
      <c r="E21" s="141" t="s">
        <v>1297</v>
      </c>
      <c r="F21" s="237">
        <v>2117</v>
      </c>
      <c r="G21" s="121" t="s">
        <v>632</v>
      </c>
      <c r="H21" s="128" t="s">
        <v>631</v>
      </c>
      <c r="I21" s="139" t="s">
        <v>2944</v>
      </c>
      <c r="J21" s="133">
        <v>2228</v>
      </c>
      <c r="K21" s="121" t="s">
        <v>2146</v>
      </c>
      <c r="L21" s="128" t="s">
        <v>2145</v>
      </c>
      <c r="M21" s="139" t="s">
        <v>2943</v>
      </c>
      <c r="N21" s="133">
        <v>2228</v>
      </c>
      <c r="O21" s="121" t="s">
        <v>2366</v>
      </c>
      <c r="P21" s="128">
        <v>9721058155</v>
      </c>
      <c r="Q21" s="222" t="s">
        <v>2942</v>
      </c>
      <c r="R21" s="137">
        <f t="shared" si="0"/>
        <v>2117</v>
      </c>
      <c r="S21" s="235"/>
      <c r="T21" s="117">
        <v>45908</v>
      </c>
    </row>
    <row r="22" spans="1:20" s="411" customFormat="1" ht="66.75" customHeight="1" x14ac:dyDescent="0.25">
      <c r="A22" s="126">
        <v>13</v>
      </c>
      <c r="B22" s="173" t="s">
        <v>2936</v>
      </c>
      <c r="C22" s="125" t="s">
        <v>2941</v>
      </c>
      <c r="D22" s="226" t="s">
        <v>2940</v>
      </c>
      <c r="E22" s="143" t="s">
        <v>1297</v>
      </c>
      <c r="F22" s="130">
        <v>2208</v>
      </c>
      <c r="G22" s="123" t="s">
        <v>2366</v>
      </c>
      <c r="H22" s="127">
        <v>9721058155</v>
      </c>
      <c r="I22" s="222" t="s">
        <v>2939</v>
      </c>
      <c r="J22" s="130">
        <v>2145.87</v>
      </c>
      <c r="K22" s="123" t="s">
        <v>441</v>
      </c>
      <c r="L22" s="127" t="s">
        <v>440</v>
      </c>
      <c r="M22" s="222" t="s">
        <v>2938</v>
      </c>
      <c r="N22" s="130">
        <v>2470</v>
      </c>
      <c r="O22" s="123" t="s">
        <v>350</v>
      </c>
      <c r="P22" s="127" t="s">
        <v>349</v>
      </c>
      <c r="Q22" s="222" t="s">
        <v>2937</v>
      </c>
      <c r="R22" s="119">
        <f t="shared" si="0"/>
        <v>2145.87</v>
      </c>
      <c r="S22" s="130"/>
      <c r="T22" s="117">
        <v>45908</v>
      </c>
    </row>
    <row r="23" spans="1:20" ht="75.75" customHeight="1" x14ac:dyDescent="0.25">
      <c r="A23" s="126">
        <v>14</v>
      </c>
      <c r="B23" s="68" t="s">
        <v>2936</v>
      </c>
      <c r="C23" s="125" t="s">
        <v>2935</v>
      </c>
      <c r="D23" s="226" t="s">
        <v>2934</v>
      </c>
      <c r="E23" s="143" t="s">
        <v>1297</v>
      </c>
      <c r="F23" s="130">
        <v>629</v>
      </c>
      <c r="G23" s="123" t="s">
        <v>2146</v>
      </c>
      <c r="H23" s="127" t="s">
        <v>2145</v>
      </c>
      <c r="I23" s="233" t="s">
        <v>2933</v>
      </c>
      <c r="J23" s="130">
        <v>710</v>
      </c>
      <c r="K23" s="123" t="s">
        <v>350</v>
      </c>
      <c r="L23" s="127" t="s">
        <v>349</v>
      </c>
      <c r="M23" s="233" t="s">
        <v>2932</v>
      </c>
      <c r="N23" s="130">
        <v>629</v>
      </c>
      <c r="O23" s="123" t="s">
        <v>2366</v>
      </c>
      <c r="P23" s="127">
        <v>9721058155</v>
      </c>
      <c r="Q23" s="232" t="s">
        <v>2931</v>
      </c>
      <c r="R23" s="119">
        <f t="shared" si="0"/>
        <v>629</v>
      </c>
      <c r="S23" s="118"/>
      <c r="T23" s="117">
        <v>45908</v>
      </c>
    </row>
    <row r="24" spans="1:20" ht="80.25" customHeight="1" x14ac:dyDescent="0.25">
      <c r="A24" s="126">
        <v>15</v>
      </c>
      <c r="B24" s="408" t="s">
        <v>2930</v>
      </c>
      <c r="C24" s="125" t="s">
        <v>2929</v>
      </c>
      <c r="D24" s="226" t="s">
        <v>2928</v>
      </c>
      <c r="E24" s="143" t="s">
        <v>1297</v>
      </c>
      <c r="F24" s="130">
        <v>1683</v>
      </c>
      <c r="G24" s="123" t="s">
        <v>2146</v>
      </c>
      <c r="H24" s="127" t="s">
        <v>2145</v>
      </c>
      <c r="I24" s="222" t="s">
        <v>2927</v>
      </c>
      <c r="J24" s="130">
        <v>1683</v>
      </c>
      <c r="K24" s="123" t="s">
        <v>2366</v>
      </c>
      <c r="L24" s="127">
        <v>9721058155</v>
      </c>
      <c r="M24" s="222" t="s">
        <v>2926</v>
      </c>
      <c r="N24" s="130">
        <v>1635.11</v>
      </c>
      <c r="O24" s="123" t="s">
        <v>441</v>
      </c>
      <c r="P24" s="127" t="s">
        <v>440</v>
      </c>
      <c r="Q24" s="222" t="s">
        <v>2925</v>
      </c>
      <c r="R24" s="119">
        <f t="shared" si="0"/>
        <v>1635.11</v>
      </c>
      <c r="S24" s="118"/>
      <c r="T24" s="117">
        <v>45908</v>
      </c>
    </row>
    <row r="25" spans="1:20" ht="72" customHeight="1" x14ac:dyDescent="0.25">
      <c r="A25" s="126">
        <v>16</v>
      </c>
      <c r="B25" s="410" t="s">
        <v>2924</v>
      </c>
      <c r="C25" s="125" t="s">
        <v>2923</v>
      </c>
      <c r="D25" s="226" t="s">
        <v>2922</v>
      </c>
      <c r="E25" s="143" t="s">
        <v>1297</v>
      </c>
      <c r="F25" s="130">
        <v>424</v>
      </c>
      <c r="G25" s="123" t="s">
        <v>2366</v>
      </c>
      <c r="H25" s="127">
        <v>9721058155</v>
      </c>
      <c r="I25" s="222" t="s">
        <v>2921</v>
      </c>
      <c r="J25" s="130">
        <v>424</v>
      </c>
      <c r="K25" s="123" t="s">
        <v>369</v>
      </c>
      <c r="L25" s="127" t="s">
        <v>368</v>
      </c>
      <c r="M25" s="222" t="s">
        <v>2920</v>
      </c>
      <c r="N25" s="130">
        <v>424</v>
      </c>
      <c r="O25" s="123" t="s">
        <v>2919</v>
      </c>
      <c r="P25" s="127" t="s">
        <v>2918</v>
      </c>
      <c r="Q25" s="222" t="s">
        <v>2917</v>
      </c>
      <c r="R25" s="119">
        <f t="shared" si="0"/>
        <v>424</v>
      </c>
      <c r="S25" s="118"/>
      <c r="T25" s="117">
        <v>45908</v>
      </c>
    </row>
    <row r="26" spans="1:20" ht="72.75" customHeight="1" x14ac:dyDescent="0.25">
      <c r="A26" s="126">
        <v>17</v>
      </c>
      <c r="B26" s="399" t="s">
        <v>2916</v>
      </c>
      <c r="C26" s="125" t="s">
        <v>2915</v>
      </c>
      <c r="D26" s="226" t="s">
        <v>2914</v>
      </c>
      <c r="E26" s="143" t="s">
        <v>1297</v>
      </c>
      <c r="F26" s="130">
        <v>280</v>
      </c>
      <c r="G26" s="123" t="s">
        <v>350</v>
      </c>
      <c r="H26" s="127" t="s">
        <v>349</v>
      </c>
      <c r="I26" s="222" t="s">
        <v>2913</v>
      </c>
      <c r="J26" s="130">
        <v>227</v>
      </c>
      <c r="K26" s="123" t="s">
        <v>727</v>
      </c>
      <c r="L26" s="409" t="s">
        <v>2912</v>
      </c>
      <c r="M26" s="222" t="s">
        <v>2911</v>
      </c>
      <c r="N26" s="130">
        <v>268</v>
      </c>
      <c r="O26" s="123" t="s">
        <v>369</v>
      </c>
      <c r="P26" s="127" t="s">
        <v>368</v>
      </c>
      <c r="Q26" s="222" t="s">
        <v>2910</v>
      </c>
      <c r="R26" s="119">
        <f t="shared" si="0"/>
        <v>227</v>
      </c>
      <c r="S26" s="118"/>
      <c r="T26" s="117">
        <v>45908</v>
      </c>
    </row>
    <row r="27" spans="1:20" ht="72.75" customHeight="1" x14ac:dyDescent="0.25">
      <c r="A27" s="126">
        <v>18</v>
      </c>
      <c r="B27" s="173" t="s">
        <v>2885</v>
      </c>
      <c r="C27" s="125" t="s">
        <v>2909</v>
      </c>
      <c r="D27" s="226" t="s">
        <v>2908</v>
      </c>
      <c r="E27" s="143" t="s">
        <v>818</v>
      </c>
      <c r="F27" s="130">
        <v>91900</v>
      </c>
      <c r="G27" s="123" t="s">
        <v>817</v>
      </c>
      <c r="H27" s="127" t="s">
        <v>2546</v>
      </c>
      <c r="I27" s="222" t="s">
        <v>2907</v>
      </c>
      <c r="J27" s="130">
        <v>82080</v>
      </c>
      <c r="K27" s="123" t="s">
        <v>2906</v>
      </c>
      <c r="L27" s="127" t="s">
        <v>2905</v>
      </c>
      <c r="M27" s="222" t="s">
        <v>2904</v>
      </c>
      <c r="N27" s="130">
        <v>87080</v>
      </c>
      <c r="O27" s="123" t="s">
        <v>815</v>
      </c>
      <c r="P27" s="127" t="s">
        <v>814</v>
      </c>
      <c r="Q27" s="222" t="s">
        <v>2903</v>
      </c>
      <c r="R27" s="119">
        <f t="shared" si="0"/>
        <v>82080</v>
      </c>
      <c r="S27" s="130"/>
      <c r="T27" s="117">
        <v>45908</v>
      </c>
    </row>
    <row r="28" spans="1:20" ht="77.25" customHeight="1" x14ac:dyDescent="0.25">
      <c r="A28" s="126">
        <v>19</v>
      </c>
      <c r="B28" s="408" t="s">
        <v>2902</v>
      </c>
      <c r="C28" s="125" t="s">
        <v>2901</v>
      </c>
      <c r="D28" s="226" t="s">
        <v>2900</v>
      </c>
      <c r="E28" s="143" t="s">
        <v>818</v>
      </c>
      <c r="F28" s="130">
        <v>48070</v>
      </c>
      <c r="G28" s="123" t="s">
        <v>2899</v>
      </c>
      <c r="H28" s="127" t="s">
        <v>2898</v>
      </c>
      <c r="I28" s="222" t="s">
        <v>2897</v>
      </c>
      <c r="J28" s="130">
        <v>48070</v>
      </c>
      <c r="K28" s="123" t="s">
        <v>2146</v>
      </c>
      <c r="L28" s="127" t="s">
        <v>2145</v>
      </c>
      <c r="M28" s="222" t="s">
        <v>2896</v>
      </c>
      <c r="N28" s="130">
        <v>52290</v>
      </c>
      <c r="O28" s="123" t="s">
        <v>454</v>
      </c>
      <c r="P28" s="127" t="s">
        <v>503</v>
      </c>
      <c r="Q28" s="222" t="s">
        <v>2895</v>
      </c>
      <c r="R28" s="119">
        <f t="shared" si="0"/>
        <v>48070</v>
      </c>
      <c r="S28" s="118"/>
      <c r="T28" s="117">
        <v>45908</v>
      </c>
    </row>
    <row r="29" spans="1:20" ht="72" customHeight="1" x14ac:dyDescent="0.25">
      <c r="A29" s="126">
        <v>20</v>
      </c>
      <c r="B29" s="173" t="s">
        <v>2885</v>
      </c>
      <c r="C29" s="125" t="s">
        <v>2894</v>
      </c>
      <c r="D29" s="226" t="s">
        <v>2893</v>
      </c>
      <c r="E29" s="143" t="s">
        <v>818</v>
      </c>
      <c r="F29" s="130">
        <v>67090</v>
      </c>
      <c r="G29" s="123" t="s">
        <v>2345</v>
      </c>
      <c r="H29" s="127" t="s">
        <v>2344</v>
      </c>
      <c r="I29" s="222" t="s">
        <v>2892</v>
      </c>
      <c r="J29" s="130">
        <v>34290</v>
      </c>
      <c r="K29" s="123" t="s">
        <v>2891</v>
      </c>
      <c r="L29" s="127" t="s">
        <v>2890</v>
      </c>
      <c r="M29" s="222" t="s">
        <v>2889</v>
      </c>
      <c r="N29" s="130">
        <v>37090</v>
      </c>
      <c r="O29" s="123" t="s">
        <v>2888</v>
      </c>
      <c r="P29" s="127" t="s">
        <v>2887</v>
      </c>
      <c r="Q29" s="222" t="s">
        <v>2886</v>
      </c>
      <c r="R29" s="119">
        <f t="shared" si="0"/>
        <v>34290</v>
      </c>
      <c r="S29" s="118"/>
      <c r="T29" s="117">
        <v>45908</v>
      </c>
    </row>
    <row r="30" spans="1:20" ht="80.25" customHeight="1" x14ac:dyDescent="0.25">
      <c r="A30" s="126">
        <v>21</v>
      </c>
      <c r="B30" s="173" t="s">
        <v>2885</v>
      </c>
      <c r="C30" s="125" t="s">
        <v>2884</v>
      </c>
      <c r="D30" s="226" t="s">
        <v>2883</v>
      </c>
      <c r="E30" s="143" t="s">
        <v>818</v>
      </c>
      <c r="F30" s="130">
        <v>93360</v>
      </c>
      <c r="G30" s="123" t="s">
        <v>2882</v>
      </c>
      <c r="H30" s="122" t="s">
        <v>2881</v>
      </c>
      <c r="I30" s="222" t="s">
        <v>2880</v>
      </c>
      <c r="J30" s="130">
        <v>96350</v>
      </c>
      <c r="K30" s="123" t="s">
        <v>2146</v>
      </c>
      <c r="L30" s="127" t="s">
        <v>2145</v>
      </c>
      <c r="M30" s="222" t="s">
        <v>2879</v>
      </c>
      <c r="N30" s="130">
        <v>93360</v>
      </c>
      <c r="O30" s="123" t="s">
        <v>2443</v>
      </c>
      <c r="P30" s="127" t="s">
        <v>449</v>
      </c>
      <c r="Q30" s="222" t="s">
        <v>2878</v>
      </c>
      <c r="R30" s="119">
        <f t="shared" si="0"/>
        <v>93360</v>
      </c>
      <c r="S30" s="119">
        <v>91430</v>
      </c>
      <c r="T30" s="117">
        <v>45908</v>
      </c>
    </row>
    <row r="31" spans="1:20" ht="30" customHeight="1" x14ac:dyDescent="0.25">
      <c r="A31" s="221"/>
      <c r="B31" s="220"/>
      <c r="C31" s="219"/>
      <c r="D31" s="218"/>
      <c r="E31" s="215"/>
      <c r="F31" s="216"/>
      <c r="G31" s="215"/>
      <c r="H31" s="217"/>
      <c r="I31" s="215"/>
      <c r="J31" s="216"/>
      <c r="K31" s="215"/>
      <c r="L31" s="215"/>
      <c r="M31" s="215"/>
      <c r="N31" s="216"/>
      <c r="O31" s="215"/>
      <c r="P31" s="215"/>
      <c r="Q31" s="215"/>
      <c r="R31" s="214"/>
      <c r="S31" s="213"/>
      <c r="T31" s="212"/>
    </row>
    <row r="33" spans="1:20" x14ac:dyDescent="0.25">
      <c r="A33" s="91"/>
      <c r="B33" s="116"/>
      <c r="C33" s="116"/>
      <c r="D33" s="116" t="s">
        <v>16</v>
      </c>
      <c r="E33" s="114"/>
      <c r="F33" s="112"/>
      <c r="G33" s="113"/>
      <c r="H33" s="112"/>
      <c r="I33" s="114"/>
      <c r="J33" s="112"/>
      <c r="K33" s="113"/>
      <c r="L33" s="112"/>
      <c r="M33" s="114"/>
      <c r="N33" s="112"/>
      <c r="O33" s="113"/>
      <c r="P33" s="116" t="s">
        <v>25</v>
      </c>
      <c r="Q33" s="116"/>
      <c r="R33" s="115"/>
      <c r="S33" s="112"/>
      <c r="T33" s="91"/>
    </row>
    <row r="34" spans="1:20" x14ac:dyDescent="0.25">
      <c r="A34" s="91"/>
      <c r="B34" s="538" t="s">
        <v>19</v>
      </c>
      <c r="C34" s="538"/>
      <c r="D34" s="538"/>
      <c r="E34" s="114"/>
      <c r="F34" s="112"/>
      <c r="G34" s="113"/>
      <c r="H34" s="112"/>
      <c r="I34" s="114"/>
      <c r="J34" s="112"/>
      <c r="K34" s="113"/>
      <c r="L34" s="112"/>
      <c r="M34" s="114"/>
      <c r="N34" s="112"/>
      <c r="O34" s="113"/>
      <c r="P34" s="112"/>
      <c r="Q34" s="101" t="s">
        <v>19</v>
      </c>
      <c r="R34" s="533"/>
      <c r="S34" s="533"/>
      <c r="T34" s="91"/>
    </row>
    <row r="35" spans="1:20" ht="18.75" x14ac:dyDescent="0.3">
      <c r="A35" s="91"/>
      <c r="B35" s="91"/>
      <c r="C35" s="91"/>
      <c r="D35" s="91"/>
      <c r="E35" s="91"/>
      <c r="F35" s="92"/>
      <c r="G35" s="93"/>
      <c r="H35" s="92"/>
      <c r="I35" s="91"/>
      <c r="J35" s="92"/>
      <c r="K35" s="93"/>
      <c r="L35" s="92"/>
      <c r="M35" s="91"/>
      <c r="N35" s="107" t="s">
        <v>20</v>
      </c>
      <c r="O35" s="106"/>
      <c r="P35" s="92"/>
      <c r="Q35" s="91"/>
      <c r="R35" s="91"/>
      <c r="S35" s="92"/>
      <c r="T35" s="91"/>
    </row>
    <row r="36" spans="1:20" ht="47.25" customHeight="1" x14ac:dyDescent="0.3">
      <c r="A36" s="524" t="s">
        <v>344</v>
      </c>
      <c r="B36" s="524"/>
      <c r="C36" s="524"/>
      <c r="D36" s="111" t="s">
        <v>19</v>
      </c>
      <c r="E36" s="91"/>
      <c r="F36" s="92"/>
      <c r="G36" s="106" t="s">
        <v>343</v>
      </c>
      <c r="H36" s="92"/>
      <c r="I36" s="110" t="s">
        <v>19</v>
      </c>
      <c r="J36" s="108"/>
      <c r="K36" s="109"/>
      <c r="L36" s="108"/>
      <c r="M36" s="91"/>
      <c r="N36" s="107" t="s">
        <v>21</v>
      </c>
      <c r="O36" s="106"/>
      <c r="P36" s="92"/>
      <c r="Q36" s="105"/>
      <c r="R36" s="91"/>
      <c r="S36" s="104" t="s">
        <v>22</v>
      </c>
      <c r="T36" s="91"/>
    </row>
    <row r="37" spans="1:20" x14ac:dyDescent="0.25">
      <c r="A37" s="91"/>
      <c r="B37" s="531" t="s">
        <v>19</v>
      </c>
      <c r="C37" s="531"/>
      <c r="D37" s="531"/>
      <c r="E37" s="531"/>
      <c r="F37" s="531"/>
      <c r="G37" s="531"/>
      <c r="H37" s="531"/>
      <c r="I37" s="531"/>
      <c r="J37" s="531"/>
      <c r="K37" s="531"/>
      <c r="L37" s="531"/>
      <c r="M37" s="531"/>
      <c r="N37" s="102"/>
      <c r="O37" s="103" t="s">
        <v>19</v>
      </c>
      <c r="P37" s="102"/>
      <c r="Q37" s="101"/>
      <c r="R37" s="91"/>
      <c r="S37" s="92"/>
      <c r="T37" s="91"/>
    </row>
    <row r="38" spans="1:20" ht="18.75" x14ac:dyDescent="0.3">
      <c r="A38" s="91"/>
      <c r="B38" s="100"/>
      <c r="C38" s="98"/>
      <c r="D38" s="98"/>
      <c r="E38" s="98"/>
      <c r="F38" s="98"/>
      <c r="G38" s="99"/>
      <c r="H38" s="98"/>
      <c r="I38" s="98"/>
      <c r="J38" s="98"/>
      <c r="K38" s="99"/>
      <c r="L38" s="98"/>
      <c r="M38" s="98"/>
      <c r="N38" s="96"/>
      <c r="O38" s="97"/>
      <c r="P38" s="96"/>
      <c r="Q38" s="95"/>
      <c r="R38" s="91"/>
      <c r="S38" s="94"/>
      <c r="T38" s="91"/>
    </row>
    <row r="39" spans="1:20" x14ac:dyDescent="0.25">
      <c r="A39" s="91"/>
      <c r="B39" s="91"/>
      <c r="C39" s="91"/>
      <c r="D39" s="91"/>
      <c r="E39" s="91"/>
      <c r="F39" s="92"/>
      <c r="G39" s="93"/>
      <c r="H39" s="92"/>
      <c r="I39" s="91"/>
      <c r="J39" s="92"/>
      <c r="K39" s="93"/>
      <c r="L39" s="92"/>
      <c r="M39" s="91"/>
      <c r="N39" s="92"/>
      <c r="O39" s="93"/>
      <c r="P39" s="92"/>
      <c r="Q39" s="91"/>
      <c r="R39" s="91"/>
      <c r="S39" s="92"/>
      <c r="T39" s="91"/>
    </row>
    <row r="43" spans="1:20" x14ac:dyDescent="0.25">
      <c r="B43" s="523" t="s">
        <v>17</v>
      </c>
      <c r="C43" s="523"/>
      <c r="D43" s="523"/>
      <c r="E43" s="523"/>
      <c r="F43" s="523"/>
      <c r="G43" s="523"/>
      <c r="H43" s="523"/>
      <c r="I43" s="523"/>
      <c r="J43" s="523"/>
      <c r="K43" s="523"/>
      <c r="L43" s="523"/>
      <c r="M43" s="523"/>
      <c r="N43" s="89"/>
      <c r="O43" s="90"/>
      <c r="P43" s="89"/>
    </row>
    <row r="44" spans="1:20" x14ac:dyDescent="0.25">
      <c r="B44" s="523" t="s">
        <v>18</v>
      </c>
      <c r="C44" s="523"/>
      <c r="D44" s="523"/>
      <c r="E44" s="523"/>
      <c r="F44" s="523"/>
      <c r="G44" s="523"/>
      <c r="H44" s="523"/>
      <c r="I44" s="523"/>
      <c r="J44" s="523"/>
      <c r="K44" s="523"/>
      <c r="L44" s="523"/>
      <c r="M44" s="523"/>
      <c r="N44" s="89"/>
      <c r="O44" s="90"/>
      <c r="P44" s="89"/>
    </row>
  </sheetData>
  <mergeCells count="20">
    <mergeCell ref="R34:S34"/>
    <mergeCell ref="T6:T7"/>
    <mergeCell ref="C1:Q1"/>
    <mergeCell ref="R6:R7"/>
    <mergeCell ref="S6:S7"/>
    <mergeCell ref="N6:Q6"/>
    <mergeCell ref="A4:T4"/>
    <mergeCell ref="A2:T2"/>
    <mergeCell ref="J6:M6"/>
    <mergeCell ref="B34:D34"/>
    <mergeCell ref="B44:M44"/>
    <mergeCell ref="B43:M43"/>
    <mergeCell ref="A36:C36"/>
    <mergeCell ref="A6:A7"/>
    <mergeCell ref="B6:B7"/>
    <mergeCell ref="C6:C7"/>
    <mergeCell ref="D6:D7"/>
    <mergeCell ref="E6:E7"/>
    <mergeCell ref="B37:M37"/>
    <mergeCell ref="F6:I6"/>
  </mergeCells>
  <hyperlinks>
    <hyperlink ref="I10" r:id="rId1" xr:uid="{00000000-0004-0000-0E00-000000000000}"/>
    <hyperlink ref="M10" r:id="rId2" xr:uid="{00000000-0004-0000-0E00-000001000000}"/>
    <hyperlink ref="I12" r:id="rId3" xr:uid="{00000000-0004-0000-0E00-000002000000}"/>
    <hyperlink ref="M12" r:id="rId4" xr:uid="{00000000-0004-0000-0E00-000003000000}"/>
    <hyperlink ref="I11" r:id="rId5" xr:uid="{00000000-0004-0000-0E00-000004000000}"/>
    <hyperlink ref="M11" r:id="rId6" xr:uid="{00000000-0004-0000-0E00-000005000000}"/>
    <hyperlink ref="I13" r:id="rId7" xr:uid="{00000000-0004-0000-0E00-000006000000}"/>
    <hyperlink ref="M13" r:id="rId8" xr:uid="{00000000-0004-0000-0E00-000007000000}"/>
    <hyperlink ref="Q13" r:id="rId9" xr:uid="{00000000-0004-0000-0E00-000008000000}"/>
    <hyperlink ref="I14" r:id="rId10" xr:uid="{00000000-0004-0000-0E00-000009000000}"/>
    <hyperlink ref="Q14" r:id="rId11" xr:uid="{00000000-0004-0000-0E00-00000A000000}"/>
    <hyperlink ref="I15" r:id="rId12" xr:uid="{00000000-0004-0000-0E00-00000B000000}"/>
    <hyperlink ref="M15" r:id="rId13" xr:uid="{00000000-0004-0000-0E00-00000C000000}"/>
    <hyperlink ref="Q15" r:id="rId14" xr:uid="{00000000-0004-0000-0E00-00000D000000}"/>
    <hyperlink ref="I16" r:id="rId15" xr:uid="{00000000-0004-0000-0E00-00000E000000}"/>
    <hyperlink ref="M16" r:id="rId16" xr:uid="{00000000-0004-0000-0E00-00000F000000}"/>
    <hyperlink ref="Q16" r:id="rId17" xr:uid="{00000000-0004-0000-0E00-000010000000}"/>
    <hyperlink ref="I17" r:id="rId18" xr:uid="{00000000-0004-0000-0E00-000011000000}"/>
    <hyperlink ref="M17" r:id="rId19" xr:uid="{00000000-0004-0000-0E00-000012000000}"/>
    <hyperlink ref="Q17" display="https://satro-paladin.com/catalog/product/93972/?utm_source=InHouse-yandex&amp;utm_medium=cpc&amp;utm_campaign=eLama%20%7C%20Товарная%20%7C%20Все%20категории%20%7C%20Оплата%20за%20клики%20%7C%20РФ&amp;utm_content=cid%7C116808275%7Cgid%7C5523346548%7Caid%7C16818539462" xr:uid="{00000000-0004-0000-0E00-000013000000}"/>
    <hyperlink ref="I18" r:id="rId20" xr:uid="{00000000-0004-0000-0E00-000014000000}"/>
    <hyperlink ref="M18" display="https://www.chipdip.ru/product/dtm-1207-akkumulyator-svintsovyy-12v-7ach-exegate-9000957335?utm_source=direct&amp;utm_medium=cpc&amp;utm_campaign=Y_dinamicheskaya&amp;utm_content=text1_ya&amp;utm_term=---autotargeting&amp;position_type=dynamic_places&amp;etext=&amp;yclid=18128543897" xr:uid="{00000000-0004-0000-0E00-000015000000}"/>
    <hyperlink ref="Q18" r:id="rId21" xr:uid="{00000000-0004-0000-0E00-000016000000}"/>
    <hyperlink ref="I19" r:id="rId22" xr:uid="{00000000-0004-0000-0E00-000017000000}"/>
    <hyperlink ref="M19" display="https://satro-paladin.com/catalog/product/93926/?utm_source=InHouse-yandex&amp;utm_medium=cpc&amp;utm_campaign=eLama%20%7C%20Товарная%20%7C%20Все%20категории%20%7C%20Оплата%20за%20клики%20%7C%20РФ&amp;utm_content=cid%7C116808275%7Cgid%7C5523346548%7Caid%7C16721266298" xr:uid="{00000000-0004-0000-0E00-000018000000}"/>
    <hyperlink ref="Q19" r:id="rId23" xr:uid="{00000000-0004-0000-0E00-000019000000}"/>
    <hyperlink ref="I20" r:id="rId24" xr:uid="{00000000-0004-0000-0E00-00001A000000}"/>
    <hyperlink ref="M20" display="https://satro-paladin.com/catalog/product/105552/?utm_source=InHouse-yandex&amp;utm_medium=cpc&amp;utm_campaign=eLama%20%7C%20Товарная%20%7C%20Все%20категории%20%7C%20Оплата%20за%20клики%20%7C%20РФ&amp;utm_content=cid%7C116808275%7Cgid%7C5523346548%7Caid%7C1672126629" xr:uid="{00000000-0004-0000-0E00-00001B000000}"/>
    <hyperlink ref="Q20" r:id="rId25" xr:uid="{00000000-0004-0000-0E00-00001C000000}"/>
    <hyperlink ref="I21" r:id="rId26" xr:uid="{00000000-0004-0000-0E00-00001D000000}"/>
    <hyperlink ref="M21" r:id="rId27" xr:uid="{00000000-0004-0000-0E00-00001E000000}"/>
    <hyperlink ref="Q21" display="https://satro-paladin.com/catalog/product/93911/?utm_source=InHouse-yandex&amp;utm_medium=cpc&amp;utm_campaign=eLama%20%7C%20Товарная%20%7C%20Все%20категории%20%7C%20Оплата%20за%20клики%20%7C%20РФ&amp;utm_content=cid%7C116808275%7Cgid%7C5523346548%7Caid%7C16818539462" xr:uid="{00000000-0004-0000-0E00-00001F000000}"/>
    <hyperlink ref="I22" r:id="rId28" xr:uid="{00000000-0004-0000-0E00-000020000000}"/>
    <hyperlink ref="M22" r:id="rId29" xr:uid="{00000000-0004-0000-0E00-000021000000}"/>
    <hyperlink ref="Q22" r:id="rId30" xr:uid="{00000000-0004-0000-0E00-000022000000}"/>
    <hyperlink ref="I23" r:id="rId31" xr:uid="{00000000-0004-0000-0E00-000023000000}"/>
    <hyperlink ref="M23" r:id="rId32" xr:uid="{00000000-0004-0000-0E00-000024000000}"/>
    <hyperlink ref="Q23" display="https://satro-paladin.com/catalog/product/93910/?utm_source=InHouse-yandex&amp;utm_medium=cpc&amp;utm_campaign=eLama%20%7C%20Товарная%20%7C%20Все%20категории%20%7C%20Оплата%20за%20клики%20%7C%20РФ&amp;utm_content=cid%7C116808275%7Cgid%7C5523346548%7Caid%7C16818539462" xr:uid="{00000000-0004-0000-0E00-000025000000}"/>
    <hyperlink ref="I24" r:id="rId33" xr:uid="{00000000-0004-0000-0E00-000026000000}"/>
    <hyperlink ref="M24" display="https://satro-paladin.com/catalog/product/93921/?utm_source=InHouse-yandex&amp;utm_medium=cpc&amp;utm_campaign=eLama%20%7C%20Товарная%20%7C%20Все%20категории%20%7C%20Оплата%20за%20клики%20%7C%20РФ&amp;utm_content=cid%7C116808275%7Cgid%7C5523346548%7Caid%7C16818539462" xr:uid="{00000000-0004-0000-0E00-000027000000}"/>
    <hyperlink ref="Q24" r:id="rId34" xr:uid="{00000000-0004-0000-0E00-000028000000}"/>
    <hyperlink ref="I25" r:id="rId35" xr:uid="{00000000-0004-0000-0E00-000029000000}"/>
    <hyperlink ref="M25" r:id="rId36" xr:uid="{00000000-0004-0000-0E00-00002A000000}"/>
    <hyperlink ref="Q25" r:id="rId37" xr:uid="{00000000-0004-0000-0E00-00002B000000}"/>
    <hyperlink ref="I26" r:id="rId38" xr:uid="{00000000-0004-0000-0E00-00002C000000}"/>
    <hyperlink ref="M26" r:id="rId39" xr:uid="{00000000-0004-0000-0E00-00002D000000}"/>
    <hyperlink ref="Q26" r:id="rId40" xr:uid="{00000000-0004-0000-0E00-00002E000000}"/>
    <hyperlink ref="I27" r:id="rId41" xr:uid="{00000000-0004-0000-0E00-00002F000000}"/>
    <hyperlink ref="M27" r:id="rId42" xr:uid="{00000000-0004-0000-0E00-000030000000}"/>
    <hyperlink ref="Q27" r:id="rId43" xr:uid="{00000000-0004-0000-0E00-000031000000}"/>
    <hyperlink ref="I28" r:id="rId44" xr:uid="{00000000-0004-0000-0E00-000032000000}"/>
    <hyperlink ref="M28" r:id="rId45" xr:uid="{00000000-0004-0000-0E00-000033000000}"/>
    <hyperlink ref="Q28" r:id="rId46" xr:uid="{00000000-0004-0000-0E00-000034000000}"/>
    <hyperlink ref="I29" r:id="rId47" xr:uid="{00000000-0004-0000-0E00-000035000000}"/>
    <hyperlink ref="M29" r:id="rId48" xr:uid="{00000000-0004-0000-0E00-000036000000}"/>
    <hyperlink ref="Q29" r:id="rId49" xr:uid="{00000000-0004-0000-0E00-000037000000}"/>
    <hyperlink ref="I30" r:id="rId50" xr:uid="{00000000-0004-0000-0E00-000038000000}"/>
    <hyperlink ref="M30" r:id="rId51" xr:uid="{00000000-0004-0000-0E00-000039000000}"/>
    <hyperlink ref="Q30" r:id="rId52" xr:uid="{00000000-0004-0000-0E00-00003A000000}"/>
  </hyperlinks>
  <pageMargins left="0.31496062992125984" right="0.31496062992125984" top="0.74803149606299213" bottom="0.74803149606299213" header="0.31496062992125984" footer="0.31496062992125984"/>
  <pageSetup paperSize="9" scale="42" fitToHeight="0" orientation="landscape" r:id="rId53"/>
  <drawing r:id="rId5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8"/>
  <sheetViews>
    <sheetView view="pageBreakPreview" topLeftCell="A8" zoomScale="50" zoomScaleNormal="50" zoomScaleSheetLayoutView="50" workbookViewId="0">
      <selection activeCell="K36" sqref="K36"/>
    </sheetView>
  </sheetViews>
  <sheetFormatPr defaultColWidth="8.7109375" defaultRowHeight="18.75" x14ac:dyDescent="0.25"/>
  <cols>
    <col min="1" max="1" width="8.140625" style="334" customWidth="1"/>
    <col min="2" max="2" width="16.5703125" style="334" customWidth="1"/>
    <col min="3" max="3" width="99.5703125" style="332" customWidth="1"/>
    <col min="4" max="4" width="23" style="332" customWidth="1"/>
    <col min="5" max="5" width="12.7109375" style="333" customWidth="1"/>
    <col min="6" max="9" width="28.140625" style="332" customWidth="1"/>
    <col min="10" max="10" width="29.42578125" style="332" customWidth="1"/>
    <col min="11" max="12" width="28.140625" style="332" customWidth="1"/>
    <col min="13" max="13" width="29.5703125" style="332" customWidth="1"/>
    <col min="14" max="14" width="28.140625" style="331" customWidth="1"/>
    <col min="15" max="17" width="28.140625" style="330" customWidth="1"/>
    <col min="18" max="16384" width="8.7109375" style="330"/>
  </cols>
  <sheetData>
    <row r="1" spans="1:17" x14ac:dyDescent="0.25">
      <c r="C1" s="508"/>
      <c r="D1" s="508"/>
      <c r="E1" s="508"/>
      <c r="F1" s="508"/>
      <c r="G1" s="508"/>
      <c r="H1" s="508"/>
      <c r="I1" s="508"/>
      <c r="J1" s="508"/>
      <c r="K1" s="508"/>
      <c r="L1" s="508"/>
      <c r="M1" s="508"/>
      <c r="N1" s="508"/>
    </row>
    <row r="2" spans="1:17" x14ac:dyDescent="0.3">
      <c r="C2" s="78"/>
      <c r="D2" s="78"/>
      <c r="E2" s="78"/>
      <c r="F2" s="508"/>
      <c r="G2" s="508"/>
      <c r="H2" s="577"/>
      <c r="I2" s="365"/>
      <c r="J2" s="365"/>
      <c r="K2" s="78"/>
      <c r="L2" s="78"/>
      <c r="M2" s="78"/>
      <c r="N2" s="335"/>
      <c r="O2" s="335"/>
      <c r="P2" s="335"/>
      <c r="Q2" s="335" t="s">
        <v>0</v>
      </c>
    </row>
    <row r="3" spans="1:17" x14ac:dyDescent="0.3">
      <c r="C3" s="78"/>
      <c r="D3" s="78"/>
      <c r="E3" s="78"/>
      <c r="F3" s="78"/>
      <c r="G3" s="78"/>
      <c r="H3" s="365"/>
      <c r="I3" s="365"/>
      <c r="J3" s="365"/>
      <c r="K3" s="78"/>
      <c r="L3" s="78"/>
      <c r="M3" s="78"/>
      <c r="N3" s="335"/>
      <c r="O3" s="510"/>
      <c r="P3" s="510"/>
      <c r="Q3" s="335"/>
    </row>
    <row r="4" spans="1:17" x14ac:dyDescent="0.3">
      <c r="C4" s="78"/>
      <c r="D4" s="78"/>
      <c r="E4" s="78"/>
      <c r="F4" s="78"/>
      <c r="G4" s="78"/>
      <c r="H4" s="365"/>
      <c r="I4" s="365"/>
      <c r="J4" s="365"/>
      <c r="K4" s="78"/>
      <c r="L4" s="78"/>
      <c r="M4" s="78"/>
      <c r="N4" s="335"/>
      <c r="O4" s="80"/>
      <c r="P4" s="80"/>
      <c r="Q4" s="335"/>
    </row>
    <row r="5" spans="1:17" x14ac:dyDescent="0.3">
      <c r="C5" s="78"/>
      <c r="D5" s="78"/>
      <c r="E5" s="78"/>
      <c r="F5" s="78"/>
      <c r="G5" s="78"/>
      <c r="H5" s="365"/>
      <c r="I5" s="365"/>
      <c r="J5" s="365"/>
      <c r="K5" s="78"/>
      <c r="L5" s="78"/>
      <c r="M5" s="78"/>
      <c r="N5" s="243" t="s">
        <v>19</v>
      </c>
      <c r="O5" s="242"/>
      <c r="P5" s="80"/>
      <c r="Q5" s="335"/>
    </row>
    <row r="6" spans="1:17" x14ac:dyDescent="0.3">
      <c r="C6" s="78"/>
      <c r="D6" s="78"/>
      <c r="E6" s="78"/>
      <c r="F6" s="508"/>
      <c r="G6" s="508"/>
      <c r="H6" s="577"/>
      <c r="I6" s="365"/>
      <c r="J6" s="365"/>
      <c r="K6" s="78"/>
      <c r="L6" s="78"/>
      <c r="M6" s="78"/>
      <c r="N6" s="522"/>
      <c r="O6" s="522"/>
      <c r="P6" s="80"/>
      <c r="Q6" s="23"/>
    </row>
    <row r="7" spans="1:17" x14ac:dyDescent="0.3">
      <c r="C7" s="78"/>
      <c r="D7" s="78"/>
      <c r="E7" s="78"/>
      <c r="F7" s="78"/>
      <c r="G7" s="78"/>
      <c r="H7" s="365"/>
      <c r="I7" s="365"/>
      <c r="J7" s="365"/>
      <c r="K7" s="78"/>
      <c r="L7" s="78"/>
      <c r="M7" s="78"/>
      <c r="N7" s="335"/>
      <c r="O7" s="80"/>
      <c r="P7" s="80"/>
      <c r="Q7" s="335"/>
    </row>
    <row r="8" spans="1:17" x14ac:dyDescent="0.3">
      <c r="C8" s="78"/>
      <c r="D8" s="78"/>
      <c r="E8" s="78"/>
      <c r="F8" s="78"/>
      <c r="G8" s="78"/>
      <c r="H8" s="365"/>
      <c r="I8" s="365"/>
      <c r="J8" s="365"/>
      <c r="K8" s="78"/>
      <c r="L8" s="78"/>
      <c r="M8" s="78"/>
      <c r="N8" s="335"/>
      <c r="O8" s="80"/>
      <c r="P8" s="80"/>
      <c r="Q8" s="335"/>
    </row>
    <row r="9" spans="1:17" x14ac:dyDescent="0.3">
      <c r="C9" s="78"/>
      <c r="D9" s="78"/>
      <c r="E9" s="78"/>
      <c r="F9" s="78"/>
      <c r="G9" s="367"/>
      <c r="H9" s="366"/>
      <c r="I9" s="365"/>
      <c r="J9" s="365"/>
      <c r="K9" s="78"/>
      <c r="L9" s="78"/>
      <c r="M9" s="78"/>
      <c r="N9" s="335"/>
      <c r="O9" s="576"/>
      <c r="P9" s="576"/>
      <c r="Q9" s="335"/>
    </row>
    <row r="10" spans="1:17" x14ac:dyDescent="0.3">
      <c r="C10" s="78"/>
      <c r="D10" s="78"/>
      <c r="E10" s="78"/>
      <c r="F10" s="78"/>
      <c r="G10" s="78"/>
      <c r="H10" s="365"/>
      <c r="I10" s="365"/>
      <c r="J10" s="365"/>
      <c r="K10" s="78"/>
      <c r="L10" s="78"/>
      <c r="M10" s="78"/>
      <c r="N10" s="576" t="s">
        <v>19</v>
      </c>
      <c r="O10" s="576"/>
      <c r="P10" s="576"/>
      <c r="Q10" s="576"/>
    </row>
    <row r="11" spans="1:17" x14ac:dyDescent="0.25">
      <c r="C11" s="78"/>
      <c r="D11" s="78"/>
      <c r="E11" s="78"/>
      <c r="F11" s="78"/>
      <c r="G11" s="78"/>
      <c r="H11" s="78"/>
      <c r="I11" s="78"/>
      <c r="J11" s="78"/>
      <c r="K11" s="78"/>
      <c r="L11" s="78"/>
      <c r="M11" s="78"/>
      <c r="N11" s="78"/>
    </row>
    <row r="12" spans="1:17" s="360" customFormat="1" ht="20.65" customHeight="1" x14ac:dyDescent="0.3">
      <c r="A12" s="364"/>
      <c r="B12" s="364"/>
      <c r="C12" s="572" t="s">
        <v>2131</v>
      </c>
      <c r="D12" s="572"/>
      <c r="E12" s="572"/>
      <c r="F12" s="572"/>
      <c r="G12" s="572"/>
      <c r="H12" s="572"/>
      <c r="I12" s="572"/>
      <c r="J12" s="572"/>
      <c r="K12" s="572"/>
      <c r="L12" s="361"/>
      <c r="M12" s="361"/>
      <c r="N12" s="361"/>
    </row>
    <row r="13" spans="1:17" s="360" customFormat="1" ht="15.75" customHeight="1" x14ac:dyDescent="0.3">
      <c r="A13" s="364"/>
      <c r="B13" s="364"/>
      <c r="C13" s="363"/>
      <c r="D13" s="362"/>
      <c r="E13" s="361"/>
      <c r="F13" s="361"/>
      <c r="G13" s="361"/>
      <c r="H13" s="361"/>
      <c r="I13" s="361"/>
      <c r="J13" s="361"/>
      <c r="K13" s="361"/>
      <c r="L13" s="361"/>
      <c r="M13" s="361"/>
      <c r="N13" s="361"/>
    </row>
    <row r="14" spans="1:17" s="357" customFormat="1" ht="24" customHeight="1" x14ac:dyDescent="0.25">
      <c r="A14" s="578" t="s">
        <v>1</v>
      </c>
      <c r="B14" s="578" t="s">
        <v>1123</v>
      </c>
      <c r="C14" s="580" t="s">
        <v>3</v>
      </c>
      <c r="D14" s="582" t="s">
        <v>4</v>
      </c>
      <c r="E14" s="578" t="s">
        <v>5</v>
      </c>
      <c r="F14" s="573" t="s">
        <v>2130</v>
      </c>
      <c r="G14" s="573"/>
      <c r="H14" s="574"/>
      <c r="I14" s="573" t="s">
        <v>2129</v>
      </c>
      <c r="J14" s="573"/>
      <c r="K14" s="574"/>
      <c r="L14" s="573" t="s">
        <v>2128</v>
      </c>
      <c r="M14" s="573"/>
      <c r="N14" s="574"/>
      <c r="O14" s="505" t="s">
        <v>1122</v>
      </c>
      <c r="P14" s="505" t="s">
        <v>10</v>
      </c>
      <c r="Q14" s="505" t="s">
        <v>11</v>
      </c>
    </row>
    <row r="15" spans="1:17" s="357" customFormat="1" ht="138.4" customHeight="1" x14ac:dyDescent="0.25">
      <c r="A15" s="579"/>
      <c r="B15" s="579"/>
      <c r="C15" s="581"/>
      <c r="D15" s="583"/>
      <c r="E15" s="583"/>
      <c r="F15" s="359" t="s">
        <v>14</v>
      </c>
      <c r="G15" s="358" t="s">
        <v>12</v>
      </c>
      <c r="H15" s="358" t="s">
        <v>13</v>
      </c>
      <c r="I15" s="359" t="s">
        <v>14</v>
      </c>
      <c r="J15" s="358" t="s">
        <v>12</v>
      </c>
      <c r="K15" s="358" t="s">
        <v>13</v>
      </c>
      <c r="L15" s="359" t="s">
        <v>14</v>
      </c>
      <c r="M15" s="358" t="s">
        <v>12</v>
      </c>
      <c r="N15" s="358" t="s">
        <v>13</v>
      </c>
      <c r="O15" s="506"/>
      <c r="P15" s="506"/>
      <c r="Q15" s="506"/>
    </row>
    <row r="16" spans="1:17" x14ac:dyDescent="0.25">
      <c r="A16" s="356">
        <v>1</v>
      </c>
      <c r="B16" s="356">
        <f>A16+1</f>
        <v>2</v>
      </c>
      <c r="C16" s="356">
        <f>B16+1</f>
        <v>3</v>
      </c>
      <c r="D16" s="356">
        <f>C16+1</f>
        <v>4</v>
      </c>
      <c r="E16" s="356">
        <f>D16+1</f>
        <v>5</v>
      </c>
      <c r="F16" s="356">
        <v>6</v>
      </c>
      <c r="G16" s="356">
        <v>7</v>
      </c>
      <c r="H16" s="356">
        <v>8</v>
      </c>
      <c r="I16" s="356">
        <v>9</v>
      </c>
      <c r="J16" s="356">
        <v>10</v>
      </c>
      <c r="K16" s="356">
        <v>11</v>
      </c>
      <c r="L16" s="356">
        <v>12</v>
      </c>
      <c r="M16" s="356">
        <v>13</v>
      </c>
      <c r="N16" s="356">
        <v>14</v>
      </c>
      <c r="O16" s="356">
        <v>15</v>
      </c>
      <c r="P16" s="356">
        <v>16</v>
      </c>
      <c r="Q16" s="356">
        <v>17</v>
      </c>
    </row>
    <row r="17" spans="1:17" ht="21" customHeight="1" x14ac:dyDescent="0.25">
      <c r="A17" s="61"/>
      <c r="B17" s="61"/>
      <c r="C17" s="354" t="s">
        <v>3054</v>
      </c>
      <c r="D17" s="354"/>
      <c r="E17" s="68"/>
      <c r="F17" s="354"/>
      <c r="G17" s="354"/>
      <c r="H17" s="354"/>
      <c r="I17" s="354"/>
      <c r="J17" s="349"/>
      <c r="K17" s="354"/>
      <c r="L17" s="355"/>
      <c r="M17" s="354"/>
      <c r="N17" s="354"/>
      <c r="O17" s="354"/>
      <c r="P17" s="354"/>
      <c r="Q17" s="354"/>
    </row>
    <row r="18" spans="1:17" ht="54.95" customHeight="1" x14ac:dyDescent="0.25">
      <c r="A18" s="350">
        <v>1</v>
      </c>
      <c r="B18" s="345" t="s">
        <v>3032</v>
      </c>
      <c r="C18" s="390" t="s">
        <v>3053</v>
      </c>
      <c r="D18" s="349" t="s">
        <v>3052</v>
      </c>
      <c r="E18" s="351" t="s">
        <v>15</v>
      </c>
      <c r="F18" s="347">
        <v>9737</v>
      </c>
      <c r="G18" s="346" t="s">
        <v>3051</v>
      </c>
      <c r="H18" s="386">
        <v>7806292062</v>
      </c>
      <c r="I18" s="342">
        <v>9370</v>
      </c>
      <c r="J18" s="346" t="s">
        <v>2351</v>
      </c>
      <c r="K18" s="345">
        <v>972202612</v>
      </c>
      <c r="L18" s="342">
        <v>16361</v>
      </c>
      <c r="M18" s="346" t="s">
        <v>3050</v>
      </c>
      <c r="N18" s="386">
        <v>772861067947</v>
      </c>
      <c r="O18" s="342">
        <f t="shared" ref="O18:O29" si="0">MIN(F18,I18,L18)</f>
        <v>9370</v>
      </c>
      <c r="P18" s="342"/>
      <c r="Q18" s="341" t="s">
        <v>2046</v>
      </c>
    </row>
    <row r="19" spans="1:17" ht="54.95" customHeight="1" x14ac:dyDescent="0.25">
      <c r="A19" s="350">
        <v>2</v>
      </c>
      <c r="B19" s="345" t="s">
        <v>3032</v>
      </c>
      <c r="C19" s="390" t="s">
        <v>3049</v>
      </c>
      <c r="D19" s="349" t="s">
        <v>3048</v>
      </c>
      <c r="E19" s="351" t="s">
        <v>15</v>
      </c>
      <c r="F19" s="347">
        <v>4511</v>
      </c>
      <c r="G19" s="346" t="s">
        <v>2047</v>
      </c>
      <c r="H19" s="386">
        <v>9721058155</v>
      </c>
      <c r="I19" s="342">
        <v>4299</v>
      </c>
      <c r="J19" s="346" t="s">
        <v>555</v>
      </c>
      <c r="K19" s="345">
        <v>7735092378</v>
      </c>
      <c r="L19" s="342">
        <v>3880</v>
      </c>
      <c r="M19" s="346" t="s">
        <v>2531</v>
      </c>
      <c r="N19" s="386">
        <v>7718979307</v>
      </c>
      <c r="O19" s="342">
        <f t="shared" si="0"/>
        <v>3880</v>
      </c>
      <c r="P19" s="342"/>
      <c r="Q19" s="341" t="s">
        <v>2046</v>
      </c>
    </row>
    <row r="20" spans="1:17" ht="54.95" customHeight="1" x14ac:dyDescent="0.25">
      <c r="A20" s="350">
        <v>3</v>
      </c>
      <c r="B20" s="345" t="s">
        <v>3032</v>
      </c>
      <c r="C20" s="390" t="s">
        <v>3047</v>
      </c>
      <c r="D20" s="349" t="s">
        <v>3046</v>
      </c>
      <c r="E20" s="351" t="s">
        <v>15</v>
      </c>
      <c r="F20" s="347">
        <v>6350</v>
      </c>
      <c r="G20" s="346" t="s">
        <v>3045</v>
      </c>
      <c r="H20" s="386">
        <v>6686101924</v>
      </c>
      <c r="I20" s="342">
        <v>6350</v>
      </c>
      <c r="J20" s="346" t="s">
        <v>3044</v>
      </c>
      <c r="K20" s="345">
        <v>7735150573</v>
      </c>
      <c r="L20" s="342">
        <v>6350</v>
      </c>
      <c r="M20" s="346" t="s">
        <v>369</v>
      </c>
      <c r="N20" s="386">
        <v>7702680818</v>
      </c>
      <c r="O20" s="342">
        <f t="shared" si="0"/>
        <v>6350</v>
      </c>
      <c r="P20" s="342"/>
      <c r="Q20" s="341" t="s">
        <v>2046</v>
      </c>
    </row>
    <row r="21" spans="1:17" ht="54.95" customHeight="1" x14ac:dyDescent="0.25">
      <c r="A21" s="350">
        <v>4</v>
      </c>
      <c r="B21" s="345" t="s">
        <v>2060</v>
      </c>
      <c r="C21" s="390" t="s">
        <v>3043</v>
      </c>
      <c r="D21" s="349" t="s">
        <v>3042</v>
      </c>
      <c r="E21" s="351" t="s">
        <v>818</v>
      </c>
      <c r="F21" s="347">
        <v>56180</v>
      </c>
      <c r="G21" s="346" t="s">
        <v>815</v>
      </c>
      <c r="H21" s="386">
        <v>7713587786</v>
      </c>
      <c r="I21" s="342">
        <v>55000</v>
      </c>
      <c r="J21" s="346" t="s">
        <v>2134</v>
      </c>
      <c r="K21" s="345">
        <v>9701078957</v>
      </c>
      <c r="L21" s="342">
        <v>60300</v>
      </c>
      <c r="M21" s="346" t="s">
        <v>369</v>
      </c>
      <c r="N21" s="386">
        <v>7702680818</v>
      </c>
      <c r="O21" s="342">
        <f t="shared" si="0"/>
        <v>55000</v>
      </c>
      <c r="P21" s="342"/>
      <c r="Q21" s="341" t="s">
        <v>2046</v>
      </c>
    </row>
    <row r="22" spans="1:17" ht="54.95" customHeight="1" x14ac:dyDescent="0.25">
      <c r="A22" s="350">
        <v>5</v>
      </c>
      <c r="B22" s="345" t="s">
        <v>3032</v>
      </c>
      <c r="C22" s="390" t="s">
        <v>3041</v>
      </c>
      <c r="D22" s="349" t="s">
        <v>3040</v>
      </c>
      <c r="E22" s="351" t="s">
        <v>15</v>
      </c>
      <c r="F22" s="347">
        <v>111659</v>
      </c>
      <c r="G22" s="346" t="s">
        <v>2047</v>
      </c>
      <c r="H22" s="386">
        <v>9721058155</v>
      </c>
      <c r="I22" s="342">
        <v>106042.16</v>
      </c>
      <c r="J22" s="346" t="s">
        <v>3037</v>
      </c>
      <c r="K22" s="345">
        <v>7842224734</v>
      </c>
      <c r="L22" s="342">
        <v>111659</v>
      </c>
      <c r="M22" s="346" t="s">
        <v>369</v>
      </c>
      <c r="N22" s="386">
        <v>7702680818</v>
      </c>
      <c r="O22" s="342">
        <f t="shared" si="0"/>
        <v>106042.16</v>
      </c>
      <c r="P22" s="342"/>
      <c r="Q22" s="341" t="s">
        <v>2046</v>
      </c>
    </row>
    <row r="23" spans="1:17" ht="54.95" customHeight="1" x14ac:dyDescent="0.25">
      <c r="A23" s="350">
        <v>6</v>
      </c>
      <c r="B23" s="345" t="s">
        <v>3032</v>
      </c>
      <c r="C23" s="390" t="s">
        <v>3039</v>
      </c>
      <c r="D23" s="349" t="s">
        <v>3038</v>
      </c>
      <c r="E23" s="351" t="s">
        <v>15</v>
      </c>
      <c r="F23" s="391">
        <v>84869</v>
      </c>
      <c r="G23" s="346" t="s">
        <v>2778</v>
      </c>
      <c r="H23" s="386" t="s">
        <v>631</v>
      </c>
      <c r="I23" s="342">
        <v>84869.19</v>
      </c>
      <c r="J23" s="346" t="s">
        <v>2047</v>
      </c>
      <c r="K23" s="386">
        <v>9721058155</v>
      </c>
      <c r="L23" s="342">
        <v>80599.789999999994</v>
      </c>
      <c r="M23" s="346" t="s">
        <v>3037</v>
      </c>
      <c r="N23" s="345">
        <v>7842224734</v>
      </c>
      <c r="O23" s="342">
        <f t="shared" si="0"/>
        <v>80599.789999999994</v>
      </c>
      <c r="P23" s="342"/>
      <c r="Q23" s="341" t="s">
        <v>2046</v>
      </c>
    </row>
    <row r="24" spans="1:17" ht="54.95" customHeight="1" x14ac:dyDescent="0.25">
      <c r="A24" s="350">
        <v>7</v>
      </c>
      <c r="B24" s="345" t="s">
        <v>3032</v>
      </c>
      <c r="C24" s="390" t="s">
        <v>3036</v>
      </c>
      <c r="D24" s="349" t="s">
        <v>3035</v>
      </c>
      <c r="E24" s="351" t="s">
        <v>15</v>
      </c>
      <c r="F24" s="347">
        <v>29461</v>
      </c>
      <c r="G24" s="346" t="s">
        <v>2047</v>
      </c>
      <c r="H24" s="386">
        <v>9721058155</v>
      </c>
      <c r="I24" s="342">
        <v>29461</v>
      </c>
      <c r="J24" s="346" t="s">
        <v>2146</v>
      </c>
      <c r="K24" s="386">
        <v>7719840097</v>
      </c>
      <c r="L24" s="342">
        <v>29461</v>
      </c>
      <c r="M24" s="346" t="s">
        <v>369</v>
      </c>
      <c r="N24" s="386">
        <v>7702680818</v>
      </c>
      <c r="O24" s="342">
        <f t="shared" si="0"/>
        <v>29461</v>
      </c>
      <c r="P24" s="342"/>
      <c r="Q24" s="341" t="s">
        <v>2046</v>
      </c>
    </row>
    <row r="25" spans="1:17" ht="54.95" customHeight="1" x14ac:dyDescent="0.25">
      <c r="A25" s="350">
        <v>8</v>
      </c>
      <c r="B25" s="345" t="s">
        <v>568</v>
      </c>
      <c r="C25" s="390" t="s">
        <v>3034</v>
      </c>
      <c r="D25" s="349" t="s">
        <v>3033</v>
      </c>
      <c r="E25" s="351" t="s">
        <v>15</v>
      </c>
      <c r="F25" s="347">
        <v>11232</v>
      </c>
      <c r="G25" s="346" t="s">
        <v>2047</v>
      </c>
      <c r="H25" s="386">
        <v>9721058155</v>
      </c>
      <c r="I25" s="342">
        <v>11232</v>
      </c>
      <c r="J25" s="346" t="s">
        <v>2146</v>
      </c>
      <c r="K25" s="386">
        <v>7719840097</v>
      </c>
      <c r="L25" s="342">
        <v>11232</v>
      </c>
      <c r="M25" s="346" t="s">
        <v>369</v>
      </c>
      <c r="N25" s="386">
        <v>7702680818</v>
      </c>
      <c r="O25" s="342">
        <f t="shared" si="0"/>
        <v>11232</v>
      </c>
      <c r="P25" s="342"/>
      <c r="Q25" s="341" t="s">
        <v>2046</v>
      </c>
    </row>
    <row r="26" spans="1:17" ht="54.95" customHeight="1" x14ac:dyDescent="0.25">
      <c r="A26" s="350">
        <v>9</v>
      </c>
      <c r="B26" s="345" t="s">
        <v>3032</v>
      </c>
      <c r="C26" s="390" t="s">
        <v>3031</v>
      </c>
      <c r="D26" s="349" t="s">
        <v>3030</v>
      </c>
      <c r="E26" s="351" t="s">
        <v>15</v>
      </c>
      <c r="F26" s="347">
        <v>8520</v>
      </c>
      <c r="G26" s="346" t="s">
        <v>2333</v>
      </c>
      <c r="H26" s="386">
        <v>504809933724</v>
      </c>
      <c r="I26" s="342">
        <v>8520</v>
      </c>
      <c r="J26" s="346" t="s">
        <v>2047</v>
      </c>
      <c r="K26" s="386">
        <v>9721058155</v>
      </c>
      <c r="L26" s="342">
        <v>8520</v>
      </c>
      <c r="M26" s="346" t="s">
        <v>369</v>
      </c>
      <c r="N26" s="386">
        <v>7702680818</v>
      </c>
      <c r="O26" s="342">
        <f t="shared" si="0"/>
        <v>8520</v>
      </c>
      <c r="P26" s="342"/>
      <c r="Q26" s="341" t="s">
        <v>2046</v>
      </c>
    </row>
    <row r="27" spans="1:17" ht="54.95" customHeight="1" x14ac:dyDescent="0.25">
      <c r="A27" s="350">
        <v>10</v>
      </c>
      <c r="B27" s="345" t="s">
        <v>2060</v>
      </c>
      <c r="C27" s="390" t="s">
        <v>3029</v>
      </c>
      <c r="D27" s="349" t="s">
        <v>3028</v>
      </c>
      <c r="E27" s="351" t="s">
        <v>818</v>
      </c>
      <c r="F27" s="347">
        <v>608570</v>
      </c>
      <c r="G27" s="346" t="s">
        <v>369</v>
      </c>
      <c r="H27" s="386">
        <v>7702680818</v>
      </c>
      <c r="I27" s="342">
        <v>608570</v>
      </c>
      <c r="J27" s="346" t="s">
        <v>2333</v>
      </c>
      <c r="K27" s="386">
        <v>504809933724</v>
      </c>
      <c r="L27" s="342">
        <v>608570</v>
      </c>
      <c r="M27" s="346" t="s">
        <v>2345</v>
      </c>
      <c r="N27" s="386">
        <v>5074008028</v>
      </c>
      <c r="O27" s="342">
        <f t="shared" si="0"/>
        <v>608570</v>
      </c>
      <c r="P27" s="342"/>
      <c r="Q27" s="341" t="s">
        <v>2046</v>
      </c>
    </row>
    <row r="28" spans="1:17" ht="54.95" customHeight="1" x14ac:dyDescent="0.25">
      <c r="A28" s="350">
        <v>11</v>
      </c>
      <c r="B28" s="345" t="s">
        <v>2060</v>
      </c>
      <c r="C28" s="390" t="s">
        <v>3027</v>
      </c>
      <c r="D28" s="349" t="s">
        <v>3026</v>
      </c>
      <c r="E28" s="351" t="s">
        <v>818</v>
      </c>
      <c r="F28" s="347">
        <v>310060</v>
      </c>
      <c r="G28" s="346" t="s">
        <v>369</v>
      </c>
      <c r="H28" s="386">
        <v>7702680818</v>
      </c>
      <c r="I28" s="342">
        <v>310000</v>
      </c>
      <c r="J28" s="346" t="s">
        <v>2146</v>
      </c>
      <c r="K28" s="386">
        <v>7719840097</v>
      </c>
      <c r="L28" s="342">
        <v>310060</v>
      </c>
      <c r="M28" s="346" t="s">
        <v>2345</v>
      </c>
      <c r="N28" s="386">
        <v>5074008028</v>
      </c>
      <c r="O28" s="342">
        <f t="shared" si="0"/>
        <v>310000</v>
      </c>
      <c r="P28" s="342"/>
      <c r="Q28" s="341" t="s">
        <v>2046</v>
      </c>
    </row>
    <row r="29" spans="1:17" ht="54.95" customHeight="1" x14ac:dyDescent="0.25">
      <c r="A29" s="350">
        <v>12</v>
      </c>
      <c r="B29" s="345" t="s">
        <v>2060</v>
      </c>
      <c r="C29" s="390" t="s">
        <v>3025</v>
      </c>
      <c r="D29" s="349" t="s">
        <v>3024</v>
      </c>
      <c r="E29" s="351" t="s">
        <v>818</v>
      </c>
      <c r="F29" s="347">
        <v>45270</v>
      </c>
      <c r="G29" s="346" t="s">
        <v>2047</v>
      </c>
      <c r="H29" s="386">
        <v>9721058155</v>
      </c>
      <c r="I29" s="342">
        <v>50150</v>
      </c>
      <c r="J29" s="346" t="s">
        <v>3023</v>
      </c>
      <c r="K29" s="386">
        <v>7709721453</v>
      </c>
      <c r="L29" s="342">
        <v>45311.9</v>
      </c>
      <c r="M29" s="346" t="s">
        <v>369</v>
      </c>
      <c r="N29" s="386">
        <v>7702680818</v>
      </c>
      <c r="O29" s="342">
        <f t="shared" si="0"/>
        <v>45270</v>
      </c>
      <c r="P29" s="342"/>
      <c r="Q29" s="341" t="s">
        <v>2046</v>
      </c>
    </row>
    <row r="31" spans="1:17" x14ac:dyDescent="0.3">
      <c r="A31" s="335"/>
      <c r="B31" s="335"/>
      <c r="C31" s="335"/>
      <c r="D31" s="335"/>
      <c r="E31" s="335"/>
      <c r="F31" s="335"/>
      <c r="G31" s="335"/>
      <c r="H31" s="335"/>
      <c r="I31" s="335"/>
      <c r="J31" s="335"/>
      <c r="K31" s="335"/>
      <c r="L31" s="335"/>
      <c r="M31" s="335"/>
      <c r="N31" s="335"/>
      <c r="O31" s="335"/>
      <c r="P31" s="335"/>
      <c r="Q31" s="335"/>
    </row>
    <row r="32" spans="1:17" x14ac:dyDescent="0.3">
      <c r="A32" s="335"/>
      <c r="B32" s="567" t="s">
        <v>16</v>
      </c>
      <c r="C32" s="567"/>
      <c r="D32" s="567"/>
      <c r="E32" s="335"/>
      <c r="F32" s="335"/>
      <c r="G32" s="335"/>
      <c r="H32" s="335"/>
      <c r="I32" s="335"/>
      <c r="J32" s="335"/>
      <c r="K32" s="335"/>
      <c r="L32" s="335"/>
      <c r="M32" s="335"/>
      <c r="N32" s="568" t="s">
        <v>25</v>
      </c>
      <c r="O32" s="568"/>
      <c r="P32" s="335"/>
      <c r="Q32" s="335"/>
    </row>
    <row r="33" spans="1:17" x14ac:dyDescent="0.3">
      <c r="A33" s="335"/>
      <c r="B33" s="336"/>
      <c r="C33" s="336"/>
      <c r="D33" s="336"/>
      <c r="E33" s="335"/>
      <c r="F33" s="335"/>
      <c r="G33" s="335"/>
      <c r="H33" s="335"/>
      <c r="I33" s="335"/>
      <c r="J33" s="335"/>
      <c r="K33" s="335"/>
      <c r="L33" s="335"/>
      <c r="M33" s="335"/>
      <c r="N33" s="336"/>
      <c r="O33" s="336"/>
      <c r="P33" s="335"/>
      <c r="Q33" s="335"/>
    </row>
    <row r="34" spans="1:17" x14ac:dyDescent="0.3">
      <c r="A34" s="335"/>
      <c r="B34" s="336"/>
      <c r="C34" s="336"/>
      <c r="D34" s="336"/>
      <c r="E34" s="335"/>
      <c r="F34" s="335"/>
      <c r="G34" s="335"/>
      <c r="H34" s="335"/>
      <c r="I34" s="335"/>
      <c r="J34" s="335"/>
      <c r="K34" s="335"/>
      <c r="L34" s="335"/>
      <c r="M34" s="335"/>
      <c r="N34" s="336"/>
      <c r="O34" s="336"/>
      <c r="P34" s="335"/>
      <c r="Q34" s="335"/>
    </row>
    <row r="35" spans="1:17" x14ac:dyDescent="0.3">
      <c r="A35" s="335"/>
      <c r="B35" s="336"/>
      <c r="C35" s="336"/>
      <c r="D35" s="336"/>
      <c r="E35" s="335"/>
      <c r="F35" s="335"/>
      <c r="G35" s="335"/>
      <c r="H35" s="335"/>
      <c r="I35" s="335"/>
      <c r="J35" s="335"/>
      <c r="K35" s="335"/>
      <c r="L35" s="335"/>
      <c r="M35" s="335"/>
      <c r="N35" s="336"/>
      <c r="O35" s="336"/>
      <c r="P35" s="335"/>
      <c r="Q35" s="335"/>
    </row>
    <row r="36" spans="1:17" x14ac:dyDescent="0.3">
      <c r="A36" s="335"/>
      <c r="B36" s="336"/>
      <c r="C36" s="336"/>
      <c r="D36" s="336"/>
      <c r="E36" s="335"/>
      <c r="F36" s="335"/>
      <c r="G36" s="335"/>
      <c r="H36" s="335"/>
      <c r="I36" s="335"/>
      <c r="J36" s="335"/>
      <c r="K36" s="335"/>
      <c r="L36" s="335"/>
      <c r="M36" s="335"/>
      <c r="N36" s="336"/>
      <c r="O36" s="336"/>
      <c r="P36" s="335"/>
      <c r="Q36" s="335"/>
    </row>
    <row r="37" spans="1:17" ht="37.5" customHeight="1" x14ac:dyDescent="0.3">
      <c r="A37" s="335"/>
      <c r="B37" s="336"/>
      <c r="C37" s="243" t="s">
        <v>23</v>
      </c>
      <c r="D37" s="243"/>
      <c r="E37" s="243"/>
      <c r="F37" s="335"/>
      <c r="G37" s="337"/>
      <c r="H37" s="335"/>
      <c r="I37" s="335"/>
      <c r="J37" s="335"/>
      <c r="K37" s="335"/>
      <c r="L37" s="571" t="s">
        <v>1009</v>
      </c>
      <c r="M37" s="571"/>
      <c r="N37" s="571"/>
      <c r="O37" s="336"/>
      <c r="P37" s="335"/>
      <c r="Q37" s="335"/>
    </row>
    <row r="38" spans="1:17" x14ac:dyDescent="0.3">
      <c r="A38" s="335"/>
      <c r="B38" s="339"/>
      <c r="C38" s="243"/>
      <c r="D38" s="336"/>
      <c r="E38" s="335"/>
      <c r="F38" s="335"/>
      <c r="G38" s="335"/>
      <c r="H38" s="335"/>
      <c r="I38" s="335"/>
      <c r="J38" s="335"/>
      <c r="K38" s="335"/>
      <c r="L38" s="243"/>
      <c r="M38" s="243"/>
      <c r="N38" s="242"/>
      <c r="O38" s="336"/>
      <c r="P38" s="335"/>
      <c r="Q38" s="335"/>
    </row>
    <row r="39" spans="1:17" ht="18" customHeight="1" x14ac:dyDescent="0.3">
      <c r="A39" s="335"/>
      <c r="B39" s="338"/>
      <c r="C39" s="243"/>
      <c r="D39" s="243"/>
      <c r="E39" s="243"/>
      <c r="F39" s="337"/>
      <c r="G39" s="337" t="s">
        <v>1007</v>
      </c>
      <c r="H39" s="337"/>
      <c r="I39" s="243"/>
      <c r="J39" s="243"/>
      <c r="K39" s="243"/>
      <c r="L39" s="522" t="s">
        <v>21</v>
      </c>
      <c r="M39" s="522"/>
      <c r="N39" s="522"/>
      <c r="O39" s="336"/>
      <c r="P39" s="23" t="s">
        <v>22</v>
      </c>
      <c r="Q39" s="335"/>
    </row>
    <row r="40" spans="1:17" x14ac:dyDescent="0.3">
      <c r="A40" s="335"/>
      <c r="B40" s="336"/>
      <c r="C40" s="336"/>
      <c r="D40" s="336"/>
      <c r="E40" s="335"/>
      <c r="F40" s="335"/>
      <c r="G40" s="335"/>
      <c r="H40" s="335"/>
      <c r="I40" s="335"/>
      <c r="J40" s="335"/>
      <c r="K40" s="335"/>
      <c r="L40" s="335"/>
      <c r="M40" s="335"/>
      <c r="N40" s="336"/>
      <c r="O40" s="336"/>
      <c r="P40" s="335"/>
      <c r="Q40" s="335"/>
    </row>
    <row r="41" spans="1:17" x14ac:dyDescent="0.3">
      <c r="A41" s="335"/>
      <c r="B41" s="336"/>
      <c r="C41" s="336"/>
      <c r="D41" s="336"/>
      <c r="E41" s="335"/>
      <c r="F41" s="335"/>
      <c r="G41" s="335"/>
      <c r="H41" s="335"/>
      <c r="I41" s="335"/>
      <c r="J41" s="335"/>
      <c r="K41" s="335"/>
      <c r="L41" s="335"/>
      <c r="M41" s="335"/>
      <c r="N41" s="336"/>
      <c r="O41" s="336"/>
      <c r="P41" s="335"/>
      <c r="Q41" s="335"/>
    </row>
    <row r="42" spans="1:17" x14ac:dyDescent="0.3">
      <c r="A42" s="335"/>
      <c r="B42" s="576" t="s">
        <v>19</v>
      </c>
      <c r="C42" s="576"/>
      <c r="D42" s="576"/>
      <c r="E42" s="335"/>
      <c r="F42" s="335"/>
      <c r="G42" s="335"/>
      <c r="H42" s="335"/>
      <c r="I42" s="335"/>
      <c r="J42" s="335"/>
      <c r="K42" s="335"/>
      <c r="L42" s="335"/>
      <c r="M42" s="335"/>
      <c r="N42" s="576" t="s">
        <v>19</v>
      </c>
      <c r="O42" s="576"/>
      <c r="P42" s="576"/>
      <c r="Q42" s="335"/>
    </row>
    <row r="43" spans="1:17" x14ac:dyDescent="0.3">
      <c r="A43" s="335"/>
      <c r="B43" s="576" t="s">
        <v>19</v>
      </c>
      <c r="C43" s="576"/>
      <c r="D43" s="576"/>
      <c r="E43" s="335"/>
      <c r="F43" s="335"/>
      <c r="G43" s="335"/>
      <c r="H43" s="335"/>
      <c r="I43" s="335"/>
      <c r="J43" s="335"/>
      <c r="K43" s="335"/>
      <c r="L43" s="335"/>
      <c r="M43" s="335"/>
      <c r="N43" s="576" t="s">
        <v>19</v>
      </c>
      <c r="O43" s="576"/>
      <c r="P43" s="576"/>
      <c r="Q43" s="335"/>
    </row>
    <row r="44" spans="1:17" x14ac:dyDescent="0.3">
      <c r="A44" s="335"/>
      <c r="B44" s="335"/>
      <c r="C44" s="335"/>
      <c r="D44" s="335"/>
      <c r="E44" s="335"/>
      <c r="F44" s="335"/>
      <c r="G44" s="335"/>
      <c r="H44" s="335"/>
      <c r="I44" s="335"/>
      <c r="J44" s="335"/>
      <c r="K44" s="335"/>
      <c r="L44" s="335"/>
      <c r="M44" s="335"/>
      <c r="N44" s="335"/>
      <c r="O44" s="335"/>
      <c r="P44" s="335"/>
      <c r="Q44" s="335"/>
    </row>
    <row r="45" spans="1:17" x14ac:dyDescent="0.3">
      <c r="A45" s="335"/>
      <c r="B45" s="335"/>
      <c r="C45" s="335"/>
      <c r="D45" s="335"/>
      <c r="E45" s="335"/>
      <c r="F45" s="335"/>
      <c r="G45" s="335"/>
      <c r="H45" s="335"/>
      <c r="I45" s="335"/>
      <c r="J45" s="335"/>
      <c r="K45" s="335"/>
      <c r="L45" s="335"/>
      <c r="M45" s="335"/>
      <c r="N45" s="335"/>
      <c r="O45" s="335"/>
      <c r="P45" s="335"/>
      <c r="Q45" s="335"/>
    </row>
    <row r="46" spans="1:17" x14ac:dyDescent="0.3">
      <c r="A46" s="335"/>
      <c r="B46" s="575" t="s">
        <v>17</v>
      </c>
      <c r="C46" s="575"/>
      <c r="D46" s="575"/>
      <c r="E46" s="575"/>
      <c r="F46" s="575"/>
      <c r="G46" s="575"/>
      <c r="H46" s="575"/>
      <c r="I46" s="575"/>
      <c r="J46" s="575"/>
      <c r="K46" s="575"/>
      <c r="L46" s="335"/>
      <c r="M46" s="335"/>
      <c r="N46" s="335"/>
      <c r="O46" s="335"/>
      <c r="P46" s="335"/>
      <c r="Q46" s="335"/>
    </row>
    <row r="47" spans="1:17" x14ac:dyDescent="0.3">
      <c r="A47" s="335"/>
      <c r="B47" s="575" t="s">
        <v>18</v>
      </c>
      <c r="C47" s="575"/>
      <c r="D47" s="575"/>
      <c r="E47" s="575"/>
      <c r="F47" s="575"/>
      <c r="G47" s="575"/>
      <c r="H47" s="575"/>
      <c r="I47" s="575"/>
      <c r="J47" s="575"/>
      <c r="K47" s="575"/>
      <c r="L47" s="335"/>
      <c r="M47" s="335"/>
      <c r="N47" s="335"/>
      <c r="O47" s="335"/>
      <c r="P47" s="335"/>
      <c r="Q47" s="335"/>
    </row>
    <row r="48" spans="1:17" x14ac:dyDescent="0.3">
      <c r="A48" s="335"/>
      <c r="B48" s="335"/>
      <c r="C48" s="335"/>
      <c r="D48" s="335"/>
      <c r="E48" s="335"/>
      <c r="F48" s="335"/>
      <c r="G48" s="335"/>
      <c r="H48" s="335"/>
      <c r="I48" s="335"/>
      <c r="J48" s="335"/>
      <c r="K48" s="335"/>
      <c r="L48" s="335"/>
      <c r="M48" s="335"/>
      <c r="N48" s="335"/>
      <c r="O48" s="335"/>
      <c r="P48" s="335"/>
      <c r="Q48" s="335"/>
    </row>
  </sheetData>
  <mergeCells count="29">
    <mergeCell ref="Q14:Q15"/>
    <mergeCell ref="A14:A15"/>
    <mergeCell ref="B14:B15"/>
    <mergeCell ref="C14:C15"/>
    <mergeCell ref="D14:D15"/>
    <mergeCell ref="E14:E15"/>
    <mergeCell ref="P14:P15"/>
    <mergeCell ref="C1:N1"/>
    <mergeCell ref="F2:H2"/>
    <mergeCell ref="O3:P3"/>
    <mergeCell ref="O9:P9"/>
    <mergeCell ref="N10:Q10"/>
    <mergeCell ref="N6:O6"/>
    <mergeCell ref="F6:H6"/>
    <mergeCell ref="B46:K46"/>
    <mergeCell ref="B47:K47"/>
    <mergeCell ref="B32:D32"/>
    <mergeCell ref="N32:O32"/>
    <mergeCell ref="B42:D42"/>
    <mergeCell ref="N42:P42"/>
    <mergeCell ref="B43:D43"/>
    <mergeCell ref="N43:P43"/>
    <mergeCell ref="L37:N37"/>
    <mergeCell ref="L39:N39"/>
    <mergeCell ref="C12:K12"/>
    <mergeCell ref="F14:H14"/>
    <mergeCell ref="I14:K14"/>
    <mergeCell ref="L14:N14"/>
    <mergeCell ref="O14:O15"/>
  </mergeCells>
  <hyperlinks>
    <hyperlink ref="J24" r:id="rId1" display="https://videoglaz.ru/o-rabote-s-personalnymi-dannymi-rabotnikov" xr:uid="{00000000-0004-0000-0F00-000000000000}"/>
    <hyperlink ref="J25" r:id="rId2" display="https://videoglaz.ru/o-rabote-s-personalnymi-dannymi-rabotnikov" xr:uid="{00000000-0004-0000-0F00-000001000000}"/>
    <hyperlink ref="J28" r:id="rId3" display="https://videoglaz.ru/o-rabote-s-personalnymi-dannymi-rabotnikov" xr:uid="{00000000-0004-0000-0F00-000002000000}"/>
  </hyperlinks>
  <pageMargins left="0.70866141732283472" right="0.70866141732283472" top="0.74803149606299213" bottom="0.74803149606299213" header="0.31496062992125984" footer="0.31496062992125984"/>
  <pageSetup paperSize="9" scale="26" orientation="landscape" r:id="rId4"/>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78"/>
  <sheetViews>
    <sheetView view="pageBreakPreview" topLeftCell="A49" zoomScale="59" zoomScaleNormal="59" zoomScaleSheetLayoutView="59" workbookViewId="0">
      <selection activeCell="P22" sqref="P22"/>
    </sheetView>
  </sheetViews>
  <sheetFormatPr defaultColWidth="8.7109375" defaultRowHeight="15.75" x14ac:dyDescent="0.25"/>
  <cols>
    <col min="1" max="1" width="9.85546875" style="1" bestFit="1" customWidth="1"/>
    <col min="2" max="2" width="14.140625" style="1" customWidth="1"/>
    <col min="3" max="3" width="49.42578125" style="15" customWidth="1"/>
    <col min="4" max="4" width="23.140625" style="15" customWidth="1"/>
    <col min="5" max="5" width="8.140625" style="16" customWidth="1"/>
    <col min="6" max="6" width="20.28515625" style="15" customWidth="1"/>
    <col min="7" max="7" width="32.5703125" style="15" customWidth="1"/>
    <col min="8" max="8" width="21.7109375" style="15" customWidth="1"/>
    <col min="9" max="9" width="21.42578125" style="15" customWidth="1"/>
    <col min="10" max="10" width="32.7109375" style="15" customWidth="1"/>
    <col min="11" max="11" width="20.5703125" style="15" customWidth="1"/>
    <col min="12" max="12" width="19" style="15" customWidth="1"/>
    <col min="13" max="13" width="32.140625" style="15" customWidth="1"/>
    <col min="14" max="14" width="20" style="17" bestFit="1" customWidth="1"/>
    <col min="15" max="15" width="17.5703125" style="2" customWidth="1"/>
    <col min="16" max="16" width="18.28515625" style="2" customWidth="1"/>
    <col min="17" max="17" width="17.5703125" style="2" customWidth="1"/>
    <col min="18" max="16384" width="8.7109375" style="2"/>
  </cols>
  <sheetData>
    <row r="1" spans="1:17" x14ac:dyDescent="0.25">
      <c r="C1" s="507"/>
      <c r="D1" s="507"/>
      <c r="E1" s="507"/>
      <c r="F1" s="507"/>
      <c r="G1" s="507"/>
      <c r="H1" s="507"/>
      <c r="I1" s="507"/>
      <c r="J1" s="507"/>
      <c r="K1" s="507"/>
      <c r="L1" s="507"/>
      <c r="M1" s="507"/>
      <c r="N1" s="507"/>
    </row>
    <row r="2" spans="1:17" x14ac:dyDescent="0.25">
      <c r="C2" s="77"/>
      <c r="D2" s="77"/>
      <c r="E2" s="77"/>
      <c r="F2" s="507"/>
      <c r="G2" s="507"/>
      <c r="H2" s="541"/>
      <c r="I2" s="206"/>
      <c r="J2" s="206"/>
      <c r="K2" s="77"/>
      <c r="L2" s="77"/>
      <c r="M2" s="77"/>
      <c r="N2" s="14"/>
      <c r="O2" s="14"/>
      <c r="P2" s="14"/>
      <c r="Q2" s="14" t="s">
        <v>0</v>
      </c>
    </row>
    <row r="3" spans="1:17" ht="37.5" customHeight="1" x14ac:dyDescent="0.25">
      <c r="C3" s="77"/>
      <c r="D3" s="77"/>
      <c r="E3" s="77"/>
      <c r="F3" s="77" t="s">
        <v>26</v>
      </c>
      <c r="G3" s="77"/>
      <c r="H3" s="206"/>
      <c r="I3" s="206"/>
      <c r="J3" s="206"/>
      <c r="K3" s="77"/>
      <c r="L3" s="77"/>
      <c r="M3" s="77"/>
      <c r="N3" s="84"/>
      <c r="O3" s="205"/>
      <c r="P3" s="207"/>
      <c r="Q3" s="14"/>
    </row>
    <row r="4" spans="1:17" x14ac:dyDescent="0.25">
      <c r="C4" s="77"/>
      <c r="D4" s="77"/>
      <c r="E4" s="77"/>
      <c r="F4" s="77"/>
      <c r="G4" s="77"/>
      <c r="H4" s="206"/>
      <c r="I4" s="206"/>
      <c r="J4" s="206"/>
      <c r="K4" s="77"/>
      <c r="L4" s="77"/>
      <c r="M4" s="77"/>
      <c r="N4" s="14"/>
      <c r="O4" s="519"/>
      <c r="P4" s="519"/>
      <c r="Q4" s="14"/>
    </row>
    <row r="5" spans="1:17" s="87" customFormat="1" ht="16.350000000000001" customHeight="1" x14ac:dyDescent="0.3">
      <c r="A5" s="203"/>
      <c r="B5" s="203"/>
      <c r="C5" s="594" t="s">
        <v>3243</v>
      </c>
      <c r="D5" s="594"/>
      <c r="E5" s="594"/>
      <c r="F5" s="594"/>
      <c r="G5" s="594"/>
      <c r="H5" s="594"/>
      <c r="I5" s="594"/>
      <c r="J5" s="594"/>
      <c r="K5" s="594"/>
      <c r="L5" s="594"/>
      <c r="M5" s="594"/>
      <c r="N5" s="200"/>
    </row>
    <row r="6" spans="1:17" s="87" customFormat="1" ht="15.75" customHeight="1" x14ac:dyDescent="0.25">
      <c r="A6" s="203"/>
      <c r="B6" s="203"/>
      <c r="C6" s="202"/>
      <c r="D6" s="201"/>
      <c r="E6" s="200"/>
      <c r="F6" s="200"/>
      <c r="G6" s="200"/>
      <c r="H6" s="200"/>
      <c r="I6" s="200"/>
      <c r="J6" s="200"/>
      <c r="K6" s="200"/>
      <c r="L6" s="200"/>
      <c r="M6" s="200"/>
      <c r="N6" s="200"/>
    </row>
    <row r="7" spans="1:17" s="196" customFormat="1" ht="24" customHeight="1" x14ac:dyDescent="0.25">
      <c r="A7" s="586" t="s">
        <v>1</v>
      </c>
      <c r="B7" s="586" t="s">
        <v>1123</v>
      </c>
      <c r="C7" s="553" t="s">
        <v>3</v>
      </c>
      <c r="D7" s="588" t="s">
        <v>4</v>
      </c>
      <c r="E7" s="586" t="s">
        <v>5</v>
      </c>
      <c r="F7" s="592"/>
      <c r="G7" s="592"/>
      <c r="H7" s="593"/>
      <c r="I7" s="592"/>
      <c r="J7" s="592"/>
      <c r="K7" s="593"/>
      <c r="L7" s="592"/>
      <c r="M7" s="592"/>
      <c r="N7" s="593"/>
      <c r="O7" s="590" t="s">
        <v>1122</v>
      </c>
      <c r="P7" s="590" t="s">
        <v>10</v>
      </c>
      <c r="Q7" s="590" t="s">
        <v>11</v>
      </c>
    </row>
    <row r="8" spans="1:17" s="196" customFormat="1" ht="84" customHeight="1" x14ac:dyDescent="0.25">
      <c r="A8" s="587"/>
      <c r="B8" s="587"/>
      <c r="C8" s="544"/>
      <c r="D8" s="589"/>
      <c r="E8" s="589"/>
      <c r="F8" s="198" t="s">
        <v>14</v>
      </c>
      <c r="G8" s="197" t="s">
        <v>12</v>
      </c>
      <c r="H8" s="197" t="s">
        <v>13</v>
      </c>
      <c r="I8" s="198" t="s">
        <v>14</v>
      </c>
      <c r="J8" s="197" t="s">
        <v>12</v>
      </c>
      <c r="K8" s="197" t="s">
        <v>13</v>
      </c>
      <c r="L8" s="198" t="s">
        <v>14</v>
      </c>
      <c r="M8" s="197" t="s">
        <v>12</v>
      </c>
      <c r="N8" s="197" t="s">
        <v>13</v>
      </c>
      <c r="O8" s="591"/>
      <c r="P8" s="591"/>
      <c r="Q8" s="591"/>
    </row>
    <row r="9" spans="1:17" x14ac:dyDescent="0.25">
      <c r="A9" s="194">
        <v>1</v>
      </c>
      <c r="B9" s="194">
        <v>2</v>
      </c>
      <c r="C9" s="438">
        <v>3</v>
      </c>
      <c r="D9" s="322">
        <v>4</v>
      </c>
      <c r="E9" s="322">
        <v>5</v>
      </c>
      <c r="F9" s="322">
        <v>6</v>
      </c>
      <c r="G9" s="322">
        <v>7</v>
      </c>
      <c r="H9" s="322">
        <v>8</v>
      </c>
      <c r="I9" s="322">
        <v>9</v>
      </c>
      <c r="J9" s="322">
        <v>10</v>
      </c>
      <c r="K9" s="322">
        <v>11</v>
      </c>
      <c r="L9" s="322">
        <v>12</v>
      </c>
      <c r="M9" s="322">
        <v>13</v>
      </c>
      <c r="N9" s="322">
        <v>14</v>
      </c>
      <c r="O9" s="322">
        <v>15</v>
      </c>
      <c r="P9" s="322">
        <v>16</v>
      </c>
      <c r="Q9" s="322">
        <v>17</v>
      </c>
    </row>
    <row r="10" spans="1:17" ht="37.5" customHeight="1" x14ac:dyDescent="0.25">
      <c r="A10" s="11"/>
      <c r="B10" s="11"/>
      <c r="C10" s="437" t="s">
        <v>3242</v>
      </c>
      <c r="D10" s="12"/>
      <c r="E10" s="13"/>
      <c r="F10" s="12"/>
      <c r="G10" s="12"/>
      <c r="H10" s="12"/>
      <c r="I10" s="12"/>
      <c r="J10" s="12"/>
      <c r="K10" s="12"/>
      <c r="L10" s="60"/>
      <c r="M10" s="12"/>
      <c r="N10" s="12"/>
      <c r="O10" s="12"/>
      <c r="P10" s="12"/>
      <c r="Q10" s="12"/>
    </row>
    <row r="11" spans="1:17" s="415" customFormat="1" ht="46.9" customHeight="1" x14ac:dyDescent="0.25">
      <c r="A11" s="182" t="s">
        <v>2042</v>
      </c>
      <c r="B11" s="173" t="s">
        <v>3241</v>
      </c>
      <c r="C11" s="433" t="s">
        <v>3240</v>
      </c>
      <c r="D11" s="180" t="s">
        <v>3239</v>
      </c>
      <c r="E11" s="188" t="s">
        <v>15</v>
      </c>
      <c r="F11" s="435">
        <v>75385</v>
      </c>
      <c r="G11" s="423" t="s">
        <v>3238</v>
      </c>
      <c r="H11" s="423" t="s">
        <v>3237</v>
      </c>
      <c r="I11" s="435">
        <v>75880</v>
      </c>
      <c r="J11" s="423" t="s">
        <v>3236</v>
      </c>
      <c r="K11" s="423" t="s">
        <v>3235</v>
      </c>
      <c r="L11" s="435">
        <v>111439</v>
      </c>
      <c r="M11" s="423" t="s">
        <v>2662</v>
      </c>
      <c r="N11" s="423" t="s">
        <v>3234</v>
      </c>
      <c r="O11" s="258">
        <f t="shared" ref="O11:O42" si="0">MIN(F11,I11,L11)</f>
        <v>75385</v>
      </c>
      <c r="P11" s="271"/>
      <c r="Q11" s="211">
        <v>45876</v>
      </c>
    </row>
    <row r="12" spans="1:17" s="415" customFormat="1" ht="46.9" customHeight="1" x14ac:dyDescent="0.25">
      <c r="A12" s="182" t="s">
        <v>2038</v>
      </c>
      <c r="B12" s="173" t="s">
        <v>3071</v>
      </c>
      <c r="C12" s="433" t="s">
        <v>3233</v>
      </c>
      <c r="D12" s="180" t="s">
        <v>3232</v>
      </c>
      <c r="E12" s="188" t="s">
        <v>15</v>
      </c>
      <c r="F12" s="436">
        <v>14271.44</v>
      </c>
      <c r="G12" s="423" t="s">
        <v>3231</v>
      </c>
      <c r="H12" s="423" t="s">
        <v>3230</v>
      </c>
      <c r="I12" s="435">
        <v>14272.22</v>
      </c>
      <c r="J12" s="423" t="s">
        <v>3208</v>
      </c>
      <c r="K12" s="423" t="s">
        <v>3207</v>
      </c>
      <c r="L12" s="435">
        <v>14474</v>
      </c>
      <c r="M12" s="423" t="s">
        <v>3229</v>
      </c>
      <c r="N12" s="423" t="s">
        <v>3228</v>
      </c>
      <c r="O12" s="258">
        <f t="shared" si="0"/>
        <v>14271.44</v>
      </c>
      <c r="P12" s="271"/>
      <c r="Q12" s="211">
        <v>45876</v>
      </c>
    </row>
    <row r="13" spans="1:17" s="415" customFormat="1" ht="46.9" customHeight="1" x14ac:dyDescent="0.25">
      <c r="A13" s="182" t="s">
        <v>2031</v>
      </c>
      <c r="B13" s="173" t="s">
        <v>3071</v>
      </c>
      <c r="C13" s="433" t="s">
        <v>3227</v>
      </c>
      <c r="D13" s="180" t="s">
        <v>3226</v>
      </c>
      <c r="E13" s="188" t="s">
        <v>15</v>
      </c>
      <c r="F13" s="435">
        <v>33370.9</v>
      </c>
      <c r="G13" s="423" t="s">
        <v>3225</v>
      </c>
      <c r="H13" s="423" t="s">
        <v>3224</v>
      </c>
      <c r="I13" s="435">
        <v>38414.36</v>
      </c>
      <c r="J13" s="423" t="s">
        <v>3223</v>
      </c>
      <c r="K13" s="423" t="s">
        <v>3222</v>
      </c>
      <c r="L13" s="435">
        <v>44342.97</v>
      </c>
      <c r="M13" s="423" t="s">
        <v>3204</v>
      </c>
      <c r="N13" s="434" t="s">
        <v>3203</v>
      </c>
      <c r="O13" s="258">
        <f t="shared" si="0"/>
        <v>33370.9</v>
      </c>
      <c r="P13" s="271"/>
      <c r="Q13" s="211">
        <v>45876</v>
      </c>
    </row>
    <row r="14" spans="1:17" s="415" customFormat="1" ht="46.9" customHeight="1" x14ac:dyDescent="0.25">
      <c r="A14" s="182" t="s">
        <v>2022</v>
      </c>
      <c r="B14" s="173" t="s">
        <v>3071</v>
      </c>
      <c r="C14" s="433" t="s">
        <v>3221</v>
      </c>
      <c r="D14" s="180" t="s">
        <v>3220</v>
      </c>
      <c r="E14" s="188" t="s">
        <v>15</v>
      </c>
      <c r="F14" s="435">
        <v>13633.21</v>
      </c>
      <c r="G14" s="423" t="s">
        <v>3208</v>
      </c>
      <c r="H14" s="423" t="s">
        <v>3207</v>
      </c>
      <c r="I14" s="435">
        <v>19141</v>
      </c>
      <c r="J14" s="423" t="s">
        <v>3219</v>
      </c>
      <c r="K14" s="423" t="s">
        <v>3218</v>
      </c>
      <c r="L14" s="435">
        <v>13012</v>
      </c>
      <c r="M14" s="423" t="s">
        <v>3217</v>
      </c>
      <c r="N14" s="423" t="s">
        <v>3216</v>
      </c>
      <c r="O14" s="258">
        <f t="shared" si="0"/>
        <v>13012</v>
      </c>
      <c r="P14" s="271"/>
      <c r="Q14" s="211">
        <v>45876</v>
      </c>
    </row>
    <row r="15" spans="1:17" s="415" customFormat="1" ht="46.9" customHeight="1" x14ac:dyDescent="0.25">
      <c r="A15" s="182" t="s">
        <v>2013</v>
      </c>
      <c r="B15" s="173" t="s">
        <v>2278</v>
      </c>
      <c r="C15" s="433" t="s">
        <v>3215</v>
      </c>
      <c r="D15" s="180" t="s">
        <v>3214</v>
      </c>
      <c r="E15" s="188" t="s">
        <v>15</v>
      </c>
      <c r="F15" s="435">
        <v>71760</v>
      </c>
      <c r="G15" s="423" t="s">
        <v>2366</v>
      </c>
      <c r="H15" s="423" t="s">
        <v>3150</v>
      </c>
      <c r="I15" s="435">
        <v>71760</v>
      </c>
      <c r="J15" s="423" t="s">
        <v>511</v>
      </c>
      <c r="K15" s="423" t="s">
        <v>3213</v>
      </c>
      <c r="L15" s="435">
        <v>71760</v>
      </c>
      <c r="M15" s="423" t="s">
        <v>3212</v>
      </c>
      <c r="N15" s="423" t="s">
        <v>3211</v>
      </c>
      <c r="O15" s="258">
        <f t="shared" si="0"/>
        <v>71760</v>
      </c>
      <c r="P15" s="271"/>
      <c r="Q15" s="211">
        <v>45876</v>
      </c>
    </row>
    <row r="16" spans="1:17" s="415" customFormat="1" ht="46.9" customHeight="1" x14ac:dyDescent="0.25">
      <c r="A16" s="182" t="s">
        <v>2002</v>
      </c>
      <c r="B16" s="173" t="s">
        <v>3082</v>
      </c>
      <c r="C16" s="433" t="s">
        <v>3210</v>
      </c>
      <c r="D16" s="180" t="s">
        <v>3209</v>
      </c>
      <c r="E16" s="188" t="s">
        <v>15</v>
      </c>
      <c r="F16" s="435">
        <v>148500</v>
      </c>
      <c r="G16" s="423" t="s">
        <v>3208</v>
      </c>
      <c r="H16" s="423" t="s">
        <v>3207</v>
      </c>
      <c r="I16" s="435">
        <v>148500</v>
      </c>
      <c r="J16" s="423" t="s">
        <v>3206</v>
      </c>
      <c r="K16" s="423" t="s">
        <v>3205</v>
      </c>
      <c r="L16" s="435">
        <v>190080</v>
      </c>
      <c r="M16" s="423" t="s">
        <v>3204</v>
      </c>
      <c r="N16" s="434" t="s">
        <v>3203</v>
      </c>
      <c r="O16" s="258">
        <f t="shared" si="0"/>
        <v>148500</v>
      </c>
      <c r="P16" s="271"/>
      <c r="Q16" s="211">
        <v>45876</v>
      </c>
    </row>
    <row r="17" spans="1:17" s="415" customFormat="1" ht="46.9" customHeight="1" x14ac:dyDescent="0.25">
      <c r="A17" s="182" t="s">
        <v>2001</v>
      </c>
      <c r="B17" s="173" t="s">
        <v>3082</v>
      </c>
      <c r="C17" s="433" t="s">
        <v>3202</v>
      </c>
      <c r="D17" s="180" t="s">
        <v>3201</v>
      </c>
      <c r="E17" s="188" t="s">
        <v>15</v>
      </c>
      <c r="F17" s="432">
        <v>9480</v>
      </c>
      <c r="G17" s="423" t="s">
        <v>3200</v>
      </c>
      <c r="H17" s="423" t="s">
        <v>3199</v>
      </c>
      <c r="I17" s="432">
        <v>9480</v>
      </c>
      <c r="J17" s="423" t="s">
        <v>3198</v>
      </c>
      <c r="K17" s="423" t="s">
        <v>3197</v>
      </c>
      <c r="L17" s="432">
        <v>9669.9</v>
      </c>
      <c r="M17" s="423" t="s">
        <v>395</v>
      </c>
      <c r="N17" s="423" t="s">
        <v>3196</v>
      </c>
      <c r="O17" s="258">
        <f t="shared" si="0"/>
        <v>9480</v>
      </c>
      <c r="P17" s="271"/>
      <c r="Q17" s="211">
        <v>45876</v>
      </c>
    </row>
    <row r="18" spans="1:17" s="415" customFormat="1" ht="46.9" customHeight="1" x14ac:dyDescent="0.25">
      <c r="A18" s="182" t="s">
        <v>1999</v>
      </c>
      <c r="B18" s="13" t="s">
        <v>3149</v>
      </c>
      <c r="C18" s="430" t="s">
        <v>3195</v>
      </c>
      <c r="D18" s="180" t="s">
        <v>3194</v>
      </c>
      <c r="E18" s="188" t="s">
        <v>72</v>
      </c>
      <c r="F18" s="429">
        <v>59</v>
      </c>
      <c r="G18" s="423" t="s">
        <v>3182</v>
      </c>
      <c r="H18" s="423" t="s">
        <v>3181</v>
      </c>
      <c r="I18" s="429">
        <v>62.1</v>
      </c>
      <c r="J18" s="423" t="s">
        <v>3180</v>
      </c>
      <c r="K18" s="423" t="s">
        <v>3179</v>
      </c>
      <c r="L18" s="429">
        <v>64</v>
      </c>
      <c r="M18" s="13" t="s">
        <v>3178</v>
      </c>
      <c r="N18" s="13" t="s">
        <v>3177</v>
      </c>
      <c r="O18" s="258">
        <f t="shared" si="0"/>
        <v>59</v>
      </c>
      <c r="P18" s="271"/>
      <c r="Q18" s="211">
        <v>45876</v>
      </c>
    </row>
    <row r="19" spans="1:17" s="415" customFormat="1" ht="46.9" customHeight="1" x14ac:dyDescent="0.25">
      <c r="A19" s="182" t="s">
        <v>1998</v>
      </c>
      <c r="B19" s="173" t="s">
        <v>3193</v>
      </c>
      <c r="C19" s="430" t="s">
        <v>3192</v>
      </c>
      <c r="D19" s="180" t="s">
        <v>3191</v>
      </c>
      <c r="E19" s="188" t="s">
        <v>15</v>
      </c>
      <c r="F19" s="429">
        <v>9500</v>
      </c>
      <c r="G19" s="13" t="s">
        <v>3190</v>
      </c>
      <c r="H19" s="431" t="s">
        <v>3189</v>
      </c>
      <c r="I19" s="429">
        <v>9516</v>
      </c>
      <c r="J19" s="13" t="s">
        <v>3188</v>
      </c>
      <c r="K19" s="13" t="s">
        <v>3187</v>
      </c>
      <c r="L19" s="429">
        <v>10200</v>
      </c>
      <c r="M19" s="13" t="s">
        <v>3186</v>
      </c>
      <c r="N19" s="13" t="s">
        <v>3185</v>
      </c>
      <c r="O19" s="258">
        <f t="shared" si="0"/>
        <v>9500</v>
      </c>
      <c r="P19" s="271"/>
      <c r="Q19" s="211">
        <v>45876</v>
      </c>
    </row>
    <row r="20" spans="1:17" s="415" customFormat="1" ht="46.9" customHeight="1" x14ac:dyDescent="0.25">
      <c r="A20" s="182" t="s">
        <v>1995</v>
      </c>
      <c r="B20" s="173" t="s">
        <v>3149</v>
      </c>
      <c r="C20" s="430" t="s">
        <v>3184</v>
      </c>
      <c r="D20" s="180" t="s">
        <v>3183</v>
      </c>
      <c r="E20" s="188" t="s">
        <v>72</v>
      </c>
      <c r="F20" s="429">
        <v>59</v>
      </c>
      <c r="G20" s="423" t="s">
        <v>3182</v>
      </c>
      <c r="H20" s="423" t="s">
        <v>3181</v>
      </c>
      <c r="I20" s="429">
        <v>62.1</v>
      </c>
      <c r="J20" s="423" t="s">
        <v>3180</v>
      </c>
      <c r="K20" s="423" t="s">
        <v>3179</v>
      </c>
      <c r="L20" s="429">
        <v>64</v>
      </c>
      <c r="M20" s="13" t="s">
        <v>3178</v>
      </c>
      <c r="N20" s="13" t="s">
        <v>3177</v>
      </c>
      <c r="O20" s="258">
        <f t="shared" si="0"/>
        <v>59</v>
      </c>
      <c r="P20" s="271"/>
      <c r="Q20" s="211">
        <v>45876</v>
      </c>
    </row>
    <row r="21" spans="1:17" s="415" customFormat="1" ht="46.9" customHeight="1" x14ac:dyDescent="0.25">
      <c r="A21" s="182" t="s">
        <v>1994</v>
      </c>
      <c r="B21" s="13" t="s">
        <v>3174</v>
      </c>
      <c r="C21" s="430" t="s">
        <v>3176</v>
      </c>
      <c r="D21" s="180" t="s">
        <v>3175</v>
      </c>
      <c r="E21" s="188" t="s">
        <v>15</v>
      </c>
      <c r="F21" s="419">
        <v>42981</v>
      </c>
      <c r="G21" s="423" t="s">
        <v>3159</v>
      </c>
      <c r="H21" s="423" t="s">
        <v>3158</v>
      </c>
      <c r="I21" s="419">
        <v>42981</v>
      </c>
      <c r="J21" s="423" t="s">
        <v>3143</v>
      </c>
      <c r="K21" s="423" t="s">
        <v>3142</v>
      </c>
      <c r="L21" s="419">
        <v>42981</v>
      </c>
      <c r="M21" s="423" t="s">
        <v>2077</v>
      </c>
      <c r="N21" s="420" t="s">
        <v>3155</v>
      </c>
      <c r="O21" s="258">
        <f t="shared" si="0"/>
        <v>42981</v>
      </c>
      <c r="P21" s="271"/>
      <c r="Q21" s="211">
        <v>45876</v>
      </c>
    </row>
    <row r="22" spans="1:17" s="415" customFormat="1" ht="46.9" customHeight="1" x14ac:dyDescent="0.25">
      <c r="A22" s="182" t="s">
        <v>1992</v>
      </c>
      <c r="B22" s="13" t="s">
        <v>3174</v>
      </c>
      <c r="C22" s="430" t="s">
        <v>3173</v>
      </c>
      <c r="D22" s="180" t="s">
        <v>3172</v>
      </c>
      <c r="E22" s="188" t="s">
        <v>15</v>
      </c>
      <c r="F22" s="429">
        <v>4150</v>
      </c>
      <c r="G22" s="423" t="s">
        <v>2366</v>
      </c>
      <c r="H22" s="423" t="s">
        <v>3150</v>
      </c>
      <c r="I22" s="429">
        <v>4150</v>
      </c>
      <c r="J22" s="423" t="s">
        <v>3143</v>
      </c>
      <c r="K22" s="423" t="s">
        <v>3142</v>
      </c>
      <c r="L22" s="429">
        <v>4150</v>
      </c>
      <c r="M22" s="13" t="s">
        <v>3159</v>
      </c>
      <c r="N22" s="418" t="s">
        <v>3158</v>
      </c>
      <c r="O22" s="258">
        <f t="shared" si="0"/>
        <v>4150</v>
      </c>
      <c r="P22" s="271"/>
      <c r="Q22" s="211">
        <v>45876</v>
      </c>
    </row>
    <row r="23" spans="1:17" s="415" customFormat="1" ht="46.9" customHeight="1" x14ac:dyDescent="0.25">
      <c r="A23" s="182" t="s">
        <v>1991</v>
      </c>
      <c r="B23" s="418" t="s">
        <v>3169</v>
      </c>
      <c r="C23" s="427" t="s">
        <v>3171</v>
      </c>
      <c r="D23" s="180" t="s">
        <v>3170</v>
      </c>
      <c r="E23" s="188" t="s">
        <v>15</v>
      </c>
      <c r="F23" s="419">
        <v>3108</v>
      </c>
      <c r="G23" s="423" t="s">
        <v>2366</v>
      </c>
      <c r="H23" s="423" t="s">
        <v>3150</v>
      </c>
      <c r="I23" s="419">
        <v>3108</v>
      </c>
      <c r="J23" s="423" t="s">
        <v>3143</v>
      </c>
      <c r="K23" s="423" t="s">
        <v>3142</v>
      </c>
      <c r="L23" s="419">
        <v>3109.63</v>
      </c>
      <c r="M23" s="13" t="s">
        <v>3060</v>
      </c>
      <c r="N23" s="418" t="s">
        <v>3059</v>
      </c>
      <c r="O23" s="417">
        <f t="shared" si="0"/>
        <v>3108</v>
      </c>
      <c r="P23" s="416"/>
      <c r="Q23" s="211">
        <v>45876</v>
      </c>
    </row>
    <row r="24" spans="1:17" s="415" customFormat="1" ht="46.9" customHeight="1" x14ac:dyDescent="0.25">
      <c r="A24" s="182" t="s">
        <v>1989</v>
      </c>
      <c r="B24" s="418" t="s">
        <v>3169</v>
      </c>
      <c r="C24" s="427" t="s">
        <v>3168</v>
      </c>
      <c r="D24" s="180" t="s">
        <v>3167</v>
      </c>
      <c r="E24" s="188" t="s">
        <v>15</v>
      </c>
      <c r="F24" s="419">
        <v>3675</v>
      </c>
      <c r="G24" s="423" t="s">
        <v>2366</v>
      </c>
      <c r="H24" s="423" t="s">
        <v>3150</v>
      </c>
      <c r="I24" s="419">
        <v>3675</v>
      </c>
      <c r="J24" s="423" t="s">
        <v>3143</v>
      </c>
      <c r="K24" s="423" t="s">
        <v>3142</v>
      </c>
      <c r="L24" s="419">
        <v>3675</v>
      </c>
      <c r="M24" s="13" t="s">
        <v>2951</v>
      </c>
      <c r="N24" s="418" t="s">
        <v>3166</v>
      </c>
      <c r="O24" s="417">
        <f t="shared" si="0"/>
        <v>3675</v>
      </c>
      <c r="P24" s="416"/>
      <c r="Q24" s="211">
        <v>45876</v>
      </c>
    </row>
    <row r="25" spans="1:17" s="415" customFormat="1" ht="46.9" customHeight="1" x14ac:dyDescent="0.25">
      <c r="A25" s="182" t="s">
        <v>1987</v>
      </c>
      <c r="B25" s="418" t="s">
        <v>2278</v>
      </c>
      <c r="C25" s="427" t="s">
        <v>3165</v>
      </c>
      <c r="D25" s="180" t="s">
        <v>3164</v>
      </c>
      <c r="E25" s="188" t="s">
        <v>15</v>
      </c>
      <c r="F25" s="419">
        <v>11275</v>
      </c>
      <c r="G25" s="423" t="s">
        <v>2366</v>
      </c>
      <c r="H25" s="423" t="s">
        <v>3150</v>
      </c>
      <c r="I25" s="419">
        <v>11275</v>
      </c>
      <c r="J25" s="423" t="s">
        <v>3143</v>
      </c>
      <c r="K25" s="423" t="s">
        <v>3142</v>
      </c>
      <c r="L25" s="419">
        <v>11275</v>
      </c>
      <c r="M25" s="420" t="s">
        <v>3145</v>
      </c>
      <c r="N25" s="420" t="s">
        <v>3144</v>
      </c>
      <c r="O25" s="417">
        <f t="shared" si="0"/>
        <v>11275</v>
      </c>
      <c r="P25" s="416"/>
      <c r="Q25" s="211">
        <v>45876</v>
      </c>
    </row>
    <row r="26" spans="1:17" s="415" customFormat="1" ht="46.9" customHeight="1" x14ac:dyDescent="0.25">
      <c r="A26" s="182" t="s">
        <v>1984</v>
      </c>
      <c r="B26" s="418" t="s">
        <v>849</v>
      </c>
      <c r="C26" s="427" t="s">
        <v>3163</v>
      </c>
      <c r="D26" s="180" t="s">
        <v>3162</v>
      </c>
      <c r="E26" s="188" t="s">
        <v>15</v>
      </c>
      <c r="F26" s="419">
        <v>51282</v>
      </c>
      <c r="G26" s="423" t="s">
        <v>2366</v>
      </c>
      <c r="H26" s="423" t="s">
        <v>3150</v>
      </c>
      <c r="I26" s="419">
        <v>51282</v>
      </c>
      <c r="J26" s="423" t="s">
        <v>3143</v>
      </c>
      <c r="K26" s="423" t="s">
        <v>3142</v>
      </c>
      <c r="L26" s="419">
        <v>58649.74</v>
      </c>
      <c r="M26" s="13" t="s">
        <v>3060</v>
      </c>
      <c r="N26" s="418" t="s">
        <v>3059</v>
      </c>
      <c r="O26" s="417">
        <f t="shared" si="0"/>
        <v>51282</v>
      </c>
      <c r="P26" s="416"/>
      <c r="Q26" s="211">
        <v>45876</v>
      </c>
    </row>
    <row r="27" spans="1:17" s="415" customFormat="1" ht="46.9" customHeight="1" x14ac:dyDescent="0.25">
      <c r="A27" s="182" t="s">
        <v>1982</v>
      </c>
      <c r="B27" s="418" t="s">
        <v>849</v>
      </c>
      <c r="C27" s="427" t="s">
        <v>3161</v>
      </c>
      <c r="D27" s="180" t="s">
        <v>3160</v>
      </c>
      <c r="E27" s="188" t="s">
        <v>15</v>
      </c>
      <c r="F27" s="419">
        <v>51785</v>
      </c>
      <c r="G27" s="423" t="s">
        <v>2366</v>
      </c>
      <c r="H27" s="423" t="s">
        <v>3150</v>
      </c>
      <c r="I27" s="419">
        <v>51785</v>
      </c>
      <c r="J27" s="423" t="s">
        <v>3143</v>
      </c>
      <c r="K27" s="423" t="s">
        <v>3142</v>
      </c>
      <c r="L27" s="419">
        <v>51785</v>
      </c>
      <c r="M27" s="13" t="s">
        <v>3159</v>
      </c>
      <c r="N27" s="418" t="s">
        <v>3158</v>
      </c>
      <c r="O27" s="417">
        <f t="shared" si="0"/>
        <v>51785</v>
      </c>
      <c r="P27" s="416"/>
      <c r="Q27" s="211">
        <v>45876</v>
      </c>
    </row>
    <row r="28" spans="1:17" s="415" customFormat="1" ht="46.9" customHeight="1" x14ac:dyDescent="0.25">
      <c r="A28" s="182" t="s">
        <v>1980</v>
      </c>
      <c r="B28" s="418" t="s">
        <v>849</v>
      </c>
      <c r="C28" s="427" t="s">
        <v>3157</v>
      </c>
      <c r="D28" s="180" t="s">
        <v>3156</v>
      </c>
      <c r="E28" s="188" t="s">
        <v>15</v>
      </c>
      <c r="F28" s="419">
        <v>54534</v>
      </c>
      <c r="G28" s="423" t="s">
        <v>2366</v>
      </c>
      <c r="H28" s="423" t="s">
        <v>3150</v>
      </c>
      <c r="I28" s="419">
        <v>54534</v>
      </c>
      <c r="J28" s="423" t="s">
        <v>3143</v>
      </c>
      <c r="K28" s="423" t="s">
        <v>3142</v>
      </c>
      <c r="L28" s="419">
        <v>54534</v>
      </c>
      <c r="M28" s="423" t="s">
        <v>2077</v>
      </c>
      <c r="N28" s="420" t="s">
        <v>3155</v>
      </c>
      <c r="O28" s="417">
        <f t="shared" si="0"/>
        <v>54534</v>
      </c>
      <c r="P28" s="416"/>
      <c r="Q28" s="211">
        <v>45876</v>
      </c>
    </row>
    <row r="29" spans="1:17" s="415" customFormat="1" ht="46.9" customHeight="1" x14ac:dyDescent="0.25">
      <c r="A29" s="182" t="s">
        <v>1978</v>
      </c>
      <c r="B29" s="418" t="s">
        <v>849</v>
      </c>
      <c r="C29" s="427" t="s">
        <v>3154</v>
      </c>
      <c r="D29" s="180" t="s">
        <v>3153</v>
      </c>
      <c r="E29" s="188" t="s">
        <v>15</v>
      </c>
      <c r="F29" s="419">
        <v>53159</v>
      </c>
      <c r="G29" s="423" t="s">
        <v>2366</v>
      </c>
      <c r="H29" s="423" t="s">
        <v>3150</v>
      </c>
      <c r="I29" s="419">
        <v>53159</v>
      </c>
      <c r="J29" s="423" t="s">
        <v>3143</v>
      </c>
      <c r="K29" s="423" t="s">
        <v>3142</v>
      </c>
      <c r="L29" s="419">
        <v>60796.87</v>
      </c>
      <c r="M29" s="13" t="s">
        <v>3060</v>
      </c>
      <c r="N29" s="418" t="s">
        <v>3059</v>
      </c>
      <c r="O29" s="417">
        <f t="shared" si="0"/>
        <v>53159</v>
      </c>
      <c r="P29" s="416"/>
      <c r="Q29" s="211">
        <v>45876</v>
      </c>
    </row>
    <row r="30" spans="1:17" s="415" customFormat="1" ht="46.9" customHeight="1" x14ac:dyDescent="0.25">
      <c r="A30" s="182" t="s">
        <v>1974</v>
      </c>
      <c r="B30" s="418" t="s">
        <v>849</v>
      </c>
      <c r="C30" s="427" t="s">
        <v>3152</v>
      </c>
      <c r="D30" s="180" t="s">
        <v>3151</v>
      </c>
      <c r="E30" s="421"/>
      <c r="F30" s="419">
        <v>53617</v>
      </c>
      <c r="G30" s="423" t="s">
        <v>2366</v>
      </c>
      <c r="H30" s="423" t="s">
        <v>3150</v>
      </c>
      <c r="I30" s="419">
        <v>53617</v>
      </c>
      <c r="J30" s="423" t="s">
        <v>3143</v>
      </c>
      <c r="K30" s="423" t="s">
        <v>3142</v>
      </c>
      <c r="L30" s="419">
        <v>53645.120000000003</v>
      </c>
      <c r="M30" s="13" t="s">
        <v>3060</v>
      </c>
      <c r="N30" s="418" t="s">
        <v>3059</v>
      </c>
      <c r="O30" s="417">
        <f t="shared" si="0"/>
        <v>53617</v>
      </c>
      <c r="P30" s="416"/>
      <c r="Q30" s="211">
        <v>45876</v>
      </c>
    </row>
    <row r="31" spans="1:17" s="415" customFormat="1" ht="46.9" customHeight="1" x14ac:dyDescent="0.25">
      <c r="A31" s="182" t="s">
        <v>1972</v>
      </c>
      <c r="B31" s="418" t="s">
        <v>3149</v>
      </c>
      <c r="C31" s="427" t="s">
        <v>3148</v>
      </c>
      <c r="D31" s="180" t="s">
        <v>3147</v>
      </c>
      <c r="E31" s="421" t="s">
        <v>72</v>
      </c>
      <c r="F31" s="419">
        <v>56.65</v>
      </c>
      <c r="G31" s="423" t="s">
        <v>817</v>
      </c>
      <c r="H31" s="423" t="s">
        <v>3146</v>
      </c>
      <c r="I31" s="419">
        <v>66.5</v>
      </c>
      <c r="J31" s="420" t="s">
        <v>3145</v>
      </c>
      <c r="K31" s="420" t="s">
        <v>3144</v>
      </c>
      <c r="L31" s="419">
        <v>74.98</v>
      </c>
      <c r="M31" s="423" t="s">
        <v>3143</v>
      </c>
      <c r="N31" s="423" t="s">
        <v>3142</v>
      </c>
      <c r="O31" s="417">
        <f t="shared" si="0"/>
        <v>56.65</v>
      </c>
      <c r="P31" s="416"/>
      <c r="Q31" s="211">
        <v>45876</v>
      </c>
    </row>
    <row r="32" spans="1:17" s="415" customFormat="1" ht="46.9" customHeight="1" x14ac:dyDescent="0.25">
      <c r="A32" s="182" t="s">
        <v>3141</v>
      </c>
      <c r="B32" s="418" t="s">
        <v>3136</v>
      </c>
      <c r="C32" s="422" t="s">
        <v>3140</v>
      </c>
      <c r="D32" s="180" t="s">
        <v>3080</v>
      </c>
      <c r="E32" s="421" t="s">
        <v>15</v>
      </c>
      <c r="F32" s="419">
        <v>17052</v>
      </c>
      <c r="G32" s="170" t="s">
        <v>1563</v>
      </c>
      <c r="H32" s="177" t="s">
        <v>1562</v>
      </c>
      <c r="I32" s="419">
        <v>17904.599999999999</v>
      </c>
      <c r="J32" s="170" t="s">
        <v>1559</v>
      </c>
      <c r="K32" s="262" t="s">
        <v>1558</v>
      </c>
      <c r="L32" s="419">
        <v>17563.560000000001</v>
      </c>
      <c r="M32" s="425" t="s">
        <v>1561</v>
      </c>
      <c r="N32" s="424" t="s">
        <v>1560</v>
      </c>
      <c r="O32" s="417">
        <f t="shared" si="0"/>
        <v>17052</v>
      </c>
      <c r="P32" s="416">
        <v>8206.86</v>
      </c>
      <c r="Q32" s="211">
        <v>45876</v>
      </c>
    </row>
    <row r="33" spans="1:17" s="415" customFormat="1" ht="46.9" customHeight="1" x14ac:dyDescent="0.25">
      <c r="A33" s="182" t="s">
        <v>3139</v>
      </c>
      <c r="B33" s="418" t="s">
        <v>3136</v>
      </c>
      <c r="C33" s="427" t="s">
        <v>3138</v>
      </c>
      <c r="D33" s="180" t="s">
        <v>3080</v>
      </c>
      <c r="E33" s="421" t="s">
        <v>15</v>
      </c>
      <c r="F33" s="419">
        <v>17503.5</v>
      </c>
      <c r="G33" s="170" t="s">
        <v>1563</v>
      </c>
      <c r="H33" s="177" t="s">
        <v>1562</v>
      </c>
      <c r="I33" s="419">
        <v>18378.68</v>
      </c>
      <c r="J33" s="170" t="s">
        <v>1559</v>
      </c>
      <c r="K33" s="262" t="s">
        <v>1558</v>
      </c>
      <c r="L33" s="419">
        <v>18028.61</v>
      </c>
      <c r="M33" s="425" t="s">
        <v>1561</v>
      </c>
      <c r="N33" s="424" t="s">
        <v>1560</v>
      </c>
      <c r="O33" s="417">
        <f t="shared" si="0"/>
        <v>17503.5</v>
      </c>
      <c r="P33" s="416">
        <v>9016</v>
      </c>
      <c r="Q33" s="211">
        <v>45876</v>
      </c>
    </row>
    <row r="34" spans="1:17" s="415" customFormat="1" ht="46.9" customHeight="1" x14ac:dyDescent="0.25">
      <c r="A34" s="182" t="s">
        <v>3137</v>
      </c>
      <c r="B34" s="418" t="s">
        <v>3136</v>
      </c>
      <c r="C34" s="427" t="s">
        <v>3135</v>
      </c>
      <c r="D34" s="180" t="s">
        <v>3080</v>
      </c>
      <c r="E34" s="421" t="s">
        <v>15</v>
      </c>
      <c r="F34" s="419">
        <v>17503.5</v>
      </c>
      <c r="G34" s="170" t="s">
        <v>1563</v>
      </c>
      <c r="H34" s="177" t="s">
        <v>1562</v>
      </c>
      <c r="I34" s="419">
        <v>18378.68</v>
      </c>
      <c r="J34" s="170" t="s">
        <v>1559</v>
      </c>
      <c r="K34" s="262" t="s">
        <v>1558</v>
      </c>
      <c r="L34" s="419">
        <v>18028.61</v>
      </c>
      <c r="M34" s="425" t="s">
        <v>1561</v>
      </c>
      <c r="N34" s="424" t="s">
        <v>1560</v>
      </c>
      <c r="O34" s="417">
        <f t="shared" si="0"/>
        <v>17503.5</v>
      </c>
      <c r="P34" s="416">
        <v>10287</v>
      </c>
      <c r="Q34" s="211">
        <v>45876</v>
      </c>
    </row>
    <row r="35" spans="1:17" s="415" customFormat="1" ht="46.9" customHeight="1" x14ac:dyDescent="0.25">
      <c r="A35" s="182" t="s">
        <v>3134</v>
      </c>
      <c r="B35" s="418" t="s">
        <v>3121</v>
      </c>
      <c r="C35" s="427" t="s">
        <v>3133</v>
      </c>
      <c r="D35" s="180" t="s">
        <v>3080</v>
      </c>
      <c r="E35" s="421" t="s">
        <v>15</v>
      </c>
      <c r="F35" s="419">
        <v>7969.5</v>
      </c>
      <c r="G35" s="170" t="s">
        <v>1563</v>
      </c>
      <c r="H35" s="177" t="s">
        <v>1562</v>
      </c>
      <c r="I35" s="419">
        <v>8367.98</v>
      </c>
      <c r="J35" s="170" t="s">
        <v>1559</v>
      </c>
      <c r="K35" s="262" t="s">
        <v>1558</v>
      </c>
      <c r="L35" s="419">
        <v>8208.59</v>
      </c>
      <c r="M35" s="425" t="s">
        <v>1561</v>
      </c>
      <c r="N35" s="424" t="s">
        <v>1560</v>
      </c>
      <c r="O35" s="417">
        <f t="shared" si="0"/>
        <v>7969.5</v>
      </c>
      <c r="P35" s="416">
        <v>3258</v>
      </c>
      <c r="Q35" s="211">
        <v>45876</v>
      </c>
    </row>
    <row r="36" spans="1:17" s="415" customFormat="1" ht="46.9" customHeight="1" x14ac:dyDescent="0.25">
      <c r="A36" s="182" t="s">
        <v>3132</v>
      </c>
      <c r="B36" s="418" t="s">
        <v>3121</v>
      </c>
      <c r="C36" s="427" t="s">
        <v>3131</v>
      </c>
      <c r="D36" s="180" t="s">
        <v>3080</v>
      </c>
      <c r="E36" s="421" t="s">
        <v>15</v>
      </c>
      <c r="F36" s="426">
        <v>7969.5</v>
      </c>
      <c r="G36" s="170" t="s">
        <v>1563</v>
      </c>
      <c r="H36" s="177" t="s">
        <v>1562</v>
      </c>
      <c r="I36" s="419">
        <v>8367.98</v>
      </c>
      <c r="J36" s="170" t="s">
        <v>1559</v>
      </c>
      <c r="K36" s="262" t="s">
        <v>1558</v>
      </c>
      <c r="L36" s="419">
        <v>8208.59</v>
      </c>
      <c r="M36" s="425" t="s">
        <v>1561</v>
      </c>
      <c r="N36" s="424" t="s">
        <v>1560</v>
      </c>
      <c r="O36" s="417">
        <f t="shared" si="0"/>
        <v>7969.5</v>
      </c>
      <c r="P36" s="416">
        <v>4100</v>
      </c>
      <c r="Q36" s="211">
        <v>45876</v>
      </c>
    </row>
    <row r="37" spans="1:17" s="415" customFormat="1" ht="46.9" customHeight="1" x14ac:dyDescent="0.25">
      <c r="A37" s="182" t="s">
        <v>3130</v>
      </c>
      <c r="B37" s="418" t="s">
        <v>3121</v>
      </c>
      <c r="C37" s="427" t="s">
        <v>3129</v>
      </c>
      <c r="D37" s="180" t="s">
        <v>3080</v>
      </c>
      <c r="E37" s="421" t="s">
        <v>15</v>
      </c>
      <c r="F37" s="419">
        <v>3927</v>
      </c>
      <c r="G37" s="170" t="s">
        <v>1563</v>
      </c>
      <c r="H37" s="177" t="s">
        <v>1562</v>
      </c>
      <c r="I37" s="419">
        <v>4123.3500000000004</v>
      </c>
      <c r="J37" s="170" t="s">
        <v>1559</v>
      </c>
      <c r="K37" s="262" t="s">
        <v>1558</v>
      </c>
      <c r="L37" s="419">
        <v>4044.81</v>
      </c>
      <c r="M37" s="425" t="s">
        <v>1561</v>
      </c>
      <c r="N37" s="424" t="s">
        <v>1560</v>
      </c>
      <c r="O37" s="417">
        <f t="shared" si="0"/>
        <v>3927</v>
      </c>
      <c r="P37" s="416">
        <v>1858</v>
      </c>
      <c r="Q37" s="211">
        <v>45876</v>
      </c>
    </row>
    <row r="38" spans="1:17" s="415" customFormat="1" ht="46.9" customHeight="1" x14ac:dyDescent="0.25">
      <c r="A38" s="182" t="s">
        <v>3128</v>
      </c>
      <c r="B38" s="418" t="s">
        <v>3121</v>
      </c>
      <c r="C38" s="427" t="s">
        <v>3127</v>
      </c>
      <c r="D38" s="180" t="s">
        <v>3080</v>
      </c>
      <c r="E38" s="421" t="s">
        <v>15</v>
      </c>
      <c r="F38" s="419">
        <v>7402.5</v>
      </c>
      <c r="G38" s="170" t="s">
        <v>1563</v>
      </c>
      <c r="H38" s="177" t="s">
        <v>1562</v>
      </c>
      <c r="I38" s="419">
        <v>7772.63</v>
      </c>
      <c r="J38" s="170" t="s">
        <v>1559</v>
      </c>
      <c r="K38" s="262" t="s">
        <v>1558</v>
      </c>
      <c r="L38" s="419">
        <v>7624.58</v>
      </c>
      <c r="M38" s="425" t="s">
        <v>1561</v>
      </c>
      <c r="N38" s="424" t="s">
        <v>1560</v>
      </c>
      <c r="O38" s="417">
        <f t="shared" si="0"/>
        <v>7402.5</v>
      </c>
      <c r="P38" s="416">
        <v>3572</v>
      </c>
      <c r="Q38" s="211">
        <v>45876</v>
      </c>
    </row>
    <row r="39" spans="1:17" s="415" customFormat="1" ht="46.9" customHeight="1" x14ac:dyDescent="0.25">
      <c r="A39" s="182" t="s">
        <v>3126</v>
      </c>
      <c r="B39" s="418" t="s">
        <v>3121</v>
      </c>
      <c r="C39" s="427" t="s">
        <v>3125</v>
      </c>
      <c r="D39" s="180" t="s">
        <v>3080</v>
      </c>
      <c r="E39" s="421" t="s">
        <v>15</v>
      </c>
      <c r="F39" s="419">
        <v>4599</v>
      </c>
      <c r="G39" s="170" t="s">
        <v>1563</v>
      </c>
      <c r="H39" s="177" t="s">
        <v>1562</v>
      </c>
      <c r="I39" s="419">
        <v>4828.95</v>
      </c>
      <c r="J39" s="170" t="s">
        <v>1559</v>
      </c>
      <c r="K39" s="262" t="s">
        <v>1558</v>
      </c>
      <c r="L39" s="419">
        <v>4736.97</v>
      </c>
      <c r="M39" s="425" t="s">
        <v>1561</v>
      </c>
      <c r="N39" s="424" t="s">
        <v>1560</v>
      </c>
      <c r="O39" s="417">
        <f t="shared" si="0"/>
        <v>4599</v>
      </c>
      <c r="P39" s="416">
        <v>3490</v>
      </c>
      <c r="Q39" s="211">
        <v>45876</v>
      </c>
    </row>
    <row r="40" spans="1:17" s="415" customFormat="1" ht="46.9" customHeight="1" x14ac:dyDescent="0.25">
      <c r="A40" s="182" t="s">
        <v>3124</v>
      </c>
      <c r="B40" s="418" t="s">
        <v>3121</v>
      </c>
      <c r="C40" s="427" t="s">
        <v>3123</v>
      </c>
      <c r="D40" s="180" t="s">
        <v>3080</v>
      </c>
      <c r="E40" s="421" t="s">
        <v>15</v>
      </c>
      <c r="F40" s="419">
        <v>6058.5</v>
      </c>
      <c r="G40" s="170" t="s">
        <v>1563</v>
      </c>
      <c r="H40" s="177" t="s">
        <v>1562</v>
      </c>
      <c r="I40" s="419">
        <v>6361.43</v>
      </c>
      <c r="J40" s="170" t="s">
        <v>1559</v>
      </c>
      <c r="K40" s="262" t="s">
        <v>1558</v>
      </c>
      <c r="L40" s="419">
        <v>6240.26</v>
      </c>
      <c r="M40" s="425" t="s">
        <v>1561</v>
      </c>
      <c r="N40" s="424" t="s">
        <v>1560</v>
      </c>
      <c r="O40" s="417">
        <f t="shared" si="0"/>
        <v>6058.5</v>
      </c>
      <c r="P40" s="416">
        <v>1700</v>
      </c>
      <c r="Q40" s="211">
        <v>45876</v>
      </c>
    </row>
    <row r="41" spans="1:17" s="415" customFormat="1" ht="46.9" customHeight="1" x14ac:dyDescent="0.25">
      <c r="A41" s="182" t="s">
        <v>3122</v>
      </c>
      <c r="B41" s="418" t="s">
        <v>3121</v>
      </c>
      <c r="C41" s="427" t="s">
        <v>3120</v>
      </c>
      <c r="D41" s="180" t="s">
        <v>3080</v>
      </c>
      <c r="E41" s="421" t="s">
        <v>15</v>
      </c>
      <c r="F41" s="419">
        <v>6058.5</v>
      </c>
      <c r="G41" s="170" t="s">
        <v>1563</v>
      </c>
      <c r="H41" s="177" t="s">
        <v>1562</v>
      </c>
      <c r="I41" s="419">
        <v>6361.43</v>
      </c>
      <c r="J41" s="170" t="s">
        <v>1559</v>
      </c>
      <c r="K41" s="262" t="s">
        <v>1558</v>
      </c>
      <c r="L41" s="419">
        <v>6240.26</v>
      </c>
      <c r="M41" s="425" t="s">
        <v>1561</v>
      </c>
      <c r="N41" s="424" t="s">
        <v>1560</v>
      </c>
      <c r="O41" s="417">
        <f t="shared" si="0"/>
        <v>6058.5</v>
      </c>
      <c r="P41" s="416">
        <v>1700</v>
      </c>
      <c r="Q41" s="211">
        <v>45876</v>
      </c>
    </row>
    <row r="42" spans="1:17" s="415" customFormat="1" ht="46.9" customHeight="1" x14ac:dyDescent="0.25">
      <c r="A42" s="182" t="s">
        <v>3119</v>
      </c>
      <c r="B42" s="418" t="s">
        <v>3110</v>
      </c>
      <c r="C42" s="427" t="s">
        <v>3118</v>
      </c>
      <c r="D42" s="180" t="s">
        <v>3080</v>
      </c>
      <c r="E42" s="421" t="s">
        <v>15</v>
      </c>
      <c r="F42" s="419">
        <v>41055</v>
      </c>
      <c r="G42" s="170" t="s">
        <v>1563</v>
      </c>
      <c r="H42" s="177" t="s">
        <v>1562</v>
      </c>
      <c r="I42" s="419">
        <v>43107.75</v>
      </c>
      <c r="J42" s="170" t="s">
        <v>1559</v>
      </c>
      <c r="K42" s="262" t="s">
        <v>1558</v>
      </c>
      <c r="L42" s="419">
        <v>42286.65</v>
      </c>
      <c r="M42" s="425" t="s">
        <v>1561</v>
      </c>
      <c r="N42" s="424" t="s">
        <v>1560</v>
      </c>
      <c r="O42" s="417">
        <f t="shared" si="0"/>
        <v>41055</v>
      </c>
      <c r="P42" s="416">
        <v>20000</v>
      </c>
      <c r="Q42" s="211">
        <v>45876</v>
      </c>
    </row>
    <row r="43" spans="1:17" s="415" customFormat="1" ht="46.9" customHeight="1" x14ac:dyDescent="0.25">
      <c r="A43" s="182" t="s">
        <v>3117</v>
      </c>
      <c r="B43" s="418" t="s">
        <v>3110</v>
      </c>
      <c r="C43" s="427" t="s">
        <v>3116</v>
      </c>
      <c r="D43" s="180" t="s">
        <v>3080</v>
      </c>
      <c r="E43" s="421" t="s">
        <v>15</v>
      </c>
      <c r="F43" s="419">
        <v>24339</v>
      </c>
      <c r="G43" s="170" t="s">
        <v>1563</v>
      </c>
      <c r="H43" s="177" t="s">
        <v>1562</v>
      </c>
      <c r="I43" s="419">
        <v>25555.95</v>
      </c>
      <c r="J43" s="170" t="s">
        <v>1559</v>
      </c>
      <c r="K43" s="262" t="s">
        <v>1558</v>
      </c>
      <c r="L43" s="419">
        <v>25069.17</v>
      </c>
      <c r="M43" s="425" t="s">
        <v>1561</v>
      </c>
      <c r="N43" s="424" t="s">
        <v>1560</v>
      </c>
      <c r="O43" s="417">
        <f t="shared" ref="O43:O62" si="1">MIN(F43,I43,L43)</f>
        <v>24339</v>
      </c>
      <c r="P43" s="416">
        <v>13333</v>
      </c>
      <c r="Q43" s="211">
        <v>45876</v>
      </c>
    </row>
    <row r="44" spans="1:17" s="415" customFormat="1" ht="46.9" customHeight="1" x14ac:dyDescent="0.25">
      <c r="A44" s="182" t="s">
        <v>3115</v>
      </c>
      <c r="B44" s="418" t="s">
        <v>3110</v>
      </c>
      <c r="C44" s="427" t="s">
        <v>3114</v>
      </c>
      <c r="D44" s="180" t="s">
        <v>3080</v>
      </c>
      <c r="E44" s="421" t="s">
        <v>15</v>
      </c>
      <c r="F44" s="419">
        <v>40383</v>
      </c>
      <c r="G44" s="170" t="s">
        <v>1563</v>
      </c>
      <c r="H44" s="177" t="s">
        <v>1562</v>
      </c>
      <c r="I44" s="419">
        <v>42402.15</v>
      </c>
      <c r="J44" s="170" t="s">
        <v>1559</v>
      </c>
      <c r="K44" s="262" t="s">
        <v>1558</v>
      </c>
      <c r="L44" s="419">
        <v>41594.49</v>
      </c>
      <c r="M44" s="425" t="s">
        <v>1561</v>
      </c>
      <c r="N44" s="424" t="s">
        <v>1560</v>
      </c>
      <c r="O44" s="417">
        <f t="shared" si="1"/>
        <v>40383</v>
      </c>
      <c r="P44" s="416">
        <v>14000</v>
      </c>
      <c r="Q44" s="211">
        <v>45876</v>
      </c>
    </row>
    <row r="45" spans="1:17" s="415" customFormat="1" ht="46.9" customHeight="1" x14ac:dyDescent="0.25">
      <c r="A45" s="182" t="s">
        <v>3113</v>
      </c>
      <c r="B45" s="418" t="s">
        <v>3110</v>
      </c>
      <c r="C45" s="427" t="s">
        <v>3112</v>
      </c>
      <c r="D45" s="180" t="s">
        <v>3080</v>
      </c>
      <c r="E45" s="421" t="s">
        <v>15</v>
      </c>
      <c r="F45" s="419">
        <v>43302</v>
      </c>
      <c r="G45" s="170" t="s">
        <v>1563</v>
      </c>
      <c r="H45" s="177" t="s">
        <v>1562</v>
      </c>
      <c r="I45" s="419">
        <v>45467.1</v>
      </c>
      <c r="J45" s="170" t="s">
        <v>1559</v>
      </c>
      <c r="K45" s="262" t="s">
        <v>1558</v>
      </c>
      <c r="L45" s="419">
        <v>44601.06</v>
      </c>
      <c r="M45" s="425" t="s">
        <v>1561</v>
      </c>
      <c r="N45" s="424" t="s">
        <v>1560</v>
      </c>
      <c r="O45" s="417">
        <f t="shared" si="1"/>
        <v>43302</v>
      </c>
      <c r="P45" s="416">
        <v>17867</v>
      </c>
      <c r="Q45" s="211">
        <v>45876</v>
      </c>
    </row>
    <row r="46" spans="1:17" s="415" customFormat="1" ht="46.9" customHeight="1" x14ac:dyDescent="0.25">
      <c r="A46" s="182" t="s">
        <v>3111</v>
      </c>
      <c r="B46" s="418" t="s">
        <v>3110</v>
      </c>
      <c r="C46" s="422" t="s">
        <v>3109</v>
      </c>
      <c r="D46" s="180" t="s">
        <v>3080</v>
      </c>
      <c r="E46" s="421" t="s">
        <v>15</v>
      </c>
      <c r="F46" s="419">
        <v>18732</v>
      </c>
      <c r="G46" s="170" t="s">
        <v>1563</v>
      </c>
      <c r="H46" s="177" t="s">
        <v>1562</v>
      </c>
      <c r="I46" s="419">
        <v>19668.599999999999</v>
      </c>
      <c r="J46" s="170" t="s">
        <v>1559</v>
      </c>
      <c r="K46" s="262" t="s">
        <v>1558</v>
      </c>
      <c r="L46" s="419">
        <v>19293.96</v>
      </c>
      <c r="M46" s="425" t="s">
        <v>1561</v>
      </c>
      <c r="N46" s="424" t="s">
        <v>1560</v>
      </c>
      <c r="O46" s="417">
        <f t="shared" si="1"/>
        <v>18732</v>
      </c>
      <c r="P46" s="416">
        <v>8933</v>
      </c>
      <c r="Q46" s="211">
        <v>45876</v>
      </c>
    </row>
    <row r="47" spans="1:17" s="415" customFormat="1" ht="46.9" customHeight="1" x14ac:dyDescent="0.25">
      <c r="A47" s="182" t="s">
        <v>3108</v>
      </c>
      <c r="B47" s="418" t="s">
        <v>849</v>
      </c>
      <c r="C47" s="427" t="s">
        <v>3107</v>
      </c>
      <c r="D47" s="180" t="s">
        <v>3080</v>
      </c>
      <c r="E47" s="421" t="s">
        <v>15</v>
      </c>
      <c r="F47" s="419">
        <v>201810</v>
      </c>
      <c r="G47" s="170" t="s">
        <v>1563</v>
      </c>
      <c r="H47" s="177" t="s">
        <v>1562</v>
      </c>
      <c r="I47" s="419">
        <v>211900.5</v>
      </c>
      <c r="J47" s="170" t="s">
        <v>1559</v>
      </c>
      <c r="K47" s="262" t="s">
        <v>1558</v>
      </c>
      <c r="L47" s="419">
        <v>207864.3</v>
      </c>
      <c r="M47" s="425" t="s">
        <v>1561</v>
      </c>
      <c r="N47" s="424" t="s">
        <v>1560</v>
      </c>
      <c r="O47" s="417">
        <f t="shared" si="1"/>
        <v>201810</v>
      </c>
      <c r="P47" s="428">
        <v>153312.25</v>
      </c>
      <c r="Q47" s="211">
        <v>45876</v>
      </c>
    </row>
    <row r="48" spans="1:17" s="415" customFormat="1" ht="46.9" customHeight="1" x14ac:dyDescent="0.25">
      <c r="A48" s="182" t="s">
        <v>3106</v>
      </c>
      <c r="B48" s="418" t="s">
        <v>849</v>
      </c>
      <c r="C48" s="427" t="s">
        <v>3105</v>
      </c>
      <c r="D48" s="180" t="s">
        <v>3080</v>
      </c>
      <c r="E48" s="421" t="s">
        <v>15</v>
      </c>
      <c r="F48" s="419">
        <v>198334.5</v>
      </c>
      <c r="G48" s="170" t="s">
        <v>1563</v>
      </c>
      <c r="H48" s="177" t="s">
        <v>1562</v>
      </c>
      <c r="I48" s="419">
        <v>208251.23</v>
      </c>
      <c r="J48" s="170" t="s">
        <v>1559</v>
      </c>
      <c r="K48" s="262" t="s">
        <v>1558</v>
      </c>
      <c r="L48" s="419">
        <v>204284.54</v>
      </c>
      <c r="M48" s="425" t="s">
        <v>1561</v>
      </c>
      <c r="N48" s="424" t="s">
        <v>1560</v>
      </c>
      <c r="O48" s="417">
        <f t="shared" si="1"/>
        <v>198334.5</v>
      </c>
      <c r="P48" s="428">
        <v>163066.63</v>
      </c>
      <c r="Q48" s="211">
        <v>45876</v>
      </c>
    </row>
    <row r="49" spans="1:17" s="415" customFormat="1" ht="46.9" customHeight="1" x14ac:dyDescent="0.25">
      <c r="A49" s="182" t="s">
        <v>3104</v>
      </c>
      <c r="B49" s="418" t="s">
        <v>849</v>
      </c>
      <c r="C49" s="427" t="s">
        <v>3103</v>
      </c>
      <c r="D49" s="180" t="s">
        <v>3080</v>
      </c>
      <c r="E49" s="421" t="s">
        <v>15</v>
      </c>
      <c r="F49" s="419">
        <v>201810</v>
      </c>
      <c r="G49" s="170" t="s">
        <v>1563</v>
      </c>
      <c r="H49" s="177" t="s">
        <v>1562</v>
      </c>
      <c r="I49" s="419">
        <v>211900.5</v>
      </c>
      <c r="J49" s="170" t="s">
        <v>1559</v>
      </c>
      <c r="K49" s="262" t="s">
        <v>1558</v>
      </c>
      <c r="L49" s="419">
        <v>207864.3</v>
      </c>
      <c r="M49" s="425" t="s">
        <v>1561</v>
      </c>
      <c r="N49" s="424" t="s">
        <v>1560</v>
      </c>
      <c r="O49" s="417">
        <f t="shared" si="1"/>
        <v>201810</v>
      </c>
      <c r="P49" s="428">
        <v>163066.63</v>
      </c>
      <c r="Q49" s="211">
        <v>45876</v>
      </c>
    </row>
    <row r="50" spans="1:17" s="415" customFormat="1" ht="46.9" customHeight="1" x14ac:dyDescent="0.25">
      <c r="A50" s="182" t="s">
        <v>3102</v>
      </c>
      <c r="B50" s="418" t="s">
        <v>849</v>
      </c>
      <c r="C50" s="427" t="s">
        <v>3101</v>
      </c>
      <c r="D50" s="180" t="s">
        <v>3080</v>
      </c>
      <c r="E50" s="421" t="s">
        <v>15</v>
      </c>
      <c r="F50" s="419">
        <v>203826</v>
      </c>
      <c r="G50" s="170" t="s">
        <v>1563</v>
      </c>
      <c r="H50" s="177" t="s">
        <v>1562</v>
      </c>
      <c r="I50" s="419">
        <v>214017.3</v>
      </c>
      <c r="J50" s="170" t="s">
        <v>1559</v>
      </c>
      <c r="K50" s="262" t="s">
        <v>1558</v>
      </c>
      <c r="L50" s="419">
        <v>209940.78</v>
      </c>
      <c r="M50" s="425" t="s">
        <v>1561</v>
      </c>
      <c r="N50" s="424" t="s">
        <v>1560</v>
      </c>
      <c r="O50" s="417">
        <f t="shared" si="1"/>
        <v>203826</v>
      </c>
      <c r="P50" s="428">
        <v>172981.24</v>
      </c>
      <c r="Q50" s="211">
        <v>45876</v>
      </c>
    </row>
    <row r="51" spans="1:17" s="415" customFormat="1" ht="46.9" customHeight="1" x14ac:dyDescent="0.25">
      <c r="A51" s="182" t="s">
        <v>3100</v>
      </c>
      <c r="B51" s="418" t="s">
        <v>849</v>
      </c>
      <c r="C51" s="427" t="s">
        <v>3099</v>
      </c>
      <c r="D51" s="180" t="s">
        <v>3080</v>
      </c>
      <c r="E51" s="421" t="s">
        <v>15</v>
      </c>
      <c r="F51" s="419">
        <v>210787.5</v>
      </c>
      <c r="G51" s="170" t="s">
        <v>1563</v>
      </c>
      <c r="H51" s="177" t="s">
        <v>1562</v>
      </c>
      <c r="I51" s="419">
        <v>221326.88</v>
      </c>
      <c r="J51" s="170" t="s">
        <v>1559</v>
      </c>
      <c r="K51" s="262" t="s">
        <v>1558</v>
      </c>
      <c r="L51" s="419">
        <v>217111.13</v>
      </c>
      <c r="M51" s="425" t="s">
        <v>1561</v>
      </c>
      <c r="N51" s="424" t="s">
        <v>1560</v>
      </c>
      <c r="O51" s="417">
        <f t="shared" si="1"/>
        <v>210787.5</v>
      </c>
      <c r="P51" s="428">
        <v>179169.38</v>
      </c>
      <c r="Q51" s="211">
        <v>45876</v>
      </c>
    </row>
    <row r="52" spans="1:17" s="415" customFormat="1" ht="46.9" customHeight="1" x14ac:dyDescent="0.25">
      <c r="A52" s="182" t="s">
        <v>3098</v>
      </c>
      <c r="B52" s="418" t="s">
        <v>849</v>
      </c>
      <c r="C52" s="427" t="s">
        <v>3097</v>
      </c>
      <c r="D52" s="180" t="s">
        <v>3080</v>
      </c>
      <c r="E52" s="421" t="s">
        <v>15</v>
      </c>
      <c r="F52" s="419">
        <v>168042</v>
      </c>
      <c r="G52" s="170" t="s">
        <v>1563</v>
      </c>
      <c r="H52" s="177" t="s">
        <v>1562</v>
      </c>
      <c r="I52" s="419">
        <v>176444.1</v>
      </c>
      <c r="J52" s="170" t="s">
        <v>1559</v>
      </c>
      <c r="K52" s="262" t="s">
        <v>1558</v>
      </c>
      <c r="L52" s="419">
        <v>173083.26</v>
      </c>
      <c r="M52" s="425" t="s">
        <v>1561</v>
      </c>
      <c r="N52" s="424" t="s">
        <v>1560</v>
      </c>
      <c r="O52" s="417">
        <f t="shared" si="1"/>
        <v>168042</v>
      </c>
      <c r="P52" s="428"/>
      <c r="Q52" s="211">
        <v>45876</v>
      </c>
    </row>
    <row r="53" spans="1:17" s="415" customFormat="1" ht="46.9" customHeight="1" x14ac:dyDescent="0.25">
      <c r="A53" s="182" t="s">
        <v>3096</v>
      </c>
      <c r="B53" s="418" t="s">
        <v>849</v>
      </c>
      <c r="C53" s="422" t="s">
        <v>3095</v>
      </c>
      <c r="D53" s="180" t="s">
        <v>3080</v>
      </c>
      <c r="E53" s="421" t="s">
        <v>15</v>
      </c>
      <c r="F53" s="419">
        <v>201810</v>
      </c>
      <c r="G53" s="170" t="s">
        <v>1563</v>
      </c>
      <c r="H53" s="177" t="s">
        <v>1562</v>
      </c>
      <c r="I53" s="419">
        <v>211900.5</v>
      </c>
      <c r="J53" s="170" t="s">
        <v>1559</v>
      </c>
      <c r="K53" s="262" t="s">
        <v>1558</v>
      </c>
      <c r="L53" s="419">
        <v>207864.3</v>
      </c>
      <c r="M53" s="425" t="s">
        <v>1561</v>
      </c>
      <c r="N53" s="424" t="s">
        <v>1560</v>
      </c>
      <c r="O53" s="417">
        <f t="shared" si="1"/>
        <v>201810</v>
      </c>
      <c r="P53" s="428">
        <v>157258.74</v>
      </c>
      <c r="Q53" s="211">
        <v>45876</v>
      </c>
    </row>
    <row r="54" spans="1:17" s="415" customFormat="1" ht="46.9" customHeight="1" x14ac:dyDescent="0.25">
      <c r="A54" s="182" t="s">
        <v>3094</v>
      </c>
      <c r="B54" s="418" t="s">
        <v>3085</v>
      </c>
      <c r="C54" s="427" t="s">
        <v>3093</v>
      </c>
      <c r="D54" s="180" t="s">
        <v>3080</v>
      </c>
      <c r="E54" s="421" t="s">
        <v>15</v>
      </c>
      <c r="F54" s="419">
        <v>82120.5</v>
      </c>
      <c r="G54" s="170" t="s">
        <v>1563</v>
      </c>
      <c r="H54" s="177" t="s">
        <v>1562</v>
      </c>
      <c r="I54" s="419">
        <v>86226.53</v>
      </c>
      <c r="J54" s="170" t="s">
        <v>1559</v>
      </c>
      <c r="K54" s="262" t="s">
        <v>1558</v>
      </c>
      <c r="L54" s="419">
        <v>84584.12</v>
      </c>
      <c r="M54" s="425" t="s">
        <v>1561</v>
      </c>
      <c r="N54" s="424" t="s">
        <v>1560</v>
      </c>
      <c r="O54" s="417">
        <f t="shared" si="1"/>
        <v>82120.5</v>
      </c>
      <c r="P54" s="416">
        <v>33540</v>
      </c>
      <c r="Q54" s="211">
        <v>45876</v>
      </c>
    </row>
    <row r="55" spans="1:17" s="415" customFormat="1" ht="46.9" customHeight="1" x14ac:dyDescent="0.25">
      <c r="A55" s="182" t="s">
        <v>3092</v>
      </c>
      <c r="B55" s="418" t="s">
        <v>3085</v>
      </c>
      <c r="C55" s="427" t="s">
        <v>3091</v>
      </c>
      <c r="D55" s="180" t="s">
        <v>3080</v>
      </c>
      <c r="E55" s="421" t="s">
        <v>15</v>
      </c>
      <c r="F55" s="419">
        <v>38934</v>
      </c>
      <c r="G55" s="170" t="s">
        <v>1563</v>
      </c>
      <c r="H55" s="177" t="s">
        <v>1562</v>
      </c>
      <c r="I55" s="419">
        <v>40880.699999999997</v>
      </c>
      <c r="J55" s="170" t="s">
        <v>1559</v>
      </c>
      <c r="K55" s="262" t="s">
        <v>1558</v>
      </c>
      <c r="L55" s="419">
        <v>40102.019999999997</v>
      </c>
      <c r="M55" s="425" t="s">
        <v>1561</v>
      </c>
      <c r="N55" s="424" t="s">
        <v>1560</v>
      </c>
      <c r="O55" s="417">
        <f t="shared" si="1"/>
        <v>38934</v>
      </c>
      <c r="P55" s="416">
        <v>14606</v>
      </c>
      <c r="Q55" s="211">
        <v>45876</v>
      </c>
    </row>
    <row r="56" spans="1:17" s="415" customFormat="1" ht="46.9" customHeight="1" x14ac:dyDescent="0.25">
      <c r="A56" s="182" t="s">
        <v>3090</v>
      </c>
      <c r="B56" s="418" t="s">
        <v>3085</v>
      </c>
      <c r="C56" s="427" t="s">
        <v>3089</v>
      </c>
      <c r="D56" s="180" t="s">
        <v>3080</v>
      </c>
      <c r="E56" s="421" t="s">
        <v>15</v>
      </c>
      <c r="F56" s="419">
        <v>116896.5</v>
      </c>
      <c r="G56" s="170" t="s">
        <v>1563</v>
      </c>
      <c r="H56" s="177" t="s">
        <v>1562</v>
      </c>
      <c r="I56" s="419">
        <v>122741.33</v>
      </c>
      <c r="J56" s="170" t="s">
        <v>1559</v>
      </c>
      <c r="K56" s="262" t="s">
        <v>1558</v>
      </c>
      <c r="L56" s="419">
        <v>120403.4</v>
      </c>
      <c r="M56" s="425" t="s">
        <v>1561</v>
      </c>
      <c r="N56" s="424" t="s">
        <v>1560</v>
      </c>
      <c r="O56" s="417">
        <f t="shared" si="1"/>
        <v>116896.5</v>
      </c>
      <c r="P56" s="416">
        <v>48777</v>
      </c>
      <c r="Q56" s="211">
        <v>45876</v>
      </c>
    </row>
    <row r="57" spans="1:17" s="415" customFormat="1" ht="46.9" customHeight="1" x14ac:dyDescent="0.25">
      <c r="A57" s="182" t="s">
        <v>3088</v>
      </c>
      <c r="B57" s="418" t="s">
        <v>3085</v>
      </c>
      <c r="C57" s="427" t="s">
        <v>3087</v>
      </c>
      <c r="D57" s="180" t="s">
        <v>3080</v>
      </c>
      <c r="E57" s="421" t="s">
        <v>15</v>
      </c>
      <c r="F57" s="419">
        <v>54411</v>
      </c>
      <c r="G57" s="170" t="s">
        <v>1563</v>
      </c>
      <c r="H57" s="177" t="s">
        <v>1562</v>
      </c>
      <c r="I57" s="419">
        <v>57131.55</v>
      </c>
      <c r="J57" s="170" t="s">
        <v>1559</v>
      </c>
      <c r="K57" s="262" t="s">
        <v>1558</v>
      </c>
      <c r="L57" s="419">
        <v>56043.33</v>
      </c>
      <c r="M57" s="425" t="s">
        <v>1561</v>
      </c>
      <c r="N57" s="424" t="s">
        <v>1560</v>
      </c>
      <c r="O57" s="417">
        <f t="shared" si="1"/>
        <v>54411</v>
      </c>
      <c r="P57" s="416">
        <v>23262</v>
      </c>
      <c r="Q57" s="211">
        <v>45876</v>
      </c>
    </row>
    <row r="58" spans="1:17" s="415" customFormat="1" ht="46.9" customHeight="1" x14ac:dyDescent="0.25">
      <c r="A58" s="182" t="s">
        <v>3086</v>
      </c>
      <c r="B58" s="418" t="s">
        <v>3085</v>
      </c>
      <c r="C58" s="427" t="s">
        <v>3084</v>
      </c>
      <c r="D58" s="180" t="s">
        <v>3080</v>
      </c>
      <c r="E58" s="421" t="s">
        <v>15</v>
      </c>
      <c r="F58" s="419">
        <v>35122.5</v>
      </c>
      <c r="G58" s="170" t="s">
        <v>1563</v>
      </c>
      <c r="H58" s="177" t="s">
        <v>1562</v>
      </c>
      <c r="I58" s="419">
        <v>36878.629999999997</v>
      </c>
      <c r="J58" s="170" t="s">
        <v>1559</v>
      </c>
      <c r="K58" s="262" t="s">
        <v>1558</v>
      </c>
      <c r="L58" s="419">
        <v>36176.18</v>
      </c>
      <c r="M58" s="425" t="s">
        <v>1561</v>
      </c>
      <c r="N58" s="424" t="s">
        <v>1560</v>
      </c>
      <c r="O58" s="417">
        <f t="shared" si="1"/>
        <v>35122.5</v>
      </c>
      <c r="P58" s="416">
        <v>13073</v>
      </c>
      <c r="Q58" s="211">
        <v>45876</v>
      </c>
    </row>
    <row r="59" spans="1:17" s="415" customFormat="1" ht="46.9" customHeight="1" x14ac:dyDescent="0.25">
      <c r="A59" s="182" t="s">
        <v>3083</v>
      </c>
      <c r="B59" s="418" t="s">
        <v>3082</v>
      </c>
      <c r="C59" s="427" t="s">
        <v>3081</v>
      </c>
      <c r="D59" s="180" t="s">
        <v>3080</v>
      </c>
      <c r="E59" s="421" t="s">
        <v>15</v>
      </c>
      <c r="F59" s="426">
        <v>9534</v>
      </c>
      <c r="G59" s="170" t="s">
        <v>1563</v>
      </c>
      <c r="H59" s="177" t="s">
        <v>1562</v>
      </c>
      <c r="I59" s="419">
        <v>10010.700000000001</v>
      </c>
      <c r="J59" s="170" t="s">
        <v>1559</v>
      </c>
      <c r="K59" s="262" t="s">
        <v>1558</v>
      </c>
      <c r="L59" s="419">
        <v>9820.02</v>
      </c>
      <c r="M59" s="425" t="s">
        <v>1561</v>
      </c>
      <c r="N59" s="424" t="s">
        <v>1560</v>
      </c>
      <c r="O59" s="417">
        <f t="shared" si="1"/>
        <v>9534</v>
      </c>
      <c r="P59" s="416">
        <v>2400</v>
      </c>
      <c r="Q59" s="211">
        <v>45876</v>
      </c>
    </row>
    <row r="60" spans="1:17" s="415" customFormat="1" ht="46.9" customHeight="1" x14ac:dyDescent="0.25">
      <c r="A60" s="182" t="s">
        <v>3079</v>
      </c>
      <c r="B60" s="418" t="s">
        <v>2960</v>
      </c>
      <c r="C60" s="422" t="s">
        <v>3078</v>
      </c>
      <c r="D60" s="180" t="s">
        <v>3077</v>
      </c>
      <c r="E60" s="421" t="s">
        <v>15</v>
      </c>
      <c r="F60" s="419">
        <v>181.91</v>
      </c>
      <c r="G60" s="423" t="s">
        <v>3076</v>
      </c>
      <c r="H60" s="423" t="s">
        <v>3075</v>
      </c>
      <c r="I60" s="419">
        <v>181.91</v>
      </c>
      <c r="J60" s="420" t="s">
        <v>3074</v>
      </c>
      <c r="K60" s="420" t="s">
        <v>3073</v>
      </c>
      <c r="L60" s="419">
        <v>235.76</v>
      </c>
      <c r="M60" s="13" t="s">
        <v>3060</v>
      </c>
      <c r="N60" s="418" t="s">
        <v>3059</v>
      </c>
      <c r="O60" s="417">
        <f t="shared" si="1"/>
        <v>181.91</v>
      </c>
      <c r="P60" s="416"/>
      <c r="Q60" s="211">
        <v>45876</v>
      </c>
    </row>
    <row r="61" spans="1:17" s="415" customFormat="1" ht="46.9" customHeight="1" x14ac:dyDescent="0.25">
      <c r="A61" s="182" t="s">
        <v>3072</v>
      </c>
      <c r="B61" s="418" t="s">
        <v>3071</v>
      </c>
      <c r="C61" s="422" t="s">
        <v>3070</v>
      </c>
      <c r="D61" s="180" t="s">
        <v>3069</v>
      </c>
      <c r="E61" s="421" t="s">
        <v>15</v>
      </c>
      <c r="F61" s="419">
        <v>34174.78</v>
      </c>
      <c r="G61" s="13" t="s">
        <v>3060</v>
      </c>
      <c r="H61" s="418" t="s">
        <v>3059</v>
      </c>
      <c r="I61" s="419">
        <v>35866.339999999997</v>
      </c>
      <c r="J61" s="420" t="s">
        <v>3068</v>
      </c>
      <c r="K61" s="420" t="s">
        <v>3067</v>
      </c>
      <c r="L61" s="419">
        <v>25770</v>
      </c>
      <c r="M61" s="13" t="s">
        <v>3066</v>
      </c>
      <c r="N61" s="418" t="s">
        <v>3065</v>
      </c>
      <c r="O61" s="417">
        <f t="shared" si="1"/>
        <v>25770</v>
      </c>
      <c r="P61" s="416">
        <v>25770</v>
      </c>
      <c r="Q61" s="211">
        <v>45876</v>
      </c>
    </row>
    <row r="62" spans="1:17" s="415" customFormat="1" ht="46.9" customHeight="1" x14ac:dyDescent="0.25">
      <c r="A62" s="182" t="s">
        <v>3064</v>
      </c>
      <c r="B62" s="418" t="s">
        <v>3063</v>
      </c>
      <c r="C62" s="422" t="s">
        <v>3062</v>
      </c>
      <c r="D62" s="180" t="s">
        <v>3061</v>
      </c>
      <c r="E62" s="421" t="s">
        <v>15</v>
      </c>
      <c r="F62" s="419">
        <v>365.4</v>
      </c>
      <c r="G62" s="13" t="s">
        <v>3060</v>
      </c>
      <c r="H62" s="418" t="s">
        <v>3059</v>
      </c>
      <c r="I62" s="419">
        <v>365.52</v>
      </c>
      <c r="J62" s="420" t="s">
        <v>2443</v>
      </c>
      <c r="K62" s="420" t="s">
        <v>3058</v>
      </c>
      <c r="L62" s="419">
        <v>365.52</v>
      </c>
      <c r="M62" s="13" t="s">
        <v>506</v>
      </c>
      <c r="N62" s="418" t="s">
        <v>3057</v>
      </c>
      <c r="O62" s="417">
        <f t="shared" si="1"/>
        <v>365.4</v>
      </c>
      <c r="P62" s="416"/>
      <c r="Q62" s="211">
        <v>45876</v>
      </c>
    </row>
    <row r="63" spans="1:17" x14ac:dyDescent="0.25">
      <c r="A63" s="276"/>
      <c r="B63" s="276"/>
      <c r="C63" s="276"/>
      <c r="D63" s="276"/>
      <c r="E63" s="276"/>
      <c r="F63" s="276"/>
      <c r="G63" s="276"/>
      <c r="H63" s="276"/>
      <c r="I63" s="276"/>
      <c r="J63" s="276"/>
      <c r="K63" s="276"/>
      <c r="L63" s="276"/>
      <c r="M63" s="276"/>
      <c r="N63" s="182"/>
      <c r="O63" s="276"/>
      <c r="P63" s="276"/>
      <c r="Q63" s="276"/>
    </row>
    <row r="64" spans="1:17" x14ac:dyDescent="0.25">
      <c r="A64" s="14"/>
      <c r="B64" s="517" t="s">
        <v>16</v>
      </c>
      <c r="C64" s="517"/>
      <c r="D64" s="517"/>
      <c r="E64" s="14"/>
      <c r="F64" s="14"/>
      <c r="G64" s="14"/>
      <c r="H64" s="14"/>
      <c r="I64" s="14"/>
      <c r="J64" s="14"/>
      <c r="K64" s="14"/>
      <c r="L64" s="14"/>
      <c r="M64" s="14"/>
      <c r="N64" s="518" t="s">
        <v>25</v>
      </c>
      <c r="O64" s="518"/>
      <c r="P64" s="14"/>
      <c r="Q64" s="14"/>
    </row>
    <row r="65" spans="1:17" x14ac:dyDescent="0.25">
      <c r="A65" s="14"/>
      <c r="B65" s="82"/>
      <c r="C65" s="82"/>
      <c r="D65" s="82"/>
      <c r="E65" s="14"/>
      <c r="F65" s="14"/>
      <c r="G65" s="14"/>
      <c r="H65" s="14"/>
      <c r="I65" s="14"/>
      <c r="J65" s="14"/>
      <c r="K65" s="14"/>
      <c r="L65" s="14"/>
      <c r="M65" s="14"/>
      <c r="N65" s="82"/>
      <c r="O65" s="82"/>
      <c r="P65" s="14"/>
      <c r="Q65" s="14"/>
    </row>
    <row r="66" spans="1:17" x14ac:dyDescent="0.25">
      <c r="A66" s="14"/>
      <c r="B66" s="82"/>
      <c r="C66" s="82"/>
      <c r="D66" s="82"/>
      <c r="E66" s="14"/>
      <c r="F66" s="14"/>
      <c r="G66" s="14"/>
      <c r="H66" s="14"/>
      <c r="I66" s="14"/>
      <c r="J66" s="14"/>
      <c r="K66" s="14"/>
      <c r="L66" s="14"/>
      <c r="M66" s="14"/>
      <c r="N66" s="82"/>
      <c r="O66" s="82"/>
      <c r="P66" s="14"/>
      <c r="Q66" s="14"/>
    </row>
    <row r="67" spans="1:17" x14ac:dyDescent="0.25">
      <c r="A67" s="14"/>
      <c r="B67" s="82"/>
      <c r="C67" s="82"/>
      <c r="D67" s="82"/>
      <c r="E67" s="14"/>
      <c r="F67" s="14"/>
      <c r="G67" s="14"/>
      <c r="H67" s="14"/>
      <c r="I67" s="14"/>
      <c r="J67" s="14"/>
      <c r="K67" s="14"/>
      <c r="L67" s="14"/>
      <c r="M67" s="14"/>
      <c r="N67" s="82"/>
      <c r="O67" s="82"/>
      <c r="P67" s="14"/>
      <c r="Q67" s="14"/>
    </row>
    <row r="68" spans="1:17" ht="37.5" customHeight="1" x14ac:dyDescent="0.25">
      <c r="A68" s="14"/>
      <c r="B68" s="82"/>
      <c r="C68" s="521" t="s">
        <v>23</v>
      </c>
      <c r="D68" s="82"/>
      <c r="E68" s="14"/>
      <c r="F68" s="14"/>
      <c r="G68" s="14"/>
      <c r="H68" s="14"/>
      <c r="I68" s="14"/>
      <c r="J68" s="14"/>
      <c r="K68" s="14"/>
      <c r="L68" s="571" t="s">
        <v>1009</v>
      </c>
      <c r="M68" s="571"/>
      <c r="N68" s="571"/>
      <c r="O68" s="82"/>
      <c r="P68" s="14"/>
      <c r="Q68" s="14"/>
    </row>
    <row r="69" spans="1:17" ht="15.75" customHeight="1" x14ac:dyDescent="0.3">
      <c r="A69" s="14"/>
      <c r="B69" s="82"/>
      <c r="C69" s="521"/>
      <c r="D69" s="21"/>
      <c r="E69" s="21"/>
      <c r="F69" s="14"/>
      <c r="G69" s="14"/>
      <c r="H69" s="14"/>
      <c r="I69" s="14"/>
      <c r="J69" s="14"/>
      <c r="K69" s="14"/>
      <c r="L69" s="243"/>
      <c r="M69" s="243"/>
      <c r="N69" s="242"/>
      <c r="O69" s="82"/>
      <c r="P69" s="14"/>
      <c r="Q69" s="14"/>
    </row>
    <row r="70" spans="1:17" ht="18.75" x14ac:dyDescent="0.3">
      <c r="A70" s="14"/>
      <c r="B70" s="520" t="s">
        <v>3056</v>
      </c>
      <c r="C70" s="595"/>
      <c r="D70" s="595"/>
      <c r="E70" s="595"/>
      <c r="F70" s="595"/>
      <c r="G70" s="595"/>
      <c r="H70" s="595"/>
      <c r="I70" s="595"/>
      <c r="J70" s="595"/>
      <c r="K70" s="595"/>
      <c r="L70" s="522" t="s">
        <v>21</v>
      </c>
      <c r="M70" s="522"/>
      <c r="N70" s="522"/>
      <c r="O70" s="82"/>
      <c r="P70" s="208" t="s">
        <v>22</v>
      </c>
      <c r="Q70" s="14"/>
    </row>
    <row r="71" spans="1:17" x14ac:dyDescent="0.25">
      <c r="A71" s="14"/>
      <c r="B71" s="82"/>
      <c r="C71" s="82" t="s">
        <v>3055</v>
      </c>
      <c r="D71" s="82"/>
      <c r="E71" s="14"/>
      <c r="F71" s="14"/>
      <c r="G71" s="14"/>
      <c r="H71" s="14"/>
      <c r="I71" s="14"/>
      <c r="J71" s="14"/>
      <c r="K71" s="14"/>
      <c r="L71" s="14"/>
      <c r="M71" s="14"/>
      <c r="N71" s="82"/>
      <c r="O71" s="82"/>
      <c r="P71" s="14"/>
      <c r="Q71" s="14"/>
    </row>
    <row r="72" spans="1:17" x14ac:dyDescent="0.25">
      <c r="A72" s="14"/>
      <c r="B72" s="519" t="s">
        <v>19</v>
      </c>
      <c r="C72" s="519"/>
      <c r="D72" s="519"/>
      <c r="E72" s="14"/>
      <c r="F72" s="14"/>
      <c r="G72" s="14"/>
      <c r="H72" s="14"/>
      <c r="I72" s="14"/>
      <c r="J72" s="14"/>
      <c r="K72" s="14"/>
      <c r="L72" s="14"/>
      <c r="M72" s="14"/>
      <c r="N72" s="519" t="s">
        <v>19</v>
      </c>
      <c r="O72" s="519"/>
      <c r="P72" s="519"/>
      <c r="Q72" s="14"/>
    </row>
    <row r="73" spans="1:17" x14ac:dyDescent="0.25">
      <c r="A73" s="14"/>
      <c r="B73" s="519" t="s">
        <v>19</v>
      </c>
      <c r="C73" s="519"/>
      <c r="D73" s="519"/>
      <c r="E73" s="14"/>
      <c r="F73" s="14"/>
      <c r="G73" s="14"/>
      <c r="H73" s="14"/>
      <c r="I73" s="14"/>
      <c r="J73" s="14"/>
      <c r="K73" s="14"/>
      <c r="L73" s="14"/>
      <c r="M73" s="14"/>
      <c r="N73" s="519" t="s">
        <v>19</v>
      </c>
      <c r="O73" s="519"/>
      <c r="P73" s="519"/>
      <c r="Q73" s="14"/>
    </row>
    <row r="74" spans="1:17" x14ac:dyDescent="0.25">
      <c r="A74" s="14"/>
      <c r="B74" s="14"/>
      <c r="C74" s="14"/>
      <c r="D74" s="14"/>
      <c r="E74" s="14"/>
      <c r="F74" s="14"/>
      <c r="G74" s="14"/>
      <c r="H74" s="14"/>
      <c r="I74" s="14"/>
      <c r="J74" s="14"/>
      <c r="K74" s="14"/>
      <c r="L74" s="14"/>
      <c r="M74" s="14"/>
      <c r="N74" s="14"/>
      <c r="O74" s="14"/>
      <c r="P74" s="14"/>
      <c r="Q74" s="14"/>
    </row>
    <row r="75" spans="1:17" x14ac:dyDescent="0.25">
      <c r="A75" s="14"/>
      <c r="B75" s="14"/>
      <c r="C75" s="14"/>
      <c r="D75" s="14"/>
      <c r="E75" s="14"/>
      <c r="F75" s="14"/>
      <c r="G75" s="14"/>
      <c r="H75" s="14"/>
      <c r="I75" s="14"/>
      <c r="J75" s="14"/>
      <c r="K75" s="14"/>
      <c r="L75" s="14"/>
      <c r="M75" s="14"/>
      <c r="N75" s="14"/>
      <c r="O75" s="14"/>
      <c r="P75" s="14"/>
      <c r="Q75" s="14"/>
    </row>
    <row r="76" spans="1:17" x14ac:dyDescent="0.25">
      <c r="A76" s="14"/>
      <c r="B76" s="539" t="s">
        <v>17</v>
      </c>
      <c r="C76" s="539"/>
      <c r="D76" s="539"/>
      <c r="E76" s="539"/>
      <c r="F76" s="539"/>
      <c r="G76" s="539"/>
      <c r="H76" s="539"/>
      <c r="I76" s="539"/>
      <c r="J76" s="539"/>
      <c r="K76" s="539"/>
      <c r="L76" s="14"/>
      <c r="M76" s="14"/>
      <c r="N76" s="14"/>
      <c r="O76" s="14"/>
      <c r="P76" s="14"/>
      <c r="Q76" s="14"/>
    </row>
    <row r="77" spans="1:17" x14ac:dyDescent="0.25">
      <c r="A77" s="14"/>
      <c r="B77" s="539" t="s">
        <v>18</v>
      </c>
      <c r="C77" s="539"/>
      <c r="D77" s="539"/>
      <c r="E77" s="539"/>
      <c r="F77" s="539"/>
      <c r="G77" s="539"/>
      <c r="H77" s="539"/>
      <c r="I77" s="539"/>
      <c r="J77" s="539"/>
      <c r="K77" s="539"/>
      <c r="L77" s="14"/>
      <c r="M77" s="14"/>
      <c r="N77" s="14"/>
      <c r="O77" s="14"/>
      <c r="P77" s="14"/>
      <c r="Q77" s="14"/>
    </row>
    <row r="78" spans="1:17" x14ac:dyDescent="0.25">
      <c r="A78" s="14"/>
      <c r="B78" s="14"/>
      <c r="C78" s="14"/>
      <c r="D78" s="14"/>
      <c r="E78" s="14"/>
      <c r="F78" s="14"/>
      <c r="G78" s="14"/>
      <c r="H78" s="14"/>
      <c r="I78" s="14"/>
      <c r="J78" s="14"/>
      <c r="K78" s="14"/>
      <c r="L78" s="14"/>
      <c r="M78" s="14"/>
      <c r="N78" s="14"/>
      <c r="O78" s="14"/>
      <c r="P78" s="14"/>
      <c r="Q78" s="14"/>
    </row>
  </sheetData>
  <mergeCells count="27">
    <mergeCell ref="B76:K76"/>
    <mergeCell ref="B77:K77"/>
    <mergeCell ref="B64:D64"/>
    <mergeCell ref="N64:O64"/>
    <mergeCell ref="B72:D72"/>
    <mergeCell ref="N72:P72"/>
    <mergeCell ref="B73:D73"/>
    <mergeCell ref="N73:P73"/>
    <mergeCell ref="L68:N68"/>
    <mergeCell ref="L70:N70"/>
    <mergeCell ref="B70:K70"/>
    <mergeCell ref="C68:C69"/>
    <mergeCell ref="Q7:Q8"/>
    <mergeCell ref="C1:N1"/>
    <mergeCell ref="F2:H2"/>
    <mergeCell ref="O4:P4"/>
    <mergeCell ref="F7:H7"/>
    <mergeCell ref="I7:K7"/>
    <mergeCell ref="L7:N7"/>
    <mergeCell ref="O7:O8"/>
    <mergeCell ref="P7:P8"/>
    <mergeCell ref="C5:M5"/>
    <mergeCell ref="A7:A8"/>
    <mergeCell ref="B7:B8"/>
    <mergeCell ref="C7:C8"/>
    <mergeCell ref="D7:D8"/>
    <mergeCell ref="E7:E8"/>
  </mergeCells>
  <pageMargins left="0.51181102362204722" right="0.51181102362204722" top="0.35433070866141736" bottom="0.55118110236220474" header="0.31496062992125984" footer="0.31496062992125984"/>
  <pageSetup paperSize="9" scale="3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29"/>
  <sheetViews>
    <sheetView view="pageBreakPreview" topLeftCell="D1" zoomScale="55" zoomScaleNormal="59" zoomScaleSheetLayoutView="55" workbookViewId="0">
      <selection activeCell="S13" sqref="S13"/>
    </sheetView>
  </sheetViews>
  <sheetFormatPr defaultColWidth="8.7109375" defaultRowHeight="15.75" x14ac:dyDescent="0.25"/>
  <cols>
    <col min="1" max="1" width="8.140625" style="1" customWidth="1"/>
    <col min="2" max="2" width="25.5703125" style="1" customWidth="1"/>
    <col min="3" max="3" width="47" style="15" customWidth="1"/>
    <col min="4" max="4" width="39.42578125" style="15" customWidth="1"/>
    <col min="5" max="5" width="14.140625" style="16" customWidth="1"/>
    <col min="6" max="6" width="28.5703125" style="15" hidden="1" customWidth="1"/>
    <col min="7" max="7" width="28.5703125" style="15" customWidth="1"/>
    <col min="8" max="8" width="36" style="15" customWidth="1"/>
    <col min="9" max="9" width="27.5703125" style="15" customWidth="1"/>
    <col min="10" max="10" width="23.85546875" style="15" hidden="1" customWidth="1"/>
    <col min="11" max="11" width="28.5703125" style="15" customWidth="1"/>
    <col min="12" max="12" width="33.42578125" style="15" customWidth="1"/>
    <col min="13" max="13" width="25.28515625" style="15" customWidth="1"/>
    <col min="14" max="14" width="24.5703125" style="15" hidden="1" customWidth="1"/>
    <col min="15" max="15" width="28" style="15" customWidth="1"/>
    <col min="16" max="16" width="33.7109375" style="15" customWidth="1"/>
    <col min="17" max="17" width="27.140625" style="17" customWidth="1"/>
    <col min="18" max="18" width="25.85546875" style="2" customWidth="1"/>
    <col min="19" max="19" width="19.5703125" style="2" customWidth="1"/>
    <col min="20" max="20" width="22.57031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ht="18.75" x14ac:dyDescent="0.25">
      <c r="C2" s="77"/>
      <c r="D2" s="77"/>
      <c r="E2" s="77"/>
      <c r="F2" s="508" t="s">
        <v>26</v>
      </c>
      <c r="G2" s="508"/>
      <c r="H2" s="508"/>
      <c r="I2" s="509"/>
      <c r="J2" s="509"/>
      <c r="K2" s="79"/>
      <c r="L2" s="79"/>
      <c r="M2" s="77"/>
      <c r="N2" s="77"/>
      <c r="O2" s="77"/>
      <c r="P2" s="77"/>
      <c r="Q2"/>
      <c r="R2"/>
      <c r="S2"/>
      <c r="T2" s="4" t="s">
        <v>0</v>
      </c>
    </row>
    <row r="3" spans="1:20" ht="18.75" x14ac:dyDescent="0.3">
      <c r="C3" s="77"/>
      <c r="D3" s="77"/>
      <c r="E3" s="77"/>
      <c r="F3" s="78"/>
      <c r="G3" s="78"/>
      <c r="H3" s="78"/>
      <c r="I3" s="79"/>
      <c r="J3" s="79"/>
      <c r="K3" s="79"/>
      <c r="L3" s="79"/>
      <c r="M3" s="77"/>
      <c r="N3" s="77"/>
      <c r="O3" s="77"/>
      <c r="P3" s="77"/>
      <c r="Q3"/>
      <c r="R3" s="510"/>
      <c r="S3" s="510"/>
      <c r="T3"/>
    </row>
    <row r="4" spans="1:20" ht="18.75" x14ac:dyDescent="0.25">
      <c r="C4" s="77"/>
      <c r="D4" s="77"/>
      <c r="E4" s="77"/>
      <c r="F4" s="78"/>
      <c r="G4" s="78"/>
      <c r="H4" s="78"/>
      <c r="I4" s="79"/>
      <c r="J4" s="79"/>
      <c r="K4" s="79"/>
      <c r="L4" s="79"/>
      <c r="M4" s="77"/>
      <c r="N4" s="77"/>
      <c r="O4" s="77"/>
      <c r="P4" s="77"/>
      <c r="Q4" s="511" t="s">
        <v>19</v>
      </c>
      <c r="R4" s="511"/>
      <c r="S4" s="511"/>
      <c r="T4" s="511"/>
    </row>
    <row r="5" spans="1:20" ht="15.75" customHeight="1" x14ac:dyDescent="0.25">
      <c r="B5" s="515" t="s">
        <v>3252</v>
      </c>
      <c r="C5" s="515"/>
      <c r="D5" s="515"/>
      <c r="E5" s="515"/>
      <c r="F5" s="515"/>
      <c r="G5" s="515"/>
      <c r="H5" s="515"/>
      <c r="I5" s="515"/>
      <c r="J5" s="515"/>
      <c r="K5" s="515"/>
      <c r="L5" s="515"/>
      <c r="M5" s="515"/>
      <c r="N5" s="515"/>
      <c r="O5" s="515"/>
      <c r="P5" s="77"/>
      <c r="Q5" s="77"/>
    </row>
    <row r="6" spans="1:20" s="10" customFormat="1" ht="24.75" customHeight="1" x14ac:dyDescent="0.25">
      <c r="A6" s="7"/>
      <c r="B6" s="515"/>
      <c r="C6" s="515"/>
      <c r="D6" s="515"/>
      <c r="E6" s="515"/>
      <c r="F6" s="515"/>
      <c r="G6" s="515"/>
      <c r="H6" s="515"/>
      <c r="I6" s="515"/>
      <c r="J6" s="515"/>
      <c r="K6" s="515"/>
      <c r="L6" s="515"/>
      <c r="M6" s="515"/>
      <c r="N6" s="515"/>
      <c r="O6" s="515"/>
      <c r="P6" s="9"/>
      <c r="Q6" s="9"/>
    </row>
    <row r="7" spans="1:20" s="10" customFormat="1" ht="15.75" customHeight="1" x14ac:dyDescent="0.25">
      <c r="A7" s="7"/>
      <c r="B7" s="7"/>
      <c r="C7" s="18"/>
      <c r="D7" s="8"/>
      <c r="E7" s="9"/>
      <c r="F7" s="9"/>
      <c r="G7" s="9"/>
      <c r="H7" s="9"/>
      <c r="I7" s="9"/>
      <c r="J7" s="9"/>
      <c r="K7" s="9"/>
      <c r="L7" s="9"/>
      <c r="M7" s="9"/>
      <c r="N7" s="9"/>
      <c r="O7" s="9"/>
      <c r="P7" s="9"/>
      <c r="Q7" s="9"/>
    </row>
    <row r="8" spans="1:20" ht="24" customHeight="1" x14ac:dyDescent="0.25">
      <c r="A8" s="498" t="s">
        <v>1</v>
      </c>
      <c r="B8" s="498" t="s">
        <v>2</v>
      </c>
      <c r="C8" s="500" t="s">
        <v>3</v>
      </c>
      <c r="D8" s="502" t="s">
        <v>4</v>
      </c>
      <c r="E8" s="498" t="s">
        <v>5</v>
      </c>
      <c r="F8" s="512" t="s">
        <v>6</v>
      </c>
      <c r="G8" s="513"/>
      <c r="H8" s="513"/>
      <c r="I8" s="514"/>
      <c r="J8" s="512" t="s">
        <v>7</v>
      </c>
      <c r="K8" s="513"/>
      <c r="L8" s="513"/>
      <c r="M8" s="514"/>
      <c r="N8" s="512" t="s">
        <v>8</v>
      </c>
      <c r="O8" s="513"/>
      <c r="P8" s="513"/>
      <c r="Q8" s="514"/>
      <c r="R8" s="505" t="s">
        <v>9</v>
      </c>
      <c r="S8" s="505" t="s">
        <v>10</v>
      </c>
      <c r="T8" s="505" t="s">
        <v>11</v>
      </c>
    </row>
    <row r="9" spans="1:20" ht="91.5" customHeight="1" x14ac:dyDescent="0.25">
      <c r="A9" s="499"/>
      <c r="B9" s="499"/>
      <c r="C9" s="501"/>
      <c r="D9" s="503"/>
      <c r="E9" s="504"/>
      <c r="F9" s="76" t="s">
        <v>12</v>
      </c>
      <c r="G9" s="76" t="s">
        <v>14</v>
      </c>
      <c r="H9" s="76" t="s">
        <v>24</v>
      </c>
      <c r="I9" s="76" t="s">
        <v>13</v>
      </c>
      <c r="J9" s="76" t="s">
        <v>12</v>
      </c>
      <c r="K9" s="31" t="s">
        <v>14</v>
      </c>
      <c r="L9" s="76" t="s">
        <v>24</v>
      </c>
      <c r="M9" s="76" t="s">
        <v>13</v>
      </c>
      <c r="N9" s="76" t="s">
        <v>12</v>
      </c>
      <c r="O9" s="31" t="s">
        <v>14</v>
      </c>
      <c r="P9" s="76" t="s">
        <v>24</v>
      </c>
      <c r="Q9" s="76" t="s">
        <v>13</v>
      </c>
      <c r="R9" s="506"/>
      <c r="S9" s="506"/>
      <c r="T9" s="506"/>
    </row>
    <row r="10" spans="1:20" ht="37.5" customHeight="1" x14ac:dyDescent="0.25">
      <c r="A10" s="32">
        <v>1</v>
      </c>
      <c r="B10" s="32">
        <v>2</v>
      </c>
      <c r="C10" s="33">
        <v>3</v>
      </c>
      <c r="D10" s="34">
        <v>4</v>
      </c>
      <c r="E10" s="34">
        <v>5</v>
      </c>
      <c r="F10" s="34"/>
      <c r="G10" s="34">
        <v>6</v>
      </c>
      <c r="H10" s="34">
        <v>7</v>
      </c>
      <c r="I10" s="34">
        <v>8</v>
      </c>
      <c r="J10" s="34"/>
      <c r="K10" s="34">
        <v>9</v>
      </c>
      <c r="L10" s="34">
        <v>10</v>
      </c>
      <c r="M10" s="34">
        <v>11</v>
      </c>
      <c r="N10" s="34"/>
      <c r="O10" s="34">
        <v>12</v>
      </c>
      <c r="P10" s="34">
        <v>13</v>
      </c>
      <c r="Q10" s="34">
        <v>14</v>
      </c>
      <c r="R10" s="34">
        <v>15</v>
      </c>
      <c r="S10" s="34">
        <v>16</v>
      </c>
      <c r="T10" s="34">
        <v>17</v>
      </c>
    </row>
    <row r="11" spans="1:20" ht="45.75" customHeight="1" x14ac:dyDescent="0.25">
      <c r="A11" s="11"/>
      <c r="B11" s="11"/>
      <c r="C11" s="35" t="s">
        <v>3251</v>
      </c>
      <c r="D11" s="12"/>
      <c r="E11" s="13"/>
      <c r="F11" s="12"/>
      <c r="G11" s="12"/>
      <c r="H11" s="12"/>
      <c r="I11" s="12"/>
      <c r="J11" s="12"/>
      <c r="K11" s="12"/>
      <c r="L11" s="12"/>
      <c r="M11" s="12"/>
      <c r="N11" s="12"/>
      <c r="O11" s="12"/>
      <c r="P11" s="12"/>
      <c r="Q11" s="12"/>
      <c r="R11" s="12"/>
      <c r="S11" s="12"/>
      <c r="T11" s="12"/>
    </row>
    <row r="12" spans="1:20" ht="120" customHeight="1" x14ac:dyDescent="0.3">
      <c r="A12" s="440">
        <v>1</v>
      </c>
      <c r="B12" s="39" t="s">
        <v>3250</v>
      </c>
      <c r="C12" s="39" t="s">
        <v>3249</v>
      </c>
      <c r="D12" s="52" t="s">
        <v>3248</v>
      </c>
      <c r="E12" s="51" t="s">
        <v>15</v>
      </c>
      <c r="F12" s="36"/>
      <c r="G12" s="53">
        <v>430000</v>
      </c>
      <c r="H12" s="37" t="s">
        <v>3247</v>
      </c>
      <c r="I12" s="439">
        <v>6318030713</v>
      </c>
      <c r="J12" s="55"/>
      <c r="K12" s="53">
        <v>575000</v>
      </c>
      <c r="L12" s="37" t="s">
        <v>3246</v>
      </c>
      <c r="M12" s="439">
        <v>7105521606</v>
      </c>
      <c r="N12" s="55"/>
      <c r="O12" s="53">
        <v>924300</v>
      </c>
      <c r="P12" s="37" t="s">
        <v>3245</v>
      </c>
      <c r="Q12" s="439">
        <v>5018128970</v>
      </c>
      <c r="R12" s="37">
        <f>MIN(G12,K12,O12)</f>
        <v>430000</v>
      </c>
      <c r="S12" s="37"/>
      <c r="T12" s="38">
        <v>45855</v>
      </c>
    </row>
    <row r="13" spans="1:20" x14ac:dyDescent="0.25">
      <c r="A13"/>
      <c r="B13"/>
      <c r="C13"/>
      <c r="D13"/>
      <c r="E13"/>
      <c r="F13"/>
      <c r="G13"/>
      <c r="H13"/>
      <c r="I13"/>
      <c r="J13"/>
      <c r="K13"/>
      <c r="L13"/>
      <c r="M13"/>
      <c r="N13"/>
      <c r="O13"/>
      <c r="P13"/>
      <c r="Q13"/>
      <c r="R13"/>
      <c r="S13"/>
      <c r="T13"/>
    </row>
    <row r="14" spans="1:20" x14ac:dyDescent="0.25">
      <c r="A14"/>
      <c r="B14" s="517" t="s">
        <v>16</v>
      </c>
      <c r="C14" s="517"/>
      <c r="D14" s="517"/>
      <c r="E14" s="14"/>
      <c r="F14" s="14"/>
      <c r="G14" s="14"/>
      <c r="H14" s="14"/>
      <c r="I14" s="14"/>
      <c r="J14" s="14"/>
      <c r="K14" s="14"/>
      <c r="L14" s="14"/>
      <c r="M14" s="14"/>
      <c r="N14" s="14"/>
      <c r="O14" s="14"/>
      <c r="P14" s="14"/>
      <c r="Q14" s="518" t="s">
        <v>25</v>
      </c>
      <c r="R14" s="518"/>
      <c r="S14" s="14"/>
      <c r="T14"/>
    </row>
    <row r="15" spans="1:20" x14ac:dyDescent="0.25">
      <c r="A15"/>
      <c r="B15" s="82"/>
      <c r="C15" s="82"/>
      <c r="D15" s="82"/>
      <c r="E15" s="14"/>
      <c r="F15" s="14"/>
      <c r="G15" s="14"/>
      <c r="H15" s="14"/>
      <c r="I15" s="14"/>
      <c r="J15" s="14"/>
      <c r="K15" s="14"/>
      <c r="L15" s="14"/>
      <c r="M15" s="14"/>
      <c r="N15" s="14"/>
      <c r="O15" s="14"/>
      <c r="P15" s="14"/>
      <c r="Q15" s="82"/>
      <c r="R15" s="82"/>
      <c r="S15" s="14"/>
      <c r="T15"/>
    </row>
    <row r="16" spans="1:20" x14ac:dyDescent="0.25">
      <c r="A16"/>
      <c r="B16" s="82"/>
      <c r="C16" s="82"/>
      <c r="D16" s="82"/>
      <c r="E16" s="14"/>
      <c r="F16" s="14"/>
      <c r="G16" s="14"/>
      <c r="H16" s="14"/>
      <c r="I16" s="14"/>
      <c r="J16" s="14"/>
      <c r="K16" s="14"/>
      <c r="L16" s="14"/>
      <c r="M16" s="14"/>
      <c r="N16" s="14"/>
      <c r="O16" s="14"/>
      <c r="P16" s="14"/>
      <c r="Q16" s="82"/>
      <c r="R16" s="82"/>
      <c r="S16" s="14"/>
      <c r="T16"/>
    </row>
    <row r="17" spans="1:20" x14ac:dyDescent="0.25">
      <c r="A17"/>
      <c r="B17" s="82"/>
      <c r="C17" s="82"/>
      <c r="D17" s="82"/>
      <c r="E17" s="14"/>
      <c r="F17" s="14"/>
      <c r="G17" s="14"/>
      <c r="H17" s="14"/>
      <c r="I17" s="14"/>
      <c r="J17" s="14"/>
      <c r="K17" s="14"/>
      <c r="L17" s="14"/>
      <c r="M17" s="14"/>
      <c r="N17" s="14"/>
      <c r="O17" s="14"/>
      <c r="P17" s="14"/>
      <c r="Q17" s="82"/>
      <c r="R17" s="82"/>
      <c r="S17" s="14"/>
      <c r="T17"/>
    </row>
    <row r="18" spans="1:20" ht="15.75" customHeight="1" x14ac:dyDescent="0.25">
      <c r="A18"/>
      <c r="B18" s="82"/>
      <c r="C18" s="520" t="s">
        <v>23</v>
      </c>
      <c r="D18" s="22"/>
      <c r="E18" s="22"/>
      <c r="F18" s="14"/>
      <c r="G18" s="14"/>
      <c r="H18" s="14"/>
      <c r="I18" s="14"/>
      <c r="J18" s="14"/>
      <c r="K18" s="14"/>
      <c r="L18" s="14"/>
      <c r="M18" s="14"/>
      <c r="N18" s="14"/>
      <c r="O18" s="14"/>
      <c r="P18" s="14"/>
      <c r="Q18" s="82"/>
      <c r="R18" s="82"/>
      <c r="S18" s="14"/>
      <c r="T18"/>
    </row>
    <row r="19" spans="1:20" ht="37.5" customHeight="1" x14ac:dyDescent="0.3">
      <c r="A19"/>
      <c r="B19" s="82"/>
      <c r="C19" s="520"/>
      <c r="D19" s="82"/>
      <c r="E19" s="14"/>
      <c r="F19" s="14"/>
      <c r="G19" s="14"/>
      <c r="H19" s="14"/>
      <c r="I19" s="14"/>
      <c r="J19" s="14"/>
      <c r="K19" s="14"/>
      <c r="L19" s="14"/>
      <c r="M19" s="14"/>
      <c r="N19" s="521" t="s">
        <v>20</v>
      </c>
      <c r="O19" s="521"/>
      <c r="P19" s="521"/>
      <c r="Q19" s="521"/>
      <c r="R19" s="82"/>
      <c r="S19" s="14"/>
      <c r="T19"/>
    </row>
    <row r="20" spans="1:20" x14ac:dyDescent="0.25">
      <c r="A20"/>
      <c r="B20" s="82"/>
      <c r="C20" s="82"/>
      <c r="D20" s="82"/>
      <c r="E20" s="14"/>
      <c r="F20" s="14"/>
      <c r="G20" s="14"/>
      <c r="H20" s="14"/>
      <c r="I20" s="14"/>
      <c r="J20" s="14"/>
      <c r="K20" s="14"/>
      <c r="L20" s="14"/>
      <c r="M20" s="14"/>
      <c r="N20" s="21" t="s">
        <v>19</v>
      </c>
      <c r="O20" s="21"/>
      <c r="P20" s="21"/>
      <c r="Q20" s="20"/>
      <c r="R20" s="82"/>
      <c r="S20" s="14"/>
      <c r="T20"/>
    </row>
    <row r="21" spans="1:20" ht="18.75" x14ac:dyDescent="0.3">
      <c r="A21"/>
      <c r="B21" s="522" t="s">
        <v>3244</v>
      </c>
      <c r="C21" s="522"/>
      <c r="D21" s="522"/>
      <c r="E21" s="522"/>
      <c r="F21" s="522"/>
      <c r="G21" s="522"/>
      <c r="H21" s="522"/>
      <c r="I21" s="522"/>
      <c r="J21" s="522"/>
      <c r="K21" s="522"/>
      <c r="L21" s="522"/>
      <c r="M21" s="522"/>
      <c r="N21" s="522" t="s">
        <v>21</v>
      </c>
      <c r="O21" s="522"/>
      <c r="P21" s="522"/>
      <c r="Q21" s="522"/>
      <c r="R21" s="82"/>
      <c r="S21" s="23" t="s">
        <v>22</v>
      </c>
      <c r="T21"/>
    </row>
    <row r="22" spans="1:20" x14ac:dyDescent="0.25">
      <c r="A22"/>
      <c r="B22" s="82"/>
      <c r="C22" s="82"/>
      <c r="D22" s="82"/>
      <c r="E22" s="14"/>
      <c r="F22" s="14"/>
      <c r="G22" s="14"/>
      <c r="H22" s="14"/>
      <c r="I22" s="14"/>
      <c r="J22" s="14"/>
      <c r="K22" s="14"/>
      <c r="L22" s="14"/>
      <c r="M22" s="14"/>
      <c r="N22" s="14"/>
      <c r="O22" s="14"/>
      <c r="P22" s="14"/>
      <c r="Q22" s="82"/>
      <c r="R22" s="82"/>
      <c r="S22" s="14"/>
      <c r="T22"/>
    </row>
    <row r="23" spans="1:20" x14ac:dyDescent="0.25">
      <c r="A23"/>
      <c r="B23" s="519" t="s">
        <v>19</v>
      </c>
      <c r="C23" s="519"/>
      <c r="D23" s="519"/>
      <c r="E23" s="14"/>
      <c r="F23" s="14"/>
      <c r="G23" s="14"/>
      <c r="H23" s="14"/>
      <c r="I23" s="14"/>
      <c r="J23" s="14"/>
      <c r="K23" s="14"/>
      <c r="L23" s="14"/>
      <c r="M23" s="14"/>
      <c r="N23" s="14"/>
      <c r="O23" s="14"/>
      <c r="P23" s="14"/>
      <c r="Q23" s="519" t="s">
        <v>19</v>
      </c>
      <c r="R23" s="519"/>
      <c r="S23" s="519"/>
      <c r="T23"/>
    </row>
    <row r="24" spans="1:20" x14ac:dyDescent="0.25">
      <c r="A24"/>
      <c r="B24" s="519" t="s">
        <v>19</v>
      </c>
      <c r="C24" s="519"/>
      <c r="D24" s="519"/>
      <c r="E24" s="14"/>
      <c r="F24" s="14"/>
      <c r="G24" s="14"/>
      <c r="H24" s="14"/>
      <c r="I24" s="14"/>
      <c r="J24" s="14"/>
      <c r="K24" s="14"/>
      <c r="L24" s="14"/>
      <c r="M24" s="14"/>
      <c r="N24" s="14"/>
      <c r="O24" s="14"/>
      <c r="P24" s="14"/>
      <c r="Q24" s="519" t="s">
        <v>19</v>
      </c>
      <c r="R24" s="519"/>
      <c r="S24" s="519"/>
      <c r="T24"/>
    </row>
    <row r="25" spans="1:20" x14ac:dyDescent="0.25">
      <c r="A25"/>
      <c r="B25"/>
      <c r="C25"/>
      <c r="D25"/>
      <c r="E25"/>
      <c r="F25"/>
      <c r="G25"/>
      <c r="H25"/>
      <c r="I25"/>
      <c r="J25"/>
      <c r="K25"/>
      <c r="L25"/>
      <c r="M25"/>
      <c r="N25"/>
      <c r="O25"/>
      <c r="P25"/>
      <c r="Q25"/>
      <c r="R25"/>
      <c r="S25"/>
      <c r="T25"/>
    </row>
    <row r="26" spans="1:20" x14ac:dyDescent="0.25">
      <c r="A26"/>
      <c r="B26"/>
      <c r="C26"/>
      <c r="D26"/>
      <c r="E26"/>
      <c r="F26"/>
      <c r="G26"/>
      <c r="H26"/>
      <c r="I26"/>
      <c r="J26"/>
      <c r="K26"/>
      <c r="L26"/>
      <c r="M26"/>
      <c r="N26"/>
      <c r="O26"/>
      <c r="P26"/>
      <c r="Q26"/>
      <c r="R26"/>
      <c r="S26"/>
      <c r="T26"/>
    </row>
    <row r="27" spans="1:20" x14ac:dyDescent="0.25">
      <c r="A27"/>
      <c r="B27" s="516" t="s">
        <v>17</v>
      </c>
      <c r="C27" s="516"/>
      <c r="D27" s="516"/>
      <c r="E27" s="516"/>
      <c r="F27" s="516"/>
      <c r="G27" s="516"/>
      <c r="H27" s="516"/>
      <c r="I27" s="516"/>
      <c r="J27" s="516"/>
      <c r="K27" s="516"/>
      <c r="L27" s="516"/>
      <c r="M27" s="516"/>
      <c r="N27"/>
      <c r="O27"/>
      <c r="P27"/>
      <c r="Q27"/>
      <c r="R27"/>
      <c r="S27"/>
      <c r="T27"/>
    </row>
    <row r="28" spans="1:20" x14ac:dyDescent="0.25">
      <c r="A28"/>
      <c r="B28" s="516" t="s">
        <v>18</v>
      </c>
      <c r="C28" s="516"/>
      <c r="D28" s="516"/>
      <c r="E28" s="516"/>
      <c r="F28" s="516"/>
      <c r="G28" s="516"/>
      <c r="H28" s="516"/>
      <c r="I28" s="516"/>
      <c r="J28" s="516"/>
      <c r="K28" s="516"/>
      <c r="L28" s="516"/>
      <c r="M28" s="516"/>
      <c r="N28"/>
      <c r="O28"/>
      <c r="P28"/>
      <c r="Q28"/>
      <c r="R28"/>
      <c r="S28"/>
      <c r="T28"/>
    </row>
    <row r="29" spans="1:20" x14ac:dyDescent="0.25">
      <c r="A29"/>
      <c r="B29"/>
      <c r="C29"/>
      <c r="D29"/>
      <c r="E29"/>
      <c r="F29"/>
      <c r="G29"/>
      <c r="H29"/>
      <c r="I29"/>
      <c r="J29"/>
      <c r="K29"/>
      <c r="L29"/>
      <c r="M29"/>
      <c r="N29"/>
      <c r="O29"/>
      <c r="P29"/>
      <c r="Q29"/>
      <c r="R29"/>
      <c r="S29"/>
      <c r="T29"/>
    </row>
  </sheetData>
  <mergeCells count="28">
    <mergeCell ref="B27:M27"/>
    <mergeCell ref="B28:M28"/>
    <mergeCell ref="B14:D14"/>
    <mergeCell ref="Q14:R14"/>
    <mergeCell ref="B23:D23"/>
    <mergeCell ref="Q23:S23"/>
    <mergeCell ref="B24:D24"/>
    <mergeCell ref="Q24:S24"/>
    <mergeCell ref="C18:C19"/>
    <mergeCell ref="B21:M21"/>
    <mergeCell ref="N19:Q19"/>
    <mergeCell ref="N21:Q21"/>
    <mergeCell ref="T8:T9"/>
    <mergeCell ref="C1:Q1"/>
    <mergeCell ref="F2:J2"/>
    <mergeCell ref="R3:S3"/>
    <mergeCell ref="Q4:T4"/>
    <mergeCell ref="F8:I8"/>
    <mergeCell ref="J8:M8"/>
    <mergeCell ref="N8:Q8"/>
    <mergeCell ref="R8:R9"/>
    <mergeCell ref="S8:S9"/>
    <mergeCell ref="B5:O6"/>
    <mergeCell ref="A8:A9"/>
    <mergeCell ref="B8:B9"/>
    <mergeCell ref="C8:C9"/>
    <mergeCell ref="D8:D9"/>
    <mergeCell ref="E8:E9"/>
  </mergeCells>
  <hyperlinks>
    <hyperlink ref="B12" r:id="rId1" display="https://zakupki44fz.ru/app/okpd2/28.22.11.190" xr:uid="{00000000-0004-0000-1100-000000000000}"/>
  </hyperlinks>
  <pageMargins left="0.70866141732283472" right="0.70866141732283472" top="1.1811023622047245" bottom="0.74803149606299213" header="0.31496062992125984" footer="0.31496062992125984"/>
  <pageSetup paperSize="9" scale="27"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37"/>
  <sheetViews>
    <sheetView view="pageBreakPreview" zoomScale="60" zoomScaleNormal="60" workbookViewId="0">
      <selection activeCell="S21" sqref="S21"/>
    </sheetView>
  </sheetViews>
  <sheetFormatPr defaultColWidth="8.7109375" defaultRowHeight="15.75" x14ac:dyDescent="0.25"/>
  <cols>
    <col min="1" max="1" width="8.140625" style="1" customWidth="1"/>
    <col min="2" max="2" width="15.42578125" style="1" customWidth="1"/>
    <col min="3" max="3" width="48.28515625" style="15" customWidth="1"/>
    <col min="4" max="4" width="25.140625" style="15" customWidth="1"/>
    <col min="5" max="5" width="7.7109375" style="16" customWidth="1"/>
    <col min="6" max="6" width="28.5703125" style="15" hidden="1" customWidth="1"/>
    <col min="7" max="7" width="19.140625" style="15" customWidth="1"/>
    <col min="8" max="8" width="23.28515625" style="15" customWidth="1"/>
    <col min="9" max="9" width="17.28515625" style="15" customWidth="1"/>
    <col min="10" max="10" width="41.140625" style="15" hidden="1" customWidth="1"/>
    <col min="11" max="11" width="20.7109375" style="15" customWidth="1"/>
    <col min="12" max="12" width="27.28515625" style="15" customWidth="1"/>
    <col min="13" max="13" width="18.42578125" style="15" customWidth="1"/>
    <col min="14" max="14" width="26.7109375" style="15" hidden="1" customWidth="1"/>
    <col min="15" max="15" width="18.7109375" style="15" customWidth="1"/>
    <col min="16" max="16" width="27.28515625" style="15" customWidth="1"/>
    <col min="17" max="17" width="20.42578125" style="17" customWidth="1"/>
    <col min="18" max="18" width="19.140625" style="2" customWidth="1"/>
    <col min="19" max="19" width="19.5703125" style="2" customWidth="1"/>
    <col min="20" max="20" width="21.1406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x14ac:dyDescent="0.25">
      <c r="C2" s="77"/>
      <c r="D2" s="77"/>
      <c r="E2" s="77"/>
      <c r="F2" s="507"/>
      <c r="G2" s="507"/>
      <c r="H2" s="507"/>
      <c r="I2" s="541"/>
      <c r="J2" s="541"/>
      <c r="K2" s="206"/>
      <c r="L2" s="206"/>
      <c r="M2" s="77"/>
      <c r="N2" s="77"/>
      <c r="O2" s="77"/>
      <c r="P2" s="77"/>
      <c r="Q2" s="14"/>
      <c r="R2" s="14"/>
      <c r="S2" s="14"/>
      <c r="T2" s="14" t="s">
        <v>0</v>
      </c>
    </row>
    <row r="3" spans="1:20" x14ac:dyDescent="0.25">
      <c r="C3" s="77"/>
      <c r="D3" s="77"/>
      <c r="E3" s="77"/>
      <c r="F3" s="77"/>
      <c r="G3" s="77"/>
      <c r="H3" s="77"/>
      <c r="I3" s="206"/>
      <c r="J3" s="206"/>
      <c r="K3" s="206"/>
      <c r="L3" s="206"/>
      <c r="M3" s="77"/>
      <c r="N3" s="77"/>
      <c r="O3" s="77"/>
      <c r="P3" s="77"/>
      <c r="Q3" s="14"/>
      <c r="R3" s="542"/>
      <c r="S3" s="542"/>
      <c r="T3" s="14"/>
    </row>
    <row r="4" spans="1:20" x14ac:dyDescent="0.25">
      <c r="C4" s="77"/>
      <c r="D4" s="77"/>
      <c r="E4" s="77"/>
      <c r="F4" s="77"/>
      <c r="G4" s="77"/>
      <c r="H4" s="77"/>
      <c r="I4" s="206"/>
      <c r="J4" s="206"/>
      <c r="K4" s="206"/>
      <c r="L4" s="206"/>
      <c r="M4" s="77"/>
      <c r="N4" s="77"/>
      <c r="O4" s="77"/>
      <c r="P4" s="77"/>
      <c r="Q4" s="14"/>
      <c r="R4" s="207"/>
      <c r="S4" s="207"/>
      <c r="T4" s="14"/>
    </row>
    <row r="5" spans="1:20" ht="21.4" customHeight="1" x14ac:dyDescent="0.25">
      <c r="C5" s="77"/>
      <c r="D5" s="77"/>
      <c r="E5" s="77"/>
      <c r="F5" s="507" t="s">
        <v>26</v>
      </c>
      <c r="G5" s="507"/>
      <c r="H5" s="507"/>
      <c r="I5" s="541"/>
      <c r="J5" s="541"/>
      <c r="K5" s="509"/>
      <c r="L5" s="206"/>
      <c r="M5" s="77"/>
      <c r="N5" s="77"/>
      <c r="O5" s="77"/>
      <c r="P5" s="77"/>
      <c r="Q5" s="84"/>
      <c r="R5" s="205"/>
      <c r="S5" s="207"/>
      <c r="T5" s="14"/>
    </row>
    <row r="6" spans="1:20" x14ac:dyDescent="0.25">
      <c r="C6" s="77"/>
      <c r="D6" s="77"/>
      <c r="E6" s="77"/>
      <c r="F6" s="77"/>
      <c r="G6" s="77"/>
      <c r="H6" s="77"/>
      <c r="I6" s="206"/>
      <c r="J6" s="459"/>
      <c r="K6" s="458"/>
      <c r="L6" s="457"/>
      <c r="M6" s="456"/>
      <c r="N6" s="77"/>
      <c r="O6" s="77"/>
      <c r="P6" s="77"/>
      <c r="Q6" s="21"/>
      <c r="R6" s="205"/>
      <c r="S6" s="207"/>
      <c r="T6" s="14"/>
    </row>
    <row r="7" spans="1:20" x14ac:dyDescent="0.25">
      <c r="C7" s="77"/>
      <c r="D7" s="77"/>
      <c r="E7" s="77"/>
      <c r="F7" s="77"/>
      <c r="G7" s="77"/>
      <c r="H7" s="77"/>
      <c r="I7" s="206"/>
      <c r="J7" s="206"/>
      <c r="K7" s="206"/>
      <c r="L7" s="206"/>
      <c r="M7" s="77"/>
      <c r="N7" s="77"/>
      <c r="O7" s="77"/>
      <c r="P7" s="77"/>
      <c r="Q7" s="540"/>
      <c r="R7" s="540"/>
      <c r="S7" s="207"/>
      <c r="T7" s="208"/>
    </row>
    <row r="8" spans="1:20" x14ac:dyDescent="0.25">
      <c r="C8" s="77"/>
      <c r="D8" s="77"/>
      <c r="E8" s="77"/>
      <c r="F8" s="77"/>
      <c r="G8" s="77"/>
      <c r="H8" s="77"/>
      <c r="I8" s="206"/>
      <c r="J8" s="206"/>
      <c r="K8" s="206"/>
      <c r="L8" s="206"/>
      <c r="M8" s="77"/>
      <c r="N8" s="77"/>
      <c r="O8" s="77"/>
      <c r="P8" s="77"/>
      <c r="Q8" s="14"/>
      <c r="R8" s="519"/>
      <c r="S8" s="519"/>
      <c r="T8" s="14"/>
    </row>
    <row r="9" spans="1:20" s="87" customFormat="1" ht="24" customHeight="1" x14ac:dyDescent="0.25">
      <c r="A9" s="203"/>
      <c r="B9" s="203"/>
      <c r="C9" s="455" t="s">
        <v>1124</v>
      </c>
      <c r="D9" s="201"/>
      <c r="E9" s="200"/>
      <c r="F9" s="200"/>
      <c r="G9" s="200"/>
      <c r="H9" s="200"/>
      <c r="I9" s="200"/>
      <c r="J9" s="200"/>
      <c r="K9" s="200"/>
      <c r="L9" s="200"/>
      <c r="M9" s="200"/>
      <c r="N9" s="200"/>
      <c r="O9" s="200"/>
      <c r="P9" s="200"/>
      <c r="Q9" s="200"/>
    </row>
    <row r="10" spans="1:20" s="87" customFormat="1" ht="15.75" customHeight="1" x14ac:dyDescent="0.25">
      <c r="A10" s="203"/>
      <c r="B10" s="203"/>
      <c r="C10" s="202"/>
      <c r="D10" s="201"/>
      <c r="E10" s="200"/>
      <c r="F10" s="200"/>
      <c r="G10" s="200"/>
      <c r="H10" s="200"/>
      <c r="I10" s="200"/>
      <c r="J10" s="200"/>
      <c r="K10" s="200"/>
      <c r="L10" s="200"/>
      <c r="M10" s="200"/>
      <c r="N10" s="200"/>
      <c r="O10" s="200"/>
      <c r="P10" s="200"/>
      <c r="Q10" s="200"/>
    </row>
    <row r="11" spans="1:20" s="196" customFormat="1" ht="24" customHeight="1" x14ac:dyDescent="0.25">
      <c r="A11" s="586" t="s">
        <v>1</v>
      </c>
      <c r="B11" s="586" t="s">
        <v>1123</v>
      </c>
      <c r="C11" s="553" t="s">
        <v>3</v>
      </c>
      <c r="D11" s="588" t="s">
        <v>4</v>
      </c>
      <c r="E11" s="586" t="s">
        <v>5</v>
      </c>
      <c r="F11" s="601" t="s">
        <v>6</v>
      </c>
      <c r="G11" s="592"/>
      <c r="H11" s="592"/>
      <c r="I11" s="602"/>
      <c r="J11" s="601" t="s">
        <v>7</v>
      </c>
      <c r="K11" s="592"/>
      <c r="L11" s="592"/>
      <c r="M11" s="602"/>
      <c r="N11" s="601" t="s">
        <v>8</v>
      </c>
      <c r="O11" s="592"/>
      <c r="P11" s="592"/>
      <c r="Q11" s="602"/>
      <c r="R11" s="590" t="s">
        <v>1122</v>
      </c>
      <c r="S11" s="590" t="s">
        <v>10</v>
      </c>
      <c r="T11" s="590" t="s">
        <v>11</v>
      </c>
    </row>
    <row r="12" spans="1:20" s="196" customFormat="1" ht="122.65" customHeight="1" x14ac:dyDescent="0.25">
      <c r="A12" s="587"/>
      <c r="B12" s="587"/>
      <c r="C12" s="544"/>
      <c r="D12" s="589"/>
      <c r="E12" s="589"/>
      <c r="F12" s="197" t="s">
        <v>12</v>
      </c>
      <c r="G12" s="198" t="s">
        <v>14</v>
      </c>
      <c r="H12" s="197" t="s">
        <v>12</v>
      </c>
      <c r="I12" s="197" t="s">
        <v>13</v>
      </c>
      <c r="J12" s="197" t="s">
        <v>12</v>
      </c>
      <c r="K12" s="198" t="s">
        <v>14</v>
      </c>
      <c r="L12" s="197" t="s">
        <v>12</v>
      </c>
      <c r="M12" s="197" t="s">
        <v>13</v>
      </c>
      <c r="N12" s="197" t="s">
        <v>12</v>
      </c>
      <c r="O12" s="198" t="s">
        <v>14</v>
      </c>
      <c r="P12" s="197" t="s">
        <v>12</v>
      </c>
      <c r="Q12" s="197" t="s">
        <v>13</v>
      </c>
      <c r="R12" s="591"/>
      <c r="S12" s="591"/>
      <c r="T12" s="591"/>
    </row>
    <row r="13" spans="1:20" x14ac:dyDescent="0.25">
      <c r="A13" s="194">
        <v>1</v>
      </c>
      <c r="B13" s="194">
        <f>A13+1</f>
        <v>2</v>
      </c>
      <c r="C13" s="194">
        <f>B13+1</f>
        <v>3</v>
      </c>
      <c r="D13" s="194">
        <f>C13+1</f>
        <v>4</v>
      </c>
      <c r="E13" s="194">
        <f>D13+1</f>
        <v>5</v>
      </c>
      <c r="F13" s="194"/>
      <c r="G13" s="194">
        <v>6</v>
      </c>
      <c r="H13" s="194">
        <v>7</v>
      </c>
      <c r="I13" s="194">
        <v>8</v>
      </c>
      <c r="J13" s="194"/>
      <c r="K13" s="194">
        <v>9</v>
      </c>
      <c r="L13" s="194">
        <v>10</v>
      </c>
      <c r="M13" s="194">
        <v>11</v>
      </c>
      <c r="N13" s="194"/>
      <c r="O13" s="194">
        <v>12</v>
      </c>
      <c r="P13" s="194">
        <v>13</v>
      </c>
      <c r="Q13" s="194">
        <v>14</v>
      </c>
      <c r="R13" s="194">
        <v>15</v>
      </c>
      <c r="S13" s="194">
        <f>R13+1</f>
        <v>16</v>
      </c>
      <c r="T13" s="194">
        <f>S13+1</f>
        <v>17</v>
      </c>
    </row>
    <row r="14" spans="1:20" ht="17.649999999999999" customHeight="1" x14ac:dyDescent="0.25">
      <c r="A14" s="11"/>
      <c r="B14" s="11"/>
      <c r="C14" s="596" t="s">
        <v>3307</v>
      </c>
      <c r="D14" s="597"/>
      <c r="E14" s="597"/>
      <c r="F14" s="597"/>
      <c r="G14" s="598"/>
      <c r="H14" s="12"/>
      <c r="I14" s="12"/>
      <c r="J14" s="12"/>
      <c r="K14" s="12"/>
      <c r="L14" s="12"/>
      <c r="M14" s="12"/>
      <c r="N14" s="12"/>
      <c r="O14" s="60"/>
      <c r="P14" s="12"/>
      <c r="Q14" s="12"/>
      <c r="R14" s="12"/>
      <c r="S14" s="12"/>
      <c r="T14" s="12"/>
    </row>
    <row r="15" spans="1:20" ht="47.25" customHeight="1" x14ac:dyDescent="0.25">
      <c r="A15" s="182">
        <v>1</v>
      </c>
      <c r="B15" s="180" t="s">
        <v>2155</v>
      </c>
      <c r="C15" s="406" t="s">
        <v>3306</v>
      </c>
      <c r="D15" s="180" t="s">
        <v>3305</v>
      </c>
      <c r="E15" s="253" t="s">
        <v>15</v>
      </c>
      <c r="F15" s="447" t="s">
        <v>3304</v>
      </c>
      <c r="G15" s="443">
        <v>291500</v>
      </c>
      <c r="H15" s="443" t="s">
        <v>3265</v>
      </c>
      <c r="I15" s="442" t="s">
        <v>3264</v>
      </c>
      <c r="J15" s="447" t="s">
        <v>3303</v>
      </c>
      <c r="K15" s="441">
        <v>291500</v>
      </c>
      <c r="L15" s="446" t="s">
        <v>3276</v>
      </c>
      <c r="M15" s="442" t="s">
        <v>3275</v>
      </c>
      <c r="N15" s="239" t="s">
        <v>3302</v>
      </c>
      <c r="O15" s="443">
        <v>292000</v>
      </c>
      <c r="P15" s="454" t="s">
        <v>3301</v>
      </c>
      <c r="Q15" s="442" t="s">
        <v>3300</v>
      </c>
      <c r="R15" s="441">
        <f t="shared" ref="R15:R20" si="0">MIN(G15,K15,O15)</f>
        <v>291500</v>
      </c>
      <c r="S15" s="441"/>
      <c r="T15" s="188" t="s">
        <v>3255</v>
      </c>
    </row>
    <row r="16" spans="1:20" ht="46.35" customHeight="1" x14ac:dyDescent="0.25">
      <c r="A16" s="182">
        <v>2</v>
      </c>
      <c r="B16" s="180" t="s">
        <v>2155</v>
      </c>
      <c r="C16" s="406" t="s">
        <v>3299</v>
      </c>
      <c r="D16" s="180" t="s">
        <v>3298</v>
      </c>
      <c r="E16" s="253" t="s">
        <v>15</v>
      </c>
      <c r="F16" s="453" t="s">
        <v>3297</v>
      </c>
      <c r="G16" s="443">
        <v>68490</v>
      </c>
      <c r="H16" s="443" t="s">
        <v>369</v>
      </c>
      <c r="I16" s="442" t="s">
        <v>368</v>
      </c>
      <c r="J16" s="453" t="s">
        <v>3296</v>
      </c>
      <c r="K16" s="441">
        <v>59950</v>
      </c>
      <c r="L16" s="446" t="s">
        <v>3295</v>
      </c>
      <c r="M16" s="442" t="s">
        <v>3294</v>
      </c>
      <c r="N16" s="453" t="s">
        <v>3293</v>
      </c>
      <c r="O16" s="441">
        <v>68490</v>
      </c>
      <c r="P16" s="446" t="s">
        <v>3292</v>
      </c>
      <c r="Q16" s="442" t="s">
        <v>3291</v>
      </c>
      <c r="R16" s="441">
        <f t="shared" si="0"/>
        <v>59950</v>
      </c>
      <c r="S16" s="441"/>
      <c r="T16" s="188" t="s">
        <v>3255</v>
      </c>
    </row>
    <row r="17" spans="1:20" ht="46.35" customHeight="1" x14ac:dyDescent="0.25">
      <c r="A17" s="182">
        <v>3</v>
      </c>
      <c r="B17" s="180" t="s">
        <v>2155</v>
      </c>
      <c r="C17" s="406" t="s">
        <v>3290</v>
      </c>
      <c r="D17" s="180" t="s">
        <v>3289</v>
      </c>
      <c r="E17" s="253" t="s">
        <v>15</v>
      </c>
      <c r="F17" s="453" t="s">
        <v>3288</v>
      </c>
      <c r="G17" s="443">
        <v>2200000</v>
      </c>
      <c r="H17" s="443" t="s">
        <v>3265</v>
      </c>
      <c r="I17" s="442" t="s">
        <v>3264</v>
      </c>
      <c r="J17" s="453" t="s">
        <v>3287</v>
      </c>
      <c r="K17" s="441">
        <v>2200000</v>
      </c>
      <c r="L17" s="446" t="s">
        <v>3286</v>
      </c>
      <c r="M17" s="442" t="s">
        <v>3285</v>
      </c>
      <c r="N17" s="453" t="s">
        <v>3284</v>
      </c>
      <c r="O17" s="441">
        <v>2200000</v>
      </c>
      <c r="P17" s="454" t="s">
        <v>3283</v>
      </c>
      <c r="Q17" s="442" t="s">
        <v>3282</v>
      </c>
      <c r="R17" s="441">
        <f t="shared" si="0"/>
        <v>2200000</v>
      </c>
      <c r="S17" s="441"/>
      <c r="T17" s="188" t="s">
        <v>3255</v>
      </c>
    </row>
    <row r="18" spans="1:20" ht="46.35" customHeight="1" x14ac:dyDescent="0.25">
      <c r="A18" s="182">
        <v>4</v>
      </c>
      <c r="B18" s="180" t="s">
        <v>3281</v>
      </c>
      <c r="C18" s="449" t="s">
        <v>3280</v>
      </c>
      <c r="D18" s="180" t="s">
        <v>3279</v>
      </c>
      <c r="E18" s="253" t="s">
        <v>15</v>
      </c>
      <c r="F18" s="453" t="s">
        <v>3278</v>
      </c>
      <c r="G18" s="448">
        <v>10100</v>
      </c>
      <c r="H18" s="443" t="s">
        <v>369</v>
      </c>
      <c r="I18" s="442" t="s">
        <v>368</v>
      </c>
      <c r="J18" s="453" t="s">
        <v>3277</v>
      </c>
      <c r="K18" s="444">
        <v>10100</v>
      </c>
      <c r="L18" s="446" t="s">
        <v>3276</v>
      </c>
      <c r="M18" s="442" t="s">
        <v>3275</v>
      </c>
      <c r="N18" s="452" t="s">
        <v>3274</v>
      </c>
      <c r="O18" s="444">
        <v>11110</v>
      </c>
      <c r="P18" s="451" t="s">
        <v>3273</v>
      </c>
      <c r="Q18" s="450">
        <v>5263086470</v>
      </c>
      <c r="R18" s="441">
        <f t="shared" si="0"/>
        <v>10100</v>
      </c>
      <c r="S18" s="441"/>
      <c r="T18" s="188" t="s">
        <v>3255</v>
      </c>
    </row>
    <row r="19" spans="1:20" ht="46.35" customHeight="1" x14ac:dyDescent="0.25">
      <c r="A19" s="182">
        <v>5</v>
      </c>
      <c r="B19" s="163" t="s">
        <v>3263</v>
      </c>
      <c r="C19" s="449" t="s">
        <v>3272</v>
      </c>
      <c r="D19" s="180" t="s">
        <v>3271</v>
      </c>
      <c r="E19" s="253" t="s">
        <v>72</v>
      </c>
      <c r="F19" s="447" t="s">
        <v>3270</v>
      </c>
      <c r="G19" s="448">
        <v>42015</v>
      </c>
      <c r="H19" s="443" t="s">
        <v>3269</v>
      </c>
      <c r="I19" s="442" t="s">
        <v>3268</v>
      </c>
      <c r="J19" s="447" t="s">
        <v>3267</v>
      </c>
      <c r="K19" s="444">
        <v>36941</v>
      </c>
      <c r="L19" s="446" t="s">
        <v>2366</v>
      </c>
      <c r="M19" s="442" t="s">
        <v>2365</v>
      </c>
      <c r="N19" s="445" t="s">
        <v>3266</v>
      </c>
      <c r="O19" s="444">
        <v>42762</v>
      </c>
      <c r="P19" s="443" t="s">
        <v>3265</v>
      </c>
      <c r="Q19" s="442" t="s">
        <v>3264</v>
      </c>
      <c r="R19" s="441">
        <f t="shared" si="0"/>
        <v>36941</v>
      </c>
      <c r="S19" s="441">
        <f>R19</f>
        <v>36941</v>
      </c>
      <c r="T19" s="188" t="s">
        <v>3255</v>
      </c>
    </row>
    <row r="20" spans="1:20" ht="36" customHeight="1" x14ac:dyDescent="0.25">
      <c r="A20" s="182">
        <v>6</v>
      </c>
      <c r="B20" s="163" t="s">
        <v>3263</v>
      </c>
      <c r="C20" s="449" t="s">
        <v>3262</v>
      </c>
      <c r="D20" s="180" t="s">
        <v>3261</v>
      </c>
      <c r="E20" s="253" t="s">
        <v>15</v>
      </c>
      <c r="F20" s="447" t="s">
        <v>3260</v>
      </c>
      <c r="G20" s="448">
        <v>259857</v>
      </c>
      <c r="H20" s="443" t="s">
        <v>3259</v>
      </c>
      <c r="I20" s="442" t="s">
        <v>3258</v>
      </c>
      <c r="J20" s="447" t="s">
        <v>3257</v>
      </c>
      <c r="K20" s="444">
        <v>259857</v>
      </c>
      <c r="L20" s="446" t="s">
        <v>2366</v>
      </c>
      <c r="M20" s="442" t="s">
        <v>2365</v>
      </c>
      <c r="N20" s="445" t="s">
        <v>3256</v>
      </c>
      <c r="O20" s="444">
        <v>259857</v>
      </c>
      <c r="P20" s="443" t="s">
        <v>369</v>
      </c>
      <c r="Q20" s="442" t="s">
        <v>368</v>
      </c>
      <c r="R20" s="441">
        <f t="shared" si="0"/>
        <v>259857</v>
      </c>
      <c r="S20" s="441">
        <v>115764.37</v>
      </c>
      <c r="T20" s="188" t="s">
        <v>3255</v>
      </c>
    </row>
    <row r="21" spans="1:20" x14ac:dyDescent="0.25">
      <c r="I21" s="87"/>
      <c r="J21" s="87"/>
      <c r="K21" s="87"/>
      <c r="L21" s="87"/>
      <c r="M21" s="87"/>
      <c r="N21" s="87"/>
      <c r="O21" s="87"/>
      <c r="P21" s="87"/>
      <c r="Q21" s="159"/>
    </row>
    <row r="22" spans="1:20" x14ac:dyDescent="0.25">
      <c r="A22" s="14"/>
      <c r="B22" s="14"/>
      <c r="C22" s="14"/>
      <c r="D22" s="14"/>
      <c r="E22" s="14"/>
      <c r="F22" s="14"/>
      <c r="G22" s="14"/>
      <c r="H22" s="14"/>
      <c r="I22" s="14"/>
      <c r="J22" s="14"/>
      <c r="K22" s="14"/>
      <c r="L22" s="14"/>
      <c r="M22" s="14"/>
      <c r="N22" s="14"/>
      <c r="O22" s="14"/>
      <c r="P22" s="14"/>
      <c r="Q22" s="14"/>
      <c r="R22" s="14"/>
      <c r="S22" s="14"/>
      <c r="T22" s="14"/>
    </row>
    <row r="23" spans="1:20" x14ac:dyDescent="0.25">
      <c r="A23" s="14"/>
      <c r="B23" s="517" t="s">
        <v>16</v>
      </c>
      <c r="C23" s="517"/>
      <c r="D23" s="517"/>
      <c r="E23" s="14"/>
      <c r="F23" s="14"/>
      <c r="G23" s="14"/>
      <c r="H23" s="14"/>
      <c r="I23" s="14"/>
      <c r="J23" s="14"/>
      <c r="K23" s="14"/>
      <c r="L23" s="14"/>
      <c r="M23" s="14"/>
      <c r="N23" s="14"/>
      <c r="O23" s="14"/>
      <c r="P23" s="14"/>
      <c r="Q23" s="518" t="s">
        <v>25</v>
      </c>
      <c r="R23" s="518"/>
      <c r="S23" s="14"/>
      <c r="T23" s="14"/>
    </row>
    <row r="24" spans="1:20" x14ac:dyDescent="0.25">
      <c r="A24" s="14"/>
      <c r="B24" s="81"/>
      <c r="C24" s="81"/>
      <c r="D24" s="81"/>
      <c r="E24" s="14"/>
      <c r="F24" s="14"/>
      <c r="G24" s="14"/>
      <c r="H24" s="14"/>
      <c r="I24" s="14"/>
      <c r="J24" s="14"/>
      <c r="K24" s="14"/>
      <c r="L24" s="14"/>
      <c r="M24" s="14"/>
      <c r="N24" s="14"/>
      <c r="O24" s="14"/>
      <c r="P24" s="14"/>
      <c r="Q24" s="82"/>
      <c r="R24" s="82"/>
      <c r="S24" s="14"/>
      <c r="T24" s="14"/>
    </row>
    <row r="25" spans="1:20" x14ac:dyDescent="0.25">
      <c r="A25" s="14"/>
      <c r="B25" s="81"/>
      <c r="C25" s="81"/>
      <c r="D25" s="81"/>
      <c r="E25" s="14"/>
      <c r="F25" s="14"/>
      <c r="G25" s="14"/>
      <c r="H25" s="14"/>
      <c r="I25" s="14"/>
      <c r="J25" s="14"/>
      <c r="K25" s="14"/>
      <c r="L25" s="14"/>
      <c r="M25" s="14"/>
      <c r="N25" s="14"/>
      <c r="O25" s="14"/>
      <c r="P25" s="14"/>
      <c r="Q25" s="82"/>
      <c r="R25" s="82"/>
      <c r="S25" s="14"/>
      <c r="T25" s="14"/>
    </row>
    <row r="26" spans="1:20" x14ac:dyDescent="0.25">
      <c r="A26" s="14"/>
      <c r="B26" s="82"/>
      <c r="C26" s="82"/>
      <c r="D26" s="82"/>
      <c r="E26" s="14"/>
      <c r="F26" s="14"/>
      <c r="G26" s="14"/>
      <c r="H26" s="14"/>
      <c r="I26" s="14"/>
      <c r="J26" s="14"/>
      <c r="K26" s="14"/>
      <c r="L26" s="14"/>
      <c r="M26" s="14"/>
      <c r="N26" s="14"/>
      <c r="O26" s="14"/>
      <c r="P26" s="14"/>
      <c r="Q26" s="82"/>
      <c r="R26" s="82"/>
      <c r="S26" s="14"/>
      <c r="T26" s="14"/>
    </row>
    <row r="27" spans="1:20" x14ac:dyDescent="0.25">
      <c r="A27" s="14"/>
      <c r="B27" s="82"/>
      <c r="C27" s="82"/>
      <c r="D27" s="82"/>
      <c r="E27" s="14"/>
      <c r="F27" s="14"/>
      <c r="G27" s="14"/>
      <c r="H27" s="14"/>
      <c r="I27" s="14"/>
      <c r="J27" s="14"/>
      <c r="K27" s="14"/>
      <c r="L27" s="14"/>
      <c r="M27" s="14"/>
      <c r="N27" s="14"/>
      <c r="O27" s="14"/>
      <c r="P27" s="14"/>
      <c r="Q27" s="82"/>
      <c r="R27" s="82"/>
      <c r="S27" s="14"/>
      <c r="T27" s="14"/>
    </row>
    <row r="28" spans="1:20" x14ac:dyDescent="0.25">
      <c r="A28" s="14"/>
      <c r="B28" s="82"/>
      <c r="C28" s="82"/>
      <c r="D28" s="82"/>
      <c r="E28" s="14"/>
      <c r="F28" s="14"/>
      <c r="G28" s="14"/>
      <c r="H28" s="14"/>
      <c r="I28" s="14"/>
      <c r="J28" s="14"/>
      <c r="K28" s="14"/>
      <c r="L28" s="14"/>
      <c r="M28" s="14"/>
      <c r="N28" s="14"/>
      <c r="O28" s="14"/>
      <c r="P28" s="14" t="s">
        <v>3254</v>
      </c>
      <c r="Q28" s="82"/>
      <c r="R28" s="82"/>
      <c r="S28" s="14"/>
      <c r="T28" s="14"/>
    </row>
    <row r="29" spans="1:20" x14ac:dyDescent="0.25">
      <c r="A29" s="14"/>
      <c r="B29" s="519" t="s">
        <v>19</v>
      </c>
      <c r="C29" s="519"/>
      <c r="D29" s="519"/>
      <c r="E29" s="14"/>
      <c r="F29" s="14"/>
      <c r="G29" s="14"/>
      <c r="H29" s="14"/>
      <c r="I29" s="14"/>
      <c r="J29" s="14"/>
      <c r="K29" s="14"/>
      <c r="L29" s="14"/>
      <c r="M29" s="14"/>
      <c r="N29" s="14"/>
      <c r="O29" s="14"/>
      <c r="P29" s="14"/>
      <c r="Q29" s="519" t="s">
        <v>19</v>
      </c>
      <c r="R29" s="519"/>
      <c r="S29" s="519"/>
      <c r="T29" s="14"/>
    </row>
    <row r="30" spans="1:20" ht="21.75" customHeight="1" x14ac:dyDescent="0.25">
      <c r="A30" s="14"/>
      <c r="B30" s="599" t="s">
        <v>23</v>
      </c>
      <c r="C30" s="599"/>
      <c r="D30" s="599"/>
      <c r="E30" s="14"/>
      <c r="F30" s="14"/>
      <c r="I30" s="14" t="s">
        <v>1007</v>
      </c>
      <c r="J30" s="14"/>
      <c r="K30" s="14"/>
      <c r="L30" s="14"/>
      <c r="M30" s="14"/>
      <c r="N30" s="14"/>
      <c r="O30" s="14"/>
      <c r="P30" s="14" t="s">
        <v>21</v>
      </c>
      <c r="Q30" s="600" t="s">
        <v>3253</v>
      </c>
      <c r="R30" s="600"/>
      <c r="S30" s="600"/>
      <c r="T30" s="14"/>
    </row>
    <row r="31" spans="1:20" ht="21.75" customHeight="1" x14ac:dyDescent="0.25">
      <c r="A31" s="14"/>
      <c r="B31" s="83"/>
      <c r="C31" s="83"/>
      <c r="D31" s="83"/>
      <c r="E31" s="14"/>
      <c r="F31" s="14"/>
      <c r="G31" s="14"/>
      <c r="H31" s="14"/>
      <c r="I31" s="14"/>
      <c r="J31" s="14"/>
      <c r="K31" s="14"/>
      <c r="L31" s="14"/>
      <c r="M31" s="14"/>
      <c r="N31" s="14"/>
      <c r="O31" s="14"/>
      <c r="P31" s="14"/>
      <c r="Q31" s="83"/>
      <c r="R31" s="83"/>
      <c r="S31" s="83"/>
      <c r="T31" s="14"/>
    </row>
    <row r="32" spans="1:20" ht="21.75" customHeight="1" x14ac:dyDescent="0.25">
      <c r="A32" s="14"/>
      <c r="B32" s="83"/>
      <c r="C32" s="83"/>
      <c r="D32" s="83"/>
      <c r="E32" s="14"/>
      <c r="F32" s="14"/>
      <c r="G32" s="14"/>
      <c r="H32" s="14"/>
      <c r="I32" s="14"/>
      <c r="J32" s="14"/>
      <c r="K32" s="14"/>
      <c r="L32" s="14"/>
      <c r="M32" s="14"/>
      <c r="N32" s="14"/>
      <c r="O32" s="14"/>
      <c r="P32" s="14"/>
      <c r="Q32" s="83"/>
      <c r="R32" s="83"/>
      <c r="S32" s="83"/>
      <c r="T32" s="14"/>
    </row>
    <row r="33" spans="1:20" x14ac:dyDescent="0.25">
      <c r="A33" s="14"/>
      <c r="B33" s="14"/>
      <c r="C33" s="14"/>
      <c r="D33" s="14"/>
      <c r="E33" s="14"/>
      <c r="F33" s="14"/>
      <c r="G33" s="14"/>
      <c r="H33" s="14"/>
      <c r="I33" s="14"/>
      <c r="J33" s="14"/>
      <c r="K33" s="14"/>
      <c r="L33" s="14"/>
      <c r="M33" s="14"/>
      <c r="N33" s="14"/>
      <c r="O33" s="14"/>
      <c r="P33" s="14"/>
      <c r="Q33" s="14"/>
      <c r="R33" s="14"/>
      <c r="S33" s="14"/>
      <c r="T33" s="14"/>
    </row>
    <row r="34" spans="1:20" x14ac:dyDescent="0.25">
      <c r="A34" s="14"/>
      <c r="B34" s="14"/>
      <c r="C34" s="14"/>
      <c r="D34" s="14"/>
      <c r="E34" s="14"/>
      <c r="F34" s="14"/>
      <c r="G34" s="14"/>
      <c r="H34" s="14"/>
      <c r="I34" s="14"/>
      <c r="J34" s="14"/>
      <c r="K34" s="14"/>
      <c r="L34" s="14"/>
      <c r="M34" s="14"/>
      <c r="N34" s="14"/>
      <c r="O34" s="14"/>
      <c r="P34" s="14"/>
      <c r="Q34" s="14"/>
      <c r="R34" s="14"/>
      <c r="S34" s="14"/>
      <c r="T34" s="14"/>
    </row>
    <row r="35" spans="1:20" x14ac:dyDescent="0.25">
      <c r="A35" s="14"/>
      <c r="B35" s="539" t="s">
        <v>17</v>
      </c>
      <c r="C35" s="539"/>
      <c r="D35" s="539"/>
      <c r="E35" s="539"/>
      <c r="F35" s="539"/>
      <c r="G35" s="539"/>
      <c r="H35" s="539"/>
      <c r="I35" s="539"/>
      <c r="J35" s="539"/>
      <c r="K35" s="539"/>
      <c r="L35" s="539"/>
      <c r="M35" s="539"/>
      <c r="N35" s="14"/>
      <c r="O35" s="14"/>
      <c r="P35" s="14"/>
      <c r="Q35" s="14"/>
      <c r="R35" s="14"/>
      <c r="S35" s="14"/>
      <c r="T35" s="14"/>
    </row>
    <row r="36" spans="1:20" x14ac:dyDescent="0.25">
      <c r="A36" s="14"/>
      <c r="B36" s="539" t="s">
        <v>18</v>
      </c>
      <c r="C36" s="539"/>
      <c r="D36" s="539"/>
      <c r="E36" s="539"/>
      <c r="F36" s="539"/>
      <c r="G36" s="539"/>
      <c r="H36" s="539"/>
      <c r="I36" s="539"/>
      <c r="J36" s="539"/>
      <c r="K36" s="539"/>
      <c r="L36" s="539"/>
      <c r="M36" s="539"/>
      <c r="N36" s="14"/>
      <c r="O36" s="14"/>
      <c r="P36" s="14"/>
      <c r="Q36" s="14"/>
      <c r="R36" s="14"/>
      <c r="S36" s="14"/>
      <c r="T36" s="14"/>
    </row>
    <row r="37" spans="1:20" x14ac:dyDescent="0.25">
      <c r="A37" s="14"/>
      <c r="B37" s="14"/>
      <c r="C37" s="14"/>
      <c r="D37" s="14"/>
      <c r="E37" s="14"/>
      <c r="F37" s="14"/>
      <c r="G37" s="14"/>
      <c r="H37" s="14"/>
      <c r="I37" s="14"/>
      <c r="J37" s="14"/>
      <c r="K37" s="14"/>
      <c r="L37" s="14"/>
      <c r="M37" s="14"/>
      <c r="N37" s="14"/>
      <c r="O37" s="14"/>
      <c r="P37" s="14"/>
      <c r="Q37" s="14"/>
      <c r="R37" s="14"/>
      <c r="S37" s="14"/>
      <c r="T37" s="14"/>
    </row>
  </sheetData>
  <mergeCells count="26">
    <mergeCell ref="A11:A12"/>
    <mergeCell ref="B11:B12"/>
    <mergeCell ref="C11:C12"/>
    <mergeCell ref="D11:D12"/>
    <mergeCell ref="E11:E12"/>
    <mergeCell ref="T11:T12"/>
    <mergeCell ref="C1:Q1"/>
    <mergeCell ref="F2:J2"/>
    <mergeCell ref="R3:S3"/>
    <mergeCell ref="R8:S8"/>
    <mergeCell ref="F11:I11"/>
    <mergeCell ref="J11:M11"/>
    <mergeCell ref="N11:Q11"/>
    <mergeCell ref="R11:R12"/>
    <mergeCell ref="S11:S12"/>
    <mergeCell ref="Q7:R7"/>
    <mergeCell ref="F5:K5"/>
    <mergeCell ref="C14:G14"/>
    <mergeCell ref="B35:M35"/>
    <mergeCell ref="B36:M36"/>
    <mergeCell ref="B23:D23"/>
    <mergeCell ref="Q23:R23"/>
    <mergeCell ref="B29:D29"/>
    <mergeCell ref="Q29:S29"/>
    <mergeCell ref="B30:D30"/>
    <mergeCell ref="Q30:S30"/>
  </mergeCells>
  <hyperlinks>
    <hyperlink ref="F15" r:id="rId1" xr:uid="{00000000-0004-0000-1200-000000000000}"/>
    <hyperlink ref="F16" r:id="rId2" xr:uid="{00000000-0004-0000-1200-000001000000}"/>
    <hyperlink ref="J16" r:id="rId3" xr:uid="{00000000-0004-0000-1200-000002000000}"/>
    <hyperlink ref="N16" r:id="rId4" xr:uid="{00000000-0004-0000-1200-000003000000}"/>
    <hyperlink ref="F17" r:id="rId5" xr:uid="{00000000-0004-0000-1200-000004000000}"/>
    <hyperlink ref="J17" r:id="rId6" xr:uid="{00000000-0004-0000-1200-000005000000}"/>
    <hyperlink ref="N17" r:id="rId7" xr:uid="{00000000-0004-0000-1200-000006000000}"/>
    <hyperlink ref="F18" r:id="rId8" xr:uid="{00000000-0004-0000-1200-000007000000}"/>
    <hyperlink ref="J18" r:id="rId9" xr:uid="{00000000-0004-0000-1200-000008000000}"/>
    <hyperlink ref="N18" r:id="rId10" display="https://multitech.pro/katalog/prochee-oborudovanie/stol-dosmotroviy-500h400h900-mm.html?ysclid=m2kg4j28yn709830726" xr:uid="{00000000-0004-0000-1200-000009000000}"/>
    <hyperlink ref="J15" r:id="rId11" xr:uid="{00000000-0004-0000-1200-00000A000000}"/>
    <hyperlink ref="N15" r:id="rId12" xr:uid="{00000000-0004-0000-1200-00000B000000}"/>
    <hyperlink ref="F20" r:id="rId13" xr:uid="{00000000-0004-0000-1200-00000C000000}"/>
    <hyperlink ref="J20" r:id="rId14" xr:uid="{00000000-0004-0000-1200-00000D000000}"/>
    <hyperlink ref="N20" r:id="rId15" xr:uid="{00000000-0004-0000-1200-00000E000000}"/>
    <hyperlink ref="F19" r:id="rId16" xr:uid="{00000000-0004-0000-1200-00000F000000}"/>
    <hyperlink ref="N19" r:id="rId17" xr:uid="{00000000-0004-0000-1200-000010000000}"/>
    <hyperlink ref="J19" r:id="rId18" xr:uid="{00000000-0004-0000-1200-000011000000}"/>
  </hyperlinks>
  <pageMargins left="0.70866141732283472" right="0.70866141732283472" top="0.74803149606299213" bottom="0.74803149606299213" header="0.31496062992125984" footer="0.31496062992125984"/>
  <pageSetup paperSize="9" scale="35" orientation="landscape" r:id="rId19"/>
  <drawing r:id="rId2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53"/>
  <sheetViews>
    <sheetView view="pageBreakPreview" topLeftCell="A25" zoomScale="55" zoomScaleNormal="59" zoomScaleSheetLayoutView="55" workbookViewId="0">
      <selection activeCell="D35" sqref="D35"/>
    </sheetView>
  </sheetViews>
  <sheetFormatPr defaultColWidth="8.7109375" defaultRowHeight="15.75" x14ac:dyDescent="0.25"/>
  <cols>
    <col min="1" max="1" width="8.140625" style="1" customWidth="1"/>
    <col min="2" max="2" width="25.5703125" style="1" customWidth="1"/>
    <col min="3" max="3" width="81.5703125" style="15" customWidth="1"/>
    <col min="4" max="4" width="42.85546875" style="15" customWidth="1"/>
    <col min="5" max="5" width="14.140625" style="16" customWidth="1"/>
    <col min="6" max="6" width="28.5703125" style="15" hidden="1" customWidth="1"/>
    <col min="7" max="7" width="31.28515625" style="15" customWidth="1"/>
    <col min="8" max="8" width="49.85546875" style="15" customWidth="1"/>
    <col min="9" max="9" width="36" style="15" customWidth="1"/>
    <col min="10" max="10" width="23.85546875" style="15" hidden="1" customWidth="1"/>
    <col min="11" max="11" width="31" style="15" customWidth="1"/>
    <col min="12" max="12" width="49.5703125" style="15" customWidth="1"/>
    <col min="13" max="13" width="36.42578125" style="15" customWidth="1"/>
    <col min="14" max="14" width="24.5703125" style="15" hidden="1" customWidth="1"/>
    <col min="15" max="15" width="31.85546875" style="15" customWidth="1"/>
    <col min="16" max="16" width="43.85546875" style="15" customWidth="1"/>
    <col min="17" max="17" width="39.140625" style="17" customWidth="1"/>
    <col min="18" max="18" width="29.28515625" style="2" customWidth="1"/>
    <col min="19" max="19" width="19.5703125" style="2" customWidth="1"/>
    <col min="20" max="20" width="31.140625" style="2" customWidth="1"/>
    <col min="21" max="16384" width="8.7109375" style="2"/>
  </cols>
  <sheetData>
    <row r="1" spans="1:20" x14ac:dyDescent="0.25">
      <c r="C1" s="507"/>
      <c r="D1" s="507"/>
      <c r="E1" s="507"/>
      <c r="F1" s="507"/>
      <c r="G1" s="507"/>
      <c r="H1" s="507"/>
      <c r="I1" s="507"/>
      <c r="J1" s="507"/>
      <c r="K1" s="507"/>
      <c r="L1" s="507"/>
      <c r="M1" s="507"/>
      <c r="N1" s="507"/>
      <c r="O1" s="507"/>
      <c r="P1" s="507"/>
      <c r="Q1" s="507"/>
    </row>
    <row r="2" spans="1:20" ht="18.75" x14ac:dyDescent="0.25">
      <c r="C2" s="77"/>
      <c r="D2" s="77"/>
      <c r="E2" s="77"/>
      <c r="F2" s="508" t="s">
        <v>26</v>
      </c>
      <c r="G2" s="508"/>
      <c r="H2" s="508"/>
      <c r="I2" s="509"/>
      <c r="J2" s="509"/>
      <c r="K2" s="79"/>
      <c r="L2" s="79"/>
      <c r="M2" s="77"/>
      <c r="N2" s="77"/>
      <c r="O2" s="77"/>
      <c r="P2" s="77"/>
      <c r="Q2"/>
      <c r="R2"/>
      <c r="S2"/>
      <c r="T2" s="4" t="s">
        <v>0</v>
      </c>
    </row>
    <row r="3" spans="1:20" ht="18.75" x14ac:dyDescent="0.3">
      <c r="C3" s="77"/>
      <c r="D3" s="77"/>
      <c r="E3" s="77"/>
      <c r="F3" s="78"/>
      <c r="G3" s="78"/>
      <c r="H3" s="78"/>
      <c r="I3" s="79"/>
      <c r="J3" s="79"/>
      <c r="K3" s="79"/>
      <c r="L3" s="79"/>
      <c r="M3" s="77"/>
      <c r="N3" s="77"/>
      <c r="O3" s="77"/>
      <c r="P3" s="77"/>
      <c r="Q3"/>
      <c r="R3" s="510"/>
      <c r="S3" s="510"/>
      <c r="T3"/>
    </row>
    <row r="4" spans="1:20" ht="18.75" x14ac:dyDescent="0.25">
      <c r="C4" s="77"/>
      <c r="D4" s="77"/>
      <c r="E4" s="77"/>
      <c r="F4" s="78"/>
      <c r="G4" s="78"/>
      <c r="H4" s="78"/>
      <c r="I4" s="79"/>
      <c r="J4" s="79"/>
      <c r="K4" s="79"/>
      <c r="L4" s="79"/>
      <c r="M4" s="77"/>
      <c r="N4" s="77"/>
      <c r="O4" s="77"/>
      <c r="P4" s="77"/>
      <c r="Q4" s="511" t="s">
        <v>19</v>
      </c>
      <c r="R4" s="511"/>
      <c r="S4" s="511"/>
      <c r="T4" s="511"/>
    </row>
    <row r="5" spans="1:20" ht="15.75" customHeight="1" x14ac:dyDescent="0.25">
      <c r="B5" s="515" t="s">
        <v>3252</v>
      </c>
      <c r="C5" s="515"/>
      <c r="D5" s="515"/>
      <c r="E5" s="515"/>
      <c r="F5" s="515"/>
      <c r="G5" s="515"/>
      <c r="H5" s="515"/>
      <c r="I5" s="515"/>
      <c r="J5" s="515"/>
      <c r="K5" s="515"/>
      <c r="L5" s="515"/>
      <c r="M5" s="515"/>
      <c r="N5" s="515"/>
      <c r="O5" s="515"/>
      <c r="P5" s="77"/>
      <c r="Q5" s="77"/>
    </row>
    <row r="6" spans="1:20" s="10" customFormat="1" ht="24.75" customHeight="1" x14ac:dyDescent="0.25">
      <c r="A6" s="7"/>
      <c r="B6" s="515"/>
      <c r="C6" s="515"/>
      <c r="D6" s="515"/>
      <c r="E6" s="515"/>
      <c r="F6" s="515"/>
      <c r="G6" s="515"/>
      <c r="H6" s="515"/>
      <c r="I6" s="515"/>
      <c r="J6" s="515"/>
      <c r="K6" s="515"/>
      <c r="L6" s="515"/>
      <c r="M6" s="515"/>
      <c r="N6" s="515"/>
      <c r="O6" s="515"/>
      <c r="P6" s="9"/>
      <c r="Q6" s="9"/>
    </row>
    <row r="7" spans="1:20" s="10" customFormat="1" ht="15.75" customHeight="1" x14ac:dyDescent="0.25">
      <c r="A7" s="7"/>
      <c r="B7" s="7"/>
      <c r="C7" s="18"/>
      <c r="D7" s="8"/>
      <c r="E7" s="9"/>
      <c r="F7" s="9"/>
      <c r="G7" s="9"/>
      <c r="H7" s="9"/>
      <c r="I7" s="9"/>
      <c r="J7" s="9"/>
      <c r="K7" s="9"/>
      <c r="L7" s="9"/>
      <c r="M7" s="9"/>
      <c r="N7" s="9"/>
      <c r="O7" s="9"/>
      <c r="P7" s="9"/>
      <c r="Q7" s="9"/>
    </row>
    <row r="8" spans="1:20" ht="24" customHeight="1" x14ac:dyDescent="0.25">
      <c r="A8" s="498" t="s">
        <v>1</v>
      </c>
      <c r="B8" s="498" t="s">
        <v>2</v>
      </c>
      <c r="C8" s="500" t="s">
        <v>3</v>
      </c>
      <c r="D8" s="502" t="s">
        <v>4</v>
      </c>
      <c r="E8" s="498" t="s">
        <v>5</v>
      </c>
      <c r="F8" s="512" t="s">
        <v>6</v>
      </c>
      <c r="G8" s="513"/>
      <c r="H8" s="513"/>
      <c r="I8" s="514"/>
      <c r="J8" s="512" t="s">
        <v>7</v>
      </c>
      <c r="K8" s="513"/>
      <c r="L8" s="513"/>
      <c r="M8" s="514"/>
      <c r="N8" s="512" t="s">
        <v>8</v>
      </c>
      <c r="O8" s="513"/>
      <c r="P8" s="513"/>
      <c r="Q8" s="514"/>
      <c r="R8" s="505" t="s">
        <v>9</v>
      </c>
      <c r="S8" s="505" t="s">
        <v>10</v>
      </c>
      <c r="T8" s="505" t="s">
        <v>11</v>
      </c>
    </row>
    <row r="9" spans="1:20" ht="91.5" customHeight="1" x14ac:dyDescent="0.25">
      <c r="A9" s="499"/>
      <c r="B9" s="499"/>
      <c r="C9" s="501"/>
      <c r="D9" s="503"/>
      <c r="E9" s="504"/>
      <c r="F9" s="76" t="s">
        <v>12</v>
      </c>
      <c r="G9" s="76" t="s">
        <v>14</v>
      </c>
      <c r="H9" s="76" t="s">
        <v>24</v>
      </c>
      <c r="I9" s="76" t="s">
        <v>13</v>
      </c>
      <c r="J9" s="76" t="s">
        <v>12</v>
      </c>
      <c r="K9" s="31" t="s">
        <v>14</v>
      </c>
      <c r="L9" s="76" t="s">
        <v>24</v>
      </c>
      <c r="M9" s="76" t="s">
        <v>13</v>
      </c>
      <c r="N9" s="76" t="s">
        <v>12</v>
      </c>
      <c r="O9" s="31" t="s">
        <v>14</v>
      </c>
      <c r="P9" s="76" t="s">
        <v>24</v>
      </c>
      <c r="Q9" s="76" t="s">
        <v>13</v>
      </c>
      <c r="R9" s="506"/>
      <c r="S9" s="506"/>
      <c r="T9" s="506"/>
    </row>
    <row r="10" spans="1:20" ht="37.5" customHeight="1" x14ac:dyDescent="0.25">
      <c r="A10" s="32">
        <v>1</v>
      </c>
      <c r="B10" s="32">
        <v>2</v>
      </c>
      <c r="C10" s="33">
        <v>3</v>
      </c>
      <c r="D10" s="34">
        <v>4</v>
      </c>
      <c r="E10" s="34">
        <v>5</v>
      </c>
      <c r="F10" s="34"/>
      <c r="G10" s="34">
        <v>6</v>
      </c>
      <c r="H10" s="34">
        <v>7</v>
      </c>
      <c r="I10" s="34">
        <v>8</v>
      </c>
      <c r="J10" s="34"/>
      <c r="K10" s="34">
        <v>9</v>
      </c>
      <c r="L10" s="34">
        <v>10</v>
      </c>
      <c r="M10" s="34">
        <v>11</v>
      </c>
      <c r="N10" s="34"/>
      <c r="O10" s="34">
        <v>12</v>
      </c>
      <c r="P10" s="34">
        <v>13</v>
      </c>
      <c r="Q10" s="34">
        <v>14</v>
      </c>
      <c r="R10" s="34">
        <v>15</v>
      </c>
      <c r="S10" s="34">
        <v>16</v>
      </c>
      <c r="T10" s="34">
        <v>17</v>
      </c>
    </row>
    <row r="11" spans="1:20" ht="32.25" customHeight="1" x14ac:dyDescent="0.25">
      <c r="A11" s="11"/>
      <c r="B11" s="11"/>
      <c r="C11" s="35" t="s">
        <v>3360</v>
      </c>
      <c r="D11" s="468"/>
      <c r="E11" s="13"/>
      <c r="F11" s="12"/>
      <c r="G11" s="12"/>
      <c r="H11" s="12"/>
      <c r="I11" s="12"/>
      <c r="J11" s="12"/>
      <c r="K11" s="12"/>
      <c r="L11" s="12"/>
      <c r="M11" s="12"/>
      <c r="N11" s="12"/>
      <c r="O11" s="12"/>
      <c r="P11" s="12"/>
      <c r="Q11" s="12"/>
      <c r="R11" s="37"/>
      <c r="S11" s="12"/>
      <c r="T11" s="38"/>
    </row>
    <row r="12" spans="1:20" ht="82.5" customHeight="1" x14ac:dyDescent="0.25">
      <c r="A12" s="11">
        <v>1</v>
      </c>
      <c r="B12" s="350" t="s">
        <v>3359</v>
      </c>
      <c r="C12" s="465" t="s">
        <v>3358</v>
      </c>
      <c r="D12" s="464" t="s">
        <v>3423</v>
      </c>
      <c r="E12" s="68" t="s">
        <v>15</v>
      </c>
      <c r="F12" s="355"/>
      <c r="G12" s="67">
        <v>18226</v>
      </c>
      <c r="H12" s="68" t="s">
        <v>3344</v>
      </c>
      <c r="I12" s="68">
        <v>7720650573</v>
      </c>
      <c r="J12" s="354"/>
      <c r="K12" s="67">
        <f>16477*1.2</f>
        <v>19772.399999999998</v>
      </c>
      <c r="L12" s="68" t="s">
        <v>3324</v>
      </c>
      <c r="M12" s="68">
        <v>6915012732</v>
      </c>
      <c r="N12" s="354"/>
      <c r="O12" s="184">
        <f>13810*1.2</f>
        <v>16572</v>
      </c>
      <c r="P12" s="68" t="s">
        <v>3311</v>
      </c>
      <c r="Q12" s="68">
        <v>6915016208</v>
      </c>
      <c r="R12" s="37">
        <f t="shared" ref="R12:R35" si="0">MIN(G12,K12,O12)</f>
        <v>16572</v>
      </c>
      <c r="S12" s="354"/>
      <c r="T12" s="38">
        <v>45855</v>
      </c>
    </row>
    <row r="13" spans="1:20" ht="83.25" customHeight="1" x14ac:dyDescent="0.3">
      <c r="A13" s="61">
        <v>2</v>
      </c>
      <c r="B13" s="466" t="s">
        <v>3357</v>
      </c>
      <c r="C13" s="465" t="s">
        <v>3356</v>
      </c>
      <c r="D13" s="464" t="s">
        <v>3424</v>
      </c>
      <c r="E13" s="68" t="s">
        <v>15</v>
      </c>
      <c r="F13" s="36"/>
      <c r="G13" s="67">
        <v>79970</v>
      </c>
      <c r="H13" s="68" t="s">
        <v>347</v>
      </c>
      <c r="I13" s="68">
        <v>7722753969</v>
      </c>
      <c r="J13" s="463"/>
      <c r="K13" s="67">
        <v>81000</v>
      </c>
      <c r="L13" s="68" t="s">
        <v>3355</v>
      </c>
      <c r="M13" s="68">
        <v>7724419293</v>
      </c>
      <c r="N13" s="463"/>
      <c r="O13" s="184">
        <v>81110.399999999994</v>
      </c>
      <c r="P13" s="68" t="s">
        <v>3354</v>
      </c>
      <c r="Q13" s="68">
        <v>7726461477</v>
      </c>
      <c r="R13" s="37">
        <f t="shared" si="0"/>
        <v>79970</v>
      </c>
      <c r="S13" s="37"/>
      <c r="T13" s="38">
        <v>45855</v>
      </c>
    </row>
    <row r="14" spans="1:20" ht="83.25" customHeight="1" x14ac:dyDescent="0.3">
      <c r="A14" s="11">
        <v>3</v>
      </c>
      <c r="B14" s="466" t="s">
        <v>3348</v>
      </c>
      <c r="C14" s="465" t="s">
        <v>3353</v>
      </c>
      <c r="D14" s="464" t="s">
        <v>3425</v>
      </c>
      <c r="E14" s="68" t="s">
        <v>15</v>
      </c>
      <c r="F14" s="36"/>
      <c r="G14" s="67">
        <v>11090</v>
      </c>
      <c r="H14" s="68" t="s">
        <v>3350</v>
      </c>
      <c r="I14" s="68">
        <v>7751137932</v>
      </c>
      <c r="J14" s="463"/>
      <c r="K14" s="67">
        <v>11050</v>
      </c>
      <c r="L14" s="68" t="s">
        <v>3352</v>
      </c>
      <c r="M14" s="68">
        <v>9705080386</v>
      </c>
      <c r="N14" s="463"/>
      <c r="O14" s="184">
        <v>11090</v>
      </c>
      <c r="P14" s="68" t="s">
        <v>3344</v>
      </c>
      <c r="Q14" s="68">
        <v>7720650573</v>
      </c>
      <c r="R14" s="37">
        <f t="shared" si="0"/>
        <v>11050</v>
      </c>
      <c r="S14" s="37"/>
      <c r="T14" s="38">
        <v>45855</v>
      </c>
    </row>
    <row r="15" spans="1:20" ht="83.25" customHeight="1" x14ac:dyDescent="0.3">
      <c r="A15" s="61">
        <v>4</v>
      </c>
      <c r="B15" s="466" t="s">
        <v>3348</v>
      </c>
      <c r="C15" s="465" t="s">
        <v>3351</v>
      </c>
      <c r="D15" s="464" t="s">
        <v>3426</v>
      </c>
      <c r="E15" s="68" t="s">
        <v>15</v>
      </c>
      <c r="F15" s="36"/>
      <c r="G15" s="67">
        <v>16490</v>
      </c>
      <c r="H15" s="68" t="s">
        <v>3343</v>
      </c>
      <c r="I15" s="68">
        <v>5029152090</v>
      </c>
      <c r="J15" s="463"/>
      <c r="K15" s="67">
        <v>16490</v>
      </c>
      <c r="L15" s="462" t="s">
        <v>3350</v>
      </c>
      <c r="M15" s="462">
        <v>7751137932</v>
      </c>
      <c r="N15" s="463"/>
      <c r="O15" s="184">
        <v>16490</v>
      </c>
      <c r="P15" s="68" t="s">
        <v>3349</v>
      </c>
      <c r="Q15" s="68">
        <v>9718007129</v>
      </c>
      <c r="R15" s="37">
        <f t="shared" si="0"/>
        <v>16490</v>
      </c>
      <c r="S15" s="37"/>
      <c r="T15" s="38">
        <v>45855</v>
      </c>
    </row>
    <row r="16" spans="1:20" ht="83.25" customHeight="1" x14ac:dyDescent="0.3">
      <c r="A16" s="11">
        <v>5</v>
      </c>
      <c r="B16" s="466" t="s">
        <v>3348</v>
      </c>
      <c r="C16" s="465" t="s">
        <v>3347</v>
      </c>
      <c r="D16" s="464" t="s">
        <v>3427</v>
      </c>
      <c r="E16" s="68" t="s">
        <v>15</v>
      </c>
      <c r="F16" s="36"/>
      <c r="G16" s="67">
        <v>5340</v>
      </c>
      <c r="H16" s="68" t="s">
        <v>3343</v>
      </c>
      <c r="I16" s="68">
        <v>5029152090</v>
      </c>
      <c r="J16" s="463"/>
      <c r="K16" s="67">
        <v>5340</v>
      </c>
      <c r="L16" s="462" t="s">
        <v>3344</v>
      </c>
      <c r="M16" s="462">
        <v>7720650573</v>
      </c>
      <c r="N16" s="463"/>
      <c r="O16" s="184">
        <v>5340</v>
      </c>
      <c r="P16" s="462" t="s">
        <v>347</v>
      </c>
      <c r="Q16" s="462">
        <v>7722753969</v>
      </c>
      <c r="R16" s="37">
        <f t="shared" si="0"/>
        <v>5340</v>
      </c>
      <c r="S16" s="37"/>
      <c r="T16" s="38">
        <v>45855</v>
      </c>
    </row>
    <row r="17" spans="1:20" ht="83.25" customHeight="1" x14ac:dyDescent="0.3">
      <c r="A17" s="61">
        <v>6</v>
      </c>
      <c r="B17" s="350" t="s">
        <v>3346</v>
      </c>
      <c r="C17" s="467" t="s">
        <v>3345</v>
      </c>
      <c r="D17" s="464" t="s">
        <v>3428</v>
      </c>
      <c r="E17" s="68" t="s">
        <v>15</v>
      </c>
      <c r="F17" s="36"/>
      <c r="G17" s="67">
        <v>4535</v>
      </c>
      <c r="H17" s="462" t="s">
        <v>3344</v>
      </c>
      <c r="I17" s="462">
        <v>7720650573</v>
      </c>
      <c r="J17" s="463"/>
      <c r="K17" s="67">
        <v>4535</v>
      </c>
      <c r="L17" s="462" t="s">
        <v>3343</v>
      </c>
      <c r="M17" s="462">
        <v>5029152090</v>
      </c>
      <c r="N17" s="463"/>
      <c r="O17" s="184">
        <v>4535</v>
      </c>
      <c r="P17" s="462" t="s">
        <v>3342</v>
      </c>
      <c r="Q17" s="461">
        <v>235201128300</v>
      </c>
      <c r="R17" s="37">
        <f t="shared" si="0"/>
        <v>4535</v>
      </c>
      <c r="S17" s="37"/>
      <c r="T17" s="38">
        <v>45855</v>
      </c>
    </row>
    <row r="18" spans="1:20" ht="78.75" customHeight="1" x14ac:dyDescent="0.3">
      <c r="A18" s="11">
        <v>7</v>
      </c>
      <c r="B18" s="11" t="s">
        <v>3313</v>
      </c>
      <c r="C18" s="465" t="s">
        <v>3341</v>
      </c>
      <c r="D18" s="464" t="s">
        <v>3429</v>
      </c>
      <c r="E18" s="68" t="s">
        <v>15</v>
      </c>
      <c r="F18" s="36"/>
      <c r="G18" s="67">
        <v>626</v>
      </c>
      <c r="H18" s="462" t="s">
        <v>3311</v>
      </c>
      <c r="I18" s="462">
        <v>6915016208</v>
      </c>
      <c r="J18" s="463"/>
      <c r="K18" s="67">
        <v>751.19999999999993</v>
      </c>
      <c r="L18" s="462" t="s">
        <v>3309</v>
      </c>
      <c r="M18" s="462">
        <v>6915010809</v>
      </c>
      <c r="N18" s="462"/>
      <c r="O18" s="67">
        <v>860</v>
      </c>
      <c r="P18" s="462" t="s">
        <v>3314</v>
      </c>
      <c r="Q18" s="462">
        <v>7735527011</v>
      </c>
      <c r="R18" s="37">
        <f t="shared" si="0"/>
        <v>626</v>
      </c>
      <c r="S18" s="37"/>
      <c r="T18" s="38">
        <v>45855</v>
      </c>
    </row>
    <row r="19" spans="1:20" ht="78.75" customHeight="1" x14ac:dyDescent="0.3">
      <c r="A19" s="11">
        <v>8</v>
      </c>
      <c r="B19" s="466" t="s">
        <v>3313</v>
      </c>
      <c r="C19" s="465" t="s">
        <v>3340</v>
      </c>
      <c r="D19" s="464" t="s">
        <v>3430</v>
      </c>
      <c r="E19" s="68" t="s">
        <v>15</v>
      </c>
      <c r="F19" s="36"/>
      <c r="G19" s="67">
        <v>626</v>
      </c>
      <c r="H19" s="462" t="s">
        <v>3311</v>
      </c>
      <c r="I19" s="462">
        <v>6915016208</v>
      </c>
      <c r="J19" s="463"/>
      <c r="K19" s="67">
        <f>626*1.2</f>
        <v>751.19999999999993</v>
      </c>
      <c r="L19" s="462" t="s">
        <v>3309</v>
      </c>
      <c r="M19" s="462">
        <v>6915010809</v>
      </c>
      <c r="N19" s="462"/>
      <c r="O19" s="67">
        <v>740</v>
      </c>
      <c r="P19" s="462" t="s">
        <v>3314</v>
      </c>
      <c r="Q19" s="462">
        <v>7735527011</v>
      </c>
      <c r="R19" s="37">
        <f t="shared" si="0"/>
        <v>626</v>
      </c>
      <c r="S19" s="37"/>
      <c r="T19" s="38">
        <v>45855</v>
      </c>
    </row>
    <row r="20" spans="1:20" ht="78.75" customHeight="1" x14ac:dyDescent="0.3">
      <c r="A20" s="61">
        <v>9</v>
      </c>
      <c r="B20" s="466" t="s">
        <v>3313</v>
      </c>
      <c r="C20" s="465" t="s">
        <v>3339</v>
      </c>
      <c r="D20" s="464" t="s">
        <v>3431</v>
      </c>
      <c r="E20" s="68" t="s">
        <v>15</v>
      </c>
      <c r="F20" s="36"/>
      <c r="G20" s="67">
        <v>640</v>
      </c>
      <c r="H20" s="462" t="s">
        <v>3330</v>
      </c>
      <c r="I20" s="462">
        <v>6630008994</v>
      </c>
      <c r="J20" s="463"/>
      <c r="K20" s="67">
        <v>626</v>
      </c>
      <c r="L20" s="462" t="s">
        <v>3333</v>
      </c>
      <c r="M20" s="462">
        <v>4345468380</v>
      </c>
      <c r="N20" s="462"/>
      <c r="O20" s="67">
        <v>860</v>
      </c>
      <c r="P20" s="462" t="s">
        <v>3314</v>
      </c>
      <c r="Q20" s="462">
        <v>7735527011</v>
      </c>
      <c r="R20" s="37">
        <f t="shared" si="0"/>
        <v>626</v>
      </c>
      <c r="S20" s="37"/>
      <c r="T20" s="38">
        <v>45855</v>
      </c>
    </row>
    <row r="21" spans="1:20" ht="78.75" customHeight="1" x14ac:dyDescent="0.3">
      <c r="A21" s="11">
        <v>10</v>
      </c>
      <c r="B21" s="466" t="s">
        <v>3313</v>
      </c>
      <c r="C21" s="465" t="s">
        <v>3338</v>
      </c>
      <c r="D21" s="464" t="s">
        <v>3432</v>
      </c>
      <c r="E21" s="68" t="s">
        <v>15</v>
      </c>
      <c r="F21" s="36"/>
      <c r="G21" s="67">
        <f>626*1.2</f>
        <v>751.19999999999993</v>
      </c>
      <c r="H21" s="462" t="s">
        <v>3309</v>
      </c>
      <c r="I21" s="462">
        <v>6915010809</v>
      </c>
      <c r="J21" s="463"/>
      <c r="K21" s="67">
        <v>626</v>
      </c>
      <c r="L21" s="462" t="s">
        <v>3333</v>
      </c>
      <c r="M21" s="462">
        <v>4345468380</v>
      </c>
      <c r="N21" s="463"/>
      <c r="O21" s="184">
        <f>626*1.2</f>
        <v>751.19999999999993</v>
      </c>
      <c r="P21" s="462" t="s">
        <v>3321</v>
      </c>
      <c r="Q21" s="461">
        <v>666307338959</v>
      </c>
      <c r="R21" s="37">
        <f t="shared" si="0"/>
        <v>626</v>
      </c>
      <c r="S21" s="37"/>
      <c r="T21" s="38">
        <v>45855</v>
      </c>
    </row>
    <row r="22" spans="1:20" ht="78.75" customHeight="1" x14ac:dyDescent="0.3">
      <c r="A22" s="11">
        <v>11</v>
      </c>
      <c r="B22" s="466" t="s">
        <v>3313</v>
      </c>
      <c r="C22" s="465" t="s">
        <v>3337</v>
      </c>
      <c r="D22" s="464" t="s">
        <v>3433</v>
      </c>
      <c r="E22" s="68" t="s">
        <v>15</v>
      </c>
      <c r="F22" s="36"/>
      <c r="G22" s="67">
        <v>750</v>
      </c>
      <c r="H22" s="462" t="s">
        <v>3329</v>
      </c>
      <c r="I22" s="462">
        <v>7106015779</v>
      </c>
      <c r="J22" s="463"/>
      <c r="K22" s="67">
        <f>626*1.2</f>
        <v>751.19999999999993</v>
      </c>
      <c r="L22" s="462" t="s">
        <v>3309</v>
      </c>
      <c r="M22" s="462">
        <v>6915010809</v>
      </c>
      <c r="N22" s="463"/>
      <c r="O22" s="184">
        <v>626</v>
      </c>
      <c r="P22" s="462" t="s">
        <v>3335</v>
      </c>
      <c r="Q22" s="462">
        <v>4345468380</v>
      </c>
      <c r="R22" s="37">
        <f t="shared" si="0"/>
        <v>626</v>
      </c>
      <c r="S22" s="37"/>
      <c r="T22" s="38">
        <v>45855</v>
      </c>
    </row>
    <row r="23" spans="1:20" ht="78.75" customHeight="1" x14ac:dyDescent="0.3">
      <c r="A23" s="61">
        <v>12</v>
      </c>
      <c r="B23" s="466" t="s">
        <v>3313</v>
      </c>
      <c r="C23" s="465" t="s">
        <v>3336</v>
      </c>
      <c r="D23" s="464" t="s">
        <v>3434</v>
      </c>
      <c r="E23" s="68" t="s">
        <v>15</v>
      </c>
      <c r="F23" s="36"/>
      <c r="G23" s="67">
        <f>376*1.2</f>
        <v>451.2</v>
      </c>
      <c r="H23" s="462" t="s">
        <v>3324</v>
      </c>
      <c r="I23" s="462">
        <v>6915012732</v>
      </c>
      <c r="J23" s="463"/>
      <c r="K23" s="67">
        <v>626</v>
      </c>
      <c r="L23" s="462" t="s">
        <v>3311</v>
      </c>
      <c r="M23" s="462">
        <v>6915016208</v>
      </c>
      <c r="N23" s="463"/>
      <c r="O23" s="184">
        <v>626</v>
      </c>
      <c r="P23" s="462" t="s">
        <v>3335</v>
      </c>
      <c r="Q23" s="461">
        <v>4345468380</v>
      </c>
      <c r="R23" s="37">
        <f t="shared" si="0"/>
        <v>451.2</v>
      </c>
      <c r="S23" s="37"/>
      <c r="T23" s="38">
        <v>45855</v>
      </c>
    </row>
    <row r="24" spans="1:20" ht="78.75" customHeight="1" x14ac:dyDescent="0.3">
      <c r="A24" s="61">
        <v>13</v>
      </c>
      <c r="B24" s="466" t="s">
        <v>3313</v>
      </c>
      <c r="C24" s="465" t="s">
        <v>3334</v>
      </c>
      <c r="D24" s="464" t="s">
        <v>3435</v>
      </c>
      <c r="E24" s="68" t="s">
        <v>15</v>
      </c>
      <c r="F24" s="36"/>
      <c r="G24" s="67">
        <v>626</v>
      </c>
      <c r="H24" s="462" t="s">
        <v>3333</v>
      </c>
      <c r="I24" s="462">
        <v>4345468380</v>
      </c>
      <c r="J24" s="463"/>
      <c r="K24" s="67">
        <v>626</v>
      </c>
      <c r="L24" s="462" t="s">
        <v>3314</v>
      </c>
      <c r="M24" s="462">
        <v>7735527011</v>
      </c>
      <c r="N24" s="463"/>
      <c r="O24" s="184">
        <f>626*1.2</f>
        <v>751.19999999999993</v>
      </c>
      <c r="P24" s="462" t="s">
        <v>3309</v>
      </c>
      <c r="Q24" s="461">
        <v>6915010809</v>
      </c>
      <c r="R24" s="37">
        <f t="shared" si="0"/>
        <v>626</v>
      </c>
      <c r="S24" s="37"/>
      <c r="T24" s="38">
        <v>45855</v>
      </c>
    </row>
    <row r="25" spans="1:20" ht="78.75" customHeight="1" x14ac:dyDescent="0.3">
      <c r="A25" s="11">
        <v>14</v>
      </c>
      <c r="B25" s="466" t="s">
        <v>3313</v>
      </c>
      <c r="C25" s="465" t="s">
        <v>3332</v>
      </c>
      <c r="D25" s="464" t="s">
        <v>3436</v>
      </c>
      <c r="E25" s="68" t="s">
        <v>15</v>
      </c>
      <c r="F25" s="36"/>
      <c r="G25" s="67">
        <f>626*1.2</f>
        <v>751.19999999999993</v>
      </c>
      <c r="H25" s="462" t="s">
        <v>3321</v>
      </c>
      <c r="I25" s="461">
        <v>666307338959</v>
      </c>
      <c r="J25" s="463"/>
      <c r="K25" s="67">
        <f>626*1.2</f>
        <v>751.19999999999993</v>
      </c>
      <c r="L25" s="462" t="s">
        <v>3309</v>
      </c>
      <c r="M25" s="462">
        <v>6915010809</v>
      </c>
      <c r="N25" s="463"/>
      <c r="O25" s="184">
        <v>626</v>
      </c>
      <c r="P25" s="462" t="s">
        <v>3311</v>
      </c>
      <c r="Q25" s="461">
        <v>6915016208</v>
      </c>
      <c r="R25" s="37">
        <f t="shared" si="0"/>
        <v>626</v>
      </c>
      <c r="S25" s="37"/>
      <c r="T25" s="38">
        <v>45855</v>
      </c>
    </row>
    <row r="26" spans="1:20" ht="78.75" customHeight="1" x14ac:dyDescent="0.3">
      <c r="A26" s="61">
        <v>15</v>
      </c>
      <c r="B26" s="466" t="s">
        <v>3313</v>
      </c>
      <c r="C26" s="465" t="s">
        <v>3331</v>
      </c>
      <c r="D26" s="464" t="s">
        <v>3437</v>
      </c>
      <c r="E26" s="68" t="s">
        <v>15</v>
      </c>
      <c r="F26" s="36"/>
      <c r="G26" s="67">
        <v>640</v>
      </c>
      <c r="H26" s="462" t="s">
        <v>3330</v>
      </c>
      <c r="I26" s="461">
        <v>6630008994</v>
      </c>
      <c r="J26" s="463"/>
      <c r="K26" s="67">
        <v>750</v>
      </c>
      <c r="L26" s="462" t="s">
        <v>3329</v>
      </c>
      <c r="M26" s="462">
        <v>7106015779</v>
      </c>
      <c r="N26" s="463"/>
      <c r="O26" s="184">
        <v>626</v>
      </c>
      <c r="P26" s="462" t="s">
        <v>3311</v>
      </c>
      <c r="Q26" s="461">
        <v>6915016208</v>
      </c>
      <c r="R26" s="37">
        <f t="shared" si="0"/>
        <v>626</v>
      </c>
      <c r="S26" s="37"/>
      <c r="T26" s="38">
        <v>45855</v>
      </c>
    </row>
    <row r="27" spans="1:20" ht="78.75" customHeight="1" x14ac:dyDescent="0.3">
      <c r="A27" s="61">
        <v>16</v>
      </c>
      <c r="B27" s="466" t="s">
        <v>3313</v>
      </c>
      <c r="C27" s="465" t="s">
        <v>3328</v>
      </c>
      <c r="D27" s="464" t="s">
        <v>3438</v>
      </c>
      <c r="E27" s="68" t="s">
        <v>15</v>
      </c>
      <c r="F27" s="36"/>
      <c r="G27" s="67">
        <f>2187*1.2</f>
        <v>2624.4</v>
      </c>
      <c r="H27" s="462" t="s">
        <v>3321</v>
      </c>
      <c r="I27" s="461">
        <v>666307338959</v>
      </c>
      <c r="J27" s="463"/>
      <c r="K27" s="67">
        <f>2188*1.2</f>
        <v>2625.6</v>
      </c>
      <c r="L27" s="462" t="s">
        <v>3311</v>
      </c>
      <c r="M27" s="462">
        <v>6915016208</v>
      </c>
      <c r="N27" s="463"/>
      <c r="O27" s="184">
        <f>2188*1.2</f>
        <v>2625.6</v>
      </c>
      <c r="P27" s="462" t="s">
        <v>3309</v>
      </c>
      <c r="Q27" s="461">
        <v>6915010809</v>
      </c>
      <c r="R27" s="37">
        <f t="shared" si="0"/>
        <v>2624.4</v>
      </c>
      <c r="S27" s="37"/>
      <c r="T27" s="38">
        <v>45855</v>
      </c>
    </row>
    <row r="28" spans="1:20" ht="78.75" customHeight="1" x14ac:dyDescent="0.3">
      <c r="A28" s="11">
        <v>17</v>
      </c>
      <c r="B28" s="466" t="s">
        <v>3313</v>
      </c>
      <c r="C28" s="465" t="s">
        <v>3327</v>
      </c>
      <c r="D28" s="464" t="s">
        <v>3439</v>
      </c>
      <c r="E28" s="68" t="s">
        <v>15</v>
      </c>
      <c r="F28" s="36"/>
      <c r="G28" s="67">
        <v>358.8</v>
      </c>
      <c r="H28" s="462" t="s">
        <v>3324</v>
      </c>
      <c r="I28" s="461">
        <v>6915012732</v>
      </c>
      <c r="J28" s="463"/>
      <c r="K28" s="67">
        <v>640</v>
      </c>
      <c r="L28" s="462" t="s">
        <v>3326</v>
      </c>
      <c r="M28" s="462">
        <v>6630008994</v>
      </c>
      <c r="N28" s="463"/>
      <c r="O28" s="184">
        <v>399</v>
      </c>
      <c r="P28" s="462" t="s">
        <v>3311</v>
      </c>
      <c r="Q28" s="461">
        <v>6915016208</v>
      </c>
      <c r="R28" s="37">
        <f t="shared" si="0"/>
        <v>358.8</v>
      </c>
      <c r="S28" s="37"/>
      <c r="T28" s="38">
        <v>45855</v>
      </c>
    </row>
    <row r="29" spans="1:20" ht="78.75" customHeight="1" x14ac:dyDescent="0.3">
      <c r="A29" s="61">
        <v>18</v>
      </c>
      <c r="B29" s="466" t="s">
        <v>3313</v>
      </c>
      <c r="C29" s="465" t="s">
        <v>3325</v>
      </c>
      <c r="D29" s="464" t="s">
        <v>3440</v>
      </c>
      <c r="E29" s="68" t="s">
        <v>15</v>
      </c>
      <c r="F29" s="36"/>
      <c r="G29" s="67">
        <v>478.79999999999995</v>
      </c>
      <c r="H29" s="462" t="s">
        <v>3321</v>
      </c>
      <c r="I29" s="461">
        <v>666307338959</v>
      </c>
      <c r="J29" s="463"/>
      <c r="K29" s="67">
        <v>358.8</v>
      </c>
      <c r="L29" s="462" t="s">
        <v>3324</v>
      </c>
      <c r="M29" s="462">
        <v>6915012732</v>
      </c>
      <c r="N29" s="463"/>
      <c r="O29" s="184">
        <v>399</v>
      </c>
      <c r="P29" s="462" t="s">
        <v>3311</v>
      </c>
      <c r="Q29" s="461">
        <v>6915016208</v>
      </c>
      <c r="R29" s="37">
        <f t="shared" si="0"/>
        <v>358.8</v>
      </c>
      <c r="S29" s="37"/>
      <c r="T29" s="38">
        <v>45855</v>
      </c>
    </row>
    <row r="30" spans="1:20" ht="78.75" customHeight="1" x14ac:dyDescent="0.3">
      <c r="A30" s="61">
        <v>19</v>
      </c>
      <c r="B30" s="466" t="s">
        <v>3313</v>
      </c>
      <c r="C30" s="465" t="s">
        <v>3323</v>
      </c>
      <c r="D30" s="464" t="s">
        <v>3441</v>
      </c>
      <c r="E30" s="68" t="s">
        <v>15</v>
      </c>
      <c r="F30" s="36"/>
      <c r="G30" s="67">
        <f>5018*1.2</f>
        <v>6021.5999999999995</v>
      </c>
      <c r="H30" s="462" t="s">
        <v>3321</v>
      </c>
      <c r="I30" s="461">
        <v>666307338959</v>
      </c>
      <c r="J30" s="463"/>
      <c r="K30" s="67">
        <f>5018*1.2</f>
        <v>6021.5999999999995</v>
      </c>
      <c r="L30" s="462" t="s">
        <v>3309</v>
      </c>
      <c r="M30" s="462">
        <v>6915010809</v>
      </c>
      <c r="N30" s="463"/>
      <c r="O30" s="184">
        <f>5018*1.2</f>
        <v>6021.5999999999995</v>
      </c>
      <c r="P30" s="462" t="s">
        <v>3311</v>
      </c>
      <c r="Q30" s="461">
        <v>6915016208</v>
      </c>
      <c r="R30" s="37">
        <f t="shared" si="0"/>
        <v>6021.5999999999995</v>
      </c>
      <c r="S30" s="37"/>
      <c r="T30" s="38">
        <v>45855</v>
      </c>
    </row>
    <row r="31" spans="1:20" ht="78.75" customHeight="1" x14ac:dyDescent="0.3">
      <c r="A31" s="11">
        <v>20</v>
      </c>
      <c r="B31" s="466" t="s">
        <v>3313</v>
      </c>
      <c r="C31" s="465" t="s">
        <v>3322</v>
      </c>
      <c r="D31" s="464" t="s">
        <v>3442</v>
      </c>
      <c r="E31" s="68" t="s">
        <v>15</v>
      </c>
      <c r="F31" s="36"/>
      <c r="G31" s="67">
        <f>25038*1.2</f>
        <v>30045.599999999999</v>
      </c>
      <c r="H31" s="462" t="s">
        <v>3311</v>
      </c>
      <c r="I31" s="462">
        <v>6915016208</v>
      </c>
      <c r="J31" s="463"/>
      <c r="K31" s="67">
        <f>25038*1.2</f>
        <v>30045.599999999999</v>
      </c>
      <c r="L31" s="462" t="s">
        <v>3321</v>
      </c>
      <c r="M31" s="461">
        <v>666307338959</v>
      </c>
      <c r="N31" s="463"/>
      <c r="O31" s="184">
        <f>25038*1.2</f>
        <v>30045.599999999999</v>
      </c>
      <c r="P31" s="462" t="s">
        <v>3309</v>
      </c>
      <c r="Q31" s="461">
        <v>6915010809</v>
      </c>
      <c r="R31" s="37">
        <f t="shared" si="0"/>
        <v>30045.599999999999</v>
      </c>
      <c r="S31" s="37"/>
      <c r="T31" s="38">
        <v>45855</v>
      </c>
    </row>
    <row r="32" spans="1:20" ht="58.5" customHeight="1" x14ac:dyDescent="0.3">
      <c r="A32" s="61">
        <v>21</v>
      </c>
      <c r="B32" s="466" t="s">
        <v>3313</v>
      </c>
      <c r="C32" s="465" t="s">
        <v>3320</v>
      </c>
      <c r="D32" s="464" t="s">
        <v>3443</v>
      </c>
      <c r="E32" s="68" t="s">
        <v>15</v>
      </c>
      <c r="F32" s="36"/>
      <c r="G32" s="67">
        <v>90</v>
      </c>
      <c r="H32" s="462" t="s">
        <v>3319</v>
      </c>
      <c r="I32" s="461">
        <v>661707360519</v>
      </c>
      <c r="J32" s="463"/>
      <c r="K32" s="67">
        <f>350/4</f>
        <v>87.5</v>
      </c>
      <c r="L32" s="462" t="s">
        <v>3318</v>
      </c>
      <c r="M32" s="461">
        <v>1648054022</v>
      </c>
      <c r="N32" s="463"/>
      <c r="O32" s="184">
        <v>50</v>
      </c>
      <c r="P32" s="462" t="s">
        <v>3317</v>
      </c>
      <c r="Q32" s="461">
        <v>2635800155</v>
      </c>
      <c r="R32" s="37">
        <f t="shared" si="0"/>
        <v>50</v>
      </c>
      <c r="S32" s="37"/>
      <c r="T32" s="38">
        <v>45855</v>
      </c>
    </row>
    <row r="33" spans="1:20" ht="78.75" customHeight="1" x14ac:dyDescent="0.3">
      <c r="A33" s="61">
        <v>22</v>
      </c>
      <c r="B33" s="466" t="s">
        <v>3313</v>
      </c>
      <c r="C33" s="465" t="s">
        <v>3316</v>
      </c>
      <c r="D33" s="464" t="s">
        <v>3444</v>
      </c>
      <c r="E33" s="68" t="s">
        <v>15</v>
      </c>
      <c r="F33" s="36"/>
      <c r="G33" s="67">
        <f>335*1.2</f>
        <v>402</v>
      </c>
      <c r="H33" s="462" t="s">
        <v>3309</v>
      </c>
      <c r="I33" s="462">
        <v>6915010809</v>
      </c>
      <c r="J33" s="463"/>
      <c r="K33" s="67">
        <v>495</v>
      </c>
      <c r="L33" s="462" t="s">
        <v>3314</v>
      </c>
      <c r="M33" s="462">
        <v>7735527011</v>
      </c>
      <c r="N33" s="463"/>
      <c r="O33" s="184">
        <f>335*1.2</f>
        <v>402</v>
      </c>
      <c r="P33" s="462" t="s">
        <v>3311</v>
      </c>
      <c r="Q33" s="461">
        <v>6915016208</v>
      </c>
      <c r="R33" s="37">
        <f t="shared" si="0"/>
        <v>402</v>
      </c>
      <c r="S33" s="37"/>
      <c r="T33" s="38">
        <v>45855</v>
      </c>
    </row>
    <row r="34" spans="1:20" ht="78.75" customHeight="1" x14ac:dyDescent="0.3">
      <c r="A34" s="61">
        <v>23</v>
      </c>
      <c r="B34" s="466" t="s">
        <v>3313</v>
      </c>
      <c r="C34" s="465" t="s">
        <v>3315</v>
      </c>
      <c r="D34" s="464" t="s">
        <v>3445</v>
      </c>
      <c r="E34" s="68" t="s">
        <v>15</v>
      </c>
      <c r="F34" s="36"/>
      <c r="G34" s="67">
        <v>270</v>
      </c>
      <c r="H34" s="462" t="s">
        <v>3311</v>
      </c>
      <c r="I34" s="462">
        <v>6915016208</v>
      </c>
      <c r="J34" s="463"/>
      <c r="K34" s="67">
        <v>280</v>
      </c>
      <c r="L34" s="462" t="s">
        <v>3314</v>
      </c>
      <c r="M34" s="462">
        <v>7735527011</v>
      </c>
      <c r="N34" s="463"/>
      <c r="O34" s="184">
        <v>113</v>
      </c>
      <c r="P34" s="462" t="s">
        <v>1254</v>
      </c>
      <c r="Q34" s="461">
        <v>7717620032</v>
      </c>
      <c r="R34" s="37">
        <f t="shared" si="0"/>
        <v>113</v>
      </c>
      <c r="S34" s="37"/>
      <c r="T34" s="38">
        <v>45855</v>
      </c>
    </row>
    <row r="35" spans="1:20" ht="70.5" customHeight="1" x14ac:dyDescent="0.3">
      <c r="A35" s="11">
        <v>24</v>
      </c>
      <c r="B35" s="350" t="s">
        <v>3313</v>
      </c>
      <c r="C35" s="39" t="s">
        <v>3312</v>
      </c>
      <c r="D35" s="464" t="s">
        <v>3446</v>
      </c>
      <c r="E35" s="68" t="s">
        <v>15</v>
      </c>
      <c r="F35" s="36"/>
      <c r="G35" s="67">
        <f>1238*1.2</f>
        <v>1485.6</v>
      </c>
      <c r="H35" s="462" t="s">
        <v>3311</v>
      </c>
      <c r="I35" s="462">
        <v>6915016208</v>
      </c>
      <c r="J35" s="463"/>
      <c r="K35" s="67">
        <v>1345</v>
      </c>
      <c r="L35" s="462" t="s">
        <v>3310</v>
      </c>
      <c r="M35" s="462">
        <v>9715469125</v>
      </c>
      <c r="N35" s="463"/>
      <c r="O35" s="184">
        <f>1208*1.2</f>
        <v>1449.6</v>
      </c>
      <c r="P35" s="462" t="s">
        <v>3309</v>
      </c>
      <c r="Q35" s="461">
        <v>6915010809</v>
      </c>
      <c r="R35" s="37">
        <f t="shared" si="0"/>
        <v>1345</v>
      </c>
      <c r="S35" s="37"/>
      <c r="T35" s="38">
        <v>45855</v>
      </c>
    </row>
    <row r="36" spans="1:20" ht="60" customHeight="1" x14ac:dyDescent="0.25">
      <c r="A36" s="40"/>
      <c r="B36" s="41"/>
      <c r="C36" s="460"/>
      <c r="D36" s="42"/>
      <c r="E36" s="43"/>
      <c r="F36" s="44"/>
      <c r="G36" s="45"/>
      <c r="H36" s="46"/>
      <c r="I36" s="47"/>
      <c r="J36" s="44"/>
      <c r="K36" s="45"/>
      <c r="L36" s="46"/>
      <c r="M36" s="48"/>
      <c r="N36" s="44"/>
      <c r="O36" s="45"/>
      <c r="P36" s="45"/>
      <c r="Q36" s="49"/>
      <c r="R36" s="45"/>
      <c r="S36" s="45"/>
      <c r="T36" s="50"/>
    </row>
    <row r="37" spans="1:20" x14ac:dyDescent="0.25">
      <c r="A37"/>
      <c r="B37"/>
      <c r="C37"/>
      <c r="D37"/>
      <c r="E37"/>
      <c r="F37"/>
      <c r="G37"/>
      <c r="H37"/>
      <c r="I37"/>
      <c r="J37"/>
      <c r="K37"/>
      <c r="L37"/>
      <c r="M37"/>
      <c r="N37"/>
      <c r="O37"/>
      <c r="P37"/>
      <c r="Q37"/>
      <c r="R37"/>
      <c r="S37"/>
      <c r="T37"/>
    </row>
    <row r="38" spans="1:20" x14ac:dyDescent="0.25">
      <c r="A38"/>
      <c r="B38" s="517" t="s">
        <v>16</v>
      </c>
      <c r="C38" s="517"/>
      <c r="D38" s="517"/>
      <c r="E38" s="14"/>
      <c r="F38" s="14"/>
      <c r="G38" s="14"/>
      <c r="H38" s="14"/>
      <c r="I38" s="14"/>
      <c r="J38" s="14"/>
      <c r="K38" s="14"/>
      <c r="L38" s="14"/>
      <c r="M38" s="14"/>
      <c r="N38" s="14"/>
      <c r="O38" s="14"/>
      <c r="P38" s="14"/>
      <c r="Q38" s="518" t="s">
        <v>25</v>
      </c>
      <c r="R38" s="518"/>
      <c r="S38" s="14"/>
      <c r="T38"/>
    </row>
    <row r="39" spans="1:20" x14ac:dyDescent="0.25">
      <c r="A39"/>
      <c r="B39" s="82"/>
      <c r="C39" s="82"/>
      <c r="D39" s="82"/>
      <c r="E39" s="14"/>
      <c r="F39" s="14"/>
      <c r="G39" s="14"/>
      <c r="H39" s="14"/>
      <c r="I39" s="14"/>
      <c r="J39" s="14"/>
      <c r="K39" s="14"/>
      <c r="L39" s="14"/>
      <c r="M39" s="14"/>
      <c r="N39" s="14"/>
      <c r="O39" s="14"/>
      <c r="P39" s="14"/>
      <c r="Q39" s="82"/>
      <c r="R39" s="82"/>
      <c r="S39" s="14"/>
      <c r="T39"/>
    </row>
    <row r="40" spans="1:20" x14ac:dyDescent="0.25">
      <c r="A40"/>
      <c r="B40" s="82"/>
      <c r="C40" s="82"/>
      <c r="D40" s="82"/>
      <c r="E40" s="14"/>
      <c r="F40" s="14"/>
      <c r="G40" s="14"/>
      <c r="H40" s="14"/>
      <c r="I40" s="14"/>
      <c r="J40" s="14"/>
      <c r="K40" s="14"/>
      <c r="L40" s="14"/>
      <c r="M40" s="14"/>
      <c r="N40" s="14"/>
      <c r="O40" s="14"/>
      <c r="P40" s="14"/>
      <c r="Q40" s="82"/>
      <c r="R40" s="82"/>
      <c r="S40" s="14"/>
      <c r="T40"/>
    </row>
    <row r="41" spans="1:20" x14ac:dyDescent="0.25">
      <c r="A41"/>
      <c r="B41" s="82"/>
      <c r="C41" s="82"/>
      <c r="D41" s="82"/>
      <c r="E41" s="14"/>
      <c r="F41" s="14"/>
      <c r="G41" s="14"/>
      <c r="H41" s="14"/>
      <c r="I41" s="14"/>
      <c r="J41" s="14"/>
      <c r="K41" s="14"/>
      <c r="L41" s="14"/>
      <c r="M41" s="14"/>
      <c r="N41" s="14"/>
      <c r="O41" s="14"/>
      <c r="P41" s="14"/>
      <c r="Q41" s="82"/>
      <c r="R41" s="82"/>
      <c r="S41" s="14"/>
      <c r="T41"/>
    </row>
    <row r="42" spans="1:20" ht="15.75" customHeight="1" x14ac:dyDescent="0.25">
      <c r="A42"/>
      <c r="B42" s="82"/>
      <c r="C42" s="520" t="s">
        <v>23</v>
      </c>
      <c r="D42" s="22"/>
      <c r="E42" s="22"/>
      <c r="F42" s="14"/>
      <c r="G42" s="14"/>
      <c r="H42" s="14"/>
      <c r="I42" s="14"/>
      <c r="J42" s="14"/>
      <c r="K42" s="14"/>
      <c r="L42" s="14"/>
      <c r="M42" s="14"/>
      <c r="N42" s="14"/>
      <c r="O42" s="14"/>
      <c r="P42" s="14"/>
      <c r="Q42" s="82"/>
      <c r="R42" s="82"/>
      <c r="S42" s="14"/>
      <c r="T42"/>
    </row>
    <row r="43" spans="1:20" ht="37.5" customHeight="1" x14ac:dyDescent="0.3">
      <c r="A43"/>
      <c r="B43" s="82"/>
      <c r="C43" s="520"/>
      <c r="D43" s="82"/>
      <c r="E43" s="14"/>
      <c r="F43" s="14"/>
      <c r="G43" s="14"/>
      <c r="H43" s="14"/>
      <c r="I43" s="14"/>
      <c r="J43" s="14"/>
      <c r="K43" s="14"/>
      <c r="L43" s="14"/>
      <c r="M43" s="14"/>
      <c r="N43" s="521" t="s">
        <v>20</v>
      </c>
      <c r="O43" s="521"/>
      <c r="P43" s="521"/>
      <c r="Q43" s="521"/>
      <c r="R43" s="82"/>
      <c r="S43" s="14"/>
      <c r="T43"/>
    </row>
    <row r="44" spans="1:20" x14ac:dyDescent="0.25">
      <c r="A44"/>
      <c r="B44" s="82"/>
      <c r="C44" s="82"/>
      <c r="D44" s="82"/>
      <c r="E44" s="14" t="s">
        <v>343</v>
      </c>
      <c r="F44" s="14"/>
      <c r="G44" s="14"/>
      <c r="H44" s="14"/>
      <c r="I44" s="14"/>
      <c r="J44" s="14"/>
      <c r="K44" s="14"/>
      <c r="L44" s="14"/>
      <c r="M44" s="14"/>
      <c r="N44" s="21" t="s">
        <v>19</v>
      </c>
      <c r="O44" s="21"/>
      <c r="P44" s="21"/>
      <c r="Q44" s="20"/>
      <c r="R44" s="82"/>
      <c r="S44" s="14"/>
      <c r="T44"/>
    </row>
    <row r="45" spans="1:20" ht="18.75" x14ac:dyDescent="0.3">
      <c r="A45"/>
      <c r="B45" s="522" t="s">
        <v>3308</v>
      </c>
      <c r="C45" s="522"/>
      <c r="D45" s="522"/>
      <c r="E45" s="522"/>
      <c r="F45" s="522"/>
      <c r="G45" s="522"/>
      <c r="H45" s="522"/>
      <c r="I45" s="522"/>
      <c r="J45" s="522"/>
      <c r="K45" s="522"/>
      <c r="L45" s="522"/>
      <c r="M45" s="522"/>
      <c r="N45" s="522" t="s">
        <v>21</v>
      </c>
      <c r="O45" s="522"/>
      <c r="P45" s="522"/>
      <c r="Q45" s="522"/>
      <c r="R45" s="82"/>
      <c r="S45" s="23" t="s">
        <v>22</v>
      </c>
      <c r="T45"/>
    </row>
    <row r="46" spans="1:20" x14ac:dyDescent="0.25">
      <c r="A46"/>
      <c r="B46" s="82"/>
      <c r="C46" s="82"/>
      <c r="D46" s="82"/>
      <c r="E46" s="14"/>
      <c r="F46" s="14"/>
      <c r="G46" s="14"/>
      <c r="H46" s="14"/>
      <c r="I46" s="14"/>
      <c r="J46" s="14"/>
      <c r="K46" s="14"/>
      <c r="L46" s="14"/>
      <c r="M46" s="14"/>
      <c r="N46" s="14"/>
      <c r="O46" s="14"/>
      <c r="P46" s="14"/>
      <c r="Q46" s="82"/>
      <c r="R46" s="82"/>
      <c r="S46" s="14"/>
      <c r="T46"/>
    </row>
    <row r="47" spans="1:20" x14ac:dyDescent="0.25">
      <c r="A47"/>
      <c r="B47" s="519" t="s">
        <v>19</v>
      </c>
      <c r="C47" s="519"/>
      <c r="D47" s="519"/>
      <c r="E47" s="14"/>
      <c r="F47" s="14"/>
      <c r="G47" s="14"/>
      <c r="H47" s="14"/>
      <c r="I47" s="14"/>
      <c r="J47" s="14"/>
      <c r="K47" s="14"/>
      <c r="L47" s="14"/>
      <c r="M47" s="14"/>
      <c r="N47" s="14"/>
      <c r="O47" s="14"/>
      <c r="P47" s="14"/>
      <c r="Q47" s="519" t="s">
        <v>19</v>
      </c>
      <c r="R47" s="519"/>
      <c r="S47" s="519"/>
      <c r="T47"/>
    </row>
    <row r="48" spans="1:20" x14ac:dyDescent="0.25">
      <c r="A48"/>
      <c r="B48" s="519" t="s">
        <v>19</v>
      </c>
      <c r="C48" s="519"/>
      <c r="D48" s="519"/>
      <c r="E48" s="14"/>
      <c r="F48" s="14"/>
      <c r="G48" s="14"/>
      <c r="H48" s="14"/>
      <c r="I48" s="14"/>
      <c r="J48" s="14"/>
      <c r="K48" s="14"/>
      <c r="L48" s="14"/>
      <c r="M48" s="14"/>
      <c r="N48" s="14"/>
      <c r="O48" s="14"/>
      <c r="P48" s="14"/>
      <c r="Q48" s="519" t="s">
        <v>19</v>
      </c>
      <c r="R48" s="519"/>
      <c r="S48" s="519"/>
      <c r="T48"/>
    </row>
    <row r="49" spans="1:20" x14ac:dyDescent="0.25">
      <c r="A49"/>
      <c r="B49"/>
      <c r="C49"/>
      <c r="D49"/>
      <c r="E49"/>
      <c r="F49"/>
      <c r="G49"/>
      <c r="H49"/>
      <c r="I49"/>
      <c r="J49"/>
      <c r="K49"/>
      <c r="L49"/>
      <c r="M49"/>
      <c r="N49"/>
      <c r="O49"/>
      <c r="P49"/>
      <c r="Q49"/>
      <c r="R49"/>
      <c r="S49"/>
      <c r="T49"/>
    </row>
    <row r="50" spans="1:20" x14ac:dyDescent="0.25">
      <c r="A50"/>
      <c r="B50"/>
      <c r="C50"/>
      <c r="D50"/>
      <c r="E50"/>
      <c r="F50"/>
      <c r="G50"/>
      <c r="H50"/>
      <c r="I50"/>
      <c r="J50"/>
      <c r="K50"/>
      <c r="L50"/>
      <c r="M50"/>
      <c r="N50"/>
      <c r="O50"/>
      <c r="P50"/>
      <c r="Q50"/>
      <c r="R50"/>
      <c r="S50"/>
      <c r="T50"/>
    </row>
    <row r="51" spans="1:20" x14ac:dyDescent="0.25">
      <c r="A51"/>
      <c r="B51" s="516" t="s">
        <v>17</v>
      </c>
      <c r="C51" s="516"/>
      <c r="D51" s="516"/>
      <c r="E51" s="516"/>
      <c r="F51" s="516"/>
      <c r="G51" s="516"/>
      <c r="H51" s="516"/>
      <c r="I51" s="516"/>
      <c r="J51" s="516"/>
      <c r="K51" s="516"/>
      <c r="L51" s="516"/>
      <c r="M51" s="516"/>
      <c r="N51"/>
      <c r="O51"/>
      <c r="P51"/>
      <c r="Q51"/>
      <c r="R51"/>
      <c r="S51"/>
      <c r="T51"/>
    </row>
    <row r="52" spans="1:20" x14ac:dyDescent="0.25">
      <c r="A52"/>
      <c r="B52" s="516" t="s">
        <v>18</v>
      </c>
      <c r="C52" s="516"/>
      <c r="D52" s="516"/>
      <c r="E52" s="516"/>
      <c r="F52" s="516"/>
      <c r="G52" s="516"/>
      <c r="H52" s="516"/>
      <c r="I52" s="516"/>
      <c r="J52" s="516"/>
      <c r="K52" s="516"/>
      <c r="L52" s="516"/>
      <c r="M52" s="516"/>
      <c r="N52"/>
      <c r="O52"/>
      <c r="P52"/>
      <c r="Q52"/>
      <c r="R52"/>
      <c r="S52"/>
      <c r="T52"/>
    </row>
    <row r="53" spans="1:20" x14ac:dyDescent="0.25">
      <c r="A53"/>
      <c r="B53"/>
      <c r="C53"/>
      <c r="D53"/>
      <c r="E53"/>
      <c r="F53"/>
      <c r="G53"/>
      <c r="H53"/>
      <c r="I53"/>
      <c r="J53"/>
      <c r="K53"/>
      <c r="L53"/>
      <c r="M53"/>
      <c r="N53"/>
      <c r="O53"/>
      <c r="P53"/>
      <c r="Q53"/>
      <c r="R53"/>
      <c r="S53"/>
      <c r="T53"/>
    </row>
  </sheetData>
  <mergeCells count="28">
    <mergeCell ref="A8:A9"/>
    <mergeCell ref="B8:B9"/>
    <mergeCell ref="C8:C9"/>
    <mergeCell ref="D8:D9"/>
    <mergeCell ref="E8:E9"/>
    <mergeCell ref="C1:Q1"/>
    <mergeCell ref="F2:J2"/>
    <mergeCell ref="R3:S3"/>
    <mergeCell ref="Q4:T4"/>
    <mergeCell ref="F8:I8"/>
    <mergeCell ref="J8:M8"/>
    <mergeCell ref="N8:Q8"/>
    <mergeCell ref="R8:R9"/>
    <mergeCell ref="S8:S9"/>
    <mergeCell ref="B5:O6"/>
    <mergeCell ref="T8:T9"/>
    <mergeCell ref="N43:Q43"/>
    <mergeCell ref="N45:Q45"/>
    <mergeCell ref="B51:M51"/>
    <mergeCell ref="B52:M52"/>
    <mergeCell ref="B38:D38"/>
    <mergeCell ref="Q38:R38"/>
    <mergeCell ref="B47:D47"/>
    <mergeCell ref="Q47:S47"/>
    <mergeCell ref="B48:D48"/>
    <mergeCell ref="Q48:S48"/>
    <mergeCell ref="C42:C43"/>
    <mergeCell ref="B45:M45"/>
  </mergeCells>
  <phoneticPr fontId="26" type="noConversion"/>
  <hyperlinks>
    <hyperlink ref="B35" r:id="rId1" display="https://zakupki44fz.ru/app/okpd2/25.99.29.190" xr:uid="{00000000-0004-0000-1300-000000000000}"/>
  </hyperlinks>
  <printOptions horizontalCentered="1"/>
  <pageMargins left="0.78740157480314965" right="0.39370078740157483" top="0.70866141732283472" bottom="0.74803149606299213" header="0.31496062992125984" footer="0.31496062992125984"/>
  <pageSetup paperSize="9" scale="19"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20</vt:i4>
      </vt:variant>
      <vt:variant>
        <vt:lpstr>Именованные диапазоны</vt:lpstr>
      </vt:variant>
      <vt:variant>
        <vt:i4>11</vt:i4>
      </vt:variant>
    </vt:vector>
  </HeadingPairs>
  <TitlesOfParts>
    <vt:vector size="31" baseType="lpstr">
      <vt:lpstr>02-01-01 АР</vt:lpstr>
      <vt:lpstr>02-01-03 ЭОМ</vt:lpstr>
      <vt:lpstr>02-01-04 Водоснаб</vt:lpstr>
      <vt:lpstr>02-01-05 Водоотвед</vt:lpstr>
      <vt:lpstr>02-01-06 Отопление</vt:lpstr>
      <vt:lpstr>02-01-07 Вентиляция КА</vt:lpstr>
      <vt:lpstr>02-01-08 АПС КА</vt:lpstr>
      <vt:lpstr>02-01-09 СОУЭ КА</vt:lpstr>
      <vt:lpstr>02-01-10 РФ</vt:lpstr>
      <vt:lpstr>02-01-11 СКТ КА</vt:lpstr>
      <vt:lpstr>02-01-12 СКС КА</vt:lpstr>
      <vt:lpstr>02-01-13 ЭЧ КА</vt:lpstr>
      <vt:lpstr>02-01-14  СОТ КА</vt:lpstr>
      <vt:lpstr>02-01-15 СКУД</vt:lpstr>
      <vt:lpstr>02-01-16 СОС</vt:lpstr>
      <vt:lpstr>02-01-17 СДС КА</vt:lpstr>
      <vt:lpstr>02-01-18 АДИС</vt:lpstr>
      <vt:lpstr>02-01-19 ВТ</vt:lpstr>
      <vt:lpstr>02-01-20 ПТА</vt:lpstr>
      <vt:lpstr>02-01-22 ОДИ</vt:lpstr>
      <vt:lpstr>'02-01-04 Водоснаб'!Print_Area</vt:lpstr>
      <vt:lpstr>'02-01-05 Водоотвед'!Print_Area</vt:lpstr>
      <vt:lpstr>'02-01-06 Отопление'!Print_Area</vt:lpstr>
      <vt:lpstr>'02-01-09 СОУЭ КА'!Print_Area</vt:lpstr>
      <vt:lpstr>'02-01-15 СКУД'!Print_Area</vt:lpstr>
      <vt:lpstr>'02-01-16 СОС'!Print_Area</vt:lpstr>
      <vt:lpstr>'02-01-18 АДИС'!Print_Area</vt:lpstr>
      <vt:lpstr>'02-01-03 ЭОМ'!Область_печати</vt:lpstr>
      <vt:lpstr>'02-01-10 РФ'!Область_печати</vt:lpstr>
      <vt:lpstr>'02-01-13 ЭЧ КА'!Область_печати</vt:lpstr>
      <vt:lpstr>'02-01-14  СОТ КА'!Область_печати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2026-05-07T08:22:54Z</dcterms:modified>
</cp:coreProperties>
</file>