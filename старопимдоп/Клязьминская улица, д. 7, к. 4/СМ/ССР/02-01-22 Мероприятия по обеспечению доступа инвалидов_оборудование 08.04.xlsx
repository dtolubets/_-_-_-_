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5 год\ШКОЛЫ\Клязьминская ул., д.7, к. 4\Сметы\"/>
    </mc:Choice>
  </mc:AlternateContent>
  <xr:revisionPtr revIDLastSave="0" documentId="13_ncr:1_{82692FF0-0412-48CB-B0B0-AAE0EF0CC5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2-01-22" sheetId="7" r:id="rId1"/>
    <sheet name="02-01-22_1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'02-01-22'!$28:$28</definedName>
    <definedName name="_xlnm.Print_Titles" localSheetId="1">'02-01-22_1'!$17:$17</definedName>
    <definedName name="_xlnm.Print_Area" localSheetId="0">'02-01-22'!$A$1:$K$458</definedName>
    <definedName name="_xlnm.Print_Area" localSheetId="1">'02-01-22_1'!$A$1:$H$95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3" i="8" l="1"/>
  <c r="D91" i="8"/>
  <c r="F88" i="8"/>
  <c r="E88" i="8"/>
  <c r="C88" i="8"/>
  <c r="B88" i="8"/>
  <c r="G87" i="8"/>
  <c r="F87" i="8"/>
  <c r="E87" i="8"/>
  <c r="C87" i="8"/>
  <c r="B87" i="8"/>
  <c r="A86" i="8"/>
  <c r="F85" i="8"/>
  <c r="E85" i="8"/>
  <c r="C85" i="8"/>
  <c r="B85" i="8"/>
  <c r="G84" i="8"/>
  <c r="F84" i="8"/>
  <c r="E84" i="8"/>
  <c r="C84" i="8"/>
  <c r="B84" i="8"/>
  <c r="A83" i="8"/>
  <c r="F82" i="8"/>
  <c r="E82" i="8"/>
  <c r="C82" i="8"/>
  <c r="B82" i="8"/>
  <c r="G81" i="8"/>
  <c r="F81" i="8"/>
  <c r="E81" i="8"/>
  <c r="C81" i="8"/>
  <c r="B81" i="8"/>
  <c r="A80" i="8"/>
  <c r="F79" i="8"/>
  <c r="E79" i="8"/>
  <c r="C79" i="8"/>
  <c r="B79" i="8"/>
  <c r="G78" i="8"/>
  <c r="F78" i="8"/>
  <c r="E78" i="8"/>
  <c r="C78" i="8"/>
  <c r="B78" i="8"/>
  <c r="A77" i="8"/>
  <c r="F76" i="8"/>
  <c r="E76" i="8"/>
  <c r="C76" i="8"/>
  <c r="B76" i="8"/>
  <c r="G75" i="8"/>
  <c r="F75" i="8"/>
  <c r="E75" i="8"/>
  <c r="C75" i="8"/>
  <c r="B75" i="8"/>
  <c r="A74" i="8"/>
  <c r="F73" i="8"/>
  <c r="E73" i="8"/>
  <c r="C73" i="8"/>
  <c r="B73" i="8"/>
  <c r="G72" i="8"/>
  <c r="F72" i="8"/>
  <c r="E72" i="8"/>
  <c r="C72" i="8"/>
  <c r="B72" i="8"/>
  <c r="F71" i="8"/>
  <c r="E71" i="8"/>
  <c r="C71" i="8"/>
  <c r="B71" i="8"/>
  <c r="G70" i="8"/>
  <c r="F70" i="8"/>
  <c r="E70" i="8"/>
  <c r="C70" i="8"/>
  <c r="B70" i="8"/>
  <c r="F69" i="8"/>
  <c r="E69" i="8"/>
  <c r="C69" i="8"/>
  <c r="B69" i="8"/>
  <c r="G68" i="8"/>
  <c r="F68" i="8"/>
  <c r="E68" i="8"/>
  <c r="C68" i="8"/>
  <c r="B68" i="8"/>
  <c r="F67" i="8"/>
  <c r="E67" i="8"/>
  <c r="C67" i="8"/>
  <c r="B67" i="8"/>
  <c r="G66" i="8"/>
  <c r="F66" i="8"/>
  <c r="E66" i="8"/>
  <c r="C66" i="8"/>
  <c r="B66" i="8"/>
  <c r="F65" i="8"/>
  <c r="E65" i="8"/>
  <c r="C65" i="8"/>
  <c r="B65" i="8"/>
  <c r="G64" i="8"/>
  <c r="F64" i="8"/>
  <c r="E64" i="8"/>
  <c r="C64" i="8"/>
  <c r="B64" i="8"/>
  <c r="F63" i="8"/>
  <c r="E63" i="8"/>
  <c r="C63" i="8"/>
  <c r="B63" i="8"/>
  <c r="G62" i="8"/>
  <c r="F62" i="8"/>
  <c r="E62" i="8"/>
  <c r="C62" i="8"/>
  <c r="B62" i="8"/>
  <c r="F61" i="8"/>
  <c r="E61" i="8"/>
  <c r="C61" i="8"/>
  <c r="B61" i="8"/>
  <c r="G60" i="8"/>
  <c r="F60" i="8"/>
  <c r="E60" i="8"/>
  <c r="C60" i="8"/>
  <c r="B60" i="8"/>
  <c r="F59" i="8"/>
  <c r="E59" i="8"/>
  <c r="C59" i="8"/>
  <c r="B59" i="8"/>
  <c r="G58" i="8"/>
  <c r="F58" i="8"/>
  <c r="E58" i="8"/>
  <c r="C58" i="8"/>
  <c r="B58" i="8"/>
  <c r="F57" i="8"/>
  <c r="E57" i="8"/>
  <c r="C57" i="8"/>
  <c r="B57" i="8"/>
  <c r="G56" i="8"/>
  <c r="F56" i="8"/>
  <c r="E56" i="8"/>
  <c r="C56" i="8"/>
  <c r="B56" i="8"/>
  <c r="F55" i="8"/>
  <c r="E55" i="8"/>
  <c r="C55" i="8"/>
  <c r="B55" i="8"/>
  <c r="G54" i="8"/>
  <c r="F54" i="8"/>
  <c r="E54" i="8"/>
  <c r="C54" i="8"/>
  <c r="B54" i="8"/>
  <c r="F53" i="8"/>
  <c r="E53" i="8"/>
  <c r="C53" i="8"/>
  <c r="B53" i="8"/>
  <c r="G52" i="8"/>
  <c r="F52" i="8"/>
  <c r="E52" i="8"/>
  <c r="C52" i="8"/>
  <c r="B52" i="8"/>
  <c r="F51" i="8"/>
  <c r="E51" i="8"/>
  <c r="C51" i="8"/>
  <c r="B51" i="8"/>
  <c r="G50" i="8"/>
  <c r="F50" i="8"/>
  <c r="E50" i="8"/>
  <c r="C50" i="8"/>
  <c r="B50" i="8"/>
  <c r="F49" i="8"/>
  <c r="E49" i="8"/>
  <c r="C49" i="8"/>
  <c r="B49" i="8"/>
  <c r="G48" i="8"/>
  <c r="F48" i="8"/>
  <c r="E48" i="8"/>
  <c r="C48" i="8"/>
  <c r="B48" i="8"/>
  <c r="F47" i="8"/>
  <c r="E47" i="8"/>
  <c r="C47" i="8"/>
  <c r="B47" i="8"/>
  <c r="G46" i="8"/>
  <c r="F46" i="8"/>
  <c r="E46" i="8"/>
  <c r="C46" i="8"/>
  <c r="B46" i="8"/>
  <c r="F45" i="8"/>
  <c r="E45" i="8"/>
  <c r="C45" i="8"/>
  <c r="B45" i="8"/>
  <c r="G44" i="8"/>
  <c r="F44" i="8"/>
  <c r="E44" i="8"/>
  <c r="C44" i="8"/>
  <c r="B44" i="8"/>
  <c r="F43" i="8"/>
  <c r="E43" i="8"/>
  <c r="C43" i="8"/>
  <c r="B43" i="8"/>
  <c r="G42" i="8"/>
  <c r="F42" i="8"/>
  <c r="E42" i="8"/>
  <c r="C42" i="8"/>
  <c r="B42" i="8"/>
  <c r="F41" i="8"/>
  <c r="E41" i="8"/>
  <c r="C41" i="8"/>
  <c r="B41" i="8"/>
  <c r="G40" i="8"/>
  <c r="F40" i="8"/>
  <c r="E40" i="8"/>
  <c r="C40" i="8"/>
  <c r="B40" i="8"/>
  <c r="F39" i="8"/>
  <c r="E39" i="8"/>
  <c r="C39" i="8"/>
  <c r="B39" i="8"/>
  <c r="G38" i="8"/>
  <c r="F38" i="8"/>
  <c r="E38" i="8"/>
  <c r="C38" i="8"/>
  <c r="B38" i="8"/>
  <c r="A37" i="8"/>
  <c r="G36" i="8"/>
  <c r="F36" i="8"/>
  <c r="E36" i="8"/>
  <c r="C36" i="8"/>
  <c r="B36" i="8"/>
  <c r="G35" i="8"/>
  <c r="F35" i="8"/>
  <c r="E35" i="8"/>
  <c r="C35" i="8"/>
  <c r="B35" i="8"/>
  <c r="G34" i="8"/>
  <c r="F34" i="8"/>
  <c r="E34" i="8"/>
  <c r="C34" i="8"/>
  <c r="B34" i="8"/>
  <c r="G33" i="8"/>
  <c r="F33" i="8"/>
  <c r="E33" i="8"/>
  <c r="C33" i="8"/>
  <c r="B33" i="8"/>
  <c r="G32" i="8"/>
  <c r="F32" i="8"/>
  <c r="E32" i="8"/>
  <c r="C32" i="8"/>
  <c r="B32" i="8"/>
  <c r="G31" i="8"/>
  <c r="F31" i="8"/>
  <c r="E31" i="8"/>
  <c r="C31" i="8"/>
  <c r="B31" i="8"/>
  <c r="A30" i="8"/>
  <c r="G29" i="8"/>
  <c r="F29" i="8"/>
  <c r="E29" i="8"/>
  <c r="C29" i="8"/>
  <c r="B29" i="8"/>
  <c r="G28" i="8"/>
  <c r="F28" i="8"/>
  <c r="E28" i="8"/>
  <c r="C28" i="8"/>
  <c r="B28" i="8"/>
  <c r="G27" i="8"/>
  <c r="F27" i="8"/>
  <c r="E27" i="8"/>
  <c r="C27" i="8"/>
  <c r="B27" i="8"/>
  <c r="G26" i="8"/>
  <c r="F26" i="8"/>
  <c r="E26" i="8"/>
  <c r="C26" i="8"/>
  <c r="B26" i="8"/>
  <c r="G25" i="8"/>
  <c r="F25" i="8"/>
  <c r="E25" i="8"/>
  <c r="C25" i="8"/>
  <c r="B25" i="8"/>
  <c r="A24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G19" i="8"/>
  <c r="F19" i="8"/>
  <c r="E19" i="8"/>
  <c r="C19" i="8"/>
  <c r="B19" i="8"/>
  <c r="A18" i="8"/>
  <c r="B14" i="8"/>
  <c r="B13" i="8"/>
  <c r="B12" i="8"/>
  <c r="A1" i="8"/>
  <c r="H456" i="7"/>
  <c r="H453" i="7"/>
  <c r="C456" i="7"/>
  <c r="C453" i="7"/>
  <c r="J23" i="7"/>
  <c r="J20" i="7"/>
  <c r="J19" i="7"/>
  <c r="J17" i="7"/>
  <c r="J16" i="7"/>
  <c r="J15" i="7"/>
  <c r="I23" i="7"/>
  <c r="I21" i="7"/>
  <c r="I20" i="7"/>
  <c r="I19" i="7"/>
  <c r="I17" i="7"/>
  <c r="I16" i="7"/>
  <c r="I15" i="7"/>
  <c r="I450" i="7"/>
  <c r="J450" i="7"/>
  <c r="I449" i="7"/>
  <c r="J449" i="7"/>
  <c r="AQ448" i="7"/>
  <c r="A448" i="7"/>
  <c r="I446" i="7"/>
  <c r="J446" i="7"/>
  <c r="I445" i="7"/>
  <c r="J445" i="7"/>
  <c r="A444" i="7"/>
  <c r="H440" i="7"/>
  <c r="J440" i="7"/>
  <c r="I438" i="7"/>
  <c r="H438" i="7"/>
  <c r="G438" i="7"/>
  <c r="E438" i="7"/>
  <c r="J437" i="7"/>
  <c r="E437" i="7"/>
  <c r="J436" i="7"/>
  <c r="E436" i="7"/>
  <c r="K435" i="7"/>
  <c r="J435" i="7"/>
  <c r="H435" i="7"/>
  <c r="I435" i="7"/>
  <c r="F435" i="7"/>
  <c r="V435" i="7"/>
  <c r="T435" i="7"/>
  <c r="R435" i="7"/>
  <c r="U435" i="7"/>
  <c r="S435" i="7"/>
  <c r="Q435" i="7"/>
  <c r="E435" i="7"/>
  <c r="D435" i="7"/>
  <c r="B435" i="7"/>
  <c r="K434" i="7"/>
  <c r="J434" i="7"/>
  <c r="I434" i="7"/>
  <c r="H434" i="7"/>
  <c r="G434" i="7"/>
  <c r="F434" i="7"/>
  <c r="K433" i="7"/>
  <c r="J433" i="7"/>
  <c r="I433" i="7"/>
  <c r="H433" i="7"/>
  <c r="G433" i="7"/>
  <c r="F433" i="7"/>
  <c r="K432" i="7"/>
  <c r="J432" i="7"/>
  <c r="I432" i="7"/>
  <c r="H432" i="7"/>
  <c r="G432" i="7"/>
  <c r="F432" i="7"/>
  <c r="K431" i="7"/>
  <c r="J431" i="7"/>
  <c r="I431" i="7"/>
  <c r="H431" i="7"/>
  <c r="G431" i="7"/>
  <c r="F431" i="7"/>
  <c r="C430" i="7"/>
  <c r="V429" i="7"/>
  <c r="T429" i="7"/>
  <c r="R429" i="7"/>
  <c r="K436" i="7" s="1"/>
  <c r="U429" i="7"/>
  <c r="S429" i="7"/>
  <c r="I437" i="7" s="1"/>
  <c r="Q429" i="7"/>
  <c r="I436" i="7" s="1"/>
  <c r="E429" i="7"/>
  <c r="D429" i="7"/>
  <c r="A428" i="7"/>
  <c r="I426" i="7"/>
  <c r="J426" i="7"/>
  <c r="I425" i="7"/>
  <c r="J425" i="7"/>
  <c r="AQ424" i="7"/>
  <c r="A424" i="7"/>
  <c r="H420" i="7"/>
  <c r="J420" i="7"/>
  <c r="I418" i="7"/>
  <c r="H418" i="7"/>
  <c r="G418" i="7"/>
  <c r="E418" i="7"/>
  <c r="J417" i="7"/>
  <c r="E417" i="7"/>
  <c r="J416" i="7"/>
  <c r="E416" i="7"/>
  <c r="K415" i="7"/>
  <c r="J415" i="7"/>
  <c r="H415" i="7"/>
  <c r="I415" i="7"/>
  <c r="F415" i="7"/>
  <c r="V415" i="7"/>
  <c r="T415" i="7"/>
  <c r="R415" i="7"/>
  <c r="U415" i="7"/>
  <c r="S415" i="7"/>
  <c r="Q415" i="7"/>
  <c r="E415" i="7"/>
  <c r="D415" i="7"/>
  <c r="B415" i="7"/>
  <c r="K414" i="7"/>
  <c r="J414" i="7"/>
  <c r="I414" i="7"/>
  <c r="H414" i="7"/>
  <c r="G414" i="7"/>
  <c r="F414" i="7"/>
  <c r="K413" i="7"/>
  <c r="J413" i="7"/>
  <c r="I413" i="7"/>
  <c r="H413" i="7"/>
  <c r="G413" i="7"/>
  <c r="F413" i="7"/>
  <c r="K412" i="7"/>
  <c r="J412" i="7"/>
  <c r="I412" i="7"/>
  <c r="H412" i="7"/>
  <c r="G412" i="7"/>
  <c r="F412" i="7"/>
  <c r="K411" i="7"/>
  <c r="J411" i="7"/>
  <c r="I411" i="7"/>
  <c r="H411" i="7"/>
  <c r="G411" i="7"/>
  <c r="F411" i="7"/>
  <c r="C410" i="7"/>
  <c r="V409" i="7"/>
  <c r="T409" i="7"/>
  <c r="R409" i="7"/>
  <c r="U409" i="7"/>
  <c r="S409" i="7"/>
  <c r="I417" i="7" s="1"/>
  <c r="Q409" i="7"/>
  <c r="E409" i="7"/>
  <c r="D409" i="7"/>
  <c r="A408" i="7"/>
  <c r="I406" i="7"/>
  <c r="J406" i="7"/>
  <c r="I405" i="7"/>
  <c r="J405" i="7"/>
  <c r="AQ404" i="7"/>
  <c r="A404" i="7"/>
  <c r="H400" i="7"/>
  <c r="J400" i="7"/>
  <c r="I398" i="7"/>
  <c r="H398" i="7"/>
  <c r="G398" i="7"/>
  <c r="E398" i="7"/>
  <c r="J397" i="7"/>
  <c r="E397" i="7"/>
  <c r="J396" i="7"/>
  <c r="E396" i="7"/>
  <c r="K395" i="7"/>
  <c r="J395" i="7"/>
  <c r="H395" i="7"/>
  <c r="I395" i="7"/>
  <c r="F395" i="7"/>
  <c r="V395" i="7"/>
  <c r="T395" i="7"/>
  <c r="R395" i="7"/>
  <c r="K396" i="7" s="1"/>
  <c r="U395" i="7"/>
  <c r="S395" i="7"/>
  <c r="Q395" i="7"/>
  <c r="E395" i="7"/>
  <c r="D395" i="7"/>
  <c r="B395" i="7"/>
  <c r="K394" i="7"/>
  <c r="J394" i="7"/>
  <c r="I394" i="7"/>
  <c r="H394" i="7"/>
  <c r="G394" i="7"/>
  <c r="F394" i="7"/>
  <c r="K393" i="7"/>
  <c r="J393" i="7"/>
  <c r="I393" i="7"/>
  <c r="H393" i="7"/>
  <c r="G393" i="7"/>
  <c r="F393" i="7"/>
  <c r="K392" i="7"/>
  <c r="J392" i="7"/>
  <c r="I392" i="7"/>
  <c r="H392" i="7"/>
  <c r="G392" i="7"/>
  <c r="F392" i="7"/>
  <c r="K391" i="7"/>
  <c r="J391" i="7"/>
  <c r="I391" i="7"/>
  <c r="H391" i="7"/>
  <c r="G391" i="7"/>
  <c r="F391" i="7"/>
  <c r="C390" i="7"/>
  <c r="V389" i="7"/>
  <c r="T389" i="7"/>
  <c r="R389" i="7"/>
  <c r="U389" i="7"/>
  <c r="S389" i="7"/>
  <c r="I397" i="7" s="1"/>
  <c r="Q389" i="7"/>
  <c r="E389" i="7"/>
  <c r="D389" i="7"/>
  <c r="A388" i="7"/>
  <c r="I386" i="7"/>
  <c r="J386" i="7"/>
  <c r="I385" i="7"/>
  <c r="J385" i="7"/>
  <c r="A384" i="7"/>
  <c r="H380" i="7"/>
  <c r="J380" i="7"/>
  <c r="I378" i="7"/>
  <c r="H378" i="7"/>
  <c r="G378" i="7"/>
  <c r="E378" i="7"/>
  <c r="J377" i="7"/>
  <c r="E377" i="7"/>
  <c r="K376" i="7"/>
  <c r="J376" i="7"/>
  <c r="E376" i="7"/>
  <c r="K375" i="7"/>
  <c r="J375" i="7"/>
  <c r="H375" i="7"/>
  <c r="I375" i="7"/>
  <c r="F375" i="7"/>
  <c r="V375" i="7"/>
  <c r="T375" i="7"/>
  <c r="R375" i="7"/>
  <c r="U375" i="7"/>
  <c r="S375" i="7"/>
  <c r="Q375" i="7"/>
  <c r="E375" i="7"/>
  <c r="D375" i="7"/>
  <c r="B375" i="7"/>
  <c r="K374" i="7"/>
  <c r="J374" i="7"/>
  <c r="I374" i="7"/>
  <c r="H374" i="7"/>
  <c r="G374" i="7"/>
  <c r="F374" i="7"/>
  <c r="K373" i="7"/>
  <c r="J373" i="7"/>
  <c r="I373" i="7"/>
  <c r="H373" i="7"/>
  <c r="G373" i="7"/>
  <c r="F373" i="7"/>
  <c r="K372" i="7"/>
  <c r="J372" i="7"/>
  <c r="I372" i="7"/>
  <c r="H372" i="7"/>
  <c r="G372" i="7"/>
  <c r="F372" i="7"/>
  <c r="K371" i="7"/>
  <c r="J371" i="7"/>
  <c r="I371" i="7"/>
  <c r="H371" i="7"/>
  <c r="G371" i="7"/>
  <c r="F371" i="7"/>
  <c r="C370" i="7"/>
  <c r="V369" i="7"/>
  <c r="T369" i="7"/>
  <c r="R369" i="7"/>
  <c r="U369" i="7"/>
  <c r="S369" i="7"/>
  <c r="I377" i="7" s="1"/>
  <c r="Q369" i="7"/>
  <c r="E369" i="7"/>
  <c r="D369" i="7"/>
  <c r="A368" i="7"/>
  <c r="I366" i="7"/>
  <c r="J366" i="7"/>
  <c r="I365" i="7"/>
  <c r="J365" i="7"/>
  <c r="A364" i="7"/>
  <c r="H360" i="7"/>
  <c r="J360" i="7"/>
  <c r="I358" i="7"/>
  <c r="H358" i="7"/>
  <c r="G358" i="7"/>
  <c r="E358" i="7"/>
  <c r="J357" i="7"/>
  <c r="E357" i="7"/>
  <c r="J356" i="7"/>
  <c r="E356" i="7"/>
  <c r="K355" i="7"/>
  <c r="J355" i="7"/>
  <c r="H355" i="7"/>
  <c r="I355" i="7"/>
  <c r="F355" i="7"/>
  <c r="V355" i="7"/>
  <c r="T355" i="7"/>
  <c r="R355" i="7"/>
  <c r="U355" i="7"/>
  <c r="S355" i="7"/>
  <c r="Q355" i="7"/>
  <c r="E355" i="7"/>
  <c r="D355" i="7"/>
  <c r="B355" i="7"/>
  <c r="K354" i="7"/>
  <c r="J354" i="7"/>
  <c r="I354" i="7"/>
  <c r="H354" i="7"/>
  <c r="G354" i="7"/>
  <c r="F354" i="7"/>
  <c r="K353" i="7"/>
  <c r="J353" i="7"/>
  <c r="I353" i="7"/>
  <c r="H353" i="7"/>
  <c r="G353" i="7"/>
  <c r="F353" i="7"/>
  <c r="K352" i="7"/>
  <c r="J352" i="7"/>
  <c r="I352" i="7"/>
  <c r="H352" i="7"/>
  <c r="G352" i="7"/>
  <c r="F352" i="7"/>
  <c r="K351" i="7"/>
  <c r="J351" i="7"/>
  <c r="I351" i="7"/>
  <c r="H351" i="7"/>
  <c r="G351" i="7"/>
  <c r="F351" i="7"/>
  <c r="C350" i="7"/>
  <c r="V349" i="7"/>
  <c r="T349" i="7"/>
  <c r="R349" i="7"/>
  <c r="U349" i="7"/>
  <c r="S349" i="7"/>
  <c r="I357" i="7" s="1"/>
  <c r="Q349" i="7"/>
  <c r="I356" i="7" s="1"/>
  <c r="E349" i="7"/>
  <c r="D349" i="7"/>
  <c r="A348" i="7"/>
  <c r="I346" i="7"/>
  <c r="J346" i="7"/>
  <c r="I345" i="7"/>
  <c r="J345" i="7"/>
  <c r="A344" i="7"/>
  <c r="H340" i="7"/>
  <c r="J340" i="7"/>
  <c r="I338" i="7"/>
  <c r="H338" i="7"/>
  <c r="G338" i="7"/>
  <c r="E338" i="7"/>
  <c r="J337" i="7"/>
  <c r="E337" i="7"/>
  <c r="J336" i="7"/>
  <c r="E336" i="7"/>
  <c r="K335" i="7"/>
  <c r="J335" i="7"/>
  <c r="H335" i="7"/>
  <c r="I335" i="7"/>
  <c r="F335" i="7"/>
  <c r="V335" i="7"/>
  <c r="T335" i="7"/>
  <c r="R335" i="7"/>
  <c r="U335" i="7"/>
  <c r="S335" i="7"/>
  <c r="Q335" i="7"/>
  <c r="E335" i="7"/>
  <c r="D335" i="7"/>
  <c r="B335" i="7"/>
  <c r="K334" i="7"/>
  <c r="J334" i="7"/>
  <c r="I334" i="7"/>
  <c r="H334" i="7"/>
  <c r="G334" i="7"/>
  <c r="F334" i="7"/>
  <c r="K333" i="7"/>
  <c r="J333" i="7"/>
  <c r="I333" i="7"/>
  <c r="H333" i="7"/>
  <c r="G333" i="7"/>
  <c r="F333" i="7"/>
  <c r="V332" i="7"/>
  <c r="T332" i="7"/>
  <c r="R332" i="7"/>
  <c r="K336" i="7" s="1"/>
  <c r="U332" i="7"/>
  <c r="S332" i="7"/>
  <c r="Q332" i="7"/>
  <c r="I336" i="7" s="1"/>
  <c r="E332" i="7"/>
  <c r="D332" i="7"/>
  <c r="H329" i="7"/>
  <c r="J329" i="7"/>
  <c r="I327" i="7"/>
  <c r="H327" i="7"/>
  <c r="G327" i="7"/>
  <c r="E327" i="7"/>
  <c r="K326" i="7"/>
  <c r="J326" i="7"/>
  <c r="E326" i="7"/>
  <c r="J325" i="7"/>
  <c r="E325" i="7"/>
  <c r="K324" i="7"/>
  <c r="J324" i="7"/>
  <c r="H324" i="7"/>
  <c r="I324" i="7"/>
  <c r="F324" i="7"/>
  <c r="V324" i="7"/>
  <c r="T324" i="7"/>
  <c r="R324" i="7"/>
  <c r="U324" i="7"/>
  <c r="S324" i="7"/>
  <c r="Q324" i="7"/>
  <c r="E324" i="7"/>
  <c r="D324" i="7"/>
  <c r="B324" i="7"/>
  <c r="K323" i="7"/>
  <c r="J323" i="7"/>
  <c r="I323" i="7"/>
  <c r="H323" i="7"/>
  <c r="G323" i="7"/>
  <c r="F323" i="7"/>
  <c r="K322" i="7"/>
  <c r="J322" i="7"/>
  <c r="I322" i="7"/>
  <c r="H322" i="7"/>
  <c r="G322" i="7"/>
  <c r="F322" i="7"/>
  <c r="V321" i="7"/>
  <c r="T321" i="7"/>
  <c r="R321" i="7"/>
  <c r="U321" i="7"/>
  <c r="S321" i="7"/>
  <c r="I326" i="7" s="1"/>
  <c r="Q321" i="7"/>
  <c r="E321" i="7"/>
  <c r="D321" i="7"/>
  <c r="H318" i="7"/>
  <c r="J318" i="7"/>
  <c r="I316" i="7"/>
  <c r="H316" i="7"/>
  <c r="G316" i="7"/>
  <c r="E316" i="7"/>
  <c r="J315" i="7"/>
  <c r="E315" i="7"/>
  <c r="J314" i="7"/>
  <c r="E314" i="7"/>
  <c r="K313" i="7"/>
  <c r="J313" i="7"/>
  <c r="H313" i="7"/>
  <c r="I313" i="7"/>
  <c r="F313" i="7"/>
  <c r="V313" i="7"/>
  <c r="T313" i="7"/>
  <c r="R313" i="7"/>
  <c r="U313" i="7"/>
  <c r="S313" i="7"/>
  <c r="Q313" i="7"/>
  <c r="E313" i="7"/>
  <c r="D313" i="7"/>
  <c r="B313" i="7"/>
  <c r="K312" i="7"/>
  <c r="J312" i="7"/>
  <c r="I312" i="7"/>
  <c r="H312" i="7"/>
  <c r="G312" i="7"/>
  <c r="F312" i="7"/>
  <c r="K311" i="7"/>
  <c r="J311" i="7"/>
  <c r="I311" i="7"/>
  <c r="H311" i="7"/>
  <c r="G311" i="7"/>
  <c r="F311" i="7"/>
  <c r="V310" i="7"/>
  <c r="T310" i="7"/>
  <c r="K315" i="7" s="1"/>
  <c r="R310" i="7"/>
  <c r="K314" i="7" s="1"/>
  <c r="U310" i="7"/>
  <c r="S310" i="7"/>
  <c r="Q310" i="7"/>
  <c r="I314" i="7" s="1"/>
  <c r="E310" i="7"/>
  <c r="D310" i="7"/>
  <c r="H307" i="7"/>
  <c r="J307" i="7"/>
  <c r="I305" i="7"/>
  <c r="H305" i="7"/>
  <c r="G305" i="7"/>
  <c r="E305" i="7"/>
  <c r="J304" i="7"/>
  <c r="E304" i="7"/>
  <c r="J303" i="7"/>
  <c r="I303" i="7"/>
  <c r="E303" i="7"/>
  <c r="K302" i="7"/>
  <c r="J302" i="7"/>
  <c r="H302" i="7"/>
  <c r="I302" i="7"/>
  <c r="F302" i="7"/>
  <c r="V302" i="7"/>
  <c r="T302" i="7"/>
  <c r="R302" i="7"/>
  <c r="U302" i="7"/>
  <c r="S302" i="7"/>
  <c r="Q302" i="7"/>
  <c r="E302" i="7"/>
  <c r="D302" i="7"/>
  <c r="B302" i="7"/>
  <c r="K301" i="7"/>
  <c r="J301" i="7"/>
  <c r="I301" i="7"/>
  <c r="H301" i="7"/>
  <c r="G301" i="7"/>
  <c r="F301" i="7"/>
  <c r="K300" i="7"/>
  <c r="J300" i="7"/>
  <c r="I300" i="7"/>
  <c r="H300" i="7"/>
  <c r="G300" i="7"/>
  <c r="F300" i="7"/>
  <c r="V299" i="7"/>
  <c r="T299" i="7"/>
  <c r="K304" i="7" s="1"/>
  <c r="R299" i="7"/>
  <c r="K303" i="7" s="1"/>
  <c r="U299" i="7"/>
  <c r="S299" i="7"/>
  <c r="I304" i="7" s="1"/>
  <c r="Q299" i="7"/>
  <c r="E299" i="7"/>
  <c r="D299" i="7"/>
  <c r="H296" i="7"/>
  <c r="J296" i="7"/>
  <c r="I294" i="7"/>
  <c r="H294" i="7"/>
  <c r="G294" i="7"/>
  <c r="E294" i="7"/>
  <c r="J293" i="7"/>
  <c r="E293" i="7"/>
  <c r="J292" i="7"/>
  <c r="E292" i="7"/>
  <c r="K291" i="7"/>
  <c r="J291" i="7"/>
  <c r="H291" i="7"/>
  <c r="I291" i="7"/>
  <c r="F291" i="7"/>
  <c r="V291" i="7"/>
  <c r="T291" i="7"/>
  <c r="K293" i="7" s="1"/>
  <c r="R291" i="7"/>
  <c r="U291" i="7"/>
  <c r="S291" i="7"/>
  <c r="Q291" i="7"/>
  <c r="E291" i="7"/>
  <c r="D291" i="7"/>
  <c r="B291" i="7"/>
  <c r="K290" i="7"/>
  <c r="J290" i="7"/>
  <c r="I290" i="7"/>
  <c r="H290" i="7"/>
  <c r="G290" i="7"/>
  <c r="F290" i="7"/>
  <c r="K289" i="7"/>
  <c r="J289" i="7"/>
  <c r="I289" i="7"/>
  <c r="H289" i="7"/>
  <c r="G289" i="7"/>
  <c r="F289" i="7"/>
  <c r="V288" i="7"/>
  <c r="T288" i="7"/>
  <c r="R288" i="7"/>
  <c r="U288" i="7"/>
  <c r="S288" i="7"/>
  <c r="I293" i="7" s="1"/>
  <c r="Q288" i="7"/>
  <c r="I292" i="7" s="1"/>
  <c r="E288" i="7"/>
  <c r="D288" i="7"/>
  <c r="H285" i="7"/>
  <c r="J285" i="7"/>
  <c r="I283" i="7"/>
  <c r="H283" i="7"/>
  <c r="G283" i="7"/>
  <c r="E283" i="7"/>
  <c r="J282" i="7"/>
  <c r="E282" i="7"/>
  <c r="J281" i="7"/>
  <c r="E281" i="7"/>
  <c r="K280" i="7"/>
  <c r="J280" i="7"/>
  <c r="H280" i="7"/>
  <c r="I280" i="7"/>
  <c r="F280" i="7"/>
  <c r="V280" i="7"/>
  <c r="T280" i="7"/>
  <c r="K282" i="7" s="1"/>
  <c r="R280" i="7"/>
  <c r="U280" i="7"/>
  <c r="S280" i="7"/>
  <c r="Q280" i="7"/>
  <c r="E280" i="7"/>
  <c r="D280" i="7"/>
  <c r="B280" i="7"/>
  <c r="K279" i="7"/>
  <c r="J279" i="7"/>
  <c r="I279" i="7"/>
  <c r="H279" i="7"/>
  <c r="G279" i="7"/>
  <c r="F279" i="7"/>
  <c r="K278" i="7"/>
  <c r="J278" i="7"/>
  <c r="I278" i="7"/>
  <c r="H278" i="7"/>
  <c r="G278" i="7"/>
  <c r="F278" i="7"/>
  <c r="V277" i="7"/>
  <c r="T277" i="7"/>
  <c r="R277" i="7"/>
  <c r="U277" i="7"/>
  <c r="S277" i="7"/>
  <c r="I282" i="7" s="1"/>
  <c r="Q277" i="7"/>
  <c r="E277" i="7"/>
  <c r="D277" i="7"/>
  <c r="H274" i="7"/>
  <c r="J274" i="7"/>
  <c r="I272" i="7"/>
  <c r="H272" i="7"/>
  <c r="G272" i="7"/>
  <c r="E272" i="7"/>
  <c r="J271" i="7"/>
  <c r="E271" i="7"/>
  <c r="J270" i="7"/>
  <c r="E270" i="7"/>
  <c r="K269" i="7"/>
  <c r="J269" i="7"/>
  <c r="H269" i="7"/>
  <c r="I269" i="7"/>
  <c r="F269" i="7"/>
  <c r="V269" i="7"/>
  <c r="T269" i="7"/>
  <c r="R269" i="7"/>
  <c r="U269" i="7"/>
  <c r="S269" i="7"/>
  <c r="I271" i="7" s="1"/>
  <c r="Q269" i="7"/>
  <c r="I270" i="7" s="1"/>
  <c r="E269" i="7"/>
  <c r="D269" i="7"/>
  <c r="B269" i="7"/>
  <c r="K268" i="7"/>
  <c r="J268" i="7"/>
  <c r="I268" i="7"/>
  <c r="H268" i="7"/>
  <c r="G268" i="7"/>
  <c r="F268" i="7"/>
  <c r="K267" i="7"/>
  <c r="J267" i="7"/>
  <c r="I267" i="7"/>
  <c r="H267" i="7"/>
  <c r="G267" i="7"/>
  <c r="F267" i="7"/>
  <c r="V266" i="7"/>
  <c r="T266" i="7"/>
  <c r="K271" i="7" s="1"/>
  <c r="R266" i="7"/>
  <c r="K270" i="7" s="1"/>
  <c r="U266" i="7"/>
  <c r="S266" i="7"/>
  <c r="Q266" i="7"/>
  <c r="E266" i="7"/>
  <c r="D266" i="7"/>
  <c r="H263" i="7"/>
  <c r="J263" i="7"/>
  <c r="I261" i="7"/>
  <c r="H261" i="7"/>
  <c r="G261" i="7"/>
  <c r="E261" i="7"/>
  <c r="J260" i="7"/>
  <c r="E260" i="7"/>
  <c r="J259" i="7"/>
  <c r="E259" i="7"/>
  <c r="K258" i="7"/>
  <c r="J258" i="7"/>
  <c r="H258" i="7"/>
  <c r="I258" i="7"/>
  <c r="F258" i="7"/>
  <c r="V258" i="7"/>
  <c r="T258" i="7"/>
  <c r="R258" i="7"/>
  <c r="U258" i="7"/>
  <c r="S258" i="7"/>
  <c r="Q258" i="7"/>
  <c r="E258" i="7"/>
  <c r="D258" i="7"/>
  <c r="B258" i="7"/>
  <c r="K257" i="7"/>
  <c r="J257" i="7"/>
  <c r="I257" i="7"/>
  <c r="H257" i="7"/>
  <c r="G257" i="7"/>
  <c r="F257" i="7"/>
  <c r="K256" i="7"/>
  <c r="J256" i="7"/>
  <c r="I256" i="7"/>
  <c r="H256" i="7"/>
  <c r="G256" i="7"/>
  <c r="F256" i="7"/>
  <c r="V255" i="7"/>
  <c r="T255" i="7"/>
  <c r="R255" i="7"/>
  <c r="U255" i="7"/>
  <c r="S255" i="7"/>
  <c r="Q255" i="7"/>
  <c r="I259" i="7" s="1"/>
  <c r="E255" i="7"/>
  <c r="D255" i="7"/>
  <c r="H252" i="7"/>
  <c r="J252" i="7"/>
  <c r="I250" i="7"/>
  <c r="H250" i="7"/>
  <c r="G250" i="7"/>
  <c r="E250" i="7"/>
  <c r="J249" i="7"/>
  <c r="I249" i="7"/>
  <c r="E249" i="7"/>
  <c r="J248" i="7"/>
  <c r="E248" i="7"/>
  <c r="K247" i="7"/>
  <c r="J247" i="7"/>
  <c r="H247" i="7"/>
  <c r="I247" i="7"/>
  <c r="F247" i="7"/>
  <c r="V247" i="7"/>
  <c r="T247" i="7"/>
  <c r="R247" i="7"/>
  <c r="U247" i="7"/>
  <c r="S247" i="7"/>
  <c r="Q247" i="7"/>
  <c r="E247" i="7"/>
  <c r="D247" i="7"/>
  <c r="B247" i="7"/>
  <c r="K246" i="7"/>
  <c r="J246" i="7"/>
  <c r="I246" i="7"/>
  <c r="H246" i="7"/>
  <c r="G246" i="7"/>
  <c r="F246" i="7"/>
  <c r="K245" i="7"/>
  <c r="J245" i="7"/>
  <c r="I245" i="7"/>
  <c r="H245" i="7"/>
  <c r="G245" i="7"/>
  <c r="F245" i="7"/>
  <c r="V244" i="7"/>
  <c r="T244" i="7"/>
  <c r="K249" i="7" s="1"/>
  <c r="R244" i="7"/>
  <c r="K248" i="7" s="1"/>
  <c r="U244" i="7"/>
  <c r="S244" i="7"/>
  <c r="Q244" i="7"/>
  <c r="E244" i="7"/>
  <c r="D244" i="7"/>
  <c r="H241" i="7"/>
  <c r="J241" i="7"/>
  <c r="I239" i="7"/>
  <c r="H239" i="7"/>
  <c r="G239" i="7"/>
  <c r="E239" i="7"/>
  <c r="J238" i="7"/>
  <c r="I238" i="7"/>
  <c r="E238" i="7"/>
  <c r="J237" i="7"/>
  <c r="E237" i="7"/>
  <c r="K236" i="7"/>
  <c r="J236" i="7"/>
  <c r="H236" i="7"/>
  <c r="I236" i="7"/>
  <c r="F236" i="7"/>
  <c r="V236" i="7"/>
  <c r="T236" i="7"/>
  <c r="R236" i="7"/>
  <c r="U236" i="7"/>
  <c r="S236" i="7"/>
  <c r="Q236" i="7"/>
  <c r="E236" i="7"/>
  <c r="D236" i="7"/>
  <c r="B236" i="7"/>
  <c r="K235" i="7"/>
  <c r="J235" i="7"/>
  <c r="I235" i="7"/>
  <c r="H235" i="7"/>
  <c r="G235" i="7"/>
  <c r="F235" i="7"/>
  <c r="K234" i="7"/>
  <c r="J234" i="7"/>
  <c r="I234" i="7"/>
  <c r="H234" i="7"/>
  <c r="G234" i="7"/>
  <c r="F234" i="7"/>
  <c r="V233" i="7"/>
  <c r="T233" i="7"/>
  <c r="K238" i="7" s="1"/>
  <c r="R233" i="7"/>
  <c r="K237" i="7" s="1"/>
  <c r="U233" i="7"/>
  <c r="S233" i="7"/>
  <c r="Q233" i="7"/>
  <c r="E233" i="7"/>
  <c r="D233" i="7"/>
  <c r="H230" i="7"/>
  <c r="J230" i="7"/>
  <c r="I228" i="7"/>
  <c r="H228" i="7"/>
  <c r="G228" i="7"/>
  <c r="E228" i="7"/>
  <c r="J227" i="7"/>
  <c r="E227" i="7"/>
  <c r="J226" i="7"/>
  <c r="E226" i="7"/>
  <c r="K225" i="7"/>
  <c r="J225" i="7"/>
  <c r="H225" i="7"/>
  <c r="I225" i="7"/>
  <c r="F225" i="7"/>
  <c r="V225" i="7"/>
  <c r="T225" i="7"/>
  <c r="K227" i="7" s="1"/>
  <c r="R225" i="7"/>
  <c r="U225" i="7"/>
  <c r="S225" i="7"/>
  <c r="Q225" i="7"/>
  <c r="E225" i="7"/>
  <c r="D225" i="7"/>
  <c r="B225" i="7"/>
  <c r="K224" i="7"/>
  <c r="J224" i="7"/>
  <c r="I224" i="7"/>
  <c r="H224" i="7"/>
  <c r="G224" i="7"/>
  <c r="F224" i="7"/>
  <c r="K223" i="7"/>
  <c r="J223" i="7"/>
  <c r="I223" i="7"/>
  <c r="H223" i="7"/>
  <c r="G223" i="7"/>
  <c r="F223" i="7"/>
  <c r="V222" i="7"/>
  <c r="T222" i="7"/>
  <c r="R222" i="7"/>
  <c r="U222" i="7"/>
  <c r="S222" i="7"/>
  <c r="I227" i="7" s="1"/>
  <c r="Q222" i="7"/>
  <c r="I226" i="7" s="1"/>
  <c r="E222" i="7"/>
  <c r="D222" i="7"/>
  <c r="H219" i="7"/>
  <c r="J219" i="7"/>
  <c r="I217" i="7"/>
  <c r="H217" i="7"/>
  <c r="G217" i="7"/>
  <c r="E217" i="7"/>
  <c r="J216" i="7"/>
  <c r="E216" i="7"/>
  <c r="J215" i="7"/>
  <c r="E215" i="7"/>
  <c r="K214" i="7"/>
  <c r="J214" i="7"/>
  <c r="H214" i="7"/>
  <c r="I214" i="7"/>
  <c r="F214" i="7"/>
  <c r="V214" i="7"/>
  <c r="T214" i="7"/>
  <c r="K216" i="7" s="1"/>
  <c r="R214" i="7"/>
  <c r="U214" i="7"/>
  <c r="S214" i="7"/>
  <c r="Q214" i="7"/>
  <c r="E214" i="7"/>
  <c r="D214" i="7"/>
  <c r="B214" i="7"/>
  <c r="K213" i="7"/>
  <c r="J213" i="7"/>
  <c r="I213" i="7"/>
  <c r="H213" i="7"/>
  <c r="G213" i="7"/>
  <c r="F213" i="7"/>
  <c r="K212" i="7"/>
  <c r="J212" i="7"/>
  <c r="I212" i="7"/>
  <c r="H212" i="7"/>
  <c r="G212" i="7"/>
  <c r="F212" i="7"/>
  <c r="V211" i="7"/>
  <c r="T211" i="7"/>
  <c r="R211" i="7"/>
  <c r="U211" i="7"/>
  <c r="S211" i="7"/>
  <c r="I216" i="7" s="1"/>
  <c r="Q211" i="7"/>
  <c r="I215" i="7" s="1"/>
  <c r="E211" i="7"/>
  <c r="D211" i="7"/>
  <c r="H208" i="7"/>
  <c r="J208" i="7"/>
  <c r="I206" i="7"/>
  <c r="H206" i="7"/>
  <c r="G206" i="7"/>
  <c r="E206" i="7"/>
  <c r="K205" i="7"/>
  <c r="J205" i="7"/>
  <c r="E205" i="7"/>
  <c r="J204" i="7"/>
  <c r="E204" i="7"/>
  <c r="K203" i="7"/>
  <c r="J203" i="7"/>
  <c r="H203" i="7"/>
  <c r="I203" i="7"/>
  <c r="F203" i="7"/>
  <c r="V203" i="7"/>
  <c r="T203" i="7"/>
  <c r="R203" i="7"/>
  <c r="U203" i="7"/>
  <c r="S203" i="7"/>
  <c r="Q203" i="7"/>
  <c r="I204" i="7" s="1"/>
  <c r="E203" i="7"/>
  <c r="D203" i="7"/>
  <c r="B203" i="7"/>
  <c r="K202" i="7"/>
  <c r="J202" i="7"/>
  <c r="I202" i="7"/>
  <c r="H202" i="7"/>
  <c r="G202" i="7"/>
  <c r="F202" i="7"/>
  <c r="K201" i="7"/>
  <c r="J201" i="7"/>
  <c r="I201" i="7"/>
  <c r="H201" i="7"/>
  <c r="G201" i="7"/>
  <c r="F201" i="7"/>
  <c r="V200" i="7"/>
  <c r="T200" i="7"/>
  <c r="R200" i="7"/>
  <c r="K204" i="7" s="1"/>
  <c r="U200" i="7"/>
  <c r="S200" i="7"/>
  <c r="Q200" i="7"/>
  <c r="E200" i="7"/>
  <c r="D200" i="7"/>
  <c r="H197" i="7"/>
  <c r="J197" i="7"/>
  <c r="I195" i="7"/>
  <c r="H195" i="7"/>
  <c r="G195" i="7"/>
  <c r="E195" i="7"/>
  <c r="K194" i="7"/>
  <c r="J194" i="7"/>
  <c r="E194" i="7"/>
  <c r="J193" i="7"/>
  <c r="E193" i="7"/>
  <c r="K192" i="7"/>
  <c r="J192" i="7"/>
  <c r="H192" i="7"/>
  <c r="I192" i="7"/>
  <c r="F192" i="7"/>
  <c r="V192" i="7"/>
  <c r="T192" i="7"/>
  <c r="R192" i="7"/>
  <c r="U192" i="7"/>
  <c r="S192" i="7"/>
  <c r="Q192" i="7"/>
  <c r="E192" i="7"/>
  <c r="D192" i="7"/>
  <c r="B192" i="7"/>
  <c r="K191" i="7"/>
  <c r="J191" i="7"/>
  <c r="I191" i="7"/>
  <c r="H191" i="7"/>
  <c r="G191" i="7"/>
  <c r="F191" i="7"/>
  <c r="K190" i="7"/>
  <c r="J190" i="7"/>
  <c r="I190" i="7"/>
  <c r="H190" i="7"/>
  <c r="G190" i="7"/>
  <c r="F190" i="7"/>
  <c r="V189" i="7"/>
  <c r="T189" i="7"/>
  <c r="R189" i="7"/>
  <c r="K193" i="7" s="1"/>
  <c r="U189" i="7"/>
  <c r="S189" i="7"/>
  <c r="I194" i="7" s="1"/>
  <c r="Q189" i="7"/>
  <c r="E189" i="7"/>
  <c r="D189" i="7"/>
  <c r="H186" i="7"/>
  <c r="J186" i="7"/>
  <c r="I184" i="7"/>
  <c r="H184" i="7"/>
  <c r="G184" i="7"/>
  <c r="E184" i="7"/>
  <c r="J183" i="7"/>
  <c r="E183" i="7"/>
  <c r="J182" i="7"/>
  <c r="E182" i="7"/>
  <c r="K181" i="7"/>
  <c r="J181" i="7"/>
  <c r="H181" i="7"/>
  <c r="I181" i="7"/>
  <c r="F181" i="7"/>
  <c r="V181" i="7"/>
  <c r="T181" i="7"/>
  <c r="R181" i="7"/>
  <c r="U181" i="7"/>
  <c r="S181" i="7"/>
  <c r="Q181" i="7"/>
  <c r="E181" i="7"/>
  <c r="D181" i="7"/>
  <c r="B181" i="7"/>
  <c r="K180" i="7"/>
  <c r="J180" i="7"/>
  <c r="I180" i="7"/>
  <c r="H180" i="7"/>
  <c r="G180" i="7"/>
  <c r="F180" i="7"/>
  <c r="K179" i="7"/>
  <c r="J179" i="7"/>
  <c r="I179" i="7"/>
  <c r="H179" i="7"/>
  <c r="G179" i="7"/>
  <c r="F179" i="7"/>
  <c r="V178" i="7"/>
  <c r="T178" i="7"/>
  <c r="R178" i="7"/>
  <c r="U178" i="7"/>
  <c r="S178" i="7"/>
  <c r="I183" i="7" s="1"/>
  <c r="Q178" i="7"/>
  <c r="E178" i="7"/>
  <c r="D178" i="7"/>
  <c r="H175" i="7"/>
  <c r="J175" i="7"/>
  <c r="I173" i="7"/>
  <c r="H173" i="7"/>
  <c r="G173" i="7"/>
  <c r="E173" i="7"/>
  <c r="J172" i="7"/>
  <c r="E172" i="7"/>
  <c r="J171" i="7"/>
  <c r="E171" i="7"/>
  <c r="K170" i="7"/>
  <c r="J170" i="7"/>
  <c r="H170" i="7"/>
  <c r="I170" i="7"/>
  <c r="F170" i="7"/>
  <c r="V170" i="7"/>
  <c r="T170" i="7"/>
  <c r="R170" i="7"/>
  <c r="U170" i="7"/>
  <c r="S170" i="7"/>
  <c r="Q170" i="7"/>
  <c r="E170" i="7"/>
  <c r="D170" i="7"/>
  <c r="B170" i="7"/>
  <c r="K169" i="7"/>
  <c r="J169" i="7"/>
  <c r="I169" i="7"/>
  <c r="H169" i="7"/>
  <c r="G169" i="7"/>
  <c r="F169" i="7"/>
  <c r="K168" i="7"/>
  <c r="J168" i="7"/>
  <c r="I168" i="7"/>
  <c r="H168" i="7"/>
  <c r="G168" i="7"/>
  <c r="F168" i="7"/>
  <c r="V167" i="7"/>
  <c r="T167" i="7"/>
  <c r="K172" i="7" s="1"/>
  <c r="R167" i="7"/>
  <c r="K171" i="7" s="1"/>
  <c r="U167" i="7"/>
  <c r="S167" i="7"/>
  <c r="Q167" i="7"/>
  <c r="E167" i="7"/>
  <c r="D167" i="7"/>
  <c r="H164" i="7"/>
  <c r="J164" i="7"/>
  <c r="I162" i="7"/>
  <c r="H162" i="7"/>
  <c r="G162" i="7"/>
  <c r="E162" i="7"/>
  <c r="J161" i="7"/>
  <c r="E161" i="7"/>
  <c r="J160" i="7"/>
  <c r="E160" i="7"/>
  <c r="K159" i="7"/>
  <c r="J159" i="7"/>
  <c r="H159" i="7"/>
  <c r="I159" i="7"/>
  <c r="F159" i="7"/>
  <c r="V159" i="7"/>
  <c r="T159" i="7"/>
  <c r="R159" i="7"/>
  <c r="U159" i="7"/>
  <c r="S159" i="7"/>
  <c r="Q159" i="7"/>
  <c r="E159" i="7"/>
  <c r="D159" i="7"/>
  <c r="B159" i="7"/>
  <c r="K158" i="7"/>
  <c r="J158" i="7"/>
  <c r="I158" i="7"/>
  <c r="H158" i="7"/>
  <c r="G158" i="7"/>
  <c r="F158" i="7"/>
  <c r="K157" i="7"/>
  <c r="J157" i="7"/>
  <c r="I157" i="7"/>
  <c r="H157" i="7"/>
  <c r="G157" i="7"/>
  <c r="F157" i="7"/>
  <c r="V156" i="7"/>
  <c r="T156" i="7"/>
  <c r="R156" i="7"/>
  <c r="K160" i="7" s="1"/>
  <c r="U156" i="7"/>
  <c r="S156" i="7"/>
  <c r="I161" i="7" s="1"/>
  <c r="Q156" i="7"/>
  <c r="I160" i="7" s="1"/>
  <c r="E156" i="7"/>
  <c r="D156" i="7"/>
  <c r="H153" i="7"/>
  <c r="J153" i="7"/>
  <c r="I151" i="7"/>
  <c r="H151" i="7"/>
  <c r="G151" i="7"/>
  <c r="E151" i="7"/>
  <c r="J150" i="7"/>
  <c r="E150" i="7"/>
  <c r="J149" i="7"/>
  <c r="E149" i="7"/>
  <c r="K148" i="7"/>
  <c r="J148" i="7"/>
  <c r="H148" i="7"/>
  <c r="I148" i="7"/>
  <c r="F148" i="7"/>
  <c r="V148" i="7"/>
  <c r="T148" i="7"/>
  <c r="K150" i="7" s="1"/>
  <c r="R148" i="7"/>
  <c r="U148" i="7"/>
  <c r="S148" i="7"/>
  <c r="Q148" i="7"/>
  <c r="E148" i="7"/>
  <c r="D148" i="7"/>
  <c r="B148" i="7"/>
  <c r="K147" i="7"/>
  <c r="J147" i="7"/>
  <c r="I147" i="7"/>
  <c r="H147" i="7"/>
  <c r="G147" i="7"/>
  <c r="F147" i="7"/>
  <c r="K146" i="7"/>
  <c r="J146" i="7"/>
  <c r="I146" i="7"/>
  <c r="H146" i="7"/>
  <c r="G146" i="7"/>
  <c r="F146" i="7"/>
  <c r="V145" i="7"/>
  <c r="T145" i="7"/>
  <c r="R145" i="7"/>
  <c r="U145" i="7"/>
  <c r="S145" i="7"/>
  <c r="I150" i="7" s="1"/>
  <c r="Q145" i="7"/>
  <c r="E145" i="7"/>
  <c r="D145" i="7"/>
  <c r="A144" i="7"/>
  <c r="I142" i="7"/>
  <c r="J142" i="7"/>
  <c r="I141" i="7"/>
  <c r="J141" i="7"/>
  <c r="A140" i="7"/>
  <c r="O137" i="7"/>
  <c r="K136" i="7"/>
  <c r="P137" i="7" s="1"/>
  <c r="J136" i="7"/>
  <c r="I136" i="7"/>
  <c r="H137" i="7" s="1"/>
  <c r="H136" i="7"/>
  <c r="G136" i="7"/>
  <c r="F136" i="7"/>
  <c r="V136" i="7"/>
  <c r="T136" i="7"/>
  <c r="R136" i="7"/>
  <c r="U136" i="7"/>
  <c r="S136" i="7"/>
  <c r="Q136" i="7"/>
  <c r="E136" i="7"/>
  <c r="D136" i="7"/>
  <c r="B136" i="7"/>
  <c r="K133" i="7"/>
  <c r="P134" i="7" s="1"/>
  <c r="J133" i="7"/>
  <c r="I133" i="7"/>
  <c r="O134" i="7" s="1"/>
  <c r="H133" i="7"/>
  <c r="G133" i="7"/>
  <c r="F133" i="7"/>
  <c r="V133" i="7"/>
  <c r="T133" i="7"/>
  <c r="R133" i="7"/>
  <c r="U133" i="7"/>
  <c r="S133" i="7"/>
  <c r="Q133" i="7"/>
  <c r="E133" i="7"/>
  <c r="D133" i="7"/>
  <c r="B133" i="7"/>
  <c r="O131" i="7"/>
  <c r="K130" i="7"/>
  <c r="P131" i="7" s="1"/>
  <c r="J130" i="7"/>
  <c r="I130" i="7"/>
  <c r="H131" i="7" s="1"/>
  <c r="H130" i="7"/>
  <c r="G130" i="7"/>
  <c r="F130" i="7"/>
  <c r="V130" i="7"/>
  <c r="T130" i="7"/>
  <c r="R130" i="7"/>
  <c r="U130" i="7"/>
  <c r="S130" i="7"/>
  <c r="Q130" i="7"/>
  <c r="E130" i="7"/>
  <c r="D130" i="7"/>
  <c r="B130" i="7"/>
  <c r="H128" i="7"/>
  <c r="K127" i="7"/>
  <c r="J128" i="7" s="1"/>
  <c r="J127" i="7"/>
  <c r="I127" i="7"/>
  <c r="O128" i="7" s="1"/>
  <c r="H127" i="7"/>
  <c r="G127" i="7"/>
  <c r="F127" i="7"/>
  <c r="V127" i="7"/>
  <c r="T127" i="7"/>
  <c r="R127" i="7"/>
  <c r="U127" i="7"/>
  <c r="S127" i="7"/>
  <c r="Q127" i="7"/>
  <c r="E127" i="7"/>
  <c r="D127" i="7"/>
  <c r="B127" i="7"/>
  <c r="K124" i="7"/>
  <c r="P125" i="7" s="1"/>
  <c r="J124" i="7"/>
  <c r="I124" i="7"/>
  <c r="O125" i="7" s="1"/>
  <c r="H124" i="7"/>
  <c r="G124" i="7"/>
  <c r="F124" i="7"/>
  <c r="V124" i="7"/>
  <c r="T124" i="7"/>
  <c r="R124" i="7"/>
  <c r="U124" i="7"/>
  <c r="S124" i="7"/>
  <c r="Q124" i="7"/>
  <c r="E124" i="7"/>
  <c r="D124" i="7"/>
  <c r="B124" i="7"/>
  <c r="H122" i="7"/>
  <c r="K121" i="7"/>
  <c r="P122" i="7" s="1"/>
  <c r="J121" i="7"/>
  <c r="I121" i="7"/>
  <c r="O122" i="7" s="1"/>
  <c r="H121" i="7"/>
  <c r="G121" i="7"/>
  <c r="F121" i="7"/>
  <c r="V121" i="7"/>
  <c r="T121" i="7"/>
  <c r="R121" i="7"/>
  <c r="U121" i="7"/>
  <c r="S121" i="7"/>
  <c r="Q121" i="7"/>
  <c r="E121" i="7"/>
  <c r="D121" i="7"/>
  <c r="B121" i="7"/>
  <c r="A120" i="7"/>
  <c r="I118" i="7"/>
  <c r="J118" i="7"/>
  <c r="I117" i="7"/>
  <c r="J117" i="7"/>
  <c r="A116" i="7"/>
  <c r="K112" i="7"/>
  <c r="P113" i="7" s="1"/>
  <c r="J112" i="7"/>
  <c r="I112" i="7"/>
  <c r="O113" i="7" s="1"/>
  <c r="H112" i="7"/>
  <c r="G112" i="7"/>
  <c r="F112" i="7"/>
  <c r="V112" i="7"/>
  <c r="T112" i="7"/>
  <c r="R112" i="7"/>
  <c r="U112" i="7"/>
  <c r="S112" i="7"/>
  <c r="Q112" i="7"/>
  <c r="E112" i="7"/>
  <c r="D112" i="7"/>
  <c r="B112" i="7"/>
  <c r="H110" i="7"/>
  <c r="P110" i="7"/>
  <c r="J110" i="7"/>
  <c r="K109" i="7"/>
  <c r="J109" i="7"/>
  <c r="I109" i="7"/>
  <c r="O110" i="7" s="1"/>
  <c r="H109" i="7"/>
  <c r="G109" i="7"/>
  <c r="F109" i="7"/>
  <c r="V109" i="7"/>
  <c r="T109" i="7"/>
  <c r="R109" i="7"/>
  <c r="U109" i="7"/>
  <c r="S109" i="7"/>
  <c r="Q109" i="7"/>
  <c r="E109" i="7"/>
  <c r="D109" i="7"/>
  <c r="B109" i="7"/>
  <c r="K106" i="7"/>
  <c r="J107" i="7" s="1"/>
  <c r="J106" i="7"/>
  <c r="I106" i="7"/>
  <c r="H107" i="7" s="1"/>
  <c r="H106" i="7"/>
  <c r="G106" i="7"/>
  <c r="F106" i="7"/>
  <c r="V106" i="7"/>
  <c r="T106" i="7"/>
  <c r="R106" i="7"/>
  <c r="U106" i="7"/>
  <c r="S106" i="7"/>
  <c r="Q106" i="7"/>
  <c r="E106" i="7"/>
  <c r="D106" i="7"/>
  <c r="B106" i="7"/>
  <c r="C103" i="7"/>
  <c r="K102" i="7"/>
  <c r="P104" i="7" s="1"/>
  <c r="J102" i="7"/>
  <c r="I102" i="7"/>
  <c r="O104" i="7" s="1"/>
  <c r="H102" i="7"/>
  <c r="G102" i="7"/>
  <c r="F102" i="7"/>
  <c r="V102" i="7"/>
  <c r="T102" i="7"/>
  <c r="R102" i="7"/>
  <c r="U102" i="7"/>
  <c r="S102" i="7"/>
  <c r="Q102" i="7"/>
  <c r="E102" i="7"/>
  <c r="D102" i="7"/>
  <c r="B102" i="7"/>
  <c r="O100" i="7"/>
  <c r="H100" i="7"/>
  <c r="P100" i="7"/>
  <c r="J100" i="7"/>
  <c r="K99" i="7"/>
  <c r="J99" i="7"/>
  <c r="I99" i="7"/>
  <c r="H99" i="7"/>
  <c r="G99" i="7"/>
  <c r="F99" i="7"/>
  <c r="V99" i="7"/>
  <c r="T99" i="7"/>
  <c r="R99" i="7"/>
  <c r="U99" i="7"/>
  <c r="S99" i="7"/>
  <c r="Q99" i="7"/>
  <c r="E99" i="7"/>
  <c r="D99" i="7"/>
  <c r="B99" i="7"/>
  <c r="A98" i="7"/>
  <c r="I96" i="7"/>
  <c r="J96" i="7"/>
  <c r="I95" i="7"/>
  <c r="J95" i="7"/>
  <c r="A94" i="7"/>
  <c r="H90" i="7"/>
  <c r="J90" i="7"/>
  <c r="I88" i="7"/>
  <c r="H88" i="7"/>
  <c r="G88" i="7"/>
  <c r="E88" i="7"/>
  <c r="J87" i="7"/>
  <c r="E87" i="7"/>
  <c r="J86" i="7"/>
  <c r="E86" i="7"/>
  <c r="K85" i="7"/>
  <c r="J85" i="7"/>
  <c r="I85" i="7"/>
  <c r="H85" i="7"/>
  <c r="G85" i="7"/>
  <c r="F85" i="7"/>
  <c r="K84" i="7"/>
  <c r="J84" i="7"/>
  <c r="I84" i="7"/>
  <c r="H84" i="7"/>
  <c r="G84" i="7"/>
  <c r="F84" i="7"/>
  <c r="K83" i="7"/>
  <c r="J83" i="7"/>
  <c r="I83" i="7"/>
  <c r="H83" i="7"/>
  <c r="G83" i="7"/>
  <c r="F83" i="7"/>
  <c r="K82" i="7"/>
  <c r="J82" i="7"/>
  <c r="I82" i="7"/>
  <c r="H82" i="7"/>
  <c r="G82" i="7"/>
  <c r="F82" i="7"/>
  <c r="C81" i="7"/>
  <c r="V80" i="7"/>
  <c r="T80" i="7"/>
  <c r="K87" i="7" s="1"/>
  <c r="R80" i="7"/>
  <c r="K86" i="7" s="1"/>
  <c r="U80" i="7"/>
  <c r="S80" i="7"/>
  <c r="I87" i="7" s="1"/>
  <c r="Q80" i="7"/>
  <c r="I86" i="7" s="1"/>
  <c r="E80" i="7"/>
  <c r="D80" i="7"/>
  <c r="H77" i="7"/>
  <c r="J77" i="7"/>
  <c r="I75" i="7"/>
  <c r="H75" i="7"/>
  <c r="G75" i="7"/>
  <c r="E75" i="7"/>
  <c r="J74" i="7"/>
  <c r="I74" i="7"/>
  <c r="E74" i="7"/>
  <c r="J73" i="7"/>
  <c r="E73" i="7"/>
  <c r="K72" i="7"/>
  <c r="J72" i="7"/>
  <c r="I72" i="7"/>
  <c r="H72" i="7"/>
  <c r="G72" i="7"/>
  <c r="F72" i="7"/>
  <c r="K71" i="7"/>
  <c r="J71" i="7"/>
  <c r="I71" i="7"/>
  <c r="H71" i="7"/>
  <c r="G71" i="7"/>
  <c r="F71" i="7"/>
  <c r="K70" i="7"/>
  <c r="J70" i="7"/>
  <c r="I70" i="7"/>
  <c r="H70" i="7"/>
  <c r="G70" i="7"/>
  <c r="F70" i="7"/>
  <c r="K69" i="7"/>
  <c r="J69" i="7"/>
  <c r="I69" i="7"/>
  <c r="H69" i="7"/>
  <c r="G69" i="7"/>
  <c r="F69" i="7"/>
  <c r="C68" i="7"/>
  <c r="V67" i="7"/>
  <c r="T67" i="7"/>
  <c r="K74" i="7" s="1"/>
  <c r="R67" i="7"/>
  <c r="K73" i="7" s="1"/>
  <c r="U67" i="7"/>
  <c r="S67" i="7"/>
  <c r="Q67" i="7"/>
  <c r="I73" i="7" s="1"/>
  <c r="E67" i="7"/>
  <c r="D67" i="7"/>
  <c r="H64" i="7"/>
  <c r="J64" i="7"/>
  <c r="I62" i="7"/>
  <c r="H62" i="7"/>
  <c r="G62" i="7"/>
  <c r="E62" i="7"/>
  <c r="J61" i="7"/>
  <c r="E61" i="7"/>
  <c r="J60" i="7"/>
  <c r="I60" i="7"/>
  <c r="E60" i="7"/>
  <c r="K59" i="7"/>
  <c r="J59" i="7"/>
  <c r="I59" i="7"/>
  <c r="H59" i="7"/>
  <c r="G59" i="7"/>
  <c r="F59" i="7"/>
  <c r="K58" i="7"/>
  <c r="J58" i="7"/>
  <c r="I58" i="7"/>
  <c r="H58" i="7"/>
  <c r="G58" i="7"/>
  <c r="F58" i="7"/>
  <c r="V57" i="7"/>
  <c r="T57" i="7"/>
  <c r="K61" i="7" s="1"/>
  <c r="R57" i="7"/>
  <c r="K60" i="7" s="1"/>
  <c r="U57" i="7"/>
  <c r="S57" i="7"/>
  <c r="I61" i="7" s="1"/>
  <c r="Q57" i="7"/>
  <c r="E57" i="7"/>
  <c r="D57" i="7"/>
  <c r="H54" i="7"/>
  <c r="J54" i="7"/>
  <c r="I52" i="7"/>
  <c r="H52" i="7"/>
  <c r="G52" i="7"/>
  <c r="E52" i="7"/>
  <c r="J51" i="7"/>
  <c r="E51" i="7"/>
  <c r="J50" i="7"/>
  <c r="E50" i="7"/>
  <c r="K49" i="7"/>
  <c r="J49" i="7"/>
  <c r="I49" i="7"/>
  <c r="H49" i="7"/>
  <c r="G49" i="7"/>
  <c r="F49" i="7"/>
  <c r="K48" i="7"/>
  <c r="J48" i="7"/>
  <c r="I48" i="7"/>
  <c r="H48" i="7"/>
  <c r="G48" i="7"/>
  <c r="F48" i="7"/>
  <c r="K47" i="7"/>
  <c r="J47" i="7"/>
  <c r="I47" i="7"/>
  <c r="H47" i="7"/>
  <c r="G47" i="7"/>
  <c r="F47" i="7"/>
  <c r="K46" i="7"/>
  <c r="J46" i="7"/>
  <c r="I46" i="7"/>
  <c r="H46" i="7"/>
  <c r="G46" i="7"/>
  <c r="F46" i="7"/>
  <c r="C45" i="7"/>
  <c r="V44" i="7"/>
  <c r="T44" i="7"/>
  <c r="K51" i="7" s="1"/>
  <c r="R44" i="7"/>
  <c r="K50" i="7" s="1"/>
  <c r="U44" i="7"/>
  <c r="S44" i="7"/>
  <c r="I51" i="7" s="1"/>
  <c r="Q44" i="7"/>
  <c r="I50" i="7" s="1"/>
  <c r="E44" i="7"/>
  <c r="D44" i="7"/>
  <c r="H41" i="7"/>
  <c r="J41" i="7"/>
  <c r="I39" i="7"/>
  <c r="H39" i="7"/>
  <c r="G39" i="7"/>
  <c r="E39" i="7"/>
  <c r="J38" i="7"/>
  <c r="E38" i="7"/>
  <c r="K37" i="7"/>
  <c r="J37" i="7"/>
  <c r="E37" i="7"/>
  <c r="K36" i="7"/>
  <c r="J36" i="7"/>
  <c r="I36" i="7"/>
  <c r="H36" i="7"/>
  <c r="G36" i="7"/>
  <c r="F36" i="7"/>
  <c r="K35" i="7"/>
  <c r="J35" i="7"/>
  <c r="I35" i="7"/>
  <c r="H35" i="7"/>
  <c r="G35" i="7"/>
  <c r="F35" i="7"/>
  <c r="K34" i="7"/>
  <c r="J34" i="7"/>
  <c r="I34" i="7"/>
  <c r="H34" i="7"/>
  <c r="G34" i="7"/>
  <c r="F34" i="7"/>
  <c r="K33" i="7"/>
  <c r="J33" i="7"/>
  <c r="I33" i="7"/>
  <c r="H33" i="7"/>
  <c r="G33" i="7"/>
  <c r="F33" i="7"/>
  <c r="C32" i="7"/>
  <c r="V31" i="7"/>
  <c r="T31" i="7"/>
  <c r="K38" i="7" s="1"/>
  <c r="R31" i="7"/>
  <c r="U31" i="7"/>
  <c r="S31" i="7"/>
  <c r="I38" i="7" s="1"/>
  <c r="Q31" i="7"/>
  <c r="I37" i="7" s="1"/>
  <c r="E31" i="7"/>
  <c r="D31" i="7"/>
  <c r="A30" i="7"/>
  <c r="A11" i="7"/>
  <c r="A8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" i="3"/>
  <c r="Y1" i="3"/>
  <c r="CX1" i="3" s="1"/>
  <c r="CU1" i="3"/>
  <c r="CV1" i="3"/>
  <c r="CY1" i="3"/>
  <c r="CZ1" i="3"/>
  <c r="DA1" i="3"/>
  <c r="DB1" i="3"/>
  <c r="DC1" i="3"/>
  <c r="A2" i="3"/>
  <c r="Y2" i="3"/>
  <c r="CX2" i="3"/>
  <c r="DF2" i="3" s="1"/>
  <c r="DJ2" i="3" s="1"/>
  <c r="CY2" i="3"/>
  <c r="CZ2" i="3"/>
  <c r="DB2" i="3" s="1"/>
  <c r="DA2" i="3"/>
  <c r="DC2" i="3"/>
  <c r="DG2" i="3"/>
  <c r="DH2" i="3"/>
  <c r="A3" i="3"/>
  <c r="Y3" i="3"/>
  <c r="CX3" i="3" s="1"/>
  <c r="CY3" i="3"/>
  <c r="CZ3" i="3"/>
  <c r="DA3" i="3"/>
  <c r="DB3" i="3"/>
  <c r="DC3" i="3"/>
  <c r="A4" i="3"/>
  <c r="Y4" i="3"/>
  <c r="CV4" i="3" s="1"/>
  <c r="CU4" i="3"/>
  <c r="CY4" i="3"/>
  <c r="CZ4" i="3"/>
  <c r="DA4" i="3"/>
  <c r="DB4" i="3"/>
  <c r="DC4" i="3"/>
  <c r="A5" i="3"/>
  <c r="Y5" i="3"/>
  <c r="CX5" i="3" s="1"/>
  <c r="CY5" i="3"/>
  <c r="CZ5" i="3"/>
  <c r="DA5" i="3"/>
  <c r="DB5" i="3"/>
  <c r="DC5" i="3"/>
  <c r="A6" i="3"/>
  <c r="Y6" i="3"/>
  <c r="CX6" i="3" s="1"/>
  <c r="CY6" i="3"/>
  <c r="CZ6" i="3"/>
  <c r="DB6" i="3" s="1"/>
  <c r="DA6" i="3"/>
  <c r="DC6" i="3"/>
  <c r="DG6" i="3"/>
  <c r="A7" i="3"/>
  <c r="Y7" i="3"/>
  <c r="CX7" i="3" s="1"/>
  <c r="CU7" i="3"/>
  <c r="CY7" i="3"/>
  <c r="CZ7" i="3"/>
  <c r="DB7" i="3" s="1"/>
  <c r="DA7" i="3"/>
  <c r="DC7" i="3"/>
  <c r="A8" i="3"/>
  <c r="Y8" i="3"/>
  <c r="CX8" i="3" s="1"/>
  <c r="CY8" i="3"/>
  <c r="CZ8" i="3"/>
  <c r="DB8" i="3" s="1"/>
  <c r="DA8" i="3"/>
  <c r="DC8" i="3"/>
  <c r="A9" i="3"/>
  <c r="Y9" i="3"/>
  <c r="CX9" i="3" s="1"/>
  <c r="CY9" i="3"/>
  <c r="CZ9" i="3"/>
  <c r="DB9" i="3" s="1"/>
  <c r="DA9" i="3"/>
  <c r="DC9" i="3"/>
  <c r="A10" i="3"/>
  <c r="Y10" i="3"/>
  <c r="CU10" i="3"/>
  <c r="CV10" i="3"/>
  <c r="CX10" i="3"/>
  <c r="DG10" i="3" s="1"/>
  <c r="CY10" i="3"/>
  <c r="CZ10" i="3"/>
  <c r="DA10" i="3"/>
  <c r="DB10" i="3"/>
  <c r="DC10" i="3"/>
  <c r="DI10" i="3"/>
  <c r="DJ10" i="3" s="1"/>
  <c r="A11" i="3"/>
  <c r="Y11" i="3"/>
  <c r="CX11" i="3" s="1"/>
  <c r="CY11" i="3"/>
  <c r="CZ11" i="3"/>
  <c r="DB11" i="3" s="1"/>
  <c r="DA11" i="3"/>
  <c r="DC11" i="3"/>
  <c r="A12" i="3"/>
  <c r="Y12" i="3"/>
  <c r="CX12" i="3" s="1"/>
  <c r="CY12" i="3"/>
  <c r="CZ12" i="3"/>
  <c r="DB12" i="3" s="1"/>
  <c r="DA12" i="3"/>
  <c r="DC12" i="3"/>
  <c r="A13" i="3"/>
  <c r="Y13" i="3"/>
  <c r="CV13" i="3" s="1"/>
  <c r="CU13" i="3"/>
  <c r="CX13" i="3"/>
  <c r="DG13" i="3" s="1"/>
  <c r="CY13" i="3"/>
  <c r="CZ13" i="3"/>
  <c r="DA13" i="3"/>
  <c r="DB13" i="3"/>
  <c r="DC13" i="3"/>
  <c r="DF13" i="3"/>
  <c r="A14" i="3"/>
  <c r="Y14" i="3"/>
  <c r="CX14" i="3" s="1"/>
  <c r="CY14" i="3"/>
  <c r="CZ14" i="3"/>
  <c r="DA14" i="3"/>
  <c r="DB14" i="3"/>
  <c r="DC14" i="3"/>
  <c r="DI14" i="3"/>
  <c r="A15" i="3"/>
  <c r="Y15" i="3"/>
  <c r="CX15" i="3"/>
  <c r="DH15" i="3" s="1"/>
  <c r="CY15" i="3"/>
  <c r="CZ15" i="3"/>
  <c r="DA15" i="3"/>
  <c r="DB15" i="3"/>
  <c r="DC15" i="3"/>
  <c r="DF15" i="3"/>
  <c r="DJ15" i="3" s="1"/>
  <c r="DG15" i="3"/>
  <c r="A16" i="3"/>
  <c r="Y16" i="3"/>
  <c r="CU16" i="3"/>
  <c r="CY16" i="3"/>
  <c r="CZ16" i="3"/>
  <c r="DB16" i="3" s="1"/>
  <c r="DA16" i="3"/>
  <c r="DC16" i="3"/>
  <c r="A17" i="3"/>
  <c r="Y17" i="3"/>
  <c r="CX17" i="3"/>
  <c r="CY17" i="3"/>
  <c r="CZ17" i="3"/>
  <c r="DA17" i="3"/>
  <c r="DB17" i="3"/>
  <c r="DC17" i="3"/>
  <c r="A18" i="3"/>
  <c r="Y18" i="3"/>
  <c r="CX18" i="3"/>
  <c r="DF18" i="3" s="1"/>
  <c r="DJ18" i="3" s="1"/>
  <c r="CY18" i="3"/>
  <c r="CZ18" i="3"/>
  <c r="DA18" i="3"/>
  <c r="DB18" i="3"/>
  <c r="DC18" i="3"/>
  <c r="DG18" i="3"/>
  <c r="DH18" i="3"/>
  <c r="A19" i="3"/>
  <c r="Y19" i="3"/>
  <c r="CU19" i="3"/>
  <c r="CV19" i="3"/>
  <c r="CX19" i="3"/>
  <c r="DF19" i="3" s="1"/>
  <c r="CY19" i="3"/>
  <c r="CZ19" i="3"/>
  <c r="DA19" i="3"/>
  <c r="DB19" i="3"/>
  <c r="DC19" i="3"/>
  <c r="DH19" i="3"/>
  <c r="DI19" i="3"/>
  <c r="DJ19" i="3" s="1"/>
  <c r="A20" i="3"/>
  <c r="Y20" i="3"/>
  <c r="CX20" i="3" s="1"/>
  <c r="DG20" i="3" s="1"/>
  <c r="CY20" i="3"/>
  <c r="CZ20" i="3"/>
  <c r="DB20" i="3" s="1"/>
  <c r="DA20" i="3"/>
  <c r="DC20" i="3"/>
  <c r="A21" i="3"/>
  <c r="Y21" i="3"/>
  <c r="CX21" i="3" s="1"/>
  <c r="CY21" i="3"/>
  <c r="CZ21" i="3"/>
  <c r="DA21" i="3"/>
  <c r="DB21" i="3"/>
  <c r="DC21" i="3"/>
  <c r="A22" i="3"/>
  <c r="Y22" i="3"/>
  <c r="CU22" i="3"/>
  <c r="CV22" i="3"/>
  <c r="CX22" i="3"/>
  <c r="DG22" i="3" s="1"/>
  <c r="CY22" i="3"/>
  <c r="CZ22" i="3"/>
  <c r="DB22" i="3" s="1"/>
  <c r="DA22" i="3"/>
  <c r="DC22" i="3"/>
  <c r="DF22" i="3"/>
  <c r="A23" i="3"/>
  <c r="Y23" i="3"/>
  <c r="CX23" i="3" s="1"/>
  <c r="CY23" i="3"/>
  <c r="CZ23" i="3"/>
  <c r="DB23" i="3" s="1"/>
  <c r="DA23" i="3"/>
  <c r="DC23" i="3"/>
  <c r="DI23" i="3"/>
  <c r="A24" i="3"/>
  <c r="Y24" i="3"/>
  <c r="CX24" i="3" s="1"/>
  <c r="CY24" i="3"/>
  <c r="CZ24" i="3"/>
  <c r="DB24" i="3" s="1"/>
  <c r="DA24" i="3"/>
  <c r="DC24" i="3"/>
  <c r="A25" i="3"/>
  <c r="Y25" i="3"/>
  <c r="CU25" i="3"/>
  <c r="CY25" i="3"/>
  <c r="CZ25" i="3"/>
  <c r="DB25" i="3" s="1"/>
  <c r="DA25" i="3"/>
  <c r="DC25" i="3"/>
  <c r="A26" i="3"/>
  <c r="Y26" i="3"/>
  <c r="CX26" i="3"/>
  <c r="CY26" i="3"/>
  <c r="CZ26" i="3"/>
  <c r="DB26" i="3" s="1"/>
  <c r="DA26" i="3"/>
  <c r="DC26" i="3"/>
  <c r="DI26" i="3"/>
  <c r="A27" i="3"/>
  <c r="Y27" i="3"/>
  <c r="CX27" i="3"/>
  <c r="DF27" i="3" s="1"/>
  <c r="DJ27" i="3" s="1"/>
  <c r="CY27" i="3"/>
  <c r="CZ27" i="3"/>
  <c r="DB27" i="3" s="1"/>
  <c r="DA27" i="3"/>
  <c r="DC27" i="3"/>
  <c r="DH27" i="3"/>
  <c r="A28" i="3"/>
  <c r="Y28" i="3"/>
  <c r="CU28" i="3"/>
  <c r="CY28" i="3"/>
  <c r="CZ28" i="3"/>
  <c r="DA28" i="3"/>
  <c r="DB28" i="3"/>
  <c r="DC28" i="3"/>
  <c r="A29" i="3"/>
  <c r="Y29" i="3"/>
  <c r="CX29" i="3"/>
  <c r="CY29" i="3"/>
  <c r="CZ29" i="3"/>
  <c r="DA29" i="3"/>
  <c r="DB29" i="3"/>
  <c r="DC29" i="3"/>
  <c r="DG29" i="3"/>
  <c r="A30" i="3"/>
  <c r="Y30" i="3"/>
  <c r="CX30" i="3" s="1"/>
  <c r="DG30" i="3" s="1"/>
  <c r="CY30" i="3"/>
  <c r="CZ30" i="3"/>
  <c r="DA30" i="3"/>
  <c r="DB30" i="3"/>
  <c r="DC30" i="3"/>
  <c r="A31" i="3"/>
  <c r="Y31" i="3"/>
  <c r="CV31" i="3" s="1"/>
  <c r="CU31" i="3"/>
  <c r="CX31" i="3"/>
  <c r="DH31" i="3" s="1"/>
  <c r="CY31" i="3"/>
  <c r="CZ31" i="3"/>
  <c r="DA31" i="3"/>
  <c r="DB31" i="3"/>
  <c r="DC31" i="3"/>
  <c r="A32" i="3"/>
  <c r="Y32" i="3"/>
  <c r="CX32" i="3"/>
  <c r="DF32" i="3" s="1"/>
  <c r="DJ32" i="3" s="1"/>
  <c r="CY32" i="3"/>
  <c r="CZ32" i="3"/>
  <c r="DA32" i="3"/>
  <c r="DB32" i="3"/>
  <c r="DC32" i="3"/>
  <c r="DG32" i="3"/>
  <c r="DH32" i="3"/>
  <c r="A33" i="3"/>
  <c r="Y33" i="3"/>
  <c r="CX33" i="3"/>
  <c r="DH33" i="3" s="1"/>
  <c r="CY33" i="3"/>
  <c r="CZ33" i="3"/>
  <c r="DB33" i="3" s="1"/>
  <c r="DA33" i="3"/>
  <c r="DC33" i="3"/>
  <c r="DF33" i="3"/>
  <c r="DG33" i="3"/>
  <c r="DJ33" i="3"/>
  <c r="A34" i="3"/>
  <c r="Y34" i="3"/>
  <c r="CX34" i="3" s="1"/>
  <c r="CU34" i="3"/>
  <c r="CV34" i="3"/>
  <c r="CY34" i="3"/>
  <c r="CZ34" i="3"/>
  <c r="DB34" i="3" s="1"/>
  <c r="DA34" i="3"/>
  <c r="DC34" i="3"/>
  <c r="DG34" i="3"/>
  <c r="A35" i="3"/>
  <c r="Y35" i="3"/>
  <c r="CX35" i="3" s="1"/>
  <c r="CY35" i="3"/>
  <c r="CZ35" i="3"/>
  <c r="DB35" i="3" s="1"/>
  <c r="DA35" i="3"/>
  <c r="DC35" i="3"/>
  <c r="A36" i="3"/>
  <c r="Y36" i="3"/>
  <c r="CX36" i="3"/>
  <c r="DF36" i="3" s="1"/>
  <c r="DJ36" i="3" s="1"/>
  <c r="CY36" i="3"/>
  <c r="CZ36" i="3"/>
  <c r="DB36" i="3" s="1"/>
  <c r="DA36" i="3"/>
  <c r="DC36" i="3"/>
  <c r="DG36" i="3"/>
  <c r="DH36" i="3"/>
  <c r="A37" i="3"/>
  <c r="Y37" i="3"/>
  <c r="CX37" i="3" s="1"/>
  <c r="DF37" i="3" s="1"/>
  <c r="CU37" i="3"/>
  <c r="CV37" i="3"/>
  <c r="CY37" i="3"/>
  <c r="CZ37" i="3"/>
  <c r="DB37" i="3" s="1"/>
  <c r="DA37" i="3"/>
  <c r="DC37" i="3"/>
  <c r="A38" i="3"/>
  <c r="Y38" i="3"/>
  <c r="CX38" i="3" s="1"/>
  <c r="CY38" i="3"/>
  <c r="CZ38" i="3"/>
  <c r="DB38" i="3" s="1"/>
  <c r="DA38" i="3"/>
  <c r="DC38" i="3"/>
  <c r="DI38" i="3"/>
  <c r="A39" i="3"/>
  <c r="Y39" i="3"/>
  <c r="CX39" i="3" s="1"/>
  <c r="CY39" i="3"/>
  <c r="CZ39" i="3"/>
  <c r="DA39" i="3"/>
  <c r="DB39" i="3"/>
  <c r="DC39" i="3"/>
  <c r="DH39" i="3"/>
  <c r="A40" i="3"/>
  <c r="Y40" i="3"/>
  <c r="CV40" i="3" s="1"/>
  <c r="CU40" i="3"/>
  <c r="CY40" i="3"/>
  <c r="CZ40" i="3"/>
  <c r="DB40" i="3" s="1"/>
  <c r="DA40" i="3"/>
  <c r="DC40" i="3"/>
  <c r="A41" i="3"/>
  <c r="Y41" i="3"/>
  <c r="CX41" i="3"/>
  <c r="CY41" i="3"/>
  <c r="CZ41" i="3"/>
  <c r="DB41" i="3" s="1"/>
  <c r="DA41" i="3"/>
  <c r="DC41" i="3"/>
  <c r="DH41" i="3"/>
  <c r="DI41" i="3"/>
  <c r="A42" i="3"/>
  <c r="Y42" i="3"/>
  <c r="CX42" i="3" s="1"/>
  <c r="CY42" i="3"/>
  <c r="CZ42" i="3"/>
  <c r="DB42" i="3" s="1"/>
  <c r="DA42" i="3"/>
  <c r="DC42" i="3"/>
  <c r="DF42" i="3"/>
  <c r="DJ42" i="3" s="1"/>
  <c r="A43" i="3"/>
  <c r="Y43" i="3"/>
  <c r="CV43" i="3" s="1"/>
  <c r="CU43" i="3"/>
  <c r="CX43" i="3"/>
  <c r="CY43" i="3"/>
  <c r="CZ43" i="3"/>
  <c r="DA43" i="3"/>
  <c r="DB43" i="3"/>
  <c r="DC43" i="3"/>
  <c r="A44" i="3"/>
  <c r="Y44" i="3"/>
  <c r="CX44" i="3" s="1"/>
  <c r="CY44" i="3"/>
  <c r="CZ44" i="3"/>
  <c r="DA44" i="3"/>
  <c r="DB44" i="3"/>
  <c r="DC44" i="3"/>
  <c r="A45" i="3"/>
  <c r="Y45" i="3"/>
  <c r="CX45" i="3" s="1"/>
  <c r="CY45" i="3"/>
  <c r="CZ45" i="3"/>
  <c r="DB45" i="3" s="1"/>
  <c r="DA45" i="3"/>
  <c r="DC45" i="3"/>
  <c r="DG45" i="3"/>
  <c r="A46" i="3"/>
  <c r="Y46" i="3"/>
  <c r="CV46" i="3" s="1"/>
  <c r="CU46" i="3"/>
  <c r="CY46" i="3"/>
  <c r="CZ46" i="3"/>
  <c r="DA46" i="3"/>
  <c r="DB46" i="3"/>
  <c r="DC46" i="3"/>
  <c r="A47" i="3"/>
  <c r="Y47" i="3"/>
  <c r="CX47" i="3"/>
  <c r="DH47" i="3" s="1"/>
  <c r="CY47" i="3"/>
  <c r="CZ47" i="3"/>
  <c r="DB47" i="3" s="1"/>
  <c r="DA47" i="3"/>
  <c r="DC47" i="3"/>
  <c r="DF47" i="3"/>
  <c r="DJ47" i="3" s="1"/>
  <c r="DG47" i="3"/>
  <c r="A48" i="3"/>
  <c r="Y48" i="3"/>
  <c r="CX48" i="3" s="1"/>
  <c r="CY48" i="3"/>
  <c r="CZ48" i="3"/>
  <c r="DA48" i="3"/>
  <c r="DB48" i="3"/>
  <c r="DC48" i="3"/>
  <c r="DI48" i="3"/>
  <c r="A49" i="3"/>
  <c r="Y49" i="3"/>
  <c r="CX49" i="3" s="1"/>
  <c r="CU49" i="3"/>
  <c r="CV49" i="3"/>
  <c r="CY49" i="3"/>
  <c r="CZ49" i="3"/>
  <c r="DB49" i="3" s="1"/>
  <c r="DA49" i="3"/>
  <c r="DC49" i="3"/>
  <c r="A50" i="3"/>
  <c r="Y50" i="3"/>
  <c r="CX50" i="3"/>
  <c r="DF50" i="3" s="1"/>
  <c r="DJ50" i="3" s="1"/>
  <c r="CY50" i="3"/>
  <c r="CZ50" i="3"/>
  <c r="DB50" i="3" s="1"/>
  <c r="DA50" i="3"/>
  <c r="DC50" i="3"/>
  <c r="DG50" i="3"/>
  <c r="DH50" i="3"/>
  <c r="A51" i="3"/>
  <c r="Y51" i="3"/>
  <c r="CX51" i="3"/>
  <c r="DH51" i="3" s="1"/>
  <c r="CY51" i="3"/>
  <c r="CZ51" i="3"/>
  <c r="DA51" i="3"/>
  <c r="DB51" i="3"/>
  <c r="DC51" i="3"/>
  <c r="A52" i="3"/>
  <c r="Y52" i="3"/>
  <c r="CV52" i="3" s="1"/>
  <c r="CU52" i="3"/>
  <c r="CY52" i="3"/>
  <c r="CZ52" i="3"/>
  <c r="DB52" i="3" s="1"/>
  <c r="DA52" i="3"/>
  <c r="DC52" i="3"/>
  <c r="A53" i="3"/>
  <c r="Y53" i="3"/>
  <c r="CX53" i="3" s="1"/>
  <c r="DH53" i="3" s="1"/>
  <c r="CY53" i="3"/>
  <c r="CZ53" i="3"/>
  <c r="DA53" i="3"/>
  <c r="DB53" i="3"/>
  <c r="DC53" i="3"/>
  <c r="A54" i="3"/>
  <c r="Y54" i="3"/>
  <c r="CX54" i="3" s="1"/>
  <c r="DH54" i="3" s="1"/>
  <c r="CY54" i="3"/>
  <c r="CZ54" i="3"/>
  <c r="DB54" i="3" s="1"/>
  <c r="DA54" i="3"/>
  <c r="DC54" i="3"/>
  <c r="DG54" i="3"/>
  <c r="A55" i="3"/>
  <c r="Y55" i="3"/>
  <c r="CV55" i="3" s="1"/>
  <c r="CU55" i="3"/>
  <c r="CX55" i="3"/>
  <c r="CY55" i="3"/>
  <c r="CZ55" i="3"/>
  <c r="DB55" i="3" s="1"/>
  <c r="DA55" i="3"/>
  <c r="DC55" i="3"/>
  <c r="DH55" i="3"/>
  <c r="DI55" i="3"/>
  <c r="DJ55" i="3" s="1"/>
  <c r="A56" i="3"/>
  <c r="Y56" i="3"/>
  <c r="CX56" i="3"/>
  <c r="DF56" i="3" s="1"/>
  <c r="DJ56" i="3" s="1"/>
  <c r="CY56" i="3"/>
  <c r="CZ56" i="3"/>
  <c r="DB56" i="3" s="1"/>
  <c r="DA56" i="3"/>
  <c r="DC56" i="3"/>
  <c r="A57" i="3"/>
  <c r="Y57" i="3"/>
  <c r="CX57" i="3" s="1"/>
  <c r="CY57" i="3"/>
  <c r="CZ57" i="3"/>
  <c r="DB57" i="3" s="1"/>
  <c r="DA57" i="3"/>
  <c r="DC57" i="3"/>
  <c r="DF57" i="3"/>
  <c r="DJ57" i="3" s="1"/>
  <c r="DI57" i="3"/>
  <c r="A58" i="3"/>
  <c r="Y58" i="3"/>
  <c r="CU58" i="3"/>
  <c r="CV58" i="3"/>
  <c r="CX58" i="3"/>
  <c r="DG58" i="3" s="1"/>
  <c r="CY58" i="3"/>
  <c r="CZ58" i="3"/>
  <c r="DA58" i="3"/>
  <c r="DB58" i="3"/>
  <c r="DC58" i="3"/>
  <c r="A59" i="3"/>
  <c r="Y59" i="3"/>
  <c r="CX59" i="3" s="1"/>
  <c r="DG59" i="3" s="1"/>
  <c r="CY59" i="3"/>
  <c r="CZ59" i="3"/>
  <c r="DB59" i="3" s="1"/>
  <c r="DA59" i="3"/>
  <c r="DC59" i="3"/>
  <c r="DF59" i="3"/>
  <c r="DJ59" i="3"/>
  <c r="A60" i="3"/>
  <c r="Y60" i="3"/>
  <c r="CX60" i="3"/>
  <c r="CY60" i="3"/>
  <c r="CZ60" i="3"/>
  <c r="DB60" i="3" s="1"/>
  <c r="DA60" i="3"/>
  <c r="DC60" i="3"/>
  <c r="DF60" i="3"/>
  <c r="DJ60" i="3"/>
  <c r="A61" i="3"/>
  <c r="Y61" i="3"/>
  <c r="CV61" i="3" s="1"/>
  <c r="CU61" i="3"/>
  <c r="CX61" i="3"/>
  <c r="DH61" i="3" s="1"/>
  <c r="CY61" i="3"/>
  <c r="CZ61" i="3"/>
  <c r="DA61" i="3"/>
  <c r="DB61" i="3"/>
  <c r="DC61" i="3"/>
  <c r="DF61" i="3"/>
  <c r="DG61" i="3"/>
  <c r="A62" i="3"/>
  <c r="Y62" i="3"/>
  <c r="CX62" i="3" s="1"/>
  <c r="CY62" i="3"/>
  <c r="CZ62" i="3"/>
  <c r="DA62" i="3"/>
  <c r="DB62" i="3"/>
  <c r="DC62" i="3"/>
  <c r="DI62" i="3"/>
  <c r="A63" i="3"/>
  <c r="Y63" i="3"/>
  <c r="CX63" i="3"/>
  <c r="CY63" i="3"/>
  <c r="CZ63" i="3"/>
  <c r="DA63" i="3"/>
  <c r="DB63" i="3"/>
  <c r="DC63" i="3"/>
  <c r="DF63" i="3"/>
  <c r="DJ63" i="3" s="1"/>
  <c r="A64" i="3"/>
  <c r="Y64" i="3"/>
  <c r="CU64" i="3"/>
  <c r="CY64" i="3"/>
  <c r="CZ64" i="3"/>
  <c r="DB64" i="3" s="1"/>
  <c r="DA64" i="3"/>
  <c r="DC64" i="3"/>
  <c r="A65" i="3"/>
  <c r="Y65" i="3"/>
  <c r="CX65" i="3"/>
  <c r="CY65" i="3"/>
  <c r="CZ65" i="3"/>
  <c r="DA65" i="3"/>
  <c r="DB65" i="3"/>
  <c r="DC65" i="3"/>
  <c r="DH65" i="3"/>
  <c r="A66" i="3"/>
  <c r="Y66" i="3"/>
  <c r="CX66" i="3"/>
  <c r="DF66" i="3" s="1"/>
  <c r="DJ66" i="3" s="1"/>
  <c r="CY66" i="3"/>
  <c r="CZ66" i="3"/>
  <c r="DA66" i="3"/>
  <c r="DB66" i="3"/>
  <c r="DC66" i="3"/>
  <c r="DG66" i="3"/>
  <c r="DH66" i="3"/>
  <c r="A67" i="3"/>
  <c r="Y67" i="3"/>
  <c r="CU67" i="3"/>
  <c r="CV67" i="3"/>
  <c r="CX67" i="3"/>
  <c r="DF67" i="3" s="1"/>
  <c r="CY67" i="3"/>
  <c r="CZ67" i="3"/>
  <c r="DA67" i="3"/>
  <c r="DB67" i="3"/>
  <c r="DC67" i="3"/>
  <c r="DG67" i="3"/>
  <c r="DH67" i="3"/>
  <c r="DI67" i="3"/>
  <c r="DJ67" i="3" s="1"/>
  <c r="A68" i="3"/>
  <c r="Y68" i="3"/>
  <c r="CX68" i="3" s="1"/>
  <c r="CY68" i="3"/>
  <c r="CZ68" i="3"/>
  <c r="DB68" i="3" s="1"/>
  <c r="DA68" i="3"/>
  <c r="DC68" i="3"/>
  <c r="DG68" i="3"/>
  <c r="DH68" i="3"/>
  <c r="A69" i="3"/>
  <c r="Y69" i="3"/>
  <c r="CX69" i="3" s="1"/>
  <c r="CY69" i="3"/>
  <c r="CZ69" i="3"/>
  <c r="DA69" i="3"/>
  <c r="DB69" i="3"/>
  <c r="DC69" i="3"/>
  <c r="A70" i="3"/>
  <c r="Y70" i="3"/>
  <c r="CU70" i="3"/>
  <c r="CV70" i="3"/>
  <c r="CX70" i="3"/>
  <c r="CY70" i="3"/>
  <c r="CZ70" i="3"/>
  <c r="DB70" i="3" s="1"/>
  <c r="DA70" i="3"/>
  <c r="DC70" i="3"/>
  <c r="A71" i="3"/>
  <c r="Y71" i="3"/>
  <c r="CX71" i="3" s="1"/>
  <c r="DG71" i="3" s="1"/>
  <c r="CY71" i="3"/>
  <c r="CZ71" i="3"/>
  <c r="DB71" i="3" s="1"/>
  <c r="DA71" i="3"/>
  <c r="DC71" i="3"/>
  <c r="DF71" i="3"/>
  <c r="DJ71" i="3" s="1"/>
  <c r="DH71" i="3"/>
  <c r="DI71" i="3"/>
  <c r="A72" i="3"/>
  <c r="Y72" i="3"/>
  <c r="CX72" i="3" s="1"/>
  <c r="CY72" i="3"/>
  <c r="CZ72" i="3"/>
  <c r="DB72" i="3" s="1"/>
  <c r="DA72" i="3"/>
  <c r="DC72" i="3"/>
  <c r="DI72" i="3"/>
  <c r="A73" i="3"/>
  <c r="Y73" i="3"/>
  <c r="CU73" i="3"/>
  <c r="CY73" i="3"/>
  <c r="CZ73" i="3"/>
  <c r="DB73" i="3" s="1"/>
  <c r="DA73" i="3"/>
  <c r="DC73" i="3"/>
  <c r="A74" i="3"/>
  <c r="Y74" i="3"/>
  <c r="CX74" i="3" s="1"/>
  <c r="CY74" i="3"/>
  <c r="CZ74" i="3"/>
  <c r="DB74" i="3" s="1"/>
  <c r="DA74" i="3"/>
  <c r="DC74" i="3"/>
  <c r="A75" i="3"/>
  <c r="Y75" i="3"/>
  <c r="CX75" i="3"/>
  <c r="CY75" i="3"/>
  <c r="CZ75" i="3"/>
  <c r="DB75" i="3" s="1"/>
  <c r="DA75" i="3"/>
  <c r="DC75" i="3"/>
  <c r="DH75" i="3"/>
  <c r="DI75" i="3"/>
  <c r="A76" i="3"/>
  <c r="Y76" i="3"/>
  <c r="CU76" i="3"/>
  <c r="CY76" i="3"/>
  <c r="CZ76" i="3"/>
  <c r="DA76" i="3"/>
  <c r="DB76" i="3"/>
  <c r="DC76" i="3"/>
  <c r="A77" i="3"/>
  <c r="Y77" i="3"/>
  <c r="CX77" i="3"/>
  <c r="CY77" i="3"/>
  <c r="CZ77" i="3"/>
  <c r="DA77" i="3"/>
  <c r="DB77" i="3"/>
  <c r="DC77" i="3"/>
  <c r="DF77" i="3"/>
  <c r="DJ77" i="3" s="1"/>
  <c r="A78" i="3"/>
  <c r="Y78" i="3"/>
  <c r="CX78" i="3" s="1"/>
  <c r="CY78" i="3"/>
  <c r="CZ78" i="3"/>
  <c r="DA78" i="3"/>
  <c r="DB78" i="3"/>
  <c r="DC78" i="3"/>
  <c r="A79" i="3"/>
  <c r="Y79" i="3"/>
  <c r="CV79" i="3" s="1"/>
  <c r="CU79" i="3"/>
  <c r="CX79" i="3"/>
  <c r="DH79" i="3" s="1"/>
  <c r="CY79" i="3"/>
  <c r="CZ79" i="3"/>
  <c r="DA79" i="3"/>
  <c r="DB79" i="3"/>
  <c r="DC79" i="3"/>
  <c r="A80" i="3"/>
  <c r="Y80" i="3"/>
  <c r="CX80" i="3"/>
  <c r="DI80" i="3" s="1"/>
  <c r="CY80" i="3"/>
  <c r="CZ80" i="3"/>
  <c r="DA80" i="3"/>
  <c r="DB80" i="3"/>
  <c r="DC80" i="3"/>
  <c r="DF80" i="3"/>
  <c r="DJ80" i="3" s="1"/>
  <c r="DG80" i="3"/>
  <c r="DH80" i="3"/>
  <c r="A81" i="3"/>
  <c r="Y81" i="3"/>
  <c r="CX81" i="3"/>
  <c r="CY81" i="3"/>
  <c r="CZ81" i="3"/>
  <c r="DB81" i="3" s="1"/>
  <c r="DA81" i="3"/>
  <c r="DC81" i="3"/>
  <c r="DF81" i="3"/>
  <c r="DJ81" i="3"/>
  <c r="A82" i="3"/>
  <c r="Y82" i="3"/>
  <c r="CX82" i="3" s="1"/>
  <c r="CU82" i="3"/>
  <c r="CV82" i="3"/>
  <c r="CY82" i="3"/>
  <c r="CZ82" i="3"/>
  <c r="DB82" i="3" s="1"/>
  <c r="DA82" i="3"/>
  <c r="DC82" i="3"/>
  <c r="DG82" i="3"/>
  <c r="DH82" i="3"/>
  <c r="A83" i="3"/>
  <c r="Y83" i="3"/>
  <c r="CX83" i="3" s="1"/>
  <c r="CY83" i="3"/>
  <c r="CZ83" i="3"/>
  <c r="DA83" i="3"/>
  <c r="DB83" i="3"/>
  <c r="DC83" i="3"/>
  <c r="A84" i="3"/>
  <c r="Y84" i="3"/>
  <c r="CX84" i="3" s="1"/>
  <c r="DG84" i="3" s="1"/>
  <c r="CY84" i="3"/>
  <c r="CZ84" i="3"/>
  <c r="DB84" i="3" s="1"/>
  <c r="DA84" i="3"/>
  <c r="DC84" i="3"/>
  <c r="A85" i="3"/>
  <c r="Y85" i="3"/>
  <c r="CU85" i="3"/>
  <c r="CV85" i="3"/>
  <c r="CX85" i="3"/>
  <c r="DG85" i="3" s="1"/>
  <c r="CY85" i="3"/>
  <c r="CZ85" i="3"/>
  <c r="DB85" i="3" s="1"/>
  <c r="DA85" i="3"/>
  <c r="DC85" i="3"/>
  <c r="DF85" i="3"/>
  <c r="DH85" i="3"/>
  <c r="DI85" i="3"/>
  <c r="DJ85" i="3" s="1"/>
  <c r="A86" i="3"/>
  <c r="Y86" i="3"/>
  <c r="CX86" i="3" s="1"/>
  <c r="CY86" i="3"/>
  <c r="CZ86" i="3"/>
  <c r="DB86" i="3" s="1"/>
  <c r="DA86" i="3"/>
  <c r="DC86" i="3"/>
  <c r="DF86" i="3"/>
  <c r="DJ86" i="3" s="1"/>
  <c r="DI86" i="3"/>
  <c r="A87" i="3"/>
  <c r="Y87" i="3"/>
  <c r="CX87" i="3" s="1"/>
  <c r="DG87" i="3" s="1"/>
  <c r="CY87" i="3"/>
  <c r="CZ87" i="3"/>
  <c r="DA87" i="3"/>
  <c r="DB87" i="3"/>
  <c r="DC87" i="3"/>
  <c r="A88" i="3"/>
  <c r="Y88" i="3"/>
  <c r="CU88" i="3"/>
  <c r="CV88" i="3"/>
  <c r="CX88" i="3"/>
  <c r="DH88" i="3" s="1"/>
  <c r="CY88" i="3"/>
  <c r="CZ88" i="3"/>
  <c r="DB88" i="3" s="1"/>
  <c r="DA88" i="3"/>
  <c r="DC88" i="3"/>
  <c r="DI88" i="3"/>
  <c r="DJ88" i="3" s="1"/>
  <c r="A89" i="3"/>
  <c r="Y89" i="3"/>
  <c r="CX89" i="3"/>
  <c r="CY89" i="3"/>
  <c r="CZ89" i="3"/>
  <c r="DB89" i="3" s="1"/>
  <c r="DA89" i="3"/>
  <c r="DC89" i="3"/>
  <c r="DH89" i="3"/>
  <c r="DI89" i="3"/>
  <c r="A90" i="3"/>
  <c r="Y90" i="3"/>
  <c r="CX90" i="3" s="1"/>
  <c r="CY90" i="3"/>
  <c r="CZ90" i="3"/>
  <c r="DB90" i="3" s="1"/>
  <c r="DA90" i="3"/>
  <c r="DC90" i="3"/>
  <c r="A91" i="3"/>
  <c r="Y91" i="3"/>
  <c r="CV91" i="3" s="1"/>
  <c r="CU91" i="3"/>
  <c r="CX91" i="3"/>
  <c r="CY91" i="3"/>
  <c r="CZ91" i="3"/>
  <c r="DA91" i="3"/>
  <c r="DB91" i="3"/>
  <c r="DC91" i="3"/>
  <c r="DF91" i="3"/>
  <c r="A92" i="3"/>
  <c r="Y92" i="3"/>
  <c r="CX92" i="3" s="1"/>
  <c r="CY92" i="3"/>
  <c r="CZ92" i="3"/>
  <c r="DA92" i="3"/>
  <c r="DB92" i="3"/>
  <c r="DC92" i="3"/>
  <c r="A93" i="3"/>
  <c r="Y93" i="3"/>
  <c r="CX93" i="3" s="1"/>
  <c r="DF93" i="3" s="1"/>
  <c r="DJ93" i="3" s="1"/>
  <c r="CY93" i="3"/>
  <c r="CZ93" i="3"/>
  <c r="DB93" i="3" s="1"/>
  <c r="DA93" i="3"/>
  <c r="DC93" i="3"/>
  <c r="DG93" i="3"/>
  <c r="A94" i="3"/>
  <c r="Y94" i="3"/>
  <c r="CU94" i="3"/>
  <c r="CY94" i="3"/>
  <c r="CZ94" i="3"/>
  <c r="DA94" i="3"/>
  <c r="DB94" i="3"/>
  <c r="DC94" i="3"/>
  <c r="A95" i="3"/>
  <c r="Y95" i="3"/>
  <c r="CX95" i="3"/>
  <c r="DI95" i="3" s="1"/>
  <c r="CY95" i="3"/>
  <c r="CZ95" i="3"/>
  <c r="DB95" i="3" s="1"/>
  <c r="DA95" i="3"/>
  <c r="DC95" i="3"/>
  <c r="A96" i="3"/>
  <c r="Y96" i="3"/>
  <c r="CX96" i="3" s="1"/>
  <c r="CY96" i="3"/>
  <c r="CZ96" i="3"/>
  <c r="DA96" i="3"/>
  <c r="DB96" i="3"/>
  <c r="DC96" i="3"/>
  <c r="DI96" i="3"/>
  <c r="A97" i="3"/>
  <c r="Y97" i="3"/>
  <c r="CX97" i="3" s="1"/>
  <c r="CU97" i="3"/>
  <c r="CV97" i="3"/>
  <c r="CY97" i="3"/>
  <c r="CZ97" i="3"/>
  <c r="DB97" i="3" s="1"/>
  <c r="DA97" i="3"/>
  <c r="DC97" i="3"/>
  <c r="A98" i="3"/>
  <c r="Y98" i="3"/>
  <c r="CX98" i="3" s="1"/>
  <c r="DH98" i="3" s="1"/>
  <c r="CY98" i="3"/>
  <c r="CZ98" i="3"/>
  <c r="DB98" i="3" s="1"/>
  <c r="DA98" i="3"/>
  <c r="DC98" i="3"/>
  <c r="DG98" i="3"/>
  <c r="A99" i="3"/>
  <c r="Y99" i="3"/>
  <c r="CX99" i="3"/>
  <c r="CY99" i="3"/>
  <c r="CZ99" i="3"/>
  <c r="DA99" i="3"/>
  <c r="DB99" i="3"/>
  <c r="DC99" i="3"/>
  <c r="DH99" i="3"/>
  <c r="A100" i="3"/>
  <c r="Y100" i="3"/>
  <c r="CV100" i="3" s="1"/>
  <c r="CU100" i="3"/>
  <c r="CY100" i="3"/>
  <c r="CZ100" i="3"/>
  <c r="DB100" i="3" s="1"/>
  <c r="DA100" i="3"/>
  <c r="DC100" i="3"/>
  <c r="A101" i="3"/>
  <c r="Y101" i="3"/>
  <c r="CX101" i="3" s="1"/>
  <c r="DG101" i="3" s="1"/>
  <c r="CY101" i="3"/>
  <c r="CZ101" i="3"/>
  <c r="DA101" i="3"/>
  <c r="DB101" i="3"/>
  <c r="DC101" i="3"/>
  <c r="DI101" i="3"/>
  <c r="A102" i="3"/>
  <c r="Y102" i="3"/>
  <c r="CX102" i="3" s="1"/>
  <c r="DF102" i="3" s="1"/>
  <c r="DJ102" i="3" s="1"/>
  <c r="CY102" i="3"/>
  <c r="CZ102" i="3"/>
  <c r="DB102" i="3" s="1"/>
  <c r="DA102" i="3"/>
  <c r="DC102" i="3"/>
  <c r="A103" i="3"/>
  <c r="Y103" i="3"/>
  <c r="CV103" i="3" s="1"/>
  <c r="CU103" i="3"/>
  <c r="CX103" i="3"/>
  <c r="DI103" i="3" s="1"/>
  <c r="DJ103" i="3" s="1"/>
  <c r="CY103" i="3"/>
  <c r="CZ103" i="3"/>
  <c r="DB103" i="3" s="1"/>
  <c r="DA103" i="3"/>
  <c r="DC103" i="3"/>
  <c r="DH103" i="3"/>
  <c r="A104" i="3"/>
  <c r="Y104" i="3"/>
  <c r="CX104" i="3"/>
  <c r="CY104" i="3"/>
  <c r="CZ104" i="3"/>
  <c r="DA104" i="3"/>
  <c r="DB104" i="3"/>
  <c r="DC104" i="3"/>
  <c r="DF104" i="3"/>
  <c r="DJ104" i="3" s="1"/>
  <c r="A105" i="3"/>
  <c r="Y105" i="3"/>
  <c r="CX105" i="3"/>
  <c r="DF105" i="3" s="1"/>
  <c r="DJ105" i="3" s="1"/>
  <c r="CY105" i="3"/>
  <c r="CZ105" i="3"/>
  <c r="DB105" i="3" s="1"/>
  <c r="DA105" i="3"/>
  <c r="DC105" i="3"/>
  <c r="A106" i="3"/>
  <c r="Y106" i="3"/>
  <c r="CU106" i="3"/>
  <c r="CV106" i="3"/>
  <c r="CX106" i="3"/>
  <c r="DF106" i="3" s="1"/>
  <c r="CY106" i="3"/>
  <c r="CZ106" i="3"/>
  <c r="DA106" i="3"/>
  <c r="DB106" i="3"/>
  <c r="DC106" i="3"/>
  <c r="A107" i="3"/>
  <c r="Y107" i="3"/>
  <c r="CX107" i="3" s="1"/>
  <c r="CY107" i="3"/>
  <c r="CZ107" i="3"/>
  <c r="DA107" i="3"/>
  <c r="DB107" i="3"/>
  <c r="DC107" i="3"/>
  <c r="A108" i="3"/>
  <c r="Y108" i="3"/>
  <c r="CX108" i="3" s="1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B117" i="3" s="1"/>
  <c r="DA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A122" i="3"/>
  <c r="DB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A132" i="3"/>
  <c r="DB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A140" i="3"/>
  <c r="DB140" i="3"/>
  <c r="DC140" i="3"/>
  <c r="A141" i="3"/>
  <c r="Y141" i="3"/>
  <c r="CY141" i="3"/>
  <c r="CZ141" i="3"/>
  <c r="DB141" i="3" s="1"/>
  <c r="DA141" i="3"/>
  <c r="DC141" i="3"/>
  <c r="A142" i="3"/>
  <c r="Y142" i="3"/>
  <c r="CY142" i="3"/>
  <c r="CZ142" i="3"/>
  <c r="DB142" i="3" s="1"/>
  <c r="DA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B148" i="3" s="1"/>
  <c r="DA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A156" i="3"/>
  <c r="DB156" i="3"/>
  <c r="DC156" i="3"/>
  <c r="A157" i="3"/>
  <c r="Y157" i="3"/>
  <c r="CY157" i="3"/>
  <c r="CZ157" i="3"/>
  <c r="DA157" i="3"/>
  <c r="DB157" i="3"/>
  <c r="DC157" i="3"/>
  <c r="A158" i="3"/>
  <c r="Y158" i="3"/>
  <c r="CY158" i="3"/>
  <c r="CZ158" i="3"/>
  <c r="DB158" i="3" s="1"/>
  <c r="DA158" i="3"/>
  <c r="DC158" i="3"/>
  <c r="A159" i="3"/>
  <c r="Y159" i="3"/>
  <c r="CY159" i="3"/>
  <c r="CZ159" i="3"/>
  <c r="DA159" i="3"/>
  <c r="DB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B161" i="3" s="1"/>
  <c r="DA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B166" i="3" s="1"/>
  <c r="DA166" i="3"/>
  <c r="DC166" i="3"/>
  <c r="A167" i="3"/>
  <c r="Y167" i="3"/>
  <c r="CY167" i="3"/>
  <c r="CZ167" i="3"/>
  <c r="DA167" i="3"/>
  <c r="DB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A171" i="3"/>
  <c r="DB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B173" i="3" s="1"/>
  <c r="DA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B176" i="3" s="1"/>
  <c r="DA176" i="3"/>
  <c r="DC176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I28" i="1"/>
  <c r="K28" i="1"/>
  <c r="Q28" i="1"/>
  <c r="R28" i="1"/>
  <c r="AC28" i="1"/>
  <c r="AB28" i="1" s="1"/>
  <c r="AE28" i="1"/>
  <c r="AD28" i="1" s="1"/>
  <c r="AF28" i="1"/>
  <c r="S28" i="1" s="1"/>
  <c r="AG28" i="1"/>
  <c r="AH28" i="1"/>
  <c r="CV28" i="1" s="1"/>
  <c r="U28" i="1" s="1"/>
  <c r="AH39" i="1" s="1"/>
  <c r="AI28" i="1"/>
  <c r="AJ28" i="1"/>
  <c r="CR28" i="1"/>
  <c r="CS28" i="1"/>
  <c r="CU28" i="1"/>
  <c r="T28" i="1" s="1"/>
  <c r="CW28" i="1"/>
  <c r="V28" i="1" s="1"/>
  <c r="CX28" i="1"/>
  <c r="W28" i="1" s="1"/>
  <c r="GL28" i="1"/>
  <c r="GO28" i="1"/>
  <c r="GP28" i="1"/>
  <c r="GV28" i="1"/>
  <c r="HC28" i="1"/>
  <c r="GX28" i="1" s="1"/>
  <c r="I29" i="1"/>
  <c r="P29" i="1" s="1"/>
  <c r="K29" i="1"/>
  <c r="Q29" i="1"/>
  <c r="R29" i="1"/>
  <c r="U29" i="1"/>
  <c r="AC29" i="1"/>
  <c r="AD29" i="1"/>
  <c r="AB29" i="1" s="1"/>
  <c r="AE29" i="1"/>
  <c r="CS29" i="1" s="1"/>
  <c r="AF29" i="1"/>
  <c r="S29" i="1" s="1"/>
  <c r="AG29" i="1"/>
  <c r="AH29" i="1"/>
  <c r="AI29" i="1"/>
  <c r="CW29" i="1" s="1"/>
  <c r="V29" i="1" s="1"/>
  <c r="AJ29" i="1"/>
  <c r="CX29" i="1" s="1"/>
  <c r="W29" i="1" s="1"/>
  <c r="CQ29" i="1"/>
  <c r="CR29" i="1"/>
  <c r="CT29" i="1"/>
  <c r="CU29" i="1"/>
  <c r="T29" i="1" s="1"/>
  <c r="CV29" i="1"/>
  <c r="GL29" i="1"/>
  <c r="GO29" i="1"/>
  <c r="GP29" i="1"/>
  <c r="GV29" i="1"/>
  <c r="HC29" i="1"/>
  <c r="GX29" i="1" s="1"/>
  <c r="GB39" i="1" s="1"/>
  <c r="I30" i="1"/>
  <c r="Q30" i="1" s="1"/>
  <c r="K30" i="1"/>
  <c r="P30" i="1"/>
  <c r="W30" i="1"/>
  <c r="AC30" i="1"/>
  <c r="AB30" i="1" s="1"/>
  <c r="AD30" i="1"/>
  <c r="AE30" i="1"/>
  <c r="AF30" i="1"/>
  <c r="CT30" i="1" s="1"/>
  <c r="AG30" i="1"/>
  <c r="CU30" i="1" s="1"/>
  <c r="T30" i="1" s="1"/>
  <c r="AH30" i="1"/>
  <c r="CV30" i="1" s="1"/>
  <c r="U30" i="1" s="1"/>
  <c r="AI30" i="1"/>
  <c r="CW30" i="1" s="1"/>
  <c r="V30" i="1" s="1"/>
  <c r="AJ30" i="1"/>
  <c r="CQ30" i="1"/>
  <c r="CR30" i="1"/>
  <c r="CS30" i="1"/>
  <c r="CX30" i="1"/>
  <c r="GL30" i="1"/>
  <c r="GO30" i="1"/>
  <c r="GP30" i="1"/>
  <c r="GV30" i="1"/>
  <c r="HC30" i="1"/>
  <c r="GX30" i="1" s="1"/>
  <c r="I31" i="1"/>
  <c r="Q31" i="1" s="1"/>
  <c r="CP31" i="1" s="1"/>
  <c r="O31" i="1" s="1"/>
  <c r="K31" i="1"/>
  <c r="P31" i="1"/>
  <c r="S31" i="1"/>
  <c r="X31" i="1" s="1"/>
  <c r="V31" i="1"/>
  <c r="W31" i="1"/>
  <c r="AC31" i="1"/>
  <c r="CQ31" i="1" s="1"/>
  <c r="AD31" i="1"/>
  <c r="AB31" i="1" s="1"/>
  <c r="AE31" i="1"/>
  <c r="AF31" i="1"/>
  <c r="CT31" i="1" s="1"/>
  <c r="AG31" i="1"/>
  <c r="AH31" i="1"/>
  <c r="CV31" i="1" s="1"/>
  <c r="U31" i="1" s="1"/>
  <c r="AI31" i="1"/>
  <c r="AJ31" i="1"/>
  <c r="CR31" i="1"/>
  <c r="CS31" i="1"/>
  <c r="CU31" i="1"/>
  <c r="T31" i="1" s="1"/>
  <c r="CW31" i="1"/>
  <c r="CX31" i="1"/>
  <c r="GL31" i="1"/>
  <c r="GO31" i="1"/>
  <c r="GP31" i="1"/>
  <c r="GV31" i="1"/>
  <c r="HC31" i="1" s="1"/>
  <c r="GX31" i="1" s="1"/>
  <c r="D32" i="1"/>
  <c r="V32" i="1"/>
  <c r="AC32" i="1"/>
  <c r="AE32" i="1"/>
  <c r="CS32" i="1" s="1"/>
  <c r="AF32" i="1"/>
  <c r="CT32" i="1" s="1"/>
  <c r="AG32" i="1"/>
  <c r="AH32" i="1"/>
  <c r="AI32" i="1"/>
  <c r="AJ32" i="1"/>
  <c r="CU32" i="1"/>
  <c r="T32" i="1" s="1"/>
  <c r="CV32" i="1"/>
  <c r="U32" i="1" s="1"/>
  <c r="CW32" i="1"/>
  <c r="CX32" i="1"/>
  <c r="W32" i="1" s="1"/>
  <c r="GL32" i="1"/>
  <c r="GO32" i="1"/>
  <c r="GP32" i="1"/>
  <c r="GV32" i="1"/>
  <c r="HC32" i="1" s="1"/>
  <c r="GX32" i="1" s="1"/>
  <c r="D33" i="1"/>
  <c r="P33" i="1"/>
  <c r="Q33" i="1"/>
  <c r="R33" i="1"/>
  <c r="S33" i="1"/>
  <c r="X33" i="1" s="1"/>
  <c r="AC33" i="1"/>
  <c r="CQ33" i="1" s="1"/>
  <c r="AD33" i="1"/>
  <c r="AB33" i="1" s="1"/>
  <c r="AE33" i="1"/>
  <c r="AF33" i="1"/>
  <c r="CT33" i="1" s="1"/>
  <c r="AG33" i="1"/>
  <c r="AH33" i="1"/>
  <c r="CV33" i="1" s="1"/>
  <c r="U33" i="1" s="1"/>
  <c r="AI33" i="1"/>
  <c r="CW33" i="1" s="1"/>
  <c r="V33" i="1" s="1"/>
  <c r="AJ33" i="1"/>
  <c r="CX33" i="1" s="1"/>
  <c r="W33" i="1" s="1"/>
  <c r="CP33" i="1"/>
  <c r="O33" i="1" s="1"/>
  <c r="CR33" i="1"/>
  <c r="CS33" i="1"/>
  <c r="CU33" i="1"/>
  <c r="T33" i="1" s="1"/>
  <c r="GL33" i="1"/>
  <c r="GO33" i="1"/>
  <c r="GP33" i="1"/>
  <c r="GV33" i="1"/>
  <c r="HC33" i="1" s="1"/>
  <c r="GX33" i="1" s="1"/>
  <c r="I34" i="1"/>
  <c r="P34" i="1" s="1"/>
  <c r="K34" i="1"/>
  <c r="S34" i="1"/>
  <c r="X34" i="1" s="1"/>
  <c r="U34" i="1"/>
  <c r="AB34" i="1"/>
  <c r="AC34" i="1"/>
  <c r="AD34" i="1"/>
  <c r="AE34" i="1"/>
  <c r="CS34" i="1" s="1"/>
  <c r="AF34" i="1"/>
  <c r="AG34" i="1"/>
  <c r="CU34" i="1" s="1"/>
  <c r="T34" i="1" s="1"/>
  <c r="AH34" i="1"/>
  <c r="AI34" i="1"/>
  <c r="AJ34" i="1"/>
  <c r="CX34" i="1" s="1"/>
  <c r="W34" i="1" s="1"/>
  <c r="CQ34" i="1"/>
  <c r="CR34" i="1"/>
  <c r="CT34" i="1"/>
  <c r="CV34" i="1"/>
  <c r="CW34" i="1"/>
  <c r="V34" i="1" s="1"/>
  <c r="CY34" i="1"/>
  <c r="GL34" i="1"/>
  <c r="GO34" i="1"/>
  <c r="GP34" i="1"/>
  <c r="GV34" i="1"/>
  <c r="HC34" i="1"/>
  <c r="GX34" i="1" s="1"/>
  <c r="I35" i="1"/>
  <c r="R35" i="1" s="1"/>
  <c r="K35" i="1"/>
  <c r="P35" i="1"/>
  <c r="Q35" i="1"/>
  <c r="W35" i="1"/>
  <c r="AC35" i="1"/>
  <c r="AD35" i="1"/>
  <c r="AB35" i="1" s="1"/>
  <c r="AE35" i="1"/>
  <c r="AF35" i="1"/>
  <c r="S35" i="1" s="1"/>
  <c r="AG35" i="1"/>
  <c r="CU35" i="1" s="1"/>
  <c r="T35" i="1" s="1"/>
  <c r="AH35" i="1"/>
  <c r="CV35" i="1" s="1"/>
  <c r="U35" i="1" s="1"/>
  <c r="AI35" i="1"/>
  <c r="CW35" i="1" s="1"/>
  <c r="V35" i="1" s="1"/>
  <c r="EA39" i="1" s="1"/>
  <c r="AJ35" i="1"/>
  <c r="CQ35" i="1"/>
  <c r="CR35" i="1"/>
  <c r="CS35" i="1"/>
  <c r="CX35" i="1"/>
  <c r="GL35" i="1"/>
  <c r="GO35" i="1"/>
  <c r="GP35" i="1"/>
  <c r="GV35" i="1"/>
  <c r="HC35" i="1" s="1"/>
  <c r="GX35" i="1" s="1"/>
  <c r="I36" i="1"/>
  <c r="R36" i="1" s="1"/>
  <c r="K36" i="1"/>
  <c r="Q36" i="1"/>
  <c r="U36" i="1"/>
  <c r="W36" i="1"/>
  <c r="AB36" i="1"/>
  <c r="AC36" i="1"/>
  <c r="CQ36" i="1" s="1"/>
  <c r="AD36" i="1"/>
  <c r="AE36" i="1"/>
  <c r="CS36" i="1" s="1"/>
  <c r="AF36" i="1"/>
  <c r="S36" i="1" s="1"/>
  <c r="AG36" i="1"/>
  <c r="AH36" i="1"/>
  <c r="AI36" i="1"/>
  <c r="AJ36" i="1"/>
  <c r="CR36" i="1"/>
  <c r="CT36" i="1"/>
  <c r="CU36" i="1"/>
  <c r="T36" i="1" s="1"/>
  <c r="CV36" i="1"/>
  <c r="CW36" i="1"/>
  <c r="V36" i="1" s="1"/>
  <c r="CX36" i="1"/>
  <c r="GL36" i="1"/>
  <c r="GO36" i="1"/>
  <c r="GP36" i="1"/>
  <c r="GV36" i="1"/>
  <c r="HC36" i="1"/>
  <c r="GX36" i="1" s="1"/>
  <c r="I37" i="1"/>
  <c r="K37" i="1"/>
  <c r="Q37" i="1"/>
  <c r="R37" i="1"/>
  <c r="AC37" i="1"/>
  <c r="P37" i="1" s="1"/>
  <c r="AD37" i="1"/>
  <c r="AB37" i="1" s="1"/>
  <c r="AE37" i="1"/>
  <c r="CS37" i="1" s="1"/>
  <c r="AF37" i="1"/>
  <c r="S37" i="1" s="1"/>
  <c r="AG37" i="1"/>
  <c r="CU37" i="1" s="1"/>
  <c r="T37" i="1" s="1"/>
  <c r="AH37" i="1"/>
  <c r="CV37" i="1" s="1"/>
  <c r="U37" i="1" s="1"/>
  <c r="AI37" i="1"/>
  <c r="CW37" i="1" s="1"/>
  <c r="V37" i="1" s="1"/>
  <c r="AJ37" i="1"/>
  <c r="CX37" i="1" s="1"/>
  <c r="W37" i="1" s="1"/>
  <c r="CQ37" i="1"/>
  <c r="CR37" i="1"/>
  <c r="GL37" i="1"/>
  <c r="GO37" i="1"/>
  <c r="GP37" i="1"/>
  <c r="GV37" i="1"/>
  <c r="HC37" i="1"/>
  <c r="GX37" i="1" s="1"/>
  <c r="B39" i="1"/>
  <c r="B26" i="1" s="1"/>
  <c r="C39" i="1"/>
  <c r="C26" i="1" s="1"/>
  <c r="D39" i="1"/>
  <c r="D26" i="1" s="1"/>
  <c r="F39" i="1"/>
  <c r="F26" i="1" s="1"/>
  <c r="G39" i="1"/>
  <c r="G26" i="1" s="1"/>
  <c r="BX39" i="1"/>
  <c r="CG39" i="1" s="1"/>
  <c r="BY39" i="1"/>
  <c r="BY26" i="1" s="1"/>
  <c r="BZ39" i="1"/>
  <c r="BZ26" i="1" s="1"/>
  <c r="CC39" i="1"/>
  <c r="CC26" i="1" s="1"/>
  <c r="CD39" i="1"/>
  <c r="CD26" i="1" s="1"/>
  <c r="CK39" i="1"/>
  <c r="BB39" i="1" s="1"/>
  <c r="BB26" i="1" s="1"/>
  <c r="CL39" i="1"/>
  <c r="BC39" i="1" s="1"/>
  <c r="BC26" i="1" s="1"/>
  <c r="CM39" i="1"/>
  <c r="CM26" i="1" s="1"/>
  <c r="DV39" i="1"/>
  <c r="DV26" i="1" s="1"/>
  <c r="DX39" i="1"/>
  <c r="DY39" i="1"/>
  <c r="DY26" i="1" s="1"/>
  <c r="DZ39" i="1"/>
  <c r="DZ26" i="1" s="1"/>
  <c r="FP39" i="1"/>
  <c r="FP26" i="1" s="1"/>
  <c r="FQ39" i="1"/>
  <c r="FQ26" i="1" s="1"/>
  <c r="FR39" i="1"/>
  <c r="FR26" i="1" s="1"/>
  <c r="FU39" i="1"/>
  <c r="EL39" i="1" s="1"/>
  <c r="EL26" i="1" s="1"/>
  <c r="FV39" i="1"/>
  <c r="EM39" i="1" s="1"/>
  <c r="GA39" i="1"/>
  <c r="GA26" i="1" s="1"/>
  <c r="GC39" i="1"/>
  <c r="ET39" i="1" s="1"/>
  <c r="ET26" i="1" s="1"/>
  <c r="GD39" i="1"/>
  <c r="EU39" i="1" s="1"/>
  <c r="EU26" i="1" s="1"/>
  <c r="GE39" i="1"/>
  <c r="GE26" i="1" s="1"/>
  <c r="P52" i="1"/>
  <c r="F55" i="1"/>
  <c r="D69" i="1"/>
  <c r="E71" i="1"/>
  <c r="Z71" i="1"/>
  <c r="AA71" i="1"/>
  <c r="AM71" i="1"/>
  <c r="AN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R71" i="1"/>
  <c r="DS71" i="1"/>
  <c r="EE71" i="1"/>
  <c r="EF71" i="1"/>
  <c r="EW71" i="1"/>
  <c r="EX71" i="1"/>
  <c r="EY71" i="1"/>
  <c r="EZ71" i="1"/>
  <c r="FA71" i="1"/>
  <c r="FB71" i="1"/>
  <c r="FC71" i="1"/>
  <c r="FD71" i="1"/>
  <c r="FE71" i="1"/>
  <c r="FF71" i="1"/>
  <c r="FG71" i="1"/>
  <c r="FH71" i="1"/>
  <c r="FI71" i="1"/>
  <c r="FJ71" i="1"/>
  <c r="FK71" i="1"/>
  <c r="FL71" i="1"/>
  <c r="FM71" i="1"/>
  <c r="FN71" i="1"/>
  <c r="FO71" i="1"/>
  <c r="GF71" i="1"/>
  <c r="GG71" i="1"/>
  <c r="GH71" i="1"/>
  <c r="GI71" i="1"/>
  <c r="GJ71" i="1"/>
  <c r="GK71" i="1"/>
  <c r="GL71" i="1"/>
  <c r="GM71" i="1"/>
  <c r="GN71" i="1"/>
  <c r="GO71" i="1"/>
  <c r="GP71" i="1"/>
  <c r="GQ71" i="1"/>
  <c r="GR71" i="1"/>
  <c r="GS71" i="1"/>
  <c r="GT71" i="1"/>
  <c r="GU71" i="1"/>
  <c r="GV71" i="1"/>
  <c r="GW71" i="1"/>
  <c r="GX71" i="1"/>
  <c r="P73" i="1"/>
  <c r="CP73" i="1" s="1"/>
  <c r="O73" i="1" s="1"/>
  <c r="Q73" i="1"/>
  <c r="R73" i="1"/>
  <c r="AC73" i="1"/>
  <c r="AE73" i="1"/>
  <c r="AF73" i="1"/>
  <c r="S73" i="1" s="1"/>
  <c r="AG73" i="1"/>
  <c r="CU73" i="1" s="1"/>
  <c r="T73" i="1" s="1"/>
  <c r="AH73" i="1"/>
  <c r="CV73" i="1" s="1"/>
  <c r="U73" i="1" s="1"/>
  <c r="AI73" i="1"/>
  <c r="CW73" i="1" s="1"/>
  <c r="V73" i="1" s="1"/>
  <c r="AJ73" i="1"/>
  <c r="CX73" i="1" s="1"/>
  <c r="W73" i="1" s="1"/>
  <c r="CQ73" i="1"/>
  <c r="GL73" i="1"/>
  <c r="GN73" i="1"/>
  <c r="GO73" i="1"/>
  <c r="GP73" i="1"/>
  <c r="GV73" i="1"/>
  <c r="HC73" i="1" s="1"/>
  <c r="GX73" i="1" s="1"/>
  <c r="Q74" i="1"/>
  <c r="R74" i="1"/>
  <c r="S74" i="1"/>
  <c r="CZ74" i="1" s="1"/>
  <c r="AC74" i="1"/>
  <c r="P74" i="1" s="1"/>
  <c r="AD74" i="1"/>
  <c r="AE74" i="1"/>
  <c r="AF74" i="1"/>
  <c r="AG74" i="1"/>
  <c r="CU74" i="1" s="1"/>
  <c r="T74" i="1" s="1"/>
  <c r="AH74" i="1"/>
  <c r="CV74" i="1" s="1"/>
  <c r="U74" i="1" s="1"/>
  <c r="AI74" i="1"/>
  <c r="AJ74" i="1"/>
  <c r="CR74" i="1"/>
  <c r="CS74" i="1"/>
  <c r="CT74" i="1"/>
  <c r="CW74" i="1"/>
  <c r="V74" i="1" s="1"/>
  <c r="CX74" i="1"/>
  <c r="W74" i="1" s="1"/>
  <c r="CY74" i="1"/>
  <c r="GL74" i="1"/>
  <c r="GN74" i="1"/>
  <c r="GO74" i="1"/>
  <c r="GP74" i="1"/>
  <c r="GV74" i="1"/>
  <c r="HC74" i="1" s="1"/>
  <c r="GX74" i="1" s="1"/>
  <c r="I75" i="1"/>
  <c r="K75" i="1"/>
  <c r="V75" i="1"/>
  <c r="W75" i="1"/>
  <c r="AC75" i="1"/>
  <c r="CQ75" i="1" s="1"/>
  <c r="AE75" i="1"/>
  <c r="AD75" i="1" s="1"/>
  <c r="AB75" i="1" s="1"/>
  <c r="AF75" i="1"/>
  <c r="AG75" i="1"/>
  <c r="AH75" i="1"/>
  <c r="AI75" i="1"/>
  <c r="AJ75" i="1"/>
  <c r="CT75" i="1"/>
  <c r="CU75" i="1"/>
  <c r="T75" i="1" s="1"/>
  <c r="CV75" i="1"/>
  <c r="U75" i="1" s="1"/>
  <c r="CW75" i="1"/>
  <c r="CX75" i="1"/>
  <c r="GL75" i="1"/>
  <c r="BZ84" i="1" s="1"/>
  <c r="GN75" i="1"/>
  <c r="GO75" i="1"/>
  <c r="GP75" i="1"/>
  <c r="GV75" i="1"/>
  <c r="HC75" i="1"/>
  <c r="GX75" i="1" s="1"/>
  <c r="I76" i="1"/>
  <c r="P76" i="1" s="1"/>
  <c r="K76" i="1"/>
  <c r="AC76" i="1"/>
  <c r="AE76" i="1"/>
  <c r="CR76" i="1" s="1"/>
  <c r="AF76" i="1"/>
  <c r="S76" i="1" s="1"/>
  <c r="AG76" i="1"/>
  <c r="CU76" i="1" s="1"/>
  <c r="T76" i="1" s="1"/>
  <c r="AH76" i="1"/>
  <c r="CV76" i="1" s="1"/>
  <c r="U76" i="1" s="1"/>
  <c r="AI76" i="1"/>
  <c r="CW76" i="1" s="1"/>
  <c r="V76" i="1" s="1"/>
  <c r="AJ76" i="1"/>
  <c r="CX76" i="1" s="1"/>
  <c r="W76" i="1" s="1"/>
  <c r="CQ76" i="1"/>
  <c r="CT76" i="1"/>
  <c r="GL76" i="1"/>
  <c r="GN76" i="1"/>
  <c r="GO76" i="1"/>
  <c r="FU84" i="1" s="1"/>
  <c r="GP76" i="1"/>
  <c r="GV76" i="1"/>
  <c r="HC76" i="1" s="1"/>
  <c r="GX76" i="1" s="1"/>
  <c r="S77" i="1"/>
  <c r="X77" i="1" s="1"/>
  <c r="V77" i="1"/>
  <c r="AC77" i="1"/>
  <c r="P77" i="1" s="1"/>
  <c r="AD77" i="1"/>
  <c r="AE77" i="1"/>
  <c r="AF77" i="1"/>
  <c r="CT77" i="1" s="1"/>
  <c r="AG77" i="1"/>
  <c r="CU77" i="1" s="1"/>
  <c r="T77" i="1" s="1"/>
  <c r="AH77" i="1"/>
  <c r="CV77" i="1" s="1"/>
  <c r="U77" i="1" s="1"/>
  <c r="AI77" i="1"/>
  <c r="AJ77" i="1"/>
  <c r="CW77" i="1"/>
  <c r="CX77" i="1"/>
  <c r="W77" i="1" s="1"/>
  <c r="CY77" i="1"/>
  <c r="CZ77" i="1"/>
  <c r="GL77" i="1"/>
  <c r="GN77" i="1"/>
  <c r="GO77" i="1"/>
  <c r="GP77" i="1"/>
  <c r="GV77" i="1"/>
  <c r="HC77" i="1"/>
  <c r="GX77" i="1" s="1"/>
  <c r="S78" i="1"/>
  <c r="T78" i="1"/>
  <c r="V78" i="1"/>
  <c r="AC78" i="1"/>
  <c r="P78" i="1" s="1"/>
  <c r="AE78" i="1"/>
  <c r="AD78" i="1" s="1"/>
  <c r="AF78" i="1"/>
  <c r="AG78" i="1"/>
  <c r="AH78" i="1"/>
  <c r="CV78" i="1" s="1"/>
  <c r="U78" i="1" s="1"/>
  <c r="AI78" i="1"/>
  <c r="CW78" i="1" s="1"/>
  <c r="AJ78" i="1"/>
  <c r="CQ78" i="1"/>
  <c r="CS78" i="1"/>
  <c r="CT78" i="1"/>
  <c r="CU78" i="1"/>
  <c r="CX78" i="1"/>
  <c r="W78" i="1" s="1"/>
  <c r="GL78" i="1"/>
  <c r="GN78" i="1"/>
  <c r="GO78" i="1"/>
  <c r="GP78" i="1"/>
  <c r="GV78" i="1"/>
  <c r="HC78" i="1"/>
  <c r="GX78" i="1" s="1"/>
  <c r="P79" i="1"/>
  <c r="CP79" i="1" s="1"/>
  <c r="O79" i="1" s="1"/>
  <c r="Q79" i="1"/>
  <c r="W79" i="1"/>
  <c r="AC79" i="1"/>
  <c r="AE79" i="1"/>
  <c r="R79" i="1" s="1"/>
  <c r="AF79" i="1"/>
  <c r="S79" i="1" s="1"/>
  <c r="AG79" i="1"/>
  <c r="CU79" i="1" s="1"/>
  <c r="T79" i="1" s="1"/>
  <c r="AH79" i="1"/>
  <c r="CV79" i="1" s="1"/>
  <c r="U79" i="1" s="1"/>
  <c r="AI79" i="1"/>
  <c r="CW79" i="1" s="1"/>
  <c r="V79" i="1" s="1"/>
  <c r="AJ79" i="1"/>
  <c r="CQ79" i="1"/>
  <c r="CT79" i="1"/>
  <c r="CX79" i="1"/>
  <c r="GL79" i="1"/>
  <c r="GN79" i="1"/>
  <c r="CB84" i="1" s="1"/>
  <c r="GO79" i="1"/>
  <c r="GP79" i="1"/>
  <c r="GV79" i="1"/>
  <c r="HC79" i="1" s="1"/>
  <c r="GX79" i="1" s="1"/>
  <c r="R80" i="1"/>
  <c r="S80" i="1"/>
  <c r="CZ80" i="1" s="1"/>
  <c r="X80" i="1"/>
  <c r="Y80" i="1"/>
  <c r="AB80" i="1"/>
  <c r="AC80" i="1"/>
  <c r="P80" i="1" s="1"/>
  <c r="AD80" i="1"/>
  <c r="AE80" i="1"/>
  <c r="Q80" i="1" s="1"/>
  <c r="AF80" i="1"/>
  <c r="AG80" i="1"/>
  <c r="AH80" i="1"/>
  <c r="AI80" i="1"/>
  <c r="AJ80" i="1"/>
  <c r="CX80" i="1" s="1"/>
  <c r="W80" i="1" s="1"/>
  <c r="CR80" i="1"/>
  <c r="CS80" i="1"/>
  <c r="CT80" i="1"/>
  <c r="CU80" i="1"/>
  <c r="T80" i="1" s="1"/>
  <c r="CV80" i="1"/>
  <c r="U80" i="1" s="1"/>
  <c r="CW80" i="1"/>
  <c r="V80" i="1" s="1"/>
  <c r="CY80" i="1"/>
  <c r="GL80" i="1"/>
  <c r="GN80" i="1"/>
  <c r="GO80" i="1"/>
  <c r="GP80" i="1"/>
  <c r="GV80" i="1"/>
  <c r="HC80" i="1"/>
  <c r="GX80" i="1" s="1"/>
  <c r="P81" i="1"/>
  <c r="CP81" i="1" s="1"/>
  <c r="O81" i="1" s="1"/>
  <c r="Q81" i="1"/>
  <c r="R81" i="1"/>
  <c r="AC81" i="1"/>
  <c r="AE81" i="1"/>
  <c r="CR81" i="1" s="1"/>
  <c r="AF81" i="1"/>
  <c r="S81" i="1" s="1"/>
  <c r="AG81" i="1"/>
  <c r="CU81" i="1" s="1"/>
  <c r="T81" i="1" s="1"/>
  <c r="AH81" i="1"/>
  <c r="CV81" i="1" s="1"/>
  <c r="U81" i="1" s="1"/>
  <c r="AI81" i="1"/>
  <c r="CW81" i="1" s="1"/>
  <c r="V81" i="1" s="1"/>
  <c r="AJ81" i="1"/>
  <c r="CX81" i="1" s="1"/>
  <c r="W81" i="1" s="1"/>
  <c r="CQ81" i="1"/>
  <c r="CT81" i="1"/>
  <c r="GL81" i="1"/>
  <c r="GN81" i="1"/>
  <c r="GO81" i="1"/>
  <c r="GP81" i="1"/>
  <c r="GV81" i="1"/>
  <c r="HC81" i="1" s="1"/>
  <c r="GX81" i="1" s="1"/>
  <c r="R82" i="1"/>
  <c r="S82" i="1"/>
  <c r="CZ82" i="1" s="1"/>
  <c r="X82" i="1"/>
  <c r="Y82" i="1"/>
  <c r="AB82" i="1"/>
  <c r="AC82" i="1"/>
  <c r="P82" i="1" s="1"/>
  <c r="AD82" i="1"/>
  <c r="AE82" i="1"/>
  <c r="Q82" i="1" s="1"/>
  <c r="AF82" i="1"/>
  <c r="AG82" i="1"/>
  <c r="AH82" i="1"/>
  <c r="AI82" i="1"/>
  <c r="AJ82" i="1"/>
  <c r="CX82" i="1" s="1"/>
  <c r="W82" i="1" s="1"/>
  <c r="CR82" i="1"/>
  <c r="CS82" i="1"/>
  <c r="CT82" i="1"/>
  <c r="CU82" i="1"/>
  <c r="T82" i="1" s="1"/>
  <c r="CV82" i="1"/>
  <c r="U82" i="1" s="1"/>
  <c r="CW82" i="1"/>
  <c r="V82" i="1" s="1"/>
  <c r="CY82" i="1"/>
  <c r="GL82" i="1"/>
  <c r="GN82" i="1"/>
  <c r="GO82" i="1"/>
  <c r="GP82" i="1"/>
  <c r="GV82" i="1"/>
  <c r="HC82" i="1"/>
  <c r="GX82" i="1" s="1"/>
  <c r="B84" i="1"/>
  <c r="B71" i="1" s="1"/>
  <c r="C84" i="1"/>
  <c r="C71" i="1" s="1"/>
  <c r="D84" i="1"/>
  <c r="D71" i="1" s="1"/>
  <c r="F84" i="1"/>
  <c r="F71" i="1" s="1"/>
  <c r="G84" i="1"/>
  <c r="G71" i="1" s="1"/>
  <c r="BX84" i="1"/>
  <c r="CG84" i="1" s="1"/>
  <c r="CC84" i="1"/>
  <c r="CC71" i="1" s="1"/>
  <c r="CD84" i="1"/>
  <c r="CD71" i="1" s="1"/>
  <c r="CK84" i="1"/>
  <c r="CK71" i="1" s="1"/>
  <c r="CL84" i="1"/>
  <c r="CL71" i="1" s="1"/>
  <c r="CM84" i="1"/>
  <c r="CM71" i="1" s="1"/>
  <c r="FP84" i="1"/>
  <c r="FY84" i="1" s="1"/>
  <c r="FR84" i="1"/>
  <c r="FR71" i="1" s="1"/>
  <c r="FT84" i="1"/>
  <c r="FT71" i="1" s="1"/>
  <c r="FV84" i="1"/>
  <c r="FV71" i="1" s="1"/>
  <c r="GC84" i="1"/>
  <c r="GC71" i="1" s="1"/>
  <c r="GD84" i="1"/>
  <c r="GD71" i="1" s="1"/>
  <c r="GE84" i="1"/>
  <c r="GE71" i="1" s="1"/>
  <c r="D114" i="1"/>
  <c r="E116" i="1"/>
  <c r="Z116" i="1"/>
  <c r="AA116" i="1"/>
  <c r="AM116" i="1"/>
  <c r="AN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R116" i="1"/>
  <c r="DS116" i="1"/>
  <c r="EE116" i="1"/>
  <c r="EF116" i="1"/>
  <c r="EW116" i="1"/>
  <c r="EX116" i="1"/>
  <c r="EY116" i="1"/>
  <c r="EZ116" i="1"/>
  <c r="FA116" i="1"/>
  <c r="FB116" i="1"/>
  <c r="FC116" i="1"/>
  <c r="FD116" i="1"/>
  <c r="FE116" i="1"/>
  <c r="FF116" i="1"/>
  <c r="FG116" i="1"/>
  <c r="FH116" i="1"/>
  <c r="FI116" i="1"/>
  <c r="FJ116" i="1"/>
  <c r="FK116" i="1"/>
  <c r="FL116" i="1"/>
  <c r="FM116" i="1"/>
  <c r="FN116" i="1"/>
  <c r="FO116" i="1"/>
  <c r="GF116" i="1"/>
  <c r="GG116" i="1"/>
  <c r="GH116" i="1"/>
  <c r="GI116" i="1"/>
  <c r="GJ116" i="1"/>
  <c r="GK116" i="1"/>
  <c r="GL116" i="1"/>
  <c r="GM116" i="1"/>
  <c r="GN116" i="1"/>
  <c r="GO116" i="1"/>
  <c r="GP116" i="1"/>
  <c r="GQ116" i="1"/>
  <c r="GR116" i="1"/>
  <c r="GS116" i="1"/>
  <c r="GT116" i="1"/>
  <c r="GU116" i="1"/>
  <c r="GV116" i="1"/>
  <c r="GW116" i="1"/>
  <c r="GX116" i="1"/>
  <c r="P118" i="1"/>
  <c r="FR118" i="1" s="1"/>
  <c r="Q118" i="1"/>
  <c r="R118" i="1"/>
  <c r="S118" i="1"/>
  <c r="T118" i="1"/>
  <c r="AC118" i="1"/>
  <c r="AB118" i="1" s="1"/>
  <c r="AD118" i="1"/>
  <c r="AE118" i="1"/>
  <c r="AF118" i="1"/>
  <c r="AG118" i="1"/>
  <c r="CU118" i="1" s="1"/>
  <c r="AH118" i="1"/>
  <c r="AI118" i="1"/>
  <c r="CW118" i="1" s="1"/>
  <c r="V118" i="1" s="1"/>
  <c r="AJ118" i="1"/>
  <c r="CX118" i="1" s="1"/>
  <c r="W118" i="1" s="1"/>
  <c r="CP118" i="1"/>
  <c r="O118" i="1" s="1"/>
  <c r="CQ118" i="1"/>
  <c r="CR118" i="1"/>
  <c r="CS118" i="1"/>
  <c r="CT118" i="1"/>
  <c r="CV118" i="1"/>
  <c r="U118" i="1" s="1"/>
  <c r="GL118" i="1"/>
  <c r="GN118" i="1"/>
  <c r="GO118" i="1"/>
  <c r="GP118" i="1"/>
  <c r="GV118" i="1"/>
  <c r="HC118" i="1" s="1"/>
  <c r="GX118" i="1" s="1"/>
  <c r="Q119" i="1"/>
  <c r="AC119" i="1"/>
  <c r="AD119" i="1"/>
  <c r="AE119" i="1"/>
  <c r="R119" i="1" s="1"/>
  <c r="AF119" i="1"/>
  <c r="S119" i="1" s="1"/>
  <c r="CY119" i="1" s="1"/>
  <c r="AG119" i="1"/>
  <c r="AH119" i="1"/>
  <c r="AI119" i="1"/>
  <c r="AJ119" i="1"/>
  <c r="CU119" i="1"/>
  <c r="T119" i="1" s="1"/>
  <c r="CV119" i="1"/>
  <c r="U119" i="1" s="1"/>
  <c r="CW119" i="1"/>
  <c r="V119" i="1" s="1"/>
  <c r="CX119" i="1"/>
  <c r="W119" i="1" s="1"/>
  <c r="GL119" i="1"/>
  <c r="GN119" i="1"/>
  <c r="GO119" i="1"/>
  <c r="GP119" i="1"/>
  <c r="GV119" i="1"/>
  <c r="HC119" i="1" s="1"/>
  <c r="GX119" i="1" s="1"/>
  <c r="P120" i="1"/>
  <c r="FR120" i="1" s="1"/>
  <c r="Q120" i="1"/>
  <c r="CP120" i="1" s="1"/>
  <c r="O120" i="1" s="1"/>
  <c r="R120" i="1"/>
  <c r="S120" i="1"/>
  <c r="Y120" i="1" s="1"/>
  <c r="AC120" i="1"/>
  <c r="AB120" i="1" s="1"/>
  <c r="AD120" i="1"/>
  <c r="AE120" i="1"/>
  <c r="AF120" i="1"/>
  <c r="AG120" i="1"/>
  <c r="CU120" i="1" s="1"/>
  <c r="T120" i="1" s="1"/>
  <c r="AH120" i="1"/>
  <c r="AI120" i="1"/>
  <c r="CW120" i="1" s="1"/>
  <c r="V120" i="1" s="1"/>
  <c r="AJ120" i="1"/>
  <c r="CX120" i="1" s="1"/>
  <c r="W120" i="1" s="1"/>
  <c r="CQ120" i="1"/>
  <c r="CR120" i="1"/>
  <c r="CS120" i="1"/>
  <c r="CT120" i="1"/>
  <c r="CV120" i="1"/>
  <c r="U120" i="1" s="1"/>
  <c r="GL120" i="1"/>
  <c r="GN120" i="1"/>
  <c r="GO120" i="1"/>
  <c r="GP120" i="1"/>
  <c r="GV120" i="1"/>
  <c r="HC120" i="1" s="1"/>
  <c r="GX120" i="1" s="1"/>
  <c r="Q121" i="1"/>
  <c r="AC121" i="1"/>
  <c r="AD121" i="1"/>
  <c r="AE121" i="1"/>
  <c r="R121" i="1" s="1"/>
  <c r="AF121" i="1"/>
  <c r="AG121" i="1"/>
  <c r="AH121" i="1"/>
  <c r="AI121" i="1"/>
  <c r="AJ121" i="1"/>
  <c r="CU121" i="1"/>
  <c r="T121" i="1" s="1"/>
  <c r="CV121" i="1"/>
  <c r="U121" i="1" s="1"/>
  <c r="CW121" i="1"/>
  <c r="V121" i="1" s="1"/>
  <c r="CX121" i="1"/>
  <c r="W121" i="1" s="1"/>
  <c r="GL121" i="1"/>
  <c r="GN121" i="1"/>
  <c r="GO121" i="1"/>
  <c r="GP121" i="1"/>
  <c r="GV121" i="1"/>
  <c r="HC121" i="1" s="1"/>
  <c r="GX121" i="1" s="1"/>
  <c r="P122" i="1"/>
  <c r="FR122" i="1" s="1"/>
  <c r="Q122" i="1"/>
  <c r="CP122" i="1" s="1"/>
  <c r="O122" i="1" s="1"/>
  <c r="R122" i="1"/>
  <c r="S122" i="1"/>
  <c r="Y122" i="1"/>
  <c r="AC122" i="1"/>
  <c r="AB122" i="1" s="1"/>
  <c r="AD122" i="1"/>
  <c r="AE122" i="1"/>
  <c r="AF122" i="1"/>
  <c r="AG122" i="1"/>
  <c r="CU122" i="1" s="1"/>
  <c r="T122" i="1" s="1"/>
  <c r="AH122" i="1"/>
  <c r="AI122" i="1"/>
  <c r="CW122" i="1" s="1"/>
  <c r="V122" i="1" s="1"/>
  <c r="AJ122" i="1"/>
  <c r="CX122" i="1" s="1"/>
  <c r="W122" i="1" s="1"/>
  <c r="CQ122" i="1"/>
  <c r="CR122" i="1"/>
  <c r="CS122" i="1"/>
  <c r="CT122" i="1"/>
  <c r="CV122" i="1"/>
  <c r="U122" i="1" s="1"/>
  <c r="GL122" i="1"/>
  <c r="GN122" i="1"/>
  <c r="GO122" i="1"/>
  <c r="GP122" i="1"/>
  <c r="GV122" i="1"/>
  <c r="HC122" i="1" s="1"/>
  <c r="GX122" i="1" s="1"/>
  <c r="Q123" i="1"/>
  <c r="X123" i="1"/>
  <c r="Y123" i="1"/>
  <c r="AB123" i="1"/>
  <c r="AC123" i="1"/>
  <c r="P123" i="1" s="1"/>
  <c r="CP123" i="1" s="1"/>
  <c r="O123" i="1" s="1"/>
  <c r="AD123" i="1"/>
  <c r="AE123" i="1"/>
  <c r="R123" i="1" s="1"/>
  <c r="AF123" i="1"/>
  <c r="S123" i="1" s="1"/>
  <c r="AG123" i="1"/>
  <c r="AH123" i="1"/>
  <c r="AI123" i="1"/>
  <c r="CW123" i="1" s="1"/>
  <c r="V123" i="1" s="1"/>
  <c r="AJ123" i="1"/>
  <c r="CT123" i="1"/>
  <c r="CU123" i="1"/>
  <c r="T123" i="1" s="1"/>
  <c r="CV123" i="1"/>
  <c r="U123" i="1" s="1"/>
  <c r="CX123" i="1"/>
  <c r="W123" i="1" s="1"/>
  <c r="CY123" i="1"/>
  <c r="CZ123" i="1"/>
  <c r="FR123" i="1"/>
  <c r="GL123" i="1"/>
  <c r="GN123" i="1"/>
  <c r="GO123" i="1"/>
  <c r="GP123" i="1"/>
  <c r="GV123" i="1"/>
  <c r="HC123" i="1" s="1"/>
  <c r="GX123" i="1" s="1"/>
  <c r="GB131" i="1" s="1"/>
  <c r="O124" i="1"/>
  <c r="P124" i="1"/>
  <c r="FR124" i="1" s="1"/>
  <c r="Q124" i="1"/>
  <c r="R124" i="1"/>
  <c r="S124" i="1"/>
  <c r="Y124" i="1"/>
  <c r="AC124" i="1"/>
  <c r="AD124" i="1"/>
  <c r="AE124" i="1"/>
  <c r="AF124" i="1"/>
  <c r="AG124" i="1"/>
  <c r="CU124" i="1" s="1"/>
  <c r="T124" i="1" s="1"/>
  <c r="AH124" i="1"/>
  <c r="AI124" i="1"/>
  <c r="CW124" i="1" s="1"/>
  <c r="V124" i="1" s="1"/>
  <c r="AJ124" i="1"/>
  <c r="CX124" i="1" s="1"/>
  <c r="W124" i="1" s="1"/>
  <c r="CP124" i="1"/>
  <c r="CQ124" i="1"/>
  <c r="CR124" i="1"/>
  <c r="CS124" i="1"/>
  <c r="CT124" i="1"/>
  <c r="CV124" i="1"/>
  <c r="U124" i="1" s="1"/>
  <c r="CY124" i="1"/>
  <c r="GL124" i="1"/>
  <c r="BZ131" i="1" s="1"/>
  <c r="GN124" i="1"/>
  <c r="GO124" i="1"/>
  <c r="GP124" i="1"/>
  <c r="GV124" i="1"/>
  <c r="HC124" i="1"/>
  <c r="GX124" i="1" s="1"/>
  <c r="AC125" i="1"/>
  <c r="P125" i="1" s="1"/>
  <c r="AE125" i="1"/>
  <c r="Q125" i="1" s="1"/>
  <c r="DV131" i="1" s="1"/>
  <c r="AF125" i="1"/>
  <c r="S125" i="1" s="1"/>
  <c r="Y125" i="1" s="1"/>
  <c r="AG125" i="1"/>
  <c r="AH125" i="1"/>
  <c r="AI125" i="1"/>
  <c r="AJ125" i="1"/>
  <c r="CU125" i="1"/>
  <c r="T125" i="1" s="1"/>
  <c r="CV125" i="1"/>
  <c r="U125" i="1" s="1"/>
  <c r="CW125" i="1"/>
  <c r="V125" i="1" s="1"/>
  <c r="CX125" i="1"/>
  <c r="W125" i="1" s="1"/>
  <c r="FR125" i="1"/>
  <c r="GL125" i="1"/>
  <c r="GN125" i="1"/>
  <c r="FT131" i="1" s="1"/>
  <c r="GO125" i="1"/>
  <c r="GP125" i="1"/>
  <c r="GV125" i="1"/>
  <c r="HC125" i="1" s="1"/>
  <c r="GX125" i="1" s="1"/>
  <c r="P126" i="1"/>
  <c r="FR126" i="1" s="1"/>
  <c r="Q126" i="1"/>
  <c r="R126" i="1"/>
  <c r="S126" i="1"/>
  <c r="CY126" i="1" s="1"/>
  <c r="V126" i="1"/>
  <c r="AC126" i="1"/>
  <c r="AD126" i="1"/>
  <c r="AE126" i="1"/>
  <c r="AF126" i="1"/>
  <c r="AG126" i="1"/>
  <c r="CU126" i="1" s="1"/>
  <c r="T126" i="1" s="1"/>
  <c r="AH126" i="1"/>
  <c r="CV126" i="1" s="1"/>
  <c r="U126" i="1" s="1"/>
  <c r="AI126" i="1"/>
  <c r="CW126" i="1" s="1"/>
  <c r="AJ126" i="1"/>
  <c r="CX126" i="1" s="1"/>
  <c r="W126" i="1" s="1"/>
  <c r="CQ126" i="1"/>
  <c r="CR126" i="1"/>
  <c r="CS126" i="1"/>
  <c r="CT126" i="1"/>
  <c r="GL126" i="1"/>
  <c r="GN126" i="1"/>
  <c r="GO126" i="1"/>
  <c r="GP126" i="1"/>
  <c r="GV126" i="1"/>
  <c r="HC126" i="1" s="1"/>
  <c r="GX126" i="1" s="1"/>
  <c r="X127" i="1"/>
  <c r="Y127" i="1"/>
  <c r="AC127" i="1"/>
  <c r="P127" i="1" s="1"/>
  <c r="AD127" i="1"/>
  <c r="AE127" i="1"/>
  <c r="Q127" i="1" s="1"/>
  <c r="AF127" i="1"/>
  <c r="S127" i="1" s="1"/>
  <c r="AG127" i="1"/>
  <c r="AH127" i="1"/>
  <c r="AI127" i="1"/>
  <c r="CW127" i="1" s="1"/>
  <c r="V127" i="1" s="1"/>
  <c r="AJ127" i="1"/>
  <c r="CQ127" i="1"/>
  <c r="CT127" i="1"/>
  <c r="CU127" i="1"/>
  <c r="T127" i="1" s="1"/>
  <c r="CV127" i="1"/>
  <c r="U127" i="1" s="1"/>
  <c r="CX127" i="1"/>
  <c r="W127" i="1" s="1"/>
  <c r="CY127" i="1"/>
  <c r="CZ127" i="1"/>
  <c r="FR127" i="1"/>
  <c r="GL127" i="1"/>
  <c r="GN127" i="1"/>
  <c r="GO127" i="1"/>
  <c r="GP127" i="1"/>
  <c r="GV127" i="1"/>
  <c r="HC127" i="1" s="1"/>
  <c r="GX127" i="1" s="1"/>
  <c r="O128" i="1"/>
  <c r="P128" i="1"/>
  <c r="FR128" i="1" s="1"/>
  <c r="Q128" i="1"/>
  <c r="AD131" i="1" s="1"/>
  <c r="R128" i="1"/>
  <c r="S128" i="1"/>
  <c r="V128" i="1"/>
  <c r="Y128" i="1"/>
  <c r="AC128" i="1"/>
  <c r="AB128" i="1" s="1"/>
  <c r="AD128" i="1"/>
  <c r="AE128" i="1"/>
  <c r="AF128" i="1"/>
  <c r="AG128" i="1"/>
  <c r="CU128" i="1" s="1"/>
  <c r="T128" i="1" s="1"/>
  <c r="AH128" i="1"/>
  <c r="AI128" i="1"/>
  <c r="CW128" i="1" s="1"/>
  <c r="AJ128" i="1"/>
  <c r="CP128" i="1"/>
  <c r="CQ128" i="1"/>
  <c r="CR128" i="1"/>
  <c r="CS128" i="1"/>
  <c r="CT128" i="1"/>
  <c r="CV128" i="1"/>
  <c r="U128" i="1" s="1"/>
  <c r="CX128" i="1"/>
  <c r="W128" i="1" s="1"/>
  <c r="AJ131" i="1" s="1"/>
  <c r="CY128" i="1"/>
  <c r="GL128" i="1"/>
  <c r="GN128" i="1"/>
  <c r="GO128" i="1"/>
  <c r="GP128" i="1"/>
  <c r="GV128" i="1"/>
  <c r="GX128" i="1"/>
  <c r="HC128" i="1"/>
  <c r="S129" i="1"/>
  <c r="X129" i="1"/>
  <c r="Y129" i="1"/>
  <c r="AB129" i="1"/>
  <c r="AC129" i="1"/>
  <c r="P129" i="1" s="1"/>
  <c r="FR129" i="1" s="1"/>
  <c r="AD129" i="1"/>
  <c r="AE129" i="1"/>
  <c r="Q129" i="1" s="1"/>
  <c r="CP129" i="1" s="1"/>
  <c r="O129" i="1" s="1"/>
  <c r="GM129" i="1" s="1"/>
  <c r="AF129" i="1"/>
  <c r="AG129" i="1"/>
  <c r="AH129" i="1"/>
  <c r="AI129" i="1"/>
  <c r="AJ129" i="1"/>
  <c r="CT129" i="1"/>
  <c r="CU129" i="1"/>
  <c r="T129" i="1" s="1"/>
  <c r="CV129" i="1"/>
  <c r="U129" i="1" s="1"/>
  <c r="CW129" i="1"/>
  <c r="V129" i="1" s="1"/>
  <c r="CX129" i="1"/>
  <c r="W129" i="1" s="1"/>
  <c r="CY129" i="1"/>
  <c r="CZ129" i="1"/>
  <c r="GL129" i="1"/>
  <c r="GN129" i="1"/>
  <c r="GO129" i="1"/>
  <c r="GP129" i="1"/>
  <c r="GV129" i="1"/>
  <c r="HC129" i="1" s="1"/>
  <c r="GX129" i="1" s="1"/>
  <c r="B131" i="1"/>
  <c r="B116" i="1" s="1"/>
  <c r="C131" i="1"/>
  <c r="C116" i="1" s="1"/>
  <c r="D131" i="1"/>
  <c r="D116" i="1" s="1"/>
  <c r="F131" i="1"/>
  <c r="F116" i="1" s="1"/>
  <c r="G131" i="1"/>
  <c r="G116" i="1" s="1"/>
  <c r="AE131" i="1"/>
  <c r="AE116" i="1" s="1"/>
  <c r="AF131" i="1"/>
  <c r="AP131" i="1"/>
  <c r="BB131" i="1"/>
  <c r="BB116" i="1" s="1"/>
  <c r="BX131" i="1"/>
  <c r="AO131" i="1" s="1"/>
  <c r="AO116" i="1" s="1"/>
  <c r="BY131" i="1"/>
  <c r="BY116" i="1" s="1"/>
  <c r="CC131" i="1"/>
  <c r="CC116" i="1" s="1"/>
  <c r="CD131" i="1"/>
  <c r="CD116" i="1" s="1"/>
  <c r="CK131" i="1"/>
  <c r="CK116" i="1" s="1"/>
  <c r="CL131" i="1"/>
  <c r="CL116" i="1" s="1"/>
  <c r="CM131" i="1"/>
  <c r="CM116" i="1" s="1"/>
  <c r="DZ131" i="1"/>
  <c r="DZ116" i="1" s="1"/>
  <c r="ET131" i="1"/>
  <c r="ET116" i="1" s="1"/>
  <c r="FP131" i="1"/>
  <c r="FP116" i="1" s="1"/>
  <c r="FR131" i="1"/>
  <c r="FR116" i="1" s="1"/>
  <c r="FU131" i="1"/>
  <c r="FU116" i="1" s="1"/>
  <c r="FV131" i="1"/>
  <c r="FV116" i="1" s="1"/>
  <c r="GC131" i="1"/>
  <c r="GC116" i="1" s="1"/>
  <c r="GD131" i="1"/>
  <c r="GD116" i="1" s="1"/>
  <c r="GE131" i="1"/>
  <c r="GE116" i="1" s="1"/>
  <c r="F135" i="1"/>
  <c r="F144" i="1"/>
  <c r="D161" i="1"/>
  <c r="E163" i="1"/>
  <c r="Z163" i="1"/>
  <c r="AA163" i="1"/>
  <c r="AM163" i="1"/>
  <c r="AN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R163" i="1"/>
  <c r="DS163" i="1"/>
  <c r="EE163" i="1"/>
  <c r="EF163" i="1"/>
  <c r="EW163" i="1"/>
  <c r="EX163" i="1"/>
  <c r="EY163" i="1"/>
  <c r="EZ163" i="1"/>
  <c r="FA163" i="1"/>
  <c r="FB163" i="1"/>
  <c r="FC163" i="1"/>
  <c r="FD163" i="1"/>
  <c r="FE163" i="1"/>
  <c r="FF163" i="1"/>
  <c r="FG163" i="1"/>
  <c r="FH163" i="1"/>
  <c r="FI163" i="1"/>
  <c r="FJ163" i="1"/>
  <c r="FK163" i="1"/>
  <c r="FL163" i="1"/>
  <c r="FM163" i="1"/>
  <c r="FN163" i="1"/>
  <c r="FO163" i="1"/>
  <c r="GF163" i="1"/>
  <c r="GG163" i="1"/>
  <c r="GH163" i="1"/>
  <c r="GI163" i="1"/>
  <c r="GJ163" i="1"/>
  <c r="GK163" i="1"/>
  <c r="GL163" i="1"/>
  <c r="GM163" i="1"/>
  <c r="GN163" i="1"/>
  <c r="GO163" i="1"/>
  <c r="GP163" i="1"/>
  <c r="GQ163" i="1"/>
  <c r="GR163" i="1"/>
  <c r="GS163" i="1"/>
  <c r="GT163" i="1"/>
  <c r="GU163" i="1"/>
  <c r="GV163" i="1"/>
  <c r="GW163" i="1"/>
  <c r="GX163" i="1"/>
  <c r="C165" i="1"/>
  <c r="D165" i="1"/>
  <c r="Q165" i="1"/>
  <c r="R165" i="1"/>
  <c r="W165" i="1"/>
  <c r="AC165" i="1"/>
  <c r="CQ165" i="1" s="1"/>
  <c r="AD165" i="1"/>
  <c r="AE165" i="1"/>
  <c r="AF165" i="1"/>
  <c r="S165" i="1" s="1"/>
  <c r="AG165" i="1"/>
  <c r="CU165" i="1" s="1"/>
  <c r="T165" i="1" s="1"/>
  <c r="AH165" i="1"/>
  <c r="AI165" i="1"/>
  <c r="CW165" i="1" s="1"/>
  <c r="V165" i="1" s="1"/>
  <c r="AJ165" i="1"/>
  <c r="CR165" i="1"/>
  <c r="CS165" i="1"/>
  <c r="CT165" i="1"/>
  <c r="CV165" i="1"/>
  <c r="U165" i="1" s="1"/>
  <c r="CX165" i="1"/>
  <c r="GL165" i="1"/>
  <c r="GO165" i="1"/>
  <c r="GP165" i="1"/>
  <c r="GV165" i="1"/>
  <c r="HC165" i="1"/>
  <c r="GX165" i="1" s="1"/>
  <c r="C166" i="1"/>
  <c r="D166" i="1"/>
  <c r="P166" i="1"/>
  <c r="R166" i="1"/>
  <c r="V166" i="1"/>
  <c r="AC166" i="1"/>
  <c r="AE166" i="1"/>
  <c r="AD166" i="1" s="1"/>
  <c r="AB166" i="1" s="1"/>
  <c r="AF166" i="1"/>
  <c r="S166" i="1" s="1"/>
  <c r="AG166" i="1"/>
  <c r="CU166" i="1" s="1"/>
  <c r="T166" i="1" s="1"/>
  <c r="AH166" i="1"/>
  <c r="CV166" i="1" s="1"/>
  <c r="U166" i="1" s="1"/>
  <c r="AI166" i="1"/>
  <c r="AJ166" i="1"/>
  <c r="CX166" i="1" s="1"/>
  <c r="W166" i="1" s="1"/>
  <c r="CQ166" i="1"/>
  <c r="CR166" i="1"/>
  <c r="CS166" i="1"/>
  <c r="CW166" i="1"/>
  <c r="GL166" i="1"/>
  <c r="GO166" i="1"/>
  <c r="GP166" i="1"/>
  <c r="GV166" i="1"/>
  <c r="HC166" i="1"/>
  <c r="GX166" i="1" s="1"/>
  <c r="I167" i="1"/>
  <c r="R167" i="1" s="1"/>
  <c r="V167" i="1"/>
  <c r="AC167" i="1"/>
  <c r="CQ167" i="1" s="1"/>
  <c r="AE167" i="1"/>
  <c r="CR167" i="1" s="1"/>
  <c r="AF167" i="1"/>
  <c r="S167" i="1" s="1"/>
  <c r="AG167" i="1"/>
  <c r="AH167" i="1"/>
  <c r="CV167" i="1" s="1"/>
  <c r="U167" i="1" s="1"/>
  <c r="AI167" i="1"/>
  <c r="AJ167" i="1"/>
  <c r="CS167" i="1"/>
  <c r="CU167" i="1"/>
  <c r="T167" i="1" s="1"/>
  <c r="CW167" i="1"/>
  <c r="CX167" i="1"/>
  <c r="GL167" i="1"/>
  <c r="GO167" i="1"/>
  <c r="GP167" i="1"/>
  <c r="GV167" i="1"/>
  <c r="HC167" i="1"/>
  <c r="GX167" i="1" s="1"/>
  <c r="I168" i="1"/>
  <c r="P168" i="1" s="1"/>
  <c r="AC168" i="1"/>
  <c r="AE168" i="1"/>
  <c r="AD168" i="1" s="1"/>
  <c r="AB168" i="1" s="1"/>
  <c r="AF168" i="1"/>
  <c r="S168" i="1" s="1"/>
  <c r="AG168" i="1"/>
  <c r="CU168" i="1" s="1"/>
  <c r="T168" i="1" s="1"/>
  <c r="AH168" i="1"/>
  <c r="CV168" i="1" s="1"/>
  <c r="U168" i="1" s="1"/>
  <c r="AI168" i="1"/>
  <c r="AJ168" i="1"/>
  <c r="CX168" i="1" s="1"/>
  <c r="W168" i="1" s="1"/>
  <c r="CQ168" i="1"/>
  <c r="CR168" i="1"/>
  <c r="CS168" i="1"/>
  <c r="CW168" i="1"/>
  <c r="GL168" i="1"/>
  <c r="GO168" i="1"/>
  <c r="GP168" i="1"/>
  <c r="GV168" i="1"/>
  <c r="HC168" i="1"/>
  <c r="GX168" i="1" s="1"/>
  <c r="C169" i="1"/>
  <c r="D169" i="1"/>
  <c r="U169" i="1"/>
  <c r="V169" i="1"/>
  <c r="W169" i="1"/>
  <c r="AC169" i="1"/>
  <c r="P169" i="1" s="1"/>
  <c r="AD169" i="1"/>
  <c r="AB169" i="1" s="1"/>
  <c r="AE169" i="1"/>
  <c r="Q169" i="1" s="1"/>
  <c r="AF169" i="1"/>
  <c r="S169" i="1" s="1"/>
  <c r="AG169" i="1"/>
  <c r="CU169" i="1" s="1"/>
  <c r="T169" i="1" s="1"/>
  <c r="AH169" i="1"/>
  <c r="AI169" i="1"/>
  <c r="AJ169" i="1"/>
  <c r="CQ169" i="1"/>
  <c r="CR169" i="1"/>
  <c r="CT169" i="1"/>
  <c r="CV169" i="1"/>
  <c r="CW169" i="1"/>
  <c r="CX169" i="1"/>
  <c r="GL169" i="1"/>
  <c r="GO169" i="1"/>
  <c r="GP169" i="1"/>
  <c r="GV169" i="1"/>
  <c r="HC169" i="1"/>
  <c r="GX169" i="1" s="1"/>
  <c r="C170" i="1"/>
  <c r="D170" i="1"/>
  <c r="P170" i="1"/>
  <c r="S170" i="1"/>
  <c r="X170" i="1" s="1"/>
  <c r="T170" i="1"/>
  <c r="AC170" i="1"/>
  <c r="AB170" i="1" s="1"/>
  <c r="AD170" i="1"/>
  <c r="AE170" i="1"/>
  <c r="Q170" i="1" s="1"/>
  <c r="CP170" i="1" s="1"/>
  <c r="O170" i="1" s="1"/>
  <c r="AF170" i="1"/>
  <c r="CT170" i="1" s="1"/>
  <c r="AG170" i="1"/>
  <c r="AH170" i="1"/>
  <c r="CV170" i="1" s="1"/>
  <c r="U170" i="1" s="1"/>
  <c r="AI170" i="1"/>
  <c r="CW170" i="1" s="1"/>
  <c r="V170" i="1" s="1"/>
  <c r="AJ170" i="1"/>
  <c r="CQ170" i="1"/>
  <c r="CU170" i="1"/>
  <c r="CX170" i="1"/>
  <c r="W170" i="1" s="1"/>
  <c r="CY170" i="1"/>
  <c r="GL170" i="1"/>
  <c r="GO170" i="1"/>
  <c r="GP170" i="1"/>
  <c r="GV170" i="1"/>
  <c r="HC170" i="1" s="1"/>
  <c r="GX170" i="1" s="1"/>
  <c r="I171" i="1"/>
  <c r="Q171" i="1" s="1"/>
  <c r="S171" i="1"/>
  <c r="CZ171" i="1" s="1"/>
  <c r="T171" i="1"/>
  <c r="U171" i="1"/>
  <c r="V171" i="1"/>
  <c r="X171" i="1"/>
  <c r="Y171" i="1"/>
  <c r="AC171" i="1"/>
  <c r="P171" i="1" s="1"/>
  <c r="AD171" i="1"/>
  <c r="AE171" i="1"/>
  <c r="AF171" i="1"/>
  <c r="CT171" i="1" s="1"/>
  <c r="AG171" i="1"/>
  <c r="AH171" i="1"/>
  <c r="AI171" i="1"/>
  <c r="AJ171" i="1"/>
  <c r="CQ171" i="1"/>
  <c r="CR171" i="1"/>
  <c r="CS171" i="1"/>
  <c r="CU171" i="1"/>
  <c r="CV171" i="1"/>
  <c r="CW171" i="1"/>
  <c r="CX171" i="1"/>
  <c r="W171" i="1" s="1"/>
  <c r="CY171" i="1"/>
  <c r="GL171" i="1"/>
  <c r="GO171" i="1"/>
  <c r="GP171" i="1"/>
  <c r="GV171" i="1"/>
  <c r="GX171" i="1"/>
  <c r="HC171" i="1"/>
  <c r="I172" i="1"/>
  <c r="P172" i="1" s="1"/>
  <c r="S172" i="1"/>
  <c r="X172" i="1" s="1"/>
  <c r="T172" i="1"/>
  <c r="AC172" i="1"/>
  <c r="AB172" i="1" s="1"/>
  <c r="AD172" i="1"/>
  <c r="AE172" i="1"/>
  <c r="CR172" i="1" s="1"/>
  <c r="AF172" i="1"/>
  <c r="CT172" i="1" s="1"/>
  <c r="AG172" i="1"/>
  <c r="AH172" i="1"/>
  <c r="CV172" i="1" s="1"/>
  <c r="U172" i="1" s="1"/>
  <c r="AI172" i="1"/>
  <c r="CW172" i="1" s="1"/>
  <c r="V172" i="1" s="1"/>
  <c r="AJ172" i="1"/>
  <c r="CQ172" i="1"/>
  <c r="CU172" i="1"/>
  <c r="CX172" i="1"/>
  <c r="W172" i="1" s="1"/>
  <c r="CY172" i="1"/>
  <c r="GL172" i="1"/>
  <c r="GO172" i="1"/>
  <c r="GP172" i="1"/>
  <c r="GV172" i="1"/>
  <c r="HC172" i="1" s="1"/>
  <c r="GX172" i="1" s="1"/>
  <c r="C173" i="1"/>
  <c r="D173" i="1"/>
  <c r="R173" i="1"/>
  <c r="S173" i="1"/>
  <c r="T173" i="1"/>
  <c r="U173" i="1"/>
  <c r="AC173" i="1"/>
  <c r="P173" i="1" s="1"/>
  <c r="CP173" i="1" s="1"/>
  <c r="O173" i="1" s="1"/>
  <c r="AE173" i="1"/>
  <c r="Q173" i="1" s="1"/>
  <c r="AF173" i="1"/>
  <c r="AG173" i="1"/>
  <c r="AH173" i="1"/>
  <c r="AI173" i="1"/>
  <c r="AJ173" i="1"/>
  <c r="CR173" i="1"/>
  <c r="CT173" i="1"/>
  <c r="CU173" i="1"/>
  <c r="CV173" i="1"/>
  <c r="CW173" i="1"/>
  <c r="V173" i="1" s="1"/>
  <c r="CX173" i="1"/>
  <c r="W173" i="1" s="1"/>
  <c r="GL173" i="1"/>
  <c r="GO173" i="1"/>
  <c r="GP173" i="1"/>
  <c r="GV173" i="1"/>
  <c r="HC173" i="1" s="1"/>
  <c r="GX173" i="1" s="1"/>
  <c r="C174" i="1"/>
  <c r="D174" i="1"/>
  <c r="Q174" i="1"/>
  <c r="R174" i="1"/>
  <c r="AB174" i="1"/>
  <c r="AC174" i="1"/>
  <c r="P174" i="1" s="1"/>
  <c r="AD174" i="1"/>
  <c r="AE174" i="1"/>
  <c r="AF174" i="1"/>
  <c r="CT174" i="1" s="1"/>
  <c r="AG174" i="1"/>
  <c r="CU174" i="1" s="1"/>
  <c r="T174" i="1" s="1"/>
  <c r="AH174" i="1"/>
  <c r="AI174" i="1"/>
  <c r="AJ174" i="1"/>
  <c r="CX174" i="1" s="1"/>
  <c r="W174" i="1" s="1"/>
  <c r="CR174" i="1"/>
  <c r="CS174" i="1"/>
  <c r="CV174" i="1"/>
  <c r="U174" i="1" s="1"/>
  <c r="CW174" i="1"/>
  <c r="V174" i="1" s="1"/>
  <c r="GL174" i="1"/>
  <c r="GO174" i="1"/>
  <c r="GP174" i="1"/>
  <c r="GV174" i="1"/>
  <c r="GX174" i="1"/>
  <c r="HC174" i="1"/>
  <c r="I175" i="1"/>
  <c r="Q175" i="1"/>
  <c r="R175" i="1"/>
  <c r="S175" i="1"/>
  <c r="X175" i="1" s="1"/>
  <c r="T175" i="1"/>
  <c r="Y175" i="1"/>
  <c r="AB175" i="1"/>
  <c r="AC175" i="1"/>
  <c r="P175" i="1" s="1"/>
  <c r="CP175" i="1" s="1"/>
  <c r="O175" i="1" s="1"/>
  <c r="AD175" i="1"/>
  <c r="AE175" i="1"/>
  <c r="CR175" i="1" s="1"/>
  <c r="AF175" i="1"/>
  <c r="AG175" i="1"/>
  <c r="AH175" i="1"/>
  <c r="AI175" i="1"/>
  <c r="AJ175" i="1"/>
  <c r="CX175" i="1" s="1"/>
  <c r="W175" i="1" s="1"/>
  <c r="CQ175" i="1"/>
  <c r="CS175" i="1"/>
  <c r="CT175" i="1"/>
  <c r="CU175" i="1"/>
  <c r="CV175" i="1"/>
  <c r="U175" i="1" s="1"/>
  <c r="CW175" i="1"/>
  <c r="V175" i="1" s="1"/>
  <c r="GL175" i="1"/>
  <c r="GO175" i="1"/>
  <c r="GP175" i="1"/>
  <c r="GV175" i="1"/>
  <c r="HC175" i="1" s="1"/>
  <c r="GX175" i="1" s="1"/>
  <c r="I176" i="1"/>
  <c r="GX176" i="1" s="1"/>
  <c r="Q176" i="1"/>
  <c r="R176" i="1"/>
  <c r="AB176" i="1"/>
  <c r="AC176" i="1"/>
  <c r="P176" i="1" s="1"/>
  <c r="AD176" i="1"/>
  <c r="AE176" i="1"/>
  <c r="AF176" i="1"/>
  <c r="CT176" i="1" s="1"/>
  <c r="AG176" i="1"/>
  <c r="CU176" i="1" s="1"/>
  <c r="T176" i="1" s="1"/>
  <c r="AH176" i="1"/>
  <c r="AI176" i="1"/>
  <c r="CW176" i="1" s="1"/>
  <c r="V176" i="1" s="1"/>
  <c r="AJ176" i="1"/>
  <c r="CX176" i="1" s="1"/>
  <c r="W176" i="1" s="1"/>
  <c r="CR176" i="1"/>
  <c r="CS176" i="1"/>
  <c r="CV176" i="1"/>
  <c r="U176" i="1" s="1"/>
  <c r="GL176" i="1"/>
  <c r="GO176" i="1"/>
  <c r="GP176" i="1"/>
  <c r="GV176" i="1"/>
  <c r="HC176" i="1"/>
  <c r="C177" i="1"/>
  <c r="D177" i="1"/>
  <c r="P177" i="1"/>
  <c r="Q177" i="1"/>
  <c r="CP177" i="1" s="1"/>
  <c r="O177" i="1" s="1"/>
  <c r="GM177" i="1" s="1"/>
  <c r="GN177" i="1" s="1"/>
  <c r="R177" i="1"/>
  <c r="S177" i="1"/>
  <c r="CZ177" i="1" s="1"/>
  <c r="X177" i="1"/>
  <c r="Y177" i="1"/>
  <c r="AC177" i="1"/>
  <c r="CQ177" i="1" s="1"/>
  <c r="AD177" i="1"/>
  <c r="AE177" i="1"/>
  <c r="AF177" i="1"/>
  <c r="AG177" i="1"/>
  <c r="AH177" i="1"/>
  <c r="AI177" i="1"/>
  <c r="CW177" i="1" s="1"/>
  <c r="V177" i="1" s="1"/>
  <c r="AJ177" i="1"/>
  <c r="CX177" i="1" s="1"/>
  <c r="W177" i="1" s="1"/>
  <c r="CR177" i="1"/>
  <c r="CS177" i="1"/>
  <c r="CT177" i="1"/>
  <c r="CU177" i="1"/>
  <c r="T177" i="1" s="1"/>
  <c r="CV177" i="1"/>
  <c r="U177" i="1" s="1"/>
  <c r="GL177" i="1"/>
  <c r="GO177" i="1"/>
  <c r="GP177" i="1"/>
  <c r="GV177" i="1"/>
  <c r="HC177" i="1" s="1"/>
  <c r="GX177" i="1" s="1"/>
  <c r="C178" i="1"/>
  <c r="D178" i="1"/>
  <c r="P178" i="1"/>
  <c r="S178" i="1"/>
  <c r="X178" i="1"/>
  <c r="Y178" i="1"/>
  <c r="AB178" i="1"/>
  <c r="AC178" i="1"/>
  <c r="AD178" i="1"/>
  <c r="AE178" i="1"/>
  <c r="CR178" i="1" s="1"/>
  <c r="AF178" i="1"/>
  <c r="AG178" i="1"/>
  <c r="AH178" i="1"/>
  <c r="CV178" i="1" s="1"/>
  <c r="U178" i="1" s="1"/>
  <c r="AI178" i="1"/>
  <c r="AJ178" i="1"/>
  <c r="CX178" i="1" s="1"/>
  <c r="W178" i="1" s="1"/>
  <c r="CQ178" i="1"/>
  <c r="CT178" i="1"/>
  <c r="CU178" i="1"/>
  <c r="T178" i="1" s="1"/>
  <c r="CW178" i="1"/>
  <c r="V178" i="1" s="1"/>
  <c r="CY178" i="1"/>
  <c r="CZ178" i="1"/>
  <c r="GL178" i="1"/>
  <c r="GO178" i="1"/>
  <c r="GP178" i="1"/>
  <c r="GV178" i="1"/>
  <c r="HC178" i="1" s="1"/>
  <c r="GX178" i="1" s="1"/>
  <c r="I179" i="1"/>
  <c r="P179" i="1"/>
  <c r="Q179" i="1"/>
  <c r="R179" i="1"/>
  <c r="AC179" i="1"/>
  <c r="AB179" i="1" s="1"/>
  <c r="AD179" i="1"/>
  <c r="AE179" i="1"/>
  <c r="AF179" i="1"/>
  <c r="S179" i="1" s="1"/>
  <c r="AG179" i="1"/>
  <c r="AH179" i="1"/>
  <c r="CV179" i="1" s="1"/>
  <c r="U179" i="1" s="1"/>
  <c r="AI179" i="1"/>
  <c r="CW179" i="1" s="1"/>
  <c r="V179" i="1" s="1"/>
  <c r="AJ179" i="1"/>
  <c r="CX179" i="1" s="1"/>
  <c r="W179" i="1" s="1"/>
  <c r="CQ179" i="1"/>
  <c r="CR179" i="1"/>
  <c r="CS179" i="1"/>
  <c r="CT179" i="1"/>
  <c r="CU179" i="1"/>
  <c r="T179" i="1" s="1"/>
  <c r="GL179" i="1"/>
  <c r="GO179" i="1"/>
  <c r="GP179" i="1"/>
  <c r="GV179" i="1"/>
  <c r="HC179" i="1"/>
  <c r="GX179" i="1" s="1"/>
  <c r="I180" i="1"/>
  <c r="Q180" i="1" s="1"/>
  <c r="O180" i="1"/>
  <c r="GM180" i="1" s="1"/>
  <c r="GN180" i="1" s="1"/>
  <c r="P180" i="1"/>
  <c r="CP180" i="1" s="1"/>
  <c r="S180" i="1"/>
  <c r="X180" i="1"/>
  <c r="Y180" i="1"/>
  <c r="AC180" i="1"/>
  <c r="AD180" i="1"/>
  <c r="AB180" i="1" s="1"/>
  <c r="AE180" i="1"/>
  <c r="AF180" i="1"/>
  <c r="AG180" i="1"/>
  <c r="AH180" i="1"/>
  <c r="AI180" i="1"/>
  <c r="AJ180" i="1"/>
  <c r="CX180" i="1" s="1"/>
  <c r="W180" i="1" s="1"/>
  <c r="CQ180" i="1"/>
  <c r="CT180" i="1"/>
  <c r="CU180" i="1"/>
  <c r="T180" i="1" s="1"/>
  <c r="CV180" i="1"/>
  <c r="U180" i="1" s="1"/>
  <c r="CW180" i="1"/>
  <c r="V180" i="1" s="1"/>
  <c r="CY180" i="1"/>
  <c r="CZ180" i="1"/>
  <c r="GL180" i="1"/>
  <c r="GO180" i="1"/>
  <c r="GP180" i="1"/>
  <c r="GV180" i="1"/>
  <c r="HC180" i="1" s="1"/>
  <c r="GX180" i="1" s="1"/>
  <c r="C181" i="1"/>
  <c r="D181" i="1"/>
  <c r="P181" i="1"/>
  <c r="CP181" i="1" s="1"/>
  <c r="O181" i="1" s="1"/>
  <c r="Q181" i="1"/>
  <c r="S181" i="1"/>
  <c r="T181" i="1"/>
  <c r="V181" i="1"/>
  <c r="W181" i="1"/>
  <c r="AC181" i="1"/>
  <c r="AE181" i="1"/>
  <c r="AD181" i="1" s="1"/>
  <c r="AB181" i="1" s="1"/>
  <c r="AF181" i="1"/>
  <c r="AG181" i="1"/>
  <c r="CU181" i="1" s="1"/>
  <c r="AH181" i="1"/>
  <c r="CV181" i="1" s="1"/>
  <c r="U181" i="1" s="1"/>
  <c r="AI181" i="1"/>
  <c r="CW181" i="1" s="1"/>
  <c r="AJ181" i="1"/>
  <c r="CQ181" i="1"/>
  <c r="CR181" i="1"/>
  <c r="CS181" i="1"/>
  <c r="CT181" i="1"/>
  <c r="CX181" i="1"/>
  <c r="GL181" i="1"/>
  <c r="GO181" i="1"/>
  <c r="GP181" i="1"/>
  <c r="GV181" i="1"/>
  <c r="HC181" i="1" s="1"/>
  <c r="GX181" i="1" s="1"/>
  <c r="C182" i="1"/>
  <c r="D182" i="1"/>
  <c r="V182" i="1"/>
  <c r="W182" i="1"/>
  <c r="AC182" i="1"/>
  <c r="AE182" i="1"/>
  <c r="AF182" i="1"/>
  <c r="S182" i="1" s="1"/>
  <c r="AG182" i="1"/>
  <c r="AH182" i="1"/>
  <c r="CV182" i="1" s="1"/>
  <c r="U182" i="1" s="1"/>
  <c r="AI182" i="1"/>
  <c r="AJ182" i="1"/>
  <c r="CU182" i="1"/>
  <c r="T182" i="1" s="1"/>
  <c r="CW182" i="1"/>
  <c r="CX182" i="1"/>
  <c r="GL182" i="1"/>
  <c r="GO182" i="1"/>
  <c r="GP182" i="1"/>
  <c r="GV182" i="1"/>
  <c r="HC182" i="1"/>
  <c r="GX182" i="1" s="1"/>
  <c r="I183" i="1"/>
  <c r="Q183" i="1" s="1"/>
  <c r="AC183" i="1"/>
  <c r="AE183" i="1"/>
  <c r="AD183" i="1" s="1"/>
  <c r="AB183" i="1" s="1"/>
  <c r="AF183" i="1"/>
  <c r="CT183" i="1" s="1"/>
  <c r="AG183" i="1"/>
  <c r="CU183" i="1" s="1"/>
  <c r="AH183" i="1"/>
  <c r="CV183" i="1" s="1"/>
  <c r="AI183" i="1"/>
  <c r="AJ183" i="1"/>
  <c r="CX183" i="1" s="1"/>
  <c r="CQ183" i="1"/>
  <c r="CR183" i="1"/>
  <c r="CS183" i="1"/>
  <c r="CW183" i="1"/>
  <c r="GL183" i="1"/>
  <c r="GO183" i="1"/>
  <c r="GP183" i="1"/>
  <c r="GV183" i="1"/>
  <c r="HC183" i="1"/>
  <c r="I184" i="1"/>
  <c r="V184" i="1"/>
  <c r="W184" i="1"/>
  <c r="X184" i="1"/>
  <c r="AB184" i="1"/>
  <c r="AC184" i="1"/>
  <c r="AE184" i="1"/>
  <c r="AD184" i="1" s="1"/>
  <c r="AF184" i="1"/>
  <c r="S184" i="1" s="1"/>
  <c r="AG184" i="1"/>
  <c r="AH184" i="1"/>
  <c r="CV184" i="1" s="1"/>
  <c r="U184" i="1" s="1"/>
  <c r="AI184" i="1"/>
  <c r="AJ184" i="1"/>
  <c r="CT184" i="1"/>
  <c r="CU184" i="1"/>
  <c r="T184" i="1" s="1"/>
  <c r="CW184" i="1"/>
  <c r="CX184" i="1"/>
  <c r="CZ184" i="1"/>
  <c r="GL184" i="1"/>
  <c r="GO184" i="1"/>
  <c r="GP184" i="1"/>
  <c r="GV184" i="1"/>
  <c r="HC184" i="1"/>
  <c r="GX184" i="1" s="1"/>
  <c r="C185" i="1"/>
  <c r="D185" i="1"/>
  <c r="U185" i="1"/>
  <c r="AC185" i="1"/>
  <c r="AE185" i="1"/>
  <c r="CS185" i="1" s="1"/>
  <c r="AF185" i="1"/>
  <c r="AG185" i="1"/>
  <c r="CU185" i="1" s="1"/>
  <c r="T185" i="1" s="1"/>
  <c r="AH185" i="1"/>
  <c r="AI185" i="1"/>
  <c r="CW185" i="1" s="1"/>
  <c r="V185" i="1" s="1"/>
  <c r="AJ185" i="1"/>
  <c r="CX185" i="1" s="1"/>
  <c r="W185" i="1" s="1"/>
  <c r="CQ185" i="1"/>
  <c r="CV185" i="1"/>
  <c r="GL185" i="1"/>
  <c r="GO185" i="1"/>
  <c r="GP185" i="1"/>
  <c r="GV185" i="1"/>
  <c r="HC185" i="1"/>
  <c r="GX185" i="1" s="1"/>
  <c r="C186" i="1"/>
  <c r="D186" i="1"/>
  <c r="S186" i="1"/>
  <c r="CZ186" i="1" s="1"/>
  <c r="V186" i="1"/>
  <c r="AB186" i="1"/>
  <c r="AC186" i="1"/>
  <c r="P186" i="1" s="1"/>
  <c r="AD186" i="1"/>
  <c r="AE186" i="1"/>
  <c r="Q186" i="1" s="1"/>
  <c r="AF186" i="1"/>
  <c r="CT186" i="1" s="1"/>
  <c r="AG186" i="1"/>
  <c r="AH186" i="1"/>
  <c r="AI186" i="1"/>
  <c r="AJ186" i="1"/>
  <c r="CP186" i="1"/>
  <c r="O186" i="1" s="1"/>
  <c r="CQ186" i="1"/>
  <c r="CR186" i="1"/>
  <c r="CS186" i="1"/>
  <c r="CU186" i="1"/>
  <c r="T186" i="1" s="1"/>
  <c r="CV186" i="1"/>
  <c r="U186" i="1" s="1"/>
  <c r="CW186" i="1"/>
  <c r="CX186" i="1"/>
  <c r="W186" i="1" s="1"/>
  <c r="GL186" i="1"/>
  <c r="GO186" i="1"/>
  <c r="GP186" i="1"/>
  <c r="GV186" i="1"/>
  <c r="HC186" i="1"/>
  <c r="GX186" i="1" s="1"/>
  <c r="I187" i="1"/>
  <c r="P187" i="1" s="1"/>
  <c r="AC187" i="1"/>
  <c r="AE187" i="1"/>
  <c r="CR187" i="1" s="1"/>
  <c r="AF187" i="1"/>
  <c r="CT187" i="1" s="1"/>
  <c r="AG187" i="1"/>
  <c r="AH187" i="1"/>
  <c r="CV187" i="1" s="1"/>
  <c r="AI187" i="1"/>
  <c r="CW187" i="1" s="1"/>
  <c r="AJ187" i="1"/>
  <c r="CQ187" i="1"/>
  <c r="CS187" i="1"/>
  <c r="CU187" i="1"/>
  <c r="CX187" i="1"/>
  <c r="GL187" i="1"/>
  <c r="GO187" i="1"/>
  <c r="GP187" i="1"/>
  <c r="GV187" i="1"/>
  <c r="HC187" i="1" s="1"/>
  <c r="GX187" i="1" s="1"/>
  <c r="I188" i="1"/>
  <c r="S188" i="1" s="1"/>
  <c r="U188" i="1"/>
  <c r="V188" i="1"/>
  <c r="AC188" i="1"/>
  <c r="P188" i="1" s="1"/>
  <c r="AD188" i="1"/>
  <c r="AB188" i="1" s="1"/>
  <c r="AE188" i="1"/>
  <c r="AF188" i="1"/>
  <c r="CT188" i="1" s="1"/>
  <c r="AG188" i="1"/>
  <c r="AH188" i="1"/>
  <c r="AI188" i="1"/>
  <c r="AJ188" i="1"/>
  <c r="CR188" i="1"/>
  <c r="CS188" i="1"/>
  <c r="CU188" i="1"/>
  <c r="T188" i="1" s="1"/>
  <c r="CV188" i="1"/>
  <c r="CW188" i="1"/>
  <c r="CX188" i="1"/>
  <c r="GL188" i="1"/>
  <c r="GO188" i="1"/>
  <c r="GP188" i="1"/>
  <c r="GV188" i="1"/>
  <c r="GX188" i="1"/>
  <c r="HC188" i="1"/>
  <c r="C189" i="1"/>
  <c r="D189" i="1"/>
  <c r="P189" i="1"/>
  <c r="CP189" i="1" s="1"/>
  <c r="O189" i="1" s="1"/>
  <c r="Q189" i="1"/>
  <c r="R189" i="1"/>
  <c r="S189" i="1"/>
  <c r="Y189" i="1" s="1"/>
  <c r="AC189" i="1"/>
  <c r="AE189" i="1"/>
  <c r="CR189" i="1" s="1"/>
  <c r="AF189" i="1"/>
  <c r="AG189" i="1"/>
  <c r="CU189" i="1" s="1"/>
  <c r="T189" i="1" s="1"/>
  <c r="AH189" i="1"/>
  <c r="CV189" i="1" s="1"/>
  <c r="U189" i="1" s="1"/>
  <c r="AI189" i="1"/>
  <c r="CW189" i="1" s="1"/>
  <c r="V189" i="1" s="1"/>
  <c r="AJ189" i="1"/>
  <c r="CX189" i="1" s="1"/>
  <c r="W189" i="1" s="1"/>
  <c r="CQ189" i="1"/>
  <c r="CT189" i="1"/>
  <c r="GL189" i="1"/>
  <c r="GO189" i="1"/>
  <c r="GP189" i="1"/>
  <c r="GV189" i="1"/>
  <c r="HC189" i="1" s="1"/>
  <c r="GX189" i="1" s="1"/>
  <c r="C190" i="1"/>
  <c r="D190" i="1"/>
  <c r="AC190" i="1"/>
  <c r="P190" i="1" s="1"/>
  <c r="AD190" i="1"/>
  <c r="AE190" i="1"/>
  <c r="CR190" i="1" s="1"/>
  <c r="AF190" i="1"/>
  <c r="S190" i="1" s="1"/>
  <c r="AG190" i="1"/>
  <c r="AH190" i="1"/>
  <c r="CV190" i="1" s="1"/>
  <c r="U190" i="1" s="1"/>
  <c r="AI190" i="1"/>
  <c r="CW190" i="1" s="1"/>
  <c r="V190" i="1" s="1"/>
  <c r="AJ190" i="1"/>
  <c r="CU190" i="1"/>
  <c r="T190" i="1" s="1"/>
  <c r="CX190" i="1"/>
  <c r="W190" i="1" s="1"/>
  <c r="GL190" i="1"/>
  <c r="GO190" i="1"/>
  <c r="GP190" i="1"/>
  <c r="GV190" i="1"/>
  <c r="HC190" i="1" s="1"/>
  <c r="GX190" i="1" s="1"/>
  <c r="I191" i="1"/>
  <c r="Q191" i="1"/>
  <c r="R191" i="1"/>
  <c r="V191" i="1"/>
  <c r="AB191" i="1"/>
  <c r="AC191" i="1"/>
  <c r="P191" i="1" s="1"/>
  <c r="AD191" i="1"/>
  <c r="AE191" i="1"/>
  <c r="AF191" i="1"/>
  <c r="CT191" i="1" s="1"/>
  <c r="AG191" i="1"/>
  <c r="AH191" i="1"/>
  <c r="AI191" i="1"/>
  <c r="AJ191" i="1"/>
  <c r="CR191" i="1"/>
  <c r="CS191" i="1"/>
  <c r="CU191" i="1"/>
  <c r="T191" i="1" s="1"/>
  <c r="CV191" i="1"/>
  <c r="U191" i="1" s="1"/>
  <c r="CW191" i="1"/>
  <c r="CX191" i="1"/>
  <c r="W191" i="1" s="1"/>
  <c r="GL191" i="1"/>
  <c r="GO191" i="1"/>
  <c r="GP191" i="1"/>
  <c r="GV191" i="1"/>
  <c r="HC191" i="1"/>
  <c r="GX191" i="1" s="1"/>
  <c r="I192" i="1"/>
  <c r="P192" i="1"/>
  <c r="Q192" i="1"/>
  <c r="R192" i="1"/>
  <c r="S192" i="1"/>
  <c r="X192" i="1" s="1"/>
  <c r="T192" i="1"/>
  <c r="V192" i="1"/>
  <c r="AC192" i="1"/>
  <c r="AD192" i="1"/>
  <c r="AB192" i="1" s="1"/>
  <c r="AE192" i="1"/>
  <c r="CR192" i="1" s="1"/>
  <c r="AF192" i="1"/>
  <c r="AG192" i="1"/>
  <c r="AH192" i="1"/>
  <c r="AI192" i="1"/>
  <c r="AJ192" i="1"/>
  <c r="CX192" i="1" s="1"/>
  <c r="W192" i="1" s="1"/>
  <c r="CP192" i="1"/>
  <c r="O192" i="1" s="1"/>
  <c r="CQ192" i="1"/>
  <c r="CS192" i="1"/>
  <c r="CT192" i="1"/>
  <c r="CU192" i="1"/>
  <c r="CV192" i="1"/>
  <c r="U192" i="1" s="1"/>
  <c r="CW192" i="1"/>
  <c r="GL192" i="1"/>
  <c r="GO192" i="1"/>
  <c r="GP192" i="1"/>
  <c r="GV192" i="1"/>
  <c r="HC192" i="1" s="1"/>
  <c r="GX192" i="1"/>
  <c r="C193" i="1"/>
  <c r="D193" i="1"/>
  <c r="P193" i="1"/>
  <c r="CP193" i="1" s="1"/>
  <c r="O193" i="1" s="1"/>
  <c r="Q193" i="1"/>
  <c r="AC193" i="1"/>
  <c r="AE193" i="1"/>
  <c r="AF193" i="1"/>
  <c r="S193" i="1" s="1"/>
  <c r="AG193" i="1"/>
  <c r="CU193" i="1" s="1"/>
  <c r="T193" i="1" s="1"/>
  <c r="AH193" i="1"/>
  <c r="CV193" i="1" s="1"/>
  <c r="U193" i="1" s="1"/>
  <c r="AI193" i="1"/>
  <c r="CW193" i="1" s="1"/>
  <c r="V193" i="1" s="1"/>
  <c r="AJ193" i="1"/>
  <c r="CX193" i="1" s="1"/>
  <c r="W193" i="1" s="1"/>
  <c r="CQ193" i="1"/>
  <c r="CR193" i="1"/>
  <c r="GL193" i="1"/>
  <c r="GO193" i="1"/>
  <c r="GP193" i="1"/>
  <c r="GV193" i="1"/>
  <c r="HC193" i="1" s="1"/>
  <c r="GX193" i="1" s="1"/>
  <c r="C194" i="1"/>
  <c r="D194" i="1"/>
  <c r="Q194" i="1"/>
  <c r="R194" i="1"/>
  <c r="X194" i="1"/>
  <c r="Y194" i="1"/>
  <c r="AB194" i="1"/>
  <c r="AC194" i="1"/>
  <c r="P194" i="1" s="1"/>
  <c r="CP194" i="1" s="1"/>
  <c r="O194" i="1" s="1"/>
  <c r="GM194" i="1" s="1"/>
  <c r="GN194" i="1" s="1"/>
  <c r="AD194" i="1"/>
  <c r="AE194" i="1"/>
  <c r="AF194" i="1"/>
  <c r="S194" i="1" s="1"/>
  <c r="CZ194" i="1" s="1"/>
  <c r="AG194" i="1"/>
  <c r="CU194" i="1" s="1"/>
  <c r="T194" i="1" s="1"/>
  <c r="AH194" i="1"/>
  <c r="AI194" i="1"/>
  <c r="AJ194" i="1"/>
  <c r="CR194" i="1"/>
  <c r="CS194" i="1"/>
  <c r="CV194" i="1"/>
  <c r="U194" i="1" s="1"/>
  <c r="CW194" i="1"/>
  <c r="V194" i="1" s="1"/>
  <c r="CX194" i="1"/>
  <c r="W194" i="1" s="1"/>
  <c r="CY194" i="1"/>
  <c r="GL194" i="1"/>
  <c r="GO194" i="1"/>
  <c r="GP194" i="1"/>
  <c r="GV194" i="1"/>
  <c r="GX194" i="1"/>
  <c r="HC194" i="1"/>
  <c r="I195" i="1"/>
  <c r="P195" i="1" s="1"/>
  <c r="R195" i="1"/>
  <c r="S195" i="1"/>
  <c r="X195" i="1" s="1"/>
  <c r="T195" i="1"/>
  <c r="V195" i="1"/>
  <c r="W195" i="1"/>
  <c r="AC195" i="1"/>
  <c r="AE195" i="1"/>
  <c r="CR195" i="1" s="1"/>
  <c r="AF195" i="1"/>
  <c r="AG195" i="1"/>
  <c r="AH195" i="1"/>
  <c r="CV195" i="1" s="1"/>
  <c r="U195" i="1" s="1"/>
  <c r="AI195" i="1"/>
  <c r="AJ195" i="1"/>
  <c r="CX195" i="1" s="1"/>
  <c r="CQ195" i="1"/>
  <c r="CS195" i="1"/>
  <c r="CT195" i="1"/>
  <c r="CU195" i="1"/>
  <c r="CW195" i="1"/>
  <c r="GL195" i="1"/>
  <c r="GO195" i="1"/>
  <c r="GP195" i="1"/>
  <c r="GV195" i="1"/>
  <c r="HC195" i="1" s="1"/>
  <c r="GX195" i="1"/>
  <c r="I196" i="1"/>
  <c r="P196" i="1"/>
  <c r="Q196" i="1"/>
  <c r="R196" i="1"/>
  <c r="AC196" i="1"/>
  <c r="AD196" i="1"/>
  <c r="AB196" i="1" s="1"/>
  <c r="AE196" i="1"/>
  <c r="AF196" i="1"/>
  <c r="AG196" i="1"/>
  <c r="CU196" i="1" s="1"/>
  <c r="T196" i="1" s="1"/>
  <c r="AH196" i="1"/>
  <c r="CV196" i="1" s="1"/>
  <c r="U196" i="1" s="1"/>
  <c r="AI196" i="1"/>
  <c r="CW196" i="1" s="1"/>
  <c r="V196" i="1" s="1"/>
  <c r="AJ196" i="1"/>
  <c r="CX196" i="1" s="1"/>
  <c r="W196" i="1" s="1"/>
  <c r="CQ196" i="1"/>
  <c r="CR196" i="1"/>
  <c r="CS196" i="1"/>
  <c r="CT196" i="1"/>
  <c r="GL196" i="1"/>
  <c r="GO196" i="1"/>
  <c r="GP196" i="1"/>
  <c r="GV196" i="1"/>
  <c r="GX196" i="1"/>
  <c r="HC196" i="1"/>
  <c r="C197" i="1"/>
  <c r="D197" i="1"/>
  <c r="AC197" i="1"/>
  <c r="AD197" i="1"/>
  <c r="AE197" i="1"/>
  <c r="Q197" i="1" s="1"/>
  <c r="AF197" i="1"/>
  <c r="S197" i="1" s="1"/>
  <c r="AG197" i="1"/>
  <c r="AH197" i="1"/>
  <c r="CV197" i="1" s="1"/>
  <c r="U197" i="1" s="1"/>
  <c r="AI197" i="1"/>
  <c r="CW197" i="1" s="1"/>
  <c r="V197" i="1" s="1"/>
  <c r="AJ197" i="1"/>
  <c r="CU197" i="1"/>
  <c r="T197" i="1" s="1"/>
  <c r="CX197" i="1"/>
  <c r="W197" i="1" s="1"/>
  <c r="GL197" i="1"/>
  <c r="GO197" i="1"/>
  <c r="GP197" i="1"/>
  <c r="GV197" i="1"/>
  <c r="HC197" i="1" s="1"/>
  <c r="GX197" i="1" s="1"/>
  <c r="C198" i="1"/>
  <c r="D198" i="1"/>
  <c r="P198" i="1"/>
  <c r="CP198" i="1" s="1"/>
  <c r="O198" i="1" s="1"/>
  <c r="GM198" i="1" s="1"/>
  <c r="GN198" i="1" s="1"/>
  <c r="R198" i="1"/>
  <c r="S198" i="1"/>
  <c r="V198" i="1"/>
  <c r="W198" i="1"/>
  <c r="X198" i="1"/>
  <c r="Y198" i="1"/>
  <c r="AC198" i="1"/>
  <c r="AD198" i="1"/>
  <c r="AB198" i="1" s="1"/>
  <c r="AE198" i="1"/>
  <c r="Q198" i="1" s="1"/>
  <c r="AF198" i="1"/>
  <c r="AG198" i="1"/>
  <c r="AH198" i="1"/>
  <c r="AI198" i="1"/>
  <c r="AJ198" i="1"/>
  <c r="CX198" i="1" s="1"/>
  <c r="CQ198" i="1"/>
  <c r="CR198" i="1"/>
  <c r="CS198" i="1"/>
  <c r="CT198" i="1"/>
  <c r="CU198" i="1"/>
  <c r="T198" i="1" s="1"/>
  <c r="CV198" i="1"/>
  <c r="U198" i="1" s="1"/>
  <c r="CW198" i="1"/>
  <c r="CY198" i="1"/>
  <c r="CZ198" i="1"/>
  <c r="GL198" i="1"/>
  <c r="GO198" i="1"/>
  <c r="GP198" i="1"/>
  <c r="GV198" i="1"/>
  <c r="HC198" i="1" s="1"/>
  <c r="GX198" i="1" s="1"/>
  <c r="I199" i="1"/>
  <c r="P199" i="1"/>
  <c r="CP199" i="1" s="1"/>
  <c r="O199" i="1" s="1"/>
  <c r="Q199" i="1"/>
  <c r="R199" i="1"/>
  <c r="AC199" i="1"/>
  <c r="AE199" i="1"/>
  <c r="CS199" i="1" s="1"/>
  <c r="AF199" i="1"/>
  <c r="S199" i="1" s="1"/>
  <c r="AG199" i="1"/>
  <c r="CU199" i="1" s="1"/>
  <c r="T199" i="1" s="1"/>
  <c r="AH199" i="1"/>
  <c r="CV199" i="1" s="1"/>
  <c r="U199" i="1" s="1"/>
  <c r="AI199" i="1"/>
  <c r="CW199" i="1" s="1"/>
  <c r="V199" i="1" s="1"/>
  <c r="AJ199" i="1"/>
  <c r="CX199" i="1" s="1"/>
  <c r="W199" i="1" s="1"/>
  <c r="CQ199" i="1"/>
  <c r="CR199" i="1"/>
  <c r="GL199" i="1"/>
  <c r="GO199" i="1"/>
  <c r="GP199" i="1"/>
  <c r="GV199" i="1"/>
  <c r="HC199" i="1"/>
  <c r="GX199" i="1" s="1"/>
  <c r="I200" i="1"/>
  <c r="R200" i="1" s="1"/>
  <c r="P200" i="1"/>
  <c r="S200" i="1"/>
  <c r="W200" i="1"/>
  <c r="X200" i="1"/>
  <c r="Y200" i="1"/>
  <c r="AC200" i="1"/>
  <c r="CQ200" i="1" s="1"/>
  <c r="AE200" i="1"/>
  <c r="AD200" i="1" s="1"/>
  <c r="AB200" i="1" s="1"/>
  <c r="AF200" i="1"/>
  <c r="AG200" i="1"/>
  <c r="AH200" i="1"/>
  <c r="AI200" i="1"/>
  <c r="AJ200" i="1"/>
  <c r="CS200" i="1"/>
  <c r="CT200" i="1"/>
  <c r="CU200" i="1"/>
  <c r="T200" i="1" s="1"/>
  <c r="CV200" i="1"/>
  <c r="U200" i="1" s="1"/>
  <c r="CW200" i="1"/>
  <c r="V200" i="1" s="1"/>
  <c r="CX200" i="1"/>
  <c r="CZ200" i="1"/>
  <c r="GL200" i="1"/>
  <c r="GO200" i="1"/>
  <c r="GP200" i="1"/>
  <c r="GV200" i="1"/>
  <c r="HC200" i="1" s="1"/>
  <c r="GX200" i="1" s="1"/>
  <c r="C201" i="1"/>
  <c r="D201" i="1"/>
  <c r="P201" i="1"/>
  <c r="Q201" i="1"/>
  <c r="AC201" i="1"/>
  <c r="AE201" i="1"/>
  <c r="R201" i="1" s="1"/>
  <c r="AF201" i="1"/>
  <c r="S201" i="1" s="1"/>
  <c r="AG201" i="1"/>
  <c r="CU201" i="1" s="1"/>
  <c r="T201" i="1" s="1"/>
  <c r="AH201" i="1"/>
  <c r="CV201" i="1" s="1"/>
  <c r="U201" i="1" s="1"/>
  <c r="AI201" i="1"/>
  <c r="CW201" i="1" s="1"/>
  <c r="V201" i="1" s="1"/>
  <c r="AJ201" i="1"/>
  <c r="CX201" i="1" s="1"/>
  <c r="W201" i="1" s="1"/>
  <c r="CQ201" i="1"/>
  <c r="GL201" i="1"/>
  <c r="GO201" i="1"/>
  <c r="GP201" i="1"/>
  <c r="GV201" i="1"/>
  <c r="HC201" i="1" s="1"/>
  <c r="GX201" i="1" s="1"/>
  <c r="C202" i="1"/>
  <c r="D202" i="1"/>
  <c r="Q202" i="1"/>
  <c r="R202" i="1"/>
  <c r="U202" i="1"/>
  <c r="V202" i="1"/>
  <c r="W202" i="1"/>
  <c r="AC202" i="1"/>
  <c r="AB202" i="1" s="1"/>
  <c r="AD202" i="1"/>
  <c r="AE202" i="1"/>
  <c r="AF202" i="1"/>
  <c r="S202" i="1" s="1"/>
  <c r="AG202" i="1"/>
  <c r="AH202" i="1"/>
  <c r="AI202" i="1"/>
  <c r="AJ202" i="1"/>
  <c r="CQ202" i="1"/>
  <c r="CR202" i="1"/>
  <c r="CS202" i="1"/>
  <c r="CT202" i="1"/>
  <c r="CU202" i="1"/>
  <c r="T202" i="1" s="1"/>
  <c r="CV202" i="1"/>
  <c r="CW202" i="1"/>
  <c r="CX202" i="1"/>
  <c r="GL202" i="1"/>
  <c r="GO202" i="1"/>
  <c r="GP202" i="1"/>
  <c r="GV202" i="1"/>
  <c r="HC202" i="1"/>
  <c r="GX202" i="1" s="1"/>
  <c r="I203" i="1"/>
  <c r="P203" i="1" s="1"/>
  <c r="AC203" i="1"/>
  <c r="AE203" i="1"/>
  <c r="CR203" i="1" s="1"/>
  <c r="AF203" i="1"/>
  <c r="S203" i="1" s="1"/>
  <c r="AG203" i="1"/>
  <c r="CU203" i="1" s="1"/>
  <c r="T203" i="1" s="1"/>
  <c r="AH203" i="1"/>
  <c r="CV203" i="1" s="1"/>
  <c r="U203" i="1" s="1"/>
  <c r="AI203" i="1"/>
  <c r="CW203" i="1" s="1"/>
  <c r="V203" i="1" s="1"/>
  <c r="AJ203" i="1"/>
  <c r="CX203" i="1" s="1"/>
  <c r="W203" i="1" s="1"/>
  <c r="CQ203" i="1"/>
  <c r="CZ203" i="1"/>
  <c r="GL203" i="1"/>
  <c r="GO203" i="1"/>
  <c r="GP203" i="1"/>
  <c r="GV203" i="1"/>
  <c r="HC203" i="1" s="1"/>
  <c r="GX203" i="1" s="1"/>
  <c r="I204" i="1"/>
  <c r="Q204" i="1" s="1"/>
  <c r="U204" i="1"/>
  <c r="V204" i="1"/>
  <c r="W204" i="1"/>
  <c r="AC204" i="1"/>
  <c r="AB204" i="1" s="1"/>
  <c r="AD204" i="1"/>
  <c r="AE204" i="1"/>
  <c r="AF204" i="1"/>
  <c r="S204" i="1" s="1"/>
  <c r="AG204" i="1"/>
  <c r="AH204" i="1"/>
  <c r="AI204" i="1"/>
  <c r="AJ204" i="1"/>
  <c r="CQ204" i="1"/>
  <c r="CR204" i="1"/>
  <c r="CS204" i="1"/>
  <c r="CT204" i="1"/>
  <c r="CU204" i="1"/>
  <c r="T204" i="1" s="1"/>
  <c r="CV204" i="1"/>
  <c r="CW204" i="1"/>
  <c r="CX204" i="1"/>
  <c r="GL204" i="1"/>
  <c r="GO204" i="1"/>
  <c r="GP204" i="1"/>
  <c r="GV204" i="1"/>
  <c r="HC204" i="1"/>
  <c r="GX204" i="1" s="1"/>
  <c r="C205" i="1"/>
  <c r="D205" i="1"/>
  <c r="AC205" i="1"/>
  <c r="P205" i="1" s="1"/>
  <c r="AE205" i="1"/>
  <c r="AF205" i="1"/>
  <c r="AG205" i="1"/>
  <c r="CU205" i="1" s="1"/>
  <c r="T205" i="1" s="1"/>
  <c r="AH205" i="1"/>
  <c r="CV205" i="1" s="1"/>
  <c r="U205" i="1" s="1"/>
  <c r="AI205" i="1"/>
  <c r="CW205" i="1" s="1"/>
  <c r="V205" i="1" s="1"/>
  <c r="AJ205" i="1"/>
  <c r="CX205" i="1"/>
  <c r="W205" i="1" s="1"/>
  <c r="GL205" i="1"/>
  <c r="GO205" i="1"/>
  <c r="GP205" i="1"/>
  <c r="GV205" i="1"/>
  <c r="HC205" i="1"/>
  <c r="GX205" i="1" s="1"/>
  <c r="C206" i="1"/>
  <c r="D206" i="1"/>
  <c r="P206" i="1"/>
  <c r="R206" i="1"/>
  <c r="S206" i="1"/>
  <c r="T206" i="1"/>
  <c r="U206" i="1"/>
  <c r="V206" i="1"/>
  <c r="AC206" i="1"/>
  <c r="AD206" i="1"/>
  <c r="AB206" i="1" s="1"/>
  <c r="AE206" i="1"/>
  <c r="Q206" i="1" s="1"/>
  <c r="AF206" i="1"/>
  <c r="AG206" i="1"/>
  <c r="AH206" i="1"/>
  <c r="AI206" i="1"/>
  <c r="AJ206" i="1"/>
  <c r="CX206" i="1" s="1"/>
  <c r="W206" i="1" s="1"/>
  <c r="CQ206" i="1"/>
  <c r="CR206" i="1"/>
  <c r="CS206" i="1"/>
  <c r="CT206" i="1"/>
  <c r="CU206" i="1"/>
  <c r="CV206" i="1"/>
  <c r="CW206" i="1"/>
  <c r="GL206" i="1"/>
  <c r="GO206" i="1"/>
  <c r="GP206" i="1"/>
  <c r="GV206" i="1"/>
  <c r="HC206" i="1" s="1"/>
  <c r="GX206" i="1" s="1"/>
  <c r="I207" i="1"/>
  <c r="AC207" i="1"/>
  <c r="AD207" i="1"/>
  <c r="AE207" i="1"/>
  <c r="AF207" i="1"/>
  <c r="S207" i="1" s="1"/>
  <c r="AG207" i="1"/>
  <c r="CU207" i="1" s="1"/>
  <c r="T207" i="1" s="1"/>
  <c r="AH207" i="1"/>
  <c r="CV207" i="1" s="1"/>
  <c r="U207" i="1" s="1"/>
  <c r="AI207" i="1"/>
  <c r="AJ207" i="1"/>
  <c r="CW207" i="1"/>
  <c r="V207" i="1" s="1"/>
  <c r="CX207" i="1"/>
  <c r="W207" i="1" s="1"/>
  <c r="GL207" i="1"/>
  <c r="GO207" i="1"/>
  <c r="GP207" i="1"/>
  <c r="GV207" i="1"/>
  <c r="HC207" i="1"/>
  <c r="I208" i="1"/>
  <c r="P208" i="1" s="1"/>
  <c r="R208" i="1"/>
  <c r="S208" i="1"/>
  <c r="T208" i="1"/>
  <c r="U208" i="1"/>
  <c r="V208" i="1"/>
  <c r="AC208" i="1"/>
  <c r="AD208" i="1"/>
  <c r="AB208" i="1" s="1"/>
  <c r="AE208" i="1"/>
  <c r="AF208" i="1"/>
  <c r="AG208" i="1"/>
  <c r="AH208" i="1"/>
  <c r="AI208" i="1"/>
  <c r="AJ208" i="1"/>
  <c r="CX208" i="1" s="1"/>
  <c r="W208" i="1" s="1"/>
  <c r="CQ208" i="1"/>
  <c r="CR208" i="1"/>
  <c r="CS208" i="1"/>
  <c r="CT208" i="1"/>
  <c r="CU208" i="1"/>
  <c r="CV208" i="1"/>
  <c r="CW208" i="1"/>
  <c r="GL208" i="1"/>
  <c r="GO208" i="1"/>
  <c r="GP208" i="1"/>
  <c r="GV208" i="1"/>
  <c r="HC208" i="1" s="1"/>
  <c r="GX208" i="1" s="1"/>
  <c r="C209" i="1"/>
  <c r="D209" i="1"/>
  <c r="S209" i="1"/>
  <c r="AC209" i="1"/>
  <c r="AE209" i="1"/>
  <c r="AF209" i="1"/>
  <c r="CT209" i="1" s="1"/>
  <c r="AG209" i="1"/>
  <c r="CU209" i="1" s="1"/>
  <c r="T209" i="1" s="1"/>
  <c r="AH209" i="1"/>
  <c r="AI209" i="1"/>
  <c r="AJ209" i="1"/>
  <c r="CV209" i="1"/>
  <c r="U209" i="1" s="1"/>
  <c r="CW209" i="1"/>
  <c r="V209" i="1" s="1"/>
  <c r="CX209" i="1"/>
  <c r="W209" i="1" s="1"/>
  <c r="GL209" i="1"/>
  <c r="GO209" i="1"/>
  <c r="GP209" i="1"/>
  <c r="GV209" i="1"/>
  <c r="HC209" i="1" s="1"/>
  <c r="GX209" i="1" s="1"/>
  <c r="C210" i="1"/>
  <c r="D210" i="1"/>
  <c r="P210" i="1"/>
  <c r="Q210" i="1"/>
  <c r="CP210" i="1" s="1"/>
  <c r="O210" i="1" s="1"/>
  <c r="R210" i="1"/>
  <c r="S210" i="1"/>
  <c r="T210" i="1"/>
  <c r="AC210" i="1"/>
  <c r="AE210" i="1"/>
  <c r="CR210" i="1" s="1"/>
  <c r="AF210" i="1"/>
  <c r="AG210" i="1"/>
  <c r="AH210" i="1"/>
  <c r="CV210" i="1" s="1"/>
  <c r="U210" i="1" s="1"/>
  <c r="AI210" i="1"/>
  <c r="CW210" i="1" s="1"/>
  <c r="V210" i="1" s="1"/>
  <c r="AJ210" i="1"/>
  <c r="CX210" i="1" s="1"/>
  <c r="W210" i="1" s="1"/>
  <c r="CQ210" i="1"/>
  <c r="CS210" i="1"/>
  <c r="CT210" i="1"/>
  <c r="CU210" i="1"/>
  <c r="GL210" i="1"/>
  <c r="GO210" i="1"/>
  <c r="GP210" i="1"/>
  <c r="GV210" i="1"/>
  <c r="HC210" i="1" s="1"/>
  <c r="GX210" i="1" s="1"/>
  <c r="I211" i="1"/>
  <c r="Q211" i="1" s="1"/>
  <c r="R211" i="1"/>
  <c r="AB211" i="1"/>
  <c r="AC211" i="1"/>
  <c r="AD211" i="1"/>
  <c r="AE211" i="1"/>
  <c r="CS211" i="1" s="1"/>
  <c r="AF211" i="1"/>
  <c r="S211" i="1" s="1"/>
  <c r="AG211" i="1"/>
  <c r="AH211" i="1"/>
  <c r="AI211" i="1"/>
  <c r="AJ211" i="1"/>
  <c r="CR211" i="1"/>
  <c r="CU211" i="1"/>
  <c r="T211" i="1" s="1"/>
  <c r="CV211" i="1"/>
  <c r="U211" i="1" s="1"/>
  <c r="CW211" i="1"/>
  <c r="V211" i="1" s="1"/>
  <c r="CX211" i="1"/>
  <c r="W211" i="1" s="1"/>
  <c r="GL211" i="1"/>
  <c r="GO211" i="1"/>
  <c r="GP211" i="1"/>
  <c r="GV211" i="1"/>
  <c r="HC211" i="1"/>
  <c r="GX211" i="1" s="1"/>
  <c r="I212" i="1"/>
  <c r="P212" i="1"/>
  <c r="Q212" i="1"/>
  <c r="CP212" i="1" s="1"/>
  <c r="O212" i="1" s="1"/>
  <c r="R212" i="1"/>
  <c r="S212" i="1"/>
  <c r="T212" i="1"/>
  <c r="AC212" i="1"/>
  <c r="AE212" i="1"/>
  <c r="CR212" i="1" s="1"/>
  <c r="AF212" i="1"/>
  <c r="AG212" i="1"/>
  <c r="AH212" i="1"/>
  <c r="CV212" i="1" s="1"/>
  <c r="U212" i="1" s="1"/>
  <c r="AI212" i="1"/>
  <c r="CW212" i="1" s="1"/>
  <c r="V212" i="1" s="1"/>
  <c r="AJ212" i="1"/>
  <c r="CX212" i="1" s="1"/>
  <c r="W212" i="1" s="1"/>
  <c r="CQ212" i="1"/>
  <c r="CS212" i="1"/>
  <c r="CT212" i="1"/>
  <c r="CU212" i="1"/>
  <c r="GL212" i="1"/>
  <c r="GO212" i="1"/>
  <c r="GP212" i="1"/>
  <c r="GV212" i="1"/>
  <c r="HC212" i="1" s="1"/>
  <c r="GX212" i="1" s="1"/>
  <c r="C213" i="1"/>
  <c r="D213" i="1"/>
  <c r="Q213" i="1"/>
  <c r="AC213" i="1"/>
  <c r="AE213" i="1"/>
  <c r="AD213" i="1" s="1"/>
  <c r="AF213" i="1"/>
  <c r="S213" i="1" s="1"/>
  <c r="AG213" i="1"/>
  <c r="AH213" i="1"/>
  <c r="AI213" i="1"/>
  <c r="AJ213" i="1"/>
  <c r="CT213" i="1"/>
  <c r="CU213" i="1"/>
  <c r="T213" i="1" s="1"/>
  <c r="CV213" i="1"/>
  <c r="U213" i="1" s="1"/>
  <c r="CW213" i="1"/>
  <c r="V213" i="1" s="1"/>
  <c r="CX213" i="1"/>
  <c r="W213" i="1" s="1"/>
  <c r="GL213" i="1"/>
  <c r="GO213" i="1"/>
  <c r="GP213" i="1"/>
  <c r="GV213" i="1"/>
  <c r="GX213" i="1"/>
  <c r="HC213" i="1"/>
  <c r="C214" i="1"/>
  <c r="D214" i="1"/>
  <c r="P214" i="1"/>
  <c r="Q214" i="1"/>
  <c r="R214" i="1"/>
  <c r="AC214" i="1"/>
  <c r="AD214" i="1"/>
  <c r="AE214" i="1"/>
  <c r="AF214" i="1"/>
  <c r="AG214" i="1"/>
  <c r="CU214" i="1" s="1"/>
  <c r="T214" i="1" s="1"/>
  <c r="AH214" i="1"/>
  <c r="CV214" i="1" s="1"/>
  <c r="U214" i="1" s="1"/>
  <c r="AI214" i="1"/>
  <c r="CW214" i="1" s="1"/>
  <c r="V214" i="1" s="1"/>
  <c r="AJ214" i="1"/>
  <c r="CX214" i="1" s="1"/>
  <c r="W214" i="1" s="1"/>
  <c r="CQ214" i="1"/>
  <c r="CR214" i="1"/>
  <c r="CS214" i="1"/>
  <c r="GL214" i="1"/>
  <c r="GO214" i="1"/>
  <c r="GP214" i="1"/>
  <c r="GV214" i="1"/>
  <c r="HC214" i="1"/>
  <c r="GX214" i="1" s="1"/>
  <c r="I215" i="1"/>
  <c r="P215" i="1"/>
  <c r="S215" i="1"/>
  <c r="W215" i="1"/>
  <c r="AC215" i="1"/>
  <c r="AE215" i="1"/>
  <c r="AF215" i="1"/>
  <c r="AG215" i="1"/>
  <c r="AH215" i="1"/>
  <c r="AI215" i="1"/>
  <c r="AJ215" i="1"/>
  <c r="CQ215" i="1"/>
  <c r="CT215" i="1"/>
  <c r="CU215" i="1"/>
  <c r="T215" i="1" s="1"/>
  <c r="CV215" i="1"/>
  <c r="U215" i="1" s="1"/>
  <c r="CW215" i="1"/>
  <c r="V215" i="1" s="1"/>
  <c r="CX215" i="1"/>
  <c r="GL215" i="1"/>
  <c r="GO215" i="1"/>
  <c r="GP215" i="1"/>
  <c r="GV215" i="1"/>
  <c r="HC215" i="1" s="1"/>
  <c r="GX215" i="1" s="1"/>
  <c r="I216" i="1"/>
  <c r="Q216" i="1" s="1"/>
  <c r="P216" i="1"/>
  <c r="AC216" i="1"/>
  <c r="AB216" i="1" s="1"/>
  <c r="AD216" i="1"/>
  <c r="AE216" i="1"/>
  <c r="AF216" i="1"/>
  <c r="AG216" i="1"/>
  <c r="CU216" i="1" s="1"/>
  <c r="AH216" i="1"/>
  <c r="CV216" i="1" s="1"/>
  <c r="U216" i="1" s="1"/>
  <c r="AI216" i="1"/>
  <c r="CW216" i="1" s="1"/>
  <c r="AJ216" i="1"/>
  <c r="CX216" i="1" s="1"/>
  <c r="W216" i="1" s="1"/>
  <c r="CQ216" i="1"/>
  <c r="CR216" i="1"/>
  <c r="CS216" i="1"/>
  <c r="GL216" i="1"/>
  <c r="GO216" i="1"/>
  <c r="GP216" i="1"/>
  <c r="GV216" i="1"/>
  <c r="HC216" i="1"/>
  <c r="C217" i="1"/>
  <c r="D217" i="1"/>
  <c r="R217" i="1"/>
  <c r="S217" i="1"/>
  <c r="CZ217" i="1" s="1"/>
  <c r="V217" i="1"/>
  <c r="W217" i="1"/>
  <c r="X217" i="1"/>
  <c r="Y217" i="1"/>
  <c r="AC217" i="1"/>
  <c r="AD217" i="1"/>
  <c r="AE217" i="1"/>
  <c r="Q217" i="1" s="1"/>
  <c r="AF217" i="1"/>
  <c r="AG217" i="1"/>
  <c r="CU217" i="1" s="1"/>
  <c r="T217" i="1" s="1"/>
  <c r="AH217" i="1"/>
  <c r="AI217" i="1"/>
  <c r="AJ217" i="1"/>
  <c r="CR217" i="1"/>
  <c r="CS217" i="1"/>
  <c r="CT217" i="1"/>
  <c r="CV217" i="1"/>
  <c r="U217" i="1" s="1"/>
  <c r="CW217" i="1"/>
  <c r="CX217" i="1"/>
  <c r="CY217" i="1"/>
  <c r="GL217" i="1"/>
  <c r="GO217" i="1"/>
  <c r="GP217" i="1"/>
  <c r="GV217" i="1"/>
  <c r="HC217" i="1"/>
  <c r="GX217" i="1" s="1"/>
  <c r="C218" i="1"/>
  <c r="D218" i="1"/>
  <c r="P218" i="1"/>
  <c r="V218" i="1"/>
  <c r="AC218" i="1"/>
  <c r="AE218" i="1"/>
  <c r="AF218" i="1"/>
  <c r="CT218" i="1" s="1"/>
  <c r="AG218" i="1"/>
  <c r="CU218" i="1" s="1"/>
  <c r="T218" i="1" s="1"/>
  <c r="AH218" i="1"/>
  <c r="CV218" i="1" s="1"/>
  <c r="U218" i="1" s="1"/>
  <c r="AI218" i="1"/>
  <c r="AJ218" i="1"/>
  <c r="CX218" i="1" s="1"/>
  <c r="W218" i="1" s="1"/>
  <c r="CQ218" i="1"/>
  <c r="CW218" i="1"/>
  <c r="GL218" i="1"/>
  <c r="GO218" i="1"/>
  <c r="GP218" i="1"/>
  <c r="GV218" i="1"/>
  <c r="HC218" i="1" s="1"/>
  <c r="GX218" i="1" s="1"/>
  <c r="I219" i="1"/>
  <c r="T219" i="1"/>
  <c r="AC219" i="1"/>
  <c r="AD219" i="1"/>
  <c r="AE219" i="1"/>
  <c r="AF219" i="1"/>
  <c r="AG219" i="1"/>
  <c r="AH219" i="1"/>
  <c r="AI219" i="1"/>
  <c r="AJ219" i="1"/>
  <c r="CQ219" i="1"/>
  <c r="CR219" i="1"/>
  <c r="CS219" i="1"/>
  <c r="CT219" i="1"/>
  <c r="CU219" i="1"/>
  <c r="CV219" i="1"/>
  <c r="CW219" i="1"/>
  <c r="CX219" i="1"/>
  <c r="W219" i="1" s="1"/>
  <c r="GL219" i="1"/>
  <c r="GO219" i="1"/>
  <c r="GP219" i="1"/>
  <c r="GV219" i="1"/>
  <c r="HC219" i="1"/>
  <c r="I220" i="1"/>
  <c r="Q220" i="1" s="1"/>
  <c r="P220" i="1"/>
  <c r="CP220" i="1" s="1"/>
  <c r="O220" i="1" s="1"/>
  <c r="R220" i="1"/>
  <c r="S220" i="1"/>
  <c r="V220" i="1"/>
  <c r="AC220" i="1"/>
  <c r="AD220" i="1"/>
  <c r="AE220" i="1"/>
  <c r="CR220" i="1" s="1"/>
  <c r="AF220" i="1"/>
  <c r="CT220" i="1" s="1"/>
  <c r="AG220" i="1"/>
  <c r="CU220" i="1" s="1"/>
  <c r="AH220" i="1"/>
  <c r="CV220" i="1" s="1"/>
  <c r="AI220" i="1"/>
  <c r="AJ220" i="1"/>
  <c r="CX220" i="1" s="1"/>
  <c r="CQ220" i="1"/>
  <c r="CS220" i="1"/>
  <c r="CW220" i="1"/>
  <c r="CY220" i="1"/>
  <c r="CZ220" i="1"/>
  <c r="GL220" i="1"/>
  <c r="GO220" i="1"/>
  <c r="GP220" i="1"/>
  <c r="GV220" i="1"/>
  <c r="HC220" i="1" s="1"/>
  <c r="C221" i="1"/>
  <c r="D221" i="1"/>
  <c r="P221" i="1"/>
  <c r="S221" i="1"/>
  <c r="T221" i="1"/>
  <c r="W221" i="1"/>
  <c r="Y221" i="1"/>
  <c r="AC221" i="1"/>
  <c r="AE221" i="1"/>
  <c r="AF221" i="1"/>
  <c r="AG221" i="1"/>
  <c r="AH221" i="1"/>
  <c r="AI221" i="1"/>
  <c r="AJ221" i="1"/>
  <c r="CQ221" i="1"/>
  <c r="CT221" i="1"/>
  <c r="CU221" i="1"/>
  <c r="CV221" i="1"/>
  <c r="U221" i="1" s="1"/>
  <c r="CW221" i="1"/>
  <c r="V221" i="1" s="1"/>
  <c r="CX221" i="1"/>
  <c r="CZ221" i="1"/>
  <c r="GL221" i="1"/>
  <c r="GO221" i="1"/>
  <c r="GP221" i="1"/>
  <c r="GV221" i="1"/>
  <c r="GX221" i="1"/>
  <c r="HC221" i="1"/>
  <c r="C222" i="1"/>
  <c r="D222" i="1"/>
  <c r="T222" i="1"/>
  <c r="W222" i="1"/>
  <c r="AC222" i="1"/>
  <c r="CQ222" i="1" s="1"/>
  <c r="AD222" i="1"/>
  <c r="AE222" i="1"/>
  <c r="AF222" i="1"/>
  <c r="S222" i="1" s="1"/>
  <c r="AG222" i="1"/>
  <c r="AH222" i="1"/>
  <c r="CV222" i="1" s="1"/>
  <c r="U222" i="1" s="1"/>
  <c r="AI222" i="1"/>
  <c r="AJ222" i="1"/>
  <c r="CU222" i="1"/>
  <c r="CW222" i="1"/>
  <c r="V222" i="1" s="1"/>
  <c r="CX222" i="1"/>
  <c r="GL222" i="1"/>
  <c r="GO222" i="1"/>
  <c r="GP222" i="1"/>
  <c r="GV222" i="1"/>
  <c r="GX222" i="1"/>
  <c r="HC222" i="1"/>
  <c r="I223" i="1"/>
  <c r="Q223" i="1" s="1"/>
  <c r="P223" i="1"/>
  <c r="R223" i="1"/>
  <c r="S223" i="1"/>
  <c r="CZ223" i="1" s="1"/>
  <c r="V223" i="1"/>
  <c r="X223" i="1"/>
  <c r="AC223" i="1"/>
  <c r="AD223" i="1"/>
  <c r="AB223" i="1" s="1"/>
  <c r="AE223" i="1"/>
  <c r="AF223" i="1"/>
  <c r="AG223" i="1"/>
  <c r="CU223" i="1" s="1"/>
  <c r="T223" i="1" s="1"/>
  <c r="AH223" i="1"/>
  <c r="AI223" i="1"/>
  <c r="AJ223" i="1"/>
  <c r="CX223" i="1" s="1"/>
  <c r="W223" i="1" s="1"/>
  <c r="CQ223" i="1"/>
  <c r="CR223" i="1"/>
  <c r="CS223" i="1"/>
  <c r="CT223" i="1"/>
  <c r="CV223" i="1"/>
  <c r="U223" i="1" s="1"/>
  <c r="CW223" i="1"/>
  <c r="CY223" i="1"/>
  <c r="GL223" i="1"/>
  <c r="GO223" i="1"/>
  <c r="GP223" i="1"/>
  <c r="GV223" i="1"/>
  <c r="HC223" i="1"/>
  <c r="GX223" i="1" s="1"/>
  <c r="I224" i="1"/>
  <c r="T224" i="1"/>
  <c r="AC224" i="1"/>
  <c r="P224" i="1" s="1"/>
  <c r="AD224" i="1"/>
  <c r="AB224" i="1" s="1"/>
  <c r="AE224" i="1"/>
  <c r="AF224" i="1"/>
  <c r="S224" i="1" s="1"/>
  <c r="AG224" i="1"/>
  <c r="AH224" i="1"/>
  <c r="CV224" i="1" s="1"/>
  <c r="U224" i="1" s="1"/>
  <c r="AI224" i="1"/>
  <c r="AJ224" i="1"/>
  <c r="CQ224" i="1"/>
  <c r="CU224" i="1"/>
  <c r="CW224" i="1"/>
  <c r="V224" i="1" s="1"/>
  <c r="CX224" i="1"/>
  <c r="W224" i="1" s="1"/>
  <c r="GL224" i="1"/>
  <c r="GO224" i="1"/>
  <c r="GP224" i="1"/>
  <c r="GV224" i="1"/>
  <c r="GX224" i="1"/>
  <c r="HC224" i="1"/>
  <c r="C225" i="1"/>
  <c r="D225" i="1"/>
  <c r="Q225" i="1"/>
  <c r="R225" i="1"/>
  <c r="U225" i="1"/>
  <c r="AC225" i="1"/>
  <c r="AE225" i="1"/>
  <c r="CS225" i="1" s="1"/>
  <c r="AF225" i="1"/>
  <c r="CT225" i="1" s="1"/>
  <c r="AG225" i="1"/>
  <c r="CU225" i="1" s="1"/>
  <c r="T225" i="1" s="1"/>
  <c r="AH225" i="1"/>
  <c r="AI225" i="1"/>
  <c r="CW225" i="1" s="1"/>
  <c r="V225" i="1" s="1"/>
  <c r="AJ225" i="1"/>
  <c r="CQ225" i="1"/>
  <c r="CR225" i="1"/>
  <c r="CV225" i="1"/>
  <c r="CX225" i="1"/>
  <c r="W225" i="1" s="1"/>
  <c r="GL225" i="1"/>
  <c r="GO225" i="1"/>
  <c r="GP225" i="1"/>
  <c r="GV225" i="1"/>
  <c r="HC225" i="1" s="1"/>
  <c r="GX225" i="1" s="1"/>
  <c r="C226" i="1"/>
  <c r="D226" i="1"/>
  <c r="R226" i="1"/>
  <c r="AC226" i="1"/>
  <c r="CQ226" i="1" s="1"/>
  <c r="AD226" i="1"/>
  <c r="AE226" i="1"/>
  <c r="Q226" i="1" s="1"/>
  <c r="AF226" i="1"/>
  <c r="AG226" i="1"/>
  <c r="CU226" i="1" s="1"/>
  <c r="T226" i="1" s="1"/>
  <c r="AH226" i="1"/>
  <c r="CV226" i="1" s="1"/>
  <c r="U226" i="1" s="1"/>
  <c r="AI226" i="1"/>
  <c r="AJ226" i="1"/>
  <c r="CR226" i="1"/>
  <c r="CS226" i="1"/>
  <c r="CW226" i="1"/>
  <c r="V226" i="1" s="1"/>
  <c r="CX226" i="1"/>
  <c r="W226" i="1" s="1"/>
  <c r="GL226" i="1"/>
  <c r="GO226" i="1"/>
  <c r="GP226" i="1"/>
  <c r="GV226" i="1"/>
  <c r="HC226" i="1"/>
  <c r="GX226" i="1" s="1"/>
  <c r="I227" i="1"/>
  <c r="P227" i="1" s="1"/>
  <c r="R227" i="1"/>
  <c r="W227" i="1"/>
  <c r="AC227" i="1"/>
  <c r="AE227" i="1"/>
  <c r="AF227" i="1"/>
  <c r="S227" i="1" s="1"/>
  <c r="AG227" i="1"/>
  <c r="AH227" i="1"/>
  <c r="CV227" i="1" s="1"/>
  <c r="U227" i="1" s="1"/>
  <c r="AI227" i="1"/>
  <c r="CW227" i="1" s="1"/>
  <c r="V227" i="1" s="1"/>
  <c r="AJ227" i="1"/>
  <c r="CX227" i="1" s="1"/>
  <c r="CQ227" i="1"/>
  <c r="CS227" i="1"/>
  <c r="CU227" i="1"/>
  <c r="T227" i="1" s="1"/>
  <c r="GL227" i="1"/>
  <c r="GO227" i="1"/>
  <c r="GP227" i="1"/>
  <c r="GV227" i="1"/>
  <c r="HC227" i="1" s="1"/>
  <c r="GX227" i="1" s="1"/>
  <c r="I228" i="1"/>
  <c r="Q228" i="1" s="1"/>
  <c r="AC228" i="1"/>
  <c r="CQ228" i="1" s="1"/>
  <c r="AD228" i="1"/>
  <c r="AE228" i="1"/>
  <c r="AF228" i="1"/>
  <c r="AG228" i="1"/>
  <c r="CU228" i="1" s="1"/>
  <c r="T228" i="1" s="1"/>
  <c r="AH228" i="1"/>
  <c r="CV228" i="1" s="1"/>
  <c r="U228" i="1" s="1"/>
  <c r="AI228" i="1"/>
  <c r="AJ228" i="1"/>
  <c r="CX228" i="1" s="1"/>
  <c r="W228" i="1" s="1"/>
  <c r="CR228" i="1"/>
  <c r="CS228" i="1"/>
  <c r="CW228" i="1"/>
  <c r="V228" i="1" s="1"/>
  <c r="GL228" i="1"/>
  <c r="GO228" i="1"/>
  <c r="GP228" i="1"/>
  <c r="GV228" i="1"/>
  <c r="HC228" i="1"/>
  <c r="GX228" i="1" s="1"/>
  <c r="C229" i="1"/>
  <c r="D229" i="1"/>
  <c r="S229" i="1"/>
  <c r="Y229" i="1" s="1"/>
  <c r="V229" i="1"/>
  <c r="AC229" i="1"/>
  <c r="P229" i="1" s="1"/>
  <c r="CP229" i="1" s="1"/>
  <c r="O229" i="1" s="1"/>
  <c r="AD229" i="1"/>
  <c r="AB229" i="1" s="1"/>
  <c r="AE229" i="1"/>
  <c r="Q229" i="1" s="1"/>
  <c r="AF229" i="1"/>
  <c r="AG229" i="1"/>
  <c r="CU229" i="1" s="1"/>
  <c r="T229" i="1" s="1"/>
  <c r="AH229" i="1"/>
  <c r="CV229" i="1" s="1"/>
  <c r="U229" i="1" s="1"/>
  <c r="AI229" i="1"/>
  <c r="AJ229" i="1"/>
  <c r="CQ229" i="1"/>
  <c r="CT229" i="1"/>
  <c r="CW229" i="1"/>
  <c r="CX229" i="1"/>
  <c r="W229" i="1" s="1"/>
  <c r="CZ229" i="1"/>
  <c r="GL229" i="1"/>
  <c r="GO229" i="1"/>
  <c r="GP229" i="1"/>
  <c r="GV229" i="1"/>
  <c r="GX229" i="1"/>
  <c r="HC229" i="1"/>
  <c r="C230" i="1"/>
  <c r="D230" i="1"/>
  <c r="P230" i="1"/>
  <c r="S230" i="1"/>
  <c r="Y230" i="1" s="1"/>
  <c r="W230" i="1"/>
  <c r="AC230" i="1"/>
  <c r="AB230" i="1" s="1"/>
  <c r="AD230" i="1"/>
  <c r="AE230" i="1"/>
  <c r="Q230" i="1" s="1"/>
  <c r="CP230" i="1" s="1"/>
  <c r="O230" i="1" s="1"/>
  <c r="AF230" i="1"/>
  <c r="AG230" i="1"/>
  <c r="AH230" i="1"/>
  <c r="CV230" i="1" s="1"/>
  <c r="U230" i="1" s="1"/>
  <c r="AI230" i="1"/>
  <c r="CW230" i="1" s="1"/>
  <c r="V230" i="1" s="1"/>
  <c r="AJ230" i="1"/>
  <c r="CR230" i="1"/>
  <c r="CS230" i="1"/>
  <c r="CT230" i="1"/>
  <c r="CU230" i="1"/>
  <c r="T230" i="1" s="1"/>
  <c r="CX230" i="1"/>
  <c r="GL230" i="1"/>
  <c r="GO230" i="1"/>
  <c r="GP230" i="1"/>
  <c r="GV230" i="1"/>
  <c r="GX230" i="1"/>
  <c r="HC230" i="1"/>
  <c r="I231" i="1"/>
  <c r="R231" i="1" s="1"/>
  <c r="AC231" i="1"/>
  <c r="CQ231" i="1" s="1"/>
  <c r="AE231" i="1"/>
  <c r="CR231" i="1" s="1"/>
  <c r="AF231" i="1"/>
  <c r="CT231" i="1" s="1"/>
  <c r="AG231" i="1"/>
  <c r="CU231" i="1" s="1"/>
  <c r="T231" i="1" s="1"/>
  <c r="AH231" i="1"/>
  <c r="CV231" i="1" s="1"/>
  <c r="U231" i="1" s="1"/>
  <c r="AI231" i="1"/>
  <c r="CW231" i="1" s="1"/>
  <c r="V231" i="1" s="1"/>
  <c r="AJ231" i="1"/>
  <c r="CX231" i="1" s="1"/>
  <c r="W231" i="1" s="1"/>
  <c r="GL231" i="1"/>
  <c r="GO231" i="1"/>
  <c r="CC238" i="1" s="1"/>
  <c r="GP231" i="1"/>
  <c r="GV231" i="1"/>
  <c r="HC231" i="1" s="1"/>
  <c r="GX231" i="1" s="1"/>
  <c r="I232" i="1"/>
  <c r="R232" i="1" s="1"/>
  <c r="Q232" i="1"/>
  <c r="S232" i="1"/>
  <c r="CZ232" i="1" s="1"/>
  <c r="T232" i="1"/>
  <c r="Y232" i="1"/>
  <c r="AB232" i="1"/>
  <c r="AC232" i="1"/>
  <c r="P232" i="1" s="1"/>
  <c r="CP232" i="1" s="1"/>
  <c r="O232" i="1" s="1"/>
  <c r="AD232" i="1"/>
  <c r="AE232" i="1"/>
  <c r="CR232" i="1" s="1"/>
  <c r="AF232" i="1"/>
  <c r="AG232" i="1"/>
  <c r="AH232" i="1"/>
  <c r="AI232" i="1"/>
  <c r="AJ232" i="1"/>
  <c r="CT232" i="1"/>
  <c r="CU232" i="1"/>
  <c r="CV232" i="1"/>
  <c r="U232" i="1" s="1"/>
  <c r="CW232" i="1"/>
  <c r="V232" i="1" s="1"/>
  <c r="CX232" i="1"/>
  <c r="W232" i="1" s="1"/>
  <c r="CY232" i="1"/>
  <c r="GL232" i="1"/>
  <c r="GO232" i="1"/>
  <c r="GP232" i="1"/>
  <c r="GV232" i="1"/>
  <c r="HC232" i="1"/>
  <c r="GX232" i="1" s="1"/>
  <c r="C233" i="1"/>
  <c r="D233" i="1"/>
  <c r="P233" i="1"/>
  <c r="Q233" i="1"/>
  <c r="CP233" i="1" s="1"/>
  <c r="O233" i="1" s="1"/>
  <c r="R233" i="1"/>
  <c r="S233" i="1"/>
  <c r="X233" i="1" s="1"/>
  <c r="T233" i="1"/>
  <c r="AC233" i="1"/>
  <c r="AE233" i="1"/>
  <c r="CS233" i="1" s="1"/>
  <c r="AF233" i="1"/>
  <c r="CT233" i="1" s="1"/>
  <c r="AG233" i="1"/>
  <c r="AH233" i="1"/>
  <c r="CV233" i="1" s="1"/>
  <c r="U233" i="1" s="1"/>
  <c r="AI233" i="1"/>
  <c r="AJ233" i="1"/>
  <c r="CX233" i="1" s="1"/>
  <c r="W233" i="1" s="1"/>
  <c r="CQ233" i="1"/>
  <c r="CR233" i="1"/>
  <c r="CU233" i="1"/>
  <c r="CW233" i="1"/>
  <c r="V233" i="1" s="1"/>
  <c r="GL233" i="1"/>
  <c r="GO233" i="1"/>
  <c r="GP233" i="1"/>
  <c r="CD238" i="1" s="1"/>
  <c r="GV233" i="1"/>
  <c r="HC233" i="1" s="1"/>
  <c r="GX233" i="1" s="1"/>
  <c r="C234" i="1"/>
  <c r="D234" i="1"/>
  <c r="Q234" i="1"/>
  <c r="S234" i="1"/>
  <c r="CZ234" i="1" s="1"/>
  <c r="T234" i="1"/>
  <c r="Y234" i="1"/>
  <c r="AB234" i="1"/>
  <c r="AC234" i="1"/>
  <c r="P234" i="1" s="1"/>
  <c r="CP234" i="1" s="1"/>
  <c r="O234" i="1" s="1"/>
  <c r="AD234" i="1"/>
  <c r="AE234" i="1"/>
  <c r="R234" i="1" s="1"/>
  <c r="AF234" i="1"/>
  <c r="AG234" i="1"/>
  <c r="AH234" i="1"/>
  <c r="AI234" i="1"/>
  <c r="AJ234" i="1"/>
  <c r="CT234" i="1"/>
  <c r="CU234" i="1"/>
  <c r="CV234" i="1"/>
  <c r="U234" i="1" s="1"/>
  <c r="CW234" i="1"/>
  <c r="V234" i="1" s="1"/>
  <c r="CX234" i="1"/>
  <c r="W234" i="1" s="1"/>
  <c r="CY234" i="1"/>
  <c r="GL234" i="1"/>
  <c r="GO234" i="1"/>
  <c r="GP234" i="1"/>
  <c r="GV234" i="1"/>
  <c r="HC234" i="1" s="1"/>
  <c r="GX234" i="1" s="1"/>
  <c r="I235" i="1"/>
  <c r="Q235" i="1"/>
  <c r="R235" i="1"/>
  <c r="S235" i="1"/>
  <c r="X235" i="1" s="1"/>
  <c r="AC235" i="1"/>
  <c r="AB235" i="1" s="1"/>
  <c r="AD235" i="1"/>
  <c r="AE235" i="1"/>
  <c r="CS235" i="1" s="1"/>
  <c r="AF235" i="1"/>
  <c r="AG235" i="1"/>
  <c r="CU235" i="1" s="1"/>
  <c r="T235" i="1" s="1"/>
  <c r="AH235" i="1"/>
  <c r="AI235" i="1"/>
  <c r="CW235" i="1" s="1"/>
  <c r="V235" i="1" s="1"/>
  <c r="AJ235" i="1"/>
  <c r="CX235" i="1" s="1"/>
  <c r="W235" i="1" s="1"/>
  <c r="CQ235" i="1"/>
  <c r="CR235" i="1"/>
  <c r="CT235" i="1"/>
  <c r="CV235" i="1"/>
  <c r="U235" i="1" s="1"/>
  <c r="GL235" i="1"/>
  <c r="GO235" i="1"/>
  <c r="GP235" i="1"/>
  <c r="GV235" i="1"/>
  <c r="HC235" i="1" s="1"/>
  <c r="GX235" i="1" s="1"/>
  <c r="I236" i="1"/>
  <c r="Q236" i="1"/>
  <c r="S236" i="1"/>
  <c r="CZ236" i="1" s="1"/>
  <c r="T236" i="1"/>
  <c r="Y236" i="1"/>
  <c r="AB236" i="1"/>
  <c r="AC236" i="1"/>
  <c r="P236" i="1" s="1"/>
  <c r="CP236" i="1" s="1"/>
  <c r="O236" i="1" s="1"/>
  <c r="AD236" i="1"/>
  <c r="AE236" i="1"/>
  <c r="R236" i="1" s="1"/>
  <c r="AF236" i="1"/>
  <c r="AG236" i="1"/>
  <c r="AH236" i="1"/>
  <c r="AI236" i="1"/>
  <c r="AJ236" i="1"/>
  <c r="CT236" i="1"/>
  <c r="CU236" i="1"/>
  <c r="CV236" i="1"/>
  <c r="U236" i="1" s="1"/>
  <c r="CW236" i="1"/>
  <c r="V236" i="1" s="1"/>
  <c r="CX236" i="1"/>
  <c r="W236" i="1" s="1"/>
  <c r="CY236" i="1"/>
  <c r="GL236" i="1"/>
  <c r="GO236" i="1"/>
  <c r="GP236" i="1"/>
  <c r="GV236" i="1"/>
  <c r="HC236" i="1" s="1"/>
  <c r="GX236" i="1" s="1"/>
  <c r="B238" i="1"/>
  <c r="B163" i="1" s="1"/>
  <c r="C238" i="1"/>
  <c r="C163" i="1" s="1"/>
  <c r="D238" i="1"/>
  <c r="D163" i="1" s="1"/>
  <c r="F238" i="1"/>
  <c r="F163" i="1" s="1"/>
  <c r="G238" i="1"/>
  <c r="G163" i="1" s="1"/>
  <c r="BX238" i="1"/>
  <c r="BX163" i="1" s="1"/>
  <c r="BY238" i="1"/>
  <c r="BY163" i="1" s="1"/>
  <c r="BZ238" i="1"/>
  <c r="BZ163" i="1" s="1"/>
  <c r="CG238" i="1"/>
  <c r="CG163" i="1" s="1"/>
  <c r="CI238" i="1"/>
  <c r="CI163" i="1" s="1"/>
  <c r="CK238" i="1"/>
  <c r="CK163" i="1" s="1"/>
  <c r="CL238" i="1"/>
  <c r="CL163" i="1" s="1"/>
  <c r="CM238" i="1"/>
  <c r="CM163" i="1" s="1"/>
  <c r="FP238" i="1"/>
  <c r="FP163" i="1" s="1"/>
  <c r="FQ238" i="1"/>
  <c r="FQ163" i="1" s="1"/>
  <c r="FR238" i="1"/>
  <c r="FR163" i="1" s="1"/>
  <c r="FU238" i="1"/>
  <c r="FU163" i="1" s="1"/>
  <c r="FV238" i="1"/>
  <c r="FV163" i="1" s="1"/>
  <c r="GC238" i="1"/>
  <c r="GC163" i="1" s="1"/>
  <c r="GD238" i="1"/>
  <c r="GD163" i="1" s="1"/>
  <c r="GE238" i="1"/>
  <c r="GE163" i="1" s="1"/>
  <c r="D268" i="1"/>
  <c r="E270" i="1"/>
  <c r="Z270" i="1"/>
  <c r="AA270" i="1"/>
  <c r="AM270" i="1"/>
  <c r="AN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CN270" i="1"/>
  <c r="CO270" i="1"/>
  <c r="CP270" i="1"/>
  <c r="CQ270" i="1"/>
  <c r="CR270" i="1"/>
  <c r="CS270" i="1"/>
  <c r="CT270" i="1"/>
  <c r="CU270" i="1"/>
  <c r="CV270" i="1"/>
  <c r="CW270" i="1"/>
  <c r="CX270" i="1"/>
  <c r="CY270" i="1"/>
  <c r="CZ270" i="1"/>
  <c r="DA270" i="1"/>
  <c r="DB270" i="1"/>
  <c r="DC270" i="1"/>
  <c r="DD270" i="1"/>
  <c r="DE270" i="1"/>
  <c r="DF270" i="1"/>
  <c r="DR270" i="1"/>
  <c r="DS270" i="1"/>
  <c r="EE270" i="1"/>
  <c r="EF270" i="1"/>
  <c r="EW270" i="1"/>
  <c r="EX270" i="1"/>
  <c r="EY270" i="1"/>
  <c r="EZ270" i="1"/>
  <c r="FA270" i="1"/>
  <c r="FB270" i="1"/>
  <c r="FC270" i="1"/>
  <c r="FD270" i="1"/>
  <c r="FE270" i="1"/>
  <c r="FF270" i="1"/>
  <c r="FG270" i="1"/>
  <c r="FH270" i="1"/>
  <c r="FI270" i="1"/>
  <c r="FJ270" i="1"/>
  <c r="FK270" i="1"/>
  <c r="FL270" i="1"/>
  <c r="FM270" i="1"/>
  <c r="FN270" i="1"/>
  <c r="FO270" i="1"/>
  <c r="GF270" i="1"/>
  <c r="GG270" i="1"/>
  <c r="GH270" i="1"/>
  <c r="GI270" i="1"/>
  <c r="GJ270" i="1"/>
  <c r="GK270" i="1"/>
  <c r="GL270" i="1"/>
  <c r="GM270" i="1"/>
  <c r="GN270" i="1"/>
  <c r="GO270" i="1"/>
  <c r="GP270" i="1"/>
  <c r="GQ270" i="1"/>
  <c r="GR270" i="1"/>
  <c r="GS270" i="1"/>
  <c r="GT270" i="1"/>
  <c r="GU270" i="1"/>
  <c r="GV270" i="1"/>
  <c r="GW270" i="1"/>
  <c r="GX270" i="1"/>
  <c r="C272" i="1"/>
  <c r="D272" i="1"/>
  <c r="I272" i="1"/>
  <c r="K272" i="1"/>
  <c r="P272" i="1"/>
  <c r="Q272" i="1"/>
  <c r="R272" i="1"/>
  <c r="S272" i="1"/>
  <c r="AF277" i="1" s="1"/>
  <c r="T272" i="1"/>
  <c r="AC272" i="1"/>
  <c r="AE272" i="1"/>
  <c r="CR272" i="1" s="1"/>
  <c r="AF272" i="1"/>
  <c r="CT272" i="1" s="1"/>
  <c r="AG272" i="1"/>
  <c r="AH272" i="1"/>
  <c r="CV272" i="1" s="1"/>
  <c r="U272" i="1" s="1"/>
  <c r="AH277" i="1" s="1"/>
  <c r="AI272" i="1"/>
  <c r="CW272" i="1" s="1"/>
  <c r="V272" i="1" s="1"/>
  <c r="AJ272" i="1"/>
  <c r="CX272" i="1" s="1"/>
  <c r="W272" i="1" s="1"/>
  <c r="CQ272" i="1"/>
  <c r="CU272" i="1"/>
  <c r="GL272" i="1"/>
  <c r="GO272" i="1"/>
  <c r="GP272" i="1"/>
  <c r="GV272" i="1"/>
  <c r="HC272" i="1" s="1"/>
  <c r="GX272" i="1" s="1"/>
  <c r="C273" i="1"/>
  <c r="D273" i="1"/>
  <c r="I273" i="1"/>
  <c r="I275" i="1" s="1"/>
  <c r="K273" i="1"/>
  <c r="S273" i="1"/>
  <c r="Y273" i="1" s="1"/>
  <c r="U273" i="1"/>
  <c r="DZ277" i="1" s="1"/>
  <c r="V273" i="1"/>
  <c r="X273" i="1"/>
  <c r="AC273" i="1"/>
  <c r="AE273" i="1"/>
  <c r="AD273" i="1" s="1"/>
  <c r="AF273" i="1"/>
  <c r="AG273" i="1"/>
  <c r="AH273" i="1"/>
  <c r="AI273" i="1"/>
  <c r="AJ273" i="1"/>
  <c r="CX273" i="1" s="1"/>
  <c r="W273" i="1" s="1"/>
  <c r="CQ273" i="1"/>
  <c r="CR273" i="1"/>
  <c r="CS273" i="1"/>
  <c r="CT273" i="1"/>
  <c r="CU273" i="1"/>
  <c r="T273" i="1" s="1"/>
  <c r="CV273" i="1"/>
  <c r="CW273" i="1"/>
  <c r="GL273" i="1"/>
  <c r="GO273" i="1"/>
  <c r="GP273" i="1"/>
  <c r="GV273" i="1"/>
  <c r="HC273" i="1"/>
  <c r="GX273" i="1" s="1"/>
  <c r="I274" i="1"/>
  <c r="Q274" i="1" s="1"/>
  <c r="AD277" i="1" s="1"/>
  <c r="P274" i="1"/>
  <c r="AC274" i="1"/>
  <c r="CQ274" i="1" s="1"/>
  <c r="AE274" i="1"/>
  <c r="AF274" i="1"/>
  <c r="S274" i="1" s="1"/>
  <c r="AG274" i="1"/>
  <c r="CU274" i="1" s="1"/>
  <c r="T274" i="1" s="1"/>
  <c r="AH274" i="1"/>
  <c r="CV274" i="1" s="1"/>
  <c r="U274" i="1" s="1"/>
  <c r="AI274" i="1"/>
  <c r="CW274" i="1" s="1"/>
  <c r="V274" i="1" s="1"/>
  <c r="AJ274" i="1"/>
  <c r="CX274" i="1"/>
  <c r="W274" i="1" s="1"/>
  <c r="CZ274" i="1"/>
  <c r="GL274" i="1"/>
  <c r="GO274" i="1"/>
  <c r="GP274" i="1"/>
  <c r="GV274" i="1"/>
  <c r="HC274" i="1"/>
  <c r="GX274" i="1" s="1"/>
  <c r="U275" i="1"/>
  <c r="AC275" i="1"/>
  <c r="AE275" i="1"/>
  <c r="AD275" i="1" s="1"/>
  <c r="AF275" i="1"/>
  <c r="AG275" i="1"/>
  <c r="AH275" i="1"/>
  <c r="AI275" i="1"/>
  <c r="AJ275" i="1"/>
  <c r="CX275" i="1" s="1"/>
  <c r="W275" i="1" s="1"/>
  <c r="CQ275" i="1"/>
  <c r="CR275" i="1"/>
  <c r="CS275" i="1"/>
  <c r="CT275" i="1"/>
  <c r="CU275" i="1"/>
  <c r="CV275" i="1"/>
  <c r="CW275" i="1"/>
  <c r="GL275" i="1"/>
  <c r="GO275" i="1"/>
  <c r="GP275" i="1"/>
  <c r="GV275" i="1"/>
  <c r="HC275" i="1"/>
  <c r="GX275" i="1" s="1"/>
  <c r="GB277" i="1" s="1"/>
  <c r="B277" i="1"/>
  <c r="B270" i="1" s="1"/>
  <c r="C277" i="1"/>
  <c r="C270" i="1" s="1"/>
  <c r="D277" i="1"/>
  <c r="D270" i="1" s="1"/>
  <c r="F277" i="1"/>
  <c r="F270" i="1" s="1"/>
  <c r="G277" i="1"/>
  <c r="G270" i="1" s="1"/>
  <c r="AT277" i="1"/>
  <c r="BX277" i="1"/>
  <c r="BX270" i="1" s="1"/>
  <c r="BY277" i="1"/>
  <c r="BZ277" i="1"/>
  <c r="CC277" i="1"/>
  <c r="CC270" i="1" s="1"/>
  <c r="CD277" i="1"/>
  <c r="CD270" i="1" s="1"/>
  <c r="CK277" i="1"/>
  <c r="CK270" i="1" s="1"/>
  <c r="CL277" i="1"/>
  <c r="CL270" i="1" s="1"/>
  <c r="CM277" i="1"/>
  <c r="CM270" i="1" s="1"/>
  <c r="EU277" i="1"/>
  <c r="EV277" i="1"/>
  <c r="EV270" i="1" s="1"/>
  <c r="FP277" i="1"/>
  <c r="FP270" i="1" s="1"/>
  <c r="FQ277" i="1"/>
  <c r="FR277" i="1"/>
  <c r="EI277" i="1" s="1"/>
  <c r="EI270" i="1" s="1"/>
  <c r="FU277" i="1"/>
  <c r="EL277" i="1" s="1"/>
  <c r="EL270" i="1" s="1"/>
  <c r="FV277" i="1"/>
  <c r="EM277" i="1" s="1"/>
  <c r="GC277" i="1"/>
  <c r="GC270" i="1" s="1"/>
  <c r="GD277" i="1"/>
  <c r="GD270" i="1" s="1"/>
  <c r="GE277" i="1"/>
  <c r="GE270" i="1" s="1"/>
  <c r="P302" i="1"/>
  <c r="D307" i="1"/>
  <c r="C309" i="1"/>
  <c r="E309" i="1"/>
  <c r="G309" i="1"/>
  <c r="Z309" i="1"/>
  <c r="AA309" i="1"/>
  <c r="AM309" i="1"/>
  <c r="AN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U309" i="1"/>
  <c r="BV309" i="1"/>
  <c r="BW309" i="1"/>
  <c r="CC309" i="1"/>
  <c r="CN309" i="1"/>
  <c r="CO309" i="1"/>
  <c r="CP309" i="1"/>
  <c r="CQ309" i="1"/>
  <c r="CR309" i="1"/>
  <c r="CS309" i="1"/>
  <c r="CT309" i="1"/>
  <c r="CU309" i="1"/>
  <c r="CV309" i="1"/>
  <c r="CW309" i="1"/>
  <c r="CX309" i="1"/>
  <c r="CY309" i="1"/>
  <c r="CZ309" i="1"/>
  <c r="DA309" i="1"/>
  <c r="DB309" i="1"/>
  <c r="DC309" i="1"/>
  <c r="DD309" i="1"/>
  <c r="DE309" i="1"/>
  <c r="DF309" i="1"/>
  <c r="DR309" i="1"/>
  <c r="DS309" i="1"/>
  <c r="EE309" i="1"/>
  <c r="EF309" i="1"/>
  <c r="EW309" i="1"/>
  <c r="EX309" i="1"/>
  <c r="EY309" i="1"/>
  <c r="EZ309" i="1"/>
  <c r="FA309" i="1"/>
  <c r="FB309" i="1"/>
  <c r="FC309" i="1"/>
  <c r="FD309" i="1"/>
  <c r="FE309" i="1"/>
  <c r="FF309" i="1"/>
  <c r="FG309" i="1"/>
  <c r="FH309" i="1"/>
  <c r="FI309" i="1"/>
  <c r="FJ309" i="1"/>
  <c r="FK309" i="1"/>
  <c r="FL309" i="1"/>
  <c r="FM309" i="1"/>
  <c r="FN309" i="1"/>
  <c r="FO309" i="1"/>
  <c r="GF309" i="1"/>
  <c r="GG309" i="1"/>
  <c r="GH309" i="1"/>
  <c r="GI309" i="1"/>
  <c r="GJ309" i="1"/>
  <c r="GK309" i="1"/>
  <c r="GL309" i="1"/>
  <c r="GM309" i="1"/>
  <c r="GN309" i="1"/>
  <c r="GO309" i="1"/>
  <c r="GP309" i="1"/>
  <c r="GQ309" i="1"/>
  <c r="GR309" i="1"/>
  <c r="GS309" i="1"/>
  <c r="GT309" i="1"/>
  <c r="GU309" i="1"/>
  <c r="GV309" i="1"/>
  <c r="GW309" i="1"/>
  <c r="GX309" i="1"/>
  <c r="C311" i="1"/>
  <c r="D311" i="1"/>
  <c r="I311" i="1"/>
  <c r="P311" i="1" s="1"/>
  <c r="K311" i="1"/>
  <c r="AC311" i="1"/>
  <c r="AD311" i="1"/>
  <c r="AB311" i="1" s="1"/>
  <c r="AE311" i="1"/>
  <c r="AF311" i="1"/>
  <c r="AG311" i="1"/>
  <c r="CU311" i="1" s="1"/>
  <c r="AH311" i="1"/>
  <c r="CV311" i="1" s="1"/>
  <c r="U311" i="1" s="1"/>
  <c r="AI311" i="1"/>
  <c r="AJ311" i="1"/>
  <c r="CQ311" i="1"/>
  <c r="CW311" i="1"/>
  <c r="CX311" i="1"/>
  <c r="GL311" i="1"/>
  <c r="GO311" i="1"/>
  <c r="GP311" i="1"/>
  <c r="GV311" i="1"/>
  <c r="HC311" i="1"/>
  <c r="C312" i="1"/>
  <c r="D312" i="1"/>
  <c r="I312" i="1"/>
  <c r="K312" i="1"/>
  <c r="Q312" i="1"/>
  <c r="R312" i="1"/>
  <c r="S312" i="1"/>
  <c r="T312" i="1"/>
  <c r="AC312" i="1"/>
  <c r="AD312" i="1"/>
  <c r="AE312" i="1"/>
  <c r="AF312" i="1"/>
  <c r="CT312" i="1" s="1"/>
  <c r="AG312" i="1"/>
  <c r="CU312" i="1" s="1"/>
  <c r="AH312" i="1"/>
  <c r="AI312" i="1"/>
  <c r="CW312" i="1" s="1"/>
  <c r="V312" i="1" s="1"/>
  <c r="AJ312" i="1"/>
  <c r="CX312" i="1" s="1"/>
  <c r="W312" i="1" s="1"/>
  <c r="EB316" i="1" s="1"/>
  <c r="CQ312" i="1"/>
  <c r="CR312" i="1"/>
  <c r="CS312" i="1"/>
  <c r="CV312" i="1"/>
  <c r="U312" i="1" s="1"/>
  <c r="DZ316" i="1" s="1"/>
  <c r="GL312" i="1"/>
  <c r="GO312" i="1"/>
  <c r="GP312" i="1"/>
  <c r="GV312" i="1"/>
  <c r="HC312" i="1" s="1"/>
  <c r="GX312" i="1" s="1"/>
  <c r="GB316" i="1" s="1"/>
  <c r="AC313" i="1"/>
  <c r="CQ313" i="1" s="1"/>
  <c r="AD313" i="1"/>
  <c r="AE313" i="1"/>
  <c r="CR313" i="1" s="1"/>
  <c r="AF313" i="1"/>
  <c r="AG313" i="1"/>
  <c r="AH313" i="1"/>
  <c r="AI313" i="1"/>
  <c r="AJ313" i="1"/>
  <c r="CT313" i="1"/>
  <c r="CU313" i="1"/>
  <c r="CV313" i="1"/>
  <c r="CW313" i="1"/>
  <c r="CX313" i="1"/>
  <c r="GL313" i="1"/>
  <c r="GO313" i="1"/>
  <c r="GP313" i="1"/>
  <c r="CD316" i="1" s="1"/>
  <c r="GV313" i="1"/>
  <c r="HC313" i="1" s="1"/>
  <c r="I314" i="1"/>
  <c r="Q314" i="1" s="1"/>
  <c r="DV316" i="1" s="1"/>
  <c r="AC314" i="1"/>
  <c r="CQ314" i="1" s="1"/>
  <c r="AD314" i="1"/>
  <c r="AE314" i="1"/>
  <c r="AF314" i="1"/>
  <c r="CT314" i="1" s="1"/>
  <c r="AG314" i="1"/>
  <c r="CU314" i="1" s="1"/>
  <c r="AH314" i="1"/>
  <c r="AI314" i="1"/>
  <c r="CW314" i="1" s="1"/>
  <c r="AJ314" i="1"/>
  <c r="CX314" i="1" s="1"/>
  <c r="W314" i="1" s="1"/>
  <c r="CR314" i="1"/>
  <c r="CS314" i="1"/>
  <c r="CV314" i="1"/>
  <c r="U314" i="1" s="1"/>
  <c r="GL314" i="1"/>
  <c r="GO314" i="1"/>
  <c r="FU316" i="1" s="1"/>
  <c r="GP314" i="1"/>
  <c r="GV314" i="1"/>
  <c r="HC314" i="1" s="1"/>
  <c r="GX314" i="1" s="1"/>
  <c r="B316" i="1"/>
  <c r="B309" i="1" s="1"/>
  <c r="C316" i="1"/>
  <c r="D316" i="1"/>
  <c r="D309" i="1" s="1"/>
  <c r="F316" i="1"/>
  <c r="F309" i="1" s="1"/>
  <c r="G316" i="1"/>
  <c r="AP316" i="1"/>
  <c r="AP309" i="1" s="1"/>
  <c r="AT316" i="1"/>
  <c r="F334" i="1" s="1"/>
  <c r="BC316" i="1"/>
  <c r="BC309" i="1" s="1"/>
  <c r="BD316" i="1"/>
  <c r="BD309" i="1" s="1"/>
  <c r="BX316" i="1"/>
  <c r="BX309" i="1" s="1"/>
  <c r="BY316" i="1"/>
  <c r="BY309" i="1" s="1"/>
  <c r="BZ316" i="1"/>
  <c r="CI316" i="1" s="1"/>
  <c r="CC316" i="1"/>
  <c r="CG316" i="1"/>
  <c r="CG309" i="1" s="1"/>
  <c r="CK316" i="1"/>
  <c r="CK309" i="1" s="1"/>
  <c r="CL316" i="1"/>
  <c r="CL309" i="1" s="1"/>
  <c r="CM316" i="1"/>
  <c r="CM309" i="1" s="1"/>
  <c r="EH316" i="1"/>
  <c r="EH309" i="1" s="1"/>
  <c r="EI316" i="1"/>
  <c r="EI309" i="1" s="1"/>
  <c r="EU316" i="1"/>
  <c r="EU309" i="1" s="1"/>
  <c r="FP316" i="1"/>
  <c r="EG316" i="1" s="1"/>
  <c r="EG309" i="1" s="1"/>
  <c r="FQ316" i="1"/>
  <c r="FQ309" i="1" s="1"/>
  <c r="FR316" i="1"/>
  <c r="GA316" i="1" s="1"/>
  <c r="FY316" i="1"/>
  <c r="FY309" i="1" s="1"/>
  <c r="GC316" i="1"/>
  <c r="GC309" i="1" s="1"/>
  <c r="GD316" i="1"/>
  <c r="GD309" i="1" s="1"/>
  <c r="GE316" i="1"/>
  <c r="GE309" i="1" s="1"/>
  <c r="P320" i="1"/>
  <c r="P325" i="1"/>
  <c r="F332" i="1"/>
  <c r="P332" i="1"/>
  <c r="F341" i="1"/>
  <c r="D346" i="1"/>
  <c r="E348" i="1"/>
  <c r="Z348" i="1"/>
  <c r="AA348" i="1"/>
  <c r="AM348" i="1"/>
  <c r="AN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U348" i="1"/>
  <c r="BV348" i="1"/>
  <c r="BW348" i="1"/>
  <c r="CN348" i="1"/>
  <c r="CO348" i="1"/>
  <c r="CP348" i="1"/>
  <c r="CQ348" i="1"/>
  <c r="CR348" i="1"/>
  <c r="CS348" i="1"/>
  <c r="CT348" i="1"/>
  <c r="CU348" i="1"/>
  <c r="CV348" i="1"/>
  <c r="CW348" i="1"/>
  <c r="CX348" i="1"/>
  <c r="CY348" i="1"/>
  <c r="CZ348" i="1"/>
  <c r="DA348" i="1"/>
  <c r="DB348" i="1"/>
  <c r="DC348" i="1"/>
  <c r="DD348" i="1"/>
  <c r="DE348" i="1"/>
  <c r="DF348" i="1"/>
  <c r="DR348" i="1"/>
  <c r="DS348" i="1"/>
  <c r="EE348" i="1"/>
  <c r="EF348" i="1"/>
  <c r="EW348" i="1"/>
  <c r="EX348" i="1"/>
  <c r="EY348" i="1"/>
  <c r="EZ348" i="1"/>
  <c r="FA348" i="1"/>
  <c r="FB348" i="1"/>
  <c r="FC348" i="1"/>
  <c r="FD348" i="1"/>
  <c r="FE348" i="1"/>
  <c r="FF348" i="1"/>
  <c r="FG348" i="1"/>
  <c r="FH348" i="1"/>
  <c r="FI348" i="1"/>
  <c r="FJ348" i="1"/>
  <c r="FK348" i="1"/>
  <c r="FL348" i="1"/>
  <c r="FM348" i="1"/>
  <c r="FN348" i="1"/>
  <c r="FO348" i="1"/>
  <c r="GF348" i="1"/>
  <c r="GG348" i="1"/>
  <c r="GH348" i="1"/>
  <c r="GI348" i="1"/>
  <c r="GJ348" i="1"/>
  <c r="GK348" i="1"/>
  <c r="GL348" i="1"/>
  <c r="GM348" i="1"/>
  <c r="GN348" i="1"/>
  <c r="GO348" i="1"/>
  <c r="GP348" i="1"/>
  <c r="GQ348" i="1"/>
  <c r="GR348" i="1"/>
  <c r="GS348" i="1"/>
  <c r="GT348" i="1"/>
  <c r="GU348" i="1"/>
  <c r="GV348" i="1"/>
  <c r="GW348" i="1"/>
  <c r="GX348" i="1"/>
  <c r="C350" i="1"/>
  <c r="D350" i="1"/>
  <c r="I350" i="1"/>
  <c r="Q350" i="1" s="1"/>
  <c r="K350" i="1"/>
  <c r="R350" i="1"/>
  <c r="AC350" i="1"/>
  <c r="P350" i="1" s="1"/>
  <c r="AD350" i="1"/>
  <c r="AE350" i="1"/>
  <c r="CR350" i="1" s="1"/>
  <c r="AF350" i="1"/>
  <c r="AG350" i="1"/>
  <c r="AH350" i="1"/>
  <c r="CV350" i="1" s="1"/>
  <c r="U350" i="1" s="1"/>
  <c r="AI350" i="1"/>
  <c r="AJ350" i="1"/>
  <c r="CX350" i="1" s="1"/>
  <c r="W350" i="1" s="1"/>
  <c r="CT350" i="1"/>
  <c r="CU350" i="1"/>
  <c r="T350" i="1" s="1"/>
  <c r="CW350" i="1"/>
  <c r="V350" i="1" s="1"/>
  <c r="GL350" i="1"/>
  <c r="GO350" i="1"/>
  <c r="GP350" i="1"/>
  <c r="GV350" i="1"/>
  <c r="HC350" i="1" s="1"/>
  <c r="GX350" i="1" s="1"/>
  <c r="C351" i="1"/>
  <c r="D351" i="1"/>
  <c r="I351" i="1"/>
  <c r="K351" i="1"/>
  <c r="P351" i="1"/>
  <c r="CP351" i="1" s="1"/>
  <c r="O351" i="1" s="1"/>
  <c r="Q351" i="1"/>
  <c r="DV355" i="1" s="1"/>
  <c r="R351" i="1"/>
  <c r="DW355" i="1" s="1"/>
  <c r="AC351" i="1"/>
  <c r="CQ351" i="1" s="1"/>
  <c r="AD351" i="1"/>
  <c r="AE351" i="1"/>
  <c r="CS351" i="1" s="1"/>
  <c r="AF351" i="1"/>
  <c r="S351" i="1" s="1"/>
  <c r="AG351" i="1"/>
  <c r="AH351" i="1"/>
  <c r="CV351" i="1" s="1"/>
  <c r="U351" i="1" s="1"/>
  <c r="DZ355" i="1" s="1"/>
  <c r="AI351" i="1"/>
  <c r="CW351" i="1" s="1"/>
  <c r="V351" i="1" s="1"/>
  <c r="EA355" i="1" s="1"/>
  <c r="AJ351" i="1"/>
  <c r="CX351" i="1" s="1"/>
  <c r="W351" i="1" s="1"/>
  <c r="CR351" i="1"/>
  <c r="CT351" i="1"/>
  <c r="CU351" i="1"/>
  <c r="T351" i="1" s="1"/>
  <c r="GL351" i="1"/>
  <c r="GO351" i="1"/>
  <c r="GP351" i="1"/>
  <c r="FV355" i="1" s="1"/>
  <c r="GV351" i="1"/>
  <c r="HC351" i="1"/>
  <c r="GX351" i="1" s="1"/>
  <c r="GB355" i="1" s="1"/>
  <c r="AC352" i="1"/>
  <c r="AE352" i="1"/>
  <c r="AD352" i="1" s="1"/>
  <c r="AB352" i="1" s="1"/>
  <c r="AF352" i="1"/>
  <c r="AG352" i="1"/>
  <c r="CU352" i="1" s="1"/>
  <c r="AH352" i="1"/>
  <c r="AI352" i="1"/>
  <c r="AJ352" i="1"/>
  <c r="CQ352" i="1"/>
  <c r="CT352" i="1"/>
  <c r="CV352" i="1"/>
  <c r="CW352" i="1"/>
  <c r="CX352" i="1"/>
  <c r="GL352" i="1"/>
  <c r="GO352" i="1"/>
  <c r="GP352" i="1"/>
  <c r="GV352" i="1"/>
  <c r="HC352" i="1"/>
  <c r="I353" i="1"/>
  <c r="P353" i="1"/>
  <c r="Q353" i="1"/>
  <c r="R353" i="1"/>
  <c r="AC353" i="1"/>
  <c r="CQ353" i="1" s="1"/>
  <c r="AD353" i="1"/>
  <c r="AE353" i="1"/>
  <c r="CS353" i="1" s="1"/>
  <c r="AF353" i="1"/>
  <c r="S353" i="1" s="1"/>
  <c r="AG353" i="1"/>
  <c r="AH353" i="1"/>
  <c r="CV353" i="1" s="1"/>
  <c r="U353" i="1" s="1"/>
  <c r="AI353" i="1"/>
  <c r="CW353" i="1" s="1"/>
  <c r="V353" i="1" s="1"/>
  <c r="AJ353" i="1"/>
  <c r="CX353" i="1" s="1"/>
  <c r="W353" i="1" s="1"/>
  <c r="CR353" i="1"/>
  <c r="CT353" i="1"/>
  <c r="CU353" i="1"/>
  <c r="T353" i="1" s="1"/>
  <c r="GL353" i="1"/>
  <c r="GO353" i="1"/>
  <c r="FU355" i="1" s="1"/>
  <c r="GP353" i="1"/>
  <c r="GV353" i="1"/>
  <c r="HC353" i="1"/>
  <c r="GX353" i="1" s="1"/>
  <c r="B355" i="1"/>
  <c r="B348" i="1" s="1"/>
  <c r="C355" i="1"/>
  <c r="C348" i="1" s="1"/>
  <c r="D355" i="1"/>
  <c r="D348" i="1" s="1"/>
  <c r="F355" i="1"/>
  <c r="F348" i="1" s="1"/>
  <c r="G355" i="1"/>
  <c r="G348" i="1" s="1"/>
  <c r="BX355" i="1"/>
  <c r="AO355" i="1" s="1"/>
  <c r="BY355" i="1"/>
  <c r="AP355" i="1" s="1"/>
  <c r="BZ355" i="1"/>
  <c r="AQ355" i="1" s="1"/>
  <c r="CC355" i="1"/>
  <c r="CC348" i="1" s="1"/>
  <c r="CD355" i="1"/>
  <c r="CD348" i="1" s="1"/>
  <c r="CK355" i="1"/>
  <c r="CK348" i="1" s="1"/>
  <c r="CL355" i="1"/>
  <c r="CL348" i="1" s="1"/>
  <c r="CM355" i="1"/>
  <c r="BD355" i="1" s="1"/>
  <c r="FP355" i="1"/>
  <c r="FY355" i="1" s="1"/>
  <c r="FQ355" i="1"/>
  <c r="EH355" i="1" s="1"/>
  <c r="FR355" i="1"/>
  <c r="EI355" i="1" s="1"/>
  <c r="GA355" i="1"/>
  <c r="ER355" i="1" s="1"/>
  <c r="GC355" i="1"/>
  <c r="ET355" i="1" s="1"/>
  <c r="GD355" i="1"/>
  <c r="EU355" i="1" s="1"/>
  <c r="GE355" i="1"/>
  <c r="EV355" i="1" s="1"/>
  <c r="D385" i="1"/>
  <c r="E387" i="1"/>
  <c r="Z387" i="1"/>
  <c r="AA387" i="1"/>
  <c r="AM387" i="1"/>
  <c r="AN387" i="1"/>
  <c r="BE387" i="1"/>
  <c r="BF387" i="1"/>
  <c r="BG387" i="1"/>
  <c r="BH387" i="1"/>
  <c r="BI387" i="1"/>
  <c r="BJ387" i="1"/>
  <c r="BK387" i="1"/>
  <c r="BL387" i="1"/>
  <c r="BM387" i="1"/>
  <c r="BN387" i="1"/>
  <c r="BO387" i="1"/>
  <c r="BP387" i="1"/>
  <c r="BQ387" i="1"/>
  <c r="BR387" i="1"/>
  <c r="BS387" i="1"/>
  <c r="BT387" i="1"/>
  <c r="BU387" i="1"/>
  <c r="BV387" i="1"/>
  <c r="BW387" i="1"/>
  <c r="BY387" i="1"/>
  <c r="CN387" i="1"/>
  <c r="CO387" i="1"/>
  <c r="CP387" i="1"/>
  <c r="CQ387" i="1"/>
  <c r="CR387" i="1"/>
  <c r="CS387" i="1"/>
  <c r="CT387" i="1"/>
  <c r="CU387" i="1"/>
  <c r="CV387" i="1"/>
  <c r="CW387" i="1"/>
  <c r="CX387" i="1"/>
  <c r="CY387" i="1"/>
  <c r="CZ387" i="1"/>
  <c r="DA387" i="1"/>
  <c r="DB387" i="1"/>
  <c r="DC387" i="1"/>
  <c r="DD387" i="1"/>
  <c r="DE387" i="1"/>
  <c r="DF387" i="1"/>
  <c r="DR387" i="1"/>
  <c r="DS387" i="1"/>
  <c r="EE387" i="1"/>
  <c r="EF387" i="1"/>
  <c r="EW387" i="1"/>
  <c r="EX387" i="1"/>
  <c r="EY387" i="1"/>
  <c r="EZ387" i="1"/>
  <c r="FA387" i="1"/>
  <c r="FB387" i="1"/>
  <c r="FC387" i="1"/>
  <c r="FD387" i="1"/>
  <c r="FE387" i="1"/>
  <c r="FF387" i="1"/>
  <c r="FG387" i="1"/>
  <c r="FH387" i="1"/>
  <c r="FI387" i="1"/>
  <c r="FJ387" i="1"/>
  <c r="FK387" i="1"/>
  <c r="FL387" i="1"/>
  <c r="FM387" i="1"/>
  <c r="FN387" i="1"/>
  <c r="FO387" i="1"/>
  <c r="FP387" i="1"/>
  <c r="GF387" i="1"/>
  <c r="GG387" i="1"/>
  <c r="GH387" i="1"/>
  <c r="GI387" i="1"/>
  <c r="GJ387" i="1"/>
  <c r="GK387" i="1"/>
  <c r="GL387" i="1"/>
  <c r="GM387" i="1"/>
  <c r="GN387" i="1"/>
  <c r="GO387" i="1"/>
  <c r="GP387" i="1"/>
  <c r="GQ387" i="1"/>
  <c r="GR387" i="1"/>
  <c r="GS387" i="1"/>
  <c r="GT387" i="1"/>
  <c r="GU387" i="1"/>
  <c r="GV387" i="1"/>
  <c r="GW387" i="1"/>
  <c r="GX387" i="1"/>
  <c r="C389" i="1"/>
  <c r="D389" i="1"/>
  <c r="I389" i="1"/>
  <c r="Q389" i="1" s="1"/>
  <c r="AD394" i="1" s="1"/>
  <c r="K389" i="1"/>
  <c r="W389" i="1"/>
  <c r="AC389" i="1"/>
  <c r="AB389" i="1" s="1"/>
  <c r="AD389" i="1"/>
  <c r="AE389" i="1"/>
  <c r="R389" i="1" s="1"/>
  <c r="AE394" i="1" s="1"/>
  <c r="AF389" i="1"/>
  <c r="CT389" i="1" s="1"/>
  <c r="AG389" i="1"/>
  <c r="AH389" i="1"/>
  <c r="AI389" i="1"/>
  <c r="CW389" i="1" s="1"/>
  <c r="V389" i="1" s="1"/>
  <c r="AJ389" i="1"/>
  <c r="CQ389" i="1"/>
  <c r="CR389" i="1"/>
  <c r="CS389" i="1"/>
  <c r="CU389" i="1"/>
  <c r="T389" i="1" s="1"/>
  <c r="AG394" i="1" s="1"/>
  <c r="CV389" i="1"/>
  <c r="U389" i="1" s="1"/>
  <c r="AH394" i="1" s="1"/>
  <c r="CX389" i="1"/>
  <c r="GL389" i="1"/>
  <c r="GO389" i="1"/>
  <c r="GP389" i="1"/>
  <c r="GV389" i="1"/>
  <c r="HC389" i="1" s="1"/>
  <c r="GX389" i="1" s="1"/>
  <c r="CJ394" i="1" s="1"/>
  <c r="C390" i="1"/>
  <c r="D390" i="1"/>
  <c r="I390" i="1"/>
  <c r="Q390" i="1" s="1"/>
  <c r="K390" i="1"/>
  <c r="S390" i="1"/>
  <c r="CY390" i="1" s="1"/>
  <c r="AC390" i="1"/>
  <c r="P390" i="1" s="1"/>
  <c r="CP390" i="1" s="1"/>
  <c r="O390" i="1" s="1"/>
  <c r="AE390" i="1"/>
  <c r="AD390" i="1" s="1"/>
  <c r="AB390" i="1" s="1"/>
  <c r="AF390" i="1"/>
  <c r="CT390" i="1" s="1"/>
  <c r="AG390" i="1"/>
  <c r="AH390" i="1"/>
  <c r="AI390" i="1"/>
  <c r="CW390" i="1" s="1"/>
  <c r="V390" i="1" s="1"/>
  <c r="AJ390" i="1"/>
  <c r="CU390" i="1"/>
  <c r="T390" i="1" s="1"/>
  <c r="CV390" i="1"/>
  <c r="U390" i="1" s="1"/>
  <c r="CX390" i="1"/>
  <c r="W390" i="1" s="1"/>
  <c r="GL390" i="1"/>
  <c r="FR394" i="1" s="1"/>
  <c r="GO390" i="1"/>
  <c r="GP390" i="1"/>
  <c r="GV390" i="1"/>
  <c r="HC390" i="1" s="1"/>
  <c r="GX390" i="1" s="1"/>
  <c r="GB394" i="1" s="1"/>
  <c r="I391" i="1"/>
  <c r="Q391" i="1"/>
  <c r="R391" i="1"/>
  <c r="S391" i="1"/>
  <c r="X391" i="1" s="1"/>
  <c r="T391" i="1"/>
  <c r="U391" i="1"/>
  <c r="Y391" i="1"/>
  <c r="AC391" i="1"/>
  <c r="CQ391" i="1" s="1"/>
  <c r="AE391" i="1"/>
  <c r="AD391" i="1" s="1"/>
  <c r="AF391" i="1"/>
  <c r="CT391" i="1" s="1"/>
  <c r="AG391" i="1"/>
  <c r="AH391" i="1"/>
  <c r="AI391" i="1"/>
  <c r="CW391" i="1" s="1"/>
  <c r="V391" i="1" s="1"/>
  <c r="AJ391" i="1"/>
  <c r="CR391" i="1"/>
  <c r="CS391" i="1"/>
  <c r="CU391" i="1"/>
  <c r="CV391" i="1"/>
  <c r="CX391" i="1"/>
  <c r="W391" i="1" s="1"/>
  <c r="AJ394" i="1" s="1"/>
  <c r="GL391" i="1"/>
  <c r="GO391" i="1"/>
  <c r="GP391" i="1"/>
  <c r="CD394" i="1" s="1"/>
  <c r="GV391" i="1"/>
  <c r="HC391" i="1"/>
  <c r="GX391" i="1" s="1"/>
  <c r="I392" i="1"/>
  <c r="Q392" i="1" s="1"/>
  <c r="S392" i="1"/>
  <c r="CY392" i="1" s="1"/>
  <c r="AC392" i="1"/>
  <c r="P392" i="1" s="1"/>
  <c r="CP392" i="1" s="1"/>
  <c r="O392" i="1" s="1"/>
  <c r="AE392" i="1"/>
  <c r="AD392" i="1" s="1"/>
  <c r="AB392" i="1" s="1"/>
  <c r="AF392" i="1"/>
  <c r="CT392" i="1" s="1"/>
  <c r="AG392" i="1"/>
  <c r="AH392" i="1"/>
  <c r="AI392" i="1"/>
  <c r="CW392" i="1" s="1"/>
  <c r="V392" i="1" s="1"/>
  <c r="AJ392" i="1"/>
  <c r="CU392" i="1"/>
  <c r="T392" i="1" s="1"/>
  <c r="CV392" i="1"/>
  <c r="U392" i="1" s="1"/>
  <c r="CX392" i="1"/>
  <c r="W392" i="1" s="1"/>
  <c r="GL392" i="1"/>
  <c r="GO392" i="1"/>
  <c r="GP392" i="1"/>
  <c r="GV392" i="1"/>
  <c r="HC392" i="1" s="1"/>
  <c r="GX392" i="1" s="1"/>
  <c r="B394" i="1"/>
  <c r="B387" i="1" s="1"/>
  <c r="C394" i="1"/>
  <c r="C387" i="1" s="1"/>
  <c r="D394" i="1"/>
  <c r="D387" i="1" s="1"/>
  <c r="F394" i="1"/>
  <c r="F387" i="1" s="1"/>
  <c r="G394" i="1"/>
  <c r="G387" i="1" s="1"/>
  <c r="BX394" i="1"/>
  <c r="BX387" i="1" s="1"/>
  <c r="BY394" i="1"/>
  <c r="AP394" i="1" s="1"/>
  <c r="BZ394" i="1"/>
  <c r="CI394" i="1" s="1"/>
  <c r="CC394" i="1"/>
  <c r="CC387" i="1" s="1"/>
  <c r="CK394" i="1"/>
  <c r="BB394" i="1" s="1"/>
  <c r="BB387" i="1" s="1"/>
  <c r="CL394" i="1"/>
  <c r="BC394" i="1" s="1"/>
  <c r="BC387" i="1" s="1"/>
  <c r="CM394" i="1"/>
  <c r="CM387" i="1" s="1"/>
  <c r="DI394" i="1"/>
  <c r="DU394" i="1"/>
  <c r="DV394" i="1"/>
  <c r="DV387" i="1" s="1"/>
  <c r="EA394" i="1"/>
  <c r="EM394" i="1"/>
  <c r="FP394" i="1"/>
  <c r="EG394" i="1" s="1"/>
  <c r="FQ394" i="1"/>
  <c r="FQ387" i="1" s="1"/>
  <c r="FU394" i="1"/>
  <c r="EL394" i="1" s="1"/>
  <c r="FV394" i="1"/>
  <c r="FV387" i="1" s="1"/>
  <c r="GC394" i="1"/>
  <c r="ET394" i="1" s="1"/>
  <c r="ET387" i="1" s="1"/>
  <c r="GD394" i="1"/>
  <c r="EU394" i="1" s="1"/>
  <c r="GE394" i="1"/>
  <c r="GE387" i="1" s="1"/>
  <c r="D424" i="1"/>
  <c r="E426" i="1"/>
  <c r="Z426" i="1"/>
  <c r="AA426" i="1"/>
  <c r="AM426" i="1"/>
  <c r="AN426" i="1"/>
  <c r="BE426" i="1"/>
  <c r="BF426" i="1"/>
  <c r="BG426" i="1"/>
  <c r="BH426" i="1"/>
  <c r="BI426" i="1"/>
  <c r="BJ426" i="1"/>
  <c r="BK426" i="1"/>
  <c r="BL426" i="1"/>
  <c r="BM426" i="1"/>
  <c r="BN426" i="1"/>
  <c r="BO426" i="1"/>
  <c r="BP426" i="1"/>
  <c r="BQ426" i="1"/>
  <c r="BR426" i="1"/>
  <c r="BS426" i="1"/>
  <c r="BT426" i="1"/>
  <c r="BU426" i="1"/>
  <c r="BV426" i="1"/>
  <c r="BW426" i="1"/>
  <c r="CN426" i="1"/>
  <c r="CO426" i="1"/>
  <c r="CP426" i="1"/>
  <c r="CQ426" i="1"/>
  <c r="CR426" i="1"/>
  <c r="CS426" i="1"/>
  <c r="CT426" i="1"/>
  <c r="CU426" i="1"/>
  <c r="CV426" i="1"/>
  <c r="CW426" i="1"/>
  <c r="CX426" i="1"/>
  <c r="CY426" i="1"/>
  <c r="CZ426" i="1"/>
  <c r="DA426" i="1"/>
  <c r="DB426" i="1"/>
  <c r="DC426" i="1"/>
  <c r="DD426" i="1"/>
  <c r="DE426" i="1"/>
  <c r="DF426" i="1"/>
  <c r="DR426" i="1"/>
  <c r="DS426" i="1"/>
  <c r="EE426" i="1"/>
  <c r="EF426" i="1"/>
  <c r="EW426" i="1"/>
  <c r="EX426" i="1"/>
  <c r="EY426" i="1"/>
  <c r="EZ426" i="1"/>
  <c r="FA426" i="1"/>
  <c r="FB426" i="1"/>
  <c r="FC426" i="1"/>
  <c r="FD426" i="1"/>
  <c r="FE426" i="1"/>
  <c r="FF426" i="1"/>
  <c r="FG426" i="1"/>
  <c r="FH426" i="1"/>
  <c r="FI426" i="1"/>
  <c r="FJ426" i="1"/>
  <c r="FK426" i="1"/>
  <c r="FL426" i="1"/>
  <c r="FM426" i="1"/>
  <c r="FN426" i="1"/>
  <c r="FO426" i="1"/>
  <c r="GF426" i="1"/>
  <c r="GG426" i="1"/>
  <c r="GH426" i="1"/>
  <c r="GI426" i="1"/>
  <c r="GJ426" i="1"/>
  <c r="GK426" i="1"/>
  <c r="GL426" i="1"/>
  <c r="GM426" i="1"/>
  <c r="GN426" i="1"/>
  <c r="GO426" i="1"/>
  <c r="GP426" i="1"/>
  <c r="GQ426" i="1"/>
  <c r="GR426" i="1"/>
  <c r="GS426" i="1"/>
  <c r="GT426" i="1"/>
  <c r="GU426" i="1"/>
  <c r="GV426" i="1"/>
  <c r="GW426" i="1"/>
  <c r="GX426" i="1"/>
  <c r="C428" i="1"/>
  <c r="D428" i="1"/>
  <c r="I428" i="1"/>
  <c r="R428" i="1" s="1"/>
  <c r="K428" i="1"/>
  <c r="P428" i="1"/>
  <c r="Q428" i="1"/>
  <c r="CP428" i="1" s="1"/>
  <c r="O428" i="1" s="1"/>
  <c r="S428" i="1"/>
  <c r="T428" i="1"/>
  <c r="U428" i="1"/>
  <c r="AC428" i="1"/>
  <c r="AE428" i="1"/>
  <c r="CS428" i="1" s="1"/>
  <c r="AF428" i="1"/>
  <c r="CT428" i="1" s="1"/>
  <c r="AG428" i="1"/>
  <c r="AH428" i="1"/>
  <c r="CV428" i="1" s="1"/>
  <c r="AI428" i="1"/>
  <c r="AJ428" i="1"/>
  <c r="CX428" i="1" s="1"/>
  <c r="W428" i="1" s="1"/>
  <c r="CQ428" i="1"/>
  <c r="CR428" i="1"/>
  <c r="CU428" i="1"/>
  <c r="CW428" i="1"/>
  <c r="V428" i="1" s="1"/>
  <c r="GL428" i="1"/>
  <c r="GO428" i="1"/>
  <c r="GP428" i="1"/>
  <c r="GV428" i="1"/>
  <c r="HC428" i="1"/>
  <c r="GX428" i="1" s="1"/>
  <c r="CJ433" i="1" s="1"/>
  <c r="C429" i="1"/>
  <c r="D429" i="1"/>
  <c r="I429" i="1"/>
  <c r="I431" i="1" s="1"/>
  <c r="K429" i="1"/>
  <c r="U429" i="1"/>
  <c r="AB429" i="1"/>
  <c r="AC429" i="1"/>
  <c r="P429" i="1" s="1"/>
  <c r="DU433" i="1" s="1"/>
  <c r="AE429" i="1"/>
  <c r="AD429" i="1" s="1"/>
  <c r="AF429" i="1"/>
  <c r="AG429" i="1"/>
  <c r="AH429" i="1"/>
  <c r="AI429" i="1"/>
  <c r="AJ429" i="1"/>
  <c r="CX429" i="1" s="1"/>
  <c r="W429" i="1" s="1"/>
  <c r="CQ429" i="1"/>
  <c r="CT429" i="1"/>
  <c r="CU429" i="1"/>
  <c r="T429" i="1" s="1"/>
  <c r="CV429" i="1"/>
  <c r="CW429" i="1"/>
  <c r="V429" i="1" s="1"/>
  <c r="EA433" i="1" s="1"/>
  <c r="GL429" i="1"/>
  <c r="GO429" i="1"/>
  <c r="GP429" i="1"/>
  <c r="GV429" i="1"/>
  <c r="HC429" i="1"/>
  <c r="GX429" i="1" s="1"/>
  <c r="GB433" i="1" s="1"/>
  <c r="I430" i="1"/>
  <c r="P430" i="1" s="1"/>
  <c r="U430" i="1"/>
  <c r="W430" i="1"/>
  <c r="AC430" i="1"/>
  <c r="CQ430" i="1" s="1"/>
  <c r="AD430" i="1"/>
  <c r="AE430" i="1"/>
  <c r="CS430" i="1" s="1"/>
  <c r="AF430" i="1"/>
  <c r="S430" i="1" s="1"/>
  <c r="AG430" i="1"/>
  <c r="CU430" i="1" s="1"/>
  <c r="T430" i="1" s="1"/>
  <c r="AH430" i="1"/>
  <c r="CV430" i="1" s="1"/>
  <c r="AI430" i="1"/>
  <c r="CW430" i="1" s="1"/>
  <c r="AJ430" i="1"/>
  <c r="CX430" i="1" s="1"/>
  <c r="CT430" i="1"/>
  <c r="GL430" i="1"/>
  <c r="GO430" i="1"/>
  <c r="GP430" i="1"/>
  <c r="GV430" i="1"/>
  <c r="HC430" i="1"/>
  <c r="GX430" i="1" s="1"/>
  <c r="T431" i="1"/>
  <c r="U431" i="1"/>
  <c r="X431" i="1"/>
  <c r="Y431" i="1"/>
  <c r="AB431" i="1"/>
  <c r="AC431" i="1"/>
  <c r="P431" i="1" s="1"/>
  <c r="AE431" i="1"/>
  <c r="AD431" i="1" s="1"/>
  <c r="AF431" i="1"/>
  <c r="S431" i="1" s="1"/>
  <c r="CY431" i="1" s="1"/>
  <c r="AG431" i="1"/>
  <c r="AH431" i="1"/>
  <c r="AI431" i="1"/>
  <c r="AJ431" i="1"/>
  <c r="CX431" i="1" s="1"/>
  <c r="W431" i="1" s="1"/>
  <c r="EB433" i="1" s="1"/>
  <c r="CQ431" i="1"/>
  <c r="CR431" i="1"/>
  <c r="CS431" i="1"/>
  <c r="CT431" i="1"/>
  <c r="CU431" i="1"/>
  <c r="CV431" i="1"/>
  <c r="CW431" i="1"/>
  <c r="V431" i="1" s="1"/>
  <c r="CZ431" i="1"/>
  <c r="GL431" i="1"/>
  <c r="GO431" i="1"/>
  <c r="GP431" i="1"/>
  <c r="GV431" i="1"/>
  <c r="GX431" i="1"/>
  <c r="HC431" i="1"/>
  <c r="B433" i="1"/>
  <c r="B426" i="1" s="1"/>
  <c r="C433" i="1"/>
  <c r="C426" i="1" s="1"/>
  <c r="D433" i="1"/>
  <c r="D426" i="1" s="1"/>
  <c r="F433" i="1"/>
  <c r="F426" i="1" s="1"/>
  <c r="G433" i="1"/>
  <c r="G426" i="1" s="1"/>
  <c r="W433" i="1"/>
  <c r="W426" i="1" s="1"/>
  <c r="AJ433" i="1"/>
  <c r="AJ426" i="1" s="1"/>
  <c r="AU433" i="1"/>
  <c r="AU426" i="1" s="1"/>
  <c r="BD433" i="1"/>
  <c r="F458" i="1" s="1"/>
  <c r="BX433" i="1"/>
  <c r="BX426" i="1" s="1"/>
  <c r="BY433" i="1"/>
  <c r="BZ433" i="1"/>
  <c r="AQ433" i="1" s="1"/>
  <c r="CC433" i="1"/>
  <c r="CC426" i="1" s="1"/>
  <c r="CD433" i="1"/>
  <c r="CD426" i="1" s="1"/>
  <c r="CK433" i="1"/>
  <c r="BB433" i="1" s="1"/>
  <c r="CL433" i="1"/>
  <c r="CL426" i="1" s="1"/>
  <c r="CM433" i="1"/>
  <c r="CM426" i="1" s="1"/>
  <c r="DY433" i="1"/>
  <c r="DY426" i="1" s="1"/>
  <c r="DZ433" i="1"/>
  <c r="DZ426" i="1" s="1"/>
  <c r="FP433" i="1"/>
  <c r="FP426" i="1" s="1"/>
  <c r="FQ433" i="1"/>
  <c r="FQ426" i="1" s="1"/>
  <c r="FR433" i="1"/>
  <c r="FR426" i="1" s="1"/>
  <c r="FU433" i="1"/>
  <c r="FU426" i="1" s="1"/>
  <c r="FV433" i="1"/>
  <c r="FV426" i="1" s="1"/>
  <c r="GC433" i="1"/>
  <c r="ET433" i="1" s="1"/>
  <c r="GD433" i="1"/>
  <c r="GD426" i="1" s="1"/>
  <c r="GE433" i="1"/>
  <c r="GE426" i="1" s="1"/>
  <c r="F452" i="1"/>
  <c r="F457" i="1"/>
  <c r="B463" i="1"/>
  <c r="B22" i="1" s="1"/>
  <c r="C463" i="1"/>
  <c r="C22" i="1" s="1"/>
  <c r="D463" i="1"/>
  <c r="D22" i="1" s="1"/>
  <c r="F463" i="1"/>
  <c r="F22" i="1" s="1"/>
  <c r="G463" i="1"/>
  <c r="G22" i="1" s="1"/>
  <c r="B493" i="1"/>
  <c r="B18" i="1" s="1"/>
  <c r="C493" i="1"/>
  <c r="C18" i="1" s="1"/>
  <c r="D493" i="1"/>
  <c r="D18" i="1" s="1"/>
  <c r="F493" i="1"/>
  <c r="F18" i="1" s="1"/>
  <c r="G493" i="1"/>
  <c r="G18" i="1" s="1"/>
  <c r="F12" i="6"/>
  <c r="G12" i="6"/>
  <c r="J40" i="7" l="1"/>
  <c r="K182" i="7"/>
  <c r="J185" i="7" s="1"/>
  <c r="I248" i="7"/>
  <c r="K259" i="7"/>
  <c r="K337" i="7"/>
  <c r="H40" i="7"/>
  <c r="P55" i="7"/>
  <c r="J104" i="7"/>
  <c r="I171" i="7"/>
  <c r="K183" i="7"/>
  <c r="P220" i="7"/>
  <c r="O242" i="7"/>
  <c r="K260" i="7"/>
  <c r="I315" i="7"/>
  <c r="K325" i="7"/>
  <c r="J328" i="7" s="1"/>
  <c r="K356" i="7"/>
  <c r="K377" i="7"/>
  <c r="K397" i="7"/>
  <c r="K417" i="7"/>
  <c r="K437" i="7"/>
  <c r="H76" i="7"/>
  <c r="P107" i="7"/>
  <c r="I172" i="7"/>
  <c r="I182" i="7"/>
  <c r="O187" i="7" s="1"/>
  <c r="I237" i="7"/>
  <c r="H240" i="7" s="1"/>
  <c r="H275" i="7"/>
  <c r="I337" i="7"/>
  <c r="O341" i="7" s="1"/>
  <c r="K357" i="7"/>
  <c r="P361" i="7" s="1"/>
  <c r="J364" i="7" s="1"/>
  <c r="K416" i="7"/>
  <c r="P421" i="7" s="1"/>
  <c r="J424" i="7" s="1"/>
  <c r="I14" i="7"/>
  <c r="P42" i="7"/>
  <c r="P65" i="7"/>
  <c r="O107" i="7"/>
  <c r="P253" i="7"/>
  <c r="J306" i="7"/>
  <c r="H297" i="7"/>
  <c r="I149" i="7"/>
  <c r="H152" i="7" s="1"/>
  <c r="H187" i="7"/>
  <c r="I281" i="7"/>
  <c r="O286" i="7" s="1"/>
  <c r="H140" i="7"/>
  <c r="P165" i="7"/>
  <c r="K226" i="7"/>
  <c r="J231" i="7" s="1"/>
  <c r="K292" i="7"/>
  <c r="O330" i="7"/>
  <c r="J341" i="7"/>
  <c r="O441" i="7"/>
  <c r="H444" i="7" s="1"/>
  <c r="J14" i="7"/>
  <c r="K161" i="7"/>
  <c r="O361" i="7"/>
  <c r="H364" i="7" s="1"/>
  <c r="J42" i="7"/>
  <c r="K149" i="7"/>
  <c r="J152" i="7" s="1"/>
  <c r="I205" i="7"/>
  <c r="H209" i="7" s="1"/>
  <c r="K215" i="7"/>
  <c r="J220" i="7" s="1"/>
  <c r="O253" i="7"/>
  <c r="K281" i="7"/>
  <c r="P286" i="7" s="1"/>
  <c r="J122" i="7"/>
  <c r="P128" i="7"/>
  <c r="J140" i="7" s="1"/>
  <c r="I193" i="7"/>
  <c r="H196" i="7" s="1"/>
  <c r="P341" i="7"/>
  <c r="O78" i="7"/>
  <c r="J134" i="7"/>
  <c r="J174" i="7"/>
  <c r="J275" i="7"/>
  <c r="J65" i="7"/>
  <c r="O165" i="7"/>
  <c r="P242" i="7"/>
  <c r="O297" i="7"/>
  <c r="P308" i="7"/>
  <c r="I376" i="7"/>
  <c r="H381" i="7" s="1"/>
  <c r="I396" i="7"/>
  <c r="O401" i="7" s="1"/>
  <c r="H404" i="7" s="1"/>
  <c r="I416" i="7"/>
  <c r="H421" i="7" s="1"/>
  <c r="H89" i="7"/>
  <c r="I260" i="7"/>
  <c r="H264" i="7" s="1"/>
  <c r="O275" i="7"/>
  <c r="I325" i="7"/>
  <c r="H328" i="7" s="1"/>
  <c r="O319" i="7"/>
  <c r="H78" i="7"/>
  <c r="J401" i="7"/>
  <c r="J78" i="7"/>
  <c r="P176" i="7"/>
  <c r="J176" i="7"/>
  <c r="P275" i="7"/>
  <c r="H55" i="7"/>
  <c r="O55" i="7"/>
  <c r="O154" i="7"/>
  <c r="J196" i="7"/>
  <c r="O231" i="7"/>
  <c r="P297" i="7"/>
  <c r="O42" i="7"/>
  <c r="H42" i="7"/>
  <c r="O91" i="7"/>
  <c r="J262" i="7"/>
  <c r="P209" i="7"/>
  <c r="P381" i="7"/>
  <c r="J384" i="7" s="1"/>
  <c r="J399" i="7"/>
  <c r="P441" i="7"/>
  <c r="J444" i="7" s="1"/>
  <c r="J91" i="7"/>
  <c r="O176" i="7"/>
  <c r="O198" i="7"/>
  <c r="H198" i="7"/>
  <c r="O65" i="7"/>
  <c r="H242" i="7"/>
  <c r="J253" i="7"/>
  <c r="H306" i="7"/>
  <c r="P319" i="7"/>
  <c r="J441" i="7"/>
  <c r="P91" i="7"/>
  <c r="P198" i="7"/>
  <c r="J198" i="7"/>
  <c r="O381" i="7"/>
  <c r="H384" i="7" s="1"/>
  <c r="J116" i="7"/>
  <c r="H154" i="7"/>
  <c r="J165" i="7"/>
  <c r="H218" i="7"/>
  <c r="H284" i="7"/>
  <c r="P78" i="7"/>
  <c r="H116" i="7"/>
  <c r="J187" i="7"/>
  <c r="P264" i="7"/>
  <c r="J264" i="7"/>
  <c r="H63" i="7"/>
  <c r="J125" i="7"/>
  <c r="H163" i="7"/>
  <c r="H220" i="7"/>
  <c r="H251" i="7"/>
  <c r="H308" i="7"/>
  <c r="J317" i="7"/>
  <c r="P401" i="7"/>
  <c r="J404" i="7" s="1"/>
  <c r="J76" i="7"/>
  <c r="O220" i="7"/>
  <c r="O308" i="7"/>
  <c r="H399" i="7"/>
  <c r="H65" i="7"/>
  <c r="J113" i="7"/>
  <c r="H125" i="7"/>
  <c r="H165" i="7"/>
  <c r="H253" i="7"/>
  <c r="J319" i="7"/>
  <c r="H341" i="7"/>
  <c r="J379" i="7"/>
  <c r="J53" i="7"/>
  <c r="H113" i="7"/>
  <c r="J207" i="7"/>
  <c r="H229" i="7"/>
  <c r="J295" i="7"/>
  <c r="H317" i="7"/>
  <c r="J381" i="7"/>
  <c r="J439" i="7"/>
  <c r="J55" i="7"/>
  <c r="J89" i="7"/>
  <c r="J131" i="7"/>
  <c r="H174" i="7"/>
  <c r="J209" i="7"/>
  <c r="H231" i="7"/>
  <c r="J240" i="7"/>
  <c r="J297" i="7"/>
  <c r="H319" i="7"/>
  <c r="H379" i="7"/>
  <c r="J359" i="7"/>
  <c r="H53" i="7"/>
  <c r="J154" i="7"/>
  <c r="H176" i="7"/>
  <c r="H207" i="7"/>
  <c r="J242" i="7"/>
  <c r="J273" i="7"/>
  <c r="H295" i="7"/>
  <c r="J330" i="7"/>
  <c r="J361" i="7"/>
  <c r="H439" i="7"/>
  <c r="H104" i="7"/>
  <c r="H134" i="7"/>
  <c r="H359" i="7"/>
  <c r="H441" i="7"/>
  <c r="J63" i="7"/>
  <c r="H91" i="7"/>
  <c r="J137" i="7"/>
  <c r="J163" i="7"/>
  <c r="H185" i="7"/>
  <c r="J251" i="7"/>
  <c r="H273" i="7"/>
  <c r="J308" i="7"/>
  <c r="H330" i="7"/>
  <c r="J339" i="7"/>
  <c r="H361" i="7"/>
  <c r="AC433" i="1"/>
  <c r="EB426" i="1"/>
  <c r="DO433" i="1"/>
  <c r="GB426" i="1"/>
  <c r="ES433" i="1"/>
  <c r="EA426" i="1"/>
  <c r="DN433" i="1"/>
  <c r="GB387" i="1"/>
  <c r="ES394" i="1"/>
  <c r="DU426" i="1"/>
  <c r="FW433" i="1"/>
  <c r="FX433" i="1"/>
  <c r="FZ433" i="1"/>
  <c r="DH433" i="1"/>
  <c r="BA433" i="1"/>
  <c r="CJ426" i="1"/>
  <c r="AQ426" i="1"/>
  <c r="F443" i="1"/>
  <c r="BB426" i="1"/>
  <c r="F446" i="1"/>
  <c r="ET426" i="1"/>
  <c r="P446" i="1"/>
  <c r="CI433" i="1"/>
  <c r="BY426" i="1"/>
  <c r="X430" i="1"/>
  <c r="Y430" i="1"/>
  <c r="T394" i="1"/>
  <c r="AG387" i="1"/>
  <c r="F380" i="1"/>
  <c r="BD348" i="1"/>
  <c r="FU348" i="1"/>
  <c r="EL355" i="1"/>
  <c r="GA433" i="1"/>
  <c r="DU387" i="1"/>
  <c r="FX394" i="1"/>
  <c r="FZ394" i="1"/>
  <c r="DH394" i="1"/>
  <c r="CD387" i="1"/>
  <c r="AU394" i="1"/>
  <c r="P406" i="1"/>
  <c r="DI387" i="1"/>
  <c r="ES355" i="1"/>
  <c r="GB348" i="1"/>
  <c r="DW348" i="1"/>
  <c r="DJ355" i="1"/>
  <c r="DV309" i="1"/>
  <c r="DI316" i="1"/>
  <c r="GB270" i="1"/>
  <c r="ES277" i="1"/>
  <c r="FY433" i="1"/>
  <c r="BC433" i="1"/>
  <c r="AF433" i="1"/>
  <c r="CK426" i="1"/>
  <c r="DI355" i="1"/>
  <c r="DV348" i="1"/>
  <c r="P410" i="1"/>
  <c r="EU387" i="1"/>
  <c r="W394" i="1"/>
  <c r="AJ387" i="1"/>
  <c r="DT394" i="1"/>
  <c r="FV348" i="1"/>
  <c r="EM355" i="1"/>
  <c r="GB309" i="1"/>
  <c r="ES316" i="1"/>
  <c r="AI394" i="1"/>
  <c r="F365" i="1"/>
  <c r="AQ348" i="1"/>
  <c r="FU309" i="1"/>
  <c r="EL316" i="1"/>
  <c r="Q277" i="1"/>
  <c r="AD270" i="1"/>
  <c r="EM433" i="1"/>
  <c r="R430" i="1"/>
  <c r="AE433" i="1" s="1"/>
  <c r="CS429" i="1"/>
  <c r="F364" i="1"/>
  <c r="AP348" i="1"/>
  <c r="EL433" i="1"/>
  <c r="Q430" i="1"/>
  <c r="AD433" i="1" s="1"/>
  <c r="CR429" i="1"/>
  <c r="Q431" i="1"/>
  <c r="CP431" i="1" s="1"/>
  <c r="O431" i="1" s="1"/>
  <c r="GM431" i="1" s="1"/>
  <c r="GN431" i="1" s="1"/>
  <c r="R431" i="1"/>
  <c r="BZ426" i="1"/>
  <c r="FW394" i="1"/>
  <c r="AZ394" i="1"/>
  <c r="CI387" i="1"/>
  <c r="AO348" i="1"/>
  <c r="F359" i="1"/>
  <c r="DY355" i="1"/>
  <c r="CI309" i="1"/>
  <c r="AZ316" i="1"/>
  <c r="CG433" i="1"/>
  <c r="CZ430" i="1"/>
  <c r="F403" i="1"/>
  <c r="AP387" i="1"/>
  <c r="DM316" i="1"/>
  <c r="DZ309" i="1"/>
  <c r="CY430" i="1"/>
  <c r="GC426" i="1"/>
  <c r="EL387" i="1"/>
  <c r="P412" i="1"/>
  <c r="R394" i="1"/>
  <c r="AE387" i="1"/>
  <c r="P380" i="1"/>
  <c r="EV348" i="1"/>
  <c r="X353" i="1"/>
  <c r="Y353" i="1"/>
  <c r="CY353" i="1"/>
  <c r="CZ353" i="1"/>
  <c r="EI433" i="1"/>
  <c r="FR387" i="1"/>
  <c r="FY394" i="1"/>
  <c r="EI394" i="1"/>
  <c r="BA394" i="1"/>
  <c r="CJ387" i="1"/>
  <c r="P371" i="1"/>
  <c r="EU348" i="1"/>
  <c r="EB355" i="1"/>
  <c r="EH433" i="1"/>
  <c r="AT433" i="1"/>
  <c r="CR430" i="1"/>
  <c r="BD426" i="1"/>
  <c r="P398" i="1"/>
  <c r="EG387" i="1"/>
  <c r="EB394" i="1"/>
  <c r="ET348" i="1"/>
  <c r="P368" i="1"/>
  <c r="EA348" i="1"/>
  <c r="DN355" i="1"/>
  <c r="EG433" i="1"/>
  <c r="DM433" i="1"/>
  <c r="DZ394" i="1"/>
  <c r="ER348" i="1"/>
  <c r="P366" i="1"/>
  <c r="DZ348" i="1"/>
  <c r="DM355" i="1"/>
  <c r="GA309" i="1"/>
  <c r="ER316" i="1"/>
  <c r="EB309" i="1"/>
  <c r="DO316" i="1"/>
  <c r="EV433" i="1"/>
  <c r="DL433" i="1"/>
  <c r="V430" i="1"/>
  <c r="AI433" i="1" s="1"/>
  <c r="AH433" i="1"/>
  <c r="F410" i="1"/>
  <c r="DY394" i="1"/>
  <c r="P365" i="1"/>
  <c r="EI348" i="1"/>
  <c r="EU433" i="1"/>
  <c r="AG433" i="1"/>
  <c r="P407" i="1"/>
  <c r="EM387" i="1"/>
  <c r="P413" i="1"/>
  <c r="Q394" i="1"/>
  <c r="AD387" i="1"/>
  <c r="P364" i="1"/>
  <c r="EH348" i="1"/>
  <c r="DX355" i="1"/>
  <c r="X351" i="1"/>
  <c r="EC355" i="1" s="1"/>
  <c r="Y351" i="1"/>
  <c r="ED355" i="1" s="1"/>
  <c r="CY351" i="1"/>
  <c r="CZ351" i="1"/>
  <c r="AP433" i="1"/>
  <c r="X428" i="1"/>
  <c r="AK433" i="1" s="1"/>
  <c r="Y428" i="1"/>
  <c r="AL433" i="1" s="1"/>
  <c r="CY428" i="1"/>
  <c r="CZ428" i="1"/>
  <c r="F407" i="1"/>
  <c r="EA387" i="1"/>
  <c r="DN394" i="1"/>
  <c r="U394" i="1"/>
  <c r="AH387" i="1"/>
  <c r="EP355" i="1"/>
  <c r="FY348" i="1"/>
  <c r="CP353" i="1"/>
  <c r="O353" i="1" s="1"/>
  <c r="GM353" i="1" s="1"/>
  <c r="GN353" i="1" s="1"/>
  <c r="GD387" i="1"/>
  <c r="CL387" i="1"/>
  <c r="BC355" i="1"/>
  <c r="AB350" i="1"/>
  <c r="FR348" i="1"/>
  <c r="BZ348" i="1"/>
  <c r="AB313" i="1"/>
  <c r="P295" i="1"/>
  <c r="FQ270" i="1"/>
  <c r="GA277" i="1"/>
  <c r="CG394" i="1"/>
  <c r="GC387" i="1"/>
  <c r="CK387" i="1"/>
  <c r="BB355" i="1"/>
  <c r="CS352" i="1"/>
  <c r="FQ348" i="1"/>
  <c r="BY348" i="1"/>
  <c r="V314" i="1"/>
  <c r="EA316" i="1" s="1"/>
  <c r="P275" i="1"/>
  <c r="CP275" i="1" s="1"/>
  <c r="O275" i="1" s="1"/>
  <c r="Q275" i="1"/>
  <c r="R275" i="1"/>
  <c r="S275" i="1"/>
  <c r="Y392" i="1"/>
  <c r="Y390" i="1"/>
  <c r="DU355" i="1"/>
  <c r="CR352" i="1"/>
  <c r="CU142" i="3"/>
  <c r="CX146" i="3"/>
  <c r="FP348" i="1"/>
  <c r="BX348" i="1"/>
  <c r="AQ316" i="1"/>
  <c r="AG277" i="1"/>
  <c r="EH394" i="1"/>
  <c r="X392" i="1"/>
  <c r="GM392" i="1" s="1"/>
  <c r="GN392" i="1" s="1"/>
  <c r="P391" i="1"/>
  <c r="CP391" i="1" s="1"/>
  <c r="O391" i="1" s="1"/>
  <c r="GM391" i="1" s="1"/>
  <c r="GN391" i="1" s="1"/>
  <c r="X390" i="1"/>
  <c r="EC394" i="1" s="1"/>
  <c r="S389" i="1"/>
  <c r="CI355" i="1"/>
  <c r="GE348" i="1"/>
  <c r="CM348" i="1"/>
  <c r="T314" i="1"/>
  <c r="DY316" i="1" s="1"/>
  <c r="P293" i="1"/>
  <c r="EU270" i="1"/>
  <c r="S277" i="1"/>
  <c r="AF270" i="1"/>
  <c r="S429" i="1"/>
  <c r="CS350" i="1"/>
  <c r="GD348" i="1"/>
  <c r="AO316" i="1"/>
  <c r="S314" i="1"/>
  <c r="DX316" i="1" s="1"/>
  <c r="T311" i="1"/>
  <c r="P287" i="1"/>
  <c r="CG277" i="1"/>
  <c r="BZ270" i="1"/>
  <c r="AQ277" i="1"/>
  <c r="AB275" i="1"/>
  <c r="X274" i="1"/>
  <c r="Y274" i="1"/>
  <c r="CY274" i="1"/>
  <c r="CJ277" i="1"/>
  <c r="AB430" i="1"/>
  <c r="R429" i="1"/>
  <c r="DW433" i="1" s="1"/>
  <c r="CU163" i="3"/>
  <c r="CX167" i="3"/>
  <c r="CW166" i="3"/>
  <c r="CX165" i="3"/>
  <c r="EV394" i="1"/>
  <c r="AT394" i="1"/>
  <c r="CS392" i="1"/>
  <c r="CS390" i="1"/>
  <c r="CG355" i="1"/>
  <c r="AB353" i="1"/>
  <c r="AB351" i="1"/>
  <c r="GC348" i="1"/>
  <c r="R314" i="1"/>
  <c r="DW316" i="1" s="1"/>
  <c r="CS313" i="1"/>
  <c r="S311" i="1"/>
  <c r="CT311" i="1"/>
  <c r="BZ309" i="1"/>
  <c r="EH277" i="1"/>
  <c r="CI277" i="1"/>
  <c r="CR274" i="1"/>
  <c r="CS274" i="1"/>
  <c r="AD274" i="1"/>
  <c r="EB277" i="1"/>
  <c r="AO433" i="1"/>
  <c r="Q429" i="1"/>
  <c r="DV433" i="1" s="1"/>
  <c r="AD428" i="1"/>
  <c r="AB428" i="1" s="1"/>
  <c r="CR392" i="1"/>
  <c r="CZ391" i="1"/>
  <c r="CR390" i="1"/>
  <c r="P389" i="1"/>
  <c r="CQ350" i="1"/>
  <c r="CR311" i="1"/>
  <c r="CS311" i="1"/>
  <c r="V275" i="1"/>
  <c r="EA277" i="1" s="1"/>
  <c r="AC277" i="1"/>
  <c r="CP272" i="1"/>
  <c r="O272" i="1" s="1"/>
  <c r="CQ392" i="1"/>
  <c r="CY391" i="1"/>
  <c r="CQ390" i="1"/>
  <c r="S350" i="1"/>
  <c r="GA348" i="1"/>
  <c r="EV316" i="1"/>
  <c r="CP274" i="1"/>
  <c r="O274" i="1" s="1"/>
  <c r="GM274" i="1" s="1"/>
  <c r="GN274" i="1" s="1"/>
  <c r="AQ394" i="1"/>
  <c r="EG355" i="1"/>
  <c r="AU355" i="1"/>
  <c r="FV316" i="1"/>
  <c r="FR309" i="1"/>
  <c r="AT270" i="1"/>
  <c r="F295" i="1"/>
  <c r="CD163" i="1"/>
  <c r="AU238" i="1"/>
  <c r="CC163" i="1"/>
  <c r="AT238" i="1"/>
  <c r="GA394" i="1"/>
  <c r="R392" i="1"/>
  <c r="AB391" i="1"/>
  <c r="R390" i="1"/>
  <c r="CX153" i="3"/>
  <c r="CV149" i="3"/>
  <c r="CW152" i="3"/>
  <c r="CX152" i="3"/>
  <c r="CX155" i="3"/>
  <c r="CW153" i="3"/>
  <c r="CU149" i="3"/>
  <c r="FU387" i="1"/>
  <c r="AT355" i="1"/>
  <c r="I352" i="1"/>
  <c r="T352" i="1" s="1"/>
  <c r="AG355" i="1" s="1"/>
  <c r="P326" i="1"/>
  <c r="ET316" i="1"/>
  <c r="BB316" i="1"/>
  <c r="AB312" i="1"/>
  <c r="P312" i="1"/>
  <c r="T275" i="1"/>
  <c r="DY277" i="1" s="1"/>
  <c r="CU170" i="3"/>
  <c r="CW172" i="3"/>
  <c r="CX172" i="3"/>
  <c r="CX176" i="3"/>
  <c r="CW174" i="3"/>
  <c r="CX174" i="3"/>
  <c r="CW173" i="3"/>
  <c r="AO394" i="1"/>
  <c r="Y312" i="1"/>
  <c r="DX394" i="1"/>
  <c r="BD394" i="1"/>
  <c r="F325" i="1"/>
  <c r="AU316" i="1"/>
  <c r="CD309" i="1"/>
  <c r="AB273" i="1"/>
  <c r="AJ277" i="1"/>
  <c r="BZ387" i="1"/>
  <c r="AX316" i="1"/>
  <c r="AT309" i="1"/>
  <c r="AI277" i="1"/>
  <c r="CX136" i="3"/>
  <c r="CX139" i="3"/>
  <c r="CU135" i="3"/>
  <c r="CV135" i="3"/>
  <c r="CX135" i="3"/>
  <c r="CX141" i="3"/>
  <c r="EP316" i="1"/>
  <c r="X312" i="1"/>
  <c r="CY312" i="1"/>
  <c r="CZ312" i="1"/>
  <c r="CU121" i="3"/>
  <c r="CX127" i="3"/>
  <c r="CX126" i="3"/>
  <c r="Q311" i="1"/>
  <c r="CP311" i="1" s="1"/>
  <c r="O311" i="1" s="1"/>
  <c r="I313" i="1"/>
  <c r="W313" i="1" s="1"/>
  <c r="R311" i="1"/>
  <c r="GX311" i="1"/>
  <c r="W311" i="1"/>
  <c r="P296" i="1"/>
  <c r="EM270" i="1"/>
  <c r="U277" i="1"/>
  <c r="AH270" i="1"/>
  <c r="Y227" i="1"/>
  <c r="CY227" i="1"/>
  <c r="CZ227" i="1"/>
  <c r="X227" i="1"/>
  <c r="CZ392" i="1"/>
  <c r="CZ390" i="1"/>
  <c r="CU156" i="3"/>
  <c r="CW160" i="3"/>
  <c r="CX160" i="3"/>
  <c r="CW158" i="3"/>
  <c r="CX162" i="3"/>
  <c r="CX158" i="3"/>
  <c r="CW157" i="3"/>
  <c r="DZ270" i="1"/>
  <c r="DM277" i="1"/>
  <c r="AB314" i="1"/>
  <c r="P314" i="1"/>
  <c r="CP314" i="1" s="1"/>
  <c r="O314" i="1" s="1"/>
  <c r="P313" i="1"/>
  <c r="AC316" i="1" s="1"/>
  <c r="V311" i="1"/>
  <c r="GM234" i="1"/>
  <c r="GN234" i="1" s="1"/>
  <c r="EL238" i="1"/>
  <c r="AZ238" i="1"/>
  <c r="Q231" i="1"/>
  <c r="X230" i="1"/>
  <c r="GM230" i="1" s="1"/>
  <c r="GN230" i="1" s="1"/>
  <c r="X222" i="1"/>
  <c r="Y222" i="1"/>
  <c r="AD221" i="1"/>
  <c r="AB221" i="1" s="1"/>
  <c r="Q221" i="1"/>
  <c r="CP221" i="1" s="1"/>
  <c r="O221" i="1" s="1"/>
  <c r="R221" i="1"/>
  <c r="X202" i="1"/>
  <c r="Y202" i="1"/>
  <c r="CY202" i="1"/>
  <c r="CZ202" i="1"/>
  <c r="EG277" i="1"/>
  <c r="AU277" i="1"/>
  <c r="P231" i="1"/>
  <c r="Y224" i="1"/>
  <c r="R222" i="1"/>
  <c r="CR222" i="1"/>
  <c r="CS222" i="1"/>
  <c r="X220" i="1"/>
  <c r="GM220" i="1" s="1"/>
  <c r="GN220" i="1" s="1"/>
  <c r="Y220" i="1"/>
  <c r="Q219" i="1"/>
  <c r="R219" i="1"/>
  <c r="AB217" i="1"/>
  <c r="X212" i="1"/>
  <c r="GM212" i="1" s="1"/>
  <c r="GN212" i="1" s="1"/>
  <c r="Y212" i="1"/>
  <c r="CY212" i="1"/>
  <c r="CZ212" i="1"/>
  <c r="X206" i="1"/>
  <c r="Y206" i="1"/>
  <c r="CY206" i="1"/>
  <c r="CZ206" i="1"/>
  <c r="AX238" i="1"/>
  <c r="S226" i="1"/>
  <c r="CT226" i="1"/>
  <c r="CR224" i="1"/>
  <c r="CS224" i="1"/>
  <c r="S205" i="1"/>
  <c r="CT205" i="1"/>
  <c r="EI238" i="1"/>
  <c r="Q218" i="1"/>
  <c r="CP218" i="1" s="1"/>
  <c r="O218" i="1" s="1"/>
  <c r="R218" i="1"/>
  <c r="CR218" i="1"/>
  <c r="Q209" i="1"/>
  <c r="R209" i="1"/>
  <c r="CR209" i="1"/>
  <c r="CS209" i="1"/>
  <c r="Y209" i="1"/>
  <c r="X208" i="1"/>
  <c r="Y208" i="1"/>
  <c r="CY208" i="1"/>
  <c r="CZ208" i="1"/>
  <c r="X207" i="1"/>
  <c r="Y207" i="1"/>
  <c r="Q205" i="1"/>
  <c r="R205" i="1"/>
  <c r="CR205" i="1"/>
  <c r="CS205" i="1"/>
  <c r="ET277" i="1"/>
  <c r="EH238" i="1"/>
  <c r="X236" i="1"/>
  <c r="GM236" i="1" s="1"/>
  <c r="GN236" i="1" s="1"/>
  <c r="P235" i="1"/>
  <c r="CP235" i="1" s="1"/>
  <c r="O235" i="1" s="1"/>
  <c r="X234" i="1"/>
  <c r="X232" i="1"/>
  <c r="GM232" i="1" s="1"/>
  <c r="GN232" i="1" s="1"/>
  <c r="CQ230" i="1"/>
  <c r="CY229" i="1"/>
  <c r="CR227" i="1"/>
  <c r="AD227" i="1"/>
  <c r="AB227" i="1" s="1"/>
  <c r="P225" i="1"/>
  <c r="Y223" i="1"/>
  <c r="AB222" i="1"/>
  <c r="AD218" i="1"/>
  <c r="AB218" i="1" s="1"/>
  <c r="AD215" i="1"/>
  <c r="AB215" i="1" s="1"/>
  <c r="CY215" i="1"/>
  <c r="CR215" i="1"/>
  <c r="AD209" i="1"/>
  <c r="CR207" i="1"/>
  <c r="CS207" i="1"/>
  <c r="AD205" i="1"/>
  <c r="X201" i="1"/>
  <c r="Y201" i="1"/>
  <c r="CY201" i="1"/>
  <c r="CZ201" i="1"/>
  <c r="FV270" i="1"/>
  <c r="EG238" i="1"/>
  <c r="S228" i="1"/>
  <c r="CT228" i="1"/>
  <c r="CZ222" i="1"/>
  <c r="CY213" i="1"/>
  <c r="CZ213" i="1"/>
  <c r="CZ211" i="1"/>
  <c r="X211" i="1"/>
  <c r="P209" i="1"/>
  <c r="CP209" i="1" s="1"/>
  <c r="O209" i="1" s="1"/>
  <c r="CQ209" i="1"/>
  <c r="CP206" i="1"/>
  <c r="O206" i="1" s="1"/>
  <c r="GM206" i="1" s="1"/>
  <c r="GN206" i="1" s="1"/>
  <c r="CP205" i="1"/>
  <c r="O205" i="1" s="1"/>
  <c r="CY193" i="1"/>
  <c r="X193" i="1"/>
  <c r="Y193" i="1"/>
  <c r="CZ193" i="1"/>
  <c r="AP277" i="1"/>
  <c r="AB274" i="1"/>
  <c r="R273" i="1"/>
  <c r="DW277" i="1" s="1"/>
  <c r="CZ272" i="1"/>
  <c r="CX114" i="3"/>
  <c r="CX110" i="3"/>
  <c r="CU109" i="3"/>
  <c r="CV109" i="3"/>
  <c r="CX109" i="3"/>
  <c r="CX113" i="3"/>
  <c r="FU270" i="1"/>
  <c r="EV238" i="1"/>
  <c r="CS236" i="1"/>
  <c r="CS234" i="1"/>
  <c r="CS232" i="1"/>
  <c r="AD231" i="1"/>
  <c r="AB231" i="1" s="1"/>
  <c r="R230" i="1"/>
  <c r="AB226" i="1"/>
  <c r="CZ224" i="1"/>
  <c r="X224" i="1"/>
  <c r="CY222" i="1"/>
  <c r="V216" i="1"/>
  <c r="AB209" i="1"/>
  <c r="P207" i="1"/>
  <c r="CQ207" i="1"/>
  <c r="AB207" i="1"/>
  <c r="CX133" i="3"/>
  <c r="CW129" i="3"/>
  <c r="CX129" i="3"/>
  <c r="CU128" i="3"/>
  <c r="CV128" i="3"/>
  <c r="CX131" i="3"/>
  <c r="FP309" i="1"/>
  <c r="AO277" i="1"/>
  <c r="Q273" i="1"/>
  <c r="DV277" i="1" s="1"/>
  <c r="CY272" i="1"/>
  <c r="AD272" i="1"/>
  <c r="AB272" i="1" s="1"/>
  <c r="EU238" i="1"/>
  <c r="CR236" i="1"/>
  <c r="CZ235" i="1"/>
  <c r="CR234" i="1"/>
  <c r="CY224" i="1"/>
  <c r="Q222" i="1"/>
  <c r="CS221" i="1"/>
  <c r="GX219" i="1"/>
  <c r="S218" i="1"/>
  <c r="CZ215" i="1"/>
  <c r="Y215" i="1"/>
  <c r="P213" i="1"/>
  <c r="CP213" i="1" s="1"/>
  <c r="O213" i="1" s="1"/>
  <c r="CQ213" i="1"/>
  <c r="X209" i="1"/>
  <c r="Q207" i="1"/>
  <c r="FY277" i="1"/>
  <c r="DX277" i="1"/>
  <c r="BD277" i="1"/>
  <c r="P273" i="1"/>
  <c r="ET238" i="1"/>
  <c r="CQ236" i="1"/>
  <c r="CY235" i="1"/>
  <c r="CQ234" i="1"/>
  <c r="CZ233" i="1"/>
  <c r="CQ232" i="1"/>
  <c r="P222" i="1"/>
  <c r="CR221" i="1"/>
  <c r="X221" i="1"/>
  <c r="CY221" i="1"/>
  <c r="W220" i="1"/>
  <c r="S219" i="1"/>
  <c r="T216" i="1"/>
  <c r="X215" i="1"/>
  <c r="AB213" i="1"/>
  <c r="P211" i="1"/>
  <c r="CP211" i="1" s="1"/>
  <c r="O211" i="1" s="1"/>
  <c r="CQ211" i="1"/>
  <c r="CP201" i="1"/>
  <c r="O201" i="1" s="1"/>
  <c r="CZ188" i="1"/>
  <c r="X188" i="1"/>
  <c r="Y188" i="1"/>
  <c r="CY188" i="1"/>
  <c r="BC277" i="1"/>
  <c r="CT274" i="1"/>
  <c r="FR270" i="1"/>
  <c r="AQ238" i="1"/>
  <c r="CY233" i="1"/>
  <c r="AD233" i="1"/>
  <c r="AB233" i="1" s="1"/>
  <c r="CS229" i="1"/>
  <c r="AB228" i="1"/>
  <c r="S225" i="1"/>
  <c r="Q224" i="1"/>
  <c r="CP224" i="1" s="1"/>
  <c r="O224" i="1" s="1"/>
  <c r="GM224" i="1" s="1"/>
  <c r="GN224" i="1" s="1"/>
  <c r="S216" i="1"/>
  <c r="CP216" i="1" s="1"/>
  <c r="O216" i="1" s="1"/>
  <c r="CT216" i="1"/>
  <c r="Y213" i="1"/>
  <c r="CZ209" i="1"/>
  <c r="X204" i="1"/>
  <c r="Y204" i="1"/>
  <c r="CY204" i="1"/>
  <c r="CZ204" i="1"/>
  <c r="GM193" i="1"/>
  <c r="GN193" i="1" s="1"/>
  <c r="X190" i="1"/>
  <c r="Y190" i="1"/>
  <c r="CY190" i="1"/>
  <c r="CZ190" i="1"/>
  <c r="BB277" i="1"/>
  <c r="Y272" i="1"/>
  <c r="AL277" i="1" s="1"/>
  <c r="BY270" i="1"/>
  <c r="GA238" i="1"/>
  <c r="AP238" i="1"/>
  <c r="CR229" i="1"/>
  <c r="CT222" i="1"/>
  <c r="U220" i="1"/>
  <c r="DZ238" i="1" s="1"/>
  <c r="X213" i="1"/>
  <c r="Y211" i="1"/>
  <c r="CY209" i="1"/>
  <c r="CZ273" i="1"/>
  <c r="CU115" i="3"/>
  <c r="CV115" i="3"/>
  <c r="CX117" i="3"/>
  <c r="X272" i="1"/>
  <c r="AK277" i="1" s="1"/>
  <c r="AO238" i="1"/>
  <c r="Y235" i="1"/>
  <c r="CZ230" i="1"/>
  <c r="X229" i="1"/>
  <c r="GM229" i="1" s="1"/>
  <c r="GN229" i="1" s="1"/>
  <c r="CT227" i="1"/>
  <c r="CT224" i="1"/>
  <c r="R224" i="1"/>
  <c r="CP223" i="1"/>
  <c r="O223" i="1" s="1"/>
  <c r="GM223" i="1" s="1"/>
  <c r="GN223" i="1" s="1"/>
  <c r="T220" i="1"/>
  <c r="AB219" i="1"/>
  <c r="P219" i="1"/>
  <c r="CP219" i="1" s="1"/>
  <c r="O219" i="1" s="1"/>
  <c r="CS218" i="1"/>
  <c r="GX216" i="1"/>
  <c r="GB238" i="1" s="1"/>
  <c r="CY211" i="1"/>
  <c r="CZ207" i="1"/>
  <c r="X203" i="1"/>
  <c r="Y203" i="1"/>
  <c r="CY203" i="1"/>
  <c r="CY273" i="1"/>
  <c r="FY238" i="1"/>
  <c r="BD238" i="1"/>
  <c r="Y233" i="1"/>
  <c r="GM233" i="1" s="1"/>
  <c r="GN233" i="1" s="1"/>
  <c r="CS231" i="1"/>
  <c r="CY230" i="1"/>
  <c r="R229" i="1"/>
  <c r="P226" i="1"/>
  <c r="CP226" i="1" s="1"/>
  <c r="O226" i="1" s="1"/>
  <c r="GX220" i="1"/>
  <c r="S214" i="1"/>
  <c r="CP214" i="1" s="1"/>
  <c r="O214" i="1" s="1"/>
  <c r="CT214" i="1"/>
  <c r="CY207" i="1"/>
  <c r="CS272" i="1"/>
  <c r="BC238" i="1"/>
  <c r="Q227" i="1"/>
  <c r="CP227" i="1" s="1"/>
  <c r="O227" i="1" s="1"/>
  <c r="GM227" i="1" s="1"/>
  <c r="GN227" i="1" s="1"/>
  <c r="CS215" i="1"/>
  <c r="Q215" i="1"/>
  <c r="CP215" i="1" s="1"/>
  <c r="O215" i="1" s="1"/>
  <c r="GM215" i="1" s="1"/>
  <c r="GN215" i="1" s="1"/>
  <c r="X197" i="1"/>
  <c r="Y197" i="1"/>
  <c r="CY197" i="1"/>
  <c r="CZ197" i="1"/>
  <c r="R274" i="1"/>
  <c r="AE277" i="1" s="1"/>
  <c r="BB238" i="1"/>
  <c r="S231" i="1"/>
  <c r="R228" i="1"/>
  <c r="AB220" i="1"/>
  <c r="V219" i="1"/>
  <c r="R216" i="1"/>
  <c r="X199" i="1"/>
  <c r="GM199" i="1" s="1"/>
  <c r="GN199" i="1" s="1"/>
  <c r="Y199" i="1"/>
  <c r="CY199" i="1"/>
  <c r="CZ199" i="1"/>
  <c r="EM238" i="1"/>
  <c r="P228" i="1"/>
  <c r="CP228" i="1" s="1"/>
  <c r="O228" i="1" s="1"/>
  <c r="U219" i="1"/>
  <c r="AB214" i="1"/>
  <c r="X210" i="1"/>
  <c r="GM210" i="1" s="1"/>
  <c r="GN210" i="1" s="1"/>
  <c r="Y210" i="1"/>
  <c r="CY210" i="1"/>
  <c r="CZ210" i="1"/>
  <c r="Y182" i="1"/>
  <c r="CY182" i="1"/>
  <c r="CQ197" i="1"/>
  <c r="AB197" i="1"/>
  <c r="S185" i="1"/>
  <c r="CT185" i="1"/>
  <c r="R182" i="1"/>
  <c r="AD182" i="1"/>
  <c r="AB182" i="1" s="1"/>
  <c r="Q182" i="1"/>
  <c r="CY181" i="1"/>
  <c r="CZ181" i="1"/>
  <c r="X181" i="1"/>
  <c r="GM181" i="1" s="1"/>
  <c r="GN181" i="1" s="1"/>
  <c r="Y181" i="1"/>
  <c r="DV116" i="1"/>
  <c r="DI131" i="1"/>
  <c r="AI131" i="1"/>
  <c r="AD203" i="1"/>
  <c r="AB203" i="1" s="1"/>
  <c r="AB190" i="1"/>
  <c r="W183" i="1"/>
  <c r="CQ182" i="1"/>
  <c r="P182" i="1"/>
  <c r="AD116" i="1"/>
  <c r="Q131" i="1"/>
  <c r="CQ217" i="1"/>
  <c r="CS213" i="1"/>
  <c r="CT211" i="1"/>
  <c r="Q208" i="1"/>
  <c r="CP208" i="1" s="1"/>
  <c r="O208" i="1" s="1"/>
  <c r="GM208" i="1" s="1"/>
  <c r="GN208" i="1" s="1"/>
  <c r="AB205" i="1"/>
  <c r="AD201" i="1"/>
  <c r="AB201" i="1" s="1"/>
  <c r="CR200" i="1"/>
  <c r="S196" i="1"/>
  <c r="Q195" i="1"/>
  <c r="CP195" i="1" s="1"/>
  <c r="O195" i="1" s="1"/>
  <c r="GM195" i="1" s="1"/>
  <c r="GN195" i="1" s="1"/>
  <c r="CS193" i="1"/>
  <c r="AD193" i="1"/>
  <c r="AB193" i="1" s="1"/>
  <c r="CQ188" i="1"/>
  <c r="AD185" i="1"/>
  <c r="AB185" i="1" s="1"/>
  <c r="CY179" i="1"/>
  <c r="CZ179" i="1"/>
  <c r="Y179" i="1"/>
  <c r="CR213" i="1"/>
  <c r="R204" i="1"/>
  <c r="AD199" i="1"/>
  <c r="AB199" i="1" s="1"/>
  <c r="CT194" i="1"/>
  <c r="CQ191" i="1"/>
  <c r="S191" i="1"/>
  <c r="V187" i="1"/>
  <c r="R184" i="1"/>
  <c r="Q184" i="1"/>
  <c r="X182" i="1"/>
  <c r="CT207" i="1"/>
  <c r="Q188" i="1"/>
  <c r="CP188" i="1" s="1"/>
  <c r="O188" i="1" s="1"/>
  <c r="GM188" i="1" s="1"/>
  <c r="GN188" i="1" s="1"/>
  <c r="R188" i="1"/>
  <c r="U187" i="1"/>
  <c r="GX183" i="1"/>
  <c r="T183" i="1"/>
  <c r="CZ182" i="1"/>
  <c r="X165" i="1"/>
  <c r="Y165" i="1"/>
  <c r="CY165" i="1"/>
  <c r="CZ165" i="1"/>
  <c r="FT116" i="1"/>
  <c r="EK131" i="1"/>
  <c r="R215" i="1"/>
  <c r="AD212" i="1"/>
  <c r="AB212" i="1" s="1"/>
  <c r="AD210" i="1"/>
  <c r="AB210" i="1" s="1"/>
  <c r="P204" i="1"/>
  <c r="CP204" i="1" s="1"/>
  <c r="O204" i="1" s="1"/>
  <c r="GM204" i="1" s="1"/>
  <c r="GN204" i="1" s="1"/>
  <c r="P202" i="1"/>
  <c r="CP202" i="1" s="1"/>
  <c r="O202" i="1" s="1"/>
  <c r="GM202" i="1" s="1"/>
  <c r="GN202" i="1" s="1"/>
  <c r="CT197" i="1"/>
  <c r="CT190" i="1"/>
  <c r="CZ189" i="1"/>
  <c r="AD189" i="1"/>
  <c r="AB189" i="1" s="1"/>
  <c r="CS184" i="1"/>
  <c r="X169" i="1"/>
  <c r="Y169" i="1"/>
  <c r="CY169" i="1"/>
  <c r="CZ169" i="1"/>
  <c r="EB131" i="1"/>
  <c r="AD225" i="1"/>
  <c r="AB225" i="1" s="1"/>
  <c r="P217" i="1"/>
  <c r="CP217" i="1" s="1"/>
  <c r="O217" i="1" s="1"/>
  <c r="GM217" i="1" s="1"/>
  <c r="GN217" i="1" s="1"/>
  <c r="R213" i="1"/>
  <c r="CT203" i="1"/>
  <c r="Q200" i="1"/>
  <c r="CP200" i="1" s="1"/>
  <c r="O200" i="1" s="1"/>
  <c r="GM200" i="1" s="1"/>
  <c r="GN200" i="1" s="1"/>
  <c r="CS197" i="1"/>
  <c r="CQ194" i="1"/>
  <c r="CS190" i="1"/>
  <c r="CY189" i="1"/>
  <c r="CY186" i="1"/>
  <c r="R185" i="1"/>
  <c r="CR184" i="1"/>
  <c r="X179" i="1"/>
  <c r="GX207" i="1"/>
  <c r="CS203" i="1"/>
  <c r="CT201" i="1"/>
  <c r="CR197" i="1"/>
  <c r="R197" i="1"/>
  <c r="CZ192" i="1"/>
  <c r="CQ190" i="1"/>
  <c r="Q185" i="1"/>
  <c r="BZ116" i="1"/>
  <c r="AQ131" i="1"/>
  <c r="CG131" i="1"/>
  <c r="CQ205" i="1"/>
  <c r="CS201" i="1"/>
  <c r="CT199" i="1"/>
  <c r="AD195" i="1"/>
  <c r="AB195" i="1" s="1"/>
  <c r="CY192" i="1"/>
  <c r="R190" i="1"/>
  <c r="AD187" i="1"/>
  <c r="Y186" i="1"/>
  <c r="V183" i="1"/>
  <c r="AI238" i="1" s="1"/>
  <c r="CT182" i="1"/>
  <c r="CR180" i="1"/>
  <c r="CS180" i="1"/>
  <c r="CP169" i="1"/>
  <c r="O169" i="1" s="1"/>
  <c r="R207" i="1"/>
  <c r="CR201" i="1"/>
  <c r="P197" i="1"/>
  <c r="CP197" i="1" s="1"/>
  <c r="O197" i="1" s="1"/>
  <c r="GM197" i="1" s="1"/>
  <c r="GN197" i="1" s="1"/>
  <c r="CZ195" i="1"/>
  <c r="CT193" i="1"/>
  <c r="Q190" i="1"/>
  <c r="CP190" i="1" s="1"/>
  <c r="O190" i="1" s="1"/>
  <c r="GM190" i="1" s="1"/>
  <c r="GN190" i="1" s="1"/>
  <c r="AB187" i="1"/>
  <c r="X186" i="1"/>
  <c r="U183" i="1"/>
  <c r="AH238" i="1" s="1"/>
  <c r="CS182" i="1"/>
  <c r="CP171" i="1"/>
  <c r="O171" i="1" s="1"/>
  <c r="GM171" i="1" s="1"/>
  <c r="GN171" i="1" s="1"/>
  <c r="AH131" i="1"/>
  <c r="CY195" i="1"/>
  <c r="Y192" i="1"/>
  <c r="GM192" i="1" s="1"/>
  <c r="GN192" i="1" s="1"/>
  <c r="T187" i="1"/>
  <c r="CR185" i="1"/>
  <c r="S183" i="1"/>
  <c r="CR182" i="1"/>
  <c r="GM175" i="1"/>
  <c r="GN175" i="1" s="1"/>
  <c r="EA131" i="1"/>
  <c r="R203" i="1"/>
  <c r="CY200" i="1"/>
  <c r="Y195" i="1"/>
  <c r="R193" i="1"/>
  <c r="CS189" i="1"/>
  <c r="S187" i="1"/>
  <c r="Y184" i="1"/>
  <c r="CY184" i="1"/>
  <c r="R183" i="1"/>
  <c r="CP179" i="1"/>
  <c r="O179" i="1" s="1"/>
  <c r="CY168" i="1"/>
  <c r="CZ168" i="1"/>
  <c r="X168" i="1"/>
  <c r="Y168" i="1"/>
  <c r="AG131" i="1"/>
  <c r="Q203" i="1"/>
  <c r="CP203" i="1" s="1"/>
  <c r="O203" i="1" s="1"/>
  <c r="GM203" i="1" s="1"/>
  <c r="GN203" i="1" s="1"/>
  <c r="X189" i="1"/>
  <c r="GM189" i="1" s="1"/>
  <c r="GN189" i="1" s="1"/>
  <c r="W188" i="1"/>
  <c r="EB238" i="1" s="1"/>
  <c r="R187" i="1"/>
  <c r="P183" i="1"/>
  <c r="CP183" i="1" s="1"/>
  <c r="O183" i="1" s="1"/>
  <c r="X167" i="1"/>
  <c r="Y167" i="1"/>
  <c r="CY167" i="1"/>
  <c r="CZ167" i="1"/>
  <c r="W187" i="1"/>
  <c r="Q187" i="1"/>
  <c r="CP187" i="1" s="1"/>
  <c r="O187" i="1" s="1"/>
  <c r="CQ184" i="1"/>
  <c r="P184" i="1"/>
  <c r="X173" i="1"/>
  <c r="GM173" i="1" s="1"/>
  <c r="GN173" i="1" s="1"/>
  <c r="Y173" i="1"/>
  <c r="CY173" i="1"/>
  <c r="CZ173" i="1"/>
  <c r="GB116" i="1"/>
  <c r="ES131" i="1"/>
  <c r="GM186" i="1"/>
  <c r="GN186" i="1" s="1"/>
  <c r="CY166" i="1"/>
  <c r="CZ166" i="1"/>
  <c r="X166" i="1"/>
  <c r="Y166" i="1"/>
  <c r="AJ116" i="1"/>
  <c r="W131" i="1"/>
  <c r="CJ131" i="1"/>
  <c r="CY177" i="1"/>
  <c r="CZ175" i="1"/>
  <c r="Q167" i="1"/>
  <c r="AD238" i="1" s="1"/>
  <c r="FY131" i="1"/>
  <c r="X125" i="1"/>
  <c r="GB26" i="1"/>
  <c r="ES39" i="1"/>
  <c r="R180" i="1"/>
  <c r="R178" i="1"/>
  <c r="CQ176" i="1"/>
  <c r="CY175" i="1"/>
  <c r="CQ174" i="1"/>
  <c r="CS172" i="1"/>
  <c r="CS170" i="1"/>
  <c r="P167" i="1"/>
  <c r="EM131" i="1"/>
  <c r="AU131" i="1"/>
  <c r="CP127" i="1"/>
  <c r="O127" i="1" s="1"/>
  <c r="GM127" i="1" s="1"/>
  <c r="CQ123" i="1"/>
  <c r="CG71" i="1"/>
  <c r="AX84" i="1"/>
  <c r="Q178" i="1"/>
  <c r="CP178" i="1" s="1"/>
  <c r="O178" i="1" s="1"/>
  <c r="GM178" i="1" s="1"/>
  <c r="GN178" i="1" s="1"/>
  <c r="AB177" i="1"/>
  <c r="S176" i="1"/>
  <c r="CP176" i="1" s="1"/>
  <c r="O176" i="1" s="1"/>
  <c r="S174" i="1"/>
  <c r="AD173" i="1"/>
  <c r="AB173" i="1" s="1"/>
  <c r="CR170" i="1"/>
  <c r="CT168" i="1"/>
  <c r="CT166" i="1"/>
  <c r="P165" i="1"/>
  <c r="EL131" i="1"/>
  <c r="AT131" i="1"/>
  <c r="R131" i="1"/>
  <c r="AB127" i="1"/>
  <c r="Y76" i="1"/>
  <c r="DX84" i="1"/>
  <c r="X76" i="1"/>
  <c r="CY76" i="1"/>
  <c r="CZ76" i="1"/>
  <c r="V168" i="1"/>
  <c r="EA238" i="1" s="1"/>
  <c r="X126" i="1"/>
  <c r="CZ126" i="1"/>
  <c r="CB131" i="1"/>
  <c r="EB84" i="1"/>
  <c r="AP116" i="1"/>
  <c r="F140" i="1"/>
  <c r="CT125" i="1"/>
  <c r="DY131" i="1"/>
  <c r="X118" i="1"/>
  <c r="Y118" i="1"/>
  <c r="CY118" i="1"/>
  <c r="CZ118" i="1"/>
  <c r="FR77" i="1"/>
  <c r="EA84" i="1"/>
  <c r="R172" i="1"/>
  <c r="AB171" i="1"/>
  <c r="R170" i="1"/>
  <c r="AD167" i="1"/>
  <c r="P144" i="1"/>
  <c r="EI131" i="1"/>
  <c r="DM131" i="1"/>
  <c r="CQ125" i="1"/>
  <c r="Q172" i="1"/>
  <c r="CP172" i="1" s="1"/>
  <c r="O172" i="1" s="1"/>
  <c r="GM172" i="1" s="1"/>
  <c r="GN172" i="1" s="1"/>
  <c r="CP126" i="1"/>
  <c r="O126" i="1" s="1"/>
  <c r="FR80" i="1"/>
  <c r="CP80" i="1"/>
  <c r="O80" i="1" s="1"/>
  <c r="GM80" i="1" s="1"/>
  <c r="FR76" i="1"/>
  <c r="R168" i="1"/>
  <c r="DW238" i="1" s="1"/>
  <c r="AB167" i="1"/>
  <c r="EG131" i="1"/>
  <c r="X128" i="1"/>
  <c r="GM128" i="1" s="1"/>
  <c r="CZ128" i="1"/>
  <c r="X122" i="1"/>
  <c r="GM122" i="1" s="1"/>
  <c r="CY122" i="1"/>
  <c r="CZ122" i="1"/>
  <c r="X120" i="1"/>
  <c r="GM120" i="1" s="1"/>
  <c r="CY120" i="1"/>
  <c r="CZ120" i="1"/>
  <c r="CJ84" i="1"/>
  <c r="P185" i="1"/>
  <c r="CP185" i="1" s="1"/>
  <c r="O185" i="1" s="1"/>
  <c r="R181" i="1"/>
  <c r="CS173" i="1"/>
  <c r="Q168" i="1"/>
  <c r="CP168" i="1" s="1"/>
  <c r="O168" i="1" s="1"/>
  <c r="GM168" i="1" s="1"/>
  <c r="GN168" i="1" s="1"/>
  <c r="Q166" i="1"/>
  <c r="DV238" i="1" s="1"/>
  <c r="AB165" i="1"/>
  <c r="BD131" i="1"/>
  <c r="CQ129" i="1"/>
  <c r="X79" i="1"/>
  <c r="Y79" i="1"/>
  <c r="CY79" i="1"/>
  <c r="CZ79" i="1"/>
  <c r="BC131" i="1"/>
  <c r="GM123" i="1"/>
  <c r="CZ119" i="1"/>
  <c r="X119" i="1"/>
  <c r="FU71" i="1"/>
  <c r="EL84" i="1"/>
  <c r="AJ84" i="1"/>
  <c r="CQ173" i="1"/>
  <c r="CZ172" i="1"/>
  <c r="CZ170" i="1"/>
  <c r="CS169" i="1"/>
  <c r="CT167" i="1"/>
  <c r="W167" i="1"/>
  <c r="AJ238" i="1" s="1"/>
  <c r="EV131" i="1"/>
  <c r="S131" i="1"/>
  <c r="AF116" i="1"/>
  <c r="AB124" i="1"/>
  <c r="S121" i="1"/>
  <c r="CT121" i="1"/>
  <c r="GM118" i="1"/>
  <c r="DZ84" i="1"/>
  <c r="AI84" i="1"/>
  <c r="EA26" i="1"/>
  <c r="DN39" i="1"/>
  <c r="R125" i="1"/>
  <c r="DW131" i="1" s="1"/>
  <c r="CR125" i="1"/>
  <c r="CS125" i="1"/>
  <c r="FY71" i="1"/>
  <c r="EP84" i="1"/>
  <c r="FR82" i="1"/>
  <c r="CP82" i="1"/>
  <c r="O82" i="1" s="1"/>
  <c r="GM82" i="1" s="1"/>
  <c r="DY84" i="1"/>
  <c r="AH84" i="1"/>
  <c r="AD125" i="1"/>
  <c r="AB125" i="1" s="1"/>
  <c r="P119" i="1"/>
  <c r="CQ119" i="1"/>
  <c r="X81" i="1"/>
  <c r="GM81" i="1" s="1"/>
  <c r="Y81" i="1"/>
  <c r="CY81" i="1"/>
  <c r="CZ81" i="1"/>
  <c r="BZ71" i="1"/>
  <c r="AQ84" i="1"/>
  <c r="AG84" i="1"/>
  <c r="R186" i="1"/>
  <c r="CS178" i="1"/>
  <c r="R171" i="1"/>
  <c r="AC131" i="1"/>
  <c r="CP125" i="1"/>
  <c r="O125" i="1" s="1"/>
  <c r="P121" i="1"/>
  <c r="CQ121" i="1"/>
  <c r="AB119" i="1"/>
  <c r="GM79" i="1"/>
  <c r="GB84" i="1"/>
  <c r="X73" i="1"/>
  <c r="GM73" i="1" s="1"/>
  <c r="Y73" i="1"/>
  <c r="CY73" i="1"/>
  <c r="CZ73" i="1"/>
  <c r="Y172" i="1"/>
  <c r="Y170" i="1"/>
  <c r="GM170" i="1" s="1"/>
  <c r="GN170" i="1" s="1"/>
  <c r="R169" i="1"/>
  <c r="AE238" i="1" s="1"/>
  <c r="CI131" i="1"/>
  <c r="AB126" i="1"/>
  <c r="CZ125" i="1"/>
  <c r="AB121" i="1"/>
  <c r="Y119" i="1"/>
  <c r="R129" i="1"/>
  <c r="CR129" i="1"/>
  <c r="CS129" i="1"/>
  <c r="R127" i="1"/>
  <c r="CR127" i="1"/>
  <c r="CS127" i="1"/>
  <c r="Y126" i="1"/>
  <c r="CY125" i="1"/>
  <c r="X124" i="1"/>
  <c r="GM124" i="1" s="1"/>
  <c r="CZ124" i="1"/>
  <c r="CB71" i="1"/>
  <c r="AS84" i="1"/>
  <c r="FR78" i="1"/>
  <c r="FR74" i="1"/>
  <c r="FQ84" i="1" s="1"/>
  <c r="DU84" i="1"/>
  <c r="CP74" i="1"/>
  <c r="O74" i="1" s="1"/>
  <c r="Q77" i="1"/>
  <c r="CP77" i="1" s="1"/>
  <c r="O77" i="1" s="1"/>
  <c r="GM77" i="1" s="1"/>
  <c r="R77" i="1"/>
  <c r="DX26" i="1"/>
  <c r="DK39" i="1"/>
  <c r="CY37" i="1"/>
  <c r="CZ37" i="1"/>
  <c r="X37" i="1"/>
  <c r="Y37" i="1"/>
  <c r="CW171" i="3"/>
  <c r="CW122" i="3"/>
  <c r="DH78" i="3"/>
  <c r="DF78" i="3"/>
  <c r="DJ78" i="3" s="1"/>
  <c r="DI78" i="3"/>
  <c r="DG78" i="3"/>
  <c r="DG74" i="3"/>
  <c r="DH74" i="3"/>
  <c r="DF74" i="3"/>
  <c r="DJ74" i="3" s="1"/>
  <c r="DI74" i="3"/>
  <c r="EG84" i="1"/>
  <c r="AU84" i="1"/>
  <c r="FP71" i="1"/>
  <c r="CX166" i="3"/>
  <c r="CW151" i="3"/>
  <c r="EV84" i="1"/>
  <c r="AT84" i="1"/>
  <c r="CR78" i="1"/>
  <c r="Y78" i="1"/>
  <c r="CP35" i="1"/>
  <c r="O35" i="1" s="1"/>
  <c r="CX173" i="3"/>
  <c r="CX119" i="3"/>
  <c r="EU84" i="1"/>
  <c r="FR81" i="1"/>
  <c r="FR79" i="1"/>
  <c r="R78" i="1"/>
  <c r="AB77" i="1"/>
  <c r="CS75" i="1"/>
  <c r="R75" i="1"/>
  <c r="AE84" i="1" s="1"/>
  <c r="AB74" i="1"/>
  <c r="F52" i="1"/>
  <c r="DM39" i="1"/>
  <c r="CP37" i="1"/>
  <c r="O37" i="1" s="1"/>
  <c r="AH26" i="1"/>
  <c r="U39" i="1"/>
  <c r="CT119" i="1"/>
  <c r="ET84" i="1"/>
  <c r="Q78" i="1"/>
  <c r="CP78" i="1" s="1"/>
  <c r="O78" i="1" s="1"/>
  <c r="GM78" i="1" s="1"/>
  <c r="Y77" i="1"/>
  <c r="CR75" i="1"/>
  <c r="Q75" i="1"/>
  <c r="AD84" i="1" s="1"/>
  <c r="Y74" i="1"/>
  <c r="ED84" i="1" s="1"/>
  <c r="CR73" i="1"/>
  <c r="CS73" i="1"/>
  <c r="EV39" i="1"/>
  <c r="DL39" i="1"/>
  <c r="CX168" i="3"/>
  <c r="CX163" i="3"/>
  <c r="CX138" i="3"/>
  <c r="EU131" i="1"/>
  <c r="CS123" i="1"/>
  <c r="CS121" i="1"/>
  <c r="CS119" i="1"/>
  <c r="CQ82" i="1"/>
  <c r="AD81" i="1"/>
  <c r="AB81" i="1" s="1"/>
  <c r="CQ80" i="1"/>
  <c r="AD79" i="1"/>
  <c r="AB79" i="1" s="1"/>
  <c r="AD76" i="1"/>
  <c r="AB76" i="1" s="1"/>
  <c r="P75" i="1"/>
  <c r="X74" i="1"/>
  <c r="EC84" i="1" s="1"/>
  <c r="FR73" i="1"/>
  <c r="AD73" i="1"/>
  <c r="AB73" i="1" s="1"/>
  <c r="DI39" i="1"/>
  <c r="GM33" i="1"/>
  <c r="GN33" i="1" s="1"/>
  <c r="Y28" i="1"/>
  <c r="CY28" i="1"/>
  <c r="CZ28" i="1"/>
  <c r="X28" i="1"/>
  <c r="CX175" i="3"/>
  <c r="CW143" i="3"/>
  <c r="CR123" i="1"/>
  <c r="CR121" i="1"/>
  <c r="CR119" i="1"/>
  <c r="ER39" i="1"/>
  <c r="CP29" i="1"/>
  <c r="O29" i="1" s="1"/>
  <c r="DU39" i="1"/>
  <c r="CV170" i="3"/>
  <c r="CW116" i="3"/>
  <c r="BX116" i="1"/>
  <c r="AO84" i="1"/>
  <c r="CS77" i="1"/>
  <c r="X36" i="1"/>
  <c r="Y36" i="1"/>
  <c r="CY36" i="1"/>
  <c r="CZ36" i="1"/>
  <c r="CJ39" i="1"/>
  <c r="CW165" i="3"/>
  <c r="DH92" i="3"/>
  <c r="DF92" i="3"/>
  <c r="DJ92" i="3" s="1"/>
  <c r="DG92" i="3"/>
  <c r="DI92" i="3"/>
  <c r="DG90" i="3"/>
  <c r="DH90" i="3"/>
  <c r="DI90" i="3"/>
  <c r="DF90" i="3"/>
  <c r="DJ90" i="3" s="1"/>
  <c r="BD84" i="1"/>
  <c r="CR77" i="1"/>
  <c r="P57" i="1"/>
  <c r="CX150" i="3"/>
  <c r="CX145" i="3"/>
  <c r="CW111" i="3"/>
  <c r="BC84" i="1"/>
  <c r="CQ77" i="1"/>
  <c r="S75" i="1"/>
  <c r="AF84" i="1" s="1"/>
  <c r="CQ74" i="1"/>
  <c r="BX71" i="1"/>
  <c r="CX123" i="3"/>
  <c r="CX118" i="3"/>
  <c r="BB84" i="1"/>
  <c r="EB39" i="1"/>
  <c r="CX157" i="3"/>
  <c r="EM84" i="1"/>
  <c r="CS81" i="1"/>
  <c r="CS79" i="1"/>
  <c r="CZ78" i="1"/>
  <c r="CS76" i="1"/>
  <c r="EG39" i="1"/>
  <c r="CW167" i="3"/>
  <c r="CX147" i="3"/>
  <c r="CX142" i="3"/>
  <c r="CX137" i="3"/>
  <c r="DH108" i="3"/>
  <c r="DF108" i="3"/>
  <c r="DJ108" i="3" s="1"/>
  <c r="DG108" i="3"/>
  <c r="DI108" i="3"/>
  <c r="DH44" i="3"/>
  <c r="DI44" i="3"/>
  <c r="DF44" i="3"/>
  <c r="DJ44" i="3" s="1"/>
  <c r="DG44" i="3"/>
  <c r="CR79" i="1"/>
  <c r="CY78" i="1"/>
  <c r="AB78" i="1"/>
  <c r="CT73" i="1"/>
  <c r="P55" i="1"/>
  <c r="FY39" i="1"/>
  <c r="AJ39" i="1"/>
  <c r="EK84" i="1"/>
  <c r="X78" i="1"/>
  <c r="R76" i="1"/>
  <c r="DW84" i="1" s="1"/>
  <c r="CY35" i="1"/>
  <c r="CZ35" i="1"/>
  <c r="X35" i="1"/>
  <c r="Y35" i="1"/>
  <c r="AI39" i="1"/>
  <c r="CX169" i="3"/>
  <c r="CW164" i="3"/>
  <c r="CW159" i="3"/>
  <c r="CX132" i="3"/>
  <c r="Q76" i="1"/>
  <c r="DV84" i="1" s="1"/>
  <c r="X29" i="1"/>
  <c r="EC39" i="1" s="1"/>
  <c r="Y29" i="1"/>
  <c r="ED39" i="1" s="1"/>
  <c r="CY29" i="1"/>
  <c r="CZ29" i="1"/>
  <c r="AG39" i="1"/>
  <c r="CX154" i="3"/>
  <c r="EI84" i="1"/>
  <c r="P58" i="1"/>
  <c r="EM26" i="1"/>
  <c r="AX39" i="1"/>
  <c r="CG26" i="1"/>
  <c r="AD39" i="1"/>
  <c r="CX134" i="3"/>
  <c r="EI39" i="1"/>
  <c r="CZ33" i="1"/>
  <c r="CR32" i="1"/>
  <c r="CZ31" i="1"/>
  <c r="GD26" i="1"/>
  <c r="CL26" i="1"/>
  <c r="CX124" i="3"/>
  <c r="DF96" i="3"/>
  <c r="DJ96" i="3" s="1"/>
  <c r="DG96" i="3"/>
  <c r="DH96" i="3"/>
  <c r="DH77" i="3"/>
  <c r="DI77" i="3"/>
  <c r="DG72" i="3"/>
  <c r="DH72" i="3"/>
  <c r="DG70" i="3"/>
  <c r="DH70" i="3"/>
  <c r="DI70" i="3"/>
  <c r="DJ70" i="3" s="1"/>
  <c r="DF62" i="3"/>
  <c r="DJ62" i="3" s="1"/>
  <c r="DG62" i="3"/>
  <c r="DH62" i="3"/>
  <c r="DH45" i="3"/>
  <c r="DI45" i="3"/>
  <c r="DF29" i="3"/>
  <c r="DJ29" i="3" s="1"/>
  <c r="DH29" i="3"/>
  <c r="DI29" i="3"/>
  <c r="DF14" i="3"/>
  <c r="DJ14" i="3" s="1"/>
  <c r="DG14" i="3"/>
  <c r="DH14" i="3"/>
  <c r="DF12" i="3"/>
  <c r="DJ12" i="3" s="1"/>
  <c r="DG12" i="3"/>
  <c r="DH12" i="3"/>
  <c r="DI12" i="3"/>
  <c r="EH39" i="1"/>
  <c r="CY33" i="1"/>
  <c r="CQ32" i="1"/>
  <c r="CY31" i="1"/>
  <c r="CT28" i="1"/>
  <c r="GC26" i="1"/>
  <c r="CK26" i="1"/>
  <c r="CX149" i="3"/>
  <c r="CX116" i="3"/>
  <c r="DI102" i="3"/>
  <c r="DF34" i="3"/>
  <c r="DI34" i="3"/>
  <c r="DJ34" i="3" s="1"/>
  <c r="DF21" i="3"/>
  <c r="DJ21" i="3" s="1"/>
  <c r="DG21" i="3"/>
  <c r="DH21" i="3"/>
  <c r="DI21" i="3"/>
  <c r="AU39" i="1"/>
  <c r="CT37" i="1"/>
  <c r="P36" i="1"/>
  <c r="CP36" i="1" s="1"/>
  <c r="O36" i="1" s="1"/>
  <c r="GM36" i="1" s="1"/>
  <c r="GN36" i="1" s="1"/>
  <c r="R34" i="1"/>
  <c r="S32" i="1"/>
  <c r="CX143" i="3"/>
  <c r="CX130" i="3"/>
  <c r="DH107" i="3"/>
  <c r="DI107" i="3"/>
  <c r="DI105" i="3"/>
  <c r="DH102" i="3"/>
  <c r="DF83" i="3"/>
  <c r="DJ83" i="3" s="1"/>
  <c r="DG83" i="3"/>
  <c r="DH83" i="3"/>
  <c r="DI83" i="3"/>
  <c r="DF43" i="3"/>
  <c r="DH43" i="3"/>
  <c r="DI43" i="3"/>
  <c r="DJ43" i="3" s="1"/>
  <c r="CV25" i="3"/>
  <c r="CX25" i="3"/>
  <c r="DH3" i="3"/>
  <c r="DI3" i="3"/>
  <c r="DF3" i="3"/>
  <c r="DJ3" i="3" s="1"/>
  <c r="DG3" i="3"/>
  <c r="AT39" i="1"/>
  <c r="Q34" i="1"/>
  <c r="CP34" i="1" s="1"/>
  <c r="O34" i="1" s="1"/>
  <c r="GM34" i="1" s="1"/>
  <c r="GN34" i="1" s="1"/>
  <c r="R32" i="1"/>
  <c r="S30" i="1"/>
  <c r="CP30" i="1" s="1"/>
  <c r="O30" i="1" s="1"/>
  <c r="CX140" i="3"/>
  <c r="DH105" i="3"/>
  <c r="DG104" i="3"/>
  <c r="DH104" i="3"/>
  <c r="DI104" i="3"/>
  <c r="DG102" i="3"/>
  <c r="DH95" i="3"/>
  <c r="DH91" i="3"/>
  <c r="DI91" i="3"/>
  <c r="DJ91" i="3" s="1"/>
  <c r="DF75" i="3"/>
  <c r="DJ75" i="3" s="1"/>
  <c r="DG75" i="3"/>
  <c r="DF68" i="3"/>
  <c r="DJ68" i="3" s="1"/>
  <c r="DI68" i="3"/>
  <c r="DI65" i="3"/>
  <c r="DF65" i="3"/>
  <c r="DJ65" i="3" s="1"/>
  <c r="DG65" i="3"/>
  <c r="DG57" i="3"/>
  <c r="DH57" i="3"/>
  <c r="DF55" i="3"/>
  <c r="DG55" i="3"/>
  <c r="DF48" i="3"/>
  <c r="DJ48" i="3" s="1"/>
  <c r="DG48" i="3"/>
  <c r="DH48" i="3"/>
  <c r="DF41" i="3"/>
  <c r="DJ41" i="3" s="1"/>
  <c r="DG41" i="3"/>
  <c r="DF5" i="3"/>
  <c r="DJ5" i="3" s="1"/>
  <c r="DG5" i="3"/>
  <c r="DH5" i="3"/>
  <c r="DI5" i="3"/>
  <c r="CT35" i="1"/>
  <c r="Y33" i="1"/>
  <c r="Q32" i="1"/>
  <c r="Y31" i="1"/>
  <c r="GM31" i="1" s="1"/>
  <c r="GN31" i="1" s="1"/>
  <c r="R30" i="1"/>
  <c r="AE39" i="1" s="1"/>
  <c r="CQ28" i="1"/>
  <c r="DG105" i="3"/>
  <c r="DI99" i="3"/>
  <c r="DF99" i="3"/>
  <c r="DJ99" i="3" s="1"/>
  <c r="DG99" i="3"/>
  <c r="DG95" i="3"/>
  <c r="DH84" i="3"/>
  <c r="DF1" i="3"/>
  <c r="DG1" i="3"/>
  <c r="DH1" i="3"/>
  <c r="DI1" i="3"/>
  <c r="DJ1" i="3" s="1"/>
  <c r="P32" i="1"/>
  <c r="CW150" i="3"/>
  <c r="CX122" i="3"/>
  <c r="CX111" i="3"/>
  <c r="DI106" i="3"/>
  <c r="DJ106" i="3" s="1"/>
  <c r="DF95" i="3"/>
  <c r="DJ95" i="3" s="1"/>
  <c r="CV94" i="3"/>
  <c r="CX94" i="3"/>
  <c r="DH81" i="3"/>
  <c r="DI81" i="3"/>
  <c r="DG60" i="3"/>
  <c r="DH60" i="3"/>
  <c r="DH17" i="3"/>
  <c r="DI17" i="3"/>
  <c r="DF17" i="3"/>
  <c r="DJ17" i="3" s="1"/>
  <c r="DG17" i="3"/>
  <c r="DF7" i="3"/>
  <c r="DG7" i="3"/>
  <c r="DI7" i="3"/>
  <c r="DJ7" i="3" s="1"/>
  <c r="AQ39" i="1"/>
  <c r="CX159" i="3"/>
  <c r="CW117" i="3"/>
  <c r="DH106" i="3"/>
  <c r="DF89" i="3"/>
  <c r="DJ89" i="3" s="1"/>
  <c r="DG89" i="3"/>
  <c r="DI87" i="3"/>
  <c r="DG86" i="3"/>
  <c r="DH86" i="3"/>
  <c r="DH63" i="3"/>
  <c r="DI63" i="3"/>
  <c r="DF53" i="3"/>
  <c r="DJ53" i="3" s="1"/>
  <c r="DG53" i="3"/>
  <c r="DF39" i="3"/>
  <c r="DJ39" i="3" s="1"/>
  <c r="DG39" i="3"/>
  <c r="DI39" i="3"/>
  <c r="DF11" i="3"/>
  <c r="DJ11" i="3" s="1"/>
  <c r="DG11" i="3"/>
  <c r="DH11" i="3"/>
  <c r="DI11" i="3"/>
  <c r="AP39" i="1"/>
  <c r="CZ34" i="1"/>
  <c r="CV163" i="3"/>
  <c r="CX144" i="3"/>
  <c r="DG106" i="3"/>
  <c r="DF97" i="3"/>
  <c r="DG97" i="3"/>
  <c r="DH97" i="3"/>
  <c r="DI97" i="3"/>
  <c r="DJ97" i="3" s="1"/>
  <c r="DH87" i="3"/>
  <c r="DI51" i="3"/>
  <c r="DF51" i="3"/>
  <c r="DJ51" i="3" s="1"/>
  <c r="DG51" i="3"/>
  <c r="DG37" i="3"/>
  <c r="DH37" i="3"/>
  <c r="DF35" i="3"/>
  <c r="DJ35" i="3" s="1"/>
  <c r="DG35" i="3"/>
  <c r="DH35" i="3"/>
  <c r="DI35" i="3"/>
  <c r="DF9" i="3"/>
  <c r="DJ9" i="3" s="1"/>
  <c r="DG9" i="3"/>
  <c r="DH9" i="3"/>
  <c r="DI9" i="3"/>
  <c r="AO39" i="1"/>
  <c r="P28" i="1"/>
  <c r="FV26" i="1"/>
  <c r="CX170" i="3"/>
  <c r="CX164" i="3"/>
  <c r="CX151" i="3"/>
  <c r="CX125" i="3"/>
  <c r="CX120" i="3"/>
  <c r="DF87" i="3"/>
  <c r="DJ87" i="3" s="1"/>
  <c r="CV73" i="3"/>
  <c r="CX73" i="3"/>
  <c r="DH58" i="3"/>
  <c r="DI58" i="3"/>
  <c r="DJ58" i="3" s="1"/>
  <c r="DF58" i="3"/>
  <c r="DH30" i="3"/>
  <c r="DI30" i="3"/>
  <c r="DF30" i="3"/>
  <c r="DJ30" i="3" s="1"/>
  <c r="DI24" i="3"/>
  <c r="DF24" i="3"/>
  <c r="DJ24" i="3" s="1"/>
  <c r="DG24" i="3"/>
  <c r="DH24" i="3"/>
  <c r="DF20" i="3"/>
  <c r="DJ20" i="3" s="1"/>
  <c r="DH20" i="3"/>
  <c r="DI20" i="3"/>
  <c r="BD39" i="1"/>
  <c r="AD32" i="1"/>
  <c r="AB32" i="1" s="1"/>
  <c r="FU26" i="1"/>
  <c r="DG77" i="3"/>
  <c r="DH34" i="3"/>
  <c r="DF26" i="3"/>
  <c r="DJ26" i="3" s="1"/>
  <c r="DG26" i="3"/>
  <c r="DH26" i="3"/>
  <c r="DF84" i="3"/>
  <c r="DJ84" i="3" s="1"/>
  <c r="DI84" i="3"/>
  <c r="DI79" i="3"/>
  <c r="DJ79" i="3" s="1"/>
  <c r="DF79" i="3"/>
  <c r="DG79" i="3"/>
  <c r="DG56" i="3"/>
  <c r="DH56" i="3"/>
  <c r="DI56" i="3"/>
  <c r="DF49" i="3"/>
  <c r="DG49" i="3"/>
  <c r="DH49" i="3"/>
  <c r="DI49" i="3"/>
  <c r="DJ49" i="3" s="1"/>
  <c r="CV28" i="3"/>
  <c r="CX28" i="3"/>
  <c r="Y34" i="1"/>
  <c r="R31" i="1"/>
  <c r="DW39" i="1" s="1"/>
  <c r="CX128" i="3"/>
  <c r="DG107" i="3"/>
  <c r="DH101" i="3"/>
  <c r="DG88" i="3"/>
  <c r="CV76" i="3"/>
  <c r="CX76" i="3"/>
  <c r="DF72" i="3"/>
  <c r="DJ72" i="3" s="1"/>
  <c r="DF70" i="3"/>
  <c r="DF69" i="3"/>
  <c r="DJ69" i="3" s="1"/>
  <c r="DG69" i="3"/>
  <c r="DH69" i="3"/>
  <c r="DI69" i="3"/>
  <c r="DF45" i="3"/>
  <c r="DJ45" i="3" s="1"/>
  <c r="DG42" i="3"/>
  <c r="DH42" i="3"/>
  <c r="DI42" i="3"/>
  <c r="CX171" i="3"/>
  <c r="CX148" i="3"/>
  <c r="CX112" i="3"/>
  <c r="DF107" i="3"/>
  <c r="DJ107" i="3" s="1"/>
  <c r="DF101" i="3"/>
  <c r="DJ101" i="3" s="1"/>
  <c r="DG91" i="3"/>
  <c r="DF88" i="3"/>
  <c r="DF82" i="3"/>
  <c r="DI82" i="3"/>
  <c r="DJ82" i="3" s="1"/>
  <c r="DG43" i="3"/>
  <c r="CX40" i="3"/>
  <c r="DF6" i="3"/>
  <c r="DJ6" i="3" s="1"/>
  <c r="DH6" i="3"/>
  <c r="DI6" i="3"/>
  <c r="CI39" i="1"/>
  <c r="CV142" i="3"/>
  <c r="DF103" i="3"/>
  <c r="DG103" i="3"/>
  <c r="DF98" i="3"/>
  <c r="DJ98" i="3" s="1"/>
  <c r="DI98" i="3"/>
  <c r="CV64" i="3"/>
  <c r="CX64" i="3"/>
  <c r="DF54" i="3"/>
  <c r="DJ54" i="3" s="1"/>
  <c r="DI54" i="3"/>
  <c r="DF38" i="3"/>
  <c r="DJ38" i="3" s="1"/>
  <c r="DG38" i="3"/>
  <c r="DH38" i="3"/>
  <c r="DI31" i="3"/>
  <c r="DJ31" i="3" s="1"/>
  <c r="DF31" i="3"/>
  <c r="DG31" i="3"/>
  <c r="DF8" i="3"/>
  <c r="DJ8" i="3" s="1"/>
  <c r="DG8" i="3"/>
  <c r="DH8" i="3"/>
  <c r="DI8" i="3"/>
  <c r="BX26" i="1"/>
  <c r="CV156" i="3"/>
  <c r="CX156" i="3"/>
  <c r="CW136" i="3"/>
  <c r="CV16" i="3"/>
  <c r="CX16" i="3"/>
  <c r="CX161" i="3"/>
  <c r="CV121" i="3"/>
  <c r="CX121" i="3"/>
  <c r="CX115" i="3"/>
  <c r="CW110" i="3"/>
  <c r="DH93" i="3"/>
  <c r="DI93" i="3"/>
  <c r="DG81" i="3"/>
  <c r="DG63" i="3"/>
  <c r="DI60" i="3"/>
  <c r="DH59" i="3"/>
  <c r="DI59" i="3"/>
  <c r="DI53" i="3"/>
  <c r="DI37" i="3"/>
  <c r="DJ37" i="3" s="1"/>
  <c r="DF23" i="3"/>
  <c r="DJ23" i="3" s="1"/>
  <c r="DG23" i="3"/>
  <c r="DH23" i="3"/>
  <c r="DH7" i="3"/>
  <c r="DF10" i="3"/>
  <c r="CV7" i="3"/>
  <c r="DI66" i="3"/>
  <c r="DI32" i="3"/>
  <c r="DI18" i="3"/>
  <c r="DI61" i="3"/>
  <c r="DJ61" i="3" s="1"/>
  <c r="DI47" i="3"/>
  <c r="DI33" i="3"/>
  <c r="DG19" i="3"/>
  <c r="DI13" i="3"/>
  <c r="DJ13" i="3" s="1"/>
  <c r="DH13" i="3"/>
  <c r="DI27" i="3"/>
  <c r="CX100" i="3"/>
  <c r="CX52" i="3"/>
  <c r="DG27" i="3"/>
  <c r="CX4" i="3"/>
  <c r="DI22" i="3"/>
  <c r="DJ22" i="3" s="1"/>
  <c r="CX46" i="3"/>
  <c r="DH22" i="3"/>
  <c r="DI15" i="3"/>
  <c r="DI50" i="3"/>
  <c r="DI36" i="3"/>
  <c r="DI2" i="3"/>
  <c r="DH10" i="3"/>
  <c r="J284" i="7" l="1"/>
  <c r="P330" i="7"/>
  <c r="J218" i="7"/>
  <c r="J286" i="7"/>
  <c r="O209" i="7"/>
  <c r="J448" i="7"/>
  <c r="O264" i="7"/>
  <c r="O421" i="7"/>
  <c r="H424" i="7" s="1"/>
  <c r="J421" i="7"/>
  <c r="J344" i="7"/>
  <c r="P187" i="7"/>
  <c r="P154" i="7"/>
  <c r="H262" i="7"/>
  <c r="H339" i="7"/>
  <c r="P231" i="7"/>
  <c r="J419" i="7"/>
  <c r="H419" i="7"/>
  <c r="H286" i="7"/>
  <c r="H401" i="7"/>
  <c r="J229" i="7"/>
  <c r="H344" i="7"/>
  <c r="J94" i="7"/>
  <c r="H448" i="7"/>
  <c r="H94" i="7"/>
  <c r="T355" i="1"/>
  <c r="AG348" i="1"/>
  <c r="DX309" i="1"/>
  <c r="DK316" i="1"/>
  <c r="GB163" i="1"/>
  <c r="ES238" i="1"/>
  <c r="DW309" i="1"/>
  <c r="DJ316" i="1"/>
  <c r="DZ163" i="1"/>
  <c r="DM238" i="1"/>
  <c r="DY270" i="1"/>
  <c r="DL277" i="1"/>
  <c r="S84" i="1"/>
  <c r="AF71" i="1"/>
  <c r="AC309" i="1"/>
  <c r="CF316" i="1"/>
  <c r="CH316" i="1"/>
  <c r="P316" i="1"/>
  <c r="CE316" i="1"/>
  <c r="DF28" i="3"/>
  <c r="DG28" i="3"/>
  <c r="DH28" i="3"/>
  <c r="DI28" i="3"/>
  <c r="DJ28" i="3" s="1"/>
  <c r="DH73" i="3"/>
  <c r="DI73" i="3"/>
  <c r="DJ73" i="3" s="1"/>
  <c r="DF73" i="3"/>
  <c r="DG73" i="3"/>
  <c r="DF132" i="3"/>
  <c r="DJ132" i="3" s="1"/>
  <c r="DG132" i="3"/>
  <c r="DH132" i="3"/>
  <c r="DI132" i="3"/>
  <c r="Q84" i="1"/>
  <c r="AD71" i="1"/>
  <c r="AI71" i="1"/>
  <c r="V84" i="1"/>
  <c r="EL71" i="1"/>
  <c r="P102" i="1"/>
  <c r="EL463" i="1"/>
  <c r="ES26" i="1"/>
  <c r="P59" i="1"/>
  <c r="AH163" i="1"/>
  <c r="U238" i="1"/>
  <c r="CP182" i="1"/>
  <c r="O182" i="1" s="1"/>
  <c r="GM182" i="1" s="1"/>
  <c r="GN182" i="1" s="1"/>
  <c r="DU238" i="1"/>
  <c r="Y185" i="1"/>
  <c r="X185" i="1"/>
  <c r="CY185" i="1"/>
  <c r="CZ185" i="1"/>
  <c r="EM163" i="1"/>
  <c r="P257" i="1"/>
  <c r="CP222" i="1"/>
  <c r="O222" i="1" s="1"/>
  <c r="GM222" i="1" s="1"/>
  <c r="GN222" i="1" s="1"/>
  <c r="AQ387" i="1"/>
  <c r="F404" i="1"/>
  <c r="CJ270" i="1"/>
  <c r="BA277" i="1"/>
  <c r="U313" i="1"/>
  <c r="AH316" i="1" s="1"/>
  <c r="F371" i="1"/>
  <c r="BC348" i="1"/>
  <c r="AP426" i="1"/>
  <c r="F442" i="1"/>
  <c r="P449" i="1"/>
  <c r="EU426" i="1"/>
  <c r="BA426" i="1"/>
  <c r="F453" i="1"/>
  <c r="DI4" i="3"/>
  <c r="DJ4" i="3" s="1"/>
  <c r="DF4" i="3"/>
  <c r="DG4" i="3"/>
  <c r="DH4" i="3"/>
  <c r="AP26" i="1"/>
  <c r="F48" i="1"/>
  <c r="DF94" i="3"/>
  <c r="DI94" i="3"/>
  <c r="DJ94" i="3" s="1"/>
  <c r="DG94" i="3"/>
  <c r="DH94" i="3"/>
  <c r="AU26" i="1"/>
  <c r="F58" i="1"/>
  <c r="AU463" i="1"/>
  <c r="EH26" i="1"/>
  <c r="P48" i="1"/>
  <c r="EI26" i="1"/>
  <c r="P49" i="1"/>
  <c r="EI463" i="1"/>
  <c r="EG26" i="1"/>
  <c r="P43" i="1"/>
  <c r="EG463" i="1"/>
  <c r="BC71" i="1"/>
  <c r="F100" i="1"/>
  <c r="BC463" i="1"/>
  <c r="BA39" i="1"/>
  <c r="CJ26" i="1"/>
  <c r="GB71" i="1"/>
  <c r="ES84" i="1"/>
  <c r="DZ71" i="1"/>
  <c r="DM84" i="1"/>
  <c r="GM185" i="1"/>
  <c r="GN185" i="1" s="1"/>
  <c r="AL131" i="1"/>
  <c r="ES116" i="1"/>
  <c r="P151" i="1"/>
  <c r="X218" i="1"/>
  <c r="GM218" i="1" s="1"/>
  <c r="GN218" i="1" s="1"/>
  <c r="Y218" i="1"/>
  <c r="CY218" i="1"/>
  <c r="CZ218" i="1"/>
  <c r="X205" i="1"/>
  <c r="Y205" i="1"/>
  <c r="CY205" i="1"/>
  <c r="CZ205" i="1"/>
  <c r="W277" i="1"/>
  <c r="AJ270" i="1"/>
  <c r="DH153" i="3"/>
  <c r="DI153" i="3"/>
  <c r="DF153" i="3"/>
  <c r="DG153" i="3"/>
  <c r="DJ153" i="3" s="1"/>
  <c r="F292" i="1"/>
  <c r="S270" i="1"/>
  <c r="F326" i="1"/>
  <c r="AQ309" i="1"/>
  <c r="P377" i="1"/>
  <c r="DM348" i="1"/>
  <c r="P334" i="1"/>
  <c r="EL309" i="1"/>
  <c r="ES348" i="1"/>
  <c r="P375" i="1"/>
  <c r="DH426" i="1"/>
  <c r="P436" i="1"/>
  <c r="BD26" i="1"/>
  <c r="F64" i="1"/>
  <c r="BD463" i="1"/>
  <c r="DH134" i="3"/>
  <c r="DI134" i="3"/>
  <c r="DF134" i="3"/>
  <c r="DJ134" i="3" s="1"/>
  <c r="DG134" i="3"/>
  <c r="EU71" i="1"/>
  <c r="P100" i="1"/>
  <c r="EU463" i="1"/>
  <c r="GM74" i="1"/>
  <c r="CA131" i="1"/>
  <c r="CJ71" i="1"/>
  <c r="BA84" i="1"/>
  <c r="GM126" i="1"/>
  <c r="AK131" i="1"/>
  <c r="DX71" i="1"/>
  <c r="DK84" i="1"/>
  <c r="F91" i="1"/>
  <c r="AX71" i="1"/>
  <c r="EB163" i="1"/>
  <c r="DO238" i="1"/>
  <c r="BD163" i="1"/>
  <c r="F263" i="1"/>
  <c r="DI129" i="3"/>
  <c r="DF129" i="3"/>
  <c r="DG129" i="3"/>
  <c r="DJ129" i="3" s="1"/>
  <c r="DH129" i="3"/>
  <c r="DW394" i="1"/>
  <c r="EV309" i="1"/>
  <c r="P341" i="1"/>
  <c r="AT426" i="1"/>
  <c r="F451" i="1"/>
  <c r="GX313" i="1"/>
  <c r="T387" i="1"/>
  <c r="F415" i="1"/>
  <c r="FZ426" i="1"/>
  <c r="EQ433" i="1"/>
  <c r="DH121" i="3"/>
  <c r="DI121" i="3"/>
  <c r="DJ121" i="3" s="1"/>
  <c r="DF121" i="3"/>
  <c r="DG121" i="3"/>
  <c r="DG120" i="3"/>
  <c r="DH120" i="3"/>
  <c r="DF120" i="3"/>
  <c r="DJ120" i="3" s="1"/>
  <c r="DI120" i="3"/>
  <c r="AD26" i="1"/>
  <c r="Q39" i="1"/>
  <c r="DG169" i="3"/>
  <c r="DH169" i="3"/>
  <c r="DI169" i="3"/>
  <c r="DF169" i="3"/>
  <c r="DJ169" i="3" s="1"/>
  <c r="DF145" i="3"/>
  <c r="DJ145" i="3" s="1"/>
  <c r="DG145" i="3"/>
  <c r="DH145" i="3"/>
  <c r="DI145" i="3"/>
  <c r="DI175" i="3"/>
  <c r="DG175" i="3"/>
  <c r="DH175" i="3"/>
  <c r="DF175" i="3"/>
  <c r="DJ175" i="3" s="1"/>
  <c r="DF119" i="3"/>
  <c r="DJ119" i="3" s="1"/>
  <c r="DG119" i="3"/>
  <c r="DH119" i="3"/>
  <c r="DI119" i="3"/>
  <c r="DU71" i="1"/>
  <c r="FW84" i="1"/>
  <c r="FX84" i="1"/>
  <c r="FZ84" i="1"/>
  <c r="DH84" i="1"/>
  <c r="FR119" i="1"/>
  <c r="CP119" i="1"/>
  <c r="O119" i="1" s="1"/>
  <c r="DU131" i="1"/>
  <c r="DY116" i="1"/>
  <c r="DL131" i="1"/>
  <c r="FY116" i="1"/>
  <c r="EP131" i="1"/>
  <c r="FY163" i="1"/>
  <c r="EP238" i="1"/>
  <c r="AP163" i="1"/>
  <c r="F247" i="1"/>
  <c r="EV163" i="1"/>
  <c r="P263" i="1"/>
  <c r="P299" i="1"/>
  <c r="DM270" i="1"/>
  <c r="DU316" i="1"/>
  <c r="CP312" i="1"/>
  <c r="O312" i="1" s="1"/>
  <c r="BB348" i="1"/>
  <c r="F368" i="1"/>
  <c r="EH426" i="1"/>
  <c r="P442" i="1"/>
  <c r="AX433" i="1"/>
  <c r="CG426" i="1"/>
  <c r="FX426" i="1"/>
  <c r="EO433" i="1"/>
  <c r="DG40" i="3"/>
  <c r="DH40" i="3"/>
  <c r="DF40" i="3"/>
  <c r="DI40" i="3"/>
  <c r="DJ40" i="3" s="1"/>
  <c r="DG100" i="3"/>
  <c r="DH100" i="3"/>
  <c r="DF100" i="3"/>
  <c r="DI100" i="3"/>
  <c r="DJ100" i="3" s="1"/>
  <c r="AE26" i="1"/>
  <c r="R39" i="1"/>
  <c r="AI26" i="1"/>
  <c r="V39" i="1"/>
  <c r="DH150" i="3"/>
  <c r="DF150" i="3"/>
  <c r="DG150" i="3"/>
  <c r="DJ150" i="3" s="1"/>
  <c r="DI150" i="3"/>
  <c r="ET71" i="1"/>
  <c r="P97" i="1"/>
  <c r="ET463" i="1"/>
  <c r="DF173" i="3"/>
  <c r="DG173" i="3"/>
  <c r="DJ173" i="3" s="1"/>
  <c r="DH173" i="3"/>
  <c r="DI173" i="3"/>
  <c r="GA84" i="1"/>
  <c r="FQ71" i="1"/>
  <c r="EH84" i="1"/>
  <c r="CZ121" i="1"/>
  <c r="X121" i="1"/>
  <c r="EC131" i="1" s="1"/>
  <c r="Y121" i="1"/>
  <c r="ED131" i="1" s="1"/>
  <c r="DX131" i="1"/>
  <c r="CY121" i="1"/>
  <c r="AD163" i="1"/>
  <c r="Q238" i="1"/>
  <c r="GA163" i="1"/>
  <c r="ER238" i="1"/>
  <c r="DH133" i="3"/>
  <c r="DI133" i="3"/>
  <c r="DF133" i="3"/>
  <c r="DJ133" i="3" s="1"/>
  <c r="DG133" i="3"/>
  <c r="GM205" i="1"/>
  <c r="GN205" i="1" s="1"/>
  <c r="GM221" i="1"/>
  <c r="GN221" i="1" s="1"/>
  <c r="EP309" i="1"/>
  <c r="P323" i="1"/>
  <c r="AU309" i="1"/>
  <c r="F335" i="1"/>
  <c r="CY350" i="1"/>
  <c r="CZ350" i="1"/>
  <c r="X350" i="1"/>
  <c r="Y350" i="1"/>
  <c r="DV426" i="1"/>
  <c r="DI433" i="1"/>
  <c r="CG348" i="1"/>
  <c r="AX355" i="1"/>
  <c r="DY309" i="1"/>
  <c r="DL316" i="1"/>
  <c r="DF146" i="3"/>
  <c r="DJ146" i="3" s="1"/>
  <c r="DI146" i="3"/>
  <c r="DG146" i="3"/>
  <c r="DH146" i="3"/>
  <c r="ED348" i="1"/>
  <c r="DQ355" i="1"/>
  <c r="Q433" i="1"/>
  <c r="AD426" i="1"/>
  <c r="DI348" i="1"/>
  <c r="P367" i="1"/>
  <c r="P352" i="1"/>
  <c r="FW426" i="1"/>
  <c r="EN433" i="1"/>
  <c r="DG52" i="3"/>
  <c r="DH52" i="3"/>
  <c r="DF52" i="3"/>
  <c r="DI52" i="3"/>
  <c r="DJ52" i="3" s="1"/>
  <c r="DF151" i="3"/>
  <c r="DG151" i="3"/>
  <c r="DJ151" i="3" s="1"/>
  <c r="DH151" i="3"/>
  <c r="DI151" i="3"/>
  <c r="AQ26" i="1"/>
  <c r="F49" i="1"/>
  <c r="AQ463" i="1"/>
  <c r="DF111" i="3"/>
  <c r="DG111" i="3"/>
  <c r="DJ111" i="3" s="1"/>
  <c r="DH111" i="3"/>
  <c r="DI111" i="3"/>
  <c r="DG140" i="3"/>
  <c r="DF140" i="3"/>
  <c r="DJ140" i="3" s="1"/>
  <c r="DH140" i="3"/>
  <c r="DI140" i="3"/>
  <c r="AX26" i="1"/>
  <c r="F46" i="1"/>
  <c r="GM35" i="1"/>
  <c r="GN35" i="1" s="1"/>
  <c r="CP121" i="1"/>
  <c r="O121" i="1" s="1"/>
  <c r="FR121" i="1"/>
  <c r="AH71" i="1"/>
  <c r="U84" i="1"/>
  <c r="BC116" i="1"/>
  <c r="F147" i="1"/>
  <c r="DM116" i="1"/>
  <c r="P153" i="1"/>
  <c r="R116" i="1"/>
  <c r="F145" i="1"/>
  <c r="AG116" i="1"/>
  <c r="T131" i="1"/>
  <c r="EA116" i="1"/>
  <c r="DN131" i="1"/>
  <c r="CZ191" i="1"/>
  <c r="Y191" i="1"/>
  <c r="CY191" i="1"/>
  <c r="X191" i="1"/>
  <c r="AI116" i="1"/>
  <c r="V131" i="1"/>
  <c r="BC163" i="1"/>
  <c r="F254" i="1"/>
  <c r="X216" i="1"/>
  <c r="GM216" i="1" s="1"/>
  <c r="GN216" i="1" s="1"/>
  <c r="Y216" i="1"/>
  <c r="CY216" i="1"/>
  <c r="CZ216" i="1"/>
  <c r="GM201" i="1"/>
  <c r="GN201" i="1" s="1"/>
  <c r="DF113" i="3"/>
  <c r="DJ113" i="3" s="1"/>
  <c r="DG113" i="3"/>
  <c r="DH113" i="3"/>
  <c r="DI113" i="3"/>
  <c r="DI141" i="3"/>
  <c r="DF141" i="3"/>
  <c r="DJ141" i="3" s="1"/>
  <c r="DG141" i="3"/>
  <c r="DH141" i="3"/>
  <c r="BB309" i="1"/>
  <c r="F329" i="1"/>
  <c r="ER394" i="1"/>
  <c r="GA387" i="1"/>
  <c r="AO426" i="1"/>
  <c r="F437" i="1"/>
  <c r="AQ270" i="1"/>
  <c r="F287" i="1"/>
  <c r="P362" i="1"/>
  <c r="EP348" i="1"/>
  <c r="EC348" i="1"/>
  <c r="DP355" i="1"/>
  <c r="DZ387" i="1"/>
  <c r="DM394" i="1"/>
  <c r="EB348" i="1"/>
  <c r="DO355" i="1"/>
  <c r="AZ309" i="1"/>
  <c r="F327" i="1"/>
  <c r="P451" i="1"/>
  <c r="EL426" i="1"/>
  <c r="V394" i="1"/>
  <c r="AI387" i="1"/>
  <c r="AU387" i="1"/>
  <c r="F413" i="1"/>
  <c r="DF161" i="3"/>
  <c r="DJ161" i="3" s="1"/>
  <c r="DG161" i="3"/>
  <c r="DH161" i="3"/>
  <c r="DI161" i="3"/>
  <c r="DF16" i="3"/>
  <c r="DG16" i="3"/>
  <c r="DI16" i="3"/>
  <c r="DJ16" i="3" s="1"/>
  <c r="DH16" i="3"/>
  <c r="DF64" i="3"/>
  <c r="DI64" i="3"/>
  <c r="DJ64" i="3" s="1"/>
  <c r="DG64" i="3"/>
  <c r="DH64" i="3"/>
  <c r="DI164" i="3"/>
  <c r="DF164" i="3"/>
  <c r="DG164" i="3"/>
  <c r="DJ164" i="3" s="1"/>
  <c r="DH164" i="3"/>
  <c r="DG122" i="3"/>
  <c r="DJ122" i="3" s="1"/>
  <c r="DF122" i="3"/>
  <c r="DH122" i="3"/>
  <c r="DI122" i="3"/>
  <c r="X30" i="1"/>
  <c r="GM30" i="1" s="1"/>
  <c r="GN30" i="1" s="1"/>
  <c r="Y30" i="1"/>
  <c r="CY30" i="1"/>
  <c r="CZ30" i="1"/>
  <c r="P103" i="1"/>
  <c r="EM71" i="1"/>
  <c r="U26" i="1"/>
  <c r="F61" i="1"/>
  <c r="GM125" i="1"/>
  <c r="DY71" i="1"/>
  <c r="DL84" i="1"/>
  <c r="EI116" i="1"/>
  <c r="P141" i="1"/>
  <c r="AT116" i="1"/>
  <c r="F149" i="1"/>
  <c r="AU116" i="1"/>
  <c r="F150" i="1"/>
  <c r="CG116" i="1"/>
  <c r="AX131" i="1"/>
  <c r="AG238" i="1"/>
  <c r="CZ196" i="1"/>
  <c r="X196" i="1"/>
  <c r="Y196" i="1"/>
  <c r="CY196" i="1"/>
  <c r="DI116" i="1"/>
  <c r="P143" i="1"/>
  <c r="CP196" i="1"/>
  <c r="O196" i="1" s="1"/>
  <c r="GM196" i="1" s="1"/>
  <c r="GN196" i="1" s="1"/>
  <c r="AL270" i="1"/>
  <c r="Y277" i="1"/>
  <c r="ET163" i="1"/>
  <c r="P251" i="1"/>
  <c r="DI109" i="3"/>
  <c r="DJ109" i="3" s="1"/>
  <c r="DF109" i="3"/>
  <c r="DG109" i="3"/>
  <c r="DH109" i="3"/>
  <c r="CZ226" i="1"/>
  <c r="X226" i="1"/>
  <c r="Y226" i="1"/>
  <c r="CY226" i="1"/>
  <c r="DI158" i="3"/>
  <c r="DF158" i="3"/>
  <c r="DG158" i="3"/>
  <c r="DJ158" i="3" s="1"/>
  <c r="DH158" i="3"/>
  <c r="F299" i="1"/>
  <c r="U270" i="1"/>
  <c r="DI135" i="3"/>
  <c r="DJ135" i="3" s="1"/>
  <c r="DF135" i="3"/>
  <c r="DG135" i="3"/>
  <c r="DH135" i="3"/>
  <c r="F419" i="1"/>
  <c r="BD387" i="1"/>
  <c r="ET309" i="1"/>
  <c r="P329" i="1"/>
  <c r="AT163" i="1"/>
  <c r="F256" i="1"/>
  <c r="DO277" i="1"/>
  <c r="EB270" i="1"/>
  <c r="CG387" i="1"/>
  <c r="AX394" i="1"/>
  <c r="DX348" i="1"/>
  <c r="DK355" i="1"/>
  <c r="DY387" i="1"/>
  <c r="DL394" i="1"/>
  <c r="F408" i="1"/>
  <c r="R387" i="1"/>
  <c r="ES309" i="1"/>
  <c r="P336" i="1"/>
  <c r="AF426" i="1"/>
  <c r="S433" i="1"/>
  <c r="AZ433" i="1"/>
  <c r="CI426" i="1"/>
  <c r="P414" i="1"/>
  <c r="ES387" i="1"/>
  <c r="DF159" i="3"/>
  <c r="DH159" i="3"/>
  <c r="DI159" i="3"/>
  <c r="DG159" i="3"/>
  <c r="DJ159" i="3" s="1"/>
  <c r="DF76" i="3"/>
  <c r="DG76" i="3"/>
  <c r="DH76" i="3"/>
  <c r="DI76" i="3"/>
  <c r="DJ76" i="3" s="1"/>
  <c r="DF156" i="3"/>
  <c r="DG156" i="3"/>
  <c r="DH156" i="3"/>
  <c r="DI156" i="3"/>
  <c r="DJ156" i="3" s="1"/>
  <c r="DI170" i="3"/>
  <c r="DJ170" i="3" s="1"/>
  <c r="DF170" i="3"/>
  <c r="DG170" i="3"/>
  <c r="DH170" i="3"/>
  <c r="DG157" i="3"/>
  <c r="DJ157" i="3" s="1"/>
  <c r="DF157" i="3"/>
  <c r="DH157" i="3"/>
  <c r="DI157" i="3"/>
  <c r="BD71" i="1"/>
  <c r="F109" i="1"/>
  <c r="F88" i="1"/>
  <c r="AO71" i="1"/>
  <c r="AF39" i="1"/>
  <c r="EU116" i="1"/>
  <c r="P147" i="1"/>
  <c r="AS71" i="1"/>
  <c r="F101" i="1"/>
  <c r="AC116" i="1"/>
  <c r="CH131" i="1"/>
  <c r="P131" i="1"/>
  <c r="CE131" i="1"/>
  <c r="CF131" i="1"/>
  <c r="F146" i="1"/>
  <c r="S116" i="1"/>
  <c r="EL116" i="1"/>
  <c r="P149" i="1"/>
  <c r="EM116" i="1"/>
  <c r="P150" i="1"/>
  <c r="CJ116" i="1"/>
  <c r="BA131" i="1"/>
  <c r="CP184" i="1"/>
  <c r="O184" i="1" s="1"/>
  <c r="GM184" i="1" s="1"/>
  <c r="GN184" i="1" s="1"/>
  <c r="AQ116" i="1"/>
  <c r="F141" i="1"/>
  <c r="CJ238" i="1"/>
  <c r="AO163" i="1"/>
  <c r="F242" i="1"/>
  <c r="F290" i="1"/>
  <c r="BB270" i="1"/>
  <c r="Y225" i="1"/>
  <c r="CY225" i="1"/>
  <c r="CZ225" i="1"/>
  <c r="X225" i="1"/>
  <c r="GM211" i="1"/>
  <c r="GN211" i="1" s="1"/>
  <c r="DU277" i="1"/>
  <c r="CP273" i="1"/>
  <c r="O273" i="1" s="1"/>
  <c r="CP207" i="1"/>
  <c r="O207" i="1" s="1"/>
  <c r="GM207" i="1" s="1"/>
  <c r="GN207" i="1" s="1"/>
  <c r="GM209" i="1"/>
  <c r="GN209" i="1" s="1"/>
  <c r="GM235" i="1"/>
  <c r="GN235" i="1" s="1"/>
  <c r="AX163" i="1"/>
  <c r="F245" i="1"/>
  <c r="DF162" i="3"/>
  <c r="DJ162" i="3" s="1"/>
  <c r="DG162" i="3"/>
  <c r="DH162" i="3"/>
  <c r="DI162" i="3"/>
  <c r="DX387" i="1"/>
  <c r="DK394" i="1"/>
  <c r="AT387" i="1"/>
  <c r="F412" i="1"/>
  <c r="AX277" i="1"/>
  <c r="CG270" i="1"/>
  <c r="CI348" i="1"/>
  <c r="AZ355" i="1"/>
  <c r="FZ355" i="1"/>
  <c r="DH355" i="1"/>
  <c r="DU348" i="1"/>
  <c r="FW355" i="1"/>
  <c r="FX355" i="1"/>
  <c r="F416" i="1"/>
  <c r="U387" i="1"/>
  <c r="DM426" i="1"/>
  <c r="P455" i="1"/>
  <c r="CP350" i="1"/>
  <c r="O350" i="1" s="1"/>
  <c r="BC426" i="1"/>
  <c r="F449" i="1"/>
  <c r="DH387" i="1"/>
  <c r="P397" i="1"/>
  <c r="DI125" i="3"/>
  <c r="DF125" i="3"/>
  <c r="DJ125" i="3" s="1"/>
  <c r="DG125" i="3"/>
  <c r="DH125" i="3"/>
  <c r="DI112" i="3"/>
  <c r="DF112" i="3"/>
  <c r="DJ112" i="3" s="1"/>
  <c r="DG112" i="3"/>
  <c r="DH112" i="3"/>
  <c r="CP32" i="1"/>
  <c r="O32" i="1" s="1"/>
  <c r="EI71" i="1"/>
  <c r="P94" i="1"/>
  <c r="EB26" i="1"/>
  <c r="DO39" i="1"/>
  <c r="DI138" i="3"/>
  <c r="DF138" i="3"/>
  <c r="DJ138" i="3" s="1"/>
  <c r="DG138" i="3"/>
  <c r="DH138" i="3"/>
  <c r="GM37" i="1"/>
  <c r="GN37" i="1" s="1"/>
  <c r="AT71" i="1"/>
  <c r="F102" i="1"/>
  <c r="CI116" i="1"/>
  <c r="AZ131" i="1"/>
  <c r="EV116" i="1"/>
  <c r="P156" i="1"/>
  <c r="DO84" i="1"/>
  <c r="EB71" i="1"/>
  <c r="CP165" i="1"/>
  <c r="O165" i="1" s="1"/>
  <c r="AC238" i="1"/>
  <c r="CP167" i="1"/>
  <c r="O167" i="1" s="1"/>
  <c r="GM167" i="1" s="1"/>
  <c r="GN167" i="1" s="1"/>
  <c r="W116" i="1"/>
  <c r="F155" i="1"/>
  <c r="CY183" i="1"/>
  <c r="X183" i="1"/>
  <c r="GM183" i="1" s="1"/>
  <c r="GN183" i="1" s="1"/>
  <c r="Y183" i="1"/>
  <c r="AL238" i="1" s="1"/>
  <c r="CZ183" i="1"/>
  <c r="AF238" i="1"/>
  <c r="X277" i="1"/>
  <c r="AK270" i="1"/>
  <c r="BD270" i="1"/>
  <c r="F302" i="1"/>
  <c r="Q352" i="1"/>
  <c r="AD355" i="1" s="1"/>
  <c r="R352" i="1"/>
  <c r="AE355" i="1" s="1"/>
  <c r="S352" i="1"/>
  <c r="AF355" i="1" s="1"/>
  <c r="GX352" i="1"/>
  <c r="CJ355" i="1" s="1"/>
  <c r="AU163" i="1"/>
  <c r="F257" i="1"/>
  <c r="P419" i="1"/>
  <c r="EV387" i="1"/>
  <c r="X389" i="1"/>
  <c r="AK394" i="1" s="1"/>
  <c r="Y389" i="1"/>
  <c r="AL394" i="1" s="1"/>
  <c r="CY389" i="1"/>
  <c r="CZ389" i="1"/>
  <c r="AF394" i="1"/>
  <c r="ED394" i="1"/>
  <c r="P417" i="1"/>
  <c r="DN387" i="1"/>
  <c r="U433" i="1"/>
  <c r="AH426" i="1"/>
  <c r="P437" i="1"/>
  <c r="EG426" i="1"/>
  <c r="W352" i="1"/>
  <c r="AJ355" i="1" s="1"/>
  <c r="GM351" i="1"/>
  <c r="FY426" i="1"/>
  <c r="EP433" i="1"/>
  <c r="EQ394" i="1"/>
  <c r="FZ387" i="1"/>
  <c r="DN426" i="1"/>
  <c r="P456" i="1"/>
  <c r="DG148" i="3"/>
  <c r="DF148" i="3"/>
  <c r="DJ148" i="3" s="1"/>
  <c r="DH148" i="3"/>
  <c r="DI148" i="3"/>
  <c r="CP28" i="1"/>
  <c r="O28" i="1" s="1"/>
  <c r="AC39" i="1"/>
  <c r="AT26" i="1"/>
  <c r="F57" i="1"/>
  <c r="AT463" i="1"/>
  <c r="DI116" i="3"/>
  <c r="DF116" i="3"/>
  <c r="DG116" i="3"/>
  <c r="DJ116" i="3" s="1"/>
  <c r="DH116" i="3"/>
  <c r="DG154" i="3"/>
  <c r="DH154" i="3"/>
  <c r="DI154" i="3"/>
  <c r="DF154" i="3"/>
  <c r="DJ154" i="3" s="1"/>
  <c r="DG163" i="3"/>
  <c r="DH163" i="3"/>
  <c r="DI163" i="3"/>
  <c r="DJ163" i="3" s="1"/>
  <c r="DF163" i="3"/>
  <c r="DM26" i="1"/>
  <c r="P61" i="1"/>
  <c r="DM463" i="1"/>
  <c r="EV71" i="1"/>
  <c r="P109" i="1"/>
  <c r="AE163" i="1"/>
  <c r="R238" i="1"/>
  <c r="EP71" i="1"/>
  <c r="P91" i="1"/>
  <c r="AJ163" i="1"/>
  <c r="W238" i="1"/>
  <c r="AS131" i="1"/>
  <c r="CB116" i="1"/>
  <c r="GM169" i="1"/>
  <c r="GN169" i="1" s="1"/>
  <c r="DF117" i="3"/>
  <c r="DG117" i="3"/>
  <c r="DJ117" i="3" s="1"/>
  <c r="DI117" i="3"/>
  <c r="DH117" i="3"/>
  <c r="DX270" i="1"/>
  <c r="DK277" i="1"/>
  <c r="EU163" i="1"/>
  <c r="P254" i="1"/>
  <c r="DF110" i="3"/>
  <c r="DG110" i="3"/>
  <c r="DJ110" i="3" s="1"/>
  <c r="DH110" i="3"/>
  <c r="DI110" i="3"/>
  <c r="EH163" i="1"/>
  <c r="P247" i="1"/>
  <c r="DG160" i="3"/>
  <c r="DJ160" i="3" s="1"/>
  <c r="DH160" i="3"/>
  <c r="DF160" i="3"/>
  <c r="DI160" i="3"/>
  <c r="AJ316" i="1"/>
  <c r="DG139" i="3"/>
  <c r="DH139" i="3"/>
  <c r="DF139" i="3"/>
  <c r="DJ139" i="3" s="1"/>
  <c r="DI139" i="3"/>
  <c r="AO387" i="1"/>
  <c r="F398" i="1"/>
  <c r="F373" i="1"/>
  <c r="AT348" i="1"/>
  <c r="GM272" i="1"/>
  <c r="AB277" i="1"/>
  <c r="DF165" i="3"/>
  <c r="DG165" i="3"/>
  <c r="DJ165" i="3" s="1"/>
  <c r="DH165" i="3"/>
  <c r="DI165" i="3"/>
  <c r="EC387" i="1"/>
  <c r="DP394" i="1"/>
  <c r="ER277" i="1"/>
  <c r="GA270" i="1"/>
  <c r="AI426" i="1"/>
  <c r="V433" i="1"/>
  <c r="P378" i="1"/>
  <c r="DN348" i="1"/>
  <c r="BA387" i="1"/>
  <c r="F414" i="1"/>
  <c r="DY348" i="1"/>
  <c r="DL355" i="1"/>
  <c r="DT355" i="1"/>
  <c r="P297" i="1"/>
  <c r="ES270" i="1"/>
  <c r="EO394" i="1"/>
  <c r="FX387" i="1"/>
  <c r="DF171" i="3"/>
  <c r="DG171" i="3"/>
  <c r="DJ171" i="3" s="1"/>
  <c r="DH171" i="3"/>
  <c r="DI171" i="3"/>
  <c r="DG128" i="3"/>
  <c r="DF128" i="3"/>
  <c r="DH128" i="3"/>
  <c r="DI128" i="3"/>
  <c r="DJ128" i="3" s="1"/>
  <c r="F43" i="1"/>
  <c r="AO26" i="1"/>
  <c r="AO463" i="1"/>
  <c r="DF149" i="3"/>
  <c r="DH149" i="3"/>
  <c r="DG149" i="3"/>
  <c r="DI149" i="3"/>
  <c r="DJ149" i="3" s="1"/>
  <c r="AG26" i="1"/>
  <c r="T39" i="1"/>
  <c r="BB71" i="1"/>
  <c r="F97" i="1"/>
  <c r="BB463" i="1"/>
  <c r="DI26" i="1"/>
  <c r="P51" i="1"/>
  <c r="DF168" i="3"/>
  <c r="DJ168" i="3" s="1"/>
  <c r="DG168" i="3"/>
  <c r="DH168" i="3"/>
  <c r="DI168" i="3"/>
  <c r="GM179" i="1"/>
  <c r="GN179" i="1" s="1"/>
  <c r="X231" i="1"/>
  <c r="Y231" i="1"/>
  <c r="CY231" i="1"/>
  <c r="CZ231" i="1"/>
  <c r="X214" i="1"/>
  <c r="GM214" i="1" s="1"/>
  <c r="GN214" i="1" s="1"/>
  <c r="Y214" i="1"/>
  <c r="CY214" i="1"/>
  <c r="CZ214" i="1"/>
  <c r="DY238" i="1"/>
  <c r="EP277" i="1"/>
  <c r="FY270" i="1"/>
  <c r="DF114" i="3"/>
  <c r="DJ114" i="3" s="1"/>
  <c r="DI114" i="3"/>
  <c r="DG114" i="3"/>
  <c r="DH114" i="3"/>
  <c r="P290" i="1"/>
  <c r="ET270" i="1"/>
  <c r="CP231" i="1"/>
  <c r="O231" i="1" s="1"/>
  <c r="AZ163" i="1"/>
  <c r="F249" i="1"/>
  <c r="CJ316" i="1"/>
  <c r="DF136" i="3"/>
  <c r="DG136" i="3"/>
  <c r="DJ136" i="3" s="1"/>
  <c r="DH136" i="3"/>
  <c r="DI136" i="3"/>
  <c r="CF277" i="1"/>
  <c r="CH277" i="1"/>
  <c r="P277" i="1"/>
  <c r="AC270" i="1"/>
  <c r="CE277" i="1"/>
  <c r="AZ277" i="1"/>
  <c r="CI270" i="1"/>
  <c r="X314" i="1"/>
  <c r="EC316" i="1" s="1"/>
  <c r="CZ314" i="1"/>
  <c r="CY314" i="1"/>
  <c r="Y314" i="1"/>
  <c r="ED316" i="1" s="1"/>
  <c r="Y275" i="1"/>
  <c r="ED277" i="1" s="1"/>
  <c r="CY275" i="1"/>
  <c r="CZ275" i="1"/>
  <c r="X275" i="1"/>
  <c r="EC277" i="1" s="1"/>
  <c r="DL426" i="1"/>
  <c r="P454" i="1"/>
  <c r="EI387" i="1"/>
  <c r="P404" i="1"/>
  <c r="V352" i="1"/>
  <c r="AI355" i="1" s="1"/>
  <c r="EM348" i="1"/>
  <c r="P374" i="1"/>
  <c r="P453" i="1"/>
  <c r="ES426" i="1"/>
  <c r="DW26" i="1"/>
  <c r="DJ39" i="1"/>
  <c r="DF130" i="3"/>
  <c r="DJ130" i="3" s="1"/>
  <c r="DG130" i="3"/>
  <c r="DH130" i="3"/>
  <c r="DI130" i="3"/>
  <c r="DF124" i="3"/>
  <c r="DJ124" i="3" s="1"/>
  <c r="DG124" i="3"/>
  <c r="DH124" i="3"/>
  <c r="DI124" i="3"/>
  <c r="DW71" i="1"/>
  <c r="DJ84" i="1"/>
  <c r="DG118" i="3"/>
  <c r="DH118" i="3"/>
  <c r="DI118" i="3"/>
  <c r="DF118" i="3"/>
  <c r="DJ118" i="3" s="1"/>
  <c r="DU26" i="1"/>
  <c r="FW39" i="1"/>
  <c r="FX39" i="1"/>
  <c r="FZ39" i="1"/>
  <c r="DH39" i="1"/>
  <c r="DL26" i="1"/>
  <c r="P60" i="1"/>
  <c r="DF166" i="3"/>
  <c r="DG166" i="3"/>
  <c r="DJ166" i="3" s="1"/>
  <c r="DH166" i="3"/>
  <c r="DI166" i="3"/>
  <c r="T84" i="1"/>
  <c r="AG71" i="1"/>
  <c r="BD116" i="1"/>
  <c r="F156" i="1"/>
  <c r="EG116" i="1"/>
  <c r="P135" i="1"/>
  <c r="AB131" i="1"/>
  <c r="BB163" i="1"/>
  <c r="F251" i="1"/>
  <c r="Y219" i="1"/>
  <c r="GM219" i="1" s="1"/>
  <c r="GN219" i="1" s="1"/>
  <c r="CY219" i="1"/>
  <c r="CZ219" i="1"/>
  <c r="X219" i="1"/>
  <c r="F296" i="1"/>
  <c r="AU270" i="1"/>
  <c r="EL163" i="1"/>
  <c r="P256" i="1"/>
  <c r="DF174" i="3"/>
  <c r="DG174" i="3"/>
  <c r="DJ174" i="3" s="1"/>
  <c r="DH174" i="3"/>
  <c r="DI174" i="3"/>
  <c r="EA270" i="1"/>
  <c r="DN277" i="1"/>
  <c r="EH270" i="1"/>
  <c r="P286" i="1"/>
  <c r="DG167" i="3"/>
  <c r="DJ167" i="3" s="1"/>
  <c r="DF167" i="3"/>
  <c r="DH167" i="3"/>
  <c r="DI167" i="3"/>
  <c r="AO309" i="1"/>
  <c r="F320" i="1"/>
  <c r="Q387" i="1"/>
  <c r="F406" i="1"/>
  <c r="P458" i="1"/>
  <c r="EV426" i="1"/>
  <c r="EP394" i="1"/>
  <c r="FY387" i="1"/>
  <c r="DI309" i="1"/>
  <c r="P328" i="1"/>
  <c r="GA426" i="1"/>
  <c r="ER433" i="1"/>
  <c r="AZ39" i="1"/>
  <c r="CI26" i="1"/>
  <c r="DF143" i="3"/>
  <c r="DH143" i="3"/>
  <c r="DG143" i="3"/>
  <c r="DJ143" i="3" s="1"/>
  <c r="DI143" i="3"/>
  <c r="DF123" i="3"/>
  <c r="DJ123" i="3" s="1"/>
  <c r="DG123" i="3"/>
  <c r="DH123" i="3"/>
  <c r="DI123" i="3"/>
  <c r="DT39" i="1"/>
  <c r="GM29" i="1"/>
  <c r="BY84" i="1"/>
  <c r="EV26" i="1"/>
  <c r="P64" i="1"/>
  <c r="EV463" i="1"/>
  <c r="R84" i="1"/>
  <c r="AE71" i="1"/>
  <c r="AQ71" i="1"/>
  <c r="F94" i="1"/>
  <c r="EA71" i="1"/>
  <c r="DN84" i="1"/>
  <c r="EA163" i="1"/>
  <c r="DN238" i="1"/>
  <c r="R277" i="1"/>
  <c r="AE270" i="1"/>
  <c r="CP191" i="1"/>
  <c r="O191" i="1" s="1"/>
  <c r="GM191" i="1" s="1"/>
  <c r="GN191" i="1" s="1"/>
  <c r="AQ163" i="1"/>
  <c r="F248" i="1"/>
  <c r="DV270" i="1"/>
  <c r="DI277" i="1"/>
  <c r="DW270" i="1"/>
  <c r="DJ277" i="1"/>
  <c r="EG270" i="1"/>
  <c r="P281" i="1"/>
  <c r="R313" i="1"/>
  <c r="AE316" i="1" s="1"/>
  <c r="T313" i="1"/>
  <c r="AG316" i="1" s="1"/>
  <c r="Q313" i="1"/>
  <c r="S313" i="1"/>
  <c r="P403" i="1"/>
  <c r="EH387" i="1"/>
  <c r="AE426" i="1"/>
  <c r="R433" i="1"/>
  <c r="GM390" i="1"/>
  <c r="GM428" i="1"/>
  <c r="P457" i="1"/>
  <c r="DO426" i="1"/>
  <c r="EC71" i="1"/>
  <c r="DP84" i="1"/>
  <c r="DW116" i="1"/>
  <c r="DJ131" i="1"/>
  <c r="DV163" i="1"/>
  <c r="DI238" i="1"/>
  <c r="DW163" i="1"/>
  <c r="DJ238" i="1"/>
  <c r="X174" i="1"/>
  <c r="Y174" i="1"/>
  <c r="ED238" i="1" s="1"/>
  <c r="CY174" i="1"/>
  <c r="CZ174" i="1"/>
  <c r="DX238" i="1"/>
  <c r="U131" i="1"/>
  <c r="AH116" i="1"/>
  <c r="AI163" i="1"/>
  <c r="V238" i="1"/>
  <c r="CP166" i="1"/>
  <c r="O166" i="1" s="1"/>
  <c r="GM226" i="1"/>
  <c r="GN226" i="1" s="1"/>
  <c r="AO270" i="1"/>
  <c r="F281" i="1"/>
  <c r="AD316" i="1"/>
  <c r="V277" i="1"/>
  <c r="AI270" i="1"/>
  <c r="DF176" i="3"/>
  <c r="DJ176" i="3" s="1"/>
  <c r="DG176" i="3"/>
  <c r="DH176" i="3"/>
  <c r="DI176" i="3"/>
  <c r="DF155" i="3"/>
  <c r="DJ155" i="3" s="1"/>
  <c r="DG155" i="3"/>
  <c r="DH155" i="3"/>
  <c r="DI155" i="3"/>
  <c r="EM316" i="1"/>
  <c r="FV309" i="1"/>
  <c r="DW426" i="1"/>
  <c r="DJ433" i="1"/>
  <c r="AL426" i="1"/>
  <c r="Y433" i="1"/>
  <c r="DO309" i="1"/>
  <c r="P340" i="1"/>
  <c r="EB387" i="1"/>
  <c r="DO394" i="1"/>
  <c r="EI426" i="1"/>
  <c r="P443" i="1"/>
  <c r="DM309" i="1"/>
  <c r="P338" i="1"/>
  <c r="EM426" i="1"/>
  <c r="P452" i="1"/>
  <c r="DT387" i="1"/>
  <c r="DG394" i="1"/>
  <c r="P373" i="1"/>
  <c r="EL348" i="1"/>
  <c r="X32" i="1"/>
  <c r="Y32" i="1"/>
  <c r="AL39" i="1" s="1"/>
  <c r="CY32" i="1"/>
  <c r="CZ32" i="1"/>
  <c r="EK71" i="1"/>
  <c r="P101" i="1"/>
  <c r="DG137" i="3"/>
  <c r="DI137" i="3"/>
  <c r="DF137" i="3"/>
  <c r="DJ137" i="3" s="1"/>
  <c r="DH137" i="3"/>
  <c r="P50" i="1"/>
  <c r="ER26" i="1"/>
  <c r="DI144" i="3"/>
  <c r="DF144" i="3"/>
  <c r="DJ144" i="3" s="1"/>
  <c r="DG144" i="3"/>
  <c r="DH144" i="3"/>
  <c r="DG25" i="3"/>
  <c r="DH25" i="3"/>
  <c r="DI25" i="3"/>
  <c r="DJ25" i="3" s="1"/>
  <c r="DF25" i="3"/>
  <c r="DP39" i="1"/>
  <c r="EC26" i="1"/>
  <c r="AJ26" i="1"/>
  <c r="W39" i="1"/>
  <c r="DF142" i="3"/>
  <c r="DG142" i="3"/>
  <c r="DH142" i="3"/>
  <c r="DI142" i="3"/>
  <c r="DJ142" i="3" s="1"/>
  <c r="CP75" i="1"/>
  <c r="O75" i="1" s="1"/>
  <c r="FR75" i="1"/>
  <c r="AC84" i="1"/>
  <c r="F103" i="1"/>
  <c r="AU71" i="1"/>
  <c r="DK26" i="1"/>
  <c r="P54" i="1"/>
  <c r="DN26" i="1"/>
  <c r="P62" i="1"/>
  <c r="X176" i="1"/>
  <c r="GM176" i="1" s="1"/>
  <c r="GN176" i="1" s="1"/>
  <c r="Y176" i="1"/>
  <c r="CY176" i="1"/>
  <c r="CZ176" i="1"/>
  <c r="X187" i="1"/>
  <c r="GM187" i="1" s="1"/>
  <c r="GN187" i="1" s="1"/>
  <c r="Y187" i="1"/>
  <c r="CY187" i="1"/>
  <c r="CZ187" i="1"/>
  <c r="EK116" i="1"/>
  <c r="P148" i="1"/>
  <c r="Q116" i="1"/>
  <c r="F143" i="1"/>
  <c r="GM213" i="1"/>
  <c r="GN213" i="1" s="1"/>
  <c r="AP270" i="1"/>
  <c r="F286" i="1"/>
  <c r="X228" i="1"/>
  <c r="Y228" i="1"/>
  <c r="CY228" i="1"/>
  <c r="CZ228" i="1"/>
  <c r="AI316" i="1"/>
  <c r="DF126" i="3"/>
  <c r="DJ126" i="3" s="1"/>
  <c r="DG126" i="3"/>
  <c r="DH126" i="3"/>
  <c r="DI126" i="3"/>
  <c r="DF172" i="3"/>
  <c r="DG172" i="3"/>
  <c r="DJ172" i="3" s="1"/>
  <c r="DH172" i="3"/>
  <c r="DI172" i="3"/>
  <c r="DF152" i="3"/>
  <c r="DG152" i="3"/>
  <c r="DJ152" i="3" s="1"/>
  <c r="DH152" i="3"/>
  <c r="DI152" i="3"/>
  <c r="AU348" i="1"/>
  <c r="F374" i="1"/>
  <c r="X311" i="1"/>
  <c r="GM311" i="1" s="1"/>
  <c r="Y311" i="1"/>
  <c r="CY311" i="1"/>
  <c r="CZ311" i="1"/>
  <c r="AF316" i="1"/>
  <c r="CY429" i="1"/>
  <c r="DX433" i="1"/>
  <c r="X429" i="1"/>
  <c r="EC433" i="1" s="1"/>
  <c r="Y429" i="1"/>
  <c r="ED433" i="1" s="1"/>
  <c r="CZ429" i="1"/>
  <c r="V313" i="1"/>
  <c r="AK426" i="1"/>
  <c r="X433" i="1"/>
  <c r="AZ387" i="1"/>
  <c r="F405" i="1"/>
  <c r="P369" i="1"/>
  <c r="DJ348" i="1"/>
  <c r="P433" i="1"/>
  <c r="AC426" i="1"/>
  <c r="CE433" i="1"/>
  <c r="CF433" i="1"/>
  <c r="CH433" i="1"/>
  <c r="DQ39" i="1"/>
  <c r="ED26" i="1"/>
  <c r="DF46" i="3"/>
  <c r="DI46" i="3"/>
  <c r="DJ46" i="3" s="1"/>
  <c r="DH46" i="3"/>
  <c r="DG46" i="3"/>
  <c r="DG115" i="3"/>
  <c r="DF115" i="3"/>
  <c r="DH115" i="3"/>
  <c r="DI115" i="3"/>
  <c r="DJ115" i="3" s="1"/>
  <c r="DV71" i="1"/>
  <c r="DI84" i="1"/>
  <c r="DI463" i="1" s="1"/>
  <c r="FY26" i="1"/>
  <c r="EP39" i="1"/>
  <c r="DI147" i="3"/>
  <c r="DH147" i="3"/>
  <c r="DF147" i="3"/>
  <c r="DJ147" i="3" s="1"/>
  <c r="DG147" i="3"/>
  <c r="X75" i="1"/>
  <c r="AK84" i="1" s="1"/>
  <c r="Y75" i="1"/>
  <c r="AL84" i="1" s="1"/>
  <c r="CY75" i="1"/>
  <c r="CZ75" i="1"/>
  <c r="ED71" i="1"/>
  <c r="DQ84" i="1"/>
  <c r="P88" i="1"/>
  <c r="EG71" i="1"/>
  <c r="AJ71" i="1"/>
  <c r="W84" i="1"/>
  <c r="CP76" i="1"/>
  <c r="O76" i="1" s="1"/>
  <c r="GM76" i="1" s="1"/>
  <c r="EB116" i="1"/>
  <c r="DO131" i="1"/>
  <c r="CP174" i="1"/>
  <c r="O174" i="1" s="1"/>
  <c r="GM174" i="1" s="1"/>
  <c r="GN174" i="1" s="1"/>
  <c r="GM228" i="1"/>
  <c r="GN228" i="1" s="1"/>
  <c r="BC270" i="1"/>
  <c r="F293" i="1"/>
  <c r="DH131" i="3"/>
  <c r="DI131" i="3"/>
  <c r="DF131" i="3"/>
  <c r="DJ131" i="3" s="1"/>
  <c r="DG131" i="3"/>
  <c r="EG163" i="1"/>
  <c r="P242" i="1"/>
  <c r="CP225" i="1"/>
  <c r="O225" i="1" s="1"/>
  <c r="GM225" i="1" s="1"/>
  <c r="GN225" i="1" s="1"/>
  <c r="EI163" i="1"/>
  <c r="P248" i="1"/>
  <c r="CP313" i="1"/>
  <c r="O313" i="1" s="1"/>
  <c r="AB316" i="1" s="1"/>
  <c r="DF127" i="3"/>
  <c r="DJ127" i="3" s="1"/>
  <c r="DI127" i="3"/>
  <c r="DG127" i="3"/>
  <c r="DH127" i="3"/>
  <c r="AX309" i="1"/>
  <c r="F323" i="1"/>
  <c r="EG348" i="1"/>
  <c r="P359" i="1"/>
  <c r="AC394" i="1"/>
  <c r="CP389" i="1"/>
  <c r="O389" i="1" s="1"/>
  <c r="T277" i="1"/>
  <c r="AG270" i="1"/>
  <c r="EA309" i="1"/>
  <c r="DN316" i="1"/>
  <c r="CP429" i="1"/>
  <c r="O429" i="1" s="1"/>
  <c r="T433" i="1"/>
  <c r="AG426" i="1"/>
  <c r="ER309" i="1"/>
  <c r="P327" i="1"/>
  <c r="U352" i="1"/>
  <c r="AH355" i="1" s="1"/>
  <c r="FW387" i="1"/>
  <c r="EN394" i="1"/>
  <c r="F289" i="1"/>
  <c r="Q270" i="1"/>
  <c r="W387" i="1"/>
  <c r="F418" i="1"/>
  <c r="CP430" i="1"/>
  <c r="O430" i="1" s="1"/>
  <c r="AK71" i="1" l="1"/>
  <c r="X84" i="1"/>
  <c r="AF348" i="1"/>
  <c r="S355" i="1"/>
  <c r="ED309" i="1"/>
  <c r="DQ316" i="1"/>
  <c r="AB309" i="1"/>
  <c r="O316" i="1"/>
  <c r="DI22" i="1"/>
  <c r="P475" i="1"/>
  <c r="DI493" i="1"/>
  <c r="EC309" i="1"/>
  <c r="DP316" i="1"/>
  <c r="GN311" i="1"/>
  <c r="ED116" i="1"/>
  <c r="DQ131" i="1"/>
  <c r="AL163" i="1"/>
  <c r="Y238" i="1"/>
  <c r="EC116" i="1"/>
  <c r="DP131" i="1"/>
  <c r="ED163" i="1"/>
  <c r="DQ238" i="1"/>
  <c r="AL26" i="1"/>
  <c r="Y39" i="1"/>
  <c r="T316" i="1"/>
  <c r="AG309" i="1"/>
  <c r="AL71" i="1"/>
  <c r="Y84" i="1"/>
  <c r="AE309" i="1"/>
  <c r="R316" i="1"/>
  <c r="DN309" i="1"/>
  <c r="P339" i="1"/>
  <c r="P426" i="1"/>
  <c r="F436" i="1"/>
  <c r="AI309" i="1"/>
  <c r="V316" i="1"/>
  <c r="AW277" i="1"/>
  <c r="CF270" i="1"/>
  <c r="P284" i="1"/>
  <c r="EP270" i="1"/>
  <c r="EQ387" i="1"/>
  <c r="P402" i="1"/>
  <c r="X394" i="1"/>
  <c r="AK387" i="1"/>
  <c r="EQ355" i="1"/>
  <c r="FZ348" i="1"/>
  <c r="AG163" i="1"/>
  <c r="T238" i="1"/>
  <c r="Q163" i="1"/>
  <c r="F250" i="1"/>
  <c r="FX71" i="1"/>
  <c r="EO84" i="1"/>
  <c r="EI22" i="1"/>
  <c r="P473" i="1"/>
  <c r="EI493" i="1"/>
  <c r="F459" i="1"/>
  <c r="X426" i="1"/>
  <c r="EM309" i="1"/>
  <c r="P335" i="1"/>
  <c r="GM166" i="1"/>
  <c r="DT238" i="1"/>
  <c r="DP71" i="1"/>
  <c r="P110" i="1"/>
  <c r="P291" i="1"/>
  <c r="DJ270" i="1"/>
  <c r="R71" i="1"/>
  <c r="F98" i="1"/>
  <c r="AZ26" i="1"/>
  <c r="F50" i="1"/>
  <c r="DY163" i="1"/>
  <c r="DL238" i="1"/>
  <c r="R163" i="1"/>
  <c r="F252" i="1"/>
  <c r="EP426" i="1"/>
  <c r="P440" i="1"/>
  <c r="AZ348" i="1"/>
  <c r="F366" i="1"/>
  <c r="BA116" i="1"/>
  <c r="F151" i="1"/>
  <c r="F138" i="1"/>
  <c r="AX116" i="1"/>
  <c r="V116" i="1"/>
  <c r="F154" i="1"/>
  <c r="U71" i="1"/>
  <c r="F106" i="1"/>
  <c r="AQ22" i="1"/>
  <c r="F473" i="1"/>
  <c r="AQ493" i="1"/>
  <c r="AK39" i="1"/>
  <c r="FW71" i="1"/>
  <c r="EN84" i="1"/>
  <c r="GM314" i="1"/>
  <c r="GN314" i="1" s="1"/>
  <c r="EL22" i="1"/>
  <c r="P481" i="1"/>
  <c r="F16" i="2" s="1"/>
  <c r="EL493" i="1"/>
  <c r="V163" i="1"/>
  <c r="F261" i="1"/>
  <c r="EV22" i="1"/>
  <c r="P488" i="1"/>
  <c r="EV493" i="1"/>
  <c r="ER426" i="1"/>
  <c r="P444" i="1"/>
  <c r="DP277" i="1"/>
  <c r="EC270" i="1"/>
  <c r="V426" i="1"/>
  <c r="F456" i="1"/>
  <c r="DT277" i="1"/>
  <c r="GM273" i="1"/>
  <c r="AF26" i="1"/>
  <c r="S39" i="1"/>
  <c r="P379" i="1"/>
  <c r="DO348" i="1"/>
  <c r="Q426" i="1"/>
  <c r="F445" i="1"/>
  <c r="EO426" i="1"/>
  <c r="P439" i="1"/>
  <c r="P99" i="1"/>
  <c r="DK71" i="1"/>
  <c r="AL116" i="1"/>
  <c r="Y131" i="1"/>
  <c r="P96" i="1"/>
  <c r="DI71" i="1"/>
  <c r="F298" i="1"/>
  <c r="T270" i="1"/>
  <c r="P289" i="1"/>
  <c r="DI270" i="1"/>
  <c r="BB22" i="1"/>
  <c r="BB493" i="1"/>
  <c r="F476" i="1"/>
  <c r="GN351" i="1"/>
  <c r="FT355" i="1" s="1"/>
  <c r="FS355" i="1"/>
  <c r="DU270" i="1"/>
  <c r="FW277" i="1"/>
  <c r="FX277" i="1"/>
  <c r="FZ277" i="1"/>
  <c r="DH277" i="1"/>
  <c r="DQ348" i="1"/>
  <c r="P382" i="1"/>
  <c r="DK131" i="1"/>
  <c r="DX116" i="1"/>
  <c r="EP163" i="1"/>
  <c r="P245" i="1"/>
  <c r="F51" i="1"/>
  <c r="Q26" i="1"/>
  <c r="BD22" i="1"/>
  <c r="F488" i="1"/>
  <c r="BD493" i="1"/>
  <c r="DJ309" i="1"/>
  <c r="P330" i="1"/>
  <c r="GM430" i="1"/>
  <c r="GN430" i="1" s="1"/>
  <c r="AB433" i="1"/>
  <c r="GM389" i="1"/>
  <c r="AB394" i="1"/>
  <c r="P111" i="1"/>
  <c r="DQ71" i="1"/>
  <c r="DN463" i="1"/>
  <c r="W26" i="1"/>
  <c r="F63" i="1"/>
  <c r="P300" i="1"/>
  <c r="DN270" i="1"/>
  <c r="P42" i="1"/>
  <c r="DH26" i="1"/>
  <c r="P292" i="1"/>
  <c r="DK270" i="1"/>
  <c r="AT22" i="1"/>
  <c r="F481" i="1"/>
  <c r="U16" i="2" s="1"/>
  <c r="AT493" i="1"/>
  <c r="W355" i="1"/>
  <c r="AJ348" i="1"/>
  <c r="F284" i="1"/>
  <c r="AX270" i="1"/>
  <c r="P416" i="1"/>
  <c r="DM387" i="1"/>
  <c r="GM121" i="1"/>
  <c r="AK116" i="1"/>
  <c r="X131" i="1"/>
  <c r="DM71" i="1"/>
  <c r="P106" i="1"/>
  <c r="V71" i="1"/>
  <c r="F107" i="1"/>
  <c r="AV316" i="1"/>
  <c r="CE309" i="1"/>
  <c r="P394" i="1"/>
  <c r="AC387" i="1"/>
  <c r="CE394" i="1"/>
  <c r="CF394" i="1"/>
  <c r="CH394" i="1"/>
  <c r="U116" i="1"/>
  <c r="F153" i="1"/>
  <c r="GN428" i="1"/>
  <c r="CI84" i="1"/>
  <c r="BY71" i="1"/>
  <c r="AP84" i="1"/>
  <c r="AB116" i="1"/>
  <c r="O131" i="1"/>
  <c r="FZ26" i="1"/>
  <c r="EQ39" i="1"/>
  <c r="DQ277" i="1"/>
  <c r="ED270" i="1"/>
  <c r="CJ309" i="1"/>
  <c r="BA316" i="1"/>
  <c r="P288" i="1"/>
  <c r="ER270" i="1"/>
  <c r="DM22" i="1"/>
  <c r="DM493" i="1"/>
  <c r="P485" i="1"/>
  <c r="CJ348" i="1"/>
  <c r="BA355" i="1"/>
  <c r="DL387" i="1"/>
  <c r="P415" i="1"/>
  <c r="AX426" i="1"/>
  <c r="F440" i="1"/>
  <c r="AK238" i="1"/>
  <c r="P309" i="1"/>
  <c r="F319" i="1"/>
  <c r="DX163" i="1"/>
  <c r="DK238" i="1"/>
  <c r="GN390" i="1"/>
  <c r="FT394" i="1" s="1"/>
  <c r="FS394" i="1"/>
  <c r="GN29" i="1"/>
  <c r="FT39" i="1" s="1"/>
  <c r="FS39" i="1"/>
  <c r="EC238" i="1"/>
  <c r="FX26" i="1"/>
  <c r="EO39" i="1"/>
  <c r="T26" i="1"/>
  <c r="F60" i="1"/>
  <c r="T463" i="1"/>
  <c r="P420" i="1"/>
  <c r="DP387" i="1"/>
  <c r="X352" i="1"/>
  <c r="AK355" i="1" s="1"/>
  <c r="Y352" i="1"/>
  <c r="CY352" i="1"/>
  <c r="CZ352" i="1"/>
  <c r="AC163" i="1"/>
  <c r="CE238" i="1"/>
  <c r="CF238" i="1"/>
  <c r="CH238" i="1"/>
  <c r="P238" i="1"/>
  <c r="DO26" i="1"/>
  <c r="P63" i="1"/>
  <c r="DO463" i="1"/>
  <c r="P381" i="1"/>
  <c r="DP348" i="1"/>
  <c r="AX463" i="1"/>
  <c r="V26" i="1"/>
  <c r="F62" i="1"/>
  <c r="EP116" i="1"/>
  <c r="P138" i="1"/>
  <c r="DW387" i="1"/>
  <c r="DJ394" i="1"/>
  <c r="BA71" i="1"/>
  <c r="F104" i="1"/>
  <c r="ES71" i="1"/>
  <c r="P104" i="1"/>
  <c r="AU22" i="1"/>
  <c r="AU493" i="1"/>
  <c r="F482" i="1"/>
  <c r="CH309" i="1"/>
  <c r="AY316" i="1"/>
  <c r="DP26" i="1"/>
  <c r="P65" i="1"/>
  <c r="P418" i="1"/>
  <c r="DO387" i="1"/>
  <c r="R426" i="1"/>
  <c r="F447" i="1"/>
  <c r="DT26" i="1"/>
  <c r="DG39" i="1"/>
  <c r="P401" i="1"/>
  <c r="EP387" i="1"/>
  <c r="FW26" i="1"/>
  <c r="EN39" i="1"/>
  <c r="DJ26" i="1"/>
  <c r="P53" i="1"/>
  <c r="DJ463" i="1"/>
  <c r="AJ309" i="1"/>
  <c r="W316" i="1"/>
  <c r="CH39" i="1"/>
  <c r="AC26" i="1"/>
  <c r="P39" i="1"/>
  <c r="CE39" i="1"/>
  <c r="CF39" i="1"/>
  <c r="AE348" i="1"/>
  <c r="R355" i="1"/>
  <c r="GM165" i="1"/>
  <c r="AB238" i="1"/>
  <c r="GM350" i="1"/>
  <c r="P409" i="1"/>
  <c r="DK387" i="1"/>
  <c r="P370" i="1"/>
  <c r="DK348" i="1"/>
  <c r="F304" i="1"/>
  <c r="Y270" i="1"/>
  <c r="DN116" i="1"/>
  <c r="P154" i="1"/>
  <c r="P93" i="1"/>
  <c r="EH71" i="1"/>
  <c r="W270" i="1"/>
  <c r="F301" i="1"/>
  <c r="Q71" i="1"/>
  <c r="F96" i="1"/>
  <c r="CF309" i="1"/>
  <c r="AW316" i="1"/>
  <c r="EN387" i="1"/>
  <c r="P399" i="1"/>
  <c r="GM231" i="1"/>
  <c r="GN231" i="1" s="1"/>
  <c r="P400" i="1"/>
  <c r="EO387" i="1"/>
  <c r="GM28" i="1"/>
  <c r="AB39" i="1"/>
  <c r="U426" i="1"/>
  <c r="F455" i="1"/>
  <c r="Q355" i="1"/>
  <c r="AD348" i="1"/>
  <c r="R26" i="1"/>
  <c r="F53" i="1"/>
  <c r="R463" i="1"/>
  <c r="DL116" i="1"/>
  <c r="P152" i="1"/>
  <c r="ES163" i="1"/>
  <c r="P258" i="1"/>
  <c r="F291" i="1"/>
  <c r="R270" i="1"/>
  <c r="P108" i="1"/>
  <c r="DO71" i="1"/>
  <c r="CF116" i="1"/>
  <c r="AW131" i="1"/>
  <c r="F401" i="1"/>
  <c r="AX387" i="1"/>
  <c r="P105" i="1"/>
  <c r="DL71" i="1"/>
  <c r="T116" i="1"/>
  <c r="F152" i="1"/>
  <c r="DL309" i="1"/>
  <c r="P337" i="1"/>
  <c r="GA71" i="1"/>
  <c r="ER84" i="1"/>
  <c r="AR131" i="1"/>
  <c r="CA116" i="1"/>
  <c r="F59" i="1"/>
  <c r="BA26" i="1"/>
  <c r="DU163" i="1"/>
  <c r="FW238" i="1"/>
  <c r="FX238" i="1"/>
  <c r="FZ238" i="1"/>
  <c r="DH238" i="1"/>
  <c r="U355" i="1"/>
  <c r="AH348" i="1"/>
  <c r="DP433" i="1"/>
  <c r="EC426" i="1"/>
  <c r="DN163" i="1"/>
  <c r="P261" i="1"/>
  <c r="GM32" i="1"/>
  <c r="GN32" i="1" s="1"/>
  <c r="CE116" i="1"/>
  <c r="AV131" i="1"/>
  <c r="DT316" i="1"/>
  <c r="GM312" i="1"/>
  <c r="DU116" i="1"/>
  <c r="DH131" i="1"/>
  <c r="DH463" i="1" s="1"/>
  <c r="FW131" i="1"/>
  <c r="FX131" i="1"/>
  <c r="DT84" i="1"/>
  <c r="BC22" i="1"/>
  <c r="F479" i="1"/>
  <c r="BC493" i="1"/>
  <c r="ED426" i="1"/>
  <c r="DQ433" i="1"/>
  <c r="DX426" i="1"/>
  <c r="DK433" i="1"/>
  <c r="F460" i="1"/>
  <c r="Y426" i="1"/>
  <c r="F300" i="1"/>
  <c r="V270" i="1"/>
  <c r="DJ163" i="1"/>
  <c r="P252" i="1"/>
  <c r="X313" i="1"/>
  <c r="AK316" i="1" s="1"/>
  <c r="CY313" i="1"/>
  <c r="CZ313" i="1"/>
  <c r="Y313" i="1"/>
  <c r="GM313" i="1" s="1"/>
  <c r="F288" i="1"/>
  <c r="AZ270" i="1"/>
  <c r="DG355" i="1"/>
  <c r="DT348" i="1"/>
  <c r="ED387" i="1"/>
  <c r="DQ394" i="1"/>
  <c r="P116" i="1"/>
  <c r="F134" i="1"/>
  <c r="F362" i="1"/>
  <c r="AX348" i="1"/>
  <c r="DU309" i="1"/>
  <c r="FX316" i="1"/>
  <c r="FZ316" i="1"/>
  <c r="DH316" i="1"/>
  <c r="FW316" i="1"/>
  <c r="GM119" i="1"/>
  <c r="FS131" i="1" s="1"/>
  <c r="DT131" i="1"/>
  <c r="FS84" i="1"/>
  <c r="U163" i="1"/>
  <c r="F260" i="1"/>
  <c r="S71" i="1"/>
  <c r="F99" i="1"/>
  <c r="DK309" i="1"/>
  <c r="P331" i="1"/>
  <c r="P66" i="1"/>
  <c r="DQ26" i="1"/>
  <c r="DO116" i="1"/>
  <c r="P155" i="1"/>
  <c r="CH426" i="1"/>
  <c r="AY433" i="1"/>
  <c r="Q316" i="1"/>
  <c r="Q463" i="1" s="1"/>
  <c r="AD309" i="1"/>
  <c r="DN71" i="1"/>
  <c r="P107" i="1"/>
  <c r="T71" i="1"/>
  <c r="F105" i="1"/>
  <c r="CE270" i="1"/>
  <c r="AV277" i="1"/>
  <c r="AO22" i="1"/>
  <c r="AO493" i="1"/>
  <c r="F467" i="1"/>
  <c r="DL348" i="1"/>
  <c r="P376" i="1"/>
  <c r="AS116" i="1"/>
  <c r="F148" i="1"/>
  <c r="S394" i="1"/>
  <c r="AF387" i="1"/>
  <c r="AZ116" i="1"/>
  <c r="F142" i="1"/>
  <c r="FX348" i="1"/>
  <c r="EO355" i="1"/>
  <c r="CH116" i="1"/>
  <c r="AY131" i="1"/>
  <c r="P301" i="1"/>
  <c r="DO270" i="1"/>
  <c r="EN426" i="1"/>
  <c r="P438" i="1"/>
  <c r="FQ131" i="1"/>
  <c r="EU22" i="1"/>
  <c r="P479" i="1"/>
  <c r="EU493" i="1"/>
  <c r="AH309" i="1"/>
  <c r="U316" i="1"/>
  <c r="P298" i="1"/>
  <c r="DL270" i="1"/>
  <c r="CF426" i="1"/>
  <c r="AW433" i="1"/>
  <c r="AF309" i="1"/>
  <c r="S316" i="1"/>
  <c r="CF84" i="1"/>
  <c r="CH84" i="1"/>
  <c r="P84" i="1"/>
  <c r="AC71" i="1"/>
  <c r="CE84" i="1"/>
  <c r="GM275" i="1"/>
  <c r="GN275" i="1" s="1"/>
  <c r="DI163" i="1"/>
  <c r="P250" i="1"/>
  <c r="P98" i="1"/>
  <c r="DJ71" i="1"/>
  <c r="V355" i="1"/>
  <c r="AI348" i="1"/>
  <c r="O277" i="1"/>
  <c r="AB270" i="1"/>
  <c r="W163" i="1"/>
  <c r="F262" i="1"/>
  <c r="X270" i="1"/>
  <c r="F303" i="1"/>
  <c r="FW348" i="1"/>
  <c r="EN355" i="1"/>
  <c r="CJ163" i="1"/>
  <c r="BA238" i="1"/>
  <c r="F417" i="1"/>
  <c r="V387" i="1"/>
  <c r="DI426" i="1"/>
  <c r="P445" i="1"/>
  <c r="EQ426" i="1"/>
  <c r="P441" i="1"/>
  <c r="EG22" i="1"/>
  <c r="EG493" i="1"/>
  <c r="P467" i="1"/>
  <c r="F297" i="1"/>
  <c r="BA270" i="1"/>
  <c r="EP26" i="1"/>
  <c r="P46" i="1"/>
  <c r="EP463" i="1"/>
  <c r="CE426" i="1"/>
  <c r="AV433" i="1"/>
  <c r="DJ426" i="1"/>
  <c r="P447" i="1"/>
  <c r="F280" i="1"/>
  <c r="P270" i="1"/>
  <c r="CA277" i="1"/>
  <c r="GN272" i="1"/>
  <c r="CB277" i="1" s="1"/>
  <c r="AF163" i="1"/>
  <c r="S238" i="1"/>
  <c r="AZ426" i="1"/>
  <c r="F444" i="1"/>
  <c r="CP352" i="1"/>
  <c r="O352" i="1" s="1"/>
  <c r="AB355" i="1" s="1"/>
  <c r="AC355" i="1"/>
  <c r="ER163" i="1"/>
  <c r="P249" i="1"/>
  <c r="ET22" i="1"/>
  <c r="ET493" i="1"/>
  <c r="P476" i="1"/>
  <c r="P87" i="1"/>
  <c r="DH71" i="1"/>
  <c r="DO163" i="1"/>
  <c r="P262" i="1"/>
  <c r="ES463" i="1"/>
  <c r="DM163" i="1"/>
  <c r="P260" i="1"/>
  <c r="T348" i="1"/>
  <c r="F376" i="1"/>
  <c r="T426" i="1"/>
  <c r="F454" i="1"/>
  <c r="GM429" i="1"/>
  <c r="DT433" i="1"/>
  <c r="W71" i="1"/>
  <c r="F108" i="1"/>
  <c r="GM75" i="1"/>
  <c r="CA84" i="1" s="1"/>
  <c r="AB84" i="1"/>
  <c r="DG387" i="1"/>
  <c r="P396" i="1"/>
  <c r="DJ116" i="1"/>
  <c r="P145" i="1"/>
  <c r="AY277" i="1"/>
  <c r="CH270" i="1"/>
  <c r="Y394" i="1"/>
  <c r="AL387" i="1"/>
  <c r="DH348" i="1"/>
  <c r="P358" i="1"/>
  <c r="S426" i="1"/>
  <c r="F448" i="1"/>
  <c r="EM463" i="1"/>
  <c r="ER387" i="1"/>
  <c r="P405" i="1"/>
  <c r="AL355" i="1"/>
  <c r="FZ71" i="1"/>
  <c r="EQ84" i="1"/>
  <c r="O355" i="1" l="1"/>
  <c r="AB348" i="1"/>
  <c r="GN313" i="1"/>
  <c r="CA316" i="1"/>
  <c r="AK309" i="1"/>
  <c r="X316" i="1"/>
  <c r="Q22" i="1"/>
  <c r="Q493" i="1"/>
  <c r="F475" i="1"/>
  <c r="X355" i="1"/>
  <c r="AK348" i="1"/>
  <c r="DH22" i="1"/>
  <c r="P466" i="1"/>
  <c r="DH493" i="1"/>
  <c r="W309" i="1"/>
  <c r="F340" i="1"/>
  <c r="DQ270" i="1"/>
  <c r="P304" i="1"/>
  <c r="P387" i="1"/>
  <c r="F397" i="1"/>
  <c r="AT18" i="1"/>
  <c r="F511" i="1"/>
  <c r="AB387" i="1"/>
  <c r="O394" i="1"/>
  <c r="DK116" i="1"/>
  <c r="P146" i="1"/>
  <c r="DK463" i="1"/>
  <c r="DT270" i="1"/>
  <c r="DG277" i="1"/>
  <c r="DT163" i="1"/>
  <c r="DG238" i="1"/>
  <c r="R309" i="1"/>
  <c r="F330" i="1"/>
  <c r="F139" i="1"/>
  <c r="AY116" i="1"/>
  <c r="AK163" i="1"/>
  <c r="X238" i="1"/>
  <c r="EQ26" i="1"/>
  <c r="P47" i="1"/>
  <c r="CA394" i="1"/>
  <c r="GN389" i="1"/>
  <c r="CB394" i="1" s="1"/>
  <c r="EN71" i="1"/>
  <c r="P89" i="1"/>
  <c r="GN166" i="1"/>
  <c r="FT238" i="1" s="1"/>
  <c r="FS238" i="1"/>
  <c r="EQ348" i="1"/>
  <c r="P363" i="1"/>
  <c r="DK426" i="1"/>
  <c r="P448" i="1"/>
  <c r="AR116" i="1"/>
  <c r="F159" i="1"/>
  <c r="DJ22" i="1"/>
  <c r="DJ493" i="1"/>
  <c r="P477" i="1"/>
  <c r="F324" i="1"/>
  <c r="AY309" i="1"/>
  <c r="AX22" i="1"/>
  <c r="AX493" i="1"/>
  <c r="F470" i="1"/>
  <c r="F321" i="1"/>
  <c r="AV309" i="1"/>
  <c r="O433" i="1"/>
  <c r="AB426" i="1"/>
  <c r="F111" i="1"/>
  <c r="Y71" i="1"/>
  <c r="CB316" i="1"/>
  <c r="AV116" i="1"/>
  <c r="F136" i="1"/>
  <c r="CB270" i="1"/>
  <c r="AS277" i="1"/>
  <c r="O270" i="1"/>
  <c r="F279" i="1"/>
  <c r="P361" i="1"/>
  <c r="EO348" i="1"/>
  <c r="DQ426" i="1"/>
  <c r="P460" i="1"/>
  <c r="P95" i="1"/>
  <c r="ER71" i="1"/>
  <c r="T22" i="1"/>
  <c r="T493" i="1"/>
  <c r="F484" i="1"/>
  <c r="O116" i="1"/>
  <c r="F133" i="1"/>
  <c r="P280" i="1"/>
  <c r="DH270" i="1"/>
  <c r="Y116" i="1"/>
  <c r="F158" i="1"/>
  <c r="AK26" i="1"/>
  <c r="X39" i="1"/>
  <c r="F420" i="1"/>
  <c r="X387" i="1"/>
  <c r="DP309" i="1"/>
  <c r="P342" i="1"/>
  <c r="AW426" i="1"/>
  <c r="F439" i="1"/>
  <c r="CA270" i="1"/>
  <c r="AR277" i="1"/>
  <c r="DG348" i="1"/>
  <c r="P357" i="1"/>
  <c r="AL316" i="1"/>
  <c r="EQ277" i="1"/>
  <c r="FZ270" i="1"/>
  <c r="DP270" i="1"/>
  <c r="P303" i="1"/>
  <c r="AQ18" i="1"/>
  <c r="F503" i="1"/>
  <c r="F282" i="1"/>
  <c r="AV270" i="1"/>
  <c r="EQ71" i="1"/>
  <c r="P92" i="1"/>
  <c r="F378" i="1"/>
  <c r="V348" i="1"/>
  <c r="FS71" i="1"/>
  <c r="EJ84" i="1"/>
  <c r="BC18" i="1"/>
  <c r="F509" i="1"/>
  <c r="AW309" i="1"/>
  <c r="F322" i="1"/>
  <c r="EN26" i="1"/>
  <c r="P44" i="1"/>
  <c r="AU18" i="1"/>
  <c r="F512" i="1"/>
  <c r="DO22" i="1"/>
  <c r="P487" i="1"/>
  <c r="DO493" i="1"/>
  <c r="AP71" i="1"/>
  <c r="F93" i="1"/>
  <c r="AP463" i="1"/>
  <c r="EO277" i="1"/>
  <c r="FX270" i="1"/>
  <c r="DL163" i="1"/>
  <c r="P259" i="1"/>
  <c r="DL463" i="1"/>
  <c r="T309" i="1"/>
  <c r="F337" i="1"/>
  <c r="DI18" i="1"/>
  <c r="P505" i="1"/>
  <c r="F421" i="1"/>
  <c r="Y387" i="1"/>
  <c r="EG18" i="1"/>
  <c r="P497" i="1"/>
  <c r="ES22" i="1"/>
  <c r="ES493" i="1"/>
  <c r="P483" i="1"/>
  <c r="U309" i="1"/>
  <c r="F338" i="1"/>
  <c r="DG131" i="1"/>
  <c r="DT116" i="1"/>
  <c r="DP426" i="1"/>
  <c r="P459" i="1"/>
  <c r="GN350" i="1"/>
  <c r="EO26" i="1"/>
  <c r="P45" i="1"/>
  <c r="BA348" i="1"/>
  <c r="F375" i="1"/>
  <c r="EN277" i="1"/>
  <c r="FW270" i="1"/>
  <c r="EI18" i="1"/>
  <c r="P503" i="1"/>
  <c r="Y26" i="1"/>
  <c r="F66" i="1"/>
  <c r="FS116" i="1"/>
  <c r="EJ131" i="1"/>
  <c r="R22" i="1"/>
  <c r="R493" i="1"/>
  <c r="F477" i="1"/>
  <c r="AB163" i="1"/>
  <c r="O238" i="1"/>
  <c r="AZ84" i="1"/>
  <c r="CI71" i="1"/>
  <c r="X116" i="1"/>
  <c r="F157" i="1"/>
  <c r="BD18" i="1"/>
  <c r="F518" i="1"/>
  <c r="EV18" i="1"/>
  <c r="P518" i="1"/>
  <c r="AY270" i="1"/>
  <c r="F285" i="1"/>
  <c r="DT71" i="1"/>
  <c r="DG84" i="1"/>
  <c r="GN165" i="1"/>
  <c r="CB238" i="1" s="1"/>
  <c r="CA238" i="1"/>
  <c r="P163" i="1"/>
  <c r="F241" i="1"/>
  <c r="EC163" i="1"/>
  <c r="DP238" i="1"/>
  <c r="CA433" i="1"/>
  <c r="FS348" i="1"/>
  <c r="EJ355" i="1"/>
  <c r="DQ163" i="1"/>
  <c r="P265" i="1"/>
  <c r="F318" i="1"/>
  <c r="O309" i="1"/>
  <c r="S309" i="1"/>
  <c r="F331" i="1"/>
  <c r="S163" i="1"/>
  <c r="F253" i="1"/>
  <c r="ET18" i="1"/>
  <c r="P506" i="1"/>
  <c r="DH309" i="1"/>
  <c r="P319" i="1"/>
  <c r="EO131" i="1"/>
  <c r="FX116" i="1"/>
  <c r="DH163" i="1"/>
  <c r="P241" i="1"/>
  <c r="R348" i="1"/>
  <c r="F369" i="1"/>
  <c r="DG26" i="1"/>
  <c r="P41" i="1"/>
  <c r="CH163" i="1"/>
  <c r="AY238" i="1"/>
  <c r="EJ39" i="1"/>
  <c r="FS26" i="1"/>
  <c r="DM18" i="1"/>
  <c r="P515" i="1"/>
  <c r="CB433" i="1"/>
  <c r="FT348" i="1"/>
  <c r="EK355" i="1"/>
  <c r="EO71" i="1"/>
  <c r="P90" i="1"/>
  <c r="F283" i="1"/>
  <c r="AW270" i="1"/>
  <c r="CA71" i="1"/>
  <c r="AR84" i="1"/>
  <c r="AY426" i="1"/>
  <c r="F441" i="1"/>
  <c r="EM22" i="1"/>
  <c r="P482" i="1"/>
  <c r="H16" i="2" s="1"/>
  <c r="EM493" i="1"/>
  <c r="BA163" i="1"/>
  <c r="F258" i="1"/>
  <c r="FZ309" i="1"/>
  <c r="EQ316" i="1"/>
  <c r="FW116" i="1"/>
  <c r="EN131" i="1"/>
  <c r="EN463" i="1" s="1"/>
  <c r="FZ163" i="1"/>
  <c r="EQ238" i="1"/>
  <c r="CF163" i="1"/>
  <c r="AW238" i="1"/>
  <c r="EK39" i="1"/>
  <c r="FT26" i="1"/>
  <c r="W463" i="1"/>
  <c r="V309" i="1"/>
  <c r="F339" i="1"/>
  <c r="DQ309" i="1"/>
  <c r="P343" i="1"/>
  <c r="DQ387" i="1"/>
  <c r="P421" i="1"/>
  <c r="U348" i="1"/>
  <c r="F377" i="1"/>
  <c r="DT426" i="1"/>
  <c r="DG433" i="1"/>
  <c r="EP22" i="1"/>
  <c r="P470" i="1"/>
  <c r="EP493" i="1"/>
  <c r="CE71" i="1"/>
  <c r="AV84" i="1"/>
  <c r="FQ116" i="1"/>
  <c r="GA131" i="1"/>
  <c r="EH131" i="1"/>
  <c r="EO316" i="1"/>
  <c r="EO463" i="1" s="1"/>
  <c r="FX309" i="1"/>
  <c r="DH116" i="1"/>
  <c r="P134" i="1"/>
  <c r="FX163" i="1"/>
  <c r="EO238" i="1"/>
  <c r="Q348" i="1"/>
  <c r="F367" i="1"/>
  <c r="CF26" i="1"/>
  <c r="AW39" i="1"/>
  <c r="P408" i="1"/>
  <c r="DJ387" i="1"/>
  <c r="CE163" i="1"/>
  <c r="AV238" i="1"/>
  <c r="FS387" i="1"/>
  <c r="EJ394" i="1"/>
  <c r="BB18" i="1"/>
  <c r="F506" i="1"/>
  <c r="DP116" i="1"/>
  <c r="P157" i="1"/>
  <c r="Y355" i="1"/>
  <c r="AL348" i="1"/>
  <c r="Q309" i="1"/>
  <c r="F328" i="1"/>
  <c r="EU18" i="1"/>
  <c r="P509" i="1"/>
  <c r="GN429" i="1"/>
  <c r="FT433" i="1" s="1"/>
  <c r="FS433" i="1"/>
  <c r="EN348" i="1"/>
  <c r="P360" i="1"/>
  <c r="DQ463" i="1"/>
  <c r="FW163" i="1"/>
  <c r="EN238" i="1"/>
  <c r="CE26" i="1"/>
  <c r="AV39" i="1"/>
  <c r="FT387" i="1"/>
  <c r="EK394" i="1"/>
  <c r="CH387" i="1"/>
  <c r="AY394" i="1"/>
  <c r="F370" i="1"/>
  <c r="S348" i="1"/>
  <c r="CE355" i="1"/>
  <c r="CF355" i="1"/>
  <c r="CH355" i="1"/>
  <c r="P355" i="1"/>
  <c r="AC348" i="1"/>
  <c r="P71" i="1"/>
  <c r="F87" i="1"/>
  <c r="FZ131" i="1"/>
  <c r="AW116" i="1"/>
  <c r="F137" i="1"/>
  <c r="P26" i="1"/>
  <c r="F42" i="1"/>
  <c r="DK163" i="1"/>
  <c r="P253" i="1"/>
  <c r="BA309" i="1"/>
  <c r="F336" i="1"/>
  <c r="CF387" i="1"/>
  <c r="AW394" i="1"/>
  <c r="DN22" i="1"/>
  <c r="DN493" i="1"/>
  <c r="P486" i="1"/>
  <c r="S26" i="1"/>
  <c r="F54" i="1"/>
  <c r="S463" i="1"/>
  <c r="EL18" i="1"/>
  <c r="P511" i="1"/>
  <c r="Y163" i="1"/>
  <c r="F265" i="1"/>
  <c r="O84" i="1"/>
  <c r="AB71" i="1"/>
  <c r="F409" i="1"/>
  <c r="S387" i="1"/>
  <c r="AV426" i="1"/>
  <c r="F438" i="1"/>
  <c r="U463" i="1"/>
  <c r="AO18" i="1"/>
  <c r="F497" i="1"/>
  <c r="GN312" i="1"/>
  <c r="FT316" i="1" s="1"/>
  <c r="FS316" i="1"/>
  <c r="BA463" i="1"/>
  <c r="AB26" i="1"/>
  <c r="O39" i="1"/>
  <c r="CE387" i="1"/>
  <c r="AV394" i="1"/>
  <c r="T163" i="1"/>
  <c r="F259" i="1"/>
  <c r="X71" i="1"/>
  <c r="F110" i="1"/>
  <c r="EN316" i="1"/>
  <c r="FW309" i="1"/>
  <c r="GM352" i="1"/>
  <c r="GN352" i="1" s="1"/>
  <c r="CH71" i="1"/>
  <c r="AY84" i="1"/>
  <c r="AW84" i="1"/>
  <c r="CF71" i="1"/>
  <c r="DT309" i="1"/>
  <c r="DG316" i="1"/>
  <c r="GN28" i="1"/>
  <c r="CB39" i="1" s="1"/>
  <c r="CA39" i="1"/>
  <c r="AY39" i="1"/>
  <c r="CH26" i="1"/>
  <c r="V463" i="1"/>
  <c r="F379" i="1"/>
  <c r="W348" i="1"/>
  <c r="FS277" i="1"/>
  <c r="GN273" i="1"/>
  <c r="FT277" i="1" s="1"/>
  <c r="DQ116" i="1"/>
  <c r="P158" i="1"/>
  <c r="EN22" i="1" l="1"/>
  <c r="EN493" i="1"/>
  <c r="P468" i="1"/>
  <c r="EO22" i="1"/>
  <c r="EO493" i="1"/>
  <c r="P469" i="1"/>
  <c r="O26" i="1"/>
  <c r="F41" i="1"/>
  <c r="O463" i="1"/>
  <c r="CB426" i="1"/>
  <c r="AS433" i="1"/>
  <c r="AZ71" i="1"/>
  <c r="F95" i="1"/>
  <c r="AZ463" i="1"/>
  <c r="CB26" i="1"/>
  <c r="AS39" i="1"/>
  <c r="DG309" i="1"/>
  <c r="P318" i="1"/>
  <c r="AV26" i="1"/>
  <c r="F44" i="1"/>
  <c r="O163" i="1"/>
  <c r="F240" i="1"/>
  <c r="O426" i="1"/>
  <c r="F435" i="1"/>
  <c r="DG163" i="1"/>
  <c r="P240" i="1"/>
  <c r="FS163" i="1"/>
  <c r="EJ238" i="1"/>
  <c r="DH18" i="1"/>
  <c r="P496" i="1"/>
  <c r="FT163" i="1"/>
  <c r="EK238" i="1"/>
  <c r="DG270" i="1"/>
  <c r="P279" i="1"/>
  <c r="CB163" i="1"/>
  <c r="AS238" i="1"/>
  <c r="R18" i="1"/>
  <c r="F507" i="1"/>
  <c r="CB355" i="1"/>
  <c r="F92" i="1"/>
  <c r="AY71" i="1"/>
  <c r="DQ22" i="1"/>
  <c r="DQ493" i="1"/>
  <c r="P490" i="1"/>
  <c r="GA116" i="1"/>
  <c r="ER131" i="1"/>
  <c r="AY163" i="1"/>
  <c r="F246" i="1"/>
  <c r="DG71" i="1"/>
  <c r="P86" i="1"/>
  <c r="CA355" i="1"/>
  <c r="X26" i="1"/>
  <c r="F65" i="1"/>
  <c r="X463" i="1"/>
  <c r="AX18" i="1"/>
  <c r="F500" i="1"/>
  <c r="DK22" i="1"/>
  <c r="DK493" i="1"/>
  <c r="P478" i="1"/>
  <c r="J16" i="2" s="1"/>
  <c r="CA163" i="1"/>
  <c r="AR238" i="1"/>
  <c r="AV163" i="1"/>
  <c r="F243" i="1"/>
  <c r="W22" i="1"/>
  <c r="F487" i="1"/>
  <c r="W493" i="1"/>
  <c r="EJ116" i="1"/>
  <c r="P159" i="1"/>
  <c r="CB387" i="1"/>
  <c r="AS394" i="1"/>
  <c r="F381" i="1"/>
  <c r="X348" i="1"/>
  <c r="EO309" i="1"/>
  <c r="P322" i="1"/>
  <c r="EJ26" i="1"/>
  <c r="P67" i="1"/>
  <c r="DN18" i="1"/>
  <c r="P516" i="1"/>
  <c r="P348" i="1"/>
  <c r="F358" i="1"/>
  <c r="F89" i="1"/>
  <c r="AV71" i="1"/>
  <c r="DG463" i="1"/>
  <c r="DL22" i="1"/>
  <c r="DL493" i="1"/>
  <c r="P484" i="1"/>
  <c r="CA387" i="1"/>
  <c r="AR394" i="1"/>
  <c r="U22" i="1"/>
  <c r="U493" i="1"/>
  <c r="F485" i="1"/>
  <c r="F400" i="1"/>
  <c r="AW387" i="1"/>
  <c r="CH348" i="1"/>
  <c r="AY355" i="1"/>
  <c r="FS426" i="1"/>
  <c r="EJ433" i="1"/>
  <c r="EK26" i="1"/>
  <c r="P56" i="1"/>
  <c r="F112" i="1"/>
  <c r="AR71" i="1"/>
  <c r="EQ270" i="1"/>
  <c r="P285" i="1"/>
  <c r="O387" i="1"/>
  <c r="F396" i="1"/>
  <c r="Q18" i="1"/>
  <c r="F505" i="1"/>
  <c r="S22" i="1"/>
  <c r="S493" i="1"/>
  <c r="F478" i="1"/>
  <c r="Y16" i="2" s="1"/>
  <c r="EN163" i="1"/>
  <c r="P243" i="1"/>
  <c r="P321" i="1"/>
  <c r="EN309" i="1"/>
  <c r="CF348" i="1"/>
  <c r="AW355" i="1"/>
  <c r="EP18" i="1"/>
  <c r="P500" i="1"/>
  <c r="AW163" i="1"/>
  <c r="F244" i="1"/>
  <c r="DG116" i="1"/>
  <c r="P133" i="1"/>
  <c r="AL309" i="1"/>
  <c r="Y316" i="1"/>
  <c r="AS270" i="1"/>
  <c r="F294" i="1"/>
  <c r="BA22" i="1"/>
  <c r="BA493" i="1"/>
  <c r="F483" i="1"/>
  <c r="W16" i="2" s="1"/>
  <c r="FZ116" i="1"/>
  <c r="EQ131" i="1"/>
  <c r="EH116" i="1"/>
  <c r="P140" i="1"/>
  <c r="EH463" i="1"/>
  <c r="EJ277" i="1"/>
  <c r="FS270" i="1"/>
  <c r="CE348" i="1"/>
  <c r="AV355" i="1"/>
  <c r="AW26" i="1"/>
  <c r="F45" i="1"/>
  <c r="AW463" i="1"/>
  <c r="DJ18" i="1"/>
  <c r="P507" i="1"/>
  <c r="X309" i="1"/>
  <c r="F342" i="1"/>
  <c r="FT309" i="1"/>
  <c r="EK316" i="1"/>
  <c r="FT426" i="1"/>
  <c r="EK433" i="1"/>
  <c r="EQ163" i="1"/>
  <c r="P246" i="1"/>
  <c r="P283" i="1"/>
  <c r="EO270" i="1"/>
  <c r="EJ71" i="1"/>
  <c r="P112" i="1"/>
  <c r="X163" i="1"/>
  <c r="F264" i="1"/>
  <c r="P422" i="1"/>
  <c r="EJ387" i="1"/>
  <c r="DG426" i="1"/>
  <c r="P435" i="1"/>
  <c r="P383" i="1"/>
  <c r="EJ348" i="1"/>
  <c r="AP22" i="1"/>
  <c r="F472" i="1"/>
  <c r="V16" i="2" s="1"/>
  <c r="AP493" i="1"/>
  <c r="CA309" i="1"/>
  <c r="AR316" i="1"/>
  <c r="V22" i="1"/>
  <c r="V493" i="1"/>
  <c r="F486" i="1"/>
  <c r="O71" i="1"/>
  <c r="F86" i="1"/>
  <c r="AY387" i="1"/>
  <c r="F402" i="1"/>
  <c r="EN116" i="1"/>
  <c r="P136" i="1"/>
  <c r="ES18" i="1"/>
  <c r="P513" i="1"/>
  <c r="F305" i="1"/>
  <c r="AR270" i="1"/>
  <c r="CB309" i="1"/>
  <c r="AS316" i="1"/>
  <c r="F90" i="1"/>
  <c r="AW71" i="1"/>
  <c r="EK277" i="1"/>
  <c r="FT270" i="1"/>
  <c r="AV387" i="1"/>
  <c r="F399" i="1"/>
  <c r="P463" i="1"/>
  <c r="EO163" i="1"/>
  <c r="P244" i="1"/>
  <c r="P372" i="1"/>
  <c r="EK348" i="1"/>
  <c r="CA426" i="1"/>
  <c r="AR433" i="1"/>
  <c r="P282" i="1"/>
  <c r="EN270" i="1"/>
  <c r="T18" i="1"/>
  <c r="F514" i="1"/>
  <c r="FS309" i="1"/>
  <c r="EJ316" i="1"/>
  <c r="EJ463" i="1" s="1"/>
  <c r="EM18" i="1"/>
  <c r="P512" i="1"/>
  <c r="AY26" i="1"/>
  <c r="F47" i="1"/>
  <c r="AY463" i="1"/>
  <c r="CA26" i="1"/>
  <c r="AR39" i="1"/>
  <c r="EK387" i="1"/>
  <c r="P411" i="1"/>
  <c r="F382" i="1"/>
  <c r="Y348" i="1"/>
  <c r="EQ309" i="1"/>
  <c r="P324" i="1"/>
  <c r="EO116" i="1"/>
  <c r="P137" i="1"/>
  <c r="DP163" i="1"/>
  <c r="P264" i="1"/>
  <c r="DP463" i="1"/>
  <c r="DO18" i="1"/>
  <c r="P517" i="1"/>
  <c r="O348" i="1"/>
  <c r="F357" i="1"/>
  <c r="EJ22" i="1" l="1"/>
  <c r="EJ493" i="1"/>
  <c r="P491" i="1"/>
  <c r="AW22" i="1"/>
  <c r="AW493" i="1"/>
  <c r="F469" i="1"/>
  <c r="S18" i="1"/>
  <c r="F508" i="1"/>
  <c r="AS26" i="1"/>
  <c r="F56" i="1"/>
  <c r="AS463" i="1"/>
  <c r="Y309" i="1"/>
  <c r="F343" i="1"/>
  <c r="Y463" i="1"/>
  <c r="ER116" i="1"/>
  <c r="P142" i="1"/>
  <c r="ER463" i="1"/>
  <c r="AR163" i="1"/>
  <c r="F266" i="1"/>
  <c r="AZ22" i="1"/>
  <c r="AZ493" i="1"/>
  <c r="F474" i="1"/>
  <c r="EK270" i="1"/>
  <c r="P294" i="1"/>
  <c r="AV348" i="1"/>
  <c r="F360" i="1"/>
  <c r="EJ163" i="1"/>
  <c r="P266" i="1"/>
  <c r="U18" i="1"/>
  <c r="F515" i="1"/>
  <c r="DQ18" i="1"/>
  <c r="P520" i="1"/>
  <c r="AR309" i="1"/>
  <c r="F344" i="1"/>
  <c r="DK18" i="1"/>
  <c r="P508" i="1"/>
  <c r="AS426" i="1"/>
  <c r="F450" i="1"/>
  <c r="V18" i="1"/>
  <c r="F516" i="1"/>
  <c r="AS309" i="1"/>
  <c r="F333" i="1"/>
  <c r="P305" i="1"/>
  <c r="EJ270" i="1"/>
  <c r="AR387" i="1"/>
  <c r="F422" i="1"/>
  <c r="EH22" i="1"/>
  <c r="P472" i="1"/>
  <c r="G16" i="2" s="1"/>
  <c r="EH493" i="1"/>
  <c r="O22" i="1"/>
  <c r="F465" i="1"/>
  <c r="O493" i="1"/>
  <c r="CB348" i="1"/>
  <c r="AS355" i="1"/>
  <c r="DP22" i="1"/>
  <c r="DP493" i="1"/>
  <c r="P489" i="1"/>
  <c r="EJ309" i="1"/>
  <c r="P344" i="1"/>
  <c r="AW348" i="1"/>
  <c r="F361" i="1"/>
  <c r="DL18" i="1"/>
  <c r="P514" i="1"/>
  <c r="AS387" i="1"/>
  <c r="F411" i="1"/>
  <c r="X22" i="1"/>
  <c r="F489" i="1"/>
  <c r="X493" i="1"/>
  <c r="AR426" i="1"/>
  <c r="F461" i="1"/>
  <c r="EK309" i="1"/>
  <c r="P333" i="1"/>
  <c r="P139" i="1"/>
  <c r="EQ116" i="1"/>
  <c r="EQ463" i="1"/>
  <c r="EK463" i="1"/>
  <c r="DG22" i="1"/>
  <c r="P465" i="1"/>
  <c r="DG493" i="1"/>
  <c r="AS163" i="1"/>
  <c r="F255" i="1"/>
  <c r="AV463" i="1"/>
  <c r="EO18" i="1"/>
  <c r="P499" i="1"/>
  <c r="CA348" i="1"/>
  <c r="AR355" i="1"/>
  <c r="EK426" i="1"/>
  <c r="P450" i="1"/>
  <c r="AR26" i="1"/>
  <c r="F67" i="1"/>
  <c r="AR463" i="1"/>
  <c r="BA18" i="1"/>
  <c r="F513" i="1"/>
  <c r="EJ426" i="1"/>
  <c r="P461" i="1"/>
  <c r="W18" i="1"/>
  <c r="F517" i="1"/>
  <c r="AP18" i="1"/>
  <c r="F502" i="1"/>
  <c r="AY22" i="1"/>
  <c r="F471" i="1"/>
  <c r="AY493" i="1"/>
  <c r="EN18" i="1"/>
  <c r="P498" i="1"/>
  <c r="P22" i="1"/>
  <c r="P493" i="1"/>
  <c r="F466" i="1"/>
  <c r="F363" i="1"/>
  <c r="AY348" i="1"/>
  <c r="EK163" i="1"/>
  <c r="P255" i="1"/>
  <c r="Y22" i="1" l="1"/>
  <c r="F490" i="1"/>
  <c r="Y493" i="1"/>
  <c r="EK22" i="1"/>
  <c r="P480" i="1"/>
  <c r="E16" i="2" s="1"/>
  <c r="I16" i="2" s="1"/>
  <c r="N16" i="2" s="1"/>
  <c r="EK493" i="1"/>
  <c r="AS22" i="1"/>
  <c r="F480" i="1"/>
  <c r="T16" i="2" s="1"/>
  <c r="X16" i="2" s="1"/>
  <c r="AC16" i="2" s="1"/>
  <c r="AS493" i="1"/>
  <c r="DG18" i="1"/>
  <c r="P495" i="1"/>
  <c r="P18" i="1"/>
  <c r="F496" i="1"/>
  <c r="AR22" i="1"/>
  <c r="F491" i="1"/>
  <c r="AR493" i="1"/>
  <c r="F372" i="1"/>
  <c r="AS348" i="1"/>
  <c r="F383" i="1"/>
  <c r="AR348" i="1"/>
  <c r="AZ18" i="1"/>
  <c r="F504" i="1"/>
  <c r="AW18" i="1"/>
  <c r="F499" i="1"/>
  <c r="DP18" i="1"/>
  <c r="P519" i="1"/>
  <c r="X18" i="1"/>
  <c r="F519" i="1"/>
  <c r="O18" i="1"/>
  <c r="F495" i="1"/>
  <c r="AV22" i="1"/>
  <c r="AV493" i="1"/>
  <c r="F468" i="1"/>
  <c r="EJ18" i="1"/>
  <c r="P521" i="1"/>
  <c r="EQ22" i="1"/>
  <c r="P471" i="1"/>
  <c r="EQ493" i="1"/>
  <c r="AY18" i="1"/>
  <c r="F501" i="1"/>
  <c r="EH18" i="1"/>
  <c r="P502" i="1"/>
  <c r="ER22" i="1"/>
  <c r="ER493" i="1"/>
  <c r="P474" i="1"/>
  <c r="AR18" i="1" l="1"/>
  <c r="F521" i="1"/>
  <c r="AV18" i="1"/>
  <c r="F498" i="1"/>
  <c r="EK18" i="1"/>
  <c r="P510" i="1"/>
  <c r="ER18" i="1"/>
  <c r="P504" i="1"/>
  <c r="Y18" i="1"/>
  <c r="F520" i="1"/>
  <c r="AS18" i="1"/>
  <c r="F510" i="1"/>
  <c r="EQ18" i="1"/>
  <c r="P501" i="1"/>
</calcChain>
</file>

<file path=xl/sharedStrings.xml><?xml version="1.0" encoding="utf-8"?>
<sst xmlns="http://schemas.openxmlformats.org/spreadsheetml/2006/main" count="12822" uniqueCount="468">
  <si>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</si>
  <si>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</si>
  <si>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</si>
  <si>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</si>
  <si>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</t>
  </si>
  <si>
    <t>02-01-22</t>
  </si>
  <si>
    <t>02-01-22 Мероприятия по обеспечению доступа инвалидов</t>
  </si>
  <si>
    <t>2024-00272-01-0-ОДИ.ВОР</t>
  </si>
  <si>
    <t>Борисова Е.С.</t>
  </si>
  <si>
    <t>Сметные нормы списания</t>
  </si>
  <si>
    <t>Коды ОКП для ТСН-2001 МГЭ Дополнение 80</t>
  </si>
  <si>
    <t>Типовой расчет для ТСН-2001 МГЭ, Дополнение 80, ремонт</t>
  </si>
  <si>
    <t>Территориальные сметные нормативы для Москвы ТСН-2001 (МГЭ), дополнение 80</t>
  </si>
  <si>
    <t>Поправки для ТСН-2001 от 03.02.2026 г. доп.80</t>
  </si>
  <si>
    <t>Территориальные сметные нормативы для Москвы (ТСН-2001)</t>
  </si>
  <si>
    <t>ТЕР</t>
  </si>
  <si>
    <t>Мероприятия по обеспечению доступа инвалидов</t>
  </si>
  <si>
    <t>Оборудование санузла для МГН</t>
  </si>
  <si>
    <t>1</t>
  </si>
  <si>
    <t>3.17-2-14</t>
  </si>
  <si>
    <t>Установка гарнитуры туалетной: поручней для ванн</t>
  </si>
  <si>
    <t>100 шт.</t>
  </si>
  <si>
    <t>ТСН-2001.3 Доп. 80, Сб. 17, т. 2, поз. 14</t>
  </si>
  <si>
    <t>*1)*1</t>
  </si>
  <si>
    <t>*1,1)*1,25</t>
  </si>
  <si>
    <t>*1,1)*1,15</t>
  </si>
  <si>
    <t>Строительные работы</t>
  </si>
  <si>
    <t>ТСН-2001.3-17. Водопровод и канализация - внутренние устройства</t>
  </si>
  <si>
    <t>ТСН-2001.3-17-1</t>
  </si>
  <si>
    <t>Поправка: Гл.12.Прил.8.п.8. 5_12.00.01.11.003 Поправка: Гл.6.Прил.2.2.п.2.2.6_06.00.01.07.001</t>
  </si>
  <si>
    <t>2</t>
  </si>
  <si>
    <t>3.17-2-13</t>
  </si>
  <si>
    <t>Установка гарнитуры туалетной: вешалок, подстаканников, дозаторов настенных и т.п./ крючки</t>
  </si>
  <si>
    <t>ТСН-2001.3 Доп. 80, Сб. 17, т. 2, поз. 13</t>
  </si>
  <si>
    <t>3</t>
  </si>
  <si>
    <t>3.17-2-5</t>
  </si>
  <si>
    <t>Установка гарнитуры туалетной полочек/зеркало</t>
  </si>
  <si>
    <t>1  ШТ.</t>
  </si>
  <si>
    <t>ТСН-2001.3 Доп. 72, Сб. 17, т. 2, поз. 5</t>
  </si>
  <si>
    <t>*1,25)*1,1</t>
  </si>
  <si>
    <t>*1,15)*1,1</t>
  </si>
  <si>
    <t>Поправка: О.П. п.3.4.30.в</t>
  </si>
  <si>
    <t>4</t>
  </si>
  <si>
    <t>Установка гарнитуры туалетной: вешалок, подстаканников, дозаторов настенных и т.п./диспенсер</t>
  </si>
  <si>
    <t>5</t>
  </si>
  <si>
    <t>Установка гарнитуры туалетной: вешалок, подстаканников, дозаторов настенных и т.п./ туалетный ершик с креплением на стену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</si>
  <si>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</si>
  <si>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</si>
  <si>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</si>
  <si>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</si>
  <si>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</si>
  <si>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</si>
  <si>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</si>
  <si>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</si>
  <si>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</si>
  <si>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</si>
  <si>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</si>
  <si>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</si>
  <si>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</si>
  <si>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</si>
  <si>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</si>
  <si>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</si>
  <si>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</si>
  <si>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</si>
  <si>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</si>
  <si>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</si>
  <si>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</si>
  <si>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</si>
  <si>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</si>
  <si>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</si>
  <si>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</si>
  <si>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</si>
  <si>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</si>
  <si>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</si>
  <si>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</si>
  <si>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</si>
  <si>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</si>
  <si>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</si>
  <si>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</si>
  <si>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</si>
  <si>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</si>
  <si>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</si>
  <si>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</si>
  <si>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</si>
  <si>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</si>
  <si>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</si>
  <si>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</si>
  <si>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</si>
  <si>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</si>
  <si>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</si>
  <si>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</si>
  <si>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</si>
  <si>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</si>
  <si>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</si>
  <si>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</si>
  <si>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</si>
  <si>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</si>
  <si>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</si>
  <si>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</si>
  <si>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</si>
  <si>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Оборудование, не облагаемое НДС</t>
  </si>
  <si>
    <t>6</t>
  </si>
  <si>
    <t>13.3-11-72</t>
  </si>
  <si>
    <t>Поручень реабилитационный откидной для установки около унитаза, габаритные размеры 700х700 мм. Материал сталь нержавеющая с полировкой, крепление к стене в трех точках, в комплекте: прокладки-амортизаторы резиновые, крепежные элементы</t>
  </si>
  <si>
    <t>КОМПЛЕКТ</t>
  </si>
  <si>
    <t>Сметная стоимость оборудования</t>
  </si>
  <si>
    <t>ТСН-2001.13. Сметная стоимость оборудования</t>
  </si>
  <si>
    <t>ТСН-2001.13</t>
  </si>
  <si>
    <t>7</t>
  </si>
  <si>
    <t>13.3-11-78</t>
  </si>
  <si>
    <t>Поручень реабилитационный настенный, угловой, габаритные размеры 700х700 мм/ 600х600 мм</t>
  </si>
  <si>
    <t>8</t>
  </si>
  <si>
    <t>13.3-11-77</t>
  </si>
  <si>
    <t>Поручень реабилитационный настенный, габаритные размеры 1500х90 мм/ 1200х120 мм</t>
  </si>
  <si>
    <t>9</t>
  </si>
  <si>
    <t>13.3-11-80</t>
  </si>
  <si>
    <t>Поручень реабилитационный односекционный, для установки около умывальника, габаритные размеры 700х260 мм/ настенно-напольный 850х196х600 мм</t>
  </si>
  <si>
    <t>10</t>
  </si>
  <si>
    <t>13.3-11-67</t>
  </si>
  <si>
    <t>Крючок для подвески костылей, габаритные размеры 120х32 мм. Материал сталь нержавеющая с полировкой, крепление на стену, в комплекте: прокладки-амортизаторы резиновые, крепежные элементы</t>
  </si>
  <si>
    <t>Оборудование, облагаемое НДС</t>
  </si>
  <si>
    <t>11</t>
  </si>
  <si>
    <t>КА №1</t>
  </si>
  <si>
    <t>Зеркало поворотное с ручкой управления, какркас из нержавеющей стали AISI 304, арт. 80035</t>
  </si>
  <si>
    <t>шт.</t>
  </si>
  <si>
    <t>[16 572 / 1,2 /  7,66] +  3% Трансп +  1,2% Заг.скл</t>
  </si>
  <si>
    <t>1,2</t>
  </si>
  <si>
    <t>12</t>
  </si>
  <si>
    <t>КА №2</t>
  </si>
  <si>
    <t>Корзина металлическая для мусора Tork Image Design B1, 50 л, без крышки, стальная, Артикул:460011</t>
  </si>
  <si>
    <t>[79 970 / 1,2 /  7,66] +  3% Трансп +  1,2% Заг.скл</t>
  </si>
  <si>
    <t>13</t>
  </si>
  <si>
    <t>КА №3</t>
  </si>
  <si>
    <t>Диспенсер настенный для бумажных полотенец, 325х245х109 мм, цвет: глянцевый хром, корпус из нержавеющей стали AISI 304 толщиной 1,2 мм. Типа 04046.В</t>
  </si>
  <si>
    <t>[11 050 / 1,2 /  7,66] +  3% Трансп +  1,2% Заг.скл</t>
  </si>
  <si>
    <t>14</t>
  </si>
  <si>
    <t>КА №4</t>
  </si>
  <si>
    <t>Диспенсер для жидкого мыла сенсорный автоматический, 275х105х95 мм, цвет: глянцевый хром, корпус из нержавеющей стали AISI 304 толщиной 1,0 мм. Типа 03039.B</t>
  </si>
  <si>
    <t>[16 490 / 1,2 /  7,66] +  3% Трансп +  1,2% Заг.скл</t>
  </si>
  <si>
    <t>15</t>
  </si>
  <si>
    <t>КА №5</t>
  </si>
  <si>
    <t>Диспенсер для туалетной бумаги, 260х112х260 мм, цвет: глянцевый хром, корпус изнержавеющей стали AISI 304 толщиной 1,0 мм. Типа 05006.B</t>
  </si>
  <si>
    <t>[5 340 / 1,2 /  7,66] +  3% Трансп +  1,2% Заг.скл</t>
  </si>
  <si>
    <t>16</t>
  </si>
  <si>
    <t>КА №6</t>
  </si>
  <si>
    <t>Ершик туалетный с креплением на стену NIZA 16857.S</t>
  </si>
  <si>
    <t>[4 535 / 1,2 /  7,66] +  3% Трансп +  1,2% Заг.скл</t>
  </si>
  <si>
    <t>Информационно-тактильные знаки</t>
  </si>
  <si>
    <t>17</t>
  </si>
  <si>
    <t>3.70-61-2</t>
  </si>
  <si>
    <t>Установка номерных табличек для этажа, подъезда/ Эвакуационный знак E01-01 (левосторонний), Эвакуационный знак E01-02 (правосторонний)</t>
  </si>
  <si>
    <t>ТСН-2001.3 Доп. 78, Сб. 70, т. 61, поз. 2</t>
  </si>
  <si>
    <t>ТСН-2001.3-70. Металлические конструкции</t>
  </si>
  <si>
    <t>ТСН-2001.3-70-4</t>
  </si>
  <si>
    <t>17,1</t>
  </si>
  <si>
    <t>1.1-1-2638</t>
  </si>
  <si>
    <t>Знак безопасности и эвакуационный указатель, из пластика с фотолюминесцентным покрытием, размер 200х200 мм</t>
  </si>
  <si>
    <t>ТСН-2001.1 Доп. 67, Р. 1, о. 1, поз. 2638</t>
  </si>
  <si>
    <t>18</t>
  </si>
  <si>
    <t>Установка номерных табличек для этажа, подъезда/Эвакуационный знак E02-01, "Направляющая стрелка"</t>
  </si>
  <si>
    <t>18,1</t>
  </si>
  <si>
    <t>19</t>
  </si>
  <si>
    <t>Установка номерных табличек для этажа, подъезда/Эвакуационный знак E13 Направление к эвакуационному выходу по лестнице вниз (правосторонний), Е14 Направление к эвакуационному выходу по лестнице вниз (левосторонний)</t>
  </si>
  <si>
    <t>19,1</t>
  </si>
  <si>
    <t>20</t>
  </si>
  <si>
    <t>Установка номерных табличек для этажа, подъезда/Эвакуационный знак E22,"Указатель выхода"</t>
  </si>
  <si>
    <t>20,1</t>
  </si>
  <si>
    <t>21</t>
  </si>
  <si>
    <t>Установка номерных табличек для этажа, подъезда</t>
  </si>
  <si>
    <t>21,1</t>
  </si>
  <si>
    <t>КА №7</t>
  </si>
  <si>
    <t>Тактильный знак СП 01, 150х150 мм "Доступность для инвалидов всех категорий" арт. 902-0-SP-18-150</t>
  </si>
  <si>
    <t>[626 / 1,2 /  9,88] +  2% Заг.скл</t>
  </si>
  <si>
    <t>0</t>
  </si>
  <si>
    <t>22</t>
  </si>
  <si>
    <t>22,1</t>
  </si>
  <si>
    <t>КА №8</t>
  </si>
  <si>
    <t>Тактильный знак СП 02, 150х150 мм "Доступность для инвалидов в креслах-колясках" арт. 902-0-SP-02-150</t>
  </si>
  <si>
    <t>23</t>
  </si>
  <si>
    <t>23,1</t>
  </si>
  <si>
    <t>КА №9</t>
  </si>
  <si>
    <t>Тактильный знак СП 07, 150х150 мм "Лифт для uнвалидов" арт. 902-0-SP-18-150</t>
  </si>
  <si>
    <t>24</t>
  </si>
  <si>
    <t>24,1</t>
  </si>
  <si>
    <t>КА №10</t>
  </si>
  <si>
    <t>Тактильный знак СП 09, 150х150 мм "Вход в помещение" арт. 902-0-SP-09-150</t>
  </si>
  <si>
    <t>25</t>
  </si>
  <si>
    <t>25,1</t>
  </si>
  <si>
    <t>КА №11</t>
  </si>
  <si>
    <t>Тактильный знак СП 10, 150х150 мм "Выход из помещения" арт. 902-0-SP-10-150</t>
  </si>
  <si>
    <t>26</t>
  </si>
  <si>
    <t>26,1</t>
  </si>
  <si>
    <t>КА №12</t>
  </si>
  <si>
    <t>Тактильный знак СП 11, 150х150 мм "Направление движения, поворот", арт. 902-0-SP-11-150</t>
  </si>
  <si>
    <t>[451,2 / 1,2 /  9,88] +  2% Заг.скл</t>
  </si>
  <si>
    <t>27</t>
  </si>
  <si>
    <t>27,1</t>
  </si>
  <si>
    <t>КА №13</t>
  </si>
  <si>
    <t>Тактильный знак СП 12, 150х150 мм "Информация, место расположения мнемосхем" арт. 902-0-SP-12-150</t>
  </si>
  <si>
    <t>28</t>
  </si>
  <si>
    <t>28,1</t>
  </si>
  <si>
    <t>КА №14</t>
  </si>
  <si>
    <t>Тактильный знак СП 18, 150х150 мм "Туалет для инвалидов", арт.902-0-SP-18-150</t>
  </si>
  <si>
    <t>29</t>
  </si>
  <si>
    <t>29,1</t>
  </si>
  <si>
    <t>КА №15</t>
  </si>
  <si>
    <t>Тактильный знак СП 19, 150х150 мм "Туалет", арт.902-0-SP-18-150</t>
  </si>
  <si>
    <t>30</t>
  </si>
  <si>
    <t>30,1</t>
  </si>
  <si>
    <t>КА №16</t>
  </si>
  <si>
    <t>Тактильная табличка со шрифтом Брайля, 150х300мм"Название помещения", арт.903-2-PVC3-150x300</t>
  </si>
  <si>
    <t>[2 624,4 / 1,2 /  9,88] +  2% Заг.скл</t>
  </si>
  <si>
    <t>31</t>
  </si>
  <si>
    <t>31,1</t>
  </si>
  <si>
    <t>КА №17</t>
  </si>
  <si>
    <t>Тактильный знак, 150х150 мм"Доступность для инвалидов по зрению", арт. 905-0-G-4-150N</t>
  </si>
  <si>
    <t>[358,8 / 1,2 /  9,88] +  2% Заг.скл</t>
  </si>
  <si>
    <t>32</t>
  </si>
  <si>
    <t>32,1</t>
  </si>
  <si>
    <t>КА №18</t>
  </si>
  <si>
    <t>Тактильный знак, 150х150 мм "Доступность для инвалидов по слуху" арт.905-0-G-3-150N</t>
  </si>
  <si>
    <t>33</t>
  </si>
  <si>
    <t>33,1</t>
  </si>
  <si>
    <t>КА №19</t>
  </si>
  <si>
    <t>Тактильная мнемосхема санузла, полноцветная на стальной основе 321х411х2 мм, арт. 903-3-ST2-321X411</t>
  </si>
  <si>
    <t>[6 021,6 / 1,2 /  9,88] +  2% Заг.скл</t>
  </si>
  <si>
    <t>34</t>
  </si>
  <si>
    <t>34,1</t>
  </si>
  <si>
    <t>КА №20</t>
  </si>
  <si>
    <t>Тактильная мнемосхема этажа, полноцветная на основе оргстекла, 470x610х8 мм, арт.906-3-ORG8-470x610</t>
  </si>
  <si>
    <t>[30 045,6 / 1,2 /  9,88] +  2% Заг.скл</t>
  </si>
  <si>
    <t>Полимерная краска, цвет желтый</t>
  </si>
  <si>
    <t>35</t>
  </si>
  <si>
    <t>3.70-363-1</t>
  </si>
  <si>
    <t>Защитно-декоративное покрытие бетонных и оштукатуренных внутренних поверхностей составом на основе акриловой и силановой эмульсий, стен</t>
  </si>
  <si>
    <t>100 м2</t>
  </si>
  <si>
    <t>ТСН-2001.3 Доп. 78, Сб. 70, т. 363, поз. 1</t>
  </si>
  <si>
    <t>ТСН-2001.3-70. Защита строительных конструкций и оборудования от коррозии</t>
  </si>
  <si>
    <t>ТСН-2001.3-70-8</t>
  </si>
  <si>
    <t>35,1</t>
  </si>
  <si>
    <t>1.1-1-2257</t>
  </si>
  <si>
    <t>Краска дорожная, желтая, типа АК-505</t>
  </si>
  <si>
    <t>т</t>
  </si>
  <si>
    <t>ТСН-2001.1 Доп. 79, Р. 1, о. 1, поз. 2257</t>
  </si>
  <si>
    <t>Наклейка- круг желтый</t>
  </si>
  <si>
    <t>36</t>
  </si>
  <si>
    <t>3.70-340-3</t>
  </si>
  <si>
    <t>Оклейка стен поливинилхлоридной декоративно-отделочной самоклеющейся пленкой по листовым материалам</t>
  </si>
  <si>
    <t>100 м2 оклеиваемой поверхности</t>
  </si>
  <si>
    <t>ТСН-2001.3 Доп. 79, Сб. 70, т. 340, поз. 3</t>
  </si>
  <si>
    <t>ТСН-2001.3-70. Отделочные работы</t>
  </si>
  <si>
    <t>ТСН-2001.3-70-9</t>
  </si>
  <si>
    <t>36,1</t>
  </si>
  <si>
    <t>КА №21</t>
  </si>
  <si>
    <t>Наклейка, цвет жёлтый, ф20 см</t>
  </si>
  <si>
    <t>[50 / 1,2 /  9,88] +  2% Заг.скл</t>
  </si>
  <si>
    <t>Тактильные предупреждающие наклейки на поручни</t>
  </si>
  <si>
    <t>37</t>
  </si>
  <si>
    <t>37,1</t>
  </si>
  <si>
    <t>КА №22</t>
  </si>
  <si>
    <t>Тактильные предупреждающие наклейки на поручни 75 x 230мм/ (набор из 3х штук)</t>
  </si>
  <si>
    <t>[402 / 1,2 /  9,88] +  2% Заг.скл</t>
  </si>
  <si>
    <t>Панно из алюминиевых тактильных индикаторов-конусов</t>
  </si>
  <si>
    <t>38</t>
  </si>
  <si>
    <t>3.70-210-1</t>
  </si>
  <si>
    <t>Укладка металлической накладной полосы (порожка)</t>
  </si>
  <si>
    <t>100 м</t>
  </si>
  <si>
    <t>ТСН-2001.3 Доп. 79, Сб. 70, т. 210, поз. 1</t>
  </si>
  <si>
    <t>ТСН-2001.3-70. Полы</t>
  </si>
  <si>
    <t>ТСН-2001.3-70-6</t>
  </si>
  <si>
    <t>38,1</t>
  </si>
  <si>
    <t>КА №23</t>
  </si>
  <si>
    <t>Алюминиевый индикатор-конус Д=35 мм</t>
  </si>
  <si>
    <t>[113 / 1,2 /  9,88] +  2% Заг.скл</t>
  </si>
  <si>
    <t>Алюминиевая тактильная направляющая полоска</t>
  </si>
  <si>
    <t>39</t>
  </si>
  <si>
    <t>39,1</t>
  </si>
  <si>
    <t>КА №24</t>
  </si>
  <si>
    <t>Алюминиевая тактильная направляющая полоса 35х280 мм</t>
  </si>
  <si>
    <t>[1 345 / 1,2 /  9,88] +  2% Заг.скл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</si>
  <si>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</si>
  <si>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</si>
  <si>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</si>
  <si>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</si>
  <si>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</si>
  <si>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</si>
  <si>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</si>
  <si>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</si>
  <si>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</si>
  <si>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</si>
  <si>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</si>
  <si>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</si>
  <si>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</si>
  <si>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</si>
  <si>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</si>
  <si>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</si>
  <si>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80, ремонт</t>
  </si>
  <si>
    <t>217/80</t>
  </si>
  <si>
    <t>Коэффициенты к ТСН-2001.13-2 Дополнение 46</t>
  </si>
  <si>
    <t>62/46</t>
  </si>
  <si>
    <t>Базовый уровень цен</t>
  </si>
  <si>
    <t>_OBSM_</t>
  </si>
  <si>
    <t>9999990008</t>
  </si>
  <si>
    <t>Трудозатраты рабочих</t>
  </si>
  <si>
    <t>чел.-ч.</t>
  </si>
  <si>
    <t>1.1-1-1615</t>
  </si>
  <si>
    <t>ТСН-2001.1 Доп. 79, Р. 1, о. 1, поз. 1615</t>
  </si>
  <si>
    <t>Шурупы с потайной головкой, оцинкованные, длина от 13 до 20 мм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</si>
  <si>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</si>
  <si>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</si>
  <si>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</si>
  <si>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</si>
  <si>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</si>
  <si>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2.1-30-102</t>
  </si>
  <si>
    <t>ТСН-2001.2. Доп. 68. п.1-30-102 (303704)</t>
  </si>
  <si>
    <t>Дрели, мощность до 800 Вт</t>
  </si>
  <si>
    <t>1.1-1-115</t>
  </si>
  <si>
    <t>ТСН-2001.1. Доп. 1-42. Р. 1, о. 1, поз. 115</t>
  </si>
  <si>
    <t>Ветошь</t>
  </si>
  <si>
    <t>кг</t>
  </si>
  <si>
    <t>1.1-1-118</t>
  </si>
  <si>
    <t>ТСН-2001.1. Доп. 1-42. Р. 1, о. 1, поз. 118</t>
  </si>
  <si>
    <t>Вода</t>
  </si>
  <si>
    <t>м3</t>
  </si>
  <si>
    <t>1.1-1-1487</t>
  </si>
  <si>
    <t>ТСН-2001.1 Доп. 79, Р. 1, о. 1, поз. 1487</t>
  </si>
  <si>
    <t>Шпатлевка масляно-клеевая универсальная</t>
  </si>
  <si>
    <t>1.1-1-463</t>
  </si>
  <si>
    <t>ТСН-2001.1 Доп. 79, Р. 1, о. 1, поз. 463</t>
  </si>
  <si>
    <t>Краска масляная жидкотертая цветная (готовая к употреблению) для наружных и внутренних работ, типа МА-25</t>
  </si>
  <si>
    <t>1.1-1-733</t>
  </si>
  <si>
    <t>ТСН-2001.1. Доп. 1-42. Р. 1, о. 1, поз. 733</t>
  </si>
  <si>
    <t>Олифа для окраски натуральная</t>
  </si>
  <si>
    <t>2.1-30-27</t>
  </si>
  <si>
    <t>ТСН-2001.2. Доп. 68. п.1-30-27 (306101)</t>
  </si>
  <si>
    <t>Пилы дисковые электрические</t>
  </si>
  <si>
    <t>2.1-30-56</t>
  </si>
  <si>
    <t>ТСН-2001.2. Доп. 68. п.1-30-56 (309101)</t>
  </si>
  <si>
    <t>Шуруповерты</t>
  </si>
  <si>
    <t>1.1-1-116</t>
  </si>
  <si>
    <t>ТСН-2001.1 Доп. 79, Р. 1, о. 1, поз. 116</t>
  </si>
  <si>
    <t>Винты самонарезающие, оцинкованные, с потайной головкой, двухзаходная резьба, длина 25 мм</t>
  </si>
  <si>
    <t>1.1-1-3607</t>
  </si>
  <si>
    <t>ТСН-2001.1 Доп. 79, Р. 1, о. 1, поз. 3607</t>
  </si>
  <si>
    <t>Шурупы с полукруглой головкой, диаметр 4 мм, длина 40 мм</t>
  </si>
  <si>
    <t>1.1-1-3693</t>
  </si>
  <si>
    <t>ТСН-2001.1 Доп. 80, Р. 1, о. 1, поз. 3693</t>
  </si>
  <si>
    <t>Дюбель распорный пластмассовый, диаметр 6 мм, длина 40 мм</t>
  </si>
  <si>
    <t>4951530000</t>
  </si>
  <si>
    <t>Полочки туалетные</t>
  </si>
  <si>
    <t>5215040000</t>
  </si>
  <si>
    <t>Таблички</t>
  </si>
  <si>
    <t>2241610000</t>
  </si>
  <si>
    <t>Эмульсия акриловая для окраски фасадов, марки "Торосилко HV"</t>
  </si>
  <si>
    <t>5745122000</t>
  </si>
  <si>
    <t>Смесь сухая, марки "Структурит FC"</t>
  </si>
  <si>
    <t>2245120000</t>
  </si>
  <si>
    <t>Пленка ПВХ декоративно-отделочная самоклеющаяся</t>
  </si>
  <si>
    <t>м2</t>
  </si>
  <si>
    <t>5275220000</t>
  </si>
  <si>
    <t>Планка накладная (профиль СПА)</t>
  </si>
  <si>
    <t>м</t>
  </si>
  <si>
    <t>*1</t>
  </si>
  <si>
    <t>*1,1</t>
  </si>
  <si>
    <t>Гл.12.Прил.8.п.8. 5_12.00.01.11.003</t>
  </si>
  <si>
    <t>Глава 12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</si>
  <si>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</si>
  <si>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</si>
  <si>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</si>
  <si>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</si>
  <si>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Глава 6</t>
  </si>
  <si>
    <t>О.П. п.3.4.30.в</t>
  </si>
  <si>
    <t>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</t>
  </si>
  <si>
    <t>Поправка: Гл.12.Прил.8.п.8. 5_12.00.01.11.003 Наименование: При наличии усложненных условий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 для объектов, расположенных за пределами территории круговой магистральной системы улиц "Садовое кольцо" и за пределами Третьего транспортного кольца города Москвы пунктов "а" и "б", но в пределах Московской кольцевой автомобильной дороги Поправка: Гл.6.Прил.2.2.п.2.2.6_06.00.01.07.001 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</si>
  <si>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</si>
  <si>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п.3.4.30.в Наименование: При применении территориальных сметных нормативов для города Москвы затраты, учитывающие напряженные и стесненные условия производства работ (стесненность, сложность складирования и транспортной логистики и т.п.), исчисляются с применением коэффициентов к затратам труда и заработной плате рабочих, машинистов, времени эксплуатации машин и механизмов, стоимости эксплуатации машин в размере: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</si>
  <si>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</si>
  <si>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</si>
  <si>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</si>
  <si>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</si>
  <si>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</si>
  <si>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</si>
  <si>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</si>
  <si>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</si>
  <si>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</si>
  <si>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</si>
  <si>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</si>
  <si>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</si>
  <si>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</si>
  <si>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</si>
  <si>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</si>
  <si>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</si>
  <si>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</si>
  <si>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</si>
  <si>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</si>
  <si>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</si>
  <si>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</si>
  <si>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</si>
  <si>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этап. 02-01-22 Мероприятия по обеспечению доступа инвалидов</t>
  </si>
  <si>
    <t>Составлен(а) по ТСН-2001 с учетом Дополнения №: 80</t>
  </si>
  <si>
    <t>№ и период сборника коэффициентов (индексов) пересчета: Коэффициенты к ТСН-2001 МГЭ Дополнение 80, ремонт №217/80 III квартал 2025 года и Коэффициенты к ТСН-2001.13-2 Дополнение 46 №62/46 III квартал 2025 года</t>
  </si>
  <si>
    <t>Всего в
ценах на
январь 2000 года,
руб.</t>
  </si>
  <si>
    <r>
      <t>3.17-2-14</t>
    </r>
    <r>
      <rPr>
        <i/>
        <sz val="10"/>
        <rFont val="Arial"/>
        <family val="2"/>
        <charset val="204"/>
      </rPr>
      <t xml:space="preserve">
Поправка: Гл.12.Прил.8.п.8. 5_12.00.01.11.003 Поправка: Гл.6.Прил.2.2.п.2.2.6_06.00.01.07.001</t>
    </r>
  </si>
  <si>
    <t>ЗП</t>
  </si>
  <si>
    <t>ЭМ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</si>
  <si>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</si>
  <si>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</si>
  <si>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</si>
  <si>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</si>
  <si>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</si>
  <si>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</si>
  <si>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</si>
  <si>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</si>
  <si>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</si>
  <si>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</si>
  <si>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r>
      <t>3.17-2-13</t>
    </r>
    <r>
      <rPr>
        <i/>
        <sz val="10"/>
        <rFont val="Arial"/>
        <family val="2"/>
        <charset val="204"/>
      </rPr>
      <t xml:space="preserve">
Поправка: Гл.12.Прил.8.п.8. 5_12.00.01.11.003 Поправка: Гл.6.Прил.2.2.п.2.2.6_06.00.01.07.001</t>
    </r>
  </si>
  <si>
    <r>
      <t>3.17-2-5</t>
    </r>
    <r>
      <rPr>
        <i/>
        <sz val="10"/>
        <rFont val="Arial"/>
        <family val="2"/>
        <charset val="204"/>
      </rPr>
      <t xml:space="preserve">
Поправка: О.П. п.3.4.30.в</t>
    </r>
  </si>
  <si>
    <t xml:space="preserve">   Итого по ТСН-2001.16</t>
  </si>
  <si>
    <t xml:space="preserve">   Итого возвратных сумм</t>
  </si>
  <si>
    <t>ОБОРУДОВАНИЕ:_x000D_
Поручень реабилитационный откидной для установки около унитаза, габаритные размеры 700х700 мм. Материал сталь нержавеющая с полировкой, крепление к стене в трех точках, в комплекте: прокладки-амортизаторы резиновые, крепежные элементы</t>
  </si>
  <si>
    <t>ОБОРУДОВАНИЕ:_x000D_
Поручень реабилитационный настенный, угловой, габаритные размеры 700х700 мм/ 600х600 мм</t>
  </si>
  <si>
    <t>ОБОРУДОВАНИЕ:_x000D_
Поручень реабилитационный настенный, габаритные размеры 1500х90 мм/ 1200х120 мм</t>
  </si>
  <si>
    <t>ОБОРУДОВАНИЕ:_x000D_
Поручень реабилитационный односекционный, для установки около умывальника, габаритные размеры 700х260 мм/ настенно-напольный 850х196х600 мм</t>
  </si>
  <si>
    <t>ОБОРУДОВАНИЕ:_x000D_
Крючок для подвески костылей, габаритные размеры 120х32 мм. Материал сталь нержавеющая с полировкой, крепление на стену, в комплекте: прокладки-амортизаторы резиновые, крепежные элементы</t>
  </si>
  <si>
    <r>
      <t>ОБОРУДОВАНИЕ:_x000D_
Зеркало поворотное с ручкой управления, какркас из нержавеющей стали AISI 304, арт. 80035</t>
    </r>
    <r>
      <rPr>
        <i/>
        <sz val="10"/>
        <color rgb="FF821E82"/>
        <rFont val="Arial"/>
        <family val="2"/>
        <charset val="204"/>
      </rPr>
      <t xml:space="preserve">
1 879,24 = [16 572 / 1,2 /  7,66] +  3% Трансп +  1,2% Заг.скл</t>
    </r>
  </si>
  <si>
    <r>
      <t>ОБОРУДОВАНИЕ:_x000D_
Корзина металлическая для мусора Tork Image Design B1, 50 л, без крышки, стальная, Артикул:460011</t>
    </r>
    <r>
      <rPr>
        <i/>
        <sz val="10"/>
        <color rgb="FF821E82"/>
        <rFont val="Arial"/>
        <family val="2"/>
        <charset val="204"/>
      </rPr>
      <t xml:space="preserve">
9 068,49 = [79 970 / 1,2 /  7,66] +  3% Трансп +  1,2% Заг.скл</t>
    </r>
  </si>
  <si>
    <r>
      <t>ОБОРУДОВАНИЕ:_x000D_
Диспенсер настенный для бумажных полотенец, 325х245х109 мм, цвет: глянцевый хром, корпус из нержавеющей стали AISI 304 толщиной 1,2 мм. Типа 04046.В</t>
    </r>
    <r>
      <rPr>
        <i/>
        <sz val="10"/>
        <color rgb="FF821E82"/>
        <rFont val="Arial"/>
        <family val="2"/>
        <charset val="204"/>
      </rPr>
      <t xml:space="preserve">
1 253,05 = [11 050 / 1,2 /  7,66] +  3% Трансп +  1,2% Заг.скл</t>
    </r>
  </si>
  <si>
    <r>
      <t>ОБОРУДОВАНИЕ:_x000D_
Диспенсер для жидкого мыла сенсорный автоматический, 275х105х95 мм, цвет: глянцевый хром, корпус из нержавеющей стали AISI 304 толщиной 1,0 мм. Типа 03039.B</t>
    </r>
    <r>
      <rPr>
        <i/>
        <sz val="10"/>
        <color rgb="FF821E82"/>
        <rFont val="Arial"/>
        <family val="2"/>
        <charset val="204"/>
      </rPr>
      <t xml:space="preserve">
1 869,94 = [16 490 / 1,2 /  7,66] +  3% Трансп +  1,2% Заг.скл</t>
    </r>
  </si>
  <si>
    <r>
      <t>ОБОРУДОВАНИЕ:_x000D_
Диспенсер для туалетной бумаги, 260х112х260 мм, цвет: глянцевый хром, корпус изнержавеющей стали AISI 304 толщиной 1,0 мм. Типа 05006.B</t>
    </r>
    <r>
      <rPr>
        <i/>
        <sz val="10"/>
        <color rgb="FF821E82"/>
        <rFont val="Arial"/>
        <family val="2"/>
        <charset val="204"/>
      </rPr>
      <t xml:space="preserve">
605,55 = [5 340 / 1,2 /  7,66] +  3% Трансп +  1,2% Заг.скл</t>
    </r>
  </si>
  <si>
    <r>
      <t>ОБОРУДОВАНИЕ:_x000D_
Ершик туалетный с креплением на стену NIZA 16857.S</t>
    </r>
    <r>
      <rPr>
        <i/>
        <sz val="10"/>
        <color rgb="FF821E82"/>
        <rFont val="Arial"/>
        <family val="2"/>
        <charset val="204"/>
      </rPr>
      <t xml:space="preserve">
514,26 = [4 535 / 1,2 /  7,66] +  3% Трансп +  1,2% Заг.скл</t>
    </r>
  </si>
  <si>
    <r>
      <t>3.70-61-2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</si>
  <si>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Тактильный знак СП 01, 150х150 мм "Доступность для инвалидов всех категорий" арт. 902-0-SP-18-150</t>
    </r>
    <r>
      <rPr>
        <i/>
        <sz val="10"/>
        <rFont val="Arial"/>
        <family val="2"/>
        <charset val="204"/>
      </rPr>
      <t xml:space="preserve">
53,86 = [626 / 1,2 /  9,88] +  2% Заг.скл</t>
    </r>
  </si>
  <si>
    <r>
      <t>Тактильный знак СП 02, 150х150 мм "Доступность для инвалидов в креслах-колясках" арт. 902-0-SP-02-150</t>
    </r>
    <r>
      <rPr>
        <i/>
        <sz val="10"/>
        <rFont val="Arial"/>
        <family val="2"/>
        <charset val="204"/>
      </rPr>
      <t xml:space="preserve">
53,86 = [626 / 1,2 /  9,88] +  2% Заг.скл</t>
    </r>
  </si>
  <si>
    <r>
      <t>Тактильный знак СП 07, 150х150 мм "Лифт для uнвалидов" арт. 902-0-SP-18-150</t>
    </r>
    <r>
      <rPr>
        <i/>
        <sz val="10"/>
        <rFont val="Arial"/>
        <family val="2"/>
        <charset val="204"/>
      </rPr>
      <t xml:space="preserve">
53,86 = [626 / 1,2 /  9,88] +  2% Заг.скл</t>
    </r>
  </si>
  <si>
    <r>
      <t>Тактильный знак СП 09, 150х150 мм "Вход в помещение" арт. 902-0-SP-09-150</t>
    </r>
    <r>
      <rPr>
        <i/>
        <sz val="10"/>
        <rFont val="Arial"/>
        <family val="2"/>
        <charset val="204"/>
      </rPr>
      <t xml:space="preserve">
53,86 = [626 / 1,2 /  9,88] +  2% Заг.скл</t>
    </r>
  </si>
  <si>
    <r>
      <t>Тактильный знак СП 10, 150х150 мм "Выход из помещения" арт. 902-0-SP-10-150</t>
    </r>
    <r>
      <rPr>
        <i/>
        <sz val="10"/>
        <rFont val="Arial"/>
        <family val="2"/>
        <charset val="204"/>
      </rPr>
      <t xml:space="preserve">
53,86 = [626 / 1,2 /  9,88] +  2% Заг.скл</t>
    </r>
  </si>
  <si>
    <r>
      <t>Тактильный знак СП 11, 150х150 мм "Направление движения, поворот", арт. 902-0-SP-11-150</t>
    </r>
    <r>
      <rPr>
        <i/>
        <sz val="10"/>
        <rFont val="Arial"/>
        <family val="2"/>
        <charset val="204"/>
      </rPr>
      <t xml:space="preserve">
38,82 = [451,2 / 1,2 /  9,88] +  2% Заг.скл</t>
    </r>
  </si>
  <si>
    <r>
      <t>Тактильный знак СП 12, 150х150 мм "Информация, место расположения мнемосхем" арт. 902-0-SP-12-150</t>
    </r>
    <r>
      <rPr>
        <i/>
        <sz val="10"/>
        <rFont val="Arial"/>
        <family val="2"/>
        <charset val="204"/>
      </rPr>
      <t xml:space="preserve">
53,86 = [626 / 1,2 /  9,88] +  2% Заг.скл</t>
    </r>
  </si>
  <si>
    <r>
      <t>Тактильный знак СП 18, 150х150 мм "Туалет для инвалидов", арт.902-0-SP-18-150</t>
    </r>
    <r>
      <rPr>
        <i/>
        <sz val="10"/>
        <rFont val="Arial"/>
        <family val="2"/>
        <charset val="204"/>
      </rPr>
      <t xml:space="preserve">
53,86 = [626 / 1,2 /  9,88] +  2% Заг.скл</t>
    </r>
  </si>
  <si>
    <r>
      <t>Тактильный знак СП 19, 150х150 мм "Туалет", арт.902-0-SP-18-150</t>
    </r>
    <r>
      <rPr>
        <i/>
        <sz val="10"/>
        <rFont val="Arial"/>
        <family val="2"/>
        <charset val="204"/>
      </rPr>
      <t xml:space="preserve">
53,86 = [626 / 1,2 /  9,88] +  2% Заг.скл</t>
    </r>
  </si>
  <si>
    <r>
      <t>Тактильная табличка со шрифтом Брайля, 150х300мм"Название помещения", арт.903-2-PVC3-150x300</t>
    </r>
    <r>
      <rPr>
        <i/>
        <sz val="10"/>
        <rFont val="Arial"/>
        <family val="2"/>
        <charset val="204"/>
      </rPr>
      <t xml:space="preserve">
225,79 = [2 624,4 / 1,2 /  9,88] +  2% Заг.скл</t>
    </r>
  </si>
  <si>
    <r>
      <t>Тактильный знак, 150х150 мм"Доступность для инвалидов по зрению", арт. 905-0-G-4-150N</t>
    </r>
    <r>
      <rPr>
        <i/>
        <sz val="10"/>
        <rFont val="Arial"/>
        <family val="2"/>
        <charset val="204"/>
      </rPr>
      <t xml:space="preserve">
30,87 = [358,8 / 1,2 /  9,88] +  2% Заг.скл</t>
    </r>
  </si>
  <si>
    <r>
      <t>Тактильный знак, 150х150 мм "Доступность для инвалидов по слуху" арт.905-0-G-3-150N</t>
    </r>
    <r>
      <rPr>
        <i/>
        <sz val="10"/>
        <rFont val="Arial"/>
        <family val="2"/>
        <charset val="204"/>
      </rPr>
      <t xml:space="preserve">
30,87 = [358,8 / 1,2 /  9,88] +  2% Заг.скл</t>
    </r>
  </si>
  <si>
    <r>
      <t>Тактильная мнемосхема санузла, полноцветная на стальной основе 321х411х2 мм, арт. 903-3-ST2-321X411</t>
    </r>
    <r>
      <rPr>
        <i/>
        <sz val="10"/>
        <rFont val="Arial"/>
        <family val="2"/>
        <charset val="204"/>
      </rPr>
      <t xml:space="preserve">
518,05 = [6 021,6 / 1,2 /  9,88] +  2% Заг.скл</t>
    </r>
  </si>
  <si>
    <r>
      <t>Тактильная мнемосхема этажа, полноцветная на основе оргстекла, 470x610х8 мм, арт.906-3-ORG8-470x610</t>
    </r>
    <r>
      <rPr>
        <i/>
        <sz val="10"/>
        <rFont val="Arial"/>
        <family val="2"/>
        <charset val="204"/>
      </rPr>
      <t xml:space="preserve">
2 584,89 = [30 045,6 / 1,2 /  9,88] +  2% Заг.скл</t>
    </r>
  </si>
  <si>
    <r>
      <t>3.70-363-1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</si>
  <si>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3.70-340-3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</si>
  <si>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Наклейка, цвет жёлтый, ф20 см</t>
    </r>
    <r>
      <rPr>
        <i/>
        <sz val="10"/>
        <rFont val="Arial"/>
        <family val="2"/>
        <charset val="204"/>
      </rPr>
      <t xml:space="preserve">
4,30 = [50 / 1,2 /  9,88] +  2% Заг.скл</t>
    </r>
  </si>
  <si>
    <r>
      <t>Тактильные предупреждающие наклейки на поручни 75 x 230мм/ (набор из 3х штук)</t>
    </r>
    <r>
      <rPr>
        <i/>
        <sz val="10"/>
        <rFont val="Arial"/>
        <family val="2"/>
        <charset val="204"/>
      </rPr>
      <t xml:space="preserve">
34,59 = [402 / 1,2 /  9,88] +  2% Заг.скл</t>
    </r>
  </si>
  <si>
    <r>
      <t>3.70-210-1</t>
    </r>
    <r>
      <rPr>
        <i/>
        <sz val="10"/>
        <rFont val="Arial"/>
        <family val="2"/>
        <charset val="204"/>
      </rPr>
      <t xml:space="preserve">
Поправка: О.П. п.3.4.30.в</t>
    </r>
  </si>
  <si>
    <r>
      <t>Алюминиевый индикатор-конус Д=35 мм</t>
    </r>
    <r>
      <rPr>
        <i/>
        <sz val="10"/>
        <rFont val="Arial"/>
        <family val="2"/>
        <charset val="204"/>
      </rPr>
      <t xml:space="preserve">
9,72 = [113 / 1,2 /  9,88] +  2% Заг.скл</t>
    </r>
  </si>
  <si>
    <r>
      <t>Алюминиевая тактильная направляющая полоса 35х280 мм</t>
    </r>
    <r>
      <rPr>
        <i/>
        <sz val="10"/>
        <rFont val="Arial"/>
        <family val="2"/>
        <charset val="204"/>
      </rPr>
      <t xml:space="preserve">
115,71 = [1 345 / 1,2 /  9,88]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</si>
  <si>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</si>
  <si>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</si>
  <si>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</si>
  <si>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</si>
  <si>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"УТВЕРЖДАЮ"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</si>
  <si>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</si>
  <si>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</si>
  <si>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</si>
  <si>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</si>
  <si>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</si>
  <si>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</si>
  <si>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</si>
  <si>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</si>
  <si>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</si>
  <si>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</si>
  <si>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>В т.ч. оборудование не облагаемое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</si>
</sst>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6" fillId="0" borderId="0" xfId="0" applyNumberFormat="1" applyFont="1"/>
    <xf numFmtId="0" fontId="16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0" fillId="0" borderId="0" xfId="0" applyNumberFormat="1"/>
    <xf numFmtId="0" fontId="16" fillId="0" borderId="0" xfId="0" applyFont="1" applyAlignment="1">
      <alignment horizontal="right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/>
    </xf>
    <xf numFmtId="164" fontId="20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right" vertical="top" wrapText="1"/>
    </xf>
    <xf numFmtId="0" fontId="20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right" vertical="top" wrapText="1"/>
    </xf>
    <xf numFmtId="0" fontId="20" fillId="0" borderId="1" xfId="0" applyFont="1" applyBorder="1" applyAlignment="1">
      <alignment horizontal="right" vertical="top"/>
    </xf>
    <xf numFmtId="164" fontId="20" fillId="0" borderId="1" xfId="0" applyNumberFormat="1" applyFont="1" applyBorder="1" applyAlignment="1">
      <alignment horizontal="right" vertical="top"/>
    </xf>
    <xf numFmtId="0" fontId="20" fillId="0" borderId="1" xfId="0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left" wrapText="1"/>
    </xf>
    <xf numFmtId="0" fontId="12" fillId="0" borderId="1" xfId="0" applyFont="1" applyBorder="1"/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164" fontId="18" fillId="0" borderId="0" xfId="0" applyNumberFormat="1" applyFont="1"/>
    <xf numFmtId="0" fontId="18" fillId="0" borderId="0" xfId="0" applyFont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left" wrapText="1"/>
    </xf>
    <xf numFmtId="164" fontId="16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center" vertical="top" wrapText="1"/>
    </xf>
    <xf numFmtId="164" fontId="23" fillId="0" borderId="2" xfId="0" applyNumberFormat="1" applyFont="1" applyBorder="1" applyAlignment="1">
      <alignment horizontal="right" vertical="top"/>
    </xf>
    <xf numFmtId="0" fontId="12" fillId="0" borderId="0" xfId="1" applyFont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8" fillId="0" borderId="0" xfId="0" applyFont="1" applyAlignment="1">
      <alignment horizontal="left" wrapText="1"/>
    </xf>
    <xf numFmtId="0" fontId="16" fillId="0" borderId="0" xfId="0" applyFont="1" applyAlignment="1">
      <alignment horizontal="left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7" fillId="0" borderId="4" xfId="0" applyFont="1" applyBorder="1" applyAlignment="1">
      <alignment horizontal="center" wrapText="1"/>
    </xf>
    <xf numFmtId="0" fontId="16" fillId="0" borderId="0" xfId="0" applyFont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 4" xfId="1" xr:uid="{31FA181C-FC6D-441D-B61E-7CF4CD75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C806-7C1F-48A3-B913-19A555C2C29C}">
  <sheetPr>
    <pageSetUpPr fitToPage="1"/>
  </sheetPr>
  <dimension ref="A1:AQ457"/>
  <sheetViews>
    <sheetView tabSelected="1" zoomScaleNormal="100" workbookViewId="0">
      <selection activeCell="E18" sqref="E18:H18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6" width="10.140625" bestFit="1" customWidth="1"/>
    <col min="9" max="9" width="10.140625" bestFit="1" customWidth="1"/>
    <col min="11" max="11" width="11.285156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0" t="str">
        <f>Source!B1</f>
        <v>Smeta.RU  (495) 974-1589</v>
      </c>
    </row>
    <row r="2" spans="1:42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72" t="s">
        <v>397</v>
      </c>
      <c r="K2" s="72"/>
    </row>
    <row r="3" spans="1:42" ht="47.25" x14ac:dyDescent="0.25">
      <c r="A3" s="75" t="s">
        <v>4</v>
      </c>
      <c r="B3" s="75"/>
      <c r="C3" s="75"/>
      <c r="D3" s="75"/>
      <c r="E3" s="75"/>
      <c r="F3" s="75"/>
      <c r="G3" s="75"/>
      <c r="H3" s="75"/>
      <c r="I3" s="75"/>
      <c r="J3" s="75"/>
      <c r="K3" s="75"/>
      <c r="AP3" s="20" t="s">
        <v>398</v>
      </c>
    </row>
    <row r="4" spans="1:42" x14ac:dyDescent="0.2">
      <c r="A4" s="63" t="s">
        <v>376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5" spans="1:42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42" ht="15.75" x14ac:dyDescent="0.25">
      <c r="A6" s="75" t="str">
        <f>CONCATENATE( "ЛОКАЛЬНАЯ СМЕТА № ",IF(Source!F20&lt;&gt;"Новая локальная смета", Source!F20, ""))</f>
        <v>ЛОКАЛЬНАЯ СМЕТА № 02-01-22</v>
      </c>
      <c r="B6" s="76"/>
      <c r="C6" s="76"/>
      <c r="D6" s="76"/>
      <c r="E6" s="76"/>
      <c r="F6" s="76"/>
      <c r="G6" s="76"/>
      <c r="H6" s="76"/>
      <c r="I6" s="76"/>
      <c r="J6" s="76"/>
      <c r="K6" s="76"/>
    </row>
    <row r="7" spans="1:42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42" ht="18" x14ac:dyDescent="0.25">
      <c r="A8" s="77" t="str">
        <f>IF(Source!G20&lt;&gt;"Новая локальная смета", Source!G20, "")</f>
        <v>Мероприятия по обеспечению доступа инвалидов</v>
      </c>
      <c r="B8" s="77"/>
      <c r="C8" s="77"/>
      <c r="D8" s="77"/>
      <c r="E8" s="77"/>
      <c r="F8" s="77"/>
      <c r="G8" s="77"/>
      <c r="H8" s="77"/>
      <c r="I8" s="77"/>
      <c r="J8" s="77"/>
      <c r="K8" s="77"/>
    </row>
    <row r="9" spans="1:42" x14ac:dyDescent="0.2">
      <c r="A9" s="78" t="s">
        <v>377</v>
      </c>
      <c r="B9" s="79"/>
      <c r="C9" s="79"/>
      <c r="D9" s="79"/>
      <c r="E9" s="79"/>
      <c r="F9" s="79"/>
      <c r="G9" s="79"/>
      <c r="H9" s="79"/>
      <c r="I9" s="79"/>
      <c r="J9" s="79"/>
      <c r="K9" s="79"/>
    </row>
    <row r="10" spans="1:42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42" ht="14.25" x14ac:dyDescent="0.2">
      <c r="A11" s="71" t="str">
        <f>CONCATENATE( "Основание: чертежи № ", Source!J20)</f>
        <v>Основание: чертежи № 2024-00272-01-0-ОДИ.ВОР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</row>
    <row r="12" spans="1:42" ht="14.25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42" ht="71.25" x14ac:dyDescent="0.2">
      <c r="A13" s="11"/>
      <c r="B13" s="11"/>
      <c r="C13" s="11"/>
      <c r="D13" s="11"/>
      <c r="E13" s="11"/>
      <c r="F13" s="11"/>
      <c r="G13" s="11"/>
      <c r="H13" s="11"/>
      <c r="I13" s="13" t="s">
        <v>378</v>
      </c>
      <c r="J13" s="13" t="s">
        <v>379</v>
      </c>
      <c r="K13" s="11"/>
    </row>
    <row r="14" spans="1:42" ht="15" x14ac:dyDescent="0.25">
      <c r="A14" s="11"/>
      <c r="B14" s="11"/>
      <c r="C14" s="11"/>
      <c r="D14" s="11"/>
      <c r="E14" s="74" t="s">
        <v>380</v>
      </c>
      <c r="F14" s="74"/>
      <c r="G14" s="74"/>
      <c r="H14" s="74"/>
      <c r="I14" s="14">
        <f>I15+I16+I17+I19</f>
        <v>77.72</v>
      </c>
      <c r="J14" s="14">
        <f>J15+J16+J17+J19</f>
        <v>695.23</v>
      </c>
      <c r="K14" s="15" t="s">
        <v>452</v>
      </c>
    </row>
    <row r="15" spans="1:42" ht="14.25" x14ac:dyDescent="0.2">
      <c r="A15" s="11"/>
      <c r="B15" s="11"/>
      <c r="C15" s="11"/>
      <c r="D15" s="11"/>
      <c r="E15" s="62" t="s">
        <v>26</v>
      </c>
      <c r="F15" s="62"/>
      <c r="G15" s="62"/>
      <c r="H15" s="62"/>
      <c r="I15" s="16">
        <f>ROUND((Source!F480)/1000, 2)</f>
        <v>42.72</v>
      </c>
      <c r="J15" s="16">
        <f>ROUND((Source!P480)/1000, 2)</f>
        <v>516.20000000000005</v>
      </c>
      <c r="K15" s="11" t="s">
        <v>452</v>
      </c>
    </row>
    <row r="16" spans="1:42" ht="14.25" x14ac:dyDescent="0.2">
      <c r="A16" s="11"/>
      <c r="B16" s="11"/>
      <c r="C16" s="11"/>
      <c r="D16" s="11"/>
      <c r="E16" s="62" t="s">
        <v>381</v>
      </c>
      <c r="F16" s="62"/>
      <c r="G16" s="62"/>
      <c r="H16" s="62"/>
      <c r="I16" s="16">
        <f>ROUND((Source!F481)/1000, 2)</f>
        <v>0</v>
      </c>
      <c r="J16" s="16">
        <f>ROUND((Source!P481)/1000, 2)</f>
        <v>0</v>
      </c>
      <c r="K16" s="11" t="s">
        <v>452</v>
      </c>
    </row>
    <row r="17" spans="1:42" ht="14.25" x14ac:dyDescent="0.2">
      <c r="A17" s="11"/>
      <c r="B17" s="11"/>
      <c r="C17" s="11"/>
      <c r="D17" s="11"/>
      <c r="E17" s="62" t="s">
        <v>382</v>
      </c>
      <c r="F17" s="62"/>
      <c r="G17" s="62"/>
      <c r="H17" s="62"/>
      <c r="I17" s="16">
        <f>ROUND((Source!F472)/1000, 2)</f>
        <v>35</v>
      </c>
      <c r="J17" s="16">
        <f>ROUND((Source!P472)/1000, 2)</f>
        <v>179.03</v>
      </c>
      <c r="K17" s="11" t="s">
        <v>452</v>
      </c>
    </row>
    <row r="18" spans="1:42" ht="33" customHeight="1" x14ac:dyDescent="0.2">
      <c r="A18" s="11"/>
      <c r="B18" s="11"/>
      <c r="C18" s="11"/>
      <c r="D18" s="11"/>
      <c r="E18" s="73" t="s">
        <v>467</v>
      </c>
      <c r="F18" s="73"/>
      <c r="G18" s="73"/>
      <c r="H18" s="73"/>
      <c r="I18" s="59">
        <v>19.804829999999999</v>
      </c>
      <c r="J18" s="59">
        <v>62.664999999999999</v>
      </c>
      <c r="K18" s="60" t="s">
        <v>452</v>
      </c>
    </row>
    <row r="19" spans="1:42" ht="14.25" x14ac:dyDescent="0.2">
      <c r="A19" s="11"/>
      <c r="B19" s="11"/>
      <c r="C19" s="11"/>
      <c r="D19" s="11"/>
      <c r="E19" s="62" t="s">
        <v>383</v>
      </c>
      <c r="F19" s="62"/>
      <c r="G19" s="62"/>
      <c r="H19" s="62"/>
      <c r="I19" s="16">
        <f>ROUND((Source!F482+Source!F483)/1000, 2)</f>
        <v>0</v>
      </c>
      <c r="J19" s="16">
        <f>ROUND((Source!P482+Source!P483)/1000, 2)</f>
        <v>0</v>
      </c>
      <c r="K19" s="11" t="s">
        <v>452</v>
      </c>
    </row>
    <row r="20" spans="1:42" ht="14.25" x14ac:dyDescent="0.2">
      <c r="A20" s="11"/>
      <c r="B20" s="11"/>
      <c r="C20" s="11"/>
      <c r="D20" s="11"/>
      <c r="E20" s="62" t="s">
        <v>384</v>
      </c>
      <c r="F20" s="62"/>
      <c r="G20" s="62"/>
      <c r="H20" s="62"/>
      <c r="I20" s="16">
        <f>(Source!F478+ Source!F477)/1000</f>
        <v>1.5099399999999998</v>
      </c>
      <c r="J20" s="16">
        <f>((Source!P478 + Source!P477)/1000)</f>
        <v>83.031590000000008</v>
      </c>
      <c r="K20" s="11" t="s">
        <v>452</v>
      </c>
    </row>
    <row r="21" spans="1:42" ht="14.25" x14ac:dyDescent="0.2">
      <c r="A21" s="11"/>
      <c r="B21" s="11"/>
      <c r="C21" s="11"/>
      <c r="D21" s="11"/>
      <c r="E21" s="62" t="s">
        <v>385</v>
      </c>
      <c r="F21" s="62"/>
      <c r="G21" s="62"/>
      <c r="H21" s="62"/>
      <c r="I21" s="16">
        <f>Source!F485</f>
        <v>97.728297481979965</v>
      </c>
      <c r="J21" s="16"/>
      <c r="K21" s="11" t="s">
        <v>304</v>
      </c>
    </row>
    <row r="22" spans="1:42" ht="14.25" hidden="1" x14ac:dyDescent="0.2">
      <c r="A22" s="11"/>
      <c r="B22" s="11"/>
      <c r="C22" s="11"/>
      <c r="D22" s="11"/>
      <c r="E22" s="62" t="s">
        <v>386</v>
      </c>
      <c r="F22" s="62"/>
      <c r="G22" s="62"/>
      <c r="H22" s="62"/>
      <c r="I22" s="16"/>
      <c r="J22" s="16"/>
      <c r="K22" s="11"/>
    </row>
    <row r="23" spans="1:42" ht="14.25" hidden="1" x14ac:dyDescent="0.2">
      <c r="A23" s="11"/>
      <c r="B23" s="11"/>
      <c r="C23" s="11"/>
      <c r="D23" s="11"/>
      <c r="E23" s="70" t="s">
        <v>85</v>
      </c>
      <c r="F23" s="70"/>
      <c r="G23" s="70"/>
      <c r="H23" s="70"/>
      <c r="I23" s="16">
        <f>SUM(Y29:Y450)/1000</f>
        <v>0</v>
      </c>
      <c r="J23" s="16">
        <f>SUM(Z29:Z450)/1000</f>
        <v>0</v>
      </c>
      <c r="K23" s="11" t="s">
        <v>452</v>
      </c>
    </row>
    <row r="24" spans="1:42" ht="14.25" x14ac:dyDescent="0.2">
      <c r="A24" s="11"/>
      <c r="B24" s="11"/>
      <c r="C24" s="11"/>
      <c r="D24" s="11"/>
      <c r="E24" s="11"/>
      <c r="F24" s="17"/>
      <c r="G24" s="17"/>
      <c r="H24" s="17"/>
      <c r="I24" s="16"/>
      <c r="J24" s="16"/>
      <c r="K24" s="11"/>
    </row>
    <row r="25" spans="1:42" ht="14.25" x14ac:dyDescent="0.2">
      <c r="A25" s="11" t="s">
        <v>399</v>
      </c>
      <c r="B25" s="11"/>
      <c r="C25" s="11"/>
      <c r="D25" s="11"/>
      <c r="E25" s="11"/>
      <c r="F25" s="17"/>
      <c r="G25" s="17"/>
      <c r="H25" s="17"/>
      <c r="I25" s="16"/>
      <c r="J25" s="16"/>
      <c r="K25" s="11"/>
    </row>
    <row r="26" spans="1:42" ht="28.5" x14ac:dyDescent="0.2">
      <c r="A26" s="71" t="s">
        <v>400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AP26" s="21" t="s">
        <v>400</v>
      </c>
    </row>
    <row r="27" spans="1:42" ht="114" x14ac:dyDescent="0.2">
      <c r="A27" s="18" t="s">
        <v>387</v>
      </c>
      <c r="B27" s="18" t="s">
        <v>388</v>
      </c>
      <c r="C27" s="18" t="s">
        <v>389</v>
      </c>
      <c r="D27" s="18" t="s">
        <v>390</v>
      </c>
      <c r="E27" s="18" t="s">
        <v>391</v>
      </c>
      <c r="F27" s="18" t="s">
        <v>392</v>
      </c>
      <c r="G27" s="19" t="s">
        <v>393</v>
      </c>
      <c r="H27" s="19" t="s">
        <v>394</v>
      </c>
      <c r="I27" s="18" t="s">
        <v>401</v>
      </c>
      <c r="J27" s="18" t="s">
        <v>395</v>
      </c>
      <c r="K27" s="18" t="s">
        <v>396</v>
      </c>
    </row>
    <row r="28" spans="1:42" ht="14.25" x14ac:dyDescent="0.2">
      <c r="A28" s="18">
        <v>1</v>
      </c>
      <c r="B28" s="18">
        <v>2</v>
      </c>
      <c r="C28" s="18">
        <v>3</v>
      </c>
      <c r="D28" s="18">
        <v>4</v>
      </c>
      <c r="E28" s="18">
        <v>5</v>
      </c>
      <c r="F28" s="18">
        <v>6</v>
      </c>
      <c r="G28" s="18">
        <v>7</v>
      </c>
      <c r="H28" s="18">
        <v>8</v>
      </c>
      <c r="I28" s="18">
        <v>9</v>
      </c>
      <c r="J28" s="18">
        <v>10</v>
      </c>
      <c r="K28" s="18">
        <v>11</v>
      </c>
    </row>
    <row r="30" spans="1:42" ht="16.5" x14ac:dyDescent="0.2">
      <c r="A30" s="68" t="str">
        <f>CONCATENATE("Раздел: ",IF(Source!G24&lt;&gt;"Новый раздел", Source!G24, ""))</f>
        <v>Раздел: Оборудование санузла для МГН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</row>
    <row r="31" spans="1:42" ht="141.75" x14ac:dyDescent="0.2">
      <c r="A31" s="22">
        <v>1</v>
      </c>
      <c r="B31" s="22" t="s">
        <v>402</v>
      </c>
      <c r="C31" s="22" t="s">
        <v>20</v>
      </c>
      <c r="D31" s="24" t="str">
        <f>Source!H28</f>
        <v>100 шт.</v>
      </c>
      <c r="E31" s="23">
        <f>Source!I28</f>
        <v>0.05</v>
      </c>
      <c r="F31" s="26"/>
      <c r="G31" s="25"/>
      <c r="H31" s="23"/>
      <c r="I31" s="26"/>
      <c r="J31" s="23"/>
      <c r="K31" s="26"/>
      <c r="Q31">
        <f>Source!X28</f>
        <v>13.93</v>
      </c>
      <c r="R31">
        <f>Source!X29</f>
        <v>766.02</v>
      </c>
      <c r="S31">
        <f>Source!Y28</f>
        <v>7.8</v>
      </c>
      <c r="T31">
        <f>Source!Y29</f>
        <v>428.69</v>
      </c>
      <c r="U31">
        <f>ROUND((175/100)*ROUND(Source!R28, 2), 2)</f>
        <v>7.0000000000000007E-2</v>
      </c>
      <c r="V31">
        <f>ROUND((0/100)*ROUND(Source!R29, 2), 2)</f>
        <v>0</v>
      </c>
      <c r="AC31">
        <v>0</v>
      </c>
    </row>
    <row r="32" spans="1:42" x14ac:dyDescent="0.2">
      <c r="C32" s="27" t="str">
        <f>"Объем: "&amp;Source!I28&amp;"=(1+"&amp;"1+"&amp;"1+"&amp;"1+"&amp;"1)/"&amp;"100"</f>
        <v>Объем: 0,05=(1+1+1+1+1)/100</v>
      </c>
    </row>
    <row r="33" spans="1:29" ht="28.5" x14ac:dyDescent="0.2">
      <c r="A33" s="22"/>
      <c r="B33" s="22"/>
      <c r="C33" s="22" t="s">
        <v>403</v>
      </c>
      <c r="D33" s="24"/>
      <c r="E33" s="23"/>
      <c r="F33" s="26">
        <f>Source!AO28</f>
        <v>188.72</v>
      </c>
      <c r="G33" s="25" t="str">
        <f>Source!DG28</f>
        <v>*1,1)*1,15</v>
      </c>
      <c r="H33" s="23">
        <f>Source!AV29</f>
        <v>1.0669999999999999</v>
      </c>
      <c r="I33" s="26">
        <f>Source!S28</f>
        <v>12.74</v>
      </c>
      <c r="J33" s="23">
        <f>IF(Source!BA29&lt;&gt; 0, Source!BA29, 1)</f>
        <v>54.99</v>
      </c>
      <c r="K33" s="26">
        <f>Source!S29</f>
        <v>700.57</v>
      </c>
    </row>
    <row r="34" spans="1:29" ht="28.5" x14ac:dyDescent="0.2">
      <c r="A34" s="22"/>
      <c r="B34" s="22"/>
      <c r="C34" s="22" t="s">
        <v>404</v>
      </c>
      <c r="D34" s="24"/>
      <c r="E34" s="23"/>
      <c r="F34" s="26">
        <f>Source!AM28</f>
        <v>7.54</v>
      </c>
      <c r="G34" s="25" t="str">
        <f>Source!DE28</f>
        <v>*1,1)*1,25</v>
      </c>
      <c r="H34" s="23">
        <f>Source!AV29</f>
        <v>1.0669999999999999</v>
      </c>
      <c r="I34" s="26">
        <f>Source!Q28</f>
        <v>0.55000000000000004</v>
      </c>
      <c r="J34" s="23">
        <f>IF(Source!BB29&lt;&gt; 0, Source!BB29, 1)</f>
        <v>12.07</v>
      </c>
      <c r="K34" s="26">
        <f>Source!Q29</f>
        <v>6.64</v>
      </c>
    </row>
    <row r="35" spans="1:29" ht="28.5" x14ac:dyDescent="0.2">
      <c r="A35" s="22"/>
      <c r="B35" s="22"/>
      <c r="C35" s="22" t="s">
        <v>405</v>
      </c>
      <c r="D35" s="24"/>
      <c r="E35" s="23"/>
      <c r="F35" s="26">
        <f>Source!AN28</f>
        <v>0.5</v>
      </c>
      <c r="G35" s="25" t="str">
        <f>Source!DF28</f>
        <v>*1,1)*1,25</v>
      </c>
      <c r="H35" s="23">
        <f>Source!AV29</f>
        <v>1.0669999999999999</v>
      </c>
      <c r="I35" s="28">
        <f>Source!R28</f>
        <v>0.04</v>
      </c>
      <c r="J35" s="23">
        <f>IF(Source!BS29&lt;&gt; 0, Source!BS29, 1)</f>
        <v>54.99</v>
      </c>
      <c r="K35" s="28">
        <f>Source!R29</f>
        <v>2.2000000000000002</v>
      </c>
    </row>
    <row r="36" spans="1:29" ht="14.25" x14ac:dyDescent="0.2">
      <c r="A36" s="22"/>
      <c r="B36" s="22"/>
      <c r="C36" s="22" t="s">
        <v>406</v>
      </c>
      <c r="D36" s="24"/>
      <c r="E36" s="23"/>
      <c r="F36" s="26">
        <f>Source!AL28</f>
        <v>5229.82</v>
      </c>
      <c r="G36" s="25" t="str">
        <f>Source!DD28</f>
        <v>*1)*1</v>
      </c>
      <c r="H36" s="23">
        <f>Source!AW29</f>
        <v>1</v>
      </c>
      <c r="I36" s="26">
        <f>Source!P28</f>
        <v>261.49</v>
      </c>
      <c r="J36" s="23">
        <f>IF(Source!BC29&lt;&gt; 0, Source!BC29, 1)</f>
        <v>0.75</v>
      </c>
      <c r="K36" s="26">
        <f>Source!P29</f>
        <v>196.12</v>
      </c>
    </row>
    <row r="37" spans="1:29" ht="14.25" x14ac:dyDescent="0.2">
      <c r="A37" s="22"/>
      <c r="B37" s="22"/>
      <c r="C37" s="22" t="s">
        <v>407</v>
      </c>
      <c r="D37" s="24" t="s">
        <v>408</v>
      </c>
      <c r="E37" s="23">
        <f>Source!BZ29</f>
        <v>109</v>
      </c>
      <c r="F37" s="26"/>
      <c r="G37" s="25"/>
      <c r="H37" s="23"/>
      <c r="I37" s="26">
        <f>SUM(Q31:Q36)</f>
        <v>13.93</v>
      </c>
      <c r="J37" s="23">
        <f>Source!AT29</f>
        <v>109</v>
      </c>
      <c r="K37" s="26">
        <f>SUM(R31:R36)</f>
        <v>766.02</v>
      </c>
    </row>
    <row r="38" spans="1:29" ht="14.25" x14ac:dyDescent="0.2">
      <c r="A38" s="22"/>
      <c r="B38" s="22"/>
      <c r="C38" s="22" t="s">
        <v>409</v>
      </c>
      <c r="D38" s="24" t="s">
        <v>408</v>
      </c>
      <c r="E38" s="23">
        <f>Source!CA29</f>
        <v>61</v>
      </c>
      <c r="F38" s="26"/>
      <c r="G38" s="25"/>
      <c r="H38" s="23"/>
      <c r="I38" s="26">
        <f>SUM(S31:S37)</f>
        <v>7.8</v>
      </c>
      <c r="J38" s="23">
        <f>Source!AU29</f>
        <v>61</v>
      </c>
      <c r="K38" s="26">
        <f>SUM(T31:T37)</f>
        <v>428.69</v>
      </c>
    </row>
    <row r="39" spans="1:29" ht="28.5" x14ac:dyDescent="0.2">
      <c r="A39" s="29"/>
      <c r="B39" s="29"/>
      <c r="C39" s="29" t="s">
        <v>410</v>
      </c>
      <c r="D39" s="30" t="s">
        <v>411</v>
      </c>
      <c r="E39" s="31">
        <f>Source!AQ28</f>
        <v>16.89</v>
      </c>
      <c r="F39" s="32"/>
      <c r="G39" s="33" t="str">
        <f>Source!DI28</f>
        <v>*1,1)*1,15</v>
      </c>
      <c r="H39" s="31">
        <f>Source!AV29</f>
        <v>1.0669999999999999</v>
      </c>
      <c r="I39" s="32">
        <f>Source!U28</f>
        <v>1.1398680974999997</v>
      </c>
      <c r="J39" s="31"/>
      <c r="K39" s="32"/>
    </row>
    <row r="40" spans="1:29" ht="15" x14ac:dyDescent="0.2">
      <c r="C40" s="34" t="s">
        <v>412</v>
      </c>
      <c r="H40" s="67">
        <f>I33+I34+I36+I37+I38+0-0-0</f>
        <v>296.51000000000005</v>
      </c>
      <c r="I40" s="67"/>
      <c r="J40" s="67">
        <f>K33+K34+K36+K37+K38+0-0-0</f>
        <v>2098.04</v>
      </c>
      <c r="K40" s="67"/>
    </row>
    <row r="41" spans="1:29" ht="15" hidden="1" x14ac:dyDescent="0.2">
      <c r="C41" s="34" t="s">
        <v>413</v>
      </c>
      <c r="H41" s="64">
        <f>0+0</f>
        <v>0</v>
      </c>
      <c r="I41" s="64"/>
      <c r="J41" s="64">
        <f>0+0</f>
        <v>0</v>
      </c>
      <c r="K41" s="64"/>
    </row>
    <row r="42" spans="1:29" ht="15" x14ac:dyDescent="0.2">
      <c r="C42" s="34" t="s">
        <v>414</v>
      </c>
      <c r="H42" s="64">
        <f>I33+I34+I36+I37+I38+0</f>
        <v>296.51000000000005</v>
      </c>
      <c r="I42" s="64"/>
      <c r="J42" s="64">
        <f>K33+K34+K36+K37+K38+0</f>
        <v>2098.04</v>
      </c>
      <c r="K42" s="64"/>
      <c r="O42" s="35">
        <f>I33+I34+I36+I37+I38+0</f>
        <v>296.51000000000005</v>
      </c>
      <c r="P42" s="35">
        <f>K33+K34+K36+K37+K38+0</f>
        <v>2098.04</v>
      </c>
    </row>
    <row r="44" spans="1:29" ht="141.75" x14ac:dyDescent="0.2">
      <c r="A44" s="22">
        <v>2</v>
      </c>
      <c r="B44" s="22" t="s">
        <v>415</v>
      </c>
      <c r="C44" s="22" t="s">
        <v>32</v>
      </c>
      <c r="D44" s="24" t="str">
        <f>Source!H30</f>
        <v>100 шт.</v>
      </c>
      <c r="E44" s="23">
        <f>Source!I30</f>
        <v>0.02</v>
      </c>
      <c r="F44" s="26"/>
      <c r="G44" s="25"/>
      <c r="H44" s="23"/>
      <c r="I44" s="26"/>
      <c r="J44" s="23"/>
      <c r="K44" s="26"/>
      <c r="Q44">
        <f>Source!X30</f>
        <v>2.84</v>
      </c>
      <c r="R44">
        <f>Source!X31</f>
        <v>156.44</v>
      </c>
      <c r="S44">
        <f>Source!Y30</f>
        <v>1.59</v>
      </c>
      <c r="T44">
        <f>Source!Y31</f>
        <v>87.55</v>
      </c>
      <c r="U44">
        <f>ROUND((175/100)*ROUND(Source!R30, 2), 2)</f>
        <v>0.05</v>
      </c>
      <c r="V44">
        <f>ROUND((0/100)*ROUND(Source!R31, 2), 2)</f>
        <v>0</v>
      </c>
      <c r="AC44">
        <v>0</v>
      </c>
    </row>
    <row r="45" spans="1:29" x14ac:dyDescent="0.2">
      <c r="C45" s="27" t="str">
        <f>"Объем: "&amp;Source!I30&amp;"=2/"&amp;"100"</f>
        <v>Объем: 0,02=2/100</v>
      </c>
    </row>
    <row r="46" spans="1:29" ht="28.5" x14ac:dyDescent="0.2">
      <c r="A46" s="22"/>
      <c r="B46" s="22"/>
      <c r="C46" s="22" t="s">
        <v>403</v>
      </c>
      <c r="D46" s="24"/>
      <c r="E46" s="23"/>
      <c r="F46" s="26">
        <f>Source!AO30</f>
        <v>95.59</v>
      </c>
      <c r="G46" s="25" t="str">
        <f>Source!DG30</f>
        <v>*1,1)*1,15</v>
      </c>
      <c r="H46" s="23">
        <f>Source!AV31</f>
        <v>1.0669999999999999</v>
      </c>
      <c r="I46" s="26">
        <f>Source!S30</f>
        <v>2.58</v>
      </c>
      <c r="J46" s="23">
        <f>IF(Source!BA31&lt;&gt; 0, Source!BA31, 1)</f>
        <v>54.99</v>
      </c>
      <c r="K46" s="26">
        <f>Source!S31</f>
        <v>141.87</v>
      </c>
    </row>
    <row r="47" spans="1:29" ht="28.5" x14ac:dyDescent="0.2">
      <c r="A47" s="22"/>
      <c r="B47" s="22"/>
      <c r="C47" s="22" t="s">
        <v>404</v>
      </c>
      <c r="D47" s="24"/>
      <c r="E47" s="23"/>
      <c r="F47" s="26">
        <f>Source!AM30</f>
        <v>8.9700000000000006</v>
      </c>
      <c r="G47" s="25" t="str">
        <f>Source!DE30</f>
        <v>*1,1)*1,25</v>
      </c>
      <c r="H47" s="23">
        <f>Source!AV31</f>
        <v>1.0669999999999999</v>
      </c>
      <c r="I47" s="26">
        <f>Source!Q30</f>
        <v>0.26</v>
      </c>
      <c r="J47" s="23">
        <f>IF(Source!BB31&lt;&gt; 0, Source!BB31, 1)</f>
        <v>14.34</v>
      </c>
      <c r="K47" s="26">
        <f>Source!Q31</f>
        <v>3.73</v>
      </c>
    </row>
    <row r="48" spans="1:29" ht="28.5" x14ac:dyDescent="0.2">
      <c r="A48" s="22"/>
      <c r="B48" s="22"/>
      <c r="C48" s="22" t="s">
        <v>405</v>
      </c>
      <c r="D48" s="24"/>
      <c r="E48" s="23"/>
      <c r="F48" s="26">
        <f>Source!AN30</f>
        <v>1.01</v>
      </c>
      <c r="G48" s="25" t="str">
        <f>Source!DF30</f>
        <v>*1,1)*1,25</v>
      </c>
      <c r="H48" s="23">
        <f>Source!AV31</f>
        <v>1.0669999999999999</v>
      </c>
      <c r="I48" s="28">
        <f>Source!R30</f>
        <v>0.03</v>
      </c>
      <c r="J48" s="23">
        <f>IF(Source!BS31&lt;&gt; 0, Source!BS31, 1)</f>
        <v>54.99</v>
      </c>
      <c r="K48" s="28">
        <f>Source!R31</f>
        <v>1.65</v>
      </c>
    </row>
    <row r="49" spans="1:29" ht="14.25" x14ac:dyDescent="0.2">
      <c r="A49" s="22"/>
      <c r="B49" s="22"/>
      <c r="C49" s="22" t="s">
        <v>406</v>
      </c>
      <c r="D49" s="24"/>
      <c r="E49" s="23"/>
      <c r="F49" s="26">
        <f>Source!AL30</f>
        <v>2202.04</v>
      </c>
      <c r="G49" s="25" t="str">
        <f>Source!DD30</f>
        <v>*1)*1</v>
      </c>
      <c r="H49" s="23">
        <f>Source!AW31</f>
        <v>1</v>
      </c>
      <c r="I49" s="26">
        <f>Source!P30</f>
        <v>44.04</v>
      </c>
      <c r="J49" s="23">
        <f>IF(Source!BC31&lt;&gt; 0, Source!BC31, 1)</f>
        <v>0.75</v>
      </c>
      <c r="K49" s="26">
        <f>Source!P31</f>
        <v>33.03</v>
      </c>
    </row>
    <row r="50" spans="1:29" ht="14.25" x14ac:dyDescent="0.2">
      <c r="A50" s="22"/>
      <c r="B50" s="22"/>
      <c r="C50" s="22" t="s">
        <v>407</v>
      </c>
      <c r="D50" s="24" t="s">
        <v>408</v>
      </c>
      <c r="E50" s="23">
        <f>Source!BZ31</f>
        <v>109</v>
      </c>
      <c r="F50" s="26"/>
      <c r="G50" s="25"/>
      <c r="H50" s="23"/>
      <c r="I50" s="26">
        <f>SUM(Q44:Q49)</f>
        <v>2.84</v>
      </c>
      <c r="J50" s="23">
        <f>Source!AT31</f>
        <v>109</v>
      </c>
      <c r="K50" s="26">
        <f>SUM(R44:R49)</f>
        <v>156.44</v>
      </c>
    </row>
    <row r="51" spans="1:29" ht="14.25" x14ac:dyDescent="0.2">
      <c r="A51" s="22"/>
      <c r="B51" s="22"/>
      <c r="C51" s="22" t="s">
        <v>409</v>
      </c>
      <c r="D51" s="24" t="s">
        <v>408</v>
      </c>
      <c r="E51" s="23">
        <f>Source!CA31</f>
        <v>61</v>
      </c>
      <c r="F51" s="26"/>
      <c r="G51" s="25"/>
      <c r="H51" s="23"/>
      <c r="I51" s="26">
        <f>SUM(S44:S50)</f>
        <v>1.59</v>
      </c>
      <c r="J51" s="23">
        <f>Source!AU31</f>
        <v>61</v>
      </c>
      <c r="K51" s="26">
        <f>SUM(T44:T50)</f>
        <v>87.55</v>
      </c>
    </row>
    <row r="52" spans="1:29" ht="28.5" x14ac:dyDescent="0.2">
      <c r="A52" s="29"/>
      <c r="B52" s="29"/>
      <c r="C52" s="29" t="s">
        <v>410</v>
      </c>
      <c r="D52" s="30" t="s">
        <v>411</v>
      </c>
      <c r="E52" s="31">
        <f>Source!AQ30</f>
        <v>8.58</v>
      </c>
      <c r="F52" s="32"/>
      <c r="G52" s="33" t="str">
        <f>Source!DI30</f>
        <v>*1,1)*1,15</v>
      </c>
      <c r="H52" s="31">
        <f>Source!AV31</f>
        <v>1.0669999999999999</v>
      </c>
      <c r="I52" s="32">
        <f>Source!U30</f>
        <v>0.23161795800000001</v>
      </c>
      <c r="J52" s="31"/>
      <c r="K52" s="32"/>
    </row>
    <row r="53" spans="1:29" ht="15" x14ac:dyDescent="0.2">
      <c r="C53" s="34" t="s">
        <v>412</v>
      </c>
      <c r="H53" s="67">
        <f>I46+I47+I49+I50+I51+0-0-0</f>
        <v>51.31</v>
      </c>
      <c r="I53" s="67"/>
      <c r="J53" s="67">
        <f>K46+K47+K49+K50+K51+0-0-0</f>
        <v>422.62</v>
      </c>
      <c r="K53" s="67"/>
    </row>
    <row r="54" spans="1:29" ht="15" hidden="1" x14ac:dyDescent="0.2">
      <c r="C54" s="34" t="s">
        <v>413</v>
      </c>
      <c r="H54" s="64">
        <f>0+0</f>
        <v>0</v>
      </c>
      <c r="I54" s="64"/>
      <c r="J54" s="64">
        <f>0+0</f>
        <v>0</v>
      </c>
      <c r="K54" s="64"/>
    </row>
    <row r="55" spans="1:29" ht="15" x14ac:dyDescent="0.2">
      <c r="C55" s="34" t="s">
        <v>414</v>
      </c>
      <c r="H55" s="64">
        <f>I46+I47+I49+I50+I51+0</f>
        <v>51.31</v>
      </c>
      <c r="I55" s="64"/>
      <c r="J55" s="64">
        <f>K46+K47+K49+K50+K51+0</f>
        <v>422.62</v>
      </c>
      <c r="K55" s="64"/>
      <c r="O55" s="35">
        <f>I46+I47+I49+I50+I51+0</f>
        <v>51.31</v>
      </c>
      <c r="P55" s="35">
        <f>K46+K47+K49+K50+K51+0</f>
        <v>422.62</v>
      </c>
    </row>
    <row r="57" spans="1:29" ht="52.5" x14ac:dyDescent="0.2">
      <c r="A57" s="22">
        <v>3</v>
      </c>
      <c r="B57" s="22" t="s">
        <v>416</v>
      </c>
      <c r="C57" s="22" t="s">
        <v>36</v>
      </c>
      <c r="D57" s="24" t="str">
        <f>Source!H32</f>
        <v>1  ШТ.</v>
      </c>
      <c r="E57" s="23">
        <f>Source!I32</f>
        <v>1</v>
      </c>
      <c r="F57" s="26"/>
      <c r="G57" s="25"/>
      <c r="H57" s="23"/>
      <c r="I57" s="26"/>
      <c r="J57" s="23"/>
      <c r="K57" s="26"/>
      <c r="Q57">
        <f>Source!X32</f>
        <v>11.7</v>
      </c>
      <c r="R57">
        <f>Source!X33</f>
        <v>643.14</v>
      </c>
      <c r="S57">
        <f>Source!Y32</f>
        <v>6.55</v>
      </c>
      <c r="T57">
        <f>Source!Y33</f>
        <v>359.92</v>
      </c>
      <c r="U57">
        <f>ROUND((175/100)*ROUND(Source!R32, 2), 2)</f>
        <v>0</v>
      </c>
      <c r="V57">
        <f>ROUND((0/100)*ROUND(Source!R33, 2), 2)</f>
        <v>0</v>
      </c>
      <c r="AC57">
        <v>0</v>
      </c>
    </row>
    <row r="58" spans="1:29" ht="28.5" x14ac:dyDescent="0.2">
      <c r="A58" s="22"/>
      <c r="B58" s="22"/>
      <c r="C58" s="22" t="s">
        <v>403</v>
      </c>
      <c r="D58" s="24"/>
      <c r="E58" s="23"/>
      <c r="F58" s="26">
        <f>Source!AO32</f>
        <v>7.95</v>
      </c>
      <c r="G58" s="25" t="str">
        <f>Source!DG32</f>
        <v>*1,15)*1,1</v>
      </c>
      <c r="H58" s="23">
        <f>Source!AV33</f>
        <v>1.0669999999999999</v>
      </c>
      <c r="I58" s="26">
        <f>Source!S32</f>
        <v>10.73</v>
      </c>
      <c r="J58" s="23">
        <f>IF(Source!BA33&lt;&gt; 0, Source!BA33, 1)</f>
        <v>54.99</v>
      </c>
      <c r="K58" s="26">
        <f>Source!S33</f>
        <v>590.04</v>
      </c>
    </row>
    <row r="59" spans="1:29" ht="14.25" x14ac:dyDescent="0.2">
      <c r="A59" s="22"/>
      <c r="B59" s="22"/>
      <c r="C59" s="22" t="s">
        <v>406</v>
      </c>
      <c r="D59" s="24"/>
      <c r="E59" s="23"/>
      <c r="F59" s="26">
        <f>Source!AL32</f>
        <v>0.32</v>
      </c>
      <c r="G59" s="25" t="str">
        <f>Source!DD32</f>
        <v/>
      </c>
      <c r="H59" s="23">
        <f>Source!AW33</f>
        <v>1</v>
      </c>
      <c r="I59" s="26">
        <f>Source!P32</f>
        <v>0.32</v>
      </c>
      <c r="J59" s="23">
        <f>IF(Source!BC33&lt;&gt; 0, Source!BC33, 1)</f>
        <v>5.91</v>
      </c>
      <c r="K59" s="26">
        <f>Source!P33</f>
        <v>1.89</v>
      </c>
    </row>
    <row r="60" spans="1:29" ht="14.25" x14ac:dyDescent="0.2">
      <c r="A60" s="22"/>
      <c r="B60" s="22"/>
      <c r="C60" s="22" t="s">
        <v>407</v>
      </c>
      <c r="D60" s="24" t="s">
        <v>408</v>
      </c>
      <c r="E60" s="23">
        <f>Source!BZ33</f>
        <v>109</v>
      </c>
      <c r="F60" s="26"/>
      <c r="G60" s="25"/>
      <c r="H60" s="23"/>
      <c r="I60" s="26">
        <f>SUM(Q57:Q59)</f>
        <v>11.7</v>
      </c>
      <c r="J60" s="23">
        <f>Source!AT33</f>
        <v>109</v>
      </c>
      <c r="K60" s="26">
        <f>SUM(R57:R59)</f>
        <v>643.14</v>
      </c>
    </row>
    <row r="61" spans="1:29" ht="14.25" x14ac:dyDescent="0.2">
      <c r="A61" s="22"/>
      <c r="B61" s="22"/>
      <c r="C61" s="22" t="s">
        <v>409</v>
      </c>
      <c r="D61" s="24" t="s">
        <v>408</v>
      </c>
      <c r="E61" s="23">
        <f>Source!CA33</f>
        <v>61</v>
      </c>
      <c r="F61" s="26"/>
      <c r="G61" s="25"/>
      <c r="H61" s="23"/>
      <c r="I61" s="26">
        <f>SUM(S57:S60)</f>
        <v>6.55</v>
      </c>
      <c r="J61" s="23">
        <f>Source!AU33</f>
        <v>61</v>
      </c>
      <c r="K61" s="26">
        <f>SUM(T57:T60)</f>
        <v>359.92</v>
      </c>
    </row>
    <row r="62" spans="1:29" ht="28.5" x14ac:dyDescent="0.2">
      <c r="A62" s="29"/>
      <c r="B62" s="29"/>
      <c r="C62" s="29" t="s">
        <v>410</v>
      </c>
      <c r="D62" s="30" t="s">
        <v>411</v>
      </c>
      <c r="E62" s="31">
        <f>Source!AQ32</f>
        <v>0.63</v>
      </c>
      <c r="F62" s="32"/>
      <c r="G62" s="33" t="str">
        <f>Source!DI32</f>
        <v>*1,15)*1,1</v>
      </c>
      <c r="H62" s="31">
        <f>Source!AV33</f>
        <v>1.0669999999999999</v>
      </c>
      <c r="I62" s="32">
        <f>Source!U32</f>
        <v>0.85034564999999984</v>
      </c>
      <c r="J62" s="31"/>
      <c r="K62" s="32"/>
    </row>
    <row r="63" spans="1:29" ht="15" x14ac:dyDescent="0.2">
      <c r="C63" s="34" t="s">
        <v>412</v>
      </c>
      <c r="H63" s="67">
        <f>I58+I59+I60+I61+0-0-0</f>
        <v>29.3</v>
      </c>
      <c r="I63" s="67"/>
      <c r="J63" s="67">
        <f>K58+K59+K60+K61+0-0-0</f>
        <v>1594.99</v>
      </c>
      <c r="K63" s="67"/>
    </row>
    <row r="64" spans="1:29" ht="15" hidden="1" x14ac:dyDescent="0.2">
      <c r="C64" s="34" t="s">
        <v>413</v>
      </c>
      <c r="H64" s="64">
        <f>0+0</f>
        <v>0</v>
      </c>
      <c r="I64" s="64"/>
      <c r="J64" s="64">
        <f>0+0</f>
        <v>0</v>
      </c>
      <c r="K64" s="64"/>
    </row>
    <row r="65" spans="1:29" ht="15" x14ac:dyDescent="0.2">
      <c r="C65" s="34" t="s">
        <v>414</v>
      </c>
      <c r="H65" s="64">
        <f>I58+I59+I60+I61+0</f>
        <v>29.3</v>
      </c>
      <c r="I65" s="64"/>
      <c r="J65" s="64">
        <f>K58+K59+K60+K61+0</f>
        <v>1594.99</v>
      </c>
      <c r="K65" s="64"/>
      <c r="O65" s="35">
        <f>I58+I59+I60+I61+0</f>
        <v>29.3</v>
      </c>
      <c r="P65" s="35">
        <f>K58+K59+K60+K61+0</f>
        <v>1594.99</v>
      </c>
    </row>
    <row r="67" spans="1:29" ht="141.75" x14ac:dyDescent="0.2">
      <c r="A67" s="22">
        <v>4</v>
      </c>
      <c r="B67" s="22" t="s">
        <v>415</v>
      </c>
      <c r="C67" s="22" t="s">
        <v>43</v>
      </c>
      <c r="D67" s="24" t="str">
        <f>Source!H34</f>
        <v>100 шт.</v>
      </c>
      <c r="E67" s="23">
        <f>Source!I34</f>
        <v>0.03</v>
      </c>
      <c r="F67" s="26"/>
      <c r="G67" s="25"/>
      <c r="H67" s="23"/>
      <c r="I67" s="26"/>
      <c r="J67" s="23"/>
      <c r="K67" s="26"/>
      <c r="Q67">
        <f>Source!X34</f>
        <v>4.26</v>
      </c>
      <c r="R67">
        <f>Source!X35</f>
        <v>234.36</v>
      </c>
      <c r="S67">
        <f>Source!Y34</f>
        <v>2.39</v>
      </c>
      <c r="T67">
        <f>Source!Y35</f>
        <v>131.16</v>
      </c>
      <c r="U67">
        <f>ROUND((175/100)*ROUND(Source!R34, 2), 2)</f>
        <v>7.0000000000000007E-2</v>
      </c>
      <c r="V67">
        <f>ROUND((0/100)*ROUND(Source!R35, 2), 2)</f>
        <v>0</v>
      </c>
      <c r="AC67">
        <v>0</v>
      </c>
    </row>
    <row r="68" spans="1:29" x14ac:dyDescent="0.2">
      <c r="C68" s="27" t="str">
        <f>"Объем: "&amp;Source!I34&amp;"=3/"&amp;"100"</f>
        <v>Объем: 0,03=3/100</v>
      </c>
    </row>
    <row r="69" spans="1:29" ht="28.5" x14ac:dyDescent="0.2">
      <c r="A69" s="22"/>
      <c r="B69" s="22"/>
      <c r="C69" s="22" t="s">
        <v>403</v>
      </c>
      <c r="D69" s="24"/>
      <c r="E69" s="23"/>
      <c r="F69" s="26">
        <f>Source!AO34</f>
        <v>95.59</v>
      </c>
      <c r="G69" s="25" t="str">
        <f>Source!DG34</f>
        <v>*1,1)*1,15</v>
      </c>
      <c r="H69" s="23">
        <f>Source!AV35</f>
        <v>1.0669999999999999</v>
      </c>
      <c r="I69" s="26">
        <f>Source!S34</f>
        <v>3.87</v>
      </c>
      <c r="J69" s="23">
        <f>IF(Source!BA35&lt;&gt; 0, Source!BA35, 1)</f>
        <v>54.99</v>
      </c>
      <c r="K69" s="26">
        <f>Source!S35</f>
        <v>212.81</v>
      </c>
    </row>
    <row r="70" spans="1:29" ht="28.5" x14ac:dyDescent="0.2">
      <c r="A70" s="22"/>
      <c r="B70" s="22"/>
      <c r="C70" s="22" t="s">
        <v>404</v>
      </c>
      <c r="D70" s="24"/>
      <c r="E70" s="23"/>
      <c r="F70" s="26">
        <f>Source!AM34</f>
        <v>8.9700000000000006</v>
      </c>
      <c r="G70" s="25" t="str">
        <f>Source!DE34</f>
        <v>*1,1)*1,25</v>
      </c>
      <c r="H70" s="23">
        <f>Source!AV35</f>
        <v>1.0669999999999999</v>
      </c>
      <c r="I70" s="26">
        <f>Source!Q34</f>
        <v>0.39</v>
      </c>
      <c r="J70" s="23">
        <f>IF(Source!BB35&lt;&gt; 0, Source!BB35, 1)</f>
        <v>14.34</v>
      </c>
      <c r="K70" s="26">
        <f>Source!Q35</f>
        <v>5.59</v>
      </c>
    </row>
    <row r="71" spans="1:29" ht="28.5" x14ac:dyDescent="0.2">
      <c r="A71" s="22"/>
      <c r="B71" s="22"/>
      <c r="C71" s="22" t="s">
        <v>405</v>
      </c>
      <c r="D71" s="24"/>
      <c r="E71" s="23"/>
      <c r="F71" s="26">
        <f>Source!AN34</f>
        <v>1.01</v>
      </c>
      <c r="G71" s="25" t="str">
        <f>Source!DF34</f>
        <v>*1,1)*1,25</v>
      </c>
      <c r="H71" s="23">
        <f>Source!AV35</f>
        <v>1.0669999999999999</v>
      </c>
      <c r="I71" s="28">
        <f>Source!R34</f>
        <v>0.04</v>
      </c>
      <c r="J71" s="23">
        <f>IF(Source!BS35&lt;&gt; 0, Source!BS35, 1)</f>
        <v>54.99</v>
      </c>
      <c r="K71" s="28">
        <f>Source!R35</f>
        <v>2.2000000000000002</v>
      </c>
    </row>
    <row r="72" spans="1:29" ht="14.25" x14ac:dyDescent="0.2">
      <c r="A72" s="22"/>
      <c r="B72" s="22"/>
      <c r="C72" s="22" t="s">
        <v>406</v>
      </c>
      <c r="D72" s="24"/>
      <c r="E72" s="23"/>
      <c r="F72" s="26">
        <f>Source!AL34</f>
        <v>2202.04</v>
      </c>
      <c r="G72" s="25" t="str">
        <f>Source!DD34</f>
        <v>*1)*1</v>
      </c>
      <c r="H72" s="23">
        <f>Source!AW35</f>
        <v>1</v>
      </c>
      <c r="I72" s="26">
        <f>Source!P34</f>
        <v>66.06</v>
      </c>
      <c r="J72" s="23">
        <f>IF(Source!BC35&lt;&gt; 0, Source!BC35, 1)</f>
        <v>0.75</v>
      </c>
      <c r="K72" s="26">
        <f>Source!P35</f>
        <v>49.55</v>
      </c>
    </row>
    <row r="73" spans="1:29" ht="14.25" x14ac:dyDescent="0.2">
      <c r="A73" s="22"/>
      <c r="B73" s="22"/>
      <c r="C73" s="22" t="s">
        <v>407</v>
      </c>
      <c r="D73" s="24" t="s">
        <v>408</v>
      </c>
      <c r="E73" s="23">
        <f>Source!BZ35</f>
        <v>109</v>
      </c>
      <c r="F73" s="26"/>
      <c r="G73" s="25"/>
      <c r="H73" s="23"/>
      <c r="I73" s="26">
        <f>SUM(Q67:Q72)</f>
        <v>4.26</v>
      </c>
      <c r="J73" s="23">
        <f>Source!AT35</f>
        <v>109</v>
      </c>
      <c r="K73" s="26">
        <f>SUM(R67:R72)</f>
        <v>234.36</v>
      </c>
    </row>
    <row r="74" spans="1:29" ht="14.25" x14ac:dyDescent="0.2">
      <c r="A74" s="22"/>
      <c r="B74" s="22"/>
      <c r="C74" s="22" t="s">
        <v>409</v>
      </c>
      <c r="D74" s="24" t="s">
        <v>408</v>
      </c>
      <c r="E74" s="23">
        <f>Source!CA35</f>
        <v>61</v>
      </c>
      <c r="F74" s="26"/>
      <c r="G74" s="25"/>
      <c r="H74" s="23"/>
      <c r="I74" s="26">
        <f>SUM(S67:S73)</f>
        <v>2.39</v>
      </c>
      <c r="J74" s="23">
        <f>Source!AU35</f>
        <v>61</v>
      </c>
      <c r="K74" s="26">
        <f>SUM(T67:T73)</f>
        <v>131.16</v>
      </c>
    </row>
    <row r="75" spans="1:29" ht="28.5" x14ac:dyDescent="0.2">
      <c r="A75" s="29"/>
      <c r="B75" s="29"/>
      <c r="C75" s="29" t="s">
        <v>410</v>
      </c>
      <c r="D75" s="30" t="s">
        <v>411</v>
      </c>
      <c r="E75" s="31">
        <f>Source!AQ34</f>
        <v>8.58</v>
      </c>
      <c r="F75" s="32"/>
      <c r="G75" s="33" t="str">
        <f>Source!DI34</f>
        <v>*1,1)*1,15</v>
      </c>
      <c r="H75" s="31">
        <f>Source!AV35</f>
        <v>1.0669999999999999</v>
      </c>
      <c r="I75" s="32">
        <f>Source!U34</f>
        <v>0.34742693699999999</v>
      </c>
      <c r="J75" s="31"/>
      <c r="K75" s="32"/>
    </row>
    <row r="76" spans="1:29" ht="15" x14ac:dyDescent="0.2">
      <c r="C76" s="34" t="s">
        <v>412</v>
      </c>
      <c r="H76" s="67">
        <f>I69+I70+I72+I73+I74+0-0-0</f>
        <v>76.970000000000013</v>
      </c>
      <c r="I76" s="67"/>
      <c r="J76" s="67">
        <f>K69+K70+K72+K73+K74+0-0-0</f>
        <v>633.47</v>
      </c>
      <c r="K76" s="67"/>
    </row>
    <row r="77" spans="1:29" ht="15" hidden="1" x14ac:dyDescent="0.2">
      <c r="C77" s="34" t="s">
        <v>413</v>
      </c>
      <c r="H77" s="64">
        <f>0+0</f>
        <v>0</v>
      </c>
      <c r="I77" s="64"/>
      <c r="J77" s="64">
        <f>0+0</f>
        <v>0</v>
      </c>
      <c r="K77" s="64"/>
    </row>
    <row r="78" spans="1:29" ht="15" x14ac:dyDescent="0.2">
      <c r="C78" s="34" t="s">
        <v>414</v>
      </c>
      <c r="H78" s="64">
        <f>I69+I70+I72+I73+I74+0</f>
        <v>76.970000000000013</v>
      </c>
      <c r="I78" s="64"/>
      <c r="J78" s="64">
        <f>K69+K70+K72+K73+K74+0</f>
        <v>633.47</v>
      </c>
      <c r="K78" s="64"/>
      <c r="O78" s="35">
        <f>I69+I70+I72+I73+I74+0</f>
        <v>76.970000000000013</v>
      </c>
      <c r="P78" s="35">
        <f>K69+K70+K72+K73+K74+0</f>
        <v>633.47</v>
      </c>
    </row>
    <row r="80" spans="1:29" ht="141.75" x14ac:dyDescent="0.2">
      <c r="A80" s="22">
        <v>5</v>
      </c>
      <c r="B80" s="22" t="s">
        <v>415</v>
      </c>
      <c r="C80" s="22" t="s">
        <v>45</v>
      </c>
      <c r="D80" s="24" t="str">
        <f>Source!H36</f>
        <v>100 шт.</v>
      </c>
      <c r="E80" s="23">
        <f>Source!I36</f>
        <v>0.01</v>
      </c>
      <c r="F80" s="26"/>
      <c r="G80" s="25"/>
      <c r="H80" s="23"/>
      <c r="I80" s="26"/>
      <c r="J80" s="23"/>
      <c r="K80" s="26"/>
      <c r="Q80">
        <f>Source!X36</f>
        <v>1.42</v>
      </c>
      <c r="R80">
        <f>Source!X37</f>
        <v>77.92</v>
      </c>
      <c r="S80">
        <f>Source!Y36</f>
        <v>0.79</v>
      </c>
      <c r="T80">
        <f>Source!Y37</f>
        <v>43.61</v>
      </c>
      <c r="U80">
        <f>ROUND((175/100)*ROUND(Source!R36, 2), 2)</f>
        <v>0.02</v>
      </c>
      <c r="V80">
        <f>ROUND((0/100)*ROUND(Source!R37, 2), 2)</f>
        <v>0</v>
      </c>
      <c r="AC80">
        <v>0</v>
      </c>
    </row>
    <row r="81" spans="1:16" x14ac:dyDescent="0.2">
      <c r="C81" s="27" t="str">
        <f>"Объем: "&amp;Source!I36&amp;"=1/"&amp;"100"</f>
        <v>Объем: 0,01=1/100</v>
      </c>
    </row>
    <row r="82" spans="1:16" ht="28.5" x14ac:dyDescent="0.2">
      <c r="A82" s="22"/>
      <c r="B82" s="22"/>
      <c r="C82" s="22" t="s">
        <v>403</v>
      </c>
      <c r="D82" s="24"/>
      <c r="E82" s="23"/>
      <c r="F82" s="26">
        <f>Source!AO36</f>
        <v>95.59</v>
      </c>
      <c r="G82" s="25" t="str">
        <f>Source!DG36</f>
        <v>*1,1)*1,15</v>
      </c>
      <c r="H82" s="23">
        <f>Source!AV37</f>
        <v>1.0669999999999999</v>
      </c>
      <c r="I82" s="26">
        <f>Source!S36</f>
        <v>1.29</v>
      </c>
      <c r="J82" s="23">
        <f>IF(Source!BA37&lt;&gt; 0, Source!BA37, 1)</f>
        <v>54.99</v>
      </c>
      <c r="K82" s="26">
        <f>Source!S37</f>
        <v>70.94</v>
      </c>
    </row>
    <row r="83" spans="1:16" ht="28.5" x14ac:dyDescent="0.2">
      <c r="A83" s="22"/>
      <c r="B83" s="22"/>
      <c r="C83" s="22" t="s">
        <v>404</v>
      </c>
      <c r="D83" s="24"/>
      <c r="E83" s="23"/>
      <c r="F83" s="26">
        <f>Source!AM36</f>
        <v>8.9700000000000006</v>
      </c>
      <c r="G83" s="25" t="str">
        <f>Source!DE36</f>
        <v>*1,1)*1,25</v>
      </c>
      <c r="H83" s="23">
        <f>Source!AV37</f>
        <v>1.0669999999999999</v>
      </c>
      <c r="I83" s="26">
        <f>Source!Q36</f>
        <v>0.13</v>
      </c>
      <c r="J83" s="23">
        <f>IF(Source!BB37&lt;&gt; 0, Source!BB37, 1)</f>
        <v>14.34</v>
      </c>
      <c r="K83" s="26">
        <f>Source!Q37</f>
        <v>1.86</v>
      </c>
    </row>
    <row r="84" spans="1:16" ht="28.5" x14ac:dyDescent="0.2">
      <c r="A84" s="22"/>
      <c r="B84" s="22"/>
      <c r="C84" s="22" t="s">
        <v>405</v>
      </c>
      <c r="D84" s="24"/>
      <c r="E84" s="23"/>
      <c r="F84" s="26">
        <f>Source!AN36</f>
        <v>1.01</v>
      </c>
      <c r="G84" s="25" t="str">
        <f>Source!DF36</f>
        <v>*1,1)*1,25</v>
      </c>
      <c r="H84" s="23">
        <f>Source!AV37</f>
        <v>1.0669999999999999</v>
      </c>
      <c r="I84" s="28">
        <f>Source!R36</f>
        <v>0.01</v>
      </c>
      <c r="J84" s="23">
        <f>IF(Source!BS37&lt;&gt; 0, Source!BS37, 1)</f>
        <v>54.99</v>
      </c>
      <c r="K84" s="28">
        <f>Source!R37</f>
        <v>0.55000000000000004</v>
      </c>
    </row>
    <row r="85" spans="1:16" ht="14.25" x14ac:dyDescent="0.2">
      <c r="A85" s="22"/>
      <c r="B85" s="22"/>
      <c r="C85" s="22" t="s">
        <v>406</v>
      </c>
      <c r="D85" s="24"/>
      <c r="E85" s="23"/>
      <c r="F85" s="26">
        <f>Source!AL36</f>
        <v>2202.04</v>
      </c>
      <c r="G85" s="25" t="str">
        <f>Source!DD36</f>
        <v>*1)*1</v>
      </c>
      <c r="H85" s="23">
        <f>Source!AW37</f>
        <v>1</v>
      </c>
      <c r="I85" s="26">
        <f>Source!P36</f>
        <v>22.02</v>
      </c>
      <c r="J85" s="23">
        <f>IF(Source!BC37&lt;&gt; 0, Source!BC37, 1)</f>
        <v>0.75</v>
      </c>
      <c r="K85" s="26">
        <f>Source!P37</f>
        <v>16.52</v>
      </c>
    </row>
    <row r="86" spans="1:16" ht="14.25" x14ac:dyDescent="0.2">
      <c r="A86" s="22"/>
      <c r="B86" s="22"/>
      <c r="C86" s="22" t="s">
        <v>407</v>
      </c>
      <c r="D86" s="24" t="s">
        <v>408</v>
      </c>
      <c r="E86" s="23">
        <f>Source!BZ37</f>
        <v>109</v>
      </c>
      <c r="F86" s="26"/>
      <c r="G86" s="25"/>
      <c r="H86" s="23"/>
      <c r="I86" s="26">
        <f>SUM(Q80:Q85)</f>
        <v>1.42</v>
      </c>
      <c r="J86" s="23">
        <f>Source!AT37</f>
        <v>109</v>
      </c>
      <c r="K86" s="26">
        <f>SUM(R80:R85)</f>
        <v>77.92</v>
      </c>
    </row>
    <row r="87" spans="1:16" ht="14.25" x14ac:dyDescent="0.2">
      <c r="A87" s="22"/>
      <c r="B87" s="22"/>
      <c r="C87" s="22" t="s">
        <v>409</v>
      </c>
      <c r="D87" s="24" t="s">
        <v>408</v>
      </c>
      <c r="E87" s="23">
        <f>Source!CA37</f>
        <v>61</v>
      </c>
      <c r="F87" s="26"/>
      <c r="G87" s="25"/>
      <c r="H87" s="23"/>
      <c r="I87" s="26">
        <f>SUM(S80:S86)</f>
        <v>0.79</v>
      </c>
      <c r="J87" s="23">
        <f>Source!AU37</f>
        <v>61</v>
      </c>
      <c r="K87" s="26">
        <f>SUM(T80:T86)</f>
        <v>43.61</v>
      </c>
    </row>
    <row r="88" spans="1:16" ht="28.5" x14ac:dyDescent="0.2">
      <c r="A88" s="29"/>
      <c r="B88" s="29"/>
      <c r="C88" s="29" t="s">
        <v>410</v>
      </c>
      <c r="D88" s="30" t="s">
        <v>411</v>
      </c>
      <c r="E88" s="31">
        <f>Source!AQ36</f>
        <v>8.58</v>
      </c>
      <c r="F88" s="32"/>
      <c r="G88" s="33" t="str">
        <f>Source!DI36</f>
        <v>*1,1)*1,15</v>
      </c>
      <c r="H88" s="31">
        <f>Source!AV37</f>
        <v>1.0669999999999999</v>
      </c>
      <c r="I88" s="32">
        <f>Source!U36</f>
        <v>0.11580897900000001</v>
      </c>
      <c r="J88" s="31"/>
      <c r="K88" s="32"/>
    </row>
    <row r="89" spans="1:16" ht="15" x14ac:dyDescent="0.2">
      <c r="C89" s="34" t="s">
        <v>412</v>
      </c>
      <c r="H89" s="67">
        <f>I82+I83+I85+I86+I87+0-0-0</f>
        <v>25.65</v>
      </c>
      <c r="I89" s="67"/>
      <c r="J89" s="67">
        <f>K82+K83+K85+K86+K87+0-0-0</f>
        <v>210.85000000000002</v>
      </c>
      <c r="K89" s="67"/>
    </row>
    <row r="90" spans="1:16" ht="15" hidden="1" x14ac:dyDescent="0.2">
      <c r="C90" s="34" t="s">
        <v>413</v>
      </c>
      <c r="H90" s="64">
        <f>0+0</f>
        <v>0</v>
      </c>
      <c r="I90" s="64"/>
      <c r="J90" s="64">
        <f>0+0</f>
        <v>0</v>
      </c>
      <c r="K90" s="64"/>
    </row>
    <row r="91" spans="1:16" ht="15" x14ac:dyDescent="0.2">
      <c r="C91" s="34" t="s">
        <v>414</v>
      </c>
      <c r="H91" s="64">
        <f>I82+I83+I85+I86+I87+0</f>
        <v>25.65</v>
      </c>
      <c r="I91" s="64"/>
      <c r="J91" s="64">
        <f>K82+K83+K85+K86+K87+0</f>
        <v>210.85000000000002</v>
      </c>
      <c r="K91" s="64"/>
      <c r="O91" s="35">
        <f>I82+I83+I85+I86+I87+0</f>
        <v>25.65</v>
      </c>
      <c r="P91" s="35">
        <f>K82+K83+K85+K86+K87+0</f>
        <v>210.85000000000002</v>
      </c>
    </row>
    <row r="94" spans="1:16" ht="15" x14ac:dyDescent="0.25">
      <c r="A94" s="66" t="str">
        <f>CONCATENATE("Итого по разделу: ",IF(Source!G39&lt;&gt;"Новый раздел", Source!G39, ""))</f>
        <v>Итого по разделу: Оборудование санузла для МГН</v>
      </c>
      <c r="B94" s="66"/>
      <c r="C94" s="66"/>
      <c r="D94" s="66"/>
      <c r="E94" s="66"/>
      <c r="F94" s="66"/>
      <c r="G94" s="66"/>
      <c r="H94" s="64">
        <f>SUM(O30:O93)</f>
        <v>479.74000000000007</v>
      </c>
      <c r="I94" s="65"/>
      <c r="J94" s="64">
        <f>SUM(P30:P93)</f>
        <v>4959.97</v>
      </c>
      <c r="K94" s="65"/>
    </row>
    <row r="95" spans="1:16" hidden="1" x14ac:dyDescent="0.2">
      <c r="A95" t="s">
        <v>417</v>
      </c>
      <c r="I95">
        <f>SUM(W30:W94)</f>
        <v>0</v>
      </c>
      <c r="J95">
        <f>SUM(X30:X94)</f>
        <v>0</v>
      </c>
    </row>
    <row r="96" spans="1:16" hidden="1" x14ac:dyDescent="0.2">
      <c r="A96" t="s">
        <v>418</v>
      </c>
      <c r="I96">
        <f>SUM(Y30:Y95)</f>
        <v>0</v>
      </c>
      <c r="J96">
        <f>SUM(Z30:Z95)</f>
        <v>0</v>
      </c>
    </row>
    <row r="98" spans="1:29" ht="16.5" x14ac:dyDescent="0.2">
      <c r="A98" s="68" t="str">
        <f>CONCATENATE("Раздел: ",IF(Source!G69&lt;&gt;"Новый раздел", Source!G69, ""))</f>
        <v>Раздел: Оборудование, не облагаемое НДС</v>
      </c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1:29" ht="128.25" x14ac:dyDescent="0.2">
      <c r="A99" s="42">
        <v>6</v>
      </c>
      <c r="B99" s="42" t="str">
        <f>Source!F73</f>
        <v>13.3-11-72</v>
      </c>
      <c r="C99" s="42" t="s">
        <v>419</v>
      </c>
      <c r="D99" s="43" t="str">
        <f>Source!H73</f>
        <v>КОМПЛЕКТ</v>
      </c>
      <c r="E99" s="44">
        <f>Source!I73</f>
        <v>1</v>
      </c>
      <c r="F99" s="45">
        <f>Source!AL73</f>
        <v>7974.05</v>
      </c>
      <c r="G99" s="46" t="str">
        <f>Source!DD73</f>
        <v/>
      </c>
      <c r="H99" s="44">
        <f>Source!AW74</f>
        <v>1</v>
      </c>
      <c r="I99" s="45">
        <f>Source!P73</f>
        <v>7974.05</v>
      </c>
      <c r="J99" s="44">
        <f>IF(Source!BC74&lt;&gt; 0, Source!BC74, 1)</f>
        <v>2.58</v>
      </c>
      <c r="K99" s="45">
        <f>Source!P74</f>
        <v>20573.05</v>
      </c>
      <c r="Q99">
        <f>Source!X73</f>
        <v>0</v>
      </c>
      <c r="R99">
        <f>Source!X74</f>
        <v>0</v>
      </c>
      <c r="S99">
        <f>Source!Y73</f>
        <v>0</v>
      </c>
      <c r="T99">
        <f>Source!Y74</f>
        <v>0</v>
      </c>
      <c r="U99">
        <f>ROUND((175/100)*ROUND(Source!R73, 2), 2)</f>
        <v>0</v>
      </c>
      <c r="V99">
        <f>ROUND((0/100)*ROUND(Source!R74, 2), 2)</f>
        <v>0</v>
      </c>
      <c r="AC99">
        <v>5</v>
      </c>
    </row>
    <row r="100" spans="1:29" ht="15" x14ac:dyDescent="0.2">
      <c r="A100" s="47"/>
      <c r="B100" s="47"/>
      <c r="C100" s="48" t="s">
        <v>414</v>
      </c>
      <c r="D100" s="47"/>
      <c r="E100" s="47"/>
      <c r="F100" s="47"/>
      <c r="G100" s="47"/>
      <c r="H100" s="69">
        <f>I99+0</f>
        <v>7974.05</v>
      </c>
      <c r="I100" s="69"/>
      <c r="J100" s="69">
        <f>K99+0</f>
        <v>20573.05</v>
      </c>
      <c r="K100" s="69"/>
      <c r="O100" s="35">
        <f>I99+0</f>
        <v>7974.05</v>
      </c>
      <c r="P100" s="35">
        <f>K99+0</f>
        <v>20573.05</v>
      </c>
    </row>
    <row r="102" spans="1:29" ht="57" x14ac:dyDescent="0.2">
      <c r="A102" s="37">
        <v>7</v>
      </c>
      <c r="B102" s="37" t="str">
        <f>Source!F75</f>
        <v>13.3-11-78</v>
      </c>
      <c r="C102" s="37" t="s">
        <v>420</v>
      </c>
      <c r="D102" s="38" t="str">
        <f>Source!H75</f>
        <v>КОМПЛЕКТ</v>
      </c>
      <c r="E102" s="39">
        <f>Source!I75</f>
        <v>2</v>
      </c>
      <c r="F102" s="40">
        <f>Source!AL75</f>
        <v>2960.3</v>
      </c>
      <c r="G102" s="41" t="str">
        <f>Source!DD75</f>
        <v/>
      </c>
      <c r="H102" s="39">
        <f>Source!AW76</f>
        <v>1</v>
      </c>
      <c r="I102" s="40">
        <f>Source!P75</f>
        <v>5920.6</v>
      </c>
      <c r="J102" s="39">
        <f>IF(Source!BC76&lt;&gt; 0, Source!BC76, 1)</f>
        <v>3.5</v>
      </c>
      <c r="K102" s="40">
        <f>Source!P76</f>
        <v>20722.099999999999</v>
      </c>
      <c r="Q102">
        <f>Source!X75</f>
        <v>0</v>
      </c>
      <c r="R102">
        <f>Source!X76</f>
        <v>0</v>
      </c>
      <c r="S102">
        <f>Source!Y75</f>
        <v>0</v>
      </c>
      <c r="T102">
        <f>Source!Y76</f>
        <v>0</v>
      </c>
      <c r="U102">
        <f>ROUND((175/100)*ROUND(Source!R75, 2), 2)</f>
        <v>0</v>
      </c>
      <c r="V102">
        <f>ROUND((0/100)*ROUND(Source!R76, 2), 2)</f>
        <v>0</v>
      </c>
      <c r="AC102">
        <v>5</v>
      </c>
    </row>
    <row r="103" spans="1:29" x14ac:dyDescent="0.2">
      <c r="A103" s="49"/>
      <c r="B103" s="49"/>
      <c r="C103" s="50" t="str">
        <f>"Объем: "&amp;Source!I75&amp;"=1+"&amp;"1"</f>
        <v>Объем: 2=1+1</v>
      </c>
      <c r="D103" s="49"/>
      <c r="E103" s="49"/>
      <c r="F103" s="49"/>
      <c r="G103" s="49"/>
      <c r="H103" s="49"/>
      <c r="I103" s="49"/>
      <c r="J103" s="49"/>
      <c r="K103" s="49"/>
    </row>
    <row r="104" spans="1:29" ht="15" x14ac:dyDescent="0.2">
      <c r="A104" s="47"/>
      <c r="B104" s="47"/>
      <c r="C104" s="48" t="s">
        <v>414</v>
      </c>
      <c r="D104" s="47"/>
      <c r="E104" s="47"/>
      <c r="F104" s="47"/>
      <c r="G104" s="47"/>
      <c r="H104" s="69">
        <f>I102+0</f>
        <v>5920.6</v>
      </c>
      <c r="I104" s="69"/>
      <c r="J104" s="69">
        <f>K102+0</f>
        <v>20722.099999999999</v>
      </c>
      <c r="K104" s="69"/>
      <c r="O104" s="35">
        <f>I102+0</f>
        <v>5920.6</v>
      </c>
      <c r="P104" s="35">
        <f>K102+0</f>
        <v>20722.099999999999</v>
      </c>
    </row>
    <row r="106" spans="1:29" ht="57" x14ac:dyDescent="0.2">
      <c r="A106" s="42">
        <v>8</v>
      </c>
      <c r="B106" s="42" t="str">
        <f>Source!F77</f>
        <v>13.3-11-77</v>
      </c>
      <c r="C106" s="42" t="s">
        <v>421</v>
      </c>
      <c r="D106" s="43" t="str">
        <f>Source!H77</f>
        <v>КОМПЛЕКТ</v>
      </c>
      <c r="E106" s="44">
        <f>Source!I77</f>
        <v>1</v>
      </c>
      <c r="F106" s="45">
        <f>Source!AL77</f>
        <v>2991.57</v>
      </c>
      <c r="G106" s="46" t="str">
        <f>Source!DD77</f>
        <v/>
      </c>
      <c r="H106" s="44">
        <f>Source!AW78</f>
        <v>1</v>
      </c>
      <c r="I106" s="45">
        <f>Source!P77</f>
        <v>2991.57</v>
      </c>
      <c r="J106" s="44">
        <f>IF(Source!BC78&lt;&gt; 0, Source!BC78, 1)</f>
        <v>3.45</v>
      </c>
      <c r="K106" s="45">
        <f>Source!P78</f>
        <v>10320.92</v>
      </c>
      <c r="Q106">
        <f>Source!X77</f>
        <v>0</v>
      </c>
      <c r="R106">
        <f>Source!X78</f>
        <v>0</v>
      </c>
      <c r="S106">
        <f>Source!Y77</f>
        <v>0</v>
      </c>
      <c r="T106">
        <f>Source!Y78</f>
        <v>0</v>
      </c>
      <c r="U106">
        <f>ROUND((175/100)*ROUND(Source!R77, 2), 2)</f>
        <v>0</v>
      </c>
      <c r="V106">
        <f>ROUND((0/100)*ROUND(Source!R78, 2), 2)</f>
        <v>0</v>
      </c>
      <c r="AC106">
        <v>5</v>
      </c>
    </row>
    <row r="107" spans="1:29" ht="15" x14ac:dyDescent="0.2">
      <c r="A107" s="47"/>
      <c r="B107" s="47"/>
      <c r="C107" s="48" t="s">
        <v>414</v>
      </c>
      <c r="D107" s="47"/>
      <c r="E107" s="47"/>
      <c r="F107" s="47"/>
      <c r="G107" s="47"/>
      <c r="H107" s="69">
        <f>I106+0</f>
        <v>2991.57</v>
      </c>
      <c r="I107" s="69"/>
      <c r="J107" s="69">
        <f>K106+0</f>
        <v>10320.92</v>
      </c>
      <c r="K107" s="69"/>
      <c r="O107" s="35">
        <f>I106+0</f>
        <v>2991.57</v>
      </c>
      <c r="P107" s="35">
        <f>K106+0</f>
        <v>10320.92</v>
      </c>
    </row>
    <row r="109" spans="1:29" ht="85.5" x14ac:dyDescent="0.2">
      <c r="A109" s="42">
        <v>9</v>
      </c>
      <c r="B109" s="42" t="str">
        <f>Source!F79</f>
        <v>13.3-11-80</v>
      </c>
      <c r="C109" s="42" t="s">
        <v>422</v>
      </c>
      <c r="D109" s="43" t="str">
        <f>Source!H79</f>
        <v>КОМПЛЕКТ</v>
      </c>
      <c r="E109" s="44">
        <f>Source!I79</f>
        <v>1</v>
      </c>
      <c r="F109" s="45">
        <f>Source!AL79</f>
        <v>2345.31</v>
      </c>
      <c r="G109" s="46" t="str">
        <f>Source!DD79</f>
        <v/>
      </c>
      <c r="H109" s="44">
        <f>Source!AW80</f>
        <v>1</v>
      </c>
      <c r="I109" s="45">
        <f>Source!P79</f>
        <v>2345.31</v>
      </c>
      <c r="J109" s="44">
        <f>IF(Source!BC80&lt;&gt; 0, Source!BC80, 1)</f>
        <v>3.89</v>
      </c>
      <c r="K109" s="45">
        <f>Source!P80</f>
        <v>9123.26</v>
      </c>
      <c r="Q109">
        <f>Source!X79</f>
        <v>0</v>
      </c>
      <c r="R109">
        <f>Source!X80</f>
        <v>0</v>
      </c>
      <c r="S109">
        <f>Source!Y79</f>
        <v>0</v>
      </c>
      <c r="T109">
        <f>Source!Y80</f>
        <v>0</v>
      </c>
      <c r="U109">
        <f>ROUND((175/100)*ROUND(Source!R79, 2), 2)</f>
        <v>0</v>
      </c>
      <c r="V109">
        <f>ROUND((0/100)*ROUND(Source!R80, 2), 2)</f>
        <v>0</v>
      </c>
      <c r="AC109">
        <v>5</v>
      </c>
    </row>
    <row r="110" spans="1:29" ht="15" x14ac:dyDescent="0.2">
      <c r="A110" s="47"/>
      <c r="B110" s="47"/>
      <c r="C110" s="48" t="s">
        <v>414</v>
      </c>
      <c r="D110" s="47"/>
      <c r="E110" s="47"/>
      <c r="F110" s="47"/>
      <c r="G110" s="47"/>
      <c r="H110" s="69">
        <f>I109+0</f>
        <v>2345.31</v>
      </c>
      <c r="I110" s="69"/>
      <c r="J110" s="69">
        <f>K109+0</f>
        <v>9123.26</v>
      </c>
      <c r="K110" s="69"/>
      <c r="O110" s="35">
        <f>I109+0</f>
        <v>2345.31</v>
      </c>
      <c r="P110" s="35">
        <f>K109+0</f>
        <v>9123.26</v>
      </c>
    </row>
    <row r="112" spans="1:29" ht="99.75" x14ac:dyDescent="0.2">
      <c r="A112" s="42">
        <v>10</v>
      </c>
      <c r="B112" s="42" t="str">
        <f>Source!F81</f>
        <v>13.3-11-67</v>
      </c>
      <c r="C112" s="42" t="s">
        <v>423</v>
      </c>
      <c r="D112" s="43" t="str">
        <f>Source!H81</f>
        <v>КОМПЛЕКТ</v>
      </c>
      <c r="E112" s="44">
        <f>Source!I81</f>
        <v>1</v>
      </c>
      <c r="F112" s="45">
        <f>Source!AL81</f>
        <v>573.29999999999995</v>
      </c>
      <c r="G112" s="46" t="str">
        <f>Source!DD81</f>
        <v/>
      </c>
      <c r="H112" s="44">
        <f>Source!AW82</f>
        <v>1</v>
      </c>
      <c r="I112" s="45">
        <f>Source!P81</f>
        <v>573.29999999999995</v>
      </c>
      <c r="J112" s="44">
        <f>IF(Source!BC82&lt;&gt; 0, Source!BC82, 1)</f>
        <v>3.36</v>
      </c>
      <c r="K112" s="45">
        <f>Source!P82</f>
        <v>1926.29</v>
      </c>
      <c r="Q112">
        <f>Source!X81</f>
        <v>0</v>
      </c>
      <c r="R112">
        <f>Source!X82</f>
        <v>0</v>
      </c>
      <c r="S112">
        <f>Source!Y81</f>
        <v>0</v>
      </c>
      <c r="T112">
        <f>Source!Y82</f>
        <v>0</v>
      </c>
      <c r="U112">
        <f>ROUND((175/100)*ROUND(Source!R81, 2), 2)</f>
        <v>0</v>
      </c>
      <c r="V112">
        <f>ROUND((0/100)*ROUND(Source!R82, 2), 2)</f>
        <v>0</v>
      </c>
      <c r="AC112">
        <v>5</v>
      </c>
    </row>
    <row r="113" spans="1:29" ht="15" x14ac:dyDescent="0.2">
      <c r="A113" s="47"/>
      <c r="B113" s="47"/>
      <c r="C113" s="48" t="s">
        <v>414</v>
      </c>
      <c r="D113" s="47"/>
      <c r="E113" s="47"/>
      <c r="F113" s="47"/>
      <c r="G113" s="47"/>
      <c r="H113" s="69">
        <f>I112+0</f>
        <v>573.29999999999995</v>
      </c>
      <c r="I113" s="69"/>
      <c r="J113" s="69">
        <f>K112+0</f>
        <v>1926.29</v>
      </c>
      <c r="K113" s="69"/>
      <c r="O113" s="35">
        <f>I112+0</f>
        <v>573.29999999999995</v>
      </c>
      <c r="P113" s="35">
        <f>K112+0</f>
        <v>1926.29</v>
      </c>
    </row>
    <row r="116" spans="1:29" ht="15" x14ac:dyDescent="0.25">
      <c r="A116" s="66" t="str">
        <f>CONCATENATE("Итого по разделу: ",IF(Source!G84&lt;&gt;"Новый раздел", Source!G84, ""))</f>
        <v>Итого по разделу: Оборудование, не облагаемое НДС</v>
      </c>
      <c r="B116" s="66"/>
      <c r="C116" s="66"/>
      <c r="D116" s="66"/>
      <c r="E116" s="66"/>
      <c r="F116" s="66"/>
      <c r="G116" s="66"/>
      <c r="H116" s="64">
        <f>SUM(O98:O115)</f>
        <v>19804.830000000002</v>
      </c>
      <c r="I116" s="65"/>
      <c r="J116" s="64">
        <f>SUM(P98:P115)</f>
        <v>62665.619999999995</v>
      </c>
      <c r="K116" s="65"/>
    </row>
    <row r="117" spans="1:29" hidden="1" x14ac:dyDescent="0.2">
      <c r="A117" t="s">
        <v>417</v>
      </c>
      <c r="I117">
        <f>SUM(W98:W116)</f>
        <v>0</v>
      </c>
      <c r="J117">
        <f>SUM(X98:X116)</f>
        <v>0</v>
      </c>
    </row>
    <row r="118" spans="1:29" hidden="1" x14ac:dyDescent="0.2">
      <c r="A118" t="s">
        <v>418</v>
      </c>
      <c r="I118">
        <f>SUM(Y98:Y117)</f>
        <v>0</v>
      </c>
      <c r="J118">
        <f>SUM(Z98:Z117)</f>
        <v>0</v>
      </c>
    </row>
    <row r="120" spans="1:29" ht="16.5" x14ac:dyDescent="0.2">
      <c r="A120" s="68" t="str">
        <f>CONCATENATE("Раздел: ",IF(Source!G114&lt;&gt;"Новый раздел", Source!G114, ""))</f>
        <v>Раздел: Оборудование, облагаемое НДС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</row>
    <row r="121" spans="1:29" ht="82.5" x14ac:dyDescent="0.2">
      <c r="A121" s="42">
        <v>11</v>
      </c>
      <c r="B121" s="42" t="str">
        <f>Source!F118</f>
        <v>КА №1</v>
      </c>
      <c r="C121" s="42" t="s">
        <v>424</v>
      </c>
      <c r="D121" s="43" t="str">
        <f>Source!H118</f>
        <v>шт.</v>
      </c>
      <c r="E121" s="44">
        <f>Source!I118</f>
        <v>1</v>
      </c>
      <c r="F121" s="45">
        <f>Source!AL118</f>
        <v>1879.2399999999998</v>
      </c>
      <c r="G121" s="46" t="str">
        <f>Source!DD118</f>
        <v/>
      </c>
      <c r="H121" s="44">
        <f>Source!AW119</f>
        <v>1</v>
      </c>
      <c r="I121" s="45">
        <f>Source!P118</f>
        <v>1879.24</v>
      </c>
      <c r="J121" s="44">
        <f>IF(Source!BC119&lt;&gt; 0, Source!BC119, 1)</f>
        <v>7.66</v>
      </c>
      <c r="K121" s="45">
        <f>Source!P119</f>
        <v>14394.98</v>
      </c>
      <c r="Q121">
        <f>Source!X118</f>
        <v>0</v>
      </c>
      <c r="R121">
        <f>Source!X119</f>
        <v>0</v>
      </c>
      <c r="S121">
        <f>Source!Y118</f>
        <v>0</v>
      </c>
      <c r="T121">
        <f>Source!Y119</f>
        <v>0</v>
      </c>
      <c r="U121">
        <f>ROUND((175/100)*ROUND(Source!R118, 2), 2)</f>
        <v>0</v>
      </c>
      <c r="V121">
        <f>ROUND((0/100)*ROUND(Source!R119, 2), 2)</f>
        <v>0</v>
      </c>
      <c r="AC121">
        <v>5</v>
      </c>
    </row>
    <row r="122" spans="1:29" ht="15" x14ac:dyDescent="0.2">
      <c r="A122" s="47"/>
      <c r="B122" s="47"/>
      <c r="C122" s="48" t="s">
        <v>414</v>
      </c>
      <c r="D122" s="47"/>
      <c r="E122" s="47"/>
      <c r="F122" s="47"/>
      <c r="G122" s="47"/>
      <c r="H122" s="69">
        <f>I121+0</f>
        <v>1879.24</v>
      </c>
      <c r="I122" s="69"/>
      <c r="J122" s="69">
        <f>K121+0</f>
        <v>14394.98</v>
      </c>
      <c r="K122" s="69"/>
      <c r="O122" s="35">
        <f>I121+0</f>
        <v>1879.24</v>
      </c>
      <c r="P122" s="35">
        <f>K121+0</f>
        <v>14394.98</v>
      </c>
    </row>
    <row r="124" spans="1:29" ht="82.5" x14ac:dyDescent="0.2">
      <c r="A124" s="42">
        <v>12</v>
      </c>
      <c r="B124" s="42" t="str">
        <f>Source!F120</f>
        <v>КА №2</v>
      </c>
      <c r="C124" s="42" t="s">
        <v>425</v>
      </c>
      <c r="D124" s="43" t="str">
        <f>Source!H120</f>
        <v>шт.</v>
      </c>
      <c r="E124" s="44">
        <f>Source!I120</f>
        <v>1</v>
      </c>
      <c r="F124" s="45">
        <f>Source!AL120</f>
        <v>9068.49</v>
      </c>
      <c r="G124" s="46" t="str">
        <f>Source!DD120</f>
        <v/>
      </c>
      <c r="H124" s="44">
        <f>Source!AW121</f>
        <v>1</v>
      </c>
      <c r="I124" s="45">
        <f>Source!P120</f>
        <v>9068.49</v>
      </c>
      <c r="J124" s="44">
        <f>IF(Source!BC121&lt;&gt; 0, Source!BC121, 1)</f>
        <v>7.66</v>
      </c>
      <c r="K124" s="45">
        <f>Source!P121</f>
        <v>69464.63</v>
      </c>
      <c r="Q124">
        <f>Source!X120</f>
        <v>0</v>
      </c>
      <c r="R124">
        <f>Source!X121</f>
        <v>0</v>
      </c>
      <c r="S124">
        <f>Source!Y120</f>
        <v>0</v>
      </c>
      <c r="T124">
        <f>Source!Y121</f>
        <v>0</v>
      </c>
      <c r="U124">
        <f>ROUND((175/100)*ROUND(Source!R120, 2), 2)</f>
        <v>0</v>
      </c>
      <c r="V124">
        <f>ROUND((0/100)*ROUND(Source!R121, 2), 2)</f>
        <v>0</v>
      </c>
      <c r="AC124">
        <v>5</v>
      </c>
    </row>
    <row r="125" spans="1:29" ht="15" x14ac:dyDescent="0.2">
      <c r="A125" s="47"/>
      <c r="B125" s="47"/>
      <c r="C125" s="48" t="s">
        <v>414</v>
      </c>
      <c r="D125" s="47"/>
      <c r="E125" s="47"/>
      <c r="F125" s="47"/>
      <c r="G125" s="47"/>
      <c r="H125" s="69">
        <f>I124+0</f>
        <v>9068.49</v>
      </c>
      <c r="I125" s="69"/>
      <c r="J125" s="69">
        <f>K124+0</f>
        <v>69464.63</v>
      </c>
      <c r="K125" s="69"/>
      <c r="O125" s="35">
        <f>I124+0</f>
        <v>9068.49</v>
      </c>
      <c r="P125" s="35">
        <f>K124+0</f>
        <v>69464.63</v>
      </c>
    </row>
    <row r="127" spans="1:29" ht="111" x14ac:dyDescent="0.2">
      <c r="A127" s="42">
        <v>13</v>
      </c>
      <c r="B127" s="42" t="str">
        <f>Source!F122</f>
        <v>КА №3</v>
      </c>
      <c r="C127" s="42" t="s">
        <v>426</v>
      </c>
      <c r="D127" s="43" t="str">
        <f>Source!H122</f>
        <v>шт.</v>
      </c>
      <c r="E127" s="44">
        <f>Source!I122</f>
        <v>1</v>
      </c>
      <c r="F127" s="45">
        <f>Source!AL122</f>
        <v>1253.05</v>
      </c>
      <c r="G127" s="46" t="str">
        <f>Source!DD122</f>
        <v/>
      </c>
      <c r="H127" s="44">
        <f>Source!AW123</f>
        <v>1</v>
      </c>
      <c r="I127" s="45">
        <f>Source!P122</f>
        <v>1253.05</v>
      </c>
      <c r="J127" s="44">
        <f>IF(Source!BC123&lt;&gt; 0, Source!BC123, 1)</f>
        <v>7.66</v>
      </c>
      <c r="K127" s="45">
        <f>Source!P123</f>
        <v>9598.36</v>
      </c>
      <c r="Q127">
        <f>Source!X122</f>
        <v>0</v>
      </c>
      <c r="R127">
        <f>Source!X123</f>
        <v>0</v>
      </c>
      <c r="S127">
        <f>Source!Y122</f>
        <v>0</v>
      </c>
      <c r="T127">
        <f>Source!Y123</f>
        <v>0</v>
      </c>
      <c r="U127">
        <f>ROUND((175/100)*ROUND(Source!R122, 2), 2)</f>
        <v>0</v>
      </c>
      <c r="V127">
        <f>ROUND((0/100)*ROUND(Source!R123, 2), 2)</f>
        <v>0</v>
      </c>
      <c r="AC127">
        <v>5</v>
      </c>
    </row>
    <row r="128" spans="1:29" ht="15" x14ac:dyDescent="0.2">
      <c r="A128" s="47"/>
      <c r="B128" s="47"/>
      <c r="C128" s="48" t="s">
        <v>414</v>
      </c>
      <c r="D128" s="47"/>
      <c r="E128" s="47"/>
      <c r="F128" s="47"/>
      <c r="G128" s="47"/>
      <c r="H128" s="69">
        <f>I127+0</f>
        <v>1253.05</v>
      </c>
      <c r="I128" s="69"/>
      <c r="J128" s="69">
        <f>K127+0</f>
        <v>9598.36</v>
      </c>
      <c r="K128" s="69"/>
      <c r="O128" s="35">
        <f>I127+0</f>
        <v>1253.05</v>
      </c>
      <c r="P128" s="35">
        <f>K127+0</f>
        <v>9598.36</v>
      </c>
    </row>
    <row r="130" spans="1:29" ht="111" x14ac:dyDescent="0.2">
      <c r="A130" s="42">
        <v>14</v>
      </c>
      <c r="B130" s="42" t="str">
        <f>Source!F124</f>
        <v>КА №4</v>
      </c>
      <c r="C130" s="42" t="s">
        <v>427</v>
      </c>
      <c r="D130" s="43" t="str">
        <f>Source!H124</f>
        <v>шт.</v>
      </c>
      <c r="E130" s="44">
        <f>Source!I124</f>
        <v>1</v>
      </c>
      <c r="F130" s="45">
        <f>Source!AL124</f>
        <v>1869.94</v>
      </c>
      <c r="G130" s="46" t="str">
        <f>Source!DD124</f>
        <v/>
      </c>
      <c r="H130" s="44">
        <f>Source!AW125</f>
        <v>1</v>
      </c>
      <c r="I130" s="45">
        <f>Source!P124</f>
        <v>1869.94</v>
      </c>
      <c r="J130" s="44">
        <f>IF(Source!BC125&lt;&gt; 0, Source!BC125, 1)</f>
        <v>7.66</v>
      </c>
      <c r="K130" s="45">
        <f>Source!P125</f>
        <v>14323.74</v>
      </c>
      <c r="Q130">
        <f>Source!X124</f>
        <v>0</v>
      </c>
      <c r="R130">
        <f>Source!X125</f>
        <v>0</v>
      </c>
      <c r="S130">
        <f>Source!Y124</f>
        <v>0</v>
      </c>
      <c r="T130">
        <f>Source!Y125</f>
        <v>0</v>
      </c>
      <c r="U130">
        <f>ROUND((175/100)*ROUND(Source!R124, 2), 2)</f>
        <v>0</v>
      </c>
      <c r="V130">
        <f>ROUND((0/100)*ROUND(Source!R125, 2), 2)</f>
        <v>0</v>
      </c>
      <c r="AC130">
        <v>5</v>
      </c>
    </row>
    <row r="131" spans="1:29" ht="15" x14ac:dyDescent="0.2">
      <c r="A131" s="47"/>
      <c r="B131" s="47"/>
      <c r="C131" s="48" t="s">
        <v>414</v>
      </c>
      <c r="D131" s="47"/>
      <c r="E131" s="47"/>
      <c r="F131" s="47"/>
      <c r="G131" s="47"/>
      <c r="H131" s="69">
        <f>I130+0</f>
        <v>1869.94</v>
      </c>
      <c r="I131" s="69"/>
      <c r="J131" s="69">
        <f>K130+0</f>
        <v>14323.74</v>
      </c>
      <c r="K131" s="69"/>
      <c r="O131" s="35">
        <f>I130+0</f>
        <v>1869.94</v>
      </c>
      <c r="P131" s="35">
        <f>K130+0</f>
        <v>14323.74</v>
      </c>
    </row>
    <row r="133" spans="1:29" ht="96.75" x14ac:dyDescent="0.2">
      <c r="A133" s="42">
        <v>15</v>
      </c>
      <c r="B133" s="42" t="str">
        <f>Source!F126</f>
        <v>КА №5</v>
      </c>
      <c r="C133" s="42" t="s">
        <v>428</v>
      </c>
      <c r="D133" s="43" t="str">
        <f>Source!H126</f>
        <v>шт.</v>
      </c>
      <c r="E133" s="44">
        <f>Source!I126</f>
        <v>1</v>
      </c>
      <c r="F133" s="45">
        <f>Source!AL126</f>
        <v>605.54999999999995</v>
      </c>
      <c r="G133" s="46" t="str">
        <f>Source!DD126</f>
        <v/>
      </c>
      <c r="H133" s="44">
        <f>Source!AW127</f>
        <v>1</v>
      </c>
      <c r="I133" s="45">
        <f>Source!P126</f>
        <v>605.54999999999995</v>
      </c>
      <c r="J133" s="44">
        <f>IF(Source!BC127&lt;&gt; 0, Source!BC127, 1)</f>
        <v>7.66</v>
      </c>
      <c r="K133" s="45">
        <f>Source!P127</f>
        <v>4638.51</v>
      </c>
      <c r="Q133">
        <f>Source!X126</f>
        <v>0</v>
      </c>
      <c r="R133">
        <f>Source!X127</f>
        <v>0</v>
      </c>
      <c r="S133">
        <f>Source!Y126</f>
        <v>0</v>
      </c>
      <c r="T133">
        <f>Source!Y127</f>
        <v>0</v>
      </c>
      <c r="U133">
        <f>ROUND((175/100)*ROUND(Source!R126, 2), 2)</f>
        <v>0</v>
      </c>
      <c r="V133">
        <f>ROUND((0/100)*ROUND(Source!R127, 2), 2)</f>
        <v>0</v>
      </c>
      <c r="AC133">
        <v>5</v>
      </c>
    </row>
    <row r="134" spans="1:29" ht="15" x14ac:dyDescent="0.2">
      <c r="A134" s="47"/>
      <c r="B134" s="47"/>
      <c r="C134" s="48" t="s">
        <v>414</v>
      </c>
      <c r="D134" s="47"/>
      <c r="E134" s="47"/>
      <c r="F134" s="47"/>
      <c r="G134" s="47"/>
      <c r="H134" s="69">
        <f>I133+0</f>
        <v>605.54999999999995</v>
      </c>
      <c r="I134" s="69"/>
      <c r="J134" s="69">
        <f>K133+0</f>
        <v>4638.51</v>
      </c>
      <c r="K134" s="69"/>
      <c r="O134" s="35">
        <f>I133+0</f>
        <v>605.54999999999995</v>
      </c>
      <c r="P134" s="35">
        <f>K133+0</f>
        <v>4638.51</v>
      </c>
    </row>
    <row r="136" spans="1:29" ht="68.25" x14ac:dyDescent="0.2">
      <c r="A136" s="42">
        <v>16</v>
      </c>
      <c r="B136" s="42" t="str">
        <f>Source!F128</f>
        <v>КА №6</v>
      </c>
      <c r="C136" s="42" t="s">
        <v>429</v>
      </c>
      <c r="D136" s="43" t="str">
        <f>Source!H128</f>
        <v>шт.</v>
      </c>
      <c r="E136" s="44">
        <f>Source!I128</f>
        <v>1</v>
      </c>
      <c r="F136" s="45">
        <f>Source!AL128</f>
        <v>514.26</v>
      </c>
      <c r="G136" s="46" t="str">
        <f>Source!DD128</f>
        <v/>
      </c>
      <c r="H136" s="44">
        <f>Source!AW129</f>
        <v>1</v>
      </c>
      <c r="I136" s="45">
        <f>Source!P128</f>
        <v>514.26</v>
      </c>
      <c r="J136" s="44">
        <f>IF(Source!BC129&lt;&gt; 0, Source!BC129, 1)</f>
        <v>7.66</v>
      </c>
      <c r="K136" s="45">
        <f>Source!P129</f>
        <v>3939.23</v>
      </c>
      <c r="Q136">
        <f>Source!X128</f>
        <v>0</v>
      </c>
      <c r="R136">
        <f>Source!X129</f>
        <v>0</v>
      </c>
      <c r="S136">
        <f>Source!Y128</f>
        <v>0</v>
      </c>
      <c r="T136">
        <f>Source!Y129</f>
        <v>0</v>
      </c>
      <c r="U136">
        <f>ROUND((175/100)*ROUND(Source!R128, 2), 2)</f>
        <v>0</v>
      </c>
      <c r="V136">
        <f>ROUND((0/100)*ROUND(Source!R129, 2), 2)</f>
        <v>0</v>
      </c>
      <c r="AC136">
        <v>5</v>
      </c>
    </row>
    <row r="137" spans="1:29" ht="15" x14ac:dyDescent="0.2">
      <c r="A137" s="47"/>
      <c r="B137" s="47"/>
      <c r="C137" s="48" t="s">
        <v>414</v>
      </c>
      <c r="D137" s="47"/>
      <c r="E137" s="47"/>
      <c r="F137" s="47"/>
      <c r="G137" s="47"/>
      <c r="H137" s="69">
        <f>I136+0</f>
        <v>514.26</v>
      </c>
      <c r="I137" s="69"/>
      <c r="J137" s="69">
        <f>K136+0</f>
        <v>3939.23</v>
      </c>
      <c r="K137" s="69"/>
      <c r="O137" s="35">
        <f>I136+0</f>
        <v>514.26</v>
      </c>
      <c r="P137" s="35">
        <f>K136+0</f>
        <v>3939.23</v>
      </c>
    </row>
    <row r="140" spans="1:29" ht="15" x14ac:dyDescent="0.25">
      <c r="A140" s="66" t="str">
        <f>CONCATENATE("Итого по разделу: ",IF(Source!G131&lt;&gt;"Новый раздел", Source!G131, ""))</f>
        <v>Итого по разделу: Оборудование, облагаемое НДС</v>
      </c>
      <c r="B140" s="66"/>
      <c r="C140" s="66"/>
      <c r="D140" s="66"/>
      <c r="E140" s="66"/>
      <c r="F140" s="66"/>
      <c r="G140" s="66"/>
      <c r="H140" s="64">
        <f>SUM(O120:O139)</f>
        <v>15190.529999999999</v>
      </c>
      <c r="I140" s="65"/>
      <c r="J140" s="64">
        <f>SUM(P120:P139)</f>
        <v>116359.45</v>
      </c>
      <c r="K140" s="65"/>
    </row>
    <row r="141" spans="1:29" hidden="1" x14ac:dyDescent="0.2">
      <c r="A141" t="s">
        <v>417</v>
      </c>
      <c r="I141">
        <f>SUM(W120:W140)</f>
        <v>0</v>
      </c>
      <c r="J141">
        <f>SUM(X120:X140)</f>
        <v>0</v>
      </c>
    </row>
    <row r="142" spans="1:29" hidden="1" x14ac:dyDescent="0.2">
      <c r="A142" t="s">
        <v>418</v>
      </c>
      <c r="I142">
        <f>SUM(Y120:Y141)</f>
        <v>0</v>
      </c>
      <c r="J142">
        <f>SUM(Z120:Z141)</f>
        <v>0</v>
      </c>
    </row>
    <row r="144" spans="1:29" ht="16.5" x14ac:dyDescent="0.2">
      <c r="A144" s="68" t="str">
        <f>CONCATENATE("Раздел: ",IF(Source!G161&lt;&gt;"Новый раздел", Source!G161, ""))</f>
        <v>Раздел: Информационно-тактильные знаки</v>
      </c>
      <c r="B144" s="68"/>
      <c r="C144" s="68"/>
      <c r="D144" s="68"/>
      <c r="E144" s="68"/>
      <c r="F144" s="68"/>
      <c r="G144" s="68"/>
      <c r="H144" s="68"/>
      <c r="I144" s="68"/>
      <c r="J144" s="68"/>
      <c r="K144" s="68"/>
    </row>
    <row r="145" spans="1:29" ht="71.25" x14ac:dyDescent="0.2">
      <c r="A145" s="22">
        <v>17</v>
      </c>
      <c r="B145" s="22" t="s">
        <v>430</v>
      </c>
      <c r="C145" s="22" t="s">
        <v>150</v>
      </c>
      <c r="D145" s="24" t="str">
        <f>Source!H165</f>
        <v>1  ШТ.</v>
      </c>
      <c r="E145" s="23">
        <f>Source!I165</f>
        <v>6</v>
      </c>
      <c r="F145" s="26"/>
      <c r="G145" s="25"/>
      <c r="H145" s="23"/>
      <c r="I145" s="26"/>
      <c r="J145" s="23"/>
      <c r="K145" s="26"/>
      <c r="Q145">
        <f>Source!X165</f>
        <v>53.99</v>
      </c>
      <c r="R145">
        <f>Source!X166</f>
        <v>2968.74</v>
      </c>
      <c r="S145">
        <f>Source!Y165</f>
        <v>34.06</v>
      </c>
      <c r="T145">
        <f>Source!Y166</f>
        <v>1873.13</v>
      </c>
      <c r="U145">
        <f>ROUND((175/100)*ROUND(Source!R165, 2), 2)</f>
        <v>0</v>
      </c>
      <c r="V145">
        <f>ROUND((0/100)*ROUND(Source!R166, 2), 2)</f>
        <v>0</v>
      </c>
      <c r="AC145">
        <v>0</v>
      </c>
    </row>
    <row r="146" spans="1:29" ht="28.5" x14ac:dyDescent="0.2">
      <c r="A146" s="22"/>
      <c r="B146" s="22"/>
      <c r="C146" s="22" t="s">
        <v>403</v>
      </c>
      <c r="D146" s="24"/>
      <c r="E146" s="23"/>
      <c r="F146" s="26">
        <f>Source!AO165</f>
        <v>7.79</v>
      </c>
      <c r="G146" s="25" t="str">
        <f>Source!DG165</f>
        <v>*1,15)*1,1</v>
      </c>
      <c r="H146" s="23">
        <f>Source!AV166</f>
        <v>1.087</v>
      </c>
      <c r="I146" s="26">
        <f>Source!S165</f>
        <v>64.27</v>
      </c>
      <c r="J146" s="23">
        <f>IF(Source!BA166&lt;&gt; 0, Source!BA166, 1)</f>
        <v>54.99</v>
      </c>
      <c r="K146" s="26">
        <f>Source!S166</f>
        <v>3534.21</v>
      </c>
    </row>
    <row r="147" spans="1:29" ht="14.25" x14ac:dyDescent="0.2">
      <c r="A147" s="22"/>
      <c r="B147" s="22"/>
      <c r="C147" s="22" t="s">
        <v>406</v>
      </c>
      <c r="D147" s="24"/>
      <c r="E147" s="23"/>
      <c r="F147" s="26">
        <f>Source!AL165</f>
        <v>0.5</v>
      </c>
      <c r="G147" s="25" t="str">
        <f>Source!DD165</f>
        <v/>
      </c>
      <c r="H147" s="23">
        <f>Source!AW166</f>
        <v>1</v>
      </c>
      <c r="I147" s="26">
        <f>Source!P165</f>
        <v>3</v>
      </c>
      <c r="J147" s="23">
        <f>IF(Source!BC166&lt;&gt; 0, Source!BC166, 1)</f>
        <v>15.9</v>
      </c>
      <c r="K147" s="26">
        <f>Source!P166</f>
        <v>47.7</v>
      </c>
    </row>
    <row r="148" spans="1:29" ht="57" x14ac:dyDescent="0.2">
      <c r="A148" s="22" t="s">
        <v>154</v>
      </c>
      <c r="B148" s="22" t="str">
        <f>Source!F167</f>
        <v>1.1-1-2638</v>
      </c>
      <c r="C148" s="22" t="s">
        <v>156</v>
      </c>
      <c r="D148" s="24" t="str">
        <f>Source!H167</f>
        <v>шт.</v>
      </c>
      <c r="E148" s="23">
        <f>Source!I167</f>
        <v>6</v>
      </c>
      <c r="F148" s="26">
        <f>Source!AK167</f>
        <v>156.96</v>
      </c>
      <c r="G148" s="51" t="s">
        <v>3</v>
      </c>
      <c r="H148" s="23">
        <f>Source!AW168</f>
        <v>1</v>
      </c>
      <c r="I148" s="26">
        <f>Source!O167</f>
        <v>941.76</v>
      </c>
      <c r="J148" s="23">
        <f>IF(Source!BC168&lt;&gt; 0, Source!BC168, 1)</f>
        <v>0.9</v>
      </c>
      <c r="K148" s="26">
        <f>Source!O168</f>
        <v>847.58</v>
      </c>
      <c r="Q148">
        <f>Source!X167</f>
        <v>0</v>
      </c>
      <c r="R148">
        <f>Source!X168</f>
        <v>0</v>
      </c>
      <c r="S148">
        <f>Source!Y167</f>
        <v>0</v>
      </c>
      <c r="T148">
        <f>Source!Y168</f>
        <v>0</v>
      </c>
      <c r="U148">
        <f>ROUND((175/100)*ROUND(Source!R167, 2), 2)</f>
        <v>0</v>
      </c>
      <c r="V148">
        <f>ROUND((0/100)*ROUND(Source!R168, 2), 2)</f>
        <v>0</v>
      </c>
      <c r="AC148">
        <v>3</v>
      </c>
    </row>
    <row r="149" spans="1:29" ht="14.25" x14ac:dyDescent="0.2">
      <c r="A149" s="22"/>
      <c r="B149" s="22"/>
      <c r="C149" s="22" t="s">
        <v>407</v>
      </c>
      <c r="D149" s="24" t="s">
        <v>408</v>
      </c>
      <c r="E149" s="23">
        <f>Source!BZ166</f>
        <v>84</v>
      </c>
      <c r="F149" s="26"/>
      <c r="G149" s="25"/>
      <c r="H149" s="23"/>
      <c r="I149" s="26">
        <f>SUM(Q145:Q148)</f>
        <v>53.99</v>
      </c>
      <c r="J149" s="23">
        <f>Source!AT166</f>
        <v>84</v>
      </c>
      <c r="K149" s="26">
        <f>SUM(R145:R148)</f>
        <v>2968.74</v>
      </c>
    </row>
    <row r="150" spans="1:29" ht="14.25" x14ac:dyDescent="0.2">
      <c r="A150" s="22"/>
      <c r="B150" s="22"/>
      <c r="C150" s="22" t="s">
        <v>409</v>
      </c>
      <c r="D150" s="24" t="s">
        <v>408</v>
      </c>
      <c r="E150" s="23">
        <f>Source!CA166</f>
        <v>53</v>
      </c>
      <c r="F150" s="26"/>
      <c r="G150" s="25"/>
      <c r="H150" s="23"/>
      <c r="I150" s="26">
        <f>SUM(S145:S149)</f>
        <v>34.06</v>
      </c>
      <c r="J150" s="23">
        <f>Source!AU166</f>
        <v>53</v>
      </c>
      <c r="K150" s="26">
        <f>SUM(T145:T149)</f>
        <v>1873.13</v>
      </c>
    </row>
    <row r="151" spans="1:29" ht="28.5" x14ac:dyDescent="0.2">
      <c r="A151" s="29"/>
      <c r="B151" s="29"/>
      <c r="C151" s="29" t="s">
        <v>410</v>
      </c>
      <c r="D151" s="30" t="s">
        <v>411</v>
      </c>
      <c r="E151" s="31">
        <f>Source!AQ165</f>
        <v>0.52</v>
      </c>
      <c r="F151" s="32"/>
      <c r="G151" s="33" t="str">
        <f>Source!DI165</f>
        <v>*1,15)*1,1</v>
      </c>
      <c r="H151" s="31">
        <f>Source!AV166</f>
        <v>1.087</v>
      </c>
      <c r="I151" s="32">
        <f>Source!U165</f>
        <v>4.2901715999999999</v>
      </c>
      <c r="J151" s="31"/>
      <c r="K151" s="32"/>
    </row>
    <row r="152" spans="1:29" ht="15" x14ac:dyDescent="0.2">
      <c r="C152" s="34" t="s">
        <v>412</v>
      </c>
      <c r="H152" s="67">
        <f>I146+I147+I149+I150+SUM(I148:I148)-SUMIF(AC148:AC148, 5, I148:I148)-SUMIF(AC148:AC148, 6, I148:I148)</f>
        <v>1097.08</v>
      </c>
      <c r="I152" s="67"/>
      <c r="J152" s="67">
        <f>K146+K147+K149+K150+SUM(K148:K148)-SUMIF(AC148:AC148, 5, K148:K148)-SUMIF(AC148:AC148, 6, K148:K148)</f>
        <v>9271.3599999999988</v>
      </c>
      <c r="K152" s="67"/>
    </row>
    <row r="153" spans="1:29" ht="15" hidden="1" x14ac:dyDescent="0.2">
      <c r="C153" s="34" t="s">
        <v>413</v>
      </c>
      <c r="H153" s="64">
        <f>SUMIF(AC148:AC148, 5, I148:I148)+SUMIF(AC148:AC148, 6, I148:I148)</f>
        <v>0</v>
      </c>
      <c r="I153" s="64"/>
      <c r="J153" s="64">
        <f>SUMIF(AC148:AC148, 5, K148:K148)+SUMIF(AC148:AC148, 6, K148:K148)</f>
        <v>0</v>
      </c>
      <c r="K153" s="64"/>
    </row>
    <row r="154" spans="1:29" ht="15" x14ac:dyDescent="0.2">
      <c r="C154" s="34" t="s">
        <v>414</v>
      </c>
      <c r="H154" s="64">
        <f>I146+I147+I149+I150+SUM(I148:I148)</f>
        <v>1097.08</v>
      </c>
      <c r="I154" s="64"/>
      <c r="J154" s="64">
        <f>K146+K147+K149+K150+SUM(K148:K148)</f>
        <v>9271.3599999999988</v>
      </c>
      <c r="K154" s="64"/>
      <c r="O154" s="35">
        <f>I146+I147+I149+I150+SUM(I148:I148)</f>
        <v>1097.08</v>
      </c>
      <c r="P154" s="35">
        <f>K146+K147+K149+K150+SUM(K148:K148)</f>
        <v>9271.3599999999988</v>
      </c>
    </row>
    <row r="156" spans="1:29" ht="52.5" x14ac:dyDescent="0.2">
      <c r="A156" s="22">
        <v>18</v>
      </c>
      <c r="B156" s="22" t="s">
        <v>430</v>
      </c>
      <c r="C156" s="22" t="s">
        <v>159</v>
      </c>
      <c r="D156" s="24" t="str">
        <f>Source!H169</f>
        <v>1  ШТ.</v>
      </c>
      <c r="E156" s="23">
        <f>Source!I169</f>
        <v>6</v>
      </c>
      <c r="F156" s="26"/>
      <c r="G156" s="25"/>
      <c r="H156" s="23"/>
      <c r="I156" s="26"/>
      <c r="J156" s="23"/>
      <c r="K156" s="26"/>
      <c r="Q156">
        <f>Source!X169</f>
        <v>53.99</v>
      </c>
      <c r="R156">
        <f>Source!X170</f>
        <v>2968.74</v>
      </c>
      <c r="S156">
        <f>Source!Y169</f>
        <v>34.06</v>
      </c>
      <c r="T156">
        <f>Source!Y170</f>
        <v>1873.13</v>
      </c>
      <c r="U156">
        <f>ROUND((175/100)*ROUND(Source!R169, 2), 2)</f>
        <v>0</v>
      </c>
      <c r="V156">
        <f>ROUND((0/100)*ROUND(Source!R170, 2), 2)</f>
        <v>0</v>
      </c>
      <c r="AC156">
        <v>0</v>
      </c>
    </row>
    <row r="157" spans="1:29" ht="28.5" x14ac:dyDescent="0.2">
      <c r="A157" s="22"/>
      <c r="B157" s="22"/>
      <c r="C157" s="22" t="s">
        <v>403</v>
      </c>
      <c r="D157" s="24"/>
      <c r="E157" s="23"/>
      <c r="F157" s="26">
        <f>Source!AO169</f>
        <v>7.79</v>
      </c>
      <c r="G157" s="25" t="str">
        <f>Source!DG169</f>
        <v>*1,15)*1,1</v>
      </c>
      <c r="H157" s="23">
        <f>Source!AV170</f>
        <v>1.087</v>
      </c>
      <c r="I157" s="26">
        <f>Source!S169</f>
        <v>64.27</v>
      </c>
      <c r="J157" s="23">
        <f>IF(Source!BA170&lt;&gt; 0, Source!BA170, 1)</f>
        <v>54.99</v>
      </c>
      <c r="K157" s="26">
        <f>Source!S170</f>
        <v>3534.21</v>
      </c>
    </row>
    <row r="158" spans="1:29" ht="14.25" x14ac:dyDescent="0.2">
      <c r="A158" s="22"/>
      <c r="B158" s="22"/>
      <c r="C158" s="22" t="s">
        <v>406</v>
      </c>
      <c r="D158" s="24"/>
      <c r="E158" s="23"/>
      <c r="F158" s="26">
        <f>Source!AL169</f>
        <v>0.5</v>
      </c>
      <c r="G158" s="25" t="str">
        <f>Source!DD169</f>
        <v/>
      </c>
      <c r="H158" s="23">
        <f>Source!AW170</f>
        <v>1</v>
      </c>
      <c r="I158" s="26">
        <f>Source!P169</f>
        <v>3</v>
      </c>
      <c r="J158" s="23">
        <f>IF(Source!BC170&lt;&gt; 0, Source!BC170, 1)</f>
        <v>15.9</v>
      </c>
      <c r="K158" s="26">
        <f>Source!P170</f>
        <v>47.7</v>
      </c>
    </row>
    <row r="159" spans="1:29" ht="57" x14ac:dyDescent="0.2">
      <c r="A159" s="22" t="s">
        <v>160</v>
      </c>
      <c r="B159" s="22" t="str">
        <f>Source!F171</f>
        <v>1.1-1-2638</v>
      </c>
      <c r="C159" s="22" t="s">
        <v>156</v>
      </c>
      <c r="D159" s="24" t="str">
        <f>Source!H171</f>
        <v>шт.</v>
      </c>
      <c r="E159" s="23">
        <f>Source!I171</f>
        <v>6</v>
      </c>
      <c r="F159" s="26">
        <f>Source!AK171</f>
        <v>156.96</v>
      </c>
      <c r="G159" s="51" t="s">
        <v>3</v>
      </c>
      <c r="H159" s="23">
        <f>Source!AW172</f>
        <v>1</v>
      </c>
      <c r="I159" s="26">
        <f>Source!O171</f>
        <v>941.76</v>
      </c>
      <c r="J159" s="23">
        <f>IF(Source!BC172&lt;&gt; 0, Source!BC172, 1)</f>
        <v>0.9</v>
      </c>
      <c r="K159" s="26">
        <f>Source!O172</f>
        <v>847.58</v>
      </c>
      <c r="Q159">
        <f>Source!X171</f>
        <v>0</v>
      </c>
      <c r="R159">
        <f>Source!X172</f>
        <v>0</v>
      </c>
      <c r="S159">
        <f>Source!Y171</f>
        <v>0</v>
      </c>
      <c r="T159">
        <f>Source!Y172</f>
        <v>0</v>
      </c>
      <c r="U159">
        <f>ROUND((175/100)*ROUND(Source!R171, 2), 2)</f>
        <v>0</v>
      </c>
      <c r="V159">
        <f>ROUND((0/100)*ROUND(Source!R172, 2), 2)</f>
        <v>0</v>
      </c>
      <c r="AC159">
        <v>3</v>
      </c>
    </row>
    <row r="160" spans="1:29" ht="14.25" x14ac:dyDescent="0.2">
      <c r="A160" s="22"/>
      <c r="B160" s="22"/>
      <c r="C160" s="22" t="s">
        <v>407</v>
      </c>
      <c r="D160" s="24" t="s">
        <v>408</v>
      </c>
      <c r="E160" s="23">
        <f>Source!BZ170</f>
        <v>84</v>
      </c>
      <c r="F160" s="26"/>
      <c r="G160" s="25"/>
      <c r="H160" s="23"/>
      <c r="I160" s="26">
        <f>SUM(Q156:Q159)</f>
        <v>53.99</v>
      </c>
      <c r="J160" s="23">
        <f>Source!AT170</f>
        <v>84</v>
      </c>
      <c r="K160" s="26">
        <f>SUM(R156:R159)</f>
        <v>2968.74</v>
      </c>
    </row>
    <row r="161" spans="1:29" ht="14.25" x14ac:dyDescent="0.2">
      <c r="A161" s="22"/>
      <c r="B161" s="22"/>
      <c r="C161" s="22" t="s">
        <v>409</v>
      </c>
      <c r="D161" s="24" t="s">
        <v>408</v>
      </c>
      <c r="E161" s="23">
        <f>Source!CA170</f>
        <v>53</v>
      </c>
      <c r="F161" s="26"/>
      <c r="G161" s="25"/>
      <c r="H161" s="23"/>
      <c r="I161" s="26">
        <f>SUM(S156:S160)</f>
        <v>34.06</v>
      </c>
      <c r="J161" s="23">
        <f>Source!AU170</f>
        <v>53</v>
      </c>
      <c r="K161" s="26">
        <f>SUM(T156:T160)</f>
        <v>1873.13</v>
      </c>
    </row>
    <row r="162" spans="1:29" ht="28.5" x14ac:dyDescent="0.2">
      <c r="A162" s="29"/>
      <c r="B162" s="29"/>
      <c r="C162" s="29" t="s">
        <v>410</v>
      </c>
      <c r="D162" s="30" t="s">
        <v>411</v>
      </c>
      <c r="E162" s="31">
        <f>Source!AQ169</f>
        <v>0.52</v>
      </c>
      <c r="F162" s="32"/>
      <c r="G162" s="33" t="str">
        <f>Source!DI169</f>
        <v>*1,15)*1,1</v>
      </c>
      <c r="H162" s="31">
        <f>Source!AV170</f>
        <v>1.087</v>
      </c>
      <c r="I162" s="32">
        <f>Source!U169</f>
        <v>4.2901715999999999</v>
      </c>
      <c r="J162" s="31"/>
      <c r="K162" s="32"/>
    </row>
    <row r="163" spans="1:29" ht="15" x14ac:dyDescent="0.2">
      <c r="C163" s="34" t="s">
        <v>412</v>
      </c>
      <c r="H163" s="67">
        <f>I157+I158+I160+I161+SUM(I159:I159)-SUMIF(AC159:AC159, 5, I159:I159)-SUMIF(AC159:AC159, 6, I159:I159)</f>
        <v>1097.08</v>
      </c>
      <c r="I163" s="67"/>
      <c r="J163" s="67">
        <f>K157+K158+K160+K161+SUM(K159:K159)-SUMIF(AC159:AC159, 5, K159:K159)-SUMIF(AC159:AC159, 6, K159:K159)</f>
        <v>9271.3599999999988</v>
      </c>
      <c r="K163" s="67"/>
    </row>
    <row r="164" spans="1:29" ht="15" hidden="1" x14ac:dyDescent="0.2">
      <c r="C164" s="34" t="s">
        <v>413</v>
      </c>
      <c r="H164" s="64">
        <f>SUMIF(AC159:AC159, 5, I159:I159)+SUMIF(AC159:AC159, 6, I159:I159)</f>
        <v>0</v>
      </c>
      <c r="I164" s="64"/>
      <c r="J164" s="64">
        <f>SUMIF(AC159:AC159, 5, K159:K159)+SUMIF(AC159:AC159, 6, K159:K159)</f>
        <v>0</v>
      </c>
      <c r="K164" s="64"/>
    </row>
    <row r="165" spans="1:29" ht="15" x14ac:dyDescent="0.2">
      <c r="C165" s="34" t="s">
        <v>414</v>
      </c>
      <c r="H165" s="64">
        <f>I157+I158+I160+I161+SUM(I159:I159)</f>
        <v>1097.08</v>
      </c>
      <c r="I165" s="64"/>
      <c r="J165" s="64">
        <f>K157+K158+K160+K161+SUM(K159:K159)</f>
        <v>9271.3599999999988</v>
      </c>
      <c r="K165" s="64"/>
      <c r="O165" s="35">
        <f>I157+I158+I160+I161+SUM(I159:I159)</f>
        <v>1097.08</v>
      </c>
      <c r="P165" s="35">
        <f>K157+K158+K160+K161+SUM(K159:K159)</f>
        <v>9271.3599999999988</v>
      </c>
    </row>
    <row r="167" spans="1:29" ht="99.75" x14ac:dyDescent="0.2">
      <c r="A167" s="22">
        <v>19</v>
      </c>
      <c r="B167" s="22" t="s">
        <v>430</v>
      </c>
      <c r="C167" s="22" t="s">
        <v>162</v>
      </c>
      <c r="D167" s="24" t="str">
        <f>Source!H173</f>
        <v>1  ШТ.</v>
      </c>
      <c r="E167" s="23">
        <f>Source!I173</f>
        <v>4</v>
      </c>
      <c r="F167" s="26"/>
      <c r="G167" s="25"/>
      <c r="H167" s="23"/>
      <c r="I167" s="26"/>
      <c r="J167" s="23"/>
      <c r="K167" s="26"/>
      <c r="Q167">
        <f>Source!X173</f>
        <v>35.99</v>
      </c>
      <c r="R167">
        <f>Source!X174</f>
        <v>1979.31</v>
      </c>
      <c r="S167">
        <f>Source!Y173</f>
        <v>22.71</v>
      </c>
      <c r="T167">
        <f>Source!Y174</f>
        <v>1248.8499999999999</v>
      </c>
      <c r="U167">
        <f>ROUND((175/100)*ROUND(Source!R173, 2), 2)</f>
        <v>0</v>
      </c>
      <c r="V167">
        <f>ROUND((0/100)*ROUND(Source!R174, 2), 2)</f>
        <v>0</v>
      </c>
      <c r="AC167">
        <v>0</v>
      </c>
    </row>
    <row r="168" spans="1:29" ht="28.5" x14ac:dyDescent="0.2">
      <c r="A168" s="22"/>
      <c r="B168" s="22"/>
      <c r="C168" s="22" t="s">
        <v>403</v>
      </c>
      <c r="D168" s="24"/>
      <c r="E168" s="23"/>
      <c r="F168" s="26">
        <f>Source!AO173</f>
        <v>7.79</v>
      </c>
      <c r="G168" s="25" t="str">
        <f>Source!DG173</f>
        <v>*1,15)*1,1</v>
      </c>
      <c r="H168" s="23">
        <f>Source!AV174</f>
        <v>1.087</v>
      </c>
      <c r="I168" s="26">
        <f>Source!S173</f>
        <v>42.85</v>
      </c>
      <c r="J168" s="23">
        <f>IF(Source!BA174&lt;&gt; 0, Source!BA174, 1)</f>
        <v>54.99</v>
      </c>
      <c r="K168" s="26">
        <f>Source!S174</f>
        <v>2356.3200000000002</v>
      </c>
    </row>
    <row r="169" spans="1:29" ht="14.25" x14ac:dyDescent="0.2">
      <c r="A169" s="22"/>
      <c r="B169" s="22"/>
      <c r="C169" s="22" t="s">
        <v>406</v>
      </c>
      <c r="D169" s="24"/>
      <c r="E169" s="23"/>
      <c r="F169" s="26">
        <f>Source!AL173</f>
        <v>0.5</v>
      </c>
      <c r="G169" s="25" t="str">
        <f>Source!DD173</f>
        <v/>
      </c>
      <c r="H169" s="23">
        <f>Source!AW174</f>
        <v>1</v>
      </c>
      <c r="I169" s="26">
        <f>Source!P173</f>
        <v>2</v>
      </c>
      <c r="J169" s="23">
        <f>IF(Source!BC174&lt;&gt; 0, Source!BC174, 1)</f>
        <v>15.9</v>
      </c>
      <c r="K169" s="26">
        <f>Source!P174</f>
        <v>31.8</v>
      </c>
    </row>
    <row r="170" spans="1:29" ht="57" x14ac:dyDescent="0.2">
      <c r="A170" s="22" t="s">
        <v>163</v>
      </c>
      <c r="B170" s="22" t="str">
        <f>Source!F175</f>
        <v>1.1-1-2638</v>
      </c>
      <c r="C170" s="22" t="s">
        <v>156</v>
      </c>
      <c r="D170" s="24" t="str">
        <f>Source!H175</f>
        <v>шт.</v>
      </c>
      <c r="E170" s="23">
        <f>Source!I175</f>
        <v>4</v>
      </c>
      <c r="F170" s="26">
        <f>Source!AK175</f>
        <v>156.96</v>
      </c>
      <c r="G170" s="51" t="s">
        <v>3</v>
      </c>
      <c r="H170" s="23">
        <f>Source!AW176</f>
        <v>1</v>
      </c>
      <c r="I170" s="26">
        <f>Source!O175</f>
        <v>627.84</v>
      </c>
      <c r="J170" s="23">
        <f>IF(Source!BC176&lt;&gt; 0, Source!BC176, 1)</f>
        <v>0.9</v>
      </c>
      <c r="K170" s="26">
        <f>Source!O176</f>
        <v>565.05999999999995</v>
      </c>
      <c r="Q170">
        <f>Source!X175</f>
        <v>0</v>
      </c>
      <c r="R170">
        <f>Source!X176</f>
        <v>0</v>
      </c>
      <c r="S170">
        <f>Source!Y175</f>
        <v>0</v>
      </c>
      <c r="T170">
        <f>Source!Y176</f>
        <v>0</v>
      </c>
      <c r="U170">
        <f>ROUND((175/100)*ROUND(Source!R175, 2), 2)</f>
        <v>0</v>
      </c>
      <c r="V170">
        <f>ROUND((0/100)*ROUND(Source!R176, 2), 2)</f>
        <v>0</v>
      </c>
      <c r="AC170">
        <v>3</v>
      </c>
    </row>
    <row r="171" spans="1:29" ht="14.25" x14ac:dyDescent="0.2">
      <c r="A171" s="22"/>
      <c r="B171" s="22"/>
      <c r="C171" s="22" t="s">
        <v>407</v>
      </c>
      <c r="D171" s="24" t="s">
        <v>408</v>
      </c>
      <c r="E171" s="23">
        <f>Source!BZ174</f>
        <v>84</v>
      </c>
      <c r="F171" s="26"/>
      <c r="G171" s="25"/>
      <c r="H171" s="23"/>
      <c r="I171" s="26">
        <f>SUM(Q167:Q170)</f>
        <v>35.99</v>
      </c>
      <c r="J171" s="23">
        <f>Source!AT174</f>
        <v>84</v>
      </c>
      <c r="K171" s="26">
        <f>SUM(R167:R170)</f>
        <v>1979.31</v>
      </c>
    </row>
    <row r="172" spans="1:29" ht="14.25" x14ac:dyDescent="0.2">
      <c r="A172" s="22"/>
      <c r="B172" s="22"/>
      <c r="C172" s="22" t="s">
        <v>409</v>
      </c>
      <c r="D172" s="24" t="s">
        <v>408</v>
      </c>
      <c r="E172" s="23">
        <f>Source!CA174</f>
        <v>53</v>
      </c>
      <c r="F172" s="26"/>
      <c r="G172" s="25"/>
      <c r="H172" s="23"/>
      <c r="I172" s="26">
        <f>SUM(S167:S171)</f>
        <v>22.71</v>
      </c>
      <c r="J172" s="23">
        <f>Source!AU174</f>
        <v>53</v>
      </c>
      <c r="K172" s="26">
        <f>SUM(T167:T171)</f>
        <v>1248.8499999999999</v>
      </c>
    </row>
    <row r="173" spans="1:29" ht="28.5" x14ac:dyDescent="0.2">
      <c r="A173" s="29"/>
      <c r="B173" s="29"/>
      <c r="C173" s="29" t="s">
        <v>410</v>
      </c>
      <c r="D173" s="30" t="s">
        <v>411</v>
      </c>
      <c r="E173" s="31">
        <f>Source!AQ173</f>
        <v>0.52</v>
      </c>
      <c r="F173" s="32"/>
      <c r="G173" s="33" t="str">
        <f>Source!DI173</f>
        <v>*1,15)*1,1</v>
      </c>
      <c r="H173" s="31">
        <f>Source!AV174</f>
        <v>1.087</v>
      </c>
      <c r="I173" s="32">
        <f>Source!U173</f>
        <v>2.8601144000000001</v>
      </c>
      <c r="J173" s="31"/>
      <c r="K173" s="32"/>
    </row>
    <row r="174" spans="1:29" ht="15" x14ac:dyDescent="0.2">
      <c r="C174" s="34" t="s">
        <v>412</v>
      </c>
      <c r="H174" s="67">
        <f>I168+I169+I171+I172+SUM(I170:I170)-SUMIF(AC170:AC170, 5, I170:I170)-SUMIF(AC170:AC170, 6, I170:I170)</f>
        <v>731.3900000000001</v>
      </c>
      <c r="I174" s="67"/>
      <c r="J174" s="67">
        <f>K168+K169+K171+K172+SUM(K170:K170)-SUMIF(AC170:AC170, 5, K170:K170)-SUMIF(AC170:AC170, 6, K170:K170)</f>
        <v>6181.34</v>
      </c>
      <c r="K174" s="67"/>
    </row>
    <row r="175" spans="1:29" ht="15" hidden="1" x14ac:dyDescent="0.2">
      <c r="C175" s="34" t="s">
        <v>413</v>
      </c>
      <c r="H175" s="64">
        <f>SUMIF(AC170:AC170, 5, I170:I170)+SUMIF(AC170:AC170, 6, I170:I170)</f>
        <v>0</v>
      </c>
      <c r="I175" s="64"/>
      <c r="J175" s="64">
        <f>SUMIF(AC170:AC170, 5, K170:K170)+SUMIF(AC170:AC170, 6, K170:K170)</f>
        <v>0</v>
      </c>
      <c r="K175" s="64"/>
    </row>
    <row r="176" spans="1:29" ht="15" x14ac:dyDescent="0.2">
      <c r="C176" s="34" t="s">
        <v>414</v>
      </c>
      <c r="H176" s="64">
        <f>I168+I169+I171+I172+SUM(I170:I170)</f>
        <v>731.3900000000001</v>
      </c>
      <c r="I176" s="64"/>
      <c r="J176" s="64">
        <f>K168+K169+K171+K172+SUM(K170:K170)</f>
        <v>6181.34</v>
      </c>
      <c r="K176" s="64"/>
      <c r="O176" s="35">
        <f>I168+I169+I171+I172+SUM(I170:I170)</f>
        <v>731.3900000000001</v>
      </c>
      <c r="P176" s="35">
        <f>K168+K169+K171+K172+SUM(K170:K170)</f>
        <v>6181.34</v>
      </c>
    </row>
    <row r="178" spans="1:29" ht="52.5" x14ac:dyDescent="0.2">
      <c r="A178" s="22">
        <v>20</v>
      </c>
      <c r="B178" s="22" t="s">
        <v>430</v>
      </c>
      <c r="C178" s="22" t="s">
        <v>165</v>
      </c>
      <c r="D178" s="24" t="str">
        <f>Source!H177</f>
        <v>1  ШТ.</v>
      </c>
      <c r="E178" s="23">
        <f>Source!I177</f>
        <v>21</v>
      </c>
      <c r="F178" s="26"/>
      <c r="G178" s="25"/>
      <c r="H178" s="23"/>
      <c r="I178" s="26"/>
      <c r="J178" s="23"/>
      <c r="K178" s="26"/>
      <c r="Q178">
        <f>Source!X177</f>
        <v>188.96</v>
      </c>
      <c r="R178">
        <f>Source!X178</f>
        <v>10390.799999999999</v>
      </c>
      <c r="S178">
        <f>Source!Y177</f>
        <v>119.22</v>
      </c>
      <c r="T178">
        <f>Source!Y178</f>
        <v>6556.1</v>
      </c>
      <c r="U178">
        <f>ROUND((175/100)*ROUND(Source!R177, 2), 2)</f>
        <v>0</v>
      </c>
      <c r="V178">
        <f>ROUND((0/100)*ROUND(Source!R178, 2), 2)</f>
        <v>0</v>
      </c>
      <c r="AC178">
        <v>0</v>
      </c>
    </row>
    <row r="179" spans="1:29" ht="28.5" x14ac:dyDescent="0.2">
      <c r="A179" s="22"/>
      <c r="B179" s="22"/>
      <c r="C179" s="22" t="s">
        <v>403</v>
      </c>
      <c r="D179" s="24"/>
      <c r="E179" s="23"/>
      <c r="F179" s="26">
        <f>Source!AO177</f>
        <v>7.79</v>
      </c>
      <c r="G179" s="25" t="str">
        <f>Source!DG177</f>
        <v>*1,15)*1,1</v>
      </c>
      <c r="H179" s="23">
        <f>Source!AV178</f>
        <v>1.087</v>
      </c>
      <c r="I179" s="26">
        <f>Source!S177</f>
        <v>224.95</v>
      </c>
      <c r="J179" s="23">
        <f>IF(Source!BA178&lt;&gt; 0, Source!BA178, 1)</f>
        <v>54.99</v>
      </c>
      <c r="K179" s="26">
        <f>Source!S178</f>
        <v>12370</v>
      </c>
    </row>
    <row r="180" spans="1:29" ht="14.25" x14ac:dyDescent="0.2">
      <c r="A180" s="22"/>
      <c r="B180" s="22"/>
      <c r="C180" s="22" t="s">
        <v>406</v>
      </c>
      <c r="D180" s="24"/>
      <c r="E180" s="23"/>
      <c r="F180" s="26">
        <f>Source!AL177</f>
        <v>0.5</v>
      </c>
      <c r="G180" s="25" t="str">
        <f>Source!DD177</f>
        <v/>
      </c>
      <c r="H180" s="23">
        <f>Source!AW178</f>
        <v>1</v>
      </c>
      <c r="I180" s="26">
        <f>Source!P177</f>
        <v>10.5</v>
      </c>
      <c r="J180" s="23">
        <f>IF(Source!BC178&lt;&gt; 0, Source!BC178, 1)</f>
        <v>15.9</v>
      </c>
      <c r="K180" s="26">
        <f>Source!P178</f>
        <v>166.95</v>
      </c>
    </row>
    <row r="181" spans="1:29" ht="57" x14ac:dyDescent="0.2">
      <c r="A181" s="22" t="s">
        <v>166</v>
      </c>
      <c r="B181" s="22" t="str">
        <f>Source!F179</f>
        <v>1.1-1-2638</v>
      </c>
      <c r="C181" s="22" t="s">
        <v>156</v>
      </c>
      <c r="D181" s="24" t="str">
        <f>Source!H179</f>
        <v>шт.</v>
      </c>
      <c r="E181" s="23">
        <f>Source!I179</f>
        <v>21</v>
      </c>
      <c r="F181" s="26">
        <f>Source!AK179</f>
        <v>156.96</v>
      </c>
      <c r="G181" s="51" t="s">
        <v>3</v>
      </c>
      <c r="H181" s="23">
        <f>Source!AW180</f>
        <v>1</v>
      </c>
      <c r="I181" s="26">
        <f>Source!O179</f>
        <v>3296.16</v>
      </c>
      <c r="J181" s="23">
        <f>IF(Source!BC180&lt;&gt; 0, Source!BC180, 1)</f>
        <v>0.9</v>
      </c>
      <c r="K181" s="26">
        <f>Source!O180</f>
        <v>2966.54</v>
      </c>
      <c r="Q181">
        <f>Source!X179</f>
        <v>0</v>
      </c>
      <c r="R181">
        <f>Source!X180</f>
        <v>0</v>
      </c>
      <c r="S181">
        <f>Source!Y179</f>
        <v>0</v>
      </c>
      <c r="T181">
        <f>Source!Y180</f>
        <v>0</v>
      </c>
      <c r="U181">
        <f>ROUND((175/100)*ROUND(Source!R179, 2), 2)</f>
        <v>0</v>
      </c>
      <c r="V181">
        <f>ROUND((0/100)*ROUND(Source!R180, 2), 2)</f>
        <v>0</v>
      </c>
      <c r="AC181">
        <v>3</v>
      </c>
    </row>
    <row r="182" spans="1:29" ht="14.25" x14ac:dyDescent="0.2">
      <c r="A182" s="22"/>
      <c r="B182" s="22"/>
      <c r="C182" s="22" t="s">
        <v>407</v>
      </c>
      <c r="D182" s="24" t="s">
        <v>408</v>
      </c>
      <c r="E182" s="23">
        <f>Source!BZ178</f>
        <v>84</v>
      </c>
      <c r="F182" s="26"/>
      <c r="G182" s="25"/>
      <c r="H182" s="23"/>
      <c r="I182" s="26">
        <f>SUM(Q178:Q181)</f>
        <v>188.96</v>
      </c>
      <c r="J182" s="23">
        <f>Source!AT178</f>
        <v>84</v>
      </c>
      <c r="K182" s="26">
        <f>SUM(R178:R181)</f>
        <v>10390.799999999999</v>
      </c>
    </row>
    <row r="183" spans="1:29" ht="14.25" x14ac:dyDescent="0.2">
      <c r="A183" s="22"/>
      <c r="B183" s="22"/>
      <c r="C183" s="22" t="s">
        <v>409</v>
      </c>
      <c r="D183" s="24" t="s">
        <v>408</v>
      </c>
      <c r="E183" s="23">
        <f>Source!CA178</f>
        <v>53</v>
      </c>
      <c r="F183" s="26"/>
      <c r="G183" s="25"/>
      <c r="H183" s="23"/>
      <c r="I183" s="26">
        <f>SUM(S178:S182)</f>
        <v>119.22</v>
      </c>
      <c r="J183" s="23">
        <f>Source!AU178</f>
        <v>53</v>
      </c>
      <c r="K183" s="26">
        <f>SUM(T178:T182)</f>
        <v>6556.1</v>
      </c>
    </row>
    <row r="184" spans="1:29" ht="28.5" x14ac:dyDescent="0.2">
      <c r="A184" s="29"/>
      <c r="B184" s="29"/>
      <c r="C184" s="29" t="s">
        <v>410</v>
      </c>
      <c r="D184" s="30" t="s">
        <v>411</v>
      </c>
      <c r="E184" s="31">
        <f>Source!AQ177</f>
        <v>0.52</v>
      </c>
      <c r="F184" s="32"/>
      <c r="G184" s="33" t="str">
        <f>Source!DI177</f>
        <v>*1,15)*1,1</v>
      </c>
      <c r="H184" s="31">
        <f>Source!AV178</f>
        <v>1.087</v>
      </c>
      <c r="I184" s="32">
        <f>Source!U177</f>
        <v>15.015600600000001</v>
      </c>
      <c r="J184" s="31"/>
      <c r="K184" s="32"/>
    </row>
    <row r="185" spans="1:29" ht="15" x14ac:dyDescent="0.2">
      <c r="C185" s="34" t="s">
        <v>412</v>
      </c>
      <c r="H185" s="67">
        <f>I179+I180+I182+I183+SUM(I181:I181)-SUMIF(AC181:AC181, 5, I181:I181)-SUMIF(AC181:AC181, 6, I181:I181)</f>
        <v>3839.79</v>
      </c>
      <c r="I185" s="67"/>
      <c r="J185" s="67">
        <f>K179+K180+K182+K183+SUM(K181:K181)-SUMIF(AC181:AC181, 5, K181:K181)-SUMIF(AC181:AC181, 6, K181:K181)</f>
        <v>32450.39</v>
      </c>
      <c r="K185" s="67"/>
    </row>
    <row r="186" spans="1:29" ht="15" hidden="1" x14ac:dyDescent="0.2">
      <c r="C186" s="34" t="s">
        <v>413</v>
      </c>
      <c r="H186" s="64">
        <f>SUMIF(AC181:AC181, 5, I181:I181)+SUMIF(AC181:AC181, 6, I181:I181)</f>
        <v>0</v>
      </c>
      <c r="I186" s="64"/>
      <c r="J186" s="64">
        <f>SUMIF(AC181:AC181, 5, K181:K181)+SUMIF(AC181:AC181, 6, K181:K181)</f>
        <v>0</v>
      </c>
      <c r="K186" s="64"/>
    </row>
    <row r="187" spans="1:29" ht="15" x14ac:dyDescent="0.2">
      <c r="C187" s="34" t="s">
        <v>414</v>
      </c>
      <c r="H187" s="64">
        <f>I179+I180+I182+I183+SUM(I181:I181)</f>
        <v>3839.79</v>
      </c>
      <c r="I187" s="64"/>
      <c r="J187" s="64">
        <f>K179+K180+K182+K183+SUM(K181:K181)</f>
        <v>32450.39</v>
      </c>
      <c r="K187" s="64"/>
      <c r="O187" s="35">
        <f>I179+I180+I182+I183+SUM(I181:I181)</f>
        <v>3839.79</v>
      </c>
      <c r="P187" s="35">
        <f>K179+K180+K182+K183+SUM(K181:K181)</f>
        <v>32450.39</v>
      </c>
    </row>
    <row r="189" spans="1:29" ht="52.5" x14ac:dyDescent="0.2">
      <c r="A189" s="22">
        <v>21</v>
      </c>
      <c r="B189" s="22" t="s">
        <v>430</v>
      </c>
      <c r="C189" s="22" t="s">
        <v>168</v>
      </c>
      <c r="D189" s="24" t="str">
        <f>Source!H181</f>
        <v>1  ШТ.</v>
      </c>
      <c r="E189" s="23">
        <f>Source!I181</f>
        <v>4</v>
      </c>
      <c r="F189" s="26"/>
      <c r="G189" s="25"/>
      <c r="H189" s="23"/>
      <c r="I189" s="26"/>
      <c r="J189" s="23"/>
      <c r="K189" s="26"/>
      <c r="Q189">
        <f>Source!X181</f>
        <v>35.99</v>
      </c>
      <c r="R189">
        <f>Source!X182</f>
        <v>1979.31</v>
      </c>
      <c r="S189">
        <f>Source!Y181</f>
        <v>22.71</v>
      </c>
      <c r="T189">
        <f>Source!Y182</f>
        <v>1248.8499999999999</v>
      </c>
      <c r="U189">
        <f>ROUND((175/100)*ROUND(Source!R181, 2), 2)</f>
        <v>0</v>
      </c>
      <c r="V189">
        <f>ROUND((0/100)*ROUND(Source!R182, 2), 2)</f>
        <v>0</v>
      </c>
      <c r="AC189">
        <v>0</v>
      </c>
    </row>
    <row r="190" spans="1:29" ht="28.5" x14ac:dyDescent="0.2">
      <c r="A190" s="22"/>
      <c r="B190" s="22"/>
      <c r="C190" s="22" t="s">
        <v>403</v>
      </c>
      <c r="D190" s="24"/>
      <c r="E190" s="23"/>
      <c r="F190" s="26">
        <f>Source!AO181</f>
        <v>7.79</v>
      </c>
      <c r="G190" s="25" t="str">
        <f>Source!DG181</f>
        <v>*1,15)*1,1</v>
      </c>
      <c r="H190" s="23">
        <f>Source!AV182</f>
        <v>1.087</v>
      </c>
      <c r="I190" s="26">
        <f>Source!S181</f>
        <v>42.85</v>
      </c>
      <c r="J190" s="23">
        <f>IF(Source!BA182&lt;&gt; 0, Source!BA182, 1)</f>
        <v>54.99</v>
      </c>
      <c r="K190" s="26">
        <f>Source!S182</f>
        <v>2356.3200000000002</v>
      </c>
    </row>
    <row r="191" spans="1:29" ht="14.25" x14ac:dyDescent="0.2">
      <c r="A191" s="22"/>
      <c r="B191" s="22"/>
      <c r="C191" s="22" t="s">
        <v>406</v>
      </c>
      <c r="D191" s="24"/>
      <c r="E191" s="23"/>
      <c r="F191" s="26">
        <f>Source!AL181</f>
        <v>0.5</v>
      </c>
      <c r="G191" s="25" t="str">
        <f>Source!DD181</f>
        <v/>
      </c>
      <c r="H191" s="23">
        <f>Source!AW182</f>
        <v>1</v>
      </c>
      <c r="I191" s="26">
        <f>Source!P181</f>
        <v>2</v>
      </c>
      <c r="J191" s="23">
        <f>IF(Source!BC182&lt;&gt; 0, Source!BC182, 1)</f>
        <v>15.9</v>
      </c>
      <c r="K191" s="26">
        <f>Source!P182</f>
        <v>31.8</v>
      </c>
    </row>
    <row r="192" spans="1:29" ht="55.5" x14ac:dyDescent="0.2">
      <c r="A192" s="22" t="s">
        <v>169</v>
      </c>
      <c r="B192" s="22" t="str">
        <f>Source!F183</f>
        <v>КА №7</v>
      </c>
      <c r="C192" s="22" t="s">
        <v>431</v>
      </c>
      <c r="D192" s="24" t="str">
        <f>Source!H183</f>
        <v>шт.</v>
      </c>
      <c r="E192" s="23">
        <f>Source!I183</f>
        <v>4</v>
      </c>
      <c r="F192" s="26">
        <f>Source!AK183</f>
        <v>53.86</v>
      </c>
      <c r="G192" s="51" t="s">
        <v>3</v>
      </c>
      <c r="H192" s="23">
        <f>Source!AW184</f>
        <v>1</v>
      </c>
      <c r="I192" s="26">
        <f>Source!O183</f>
        <v>215.44</v>
      </c>
      <c r="J192" s="23">
        <f>IF(Source!BC184&lt;&gt; 0, Source!BC184, 1)</f>
        <v>9.8800000000000008</v>
      </c>
      <c r="K192" s="26">
        <f>Source!O184</f>
        <v>2128.5500000000002</v>
      </c>
      <c r="Q192">
        <f>Source!X183</f>
        <v>0</v>
      </c>
      <c r="R192">
        <f>Source!X184</f>
        <v>0</v>
      </c>
      <c r="S192">
        <f>Source!Y183</f>
        <v>0</v>
      </c>
      <c r="T192">
        <f>Source!Y184</f>
        <v>0</v>
      </c>
      <c r="U192">
        <f>ROUND((175/100)*ROUND(Source!R183, 2), 2)</f>
        <v>0</v>
      </c>
      <c r="V192">
        <f>ROUND((0/100)*ROUND(Source!R184, 2), 2)</f>
        <v>0</v>
      </c>
      <c r="AC192">
        <v>3</v>
      </c>
    </row>
    <row r="193" spans="1:29" ht="14.25" x14ac:dyDescent="0.2">
      <c r="A193" s="22"/>
      <c r="B193" s="22"/>
      <c r="C193" s="22" t="s">
        <v>407</v>
      </c>
      <c r="D193" s="24" t="s">
        <v>408</v>
      </c>
      <c r="E193" s="23">
        <f>Source!BZ182</f>
        <v>84</v>
      </c>
      <c r="F193" s="26"/>
      <c r="G193" s="25"/>
      <c r="H193" s="23"/>
      <c r="I193" s="26">
        <f>SUM(Q189:Q192)</f>
        <v>35.99</v>
      </c>
      <c r="J193" s="23">
        <f>Source!AT182</f>
        <v>84</v>
      </c>
      <c r="K193" s="26">
        <f>SUM(R189:R192)</f>
        <v>1979.31</v>
      </c>
    </row>
    <row r="194" spans="1:29" ht="14.25" x14ac:dyDescent="0.2">
      <c r="A194" s="22"/>
      <c r="B194" s="22"/>
      <c r="C194" s="22" t="s">
        <v>409</v>
      </c>
      <c r="D194" s="24" t="s">
        <v>408</v>
      </c>
      <c r="E194" s="23">
        <f>Source!CA182</f>
        <v>53</v>
      </c>
      <c r="F194" s="26"/>
      <c r="G194" s="25"/>
      <c r="H194" s="23"/>
      <c r="I194" s="26">
        <f>SUM(S189:S193)</f>
        <v>22.71</v>
      </c>
      <c r="J194" s="23">
        <f>Source!AU182</f>
        <v>53</v>
      </c>
      <c r="K194" s="26">
        <f>SUM(T189:T193)</f>
        <v>1248.8499999999999</v>
      </c>
    </row>
    <row r="195" spans="1:29" ht="28.5" x14ac:dyDescent="0.2">
      <c r="A195" s="29"/>
      <c r="B195" s="29"/>
      <c r="C195" s="29" t="s">
        <v>410</v>
      </c>
      <c r="D195" s="30" t="s">
        <v>411</v>
      </c>
      <c r="E195" s="31">
        <f>Source!AQ181</f>
        <v>0.52</v>
      </c>
      <c r="F195" s="32"/>
      <c r="G195" s="33" t="str">
        <f>Source!DI181</f>
        <v>*1,15)*1,1</v>
      </c>
      <c r="H195" s="31">
        <f>Source!AV182</f>
        <v>1.087</v>
      </c>
      <c r="I195" s="32">
        <f>Source!U181</f>
        <v>2.8601144000000001</v>
      </c>
      <c r="J195" s="31"/>
      <c r="K195" s="32"/>
    </row>
    <row r="196" spans="1:29" ht="15" x14ac:dyDescent="0.2">
      <c r="C196" s="34" t="s">
        <v>412</v>
      </c>
      <c r="H196" s="67">
        <f>I190+I191+I193+I194+SUM(I192:I192)-SUMIF(AC192:AC192, 5, I192:I192)-SUMIF(AC192:AC192, 6, I192:I192)</f>
        <v>318.99</v>
      </c>
      <c r="I196" s="67"/>
      <c r="J196" s="67">
        <f>K190+K191+K193+K194+SUM(K192:K192)-SUMIF(AC192:AC192, 5, K192:K192)-SUMIF(AC192:AC192, 6, K192:K192)</f>
        <v>7744.8300000000008</v>
      </c>
      <c r="K196" s="67"/>
    </row>
    <row r="197" spans="1:29" ht="15" hidden="1" x14ac:dyDescent="0.2">
      <c r="C197" s="34" t="s">
        <v>413</v>
      </c>
      <c r="H197" s="64">
        <f>SUMIF(AC192:AC192, 5, I192:I192)+SUMIF(AC192:AC192, 6, I192:I192)</f>
        <v>0</v>
      </c>
      <c r="I197" s="64"/>
      <c r="J197" s="64">
        <f>SUMIF(AC192:AC192, 5, K192:K192)+SUMIF(AC192:AC192, 6, K192:K192)</f>
        <v>0</v>
      </c>
      <c r="K197" s="64"/>
    </row>
    <row r="198" spans="1:29" ht="15" x14ac:dyDescent="0.2">
      <c r="C198" s="34" t="s">
        <v>414</v>
      </c>
      <c r="H198" s="64">
        <f>I190+I191+I193+I194+SUM(I192:I192)</f>
        <v>318.99</v>
      </c>
      <c r="I198" s="64"/>
      <c r="J198" s="64">
        <f>K190+K191+K193+K194+SUM(K192:K192)</f>
        <v>7744.8300000000008</v>
      </c>
      <c r="K198" s="64"/>
      <c r="O198" s="35">
        <f>I190+I191+I193+I194+SUM(I192:I192)</f>
        <v>318.99</v>
      </c>
      <c r="P198" s="35">
        <f>K190+K191+K193+K194+SUM(K192:K192)</f>
        <v>7744.8300000000008</v>
      </c>
    </row>
    <row r="200" spans="1:29" ht="52.5" x14ac:dyDescent="0.2">
      <c r="A200" s="22">
        <v>22</v>
      </c>
      <c r="B200" s="22" t="s">
        <v>430</v>
      </c>
      <c r="C200" s="22" t="s">
        <v>168</v>
      </c>
      <c r="D200" s="24" t="str">
        <f>Source!H185</f>
        <v>1  ШТ.</v>
      </c>
      <c r="E200" s="23">
        <f>Source!I185</f>
        <v>4</v>
      </c>
      <c r="F200" s="26"/>
      <c r="G200" s="25"/>
      <c r="H200" s="23"/>
      <c r="I200" s="26"/>
      <c r="J200" s="23"/>
      <c r="K200" s="26"/>
      <c r="Q200">
        <f>Source!X185</f>
        <v>35.99</v>
      </c>
      <c r="R200">
        <f>Source!X186</f>
        <v>1979.31</v>
      </c>
      <c r="S200">
        <f>Source!Y185</f>
        <v>22.71</v>
      </c>
      <c r="T200">
        <f>Source!Y186</f>
        <v>1248.8499999999999</v>
      </c>
      <c r="U200">
        <f>ROUND((175/100)*ROUND(Source!R185, 2), 2)</f>
        <v>0</v>
      </c>
      <c r="V200">
        <f>ROUND((0/100)*ROUND(Source!R186, 2), 2)</f>
        <v>0</v>
      </c>
      <c r="AC200">
        <v>0</v>
      </c>
    </row>
    <row r="201" spans="1:29" ht="28.5" x14ac:dyDescent="0.2">
      <c r="A201" s="22"/>
      <c r="B201" s="22"/>
      <c r="C201" s="22" t="s">
        <v>403</v>
      </c>
      <c r="D201" s="24"/>
      <c r="E201" s="23"/>
      <c r="F201" s="26">
        <f>Source!AO185</f>
        <v>7.79</v>
      </c>
      <c r="G201" s="25" t="str">
        <f>Source!DG185</f>
        <v>*1,15)*1,1</v>
      </c>
      <c r="H201" s="23">
        <f>Source!AV186</f>
        <v>1.087</v>
      </c>
      <c r="I201" s="26">
        <f>Source!S185</f>
        <v>42.85</v>
      </c>
      <c r="J201" s="23">
        <f>IF(Source!BA186&lt;&gt; 0, Source!BA186, 1)</f>
        <v>54.99</v>
      </c>
      <c r="K201" s="26">
        <f>Source!S186</f>
        <v>2356.3200000000002</v>
      </c>
    </row>
    <row r="202" spans="1:29" ht="14.25" x14ac:dyDescent="0.2">
      <c r="A202" s="22"/>
      <c r="B202" s="22"/>
      <c r="C202" s="22" t="s">
        <v>406</v>
      </c>
      <c r="D202" s="24"/>
      <c r="E202" s="23"/>
      <c r="F202" s="26">
        <f>Source!AL185</f>
        <v>0.5</v>
      </c>
      <c r="G202" s="25" t="str">
        <f>Source!DD185</f>
        <v/>
      </c>
      <c r="H202" s="23">
        <f>Source!AW186</f>
        <v>1</v>
      </c>
      <c r="I202" s="26">
        <f>Source!P185</f>
        <v>2</v>
      </c>
      <c r="J202" s="23">
        <f>IF(Source!BC186&lt;&gt; 0, Source!BC186, 1)</f>
        <v>15.9</v>
      </c>
      <c r="K202" s="26">
        <f>Source!P186</f>
        <v>31.8</v>
      </c>
    </row>
    <row r="203" spans="1:29" ht="55.5" x14ac:dyDescent="0.2">
      <c r="A203" s="22" t="s">
        <v>175</v>
      </c>
      <c r="B203" s="22" t="str">
        <f>Source!F187</f>
        <v>КА №8</v>
      </c>
      <c r="C203" s="22" t="s">
        <v>432</v>
      </c>
      <c r="D203" s="24" t="str">
        <f>Source!H187</f>
        <v>шт.</v>
      </c>
      <c r="E203" s="23">
        <f>Source!I187</f>
        <v>4</v>
      </c>
      <c r="F203" s="26">
        <f>Source!AK187</f>
        <v>53.86</v>
      </c>
      <c r="G203" s="51" t="s">
        <v>3</v>
      </c>
      <c r="H203" s="23">
        <f>Source!AW188</f>
        <v>1</v>
      </c>
      <c r="I203" s="26">
        <f>Source!O187</f>
        <v>215.44</v>
      </c>
      <c r="J203" s="23">
        <f>IF(Source!BC188&lt;&gt; 0, Source!BC188, 1)</f>
        <v>9.8800000000000008</v>
      </c>
      <c r="K203" s="26">
        <f>Source!O188</f>
        <v>2128.5500000000002</v>
      </c>
      <c r="Q203">
        <f>Source!X187</f>
        <v>0</v>
      </c>
      <c r="R203">
        <f>Source!X188</f>
        <v>0</v>
      </c>
      <c r="S203">
        <f>Source!Y187</f>
        <v>0</v>
      </c>
      <c r="T203">
        <f>Source!Y188</f>
        <v>0</v>
      </c>
      <c r="U203">
        <f>ROUND((175/100)*ROUND(Source!R187, 2), 2)</f>
        <v>0</v>
      </c>
      <c r="V203">
        <f>ROUND((0/100)*ROUND(Source!R188, 2), 2)</f>
        <v>0</v>
      </c>
      <c r="AC203">
        <v>3</v>
      </c>
    </row>
    <row r="204" spans="1:29" ht="14.25" x14ac:dyDescent="0.2">
      <c r="A204" s="22"/>
      <c r="B204" s="22"/>
      <c r="C204" s="22" t="s">
        <v>407</v>
      </c>
      <c r="D204" s="24" t="s">
        <v>408</v>
      </c>
      <c r="E204" s="23">
        <f>Source!BZ186</f>
        <v>84</v>
      </c>
      <c r="F204" s="26"/>
      <c r="G204" s="25"/>
      <c r="H204" s="23"/>
      <c r="I204" s="26">
        <f>SUM(Q200:Q203)</f>
        <v>35.99</v>
      </c>
      <c r="J204" s="23">
        <f>Source!AT186</f>
        <v>84</v>
      </c>
      <c r="K204" s="26">
        <f>SUM(R200:R203)</f>
        <v>1979.31</v>
      </c>
    </row>
    <row r="205" spans="1:29" ht="14.25" x14ac:dyDescent="0.2">
      <c r="A205" s="22"/>
      <c r="B205" s="22"/>
      <c r="C205" s="22" t="s">
        <v>409</v>
      </c>
      <c r="D205" s="24" t="s">
        <v>408</v>
      </c>
      <c r="E205" s="23">
        <f>Source!CA186</f>
        <v>53</v>
      </c>
      <c r="F205" s="26"/>
      <c r="G205" s="25"/>
      <c r="H205" s="23"/>
      <c r="I205" s="26">
        <f>SUM(S200:S204)</f>
        <v>22.71</v>
      </c>
      <c r="J205" s="23">
        <f>Source!AU186</f>
        <v>53</v>
      </c>
      <c r="K205" s="26">
        <f>SUM(T200:T204)</f>
        <v>1248.8499999999999</v>
      </c>
    </row>
    <row r="206" spans="1:29" ht="28.5" x14ac:dyDescent="0.2">
      <c r="A206" s="29"/>
      <c r="B206" s="29"/>
      <c r="C206" s="29" t="s">
        <v>410</v>
      </c>
      <c r="D206" s="30" t="s">
        <v>411</v>
      </c>
      <c r="E206" s="31">
        <f>Source!AQ185</f>
        <v>0.52</v>
      </c>
      <c r="F206" s="32"/>
      <c r="G206" s="33" t="str">
        <f>Source!DI185</f>
        <v>*1,15)*1,1</v>
      </c>
      <c r="H206" s="31">
        <f>Source!AV186</f>
        <v>1.087</v>
      </c>
      <c r="I206" s="32">
        <f>Source!U185</f>
        <v>2.8601144000000001</v>
      </c>
      <c r="J206" s="31"/>
      <c r="K206" s="32"/>
    </row>
    <row r="207" spans="1:29" ht="15" x14ac:dyDescent="0.2">
      <c r="C207" s="34" t="s">
        <v>412</v>
      </c>
      <c r="H207" s="67">
        <f>I201+I202+I204+I205+SUM(I203:I203)-SUMIF(AC203:AC203, 5, I203:I203)-SUMIF(AC203:AC203, 6, I203:I203)</f>
        <v>318.99</v>
      </c>
      <c r="I207" s="67"/>
      <c r="J207" s="67">
        <f>K201+K202+K204+K205+SUM(K203:K203)-SUMIF(AC203:AC203, 5, K203:K203)-SUMIF(AC203:AC203, 6, K203:K203)</f>
        <v>7744.8300000000008</v>
      </c>
      <c r="K207" s="67"/>
    </row>
    <row r="208" spans="1:29" ht="15" hidden="1" x14ac:dyDescent="0.2">
      <c r="C208" s="34" t="s">
        <v>413</v>
      </c>
      <c r="H208" s="64">
        <f>SUMIF(AC203:AC203, 5, I203:I203)+SUMIF(AC203:AC203, 6, I203:I203)</f>
        <v>0</v>
      </c>
      <c r="I208" s="64"/>
      <c r="J208" s="64">
        <f>SUMIF(AC203:AC203, 5, K203:K203)+SUMIF(AC203:AC203, 6, K203:K203)</f>
        <v>0</v>
      </c>
      <c r="K208" s="64"/>
    </row>
    <row r="209" spans="1:29" ht="15" x14ac:dyDescent="0.2">
      <c r="C209" s="34" t="s">
        <v>414</v>
      </c>
      <c r="H209" s="64">
        <f>I201+I202+I204+I205+SUM(I203:I203)</f>
        <v>318.99</v>
      </c>
      <c r="I209" s="64"/>
      <c r="J209" s="64">
        <f>K201+K202+K204+K205+SUM(K203:K203)</f>
        <v>7744.8300000000008</v>
      </c>
      <c r="K209" s="64"/>
      <c r="O209" s="35">
        <f>I201+I202+I204+I205+SUM(I203:I203)</f>
        <v>318.99</v>
      </c>
      <c r="P209" s="35">
        <f>K201+K202+K204+K205+SUM(K203:K203)</f>
        <v>7744.8300000000008</v>
      </c>
    </row>
    <row r="211" spans="1:29" ht="52.5" x14ac:dyDescent="0.2">
      <c r="A211" s="22">
        <v>23</v>
      </c>
      <c r="B211" s="22" t="s">
        <v>430</v>
      </c>
      <c r="C211" s="22" t="s">
        <v>168</v>
      </c>
      <c r="D211" s="24" t="str">
        <f>Source!H189</f>
        <v>1  ШТ.</v>
      </c>
      <c r="E211" s="23">
        <f>Source!I189</f>
        <v>4</v>
      </c>
      <c r="F211" s="26"/>
      <c r="G211" s="25"/>
      <c r="H211" s="23"/>
      <c r="I211" s="26"/>
      <c r="J211" s="23"/>
      <c r="K211" s="26"/>
      <c r="Q211">
        <f>Source!X189</f>
        <v>35.99</v>
      </c>
      <c r="R211">
        <f>Source!X190</f>
        <v>1979.31</v>
      </c>
      <c r="S211">
        <f>Source!Y189</f>
        <v>22.71</v>
      </c>
      <c r="T211">
        <f>Source!Y190</f>
        <v>1248.8499999999999</v>
      </c>
      <c r="U211">
        <f>ROUND((175/100)*ROUND(Source!R189, 2), 2)</f>
        <v>0</v>
      </c>
      <c r="V211">
        <f>ROUND((0/100)*ROUND(Source!R190, 2), 2)</f>
        <v>0</v>
      </c>
      <c r="AC211">
        <v>0</v>
      </c>
    </row>
    <row r="212" spans="1:29" ht="28.5" x14ac:dyDescent="0.2">
      <c r="A212" s="22"/>
      <c r="B212" s="22"/>
      <c r="C212" s="22" t="s">
        <v>403</v>
      </c>
      <c r="D212" s="24"/>
      <c r="E212" s="23"/>
      <c r="F212" s="26">
        <f>Source!AO189</f>
        <v>7.79</v>
      </c>
      <c r="G212" s="25" t="str">
        <f>Source!DG189</f>
        <v>*1,15)*1,1</v>
      </c>
      <c r="H212" s="23">
        <f>Source!AV190</f>
        <v>1.087</v>
      </c>
      <c r="I212" s="26">
        <f>Source!S189</f>
        <v>42.85</v>
      </c>
      <c r="J212" s="23">
        <f>IF(Source!BA190&lt;&gt; 0, Source!BA190, 1)</f>
        <v>54.99</v>
      </c>
      <c r="K212" s="26">
        <f>Source!S190</f>
        <v>2356.3200000000002</v>
      </c>
    </row>
    <row r="213" spans="1:29" ht="14.25" x14ac:dyDescent="0.2">
      <c r="A213" s="22"/>
      <c r="B213" s="22"/>
      <c r="C213" s="22" t="s">
        <v>406</v>
      </c>
      <c r="D213" s="24"/>
      <c r="E213" s="23"/>
      <c r="F213" s="26">
        <f>Source!AL189</f>
        <v>0.5</v>
      </c>
      <c r="G213" s="25" t="str">
        <f>Source!DD189</f>
        <v/>
      </c>
      <c r="H213" s="23">
        <f>Source!AW190</f>
        <v>1</v>
      </c>
      <c r="I213" s="26">
        <f>Source!P189</f>
        <v>2</v>
      </c>
      <c r="J213" s="23">
        <f>IF(Source!BC190&lt;&gt; 0, Source!BC190, 1)</f>
        <v>15.9</v>
      </c>
      <c r="K213" s="26">
        <f>Source!P190</f>
        <v>31.8</v>
      </c>
    </row>
    <row r="214" spans="1:29" ht="55.5" x14ac:dyDescent="0.2">
      <c r="A214" s="22" t="s">
        <v>179</v>
      </c>
      <c r="B214" s="22" t="str">
        <f>Source!F191</f>
        <v>КА №9</v>
      </c>
      <c r="C214" s="22" t="s">
        <v>433</v>
      </c>
      <c r="D214" s="24" t="str">
        <f>Source!H191</f>
        <v>шт.</v>
      </c>
      <c r="E214" s="23">
        <f>Source!I191</f>
        <v>4</v>
      </c>
      <c r="F214" s="26">
        <f>Source!AK191</f>
        <v>53.86</v>
      </c>
      <c r="G214" s="51" t="s">
        <v>3</v>
      </c>
      <c r="H214" s="23">
        <f>Source!AW192</f>
        <v>1</v>
      </c>
      <c r="I214" s="26">
        <f>Source!O191</f>
        <v>215.44</v>
      </c>
      <c r="J214" s="23">
        <f>IF(Source!BC192&lt;&gt; 0, Source!BC192, 1)</f>
        <v>9.8800000000000008</v>
      </c>
      <c r="K214" s="26">
        <f>Source!O192</f>
        <v>2128.5500000000002</v>
      </c>
      <c r="Q214">
        <f>Source!X191</f>
        <v>0</v>
      </c>
      <c r="R214">
        <f>Source!X192</f>
        <v>0</v>
      </c>
      <c r="S214">
        <f>Source!Y191</f>
        <v>0</v>
      </c>
      <c r="T214">
        <f>Source!Y192</f>
        <v>0</v>
      </c>
      <c r="U214">
        <f>ROUND((175/100)*ROUND(Source!R191, 2), 2)</f>
        <v>0</v>
      </c>
      <c r="V214">
        <f>ROUND((0/100)*ROUND(Source!R192, 2), 2)</f>
        <v>0</v>
      </c>
      <c r="AC214">
        <v>3</v>
      </c>
    </row>
    <row r="215" spans="1:29" ht="14.25" x14ac:dyDescent="0.2">
      <c r="A215" s="22"/>
      <c r="B215" s="22"/>
      <c r="C215" s="22" t="s">
        <v>407</v>
      </c>
      <c r="D215" s="24" t="s">
        <v>408</v>
      </c>
      <c r="E215" s="23">
        <f>Source!BZ190</f>
        <v>84</v>
      </c>
      <c r="F215" s="26"/>
      <c r="G215" s="25"/>
      <c r="H215" s="23"/>
      <c r="I215" s="26">
        <f>SUM(Q211:Q214)</f>
        <v>35.99</v>
      </c>
      <c r="J215" s="23">
        <f>Source!AT190</f>
        <v>84</v>
      </c>
      <c r="K215" s="26">
        <f>SUM(R211:R214)</f>
        <v>1979.31</v>
      </c>
    </row>
    <row r="216" spans="1:29" ht="14.25" x14ac:dyDescent="0.2">
      <c r="A216" s="22"/>
      <c r="B216" s="22"/>
      <c r="C216" s="22" t="s">
        <v>409</v>
      </c>
      <c r="D216" s="24" t="s">
        <v>408</v>
      </c>
      <c r="E216" s="23">
        <f>Source!CA190</f>
        <v>53</v>
      </c>
      <c r="F216" s="26"/>
      <c r="G216" s="25"/>
      <c r="H216" s="23"/>
      <c r="I216" s="26">
        <f>SUM(S211:S215)</f>
        <v>22.71</v>
      </c>
      <c r="J216" s="23">
        <f>Source!AU190</f>
        <v>53</v>
      </c>
      <c r="K216" s="26">
        <f>SUM(T211:T215)</f>
        <v>1248.8499999999999</v>
      </c>
    </row>
    <row r="217" spans="1:29" ht="28.5" x14ac:dyDescent="0.2">
      <c r="A217" s="29"/>
      <c r="B217" s="29"/>
      <c r="C217" s="29" t="s">
        <v>410</v>
      </c>
      <c r="D217" s="30" t="s">
        <v>411</v>
      </c>
      <c r="E217" s="31">
        <f>Source!AQ189</f>
        <v>0.52</v>
      </c>
      <c r="F217" s="32"/>
      <c r="G217" s="33" t="str">
        <f>Source!DI189</f>
        <v>*1,15)*1,1</v>
      </c>
      <c r="H217" s="31">
        <f>Source!AV190</f>
        <v>1.087</v>
      </c>
      <c r="I217" s="32">
        <f>Source!U189</f>
        <v>2.8601144000000001</v>
      </c>
      <c r="J217" s="31"/>
      <c r="K217" s="32"/>
    </row>
    <row r="218" spans="1:29" ht="15" x14ac:dyDescent="0.2">
      <c r="C218" s="34" t="s">
        <v>412</v>
      </c>
      <c r="H218" s="67">
        <f>I212+I213+I215+I216+SUM(I214:I214)-SUMIF(AC214:AC214, 5, I214:I214)-SUMIF(AC214:AC214, 6, I214:I214)</f>
        <v>318.99</v>
      </c>
      <c r="I218" s="67"/>
      <c r="J218" s="67">
        <f>K212+K213+K215+K216+SUM(K214:K214)-SUMIF(AC214:AC214, 5, K214:K214)-SUMIF(AC214:AC214, 6, K214:K214)</f>
        <v>7744.8300000000008</v>
      </c>
      <c r="K218" s="67"/>
    </row>
    <row r="219" spans="1:29" ht="15" hidden="1" x14ac:dyDescent="0.2">
      <c r="C219" s="34" t="s">
        <v>413</v>
      </c>
      <c r="H219" s="64">
        <f>SUMIF(AC214:AC214, 5, I214:I214)+SUMIF(AC214:AC214, 6, I214:I214)</f>
        <v>0</v>
      </c>
      <c r="I219" s="64"/>
      <c r="J219" s="64">
        <f>SUMIF(AC214:AC214, 5, K214:K214)+SUMIF(AC214:AC214, 6, K214:K214)</f>
        <v>0</v>
      </c>
      <c r="K219" s="64"/>
    </row>
    <row r="220" spans="1:29" ht="15" x14ac:dyDescent="0.2">
      <c r="C220" s="34" t="s">
        <v>414</v>
      </c>
      <c r="H220" s="64">
        <f>I212+I213+I215+I216+SUM(I214:I214)</f>
        <v>318.99</v>
      </c>
      <c r="I220" s="64"/>
      <c r="J220" s="64">
        <f>K212+K213+K215+K216+SUM(K214:K214)</f>
        <v>7744.8300000000008</v>
      </c>
      <c r="K220" s="64"/>
      <c r="O220" s="35">
        <f>I212+I213+I215+I216+SUM(I214:I214)</f>
        <v>318.99</v>
      </c>
      <c r="P220" s="35">
        <f>K212+K213+K215+K216+SUM(K214:K214)</f>
        <v>7744.8300000000008</v>
      </c>
    </row>
    <row r="222" spans="1:29" ht="52.5" x14ac:dyDescent="0.2">
      <c r="A222" s="22">
        <v>24</v>
      </c>
      <c r="B222" s="22" t="s">
        <v>430</v>
      </c>
      <c r="C222" s="22" t="s">
        <v>168</v>
      </c>
      <c r="D222" s="24" t="str">
        <f>Source!H193</f>
        <v>1  ШТ.</v>
      </c>
      <c r="E222" s="23">
        <f>Source!I193</f>
        <v>1</v>
      </c>
      <c r="F222" s="26"/>
      <c r="G222" s="25"/>
      <c r="H222" s="23"/>
      <c r="I222" s="26"/>
      <c r="J222" s="23"/>
      <c r="K222" s="26"/>
      <c r="Q222">
        <f>Source!X193</f>
        <v>9</v>
      </c>
      <c r="R222">
        <f>Source!X194</f>
        <v>494.71</v>
      </c>
      <c r="S222">
        <f>Source!Y193</f>
        <v>5.68</v>
      </c>
      <c r="T222">
        <f>Source!Y194</f>
        <v>312.14</v>
      </c>
      <c r="U222">
        <f>ROUND((175/100)*ROUND(Source!R193, 2), 2)</f>
        <v>0</v>
      </c>
      <c r="V222">
        <f>ROUND((0/100)*ROUND(Source!R194, 2), 2)</f>
        <v>0</v>
      </c>
      <c r="AC222">
        <v>0</v>
      </c>
    </row>
    <row r="223" spans="1:29" ht="28.5" x14ac:dyDescent="0.2">
      <c r="A223" s="22"/>
      <c r="B223" s="22"/>
      <c r="C223" s="22" t="s">
        <v>403</v>
      </c>
      <c r="D223" s="24"/>
      <c r="E223" s="23"/>
      <c r="F223" s="26">
        <f>Source!AO193</f>
        <v>7.79</v>
      </c>
      <c r="G223" s="25" t="str">
        <f>Source!DG193</f>
        <v>*1,15)*1,1</v>
      </c>
      <c r="H223" s="23">
        <f>Source!AV194</f>
        <v>1.087</v>
      </c>
      <c r="I223" s="26">
        <f>Source!S193</f>
        <v>10.71</v>
      </c>
      <c r="J223" s="23">
        <f>IF(Source!BA194&lt;&gt; 0, Source!BA194, 1)</f>
        <v>54.99</v>
      </c>
      <c r="K223" s="26">
        <f>Source!S194</f>
        <v>588.94000000000005</v>
      </c>
    </row>
    <row r="224" spans="1:29" ht="14.25" x14ac:dyDescent="0.2">
      <c r="A224" s="22"/>
      <c r="B224" s="22"/>
      <c r="C224" s="22" t="s">
        <v>406</v>
      </c>
      <c r="D224" s="24"/>
      <c r="E224" s="23"/>
      <c r="F224" s="26">
        <f>Source!AL193</f>
        <v>0.5</v>
      </c>
      <c r="G224" s="25" t="str">
        <f>Source!DD193</f>
        <v/>
      </c>
      <c r="H224" s="23">
        <f>Source!AW194</f>
        <v>1</v>
      </c>
      <c r="I224" s="26">
        <f>Source!P193</f>
        <v>0.5</v>
      </c>
      <c r="J224" s="23">
        <f>IF(Source!BC194&lt;&gt; 0, Source!BC194, 1)</f>
        <v>15.9</v>
      </c>
      <c r="K224" s="26">
        <f>Source!P194</f>
        <v>7.95</v>
      </c>
    </row>
    <row r="225" spans="1:29" ht="55.5" x14ac:dyDescent="0.2">
      <c r="A225" s="22" t="s">
        <v>183</v>
      </c>
      <c r="B225" s="22" t="str">
        <f>Source!F195</f>
        <v>КА №10</v>
      </c>
      <c r="C225" s="22" t="s">
        <v>434</v>
      </c>
      <c r="D225" s="24" t="str">
        <f>Source!H195</f>
        <v>шт.</v>
      </c>
      <c r="E225" s="23">
        <f>Source!I195</f>
        <v>1</v>
      </c>
      <c r="F225" s="26">
        <f>Source!AK195</f>
        <v>53.86</v>
      </c>
      <c r="G225" s="51" t="s">
        <v>3</v>
      </c>
      <c r="H225" s="23">
        <f>Source!AW196</f>
        <v>1</v>
      </c>
      <c r="I225" s="26">
        <f>Source!O195</f>
        <v>53.86</v>
      </c>
      <c r="J225" s="23">
        <f>IF(Source!BC196&lt;&gt; 0, Source!BC196, 1)</f>
        <v>9.8800000000000008</v>
      </c>
      <c r="K225" s="26">
        <f>Source!O196</f>
        <v>532.14</v>
      </c>
      <c r="Q225">
        <f>Source!X195</f>
        <v>0</v>
      </c>
      <c r="R225">
        <f>Source!X196</f>
        <v>0</v>
      </c>
      <c r="S225">
        <f>Source!Y195</f>
        <v>0</v>
      </c>
      <c r="T225">
        <f>Source!Y196</f>
        <v>0</v>
      </c>
      <c r="U225">
        <f>ROUND((175/100)*ROUND(Source!R195, 2), 2)</f>
        <v>0</v>
      </c>
      <c r="V225">
        <f>ROUND((0/100)*ROUND(Source!R196, 2), 2)</f>
        <v>0</v>
      </c>
      <c r="AC225">
        <v>3</v>
      </c>
    </row>
    <row r="226" spans="1:29" ht="14.25" x14ac:dyDescent="0.2">
      <c r="A226" s="22"/>
      <c r="B226" s="22"/>
      <c r="C226" s="22" t="s">
        <v>407</v>
      </c>
      <c r="D226" s="24" t="s">
        <v>408</v>
      </c>
      <c r="E226" s="23">
        <f>Source!BZ194</f>
        <v>84</v>
      </c>
      <c r="F226" s="26"/>
      <c r="G226" s="25"/>
      <c r="H226" s="23"/>
      <c r="I226" s="26">
        <f>SUM(Q222:Q225)</f>
        <v>9</v>
      </c>
      <c r="J226" s="23">
        <f>Source!AT194</f>
        <v>84</v>
      </c>
      <c r="K226" s="26">
        <f>SUM(R222:R225)</f>
        <v>494.71</v>
      </c>
    </row>
    <row r="227" spans="1:29" ht="14.25" x14ac:dyDescent="0.2">
      <c r="A227" s="22"/>
      <c r="B227" s="22"/>
      <c r="C227" s="22" t="s">
        <v>409</v>
      </c>
      <c r="D227" s="24" t="s">
        <v>408</v>
      </c>
      <c r="E227" s="23">
        <f>Source!CA194</f>
        <v>53</v>
      </c>
      <c r="F227" s="26"/>
      <c r="G227" s="25"/>
      <c r="H227" s="23"/>
      <c r="I227" s="26">
        <f>SUM(S222:S226)</f>
        <v>5.68</v>
      </c>
      <c r="J227" s="23">
        <f>Source!AU194</f>
        <v>53</v>
      </c>
      <c r="K227" s="26">
        <f>SUM(T222:T226)</f>
        <v>312.14</v>
      </c>
    </row>
    <row r="228" spans="1:29" ht="28.5" x14ac:dyDescent="0.2">
      <c r="A228" s="29"/>
      <c r="B228" s="29"/>
      <c r="C228" s="29" t="s">
        <v>410</v>
      </c>
      <c r="D228" s="30" t="s">
        <v>411</v>
      </c>
      <c r="E228" s="31">
        <f>Source!AQ193</f>
        <v>0.52</v>
      </c>
      <c r="F228" s="32"/>
      <c r="G228" s="33" t="str">
        <f>Source!DI193</f>
        <v>*1,15)*1,1</v>
      </c>
      <c r="H228" s="31">
        <f>Source!AV194</f>
        <v>1.087</v>
      </c>
      <c r="I228" s="32">
        <f>Source!U193</f>
        <v>0.71502860000000001</v>
      </c>
      <c r="J228" s="31"/>
      <c r="K228" s="32"/>
    </row>
    <row r="229" spans="1:29" ht="15" x14ac:dyDescent="0.2">
      <c r="C229" s="34" t="s">
        <v>412</v>
      </c>
      <c r="H229" s="67">
        <f>I223+I224+I226+I227+SUM(I225:I225)-SUMIF(AC225:AC225, 5, I225:I225)-SUMIF(AC225:AC225, 6, I225:I225)</f>
        <v>79.75</v>
      </c>
      <c r="I229" s="67"/>
      <c r="J229" s="67">
        <f>K223+K224+K226+K227+SUM(K225:K225)-SUMIF(AC225:AC225, 5, K225:K225)-SUMIF(AC225:AC225, 6, K225:K225)</f>
        <v>1935.88</v>
      </c>
      <c r="K229" s="67"/>
    </row>
    <row r="230" spans="1:29" ht="15" hidden="1" x14ac:dyDescent="0.2">
      <c r="C230" s="34" t="s">
        <v>413</v>
      </c>
      <c r="H230" s="64">
        <f>SUMIF(AC225:AC225, 5, I225:I225)+SUMIF(AC225:AC225, 6, I225:I225)</f>
        <v>0</v>
      </c>
      <c r="I230" s="64"/>
      <c r="J230" s="64">
        <f>SUMIF(AC225:AC225, 5, K225:K225)+SUMIF(AC225:AC225, 6, K225:K225)</f>
        <v>0</v>
      </c>
      <c r="K230" s="64"/>
    </row>
    <row r="231" spans="1:29" ht="15" x14ac:dyDescent="0.2">
      <c r="C231" s="34" t="s">
        <v>414</v>
      </c>
      <c r="H231" s="64">
        <f>I223+I224+I226+I227+SUM(I225:I225)</f>
        <v>79.75</v>
      </c>
      <c r="I231" s="64"/>
      <c r="J231" s="64">
        <f>K223+K224+K226+K227+SUM(K225:K225)</f>
        <v>1935.88</v>
      </c>
      <c r="K231" s="64"/>
      <c r="O231" s="35">
        <f>I223+I224+I226+I227+SUM(I225:I225)</f>
        <v>79.75</v>
      </c>
      <c r="P231" s="35">
        <f>K223+K224+K226+K227+SUM(K225:K225)</f>
        <v>1935.88</v>
      </c>
    </row>
    <row r="233" spans="1:29" ht="52.5" x14ac:dyDescent="0.2">
      <c r="A233" s="22">
        <v>25</v>
      </c>
      <c r="B233" s="22" t="s">
        <v>430</v>
      </c>
      <c r="C233" s="22" t="s">
        <v>168</v>
      </c>
      <c r="D233" s="24" t="str">
        <f>Source!H197</f>
        <v>1  ШТ.</v>
      </c>
      <c r="E233" s="23">
        <f>Source!I197</f>
        <v>3</v>
      </c>
      <c r="F233" s="26"/>
      <c r="G233" s="25"/>
      <c r="H233" s="23"/>
      <c r="I233" s="26"/>
      <c r="J233" s="23"/>
      <c r="K233" s="26"/>
      <c r="Q233">
        <f>Source!X197</f>
        <v>27</v>
      </c>
      <c r="R233">
        <f>Source!X198</f>
        <v>1484.6</v>
      </c>
      <c r="S233">
        <f>Source!Y197</f>
        <v>17.03</v>
      </c>
      <c r="T233">
        <f>Source!Y198</f>
        <v>936.71</v>
      </c>
      <c r="U233">
        <f>ROUND((175/100)*ROUND(Source!R197, 2), 2)</f>
        <v>0</v>
      </c>
      <c r="V233">
        <f>ROUND((0/100)*ROUND(Source!R198, 2), 2)</f>
        <v>0</v>
      </c>
      <c r="AC233">
        <v>0</v>
      </c>
    </row>
    <row r="234" spans="1:29" ht="28.5" x14ac:dyDescent="0.2">
      <c r="A234" s="22"/>
      <c r="B234" s="22"/>
      <c r="C234" s="22" t="s">
        <v>403</v>
      </c>
      <c r="D234" s="24"/>
      <c r="E234" s="23"/>
      <c r="F234" s="26">
        <f>Source!AO197</f>
        <v>7.79</v>
      </c>
      <c r="G234" s="25" t="str">
        <f>Source!DG197</f>
        <v>*1,15)*1,1</v>
      </c>
      <c r="H234" s="23">
        <f>Source!AV198</f>
        <v>1.087</v>
      </c>
      <c r="I234" s="26">
        <f>Source!S197</f>
        <v>32.14</v>
      </c>
      <c r="J234" s="23">
        <f>IF(Source!BA198&lt;&gt; 0, Source!BA198, 1)</f>
        <v>54.99</v>
      </c>
      <c r="K234" s="26">
        <f>Source!S198</f>
        <v>1767.38</v>
      </c>
    </row>
    <row r="235" spans="1:29" ht="14.25" x14ac:dyDescent="0.2">
      <c r="A235" s="22"/>
      <c r="B235" s="22"/>
      <c r="C235" s="22" t="s">
        <v>406</v>
      </c>
      <c r="D235" s="24"/>
      <c r="E235" s="23"/>
      <c r="F235" s="26">
        <f>Source!AL197</f>
        <v>0.5</v>
      </c>
      <c r="G235" s="25" t="str">
        <f>Source!DD197</f>
        <v/>
      </c>
      <c r="H235" s="23">
        <f>Source!AW198</f>
        <v>1</v>
      </c>
      <c r="I235" s="26">
        <f>Source!P197</f>
        <v>1.5</v>
      </c>
      <c r="J235" s="23">
        <f>IF(Source!BC198&lt;&gt; 0, Source!BC198, 1)</f>
        <v>15.9</v>
      </c>
      <c r="K235" s="26">
        <f>Source!P198</f>
        <v>23.85</v>
      </c>
    </row>
    <row r="236" spans="1:29" ht="55.5" x14ac:dyDescent="0.2">
      <c r="A236" s="22" t="s">
        <v>187</v>
      </c>
      <c r="B236" s="22" t="str">
        <f>Source!F199</f>
        <v>КА №11</v>
      </c>
      <c r="C236" s="22" t="s">
        <v>435</v>
      </c>
      <c r="D236" s="24" t="str">
        <f>Source!H199</f>
        <v>шт.</v>
      </c>
      <c r="E236" s="23">
        <f>Source!I199</f>
        <v>3</v>
      </c>
      <c r="F236" s="26">
        <f>Source!AK199</f>
        <v>53.86</v>
      </c>
      <c r="G236" s="51" t="s">
        <v>3</v>
      </c>
      <c r="H236" s="23">
        <f>Source!AW200</f>
        <v>1</v>
      </c>
      <c r="I236" s="26">
        <f>Source!O199</f>
        <v>161.58000000000001</v>
      </c>
      <c r="J236" s="23">
        <f>IF(Source!BC200&lt;&gt; 0, Source!BC200, 1)</f>
        <v>9.8800000000000008</v>
      </c>
      <c r="K236" s="26">
        <f>Source!O200</f>
        <v>1596.41</v>
      </c>
      <c r="Q236">
        <f>Source!X199</f>
        <v>0</v>
      </c>
      <c r="R236">
        <f>Source!X200</f>
        <v>0</v>
      </c>
      <c r="S236">
        <f>Source!Y199</f>
        <v>0</v>
      </c>
      <c r="T236">
        <f>Source!Y200</f>
        <v>0</v>
      </c>
      <c r="U236">
        <f>ROUND((175/100)*ROUND(Source!R199, 2), 2)</f>
        <v>0</v>
      </c>
      <c r="V236">
        <f>ROUND((0/100)*ROUND(Source!R200, 2), 2)</f>
        <v>0</v>
      </c>
      <c r="AC236">
        <v>3</v>
      </c>
    </row>
    <row r="237" spans="1:29" ht="14.25" x14ac:dyDescent="0.2">
      <c r="A237" s="22"/>
      <c r="B237" s="22"/>
      <c r="C237" s="22" t="s">
        <v>407</v>
      </c>
      <c r="D237" s="24" t="s">
        <v>408</v>
      </c>
      <c r="E237" s="23">
        <f>Source!BZ198</f>
        <v>84</v>
      </c>
      <c r="F237" s="26"/>
      <c r="G237" s="25"/>
      <c r="H237" s="23"/>
      <c r="I237" s="26">
        <f>SUM(Q233:Q236)</f>
        <v>27</v>
      </c>
      <c r="J237" s="23">
        <f>Source!AT198</f>
        <v>84</v>
      </c>
      <c r="K237" s="26">
        <f>SUM(R233:R236)</f>
        <v>1484.6</v>
      </c>
    </row>
    <row r="238" spans="1:29" ht="14.25" x14ac:dyDescent="0.2">
      <c r="A238" s="22"/>
      <c r="B238" s="22"/>
      <c r="C238" s="22" t="s">
        <v>409</v>
      </c>
      <c r="D238" s="24" t="s">
        <v>408</v>
      </c>
      <c r="E238" s="23">
        <f>Source!CA198</f>
        <v>53</v>
      </c>
      <c r="F238" s="26"/>
      <c r="G238" s="25"/>
      <c r="H238" s="23"/>
      <c r="I238" s="26">
        <f>SUM(S233:S237)</f>
        <v>17.03</v>
      </c>
      <c r="J238" s="23">
        <f>Source!AU198</f>
        <v>53</v>
      </c>
      <c r="K238" s="26">
        <f>SUM(T233:T237)</f>
        <v>936.71</v>
      </c>
    </row>
    <row r="239" spans="1:29" ht="28.5" x14ac:dyDescent="0.2">
      <c r="A239" s="29"/>
      <c r="B239" s="29"/>
      <c r="C239" s="29" t="s">
        <v>410</v>
      </c>
      <c r="D239" s="30" t="s">
        <v>411</v>
      </c>
      <c r="E239" s="31">
        <f>Source!AQ197</f>
        <v>0.52</v>
      </c>
      <c r="F239" s="32"/>
      <c r="G239" s="33" t="str">
        <f>Source!DI197</f>
        <v>*1,15)*1,1</v>
      </c>
      <c r="H239" s="31">
        <f>Source!AV198</f>
        <v>1.087</v>
      </c>
      <c r="I239" s="32">
        <f>Source!U197</f>
        <v>2.1450857999999999</v>
      </c>
      <c r="J239" s="31"/>
      <c r="K239" s="32"/>
    </row>
    <row r="240" spans="1:29" ht="15" x14ac:dyDescent="0.2">
      <c r="C240" s="34" t="s">
        <v>412</v>
      </c>
      <c r="H240" s="67">
        <f>I234+I235+I237+I238+SUM(I236:I236)-SUMIF(AC236:AC236, 5, I236:I236)-SUMIF(AC236:AC236, 6, I236:I236)</f>
        <v>239.25</v>
      </c>
      <c r="I240" s="67"/>
      <c r="J240" s="67">
        <f>K234+K235+K237+K238+SUM(K236:K236)-SUMIF(AC236:AC236, 5, K236:K236)-SUMIF(AC236:AC236, 6, K236:K236)</f>
        <v>5808.95</v>
      </c>
      <c r="K240" s="67"/>
    </row>
    <row r="241" spans="1:29" ht="15" hidden="1" x14ac:dyDescent="0.2">
      <c r="C241" s="34" t="s">
        <v>413</v>
      </c>
      <c r="H241" s="64">
        <f>SUMIF(AC236:AC236, 5, I236:I236)+SUMIF(AC236:AC236, 6, I236:I236)</f>
        <v>0</v>
      </c>
      <c r="I241" s="64"/>
      <c r="J241" s="64">
        <f>SUMIF(AC236:AC236, 5, K236:K236)+SUMIF(AC236:AC236, 6, K236:K236)</f>
        <v>0</v>
      </c>
      <c r="K241" s="64"/>
    </row>
    <row r="242" spans="1:29" ht="15" x14ac:dyDescent="0.2">
      <c r="C242" s="34" t="s">
        <v>414</v>
      </c>
      <c r="H242" s="64">
        <f>I234+I235+I237+I238+SUM(I236:I236)</f>
        <v>239.25</v>
      </c>
      <c r="I242" s="64"/>
      <c r="J242" s="64">
        <f>K234+K235+K237+K238+SUM(K236:K236)</f>
        <v>5808.95</v>
      </c>
      <c r="K242" s="64"/>
      <c r="O242" s="35">
        <f>I234+I235+I237+I238+SUM(I236:I236)</f>
        <v>239.25</v>
      </c>
      <c r="P242" s="35">
        <f>K234+K235+K237+K238+SUM(K236:K236)</f>
        <v>5808.95</v>
      </c>
    </row>
    <row r="244" spans="1:29" ht="52.5" x14ac:dyDescent="0.2">
      <c r="A244" s="22">
        <v>26</v>
      </c>
      <c r="B244" s="22" t="s">
        <v>430</v>
      </c>
      <c r="C244" s="22" t="s">
        <v>168</v>
      </c>
      <c r="D244" s="24" t="str">
        <f>Source!H201</f>
        <v>1  ШТ.</v>
      </c>
      <c r="E244" s="23">
        <f>Source!I201</f>
        <v>2</v>
      </c>
      <c r="F244" s="26"/>
      <c r="G244" s="25"/>
      <c r="H244" s="23"/>
      <c r="I244" s="26"/>
      <c r="J244" s="23"/>
      <c r="K244" s="26"/>
      <c r="Q244">
        <f>Source!X201</f>
        <v>17.989999999999998</v>
      </c>
      <c r="R244">
        <f>Source!X202</f>
        <v>989.43</v>
      </c>
      <c r="S244">
        <f>Source!Y201</f>
        <v>11.35</v>
      </c>
      <c r="T244">
        <f>Source!Y202</f>
        <v>624.28</v>
      </c>
      <c r="U244">
        <f>ROUND((175/100)*ROUND(Source!R201, 2), 2)</f>
        <v>0</v>
      </c>
      <c r="V244">
        <f>ROUND((0/100)*ROUND(Source!R202, 2), 2)</f>
        <v>0</v>
      </c>
      <c r="AC244">
        <v>0</v>
      </c>
    </row>
    <row r="245" spans="1:29" ht="28.5" x14ac:dyDescent="0.2">
      <c r="A245" s="22"/>
      <c r="B245" s="22"/>
      <c r="C245" s="22" t="s">
        <v>403</v>
      </c>
      <c r="D245" s="24"/>
      <c r="E245" s="23"/>
      <c r="F245" s="26">
        <f>Source!AO201</f>
        <v>7.79</v>
      </c>
      <c r="G245" s="25" t="str">
        <f>Source!DG201</f>
        <v>*1,15)*1,1</v>
      </c>
      <c r="H245" s="23">
        <f>Source!AV202</f>
        <v>1.087</v>
      </c>
      <c r="I245" s="26">
        <f>Source!S201</f>
        <v>21.42</v>
      </c>
      <c r="J245" s="23">
        <f>IF(Source!BA202&lt;&gt; 0, Source!BA202, 1)</f>
        <v>54.99</v>
      </c>
      <c r="K245" s="26">
        <f>Source!S202</f>
        <v>1177.8900000000001</v>
      </c>
    </row>
    <row r="246" spans="1:29" ht="14.25" x14ac:dyDescent="0.2">
      <c r="A246" s="22"/>
      <c r="B246" s="22"/>
      <c r="C246" s="22" t="s">
        <v>406</v>
      </c>
      <c r="D246" s="24"/>
      <c r="E246" s="23"/>
      <c r="F246" s="26">
        <f>Source!AL201</f>
        <v>0.5</v>
      </c>
      <c r="G246" s="25" t="str">
        <f>Source!DD201</f>
        <v/>
      </c>
      <c r="H246" s="23">
        <f>Source!AW202</f>
        <v>1</v>
      </c>
      <c r="I246" s="26">
        <f>Source!P201</f>
        <v>1</v>
      </c>
      <c r="J246" s="23">
        <f>IF(Source!BC202&lt;&gt; 0, Source!BC202, 1)</f>
        <v>15.9</v>
      </c>
      <c r="K246" s="26">
        <f>Source!P202</f>
        <v>15.9</v>
      </c>
    </row>
    <row r="247" spans="1:29" ht="55.5" x14ac:dyDescent="0.2">
      <c r="A247" s="22" t="s">
        <v>191</v>
      </c>
      <c r="B247" s="22" t="str">
        <f>Source!F203</f>
        <v>КА №12</v>
      </c>
      <c r="C247" s="22" t="s">
        <v>436</v>
      </c>
      <c r="D247" s="24" t="str">
        <f>Source!H203</f>
        <v>шт.</v>
      </c>
      <c r="E247" s="23">
        <f>Source!I203</f>
        <v>2</v>
      </c>
      <c r="F247" s="26">
        <f>Source!AK203</f>
        <v>38.82</v>
      </c>
      <c r="G247" s="51" t="s">
        <v>3</v>
      </c>
      <c r="H247" s="23">
        <f>Source!AW204</f>
        <v>1</v>
      </c>
      <c r="I247" s="26">
        <f>Source!O203</f>
        <v>77.64</v>
      </c>
      <c r="J247" s="23">
        <f>IF(Source!BC204&lt;&gt; 0, Source!BC204, 1)</f>
        <v>9.8800000000000008</v>
      </c>
      <c r="K247" s="26">
        <f>Source!O204</f>
        <v>767.08</v>
      </c>
      <c r="Q247">
        <f>Source!X203</f>
        <v>0</v>
      </c>
      <c r="R247">
        <f>Source!X204</f>
        <v>0</v>
      </c>
      <c r="S247">
        <f>Source!Y203</f>
        <v>0</v>
      </c>
      <c r="T247">
        <f>Source!Y204</f>
        <v>0</v>
      </c>
      <c r="U247">
        <f>ROUND((175/100)*ROUND(Source!R203, 2), 2)</f>
        <v>0</v>
      </c>
      <c r="V247">
        <f>ROUND((0/100)*ROUND(Source!R204, 2), 2)</f>
        <v>0</v>
      </c>
      <c r="AC247">
        <v>3</v>
      </c>
    </row>
    <row r="248" spans="1:29" ht="14.25" x14ac:dyDescent="0.2">
      <c r="A248" s="22"/>
      <c r="B248" s="22"/>
      <c r="C248" s="22" t="s">
        <v>407</v>
      </c>
      <c r="D248" s="24" t="s">
        <v>408</v>
      </c>
      <c r="E248" s="23">
        <f>Source!BZ202</f>
        <v>84</v>
      </c>
      <c r="F248" s="26"/>
      <c r="G248" s="25"/>
      <c r="H248" s="23"/>
      <c r="I248" s="26">
        <f>SUM(Q244:Q247)</f>
        <v>17.989999999999998</v>
      </c>
      <c r="J248" s="23">
        <f>Source!AT202</f>
        <v>84</v>
      </c>
      <c r="K248" s="26">
        <f>SUM(R244:R247)</f>
        <v>989.43</v>
      </c>
    </row>
    <row r="249" spans="1:29" ht="14.25" x14ac:dyDescent="0.2">
      <c r="A249" s="22"/>
      <c r="B249" s="22"/>
      <c r="C249" s="22" t="s">
        <v>409</v>
      </c>
      <c r="D249" s="24" t="s">
        <v>408</v>
      </c>
      <c r="E249" s="23">
        <f>Source!CA202</f>
        <v>53</v>
      </c>
      <c r="F249" s="26"/>
      <c r="G249" s="25"/>
      <c r="H249" s="23"/>
      <c r="I249" s="26">
        <f>SUM(S244:S248)</f>
        <v>11.35</v>
      </c>
      <c r="J249" s="23">
        <f>Source!AU202</f>
        <v>53</v>
      </c>
      <c r="K249" s="26">
        <f>SUM(T244:T248)</f>
        <v>624.28</v>
      </c>
    </row>
    <row r="250" spans="1:29" ht="28.5" x14ac:dyDescent="0.2">
      <c r="A250" s="29"/>
      <c r="B250" s="29"/>
      <c r="C250" s="29" t="s">
        <v>410</v>
      </c>
      <c r="D250" s="30" t="s">
        <v>411</v>
      </c>
      <c r="E250" s="31">
        <f>Source!AQ201</f>
        <v>0.52</v>
      </c>
      <c r="F250" s="32"/>
      <c r="G250" s="33" t="str">
        <f>Source!DI201</f>
        <v>*1,15)*1,1</v>
      </c>
      <c r="H250" s="31">
        <f>Source!AV202</f>
        <v>1.087</v>
      </c>
      <c r="I250" s="32">
        <f>Source!U201</f>
        <v>1.4300572</v>
      </c>
      <c r="J250" s="31"/>
      <c r="K250" s="32"/>
    </row>
    <row r="251" spans="1:29" ht="15" x14ac:dyDescent="0.2">
      <c r="C251" s="34" t="s">
        <v>412</v>
      </c>
      <c r="H251" s="67">
        <f>I245+I246+I248+I249+SUM(I247:I247)-SUMIF(AC247:AC247, 5, I247:I247)-SUMIF(AC247:AC247, 6, I247:I247)</f>
        <v>129.4</v>
      </c>
      <c r="I251" s="67"/>
      <c r="J251" s="67">
        <f>K245+K246+K248+K249+SUM(K247:K247)-SUMIF(AC247:AC247, 5, K247:K247)-SUMIF(AC247:AC247, 6, K247:K247)</f>
        <v>3574.58</v>
      </c>
      <c r="K251" s="67"/>
    </row>
    <row r="252" spans="1:29" ht="15" hidden="1" x14ac:dyDescent="0.2">
      <c r="C252" s="34" t="s">
        <v>413</v>
      </c>
      <c r="H252" s="64">
        <f>SUMIF(AC247:AC247, 5, I247:I247)+SUMIF(AC247:AC247, 6, I247:I247)</f>
        <v>0</v>
      </c>
      <c r="I252" s="64"/>
      <c r="J252" s="64">
        <f>SUMIF(AC247:AC247, 5, K247:K247)+SUMIF(AC247:AC247, 6, K247:K247)</f>
        <v>0</v>
      </c>
      <c r="K252" s="64"/>
    </row>
    <row r="253" spans="1:29" ht="15" x14ac:dyDescent="0.2">
      <c r="C253" s="34" t="s">
        <v>414</v>
      </c>
      <c r="H253" s="64">
        <f>I245+I246+I248+I249+SUM(I247:I247)</f>
        <v>129.4</v>
      </c>
      <c r="I253" s="64"/>
      <c r="J253" s="64">
        <f>K245+K246+K248+K249+SUM(K247:K247)</f>
        <v>3574.58</v>
      </c>
      <c r="K253" s="64"/>
      <c r="O253" s="35">
        <f>I245+I246+I248+I249+SUM(I247:I247)</f>
        <v>129.4</v>
      </c>
      <c r="P253" s="35">
        <f>K245+K246+K248+K249+SUM(K247:K247)</f>
        <v>3574.58</v>
      </c>
    </row>
    <row r="255" spans="1:29" ht="52.5" x14ac:dyDescent="0.2">
      <c r="A255" s="22">
        <v>27</v>
      </c>
      <c r="B255" s="22" t="s">
        <v>430</v>
      </c>
      <c r="C255" s="22" t="s">
        <v>168</v>
      </c>
      <c r="D255" s="24" t="str">
        <f>Source!H205</f>
        <v>1  ШТ.</v>
      </c>
      <c r="E255" s="23">
        <f>Source!I205</f>
        <v>1</v>
      </c>
      <c r="F255" s="26"/>
      <c r="G255" s="25"/>
      <c r="H255" s="23"/>
      <c r="I255" s="26"/>
      <c r="J255" s="23"/>
      <c r="K255" s="26"/>
      <c r="Q255">
        <f>Source!X205</f>
        <v>9</v>
      </c>
      <c r="R255">
        <f>Source!X206</f>
        <v>494.71</v>
      </c>
      <c r="S255">
        <f>Source!Y205</f>
        <v>5.68</v>
      </c>
      <c r="T255">
        <f>Source!Y206</f>
        <v>312.14</v>
      </c>
      <c r="U255">
        <f>ROUND((175/100)*ROUND(Source!R205, 2), 2)</f>
        <v>0</v>
      </c>
      <c r="V255">
        <f>ROUND((0/100)*ROUND(Source!R206, 2), 2)</f>
        <v>0</v>
      </c>
      <c r="AC255">
        <v>0</v>
      </c>
    </row>
    <row r="256" spans="1:29" ht="28.5" x14ac:dyDescent="0.2">
      <c r="A256" s="22"/>
      <c r="B256" s="22"/>
      <c r="C256" s="22" t="s">
        <v>403</v>
      </c>
      <c r="D256" s="24"/>
      <c r="E256" s="23"/>
      <c r="F256" s="26">
        <f>Source!AO205</f>
        <v>7.79</v>
      </c>
      <c r="G256" s="25" t="str">
        <f>Source!DG205</f>
        <v>*1,15)*1,1</v>
      </c>
      <c r="H256" s="23">
        <f>Source!AV206</f>
        <v>1.087</v>
      </c>
      <c r="I256" s="26">
        <f>Source!S205</f>
        <v>10.71</v>
      </c>
      <c r="J256" s="23">
        <f>IF(Source!BA206&lt;&gt; 0, Source!BA206, 1)</f>
        <v>54.99</v>
      </c>
      <c r="K256" s="26">
        <f>Source!S206</f>
        <v>588.94000000000005</v>
      </c>
    </row>
    <row r="257" spans="1:29" ht="14.25" x14ac:dyDescent="0.2">
      <c r="A257" s="22"/>
      <c r="B257" s="22"/>
      <c r="C257" s="22" t="s">
        <v>406</v>
      </c>
      <c r="D257" s="24"/>
      <c r="E257" s="23"/>
      <c r="F257" s="26">
        <f>Source!AL205</f>
        <v>0.5</v>
      </c>
      <c r="G257" s="25" t="str">
        <f>Source!DD205</f>
        <v/>
      </c>
      <c r="H257" s="23">
        <f>Source!AW206</f>
        <v>1</v>
      </c>
      <c r="I257" s="26">
        <f>Source!P205</f>
        <v>0.5</v>
      </c>
      <c r="J257" s="23">
        <f>IF(Source!BC206&lt;&gt; 0, Source!BC206, 1)</f>
        <v>15.9</v>
      </c>
      <c r="K257" s="26">
        <f>Source!P206</f>
        <v>7.95</v>
      </c>
    </row>
    <row r="258" spans="1:29" ht="55.5" x14ac:dyDescent="0.2">
      <c r="A258" s="22" t="s">
        <v>196</v>
      </c>
      <c r="B258" s="22" t="str">
        <f>Source!F207</f>
        <v>КА №13</v>
      </c>
      <c r="C258" s="22" t="s">
        <v>437</v>
      </c>
      <c r="D258" s="24" t="str">
        <f>Source!H207</f>
        <v>шт.</v>
      </c>
      <c r="E258" s="23">
        <f>Source!I207</f>
        <v>1</v>
      </c>
      <c r="F258" s="26">
        <f>Source!AK207</f>
        <v>53.86</v>
      </c>
      <c r="G258" s="51" t="s">
        <v>3</v>
      </c>
      <c r="H258" s="23">
        <f>Source!AW208</f>
        <v>1</v>
      </c>
      <c r="I258" s="26">
        <f>Source!O207</f>
        <v>53.86</v>
      </c>
      <c r="J258" s="23">
        <f>IF(Source!BC208&lt;&gt; 0, Source!BC208, 1)</f>
        <v>9.8800000000000008</v>
      </c>
      <c r="K258" s="26">
        <f>Source!O208</f>
        <v>532.14</v>
      </c>
      <c r="Q258">
        <f>Source!X207</f>
        <v>0</v>
      </c>
      <c r="R258">
        <f>Source!X208</f>
        <v>0</v>
      </c>
      <c r="S258">
        <f>Source!Y207</f>
        <v>0</v>
      </c>
      <c r="T258">
        <f>Source!Y208</f>
        <v>0</v>
      </c>
      <c r="U258">
        <f>ROUND((175/100)*ROUND(Source!R207, 2), 2)</f>
        <v>0</v>
      </c>
      <c r="V258">
        <f>ROUND((0/100)*ROUND(Source!R208, 2), 2)</f>
        <v>0</v>
      </c>
      <c r="AC258">
        <v>3</v>
      </c>
    </row>
    <row r="259" spans="1:29" ht="14.25" x14ac:dyDescent="0.2">
      <c r="A259" s="22"/>
      <c r="B259" s="22"/>
      <c r="C259" s="22" t="s">
        <v>407</v>
      </c>
      <c r="D259" s="24" t="s">
        <v>408</v>
      </c>
      <c r="E259" s="23">
        <f>Source!BZ206</f>
        <v>84</v>
      </c>
      <c r="F259" s="26"/>
      <c r="G259" s="25"/>
      <c r="H259" s="23"/>
      <c r="I259" s="26">
        <f>SUM(Q255:Q258)</f>
        <v>9</v>
      </c>
      <c r="J259" s="23">
        <f>Source!AT206</f>
        <v>84</v>
      </c>
      <c r="K259" s="26">
        <f>SUM(R255:R258)</f>
        <v>494.71</v>
      </c>
    </row>
    <row r="260" spans="1:29" ht="14.25" x14ac:dyDescent="0.2">
      <c r="A260" s="22"/>
      <c r="B260" s="22"/>
      <c r="C260" s="22" t="s">
        <v>409</v>
      </c>
      <c r="D260" s="24" t="s">
        <v>408</v>
      </c>
      <c r="E260" s="23">
        <f>Source!CA206</f>
        <v>53</v>
      </c>
      <c r="F260" s="26"/>
      <c r="G260" s="25"/>
      <c r="H260" s="23"/>
      <c r="I260" s="26">
        <f>SUM(S255:S259)</f>
        <v>5.68</v>
      </c>
      <c r="J260" s="23">
        <f>Source!AU206</f>
        <v>53</v>
      </c>
      <c r="K260" s="26">
        <f>SUM(T255:T259)</f>
        <v>312.14</v>
      </c>
    </row>
    <row r="261" spans="1:29" ht="28.5" x14ac:dyDescent="0.2">
      <c r="A261" s="29"/>
      <c r="B261" s="29"/>
      <c r="C261" s="29" t="s">
        <v>410</v>
      </c>
      <c r="D261" s="30" t="s">
        <v>411</v>
      </c>
      <c r="E261" s="31">
        <f>Source!AQ205</f>
        <v>0.52</v>
      </c>
      <c r="F261" s="32"/>
      <c r="G261" s="33" t="str">
        <f>Source!DI205</f>
        <v>*1,15)*1,1</v>
      </c>
      <c r="H261" s="31">
        <f>Source!AV206</f>
        <v>1.087</v>
      </c>
      <c r="I261" s="32">
        <f>Source!U205</f>
        <v>0.71502860000000001</v>
      </c>
      <c r="J261" s="31"/>
      <c r="K261" s="32"/>
    </row>
    <row r="262" spans="1:29" ht="15" x14ac:dyDescent="0.2">
      <c r="C262" s="34" t="s">
        <v>412</v>
      </c>
      <c r="H262" s="67">
        <f>I256+I257+I259+I260+SUM(I258:I258)-SUMIF(AC258:AC258, 5, I258:I258)-SUMIF(AC258:AC258, 6, I258:I258)</f>
        <v>79.75</v>
      </c>
      <c r="I262" s="67"/>
      <c r="J262" s="67">
        <f>K256+K257+K259+K260+SUM(K258:K258)-SUMIF(AC258:AC258, 5, K258:K258)-SUMIF(AC258:AC258, 6, K258:K258)</f>
        <v>1935.88</v>
      </c>
      <c r="K262" s="67"/>
    </row>
    <row r="263" spans="1:29" ht="15" hidden="1" x14ac:dyDescent="0.2">
      <c r="C263" s="34" t="s">
        <v>413</v>
      </c>
      <c r="H263" s="64">
        <f>SUMIF(AC258:AC258, 5, I258:I258)+SUMIF(AC258:AC258, 6, I258:I258)</f>
        <v>0</v>
      </c>
      <c r="I263" s="64"/>
      <c r="J263" s="64">
        <f>SUMIF(AC258:AC258, 5, K258:K258)+SUMIF(AC258:AC258, 6, K258:K258)</f>
        <v>0</v>
      </c>
      <c r="K263" s="64"/>
    </row>
    <row r="264" spans="1:29" ht="15" x14ac:dyDescent="0.2">
      <c r="C264" s="34" t="s">
        <v>414</v>
      </c>
      <c r="H264" s="64">
        <f>I256+I257+I259+I260+SUM(I258:I258)</f>
        <v>79.75</v>
      </c>
      <c r="I264" s="64"/>
      <c r="J264" s="64">
        <f>K256+K257+K259+K260+SUM(K258:K258)</f>
        <v>1935.88</v>
      </c>
      <c r="K264" s="64"/>
      <c r="O264" s="35">
        <f>I256+I257+I259+I260+SUM(I258:I258)</f>
        <v>79.75</v>
      </c>
      <c r="P264" s="35">
        <f>K256+K257+K259+K260+SUM(K258:K258)</f>
        <v>1935.88</v>
      </c>
    </row>
    <row r="266" spans="1:29" ht="52.5" x14ac:dyDescent="0.2">
      <c r="A266" s="22">
        <v>28</v>
      </c>
      <c r="B266" s="22" t="s">
        <v>430</v>
      </c>
      <c r="C266" s="22" t="s">
        <v>168</v>
      </c>
      <c r="D266" s="24" t="str">
        <f>Source!H209</f>
        <v>1  ШТ.</v>
      </c>
      <c r="E266" s="23">
        <f>Source!I209</f>
        <v>3</v>
      </c>
      <c r="F266" s="26"/>
      <c r="G266" s="25"/>
      <c r="H266" s="23"/>
      <c r="I266" s="26"/>
      <c r="J266" s="23"/>
      <c r="K266" s="26"/>
      <c r="Q266">
        <f>Source!X209</f>
        <v>27</v>
      </c>
      <c r="R266">
        <f>Source!X210</f>
        <v>1484.6</v>
      </c>
      <c r="S266">
        <f>Source!Y209</f>
        <v>17.03</v>
      </c>
      <c r="T266">
        <f>Source!Y210</f>
        <v>936.71</v>
      </c>
      <c r="U266">
        <f>ROUND((175/100)*ROUND(Source!R209, 2), 2)</f>
        <v>0</v>
      </c>
      <c r="V266">
        <f>ROUND((0/100)*ROUND(Source!R210, 2), 2)</f>
        <v>0</v>
      </c>
      <c r="AC266">
        <v>0</v>
      </c>
    </row>
    <row r="267" spans="1:29" ht="28.5" x14ac:dyDescent="0.2">
      <c r="A267" s="22"/>
      <c r="B267" s="22"/>
      <c r="C267" s="22" t="s">
        <v>403</v>
      </c>
      <c r="D267" s="24"/>
      <c r="E267" s="23"/>
      <c r="F267" s="26">
        <f>Source!AO209</f>
        <v>7.79</v>
      </c>
      <c r="G267" s="25" t="str">
        <f>Source!DG209</f>
        <v>*1,15)*1,1</v>
      </c>
      <c r="H267" s="23">
        <f>Source!AV210</f>
        <v>1.087</v>
      </c>
      <c r="I267" s="26">
        <f>Source!S209</f>
        <v>32.14</v>
      </c>
      <c r="J267" s="23">
        <f>IF(Source!BA210&lt;&gt; 0, Source!BA210, 1)</f>
        <v>54.99</v>
      </c>
      <c r="K267" s="26">
        <f>Source!S210</f>
        <v>1767.38</v>
      </c>
    </row>
    <row r="268" spans="1:29" ht="14.25" x14ac:dyDescent="0.2">
      <c r="A268" s="22"/>
      <c r="B268" s="22"/>
      <c r="C268" s="22" t="s">
        <v>406</v>
      </c>
      <c r="D268" s="24"/>
      <c r="E268" s="23"/>
      <c r="F268" s="26">
        <f>Source!AL209</f>
        <v>0.5</v>
      </c>
      <c r="G268" s="25" t="str">
        <f>Source!DD209</f>
        <v/>
      </c>
      <c r="H268" s="23">
        <f>Source!AW210</f>
        <v>1</v>
      </c>
      <c r="I268" s="26">
        <f>Source!P209</f>
        <v>1.5</v>
      </c>
      <c r="J268" s="23">
        <f>IF(Source!BC210&lt;&gt; 0, Source!BC210, 1)</f>
        <v>15.9</v>
      </c>
      <c r="K268" s="26">
        <f>Source!P210</f>
        <v>23.85</v>
      </c>
    </row>
    <row r="269" spans="1:29" ht="55.5" x14ac:dyDescent="0.2">
      <c r="A269" s="22" t="s">
        <v>200</v>
      </c>
      <c r="B269" s="22" t="str">
        <f>Source!F211</f>
        <v>КА №14</v>
      </c>
      <c r="C269" s="22" t="s">
        <v>438</v>
      </c>
      <c r="D269" s="24" t="str">
        <f>Source!H211</f>
        <v>шт.</v>
      </c>
      <c r="E269" s="23">
        <f>Source!I211</f>
        <v>3</v>
      </c>
      <c r="F269" s="26">
        <f>Source!AK211</f>
        <v>53.86</v>
      </c>
      <c r="G269" s="51" t="s">
        <v>3</v>
      </c>
      <c r="H269" s="23">
        <f>Source!AW212</f>
        <v>1</v>
      </c>
      <c r="I269" s="26">
        <f>Source!O211</f>
        <v>161.58000000000001</v>
      </c>
      <c r="J269" s="23">
        <f>IF(Source!BC212&lt;&gt; 0, Source!BC212, 1)</f>
        <v>9.8800000000000008</v>
      </c>
      <c r="K269" s="26">
        <f>Source!O212</f>
        <v>1596.41</v>
      </c>
      <c r="Q269">
        <f>Source!X211</f>
        <v>0</v>
      </c>
      <c r="R269">
        <f>Source!X212</f>
        <v>0</v>
      </c>
      <c r="S269">
        <f>Source!Y211</f>
        <v>0</v>
      </c>
      <c r="T269">
        <f>Source!Y212</f>
        <v>0</v>
      </c>
      <c r="U269">
        <f>ROUND((175/100)*ROUND(Source!R211, 2), 2)</f>
        <v>0</v>
      </c>
      <c r="V269">
        <f>ROUND((0/100)*ROUND(Source!R212, 2), 2)</f>
        <v>0</v>
      </c>
      <c r="AC269">
        <v>3</v>
      </c>
    </row>
    <row r="270" spans="1:29" ht="14.25" x14ac:dyDescent="0.2">
      <c r="A270" s="22"/>
      <c r="B270" s="22"/>
      <c r="C270" s="22" t="s">
        <v>407</v>
      </c>
      <c r="D270" s="24" t="s">
        <v>408</v>
      </c>
      <c r="E270" s="23">
        <f>Source!BZ210</f>
        <v>84</v>
      </c>
      <c r="F270" s="26"/>
      <c r="G270" s="25"/>
      <c r="H270" s="23"/>
      <c r="I270" s="26">
        <f>SUM(Q266:Q269)</f>
        <v>27</v>
      </c>
      <c r="J270" s="23">
        <f>Source!AT210</f>
        <v>84</v>
      </c>
      <c r="K270" s="26">
        <f>SUM(R266:R269)</f>
        <v>1484.6</v>
      </c>
    </row>
    <row r="271" spans="1:29" ht="14.25" x14ac:dyDescent="0.2">
      <c r="A271" s="22"/>
      <c r="B271" s="22"/>
      <c r="C271" s="22" t="s">
        <v>409</v>
      </c>
      <c r="D271" s="24" t="s">
        <v>408</v>
      </c>
      <c r="E271" s="23">
        <f>Source!CA210</f>
        <v>53</v>
      </c>
      <c r="F271" s="26"/>
      <c r="G271" s="25"/>
      <c r="H271" s="23"/>
      <c r="I271" s="26">
        <f>SUM(S266:S270)</f>
        <v>17.03</v>
      </c>
      <c r="J271" s="23">
        <f>Source!AU210</f>
        <v>53</v>
      </c>
      <c r="K271" s="26">
        <f>SUM(T266:T270)</f>
        <v>936.71</v>
      </c>
    </row>
    <row r="272" spans="1:29" ht="28.5" x14ac:dyDescent="0.2">
      <c r="A272" s="29"/>
      <c r="B272" s="29"/>
      <c r="C272" s="29" t="s">
        <v>410</v>
      </c>
      <c r="D272" s="30" t="s">
        <v>411</v>
      </c>
      <c r="E272" s="31">
        <f>Source!AQ209</f>
        <v>0.52</v>
      </c>
      <c r="F272" s="32"/>
      <c r="G272" s="33" t="str">
        <f>Source!DI209</f>
        <v>*1,15)*1,1</v>
      </c>
      <c r="H272" s="31">
        <f>Source!AV210</f>
        <v>1.087</v>
      </c>
      <c r="I272" s="32">
        <f>Source!U209</f>
        <v>2.1450857999999999</v>
      </c>
      <c r="J272" s="31"/>
      <c r="K272" s="32"/>
    </row>
    <row r="273" spans="1:29" ht="15" x14ac:dyDescent="0.2">
      <c r="C273" s="34" t="s">
        <v>412</v>
      </c>
      <c r="H273" s="67">
        <f>I267+I268+I270+I271+SUM(I269:I269)-SUMIF(AC269:AC269, 5, I269:I269)-SUMIF(AC269:AC269, 6, I269:I269)</f>
        <v>239.25</v>
      </c>
      <c r="I273" s="67"/>
      <c r="J273" s="67">
        <f>K267+K268+K270+K271+SUM(K269:K269)-SUMIF(AC269:AC269, 5, K269:K269)-SUMIF(AC269:AC269, 6, K269:K269)</f>
        <v>5808.95</v>
      </c>
      <c r="K273" s="67"/>
    </row>
    <row r="274" spans="1:29" ht="15" hidden="1" x14ac:dyDescent="0.2">
      <c r="C274" s="34" t="s">
        <v>413</v>
      </c>
      <c r="H274" s="64">
        <f>SUMIF(AC269:AC269, 5, I269:I269)+SUMIF(AC269:AC269, 6, I269:I269)</f>
        <v>0</v>
      </c>
      <c r="I274" s="64"/>
      <c r="J274" s="64">
        <f>SUMIF(AC269:AC269, 5, K269:K269)+SUMIF(AC269:AC269, 6, K269:K269)</f>
        <v>0</v>
      </c>
      <c r="K274" s="64"/>
    </row>
    <row r="275" spans="1:29" ht="15" x14ac:dyDescent="0.2">
      <c r="C275" s="34" t="s">
        <v>414</v>
      </c>
      <c r="H275" s="64">
        <f>I267+I268+I270+I271+SUM(I269:I269)</f>
        <v>239.25</v>
      </c>
      <c r="I275" s="64"/>
      <c r="J275" s="64">
        <f>K267+K268+K270+K271+SUM(K269:K269)</f>
        <v>5808.95</v>
      </c>
      <c r="K275" s="64"/>
      <c r="O275" s="35">
        <f>I267+I268+I270+I271+SUM(I269:I269)</f>
        <v>239.25</v>
      </c>
      <c r="P275" s="35">
        <f>K267+K268+K270+K271+SUM(K269:K269)</f>
        <v>5808.95</v>
      </c>
    </row>
    <row r="277" spans="1:29" ht="52.5" x14ac:dyDescent="0.2">
      <c r="A277" s="22">
        <v>29</v>
      </c>
      <c r="B277" s="22" t="s">
        <v>430</v>
      </c>
      <c r="C277" s="22" t="s">
        <v>168</v>
      </c>
      <c r="D277" s="24" t="str">
        <f>Source!H213</f>
        <v>1  ШТ.</v>
      </c>
      <c r="E277" s="23">
        <f>Source!I213</f>
        <v>3</v>
      </c>
      <c r="F277" s="26"/>
      <c r="G277" s="25"/>
      <c r="H277" s="23"/>
      <c r="I277" s="26"/>
      <c r="J277" s="23"/>
      <c r="K277" s="26"/>
      <c r="Q277">
        <f>Source!X213</f>
        <v>27</v>
      </c>
      <c r="R277">
        <f>Source!X214</f>
        <v>1484.6</v>
      </c>
      <c r="S277">
        <f>Source!Y213</f>
        <v>17.03</v>
      </c>
      <c r="T277">
        <f>Source!Y214</f>
        <v>936.71</v>
      </c>
      <c r="U277">
        <f>ROUND((175/100)*ROUND(Source!R213, 2), 2)</f>
        <v>0</v>
      </c>
      <c r="V277">
        <f>ROUND((0/100)*ROUND(Source!R214, 2), 2)</f>
        <v>0</v>
      </c>
      <c r="AC277">
        <v>0</v>
      </c>
    </row>
    <row r="278" spans="1:29" ht="28.5" x14ac:dyDescent="0.2">
      <c r="A278" s="22"/>
      <c r="B278" s="22"/>
      <c r="C278" s="22" t="s">
        <v>403</v>
      </c>
      <c r="D278" s="24"/>
      <c r="E278" s="23"/>
      <c r="F278" s="26">
        <f>Source!AO213</f>
        <v>7.79</v>
      </c>
      <c r="G278" s="25" t="str">
        <f>Source!DG213</f>
        <v>*1,15)*1,1</v>
      </c>
      <c r="H278" s="23">
        <f>Source!AV214</f>
        <v>1.087</v>
      </c>
      <c r="I278" s="26">
        <f>Source!S213</f>
        <v>32.14</v>
      </c>
      <c r="J278" s="23">
        <f>IF(Source!BA214&lt;&gt; 0, Source!BA214, 1)</f>
        <v>54.99</v>
      </c>
      <c r="K278" s="26">
        <f>Source!S214</f>
        <v>1767.38</v>
      </c>
    </row>
    <row r="279" spans="1:29" ht="14.25" x14ac:dyDescent="0.2">
      <c r="A279" s="22"/>
      <c r="B279" s="22"/>
      <c r="C279" s="22" t="s">
        <v>406</v>
      </c>
      <c r="D279" s="24"/>
      <c r="E279" s="23"/>
      <c r="F279" s="26">
        <f>Source!AL213</f>
        <v>0.5</v>
      </c>
      <c r="G279" s="25" t="str">
        <f>Source!DD213</f>
        <v/>
      </c>
      <c r="H279" s="23">
        <f>Source!AW214</f>
        <v>1</v>
      </c>
      <c r="I279" s="26">
        <f>Source!P213</f>
        <v>1.5</v>
      </c>
      <c r="J279" s="23">
        <f>IF(Source!BC214&lt;&gt; 0, Source!BC214, 1)</f>
        <v>15.9</v>
      </c>
      <c r="K279" s="26">
        <f>Source!P214</f>
        <v>23.85</v>
      </c>
    </row>
    <row r="280" spans="1:29" ht="41.25" x14ac:dyDescent="0.2">
      <c r="A280" s="22" t="s">
        <v>204</v>
      </c>
      <c r="B280" s="22" t="str">
        <f>Source!F215</f>
        <v>КА №15</v>
      </c>
      <c r="C280" s="22" t="s">
        <v>439</v>
      </c>
      <c r="D280" s="24" t="str">
        <f>Source!H215</f>
        <v>шт.</v>
      </c>
      <c r="E280" s="23">
        <f>Source!I215</f>
        <v>3</v>
      </c>
      <c r="F280" s="26">
        <f>Source!AK215</f>
        <v>53.86</v>
      </c>
      <c r="G280" s="51" t="s">
        <v>3</v>
      </c>
      <c r="H280" s="23">
        <f>Source!AW216</f>
        <v>1</v>
      </c>
      <c r="I280" s="26">
        <f>Source!O215</f>
        <v>161.58000000000001</v>
      </c>
      <c r="J280" s="23">
        <f>IF(Source!BC216&lt;&gt; 0, Source!BC216, 1)</f>
        <v>9.8800000000000008</v>
      </c>
      <c r="K280" s="26">
        <f>Source!O216</f>
        <v>1596.41</v>
      </c>
      <c r="Q280">
        <f>Source!X215</f>
        <v>0</v>
      </c>
      <c r="R280">
        <f>Source!X216</f>
        <v>0</v>
      </c>
      <c r="S280">
        <f>Source!Y215</f>
        <v>0</v>
      </c>
      <c r="T280">
        <f>Source!Y216</f>
        <v>0</v>
      </c>
      <c r="U280">
        <f>ROUND((175/100)*ROUND(Source!R215, 2), 2)</f>
        <v>0</v>
      </c>
      <c r="V280">
        <f>ROUND((0/100)*ROUND(Source!R216, 2), 2)</f>
        <v>0</v>
      </c>
      <c r="AC280">
        <v>3</v>
      </c>
    </row>
    <row r="281" spans="1:29" ht="14.25" x14ac:dyDescent="0.2">
      <c r="A281" s="22"/>
      <c r="B281" s="22"/>
      <c r="C281" s="22" t="s">
        <v>407</v>
      </c>
      <c r="D281" s="24" t="s">
        <v>408</v>
      </c>
      <c r="E281" s="23">
        <f>Source!BZ214</f>
        <v>84</v>
      </c>
      <c r="F281" s="26"/>
      <c r="G281" s="25"/>
      <c r="H281" s="23"/>
      <c r="I281" s="26">
        <f>SUM(Q277:Q280)</f>
        <v>27</v>
      </c>
      <c r="J281" s="23">
        <f>Source!AT214</f>
        <v>84</v>
      </c>
      <c r="K281" s="26">
        <f>SUM(R277:R280)</f>
        <v>1484.6</v>
      </c>
    </row>
    <row r="282" spans="1:29" ht="14.25" x14ac:dyDescent="0.2">
      <c r="A282" s="22"/>
      <c r="B282" s="22"/>
      <c r="C282" s="22" t="s">
        <v>409</v>
      </c>
      <c r="D282" s="24" t="s">
        <v>408</v>
      </c>
      <c r="E282" s="23">
        <f>Source!CA214</f>
        <v>53</v>
      </c>
      <c r="F282" s="26"/>
      <c r="G282" s="25"/>
      <c r="H282" s="23"/>
      <c r="I282" s="26">
        <f>SUM(S277:S281)</f>
        <v>17.03</v>
      </c>
      <c r="J282" s="23">
        <f>Source!AU214</f>
        <v>53</v>
      </c>
      <c r="K282" s="26">
        <f>SUM(T277:T281)</f>
        <v>936.71</v>
      </c>
    </row>
    <row r="283" spans="1:29" ht="28.5" x14ac:dyDescent="0.2">
      <c r="A283" s="29"/>
      <c r="B283" s="29"/>
      <c r="C283" s="29" t="s">
        <v>410</v>
      </c>
      <c r="D283" s="30" t="s">
        <v>411</v>
      </c>
      <c r="E283" s="31">
        <f>Source!AQ213</f>
        <v>0.52</v>
      </c>
      <c r="F283" s="32"/>
      <c r="G283" s="33" t="str">
        <f>Source!DI213</f>
        <v>*1,15)*1,1</v>
      </c>
      <c r="H283" s="31">
        <f>Source!AV214</f>
        <v>1.087</v>
      </c>
      <c r="I283" s="32">
        <f>Source!U213</f>
        <v>2.1450857999999999</v>
      </c>
      <c r="J283" s="31"/>
      <c r="K283" s="32"/>
    </row>
    <row r="284" spans="1:29" ht="15" x14ac:dyDescent="0.2">
      <c r="C284" s="34" t="s">
        <v>412</v>
      </c>
      <c r="H284" s="67">
        <f>I278+I279+I281+I282+SUM(I280:I280)-SUMIF(AC280:AC280, 5, I280:I280)-SUMIF(AC280:AC280, 6, I280:I280)</f>
        <v>239.25</v>
      </c>
      <c r="I284" s="67"/>
      <c r="J284" s="67">
        <f>K278+K279+K281+K282+SUM(K280:K280)-SUMIF(AC280:AC280, 5, K280:K280)-SUMIF(AC280:AC280, 6, K280:K280)</f>
        <v>5808.95</v>
      </c>
      <c r="K284" s="67"/>
    </row>
    <row r="285" spans="1:29" ht="15" hidden="1" x14ac:dyDescent="0.2">
      <c r="C285" s="34" t="s">
        <v>413</v>
      </c>
      <c r="H285" s="64">
        <f>SUMIF(AC280:AC280, 5, I280:I280)+SUMIF(AC280:AC280, 6, I280:I280)</f>
        <v>0</v>
      </c>
      <c r="I285" s="64"/>
      <c r="J285" s="64">
        <f>SUMIF(AC280:AC280, 5, K280:K280)+SUMIF(AC280:AC280, 6, K280:K280)</f>
        <v>0</v>
      </c>
      <c r="K285" s="64"/>
    </row>
    <row r="286" spans="1:29" ht="15" x14ac:dyDescent="0.2">
      <c r="C286" s="34" t="s">
        <v>414</v>
      </c>
      <c r="H286" s="64">
        <f>I278+I279+I281+I282+SUM(I280:I280)</f>
        <v>239.25</v>
      </c>
      <c r="I286" s="64"/>
      <c r="J286" s="64">
        <f>K278+K279+K281+K282+SUM(K280:K280)</f>
        <v>5808.95</v>
      </c>
      <c r="K286" s="64"/>
      <c r="O286" s="35">
        <f>I278+I279+I281+I282+SUM(I280:I280)</f>
        <v>239.25</v>
      </c>
      <c r="P286" s="35">
        <f>K278+K279+K281+K282+SUM(K280:K280)</f>
        <v>5808.95</v>
      </c>
    </row>
    <row r="288" spans="1:29" ht="52.5" x14ac:dyDescent="0.2">
      <c r="A288" s="22">
        <v>30</v>
      </c>
      <c r="B288" s="22" t="s">
        <v>430</v>
      </c>
      <c r="C288" s="22" t="s">
        <v>168</v>
      </c>
      <c r="D288" s="24" t="str">
        <f>Source!H217</f>
        <v>1  ШТ.</v>
      </c>
      <c r="E288" s="23">
        <f>Source!I217</f>
        <v>12</v>
      </c>
      <c r="F288" s="26"/>
      <c r="G288" s="25"/>
      <c r="H288" s="23"/>
      <c r="I288" s="26"/>
      <c r="J288" s="23"/>
      <c r="K288" s="26"/>
      <c r="Q288">
        <f>Source!X217</f>
        <v>107.97</v>
      </c>
      <c r="R288">
        <f>Source!X218</f>
        <v>5937.46</v>
      </c>
      <c r="S288">
        <f>Source!Y217</f>
        <v>68.13</v>
      </c>
      <c r="T288">
        <f>Source!Y218</f>
        <v>3746.26</v>
      </c>
      <c r="U288">
        <f>ROUND((175/100)*ROUND(Source!R217, 2), 2)</f>
        <v>0</v>
      </c>
      <c r="V288">
        <f>ROUND((0/100)*ROUND(Source!R218, 2), 2)</f>
        <v>0</v>
      </c>
      <c r="AC288">
        <v>0</v>
      </c>
    </row>
    <row r="289" spans="1:29" ht="28.5" x14ac:dyDescent="0.2">
      <c r="A289" s="22"/>
      <c r="B289" s="22"/>
      <c r="C289" s="22" t="s">
        <v>403</v>
      </c>
      <c r="D289" s="24"/>
      <c r="E289" s="23"/>
      <c r="F289" s="26">
        <f>Source!AO217</f>
        <v>7.79</v>
      </c>
      <c r="G289" s="25" t="str">
        <f>Source!DG217</f>
        <v>*1,15)*1,1</v>
      </c>
      <c r="H289" s="23">
        <f>Source!AV218</f>
        <v>1.087</v>
      </c>
      <c r="I289" s="26">
        <f>Source!S217</f>
        <v>128.54</v>
      </c>
      <c r="J289" s="23">
        <f>IF(Source!BA218&lt;&gt; 0, Source!BA218, 1)</f>
        <v>54.99</v>
      </c>
      <c r="K289" s="26">
        <f>Source!S218</f>
        <v>7068.41</v>
      </c>
    </row>
    <row r="290" spans="1:29" ht="14.25" x14ac:dyDescent="0.2">
      <c r="A290" s="22"/>
      <c r="B290" s="22"/>
      <c r="C290" s="22" t="s">
        <v>406</v>
      </c>
      <c r="D290" s="24"/>
      <c r="E290" s="23"/>
      <c r="F290" s="26">
        <f>Source!AL217</f>
        <v>0.5</v>
      </c>
      <c r="G290" s="25" t="str">
        <f>Source!DD217</f>
        <v/>
      </c>
      <c r="H290" s="23">
        <f>Source!AW218</f>
        <v>1</v>
      </c>
      <c r="I290" s="26">
        <f>Source!P217</f>
        <v>6</v>
      </c>
      <c r="J290" s="23">
        <f>IF(Source!BC218&lt;&gt; 0, Source!BC218, 1)</f>
        <v>15.9</v>
      </c>
      <c r="K290" s="26">
        <f>Source!P218</f>
        <v>95.4</v>
      </c>
    </row>
    <row r="291" spans="1:29" ht="55.5" x14ac:dyDescent="0.2">
      <c r="A291" s="22" t="s">
        <v>208</v>
      </c>
      <c r="B291" s="22" t="str">
        <f>Source!F219</f>
        <v>КА №16</v>
      </c>
      <c r="C291" s="22" t="s">
        <v>440</v>
      </c>
      <c r="D291" s="24" t="str">
        <f>Source!H219</f>
        <v>шт.</v>
      </c>
      <c r="E291" s="23">
        <f>Source!I219</f>
        <v>12</v>
      </c>
      <c r="F291" s="26">
        <f>Source!AK219</f>
        <v>225.79000000000002</v>
      </c>
      <c r="G291" s="51" t="s">
        <v>3</v>
      </c>
      <c r="H291" s="23">
        <f>Source!AW220</f>
        <v>1</v>
      </c>
      <c r="I291" s="26">
        <f>Source!O219</f>
        <v>2709.48</v>
      </c>
      <c r="J291" s="23">
        <f>IF(Source!BC220&lt;&gt; 0, Source!BC220, 1)</f>
        <v>9.8800000000000008</v>
      </c>
      <c r="K291" s="26">
        <f>Source!O220</f>
        <v>26769.66</v>
      </c>
      <c r="Q291">
        <f>Source!X219</f>
        <v>0</v>
      </c>
      <c r="R291">
        <f>Source!X220</f>
        <v>0</v>
      </c>
      <c r="S291">
        <f>Source!Y219</f>
        <v>0</v>
      </c>
      <c r="T291">
        <f>Source!Y220</f>
        <v>0</v>
      </c>
      <c r="U291">
        <f>ROUND((175/100)*ROUND(Source!R219, 2), 2)</f>
        <v>0</v>
      </c>
      <c r="V291">
        <f>ROUND((0/100)*ROUND(Source!R220, 2), 2)</f>
        <v>0</v>
      </c>
      <c r="AC291">
        <v>3</v>
      </c>
    </row>
    <row r="292" spans="1:29" ht="14.25" x14ac:dyDescent="0.2">
      <c r="A292" s="22"/>
      <c r="B292" s="22"/>
      <c r="C292" s="22" t="s">
        <v>407</v>
      </c>
      <c r="D292" s="24" t="s">
        <v>408</v>
      </c>
      <c r="E292" s="23">
        <f>Source!BZ218</f>
        <v>84</v>
      </c>
      <c r="F292" s="26"/>
      <c r="G292" s="25"/>
      <c r="H292" s="23"/>
      <c r="I292" s="26">
        <f>SUM(Q288:Q291)</f>
        <v>107.97</v>
      </c>
      <c r="J292" s="23">
        <f>Source!AT218</f>
        <v>84</v>
      </c>
      <c r="K292" s="26">
        <f>SUM(R288:R291)</f>
        <v>5937.46</v>
      </c>
    </row>
    <row r="293" spans="1:29" ht="14.25" x14ac:dyDescent="0.2">
      <c r="A293" s="22"/>
      <c r="B293" s="22"/>
      <c r="C293" s="22" t="s">
        <v>409</v>
      </c>
      <c r="D293" s="24" t="s">
        <v>408</v>
      </c>
      <c r="E293" s="23">
        <f>Source!CA218</f>
        <v>53</v>
      </c>
      <c r="F293" s="26"/>
      <c r="G293" s="25"/>
      <c r="H293" s="23"/>
      <c r="I293" s="26">
        <f>SUM(S288:S292)</f>
        <v>68.13</v>
      </c>
      <c r="J293" s="23">
        <f>Source!AU218</f>
        <v>53</v>
      </c>
      <c r="K293" s="26">
        <f>SUM(T288:T292)</f>
        <v>3746.26</v>
      </c>
    </row>
    <row r="294" spans="1:29" ht="28.5" x14ac:dyDescent="0.2">
      <c r="A294" s="29"/>
      <c r="B294" s="29"/>
      <c r="C294" s="29" t="s">
        <v>410</v>
      </c>
      <c r="D294" s="30" t="s">
        <v>411</v>
      </c>
      <c r="E294" s="31">
        <f>Source!AQ217</f>
        <v>0.52</v>
      </c>
      <c r="F294" s="32"/>
      <c r="G294" s="33" t="str">
        <f>Source!DI217</f>
        <v>*1,15)*1,1</v>
      </c>
      <c r="H294" s="31">
        <f>Source!AV218</f>
        <v>1.087</v>
      </c>
      <c r="I294" s="32">
        <f>Source!U217</f>
        <v>8.5803431999999997</v>
      </c>
      <c r="J294" s="31"/>
      <c r="K294" s="32"/>
    </row>
    <row r="295" spans="1:29" ht="15" x14ac:dyDescent="0.2">
      <c r="C295" s="34" t="s">
        <v>412</v>
      </c>
      <c r="H295" s="67">
        <f>I289+I290+I292+I293+SUM(I291:I291)-SUMIF(AC291:AC291, 5, I291:I291)-SUMIF(AC291:AC291, 6, I291:I291)</f>
        <v>3020.12</v>
      </c>
      <c r="I295" s="67"/>
      <c r="J295" s="67">
        <f>K289+K290+K292+K293+SUM(K291:K291)-SUMIF(AC291:AC291, 5, K291:K291)-SUMIF(AC291:AC291, 6, K291:K291)</f>
        <v>43617.19</v>
      </c>
      <c r="K295" s="67"/>
    </row>
    <row r="296" spans="1:29" ht="15" hidden="1" x14ac:dyDescent="0.2">
      <c r="C296" s="34" t="s">
        <v>413</v>
      </c>
      <c r="H296" s="64">
        <f>SUMIF(AC291:AC291, 5, I291:I291)+SUMIF(AC291:AC291, 6, I291:I291)</f>
        <v>0</v>
      </c>
      <c r="I296" s="64"/>
      <c r="J296" s="64">
        <f>SUMIF(AC291:AC291, 5, K291:K291)+SUMIF(AC291:AC291, 6, K291:K291)</f>
        <v>0</v>
      </c>
      <c r="K296" s="64"/>
    </row>
    <row r="297" spans="1:29" ht="15" x14ac:dyDescent="0.2">
      <c r="C297" s="34" t="s">
        <v>414</v>
      </c>
      <c r="H297" s="64">
        <f>I289+I290+I292+I293+SUM(I291:I291)</f>
        <v>3020.12</v>
      </c>
      <c r="I297" s="64"/>
      <c r="J297" s="64">
        <f>K289+K290+K292+K293+SUM(K291:K291)</f>
        <v>43617.19</v>
      </c>
      <c r="K297" s="64"/>
      <c r="O297" s="35">
        <f>I289+I290+I292+I293+SUM(I291:I291)</f>
        <v>3020.12</v>
      </c>
      <c r="P297" s="35">
        <f>K289+K290+K292+K293+SUM(K291:K291)</f>
        <v>43617.19</v>
      </c>
    </row>
    <row r="299" spans="1:29" ht="52.5" x14ac:dyDescent="0.2">
      <c r="A299" s="22">
        <v>31</v>
      </c>
      <c r="B299" s="22" t="s">
        <v>430</v>
      </c>
      <c r="C299" s="22" t="s">
        <v>168</v>
      </c>
      <c r="D299" s="24" t="str">
        <f>Source!H221</f>
        <v>1  ШТ.</v>
      </c>
      <c r="E299" s="23">
        <f>Source!I221</f>
        <v>1</v>
      </c>
      <c r="F299" s="26"/>
      <c r="G299" s="25"/>
      <c r="H299" s="23"/>
      <c r="I299" s="26"/>
      <c r="J299" s="23"/>
      <c r="K299" s="26"/>
      <c r="Q299">
        <f>Source!X221</f>
        <v>9</v>
      </c>
      <c r="R299">
        <f>Source!X222</f>
        <v>494.71</v>
      </c>
      <c r="S299">
        <f>Source!Y221</f>
        <v>5.68</v>
      </c>
      <c r="T299">
        <f>Source!Y222</f>
        <v>312.14</v>
      </c>
      <c r="U299">
        <f>ROUND((175/100)*ROUND(Source!R221, 2), 2)</f>
        <v>0</v>
      </c>
      <c r="V299">
        <f>ROUND((0/100)*ROUND(Source!R222, 2), 2)</f>
        <v>0</v>
      </c>
      <c r="AC299">
        <v>0</v>
      </c>
    </row>
    <row r="300" spans="1:29" ht="28.5" x14ac:dyDescent="0.2">
      <c r="A300" s="22"/>
      <c r="B300" s="22"/>
      <c r="C300" s="22" t="s">
        <v>403</v>
      </c>
      <c r="D300" s="24"/>
      <c r="E300" s="23"/>
      <c r="F300" s="26">
        <f>Source!AO221</f>
        <v>7.79</v>
      </c>
      <c r="G300" s="25" t="str">
        <f>Source!DG221</f>
        <v>*1,15)*1,1</v>
      </c>
      <c r="H300" s="23">
        <f>Source!AV222</f>
        <v>1.087</v>
      </c>
      <c r="I300" s="26">
        <f>Source!S221</f>
        <v>10.71</v>
      </c>
      <c r="J300" s="23">
        <f>IF(Source!BA222&lt;&gt; 0, Source!BA222, 1)</f>
        <v>54.99</v>
      </c>
      <c r="K300" s="26">
        <f>Source!S222</f>
        <v>588.94000000000005</v>
      </c>
    </row>
    <row r="301" spans="1:29" ht="14.25" x14ac:dyDescent="0.2">
      <c r="A301" s="22"/>
      <c r="B301" s="22"/>
      <c r="C301" s="22" t="s">
        <v>406</v>
      </c>
      <c r="D301" s="24"/>
      <c r="E301" s="23"/>
      <c r="F301" s="26">
        <f>Source!AL221</f>
        <v>0.5</v>
      </c>
      <c r="G301" s="25" t="str">
        <f>Source!DD221</f>
        <v/>
      </c>
      <c r="H301" s="23">
        <f>Source!AW222</f>
        <v>1</v>
      </c>
      <c r="I301" s="26">
        <f>Source!P221</f>
        <v>0.5</v>
      </c>
      <c r="J301" s="23">
        <f>IF(Source!BC222&lt;&gt; 0, Source!BC222, 1)</f>
        <v>15.9</v>
      </c>
      <c r="K301" s="26">
        <f>Source!P222</f>
        <v>7.95</v>
      </c>
    </row>
    <row r="302" spans="1:29" ht="55.5" x14ac:dyDescent="0.2">
      <c r="A302" s="22" t="s">
        <v>213</v>
      </c>
      <c r="B302" s="22" t="str">
        <f>Source!F223</f>
        <v>КА №17</v>
      </c>
      <c r="C302" s="22" t="s">
        <v>441</v>
      </c>
      <c r="D302" s="24" t="str">
        <f>Source!H223</f>
        <v>шт.</v>
      </c>
      <c r="E302" s="23">
        <f>Source!I223</f>
        <v>1</v>
      </c>
      <c r="F302" s="26">
        <f>Source!AK223</f>
        <v>30.87</v>
      </c>
      <c r="G302" s="51" t="s">
        <v>3</v>
      </c>
      <c r="H302" s="23">
        <f>Source!AW224</f>
        <v>1</v>
      </c>
      <c r="I302" s="26">
        <f>Source!O223</f>
        <v>30.87</v>
      </c>
      <c r="J302" s="23">
        <f>IF(Source!BC224&lt;&gt; 0, Source!BC224, 1)</f>
        <v>9.8800000000000008</v>
      </c>
      <c r="K302" s="26">
        <f>Source!O224</f>
        <v>305</v>
      </c>
      <c r="Q302">
        <f>Source!X223</f>
        <v>0</v>
      </c>
      <c r="R302">
        <f>Source!X224</f>
        <v>0</v>
      </c>
      <c r="S302">
        <f>Source!Y223</f>
        <v>0</v>
      </c>
      <c r="T302">
        <f>Source!Y224</f>
        <v>0</v>
      </c>
      <c r="U302">
        <f>ROUND((175/100)*ROUND(Source!R223, 2), 2)</f>
        <v>0</v>
      </c>
      <c r="V302">
        <f>ROUND((0/100)*ROUND(Source!R224, 2), 2)</f>
        <v>0</v>
      </c>
      <c r="AC302">
        <v>3</v>
      </c>
    </row>
    <row r="303" spans="1:29" ht="14.25" x14ac:dyDescent="0.2">
      <c r="A303" s="22"/>
      <c r="B303" s="22"/>
      <c r="C303" s="22" t="s">
        <v>407</v>
      </c>
      <c r="D303" s="24" t="s">
        <v>408</v>
      </c>
      <c r="E303" s="23">
        <f>Source!BZ222</f>
        <v>84</v>
      </c>
      <c r="F303" s="26"/>
      <c r="G303" s="25"/>
      <c r="H303" s="23"/>
      <c r="I303" s="26">
        <f>SUM(Q299:Q302)</f>
        <v>9</v>
      </c>
      <c r="J303" s="23">
        <f>Source!AT222</f>
        <v>84</v>
      </c>
      <c r="K303" s="26">
        <f>SUM(R299:R302)</f>
        <v>494.71</v>
      </c>
    </row>
    <row r="304" spans="1:29" ht="14.25" x14ac:dyDescent="0.2">
      <c r="A304" s="22"/>
      <c r="B304" s="22"/>
      <c r="C304" s="22" t="s">
        <v>409</v>
      </c>
      <c r="D304" s="24" t="s">
        <v>408</v>
      </c>
      <c r="E304" s="23">
        <f>Source!CA222</f>
        <v>53</v>
      </c>
      <c r="F304" s="26"/>
      <c r="G304" s="25"/>
      <c r="H304" s="23"/>
      <c r="I304" s="26">
        <f>SUM(S299:S303)</f>
        <v>5.68</v>
      </c>
      <c r="J304" s="23">
        <f>Source!AU222</f>
        <v>53</v>
      </c>
      <c r="K304" s="26">
        <f>SUM(T299:T303)</f>
        <v>312.14</v>
      </c>
    </row>
    <row r="305" spans="1:29" ht="28.5" x14ac:dyDescent="0.2">
      <c r="A305" s="29"/>
      <c r="B305" s="29"/>
      <c r="C305" s="29" t="s">
        <v>410</v>
      </c>
      <c r="D305" s="30" t="s">
        <v>411</v>
      </c>
      <c r="E305" s="31">
        <f>Source!AQ221</f>
        <v>0.52</v>
      </c>
      <c r="F305" s="32"/>
      <c r="G305" s="33" t="str">
        <f>Source!DI221</f>
        <v>*1,15)*1,1</v>
      </c>
      <c r="H305" s="31">
        <f>Source!AV222</f>
        <v>1.087</v>
      </c>
      <c r="I305" s="32">
        <f>Source!U221</f>
        <v>0.71502860000000001</v>
      </c>
      <c r="J305" s="31"/>
      <c r="K305" s="32"/>
    </row>
    <row r="306" spans="1:29" ht="15" x14ac:dyDescent="0.2">
      <c r="C306" s="34" t="s">
        <v>412</v>
      </c>
      <c r="H306" s="67">
        <f>I300+I301+I303+I304+SUM(I302:I302)-SUMIF(AC302:AC302, 5, I302:I302)-SUMIF(AC302:AC302, 6, I302:I302)</f>
        <v>56.760000000000005</v>
      </c>
      <c r="I306" s="67"/>
      <c r="J306" s="67">
        <f>K300+K301+K303+K304+SUM(K302:K302)-SUMIF(AC302:AC302, 5, K302:K302)-SUMIF(AC302:AC302, 6, K302:K302)</f>
        <v>1708.7400000000002</v>
      </c>
      <c r="K306" s="67"/>
    </row>
    <row r="307" spans="1:29" ht="15" hidden="1" x14ac:dyDescent="0.2">
      <c r="C307" s="34" t="s">
        <v>413</v>
      </c>
      <c r="H307" s="64">
        <f>SUMIF(AC302:AC302, 5, I302:I302)+SUMIF(AC302:AC302, 6, I302:I302)</f>
        <v>0</v>
      </c>
      <c r="I307" s="64"/>
      <c r="J307" s="64">
        <f>SUMIF(AC302:AC302, 5, K302:K302)+SUMIF(AC302:AC302, 6, K302:K302)</f>
        <v>0</v>
      </c>
      <c r="K307" s="64"/>
    </row>
    <row r="308" spans="1:29" ht="15" x14ac:dyDescent="0.2">
      <c r="C308" s="34" t="s">
        <v>414</v>
      </c>
      <c r="H308" s="64">
        <f>I300+I301+I303+I304+SUM(I302:I302)</f>
        <v>56.760000000000005</v>
      </c>
      <c r="I308" s="64"/>
      <c r="J308" s="64">
        <f>K300+K301+K303+K304+SUM(K302:K302)</f>
        <v>1708.7400000000002</v>
      </c>
      <c r="K308" s="64"/>
      <c r="O308" s="35">
        <f>I300+I301+I303+I304+SUM(I302:I302)</f>
        <v>56.760000000000005</v>
      </c>
      <c r="P308" s="35">
        <f>K300+K301+K303+K304+SUM(K302:K302)</f>
        <v>1708.7400000000002</v>
      </c>
    </row>
    <row r="310" spans="1:29" ht="52.5" x14ac:dyDescent="0.2">
      <c r="A310" s="22">
        <v>32</v>
      </c>
      <c r="B310" s="22" t="s">
        <v>430</v>
      </c>
      <c r="C310" s="22" t="s">
        <v>168</v>
      </c>
      <c r="D310" s="24" t="str">
        <f>Source!H225</f>
        <v>1  ШТ.</v>
      </c>
      <c r="E310" s="23">
        <f>Source!I225</f>
        <v>1</v>
      </c>
      <c r="F310" s="26"/>
      <c r="G310" s="25"/>
      <c r="H310" s="23"/>
      <c r="I310" s="26"/>
      <c r="J310" s="23"/>
      <c r="K310" s="26"/>
      <c r="Q310">
        <f>Source!X225</f>
        <v>9</v>
      </c>
      <c r="R310">
        <f>Source!X226</f>
        <v>494.71</v>
      </c>
      <c r="S310">
        <f>Source!Y225</f>
        <v>5.68</v>
      </c>
      <c r="T310">
        <f>Source!Y226</f>
        <v>312.14</v>
      </c>
      <c r="U310">
        <f>ROUND((175/100)*ROUND(Source!R225, 2), 2)</f>
        <v>0</v>
      </c>
      <c r="V310">
        <f>ROUND((0/100)*ROUND(Source!R226, 2), 2)</f>
        <v>0</v>
      </c>
      <c r="AC310">
        <v>0</v>
      </c>
    </row>
    <row r="311" spans="1:29" ht="28.5" x14ac:dyDescent="0.2">
      <c r="A311" s="22"/>
      <c r="B311" s="22"/>
      <c r="C311" s="22" t="s">
        <v>403</v>
      </c>
      <c r="D311" s="24"/>
      <c r="E311" s="23"/>
      <c r="F311" s="26">
        <f>Source!AO225</f>
        <v>7.79</v>
      </c>
      <c r="G311" s="25" t="str">
        <f>Source!DG225</f>
        <v>*1,15)*1,1</v>
      </c>
      <c r="H311" s="23">
        <f>Source!AV226</f>
        <v>1.087</v>
      </c>
      <c r="I311" s="26">
        <f>Source!S225</f>
        <v>10.71</v>
      </c>
      <c r="J311" s="23">
        <f>IF(Source!BA226&lt;&gt; 0, Source!BA226, 1)</f>
        <v>54.99</v>
      </c>
      <c r="K311" s="26">
        <f>Source!S226</f>
        <v>588.94000000000005</v>
      </c>
    </row>
    <row r="312" spans="1:29" ht="14.25" x14ac:dyDescent="0.2">
      <c r="A312" s="22"/>
      <c r="B312" s="22"/>
      <c r="C312" s="22" t="s">
        <v>406</v>
      </c>
      <c r="D312" s="24"/>
      <c r="E312" s="23"/>
      <c r="F312" s="26">
        <f>Source!AL225</f>
        <v>0.5</v>
      </c>
      <c r="G312" s="25" t="str">
        <f>Source!DD225</f>
        <v/>
      </c>
      <c r="H312" s="23">
        <f>Source!AW226</f>
        <v>1</v>
      </c>
      <c r="I312" s="26">
        <f>Source!P225</f>
        <v>0.5</v>
      </c>
      <c r="J312" s="23">
        <f>IF(Source!BC226&lt;&gt; 0, Source!BC226, 1)</f>
        <v>15.9</v>
      </c>
      <c r="K312" s="26">
        <f>Source!P226</f>
        <v>7.95</v>
      </c>
    </row>
    <row r="313" spans="1:29" ht="55.5" x14ac:dyDescent="0.2">
      <c r="A313" s="22" t="s">
        <v>218</v>
      </c>
      <c r="B313" s="22" t="str">
        <f>Source!F227</f>
        <v>КА №18</v>
      </c>
      <c r="C313" s="22" t="s">
        <v>442</v>
      </c>
      <c r="D313" s="24" t="str">
        <f>Source!H227</f>
        <v>шт.</v>
      </c>
      <c r="E313" s="23">
        <f>Source!I227</f>
        <v>1</v>
      </c>
      <c r="F313" s="26">
        <f>Source!AK227</f>
        <v>30.87</v>
      </c>
      <c r="G313" s="51" t="s">
        <v>3</v>
      </c>
      <c r="H313" s="23">
        <f>Source!AW228</f>
        <v>1</v>
      </c>
      <c r="I313" s="26">
        <f>Source!O227</f>
        <v>30.87</v>
      </c>
      <c r="J313" s="23">
        <f>IF(Source!BC228&lt;&gt; 0, Source!BC228, 1)</f>
        <v>9.8800000000000008</v>
      </c>
      <c r="K313" s="26">
        <f>Source!O228</f>
        <v>305</v>
      </c>
      <c r="Q313">
        <f>Source!X227</f>
        <v>0</v>
      </c>
      <c r="R313">
        <f>Source!X228</f>
        <v>0</v>
      </c>
      <c r="S313">
        <f>Source!Y227</f>
        <v>0</v>
      </c>
      <c r="T313">
        <f>Source!Y228</f>
        <v>0</v>
      </c>
      <c r="U313">
        <f>ROUND((175/100)*ROUND(Source!R227, 2), 2)</f>
        <v>0</v>
      </c>
      <c r="V313">
        <f>ROUND((0/100)*ROUND(Source!R228, 2), 2)</f>
        <v>0</v>
      </c>
      <c r="AC313">
        <v>3</v>
      </c>
    </row>
    <row r="314" spans="1:29" ht="14.25" x14ac:dyDescent="0.2">
      <c r="A314" s="22"/>
      <c r="B314" s="22"/>
      <c r="C314" s="22" t="s">
        <v>407</v>
      </c>
      <c r="D314" s="24" t="s">
        <v>408</v>
      </c>
      <c r="E314" s="23">
        <f>Source!BZ226</f>
        <v>84</v>
      </c>
      <c r="F314" s="26"/>
      <c r="G314" s="25"/>
      <c r="H314" s="23"/>
      <c r="I314" s="26">
        <f>SUM(Q310:Q313)</f>
        <v>9</v>
      </c>
      <c r="J314" s="23">
        <f>Source!AT226</f>
        <v>84</v>
      </c>
      <c r="K314" s="26">
        <f>SUM(R310:R313)</f>
        <v>494.71</v>
      </c>
    </row>
    <row r="315" spans="1:29" ht="14.25" x14ac:dyDescent="0.2">
      <c r="A315" s="22"/>
      <c r="B315" s="22"/>
      <c r="C315" s="22" t="s">
        <v>409</v>
      </c>
      <c r="D315" s="24" t="s">
        <v>408</v>
      </c>
      <c r="E315" s="23">
        <f>Source!CA226</f>
        <v>53</v>
      </c>
      <c r="F315" s="26"/>
      <c r="G315" s="25"/>
      <c r="H315" s="23"/>
      <c r="I315" s="26">
        <f>SUM(S310:S314)</f>
        <v>5.68</v>
      </c>
      <c r="J315" s="23">
        <f>Source!AU226</f>
        <v>53</v>
      </c>
      <c r="K315" s="26">
        <f>SUM(T310:T314)</f>
        <v>312.14</v>
      </c>
    </row>
    <row r="316" spans="1:29" ht="28.5" x14ac:dyDescent="0.2">
      <c r="A316" s="29"/>
      <c r="B316" s="29"/>
      <c r="C316" s="29" t="s">
        <v>410</v>
      </c>
      <c r="D316" s="30" t="s">
        <v>411</v>
      </c>
      <c r="E316" s="31">
        <f>Source!AQ225</f>
        <v>0.52</v>
      </c>
      <c r="F316" s="32"/>
      <c r="G316" s="33" t="str">
        <f>Source!DI225</f>
        <v>*1,15)*1,1</v>
      </c>
      <c r="H316" s="31">
        <f>Source!AV226</f>
        <v>1.087</v>
      </c>
      <c r="I316" s="32">
        <f>Source!U225</f>
        <v>0.71502860000000001</v>
      </c>
      <c r="J316" s="31"/>
      <c r="K316" s="32"/>
    </row>
    <row r="317" spans="1:29" ht="15" x14ac:dyDescent="0.2">
      <c r="C317" s="34" t="s">
        <v>412</v>
      </c>
      <c r="H317" s="67">
        <f>I311+I312+I314+I315+SUM(I313:I313)-SUMIF(AC313:AC313, 5, I313:I313)-SUMIF(AC313:AC313, 6, I313:I313)</f>
        <v>56.760000000000005</v>
      </c>
      <c r="I317" s="67"/>
      <c r="J317" s="67">
        <f>K311+K312+K314+K315+SUM(K313:K313)-SUMIF(AC313:AC313, 5, K313:K313)-SUMIF(AC313:AC313, 6, K313:K313)</f>
        <v>1708.7400000000002</v>
      </c>
      <c r="K317" s="67"/>
    </row>
    <row r="318" spans="1:29" ht="15" hidden="1" x14ac:dyDescent="0.2">
      <c r="C318" s="34" t="s">
        <v>413</v>
      </c>
      <c r="H318" s="64">
        <f>SUMIF(AC313:AC313, 5, I313:I313)+SUMIF(AC313:AC313, 6, I313:I313)</f>
        <v>0</v>
      </c>
      <c r="I318" s="64"/>
      <c r="J318" s="64">
        <f>SUMIF(AC313:AC313, 5, K313:K313)+SUMIF(AC313:AC313, 6, K313:K313)</f>
        <v>0</v>
      </c>
      <c r="K318" s="64"/>
    </row>
    <row r="319" spans="1:29" ht="15" x14ac:dyDescent="0.2">
      <c r="C319" s="34" t="s">
        <v>414</v>
      </c>
      <c r="H319" s="64">
        <f>I311+I312+I314+I315+SUM(I313:I313)</f>
        <v>56.760000000000005</v>
      </c>
      <c r="I319" s="64"/>
      <c r="J319" s="64">
        <f>K311+K312+K314+K315+SUM(K313:K313)</f>
        <v>1708.7400000000002</v>
      </c>
      <c r="K319" s="64"/>
      <c r="O319" s="35">
        <f>I311+I312+I314+I315+SUM(I313:I313)</f>
        <v>56.760000000000005</v>
      </c>
      <c r="P319" s="35">
        <f>K311+K312+K314+K315+SUM(K313:K313)</f>
        <v>1708.7400000000002</v>
      </c>
    </row>
    <row r="321" spans="1:29" ht="52.5" x14ac:dyDescent="0.2">
      <c r="A321" s="22">
        <v>33</v>
      </c>
      <c r="B321" s="22" t="s">
        <v>430</v>
      </c>
      <c r="C321" s="22" t="s">
        <v>168</v>
      </c>
      <c r="D321" s="24" t="str">
        <f>Source!H229</f>
        <v>1  ШТ.</v>
      </c>
      <c r="E321" s="23">
        <f>Source!I229</f>
        <v>3</v>
      </c>
      <c r="F321" s="26"/>
      <c r="G321" s="25"/>
      <c r="H321" s="23"/>
      <c r="I321" s="26"/>
      <c r="J321" s="23"/>
      <c r="K321" s="26"/>
      <c r="Q321">
        <f>Source!X229</f>
        <v>27</v>
      </c>
      <c r="R321">
        <f>Source!X230</f>
        <v>1484.6</v>
      </c>
      <c r="S321">
        <f>Source!Y229</f>
        <v>17.03</v>
      </c>
      <c r="T321">
        <f>Source!Y230</f>
        <v>936.71</v>
      </c>
      <c r="U321">
        <f>ROUND((175/100)*ROUND(Source!R229, 2), 2)</f>
        <v>0</v>
      </c>
      <c r="V321">
        <f>ROUND((0/100)*ROUND(Source!R230, 2), 2)</f>
        <v>0</v>
      </c>
      <c r="AC321">
        <v>0</v>
      </c>
    </row>
    <row r="322" spans="1:29" ht="28.5" x14ac:dyDescent="0.2">
      <c r="A322" s="22"/>
      <c r="B322" s="22"/>
      <c r="C322" s="22" t="s">
        <v>403</v>
      </c>
      <c r="D322" s="24"/>
      <c r="E322" s="23"/>
      <c r="F322" s="26">
        <f>Source!AO229</f>
        <v>7.79</v>
      </c>
      <c r="G322" s="25" t="str">
        <f>Source!DG229</f>
        <v>*1,15)*1,1</v>
      </c>
      <c r="H322" s="23">
        <f>Source!AV230</f>
        <v>1.087</v>
      </c>
      <c r="I322" s="26">
        <f>Source!S229</f>
        <v>32.14</v>
      </c>
      <c r="J322" s="23">
        <f>IF(Source!BA230&lt;&gt; 0, Source!BA230, 1)</f>
        <v>54.99</v>
      </c>
      <c r="K322" s="26">
        <f>Source!S230</f>
        <v>1767.38</v>
      </c>
    </row>
    <row r="323" spans="1:29" ht="14.25" x14ac:dyDescent="0.2">
      <c r="A323" s="22"/>
      <c r="B323" s="22"/>
      <c r="C323" s="22" t="s">
        <v>406</v>
      </c>
      <c r="D323" s="24"/>
      <c r="E323" s="23"/>
      <c r="F323" s="26">
        <f>Source!AL229</f>
        <v>0.5</v>
      </c>
      <c r="G323" s="25" t="str">
        <f>Source!DD229</f>
        <v/>
      </c>
      <c r="H323" s="23">
        <f>Source!AW230</f>
        <v>1</v>
      </c>
      <c r="I323" s="26">
        <f>Source!P229</f>
        <v>1.5</v>
      </c>
      <c r="J323" s="23">
        <f>IF(Source!BC230&lt;&gt; 0, Source!BC230, 1)</f>
        <v>15.9</v>
      </c>
      <c r="K323" s="26">
        <f>Source!P230</f>
        <v>23.85</v>
      </c>
    </row>
    <row r="324" spans="1:29" ht="55.5" x14ac:dyDescent="0.2">
      <c r="A324" s="22" t="s">
        <v>222</v>
      </c>
      <c r="B324" s="22" t="str">
        <f>Source!F231</f>
        <v>КА №19</v>
      </c>
      <c r="C324" s="22" t="s">
        <v>443</v>
      </c>
      <c r="D324" s="24" t="str">
        <f>Source!H231</f>
        <v>шт.</v>
      </c>
      <c r="E324" s="23">
        <f>Source!I231</f>
        <v>3</v>
      </c>
      <c r="F324" s="26">
        <f>Source!AK231</f>
        <v>518.04999999999995</v>
      </c>
      <c r="G324" s="51" t="s">
        <v>3</v>
      </c>
      <c r="H324" s="23">
        <f>Source!AW232</f>
        <v>1</v>
      </c>
      <c r="I324" s="26">
        <f>Source!O231</f>
        <v>1554.15</v>
      </c>
      <c r="J324" s="23">
        <f>IF(Source!BC232&lt;&gt; 0, Source!BC232, 1)</f>
        <v>9.8800000000000008</v>
      </c>
      <c r="K324" s="26">
        <f>Source!O232</f>
        <v>15355</v>
      </c>
      <c r="Q324">
        <f>Source!X231</f>
        <v>0</v>
      </c>
      <c r="R324">
        <f>Source!X232</f>
        <v>0</v>
      </c>
      <c r="S324">
        <f>Source!Y231</f>
        <v>0</v>
      </c>
      <c r="T324">
        <f>Source!Y232</f>
        <v>0</v>
      </c>
      <c r="U324">
        <f>ROUND((175/100)*ROUND(Source!R231, 2), 2)</f>
        <v>0</v>
      </c>
      <c r="V324">
        <f>ROUND((0/100)*ROUND(Source!R232, 2), 2)</f>
        <v>0</v>
      </c>
      <c r="AC324">
        <v>3</v>
      </c>
    </row>
    <row r="325" spans="1:29" ht="14.25" x14ac:dyDescent="0.2">
      <c r="A325" s="22"/>
      <c r="B325" s="22"/>
      <c r="C325" s="22" t="s">
        <v>407</v>
      </c>
      <c r="D325" s="24" t="s">
        <v>408</v>
      </c>
      <c r="E325" s="23">
        <f>Source!BZ230</f>
        <v>84</v>
      </c>
      <c r="F325" s="26"/>
      <c r="G325" s="25"/>
      <c r="H325" s="23"/>
      <c r="I325" s="26">
        <f>SUM(Q321:Q324)</f>
        <v>27</v>
      </c>
      <c r="J325" s="23">
        <f>Source!AT230</f>
        <v>84</v>
      </c>
      <c r="K325" s="26">
        <f>SUM(R321:R324)</f>
        <v>1484.6</v>
      </c>
    </row>
    <row r="326" spans="1:29" ht="14.25" x14ac:dyDescent="0.2">
      <c r="A326" s="22"/>
      <c r="B326" s="22"/>
      <c r="C326" s="22" t="s">
        <v>409</v>
      </c>
      <c r="D326" s="24" t="s">
        <v>408</v>
      </c>
      <c r="E326" s="23">
        <f>Source!CA230</f>
        <v>53</v>
      </c>
      <c r="F326" s="26"/>
      <c r="G326" s="25"/>
      <c r="H326" s="23"/>
      <c r="I326" s="26">
        <f>SUM(S321:S325)</f>
        <v>17.03</v>
      </c>
      <c r="J326" s="23">
        <f>Source!AU230</f>
        <v>53</v>
      </c>
      <c r="K326" s="26">
        <f>SUM(T321:T325)</f>
        <v>936.71</v>
      </c>
    </row>
    <row r="327" spans="1:29" ht="28.5" x14ac:dyDescent="0.2">
      <c r="A327" s="29"/>
      <c r="B327" s="29"/>
      <c r="C327" s="29" t="s">
        <v>410</v>
      </c>
      <c r="D327" s="30" t="s">
        <v>411</v>
      </c>
      <c r="E327" s="31">
        <f>Source!AQ229</f>
        <v>0.52</v>
      </c>
      <c r="F327" s="32"/>
      <c r="G327" s="33" t="str">
        <f>Source!DI229</f>
        <v>*1,15)*1,1</v>
      </c>
      <c r="H327" s="31">
        <f>Source!AV230</f>
        <v>1.087</v>
      </c>
      <c r="I327" s="32">
        <f>Source!U229</f>
        <v>2.1450857999999999</v>
      </c>
      <c r="J327" s="31"/>
      <c r="K327" s="32"/>
    </row>
    <row r="328" spans="1:29" ht="15" x14ac:dyDescent="0.2">
      <c r="C328" s="34" t="s">
        <v>412</v>
      </c>
      <c r="H328" s="67">
        <f>I322+I323+I325+I326+SUM(I324:I324)-SUMIF(AC324:AC324, 5, I324:I324)-SUMIF(AC324:AC324, 6, I324:I324)</f>
        <v>1631.8200000000002</v>
      </c>
      <c r="I328" s="67"/>
      <c r="J328" s="67">
        <f>K322+K323+K325+K326+SUM(K324:K324)-SUMIF(AC324:AC324, 5, K324:K324)-SUMIF(AC324:AC324, 6, K324:K324)</f>
        <v>19567.54</v>
      </c>
      <c r="K328" s="67"/>
    </row>
    <row r="329" spans="1:29" ht="15" hidden="1" x14ac:dyDescent="0.2">
      <c r="C329" s="34" t="s">
        <v>413</v>
      </c>
      <c r="H329" s="64">
        <f>SUMIF(AC324:AC324, 5, I324:I324)+SUMIF(AC324:AC324, 6, I324:I324)</f>
        <v>0</v>
      </c>
      <c r="I329" s="64"/>
      <c r="J329" s="64">
        <f>SUMIF(AC324:AC324, 5, K324:K324)+SUMIF(AC324:AC324, 6, K324:K324)</f>
        <v>0</v>
      </c>
      <c r="K329" s="64"/>
    </row>
    <row r="330" spans="1:29" ht="15" x14ac:dyDescent="0.2">
      <c r="C330" s="34" t="s">
        <v>414</v>
      </c>
      <c r="H330" s="64">
        <f>I322+I323+I325+I326+SUM(I324:I324)</f>
        <v>1631.8200000000002</v>
      </c>
      <c r="I330" s="64"/>
      <c r="J330" s="64">
        <f>K322+K323+K325+K326+SUM(K324:K324)</f>
        <v>19567.54</v>
      </c>
      <c r="K330" s="64"/>
      <c r="O330" s="35">
        <f>I322+I323+I325+I326+SUM(I324:I324)</f>
        <v>1631.8200000000002</v>
      </c>
      <c r="P330" s="35">
        <f>K322+K323+K325+K326+SUM(K324:K324)</f>
        <v>19567.54</v>
      </c>
    </row>
    <row r="332" spans="1:29" ht="52.5" x14ac:dyDescent="0.2">
      <c r="A332" s="22">
        <v>34</v>
      </c>
      <c r="B332" s="22" t="s">
        <v>430</v>
      </c>
      <c r="C332" s="22" t="s">
        <v>168</v>
      </c>
      <c r="D332" s="24" t="str">
        <f>Source!H233</f>
        <v>1  ШТ.</v>
      </c>
      <c r="E332" s="23">
        <f>Source!I233</f>
        <v>1</v>
      </c>
      <c r="F332" s="26"/>
      <c r="G332" s="25"/>
      <c r="H332" s="23"/>
      <c r="I332" s="26"/>
      <c r="J332" s="23"/>
      <c r="K332" s="26"/>
      <c r="Q332">
        <f>Source!X233</f>
        <v>9</v>
      </c>
      <c r="R332">
        <f>Source!X234</f>
        <v>494.71</v>
      </c>
      <c r="S332">
        <f>Source!Y233</f>
        <v>5.68</v>
      </c>
      <c r="T332">
        <f>Source!Y234</f>
        <v>312.14</v>
      </c>
      <c r="U332">
        <f>ROUND((175/100)*ROUND(Source!R233, 2), 2)</f>
        <v>0</v>
      </c>
      <c r="V332">
        <f>ROUND((0/100)*ROUND(Source!R234, 2), 2)</f>
        <v>0</v>
      </c>
      <c r="AC332">
        <v>0</v>
      </c>
    </row>
    <row r="333" spans="1:29" ht="28.5" x14ac:dyDescent="0.2">
      <c r="A333" s="22"/>
      <c r="B333" s="22"/>
      <c r="C333" s="22" t="s">
        <v>403</v>
      </c>
      <c r="D333" s="24"/>
      <c r="E333" s="23"/>
      <c r="F333" s="26">
        <f>Source!AO233</f>
        <v>7.79</v>
      </c>
      <c r="G333" s="25" t="str">
        <f>Source!DG233</f>
        <v>*1,15)*1,1</v>
      </c>
      <c r="H333" s="23">
        <f>Source!AV234</f>
        <v>1.087</v>
      </c>
      <c r="I333" s="26">
        <f>Source!S233</f>
        <v>10.71</v>
      </c>
      <c r="J333" s="23">
        <f>IF(Source!BA234&lt;&gt; 0, Source!BA234, 1)</f>
        <v>54.99</v>
      </c>
      <c r="K333" s="26">
        <f>Source!S234</f>
        <v>588.94000000000005</v>
      </c>
    </row>
    <row r="334" spans="1:29" ht="14.25" x14ac:dyDescent="0.2">
      <c r="A334" s="22"/>
      <c r="B334" s="22"/>
      <c r="C334" s="22" t="s">
        <v>406</v>
      </c>
      <c r="D334" s="24"/>
      <c r="E334" s="23"/>
      <c r="F334" s="26">
        <f>Source!AL233</f>
        <v>0.5</v>
      </c>
      <c r="G334" s="25" t="str">
        <f>Source!DD233</f>
        <v/>
      </c>
      <c r="H334" s="23">
        <f>Source!AW234</f>
        <v>1</v>
      </c>
      <c r="I334" s="26">
        <f>Source!P233</f>
        <v>0.5</v>
      </c>
      <c r="J334" s="23">
        <f>IF(Source!BC234&lt;&gt; 0, Source!BC234, 1)</f>
        <v>15.9</v>
      </c>
      <c r="K334" s="26">
        <f>Source!P234</f>
        <v>7.95</v>
      </c>
    </row>
    <row r="335" spans="1:29" ht="82.5" x14ac:dyDescent="0.2">
      <c r="A335" s="22" t="s">
        <v>227</v>
      </c>
      <c r="B335" s="22" t="str">
        <f>Source!F235</f>
        <v>КА №20</v>
      </c>
      <c r="C335" s="22" t="s">
        <v>444</v>
      </c>
      <c r="D335" s="24" t="str">
        <f>Source!H235</f>
        <v>шт.</v>
      </c>
      <c r="E335" s="23">
        <f>Source!I235</f>
        <v>1</v>
      </c>
      <c r="F335" s="26">
        <f>Source!AK235</f>
        <v>2584.89</v>
      </c>
      <c r="G335" s="51" t="s">
        <v>3</v>
      </c>
      <c r="H335" s="23">
        <f>Source!AW236</f>
        <v>1</v>
      </c>
      <c r="I335" s="26">
        <f>Source!O235</f>
        <v>2584.89</v>
      </c>
      <c r="J335" s="23">
        <f>IF(Source!BC236&lt;&gt; 0, Source!BC236, 1)</f>
        <v>9.8800000000000008</v>
      </c>
      <c r="K335" s="26">
        <f>Source!O236</f>
        <v>25538.71</v>
      </c>
      <c r="Q335">
        <f>Source!X235</f>
        <v>0</v>
      </c>
      <c r="R335">
        <f>Source!X236</f>
        <v>0</v>
      </c>
      <c r="S335">
        <f>Source!Y235</f>
        <v>0</v>
      </c>
      <c r="T335">
        <f>Source!Y236</f>
        <v>0</v>
      </c>
      <c r="U335">
        <f>ROUND((175/100)*ROUND(Source!R235, 2), 2)</f>
        <v>0</v>
      </c>
      <c r="V335">
        <f>ROUND((0/100)*ROUND(Source!R236, 2), 2)</f>
        <v>0</v>
      </c>
      <c r="AC335">
        <v>3</v>
      </c>
    </row>
    <row r="336" spans="1:29" ht="14.25" x14ac:dyDescent="0.2">
      <c r="A336" s="22"/>
      <c r="B336" s="22"/>
      <c r="C336" s="22" t="s">
        <v>407</v>
      </c>
      <c r="D336" s="24" t="s">
        <v>408</v>
      </c>
      <c r="E336" s="23">
        <f>Source!BZ234</f>
        <v>84</v>
      </c>
      <c r="F336" s="26"/>
      <c r="G336" s="25"/>
      <c r="H336" s="23"/>
      <c r="I336" s="26">
        <f>SUM(Q332:Q335)</f>
        <v>9</v>
      </c>
      <c r="J336" s="23">
        <f>Source!AT234</f>
        <v>84</v>
      </c>
      <c r="K336" s="26">
        <f>SUM(R332:R335)</f>
        <v>494.71</v>
      </c>
    </row>
    <row r="337" spans="1:29" ht="14.25" x14ac:dyDescent="0.2">
      <c r="A337" s="22"/>
      <c r="B337" s="22"/>
      <c r="C337" s="22" t="s">
        <v>409</v>
      </c>
      <c r="D337" s="24" t="s">
        <v>408</v>
      </c>
      <c r="E337" s="23">
        <f>Source!CA234</f>
        <v>53</v>
      </c>
      <c r="F337" s="26"/>
      <c r="G337" s="25"/>
      <c r="H337" s="23"/>
      <c r="I337" s="26">
        <f>SUM(S332:S336)</f>
        <v>5.68</v>
      </c>
      <c r="J337" s="23">
        <f>Source!AU234</f>
        <v>53</v>
      </c>
      <c r="K337" s="26">
        <f>SUM(T332:T336)</f>
        <v>312.14</v>
      </c>
    </row>
    <row r="338" spans="1:29" ht="28.5" x14ac:dyDescent="0.2">
      <c r="A338" s="29"/>
      <c r="B338" s="29"/>
      <c r="C338" s="29" t="s">
        <v>410</v>
      </c>
      <c r="D338" s="30" t="s">
        <v>411</v>
      </c>
      <c r="E338" s="31">
        <f>Source!AQ233</f>
        <v>0.52</v>
      </c>
      <c r="F338" s="32"/>
      <c r="G338" s="33" t="str">
        <f>Source!DI233</f>
        <v>*1,15)*1,1</v>
      </c>
      <c r="H338" s="31">
        <f>Source!AV234</f>
        <v>1.087</v>
      </c>
      <c r="I338" s="32">
        <f>Source!U233</f>
        <v>0.71502860000000001</v>
      </c>
      <c r="J338" s="31"/>
      <c r="K338" s="32"/>
    </row>
    <row r="339" spans="1:29" ht="15" x14ac:dyDescent="0.2">
      <c r="C339" s="34" t="s">
        <v>412</v>
      </c>
      <c r="H339" s="67">
        <f>I333+I334+I336+I337+SUM(I335:I335)-SUMIF(AC335:AC335, 5, I335:I335)-SUMIF(AC335:AC335, 6, I335:I335)</f>
        <v>2610.7799999999997</v>
      </c>
      <c r="I339" s="67"/>
      <c r="J339" s="67">
        <f>K333+K334+K336+K337+SUM(K335:K335)-SUMIF(AC335:AC335, 5, K335:K335)-SUMIF(AC335:AC335, 6, K335:K335)</f>
        <v>26942.45</v>
      </c>
      <c r="K339" s="67"/>
    </row>
    <row r="340" spans="1:29" ht="15" hidden="1" x14ac:dyDescent="0.2">
      <c r="C340" s="34" t="s">
        <v>413</v>
      </c>
      <c r="H340" s="64">
        <f>SUMIF(AC335:AC335, 5, I335:I335)+SUMIF(AC335:AC335, 6, I335:I335)</f>
        <v>0</v>
      </c>
      <c r="I340" s="64"/>
      <c r="J340" s="64">
        <f>SUMIF(AC335:AC335, 5, K335:K335)+SUMIF(AC335:AC335, 6, K335:K335)</f>
        <v>0</v>
      </c>
      <c r="K340" s="64"/>
    </row>
    <row r="341" spans="1:29" ht="15" x14ac:dyDescent="0.2">
      <c r="C341" s="34" t="s">
        <v>414</v>
      </c>
      <c r="H341" s="64">
        <f>I333+I334+I336+I337+SUM(I335:I335)</f>
        <v>2610.7799999999997</v>
      </c>
      <c r="I341" s="64"/>
      <c r="J341" s="64">
        <f>K333+K334+K336+K337+SUM(K335:K335)</f>
        <v>26942.45</v>
      </c>
      <c r="K341" s="64"/>
      <c r="O341" s="35">
        <f>I333+I334+I336+I337+SUM(I335:I335)</f>
        <v>2610.7799999999997</v>
      </c>
      <c r="P341" s="35">
        <f>K333+K334+K336+K337+SUM(K335:K335)</f>
        <v>26942.45</v>
      </c>
    </row>
    <row r="344" spans="1:29" ht="15" x14ac:dyDescent="0.25">
      <c r="A344" s="66" t="str">
        <f>CONCATENATE("Итого по разделу: ",IF(Source!G238&lt;&gt;"Новый раздел", Source!G238, ""))</f>
        <v>Итого по разделу: Информационно-тактильные знаки</v>
      </c>
      <c r="B344" s="66"/>
      <c r="C344" s="66"/>
      <c r="D344" s="66"/>
      <c r="E344" s="66"/>
      <c r="F344" s="66"/>
      <c r="G344" s="66"/>
      <c r="H344" s="64">
        <f>SUM(O144:O343)</f>
        <v>16105.199999999997</v>
      </c>
      <c r="I344" s="65"/>
      <c r="J344" s="64">
        <f>SUM(P144:P343)</f>
        <v>198826.79</v>
      </c>
      <c r="K344" s="65"/>
    </row>
    <row r="345" spans="1:29" hidden="1" x14ac:dyDescent="0.2">
      <c r="A345" t="s">
        <v>417</v>
      </c>
      <c r="I345">
        <f>SUM(W144:W344)</f>
        <v>0</v>
      </c>
      <c r="J345">
        <f>SUM(X144:X344)</f>
        <v>0</v>
      </c>
    </row>
    <row r="346" spans="1:29" hidden="1" x14ac:dyDescent="0.2">
      <c r="A346" t="s">
        <v>418</v>
      </c>
      <c r="I346">
        <f>SUM(Y144:Y345)</f>
        <v>0</v>
      </c>
      <c r="J346">
        <f>SUM(Z144:Z345)</f>
        <v>0</v>
      </c>
    </row>
    <row r="348" spans="1:29" ht="16.5" x14ac:dyDescent="0.2">
      <c r="A348" s="68" t="str">
        <f>CONCATENATE("Раздел: ",IF(Source!G268&lt;&gt;"Новый раздел", Source!G268, ""))</f>
        <v>Раздел: Полимерная краска, цвет желтый</v>
      </c>
      <c r="B348" s="68"/>
      <c r="C348" s="68"/>
      <c r="D348" s="68"/>
      <c r="E348" s="68"/>
      <c r="F348" s="68"/>
      <c r="G348" s="68"/>
      <c r="H348" s="68"/>
      <c r="I348" s="68"/>
      <c r="J348" s="68"/>
      <c r="K348" s="68"/>
    </row>
    <row r="349" spans="1:29" ht="71.25" x14ac:dyDescent="0.2">
      <c r="A349" s="22">
        <v>35</v>
      </c>
      <c r="B349" s="22" t="s">
        <v>445</v>
      </c>
      <c r="C349" s="22" t="s">
        <v>234</v>
      </c>
      <c r="D349" s="24" t="str">
        <f>Source!H272</f>
        <v>100 м2</v>
      </c>
      <c r="E349" s="23">
        <f>Source!I272</f>
        <v>0.64</v>
      </c>
      <c r="F349" s="26"/>
      <c r="G349" s="25"/>
      <c r="H349" s="23"/>
      <c r="I349" s="26"/>
      <c r="J349" s="23"/>
      <c r="K349" s="26"/>
      <c r="Q349">
        <f>Source!X272</f>
        <v>147.16999999999999</v>
      </c>
      <c r="R349">
        <f>Source!X273</f>
        <v>8092.82</v>
      </c>
      <c r="S349">
        <f>Source!Y272</f>
        <v>74.45</v>
      </c>
      <c r="T349">
        <f>Source!Y273</f>
        <v>4094.02</v>
      </c>
      <c r="U349">
        <f>ROUND((175/100)*ROUND(Source!R272, 2), 2)</f>
        <v>1.84</v>
      </c>
      <c r="V349">
        <f>ROUND((0/100)*ROUND(Source!R273, 2), 2)</f>
        <v>0</v>
      </c>
      <c r="AC349">
        <v>0</v>
      </c>
    </row>
    <row r="350" spans="1:29" x14ac:dyDescent="0.2">
      <c r="C350" s="27" t="str">
        <f>"Объем: "&amp;Source!I272&amp;"=64/"&amp;"100"</f>
        <v>Объем: 0,64=64/100</v>
      </c>
    </row>
    <row r="351" spans="1:29" ht="28.5" x14ac:dyDescent="0.2">
      <c r="A351" s="22"/>
      <c r="B351" s="22"/>
      <c r="C351" s="22" t="s">
        <v>403</v>
      </c>
      <c r="D351" s="24"/>
      <c r="E351" s="23"/>
      <c r="F351" s="26">
        <f>Source!AO272</f>
        <v>203.02</v>
      </c>
      <c r="G351" s="25" t="str">
        <f>Source!DG272</f>
        <v>*1,15)*1,1</v>
      </c>
      <c r="H351" s="23">
        <f>Source!AV273</f>
        <v>1.0469999999999999</v>
      </c>
      <c r="I351" s="26">
        <f>Source!S272</f>
        <v>172.09</v>
      </c>
      <c r="J351" s="23">
        <f>IF(Source!BA273&lt;&gt; 0, Source!BA273, 1)</f>
        <v>54.99</v>
      </c>
      <c r="K351" s="26">
        <f>Source!S273</f>
        <v>9463.23</v>
      </c>
    </row>
    <row r="352" spans="1:29" ht="28.5" x14ac:dyDescent="0.2">
      <c r="A352" s="22"/>
      <c r="B352" s="22"/>
      <c r="C352" s="22" t="s">
        <v>404</v>
      </c>
      <c r="D352" s="24"/>
      <c r="E352" s="23"/>
      <c r="F352" s="26">
        <f>Source!AM272</f>
        <v>7.94</v>
      </c>
      <c r="G352" s="25" t="str">
        <f>Source!DE272</f>
        <v>*1,25)*1,1</v>
      </c>
      <c r="H352" s="23">
        <f>Source!AV273</f>
        <v>1.0469999999999999</v>
      </c>
      <c r="I352" s="26">
        <f>Source!Q272</f>
        <v>7.32</v>
      </c>
      <c r="J352" s="23">
        <f>IF(Source!BB273&lt;&gt; 0, Source!BB273, 1)</f>
        <v>15.86</v>
      </c>
      <c r="K352" s="26">
        <f>Source!Q273</f>
        <v>116.1</v>
      </c>
    </row>
    <row r="353" spans="1:29" ht="28.5" x14ac:dyDescent="0.2">
      <c r="A353" s="22"/>
      <c r="B353" s="22"/>
      <c r="C353" s="22" t="s">
        <v>405</v>
      </c>
      <c r="D353" s="24"/>
      <c r="E353" s="23"/>
      <c r="F353" s="26">
        <f>Source!AN272</f>
        <v>1.1399999999999999</v>
      </c>
      <c r="G353" s="25" t="str">
        <f>Source!DF272</f>
        <v>*1,25)*1,1</v>
      </c>
      <c r="H353" s="23">
        <f>Source!AV273</f>
        <v>1.0469999999999999</v>
      </c>
      <c r="I353" s="28">
        <f>Source!R272</f>
        <v>1.05</v>
      </c>
      <c r="J353" s="23">
        <f>IF(Source!BS273&lt;&gt; 0, Source!BS273, 1)</f>
        <v>54.99</v>
      </c>
      <c r="K353" s="28">
        <f>Source!R273</f>
        <v>57.74</v>
      </c>
    </row>
    <row r="354" spans="1:29" ht="14.25" x14ac:dyDescent="0.2">
      <c r="A354" s="22"/>
      <c r="B354" s="22"/>
      <c r="C354" s="22" t="s">
        <v>406</v>
      </c>
      <c r="D354" s="24"/>
      <c r="E354" s="23"/>
      <c r="F354" s="26">
        <f>Source!AL272</f>
        <v>4.25</v>
      </c>
      <c r="G354" s="25" t="str">
        <f>Source!DD272</f>
        <v/>
      </c>
      <c r="H354" s="23">
        <f>Source!AW273</f>
        <v>1.002</v>
      </c>
      <c r="I354" s="26">
        <f>Source!P272</f>
        <v>2.73</v>
      </c>
      <c r="J354" s="23">
        <f>IF(Source!BC273&lt;&gt; 0, Source!BC273, 1)</f>
        <v>13.16</v>
      </c>
      <c r="K354" s="26">
        <f>Source!P273</f>
        <v>35.93</v>
      </c>
    </row>
    <row r="355" spans="1:29" ht="14.25" x14ac:dyDescent="0.2">
      <c r="A355" s="22" t="s">
        <v>239</v>
      </c>
      <c r="B355" s="22" t="str">
        <f>Source!F274</f>
        <v>1.1-1-2257</v>
      </c>
      <c r="C355" s="22" t="s">
        <v>241</v>
      </c>
      <c r="D355" s="24" t="str">
        <f>Source!H274</f>
        <v>т</v>
      </c>
      <c r="E355" s="23">
        <f>Source!I274</f>
        <v>3.9551999999999997E-2</v>
      </c>
      <c r="F355" s="26">
        <f>Source!AK274</f>
        <v>43534.02</v>
      </c>
      <c r="G355" s="51" t="s">
        <v>3</v>
      </c>
      <c r="H355" s="23">
        <f>Source!AW275</f>
        <v>1.002</v>
      </c>
      <c r="I355" s="26">
        <f>Source!O274</f>
        <v>1725.3</v>
      </c>
      <c r="J355" s="23">
        <f>IF(Source!BC275&lt;&gt; 0, Source!BC275, 1)</f>
        <v>3.04</v>
      </c>
      <c r="K355" s="26">
        <f>Source!O275</f>
        <v>5244.91</v>
      </c>
      <c r="Q355">
        <f>Source!X274</f>
        <v>0</v>
      </c>
      <c r="R355">
        <f>Source!X275</f>
        <v>0</v>
      </c>
      <c r="S355">
        <f>Source!Y274</f>
        <v>0</v>
      </c>
      <c r="T355">
        <f>Source!Y275</f>
        <v>0</v>
      </c>
      <c r="U355">
        <f>ROUND((175/100)*ROUND(Source!R274, 2), 2)</f>
        <v>0</v>
      </c>
      <c r="V355">
        <f>ROUND((0/100)*ROUND(Source!R275, 2), 2)</f>
        <v>0</v>
      </c>
      <c r="AC355">
        <v>3</v>
      </c>
    </row>
    <row r="356" spans="1:29" ht="14.25" x14ac:dyDescent="0.2">
      <c r="A356" s="22"/>
      <c r="B356" s="22"/>
      <c r="C356" s="22" t="s">
        <v>407</v>
      </c>
      <c r="D356" s="24" t="s">
        <v>408</v>
      </c>
      <c r="E356" s="23">
        <f>Source!BZ273</f>
        <v>85</v>
      </c>
      <c r="F356" s="26"/>
      <c r="G356" s="25"/>
      <c r="H356" s="23"/>
      <c r="I356" s="26">
        <f>SUM(Q349:Q355)</f>
        <v>147.16999999999999</v>
      </c>
      <c r="J356" s="23">
        <f>Source!AT273</f>
        <v>85</v>
      </c>
      <c r="K356" s="26">
        <f>SUM(R349:R355)</f>
        <v>8092.82</v>
      </c>
    </row>
    <row r="357" spans="1:29" ht="14.25" x14ac:dyDescent="0.2">
      <c r="A357" s="22"/>
      <c r="B357" s="22"/>
      <c r="C357" s="22" t="s">
        <v>409</v>
      </c>
      <c r="D357" s="24" t="s">
        <v>408</v>
      </c>
      <c r="E357" s="23">
        <f>Source!CA273</f>
        <v>43</v>
      </c>
      <c r="F357" s="26"/>
      <c r="G357" s="25"/>
      <c r="H357" s="23"/>
      <c r="I357" s="26">
        <f>SUM(S349:S356)</f>
        <v>74.45</v>
      </c>
      <c r="J357" s="23">
        <f>Source!AU273</f>
        <v>43</v>
      </c>
      <c r="K357" s="26">
        <f>SUM(T349:T356)</f>
        <v>4094.02</v>
      </c>
    </row>
    <row r="358" spans="1:29" ht="28.5" x14ac:dyDescent="0.2">
      <c r="A358" s="29"/>
      <c r="B358" s="29"/>
      <c r="C358" s="29" t="s">
        <v>410</v>
      </c>
      <c r="D358" s="30" t="s">
        <v>411</v>
      </c>
      <c r="E358" s="31">
        <f>Source!AQ272</f>
        <v>12.35</v>
      </c>
      <c r="F358" s="32"/>
      <c r="G358" s="33" t="str">
        <f>Source!DI272</f>
        <v>*1,15)*1,1</v>
      </c>
      <c r="H358" s="31">
        <f>Source!AV273</f>
        <v>1.0469999999999999</v>
      </c>
      <c r="I358" s="32">
        <f>Source!U272</f>
        <v>10.468492320000001</v>
      </c>
      <c r="J358" s="31"/>
      <c r="K358" s="32"/>
    </row>
    <row r="359" spans="1:29" ht="15" x14ac:dyDescent="0.2">
      <c r="C359" s="34" t="s">
        <v>412</v>
      </c>
      <c r="H359" s="67">
        <f>I351+I352+I354+I356+I357+SUM(I355:I355)-SUMIF(AC355:AC355, 5, I355:I355)-SUMIF(AC355:AC355, 6, I355:I355)</f>
        <v>2129.06</v>
      </c>
      <c r="I359" s="67"/>
      <c r="J359" s="67">
        <f>K351+K352+K354+K356+K357+SUM(K355:K355)-SUMIF(AC355:AC355, 5, K355:K355)-SUMIF(AC355:AC355, 6, K355:K355)</f>
        <v>27047.010000000002</v>
      </c>
      <c r="K359" s="67"/>
    </row>
    <row r="360" spans="1:29" ht="15" hidden="1" x14ac:dyDescent="0.2">
      <c r="C360" s="34" t="s">
        <v>413</v>
      </c>
      <c r="H360" s="64">
        <f>SUMIF(AC355:AC355, 5, I355:I355)+SUMIF(AC355:AC355, 6, I355:I355)</f>
        <v>0</v>
      </c>
      <c r="I360" s="64"/>
      <c r="J360" s="64">
        <f>SUMIF(AC355:AC355, 5, K355:K355)+SUMIF(AC355:AC355, 6, K355:K355)</f>
        <v>0</v>
      </c>
      <c r="K360" s="64"/>
    </row>
    <row r="361" spans="1:29" ht="15" x14ac:dyDescent="0.2">
      <c r="C361" s="34" t="s">
        <v>414</v>
      </c>
      <c r="H361" s="64">
        <f>I351+I352+I354+I356+I357+SUM(I355:I355)</f>
        <v>2129.06</v>
      </c>
      <c r="I361" s="64"/>
      <c r="J361" s="64">
        <f>K351+K352+K354+K356+K357+SUM(K355:K355)</f>
        <v>27047.010000000002</v>
      </c>
      <c r="K361" s="64"/>
      <c r="O361" s="35">
        <f>I351+I352+I354+I356+I357+SUM(I355:I355)</f>
        <v>2129.06</v>
      </c>
      <c r="P361" s="35">
        <f>K351+K352+K354+K356+K357+SUM(K355:K355)</f>
        <v>27047.010000000002</v>
      </c>
    </row>
    <row r="364" spans="1:29" ht="15" x14ac:dyDescent="0.25">
      <c r="A364" s="66" t="str">
        <f>CONCATENATE("Итого по разделу: ",IF(Source!G277&lt;&gt;"Новый раздел", Source!G277, ""))</f>
        <v>Итого по разделу: Полимерная краска, цвет желтый</v>
      </c>
      <c r="B364" s="66"/>
      <c r="C364" s="66"/>
      <c r="D364" s="66"/>
      <c r="E364" s="66"/>
      <c r="F364" s="66"/>
      <c r="G364" s="66"/>
      <c r="H364" s="64">
        <f>SUM(O348:O363)</f>
        <v>2129.06</v>
      </c>
      <c r="I364" s="65"/>
      <c r="J364" s="64">
        <f>SUM(P348:P363)</f>
        <v>27047.010000000002</v>
      </c>
      <c r="K364" s="65"/>
    </row>
    <row r="365" spans="1:29" hidden="1" x14ac:dyDescent="0.2">
      <c r="A365" t="s">
        <v>417</v>
      </c>
      <c r="I365">
        <f>SUM(W348:W364)</f>
        <v>0</v>
      </c>
      <c r="J365">
        <f>SUM(X348:X364)</f>
        <v>0</v>
      </c>
    </row>
    <row r="366" spans="1:29" hidden="1" x14ac:dyDescent="0.2">
      <c r="A366" t="s">
        <v>418</v>
      </c>
      <c r="I366">
        <f>SUM(Y348:Y365)</f>
        <v>0</v>
      </c>
      <c r="J366">
        <f>SUM(Z348:Z365)</f>
        <v>0</v>
      </c>
    </row>
    <row r="368" spans="1:29" ht="16.5" x14ac:dyDescent="0.2">
      <c r="A368" s="68" t="str">
        <f>CONCATENATE("Раздел: ",IF(Source!G307&lt;&gt;"Новый раздел", Source!G307, ""))</f>
        <v>Раздел: Наклейка- круг желтый</v>
      </c>
      <c r="B368" s="68"/>
      <c r="C368" s="68"/>
      <c r="D368" s="68"/>
      <c r="E368" s="68"/>
      <c r="F368" s="68"/>
      <c r="G368" s="68"/>
      <c r="H368" s="68"/>
      <c r="I368" s="68"/>
      <c r="J368" s="68"/>
      <c r="K368" s="68"/>
    </row>
    <row r="369" spans="1:29" ht="71.25" x14ac:dyDescent="0.2">
      <c r="A369" s="22">
        <v>36</v>
      </c>
      <c r="B369" s="22" t="s">
        <v>446</v>
      </c>
      <c r="C369" s="22" t="s">
        <v>247</v>
      </c>
      <c r="D369" s="24" t="str">
        <f>Source!H311</f>
        <v>100 м2 оклеиваемой поверхности</v>
      </c>
      <c r="E369" s="23">
        <f>Source!I311</f>
        <v>0.12559999999999999</v>
      </c>
      <c r="F369" s="26"/>
      <c r="G369" s="25"/>
      <c r="H369" s="23"/>
      <c r="I369" s="26"/>
      <c r="J369" s="23"/>
      <c r="K369" s="26"/>
      <c r="Q369">
        <f>Source!X311</f>
        <v>166.07</v>
      </c>
      <c r="R369">
        <f>Source!X312</f>
        <v>9132.08</v>
      </c>
      <c r="S369">
        <f>Source!Y311</f>
        <v>77.5</v>
      </c>
      <c r="T369">
        <f>Source!Y312</f>
        <v>4261.6400000000003</v>
      </c>
      <c r="U369">
        <f>ROUND((175/100)*ROUND(Source!R311, 2), 2)</f>
        <v>0.28000000000000003</v>
      </c>
      <c r="V369">
        <f>ROUND((0/100)*ROUND(Source!R312, 2), 2)</f>
        <v>0</v>
      </c>
      <c r="AC369">
        <v>0</v>
      </c>
    </row>
    <row r="370" spans="1:29" x14ac:dyDescent="0.2">
      <c r="C370" s="27" t="str">
        <f>"Объем: "&amp;Source!I311&amp;"=(3,14*"&amp;"0,2*"&amp;"0,2*"&amp;"100)/"&amp;"100"</f>
        <v>Объем: 0,1256=(3,14*0,2*0,2*100)/100</v>
      </c>
    </row>
    <row r="371" spans="1:29" ht="28.5" x14ac:dyDescent="0.2">
      <c r="A371" s="22"/>
      <c r="B371" s="22"/>
      <c r="C371" s="22" t="s">
        <v>403</v>
      </c>
      <c r="D371" s="24"/>
      <c r="E371" s="23"/>
      <c r="F371" s="26">
        <f>Source!AO311</f>
        <v>1132.03</v>
      </c>
      <c r="G371" s="25" t="str">
        <f>Source!DG311</f>
        <v>*1,15)*1,1</v>
      </c>
      <c r="H371" s="23">
        <f>Source!AV312</f>
        <v>1.0249999999999999</v>
      </c>
      <c r="I371" s="26">
        <f>Source!S311</f>
        <v>184.36</v>
      </c>
      <c r="J371" s="23">
        <f>IF(Source!BA312&lt;&gt; 0, Source!BA312, 1)</f>
        <v>54.99</v>
      </c>
      <c r="K371" s="26">
        <f>Source!S312</f>
        <v>10137.959999999999</v>
      </c>
    </row>
    <row r="372" spans="1:29" ht="28.5" x14ac:dyDescent="0.2">
      <c r="A372" s="22"/>
      <c r="B372" s="22"/>
      <c r="C372" s="22" t="s">
        <v>404</v>
      </c>
      <c r="D372" s="24"/>
      <c r="E372" s="23"/>
      <c r="F372" s="26">
        <f>Source!AM311</f>
        <v>5.82</v>
      </c>
      <c r="G372" s="25" t="str">
        <f>Source!DE311</f>
        <v>*1,25)*1,1</v>
      </c>
      <c r="H372" s="23">
        <f>Source!AV312</f>
        <v>1.0249999999999999</v>
      </c>
      <c r="I372" s="26">
        <f>Source!Q311</f>
        <v>1.03</v>
      </c>
      <c r="J372" s="23">
        <f>IF(Source!BB312&lt;&gt; 0, Source!BB312, 1)</f>
        <v>16.29</v>
      </c>
      <c r="K372" s="26">
        <f>Source!Q312</f>
        <v>16.78</v>
      </c>
    </row>
    <row r="373" spans="1:29" ht="28.5" x14ac:dyDescent="0.2">
      <c r="A373" s="22"/>
      <c r="B373" s="22"/>
      <c r="C373" s="22" t="s">
        <v>405</v>
      </c>
      <c r="D373" s="24"/>
      <c r="E373" s="23"/>
      <c r="F373" s="26">
        <f>Source!AN311</f>
        <v>0.88</v>
      </c>
      <c r="G373" s="25" t="str">
        <f>Source!DF311</f>
        <v>*1,25)*1,1</v>
      </c>
      <c r="H373" s="23">
        <f>Source!AV312</f>
        <v>1.0249999999999999</v>
      </c>
      <c r="I373" s="28">
        <f>Source!R311</f>
        <v>0.16</v>
      </c>
      <c r="J373" s="23">
        <f>IF(Source!BS312&lt;&gt; 0, Source!BS312, 1)</f>
        <v>54.99</v>
      </c>
      <c r="K373" s="28">
        <f>Source!R312</f>
        <v>8.8000000000000007</v>
      </c>
    </row>
    <row r="374" spans="1:29" ht="14.25" x14ac:dyDescent="0.2">
      <c r="A374" s="22"/>
      <c r="B374" s="22"/>
      <c r="C374" s="22" t="s">
        <v>406</v>
      </c>
      <c r="D374" s="24"/>
      <c r="E374" s="23"/>
      <c r="F374" s="26">
        <f>Source!AL311</f>
        <v>1073.97</v>
      </c>
      <c r="G374" s="25" t="str">
        <f>Source!DD311</f>
        <v/>
      </c>
      <c r="H374" s="23">
        <f>Source!AW312</f>
        <v>1</v>
      </c>
      <c r="I374" s="26">
        <f>Source!P311</f>
        <v>134.88999999999999</v>
      </c>
      <c r="J374" s="23">
        <f>IF(Source!BC312&lt;&gt; 0, Source!BC312, 1)</f>
        <v>3.62</v>
      </c>
      <c r="K374" s="26">
        <f>Source!P312</f>
        <v>488.3</v>
      </c>
    </row>
    <row r="375" spans="1:29" ht="27" x14ac:dyDescent="0.2">
      <c r="A375" s="22" t="s">
        <v>252</v>
      </c>
      <c r="B375" s="22" t="str">
        <f>Source!F313</f>
        <v>КА №21</v>
      </c>
      <c r="C375" s="22" t="s">
        <v>447</v>
      </c>
      <c r="D375" s="24" t="str">
        <f>Source!H313</f>
        <v>шт.</v>
      </c>
      <c r="E375" s="23">
        <f>Source!I313</f>
        <v>100</v>
      </c>
      <c r="F375" s="26">
        <f>Source!AK313</f>
        <v>4.3</v>
      </c>
      <c r="G375" s="51" t="s">
        <v>3</v>
      </c>
      <c r="H375" s="23">
        <f>Source!AW314</f>
        <v>1</v>
      </c>
      <c r="I375" s="26">
        <f>Source!O313</f>
        <v>430</v>
      </c>
      <c r="J375" s="23">
        <f>IF(Source!BC314&lt;&gt; 0, Source!BC314, 1)</f>
        <v>9.8800000000000008</v>
      </c>
      <c r="K375" s="26">
        <f>Source!O314</f>
        <v>4248.3999999999996</v>
      </c>
      <c r="Q375">
        <f>Source!X313</f>
        <v>0</v>
      </c>
      <c r="R375">
        <f>Source!X314</f>
        <v>0</v>
      </c>
      <c r="S375">
        <f>Source!Y313</f>
        <v>0</v>
      </c>
      <c r="T375">
        <f>Source!Y314</f>
        <v>0</v>
      </c>
      <c r="U375">
        <f>ROUND((175/100)*ROUND(Source!R313, 2), 2)</f>
        <v>0</v>
      </c>
      <c r="V375">
        <f>ROUND((0/100)*ROUND(Source!R314, 2), 2)</f>
        <v>0</v>
      </c>
      <c r="AC375">
        <v>3</v>
      </c>
    </row>
    <row r="376" spans="1:29" ht="14.25" x14ac:dyDescent="0.2">
      <c r="A376" s="22"/>
      <c r="B376" s="22"/>
      <c r="C376" s="22" t="s">
        <v>407</v>
      </c>
      <c r="D376" s="24" t="s">
        <v>408</v>
      </c>
      <c r="E376" s="23">
        <f>Source!BZ312</f>
        <v>90</v>
      </c>
      <c r="F376" s="26"/>
      <c r="G376" s="25"/>
      <c r="H376" s="23"/>
      <c r="I376" s="26">
        <f>SUM(Q369:Q375)</f>
        <v>166.07</v>
      </c>
      <c r="J376" s="23">
        <f>Source!AT312</f>
        <v>90</v>
      </c>
      <c r="K376" s="26">
        <f>SUM(R369:R375)</f>
        <v>9132.08</v>
      </c>
    </row>
    <row r="377" spans="1:29" ht="14.25" x14ac:dyDescent="0.2">
      <c r="A377" s="22"/>
      <c r="B377" s="22"/>
      <c r="C377" s="22" t="s">
        <v>409</v>
      </c>
      <c r="D377" s="24" t="s">
        <v>408</v>
      </c>
      <c r="E377" s="23">
        <f>Source!CA312</f>
        <v>42</v>
      </c>
      <c r="F377" s="26"/>
      <c r="G377" s="25"/>
      <c r="H377" s="23"/>
      <c r="I377" s="26">
        <f>SUM(S369:S376)</f>
        <v>77.5</v>
      </c>
      <c r="J377" s="23">
        <f>Source!AU312</f>
        <v>42</v>
      </c>
      <c r="K377" s="26">
        <f>SUM(T369:T376)</f>
        <v>4261.6400000000003</v>
      </c>
    </row>
    <row r="378" spans="1:29" ht="28.5" x14ac:dyDescent="0.2">
      <c r="A378" s="29"/>
      <c r="B378" s="29"/>
      <c r="C378" s="29" t="s">
        <v>410</v>
      </c>
      <c r="D378" s="30" t="s">
        <v>411</v>
      </c>
      <c r="E378" s="31">
        <f>Source!AQ311</f>
        <v>64</v>
      </c>
      <c r="F378" s="32"/>
      <c r="G378" s="33" t="str">
        <f>Source!DI311</f>
        <v>*1,15)*1,1</v>
      </c>
      <c r="H378" s="31">
        <f>Source!AV312</f>
        <v>1.0249999999999999</v>
      </c>
      <c r="I378" s="32">
        <f>Source!U311</f>
        <v>10.422790399999997</v>
      </c>
      <c r="J378" s="31"/>
      <c r="K378" s="32"/>
    </row>
    <row r="379" spans="1:29" ht="15" x14ac:dyDescent="0.2">
      <c r="C379" s="34" t="s">
        <v>412</v>
      </c>
      <c r="H379" s="67">
        <f>I371+I372+I374+I376+I377+SUM(I375:I375)-SUMIF(AC375:AC375, 5, I375:I375)-SUMIF(AC375:AC375, 6, I375:I375)</f>
        <v>993.84999999999991</v>
      </c>
      <c r="I379" s="67"/>
      <c r="J379" s="67">
        <f>K371+K372+K374+K376+K377+SUM(K375:K375)-SUMIF(AC375:AC375, 5, K375:K375)-SUMIF(AC375:AC375, 6, K375:K375)</f>
        <v>28285.159999999996</v>
      </c>
      <c r="K379" s="67"/>
    </row>
    <row r="380" spans="1:29" ht="15" hidden="1" x14ac:dyDescent="0.2">
      <c r="C380" s="34" t="s">
        <v>413</v>
      </c>
      <c r="H380" s="64">
        <f>SUMIF(AC375:AC375, 5, I375:I375)+SUMIF(AC375:AC375, 6, I375:I375)</f>
        <v>0</v>
      </c>
      <c r="I380" s="64"/>
      <c r="J380" s="64">
        <f>SUMIF(AC375:AC375, 5, K375:K375)+SUMIF(AC375:AC375, 6, K375:K375)</f>
        <v>0</v>
      </c>
      <c r="K380" s="64"/>
    </row>
    <row r="381" spans="1:29" ht="15" x14ac:dyDescent="0.2">
      <c r="C381" s="34" t="s">
        <v>414</v>
      </c>
      <c r="H381" s="64">
        <f>I371+I372+I374+I376+I377+SUM(I375:I375)</f>
        <v>993.84999999999991</v>
      </c>
      <c r="I381" s="64"/>
      <c r="J381" s="64">
        <f>K371+K372+K374+K376+K377+SUM(K375:K375)</f>
        <v>28285.159999999996</v>
      </c>
      <c r="K381" s="64"/>
      <c r="O381" s="35">
        <f>I371+I372+I374+I376+I377+SUM(I375:I375)</f>
        <v>993.84999999999991</v>
      </c>
      <c r="P381" s="35">
        <f>K371+K372+K374+K376+K377+SUM(K375:K375)</f>
        <v>28285.159999999996</v>
      </c>
    </row>
    <row r="384" spans="1:29" ht="15" x14ac:dyDescent="0.25">
      <c r="A384" s="66" t="str">
        <f>CONCATENATE("Итого по разделу: ",IF(Source!G316&lt;&gt;"Новый раздел", Source!G316, ""))</f>
        <v>Итого по разделу: Наклейка- круг желтый</v>
      </c>
      <c r="B384" s="66"/>
      <c r="C384" s="66"/>
      <c r="D384" s="66"/>
      <c r="E384" s="66"/>
      <c r="F384" s="66"/>
      <c r="G384" s="66"/>
      <c r="H384" s="64">
        <f>SUM(O368:O383)</f>
        <v>993.84999999999991</v>
      </c>
      <c r="I384" s="65"/>
      <c r="J384" s="64">
        <f>SUM(P368:P383)</f>
        <v>28285.159999999996</v>
      </c>
      <c r="K384" s="65"/>
    </row>
    <row r="385" spans="1:29" hidden="1" x14ac:dyDescent="0.2">
      <c r="A385" t="s">
        <v>417</v>
      </c>
      <c r="I385">
        <f>SUM(W368:W384)</f>
        <v>0</v>
      </c>
      <c r="J385">
        <f>SUM(X368:X384)</f>
        <v>0</v>
      </c>
    </row>
    <row r="386" spans="1:29" hidden="1" x14ac:dyDescent="0.2">
      <c r="A386" t="s">
        <v>418</v>
      </c>
      <c r="I386">
        <f>SUM(Y368:Y385)</f>
        <v>0</v>
      </c>
      <c r="J386">
        <f>SUM(Z368:Z385)</f>
        <v>0</v>
      </c>
    </row>
    <row r="388" spans="1:29" ht="16.5" x14ac:dyDescent="0.2">
      <c r="A388" s="68" t="str">
        <f>CONCATENATE("Раздел: ",IF(Source!G346&lt;&gt;"Новый раздел", Source!G346, ""))</f>
        <v>Раздел: Тактильные предупреждающие наклейки на поручни</v>
      </c>
      <c r="B388" s="68"/>
      <c r="C388" s="68"/>
      <c r="D388" s="68"/>
      <c r="E388" s="68"/>
      <c r="F388" s="68"/>
      <c r="G388" s="68"/>
      <c r="H388" s="68"/>
      <c r="I388" s="68"/>
      <c r="J388" s="68"/>
      <c r="K388" s="68"/>
    </row>
    <row r="389" spans="1:29" ht="71.25" x14ac:dyDescent="0.2">
      <c r="A389" s="22">
        <v>37</v>
      </c>
      <c r="B389" s="22" t="s">
        <v>446</v>
      </c>
      <c r="C389" s="22" t="s">
        <v>247</v>
      </c>
      <c r="D389" s="24" t="str">
        <f>Source!H350</f>
        <v>100 м2 оклеиваемой поверхности</v>
      </c>
      <c r="E389" s="23">
        <f>Source!I350</f>
        <v>2.5874999999999999E-2</v>
      </c>
      <c r="F389" s="26"/>
      <c r="G389" s="25"/>
      <c r="H389" s="23"/>
      <c r="I389" s="26"/>
      <c r="J389" s="23"/>
      <c r="K389" s="26"/>
      <c r="Q389">
        <f>Source!X350</f>
        <v>34.21</v>
      </c>
      <c r="R389">
        <f>Source!X351</f>
        <v>1881.15</v>
      </c>
      <c r="S389">
        <f>Source!Y350</f>
        <v>15.96</v>
      </c>
      <c r="T389">
        <f>Source!Y351</f>
        <v>877.87</v>
      </c>
      <c r="U389">
        <f>ROUND((175/100)*ROUND(Source!R350, 2), 2)</f>
        <v>0.05</v>
      </c>
      <c r="V389">
        <f>ROUND((0/100)*ROUND(Source!R351, 2), 2)</f>
        <v>0</v>
      </c>
      <c r="AC389">
        <v>0</v>
      </c>
    </row>
    <row r="390" spans="1:29" x14ac:dyDescent="0.2">
      <c r="C390" s="27" t="str">
        <f>"Объем: "&amp;Source!I350&amp;"=(0,23*"&amp;"0,075*"&amp;"3*"&amp;"50)/"&amp;"100"</f>
        <v>Объем: 0,025875=(0,23*0,075*3*50)/100</v>
      </c>
    </row>
    <row r="391" spans="1:29" ht="28.5" x14ac:dyDescent="0.2">
      <c r="A391" s="22"/>
      <c r="B391" s="22"/>
      <c r="C391" s="22" t="s">
        <v>403</v>
      </c>
      <c r="D391" s="24"/>
      <c r="E391" s="23"/>
      <c r="F391" s="26">
        <f>Source!AO350</f>
        <v>1132.03</v>
      </c>
      <c r="G391" s="25" t="str">
        <f>Source!DG350</f>
        <v>*1,15)*1,1</v>
      </c>
      <c r="H391" s="23">
        <f>Source!AV351</f>
        <v>1.0249999999999999</v>
      </c>
      <c r="I391" s="26">
        <f>Source!S350</f>
        <v>37.979999999999997</v>
      </c>
      <c r="J391" s="23">
        <f>IF(Source!BA351&lt;&gt; 0, Source!BA351, 1)</f>
        <v>54.99</v>
      </c>
      <c r="K391" s="26">
        <f>Source!S351</f>
        <v>2088.52</v>
      </c>
    </row>
    <row r="392" spans="1:29" ht="28.5" x14ac:dyDescent="0.2">
      <c r="A392" s="22"/>
      <c r="B392" s="22"/>
      <c r="C392" s="22" t="s">
        <v>404</v>
      </c>
      <c r="D392" s="24"/>
      <c r="E392" s="23"/>
      <c r="F392" s="26">
        <f>Source!AM350</f>
        <v>5.82</v>
      </c>
      <c r="G392" s="25" t="str">
        <f>Source!DE350</f>
        <v>*1,25)*1,1</v>
      </c>
      <c r="H392" s="23">
        <f>Source!AV351</f>
        <v>1.0249999999999999</v>
      </c>
      <c r="I392" s="26">
        <f>Source!Q350</f>
        <v>0.21</v>
      </c>
      <c r="J392" s="23">
        <f>IF(Source!BB351&lt;&gt; 0, Source!BB351, 1)</f>
        <v>16.29</v>
      </c>
      <c r="K392" s="26">
        <f>Source!Q351</f>
        <v>3.42</v>
      </c>
    </row>
    <row r="393" spans="1:29" ht="28.5" x14ac:dyDescent="0.2">
      <c r="A393" s="22"/>
      <c r="B393" s="22"/>
      <c r="C393" s="22" t="s">
        <v>405</v>
      </c>
      <c r="D393" s="24"/>
      <c r="E393" s="23"/>
      <c r="F393" s="26">
        <f>Source!AN350</f>
        <v>0.88</v>
      </c>
      <c r="G393" s="25" t="str">
        <f>Source!DF350</f>
        <v>*1,25)*1,1</v>
      </c>
      <c r="H393" s="23">
        <f>Source!AV351</f>
        <v>1.0249999999999999</v>
      </c>
      <c r="I393" s="28">
        <f>Source!R350</f>
        <v>0.03</v>
      </c>
      <c r="J393" s="23">
        <f>IF(Source!BS351&lt;&gt; 0, Source!BS351, 1)</f>
        <v>54.99</v>
      </c>
      <c r="K393" s="28">
        <f>Source!R351</f>
        <v>1.65</v>
      </c>
    </row>
    <row r="394" spans="1:29" ht="14.25" x14ac:dyDescent="0.2">
      <c r="A394" s="22"/>
      <c r="B394" s="22"/>
      <c r="C394" s="22" t="s">
        <v>406</v>
      </c>
      <c r="D394" s="24"/>
      <c r="E394" s="23"/>
      <c r="F394" s="26">
        <f>Source!AL350</f>
        <v>1073.97</v>
      </c>
      <c r="G394" s="25" t="str">
        <f>Source!DD350</f>
        <v/>
      </c>
      <c r="H394" s="23">
        <f>Source!AW351</f>
        <v>1</v>
      </c>
      <c r="I394" s="26">
        <f>Source!P350</f>
        <v>27.79</v>
      </c>
      <c r="J394" s="23">
        <f>IF(Source!BC351&lt;&gt; 0, Source!BC351, 1)</f>
        <v>3.62</v>
      </c>
      <c r="K394" s="26">
        <f>Source!P351</f>
        <v>100.6</v>
      </c>
    </row>
    <row r="395" spans="1:29" ht="55.5" x14ac:dyDescent="0.2">
      <c r="A395" s="22" t="s">
        <v>258</v>
      </c>
      <c r="B395" s="22" t="str">
        <f>Source!F352</f>
        <v>КА №22</v>
      </c>
      <c r="C395" s="22" t="s">
        <v>448</v>
      </c>
      <c r="D395" s="24" t="str">
        <f>Source!H352</f>
        <v>шт.</v>
      </c>
      <c r="E395" s="23">
        <f>Source!I352</f>
        <v>50</v>
      </c>
      <c r="F395" s="26">
        <f>Source!AK352</f>
        <v>34.589999999999996</v>
      </c>
      <c r="G395" s="51" t="s">
        <v>3</v>
      </c>
      <c r="H395" s="23">
        <f>Source!AW353</f>
        <v>1</v>
      </c>
      <c r="I395" s="26">
        <f>Source!O352</f>
        <v>1729.5</v>
      </c>
      <c r="J395" s="23">
        <f>IF(Source!BC353&lt;&gt; 0, Source!BC353, 1)</f>
        <v>9.8800000000000008</v>
      </c>
      <c r="K395" s="26">
        <f>Source!O353</f>
        <v>17087.46</v>
      </c>
      <c r="Q395">
        <f>Source!X352</f>
        <v>0</v>
      </c>
      <c r="R395">
        <f>Source!X353</f>
        <v>0</v>
      </c>
      <c r="S395">
        <f>Source!Y352</f>
        <v>0</v>
      </c>
      <c r="T395">
        <f>Source!Y353</f>
        <v>0</v>
      </c>
      <c r="U395">
        <f>ROUND((175/100)*ROUND(Source!R352, 2), 2)</f>
        <v>0</v>
      </c>
      <c r="V395">
        <f>ROUND((0/100)*ROUND(Source!R353, 2), 2)</f>
        <v>0</v>
      </c>
      <c r="AC395">
        <v>3</v>
      </c>
    </row>
    <row r="396" spans="1:29" ht="14.25" x14ac:dyDescent="0.2">
      <c r="A396" s="22"/>
      <c r="B396" s="22"/>
      <c r="C396" s="22" t="s">
        <v>407</v>
      </c>
      <c r="D396" s="24" t="s">
        <v>408</v>
      </c>
      <c r="E396" s="23">
        <f>Source!BZ351</f>
        <v>90</v>
      </c>
      <c r="F396" s="26"/>
      <c r="G396" s="25"/>
      <c r="H396" s="23"/>
      <c r="I396" s="26">
        <f>SUM(Q389:Q395)</f>
        <v>34.21</v>
      </c>
      <c r="J396" s="23">
        <f>Source!AT351</f>
        <v>90</v>
      </c>
      <c r="K396" s="26">
        <f>SUM(R389:R395)</f>
        <v>1881.15</v>
      </c>
    </row>
    <row r="397" spans="1:29" ht="14.25" x14ac:dyDescent="0.2">
      <c r="A397" s="22"/>
      <c r="B397" s="22"/>
      <c r="C397" s="22" t="s">
        <v>409</v>
      </c>
      <c r="D397" s="24" t="s">
        <v>408</v>
      </c>
      <c r="E397" s="23">
        <f>Source!CA351</f>
        <v>42</v>
      </c>
      <c r="F397" s="26"/>
      <c r="G397" s="25"/>
      <c r="H397" s="23"/>
      <c r="I397" s="26">
        <f>SUM(S389:S396)</f>
        <v>15.96</v>
      </c>
      <c r="J397" s="23">
        <f>Source!AU351</f>
        <v>42</v>
      </c>
      <c r="K397" s="26">
        <f>SUM(T389:T396)</f>
        <v>877.87</v>
      </c>
    </row>
    <row r="398" spans="1:29" ht="28.5" x14ac:dyDescent="0.2">
      <c r="A398" s="29"/>
      <c r="B398" s="29"/>
      <c r="C398" s="29" t="s">
        <v>410</v>
      </c>
      <c r="D398" s="30" t="s">
        <v>411</v>
      </c>
      <c r="E398" s="31">
        <f>Source!AQ350</f>
        <v>64</v>
      </c>
      <c r="F398" s="32"/>
      <c r="G398" s="33" t="str">
        <f>Source!DI350</f>
        <v>*1,15)*1,1</v>
      </c>
      <c r="H398" s="31">
        <f>Source!AV351</f>
        <v>1.0249999999999999</v>
      </c>
      <c r="I398" s="32">
        <f>Source!U350</f>
        <v>2.1472109999999995</v>
      </c>
      <c r="J398" s="31"/>
      <c r="K398" s="32"/>
    </row>
    <row r="399" spans="1:29" ht="15" x14ac:dyDescent="0.2">
      <c r="C399" s="34" t="s">
        <v>412</v>
      </c>
      <c r="H399" s="67">
        <f>I391+I392+I394+I396+I397+SUM(I395:I395)-SUMIF(AC395:AC395, 5, I395:I395)-SUMIF(AC395:AC395, 6, I395:I395)</f>
        <v>1845.65</v>
      </c>
      <c r="I399" s="67"/>
      <c r="J399" s="67">
        <f>K391+K392+K394+K396+K397+SUM(K395:K395)-SUMIF(AC395:AC395, 5, K395:K395)-SUMIF(AC395:AC395, 6, K395:K395)</f>
        <v>22039.02</v>
      </c>
      <c r="K399" s="67"/>
    </row>
    <row r="400" spans="1:29" ht="15" hidden="1" x14ac:dyDescent="0.2">
      <c r="C400" s="34" t="s">
        <v>413</v>
      </c>
      <c r="H400" s="64">
        <f>SUMIF(AC395:AC395, 5, I395:I395)+SUMIF(AC395:AC395, 6, I395:I395)</f>
        <v>0</v>
      </c>
      <c r="I400" s="64"/>
      <c r="J400" s="64">
        <f>SUMIF(AC395:AC395, 5, K395:K395)+SUMIF(AC395:AC395, 6, K395:K395)</f>
        <v>0</v>
      </c>
      <c r="K400" s="64"/>
    </row>
    <row r="401" spans="1:43" ht="15" x14ac:dyDescent="0.2">
      <c r="C401" s="34" t="s">
        <v>414</v>
      </c>
      <c r="H401" s="64">
        <f>I391+I392+I394+I396+I397+SUM(I395:I395)</f>
        <v>1845.65</v>
      </c>
      <c r="I401" s="64"/>
      <c r="J401" s="64">
        <f>K391+K392+K394+K396+K397+SUM(K395:K395)</f>
        <v>22039.02</v>
      </c>
      <c r="K401" s="64"/>
      <c r="O401" s="35">
        <f>I391+I392+I394+I396+I397+SUM(I395:I395)</f>
        <v>1845.65</v>
      </c>
      <c r="P401" s="35">
        <f>K391+K392+K394+K396+K397+SUM(K395:K395)</f>
        <v>22039.02</v>
      </c>
    </row>
    <row r="404" spans="1:43" ht="15" x14ac:dyDescent="0.25">
      <c r="A404" s="66" t="str">
        <f>CONCATENATE("Итого по разделу: ",IF(Source!G355&lt;&gt;"Новый раздел", Source!G355, ""))</f>
        <v>Итого по разделу: Тактильные предупреждающие наклейки на поручни</v>
      </c>
      <c r="B404" s="66"/>
      <c r="C404" s="66"/>
      <c r="D404" s="66"/>
      <c r="E404" s="66"/>
      <c r="F404" s="66"/>
      <c r="G404" s="66"/>
      <c r="H404" s="64">
        <f>SUM(O388:O403)</f>
        <v>1845.65</v>
      </c>
      <c r="I404" s="65"/>
      <c r="J404" s="64">
        <f>SUM(P388:P403)</f>
        <v>22039.02</v>
      </c>
      <c r="K404" s="65"/>
      <c r="AQ404" s="52" t="str">
        <f>CONCATENATE("Итого по разделу: ",IF(Source!G355&lt;&gt;"Новый раздел", Source!G355, ""))</f>
        <v>Итого по разделу: Тактильные предупреждающие наклейки на поручни</v>
      </c>
    </row>
    <row r="405" spans="1:43" hidden="1" x14ac:dyDescent="0.2">
      <c r="A405" t="s">
        <v>417</v>
      </c>
      <c r="I405">
        <f>SUM(W388:W404)</f>
        <v>0</v>
      </c>
      <c r="J405">
        <f>SUM(X388:X404)</f>
        <v>0</v>
      </c>
    </row>
    <row r="406" spans="1:43" hidden="1" x14ac:dyDescent="0.2">
      <c r="A406" t="s">
        <v>418</v>
      </c>
      <c r="I406">
        <f>SUM(Y388:Y405)</f>
        <v>0</v>
      </c>
      <c r="J406">
        <f>SUM(Z388:Z405)</f>
        <v>0</v>
      </c>
    </row>
    <row r="408" spans="1:43" ht="16.5" x14ac:dyDescent="0.2">
      <c r="A408" s="68" t="str">
        <f>CONCATENATE("Раздел: ",IF(Source!G385&lt;&gt;"Новый раздел", Source!G385, ""))</f>
        <v>Раздел: Панно из алюминиевых тактильных индикаторов-конусов</v>
      </c>
      <c r="B408" s="68"/>
      <c r="C408" s="68"/>
      <c r="D408" s="68"/>
      <c r="E408" s="68"/>
      <c r="F408" s="68"/>
      <c r="G408" s="68"/>
      <c r="H408" s="68"/>
      <c r="I408" s="68"/>
      <c r="J408" s="68"/>
      <c r="K408" s="68"/>
    </row>
    <row r="409" spans="1:43" ht="52.5" x14ac:dyDescent="0.2">
      <c r="A409" s="22">
        <v>38</v>
      </c>
      <c r="B409" s="22" t="s">
        <v>449</v>
      </c>
      <c r="C409" s="22" t="s">
        <v>265</v>
      </c>
      <c r="D409" s="24" t="str">
        <f>Source!H389</f>
        <v>100 м</v>
      </c>
      <c r="E409" s="23">
        <f>Source!I389</f>
        <v>0.53164999999999996</v>
      </c>
      <c r="F409" s="26"/>
      <c r="G409" s="25"/>
      <c r="H409" s="23"/>
      <c r="I409" s="26"/>
      <c r="J409" s="23"/>
      <c r="K409" s="26"/>
      <c r="Q409">
        <f>Source!X389</f>
        <v>180.67</v>
      </c>
      <c r="R409">
        <f>Source!X390</f>
        <v>9934.98</v>
      </c>
      <c r="S409">
        <f>Source!Y389</f>
        <v>98.38</v>
      </c>
      <c r="T409">
        <f>Source!Y390</f>
        <v>5410.14</v>
      </c>
      <c r="U409">
        <f>ROUND((175/100)*ROUND(Source!R389, 2), 2)</f>
        <v>0.33</v>
      </c>
      <c r="V409">
        <f>ROUND((0/100)*ROUND(Source!R390, 2), 2)</f>
        <v>0</v>
      </c>
      <c r="AC409">
        <v>0</v>
      </c>
    </row>
    <row r="410" spans="1:43" x14ac:dyDescent="0.2">
      <c r="C410" s="27" t="str">
        <f>"Объем: "&amp;Source!I389&amp;"=(0,035*"&amp;"1519)/"&amp;"100"</f>
        <v>Объем: 0,53165=(0,035*1519)/100</v>
      </c>
    </row>
    <row r="411" spans="1:43" ht="28.5" x14ac:dyDescent="0.2">
      <c r="A411" s="22"/>
      <c r="B411" s="22"/>
      <c r="C411" s="22" t="s">
        <v>403</v>
      </c>
      <c r="D411" s="24"/>
      <c r="E411" s="23"/>
      <c r="F411" s="26">
        <f>Source!AO389</f>
        <v>253.77</v>
      </c>
      <c r="G411" s="25" t="str">
        <f>Source!DG389</f>
        <v>*1,15)*1,1</v>
      </c>
      <c r="H411" s="23">
        <f>Source!AV390</f>
        <v>1.0469999999999999</v>
      </c>
      <c r="I411" s="26">
        <f>Source!S389</f>
        <v>178.69</v>
      </c>
      <c r="J411" s="23">
        <f>IF(Source!BA390&lt;&gt; 0, Source!BA390, 1)</f>
        <v>54.99</v>
      </c>
      <c r="K411" s="26">
        <f>Source!S390</f>
        <v>9826.16</v>
      </c>
    </row>
    <row r="412" spans="1:43" ht="28.5" x14ac:dyDescent="0.2">
      <c r="A412" s="22"/>
      <c r="B412" s="22"/>
      <c r="C412" s="22" t="s">
        <v>404</v>
      </c>
      <c r="D412" s="24"/>
      <c r="E412" s="23"/>
      <c r="F412" s="26">
        <f>Source!AM389</f>
        <v>7.97</v>
      </c>
      <c r="G412" s="25" t="str">
        <f>Source!DE389</f>
        <v>*1,25)*1,1</v>
      </c>
      <c r="H412" s="23">
        <f>Source!AV390</f>
        <v>1.0469999999999999</v>
      </c>
      <c r="I412" s="26">
        <f>Source!Q389</f>
        <v>6.1</v>
      </c>
      <c r="J412" s="23">
        <f>IF(Source!BB390&lt;&gt; 0, Source!BB390, 1)</f>
        <v>10.26</v>
      </c>
      <c r="K412" s="26">
        <f>Source!Q390</f>
        <v>62.59</v>
      </c>
    </row>
    <row r="413" spans="1:43" ht="28.5" x14ac:dyDescent="0.2">
      <c r="A413" s="22"/>
      <c r="B413" s="22"/>
      <c r="C413" s="22" t="s">
        <v>405</v>
      </c>
      <c r="D413" s="24"/>
      <c r="E413" s="23"/>
      <c r="F413" s="26">
        <f>Source!AN389</f>
        <v>0.25</v>
      </c>
      <c r="G413" s="25" t="str">
        <f>Source!DF389</f>
        <v>*1,25)*1,1</v>
      </c>
      <c r="H413" s="23">
        <f>Source!AV390</f>
        <v>1.0469999999999999</v>
      </c>
      <c r="I413" s="28">
        <f>Source!R389</f>
        <v>0.19</v>
      </c>
      <c r="J413" s="23">
        <f>IF(Source!BS390&lt;&gt; 0, Source!BS390, 1)</f>
        <v>54.99</v>
      </c>
      <c r="K413" s="28">
        <f>Source!R390</f>
        <v>10.45</v>
      </c>
    </row>
    <row r="414" spans="1:43" ht="14.25" x14ac:dyDescent="0.2">
      <c r="A414" s="22"/>
      <c r="B414" s="22"/>
      <c r="C414" s="22" t="s">
        <v>406</v>
      </c>
      <c r="D414" s="24"/>
      <c r="E414" s="23"/>
      <c r="F414" s="26">
        <f>Source!AL389</f>
        <v>45.25</v>
      </c>
      <c r="G414" s="25" t="str">
        <f>Source!DD389</f>
        <v/>
      </c>
      <c r="H414" s="23">
        <f>Source!AW390</f>
        <v>1</v>
      </c>
      <c r="I414" s="26">
        <f>Source!P389</f>
        <v>24.06</v>
      </c>
      <c r="J414" s="23">
        <f>IF(Source!BC390&lt;&gt; 0, Source!BC390, 1)</f>
        <v>4.21</v>
      </c>
      <c r="K414" s="26">
        <f>Source!P390</f>
        <v>101.29</v>
      </c>
    </row>
    <row r="415" spans="1:43" ht="41.25" x14ac:dyDescent="0.2">
      <c r="A415" s="22" t="s">
        <v>270</v>
      </c>
      <c r="B415" s="22" t="str">
        <f>Source!F391</f>
        <v>КА №23</v>
      </c>
      <c r="C415" s="22" t="s">
        <v>450</v>
      </c>
      <c r="D415" s="24" t="str">
        <f>Source!H391</f>
        <v>шт.</v>
      </c>
      <c r="E415" s="23">
        <f>Source!I391</f>
        <v>1519</v>
      </c>
      <c r="F415" s="26">
        <f>Source!AK391</f>
        <v>9.7199999999999989</v>
      </c>
      <c r="G415" s="51" t="s">
        <v>3</v>
      </c>
      <c r="H415" s="23">
        <f>Source!AW392</f>
        <v>1</v>
      </c>
      <c r="I415" s="26">
        <f>Source!O391</f>
        <v>14764.68</v>
      </c>
      <c r="J415" s="23">
        <f>IF(Source!BC392&lt;&gt; 0, Source!BC392, 1)</f>
        <v>9.8800000000000008</v>
      </c>
      <c r="K415" s="26">
        <f>Source!O392</f>
        <v>145875.04</v>
      </c>
      <c r="Q415">
        <f>Source!X391</f>
        <v>0</v>
      </c>
      <c r="R415">
        <f>Source!X392</f>
        <v>0</v>
      </c>
      <c r="S415">
        <f>Source!Y391</f>
        <v>0</v>
      </c>
      <c r="T415">
        <f>Source!Y392</f>
        <v>0</v>
      </c>
      <c r="U415">
        <f>ROUND((175/100)*ROUND(Source!R391, 2), 2)</f>
        <v>0</v>
      </c>
      <c r="V415">
        <f>ROUND((0/100)*ROUND(Source!R392, 2), 2)</f>
        <v>0</v>
      </c>
      <c r="AC415">
        <v>3</v>
      </c>
    </row>
    <row r="416" spans="1:43" ht="14.25" x14ac:dyDescent="0.2">
      <c r="A416" s="22"/>
      <c r="B416" s="22"/>
      <c r="C416" s="22" t="s">
        <v>407</v>
      </c>
      <c r="D416" s="24" t="s">
        <v>408</v>
      </c>
      <c r="E416" s="23">
        <f>Source!BZ390</f>
        <v>101</v>
      </c>
      <c r="F416" s="26"/>
      <c r="G416" s="25"/>
      <c r="H416" s="23"/>
      <c r="I416" s="26">
        <f>SUM(Q409:Q415)</f>
        <v>180.67</v>
      </c>
      <c r="J416" s="23">
        <f>Source!AT390</f>
        <v>101</v>
      </c>
      <c r="K416" s="26">
        <f>SUM(R409:R415)</f>
        <v>9934.98</v>
      </c>
    </row>
    <row r="417" spans="1:43" ht="14.25" x14ac:dyDescent="0.2">
      <c r="A417" s="22"/>
      <c r="B417" s="22"/>
      <c r="C417" s="22" t="s">
        <v>409</v>
      </c>
      <c r="D417" s="24" t="s">
        <v>408</v>
      </c>
      <c r="E417" s="23">
        <f>Source!CA390</f>
        <v>55</v>
      </c>
      <c r="F417" s="26"/>
      <c r="G417" s="25"/>
      <c r="H417" s="23"/>
      <c r="I417" s="26">
        <f>SUM(S409:S416)</f>
        <v>98.38</v>
      </c>
      <c r="J417" s="23">
        <f>Source!AU390</f>
        <v>55</v>
      </c>
      <c r="K417" s="26">
        <f>SUM(T409:T416)</f>
        <v>5410.14</v>
      </c>
    </row>
    <row r="418" spans="1:43" ht="28.5" x14ac:dyDescent="0.2">
      <c r="A418" s="29"/>
      <c r="B418" s="29"/>
      <c r="C418" s="29" t="s">
        <v>410</v>
      </c>
      <c r="D418" s="30" t="s">
        <v>411</v>
      </c>
      <c r="E418" s="31">
        <f>Source!AQ389</f>
        <v>16.64</v>
      </c>
      <c r="F418" s="32"/>
      <c r="G418" s="33" t="str">
        <f>Source!DI389</f>
        <v>*1,15)*1,1</v>
      </c>
      <c r="H418" s="31">
        <f>Source!AV390</f>
        <v>1.0469999999999999</v>
      </c>
      <c r="I418" s="32">
        <f>Source!U389</f>
        <v>11.716997772479999</v>
      </c>
      <c r="J418" s="31"/>
      <c r="K418" s="32"/>
    </row>
    <row r="419" spans="1:43" ht="15" x14ac:dyDescent="0.2">
      <c r="C419" s="34" t="s">
        <v>412</v>
      </c>
      <c r="H419" s="67">
        <f>I411+I412+I414+I416+I417+SUM(I415:I415)-SUMIF(AC415:AC415, 5, I415:I415)-SUMIF(AC415:AC415, 6, I415:I415)</f>
        <v>15252.58</v>
      </c>
      <c r="I419" s="67"/>
      <c r="J419" s="67">
        <f>K411+K412+K414+K416+K417+SUM(K415:K415)-SUMIF(AC415:AC415, 5, K415:K415)-SUMIF(AC415:AC415, 6, K415:K415)</f>
        <v>171210.2</v>
      </c>
      <c r="K419" s="67"/>
    </row>
    <row r="420" spans="1:43" ht="15" hidden="1" x14ac:dyDescent="0.2">
      <c r="C420" s="34" t="s">
        <v>413</v>
      </c>
      <c r="H420" s="64">
        <f>SUMIF(AC415:AC415, 5, I415:I415)+SUMIF(AC415:AC415, 6, I415:I415)</f>
        <v>0</v>
      </c>
      <c r="I420" s="64"/>
      <c r="J420" s="64">
        <f>SUMIF(AC415:AC415, 5, K415:K415)+SUMIF(AC415:AC415, 6, K415:K415)</f>
        <v>0</v>
      </c>
      <c r="K420" s="64"/>
    </row>
    <row r="421" spans="1:43" ht="15" x14ac:dyDescent="0.2">
      <c r="C421" s="34" t="s">
        <v>414</v>
      </c>
      <c r="H421" s="64">
        <f>I411+I412+I414+I416+I417+SUM(I415:I415)</f>
        <v>15252.58</v>
      </c>
      <c r="I421" s="64"/>
      <c r="J421" s="64">
        <f>K411+K412+K414+K416+K417+SUM(K415:K415)</f>
        <v>171210.2</v>
      </c>
      <c r="K421" s="64"/>
      <c r="O421" s="35">
        <f>I411+I412+I414+I416+I417+SUM(I415:I415)</f>
        <v>15252.58</v>
      </c>
      <c r="P421" s="35">
        <f>K411+K412+K414+K416+K417+SUM(K415:K415)</f>
        <v>171210.2</v>
      </c>
    </row>
    <row r="424" spans="1:43" ht="15" x14ac:dyDescent="0.25">
      <c r="A424" s="66" t="str">
        <f>CONCATENATE("Итого по разделу: ",IF(Source!G394&lt;&gt;"Новый раздел", Source!G394, ""))</f>
        <v>Итого по разделу: Панно из алюминиевых тактильных индикаторов-конусов</v>
      </c>
      <c r="B424" s="66"/>
      <c r="C424" s="66"/>
      <c r="D424" s="66"/>
      <c r="E424" s="66"/>
      <c r="F424" s="66"/>
      <c r="G424" s="66"/>
      <c r="H424" s="64">
        <f>SUM(O408:O423)</f>
        <v>15252.58</v>
      </c>
      <c r="I424" s="65"/>
      <c r="J424" s="64">
        <f>SUM(P408:P423)</f>
        <v>171210.2</v>
      </c>
      <c r="K424" s="65"/>
      <c r="AQ424" s="52" t="str">
        <f>CONCATENATE("Итого по разделу: ",IF(Source!G394&lt;&gt;"Новый раздел", Source!G394, ""))</f>
        <v>Итого по разделу: Панно из алюминиевых тактильных индикаторов-конусов</v>
      </c>
    </row>
    <row r="425" spans="1:43" hidden="1" x14ac:dyDescent="0.2">
      <c r="A425" t="s">
        <v>417</v>
      </c>
      <c r="I425">
        <f>SUM(W408:W424)</f>
        <v>0</v>
      </c>
      <c r="J425">
        <f>SUM(X408:X424)</f>
        <v>0</v>
      </c>
    </row>
    <row r="426" spans="1:43" hidden="1" x14ac:dyDescent="0.2">
      <c r="A426" t="s">
        <v>418</v>
      </c>
      <c r="I426">
        <f>SUM(Y408:Y425)</f>
        <v>0</v>
      </c>
      <c r="J426">
        <f>SUM(Z408:Z425)</f>
        <v>0</v>
      </c>
    </row>
    <row r="428" spans="1:43" ht="16.5" x14ac:dyDescent="0.2">
      <c r="A428" s="68" t="str">
        <f>CONCATENATE("Раздел: ",IF(Source!G424&lt;&gt;"Новый раздел", Source!G424, ""))</f>
        <v>Раздел: Алюминиевая тактильная направляющая полоска</v>
      </c>
      <c r="B428" s="68"/>
      <c r="C428" s="68"/>
      <c r="D428" s="68"/>
      <c r="E428" s="68"/>
      <c r="F428" s="68"/>
      <c r="G428" s="68"/>
      <c r="H428" s="68"/>
      <c r="I428" s="68"/>
      <c r="J428" s="68"/>
      <c r="K428" s="68"/>
    </row>
    <row r="429" spans="1:43" ht="52.5" x14ac:dyDescent="0.2">
      <c r="A429" s="22">
        <v>39</v>
      </c>
      <c r="B429" s="22" t="s">
        <v>449</v>
      </c>
      <c r="C429" s="22" t="s">
        <v>265</v>
      </c>
      <c r="D429" s="24" t="str">
        <f>Source!H428</f>
        <v>100 м</v>
      </c>
      <c r="E429" s="23">
        <f>Source!I428</f>
        <v>0.14000000000000001</v>
      </c>
      <c r="F429" s="26"/>
      <c r="G429" s="25"/>
      <c r="H429" s="23"/>
      <c r="I429" s="26"/>
      <c r="J429" s="23"/>
      <c r="K429" s="26"/>
      <c r="Q429">
        <f>Source!X428</f>
        <v>47.57</v>
      </c>
      <c r="R429">
        <f>Source!X429</f>
        <v>2615.9299999999998</v>
      </c>
      <c r="S429">
        <f>Source!Y428</f>
        <v>25.91</v>
      </c>
      <c r="T429">
        <f>Source!Y429</f>
        <v>1424.52</v>
      </c>
      <c r="U429">
        <f>ROUND((175/100)*ROUND(Source!R428, 2), 2)</f>
        <v>0.09</v>
      </c>
      <c r="V429">
        <f>ROUND((0/100)*ROUND(Source!R429, 2), 2)</f>
        <v>0</v>
      </c>
      <c r="AC429">
        <v>0</v>
      </c>
    </row>
    <row r="430" spans="1:43" x14ac:dyDescent="0.2">
      <c r="C430" s="27" t="str">
        <f>"Объем: "&amp;Source!I428&amp;"=(0,28*"&amp;"50)/"&amp;"100"</f>
        <v>Объем: 0,14=(0,28*50)/100</v>
      </c>
    </row>
    <row r="431" spans="1:43" ht="28.5" x14ac:dyDescent="0.2">
      <c r="A431" s="22"/>
      <c r="B431" s="22"/>
      <c r="C431" s="22" t="s">
        <v>403</v>
      </c>
      <c r="D431" s="24"/>
      <c r="E431" s="23"/>
      <c r="F431" s="26">
        <f>Source!AO428</f>
        <v>253.77</v>
      </c>
      <c r="G431" s="25" t="str">
        <f>Source!DG428</f>
        <v>*1,15)*1,1</v>
      </c>
      <c r="H431" s="23">
        <f>Source!AV429</f>
        <v>1.0469999999999999</v>
      </c>
      <c r="I431" s="26">
        <f>Source!S428</f>
        <v>47.05</v>
      </c>
      <c r="J431" s="23">
        <f>IF(Source!BA429&lt;&gt; 0, Source!BA429, 1)</f>
        <v>54.99</v>
      </c>
      <c r="K431" s="26">
        <f>Source!S429</f>
        <v>2587.2800000000002</v>
      </c>
    </row>
    <row r="432" spans="1:43" ht="28.5" x14ac:dyDescent="0.2">
      <c r="A432" s="22"/>
      <c r="B432" s="22"/>
      <c r="C432" s="22" t="s">
        <v>404</v>
      </c>
      <c r="D432" s="24"/>
      <c r="E432" s="23"/>
      <c r="F432" s="26">
        <f>Source!AM428</f>
        <v>7.97</v>
      </c>
      <c r="G432" s="25" t="str">
        <f>Source!DE428</f>
        <v>*1,25)*1,1</v>
      </c>
      <c r="H432" s="23">
        <f>Source!AV429</f>
        <v>1.0469999999999999</v>
      </c>
      <c r="I432" s="26">
        <f>Source!Q428</f>
        <v>1.61</v>
      </c>
      <c r="J432" s="23">
        <f>IF(Source!BB429&lt;&gt; 0, Source!BB429, 1)</f>
        <v>10.26</v>
      </c>
      <c r="K432" s="26">
        <f>Source!Q429</f>
        <v>16.52</v>
      </c>
    </row>
    <row r="433" spans="1:43" ht="28.5" x14ac:dyDescent="0.2">
      <c r="A433" s="22"/>
      <c r="B433" s="22"/>
      <c r="C433" s="22" t="s">
        <v>405</v>
      </c>
      <c r="D433" s="24"/>
      <c r="E433" s="23"/>
      <c r="F433" s="26">
        <f>Source!AN428</f>
        <v>0.25</v>
      </c>
      <c r="G433" s="25" t="str">
        <f>Source!DF428</f>
        <v>*1,25)*1,1</v>
      </c>
      <c r="H433" s="23">
        <f>Source!AV429</f>
        <v>1.0469999999999999</v>
      </c>
      <c r="I433" s="28">
        <f>Source!R428</f>
        <v>0.05</v>
      </c>
      <c r="J433" s="23">
        <f>IF(Source!BS429&lt;&gt; 0, Source!BS429, 1)</f>
        <v>54.99</v>
      </c>
      <c r="K433" s="28">
        <f>Source!R429</f>
        <v>2.75</v>
      </c>
    </row>
    <row r="434" spans="1:43" ht="14.25" x14ac:dyDescent="0.2">
      <c r="A434" s="22"/>
      <c r="B434" s="22"/>
      <c r="C434" s="22" t="s">
        <v>406</v>
      </c>
      <c r="D434" s="24"/>
      <c r="E434" s="23"/>
      <c r="F434" s="26">
        <f>Source!AL428</f>
        <v>45.25</v>
      </c>
      <c r="G434" s="25" t="str">
        <f>Source!DD428</f>
        <v/>
      </c>
      <c r="H434" s="23">
        <f>Source!AW429</f>
        <v>1</v>
      </c>
      <c r="I434" s="26">
        <f>Source!P428</f>
        <v>6.34</v>
      </c>
      <c r="J434" s="23">
        <f>IF(Source!BC429&lt;&gt; 0, Source!BC429, 1)</f>
        <v>4.21</v>
      </c>
      <c r="K434" s="26">
        <f>Source!P429</f>
        <v>26.69</v>
      </c>
    </row>
    <row r="435" spans="1:43" ht="41.25" x14ac:dyDescent="0.2">
      <c r="A435" s="22" t="s">
        <v>276</v>
      </c>
      <c r="B435" s="22" t="str">
        <f>Source!F430</f>
        <v>КА №24</v>
      </c>
      <c r="C435" s="22" t="s">
        <v>451</v>
      </c>
      <c r="D435" s="24" t="str">
        <f>Source!H430</f>
        <v>шт.</v>
      </c>
      <c r="E435" s="23">
        <f>Source!I430</f>
        <v>50</v>
      </c>
      <c r="F435" s="26">
        <f>Source!AK430</f>
        <v>115.71</v>
      </c>
      <c r="G435" s="51" t="s">
        <v>3</v>
      </c>
      <c r="H435" s="23">
        <f>Source!AW431</f>
        <v>1</v>
      </c>
      <c r="I435" s="26">
        <f>Source!O430</f>
        <v>5785.5</v>
      </c>
      <c r="J435" s="23">
        <f>IF(Source!BC431&lt;&gt; 0, Source!BC431, 1)</f>
        <v>9.8800000000000008</v>
      </c>
      <c r="K435" s="26">
        <f>Source!O431</f>
        <v>57160.74</v>
      </c>
      <c r="Q435">
        <f>Source!X430</f>
        <v>0</v>
      </c>
      <c r="R435">
        <f>Source!X431</f>
        <v>0</v>
      </c>
      <c r="S435">
        <f>Source!Y430</f>
        <v>0</v>
      </c>
      <c r="T435">
        <f>Source!Y431</f>
        <v>0</v>
      </c>
      <c r="U435">
        <f>ROUND((175/100)*ROUND(Source!R430, 2), 2)</f>
        <v>0</v>
      </c>
      <c r="V435">
        <f>ROUND((0/100)*ROUND(Source!R431, 2), 2)</f>
        <v>0</v>
      </c>
      <c r="AC435">
        <v>3</v>
      </c>
    </row>
    <row r="436" spans="1:43" ht="14.25" x14ac:dyDescent="0.2">
      <c r="A436" s="22"/>
      <c r="B436" s="22"/>
      <c r="C436" s="22" t="s">
        <v>407</v>
      </c>
      <c r="D436" s="24" t="s">
        <v>408</v>
      </c>
      <c r="E436" s="23">
        <f>Source!BZ429</f>
        <v>101</v>
      </c>
      <c r="F436" s="26"/>
      <c r="G436" s="25"/>
      <c r="H436" s="23"/>
      <c r="I436" s="26">
        <f>SUM(Q429:Q435)</f>
        <v>47.57</v>
      </c>
      <c r="J436" s="23">
        <f>Source!AT429</f>
        <v>101</v>
      </c>
      <c r="K436" s="26">
        <f>SUM(R429:R435)</f>
        <v>2615.9299999999998</v>
      </c>
    </row>
    <row r="437" spans="1:43" ht="14.25" x14ac:dyDescent="0.2">
      <c r="A437" s="22"/>
      <c r="B437" s="22"/>
      <c r="C437" s="22" t="s">
        <v>409</v>
      </c>
      <c r="D437" s="24" t="s">
        <v>408</v>
      </c>
      <c r="E437" s="23">
        <f>Source!CA429</f>
        <v>55</v>
      </c>
      <c r="F437" s="26"/>
      <c r="G437" s="25"/>
      <c r="H437" s="23"/>
      <c r="I437" s="26">
        <f>SUM(S429:S436)</f>
        <v>25.91</v>
      </c>
      <c r="J437" s="23">
        <f>Source!AU429</f>
        <v>55</v>
      </c>
      <c r="K437" s="26">
        <f>SUM(T429:T436)</f>
        <v>1424.52</v>
      </c>
    </row>
    <row r="438" spans="1:43" ht="28.5" x14ac:dyDescent="0.2">
      <c r="A438" s="29"/>
      <c r="B438" s="29"/>
      <c r="C438" s="29" t="s">
        <v>410</v>
      </c>
      <c r="D438" s="30" t="s">
        <v>411</v>
      </c>
      <c r="E438" s="31">
        <f>Source!AQ428</f>
        <v>16.64</v>
      </c>
      <c r="F438" s="32"/>
      <c r="G438" s="33" t="str">
        <f>Source!DI428</f>
        <v>*1,15)*1,1</v>
      </c>
      <c r="H438" s="31">
        <f>Source!AV429</f>
        <v>1.0469999999999999</v>
      </c>
      <c r="I438" s="32">
        <f>Source!U428</f>
        <v>3.0854503680000005</v>
      </c>
      <c r="J438" s="31"/>
      <c r="K438" s="32"/>
    </row>
    <row r="439" spans="1:43" ht="15" x14ac:dyDescent="0.2">
      <c r="C439" s="34" t="s">
        <v>412</v>
      </c>
      <c r="H439" s="67">
        <f>I431+I432+I434+I436+I437+SUM(I435:I435)-SUMIF(AC435:AC435, 5, I435:I435)-SUMIF(AC435:AC435, 6, I435:I435)</f>
        <v>5913.98</v>
      </c>
      <c r="I439" s="67"/>
      <c r="J439" s="67">
        <f>K431+K432+K434+K436+K437+SUM(K435:K435)-SUMIF(AC435:AC435, 5, K435:K435)-SUMIF(AC435:AC435, 6, K435:K435)</f>
        <v>63831.68</v>
      </c>
      <c r="K439" s="67"/>
    </row>
    <row r="440" spans="1:43" ht="15" hidden="1" x14ac:dyDescent="0.2">
      <c r="C440" s="34" t="s">
        <v>413</v>
      </c>
      <c r="H440" s="64">
        <f>SUMIF(AC435:AC435, 5, I435:I435)+SUMIF(AC435:AC435, 6, I435:I435)</f>
        <v>0</v>
      </c>
      <c r="I440" s="64"/>
      <c r="J440" s="64">
        <f>SUMIF(AC435:AC435, 5, K435:K435)+SUMIF(AC435:AC435, 6, K435:K435)</f>
        <v>0</v>
      </c>
      <c r="K440" s="64"/>
    </row>
    <row r="441" spans="1:43" ht="15" x14ac:dyDescent="0.2">
      <c r="C441" s="34" t="s">
        <v>414</v>
      </c>
      <c r="H441" s="64">
        <f>I431+I432+I434+I436+I437+SUM(I435:I435)</f>
        <v>5913.98</v>
      </c>
      <c r="I441" s="64"/>
      <c r="J441" s="64">
        <f>K431+K432+K434+K436+K437+SUM(K435:K435)</f>
        <v>63831.68</v>
      </c>
      <c r="K441" s="64"/>
      <c r="O441" s="35">
        <f>I431+I432+I434+I436+I437+SUM(I435:I435)</f>
        <v>5913.98</v>
      </c>
      <c r="P441" s="35">
        <f>K431+K432+K434+K436+K437+SUM(K435:K435)</f>
        <v>63831.68</v>
      </c>
    </row>
    <row r="444" spans="1:43" ht="15" x14ac:dyDescent="0.25">
      <c r="A444" s="66" t="str">
        <f>CONCATENATE("Итого по разделу: ",IF(Source!G433&lt;&gt;"Новый раздел", Source!G433, ""))</f>
        <v>Итого по разделу: Алюминиевая тактильная направляющая полоска</v>
      </c>
      <c r="B444" s="66"/>
      <c r="C444" s="66"/>
      <c r="D444" s="66"/>
      <c r="E444" s="66"/>
      <c r="F444" s="66"/>
      <c r="G444" s="66"/>
      <c r="H444" s="64">
        <f>SUM(O428:O443)</f>
        <v>5913.98</v>
      </c>
      <c r="I444" s="65"/>
      <c r="J444" s="64">
        <f>SUM(P428:P443)</f>
        <v>63831.68</v>
      </c>
      <c r="K444" s="65"/>
    </row>
    <row r="445" spans="1:43" hidden="1" x14ac:dyDescent="0.2">
      <c r="A445" t="s">
        <v>417</v>
      </c>
      <c r="I445">
        <f>SUM(W428:W444)</f>
        <v>0</v>
      </c>
      <c r="J445">
        <f>SUM(X428:X444)</f>
        <v>0</v>
      </c>
    </row>
    <row r="446" spans="1:43" hidden="1" x14ac:dyDescent="0.2">
      <c r="A446" t="s">
        <v>418</v>
      </c>
      <c r="I446">
        <f>SUM(Y428:Y445)</f>
        <v>0</v>
      </c>
      <c r="J446">
        <f>SUM(Z428:Z445)</f>
        <v>0</v>
      </c>
    </row>
    <row r="448" spans="1:43" ht="15" x14ac:dyDescent="0.25">
      <c r="A448" s="66" t="str">
        <f>CONCATENATE("Итого по локальной смете: ",IF(Source!G463&lt;&gt;"Новая локальная смета", Source!G463, ""))</f>
        <v>Итого по локальной смете: Мероприятия по обеспечению доступа инвалидов</v>
      </c>
      <c r="B448" s="66"/>
      <c r="C448" s="66"/>
      <c r="D448" s="66"/>
      <c r="E448" s="66"/>
      <c r="F448" s="66"/>
      <c r="G448" s="66"/>
      <c r="H448" s="64">
        <f>SUM(O29:O447)</f>
        <v>77715.42</v>
      </c>
      <c r="I448" s="65"/>
      <c r="J448" s="64">
        <f>SUM(P29:P447)</f>
        <v>695224.9</v>
      </c>
      <c r="K448" s="65"/>
      <c r="AQ448" s="52" t="str">
        <f>CONCATENATE("Итого по локальной смете: ",IF(Source!G463&lt;&gt;"Новая локальная смета", Source!G463, ""))</f>
        <v>Итого по локальной смете: Мероприятия по обеспечению доступа инвалидов</v>
      </c>
    </row>
    <row r="449" spans="1:11" hidden="1" x14ac:dyDescent="0.2">
      <c r="A449" t="s">
        <v>417</v>
      </c>
      <c r="I449">
        <f>SUM(W29:W448)</f>
        <v>0</v>
      </c>
      <c r="J449">
        <f>SUM(X29:X448)</f>
        <v>0</v>
      </c>
    </row>
    <row r="450" spans="1:11" hidden="1" x14ac:dyDescent="0.2">
      <c r="A450" t="s">
        <v>418</v>
      </c>
      <c r="I450">
        <f>SUM(Y29:Y449)</f>
        <v>0</v>
      </c>
      <c r="J450">
        <f>SUM(Z29:Z449)</f>
        <v>0</v>
      </c>
    </row>
    <row r="453" spans="1:11" ht="14.25" x14ac:dyDescent="0.2">
      <c r="A453" s="61" t="s">
        <v>453</v>
      </c>
      <c r="B453" s="61"/>
      <c r="C453" s="53" t="str">
        <f>IF(Source!AC12&lt;&gt;"", Source!AC12," ")</f>
        <v xml:space="preserve"> </v>
      </c>
      <c r="D453" s="53"/>
      <c r="E453" s="53"/>
      <c r="F453" s="53"/>
      <c r="G453" s="53"/>
      <c r="H453" s="62" t="str">
        <f>IF(Source!AB12&lt;&gt;"", Source!AB12," ")</f>
        <v>Борисова Е.С.</v>
      </c>
      <c r="I453" s="62"/>
      <c r="J453" s="62"/>
      <c r="K453" s="62"/>
    </row>
    <row r="454" spans="1:11" ht="14.25" x14ac:dyDescent="0.2">
      <c r="A454" s="11"/>
      <c r="B454" s="11"/>
      <c r="C454" s="63" t="s">
        <v>454</v>
      </c>
      <c r="D454" s="63"/>
      <c r="E454" s="63"/>
      <c r="F454" s="63"/>
      <c r="G454" s="63"/>
      <c r="H454" s="11"/>
      <c r="I454" s="11"/>
      <c r="J454" s="11"/>
      <c r="K454" s="11"/>
    </row>
    <row r="455" spans="1:11" ht="14.25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</row>
    <row r="456" spans="1:11" ht="14.25" x14ac:dyDescent="0.2">
      <c r="A456" s="61" t="s">
        <v>455</v>
      </c>
      <c r="B456" s="61"/>
      <c r="C456" s="53" t="str">
        <f>IF(Source!AE12&lt;&gt;"", Source!AE12," ")</f>
        <v xml:space="preserve"> </v>
      </c>
      <c r="D456" s="53"/>
      <c r="E456" s="53"/>
      <c r="F456" s="53"/>
      <c r="G456" s="53"/>
      <c r="H456" s="62" t="str">
        <f>IF(Source!AD12&lt;&gt;"", Source!AD12," ")</f>
        <v xml:space="preserve"> </v>
      </c>
      <c r="I456" s="62"/>
      <c r="J456" s="62"/>
      <c r="K456" s="62"/>
    </row>
    <row r="457" spans="1:11" ht="14.25" x14ac:dyDescent="0.2">
      <c r="A457" s="11"/>
      <c r="B457" s="11"/>
      <c r="C457" s="63" t="s">
        <v>454</v>
      </c>
      <c r="D457" s="63"/>
      <c r="E457" s="63"/>
      <c r="F457" s="63"/>
      <c r="G457" s="63"/>
      <c r="H457" s="11"/>
      <c r="I457" s="11"/>
      <c r="J457" s="11"/>
      <c r="K457" s="11"/>
    </row>
  </sheetData>
  <mergeCells count="253">
    <mergeCell ref="J2:K2"/>
    <mergeCell ref="A30:K30"/>
    <mergeCell ref="E18:H18"/>
    <mergeCell ref="E14:H14"/>
    <mergeCell ref="E15:H15"/>
    <mergeCell ref="E16:H16"/>
    <mergeCell ref="E17:H17"/>
    <mergeCell ref="E19:H19"/>
    <mergeCell ref="E20:H20"/>
    <mergeCell ref="A3:K3"/>
    <mergeCell ref="A4:K4"/>
    <mergeCell ref="A6:K6"/>
    <mergeCell ref="A8:K8"/>
    <mergeCell ref="A9:K9"/>
    <mergeCell ref="A11:K11"/>
    <mergeCell ref="H40:I40"/>
    <mergeCell ref="J40:K40"/>
    <mergeCell ref="H41:I41"/>
    <mergeCell ref="J41:K41"/>
    <mergeCell ref="H42:I42"/>
    <mergeCell ref="J42:K42"/>
    <mergeCell ref="E21:H21"/>
    <mergeCell ref="E22:H22"/>
    <mergeCell ref="E23:H23"/>
    <mergeCell ref="A26:K26"/>
    <mergeCell ref="H63:I63"/>
    <mergeCell ref="J63:K63"/>
    <mergeCell ref="H64:I64"/>
    <mergeCell ref="J64:K64"/>
    <mergeCell ref="H65:I65"/>
    <mergeCell ref="J65:K65"/>
    <mergeCell ref="H53:I53"/>
    <mergeCell ref="J53:K53"/>
    <mergeCell ref="H54:I54"/>
    <mergeCell ref="J54:K54"/>
    <mergeCell ref="H55:I55"/>
    <mergeCell ref="J55:K55"/>
    <mergeCell ref="H89:I89"/>
    <mergeCell ref="J89:K89"/>
    <mergeCell ref="H90:I90"/>
    <mergeCell ref="J90:K90"/>
    <mergeCell ref="H91:I91"/>
    <mergeCell ref="J91:K91"/>
    <mergeCell ref="H76:I76"/>
    <mergeCell ref="J76:K76"/>
    <mergeCell ref="H77:I77"/>
    <mergeCell ref="J77:K77"/>
    <mergeCell ref="H78:I78"/>
    <mergeCell ref="J78:K78"/>
    <mergeCell ref="A116:G116"/>
    <mergeCell ref="A120:K120"/>
    <mergeCell ref="H104:I104"/>
    <mergeCell ref="J104:K104"/>
    <mergeCell ref="H107:I107"/>
    <mergeCell ref="J107:K107"/>
    <mergeCell ref="H110:I110"/>
    <mergeCell ref="J110:K110"/>
    <mergeCell ref="J94:K94"/>
    <mergeCell ref="H94:I94"/>
    <mergeCell ref="A94:G94"/>
    <mergeCell ref="A98:K98"/>
    <mergeCell ref="H100:I100"/>
    <mergeCell ref="J100:K100"/>
    <mergeCell ref="H122:I122"/>
    <mergeCell ref="J122:K122"/>
    <mergeCell ref="H125:I125"/>
    <mergeCell ref="J125:K125"/>
    <mergeCell ref="H128:I128"/>
    <mergeCell ref="J128:K128"/>
    <mergeCell ref="H113:I113"/>
    <mergeCell ref="J113:K113"/>
    <mergeCell ref="J116:K116"/>
    <mergeCell ref="H116:I116"/>
    <mergeCell ref="J140:K140"/>
    <mergeCell ref="H140:I140"/>
    <mergeCell ref="A140:G140"/>
    <mergeCell ref="A144:K144"/>
    <mergeCell ref="H152:I152"/>
    <mergeCell ref="J152:K152"/>
    <mergeCell ref="H131:I131"/>
    <mergeCell ref="J131:K131"/>
    <mergeCell ref="H134:I134"/>
    <mergeCell ref="J134:K134"/>
    <mergeCell ref="H137:I137"/>
    <mergeCell ref="J137:K137"/>
    <mergeCell ref="H164:I164"/>
    <mergeCell ref="J164:K164"/>
    <mergeCell ref="H165:I165"/>
    <mergeCell ref="J165:K165"/>
    <mergeCell ref="H174:I174"/>
    <mergeCell ref="J174:K174"/>
    <mergeCell ref="H153:I153"/>
    <mergeCell ref="J153:K153"/>
    <mergeCell ref="H154:I154"/>
    <mergeCell ref="J154:K154"/>
    <mergeCell ref="H163:I163"/>
    <mergeCell ref="J163:K163"/>
    <mergeCell ref="H186:I186"/>
    <mergeCell ref="J186:K186"/>
    <mergeCell ref="H187:I187"/>
    <mergeCell ref="J187:K187"/>
    <mergeCell ref="H196:I196"/>
    <mergeCell ref="J196:K196"/>
    <mergeCell ref="H175:I175"/>
    <mergeCell ref="J175:K175"/>
    <mergeCell ref="H176:I176"/>
    <mergeCell ref="J176:K176"/>
    <mergeCell ref="H185:I185"/>
    <mergeCell ref="J185:K185"/>
    <mergeCell ref="H208:I208"/>
    <mergeCell ref="J208:K208"/>
    <mergeCell ref="H209:I209"/>
    <mergeCell ref="J209:K209"/>
    <mergeCell ref="H218:I218"/>
    <mergeCell ref="J218:K218"/>
    <mergeCell ref="H197:I197"/>
    <mergeCell ref="J197:K197"/>
    <mergeCell ref="H198:I198"/>
    <mergeCell ref="J198:K198"/>
    <mergeCell ref="H207:I207"/>
    <mergeCell ref="J207:K207"/>
    <mergeCell ref="H230:I230"/>
    <mergeCell ref="J230:K230"/>
    <mergeCell ref="H231:I231"/>
    <mergeCell ref="J231:K231"/>
    <mergeCell ref="H240:I240"/>
    <mergeCell ref="J240:K240"/>
    <mergeCell ref="H219:I219"/>
    <mergeCell ref="J219:K219"/>
    <mergeCell ref="H220:I220"/>
    <mergeCell ref="J220:K220"/>
    <mergeCell ref="H229:I229"/>
    <mergeCell ref="J229:K229"/>
    <mergeCell ref="H252:I252"/>
    <mergeCell ref="J252:K252"/>
    <mergeCell ref="H253:I253"/>
    <mergeCell ref="J253:K253"/>
    <mergeCell ref="H262:I262"/>
    <mergeCell ref="J262:K262"/>
    <mergeCell ref="H241:I241"/>
    <mergeCell ref="J241:K241"/>
    <mergeCell ref="H242:I242"/>
    <mergeCell ref="J242:K242"/>
    <mergeCell ref="H251:I251"/>
    <mergeCell ref="J251:K251"/>
    <mergeCell ref="H274:I274"/>
    <mergeCell ref="J274:K274"/>
    <mergeCell ref="H275:I275"/>
    <mergeCell ref="J275:K275"/>
    <mergeCell ref="H284:I284"/>
    <mergeCell ref="J284:K284"/>
    <mergeCell ref="H263:I263"/>
    <mergeCell ref="J263:K263"/>
    <mergeCell ref="H264:I264"/>
    <mergeCell ref="J264:K264"/>
    <mergeCell ref="H273:I273"/>
    <mergeCell ref="J273:K273"/>
    <mergeCell ref="H296:I296"/>
    <mergeCell ref="J296:K296"/>
    <mergeCell ref="H297:I297"/>
    <mergeCell ref="J297:K297"/>
    <mergeCell ref="H306:I306"/>
    <mergeCell ref="J306:K306"/>
    <mergeCell ref="H285:I285"/>
    <mergeCell ref="J285:K285"/>
    <mergeCell ref="H286:I286"/>
    <mergeCell ref="J286:K286"/>
    <mergeCell ref="H295:I295"/>
    <mergeCell ref="J295:K295"/>
    <mergeCell ref="H318:I318"/>
    <mergeCell ref="J318:K318"/>
    <mergeCell ref="H319:I319"/>
    <mergeCell ref="J319:K319"/>
    <mergeCell ref="H328:I328"/>
    <mergeCell ref="J328:K328"/>
    <mergeCell ref="H307:I307"/>
    <mergeCell ref="J307:K307"/>
    <mergeCell ref="H308:I308"/>
    <mergeCell ref="J308:K308"/>
    <mergeCell ref="H317:I317"/>
    <mergeCell ref="J317:K317"/>
    <mergeCell ref="H340:I340"/>
    <mergeCell ref="J340:K340"/>
    <mergeCell ref="H341:I341"/>
    <mergeCell ref="J341:K341"/>
    <mergeCell ref="J344:K344"/>
    <mergeCell ref="H344:I344"/>
    <mergeCell ref="H329:I329"/>
    <mergeCell ref="J329:K329"/>
    <mergeCell ref="H330:I330"/>
    <mergeCell ref="J330:K330"/>
    <mergeCell ref="H339:I339"/>
    <mergeCell ref="J339:K339"/>
    <mergeCell ref="H361:I361"/>
    <mergeCell ref="J361:K361"/>
    <mergeCell ref="J364:K364"/>
    <mergeCell ref="H364:I364"/>
    <mergeCell ref="A364:G364"/>
    <mergeCell ref="A368:K368"/>
    <mergeCell ref="A344:G344"/>
    <mergeCell ref="A348:K348"/>
    <mergeCell ref="H359:I359"/>
    <mergeCell ref="J359:K359"/>
    <mergeCell ref="H360:I360"/>
    <mergeCell ref="J360:K360"/>
    <mergeCell ref="J384:K384"/>
    <mergeCell ref="H384:I384"/>
    <mergeCell ref="A384:G384"/>
    <mergeCell ref="A388:K388"/>
    <mergeCell ref="H399:I399"/>
    <mergeCell ref="J399:K399"/>
    <mergeCell ref="H379:I379"/>
    <mergeCell ref="J379:K379"/>
    <mergeCell ref="H380:I380"/>
    <mergeCell ref="J380:K380"/>
    <mergeCell ref="H381:I381"/>
    <mergeCell ref="J381:K381"/>
    <mergeCell ref="A424:G424"/>
    <mergeCell ref="A428:K428"/>
    <mergeCell ref="A404:G404"/>
    <mergeCell ref="A408:K408"/>
    <mergeCell ref="H419:I419"/>
    <mergeCell ref="J419:K419"/>
    <mergeCell ref="H420:I420"/>
    <mergeCell ref="J420:K420"/>
    <mergeCell ref="H400:I400"/>
    <mergeCell ref="J400:K400"/>
    <mergeCell ref="H401:I401"/>
    <mergeCell ref="J401:K401"/>
    <mergeCell ref="J404:K404"/>
    <mergeCell ref="H404:I404"/>
    <mergeCell ref="H439:I439"/>
    <mergeCell ref="J439:K439"/>
    <mergeCell ref="H440:I440"/>
    <mergeCell ref="J440:K440"/>
    <mergeCell ref="H441:I441"/>
    <mergeCell ref="J441:K441"/>
    <mergeCell ref="H421:I421"/>
    <mergeCell ref="J421:K421"/>
    <mergeCell ref="J424:K424"/>
    <mergeCell ref="H424:I424"/>
    <mergeCell ref="A453:B453"/>
    <mergeCell ref="H453:K453"/>
    <mergeCell ref="C454:G454"/>
    <mergeCell ref="A456:B456"/>
    <mergeCell ref="H456:K456"/>
    <mergeCell ref="C457:G457"/>
    <mergeCell ref="J444:K444"/>
    <mergeCell ref="H444:I444"/>
    <mergeCell ref="A444:G444"/>
    <mergeCell ref="J448:K448"/>
    <mergeCell ref="H448:I448"/>
    <mergeCell ref="A448:G448"/>
  </mergeCells>
  <pageMargins left="0.4" right="0.2" top="0.2" bottom="0.4" header="0.2" footer="0.2"/>
  <pageSetup paperSize="9" scale="71" fitToHeight="0" orientation="portrait" horizontalDpi="4294967295" verticalDpi="4294967295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D685-651D-4A32-B26A-D96731F5D4E9}">
  <sheetPr>
    <pageSetUpPr fitToPage="1"/>
  </sheetPr>
  <dimension ref="A1:H93"/>
  <sheetViews>
    <sheetView zoomScaleNormal="100" workbookViewId="0"/>
  </sheetViews>
  <sheetFormatPr defaultRowHeight="12.75" x14ac:dyDescent="0.2"/>
  <cols>
    <col min="1" max="2" width="6.7109375" customWidth="1"/>
    <col min="3" max="3" width="75.7109375" customWidth="1"/>
    <col min="4" max="8" width="15.7109375" customWidth="1"/>
    <col min="30" max="32" width="0" hidden="1" customWidth="1"/>
  </cols>
  <sheetData>
    <row r="1" spans="1:8" x14ac:dyDescent="0.2">
      <c r="A1" s="10" t="str">
        <f>Source!B1</f>
        <v>Smeta.RU  (495) 974-1589</v>
      </c>
    </row>
    <row r="2" spans="1:8" ht="14.25" x14ac:dyDescent="0.2">
      <c r="D2" s="11"/>
      <c r="E2" s="11"/>
    </row>
    <row r="3" spans="1:8" ht="15" x14ac:dyDescent="0.25">
      <c r="D3" s="11"/>
      <c r="E3" s="36" t="s">
        <v>456</v>
      </c>
    </row>
    <row r="4" spans="1:8" ht="15" x14ac:dyDescent="0.25">
      <c r="D4" s="36"/>
      <c r="E4" s="36"/>
    </row>
    <row r="5" spans="1:8" ht="15" x14ac:dyDescent="0.25">
      <c r="D5" s="81" t="s">
        <v>457</v>
      </c>
      <c r="E5" s="81"/>
    </row>
    <row r="6" spans="1:8" ht="15" x14ac:dyDescent="0.25">
      <c r="D6" s="36"/>
      <c r="E6" s="36"/>
    </row>
    <row r="7" spans="1:8" ht="15" x14ac:dyDescent="0.25">
      <c r="D7" s="81" t="s">
        <v>457</v>
      </c>
      <c r="E7" s="81"/>
    </row>
    <row r="8" spans="1:8" ht="15" x14ac:dyDescent="0.25">
      <c r="D8" s="36"/>
      <c r="E8" s="36"/>
    </row>
    <row r="9" spans="1:8" ht="15" x14ac:dyDescent="0.25">
      <c r="D9" s="36" t="s">
        <v>458</v>
      </c>
      <c r="E9" s="11"/>
    </row>
    <row r="10" spans="1:8" ht="14.25" x14ac:dyDescent="0.2">
      <c r="D10" s="11"/>
      <c r="E10" s="11"/>
    </row>
    <row r="12" spans="1:8" ht="15.75" x14ac:dyDescent="0.2">
      <c r="B12" s="82" t="str">
        <f>CONCATENATE("Ведомость объемов работ ", IF(Source!AN15&lt;&gt;"", Source!AN15," "))</f>
        <v xml:space="preserve">Ведомость объемов работ  </v>
      </c>
      <c r="C12" s="82"/>
      <c r="D12" s="82"/>
      <c r="E12" s="82"/>
    </row>
    <row r="13" spans="1:8" ht="15" x14ac:dyDescent="0.2">
      <c r="B13" s="83" t="str">
        <f>CONCATENATE(Source!F12, " ", Source!G12)</f>
        <v>02-01-22 02-01-22 Мероприятия по обеспечению доступа инвалидов</v>
      </c>
      <c r="C13" s="83"/>
      <c r="D13" s="83"/>
      <c r="E13" s="83"/>
    </row>
    <row r="14" spans="1:8" ht="15" x14ac:dyDescent="0.2">
      <c r="B14" s="83" t="str">
        <f>CONCATENATE(Source!F20, " ", Source!G20)</f>
        <v>02-01-22 Мероприятия по обеспечению доступа инвалидов</v>
      </c>
      <c r="C14" s="83"/>
      <c r="D14" s="83"/>
      <c r="E14" s="83"/>
    </row>
    <row r="16" spans="1:8" ht="99.75" x14ac:dyDescent="0.2">
      <c r="A16" s="19" t="s">
        <v>387</v>
      </c>
      <c r="B16" s="19" t="s">
        <v>459</v>
      </c>
      <c r="C16" s="19" t="s">
        <v>389</v>
      </c>
      <c r="D16" s="19" t="s">
        <v>460</v>
      </c>
      <c r="E16" s="19" t="s">
        <v>461</v>
      </c>
      <c r="F16" s="19" t="s">
        <v>462</v>
      </c>
      <c r="G16" s="19" t="s">
        <v>463</v>
      </c>
      <c r="H16" s="19" t="s">
        <v>464</v>
      </c>
    </row>
    <row r="17" spans="1:8" ht="14.25" x14ac:dyDescent="0.2">
      <c r="A17" s="19">
        <v>1</v>
      </c>
      <c r="B17" s="19">
        <v>2</v>
      </c>
      <c r="C17" s="19">
        <v>3</v>
      </c>
      <c r="D17" s="19">
        <v>4</v>
      </c>
      <c r="E17" s="19">
        <v>5</v>
      </c>
      <c r="F17" s="19">
        <v>6</v>
      </c>
      <c r="G17" s="19">
        <v>7</v>
      </c>
      <c r="H17" s="19">
        <v>8</v>
      </c>
    </row>
    <row r="18" spans="1:8" ht="16.5" x14ac:dyDescent="0.25">
      <c r="A18" s="80" t="str">
        <f>CONCATENATE("Раздел: ", Source!G24)</f>
        <v>Раздел: Оборудование санузла для МГН</v>
      </c>
      <c r="B18" s="80"/>
      <c r="C18" s="80"/>
      <c r="D18" s="80"/>
      <c r="E18" s="80"/>
      <c r="F18" s="80"/>
      <c r="G18" s="80"/>
      <c r="H18" s="80"/>
    </row>
    <row r="19" spans="1:8" ht="28.5" x14ac:dyDescent="0.2">
      <c r="A19" s="19">
        <v>1</v>
      </c>
      <c r="B19" s="19" t="str">
        <f>Source!E28</f>
        <v>1</v>
      </c>
      <c r="C19" s="56" t="str">
        <f>Source!G28</f>
        <v>Установка гарнитуры туалетной: поручней для ванн</v>
      </c>
      <c r="D19" s="19" t="s">
        <v>21</v>
      </c>
      <c r="E19" s="57">
        <f>Source!I28</f>
        <v>0.05</v>
      </c>
      <c r="F19" s="19" t="str">
        <f>Source!U24</f>
        <v/>
      </c>
      <c r="G19" s="19" t="str">
        <f>"=(1+"&amp;"1+"&amp;"1+"&amp;"1+"&amp;"1)/"&amp;"100"</f>
        <v>=(1+1+1+1+1)/100</v>
      </c>
      <c r="H19" s="56"/>
    </row>
    <row r="20" spans="1:8" ht="28.5" x14ac:dyDescent="0.2">
      <c r="A20" s="19">
        <v>2</v>
      </c>
      <c r="B20" s="19" t="str">
        <f>Source!E30</f>
        <v>2</v>
      </c>
      <c r="C20" s="56" t="str">
        <f>Source!G30</f>
        <v>Установка гарнитуры туалетной: вешалок, подстаканников, дозаторов настенных и т.п./ крючки</v>
      </c>
      <c r="D20" s="19" t="s">
        <v>21</v>
      </c>
      <c r="E20" s="57">
        <f>Source!I30</f>
        <v>0.02</v>
      </c>
      <c r="F20" s="19" t="str">
        <f>Source!U24</f>
        <v/>
      </c>
      <c r="G20" s="19" t="str">
        <f>"=2/"&amp;"100"</f>
        <v>=2/100</v>
      </c>
      <c r="H20" s="56"/>
    </row>
    <row r="21" spans="1:8" ht="14.25" x14ac:dyDescent="0.2">
      <c r="A21" s="19">
        <v>3</v>
      </c>
      <c r="B21" s="19" t="str">
        <f>Source!E32</f>
        <v>3</v>
      </c>
      <c r="C21" s="56" t="str">
        <f>Source!G32</f>
        <v>Установка гарнитуры туалетной полочек/зеркало</v>
      </c>
      <c r="D21" s="19" t="s">
        <v>37</v>
      </c>
      <c r="E21" s="57">
        <f>Source!I32</f>
        <v>1</v>
      </c>
      <c r="F21" s="19" t="str">
        <f>Source!U24</f>
        <v/>
      </c>
      <c r="G21" s="19">
        <f>Source!I32</f>
        <v>1</v>
      </c>
      <c r="H21" s="56"/>
    </row>
    <row r="22" spans="1:8" ht="28.5" x14ac:dyDescent="0.2">
      <c r="A22" s="19">
        <v>4</v>
      </c>
      <c r="B22" s="19" t="str">
        <f>Source!E34</f>
        <v>4</v>
      </c>
      <c r="C22" s="56" t="str">
        <f>Source!G34</f>
        <v>Установка гарнитуры туалетной: вешалок, подстаканников, дозаторов настенных и т.п./диспенсер</v>
      </c>
      <c r="D22" s="19" t="s">
        <v>21</v>
      </c>
      <c r="E22" s="57">
        <f>Source!I34</f>
        <v>0.03</v>
      </c>
      <c r="F22" s="19" t="str">
        <f>Source!U24</f>
        <v/>
      </c>
      <c r="G22" s="19" t="str">
        <f>"=3/"&amp;"100"</f>
        <v>=3/100</v>
      </c>
      <c r="H22" s="56"/>
    </row>
    <row r="23" spans="1:8" ht="28.5" x14ac:dyDescent="0.2">
      <c r="A23" s="19">
        <v>5</v>
      </c>
      <c r="B23" s="19" t="str">
        <f>Source!E36</f>
        <v>5</v>
      </c>
      <c r="C23" s="56" t="str">
        <f>Source!G36</f>
        <v>Установка гарнитуры туалетной: вешалок, подстаканников, дозаторов настенных и т.п./ туалетный ершик с креплением на стену</v>
      </c>
      <c r="D23" s="19" t="s">
        <v>21</v>
      </c>
      <c r="E23" s="57">
        <f>Source!I36</f>
        <v>0.01</v>
      </c>
      <c r="F23" s="19" t="str">
        <f>Source!U24</f>
        <v/>
      </c>
      <c r="G23" s="19" t="str">
        <f>"=1/"&amp;"100"</f>
        <v>=1/100</v>
      </c>
      <c r="H23" s="56"/>
    </row>
    <row r="24" spans="1:8" ht="16.5" x14ac:dyDescent="0.25">
      <c r="A24" s="80" t="str">
        <f>CONCATENATE("Раздел: ", Source!G69)</f>
        <v>Раздел: Оборудование, не облагаемое НДС</v>
      </c>
      <c r="B24" s="80"/>
      <c r="C24" s="80"/>
      <c r="D24" s="80"/>
      <c r="E24" s="80"/>
      <c r="F24" s="80"/>
      <c r="G24" s="80"/>
      <c r="H24" s="80"/>
    </row>
    <row r="25" spans="1:8" ht="57" x14ac:dyDescent="0.2">
      <c r="A25" s="19">
        <v>6</v>
      </c>
      <c r="B25" s="19" t="str">
        <f>Source!E73</f>
        <v>6</v>
      </c>
      <c r="C25" s="56" t="str">
        <f>Source!G73</f>
        <v>Поручень реабилитационный откидной для установки около унитаза, габаритные размеры 700х700 мм. Материал сталь нержавеющая с полировкой, крепление к стене в трех точках, в комплекте: прокладки-амортизаторы резиновые, крепежные элементы</v>
      </c>
      <c r="D25" s="19" t="s">
        <v>104</v>
      </c>
      <c r="E25" s="57">
        <f>Source!I73</f>
        <v>1</v>
      </c>
      <c r="F25" s="19" t="str">
        <f>Source!U69</f>
        <v/>
      </c>
      <c r="G25" s="19">
        <f>Source!I73</f>
        <v>1</v>
      </c>
      <c r="H25" s="56"/>
    </row>
    <row r="26" spans="1:8" ht="28.5" x14ac:dyDescent="0.2">
      <c r="A26" s="19">
        <v>7</v>
      </c>
      <c r="B26" s="19" t="str">
        <f>Source!E75</f>
        <v>7</v>
      </c>
      <c r="C26" s="56" t="str">
        <f>Source!G75</f>
        <v>Поручень реабилитационный настенный, угловой, габаритные размеры 700х700 мм/ 600х600 мм</v>
      </c>
      <c r="D26" s="19" t="s">
        <v>104</v>
      </c>
      <c r="E26" s="57">
        <f>Source!I75</f>
        <v>2</v>
      </c>
      <c r="F26" s="19" t="str">
        <f>Source!U69</f>
        <v/>
      </c>
      <c r="G26" s="19" t="str">
        <f>"=1+"&amp;"1"</f>
        <v>=1+1</v>
      </c>
      <c r="H26" s="56"/>
    </row>
    <row r="27" spans="1:8" ht="28.5" x14ac:dyDescent="0.2">
      <c r="A27" s="19">
        <v>8</v>
      </c>
      <c r="B27" s="19" t="str">
        <f>Source!E77</f>
        <v>8</v>
      </c>
      <c r="C27" s="56" t="str">
        <f>Source!G77</f>
        <v>Поручень реабилитационный настенный, габаритные размеры 1500х90 мм/ 1200х120 мм</v>
      </c>
      <c r="D27" s="19" t="s">
        <v>104</v>
      </c>
      <c r="E27" s="57">
        <f>Source!I77</f>
        <v>1</v>
      </c>
      <c r="F27" s="19" t="str">
        <f>Source!U69</f>
        <v/>
      </c>
      <c r="G27" s="19">
        <f>Source!I77</f>
        <v>1</v>
      </c>
      <c r="H27" s="56"/>
    </row>
    <row r="28" spans="1:8" ht="42.75" x14ac:dyDescent="0.2">
      <c r="A28" s="19">
        <v>9</v>
      </c>
      <c r="B28" s="19" t="str">
        <f>Source!E79</f>
        <v>9</v>
      </c>
      <c r="C28" s="56" t="str">
        <f>Source!G79</f>
        <v>Поручень реабилитационный односекционный, для установки около умывальника, габаритные размеры 700х260 мм/ настенно-напольный 850х196х600 мм</v>
      </c>
      <c r="D28" s="19" t="s">
        <v>104</v>
      </c>
      <c r="E28" s="57">
        <f>Source!I79</f>
        <v>1</v>
      </c>
      <c r="F28" s="19" t="str">
        <f>Source!U69</f>
        <v/>
      </c>
      <c r="G28" s="19">
        <f>Source!I79</f>
        <v>1</v>
      </c>
      <c r="H28" s="56"/>
    </row>
    <row r="29" spans="1:8" ht="42.75" x14ac:dyDescent="0.2">
      <c r="A29" s="19">
        <v>10</v>
      </c>
      <c r="B29" s="19" t="str">
        <f>Source!E81</f>
        <v>10</v>
      </c>
      <c r="C29" s="56" t="str">
        <f>Source!G81</f>
        <v>Крючок для подвески костылей, габаритные размеры 120х32 мм. Материал сталь нержавеющая с полировкой, крепление на стену, в комплекте: прокладки-амортизаторы резиновые, крепежные элементы</v>
      </c>
      <c r="D29" s="19" t="s">
        <v>104</v>
      </c>
      <c r="E29" s="57">
        <f>Source!I81</f>
        <v>1</v>
      </c>
      <c r="F29" s="19" t="str">
        <f>Source!U69</f>
        <v/>
      </c>
      <c r="G29" s="19">
        <f>Source!I81</f>
        <v>1</v>
      </c>
      <c r="H29" s="56"/>
    </row>
    <row r="30" spans="1:8" ht="16.5" x14ac:dyDescent="0.25">
      <c r="A30" s="80" t="str">
        <f>CONCATENATE("Раздел: ", Source!G114)</f>
        <v>Раздел: Оборудование, облагаемое НДС</v>
      </c>
      <c r="B30" s="80"/>
      <c r="C30" s="80"/>
      <c r="D30" s="80"/>
      <c r="E30" s="80"/>
      <c r="F30" s="80"/>
      <c r="G30" s="80"/>
      <c r="H30" s="80"/>
    </row>
    <row r="31" spans="1:8" ht="28.5" x14ac:dyDescent="0.2">
      <c r="A31" s="19">
        <v>11</v>
      </c>
      <c r="B31" s="19" t="str">
        <f>Source!E118</f>
        <v>11</v>
      </c>
      <c r="C31" s="56" t="str">
        <f>Source!G118</f>
        <v>Зеркало поворотное с ручкой управления, какркас из нержавеющей стали AISI 304, арт. 80035</v>
      </c>
      <c r="D31" s="19" t="s">
        <v>124</v>
      </c>
      <c r="E31" s="57">
        <f>Source!I118</f>
        <v>1</v>
      </c>
      <c r="F31" s="19" t="str">
        <f>Source!U114</f>
        <v/>
      </c>
      <c r="G31" s="19">
        <f>Source!I118</f>
        <v>1</v>
      </c>
      <c r="H31" s="56"/>
    </row>
    <row r="32" spans="1:8" ht="28.5" x14ac:dyDescent="0.2">
      <c r="A32" s="19">
        <v>12</v>
      </c>
      <c r="B32" s="19" t="str">
        <f>Source!E120</f>
        <v>12</v>
      </c>
      <c r="C32" s="56" t="str">
        <f>Source!G120</f>
        <v>Корзина металлическая для мусора Tork Image Design B1, 50 л, без крышки, стальная, Артикул:460011</v>
      </c>
      <c r="D32" s="19" t="s">
        <v>124</v>
      </c>
      <c r="E32" s="57">
        <f>Source!I120</f>
        <v>1</v>
      </c>
      <c r="F32" s="19" t="str">
        <f>Source!U114</f>
        <v/>
      </c>
      <c r="G32" s="19">
        <f>Source!I120</f>
        <v>1</v>
      </c>
      <c r="H32" s="56"/>
    </row>
    <row r="33" spans="1:8" ht="42.75" x14ac:dyDescent="0.2">
      <c r="A33" s="19">
        <v>13</v>
      </c>
      <c r="B33" s="19" t="str">
        <f>Source!E122</f>
        <v>13</v>
      </c>
      <c r="C33" s="56" t="str">
        <f>Source!G122</f>
        <v>Диспенсер настенный для бумажных полотенец, 325х245х109 мм, цвет: глянцевый хром, корпус из нержавеющей стали AISI 304 толщиной 1,2 мм. Типа 04046.В</v>
      </c>
      <c r="D33" s="19" t="s">
        <v>124</v>
      </c>
      <c r="E33" s="57">
        <f>Source!I122</f>
        <v>1</v>
      </c>
      <c r="F33" s="19" t="str">
        <f>Source!U114</f>
        <v/>
      </c>
      <c r="G33" s="19">
        <f>Source!I122</f>
        <v>1</v>
      </c>
      <c r="H33" s="56"/>
    </row>
    <row r="34" spans="1:8" ht="42.75" x14ac:dyDescent="0.2">
      <c r="A34" s="19">
        <v>14</v>
      </c>
      <c r="B34" s="19" t="str">
        <f>Source!E124</f>
        <v>14</v>
      </c>
      <c r="C34" s="56" t="str">
        <f>Source!G124</f>
        <v>Диспенсер для жидкого мыла сенсорный автоматический, 275х105х95 мм, цвет: глянцевый хром, корпус из нержавеющей стали AISI 304 толщиной 1,0 мм. Типа 03039.B</v>
      </c>
      <c r="D34" s="19" t="s">
        <v>124</v>
      </c>
      <c r="E34" s="57">
        <f>Source!I124</f>
        <v>1</v>
      </c>
      <c r="F34" s="19" t="str">
        <f>Source!U114</f>
        <v/>
      </c>
      <c r="G34" s="19">
        <f>Source!I124</f>
        <v>1</v>
      </c>
      <c r="H34" s="56"/>
    </row>
    <row r="35" spans="1:8" ht="28.5" x14ac:dyDescent="0.2">
      <c r="A35" s="19">
        <v>15</v>
      </c>
      <c r="B35" s="19" t="str">
        <f>Source!E126</f>
        <v>15</v>
      </c>
      <c r="C35" s="56" t="str">
        <f>Source!G126</f>
        <v>Диспенсер для туалетной бумаги, 260х112х260 мм, цвет: глянцевый хром, корпус изнержавеющей стали AISI 304 толщиной 1,0 мм. Типа 05006.B</v>
      </c>
      <c r="D35" s="19" t="s">
        <v>124</v>
      </c>
      <c r="E35" s="57">
        <f>Source!I126</f>
        <v>1</v>
      </c>
      <c r="F35" s="19" t="str">
        <f>Source!U114</f>
        <v/>
      </c>
      <c r="G35" s="19">
        <f>Source!I126</f>
        <v>1</v>
      </c>
      <c r="H35" s="56"/>
    </row>
    <row r="36" spans="1:8" ht="14.25" x14ac:dyDescent="0.2">
      <c r="A36" s="19">
        <v>16</v>
      </c>
      <c r="B36" s="19" t="str">
        <f>Source!E128</f>
        <v>16</v>
      </c>
      <c r="C36" s="56" t="str">
        <f>Source!G128</f>
        <v>Ершик туалетный с креплением на стену NIZA 16857.S</v>
      </c>
      <c r="D36" s="19" t="s">
        <v>124</v>
      </c>
      <c r="E36" s="57">
        <f>Source!I128</f>
        <v>1</v>
      </c>
      <c r="F36" s="19" t="str">
        <f>Source!U114</f>
        <v/>
      </c>
      <c r="G36" s="19">
        <f>Source!I128</f>
        <v>1</v>
      </c>
      <c r="H36" s="56"/>
    </row>
    <row r="37" spans="1:8" ht="16.5" x14ac:dyDescent="0.25">
      <c r="A37" s="80" t="str">
        <f>CONCATENATE("Раздел: ", Source!G161)</f>
        <v>Раздел: Информационно-тактильные знаки</v>
      </c>
      <c r="B37" s="80"/>
      <c r="C37" s="80"/>
      <c r="D37" s="80"/>
      <c r="E37" s="80"/>
      <c r="F37" s="80"/>
      <c r="G37" s="80"/>
      <c r="H37" s="80"/>
    </row>
    <row r="38" spans="1:8" ht="42.75" x14ac:dyDescent="0.2">
      <c r="A38" s="19">
        <v>17</v>
      </c>
      <c r="B38" s="19" t="str">
        <f>Source!E165</f>
        <v>17</v>
      </c>
      <c r="C38" s="56" t="str">
        <f>Source!G165</f>
        <v>Установка номерных табличек для этажа, подъезда/ Эвакуационный знак E01-01 (левосторонний), Эвакуационный знак E01-02 (правосторонний)</v>
      </c>
      <c r="D38" s="19" t="s">
        <v>37</v>
      </c>
      <c r="E38" s="57">
        <f>Source!I165</f>
        <v>6</v>
      </c>
      <c r="F38" s="19" t="str">
        <f>Source!U161</f>
        <v/>
      </c>
      <c r="G38" s="19">
        <f>Source!I165</f>
        <v>6</v>
      </c>
      <c r="H38" s="56"/>
    </row>
    <row r="39" spans="1:8" ht="28.5" x14ac:dyDescent="0.2">
      <c r="A39" s="19">
        <v>17.100000000000001</v>
      </c>
      <c r="B39" s="19" t="str">
        <f>Source!E167</f>
        <v>17,1</v>
      </c>
      <c r="C39" s="56" t="str">
        <f>Source!G167</f>
        <v>Знак безопасности и эвакуационный указатель, из пластика с фотолюминесцентным покрытием, размер 200х200 мм</v>
      </c>
      <c r="D39" s="19" t="s">
        <v>124</v>
      </c>
      <c r="E39" s="57">
        <f>Source!I167</f>
        <v>6</v>
      </c>
      <c r="F39" s="19" t="str">
        <f>Source!U161</f>
        <v/>
      </c>
      <c r="G39" s="19"/>
      <c r="H39" s="56"/>
    </row>
    <row r="40" spans="1:8" ht="28.5" x14ac:dyDescent="0.2">
      <c r="A40" s="19">
        <v>18</v>
      </c>
      <c r="B40" s="19" t="str">
        <f>Source!E169</f>
        <v>18</v>
      </c>
      <c r="C40" s="56" t="str">
        <f>Source!G169</f>
        <v>Установка номерных табличек для этажа, подъезда/Эвакуационный знак E02-01, "Направляющая стрелка"</v>
      </c>
      <c r="D40" s="19" t="s">
        <v>37</v>
      </c>
      <c r="E40" s="57">
        <f>Source!I169</f>
        <v>6</v>
      </c>
      <c r="F40" s="19" t="str">
        <f>Source!U161</f>
        <v/>
      </c>
      <c r="G40" s="19">
        <f>Source!I169</f>
        <v>6</v>
      </c>
      <c r="H40" s="56"/>
    </row>
    <row r="41" spans="1:8" ht="28.5" x14ac:dyDescent="0.2">
      <c r="A41" s="19">
        <v>18.100000000000001</v>
      </c>
      <c r="B41" s="19" t="str">
        <f>Source!E171</f>
        <v>18,1</v>
      </c>
      <c r="C41" s="56" t="str">
        <f>Source!G171</f>
        <v>Знак безопасности и эвакуационный указатель, из пластика с фотолюминесцентным покрытием, размер 200х200 мм</v>
      </c>
      <c r="D41" s="19" t="s">
        <v>124</v>
      </c>
      <c r="E41" s="57">
        <f>Source!I171</f>
        <v>6</v>
      </c>
      <c r="F41" s="19" t="str">
        <f>Source!U161</f>
        <v/>
      </c>
      <c r="G41" s="19"/>
      <c r="H41" s="56"/>
    </row>
    <row r="42" spans="1:8" ht="57" x14ac:dyDescent="0.2">
      <c r="A42" s="19">
        <v>19</v>
      </c>
      <c r="B42" s="19" t="str">
        <f>Source!E173</f>
        <v>19</v>
      </c>
      <c r="C42" s="56" t="str">
        <f>Source!G173</f>
        <v>Установка номерных табличек для этажа, подъезда/Эвакуационный знак E13 Направление к эвакуационному выходу по лестнице вниз (правосторонний), Е14 Направление к эвакуационному выходу по лестнице вниз (левосторонний)</v>
      </c>
      <c r="D42" s="19" t="s">
        <v>37</v>
      </c>
      <c r="E42" s="57">
        <f>Source!I173</f>
        <v>4</v>
      </c>
      <c r="F42" s="19" t="str">
        <f>Source!U161</f>
        <v/>
      </c>
      <c r="G42" s="19">
        <f>Source!I173</f>
        <v>4</v>
      </c>
      <c r="H42" s="56"/>
    </row>
    <row r="43" spans="1:8" ht="28.5" x14ac:dyDescent="0.2">
      <c r="A43" s="19">
        <v>19.100000000000001</v>
      </c>
      <c r="B43" s="19" t="str">
        <f>Source!E175</f>
        <v>19,1</v>
      </c>
      <c r="C43" s="56" t="str">
        <f>Source!G175</f>
        <v>Знак безопасности и эвакуационный указатель, из пластика с фотолюминесцентным покрытием, размер 200х200 мм</v>
      </c>
      <c r="D43" s="19" t="s">
        <v>124</v>
      </c>
      <c r="E43" s="57">
        <f>Source!I175</f>
        <v>4</v>
      </c>
      <c r="F43" s="19" t="str">
        <f>Source!U161</f>
        <v/>
      </c>
      <c r="G43" s="19"/>
      <c r="H43" s="56"/>
    </row>
    <row r="44" spans="1:8" ht="28.5" x14ac:dyDescent="0.2">
      <c r="A44" s="19">
        <v>20</v>
      </c>
      <c r="B44" s="19" t="str">
        <f>Source!E177</f>
        <v>20</v>
      </c>
      <c r="C44" s="56" t="str">
        <f>Source!G177</f>
        <v>Установка номерных табличек для этажа, подъезда/Эвакуационный знак E22,"Указатель выхода"</v>
      </c>
      <c r="D44" s="19" t="s">
        <v>37</v>
      </c>
      <c r="E44" s="57">
        <f>Source!I177</f>
        <v>21</v>
      </c>
      <c r="F44" s="19" t="str">
        <f>Source!U161</f>
        <v/>
      </c>
      <c r="G44" s="19">
        <f>Source!I177</f>
        <v>21</v>
      </c>
      <c r="H44" s="56"/>
    </row>
    <row r="45" spans="1:8" ht="28.5" x14ac:dyDescent="0.2">
      <c r="A45" s="19">
        <v>20.100000000000001</v>
      </c>
      <c r="B45" s="19" t="str">
        <f>Source!E179</f>
        <v>20,1</v>
      </c>
      <c r="C45" s="56" t="str">
        <f>Source!G179</f>
        <v>Знак безопасности и эвакуационный указатель, из пластика с фотолюминесцентным покрытием, размер 200х200 мм</v>
      </c>
      <c r="D45" s="19" t="s">
        <v>124</v>
      </c>
      <c r="E45" s="57">
        <f>Source!I179</f>
        <v>21</v>
      </c>
      <c r="F45" s="19" t="str">
        <f>Source!U161</f>
        <v/>
      </c>
      <c r="G45" s="19"/>
      <c r="H45" s="56"/>
    </row>
    <row r="46" spans="1:8" ht="14.25" x14ac:dyDescent="0.2">
      <c r="A46" s="19">
        <v>21</v>
      </c>
      <c r="B46" s="19" t="str">
        <f>Source!E181</f>
        <v>21</v>
      </c>
      <c r="C46" s="56" t="str">
        <f>Source!G181</f>
        <v>Установка номерных табличек для этажа, подъезда</v>
      </c>
      <c r="D46" s="19" t="s">
        <v>37</v>
      </c>
      <c r="E46" s="57">
        <f>Source!I181</f>
        <v>4</v>
      </c>
      <c r="F46" s="19" t="str">
        <f>Source!U161</f>
        <v/>
      </c>
      <c r="G46" s="19">
        <f>Source!I181</f>
        <v>4</v>
      </c>
      <c r="H46" s="56"/>
    </row>
    <row r="47" spans="1:8" ht="28.5" x14ac:dyDescent="0.2">
      <c r="A47" s="19">
        <v>21.1</v>
      </c>
      <c r="B47" s="19" t="str">
        <f>Source!E183</f>
        <v>21,1</v>
      </c>
      <c r="C47" s="56" t="str">
        <f>Source!G183</f>
        <v>Тактильный знак СП 01, 150х150 мм "Доступность для инвалидов всех категорий" арт. 902-0-SP-18-150</v>
      </c>
      <c r="D47" s="19" t="s">
        <v>124</v>
      </c>
      <c r="E47" s="57">
        <f>Source!I183</f>
        <v>4</v>
      </c>
      <c r="F47" s="19" t="str">
        <f>Source!U161</f>
        <v/>
      </c>
      <c r="G47" s="19"/>
      <c r="H47" s="56"/>
    </row>
    <row r="48" spans="1:8" ht="14.25" x14ac:dyDescent="0.2">
      <c r="A48" s="19">
        <v>22</v>
      </c>
      <c r="B48" s="19" t="str">
        <f>Source!E185</f>
        <v>22</v>
      </c>
      <c r="C48" s="56" t="str">
        <f>Source!G185</f>
        <v>Установка номерных табличек для этажа, подъезда</v>
      </c>
      <c r="D48" s="19" t="s">
        <v>37</v>
      </c>
      <c r="E48" s="57">
        <f>Source!I185</f>
        <v>4</v>
      </c>
      <c r="F48" s="19" t="str">
        <f>Source!U161</f>
        <v/>
      </c>
      <c r="G48" s="19">
        <f>Source!I185</f>
        <v>4</v>
      </c>
      <c r="H48" s="56"/>
    </row>
    <row r="49" spans="1:8" ht="28.5" x14ac:dyDescent="0.2">
      <c r="A49" s="19">
        <v>22.1</v>
      </c>
      <c r="B49" s="19" t="str">
        <f>Source!E187</f>
        <v>22,1</v>
      </c>
      <c r="C49" s="56" t="str">
        <f>Source!G187</f>
        <v>Тактильный знак СП 02, 150х150 мм "Доступность для инвалидов в креслах-колясках" арт. 902-0-SP-02-150</v>
      </c>
      <c r="D49" s="19" t="s">
        <v>124</v>
      </c>
      <c r="E49" s="57">
        <f>Source!I187</f>
        <v>4</v>
      </c>
      <c r="F49" s="19" t="str">
        <f>Source!U161</f>
        <v/>
      </c>
      <c r="G49" s="19"/>
      <c r="H49" s="56"/>
    </row>
    <row r="50" spans="1:8" ht="14.25" x14ac:dyDescent="0.2">
      <c r="A50" s="19">
        <v>23</v>
      </c>
      <c r="B50" s="19" t="str">
        <f>Source!E189</f>
        <v>23</v>
      </c>
      <c r="C50" s="56" t="str">
        <f>Source!G189</f>
        <v>Установка номерных табличек для этажа, подъезда</v>
      </c>
      <c r="D50" s="19" t="s">
        <v>37</v>
      </c>
      <c r="E50" s="57">
        <f>Source!I189</f>
        <v>4</v>
      </c>
      <c r="F50" s="19" t="str">
        <f>Source!U161</f>
        <v/>
      </c>
      <c r="G50" s="19">
        <f>Source!I189</f>
        <v>4</v>
      </c>
      <c r="H50" s="56"/>
    </row>
    <row r="51" spans="1:8" ht="28.5" x14ac:dyDescent="0.2">
      <c r="A51" s="19">
        <v>23.1</v>
      </c>
      <c r="B51" s="19" t="str">
        <f>Source!E191</f>
        <v>23,1</v>
      </c>
      <c r="C51" s="56" t="str">
        <f>Source!G191</f>
        <v>Тактильный знак СП 07, 150х150 мм "Лифт для uнвалидов" арт. 902-0-SP-18-150</v>
      </c>
      <c r="D51" s="19" t="s">
        <v>124</v>
      </c>
      <c r="E51" s="57">
        <f>Source!I191</f>
        <v>4</v>
      </c>
      <c r="F51" s="19" t="str">
        <f>Source!U161</f>
        <v/>
      </c>
      <c r="G51" s="19"/>
      <c r="H51" s="56"/>
    </row>
    <row r="52" spans="1:8" ht="14.25" x14ac:dyDescent="0.2">
      <c r="A52" s="19">
        <v>24</v>
      </c>
      <c r="B52" s="19" t="str">
        <f>Source!E193</f>
        <v>24</v>
      </c>
      <c r="C52" s="56" t="str">
        <f>Source!G193</f>
        <v>Установка номерных табличек для этажа, подъезда</v>
      </c>
      <c r="D52" s="19" t="s">
        <v>37</v>
      </c>
      <c r="E52" s="57">
        <f>Source!I193</f>
        <v>1</v>
      </c>
      <c r="F52" s="19" t="str">
        <f>Source!U161</f>
        <v/>
      </c>
      <c r="G52" s="19">
        <f>Source!I193</f>
        <v>1</v>
      </c>
      <c r="H52" s="56"/>
    </row>
    <row r="53" spans="1:8" ht="28.5" x14ac:dyDescent="0.2">
      <c r="A53" s="19">
        <v>24.1</v>
      </c>
      <c r="B53" s="19" t="str">
        <f>Source!E195</f>
        <v>24,1</v>
      </c>
      <c r="C53" s="56" t="str">
        <f>Source!G195</f>
        <v>Тактильный знак СП 09, 150х150 мм "Вход в помещение" арт. 902-0-SP-09-150</v>
      </c>
      <c r="D53" s="19" t="s">
        <v>124</v>
      </c>
      <c r="E53" s="57">
        <f>Source!I195</f>
        <v>1</v>
      </c>
      <c r="F53" s="19" t="str">
        <f>Source!U161</f>
        <v/>
      </c>
      <c r="G53" s="19"/>
      <c r="H53" s="56"/>
    </row>
    <row r="54" spans="1:8" ht="14.25" x14ac:dyDescent="0.2">
      <c r="A54" s="19">
        <v>25</v>
      </c>
      <c r="B54" s="19" t="str">
        <f>Source!E197</f>
        <v>25</v>
      </c>
      <c r="C54" s="56" t="str">
        <f>Source!G197</f>
        <v>Установка номерных табличек для этажа, подъезда</v>
      </c>
      <c r="D54" s="19" t="s">
        <v>37</v>
      </c>
      <c r="E54" s="57">
        <f>Source!I197</f>
        <v>3</v>
      </c>
      <c r="F54" s="19" t="str">
        <f>Source!U161</f>
        <v/>
      </c>
      <c r="G54" s="19">
        <f>Source!I197</f>
        <v>3</v>
      </c>
      <c r="H54" s="56"/>
    </row>
    <row r="55" spans="1:8" ht="28.5" x14ac:dyDescent="0.2">
      <c r="A55" s="19">
        <v>25.1</v>
      </c>
      <c r="B55" s="19" t="str">
        <f>Source!E199</f>
        <v>25,1</v>
      </c>
      <c r="C55" s="56" t="str">
        <f>Source!G199</f>
        <v>Тактильный знак СП 10, 150х150 мм "Выход из помещения" арт. 902-0-SP-10-150</v>
      </c>
      <c r="D55" s="19" t="s">
        <v>124</v>
      </c>
      <c r="E55" s="57">
        <f>Source!I199</f>
        <v>3</v>
      </c>
      <c r="F55" s="19" t="str">
        <f>Source!U161</f>
        <v/>
      </c>
      <c r="G55" s="19"/>
      <c r="H55" s="56"/>
    </row>
    <row r="56" spans="1:8" ht="14.25" x14ac:dyDescent="0.2">
      <c r="A56" s="19">
        <v>26</v>
      </c>
      <c r="B56" s="19" t="str">
        <f>Source!E201</f>
        <v>26</v>
      </c>
      <c r="C56" s="56" t="str">
        <f>Source!G201</f>
        <v>Установка номерных табличек для этажа, подъезда</v>
      </c>
      <c r="D56" s="19" t="s">
        <v>37</v>
      </c>
      <c r="E56" s="57">
        <f>Source!I201</f>
        <v>2</v>
      </c>
      <c r="F56" s="19" t="str">
        <f>Source!U161</f>
        <v/>
      </c>
      <c r="G56" s="19">
        <f>Source!I201</f>
        <v>2</v>
      </c>
      <c r="H56" s="56"/>
    </row>
    <row r="57" spans="1:8" ht="28.5" x14ac:dyDescent="0.2">
      <c r="A57" s="19">
        <v>26.1</v>
      </c>
      <c r="B57" s="19" t="str">
        <f>Source!E203</f>
        <v>26,1</v>
      </c>
      <c r="C57" s="56" t="str">
        <f>Source!G203</f>
        <v>Тактильный знак СП 11, 150х150 мм "Направление движения, поворот", арт. 902-0-SP-11-150</v>
      </c>
      <c r="D57" s="19" t="s">
        <v>124</v>
      </c>
      <c r="E57" s="57">
        <f>Source!I203</f>
        <v>2</v>
      </c>
      <c r="F57" s="19" t="str">
        <f>Source!U161</f>
        <v/>
      </c>
      <c r="G57" s="19"/>
      <c r="H57" s="56"/>
    </row>
    <row r="58" spans="1:8" ht="14.25" x14ac:dyDescent="0.2">
      <c r="A58" s="19">
        <v>27</v>
      </c>
      <c r="B58" s="19" t="str">
        <f>Source!E205</f>
        <v>27</v>
      </c>
      <c r="C58" s="56" t="str">
        <f>Source!G205</f>
        <v>Установка номерных табличек для этажа, подъезда</v>
      </c>
      <c r="D58" s="19" t="s">
        <v>37</v>
      </c>
      <c r="E58" s="57">
        <f>Source!I205</f>
        <v>1</v>
      </c>
      <c r="F58" s="19" t="str">
        <f>Source!U161</f>
        <v/>
      </c>
      <c r="G58" s="19">
        <f>Source!I205</f>
        <v>1</v>
      </c>
      <c r="H58" s="56"/>
    </row>
    <row r="59" spans="1:8" ht="28.5" x14ac:dyDescent="0.2">
      <c r="A59" s="19">
        <v>27.1</v>
      </c>
      <c r="B59" s="19" t="str">
        <f>Source!E207</f>
        <v>27,1</v>
      </c>
      <c r="C59" s="56" t="str">
        <f>Source!G207</f>
        <v>Тактильный знак СП 12, 150х150 мм "Информация, место расположения мнемосхем" арт. 902-0-SP-12-150</v>
      </c>
      <c r="D59" s="19" t="s">
        <v>124</v>
      </c>
      <c r="E59" s="57">
        <f>Source!I207</f>
        <v>1</v>
      </c>
      <c r="F59" s="19" t="str">
        <f>Source!U161</f>
        <v/>
      </c>
      <c r="G59" s="19"/>
      <c r="H59" s="56"/>
    </row>
    <row r="60" spans="1:8" ht="14.25" x14ac:dyDescent="0.2">
      <c r="A60" s="19">
        <v>28</v>
      </c>
      <c r="B60" s="19" t="str">
        <f>Source!E209</f>
        <v>28</v>
      </c>
      <c r="C60" s="56" t="str">
        <f>Source!G209</f>
        <v>Установка номерных табличек для этажа, подъезда</v>
      </c>
      <c r="D60" s="19" t="s">
        <v>37</v>
      </c>
      <c r="E60" s="57">
        <f>Source!I209</f>
        <v>3</v>
      </c>
      <c r="F60" s="19" t="str">
        <f>Source!U161</f>
        <v/>
      </c>
      <c r="G60" s="19">
        <f>Source!I209</f>
        <v>3</v>
      </c>
      <c r="H60" s="56"/>
    </row>
    <row r="61" spans="1:8" ht="28.5" x14ac:dyDescent="0.2">
      <c r="A61" s="19">
        <v>28.1</v>
      </c>
      <c r="B61" s="19" t="str">
        <f>Source!E211</f>
        <v>28,1</v>
      </c>
      <c r="C61" s="56" t="str">
        <f>Source!G211</f>
        <v>Тактильный знак СП 18, 150х150 мм "Туалет для инвалидов", арт.902-0-SP-18-150</v>
      </c>
      <c r="D61" s="19" t="s">
        <v>124</v>
      </c>
      <c r="E61" s="57">
        <f>Source!I211</f>
        <v>3</v>
      </c>
      <c r="F61" s="19" t="str">
        <f>Source!U161</f>
        <v/>
      </c>
      <c r="G61" s="19"/>
      <c r="H61" s="56"/>
    </row>
    <row r="62" spans="1:8" ht="14.25" x14ac:dyDescent="0.2">
      <c r="A62" s="19">
        <v>29</v>
      </c>
      <c r="B62" s="19" t="str">
        <f>Source!E213</f>
        <v>29</v>
      </c>
      <c r="C62" s="56" t="str">
        <f>Source!G213</f>
        <v>Установка номерных табличек для этажа, подъезда</v>
      </c>
      <c r="D62" s="19" t="s">
        <v>37</v>
      </c>
      <c r="E62" s="57">
        <f>Source!I213</f>
        <v>3</v>
      </c>
      <c r="F62" s="19" t="str">
        <f>Source!U161</f>
        <v/>
      </c>
      <c r="G62" s="19">
        <f>Source!I213</f>
        <v>3</v>
      </c>
      <c r="H62" s="56"/>
    </row>
    <row r="63" spans="1:8" ht="14.25" x14ac:dyDescent="0.2">
      <c r="A63" s="19">
        <v>29.1</v>
      </c>
      <c r="B63" s="19" t="str">
        <f>Source!E215</f>
        <v>29,1</v>
      </c>
      <c r="C63" s="56" t="str">
        <f>Source!G215</f>
        <v>Тактильный знак СП 19, 150х150 мм "Туалет", арт.902-0-SP-18-150</v>
      </c>
      <c r="D63" s="19" t="s">
        <v>124</v>
      </c>
      <c r="E63" s="57">
        <f>Source!I215</f>
        <v>3</v>
      </c>
      <c r="F63" s="19" t="str">
        <f>Source!U161</f>
        <v/>
      </c>
      <c r="G63" s="19"/>
      <c r="H63" s="56"/>
    </row>
    <row r="64" spans="1:8" ht="14.25" x14ac:dyDescent="0.2">
      <c r="A64" s="19">
        <v>30</v>
      </c>
      <c r="B64" s="19" t="str">
        <f>Source!E217</f>
        <v>30</v>
      </c>
      <c r="C64" s="56" t="str">
        <f>Source!G217</f>
        <v>Установка номерных табличек для этажа, подъезда</v>
      </c>
      <c r="D64" s="19" t="s">
        <v>37</v>
      </c>
      <c r="E64" s="57">
        <f>Source!I217</f>
        <v>12</v>
      </c>
      <c r="F64" s="19" t="str">
        <f>Source!U161</f>
        <v/>
      </c>
      <c r="G64" s="19">
        <f>Source!I217</f>
        <v>12</v>
      </c>
      <c r="H64" s="56"/>
    </row>
    <row r="65" spans="1:8" ht="28.5" x14ac:dyDescent="0.2">
      <c r="A65" s="19">
        <v>30.1</v>
      </c>
      <c r="B65" s="19" t="str">
        <f>Source!E219</f>
        <v>30,1</v>
      </c>
      <c r="C65" s="56" t="str">
        <f>Source!G219</f>
        <v>Тактильная табличка со шрифтом Брайля, 150х300мм"Название помещения", арт.903-2-PVC3-150x300</v>
      </c>
      <c r="D65" s="19" t="s">
        <v>124</v>
      </c>
      <c r="E65" s="57">
        <f>Source!I219</f>
        <v>12</v>
      </c>
      <c r="F65" s="19" t="str">
        <f>Source!U161</f>
        <v/>
      </c>
      <c r="G65" s="19"/>
      <c r="H65" s="56"/>
    </row>
    <row r="66" spans="1:8" ht="14.25" x14ac:dyDescent="0.2">
      <c r="A66" s="19">
        <v>31</v>
      </c>
      <c r="B66" s="19" t="str">
        <f>Source!E221</f>
        <v>31</v>
      </c>
      <c r="C66" s="56" t="str">
        <f>Source!G221</f>
        <v>Установка номерных табличек для этажа, подъезда</v>
      </c>
      <c r="D66" s="19" t="s">
        <v>37</v>
      </c>
      <c r="E66" s="57">
        <f>Source!I221</f>
        <v>1</v>
      </c>
      <c r="F66" s="19" t="str">
        <f>Source!U161</f>
        <v/>
      </c>
      <c r="G66" s="19">
        <f>Source!I221</f>
        <v>1</v>
      </c>
      <c r="H66" s="56"/>
    </row>
    <row r="67" spans="1:8" ht="28.5" x14ac:dyDescent="0.2">
      <c r="A67" s="19">
        <v>31.1</v>
      </c>
      <c r="B67" s="19" t="str">
        <f>Source!E223</f>
        <v>31,1</v>
      </c>
      <c r="C67" s="56" t="str">
        <f>Source!G223</f>
        <v>Тактильный знак, 150х150 мм"Доступность для инвалидов по зрению", арт. 905-0-G-4-150N</v>
      </c>
      <c r="D67" s="19" t="s">
        <v>124</v>
      </c>
      <c r="E67" s="57">
        <f>Source!I223</f>
        <v>1</v>
      </c>
      <c r="F67" s="19" t="str">
        <f>Source!U161</f>
        <v/>
      </c>
      <c r="G67" s="19"/>
      <c r="H67" s="56"/>
    </row>
    <row r="68" spans="1:8" ht="14.25" x14ac:dyDescent="0.2">
      <c r="A68" s="19">
        <v>32</v>
      </c>
      <c r="B68" s="19" t="str">
        <f>Source!E225</f>
        <v>32</v>
      </c>
      <c r="C68" s="56" t="str">
        <f>Source!G225</f>
        <v>Установка номерных табличек для этажа, подъезда</v>
      </c>
      <c r="D68" s="19" t="s">
        <v>37</v>
      </c>
      <c r="E68" s="57">
        <f>Source!I225</f>
        <v>1</v>
      </c>
      <c r="F68" s="19" t="str">
        <f>Source!U161</f>
        <v/>
      </c>
      <c r="G68" s="19">
        <f>Source!I225</f>
        <v>1</v>
      </c>
      <c r="H68" s="56"/>
    </row>
    <row r="69" spans="1:8" ht="28.5" x14ac:dyDescent="0.2">
      <c r="A69" s="19">
        <v>32.1</v>
      </c>
      <c r="B69" s="19" t="str">
        <f>Source!E227</f>
        <v>32,1</v>
      </c>
      <c r="C69" s="56" t="str">
        <f>Source!G227</f>
        <v>Тактильный знак, 150х150 мм "Доступность для инвалидов по слуху" арт.905-0-G-3-150N</v>
      </c>
      <c r="D69" s="19" t="s">
        <v>124</v>
      </c>
      <c r="E69" s="57">
        <f>Source!I227</f>
        <v>1</v>
      </c>
      <c r="F69" s="19" t="str">
        <f>Source!U161</f>
        <v/>
      </c>
      <c r="G69" s="19"/>
      <c r="H69" s="56"/>
    </row>
    <row r="70" spans="1:8" ht="14.25" x14ac:dyDescent="0.2">
      <c r="A70" s="19">
        <v>33</v>
      </c>
      <c r="B70" s="19" t="str">
        <f>Source!E229</f>
        <v>33</v>
      </c>
      <c r="C70" s="56" t="str">
        <f>Source!G229</f>
        <v>Установка номерных табличек для этажа, подъезда</v>
      </c>
      <c r="D70" s="19" t="s">
        <v>37</v>
      </c>
      <c r="E70" s="57">
        <f>Source!I229</f>
        <v>3</v>
      </c>
      <c r="F70" s="19" t="str">
        <f>Source!U161</f>
        <v/>
      </c>
      <c r="G70" s="19">
        <f>Source!I229</f>
        <v>3</v>
      </c>
      <c r="H70" s="56"/>
    </row>
    <row r="71" spans="1:8" ht="28.5" x14ac:dyDescent="0.2">
      <c r="A71" s="19">
        <v>33.1</v>
      </c>
      <c r="B71" s="19" t="str">
        <f>Source!E231</f>
        <v>33,1</v>
      </c>
      <c r="C71" s="56" t="str">
        <f>Source!G231</f>
        <v>Тактильная мнемосхема санузла, полноцветная на стальной основе 321х411х2 мм, арт. 903-3-ST2-321X411</v>
      </c>
      <c r="D71" s="19" t="s">
        <v>124</v>
      </c>
      <c r="E71" s="57">
        <f>Source!I231</f>
        <v>3</v>
      </c>
      <c r="F71" s="19" t="str">
        <f>Source!U161</f>
        <v/>
      </c>
      <c r="G71" s="19"/>
      <c r="H71" s="56"/>
    </row>
    <row r="72" spans="1:8" ht="14.25" x14ac:dyDescent="0.2">
      <c r="A72" s="19">
        <v>34</v>
      </c>
      <c r="B72" s="19" t="str">
        <f>Source!E233</f>
        <v>34</v>
      </c>
      <c r="C72" s="56" t="str">
        <f>Source!G233</f>
        <v>Установка номерных табличек для этажа, подъезда</v>
      </c>
      <c r="D72" s="19" t="s">
        <v>37</v>
      </c>
      <c r="E72" s="57">
        <f>Source!I233</f>
        <v>1</v>
      </c>
      <c r="F72" s="19" t="str">
        <f>Source!U161</f>
        <v/>
      </c>
      <c r="G72" s="19">
        <f>Source!I233</f>
        <v>1</v>
      </c>
      <c r="H72" s="56"/>
    </row>
    <row r="73" spans="1:8" ht="28.5" x14ac:dyDescent="0.2">
      <c r="A73" s="19">
        <v>34.1</v>
      </c>
      <c r="B73" s="19" t="str">
        <f>Source!E235</f>
        <v>34,1</v>
      </c>
      <c r="C73" s="56" t="str">
        <f>Source!G235</f>
        <v>Тактильная мнемосхема этажа, полноцветная на основе оргстекла, 470x610х8 мм, арт.906-3-ORG8-470x610</v>
      </c>
      <c r="D73" s="19" t="s">
        <v>124</v>
      </c>
      <c r="E73" s="57">
        <f>Source!I235</f>
        <v>1</v>
      </c>
      <c r="F73" s="19" t="str">
        <f>Source!U161</f>
        <v/>
      </c>
      <c r="G73" s="19"/>
      <c r="H73" s="56"/>
    </row>
    <row r="74" spans="1:8" ht="16.5" x14ac:dyDescent="0.25">
      <c r="A74" s="80" t="str">
        <f>CONCATENATE("Раздел: ", Source!G268)</f>
        <v>Раздел: Полимерная краска, цвет желтый</v>
      </c>
      <c r="B74" s="80"/>
      <c r="C74" s="80"/>
      <c r="D74" s="80"/>
      <c r="E74" s="80"/>
      <c r="F74" s="80"/>
      <c r="G74" s="80"/>
      <c r="H74" s="80"/>
    </row>
    <row r="75" spans="1:8" ht="28.5" x14ac:dyDescent="0.2">
      <c r="A75" s="19">
        <v>35</v>
      </c>
      <c r="B75" s="19" t="str">
        <f>Source!E272</f>
        <v>35</v>
      </c>
      <c r="C75" s="56" t="str">
        <f>Source!G272</f>
        <v>Защитно-декоративное покрытие бетонных и оштукатуренных внутренних поверхностей составом на основе акриловой и силановой эмульсий, стен</v>
      </c>
      <c r="D75" s="19" t="s">
        <v>235</v>
      </c>
      <c r="E75" s="57">
        <f>Source!I272</f>
        <v>0.64</v>
      </c>
      <c r="F75" s="19" t="str">
        <f>Source!U268</f>
        <v/>
      </c>
      <c r="G75" s="19" t="str">
        <f>"=64/"&amp;"100"</f>
        <v>=64/100</v>
      </c>
      <c r="H75" s="56"/>
    </row>
    <row r="76" spans="1:8" ht="14.25" x14ac:dyDescent="0.2">
      <c r="A76" s="19">
        <v>35.1</v>
      </c>
      <c r="B76" s="19" t="str">
        <f>Source!E274</f>
        <v>35,1</v>
      </c>
      <c r="C76" s="56" t="str">
        <f>Source!G274</f>
        <v>Краска дорожная, желтая, типа АК-505</v>
      </c>
      <c r="D76" s="19" t="s">
        <v>242</v>
      </c>
      <c r="E76" s="57">
        <f>Source!I274</f>
        <v>3.9551999999999997E-2</v>
      </c>
      <c r="F76" s="19" t="str">
        <f>Source!U268</f>
        <v/>
      </c>
      <c r="G76" s="19"/>
      <c r="H76" s="56"/>
    </row>
    <row r="77" spans="1:8" ht="16.5" x14ac:dyDescent="0.25">
      <c r="A77" s="80" t="str">
        <f>CONCATENATE("Раздел: ", Source!G307)</f>
        <v>Раздел: Наклейка- круг желтый</v>
      </c>
      <c r="B77" s="80"/>
      <c r="C77" s="80"/>
      <c r="D77" s="80"/>
      <c r="E77" s="80"/>
      <c r="F77" s="80"/>
      <c r="G77" s="80"/>
      <c r="H77" s="80"/>
    </row>
    <row r="78" spans="1:8" ht="42.75" x14ac:dyDescent="0.2">
      <c r="A78" s="19">
        <v>36</v>
      </c>
      <c r="B78" s="19" t="str">
        <f>Source!E311</f>
        <v>36</v>
      </c>
      <c r="C78" s="56" t="str">
        <f>Source!G311</f>
        <v>Оклейка стен поливинилхлоридной декоративно-отделочной самоклеющейся пленкой по листовым материалам</v>
      </c>
      <c r="D78" s="19" t="s">
        <v>248</v>
      </c>
      <c r="E78" s="57">
        <f>Source!I311</f>
        <v>0.12559999999999999</v>
      </c>
      <c r="F78" s="19" t="str">
        <f>Source!U307</f>
        <v/>
      </c>
      <c r="G78" s="19" t="str">
        <f>"=(3,14*"&amp;"0,2*"&amp;"0,2*"&amp;"100)/"&amp;"100"</f>
        <v>=(3,14*0,2*0,2*100)/100</v>
      </c>
      <c r="H78" s="56"/>
    </row>
    <row r="79" spans="1:8" ht="14.25" x14ac:dyDescent="0.2">
      <c r="A79" s="19">
        <v>36.1</v>
      </c>
      <c r="B79" s="19" t="str">
        <f>Source!E313</f>
        <v>36,1</v>
      </c>
      <c r="C79" s="56" t="str">
        <f>Source!G313</f>
        <v>Наклейка, цвет жёлтый, ф20 см</v>
      </c>
      <c r="D79" s="19" t="s">
        <v>124</v>
      </c>
      <c r="E79" s="57">
        <f>Source!I313</f>
        <v>100</v>
      </c>
      <c r="F79" s="19" t="str">
        <f>Source!U307</f>
        <v/>
      </c>
      <c r="G79" s="19"/>
      <c r="H79" s="56"/>
    </row>
    <row r="80" spans="1:8" ht="16.5" x14ac:dyDescent="0.25">
      <c r="A80" s="80" t="str">
        <f>CONCATENATE("Раздел: ", Source!G346)</f>
        <v>Раздел: Тактильные предупреждающие наклейки на поручни</v>
      </c>
      <c r="B80" s="80"/>
      <c r="C80" s="80"/>
      <c r="D80" s="80"/>
      <c r="E80" s="80"/>
      <c r="F80" s="80"/>
      <c r="G80" s="80"/>
      <c r="H80" s="80"/>
    </row>
    <row r="81" spans="1:8" ht="42.75" x14ac:dyDescent="0.2">
      <c r="A81" s="19">
        <v>37</v>
      </c>
      <c r="B81" s="19" t="str">
        <f>Source!E350</f>
        <v>37</v>
      </c>
      <c r="C81" s="56" t="str">
        <f>Source!G350</f>
        <v>Оклейка стен поливинилхлоридной декоративно-отделочной самоклеющейся пленкой по листовым материалам</v>
      </c>
      <c r="D81" s="19" t="s">
        <v>248</v>
      </c>
      <c r="E81" s="57">
        <f>Source!I350</f>
        <v>2.5874999999999999E-2</v>
      </c>
      <c r="F81" s="19" t="str">
        <f>Source!U346</f>
        <v/>
      </c>
      <c r="G81" s="19" t="str">
        <f>"=(0,23*"&amp;"0,075*"&amp;"3*"&amp;"50)/"&amp;"100"</f>
        <v>=(0,23*0,075*3*50)/100</v>
      </c>
      <c r="H81" s="56"/>
    </row>
    <row r="82" spans="1:8" ht="28.5" x14ac:dyDescent="0.2">
      <c r="A82" s="19">
        <v>37.1</v>
      </c>
      <c r="B82" s="19" t="str">
        <f>Source!E352</f>
        <v>37,1</v>
      </c>
      <c r="C82" s="56" t="str">
        <f>Source!G352</f>
        <v>Тактильные предупреждающие наклейки на поручни 75 x 230мм/ (набор из 3х штук)</v>
      </c>
      <c r="D82" s="19" t="s">
        <v>124</v>
      </c>
      <c r="E82" s="57">
        <f>Source!I352</f>
        <v>50</v>
      </c>
      <c r="F82" s="19" t="str">
        <f>Source!U346</f>
        <v/>
      </c>
      <c r="G82" s="19"/>
      <c r="H82" s="56"/>
    </row>
    <row r="83" spans="1:8" ht="16.5" x14ac:dyDescent="0.25">
      <c r="A83" s="80" t="str">
        <f>CONCATENATE("Раздел: ", Source!G385)</f>
        <v>Раздел: Панно из алюминиевых тактильных индикаторов-конусов</v>
      </c>
      <c r="B83" s="80"/>
      <c r="C83" s="80"/>
      <c r="D83" s="80"/>
      <c r="E83" s="80"/>
      <c r="F83" s="80"/>
      <c r="G83" s="80"/>
      <c r="H83" s="80"/>
    </row>
    <row r="84" spans="1:8" ht="28.5" x14ac:dyDescent="0.2">
      <c r="A84" s="19">
        <v>38</v>
      </c>
      <c r="B84" s="19" t="str">
        <f>Source!E389</f>
        <v>38</v>
      </c>
      <c r="C84" s="56" t="str">
        <f>Source!G389</f>
        <v>Укладка металлической накладной полосы (порожка)</v>
      </c>
      <c r="D84" s="19" t="s">
        <v>266</v>
      </c>
      <c r="E84" s="57">
        <f>Source!I389</f>
        <v>0.53164999999999996</v>
      </c>
      <c r="F84" s="19" t="str">
        <f>Source!U385</f>
        <v/>
      </c>
      <c r="G84" s="19" t="str">
        <f>"=(0,035*"&amp;"1519)/"&amp;"100"</f>
        <v>=(0,035*1519)/100</v>
      </c>
      <c r="H84" s="56"/>
    </row>
    <row r="85" spans="1:8" ht="14.25" x14ac:dyDescent="0.2">
      <c r="A85" s="19">
        <v>38.1</v>
      </c>
      <c r="B85" s="19" t="str">
        <f>Source!E391</f>
        <v>38,1</v>
      </c>
      <c r="C85" s="56" t="str">
        <f>Source!G391</f>
        <v>Алюминиевый индикатор-конус Д=35 мм</v>
      </c>
      <c r="D85" s="19" t="s">
        <v>124</v>
      </c>
      <c r="E85" s="57">
        <f>Source!I391</f>
        <v>1519</v>
      </c>
      <c r="F85" s="19" t="str">
        <f>Source!U385</f>
        <v/>
      </c>
      <c r="G85" s="19"/>
      <c r="H85" s="56"/>
    </row>
    <row r="86" spans="1:8" ht="16.5" x14ac:dyDescent="0.25">
      <c r="A86" s="80" t="str">
        <f>CONCATENATE("Раздел: ", Source!G424)</f>
        <v>Раздел: Алюминиевая тактильная направляющая полоска</v>
      </c>
      <c r="B86" s="80"/>
      <c r="C86" s="80"/>
      <c r="D86" s="80"/>
      <c r="E86" s="80"/>
      <c r="F86" s="80"/>
      <c r="G86" s="80"/>
      <c r="H86" s="80"/>
    </row>
    <row r="87" spans="1:8" ht="14.25" x14ac:dyDescent="0.2">
      <c r="A87" s="19">
        <v>39</v>
      </c>
      <c r="B87" s="19" t="str">
        <f>Source!E428</f>
        <v>39</v>
      </c>
      <c r="C87" s="56" t="str">
        <f>Source!G428</f>
        <v>Укладка металлической накладной полосы (порожка)</v>
      </c>
      <c r="D87" s="19" t="s">
        <v>266</v>
      </c>
      <c r="E87" s="57">
        <f>Source!I428</f>
        <v>0.14000000000000001</v>
      </c>
      <c r="F87" s="19" t="str">
        <f>Source!U424</f>
        <v/>
      </c>
      <c r="G87" s="19" t="str">
        <f>"=(0,28*"&amp;"50)/"&amp;"100"</f>
        <v>=(0,28*50)/100</v>
      </c>
      <c r="H87" s="56"/>
    </row>
    <row r="88" spans="1:8" ht="14.25" x14ac:dyDescent="0.2">
      <c r="A88" s="18">
        <v>39.1</v>
      </c>
      <c r="B88" s="18" t="str">
        <f>Source!E430</f>
        <v>39,1</v>
      </c>
      <c r="C88" s="54" t="str">
        <f>Source!G430</f>
        <v>Алюминиевая тактильная направляющая полоса 35х280 мм</v>
      </c>
      <c r="D88" s="18" t="s">
        <v>124</v>
      </c>
      <c r="E88" s="55">
        <f>Source!I430</f>
        <v>50</v>
      </c>
      <c r="F88" s="18" t="str">
        <f>Source!U424</f>
        <v/>
      </c>
      <c r="G88" s="18"/>
      <c r="H88" s="54"/>
    </row>
    <row r="91" spans="1:8" ht="15" x14ac:dyDescent="0.25">
      <c r="C91" s="58" t="s">
        <v>465</v>
      </c>
      <c r="D91" s="58" t="str">
        <f>IF(Source!X12&lt;&gt;"", Source!X12," ")</f>
        <v xml:space="preserve"> </v>
      </c>
      <c r="E91" s="15"/>
    </row>
    <row r="92" spans="1:8" ht="15" x14ac:dyDescent="0.25">
      <c r="C92" s="11"/>
      <c r="D92" s="15"/>
      <c r="E92" s="15"/>
    </row>
    <row r="93" spans="1:8" ht="15" x14ac:dyDescent="0.25">
      <c r="C93" s="58" t="s">
        <v>466</v>
      </c>
      <c r="D93" s="58" t="str">
        <f>IF(Source!AB12&lt;&gt;"", Source!AB12," ")</f>
        <v>Борисова Е.С.</v>
      </c>
      <c r="E93" s="15"/>
    </row>
  </sheetData>
  <mergeCells count="14">
    <mergeCell ref="A18:H18"/>
    <mergeCell ref="D5:E5"/>
    <mergeCell ref="D7:E7"/>
    <mergeCell ref="B12:E12"/>
    <mergeCell ref="B13:E13"/>
    <mergeCell ref="B14:E14"/>
    <mergeCell ref="A83:H83"/>
    <mergeCell ref="A86:H86"/>
    <mergeCell ref="A24:H24"/>
    <mergeCell ref="A30:H30"/>
    <mergeCell ref="A37:H37"/>
    <mergeCell ref="A74:H74"/>
    <mergeCell ref="A77:H77"/>
    <mergeCell ref="A80:H80"/>
  </mergeCells>
  <pageMargins left="0.4" right="0.2" top="0.2" bottom="0.4" header="0.2" footer="0.2"/>
  <pageSetup paperSize="9" scale="59" fitToHeight="0" orientation="portrait" horizontalDpi="4294967295" verticalDpi="4294967295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542"/>
  <sheetViews>
    <sheetView workbookViewId="0">
      <selection activeCell="A538" sqref="A538:AX538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74561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534</v>
      </c>
      <c r="C12" s="1">
        <v>0</v>
      </c>
      <c r="D12" s="1">
        <f>ROW(A493)</f>
        <v>493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B493</f>
        <v>534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02-01-22</v>
      </c>
      <c r="G18" s="3" t="str">
        <f t="shared" si="0"/>
        <v>02-01-22 Мероприятия по обеспечению доступа инвалидов</v>
      </c>
      <c r="H18" s="3"/>
      <c r="I18" s="3"/>
      <c r="J18" s="3"/>
      <c r="K18" s="3"/>
      <c r="L18" s="3"/>
      <c r="M18" s="3"/>
      <c r="N18" s="3"/>
      <c r="O18" s="3">
        <f t="shared" ref="O18:AT18" si="1">O493</f>
        <v>75620.22</v>
      </c>
      <c r="P18" s="3">
        <f t="shared" si="1"/>
        <v>74094.28</v>
      </c>
      <c r="Q18" s="3">
        <f t="shared" si="1"/>
        <v>17.600000000000001</v>
      </c>
      <c r="R18" s="3">
        <f t="shared" si="1"/>
        <v>1.6</v>
      </c>
      <c r="S18" s="3">
        <f t="shared" si="1"/>
        <v>1508.34</v>
      </c>
      <c r="T18" s="3">
        <f t="shared" si="1"/>
        <v>0</v>
      </c>
      <c r="U18" s="3">
        <f t="shared" si="1"/>
        <v>97.728297481979965</v>
      </c>
      <c r="V18" s="3">
        <f t="shared" si="1"/>
        <v>0</v>
      </c>
      <c r="W18" s="3">
        <f t="shared" si="1"/>
        <v>0</v>
      </c>
      <c r="X18" s="3">
        <f t="shared" si="1"/>
        <v>1329.7</v>
      </c>
      <c r="Y18" s="3">
        <f t="shared" si="1"/>
        <v>765.5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34995.360000000001</v>
      </c>
      <c r="AQ18" s="3">
        <f t="shared" si="1"/>
        <v>0</v>
      </c>
      <c r="AR18" s="3">
        <f t="shared" si="1"/>
        <v>77715.42</v>
      </c>
      <c r="AS18" s="3">
        <f t="shared" si="1"/>
        <v>42720.06</v>
      </c>
      <c r="AT18" s="3">
        <f t="shared" si="1"/>
        <v>0</v>
      </c>
      <c r="AU18" s="3">
        <f t="shared" ref="AU18:BZ18" si="2">AU493</f>
        <v>0</v>
      </c>
      <c r="AV18" s="3">
        <f t="shared" si="2"/>
        <v>74094.28</v>
      </c>
      <c r="AW18" s="3">
        <f t="shared" si="2"/>
        <v>39098.92</v>
      </c>
      <c r="AX18" s="3">
        <f t="shared" si="2"/>
        <v>0</v>
      </c>
      <c r="AY18" s="3">
        <f t="shared" si="2"/>
        <v>39098.92</v>
      </c>
      <c r="AZ18" s="3">
        <f t="shared" si="2"/>
        <v>34995.360000000001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CA493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DG493</f>
        <v>580010.74</v>
      </c>
      <c r="DH18" s="4">
        <f t="shared" si="4"/>
        <v>496833.91</v>
      </c>
      <c r="DI18" s="4">
        <f t="shared" si="4"/>
        <v>233.23</v>
      </c>
      <c r="DJ18" s="4">
        <f t="shared" si="4"/>
        <v>87.99</v>
      </c>
      <c r="DK18" s="4">
        <f t="shared" si="4"/>
        <v>82943.600000000006</v>
      </c>
      <c r="DL18" s="4">
        <f t="shared" si="4"/>
        <v>0</v>
      </c>
      <c r="DM18" s="4">
        <f t="shared" si="4"/>
        <v>97.728297481979965</v>
      </c>
      <c r="DN18" s="4">
        <f t="shared" si="4"/>
        <v>0</v>
      </c>
      <c r="DO18" s="4">
        <f t="shared" si="4"/>
        <v>0</v>
      </c>
      <c r="DP18" s="4">
        <f t="shared" si="4"/>
        <v>73119.199999999997</v>
      </c>
      <c r="DQ18" s="4">
        <f t="shared" si="4"/>
        <v>42094.96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179025.07</v>
      </c>
      <c r="EI18" s="4">
        <f t="shared" si="4"/>
        <v>0</v>
      </c>
      <c r="EJ18" s="4">
        <f t="shared" si="4"/>
        <v>695224.9</v>
      </c>
      <c r="EK18" s="4">
        <f t="shared" si="4"/>
        <v>516199.83</v>
      </c>
      <c r="EL18" s="4">
        <f t="shared" si="4"/>
        <v>0</v>
      </c>
      <c r="EM18" s="4">
        <f t="shared" ref="EM18:FR18" si="5">EM493</f>
        <v>0</v>
      </c>
      <c r="EN18" s="4">
        <f t="shared" si="5"/>
        <v>496833.91</v>
      </c>
      <c r="EO18" s="4">
        <f t="shared" si="5"/>
        <v>317808.84000000003</v>
      </c>
      <c r="EP18" s="4">
        <f t="shared" si="5"/>
        <v>0</v>
      </c>
      <c r="EQ18" s="4">
        <f t="shared" si="5"/>
        <v>317808.84000000003</v>
      </c>
      <c r="ER18" s="4">
        <f t="shared" si="5"/>
        <v>179025.07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FS493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ROW(A463)</f>
        <v>463</v>
      </c>
      <c r="E20" s="1"/>
      <c r="F20" s="1" t="s">
        <v>5</v>
      </c>
      <c r="G20" s="1" t="s">
        <v>16</v>
      </c>
      <c r="H20" s="1" t="s">
        <v>3</v>
      </c>
      <c r="I20" s="1">
        <v>0</v>
      </c>
      <c r="J20" s="1" t="s">
        <v>7</v>
      </c>
      <c r="K20" s="1">
        <v>-1</v>
      </c>
      <c r="L20" s="1" t="s">
        <v>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2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B463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02-01-22</v>
      </c>
      <c r="G22" s="3" t="str">
        <f t="shared" si="7"/>
        <v>Мероприятия по обеспечению доступа инвалидов</v>
      </c>
      <c r="H22" s="3"/>
      <c r="I22" s="3"/>
      <c r="J22" s="3"/>
      <c r="K22" s="3"/>
      <c r="L22" s="3"/>
      <c r="M22" s="3"/>
      <c r="N22" s="3"/>
      <c r="O22" s="3">
        <f t="shared" ref="O22:AT22" si="8">O463</f>
        <v>75620.22</v>
      </c>
      <c r="P22" s="3">
        <f t="shared" si="8"/>
        <v>74094.28</v>
      </c>
      <c r="Q22" s="3">
        <f t="shared" si="8"/>
        <v>17.600000000000001</v>
      </c>
      <c r="R22" s="3">
        <f t="shared" si="8"/>
        <v>1.6</v>
      </c>
      <c r="S22" s="3">
        <f t="shared" si="8"/>
        <v>1508.34</v>
      </c>
      <c r="T22" s="3">
        <f t="shared" si="8"/>
        <v>0</v>
      </c>
      <c r="U22" s="3">
        <f t="shared" si="8"/>
        <v>97.728297481979965</v>
      </c>
      <c r="V22" s="3">
        <f t="shared" si="8"/>
        <v>0</v>
      </c>
      <c r="W22" s="3">
        <f t="shared" si="8"/>
        <v>0</v>
      </c>
      <c r="X22" s="3">
        <f t="shared" si="8"/>
        <v>1329.7</v>
      </c>
      <c r="Y22" s="3">
        <f t="shared" si="8"/>
        <v>765.5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34995.360000000001</v>
      </c>
      <c r="AQ22" s="3">
        <f t="shared" si="8"/>
        <v>0</v>
      </c>
      <c r="AR22" s="3">
        <f t="shared" si="8"/>
        <v>77715.42</v>
      </c>
      <c r="AS22" s="3">
        <f t="shared" si="8"/>
        <v>42720.06</v>
      </c>
      <c r="AT22" s="3">
        <f t="shared" si="8"/>
        <v>0</v>
      </c>
      <c r="AU22" s="3">
        <f t="shared" ref="AU22:BZ22" si="9">AU463</f>
        <v>0</v>
      </c>
      <c r="AV22" s="3">
        <f t="shared" si="9"/>
        <v>74094.28</v>
      </c>
      <c r="AW22" s="3">
        <f t="shared" si="9"/>
        <v>39098.92</v>
      </c>
      <c r="AX22" s="3">
        <f t="shared" si="9"/>
        <v>0</v>
      </c>
      <c r="AY22" s="3">
        <f t="shared" si="9"/>
        <v>39098.92</v>
      </c>
      <c r="AZ22" s="3">
        <f t="shared" si="9"/>
        <v>34995.360000000001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CA463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DG463</f>
        <v>580010.74</v>
      </c>
      <c r="DH22" s="4">
        <f t="shared" si="11"/>
        <v>496833.91</v>
      </c>
      <c r="DI22" s="4">
        <f t="shared" si="11"/>
        <v>233.23</v>
      </c>
      <c r="DJ22" s="4">
        <f t="shared" si="11"/>
        <v>87.99</v>
      </c>
      <c r="DK22" s="4">
        <f t="shared" si="11"/>
        <v>82943.600000000006</v>
      </c>
      <c r="DL22" s="4">
        <f t="shared" si="11"/>
        <v>0</v>
      </c>
      <c r="DM22" s="4">
        <f t="shared" si="11"/>
        <v>97.728297481979965</v>
      </c>
      <c r="DN22" s="4">
        <f t="shared" si="11"/>
        <v>0</v>
      </c>
      <c r="DO22" s="4">
        <f t="shared" si="11"/>
        <v>0</v>
      </c>
      <c r="DP22" s="4">
        <f t="shared" si="11"/>
        <v>73119.199999999997</v>
      </c>
      <c r="DQ22" s="4">
        <f t="shared" si="11"/>
        <v>42094.96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179025.07</v>
      </c>
      <c r="EI22" s="4">
        <f t="shared" si="11"/>
        <v>0</v>
      </c>
      <c r="EJ22" s="4">
        <f t="shared" si="11"/>
        <v>695224.9</v>
      </c>
      <c r="EK22" s="4">
        <f t="shared" si="11"/>
        <v>516199.83</v>
      </c>
      <c r="EL22" s="4">
        <f t="shared" si="11"/>
        <v>0</v>
      </c>
      <c r="EM22" s="4">
        <f t="shared" ref="EM22:FR22" si="12">EM463</f>
        <v>0</v>
      </c>
      <c r="EN22" s="4">
        <f t="shared" si="12"/>
        <v>496833.91</v>
      </c>
      <c r="EO22" s="4">
        <f t="shared" si="12"/>
        <v>317808.84000000003</v>
      </c>
      <c r="EP22" s="4">
        <f t="shared" si="12"/>
        <v>0</v>
      </c>
      <c r="EQ22" s="4">
        <f t="shared" si="12"/>
        <v>317808.84000000003</v>
      </c>
      <c r="ER22" s="4">
        <f t="shared" si="12"/>
        <v>179025.07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FS463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ROW(A39)</f>
        <v>39</v>
      </c>
      <c r="E24" s="1"/>
      <c r="F24" s="1" t="s">
        <v>3</v>
      </c>
      <c r="G24" s="1" t="s">
        <v>17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2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B39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Оборудование санузла для МГН</v>
      </c>
      <c r="H26" s="3"/>
      <c r="I26" s="3"/>
      <c r="J26" s="3"/>
      <c r="K26" s="3"/>
      <c r="L26" s="3"/>
      <c r="M26" s="3"/>
      <c r="N26" s="3"/>
      <c r="O26" s="3">
        <f t="shared" ref="O26:AT26" si="15">O39</f>
        <v>426.47</v>
      </c>
      <c r="P26" s="3">
        <f t="shared" si="15"/>
        <v>393.93</v>
      </c>
      <c r="Q26" s="3">
        <f t="shared" si="15"/>
        <v>1.33</v>
      </c>
      <c r="R26" s="3">
        <f t="shared" si="15"/>
        <v>0.12</v>
      </c>
      <c r="S26" s="3">
        <f t="shared" si="15"/>
        <v>31.21</v>
      </c>
      <c r="T26" s="3">
        <f t="shared" si="15"/>
        <v>0</v>
      </c>
      <c r="U26" s="3">
        <f t="shared" si="15"/>
        <v>2.6850676214999996</v>
      </c>
      <c r="V26" s="3">
        <f t="shared" si="15"/>
        <v>0</v>
      </c>
      <c r="W26" s="3">
        <f t="shared" si="15"/>
        <v>0</v>
      </c>
      <c r="X26" s="3">
        <f t="shared" si="15"/>
        <v>34.15</v>
      </c>
      <c r="Y26" s="3">
        <f t="shared" si="15"/>
        <v>19.12</v>
      </c>
      <c r="Z26" s="3">
        <f t="shared" si="15"/>
        <v>0</v>
      </c>
      <c r="AA26" s="3">
        <f t="shared" si="15"/>
        <v>0</v>
      </c>
      <c r="AB26" s="3">
        <f t="shared" si="15"/>
        <v>426.47</v>
      </c>
      <c r="AC26" s="3">
        <f t="shared" si="15"/>
        <v>393.93</v>
      </c>
      <c r="AD26" s="3">
        <f t="shared" si="15"/>
        <v>1.33</v>
      </c>
      <c r="AE26" s="3">
        <f t="shared" si="15"/>
        <v>0.12</v>
      </c>
      <c r="AF26" s="3">
        <f t="shared" si="15"/>
        <v>31.21</v>
      </c>
      <c r="AG26" s="3">
        <f t="shared" si="15"/>
        <v>0</v>
      </c>
      <c r="AH26" s="3">
        <f t="shared" si="15"/>
        <v>2.6850676214999996</v>
      </c>
      <c r="AI26" s="3">
        <f t="shared" si="15"/>
        <v>0</v>
      </c>
      <c r="AJ26" s="3">
        <f t="shared" si="15"/>
        <v>0</v>
      </c>
      <c r="AK26" s="3">
        <f t="shared" si="15"/>
        <v>34.15</v>
      </c>
      <c r="AL26" s="3">
        <f t="shared" si="15"/>
        <v>19.12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479.74</v>
      </c>
      <c r="AS26" s="3">
        <f t="shared" si="15"/>
        <v>479.74</v>
      </c>
      <c r="AT26" s="3">
        <f t="shared" si="15"/>
        <v>0</v>
      </c>
      <c r="AU26" s="3">
        <f t="shared" ref="AU26:BZ26" si="16">AU39</f>
        <v>0</v>
      </c>
      <c r="AV26" s="3">
        <f t="shared" si="16"/>
        <v>393.93</v>
      </c>
      <c r="AW26" s="3">
        <f t="shared" si="16"/>
        <v>393.93</v>
      </c>
      <c r="AX26" s="3">
        <f t="shared" si="16"/>
        <v>0</v>
      </c>
      <c r="AY26" s="3">
        <f t="shared" si="16"/>
        <v>393.93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CA39</f>
        <v>479.74</v>
      </c>
      <c r="CB26" s="3">
        <f t="shared" si="17"/>
        <v>479.74</v>
      </c>
      <c r="CC26" s="3">
        <f t="shared" si="17"/>
        <v>0</v>
      </c>
      <c r="CD26" s="3">
        <f t="shared" si="17"/>
        <v>0</v>
      </c>
      <c r="CE26" s="3">
        <f t="shared" si="17"/>
        <v>393.93</v>
      </c>
      <c r="CF26" s="3">
        <f t="shared" si="17"/>
        <v>393.93</v>
      </c>
      <c r="CG26" s="3">
        <f t="shared" si="17"/>
        <v>0</v>
      </c>
      <c r="CH26" s="3">
        <f t="shared" si="17"/>
        <v>393.93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DG39</f>
        <v>2031.16</v>
      </c>
      <c r="DH26" s="4">
        <f t="shared" si="18"/>
        <v>297.11</v>
      </c>
      <c r="DI26" s="4">
        <f t="shared" si="18"/>
        <v>17.82</v>
      </c>
      <c r="DJ26" s="4">
        <f t="shared" si="18"/>
        <v>6.6</v>
      </c>
      <c r="DK26" s="4">
        <f t="shared" si="18"/>
        <v>1716.23</v>
      </c>
      <c r="DL26" s="4">
        <f t="shared" si="18"/>
        <v>0</v>
      </c>
      <c r="DM26" s="4">
        <f t="shared" si="18"/>
        <v>2.6850676214999996</v>
      </c>
      <c r="DN26" s="4">
        <f t="shared" si="18"/>
        <v>0</v>
      </c>
      <c r="DO26" s="4">
        <f t="shared" si="18"/>
        <v>0</v>
      </c>
      <c r="DP26" s="4">
        <f t="shared" si="18"/>
        <v>1877.88</v>
      </c>
      <c r="DQ26" s="4">
        <f t="shared" si="18"/>
        <v>1050.93</v>
      </c>
      <c r="DR26" s="4">
        <f t="shared" si="18"/>
        <v>0</v>
      </c>
      <c r="DS26" s="4">
        <f t="shared" si="18"/>
        <v>0</v>
      </c>
      <c r="DT26" s="4">
        <f t="shared" si="18"/>
        <v>2031.16</v>
      </c>
      <c r="DU26" s="4">
        <f t="shared" si="18"/>
        <v>297.11</v>
      </c>
      <c r="DV26" s="4">
        <f t="shared" si="18"/>
        <v>17.82</v>
      </c>
      <c r="DW26" s="4">
        <f t="shared" si="18"/>
        <v>6.6</v>
      </c>
      <c r="DX26" s="4">
        <f t="shared" si="18"/>
        <v>1716.23</v>
      </c>
      <c r="DY26" s="4">
        <f t="shared" si="18"/>
        <v>0</v>
      </c>
      <c r="DZ26" s="4">
        <f t="shared" si="18"/>
        <v>2.6850676214999996</v>
      </c>
      <c r="EA26" s="4">
        <f t="shared" si="18"/>
        <v>0</v>
      </c>
      <c r="EB26" s="4">
        <f t="shared" si="18"/>
        <v>0</v>
      </c>
      <c r="EC26" s="4">
        <f t="shared" si="18"/>
        <v>1877.88</v>
      </c>
      <c r="ED26" s="4">
        <f t="shared" si="18"/>
        <v>1050.93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4959.97</v>
      </c>
      <c r="EK26" s="4">
        <f t="shared" si="18"/>
        <v>4959.97</v>
      </c>
      <c r="EL26" s="4">
        <f t="shared" si="18"/>
        <v>0</v>
      </c>
      <c r="EM26" s="4">
        <f t="shared" ref="EM26:FR26" si="19">EM39</f>
        <v>0</v>
      </c>
      <c r="EN26" s="4">
        <f t="shared" si="19"/>
        <v>297.11</v>
      </c>
      <c r="EO26" s="4">
        <f t="shared" si="19"/>
        <v>297.11</v>
      </c>
      <c r="EP26" s="4">
        <f t="shared" si="19"/>
        <v>0</v>
      </c>
      <c r="EQ26" s="4">
        <f t="shared" si="19"/>
        <v>297.11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FS39</f>
        <v>4959.97</v>
      </c>
      <c r="FT26" s="4">
        <f t="shared" si="20"/>
        <v>4959.97</v>
      </c>
      <c r="FU26" s="4">
        <f t="shared" si="20"/>
        <v>0</v>
      </c>
      <c r="FV26" s="4">
        <f t="shared" si="20"/>
        <v>0</v>
      </c>
      <c r="FW26" s="4">
        <f t="shared" si="20"/>
        <v>297.11</v>
      </c>
      <c r="FX26" s="4">
        <f t="shared" si="20"/>
        <v>297.11</v>
      </c>
      <c r="FY26" s="4">
        <f t="shared" si="20"/>
        <v>0</v>
      </c>
      <c r="FZ26" s="4">
        <f t="shared" si="20"/>
        <v>297.11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/>
      <c r="D28" s="2"/>
      <c r="E28" s="2" t="s">
        <v>18</v>
      </c>
      <c r="F28" s="2" t="s">
        <v>19</v>
      </c>
      <c r="G28" s="2" t="s">
        <v>20</v>
      </c>
      <c r="H28" s="2" t="s">
        <v>21</v>
      </c>
      <c r="I28" s="2">
        <f>ROUND((1+1+1+1+1)/100,9)</f>
        <v>0.05</v>
      </c>
      <c r="J28" s="2">
        <v>0</v>
      </c>
      <c r="K28" s="2">
        <f>ROUND((1+1+1+1+1)/100,9)</f>
        <v>0.05</v>
      </c>
      <c r="L28" s="2"/>
      <c r="M28" s="2"/>
      <c r="N28" s="2"/>
      <c r="O28" s="2">
        <f t="shared" ref="O28:O37" si="21">ROUND(CP28,2)</f>
        <v>274.77999999999997</v>
      </c>
      <c r="P28" s="2">
        <f t="shared" ref="P28:P37" si="22">ROUND((ROUND((AC28*AW28*I28),2)*BC28),2)</f>
        <v>261.49</v>
      </c>
      <c r="Q28" s="2">
        <f>(ROUND((ROUND(((((ET28*1.1)*1.25))*AV28*I28),2)*BB28),2)+ROUND((ROUND(((AE28-(((EU28*1.1)*1.25)))*AV28*I28),2)*BS28),2))</f>
        <v>0.55000000000000004</v>
      </c>
      <c r="R28" s="2">
        <f>(ROUND((ROUND(((((EU28*1.1)*1.25))*AV28*I28),2)*BS28),2)+ROUND((ROUND(((AE28-(((EU28*1.1)*1.25)))*AV28*I28),2)*BS28),2))</f>
        <v>0.04</v>
      </c>
      <c r="S28" s="2">
        <f t="shared" ref="S28:S37" si="23">ROUND((ROUND((AF28*AV28*I28),2)*BA28),2)</f>
        <v>12.74</v>
      </c>
      <c r="T28" s="2">
        <f t="shared" ref="T28:T37" si="24">ROUND(CU28*I28,2)</f>
        <v>0</v>
      </c>
      <c r="U28" s="2">
        <f t="shared" ref="U28:U37" si="25">CV28*I28</f>
        <v>1.1398680974999997</v>
      </c>
      <c r="V28" s="2">
        <f t="shared" ref="V28:V37" si="26">CW28*I28</f>
        <v>0</v>
      </c>
      <c r="W28" s="2">
        <f t="shared" ref="W28:W37" si="27">ROUND(CX28*I28,2)</f>
        <v>0</v>
      </c>
      <c r="X28" s="2">
        <f>(ROUND((((S28+ROUND((ROUND(((((EU28*1.1)*1.25))*AV28*I28),2)*BS28),2))*AT28)/100),2)+ROUND(((ROUND((ROUND(((AE28-(((EU28*1.1)*1.25)))*AV28*I28),2)*BS28),2)*AT28)/100),2))</f>
        <v>13.93</v>
      </c>
      <c r="Y28" s="2">
        <f>(ROUND((((S28+ROUND((ROUND(((((EU28*1.1)*1.25))*AV28*I28),2)*BS28),2))*AU28)/100),2)+ROUND(((ROUND((ROUND(((AE28-(((EU28*1.1)*1.25)))*AV28*I28),2)*BS28),2)*AU28)/100),2))</f>
        <v>7.8</v>
      </c>
      <c r="Z28" s="2"/>
      <c r="AA28" s="2">
        <v>59499218</v>
      </c>
      <c r="AB28" s="2">
        <f t="shared" ref="AB28:AB37" si="28">ROUND((AC28+AD28+AF28),6)</f>
        <v>5478.9183000000003</v>
      </c>
      <c r="AC28" s="2">
        <f>ROUND((((ES28*1)*1)),6)</f>
        <v>5229.82</v>
      </c>
      <c r="AD28" s="2">
        <f>ROUND((((((ET28*1.1)*1.25))-(((EU28*1.1)*1.25)))+AE28),6)</f>
        <v>10.3675</v>
      </c>
      <c r="AE28" s="2">
        <f>ROUND((((EU28*1.1)*1.25)),6)</f>
        <v>0.6875</v>
      </c>
      <c r="AF28" s="2">
        <f>ROUND((((EV28*1.1)*1.15)),6)</f>
        <v>238.73079999999999</v>
      </c>
      <c r="AG28" s="2">
        <f t="shared" ref="AG28:AG37" si="29">ROUND((AP28),6)</f>
        <v>0</v>
      </c>
      <c r="AH28" s="2">
        <f>(((EW28*1.1)*1.15))</f>
        <v>21.365849999999998</v>
      </c>
      <c r="AI28" s="2">
        <f>(((EX28*1.1)*1.25))</f>
        <v>0</v>
      </c>
      <c r="AJ28" s="2">
        <f t="shared" ref="AJ28:AJ37" si="30">(AS28)</f>
        <v>0</v>
      </c>
      <c r="AK28" s="2">
        <v>5426.08</v>
      </c>
      <c r="AL28" s="2">
        <v>5229.82</v>
      </c>
      <c r="AM28" s="2">
        <v>7.54</v>
      </c>
      <c r="AN28" s="2">
        <v>0.5</v>
      </c>
      <c r="AO28" s="2">
        <v>188.72</v>
      </c>
      <c r="AP28" s="2">
        <v>0</v>
      </c>
      <c r="AQ28" s="2">
        <v>16.89</v>
      </c>
      <c r="AR28" s="2">
        <v>0</v>
      </c>
      <c r="AS28" s="2">
        <v>0</v>
      </c>
      <c r="AT28" s="2">
        <v>109</v>
      </c>
      <c r="AU28" s="2">
        <v>61</v>
      </c>
      <c r="AV28" s="2">
        <v>1.0669999999999999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22</v>
      </c>
      <c r="BK28" s="2"/>
      <c r="BL28" s="2"/>
      <c r="BM28" s="2">
        <v>22</v>
      </c>
      <c r="BN28" s="2">
        <v>0</v>
      </c>
      <c r="BO28" s="2" t="s">
        <v>19</v>
      </c>
      <c r="BP28" s="2">
        <v>1</v>
      </c>
      <c r="BQ28" s="2">
        <v>30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109</v>
      </c>
      <c r="CA28" s="2">
        <v>61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373</v>
      </c>
      <c r="CO28" s="2">
        <v>0</v>
      </c>
      <c r="CP28" s="2">
        <f t="shared" ref="CP28:CP37" si="31">(P28+Q28+S28)</f>
        <v>274.78000000000003</v>
      </c>
      <c r="CQ28" s="2">
        <f t="shared" ref="CQ28:CQ37" si="32">ROUND((ROUND((AC28*AW28*1),2)*BC28),2)</f>
        <v>5229.82</v>
      </c>
      <c r="CR28" s="2">
        <f>(ROUND((ROUND(((((ET28*1.1)*1.25))*AV28*1),2)*BB28),2)+ROUND((ROUND(((AE28-(((EU28*1.1)*1.25)))*AV28*1),2)*BS28),2))</f>
        <v>11.06</v>
      </c>
      <c r="CS28" s="2">
        <f>(ROUND((ROUND(((((EU28*1.1)*1.25))*AV28*1),2)*BS28),2)+ROUND((ROUND(((AE28-(((EU28*1.1)*1.25)))*AV28*1),2)*BS28),2))</f>
        <v>0.73</v>
      </c>
      <c r="CT28" s="2">
        <f t="shared" ref="CT28:CT37" si="33">ROUND((ROUND((AF28*AV28*1),2)*BA28),2)</f>
        <v>254.73</v>
      </c>
      <c r="CU28" s="2">
        <f t="shared" ref="CU28:CU37" si="34">AG28</f>
        <v>0</v>
      </c>
      <c r="CV28" s="2">
        <f t="shared" ref="CV28:CV37" si="35">(AH28*AV28)</f>
        <v>22.797361949999996</v>
      </c>
      <c r="CW28" s="2">
        <f t="shared" ref="CW28:CW37" si="36">AI28</f>
        <v>0</v>
      </c>
      <c r="CX28" s="2">
        <f t="shared" ref="CX28:CX37" si="37">AJ28</f>
        <v>0</v>
      </c>
      <c r="CY28" s="2">
        <f>(ROUND((((S28+ROUND((ROUND(((((EU28*1.1)*1.25))*AV28*1),2)*BS28),2))*AT28)/100),2)+ROUND(((ROUND((ROUND(((AE28-(((EU28*1.1)*1.25)))*AV28*1),2)*BS28),2)*AT28)/100),2))</f>
        <v>14.68</v>
      </c>
      <c r="CZ28" s="2">
        <f>(ROUND((((S28+ROUND((ROUND(((((EU28*1.1)*1.25))*AV28*1),2)*BS28),2))*AU28)/100),2)+ROUND(((ROUND((ROUND(((AE28-(((EU28*1.1)*1.25)))*AV28*1),2)*BS28),2)*AU28)/100),2))</f>
        <v>8.2200000000000006</v>
      </c>
      <c r="DA28" s="2"/>
      <c r="DB28" s="2">
        <v>1</v>
      </c>
      <c r="DC28" s="2" t="s">
        <v>3</v>
      </c>
      <c r="DD28" s="2" t="s">
        <v>23</v>
      </c>
      <c r="DE28" s="2" t="s">
        <v>24</v>
      </c>
      <c r="DF28" s="2" t="s">
        <v>24</v>
      </c>
      <c r="DG28" s="2" t="s">
        <v>25</v>
      </c>
      <c r="DH28" s="2" t="s">
        <v>3</v>
      </c>
      <c r="DI28" s="2" t="s">
        <v>25</v>
      </c>
      <c r="DJ28" s="2" t="s">
        <v>24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1010</v>
      </c>
      <c r="DV28" s="2" t="s">
        <v>21</v>
      </c>
      <c r="DW28" s="2" t="s">
        <v>21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59298928</v>
      </c>
      <c r="EF28" s="2">
        <v>30</v>
      </c>
      <c r="EG28" s="2" t="s">
        <v>26</v>
      </c>
      <c r="EH28" s="2">
        <v>0</v>
      </c>
      <c r="EI28" s="2" t="s">
        <v>3</v>
      </c>
      <c r="EJ28" s="2">
        <v>1</v>
      </c>
      <c r="EK28" s="2">
        <v>22</v>
      </c>
      <c r="EL28" s="2" t="s">
        <v>27</v>
      </c>
      <c r="EM28" s="2" t="s">
        <v>28</v>
      </c>
      <c r="EN28" s="2"/>
      <c r="EO28" s="2" t="s">
        <v>29</v>
      </c>
      <c r="EP28" s="2"/>
      <c r="EQ28" s="2">
        <v>0</v>
      </c>
      <c r="ER28" s="2">
        <v>5426.08</v>
      </c>
      <c r="ES28" s="2">
        <v>5229.82</v>
      </c>
      <c r="ET28" s="2">
        <v>7.54</v>
      </c>
      <c r="EU28" s="2">
        <v>0.5</v>
      </c>
      <c r="EV28" s="2">
        <v>188.72</v>
      </c>
      <c r="EW28" s="2">
        <v>16.89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109</v>
      </c>
      <c r="FY28" s="2">
        <v>61</v>
      </c>
      <c r="FZ28" s="2"/>
      <c r="GA28" s="2" t="s">
        <v>3</v>
      </c>
      <c r="GB28" s="2"/>
      <c r="GC28" s="2"/>
      <c r="GD28" s="2">
        <v>1</v>
      </c>
      <c r="GE28" s="2"/>
      <c r="GF28" s="2">
        <v>-73133009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37" si="38">ROUND(IF(AND(BH28=3,BI28=3,FS28&lt;&gt;0),P28,0),2)</f>
        <v>0</v>
      </c>
      <c r="GM28" s="2">
        <f t="shared" ref="GM28:GM37" si="39">ROUND(O28+X28+Y28,2)+GX28</f>
        <v>296.51</v>
      </c>
      <c r="GN28" s="2">
        <f t="shared" ref="GN28:GN37" si="40">IF(OR(BI28=0,BI28=1),GM28-GX28,0)</f>
        <v>296.51</v>
      </c>
      <c r="GO28" s="2">
        <f t="shared" ref="GO28:GO37" si="41">IF(BI28=2,GM28-GX28,0)</f>
        <v>0</v>
      </c>
      <c r="GP28" s="2">
        <f t="shared" ref="GP28:GP37" si="42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37" si="43">ROUND((GT28),6)</f>
        <v>0</v>
      </c>
      <c r="GW28" s="2">
        <v>1</v>
      </c>
      <c r="GX28" s="2">
        <f t="shared" ref="GX28:GX37" si="44">ROUND(HC28*I28,2)</f>
        <v>0</v>
      </c>
      <c r="GY28" s="2"/>
      <c r="GZ28" s="2"/>
      <c r="HA28" s="2">
        <v>0</v>
      </c>
      <c r="HB28" s="2">
        <v>0</v>
      </c>
      <c r="HC28" s="2">
        <f t="shared" ref="HC28:HC37" si="4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E29" t="s">
        <v>18</v>
      </c>
      <c r="F29" t="s">
        <v>19</v>
      </c>
      <c r="G29" t="s">
        <v>20</v>
      </c>
      <c r="H29" t="s">
        <v>21</v>
      </c>
      <c r="I29">
        <f>ROUND((1+1+1+1+1)/100,9)</f>
        <v>0.05</v>
      </c>
      <c r="J29">
        <v>0</v>
      </c>
      <c r="K29">
        <f>ROUND((1+1+1+1+1)/100,9)</f>
        <v>0.05</v>
      </c>
      <c r="O29">
        <f t="shared" si="21"/>
        <v>903.33</v>
      </c>
      <c r="P29">
        <f t="shared" si="22"/>
        <v>196.12</v>
      </c>
      <c r="Q29">
        <f>(ROUND((ROUND(((((ET29*1.1)*1.25))*AV29*I29),2)*BB29),2)+ROUND((ROUND(((AE29-(((EU29*1.1)*1.25)))*AV29*I29),2)*BS29),2))</f>
        <v>6.64</v>
      </c>
      <c r="R29">
        <f>(ROUND((ROUND(((((EU29*1.1)*1.25))*AV29*I29),2)*BS29),2)+ROUND((ROUND(((AE29-(((EU29*1.1)*1.25)))*AV29*I29),2)*BS29),2))</f>
        <v>2.2000000000000002</v>
      </c>
      <c r="S29">
        <f t="shared" si="23"/>
        <v>700.57</v>
      </c>
      <c r="T29">
        <f t="shared" si="24"/>
        <v>0</v>
      </c>
      <c r="U29">
        <f t="shared" si="25"/>
        <v>1.1398680974999997</v>
      </c>
      <c r="V29">
        <f t="shared" si="26"/>
        <v>0</v>
      </c>
      <c r="W29">
        <f t="shared" si="27"/>
        <v>0</v>
      </c>
      <c r="X29">
        <f>(ROUND((((S29+ROUND((ROUND(((((EU29*1.1)*1.25))*AV29*I29),2)*BS29),2))*AT29)/100),2)+ROUND(((ROUND((ROUND(((AE29-(((EU29*1.1)*1.25)))*AV29*I29),2)*BS29),2)*AT29)/100),2))</f>
        <v>766.02</v>
      </c>
      <c r="Y29">
        <f>(ROUND((((S29+ROUND((ROUND(((((EU29*1.1)*1.25))*AV29*I29),2)*BS29),2))*AU29)/100),2)+ROUND(((ROUND((ROUND(((AE29-(((EU29*1.1)*1.25)))*AV29*I29),2)*BS29),2)*AU29)/100),2))</f>
        <v>428.69</v>
      </c>
      <c r="AA29">
        <v>59499215</v>
      </c>
      <c r="AB29">
        <f t="shared" si="28"/>
        <v>5478.9183000000003</v>
      </c>
      <c r="AC29">
        <f>ROUND((((ES29*1)*1)),6)</f>
        <v>5229.82</v>
      </c>
      <c r="AD29">
        <f>ROUND((((((ET29*1.1)*1.25))-(((EU29*1.1)*1.25)))+AE29),6)</f>
        <v>10.3675</v>
      </c>
      <c r="AE29">
        <f>ROUND((((EU29*1.1)*1.25)),6)</f>
        <v>0.6875</v>
      </c>
      <c r="AF29">
        <f>ROUND((((EV29*1.1)*1.15)),6)</f>
        <v>238.73079999999999</v>
      </c>
      <c r="AG29">
        <f t="shared" si="29"/>
        <v>0</v>
      </c>
      <c r="AH29">
        <f>(((EW29*1.1)*1.15))</f>
        <v>21.365849999999998</v>
      </c>
      <c r="AI29">
        <f>(((EX29*1.1)*1.25))</f>
        <v>0</v>
      </c>
      <c r="AJ29">
        <f t="shared" si="30"/>
        <v>0</v>
      </c>
      <c r="AK29">
        <v>5426.08</v>
      </c>
      <c r="AL29">
        <v>5229.82</v>
      </c>
      <c r="AM29">
        <v>7.54</v>
      </c>
      <c r="AN29">
        <v>0.5</v>
      </c>
      <c r="AO29">
        <v>188.72</v>
      </c>
      <c r="AP29">
        <v>0</v>
      </c>
      <c r="AQ29">
        <v>16.89</v>
      </c>
      <c r="AR29">
        <v>0</v>
      </c>
      <c r="AS29">
        <v>0</v>
      </c>
      <c r="AT29">
        <v>109</v>
      </c>
      <c r="AU29">
        <v>61</v>
      </c>
      <c r="AV29">
        <v>1.0669999999999999</v>
      </c>
      <c r="AW29">
        <v>1</v>
      </c>
      <c r="AZ29">
        <v>1</v>
      </c>
      <c r="BA29">
        <v>54.99</v>
      </c>
      <c r="BB29">
        <v>12.07</v>
      </c>
      <c r="BC29">
        <v>0.75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1</v>
      </c>
      <c r="BJ29" t="s">
        <v>22</v>
      </c>
      <c r="BM29">
        <v>22</v>
      </c>
      <c r="BN29">
        <v>0</v>
      </c>
      <c r="BO29" t="s">
        <v>19</v>
      </c>
      <c r="BP29">
        <v>1</v>
      </c>
      <c r="BQ29">
        <v>30</v>
      </c>
      <c r="BR29">
        <v>0</v>
      </c>
      <c r="BS29">
        <v>54.99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109</v>
      </c>
      <c r="CA29">
        <v>61</v>
      </c>
      <c r="CB29" t="s">
        <v>3</v>
      </c>
      <c r="CE29">
        <v>1566</v>
      </c>
      <c r="CF29">
        <v>0</v>
      </c>
      <c r="CG29">
        <v>0</v>
      </c>
      <c r="CM29">
        <v>0</v>
      </c>
      <c r="CN29" t="s">
        <v>373</v>
      </c>
      <c r="CO29">
        <v>0</v>
      </c>
      <c r="CP29">
        <f t="shared" si="31"/>
        <v>903.33</v>
      </c>
      <c r="CQ29">
        <f t="shared" si="32"/>
        <v>3922.37</v>
      </c>
      <c r="CR29">
        <f>(ROUND((ROUND(((((ET29*1.1)*1.25))*AV29*1),2)*BB29),2)+ROUND((ROUND(((AE29-(((EU29*1.1)*1.25)))*AV29*1),2)*BS29),2))</f>
        <v>133.49</v>
      </c>
      <c r="CS29">
        <f>(ROUND((ROUND(((((EU29*1.1)*1.25))*AV29*1),2)*BS29),2)+ROUND((ROUND(((AE29-(((EU29*1.1)*1.25)))*AV29*1),2)*BS29),2))</f>
        <v>40.14</v>
      </c>
      <c r="CT29">
        <f t="shared" si="33"/>
        <v>14007.6</v>
      </c>
      <c r="CU29">
        <f t="shared" si="34"/>
        <v>0</v>
      </c>
      <c r="CV29">
        <f t="shared" si="35"/>
        <v>22.797361949999996</v>
      </c>
      <c r="CW29">
        <f t="shared" si="36"/>
        <v>0</v>
      </c>
      <c r="CX29">
        <f t="shared" si="37"/>
        <v>0</v>
      </c>
      <c r="CY29">
        <f>(ROUND((((S29+ROUND((ROUND(((((EU29*1.1)*1.25))*AV29*1),2)*BS29),2))*AT29)/100),2)+ROUND(((ROUND((ROUND(((AE29-(((EU29*1.1)*1.25)))*AV29*1),2)*BS29),2)*AT29)/100),2))</f>
        <v>807.37</v>
      </c>
      <c r="CZ29">
        <f>(ROUND((((S29+ROUND((ROUND(((((EU29*1.1)*1.25))*AV29*1),2)*BS29),2))*AU29)/100),2)+ROUND(((ROUND((ROUND(((AE29-(((EU29*1.1)*1.25)))*AV29*1),2)*BS29),2)*AU29)/100),2))</f>
        <v>451.83</v>
      </c>
      <c r="DB29">
        <v>3</v>
      </c>
      <c r="DC29" t="s">
        <v>3</v>
      </c>
      <c r="DD29" t="s">
        <v>23</v>
      </c>
      <c r="DE29" t="s">
        <v>24</v>
      </c>
      <c r="DF29" t="s">
        <v>24</v>
      </c>
      <c r="DG29" t="s">
        <v>25</v>
      </c>
      <c r="DH29" t="s">
        <v>3</v>
      </c>
      <c r="DI29" t="s">
        <v>25</v>
      </c>
      <c r="DJ29" t="s">
        <v>24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1010</v>
      </c>
      <c r="DV29" t="s">
        <v>21</v>
      </c>
      <c r="DW29" t="s">
        <v>21</v>
      </c>
      <c r="DX29">
        <v>100</v>
      </c>
      <c r="DZ29" t="s">
        <v>3</v>
      </c>
      <c r="EA29" t="s">
        <v>3</v>
      </c>
      <c r="EB29" t="s">
        <v>3</v>
      </c>
      <c r="EC29" t="s">
        <v>3</v>
      </c>
      <c r="EE29">
        <v>59298928</v>
      </c>
      <c r="EF29">
        <v>30</v>
      </c>
      <c r="EG29" t="s">
        <v>26</v>
      </c>
      <c r="EH29">
        <v>0</v>
      </c>
      <c r="EI29" t="s">
        <v>3</v>
      </c>
      <c r="EJ29">
        <v>1</v>
      </c>
      <c r="EK29">
        <v>22</v>
      </c>
      <c r="EL29" t="s">
        <v>27</v>
      </c>
      <c r="EM29" t="s">
        <v>28</v>
      </c>
      <c r="EO29" t="s">
        <v>29</v>
      </c>
      <c r="EQ29">
        <v>0</v>
      </c>
      <c r="ER29">
        <v>5426.08</v>
      </c>
      <c r="ES29">
        <v>5229.82</v>
      </c>
      <c r="ET29">
        <v>7.54</v>
      </c>
      <c r="EU29">
        <v>0.5</v>
      </c>
      <c r="EV29">
        <v>188.72</v>
      </c>
      <c r="EW29">
        <v>16.89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109</v>
      </c>
      <c r="FY29">
        <v>61</v>
      </c>
      <c r="GA29" t="s">
        <v>3</v>
      </c>
      <c r="GD29">
        <v>1</v>
      </c>
      <c r="GF29">
        <v>-73133009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38"/>
        <v>0</v>
      </c>
      <c r="GM29">
        <f t="shared" si="39"/>
        <v>2098.04</v>
      </c>
      <c r="GN29">
        <f t="shared" si="40"/>
        <v>2098.04</v>
      </c>
      <c r="GO29">
        <f t="shared" si="41"/>
        <v>0</v>
      </c>
      <c r="GP29">
        <f t="shared" si="42"/>
        <v>0</v>
      </c>
      <c r="GR29">
        <v>0</v>
      </c>
      <c r="GS29">
        <v>3</v>
      </c>
      <c r="GT29">
        <v>0</v>
      </c>
      <c r="GU29" t="s">
        <v>3</v>
      </c>
      <c r="GV29">
        <f t="shared" si="43"/>
        <v>0</v>
      </c>
      <c r="GW29">
        <v>1</v>
      </c>
      <c r="GX29">
        <f t="shared" si="44"/>
        <v>0</v>
      </c>
      <c r="HA29">
        <v>0</v>
      </c>
      <c r="HB29">
        <v>0</v>
      </c>
      <c r="HC29">
        <f t="shared" si="45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/>
      <c r="D30" s="2"/>
      <c r="E30" s="2" t="s">
        <v>30</v>
      </c>
      <c r="F30" s="2" t="s">
        <v>31</v>
      </c>
      <c r="G30" s="2" t="s">
        <v>32</v>
      </c>
      <c r="H30" s="2" t="s">
        <v>21</v>
      </c>
      <c r="I30" s="2">
        <f>ROUND(2/100,9)</f>
        <v>0.02</v>
      </c>
      <c r="J30" s="2">
        <v>0</v>
      </c>
      <c r="K30" s="2">
        <f>ROUND(2/100,9)</f>
        <v>0.02</v>
      </c>
      <c r="L30" s="2"/>
      <c r="M30" s="2"/>
      <c r="N30" s="2"/>
      <c r="O30" s="2">
        <f t="shared" si="21"/>
        <v>46.88</v>
      </c>
      <c r="P30" s="2">
        <f t="shared" si="22"/>
        <v>44.04</v>
      </c>
      <c r="Q30" s="2">
        <f>(ROUND((ROUND(((((ET30*1.1)*1.25))*AV30*I30),2)*BB30),2)+ROUND((ROUND(((AE30-(((EU30*1.1)*1.25)))*AV30*I30),2)*BS30),2))</f>
        <v>0.26</v>
      </c>
      <c r="R30" s="2">
        <f>(ROUND((ROUND(((((EU30*1.1)*1.25))*AV30*I30),2)*BS30),2)+ROUND((ROUND(((AE30-(((EU30*1.1)*1.25)))*AV30*I30),2)*BS30),2))</f>
        <v>0.03</v>
      </c>
      <c r="S30" s="2">
        <f t="shared" si="23"/>
        <v>2.58</v>
      </c>
      <c r="T30" s="2">
        <f t="shared" si="24"/>
        <v>0</v>
      </c>
      <c r="U30" s="2">
        <f t="shared" si="25"/>
        <v>0.23161795800000001</v>
      </c>
      <c r="V30" s="2">
        <f t="shared" si="26"/>
        <v>0</v>
      </c>
      <c r="W30" s="2">
        <f t="shared" si="27"/>
        <v>0</v>
      </c>
      <c r="X30" s="2">
        <f>(ROUND((((S30+ROUND((ROUND(((((EU30*1.1)*1.25))*AV30*I30),2)*BS30),2))*AT30)/100),2)+ROUND(((ROUND((ROUND(((AE30-(((EU30*1.1)*1.25)))*AV30*I30),2)*BS30),2)*AT30)/100),2))</f>
        <v>2.84</v>
      </c>
      <c r="Y30" s="2">
        <f>(ROUND((((S30+ROUND((ROUND(((((EU30*1.1)*1.25))*AV30*I30),2)*BS30),2))*AU30)/100),2)+ROUND(((ROUND((ROUND(((AE30-(((EU30*1.1)*1.25)))*AV30*I30),2)*BS30),2)*AU30)/100),2))</f>
        <v>1.59</v>
      </c>
      <c r="Z30" s="2"/>
      <c r="AA30" s="2">
        <v>59499218</v>
      </c>
      <c r="AB30" s="2">
        <f t="shared" si="28"/>
        <v>2335.2950999999998</v>
      </c>
      <c r="AC30" s="2">
        <f>ROUND((((ES30*1)*1)),6)</f>
        <v>2202.04</v>
      </c>
      <c r="AD30" s="2">
        <f>ROUND((((((ET30*1.1)*1.25))-(((EU30*1.1)*1.25)))+AE30),6)</f>
        <v>12.33375</v>
      </c>
      <c r="AE30" s="2">
        <f>ROUND((((EU30*1.1)*1.25)),6)</f>
        <v>1.3887499999999999</v>
      </c>
      <c r="AF30" s="2">
        <f>ROUND((((EV30*1.1)*1.15)),6)</f>
        <v>120.92135</v>
      </c>
      <c r="AG30" s="2">
        <f t="shared" si="29"/>
        <v>0</v>
      </c>
      <c r="AH30" s="2">
        <f>(((EW30*1.1)*1.15))</f>
        <v>10.8537</v>
      </c>
      <c r="AI30" s="2">
        <f>(((EX30*1.1)*1.25))</f>
        <v>0</v>
      </c>
      <c r="AJ30" s="2">
        <f t="shared" si="30"/>
        <v>0</v>
      </c>
      <c r="AK30" s="2">
        <v>2306.6</v>
      </c>
      <c r="AL30" s="2">
        <v>2202.04</v>
      </c>
      <c r="AM30" s="2">
        <v>8.9700000000000006</v>
      </c>
      <c r="AN30" s="2">
        <v>1.01</v>
      </c>
      <c r="AO30" s="2">
        <v>95.59</v>
      </c>
      <c r="AP30" s="2">
        <v>0</v>
      </c>
      <c r="AQ30" s="2">
        <v>8.58</v>
      </c>
      <c r="AR30" s="2">
        <v>0</v>
      </c>
      <c r="AS30" s="2">
        <v>0</v>
      </c>
      <c r="AT30" s="2">
        <v>109</v>
      </c>
      <c r="AU30" s="2">
        <v>61</v>
      </c>
      <c r="AV30" s="2">
        <v>1.0669999999999999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33</v>
      </c>
      <c r="BK30" s="2"/>
      <c r="BL30" s="2"/>
      <c r="BM30" s="2">
        <v>22</v>
      </c>
      <c r="BN30" s="2">
        <v>0</v>
      </c>
      <c r="BO30" s="2" t="s">
        <v>31</v>
      </c>
      <c r="BP30" s="2">
        <v>1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109</v>
      </c>
      <c r="CA30" s="2">
        <v>61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373</v>
      </c>
      <c r="CO30" s="2">
        <v>0</v>
      </c>
      <c r="CP30" s="2">
        <f t="shared" si="31"/>
        <v>46.879999999999995</v>
      </c>
      <c r="CQ30" s="2">
        <f t="shared" si="32"/>
        <v>2202.04</v>
      </c>
      <c r="CR30" s="2">
        <f>(ROUND((ROUND(((((ET30*1.1)*1.25))*AV30*1),2)*BB30),2)+ROUND((ROUND(((AE30-(((EU30*1.1)*1.25)))*AV30*1),2)*BS30),2))</f>
        <v>13.16</v>
      </c>
      <c r="CS30" s="2">
        <f>(ROUND((ROUND(((((EU30*1.1)*1.25))*AV30*1),2)*BS30),2)+ROUND((ROUND(((AE30-(((EU30*1.1)*1.25)))*AV30*1),2)*BS30),2))</f>
        <v>1.48</v>
      </c>
      <c r="CT30" s="2">
        <f t="shared" si="33"/>
        <v>129.02000000000001</v>
      </c>
      <c r="CU30" s="2">
        <f t="shared" si="34"/>
        <v>0</v>
      </c>
      <c r="CV30" s="2">
        <f t="shared" si="35"/>
        <v>11.5808979</v>
      </c>
      <c r="CW30" s="2">
        <f t="shared" si="36"/>
        <v>0</v>
      </c>
      <c r="CX30" s="2">
        <f t="shared" si="37"/>
        <v>0</v>
      </c>
      <c r="CY30" s="2">
        <f>(ROUND((((S30+ROUND((ROUND(((((EU30*1.1)*1.25))*AV30*1),2)*BS30),2))*AT30)/100),2)+ROUND(((ROUND((ROUND(((AE30-(((EU30*1.1)*1.25)))*AV30*1),2)*BS30),2)*AT30)/100),2))</f>
        <v>4.43</v>
      </c>
      <c r="CZ30" s="2">
        <f>(ROUND((((S30+ROUND((ROUND(((((EU30*1.1)*1.25))*AV30*1),2)*BS30),2))*AU30)/100),2)+ROUND(((ROUND((ROUND(((AE30-(((EU30*1.1)*1.25)))*AV30*1),2)*BS30),2)*AU30)/100),2))</f>
        <v>2.48</v>
      </c>
      <c r="DA30" s="2"/>
      <c r="DB30" s="2">
        <v>5</v>
      </c>
      <c r="DC30" s="2" t="s">
        <v>3</v>
      </c>
      <c r="DD30" s="2" t="s">
        <v>23</v>
      </c>
      <c r="DE30" s="2" t="s">
        <v>24</v>
      </c>
      <c r="DF30" s="2" t="s">
        <v>24</v>
      </c>
      <c r="DG30" s="2" t="s">
        <v>25</v>
      </c>
      <c r="DH30" s="2" t="s">
        <v>3</v>
      </c>
      <c r="DI30" s="2" t="s">
        <v>25</v>
      </c>
      <c r="DJ30" s="2" t="s">
        <v>24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21</v>
      </c>
      <c r="DW30" s="2" t="s">
        <v>21</v>
      </c>
      <c r="DX30" s="2">
        <v>100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59298928</v>
      </c>
      <c r="EF30" s="2">
        <v>30</v>
      </c>
      <c r="EG30" s="2" t="s">
        <v>26</v>
      </c>
      <c r="EH30" s="2">
        <v>0</v>
      </c>
      <c r="EI30" s="2" t="s">
        <v>3</v>
      </c>
      <c r="EJ30" s="2">
        <v>1</v>
      </c>
      <c r="EK30" s="2">
        <v>22</v>
      </c>
      <c r="EL30" s="2" t="s">
        <v>27</v>
      </c>
      <c r="EM30" s="2" t="s">
        <v>28</v>
      </c>
      <c r="EN30" s="2"/>
      <c r="EO30" s="2" t="s">
        <v>29</v>
      </c>
      <c r="EP30" s="2"/>
      <c r="EQ30" s="2">
        <v>0</v>
      </c>
      <c r="ER30" s="2">
        <v>2306.6</v>
      </c>
      <c r="ES30" s="2">
        <v>2202.04</v>
      </c>
      <c r="ET30" s="2">
        <v>8.9700000000000006</v>
      </c>
      <c r="EU30" s="2">
        <v>1.01</v>
      </c>
      <c r="EV30" s="2">
        <v>95.59</v>
      </c>
      <c r="EW30" s="2">
        <v>8.58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109</v>
      </c>
      <c r="FY30" s="2">
        <v>61</v>
      </c>
      <c r="FZ30" s="2"/>
      <c r="GA30" s="2" t="s">
        <v>3</v>
      </c>
      <c r="GB30" s="2"/>
      <c r="GC30" s="2"/>
      <c r="GD30" s="2">
        <v>1</v>
      </c>
      <c r="GE30" s="2"/>
      <c r="GF30" s="2">
        <v>-488901103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38"/>
        <v>0</v>
      </c>
      <c r="GM30" s="2">
        <f t="shared" si="39"/>
        <v>51.31</v>
      </c>
      <c r="GN30" s="2">
        <f t="shared" si="40"/>
        <v>51.31</v>
      </c>
      <c r="GO30" s="2">
        <f t="shared" si="41"/>
        <v>0</v>
      </c>
      <c r="GP30" s="2">
        <f t="shared" si="42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43"/>
        <v>0</v>
      </c>
      <c r="GW30" s="2">
        <v>1</v>
      </c>
      <c r="GX30" s="2">
        <f t="shared" si="44"/>
        <v>0</v>
      </c>
      <c r="GY30" s="2"/>
      <c r="GZ30" s="2"/>
      <c r="HA30" s="2">
        <v>0</v>
      </c>
      <c r="HB30" s="2">
        <v>0</v>
      </c>
      <c r="HC30" s="2">
        <f t="shared" si="45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E31" t="s">
        <v>30</v>
      </c>
      <c r="F31" t="s">
        <v>31</v>
      </c>
      <c r="G31" t="s">
        <v>32</v>
      </c>
      <c r="H31" t="s">
        <v>21</v>
      </c>
      <c r="I31">
        <f>ROUND(2/100,9)</f>
        <v>0.02</v>
      </c>
      <c r="J31">
        <v>0</v>
      </c>
      <c r="K31">
        <f>ROUND(2/100,9)</f>
        <v>0.02</v>
      </c>
      <c r="O31">
        <f t="shared" si="21"/>
        <v>178.63</v>
      </c>
      <c r="P31">
        <f t="shared" si="22"/>
        <v>33.03</v>
      </c>
      <c r="Q31">
        <f>(ROUND((ROUND(((((ET31*1.1)*1.25))*AV31*I31),2)*BB31),2)+ROUND((ROUND(((AE31-(((EU31*1.1)*1.25)))*AV31*I31),2)*BS31),2))</f>
        <v>3.73</v>
      </c>
      <c r="R31">
        <f>(ROUND((ROUND(((((EU31*1.1)*1.25))*AV31*I31),2)*BS31),2)+ROUND((ROUND(((AE31-(((EU31*1.1)*1.25)))*AV31*I31),2)*BS31),2))</f>
        <v>1.65</v>
      </c>
      <c r="S31">
        <f t="shared" si="23"/>
        <v>141.87</v>
      </c>
      <c r="T31">
        <f t="shared" si="24"/>
        <v>0</v>
      </c>
      <c r="U31">
        <f t="shared" si="25"/>
        <v>0.23161795800000001</v>
      </c>
      <c r="V31">
        <f t="shared" si="26"/>
        <v>0</v>
      </c>
      <c r="W31">
        <f t="shared" si="27"/>
        <v>0</v>
      </c>
      <c r="X31">
        <f>(ROUND((((S31+ROUND((ROUND(((((EU31*1.1)*1.25))*AV31*I31),2)*BS31),2))*AT31)/100),2)+ROUND(((ROUND((ROUND(((AE31-(((EU31*1.1)*1.25)))*AV31*I31),2)*BS31),2)*AT31)/100),2))</f>
        <v>156.44</v>
      </c>
      <c r="Y31">
        <f>(ROUND((((S31+ROUND((ROUND(((((EU31*1.1)*1.25))*AV31*I31),2)*BS31),2))*AU31)/100),2)+ROUND(((ROUND((ROUND(((AE31-(((EU31*1.1)*1.25)))*AV31*I31),2)*BS31),2)*AU31)/100),2))</f>
        <v>87.55</v>
      </c>
      <c r="AA31">
        <v>59499215</v>
      </c>
      <c r="AB31">
        <f t="shared" si="28"/>
        <v>2335.2950999999998</v>
      </c>
      <c r="AC31">
        <f>ROUND((((ES31*1)*1)),6)</f>
        <v>2202.04</v>
      </c>
      <c r="AD31">
        <f>ROUND((((((ET31*1.1)*1.25))-(((EU31*1.1)*1.25)))+AE31),6)</f>
        <v>12.33375</v>
      </c>
      <c r="AE31">
        <f>ROUND((((EU31*1.1)*1.25)),6)</f>
        <v>1.3887499999999999</v>
      </c>
      <c r="AF31">
        <f>ROUND((((EV31*1.1)*1.15)),6)</f>
        <v>120.92135</v>
      </c>
      <c r="AG31">
        <f t="shared" si="29"/>
        <v>0</v>
      </c>
      <c r="AH31">
        <f>(((EW31*1.1)*1.15))</f>
        <v>10.8537</v>
      </c>
      <c r="AI31">
        <f>(((EX31*1.1)*1.25))</f>
        <v>0</v>
      </c>
      <c r="AJ31">
        <f t="shared" si="30"/>
        <v>0</v>
      </c>
      <c r="AK31">
        <v>2306.6</v>
      </c>
      <c r="AL31">
        <v>2202.04</v>
      </c>
      <c r="AM31">
        <v>8.9700000000000006</v>
      </c>
      <c r="AN31">
        <v>1.01</v>
      </c>
      <c r="AO31">
        <v>95.59</v>
      </c>
      <c r="AP31">
        <v>0</v>
      </c>
      <c r="AQ31">
        <v>8.58</v>
      </c>
      <c r="AR31">
        <v>0</v>
      </c>
      <c r="AS31">
        <v>0</v>
      </c>
      <c r="AT31">
        <v>109</v>
      </c>
      <c r="AU31">
        <v>61</v>
      </c>
      <c r="AV31">
        <v>1.0669999999999999</v>
      </c>
      <c r="AW31">
        <v>1</v>
      </c>
      <c r="AZ31">
        <v>1</v>
      </c>
      <c r="BA31">
        <v>54.99</v>
      </c>
      <c r="BB31">
        <v>14.34</v>
      </c>
      <c r="BC31">
        <v>0.75</v>
      </c>
      <c r="BD31" t="s">
        <v>3</v>
      </c>
      <c r="BE31" t="s">
        <v>3</v>
      </c>
      <c r="BF31" t="s">
        <v>3</v>
      </c>
      <c r="BG31" t="s">
        <v>3</v>
      </c>
      <c r="BH31">
        <v>0</v>
      </c>
      <c r="BI31">
        <v>1</v>
      </c>
      <c r="BJ31" t="s">
        <v>33</v>
      </c>
      <c r="BM31">
        <v>22</v>
      </c>
      <c r="BN31">
        <v>0</v>
      </c>
      <c r="BO31" t="s">
        <v>31</v>
      </c>
      <c r="BP31">
        <v>1</v>
      </c>
      <c r="BQ31">
        <v>30</v>
      </c>
      <c r="BR31">
        <v>0</v>
      </c>
      <c r="BS31">
        <v>54.99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109</v>
      </c>
      <c r="CA31">
        <v>61</v>
      </c>
      <c r="CB31" t="s">
        <v>3</v>
      </c>
      <c r="CE31">
        <v>1566</v>
      </c>
      <c r="CF31">
        <v>0</v>
      </c>
      <c r="CG31">
        <v>0</v>
      </c>
      <c r="CM31">
        <v>0</v>
      </c>
      <c r="CN31" t="s">
        <v>373</v>
      </c>
      <c r="CO31">
        <v>0</v>
      </c>
      <c r="CP31">
        <f t="shared" si="31"/>
        <v>178.63</v>
      </c>
      <c r="CQ31">
        <f t="shared" si="32"/>
        <v>1651.53</v>
      </c>
      <c r="CR31">
        <f>(ROUND((ROUND(((((ET31*1.1)*1.25))*AV31*1),2)*BB31),2)+ROUND((ROUND(((AE31-(((EU31*1.1)*1.25)))*AV31*1),2)*BS31),2))</f>
        <v>188.71</v>
      </c>
      <c r="CS31">
        <f>(ROUND((ROUND(((((EU31*1.1)*1.25))*AV31*1),2)*BS31),2)+ROUND((ROUND(((AE31-(((EU31*1.1)*1.25)))*AV31*1),2)*BS31),2))</f>
        <v>81.39</v>
      </c>
      <c r="CT31">
        <f t="shared" si="33"/>
        <v>7094.81</v>
      </c>
      <c r="CU31">
        <f t="shared" si="34"/>
        <v>0</v>
      </c>
      <c r="CV31">
        <f t="shared" si="35"/>
        <v>11.5808979</v>
      </c>
      <c r="CW31">
        <f t="shared" si="36"/>
        <v>0</v>
      </c>
      <c r="CX31">
        <f t="shared" si="37"/>
        <v>0</v>
      </c>
      <c r="CY31">
        <f>(ROUND((((S31+ROUND((ROUND(((((EU31*1.1)*1.25))*AV31*1),2)*BS31),2))*AT31)/100),2)+ROUND(((ROUND((ROUND(((AE31-(((EU31*1.1)*1.25)))*AV31*1),2)*BS31),2)*AT31)/100),2))</f>
        <v>243.35</v>
      </c>
      <c r="CZ31">
        <f>(ROUND((((S31+ROUND((ROUND(((((EU31*1.1)*1.25))*AV31*1),2)*BS31),2))*AU31)/100),2)+ROUND(((ROUND((ROUND(((AE31-(((EU31*1.1)*1.25)))*AV31*1),2)*BS31),2)*AU31)/100),2))</f>
        <v>136.19</v>
      </c>
      <c r="DB31">
        <v>7</v>
      </c>
      <c r="DC31" t="s">
        <v>3</v>
      </c>
      <c r="DD31" t="s">
        <v>23</v>
      </c>
      <c r="DE31" t="s">
        <v>24</v>
      </c>
      <c r="DF31" t="s">
        <v>24</v>
      </c>
      <c r="DG31" t="s">
        <v>25</v>
      </c>
      <c r="DH31" t="s">
        <v>3</v>
      </c>
      <c r="DI31" t="s">
        <v>25</v>
      </c>
      <c r="DJ31" t="s">
        <v>24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1010</v>
      </c>
      <c r="DV31" t="s">
        <v>21</v>
      </c>
      <c r="DW31" t="s">
        <v>21</v>
      </c>
      <c r="DX31">
        <v>100</v>
      </c>
      <c r="DZ31" t="s">
        <v>3</v>
      </c>
      <c r="EA31" t="s">
        <v>3</v>
      </c>
      <c r="EB31" t="s">
        <v>3</v>
      </c>
      <c r="EC31" t="s">
        <v>3</v>
      </c>
      <c r="EE31">
        <v>59298928</v>
      </c>
      <c r="EF31">
        <v>30</v>
      </c>
      <c r="EG31" t="s">
        <v>26</v>
      </c>
      <c r="EH31">
        <v>0</v>
      </c>
      <c r="EI31" t="s">
        <v>3</v>
      </c>
      <c r="EJ31">
        <v>1</v>
      </c>
      <c r="EK31">
        <v>22</v>
      </c>
      <c r="EL31" t="s">
        <v>27</v>
      </c>
      <c r="EM31" t="s">
        <v>28</v>
      </c>
      <c r="EO31" t="s">
        <v>29</v>
      </c>
      <c r="EQ31">
        <v>0</v>
      </c>
      <c r="ER31">
        <v>2306.6</v>
      </c>
      <c r="ES31">
        <v>2202.04</v>
      </c>
      <c r="ET31">
        <v>8.9700000000000006</v>
      </c>
      <c r="EU31">
        <v>1.01</v>
      </c>
      <c r="EV31">
        <v>95.59</v>
      </c>
      <c r="EW31">
        <v>8.58</v>
      </c>
      <c r="EX31">
        <v>0</v>
      </c>
      <c r="EY31">
        <v>0</v>
      </c>
      <c r="FQ31">
        <v>0</v>
      </c>
      <c r="FR31">
        <v>0</v>
      </c>
      <c r="FS31">
        <v>0</v>
      </c>
      <c r="FX31">
        <v>109</v>
      </c>
      <c r="FY31">
        <v>61</v>
      </c>
      <c r="GA31" t="s">
        <v>3</v>
      </c>
      <c r="GD31">
        <v>1</v>
      </c>
      <c r="GF31">
        <v>-488901103</v>
      </c>
      <c r="GG31">
        <v>2</v>
      </c>
      <c r="GH31">
        <v>1</v>
      </c>
      <c r="GI31">
        <v>2</v>
      </c>
      <c r="GJ31">
        <v>0</v>
      </c>
      <c r="GK31">
        <v>0</v>
      </c>
      <c r="GL31">
        <f t="shared" si="38"/>
        <v>0</v>
      </c>
      <c r="GM31">
        <f t="shared" si="39"/>
        <v>422.62</v>
      </c>
      <c r="GN31">
        <f t="shared" si="40"/>
        <v>422.62</v>
      </c>
      <c r="GO31">
        <f t="shared" si="41"/>
        <v>0</v>
      </c>
      <c r="GP31">
        <f t="shared" si="42"/>
        <v>0</v>
      </c>
      <c r="GR31">
        <v>0</v>
      </c>
      <c r="GS31">
        <v>3</v>
      </c>
      <c r="GT31">
        <v>0</v>
      </c>
      <c r="GU31" t="s">
        <v>3</v>
      </c>
      <c r="GV31">
        <f t="shared" si="43"/>
        <v>0</v>
      </c>
      <c r="GW31">
        <v>1</v>
      </c>
      <c r="GX31">
        <f t="shared" si="44"/>
        <v>0</v>
      </c>
      <c r="HA31">
        <v>0</v>
      </c>
      <c r="HB31">
        <v>0</v>
      </c>
      <c r="HC31">
        <f t="shared" si="45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/>
      <c r="D32" s="2">
        <f>ROW(EtalonRes!A4)</f>
        <v>4</v>
      </c>
      <c r="E32" s="2" t="s">
        <v>34</v>
      </c>
      <c r="F32" s="2" t="s">
        <v>35</v>
      </c>
      <c r="G32" s="2" t="s">
        <v>36</v>
      </c>
      <c r="H32" s="2" t="s">
        <v>37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11.05</v>
      </c>
      <c r="P32" s="2">
        <f t="shared" si="22"/>
        <v>0.32</v>
      </c>
      <c r="Q32" s="2">
        <f>(ROUND((ROUND(((((ET32*1.25)*1.1))*AV32*I32),2)*BB32),2)+ROUND((ROUND(((AE32-(((EU32*1.25)*1.1)))*AV32*I32),2)*BS32),2))</f>
        <v>0</v>
      </c>
      <c r="R32" s="2">
        <f>(ROUND((ROUND(((((EU32*1.25)*1.1))*AV32*I32),2)*BS32),2)+ROUND((ROUND(((AE32-(((EU32*1.25)*1.1)))*AV32*I32),2)*BS32),2))</f>
        <v>0</v>
      </c>
      <c r="S32" s="2">
        <f t="shared" si="23"/>
        <v>10.73</v>
      </c>
      <c r="T32" s="2">
        <f t="shared" si="24"/>
        <v>0</v>
      </c>
      <c r="U32" s="2">
        <f t="shared" si="25"/>
        <v>0.85034564999999984</v>
      </c>
      <c r="V32" s="2">
        <f t="shared" si="26"/>
        <v>0</v>
      </c>
      <c r="W32" s="2">
        <f t="shared" si="27"/>
        <v>0</v>
      </c>
      <c r="X32" s="2">
        <f>(ROUND((((S32+ROUND((ROUND(((((EU32*1.25)*1.1))*AV32*I32),2)*BS32),2))*AT32)/100),2)+ROUND(((ROUND((ROUND(((AE32-(((EU32*1.25)*1.1)))*AV32*I32),2)*BS32),2)*AT32)/100),2))</f>
        <v>11.7</v>
      </c>
      <c r="Y32" s="2">
        <f>(ROUND((((S32+ROUND((ROUND(((((EU32*1.25)*1.1))*AV32*I32),2)*BS32),2))*AU32)/100),2)+ROUND(((ROUND((ROUND(((AE32-(((EU32*1.25)*1.1)))*AV32*I32),2)*BS32),2)*AU32)/100),2))</f>
        <v>6.55</v>
      </c>
      <c r="Z32" s="2"/>
      <c r="AA32" s="2">
        <v>59499218</v>
      </c>
      <c r="AB32" s="2">
        <f t="shared" si="28"/>
        <v>10.376749999999999</v>
      </c>
      <c r="AC32" s="2">
        <f>ROUND((ES32),6)</f>
        <v>0.32</v>
      </c>
      <c r="AD32" s="2">
        <f>ROUND((((((ET32*1.25)*1.1))-(((EU32*1.25)*1.1)))+AE32),6)</f>
        <v>0</v>
      </c>
      <c r="AE32" s="2">
        <f>ROUND((((EU32*1.25)*1.1)),6)</f>
        <v>0</v>
      </c>
      <c r="AF32" s="2">
        <f>ROUND((((EV32*1.15)*1.1)),6)</f>
        <v>10.056749999999999</v>
      </c>
      <c r="AG32" s="2">
        <f t="shared" si="29"/>
        <v>0</v>
      </c>
      <c r="AH32" s="2">
        <f>(((EW32*1.15)*1.1))</f>
        <v>0.79694999999999994</v>
      </c>
      <c r="AI32" s="2">
        <f>(((EX32*1.25)*1.1))</f>
        <v>0</v>
      </c>
      <c r="AJ32" s="2">
        <f t="shared" si="30"/>
        <v>0</v>
      </c>
      <c r="AK32" s="2">
        <v>8.27</v>
      </c>
      <c r="AL32" s="2">
        <v>0.32</v>
      </c>
      <c r="AM32" s="2">
        <v>0</v>
      </c>
      <c r="AN32" s="2">
        <v>0</v>
      </c>
      <c r="AO32" s="2">
        <v>7.95</v>
      </c>
      <c r="AP32" s="2">
        <v>0</v>
      </c>
      <c r="AQ32" s="2">
        <v>0.63</v>
      </c>
      <c r="AR32" s="2">
        <v>0</v>
      </c>
      <c r="AS32" s="2">
        <v>0</v>
      </c>
      <c r="AT32" s="2">
        <v>109</v>
      </c>
      <c r="AU32" s="2">
        <v>61</v>
      </c>
      <c r="AV32" s="2">
        <v>1.0669999999999999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38</v>
      </c>
      <c r="BK32" s="2"/>
      <c r="BL32" s="2"/>
      <c r="BM32" s="2">
        <v>22</v>
      </c>
      <c r="BN32" s="2">
        <v>59298886</v>
      </c>
      <c r="BO32" s="2" t="s">
        <v>35</v>
      </c>
      <c r="BP32" s="2">
        <v>1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109</v>
      </c>
      <c r="CA32" s="2">
        <v>61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375</v>
      </c>
      <c r="CO32" s="2">
        <v>0</v>
      </c>
      <c r="CP32" s="2">
        <f t="shared" si="31"/>
        <v>11.05</v>
      </c>
      <c r="CQ32" s="2">
        <f t="shared" si="32"/>
        <v>0.32</v>
      </c>
      <c r="CR32" s="2">
        <f>(ROUND((ROUND(((((ET32*1.25)*1.1))*AV32*1),2)*BB32),2)+ROUND((ROUND(((AE32-(((EU32*1.25)*1.1)))*AV32*1),2)*BS32),2))</f>
        <v>0</v>
      </c>
      <c r="CS32" s="2">
        <f>(ROUND((ROUND(((((EU32*1.25)*1.1))*AV32*1),2)*BS32),2)+ROUND((ROUND(((AE32-(((EU32*1.25)*1.1)))*AV32*1),2)*BS32),2))</f>
        <v>0</v>
      </c>
      <c r="CT32" s="2">
        <f t="shared" si="33"/>
        <v>10.73</v>
      </c>
      <c r="CU32" s="2">
        <f t="shared" si="34"/>
        <v>0</v>
      </c>
      <c r="CV32" s="2">
        <f t="shared" si="35"/>
        <v>0.85034564999999984</v>
      </c>
      <c r="CW32" s="2">
        <f t="shared" si="36"/>
        <v>0</v>
      </c>
      <c r="CX32" s="2">
        <f t="shared" si="37"/>
        <v>0</v>
      </c>
      <c r="CY32" s="2">
        <f>(ROUND((((S32+ROUND((ROUND(((((EU32*1.25)*1.1))*AV32*1),2)*BS32),2))*AT32)/100),2)+ROUND(((ROUND((ROUND(((AE32-(((EU32*1.25)*1.1)))*AV32*1),2)*BS32),2)*AT32)/100),2))</f>
        <v>11.7</v>
      </c>
      <c r="CZ32" s="2">
        <f>(ROUND((((S32+ROUND((ROUND(((((EU32*1.25)*1.1))*AV32*1),2)*BS32),2))*AU32)/100),2)+ROUND(((ROUND((ROUND(((AE32-(((EU32*1.25)*1.1)))*AV32*1),2)*BS32),2)*AU32)/100),2))</f>
        <v>6.55</v>
      </c>
      <c r="DA32" s="2"/>
      <c r="DB32" s="2">
        <v>9</v>
      </c>
      <c r="DC32" s="2" t="s">
        <v>3</v>
      </c>
      <c r="DD32" s="2" t="s">
        <v>3</v>
      </c>
      <c r="DE32" s="2" t="s">
        <v>39</v>
      </c>
      <c r="DF32" s="2" t="s">
        <v>39</v>
      </c>
      <c r="DG32" s="2" t="s">
        <v>40</v>
      </c>
      <c r="DH32" s="2" t="s">
        <v>3</v>
      </c>
      <c r="DI32" s="2" t="s">
        <v>40</v>
      </c>
      <c r="DJ32" s="2" t="s">
        <v>39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37</v>
      </c>
      <c r="DW32" s="2" t="s">
        <v>37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59298928</v>
      </c>
      <c r="EF32" s="2">
        <v>30</v>
      </c>
      <c r="EG32" s="2" t="s">
        <v>26</v>
      </c>
      <c r="EH32" s="2">
        <v>0</v>
      </c>
      <c r="EI32" s="2" t="s">
        <v>3</v>
      </c>
      <c r="EJ32" s="2">
        <v>1</v>
      </c>
      <c r="EK32" s="2">
        <v>22</v>
      </c>
      <c r="EL32" s="2" t="s">
        <v>27</v>
      </c>
      <c r="EM32" s="2" t="s">
        <v>28</v>
      </c>
      <c r="EN32" s="2"/>
      <c r="EO32" s="2" t="s">
        <v>41</v>
      </c>
      <c r="EP32" s="2"/>
      <c r="EQ32" s="2">
        <v>0</v>
      </c>
      <c r="ER32" s="2">
        <v>8.27</v>
      </c>
      <c r="ES32" s="2">
        <v>0.32</v>
      </c>
      <c r="ET32" s="2">
        <v>0</v>
      </c>
      <c r="EU32" s="2">
        <v>0</v>
      </c>
      <c r="EV32" s="2">
        <v>7.95</v>
      </c>
      <c r="EW32" s="2">
        <v>0.63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109</v>
      </c>
      <c r="FY32" s="2">
        <v>61</v>
      </c>
      <c r="FZ32" s="2"/>
      <c r="GA32" s="2" t="s">
        <v>3</v>
      </c>
      <c r="GB32" s="2"/>
      <c r="GC32" s="2"/>
      <c r="GD32" s="2">
        <v>1</v>
      </c>
      <c r="GE32" s="2"/>
      <c r="GF32" s="2">
        <v>-1951833034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8"/>
        <v>0</v>
      </c>
      <c r="GM32" s="2">
        <f t="shared" si="39"/>
        <v>29.3</v>
      </c>
      <c r="GN32" s="2">
        <f t="shared" si="40"/>
        <v>29.3</v>
      </c>
      <c r="GO32" s="2">
        <f t="shared" si="41"/>
        <v>0</v>
      </c>
      <c r="GP32" s="2">
        <f t="shared" si="42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3"/>
        <v>0</v>
      </c>
      <c r="GW32" s="2">
        <v>1</v>
      </c>
      <c r="GX32" s="2">
        <f t="shared" si="44"/>
        <v>0</v>
      </c>
      <c r="GY32" s="2"/>
      <c r="GZ32" s="2"/>
      <c r="HA32" s="2">
        <v>0</v>
      </c>
      <c r="HB32" s="2">
        <v>0</v>
      </c>
      <c r="HC32" s="2">
        <f t="shared" si="45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D33">
        <f>ROW(EtalonRes!A8)</f>
        <v>8</v>
      </c>
      <c r="E33" t="s">
        <v>34</v>
      </c>
      <c r="F33" t="s">
        <v>35</v>
      </c>
      <c r="G33" t="s">
        <v>36</v>
      </c>
      <c r="H33" t="s">
        <v>37</v>
      </c>
      <c r="I33">
        <v>1</v>
      </c>
      <c r="J33">
        <v>0</v>
      </c>
      <c r="K33">
        <v>1</v>
      </c>
      <c r="O33">
        <f t="shared" si="21"/>
        <v>591.92999999999995</v>
      </c>
      <c r="P33">
        <f t="shared" si="22"/>
        <v>1.89</v>
      </c>
      <c r="Q33">
        <f>(ROUND((ROUND(((((ET33*1.25)*1.1))*AV33*I33),2)*BB33),2)+ROUND((ROUND(((AE33-(((EU33*1.25)*1.1)))*AV33*I33),2)*BS33),2))</f>
        <v>0</v>
      </c>
      <c r="R33">
        <f>(ROUND((ROUND(((((EU33*1.25)*1.1))*AV33*I33),2)*BS33),2)+ROUND((ROUND(((AE33-(((EU33*1.25)*1.1)))*AV33*I33),2)*BS33),2))</f>
        <v>0</v>
      </c>
      <c r="S33">
        <f t="shared" si="23"/>
        <v>590.04</v>
      </c>
      <c r="T33">
        <f t="shared" si="24"/>
        <v>0</v>
      </c>
      <c r="U33">
        <f t="shared" si="25"/>
        <v>0.85034564999999984</v>
      </c>
      <c r="V33">
        <f t="shared" si="26"/>
        <v>0</v>
      </c>
      <c r="W33">
        <f t="shared" si="27"/>
        <v>0</v>
      </c>
      <c r="X33">
        <f>(ROUND((((S33+ROUND((ROUND(((((EU33*1.25)*1.1))*AV33*I33),2)*BS33),2))*AT33)/100),2)+ROUND(((ROUND((ROUND(((AE33-(((EU33*1.25)*1.1)))*AV33*I33),2)*BS33),2)*AT33)/100),2))</f>
        <v>643.14</v>
      </c>
      <c r="Y33">
        <f>(ROUND((((S33+ROUND((ROUND(((((EU33*1.25)*1.1))*AV33*I33),2)*BS33),2))*AU33)/100),2)+ROUND(((ROUND((ROUND(((AE33-(((EU33*1.25)*1.1)))*AV33*I33),2)*BS33),2)*AU33)/100),2))</f>
        <v>359.92</v>
      </c>
      <c r="AA33">
        <v>59499215</v>
      </c>
      <c r="AB33">
        <f t="shared" si="28"/>
        <v>10.376749999999999</v>
      </c>
      <c r="AC33">
        <f>ROUND((ES33),6)</f>
        <v>0.32</v>
      </c>
      <c r="AD33">
        <f>ROUND((((((ET33*1.25)*1.1))-(((EU33*1.25)*1.1)))+AE33),6)</f>
        <v>0</v>
      </c>
      <c r="AE33">
        <f>ROUND((((EU33*1.25)*1.1)),6)</f>
        <v>0</v>
      </c>
      <c r="AF33">
        <f>ROUND((((EV33*1.15)*1.1)),6)</f>
        <v>10.056749999999999</v>
      </c>
      <c r="AG33">
        <f t="shared" si="29"/>
        <v>0</v>
      </c>
      <c r="AH33">
        <f>(((EW33*1.15)*1.1))</f>
        <v>0.79694999999999994</v>
      </c>
      <c r="AI33">
        <f>(((EX33*1.25)*1.1))</f>
        <v>0</v>
      </c>
      <c r="AJ33">
        <f t="shared" si="30"/>
        <v>0</v>
      </c>
      <c r="AK33">
        <v>8.27</v>
      </c>
      <c r="AL33">
        <v>0.32</v>
      </c>
      <c r="AM33">
        <v>0</v>
      </c>
      <c r="AN33">
        <v>0</v>
      </c>
      <c r="AO33">
        <v>7.95</v>
      </c>
      <c r="AP33">
        <v>0</v>
      </c>
      <c r="AQ33">
        <v>0.63</v>
      </c>
      <c r="AR33">
        <v>0</v>
      </c>
      <c r="AS33">
        <v>0</v>
      </c>
      <c r="AT33">
        <v>109</v>
      </c>
      <c r="AU33">
        <v>61</v>
      </c>
      <c r="AV33">
        <v>1.0669999999999999</v>
      </c>
      <c r="AW33">
        <v>1</v>
      </c>
      <c r="AZ33">
        <v>1</v>
      </c>
      <c r="BA33">
        <v>54.99</v>
      </c>
      <c r="BB33">
        <v>1</v>
      </c>
      <c r="BC33">
        <v>5.91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1</v>
      </c>
      <c r="BJ33" t="s">
        <v>38</v>
      </c>
      <c r="BM33">
        <v>22</v>
      </c>
      <c r="BN33">
        <v>59298886</v>
      </c>
      <c r="BO33" t="s">
        <v>35</v>
      </c>
      <c r="BP33">
        <v>1</v>
      </c>
      <c r="BQ33">
        <v>30</v>
      </c>
      <c r="BR33">
        <v>0</v>
      </c>
      <c r="BS33">
        <v>54.99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109</v>
      </c>
      <c r="CA33">
        <v>61</v>
      </c>
      <c r="CB33" t="s">
        <v>3</v>
      </c>
      <c r="CE33">
        <v>1566</v>
      </c>
      <c r="CF33">
        <v>0</v>
      </c>
      <c r="CG33">
        <v>0</v>
      </c>
      <c r="CM33">
        <v>0</v>
      </c>
      <c r="CN33" t="s">
        <v>375</v>
      </c>
      <c r="CO33">
        <v>0</v>
      </c>
      <c r="CP33">
        <f t="shared" si="31"/>
        <v>591.92999999999995</v>
      </c>
      <c r="CQ33">
        <f t="shared" si="32"/>
        <v>1.89</v>
      </c>
      <c r="CR33">
        <f>(ROUND((ROUND(((((ET33*1.25)*1.1))*AV33*1),2)*BB33),2)+ROUND((ROUND(((AE33-(((EU33*1.25)*1.1)))*AV33*1),2)*BS33),2))</f>
        <v>0</v>
      </c>
      <c r="CS33">
        <f>(ROUND((ROUND(((((EU33*1.25)*1.1))*AV33*1),2)*BS33),2)+ROUND((ROUND(((AE33-(((EU33*1.25)*1.1)))*AV33*1),2)*BS33),2))</f>
        <v>0</v>
      </c>
      <c r="CT33">
        <f t="shared" si="33"/>
        <v>590.04</v>
      </c>
      <c r="CU33">
        <f t="shared" si="34"/>
        <v>0</v>
      </c>
      <c r="CV33">
        <f t="shared" si="35"/>
        <v>0.85034564999999984</v>
      </c>
      <c r="CW33">
        <f t="shared" si="36"/>
        <v>0</v>
      </c>
      <c r="CX33">
        <f t="shared" si="37"/>
        <v>0</v>
      </c>
      <c r="CY33">
        <f>(ROUND((((S33+ROUND((ROUND(((((EU33*1.25)*1.1))*AV33*1),2)*BS33),2))*AT33)/100),2)+ROUND(((ROUND((ROUND(((AE33-(((EU33*1.25)*1.1)))*AV33*1),2)*BS33),2)*AT33)/100),2))</f>
        <v>643.14</v>
      </c>
      <c r="CZ33">
        <f>(ROUND((((S33+ROUND((ROUND(((((EU33*1.25)*1.1))*AV33*1),2)*BS33),2))*AU33)/100),2)+ROUND(((ROUND((ROUND(((AE33-(((EU33*1.25)*1.1)))*AV33*1),2)*BS33),2)*AU33)/100),2))</f>
        <v>359.92</v>
      </c>
      <c r="DB33">
        <v>11</v>
      </c>
      <c r="DC33" t="s">
        <v>3</v>
      </c>
      <c r="DD33" t="s">
        <v>3</v>
      </c>
      <c r="DE33" t="s">
        <v>39</v>
      </c>
      <c r="DF33" t="s">
        <v>39</v>
      </c>
      <c r="DG33" t="s">
        <v>40</v>
      </c>
      <c r="DH33" t="s">
        <v>3</v>
      </c>
      <c r="DI33" t="s">
        <v>40</v>
      </c>
      <c r="DJ33" t="s">
        <v>39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1013</v>
      </c>
      <c r="DV33" t="s">
        <v>37</v>
      </c>
      <c r="DW33" t="s">
        <v>37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59298928</v>
      </c>
      <c r="EF33">
        <v>30</v>
      </c>
      <c r="EG33" t="s">
        <v>26</v>
      </c>
      <c r="EH33">
        <v>0</v>
      </c>
      <c r="EI33" t="s">
        <v>3</v>
      </c>
      <c r="EJ33">
        <v>1</v>
      </c>
      <c r="EK33">
        <v>22</v>
      </c>
      <c r="EL33" t="s">
        <v>27</v>
      </c>
      <c r="EM33" t="s">
        <v>28</v>
      </c>
      <c r="EO33" t="s">
        <v>41</v>
      </c>
      <c r="EQ33">
        <v>0</v>
      </c>
      <c r="ER33">
        <v>8.27</v>
      </c>
      <c r="ES33">
        <v>0.32</v>
      </c>
      <c r="ET33">
        <v>0</v>
      </c>
      <c r="EU33">
        <v>0</v>
      </c>
      <c r="EV33">
        <v>7.95</v>
      </c>
      <c r="EW33">
        <v>0.63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109</v>
      </c>
      <c r="FY33">
        <v>61</v>
      </c>
      <c r="GA33" t="s">
        <v>3</v>
      </c>
      <c r="GD33">
        <v>1</v>
      </c>
      <c r="GF33">
        <v>-1951833034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38"/>
        <v>0</v>
      </c>
      <c r="GM33">
        <f t="shared" si="39"/>
        <v>1594.99</v>
      </c>
      <c r="GN33">
        <f t="shared" si="40"/>
        <v>1594.99</v>
      </c>
      <c r="GO33">
        <f t="shared" si="41"/>
        <v>0</v>
      </c>
      <c r="GP33">
        <f t="shared" si="42"/>
        <v>0</v>
      </c>
      <c r="GR33">
        <v>0</v>
      </c>
      <c r="GS33">
        <v>3</v>
      </c>
      <c r="GT33">
        <v>0</v>
      </c>
      <c r="GU33" t="s">
        <v>3</v>
      </c>
      <c r="GV33">
        <f t="shared" si="43"/>
        <v>0</v>
      </c>
      <c r="GW33">
        <v>1</v>
      </c>
      <c r="GX33">
        <f t="shared" si="44"/>
        <v>0</v>
      </c>
      <c r="HA33">
        <v>0</v>
      </c>
      <c r="HB33">
        <v>0</v>
      </c>
      <c r="HC33">
        <f t="shared" si="45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17</v>
      </c>
      <c r="B34" s="2">
        <v>1</v>
      </c>
      <c r="C34" s="2"/>
      <c r="D34" s="2"/>
      <c r="E34" s="2" t="s">
        <v>42</v>
      </c>
      <c r="F34" s="2" t="s">
        <v>31</v>
      </c>
      <c r="G34" s="2" t="s">
        <v>43</v>
      </c>
      <c r="H34" s="2" t="s">
        <v>21</v>
      </c>
      <c r="I34" s="2">
        <f>ROUND(3/100,9)</f>
        <v>0.03</v>
      </c>
      <c r="J34" s="2">
        <v>0</v>
      </c>
      <c r="K34" s="2">
        <f>ROUND(3/100,9)</f>
        <v>0.03</v>
      </c>
      <c r="L34" s="2"/>
      <c r="M34" s="2"/>
      <c r="N34" s="2"/>
      <c r="O34" s="2">
        <f t="shared" si="21"/>
        <v>70.319999999999993</v>
      </c>
      <c r="P34" s="2">
        <f t="shared" si="22"/>
        <v>66.06</v>
      </c>
      <c r="Q34" s="2">
        <f>(ROUND((ROUND(((((ET34*1.1)*1.25))*AV34*I34),2)*BB34),2)+ROUND((ROUND(((AE34-(((EU34*1.1)*1.25)))*AV34*I34),2)*BS34),2))</f>
        <v>0.39</v>
      </c>
      <c r="R34" s="2">
        <f>(ROUND((ROUND(((((EU34*1.1)*1.25))*AV34*I34),2)*BS34),2)+ROUND((ROUND(((AE34-(((EU34*1.1)*1.25)))*AV34*I34),2)*BS34),2))</f>
        <v>0.04</v>
      </c>
      <c r="S34" s="2">
        <f t="shared" si="23"/>
        <v>3.87</v>
      </c>
      <c r="T34" s="2">
        <f t="shared" si="24"/>
        <v>0</v>
      </c>
      <c r="U34" s="2">
        <f t="shared" si="25"/>
        <v>0.34742693699999999</v>
      </c>
      <c r="V34" s="2">
        <f t="shared" si="26"/>
        <v>0</v>
      </c>
      <c r="W34" s="2">
        <f t="shared" si="27"/>
        <v>0</v>
      </c>
      <c r="X34" s="2">
        <f>(ROUND((((S34+ROUND((ROUND(((((EU34*1.1)*1.25))*AV34*I34),2)*BS34),2))*AT34)/100),2)+ROUND(((ROUND((ROUND(((AE34-(((EU34*1.1)*1.25)))*AV34*I34),2)*BS34),2)*AT34)/100),2))</f>
        <v>4.26</v>
      </c>
      <c r="Y34" s="2">
        <f>(ROUND((((S34+ROUND((ROUND(((((EU34*1.1)*1.25))*AV34*I34),2)*BS34),2))*AU34)/100),2)+ROUND(((ROUND((ROUND(((AE34-(((EU34*1.1)*1.25)))*AV34*I34),2)*BS34),2)*AU34)/100),2))</f>
        <v>2.39</v>
      </c>
      <c r="Z34" s="2"/>
      <c r="AA34" s="2">
        <v>59499218</v>
      </c>
      <c r="AB34" s="2">
        <f t="shared" si="28"/>
        <v>2335.2950999999998</v>
      </c>
      <c r="AC34" s="2">
        <f>ROUND((((ES34*1)*1)),6)</f>
        <v>2202.04</v>
      </c>
      <c r="AD34" s="2">
        <f>ROUND((((((ET34*1.1)*1.25))-(((EU34*1.1)*1.25)))+AE34),6)</f>
        <v>12.33375</v>
      </c>
      <c r="AE34" s="2">
        <f>ROUND((((EU34*1.1)*1.25)),6)</f>
        <v>1.3887499999999999</v>
      </c>
      <c r="AF34" s="2">
        <f>ROUND((((EV34*1.1)*1.15)),6)</f>
        <v>120.92135</v>
      </c>
      <c r="AG34" s="2">
        <f t="shared" si="29"/>
        <v>0</v>
      </c>
      <c r="AH34" s="2">
        <f>(((EW34*1.1)*1.15))</f>
        <v>10.8537</v>
      </c>
      <c r="AI34" s="2">
        <f>(((EX34*1.1)*1.25))</f>
        <v>0</v>
      </c>
      <c r="AJ34" s="2">
        <f t="shared" si="30"/>
        <v>0</v>
      </c>
      <c r="AK34" s="2">
        <v>2306.6</v>
      </c>
      <c r="AL34" s="2">
        <v>2202.04</v>
      </c>
      <c r="AM34" s="2">
        <v>8.9700000000000006</v>
      </c>
      <c r="AN34" s="2">
        <v>1.01</v>
      </c>
      <c r="AO34" s="2">
        <v>95.59</v>
      </c>
      <c r="AP34" s="2">
        <v>0</v>
      </c>
      <c r="AQ34" s="2">
        <v>8.58</v>
      </c>
      <c r="AR34" s="2">
        <v>0</v>
      </c>
      <c r="AS34" s="2">
        <v>0</v>
      </c>
      <c r="AT34" s="2">
        <v>109</v>
      </c>
      <c r="AU34" s="2">
        <v>61</v>
      </c>
      <c r="AV34" s="2">
        <v>1.0669999999999999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33</v>
      </c>
      <c r="BK34" s="2"/>
      <c r="BL34" s="2"/>
      <c r="BM34" s="2">
        <v>22</v>
      </c>
      <c r="BN34" s="2">
        <v>0</v>
      </c>
      <c r="BO34" s="2" t="s">
        <v>31</v>
      </c>
      <c r="BP34" s="2">
        <v>1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109</v>
      </c>
      <c r="CA34" s="2">
        <v>61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373</v>
      </c>
      <c r="CO34" s="2">
        <v>0</v>
      </c>
      <c r="CP34" s="2">
        <f t="shared" si="31"/>
        <v>70.320000000000007</v>
      </c>
      <c r="CQ34" s="2">
        <f t="shared" si="32"/>
        <v>2202.04</v>
      </c>
      <c r="CR34" s="2">
        <f>(ROUND((ROUND(((((ET34*1.1)*1.25))*AV34*1),2)*BB34),2)+ROUND((ROUND(((AE34-(((EU34*1.1)*1.25)))*AV34*1),2)*BS34),2))</f>
        <v>13.16</v>
      </c>
      <c r="CS34" s="2">
        <f>(ROUND((ROUND(((((EU34*1.1)*1.25))*AV34*1),2)*BS34),2)+ROUND((ROUND(((AE34-(((EU34*1.1)*1.25)))*AV34*1),2)*BS34),2))</f>
        <v>1.48</v>
      </c>
      <c r="CT34" s="2">
        <f t="shared" si="33"/>
        <v>129.02000000000001</v>
      </c>
      <c r="CU34" s="2">
        <f t="shared" si="34"/>
        <v>0</v>
      </c>
      <c r="CV34" s="2">
        <f t="shared" si="35"/>
        <v>11.5808979</v>
      </c>
      <c r="CW34" s="2">
        <f t="shared" si="36"/>
        <v>0</v>
      </c>
      <c r="CX34" s="2">
        <f t="shared" si="37"/>
        <v>0</v>
      </c>
      <c r="CY34" s="2">
        <f>(ROUND((((S34+ROUND((ROUND(((((EU34*1.1)*1.25))*AV34*1),2)*BS34),2))*AT34)/100),2)+ROUND(((ROUND((ROUND(((AE34-(((EU34*1.1)*1.25)))*AV34*1),2)*BS34),2)*AT34)/100),2))</f>
        <v>5.83</v>
      </c>
      <c r="CZ34" s="2">
        <f>(ROUND((((S34+ROUND((ROUND(((((EU34*1.1)*1.25))*AV34*1),2)*BS34),2))*AU34)/100),2)+ROUND(((ROUND((ROUND(((AE34-(((EU34*1.1)*1.25)))*AV34*1),2)*BS34),2)*AU34)/100),2))</f>
        <v>3.26</v>
      </c>
      <c r="DA34" s="2"/>
      <c r="DB34" s="2">
        <v>13</v>
      </c>
      <c r="DC34" s="2" t="s">
        <v>3</v>
      </c>
      <c r="DD34" s="2" t="s">
        <v>23</v>
      </c>
      <c r="DE34" s="2" t="s">
        <v>24</v>
      </c>
      <c r="DF34" s="2" t="s">
        <v>24</v>
      </c>
      <c r="DG34" s="2" t="s">
        <v>25</v>
      </c>
      <c r="DH34" s="2" t="s">
        <v>3</v>
      </c>
      <c r="DI34" s="2" t="s">
        <v>25</v>
      </c>
      <c r="DJ34" s="2" t="s">
        <v>24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1010</v>
      </c>
      <c r="DV34" s="2" t="s">
        <v>21</v>
      </c>
      <c r="DW34" s="2" t="s">
        <v>21</v>
      </c>
      <c r="DX34" s="2">
        <v>100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59298928</v>
      </c>
      <c r="EF34" s="2">
        <v>30</v>
      </c>
      <c r="EG34" s="2" t="s">
        <v>26</v>
      </c>
      <c r="EH34" s="2">
        <v>0</v>
      </c>
      <c r="EI34" s="2" t="s">
        <v>3</v>
      </c>
      <c r="EJ34" s="2">
        <v>1</v>
      </c>
      <c r="EK34" s="2">
        <v>22</v>
      </c>
      <c r="EL34" s="2" t="s">
        <v>27</v>
      </c>
      <c r="EM34" s="2" t="s">
        <v>28</v>
      </c>
      <c r="EN34" s="2"/>
      <c r="EO34" s="2" t="s">
        <v>29</v>
      </c>
      <c r="EP34" s="2"/>
      <c r="EQ34" s="2">
        <v>0</v>
      </c>
      <c r="ER34" s="2">
        <v>2306.6</v>
      </c>
      <c r="ES34" s="2">
        <v>2202.04</v>
      </c>
      <c r="ET34" s="2">
        <v>8.9700000000000006</v>
      </c>
      <c r="EU34" s="2">
        <v>1.01</v>
      </c>
      <c r="EV34" s="2">
        <v>95.59</v>
      </c>
      <c r="EW34" s="2">
        <v>8.58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109</v>
      </c>
      <c r="FY34" s="2">
        <v>61</v>
      </c>
      <c r="FZ34" s="2"/>
      <c r="GA34" s="2" t="s">
        <v>3</v>
      </c>
      <c r="GB34" s="2"/>
      <c r="GC34" s="2"/>
      <c r="GD34" s="2">
        <v>1</v>
      </c>
      <c r="GE34" s="2"/>
      <c r="GF34" s="2">
        <v>486003536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38"/>
        <v>0</v>
      </c>
      <c r="GM34" s="2">
        <f t="shared" si="39"/>
        <v>76.97</v>
      </c>
      <c r="GN34" s="2">
        <f t="shared" si="40"/>
        <v>76.97</v>
      </c>
      <c r="GO34" s="2">
        <f t="shared" si="41"/>
        <v>0</v>
      </c>
      <c r="GP34" s="2">
        <f t="shared" si="42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3"/>
        <v>0</v>
      </c>
      <c r="GW34" s="2">
        <v>1</v>
      </c>
      <c r="GX34" s="2">
        <f t="shared" si="44"/>
        <v>0</v>
      </c>
      <c r="GY34" s="2"/>
      <c r="GZ34" s="2"/>
      <c r="HA34" s="2">
        <v>0</v>
      </c>
      <c r="HB34" s="2">
        <v>0</v>
      </c>
      <c r="HC34" s="2">
        <f t="shared" si="45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17</v>
      </c>
      <c r="B35">
        <v>1</v>
      </c>
      <c r="E35" t="s">
        <v>42</v>
      </c>
      <c r="F35" t="s">
        <v>31</v>
      </c>
      <c r="G35" t="s">
        <v>43</v>
      </c>
      <c r="H35" t="s">
        <v>21</v>
      </c>
      <c r="I35">
        <f>ROUND(3/100,9)</f>
        <v>0.03</v>
      </c>
      <c r="J35">
        <v>0</v>
      </c>
      <c r="K35">
        <f>ROUND(3/100,9)</f>
        <v>0.03</v>
      </c>
      <c r="O35">
        <f t="shared" si="21"/>
        <v>267.95</v>
      </c>
      <c r="P35">
        <f t="shared" si="22"/>
        <v>49.55</v>
      </c>
      <c r="Q35">
        <f>(ROUND((ROUND(((((ET35*1.1)*1.25))*AV35*I35),2)*BB35),2)+ROUND((ROUND(((AE35-(((EU35*1.1)*1.25)))*AV35*I35),2)*BS35),2))</f>
        <v>5.59</v>
      </c>
      <c r="R35">
        <f>(ROUND((ROUND(((((EU35*1.1)*1.25))*AV35*I35),2)*BS35),2)+ROUND((ROUND(((AE35-(((EU35*1.1)*1.25)))*AV35*I35),2)*BS35),2))</f>
        <v>2.2000000000000002</v>
      </c>
      <c r="S35">
        <f t="shared" si="23"/>
        <v>212.81</v>
      </c>
      <c r="T35">
        <f t="shared" si="24"/>
        <v>0</v>
      </c>
      <c r="U35">
        <f t="shared" si="25"/>
        <v>0.34742693699999999</v>
      </c>
      <c r="V35">
        <f t="shared" si="26"/>
        <v>0</v>
      </c>
      <c r="W35">
        <f t="shared" si="27"/>
        <v>0</v>
      </c>
      <c r="X35">
        <f>(ROUND((((S35+ROUND((ROUND(((((EU35*1.1)*1.25))*AV35*I35),2)*BS35),2))*AT35)/100),2)+ROUND(((ROUND((ROUND(((AE35-(((EU35*1.1)*1.25)))*AV35*I35),2)*BS35),2)*AT35)/100),2))</f>
        <v>234.36</v>
      </c>
      <c r="Y35">
        <f>(ROUND((((S35+ROUND((ROUND(((((EU35*1.1)*1.25))*AV35*I35),2)*BS35),2))*AU35)/100),2)+ROUND(((ROUND((ROUND(((AE35-(((EU35*1.1)*1.25)))*AV35*I35),2)*BS35),2)*AU35)/100),2))</f>
        <v>131.16</v>
      </c>
      <c r="AA35">
        <v>59499215</v>
      </c>
      <c r="AB35">
        <f t="shared" si="28"/>
        <v>2335.2950999999998</v>
      </c>
      <c r="AC35">
        <f>ROUND((((ES35*1)*1)),6)</f>
        <v>2202.04</v>
      </c>
      <c r="AD35">
        <f>ROUND((((((ET35*1.1)*1.25))-(((EU35*1.1)*1.25)))+AE35),6)</f>
        <v>12.33375</v>
      </c>
      <c r="AE35">
        <f>ROUND((((EU35*1.1)*1.25)),6)</f>
        <v>1.3887499999999999</v>
      </c>
      <c r="AF35">
        <f>ROUND((((EV35*1.1)*1.15)),6)</f>
        <v>120.92135</v>
      </c>
      <c r="AG35">
        <f t="shared" si="29"/>
        <v>0</v>
      </c>
      <c r="AH35">
        <f>(((EW35*1.1)*1.15))</f>
        <v>10.8537</v>
      </c>
      <c r="AI35">
        <f>(((EX35*1.1)*1.25))</f>
        <v>0</v>
      </c>
      <c r="AJ35">
        <f t="shared" si="30"/>
        <v>0</v>
      </c>
      <c r="AK35">
        <v>2306.6</v>
      </c>
      <c r="AL35">
        <v>2202.04</v>
      </c>
      <c r="AM35">
        <v>8.9700000000000006</v>
      </c>
      <c r="AN35">
        <v>1.01</v>
      </c>
      <c r="AO35">
        <v>95.59</v>
      </c>
      <c r="AP35">
        <v>0</v>
      </c>
      <c r="AQ35">
        <v>8.58</v>
      </c>
      <c r="AR35">
        <v>0</v>
      </c>
      <c r="AS35">
        <v>0</v>
      </c>
      <c r="AT35">
        <v>109</v>
      </c>
      <c r="AU35">
        <v>61</v>
      </c>
      <c r="AV35">
        <v>1.0669999999999999</v>
      </c>
      <c r="AW35">
        <v>1</v>
      </c>
      <c r="AZ35">
        <v>1</v>
      </c>
      <c r="BA35">
        <v>54.99</v>
      </c>
      <c r="BB35">
        <v>14.34</v>
      </c>
      <c r="BC35">
        <v>0.75</v>
      </c>
      <c r="BD35" t="s">
        <v>3</v>
      </c>
      <c r="BE35" t="s">
        <v>3</v>
      </c>
      <c r="BF35" t="s">
        <v>3</v>
      </c>
      <c r="BG35" t="s">
        <v>3</v>
      </c>
      <c r="BH35">
        <v>0</v>
      </c>
      <c r="BI35">
        <v>1</v>
      </c>
      <c r="BJ35" t="s">
        <v>33</v>
      </c>
      <c r="BM35">
        <v>22</v>
      </c>
      <c r="BN35">
        <v>0</v>
      </c>
      <c r="BO35" t="s">
        <v>31</v>
      </c>
      <c r="BP35">
        <v>1</v>
      </c>
      <c r="BQ35">
        <v>30</v>
      </c>
      <c r="BR35">
        <v>0</v>
      </c>
      <c r="BS35">
        <v>54.99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109</v>
      </c>
      <c r="CA35">
        <v>61</v>
      </c>
      <c r="CB35" t="s">
        <v>3</v>
      </c>
      <c r="CE35">
        <v>1566</v>
      </c>
      <c r="CF35">
        <v>0</v>
      </c>
      <c r="CG35">
        <v>0</v>
      </c>
      <c r="CM35">
        <v>0</v>
      </c>
      <c r="CN35" t="s">
        <v>373</v>
      </c>
      <c r="CO35">
        <v>0</v>
      </c>
      <c r="CP35">
        <f t="shared" si="31"/>
        <v>267.95</v>
      </c>
      <c r="CQ35">
        <f t="shared" si="32"/>
        <v>1651.53</v>
      </c>
      <c r="CR35">
        <f>(ROUND((ROUND(((((ET35*1.1)*1.25))*AV35*1),2)*BB35),2)+ROUND((ROUND(((AE35-(((EU35*1.1)*1.25)))*AV35*1),2)*BS35),2))</f>
        <v>188.71</v>
      </c>
      <c r="CS35">
        <f>(ROUND((ROUND(((((EU35*1.1)*1.25))*AV35*1),2)*BS35),2)+ROUND((ROUND(((AE35-(((EU35*1.1)*1.25)))*AV35*1),2)*BS35),2))</f>
        <v>81.39</v>
      </c>
      <c r="CT35">
        <f t="shared" si="33"/>
        <v>7094.81</v>
      </c>
      <c r="CU35">
        <f t="shared" si="34"/>
        <v>0</v>
      </c>
      <c r="CV35">
        <f t="shared" si="35"/>
        <v>11.5808979</v>
      </c>
      <c r="CW35">
        <f t="shared" si="36"/>
        <v>0</v>
      </c>
      <c r="CX35">
        <f t="shared" si="37"/>
        <v>0</v>
      </c>
      <c r="CY35">
        <f>(ROUND((((S35+ROUND((ROUND(((((EU35*1.1)*1.25))*AV35*1),2)*BS35),2))*AT35)/100),2)+ROUND(((ROUND((ROUND(((AE35-(((EU35*1.1)*1.25)))*AV35*1),2)*BS35),2)*AT35)/100),2))</f>
        <v>320.68</v>
      </c>
      <c r="CZ35">
        <f>(ROUND((((S35+ROUND((ROUND(((((EU35*1.1)*1.25))*AV35*1),2)*BS35),2))*AU35)/100),2)+ROUND(((ROUND((ROUND(((AE35-(((EU35*1.1)*1.25)))*AV35*1),2)*BS35),2)*AU35)/100),2))</f>
        <v>179.46</v>
      </c>
      <c r="DB35">
        <v>15</v>
      </c>
      <c r="DC35" t="s">
        <v>3</v>
      </c>
      <c r="DD35" t="s">
        <v>23</v>
      </c>
      <c r="DE35" t="s">
        <v>24</v>
      </c>
      <c r="DF35" t="s">
        <v>24</v>
      </c>
      <c r="DG35" t="s">
        <v>25</v>
      </c>
      <c r="DH35" t="s">
        <v>3</v>
      </c>
      <c r="DI35" t="s">
        <v>25</v>
      </c>
      <c r="DJ35" t="s">
        <v>24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1010</v>
      </c>
      <c r="DV35" t="s">
        <v>21</v>
      </c>
      <c r="DW35" t="s">
        <v>21</v>
      </c>
      <c r="DX35">
        <v>100</v>
      </c>
      <c r="DZ35" t="s">
        <v>3</v>
      </c>
      <c r="EA35" t="s">
        <v>3</v>
      </c>
      <c r="EB35" t="s">
        <v>3</v>
      </c>
      <c r="EC35" t="s">
        <v>3</v>
      </c>
      <c r="EE35">
        <v>59298928</v>
      </c>
      <c r="EF35">
        <v>30</v>
      </c>
      <c r="EG35" t="s">
        <v>26</v>
      </c>
      <c r="EH35">
        <v>0</v>
      </c>
      <c r="EI35" t="s">
        <v>3</v>
      </c>
      <c r="EJ35">
        <v>1</v>
      </c>
      <c r="EK35">
        <v>22</v>
      </c>
      <c r="EL35" t="s">
        <v>27</v>
      </c>
      <c r="EM35" t="s">
        <v>28</v>
      </c>
      <c r="EO35" t="s">
        <v>29</v>
      </c>
      <c r="EQ35">
        <v>0</v>
      </c>
      <c r="ER35">
        <v>2306.6</v>
      </c>
      <c r="ES35">
        <v>2202.04</v>
      </c>
      <c r="ET35">
        <v>8.9700000000000006</v>
      </c>
      <c r="EU35">
        <v>1.01</v>
      </c>
      <c r="EV35">
        <v>95.59</v>
      </c>
      <c r="EW35">
        <v>8.58</v>
      </c>
      <c r="EX35">
        <v>0</v>
      </c>
      <c r="EY35">
        <v>0</v>
      </c>
      <c r="FQ35">
        <v>0</v>
      </c>
      <c r="FR35">
        <v>0</v>
      </c>
      <c r="FS35">
        <v>0</v>
      </c>
      <c r="FX35">
        <v>109</v>
      </c>
      <c r="FY35">
        <v>61</v>
      </c>
      <c r="GA35" t="s">
        <v>3</v>
      </c>
      <c r="GD35">
        <v>1</v>
      </c>
      <c r="GF35">
        <v>486003536</v>
      </c>
      <c r="GG35">
        <v>2</v>
      </c>
      <c r="GH35">
        <v>1</v>
      </c>
      <c r="GI35">
        <v>2</v>
      </c>
      <c r="GJ35">
        <v>0</v>
      </c>
      <c r="GK35">
        <v>0</v>
      </c>
      <c r="GL35">
        <f t="shared" si="38"/>
        <v>0</v>
      </c>
      <c r="GM35">
        <f t="shared" si="39"/>
        <v>633.47</v>
      </c>
      <c r="GN35">
        <f t="shared" si="40"/>
        <v>633.47</v>
      </c>
      <c r="GO35">
        <f t="shared" si="41"/>
        <v>0</v>
      </c>
      <c r="GP35">
        <f t="shared" si="42"/>
        <v>0</v>
      </c>
      <c r="GR35">
        <v>0</v>
      </c>
      <c r="GS35">
        <v>3</v>
      </c>
      <c r="GT35">
        <v>0</v>
      </c>
      <c r="GU35" t="s">
        <v>3</v>
      </c>
      <c r="GV35">
        <f t="shared" si="43"/>
        <v>0</v>
      </c>
      <c r="GW35">
        <v>1</v>
      </c>
      <c r="GX35">
        <f t="shared" si="44"/>
        <v>0</v>
      </c>
      <c r="HA35">
        <v>0</v>
      </c>
      <c r="HB35">
        <v>0</v>
      </c>
      <c r="HC35">
        <f t="shared" si="45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/>
      <c r="D36" s="2"/>
      <c r="E36" s="2" t="s">
        <v>44</v>
      </c>
      <c r="F36" s="2" t="s">
        <v>31</v>
      </c>
      <c r="G36" s="2" t="s">
        <v>45</v>
      </c>
      <c r="H36" s="2" t="s">
        <v>21</v>
      </c>
      <c r="I36" s="2">
        <f>ROUND(1/100,9)</f>
        <v>0.01</v>
      </c>
      <c r="J36" s="2">
        <v>0</v>
      </c>
      <c r="K36" s="2">
        <f>ROUND(1/100,9)</f>
        <v>0.01</v>
      </c>
      <c r="L36" s="2"/>
      <c r="M36" s="2"/>
      <c r="N36" s="2"/>
      <c r="O36" s="2">
        <f t="shared" si="21"/>
        <v>23.44</v>
      </c>
      <c r="P36" s="2">
        <f t="shared" si="22"/>
        <v>22.02</v>
      </c>
      <c r="Q36" s="2">
        <f>(ROUND((ROUND(((((ET36*1.1)*1.25))*AV36*I36),2)*BB36),2)+ROUND((ROUND(((AE36-(((EU36*1.1)*1.25)))*AV36*I36),2)*BS36),2))</f>
        <v>0.13</v>
      </c>
      <c r="R36" s="2">
        <f>(ROUND((ROUND(((((EU36*1.1)*1.25))*AV36*I36),2)*BS36),2)+ROUND((ROUND(((AE36-(((EU36*1.1)*1.25)))*AV36*I36),2)*BS36),2))</f>
        <v>0.01</v>
      </c>
      <c r="S36" s="2">
        <f t="shared" si="23"/>
        <v>1.29</v>
      </c>
      <c r="T36" s="2">
        <f t="shared" si="24"/>
        <v>0</v>
      </c>
      <c r="U36" s="2">
        <f t="shared" si="25"/>
        <v>0.11580897900000001</v>
      </c>
      <c r="V36" s="2">
        <f t="shared" si="26"/>
        <v>0</v>
      </c>
      <c r="W36" s="2">
        <f t="shared" si="27"/>
        <v>0</v>
      </c>
      <c r="X36" s="2">
        <f>(ROUND((((S36+ROUND((ROUND(((((EU36*1.1)*1.25))*AV36*I36),2)*BS36),2))*AT36)/100),2)+ROUND(((ROUND((ROUND(((AE36-(((EU36*1.1)*1.25)))*AV36*I36),2)*BS36),2)*AT36)/100),2))</f>
        <v>1.42</v>
      </c>
      <c r="Y36" s="2">
        <f>(ROUND((((S36+ROUND((ROUND(((((EU36*1.1)*1.25))*AV36*I36),2)*BS36),2))*AU36)/100),2)+ROUND(((ROUND((ROUND(((AE36-(((EU36*1.1)*1.25)))*AV36*I36),2)*BS36),2)*AU36)/100),2))</f>
        <v>0.79</v>
      </c>
      <c r="Z36" s="2"/>
      <c r="AA36" s="2">
        <v>59499218</v>
      </c>
      <c r="AB36" s="2">
        <f t="shared" si="28"/>
        <v>2335.2950999999998</v>
      </c>
      <c r="AC36" s="2">
        <f>ROUND((((ES36*1)*1)),6)</f>
        <v>2202.04</v>
      </c>
      <c r="AD36" s="2">
        <f>ROUND((((((ET36*1.1)*1.25))-(((EU36*1.1)*1.25)))+AE36),6)</f>
        <v>12.33375</v>
      </c>
      <c r="AE36" s="2">
        <f>ROUND((((EU36*1.1)*1.25)),6)</f>
        <v>1.3887499999999999</v>
      </c>
      <c r="AF36" s="2">
        <f>ROUND((((EV36*1.1)*1.15)),6)</f>
        <v>120.92135</v>
      </c>
      <c r="AG36" s="2">
        <f t="shared" si="29"/>
        <v>0</v>
      </c>
      <c r="AH36" s="2">
        <f>(((EW36*1.1)*1.15))</f>
        <v>10.8537</v>
      </c>
      <c r="AI36" s="2">
        <f>(((EX36*1.1)*1.25))</f>
        <v>0</v>
      </c>
      <c r="AJ36" s="2">
        <f t="shared" si="30"/>
        <v>0</v>
      </c>
      <c r="AK36" s="2">
        <v>2306.6</v>
      </c>
      <c r="AL36" s="2">
        <v>2202.04</v>
      </c>
      <c r="AM36" s="2">
        <v>8.9700000000000006</v>
      </c>
      <c r="AN36" s="2">
        <v>1.01</v>
      </c>
      <c r="AO36" s="2">
        <v>95.59</v>
      </c>
      <c r="AP36" s="2">
        <v>0</v>
      </c>
      <c r="AQ36" s="2">
        <v>8.58</v>
      </c>
      <c r="AR36" s="2">
        <v>0</v>
      </c>
      <c r="AS36" s="2">
        <v>0</v>
      </c>
      <c r="AT36" s="2">
        <v>109</v>
      </c>
      <c r="AU36" s="2">
        <v>61</v>
      </c>
      <c r="AV36" s="2">
        <v>1.0669999999999999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33</v>
      </c>
      <c r="BK36" s="2"/>
      <c r="BL36" s="2"/>
      <c r="BM36" s="2">
        <v>22</v>
      </c>
      <c r="BN36" s="2">
        <v>0</v>
      </c>
      <c r="BO36" s="2" t="s">
        <v>31</v>
      </c>
      <c r="BP36" s="2">
        <v>1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109</v>
      </c>
      <c r="CA36" s="2">
        <v>61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373</v>
      </c>
      <c r="CO36" s="2">
        <v>0</v>
      </c>
      <c r="CP36" s="2">
        <f t="shared" si="31"/>
        <v>23.439999999999998</v>
      </c>
      <c r="CQ36" s="2">
        <f t="shared" si="32"/>
        <v>2202.04</v>
      </c>
      <c r="CR36" s="2">
        <f>(ROUND((ROUND(((((ET36*1.1)*1.25))*AV36*1),2)*BB36),2)+ROUND((ROUND(((AE36-(((EU36*1.1)*1.25)))*AV36*1),2)*BS36),2))</f>
        <v>13.16</v>
      </c>
      <c r="CS36" s="2">
        <f>(ROUND((ROUND(((((EU36*1.1)*1.25))*AV36*1),2)*BS36),2)+ROUND((ROUND(((AE36-(((EU36*1.1)*1.25)))*AV36*1),2)*BS36),2))</f>
        <v>1.48</v>
      </c>
      <c r="CT36" s="2">
        <f t="shared" si="33"/>
        <v>129.02000000000001</v>
      </c>
      <c r="CU36" s="2">
        <f t="shared" si="34"/>
        <v>0</v>
      </c>
      <c r="CV36" s="2">
        <f t="shared" si="35"/>
        <v>11.5808979</v>
      </c>
      <c r="CW36" s="2">
        <f t="shared" si="36"/>
        <v>0</v>
      </c>
      <c r="CX36" s="2">
        <f t="shared" si="37"/>
        <v>0</v>
      </c>
      <c r="CY36" s="2">
        <f>(ROUND((((S36+ROUND((ROUND(((((EU36*1.1)*1.25))*AV36*1),2)*BS36),2))*AT36)/100),2)+ROUND(((ROUND((ROUND(((AE36-(((EU36*1.1)*1.25)))*AV36*1),2)*BS36),2)*AT36)/100),2))</f>
        <v>3.02</v>
      </c>
      <c r="CZ36" s="2">
        <f>(ROUND((((S36+ROUND((ROUND(((((EU36*1.1)*1.25))*AV36*1),2)*BS36),2))*AU36)/100),2)+ROUND(((ROUND((ROUND(((AE36-(((EU36*1.1)*1.25)))*AV36*1),2)*BS36),2)*AU36)/100),2))</f>
        <v>1.69</v>
      </c>
      <c r="DA36" s="2"/>
      <c r="DB36" s="2">
        <v>17</v>
      </c>
      <c r="DC36" s="2" t="s">
        <v>3</v>
      </c>
      <c r="DD36" s="2" t="s">
        <v>23</v>
      </c>
      <c r="DE36" s="2" t="s">
        <v>24</v>
      </c>
      <c r="DF36" s="2" t="s">
        <v>24</v>
      </c>
      <c r="DG36" s="2" t="s">
        <v>25</v>
      </c>
      <c r="DH36" s="2" t="s">
        <v>3</v>
      </c>
      <c r="DI36" s="2" t="s">
        <v>25</v>
      </c>
      <c r="DJ36" s="2" t="s">
        <v>24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1010</v>
      </c>
      <c r="DV36" s="2" t="s">
        <v>21</v>
      </c>
      <c r="DW36" s="2" t="s">
        <v>21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59298928</v>
      </c>
      <c r="EF36" s="2">
        <v>30</v>
      </c>
      <c r="EG36" s="2" t="s">
        <v>26</v>
      </c>
      <c r="EH36" s="2">
        <v>0</v>
      </c>
      <c r="EI36" s="2" t="s">
        <v>3</v>
      </c>
      <c r="EJ36" s="2">
        <v>1</v>
      </c>
      <c r="EK36" s="2">
        <v>22</v>
      </c>
      <c r="EL36" s="2" t="s">
        <v>27</v>
      </c>
      <c r="EM36" s="2" t="s">
        <v>28</v>
      </c>
      <c r="EN36" s="2"/>
      <c r="EO36" s="2" t="s">
        <v>29</v>
      </c>
      <c r="EP36" s="2"/>
      <c r="EQ36" s="2">
        <v>0</v>
      </c>
      <c r="ER36" s="2">
        <v>2306.6</v>
      </c>
      <c r="ES36" s="2">
        <v>2202.04</v>
      </c>
      <c r="ET36" s="2">
        <v>8.9700000000000006</v>
      </c>
      <c r="EU36" s="2">
        <v>1.01</v>
      </c>
      <c r="EV36" s="2">
        <v>95.59</v>
      </c>
      <c r="EW36" s="2">
        <v>8.58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109</v>
      </c>
      <c r="FY36" s="2">
        <v>61</v>
      </c>
      <c r="FZ36" s="2"/>
      <c r="GA36" s="2" t="s">
        <v>3</v>
      </c>
      <c r="GB36" s="2"/>
      <c r="GC36" s="2"/>
      <c r="GD36" s="2">
        <v>1</v>
      </c>
      <c r="GE36" s="2"/>
      <c r="GF36" s="2">
        <v>-907614113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38"/>
        <v>0</v>
      </c>
      <c r="GM36" s="2">
        <f t="shared" si="39"/>
        <v>25.65</v>
      </c>
      <c r="GN36" s="2">
        <f t="shared" si="40"/>
        <v>25.65</v>
      </c>
      <c r="GO36" s="2">
        <f t="shared" si="41"/>
        <v>0</v>
      </c>
      <c r="GP36" s="2">
        <f t="shared" si="42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3"/>
        <v>0</v>
      </c>
      <c r="GW36" s="2">
        <v>1</v>
      </c>
      <c r="GX36" s="2">
        <f t="shared" si="44"/>
        <v>0</v>
      </c>
      <c r="GY36" s="2"/>
      <c r="GZ36" s="2"/>
      <c r="HA36" s="2">
        <v>0</v>
      </c>
      <c r="HB36" s="2">
        <v>0</v>
      </c>
      <c r="HC36" s="2">
        <f t="shared" si="45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E37" t="s">
        <v>44</v>
      </c>
      <c r="F37" t="s">
        <v>31</v>
      </c>
      <c r="G37" t="s">
        <v>45</v>
      </c>
      <c r="H37" t="s">
        <v>21</v>
      </c>
      <c r="I37">
        <f>ROUND(1/100,9)</f>
        <v>0.01</v>
      </c>
      <c r="J37">
        <v>0</v>
      </c>
      <c r="K37">
        <f>ROUND(1/100,9)</f>
        <v>0.01</v>
      </c>
      <c r="O37">
        <f t="shared" si="21"/>
        <v>89.32</v>
      </c>
      <c r="P37">
        <f t="shared" si="22"/>
        <v>16.52</v>
      </c>
      <c r="Q37">
        <f>(ROUND((ROUND(((((ET37*1.1)*1.25))*AV37*I37),2)*BB37),2)+ROUND((ROUND(((AE37-(((EU37*1.1)*1.25)))*AV37*I37),2)*BS37),2))</f>
        <v>1.86</v>
      </c>
      <c r="R37">
        <f>(ROUND((ROUND(((((EU37*1.1)*1.25))*AV37*I37),2)*BS37),2)+ROUND((ROUND(((AE37-(((EU37*1.1)*1.25)))*AV37*I37),2)*BS37),2))</f>
        <v>0.55000000000000004</v>
      </c>
      <c r="S37">
        <f t="shared" si="23"/>
        <v>70.94</v>
      </c>
      <c r="T37">
        <f t="shared" si="24"/>
        <v>0</v>
      </c>
      <c r="U37">
        <f t="shared" si="25"/>
        <v>0.11580897900000001</v>
      </c>
      <c r="V37">
        <f t="shared" si="26"/>
        <v>0</v>
      </c>
      <c r="W37">
        <f t="shared" si="27"/>
        <v>0</v>
      </c>
      <c r="X37">
        <f>(ROUND((((S37+ROUND((ROUND(((((EU37*1.1)*1.25))*AV37*I37),2)*BS37),2))*AT37)/100),2)+ROUND(((ROUND((ROUND(((AE37-(((EU37*1.1)*1.25)))*AV37*I37),2)*BS37),2)*AT37)/100),2))</f>
        <v>77.92</v>
      </c>
      <c r="Y37">
        <f>(ROUND((((S37+ROUND((ROUND(((((EU37*1.1)*1.25))*AV37*I37),2)*BS37),2))*AU37)/100),2)+ROUND(((ROUND((ROUND(((AE37-(((EU37*1.1)*1.25)))*AV37*I37),2)*BS37),2)*AU37)/100),2))</f>
        <v>43.61</v>
      </c>
      <c r="AA37">
        <v>59499215</v>
      </c>
      <c r="AB37">
        <f t="shared" si="28"/>
        <v>2335.2950999999998</v>
      </c>
      <c r="AC37">
        <f>ROUND((((ES37*1)*1)),6)</f>
        <v>2202.04</v>
      </c>
      <c r="AD37">
        <f>ROUND((((((ET37*1.1)*1.25))-(((EU37*1.1)*1.25)))+AE37),6)</f>
        <v>12.33375</v>
      </c>
      <c r="AE37">
        <f>ROUND((((EU37*1.1)*1.25)),6)</f>
        <v>1.3887499999999999</v>
      </c>
      <c r="AF37">
        <f>ROUND((((EV37*1.1)*1.15)),6)</f>
        <v>120.92135</v>
      </c>
      <c r="AG37">
        <f t="shared" si="29"/>
        <v>0</v>
      </c>
      <c r="AH37">
        <f>(((EW37*1.1)*1.15))</f>
        <v>10.8537</v>
      </c>
      <c r="AI37">
        <f>(((EX37*1.1)*1.25))</f>
        <v>0</v>
      </c>
      <c r="AJ37">
        <f t="shared" si="30"/>
        <v>0</v>
      </c>
      <c r="AK37">
        <v>2306.6</v>
      </c>
      <c r="AL37">
        <v>2202.04</v>
      </c>
      <c r="AM37">
        <v>8.9700000000000006</v>
      </c>
      <c r="AN37">
        <v>1.01</v>
      </c>
      <c r="AO37">
        <v>95.59</v>
      </c>
      <c r="AP37">
        <v>0</v>
      </c>
      <c r="AQ37">
        <v>8.58</v>
      </c>
      <c r="AR37">
        <v>0</v>
      </c>
      <c r="AS37">
        <v>0</v>
      </c>
      <c r="AT37">
        <v>109</v>
      </c>
      <c r="AU37">
        <v>61</v>
      </c>
      <c r="AV37">
        <v>1.0669999999999999</v>
      </c>
      <c r="AW37">
        <v>1</v>
      </c>
      <c r="AZ37">
        <v>1</v>
      </c>
      <c r="BA37">
        <v>54.99</v>
      </c>
      <c r="BB37">
        <v>14.34</v>
      </c>
      <c r="BC37">
        <v>0.75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1</v>
      </c>
      <c r="BJ37" t="s">
        <v>33</v>
      </c>
      <c r="BM37">
        <v>22</v>
      </c>
      <c r="BN37">
        <v>0</v>
      </c>
      <c r="BO37" t="s">
        <v>31</v>
      </c>
      <c r="BP37">
        <v>1</v>
      </c>
      <c r="BQ37">
        <v>30</v>
      </c>
      <c r="BR37">
        <v>0</v>
      </c>
      <c r="BS37">
        <v>54.99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109</v>
      </c>
      <c r="CA37">
        <v>61</v>
      </c>
      <c r="CB37" t="s">
        <v>3</v>
      </c>
      <c r="CE37">
        <v>1566</v>
      </c>
      <c r="CF37">
        <v>0</v>
      </c>
      <c r="CG37">
        <v>0</v>
      </c>
      <c r="CM37">
        <v>0</v>
      </c>
      <c r="CN37" t="s">
        <v>373</v>
      </c>
      <c r="CO37">
        <v>0</v>
      </c>
      <c r="CP37">
        <f t="shared" si="31"/>
        <v>89.32</v>
      </c>
      <c r="CQ37">
        <f t="shared" si="32"/>
        <v>1651.53</v>
      </c>
      <c r="CR37">
        <f>(ROUND((ROUND(((((ET37*1.1)*1.25))*AV37*1),2)*BB37),2)+ROUND((ROUND(((AE37-(((EU37*1.1)*1.25)))*AV37*1),2)*BS37),2))</f>
        <v>188.71</v>
      </c>
      <c r="CS37">
        <f>(ROUND((ROUND(((((EU37*1.1)*1.25))*AV37*1),2)*BS37),2)+ROUND((ROUND(((AE37-(((EU37*1.1)*1.25)))*AV37*1),2)*BS37),2))</f>
        <v>81.39</v>
      </c>
      <c r="CT37">
        <f t="shared" si="33"/>
        <v>7094.81</v>
      </c>
      <c r="CU37">
        <f t="shared" si="34"/>
        <v>0</v>
      </c>
      <c r="CV37">
        <f t="shared" si="35"/>
        <v>11.5808979</v>
      </c>
      <c r="CW37">
        <f t="shared" si="36"/>
        <v>0</v>
      </c>
      <c r="CX37">
        <f t="shared" si="37"/>
        <v>0</v>
      </c>
      <c r="CY37">
        <f>(ROUND((((S37+ROUND((ROUND(((((EU37*1.1)*1.25))*AV37*1),2)*BS37),2))*AT37)/100),2)+ROUND(((ROUND((ROUND(((AE37-(((EU37*1.1)*1.25)))*AV37*1),2)*BS37),2)*AT37)/100),2))</f>
        <v>166.04</v>
      </c>
      <c r="CZ37">
        <f>(ROUND((((S37+ROUND((ROUND(((((EU37*1.1)*1.25))*AV37*1),2)*BS37),2))*AU37)/100),2)+ROUND(((ROUND((ROUND(((AE37-(((EU37*1.1)*1.25)))*AV37*1),2)*BS37),2)*AU37)/100),2))</f>
        <v>92.92</v>
      </c>
      <c r="DB37">
        <v>19</v>
      </c>
      <c r="DC37" t="s">
        <v>3</v>
      </c>
      <c r="DD37" t="s">
        <v>23</v>
      </c>
      <c r="DE37" t="s">
        <v>24</v>
      </c>
      <c r="DF37" t="s">
        <v>24</v>
      </c>
      <c r="DG37" t="s">
        <v>25</v>
      </c>
      <c r="DH37" t="s">
        <v>3</v>
      </c>
      <c r="DI37" t="s">
        <v>25</v>
      </c>
      <c r="DJ37" t="s">
        <v>24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1010</v>
      </c>
      <c r="DV37" t="s">
        <v>21</v>
      </c>
      <c r="DW37" t="s">
        <v>21</v>
      </c>
      <c r="DX37">
        <v>100</v>
      </c>
      <c r="DZ37" t="s">
        <v>3</v>
      </c>
      <c r="EA37" t="s">
        <v>3</v>
      </c>
      <c r="EB37" t="s">
        <v>3</v>
      </c>
      <c r="EC37" t="s">
        <v>3</v>
      </c>
      <c r="EE37">
        <v>59298928</v>
      </c>
      <c r="EF37">
        <v>30</v>
      </c>
      <c r="EG37" t="s">
        <v>26</v>
      </c>
      <c r="EH37">
        <v>0</v>
      </c>
      <c r="EI37" t="s">
        <v>3</v>
      </c>
      <c r="EJ37">
        <v>1</v>
      </c>
      <c r="EK37">
        <v>22</v>
      </c>
      <c r="EL37" t="s">
        <v>27</v>
      </c>
      <c r="EM37" t="s">
        <v>28</v>
      </c>
      <c r="EO37" t="s">
        <v>29</v>
      </c>
      <c r="EQ37">
        <v>0</v>
      </c>
      <c r="ER37">
        <v>2306.6</v>
      </c>
      <c r="ES37">
        <v>2202.04</v>
      </c>
      <c r="ET37">
        <v>8.9700000000000006</v>
      </c>
      <c r="EU37">
        <v>1.01</v>
      </c>
      <c r="EV37">
        <v>95.59</v>
      </c>
      <c r="EW37">
        <v>8.58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109</v>
      </c>
      <c r="FY37">
        <v>61</v>
      </c>
      <c r="GA37" t="s">
        <v>3</v>
      </c>
      <c r="GD37">
        <v>1</v>
      </c>
      <c r="GF37">
        <v>-907614113</v>
      </c>
      <c r="GG37">
        <v>2</v>
      </c>
      <c r="GH37">
        <v>1</v>
      </c>
      <c r="GI37">
        <v>2</v>
      </c>
      <c r="GJ37">
        <v>0</v>
      </c>
      <c r="GK37">
        <v>0</v>
      </c>
      <c r="GL37">
        <f t="shared" si="38"/>
        <v>0</v>
      </c>
      <c r="GM37">
        <f t="shared" si="39"/>
        <v>210.85</v>
      </c>
      <c r="GN37">
        <f t="shared" si="40"/>
        <v>210.85</v>
      </c>
      <c r="GO37">
        <f t="shared" si="41"/>
        <v>0</v>
      </c>
      <c r="GP37">
        <f t="shared" si="42"/>
        <v>0</v>
      </c>
      <c r="GR37">
        <v>0</v>
      </c>
      <c r="GS37">
        <v>3</v>
      </c>
      <c r="GT37">
        <v>0</v>
      </c>
      <c r="GU37" t="s">
        <v>3</v>
      </c>
      <c r="GV37">
        <f t="shared" si="43"/>
        <v>0</v>
      </c>
      <c r="GW37">
        <v>1</v>
      </c>
      <c r="GX37">
        <f t="shared" si="44"/>
        <v>0</v>
      </c>
      <c r="HA37">
        <v>0</v>
      </c>
      <c r="HB37">
        <v>0</v>
      </c>
      <c r="HC37">
        <f t="shared" si="45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9" spans="1:255" x14ac:dyDescent="0.2">
      <c r="A39" s="3">
        <v>51</v>
      </c>
      <c r="B39" s="3">
        <f>B24</f>
        <v>1</v>
      </c>
      <c r="C39" s="3">
        <f>A24</f>
        <v>4</v>
      </c>
      <c r="D39" s="3">
        <f>ROW(A24)</f>
        <v>24</v>
      </c>
      <c r="E39" s="3"/>
      <c r="F39" s="3" t="str">
        <f>IF(F24&lt;&gt;"",F24,"")</f>
        <v/>
      </c>
      <c r="G39" s="3" t="str">
        <f>IF(G24&lt;&gt;"",G24,"")</f>
        <v>Оборудование санузла для МГН</v>
      </c>
      <c r="H39" s="3">
        <v>0</v>
      </c>
      <c r="I39" s="3"/>
      <c r="J39" s="3"/>
      <c r="K39" s="3"/>
      <c r="L39" s="3"/>
      <c r="M39" s="3"/>
      <c r="N39" s="3"/>
      <c r="O39" s="3">
        <f t="shared" ref="O39:T39" si="46">ROUND(AB39,2)</f>
        <v>426.47</v>
      </c>
      <c r="P39" s="3">
        <f t="shared" si="46"/>
        <v>393.93</v>
      </c>
      <c r="Q39" s="3">
        <f t="shared" si="46"/>
        <v>1.33</v>
      </c>
      <c r="R39" s="3">
        <f t="shared" si="46"/>
        <v>0.12</v>
      </c>
      <c r="S39" s="3">
        <f t="shared" si="46"/>
        <v>31.21</v>
      </c>
      <c r="T39" s="3">
        <f t="shared" si="46"/>
        <v>0</v>
      </c>
      <c r="U39" s="3">
        <f>AH39</f>
        <v>2.6850676214999996</v>
      </c>
      <c r="V39" s="3">
        <f>AI39</f>
        <v>0</v>
      </c>
      <c r="W39" s="3">
        <f>ROUND(AJ39,2)</f>
        <v>0</v>
      </c>
      <c r="X39" s="3">
        <f>ROUND(AK39,2)</f>
        <v>34.15</v>
      </c>
      <c r="Y39" s="3">
        <f>ROUND(AL39,2)</f>
        <v>19.12</v>
      </c>
      <c r="Z39" s="3"/>
      <c r="AA39" s="3"/>
      <c r="AB39" s="3">
        <f>ROUND(SUMIF(AA28:AA37,"=59499218",O28:O37),2)</f>
        <v>426.47</v>
      </c>
      <c r="AC39" s="3">
        <f>ROUND(SUMIF(AA28:AA37,"=59499218",P28:P37),2)</f>
        <v>393.93</v>
      </c>
      <c r="AD39" s="3">
        <f>ROUND(SUMIF(AA28:AA37,"=59499218",Q28:Q37),2)</f>
        <v>1.33</v>
      </c>
      <c r="AE39" s="3">
        <f>ROUND(SUMIF(AA28:AA37,"=59499218",R28:R37),2)</f>
        <v>0.12</v>
      </c>
      <c r="AF39" s="3">
        <f>ROUND(SUMIF(AA28:AA37,"=59499218",S28:S37),2)</f>
        <v>31.21</v>
      </c>
      <c r="AG39" s="3">
        <f>ROUND(SUMIF(AA28:AA37,"=59499218",T28:T37),2)</f>
        <v>0</v>
      </c>
      <c r="AH39" s="3">
        <f>SUMIF(AA28:AA37,"=59499218",U28:U37)</f>
        <v>2.6850676214999996</v>
      </c>
      <c r="AI39" s="3">
        <f>SUMIF(AA28:AA37,"=59499218",V28:V37)</f>
        <v>0</v>
      </c>
      <c r="AJ39" s="3">
        <f>ROUND(SUMIF(AA28:AA37,"=59499218",W28:W37),2)</f>
        <v>0</v>
      </c>
      <c r="AK39" s="3">
        <f>ROUND(SUMIF(AA28:AA37,"=59499218",X28:X37),2)</f>
        <v>34.15</v>
      </c>
      <c r="AL39" s="3">
        <f>ROUND(SUMIF(AA28:AA37,"=59499218",Y28:Y37),2)</f>
        <v>19.12</v>
      </c>
      <c r="AM39" s="3"/>
      <c r="AN39" s="3"/>
      <c r="AO39" s="3">
        <f t="shared" ref="AO39:BD39" si="47">ROUND(BX39,2)</f>
        <v>0</v>
      </c>
      <c r="AP39" s="3">
        <f t="shared" si="47"/>
        <v>0</v>
      </c>
      <c r="AQ39" s="3">
        <f t="shared" si="47"/>
        <v>0</v>
      </c>
      <c r="AR39" s="3">
        <f t="shared" si="47"/>
        <v>479.74</v>
      </c>
      <c r="AS39" s="3">
        <f t="shared" si="47"/>
        <v>479.74</v>
      </c>
      <c r="AT39" s="3">
        <f t="shared" si="47"/>
        <v>0</v>
      </c>
      <c r="AU39" s="3">
        <f t="shared" si="47"/>
        <v>0</v>
      </c>
      <c r="AV39" s="3">
        <f t="shared" si="47"/>
        <v>393.93</v>
      </c>
      <c r="AW39" s="3">
        <f t="shared" si="47"/>
        <v>393.93</v>
      </c>
      <c r="AX39" s="3">
        <f t="shared" si="47"/>
        <v>0</v>
      </c>
      <c r="AY39" s="3">
        <f t="shared" si="47"/>
        <v>393.93</v>
      </c>
      <c r="AZ39" s="3">
        <f t="shared" si="47"/>
        <v>0</v>
      </c>
      <c r="BA39" s="3">
        <f t="shared" si="47"/>
        <v>0</v>
      </c>
      <c r="BB39" s="3">
        <f t="shared" si="47"/>
        <v>0</v>
      </c>
      <c r="BC39" s="3">
        <f t="shared" si="47"/>
        <v>0</v>
      </c>
      <c r="BD39" s="3">
        <f t="shared" si="47"/>
        <v>0</v>
      </c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>
        <f>ROUND(SUMIF(AA28:AA37,"=59499218",FQ28:FQ37),2)</f>
        <v>0</v>
      </c>
      <c r="BY39" s="3">
        <f>ROUND(SUMIF(AA28:AA37,"=59499218",FR28:FR37),2)</f>
        <v>0</v>
      </c>
      <c r="BZ39" s="3">
        <f>ROUND(SUMIF(AA28:AA37,"=59499218",GL28:GL37),2)</f>
        <v>0</v>
      </c>
      <c r="CA39" s="3">
        <f>ROUND(SUMIF(AA28:AA37,"=59499218",GM28:GM37),2)</f>
        <v>479.74</v>
      </c>
      <c r="CB39" s="3">
        <f>ROUND(SUMIF(AA28:AA37,"=59499218",GN28:GN37),2)</f>
        <v>479.74</v>
      </c>
      <c r="CC39" s="3">
        <f>ROUND(SUMIF(AA28:AA37,"=59499218",GO28:GO37),2)</f>
        <v>0</v>
      </c>
      <c r="CD39" s="3">
        <f>ROUND(SUMIF(AA28:AA37,"=59499218",GP28:GP37),2)</f>
        <v>0</v>
      </c>
      <c r="CE39" s="3">
        <f>AC39-BX39</f>
        <v>393.93</v>
      </c>
      <c r="CF39" s="3">
        <f>AC39-BY39</f>
        <v>393.93</v>
      </c>
      <c r="CG39" s="3">
        <f>BX39-BZ39</f>
        <v>0</v>
      </c>
      <c r="CH39" s="3">
        <f>AC39-BX39-BY39+BZ39</f>
        <v>393.93</v>
      </c>
      <c r="CI39" s="3">
        <f>BY39-BZ39</f>
        <v>0</v>
      </c>
      <c r="CJ39" s="3">
        <f>ROUND(SUMIF(AA28:AA37,"=59499218",GX28:GX37),2)</f>
        <v>0</v>
      </c>
      <c r="CK39" s="3">
        <f>ROUND(SUMIF(AA28:AA37,"=59499218",GY28:GY37),2)</f>
        <v>0</v>
      </c>
      <c r="CL39" s="3">
        <f>ROUND(SUMIF(AA28:AA37,"=59499218",GZ28:GZ37),2)</f>
        <v>0</v>
      </c>
      <c r="CM39" s="3">
        <f>ROUND(SUMIF(AA28:AA37,"=59499218",HD28:HD37),2)</f>
        <v>0</v>
      </c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4">
        <f t="shared" ref="DG39:DL39" si="48">ROUND(DT39,2)</f>
        <v>2031.16</v>
      </c>
      <c r="DH39" s="4">
        <f t="shared" si="48"/>
        <v>297.11</v>
      </c>
      <c r="DI39" s="4">
        <f t="shared" si="48"/>
        <v>17.82</v>
      </c>
      <c r="DJ39" s="4">
        <f t="shared" si="48"/>
        <v>6.6</v>
      </c>
      <c r="DK39" s="4">
        <f t="shared" si="48"/>
        <v>1716.23</v>
      </c>
      <c r="DL39" s="4">
        <f t="shared" si="48"/>
        <v>0</v>
      </c>
      <c r="DM39" s="4">
        <f>DZ39</f>
        <v>2.6850676214999996</v>
      </c>
      <c r="DN39" s="4">
        <f>EA39</f>
        <v>0</v>
      </c>
      <c r="DO39" s="4">
        <f>ROUND(EB39,2)</f>
        <v>0</v>
      </c>
      <c r="DP39" s="4">
        <f>ROUND(EC39,2)</f>
        <v>1877.88</v>
      </c>
      <c r="DQ39" s="4">
        <f>ROUND(ED39,2)</f>
        <v>1050.93</v>
      </c>
      <c r="DR39" s="4"/>
      <c r="DS39" s="4"/>
      <c r="DT39" s="4">
        <f>ROUND(SUMIF(AA28:AA37,"=59499215",O28:O37),2)</f>
        <v>2031.16</v>
      </c>
      <c r="DU39" s="4">
        <f>ROUND(SUMIF(AA28:AA37,"=59499215",P28:P37),2)</f>
        <v>297.11</v>
      </c>
      <c r="DV39" s="4">
        <f>ROUND(SUMIF(AA28:AA37,"=59499215",Q28:Q37),2)</f>
        <v>17.82</v>
      </c>
      <c r="DW39" s="4">
        <f>ROUND(SUMIF(AA28:AA37,"=59499215",R28:R37),2)</f>
        <v>6.6</v>
      </c>
      <c r="DX39" s="4">
        <f>ROUND(SUMIF(AA28:AA37,"=59499215",S28:S37),2)</f>
        <v>1716.23</v>
      </c>
      <c r="DY39" s="4">
        <f>ROUND(SUMIF(AA28:AA37,"=59499215",T28:T37),2)</f>
        <v>0</v>
      </c>
      <c r="DZ39" s="4">
        <f>SUMIF(AA28:AA37,"=59499215",U28:U37)</f>
        <v>2.6850676214999996</v>
      </c>
      <c r="EA39" s="4">
        <f>SUMIF(AA28:AA37,"=59499215",V28:V37)</f>
        <v>0</v>
      </c>
      <c r="EB39" s="4">
        <f>ROUND(SUMIF(AA28:AA37,"=59499215",W28:W37),2)</f>
        <v>0</v>
      </c>
      <c r="EC39" s="4">
        <f>ROUND(SUMIF(AA28:AA37,"=59499215",X28:X37),2)</f>
        <v>1877.88</v>
      </c>
      <c r="ED39" s="4">
        <f>ROUND(SUMIF(AA28:AA37,"=59499215",Y28:Y37),2)</f>
        <v>1050.93</v>
      </c>
      <c r="EE39" s="4"/>
      <c r="EF39" s="4"/>
      <c r="EG39" s="4">
        <f t="shared" ref="EG39:EV39" si="49">ROUND(FP39,2)</f>
        <v>0</v>
      </c>
      <c r="EH39" s="4">
        <f t="shared" si="49"/>
        <v>0</v>
      </c>
      <c r="EI39" s="4">
        <f t="shared" si="49"/>
        <v>0</v>
      </c>
      <c r="EJ39" s="4">
        <f t="shared" si="49"/>
        <v>4959.97</v>
      </c>
      <c r="EK39" s="4">
        <f t="shared" si="49"/>
        <v>4959.97</v>
      </c>
      <c r="EL39" s="4">
        <f t="shared" si="49"/>
        <v>0</v>
      </c>
      <c r="EM39" s="4">
        <f t="shared" si="49"/>
        <v>0</v>
      </c>
      <c r="EN39" s="4">
        <f t="shared" si="49"/>
        <v>297.11</v>
      </c>
      <c r="EO39" s="4">
        <f t="shared" si="49"/>
        <v>297.11</v>
      </c>
      <c r="EP39" s="4">
        <f t="shared" si="49"/>
        <v>0</v>
      </c>
      <c r="EQ39" s="4">
        <f t="shared" si="49"/>
        <v>297.11</v>
      </c>
      <c r="ER39" s="4">
        <f t="shared" si="49"/>
        <v>0</v>
      </c>
      <c r="ES39" s="4">
        <f t="shared" si="49"/>
        <v>0</v>
      </c>
      <c r="ET39" s="4">
        <f t="shared" si="49"/>
        <v>0</v>
      </c>
      <c r="EU39" s="4">
        <f t="shared" si="49"/>
        <v>0</v>
      </c>
      <c r="EV39" s="4">
        <f t="shared" si="49"/>
        <v>0</v>
      </c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>
        <f>ROUND(SUMIF(AA28:AA37,"=59499215",FQ28:FQ37),2)</f>
        <v>0</v>
      </c>
      <c r="FQ39" s="4">
        <f>ROUND(SUMIF(AA28:AA37,"=59499215",FR28:FR37),2)</f>
        <v>0</v>
      </c>
      <c r="FR39" s="4">
        <f>ROUND(SUMIF(AA28:AA37,"=59499215",GL28:GL37),2)</f>
        <v>0</v>
      </c>
      <c r="FS39" s="4">
        <f>ROUND(SUMIF(AA28:AA37,"=59499215",GM28:GM37),2)</f>
        <v>4959.97</v>
      </c>
      <c r="FT39" s="4">
        <f>ROUND(SUMIF(AA28:AA37,"=59499215",GN28:GN37),2)</f>
        <v>4959.97</v>
      </c>
      <c r="FU39" s="4">
        <f>ROUND(SUMIF(AA28:AA37,"=59499215",GO28:GO37),2)</f>
        <v>0</v>
      </c>
      <c r="FV39" s="4">
        <f>ROUND(SUMIF(AA28:AA37,"=59499215",GP28:GP37),2)</f>
        <v>0</v>
      </c>
      <c r="FW39" s="4">
        <f>DU39-FP39</f>
        <v>297.11</v>
      </c>
      <c r="FX39" s="4">
        <f>DU39-FQ39</f>
        <v>297.11</v>
      </c>
      <c r="FY39" s="4">
        <f>FP39-FR39</f>
        <v>0</v>
      </c>
      <c r="FZ39" s="4">
        <f>DU39-FP39-FQ39+FR39</f>
        <v>297.11</v>
      </c>
      <c r="GA39" s="4">
        <f>FQ39-FR39</f>
        <v>0</v>
      </c>
      <c r="GB39" s="4">
        <f>ROUND(SUMIF(AA28:AA37,"=59499215",GX28:GX37),2)</f>
        <v>0</v>
      </c>
      <c r="GC39" s="4">
        <f>ROUND(SUMIF(AA28:AA37,"=59499215",GY28:GY37),2)</f>
        <v>0</v>
      </c>
      <c r="GD39" s="4">
        <f>ROUND(SUMIF(AA28:AA37,"=59499215",GZ28:GZ37),2)</f>
        <v>0</v>
      </c>
      <c r="GE39" s="4">
        <f>ROUND(SUMIF(AA28:AA37,"=59499215",HD28:HD37),2)</f>
        <v>0</v>
      </c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>
        <v>0</v>
      </c>
    </row>
    <row r="41" spans="1:255" x14ac:dyDescent="0.2">
      <c r="A41" s="5">
        <v>50</v>
      </c>
      <c r="B41" s="5">
        <v>0</v>
      </c>
      <c r="C41" s="5">
        <v>0</v>
      </c>
      <c r="D41" s="5">
        <v>1</v>
      </c>
      <c r="E41" s="5">
        <v>201</v>
      </c>
      <c r="F41" s="5">
        <f>ROUND(Source!O39,O41)</f>
        <v>426.47</v>
      </c>
      <c r="G41" s="5" t="s">
        <v>46</v>
      </c>
      <c r="H41" s="5" t="s">
        <v>47</v>
      </c>
      <c r="I41" s="5"/>
      <c r="J41" s="5"/>
      <c r="K41" s="5">
        <v>201</v>
      </c>
      <c r="L41" s="5">
        <v>1</v>
      </c>
      <c r="M41" s="5">
        <v>3</v>
      </c>
      <c r="N41" s="5" t="s">
        <v>3</v>
      </c>
      <c r="O41" s="5">
        <v>2</v>
      </c>
      <c r="P41" s="5">
        <f>ROUND(Source!DG39,O41)</f>
        <v>2031.16</v>
      </c>
      <c r="Q41" s="5"/>
      <c r="R41" s="5"/>
      <c r="S41" s="5"/>
      <c r="T41" s="5"/>
      <c r="U41" s="5"/>
      <c r="V41" s="5"/>
      <c r="W41" s="5">
        <v>426.47</v>
      </c>
      <c r="X41" s="5">
        <v>1</v>
      </c>
      <c r="Y41" s="5">
        <v>426.47</v>
      </c>
      <c r="Z41" s="5">
        <v>2031.16</v>
      </c>
      <c r="AA41" s="5">
        <v>1</v>
      </c>
      <c r="AB41" s="5">
        <v>2031.16</v>
      </c>
    </row>
    <row r="42" spans="1:255" x14ac:dyDescent="0.2">
      <c r="A42" s="5">
        <v>50</v>
      </c>
      <c r="B42" s="5">
        <v>0</v>
      </c>
      <c r="C42" s="5">
        <v>0</v>
      </c>
      <c r="D42" s="5">
        <v>1</v>
      </c>
      <c r="E42" s="5">
        <v>202</v>
      </c>
      <c r="F42" s="5">
        <f>ROUND(Source!P39,O42)</f>
        <v>393.93</v>
      </c>
      <c r="G42" s="5" t="s">
        <v>48</v>
      </c>
      <c r="H42" s="5" t="s">
        <v>49</v>
      </c>
      <c r="I42" s="5"/>
      <c r="J42" s="5"/>
      <c r="K42" s="5">
        <v>202</v>
      </c>
      <c r="L42" s="5">
        <v>2</v>
      </c>
      <c r="M42" s="5">
        <v>3</v>
      </c>
      <c r="N42" s="5" t="s">
        <v>3</v>
      </c>
      <c r="O42" s="5">
        <v>2</v>
      </c>
      <c r="P42" s="5">
        <f>ROUND(Source!DH39,O42)</f>
        <v>297.11</v>
      </c>
      <c r="Q42" s="5"/>
      <c r="R42" s="5"/>
      <c r="S42" s="5"/>
      <c r="T42" s="5"/>
      <c r="U42" s="5"/>
      <c r="V42" s="5"/>
      <c r="W42" s="5">
        <v>393.93</v>
      </c>
      <c r="X42" s="5">
        <v>1</v>
      </c>
      <c r="Y42" s="5">
        <v>393.93</v>
      </c>
      <c r="Z42" s="5">
        <v>297.11</v>
      </c>
      <c r="AA42" s="5">
        <v>1</v>
      </c>
      <c r="AB42" s="5">
        <v>297.11</v>
      </c>
    </row>
    <row r="43" spans="1:255" x14ac:dyDescent="0.2">
      <c r="A43" s="5">
        <v>50</v>
      </c>
      <c r="B43" s="5">
        <v>0</v>
      </c>
      <c r="C43" s="5">
        <v>0</v>
      </c>
      <c r="D43" s="5">
        <v>1</v>
      </c>
      <c r="E43" s="5">
        <v>222</v>
      </c>
      <c r="F43" s="5">
        <f>ROUND(Source!AO39,O43)</f>
        <v>0</v>
      </c>
      <c r="G43" s="5" t="s">
        <v>50</v>
      </c>
      <c r="H43" s="5" t="s">
        <v>51</v>
      </c>
      <c r="I43" s="5"/>
      <c r="J43" s="5"/>
      <c r="K43" s="5">
        <v>222</v>
      </c>
      <c r="L43" s="5">
        <v>3</v>
      </c>
      <c r="M43" s="5">
        <v>3</v>
      </c>
      <c r="N43" s="5" t="s">
        <v>3</v>
      </c>
      <c r="O43" s="5">
        <v>2</v>
      </c>
      <c r="P43" s="5">
        <f>ROUND(Source!EG39,O43)</f>
        <v>0</v>
      </c>
      <c r="Q43" s="5"/>
      <c r="R43" s="5"/>
      <c r="S43" s="5"/>
      <c r="T43" s="5"/>
      <c r="U43" s="5"/>
      <c r="V43" s="5"/>
      <c r="W43" s="5">
        <v>0</v>
      </c>
      <c r="X43" s="5">
        <v>1</v>
      </c>
      <c r="Y43" s="5">
        <v>0</v>
      </c>
      <c r="Z43" s="5">
        <v>0</v>
      </c>
      <c r="AA43" s="5">
        <v>1</v>
      </c>
      <c r="AB43" s="5">
        <v>0</v>
      </c>
    </row>
    <row r="44" spans="1:255" x14ac:dyDescent="0.2">
      <c r="A44" s="5">
        <v>50</v>
      </c>
      <c r="B44" s="5">
        <v>0</v>
      </c>
      <c r="C44" s="5">
        <v>0</v>
      </c>
      <c r="D44" s="5">
        <v>1</v>
      </c>
      <c r="E44" s="5">
        <v>225</v>
      </c>
      <c r="F44" s="5">
        <f>ROUND(Source!AV39,O44)</f>
        <v>393.93</v>
      </c>
      <c r="G44" s="5" t="s">
        <v>52</v>
      </c>
      <c r="H44" s="5" t="s">
        <v>53</v>
      </c>
      <c r="I44" s="5"/>
      <c r="J44" s="5"/>
      <c r="K44" s="5">
        <v>225</v>
      </c>
      <c r="L44" s="5">
        <v>4</v>
      </c>
      <c r="M44" s="5">
        <v>3</v>
      </c>
      <c r="N44" s="5" t="s">
        <v>3</v>
      </c>
      <c r="O44" s="5">
        <v>2</v>
      </c>
      <c r="P44" s="5">
        <f>ROUND(Source!EN39,O44)</f>
        <v>297.11</v>
      </c>
      <c r="Q44" s="5"/>
      <c r="R44" s="5"/>
      <c r="S44" s="5"/>
      <c r="T44" s="5"/>
      <c r="U44" s="5"/>
      <c r="V44" s="5"/>
      <c r="W44" s="5">
        <v>393.93</v>
      </c>
      <c r="X44" s="5">
        <v>1</v>
      </c>
      <c r="Y44" s="5">
        <v>393.93</v>
      </c>
      <c r="Z44" s="5">
        <v>297.11</v>
      </c>
      <c r="AA44" s="5">
        <v>1</v>
      </c>
      <c r="AB44" s="5">
        <v>297.11</v>
      </c>
    </row>
    <row r="45" spans="1:255" x14ac:dyDescent="0.2">
      <c r="A45" s="5">
        <v>50</v>
      </c>
      <c r="B45" s="5">
        <v>0</v>
      </c>
      <c r="C45" s="5">
        <v>0</v>
      </c>
      <c r="D45" s="5">
        <v>1</v>
      </c>
      <c r="E45" s="5">
        <v>226</v>
      </c>
      <c r="F45" s="5">
        <f>ROUND(Source!AW39,O45)</f>
        <v>393.93</v>
      </c>
      <c r="G45" s="5" t="s">
        <v>54</v>
      </c>
      <c r="H45" s="5" t="s">
        <v>55</v>
      </c>
      <c r="I45" s="5"/>
      <c r="J45" s="5"/>
      <c r="K45" s="5">
        <v>226</v>
      </c>
      <c r="L45" s="5">
        <v>5</v>
      </c>
      <c r="M45" s="5">
        <v>3</v>
      </c>
      <c r="N45" s="5" t="s">
        <v>3</v>
      </c>
      <c r="O45" s="5">
        <v>2</v>
      </c>
      <c r="P45" s="5">
        <f>ROUND(Source!EO39,O45)</f>
        <v>297.11</v>
      </c>
      <c r="Q45" s="5"/>
      <c r="R45" s="5"/>
      <c r="S45" s="5"/>
      <c r="T45" s="5"/>
      <c r="U45" s="5"/>
      <c r="V45" s="5"/>
      <c r="W45" s="5">
        <v>393.93</v>
      </c>
      <c r="X45" s="5">
        <v>1</v>
      </c>
      <c r="Y45" s="5">
        <v>393.93</v>
      </c>
      <c r="Z45" s="5">
        <v>297.11</v>
      </c>
      <c r="AA45" s="5">
        <v>1</v>
      </c>
      <c r="AB45" s="5">
        <v>297.11</v>
      </c>
    </row>
    <row r="46" spans="1:255" x14ac:dyDescent="0.2">
      <c r="A46" s="5">
        <v>50</v>
      </c>
      <c r="B46" s="5">
        <v>0</v>
      </c>
      <c r="C46" s="5">
        <v>0</v>
      </c>
      <c r="D46" s="5">
        <v>1</v>
      </c>
      <c r="E46" s="5">
        <v>227</v>
      </c>
      <c r="F46" s="5">
        <f>ROUND(Source!AX39,O46)</f>
        <v>0</v>
      </c>
      <c r="G46" s="5" t="s">
        <v>56</v>
      </c>
      <c r="H46" s="5" t="s">
        <v>57</v>
      </c>
      <c r="I46" s="5"/>
      <c r="J46" s="5"/>
      <c r="K46" s="5">
        <v>227</v>
      </c>
      <c r="L46" s="5">
        <v>6</v>
      </c>
      <c r="M46" s="5">
        <v>3</v>
      </c>
      <c r="N46" s="5" t="s">
        <v>3</v>
      </c>
      <c r="O46" s="5">
        <v>2</v>
      </c>
      <c r="P46" s="5">
        <f>ROUND(Source!EP39,O46)</f>
        <v>0</v>
      </c>
      <c r="Q46" s="5"/>
      <c r="R46" s="5"/>
      <c r="S46" s="5"/>
      <c r="T46" s="5"/>
      <c r="U46" s="5"/>
      <c r="V46" s="5"/>
      <c r="W46" s="5">
        <v>0</v>
      </c>
      <c r="X46" s="5">
        <v>1</v>
      </c>
      <c r="Y46" s="5">
        <v>0</v>
      </c>
      <c r="Z46" s="5">
        <v>0</v>
      </c>
      <c r="AA46" s="5">
        <v>1</v>
      </c>
      <c r="AB46" s="5">
        <v>0</v>
      </c>
    </row>
    <row r="47" spans="1:255" x14ac:dyDescent="0.2">
      <c r="A47" s="5">
        <v>50</v>
      </c>
      <c r="B47" s="5">
        <v>0</v>
      </c>
      <c r="C47" s="5">
        <v>0</v>
      </c>
      <c r="D47" s="5">
        <v>1</v>
      </c>
      <c r="E47" s="5">
        <v>228</v>
      </c>
      <c r="F47" s="5">
        <f>ROUND(Source!AY39,O47)</f>
        <v>393.93</v>
      </c>
      <c r="G47" s="5" t="s">
        <v>58</v>
      </c>
      <c r="H47" s="5" t="s">
        <v>59</v>
      </c>
      <c r="I47" s="5"/>
      <c r="J47" s="5"/>
      <c r="K47" s="5">
        <v>228</v>
      </c>
      <c r="L47" s="5">
        <v>7</v>
      </c>
      <c r="M47" s="5">
        <v>3</v>
      </c>
      <c r="N47" s="5" t="s">
        <v>3</v>
      </c>
      <c r="O47" s="5">
        <v>2</v>
      </c>
      <c r="P47" s="5">
        <f>ROUND(Source!EQ39,O47)</f>
        <v>297.11</v>
      </c>
      <c r="Q47" s="5"/>
      <c r="R47" s="5"/>
      <c r="S47" s="5"/>
      <c r="T47" s="5"/>
      <c r="U47" s="5"/>
      <c r="V47" s="5"/>
      <c r="W47" s="5">
        <v>393.93</v>
      </c>
      <c r="X47" s="5">
        <v>1</v>
      </c>
      <c r="Y47" s="5">
        <v>393.93</v>
      </c>
      <c r="Z47" s="5">
        <v>297.11</v>
      </c>
      <c r="AA47" s="5">
        <v>1</v>
      </c>
      <c r="AB47" s="5">
        <v>297.11</v>
      </c>
    </row>
    <row r="48" spans="1:255" x14ac:dyDescent="0.2">
      <c r="A48" s="5">
        <v>50</v>
      </c>
      <c r="B48" s="5">
        <v>0</v>
      </c>
      <c r="C48" s="5">
        <v>0</v>
      </c>
      <c r="D48" s="5">
        <v>1</v>
      </c>
      <c r="E48" s="5">
        <v>216</v>
      </c>
      <c r="F48" s="5">
        <f>ROUND(Source!AP39,O48)</f>
        <v>0</v>
      </c>
      <c r="G48" s="5" t="s">
        <v>60</v>
      </c>
      <c r="H48" s="5" t="s">
        <v>61</v>
      </c>
      <c r="I48" s="5"/>
      <c r="J48" s="5"/>
      <c r="K48" s="5">
        <v>216</v>
      </c>
      <c r="L48" s="5">
        <v>8</v>
      </c>
      <c r="M48" s="5">
        <v>3</v>
      </c>
      <c r="N48" s="5" t="s">
        <v>3</v>
      </c>
      <c r="O48" s="5">
        <v>2</v>
      </c>
      <c r="P48" s="5">
        <f>ROUND(Source!EH39,O48)</f>
        <v>0</v>
      </c>
      <c r="Q48" s="5"/>
      <c r="R48" s="5"/>
      <c r="S48" s="5"/>
      <c r="T48" s="5"/>
      <c r="U48" s="5"/>
      <c r="V48" s="5"/>
      <c r="W48" s="5">
        <v>0</v>
      </c>
      <c r="X48" s="5">
        <v>1</v>
      </c>
      <c r="Y48" s="5">
        <v>0</v>
      </c>
      <c r="Z48" s="5">
        <v>0</v>
      </c>
      <c r="AA48" s="5">
        <v>1</v>
      </c>
      <c r="AB48" s="5">
        <v>0</v>
      </c>
    </row>
    <row r="49" spans="1:28" x14ac:dyDescent="0.2">
      <c r="A49" s="5">
        <v>50</v>
      </c>
      <c r="B49" s="5">
        <v>0</v>
      </c>
      <c r="C49" s="5">
        <v>0</v>
      </c>
      <c r="D49" s="5">
        <v>1</v>
      </c>
      <c r="E49" s="5">
        <v>223</v>
      </c>
      <c r="F49" s="5">
        <f>ROUND(Source!AQ39,O49)</f>
        <v>0</v>
      </c>
      <c r="G49" s="5" t="s">
        <v>62</v>
      </c>
      <c r="H49" s="5" t="s">
        <v>63</v>
      </c>
      <c r="I49" s="5"/>
      <c r="J49" s="5"/>
      <c r="K49" s="5">
        <v>223</v>
      </c>
      <c r="L49" s="5">
        <v>9</v>
      </c>
      <c r="M49" s="5">
        <v>3</v>
      </c>
      <c r="N49" s="5" t="s">
        <v>3</v>
      </c>
      <c r="O49" s="5">
        <v>2</v>
      </c>
      <c r="P49" s="5">
        <f>ROUND(Source!EI39,O49)</f>
        <v>0</v>
      </c>
      <c r="Q49" s="5"/>
      <c r="R49" s="5"/>
      <c r="S49" s="5"/>
      <c r="T49" s="5"/>
      <c r="U49" s="5"/>
      <c r="V49" s="5"/>
      <c r="W49" s="5">
        <v>0</v>
      </c>
      <c r="X49" s="5">
        <v>1</v>
      </c>
      <c r="Y49" s="5">
        <v>0</v>
      </c>
      <c r="Z49" s="5">
        <v>0</v>
      </c>
      <c r="AA49" s="5">
        <v>1</v>
      </c>
      <c r="AB49" s="5">
        <v>0</v>
      </c>
    </row>
    <row r="50" spans="1:28" x14ac:dyDescent="0.2">
      <c r="A50" s="5">
        <v>50</v>
      </c>
      <c r="B50" s="5">
        <v>0</v>
      </c>
      <c r="C50" s="5">
        <v>0</v>
      </c>
      <c r="D50" s="5">
        <v>1</v>
      </c>
      <c r="E50" s="5">
        <v>229</v>
      </c>
      <c r="F50" s="5">
        <f>ROUND(Source!AZ39,O50)</f>
        <v>0</v>
      </c>
      <c r="G50" s="5" t="s">
        <v>64</v>
      </c>
      <c r="H50" s="5" t="s">
        <v>65</v>
      </c>
      <c r="I50" s="5"/>
      <c r="J50" s="5"/>
      <c r="K50" s="5">
        <v>229</v>
      </c>
      <c r="L50" s="5">
        <v>10</v>
      </c>
      <c r="M50" s="5">
        <v>3</v>
      </c>
      <c r="N50" s="5" t="s">
        <v>3</v>
      </c>
      <c r="O50" s="5">
        <v>2</v>
      </c>
      <c r="P50" s="5">
        <f>ROUND(Source!ER39,O50)</f>
        <v>0</v>
      </c>
      <c r="Q50" s="5"/>
      <c r="R50" s="5"/>
      <c r="S50" s="5"/>
      <c r="T50" s="5"/>
      <c r="U50" s="5"/>
      <c r="V50" s="5"/>
      <c r="W50" s="5">
        <v>0</v>
      </c>
      <c r="X50" s="5">
        <v>1</v>
      </c>
      <c r="Y50" s="5">
        <v>0</v>
      </c>
      <c r="Z50" s="5">
        <v>0</v>
      </c>
      <c r="AA50" s="5">
        <v>1</v>
      </c>
      <c r="AB50" s="5">
        <v>0</v>
      </c>
    </row>
    <row r="51" spans="1:28" x14ac:dyDescent="0.2">
      <c r="A51" s="5">
        <v>50</v>
      </c>
      <c r="B51" s="5">
        <v>0</v>
      </c>
      <c r="C51" s="5">
        <v>0</v>
      </c>
      <c r="D51" s="5">
        <v>1</v>
      </c>
      <c r="E51" s="5">
        <v>203</v>
      </c>
      <c r="F51" s="5">
        <f>ROUND(Source!Q39,O51)</f>
        <v>1.33</v>
      </c>
      <c r="G51" s="5" t="s">
        <v>66</v>
      </c>
      <c r="H51" s="5" t="s">
        <v>67</v>
      </c>
      <c r="I51" s="5"/>
      <c r="J51" s="5"/>
      <c r="K51" s="5">
        <v>203</v>
      </c>
      <c r="L51" s="5">
        <v>11</v>
      </c>
      <c r="M51" s="5">
        <v>3</v>
      </c>
      <c r="N51" s="5" t="s">
        <v>3</v>
      </c>
      <c r="O51" s="5">
        <v>2</v>
      </c>
      <c r="P51" s="5">
        <f>ROUND(Source!DI39,O51)</f>
        <v>17.82</v>
      </c>
      <c r="Q51" s="5"/>
      <c r="R51" s="5"/>
      <c r="S51" s="5"/>
      <c r="T51" s="5"/>
      <c r="U51" s="5"/>
      <c r="V51" s="5"/>
      <c r="W51" s="5">
        <v>1.33</v>
      </c>
      <c r="X51" s="5">
        <v>1</v>
      </c>
      <c r="Y51" s="5">
        <v>1.33</v>
      </c>
      <c r="Z51" s="5">
        <v>17.82</v>
      </c>
      <c r="AA51" s="5">
        <v>1</v>
      </c>
      <c r="AB51" s="5">
        <v>17.82</v>
      </c>
    </row>
    <row r="52" spans="1:28" x14ac:dyDescent="0.2">
      <c r="A52" s="5">
        <v>50</v>
      </c>
      <c r="B52" s="5">
        <v>0</v>
      </c>
      <c r="C52" s="5">
        <v>0</v>
      </c>
      <c r="D52" s="5">
        <v>1</v>
      </c>
      <c r="E52" s="5">
        <v>231</v>
      </c>
      <c r="F52" s="5">
        <f>ROUND(Source!BB39,O52)</f>
        <v>0</v>
      </c>
      <c r="G52" s="5" t="s">
        <v>68</v>
      </c>
      <c r="H52" s="5" t="s">
        <v>69</v>
      </c>
      <c r="I52" s="5"/>
      <c r="J52" s="5"/>
      <c r="K52" s="5">
        <v>231</v>
      </c>
      <c r="L52" s="5">
        <v>12</v>
      </c>
      <c r="M52" s="5">
        <v>3</v>
      </c>
      <c r="N52" s="5" t="s">
        <v>3</v>
      </c>
      <c r="O52" s="5">
        <v>2</v>
      </c>
      <c r="P52" s="5">
        <f>ROUND(Source!ET39,O52)</f>
        <v>0</v>
      </c>
      <c r="Q52" s="5"/>
      <c r="R52" s="5"/>
      <c r="S52" s="5"/>
      <c r="T52" s="5"/>
      <c r="U52" s="5"/>
      <c r="V52" s="5"/>
      <c r="W52" s="5">
        <v>0</v>
      </c>
      <c r="X52" s="5">
        <v>1</v>
      </c>
      <c r="Y52" s="5">
        <v>0</v>
      </c>
      <c r="Z52" s="5">
        <v>0</v>
      </c>
      <c r="AA52" s="5">
        <v>1</v>
      </c>
      <c r="AB52" s="5">
        <v>0</v>
      </c>
    </row>
    <row r="53" spans="1:28" x14ac:dyDescent="0.2">
      <c r="A53" s="5">
        <v>50</v>
      </c>
      <c r="B53" s="5">
        <v>0</v>
      </c>
      <c r="C53" s="5">
        <v>0</v>
      </c>
      <c r="D53" s="5">
        <v>1</v>
      </c>
      <c r="E53" s="5">
        <v>204</v>
      </c>
      <c r="F53" s="5">
        <f>ROUND(Source!R39,O53)</f>
        <v>0.12</v>
      </c>
      <c r="G53" s="5" t="s">
        <v>70</v>
      </c>
      <c r="H53" s="5" t="s">
        <v>71</v>
      </c>
      <c r="I53" s="5"/>
      <c r="J53" s="5"/>
      <c r="K53" s="5">
        <v>204</v>
      </c>
      <c r="L53" s="5">
        <v>13</v>
      </c>
      <c r="M53" s="5">
        <v>3</v>
      </c>
      <c r="N53" s="5" t="s">
        <v>3</v>
      </c>
      <c r="O53" s="5">
        <v>2</v>
      </c>
      <c r="P53" s="5">
        <f>ROUND(Source!DJ39,O53)</f>
        <v>6.6</v>
      </c>
      <c r="Q53" s="5"/>
      <c r="R53" s="5"/>
      <c r="S53" s="5"/>
      <c r="T53" s="5"/>
      <c r="U53" s="5"/>
      <c r="V53" s="5"/>
      <c r="W53" s="5">
        <v>0.12</v>
      </c>
      <c r="X53" s="5">
        <v>1</v>
      </c>
      <c r="Y53" s="5">
        <v>0.12</v>
      </c>
      <c r="Z53" s="5">
        <v>6.6</v>
      </c>
      <c r="AA53" s="5">
        <v>1</v>
      </c>
      <c r="AB53" s="5">
        <v>6.6</v>
      </c>
    </row>
    <row r="54" spans="1:28" x14ac:dyDescent="0.2">
      <c r="A54" s="5">
        <v>50</v>
      </c>
      <c r="B54" s="5">
        <v>0</v>
      </c>
      <c r="C54" s="5">
        <v>0</v>
      </c>
      <c r="D54" s="5">
        <v>1</v>
      </c>
      <c r="E54" s="5">
        <v>205</v>
      </c>
      <c r="F54" s="5">
        <f>ROUND(Source!S39,O54)</f>
        <v>31.21</v>
      </c>
      <c r="G54" s="5" t="s">
        <v>72</v>
      </c>
      <c r="H54" s="5" t="s">
        <v>73</v>
      </c>
      <c r="I54" s="5"/>
      <c r="J54" s="5"/>
      <c r="K54" s="5">
        <v>205</v>
      </c>
      <c r="L54" s="5">
        <v>14</v>
      </c>
      <c r="M54" s="5">
        <v>3</v>
      </c>
      <c r="N54" s="5" t="s">
        <v>3</v>
      </c>
      <c r="O54" s="5">
        <v>2</v>
      </c>
      <c r="P54" s="5">
        <f>ROUND(Source!DK39,O54)</f>
        <v>1716.23</v>
      </c>
      <c r="Q54" s="5"/>
      <c r="R54" s="5"/>
      <c r="S54" s="5"/>
      <c r="T54" s="5"/>
      <c r="U54" s="5"/>
      <c r="V54" s="5"/>
      <c r="W54" s="5">
        <v>31.21</v>
      </c>
      <c r="X54" s="5">
        <v>1</v>
      </c>
      <c r="Y54" s="5">
        <v>31.21</v>
      </c>
      <c r="Z54" s="5">
        <v>1716.23</v>
      </c>
      <c r="AA54" s="5">
        <v>1</v>
      </c>
      <c r="AB54" s="5">
        <v>1716.23</v>
      </c>
    </row>
    <row r="55" spans="1:28" x14ac:dyDescent="0.2">
      <c r="A55" s="5">
        <v>50</v>
      </c>
      <c r="B55" s="5">
        <v>0</v>
      </c>
      <c r="C55" s="5">
        <v>0</v>
      </c>
      <c r="D55" s="5">
        <v>1</v>
      </c>
      <c r="E55" s="5">
        <v>232</v>
      </c>
      <c r="F55" s="5">
        <f>ROUND(Source!BC39,O55)</f>
        <v>0</v>
      </c>
      <c r="G55" s="5" t="s">
        <v>74</v>
      </c>
      <c r="H55" s="5" t="s">
        <v>75</v>
      </c>
      <c r="I55" s="5"/>
      <c r="J55" s="5"/>
      <c r="K55" s="5">
        <v>232</v>
      </c>
      <c r="L55" s="5">
        <v>15</v>
      </c>
      <c r="M55" s="5">
        <v>3</v>
      </c>
      <c r="N55" s="5" t="s">
        <v>3</v>
      </c>
      <c r="O55" s="5">
        <v>2</v>
      </c>
      <c r="P55" s="5">
        <f>ROUND(Source!EU39,O55)</f>
        <v>0</v>
      </c>
      <c r="Q55" s="5"/>
      <c r="R55" s="5"/>
      <c r="S55" s="5"/>
      <c r="T55" s="5"/>
      <c r="U55" s="5"/>
      <c r="V55" s="5"/>
      <c r="W55" s="5">
        <v>0</v>
      </c>
      <c r="X55" s="5">
        <v>1</v>
      </c>
      <c r="Y55" s="5">
        <v>0</v>
      </c>
      <c r="Z55" s="5">
        <v>0</v>
      </c>
      <c r="AA55" s="5">
        <v>1</v>
      </c>
      <c r="AB55" s="5">
        <v>0</v>
      </c>
    </row>
    <row r="56" spans="1:28" x14ac:dyDescent="0.2">
      <c r="A56" s="5">
        <v>50</v>
      </c>
      <c r="B56" s="5">
        <v>0</v>
      </c>
      <c r="C56" s="5">
        <v>0</v>
      </c>
      <c r="D56" s="5">
        <v>1</v>
      </c>
      <c r="E56" s="5">
        <v>214</v>
      </c>
      <c r="F56" s="5">
        <f>ROUND(Source!AS39,O56)</f>
        <v>479.74</v>
      </c>
      <c r="G56" s="5" t="s">
        <v>76</v>
      </c>
      <c r="H56" s="5" t="s">
        <v>77</v>
      </c>
      <c r="I56" s="5"/>
      <c r="J56" s="5"/>
      <c r="K56" s="5">
        <v>214</v>
      </c>
      <c r="L56" s="5">
        <v>16</v>
      </c>
      <c r="M56" s="5">
        <v>3</v>
      </c>
      <c r="N56" s="5" t="s">
        <v>3</v>
      </c>
      <c r="O56" s="5">
        <v>2</v>
      </c>
      <c r="P56" s="5">
        <f>ROUND(Source!EK39,O56)</f>
        <v>4959.97</v>
      </c>
      <c r="Q56" s="5"/>
      <c r="R56" s="5"/>
      <c r="S56" s="5"/>
      <c r="T56" s="5"/>
      <c r="U56" s="5"/>
      <c r="V56" s="5"/>
      <c r="W56" s="5">
        <v>479.74</v>
      </c>
      <c r="X56" s="5">
        <v>1</v>
      </c>
      <c r="Y56" s="5">
        <v>479.74</v>
      </c>
      <c r="Z56" s="5">
        <v>4959.97</v>
      </c>
      <c r="AA56" s="5">
        <v>1</v>
      </c>
      <c r="AB56" s="5">
        <v>4959.97</v>
      </c>
    </row>
    <row r="57" spans="1:28" x14ac:dyDescent="0.2">
      <c r="A57" s="5">
        <v>50</v>
      </c>
      <c r="B57" s="5">
        <v>0</v>
      </c>
      <c r="C57" s="5">
        <v>0</v>
      </c>
      <c r="D57" s="5">
        <v>1</v>
      </c>
      <c r="E57" s="5">
        <v>215</v>
      </c>
      <c r="F57" s="5">
        <f>ROUND(Source!AT39,O57)</f>
        <v>0</v>
      </c>
      <c r="G57" s="5" t="s">
        <v>78</v>
      </c>
      <c r="H57" s="5" t="s">
        <v>79</v>
      </c>
      <c r="I57" s="5"/>
      <c r="J57" s="5"/>
      <c r="K57" s="5">
        <v>215</v>
      </c>
      <c r="L57" s="5">
        <v>17</v>
      </c>
      <c r="M57" s="5">
        <v>3</v>
      </c>
      <c r="N57" s="5" t="s">
        <v>3</v>
      </c>
      <c r="O57" s="5">
        <v>2</v>
      </c>
      <c r="P57" s="5">
        <f>ROUND(Source!EL39,O57)</f>
        <v>0</v>
      </c>
      <c r="Q57" s="5"/>
      <c r="R57" s="5"/>
      <c r="S57" s="5"/>
      <c r="T57" s="5"/>
      <c r="U57" s="5"/>
      <c r="V57" s="5"/>
      <c r="W57" s="5">
        <v>0</v>
      </c>
      <c r="X57" s="5">
        <v>1</v>
      </c>
      <c r="Y57" s="5">
        <v>0</v>
      </c>
      <c r="Z57" s="5">
        <v>0</v>
      </c>
      <c r="AA57" s="5">
        <v>1</v>
      </c>
      <c r="AB57" s="5">
        <v>0</v>
      </c>
    </row>
    <row r="58" spans="1:28" x14ac:dyDescent="0.2">
      <c r="A58" s="5">
        <v>50</v>
      </c>
      <c r="B58" s="5">
        <v>0</v>
      </c>
      <c r="C58" s="5">
        <v>0</v>
      </c>
      <c r="D58" s="5">
        <v>1</v>
      </c>
      <c r="E58" s="5">
        <v>217</v>
      </c>
      <c r="F58" s="5">
        <f>ROUND(Source!AU39,O58)</f>
        <v>0</v>
      </c>
      <c r="G58" s="5" t="s">
        <v>80</v>
      </c>
      <c r="H58" s="5" t="s">
        <v>81</v>
      </c>
      <c r="I58" s="5"/>
      <c r="J58" s="5"/>
      <c r="K58" s="5">
        <v>217</v>
      </c>
      <c r="L58" s="5">
        <v>18</v>
      </c>
      <c r="M58" s="5">
        <v>3</v>
      </c>
      <c r="N58" s="5" t="s">
        <v>3</v>
      </c>
      <c r="O58" s="5">
        <v>2</v>
      </c>
      <c r="P58" s="5">
        <f>ROUND(Source!EM39,O58)</f>
        <v>0</v>
      </c>
      <c r="Q58" s="5"/>
      <c r="R58" s="5"/>
      <c r="S58" s="5"/>
      <c r="T58" s="5"/>
      <c r="U58" s="5"/>
      <c r="V58" s="5"/>
      <c r="W58" s="5">
        <v>0</v>
      </c>
      <c r="X58" s="5">
        <v>1</v>
      </c>
      <c r="Y58" s="5">
        <v>0</v>
      </c>
      <c r="Z58" s="5">
        <v>0</v>
      </c>
      <c r="AA58" s="5">
        <v>1</v>
      </c>
      <c r="AB58" s="5">
        <v>0</v>
      </c>
    </row>
    <row r="59" spans="1:28" x14ac:dyDescent="0.2">
      <c r="A59" s="5">
        <v>50</v>
      </c>
      <c r="B59" s="5">
        <v>0</v>
      </c>
      <c r="C59" s="5">
        <v>0</v>
      </c>
      <c r="D59" s="5">
        <v>1</v>
      </c>
      <c r="E59" s="5">
        <v>230</v>
      </c>
      <c r="F59" s="5">
        <f>ROUND(Source!BA39,O59)</f>
        <v>0</v>
      </c>
      <c r="G59" s="5" t="s">
        <v>82</v>
      </c>
      <c r="H59" s="5" t="s">
        <v>83</v>
      </c>
      <c r="I59" s="5"/>
      <c r="J59" s="5"/>
      <c r="K59" s="5">
        <v>230</v>
      </c>
      <c r="L59" s="5">
        <v>19</v>
      </c>
      <c r="M59" s="5">
        <v>3</v>
      </c>
      <c r="N59" s="5" t="s">
        <v>3</v>
      </c>
      <c r="O59" s="5">
        <v>2</v>
      </c>
      <c r="P59" s="5">
        <f>ROUND(Source!ES39,O59)</f>
        <v>0</v>
      </c>
      <c r="Q59" s="5"/>
      <c r="R59" s="5"/>
      <c r="S59" s="5"/>
      <c r="T59" s="5"/>
      <c r="U59" s="5"/>
      <c r="V59" s="5"/>
      <c r="W59" s="5">
        <v>0</v>
      </c>
      <c r="X59" s="5">
        <v>1</v>
      </c>
      <c r="Y59" s="5">
        <v>0</v>
      </c>
      <c r="Z59" s="5">
        <v>0</v>
      </c>
      <c r="AA59" s="5">
        <v>1</v>
      </c>
      <c r="AB59" s="5">
        <v>0</v>
      </c>
    </row>
    <row r="60" spans="1:28" x14ac:dyDescent="0.2">
      <c r="A60" s="5">
        <v>50</v>
      </c>
      <c r="B60" s="5">
        <v>0</v>
      </c>
      <c r="C60" s="5">
        <v>0</v>
      </c>
      <c r="D60" s="5">
        <v>1</v>
      </c>
      <c r="E60" s="5">
        <v>206</v>
      </c>
      <c r="F60" s="5">
        <f>ROUND(Source!T39,O60)</f>
        <v>0</v>
      </c>
      <c r="G60" s="5" t="s">
        <v>84</v>
      </c>
      <c r="H60" s="5" t="s">
        <v>85</v>
      </c>
      <c r="I60" s="5"/>
      <c r="J60" s="5"/>
      <c r="K60" s="5">
        <v>206</v>
      </c>
      <c r="L60" s="5">
        <v>20</v>
      </c>
      <c r="M60" s="5">
        <v>3</v>
      </c>
      <c r="N60" s="5" t="s">
        <v>3</v>
      </c>
      <c r="O60" s="5">
        <v>2</v>
      </c>
      <c r="P60" s="5">
        <f>ROUND(Source!DL39,O60)</f>
        <v>0</v>
      </c>
      <c r="Q60" s="5"/>
      <c r="R60" s="5"/>
      <c r="S60" s="5"/>
      <c r="T60" s="5"/>
      <c r="U60" s="5"/>
      <c r="V60" s="5"/>
      <c r="W60" s="5">
        <v>0</v>
      </c>
      <c r="X60" s="5">
        <v>1</v>
      </c>
      <c r="Y60" s="5">
        <v>0</v>
      </c>
      <c r="Z60" s="5">
        <v>0</v>
      </c>
      <c r="AA60" s="5">
        <v>1</v>
      </c>
      <c r="AB60" s="5">
        <v>0</v>
      </c>
    </row>
    <row r="61" spans="1:28" x14ac:dyDescent="0.2">
      <c r="A61" s="5">
        <v>50</v>
      </c>
      <c r="B61" s="5">
        <v>0</v>
      </c>
      <c r="C61" s="5">
        <v>0</v>
      </c>
      <c r="D61" s="5">
        <v>1</v>
      </c>
      <c r="E61" s="5">
        <v>207</v>
      </c>
      <c r="F61" s="5">
        <f>Source!U39</f>
        <v>2.6850676214999996</v>
      </c>
      <c r="G61" s="5" t="s">
        <v>86</v>
      </c>
      <c r="H61" s="5" t="s">
        <v>87</v>
      </c>
      <c r="I61" s="5"/>
      <c r="J61" s="5"/>
      <c r="K61" s="5">
        <v>207</v>
      </c>
      <c r="L61" s="5">
        <v>21</v>
      </c>
      <c r="M61" s="5">
        <v>3</v>
      </c>
      <c r="N61" s="5" t="s">
        <v>3</v>
      </c>
      <c r="O61" s="5">
        <v>-1</v>
      </c>
      <c r="P61" s="5">
        <f>Source!DM39</f>
        <v>2.6850676214999996</v>
      </c>
      <c r="Q61" s="5"/>
      <c r="R61" s="5"/>
      <c r="S61" s="5"/>
      <c r="T61" s="5"/>
      <c r="U61" s="5"/>
      <c r="V61" s="5"/>
      <c r="W61" s="5">
        <v>2.6850676214999996</v>
      </c>
      <c r="X61" s="5">
        <v>1</v>
      </c>
      <c r="Y61" s="5">
        <v>2.6850676214999996</v>
      </c>
      <c r="Z61" s="5">
        <v>2.6850676214999996</v>
      </c>
      <c r="AA61" s="5">
        <v>1</v>
      </c>
      <c r="AB61" s="5">
        <v>2.6850676214999996</v>
      </c>
    </row>
    <row r="62" spans="1:28" x14ac:dyDescent="0.2">
      <c r="A62" s="5">
        <v>50</v>
      </c>
      <c r="B62" s="5">
        <v>0</v>
      </c>
      <c r="C62" s="5">
        <v>0</v>
      </c>
      <c r="D62" s="5">
        <v>1</v>
      </c>
      <c r="E62" s="5">
        <v>208</v>
      </c>
      <c r="F62" s="5">
        <f>Source!V39</f>
        <v>0</v>
      </c>
      <c r="G62" s="5" t="s">
        <v>88</v>
      </c>
      <c r="H62" s="5" t="s">
        <v>89</v>
      </c>
      <c r="I62" s="5"/>
      <c r="J62" s="5"/>
      <c r="K62" s="5">
        <v>208</v>
      </c>
      <c r="L62" s="5">
        <v>22</v>
      </c>
      <c r="M62" s="5">
        <v>3</v>
      </c>
      <c r="N62" s="5" t="s">
        <v>3</v>
      </c>
      <c r="O62" s="5">
        <v>-1</v>
      </c>
      <c r="P62" s="5">
        <f>Source!DN39</f>
        <v>0</v>
      </c>
      <c r="Q62" s="5"/>
      <c r="R62" s="5"/>
      <c r="S62" s="5"/>
      <c r="T62" s="5"/>
      <c r="U62" s="5"/>
      <c r="V62" s="5"/>
      <c r="W62" s="5">
        <v>0</v>
      </c>
      <c r="X62" s="5">
        <v>1</v>
      </c>
      <c r="Y62" s="5">
        <v>0</v>
      </c>
      <c r="Z62" s="5">
        <v>0</v>
      </c>
      <c r="AA62" s="5">
        <v>1</v>
      </c>
      <c r="AB62" s="5">
        <v>0</v>
      </c>
    </row>
    <row r="63" spans="1:28" x14ac:dyDescent="0.2">
      <c r="A63" s="5">
        <v>50</v>
      </c>
      <c r="B63" s="5">
        <v>0</v>
      </c>
      <c r="C63" s="5">
        <v>0</v>
      </c>
      <c r="D63" s="5">
        <v>1</v>
      </c>
      <c r="E63" s="5">
        <v>209</v>
      </c>
      <c r="F63" s="5">
        <f>ROUND(Source!W39,O63)</f>
        <v>0</v>
      </c>
      <c r="G63" s="5" t="s">
        <v>90</v>
      </c>
      <c r="H63" s="5" t="s">
        <v>91</v>
      </c>
      <c r="I63" s="5"/>
      <c r="J63" s="5"/>
      <c r="K63" s="5">
        <v>209</v>
      </c>
      <c r="L63" s="5">
        <v>23</v>
      </c>
      <c r="M63" s="5">
        <v>3</v>
      </c>
      <c r="N63" s="5" t="s">
        <v>3</v>
      </c>
      <c r="O63" s="5">
        <v>2</v>
      </c>
      <c r="P63" s="5">
        <f>ROUND(Source!DO39,O63)</f>
        <v>0</v>
      </c>
      <c r="Q63" s="5"/>
      <c r="R63" s="5"/>
      <c r="S63" s="5"/>
      <c r="T63" s="5"/>
      <c r="U63" s="5"/>
      <c r="V63" s="5"/>
      <c r="W63" s="5">
        <v>0</v>
      </c>
      <c r="X63" s="5">
        <v>1</v>
      </c>
      <c r="Y63" s="5">
        <v>0</v>
      </c>
      <c r="Z63" s="5">
        <v>0</v>
      </c>
      <c r="AA63" s="5">
        <v>1</v>
      </c>
      <c r="AB63" s="5">
        <v>0</v>
      </c>
    </row>
    <row r="64" spans="1:28" x14ac:dyDescent="0.2">
      <c r="A64" s="5">
        <v>50</v>
      </c>
      <c r="B64" s="5">
        <v>0</v>
      </c>
      <c r="C64" s="5">
        <v>0</v>
      </c>
      <c r="D64" s="5">
        <v>1</v>
      </c>
      <c r="E64" s="5">
        <v>233</v>
      </c>
      <c r="F64" s="5">
        <f>ROUND(Source!BD39,O64)</f>
        <v>0</v>
      </c>
      <c r="G64" s="5" t="s">
        <v>92</v>
      </c>
      <c r="H64" s="5" t="s">
        <v>93</v>
      </c>
      <c r="I64" s="5"/>
      <c r="J64" s="5"/>
      <c r="K64" s="5">
        <v>233</v>
      </c>
      <c r="L64" s="5">
        <v>24</v>
      </c>
      <c r="M64" s="5">
        <v>3</v>
      </c>
      <c r="N64" s="5" t="s">
        <v>3</v>
      </c>
      <c r="O64" s="5">
        <v>2</v>
      </c>
      <c r="P64" s="5">
        <f>ROUND(Source!EV39,O64)</f>
        <v>0</v>
      </c>
      <c r="Q64" s="5"/>
      <c r="R64" s="5"/>
      <c r="S64" s="5"/>
      <c r="T64" s="5"/>
      <c r="U64" s="5"/>
      <c r="V64" s="5"/>
      <c r="W64" s="5">
        <v>0</v>
      </c>
      <c r="X64" s="5">
        <v>1</v>
      </c>
      <c r="Y64" s="5">
        <v>0</v>
      </c>
      <c r="Z64" s="5">
        <v>0</v>
      </c>
      <c r="AA64" s="5">
        <v>1</v>
      </c>
      <c r="AB64" s="5">
        <v>0</v>
      </c>
    </row>
    <row r="65" spans="1:255" x14ac:dyDescent="0.2">
      <c r="A65" s="5">
        <v>50</v>
      </c>
      <c r="B65" s="5">
        <v>0</v>
      </c>
      <c r="C65" s="5">
        <v>0</v>
      </c>
      <c r="D65" s="5">
        <v>1</v>
      </c>
      <c r="E65" s="5">
        <v>210</v>
      </c>
      <c r="F65" s="5">
        <f>ROUND(Source!X39,O65)</f>
        <v>34.15</v>
      </c>
      <c r="G65" s="5" t="s">
        <v>94</v>
      </c>
      <c r="H65" s="5" t="s">
        <v>95</v>
      </c>
      <c r="I65" s="5"/>
      <c r="J65" s="5"/>
      <c r="K65" s="5">
        <v>210</v>
      </c>
      <c r="L65" s="5">
        <v>25</v>
      </c>
      <c r="M65" s="5">
        <v>3</v>
      </c>
      <c r="N65" s="5" t="s">
        <v>3</v>
      </c>
      <c r="O65" s="5">
        <v>2</v>
      </c>
      <c r="P65" s="5">
        <f>ROUND(Source!DP39,O65)</f>
        <v>1877.88</v>
      </c>
      <c r="Q65" s="5"/>
      <c r="R65" s="5"/>
      <c r="S65" s="5"/>
      <c r="T65" s="5"/>
      <c r="U65" s="5"/>
      <c r="V65" s="5"/>
      <c r="W65" s="5">
        <v>34.15</v>
      </c>
      <c r="X65" s="5">
        <v>1</v>
      </c>
      <c r="Y65" s="5">
        <v>34.15</v>
      </c>
      <c r="Z65" s="5">
        <v>1877.88</v>
      </c>
      <c r="AA65" s="5">
        <v>1</v>
      </c>
      <c r="AB65" s="5">
        <v>1877.88</v>
      </c>
    </row>
    <row r="66" spans="1:255" x14ac:dyDescent="0.2">
      <c r="A66" s="5">
        <v>50</v>
      </c>
      <c r="B66" s="5">
        <v>0</v>
      </c>
      <c r="C66" s="5">
        <v>0</v>
      </c>
      <c r="D66" s="5">
        <v>1</v>
      </c>
      <c r="E66" s="5">
        <v>211</v>
      </c>
      <c r="F66" s="5">
        <f>ROUND(Source!Y39,O66)</f>
        <v>19.12</v>
      </c>
      <c r="G66" s="5" t="s">
        <v>96</v>
      </c>
      <c r="H66" s="5" t="s">
        <v>97</v>
      </c>
      <c r="I66" s="5"/>
      <c r="J66" s="5"/>
      <c r="K66" s="5">
        <v>211</v>
      </c>
      <c r="L66" s="5">
        <v>26</v>
      </c>
      <c r="M66" s="5">
        <v>3</v>
      </c>
      <c r="N66" s="5" t="s">
        <v>3</v>
      </c>
      <c r="O66" s="5">
        <v>2</v>
      </c>
      <c r="P66" s="5">
        <f>ROUND(Source!DQ39,O66)</f>
        <v>1050.93</v>
      </c>
      <c r="Q66" s="5"/>
      <c r="R66" s="5"/>
      <c r="S66" s="5"/>
      <c r="T66" s="5"/>
      <c r="U66" s="5"/>
      <c r="V66" s="5"/>
      <c r="W66" s="5">
        <v>19.12</v>
      </c>
      <c r="X66" s="5">
        <v>1</v>
      </c>
      <c r="Y66" s="5">
        <v>19.12</v>
      </c>
      <c r="Z66" s="5">
        <v>1050.93</v>
      </c>
      <c r="AA66" s="5">
        <v>1</v>
      </c>
      <c r="AB66" s="5">
        <v>1050.93</v>
      </c>
    </row>
    <row r="67" spans="1:255" x14ac:dyDescent="0.2">
      <c r="A67" s="5">
        <v>50</v>
      </c>
      <c r="B67" s="5">
        <v>0</v>
      </c>
      <c r="C67" s="5">
        <v>0</v>
      </c>
      <c r="D67" s="5">
        <v>1</v>
      </c>
      <c r="E67" s="5">
        <v>224</v>
      </c>
      <c r="F67" s="5">
        <f>ROUND(Source!AR39,O67)</f>
        <v>479.74</v>
      </c>
      <c r="G67" s="5" t="s">
        <v>98</v>
      </c>
      <c r="H67" s="5" t="s">
        <v>99</v>
      </c>
      <c r="I67" s="5"/>
      <c r="J67" s="5"/>
      <c r="K67" s="5">
        <v>224</v>
      </c>
      <c r="L67" s="5">
        <v>27</v>
      </c>
      <c r="M67" s="5">
        <v>3</v>
      </c>
      <c r="N67" s="5" t="s">
        <v>3</v>
      </c>
      <c r="O67" s="5">
        <v>2</v>
      </c>
      <c r="P67" s="5">
        <f>ROUND(Source!EJ39,O67)</f>
        <v>4959.97</v>
      </c>
      <c r="Q67" s="5"/>
      <c r="R67" s="5"/>
      <c r="S67" s="5"/>
      <c r="T67" s="5"/>
      <c r="U67" s="5"/>
      <c r="V67" s="5"/>
      <c r="W67" s="5">
        <v>479.74</v>
      </c>
      <c r="X67" s="5">
        <v>1</v>
      </c>
      <c r="Y67" s="5">
        <v>479.74</v>
      </c>
      <c r="Z67" s="5">
        <v>4959.97</v>
      </c>
      <c r="AA67" s="5">
        <v>1</v>
      </c>
      <c r="AB67" s="5">
        <v>4959.97</v>
      </c>
    </row>
    <row r="69" spans="1:255" x14ac:dyDescent="0.2">
      <c r="A69" s="1">
        <v>4</v>
      </c>
      <c r="B69" s="1">
        <v>1</v>
      </c>
      <c r="C69" s="1"/>
      <c r="D69" s="1">
        <f>ROW(A84)</f>
        <v>84</v>
      </c>
      <c r="E69" s="1"/>
      <c r="F69" s="1" t="s">
        <v>3</v>
      </c>
      <c r="G69" s="1" t="s">
        <v>100</v>
      </c>
      <c r="H69" s="1" t="s">
        <v>3</v>
      </c>
      <c r="I69" s="1">
        <v>0</v>
      </c>
      <c r="J69" s="1"/>
      <c r="K69" s="1">
        <v>-1</v>
      </c>
      <c r="L69" s="1"/>
      <c r="M69" s="1" t="s">
        <v>3</v>
      </c>
      <c r="N69" s="1"/>
      <c r="O69" s="1"/>
      <c r="P69" s="1"/>
      <c r="Q69" s="1"/>
      <c r="R69" s="1"/>
      <c r="S69" s="1">
        <v>0</v>
      </c>
      <c r="T69" s="1">
        <v>0</v>
      </c>
      <c r="U69" s="1" t="s">
        <v>3</v>
      </c>
      <c r="V69" s="1">
        <v>2</v>
      </c>
      <c r="W69" s="1"/>
      <c r="X69" s="1"/>
      <c r="Y69" s="1"/>
      <c r="Z69" s="1"/>
      <c r="AA69" s="1"/>
      <c r="AB69" s="1" t="s">
        <v>3</v>
      </c>
      <c r="AC69" s="1" t="s">
        <v>3</v>
      </c>
      <c r="AD69" s="1" t="s">
        <v>3</v>
      </c>
      <c r="AE69" s="1" t="s">
        <v>3</v>
      </c>
      <c r="AF69" s="1" t="s">
        <v>3</v>
      </c>
      <c r="AG69" s="1" t="s">
        <v>3</v>
      </c>
      <c r="AH69" s="1"/>
      <c r="AI69" s="1"/>
      <c r="AJ69" s="1"/>
      <c r="AK69" s="1"/>
      <c r="AL69" s="1"/>
      <c r="AM69" s="1"/>
      <c r="AN69" s="1"/>
      <c r="AO69" s="1"/>
      <c r="AP69" s="1" t="s">
        <v>3</v>
      </c>
      <c r="AQ69" s="1" t="s">
        <v>3</v>
      </c>
      <c r="AR69" s="1" t="s">
        <v>3</v>
      </c>
      <c r="AS69" s="1"/>
      <c r="AT69" s="1"/>
      <c r="AU69" s="1"/>
      <c r="AV69" s="1"/>
      <c r="AW69" s="1"/>
      <c r="AX69" s="1"/>
      <c r="AY69" s="1"/>
      <c r="AZ69" s="1" t="s">
        <v>3</v>
      </c>
      <c r="BA69" s="1"/>
      <c r="BB69" s="1" t="s">
        <v>3</v>
      </c>
      <c r="BC69" s="1" t="s">
        <v>3</v>
      </c>
      <c r="BD69" s="1" t="s">
        <v>3</v>
      </c>
      <c r="BE69" s="1" t="s">
        <v>3</v>
      </c>
      <c r="BF69" s="1" t="s">
        <v>3</v>
      </c>
      <c r="BG69" s="1" t="s">
        <v>3</v>
      </c>
      <c r="BH69" s="1" t="s">
        <v>3</v>
      </c>
      <c r="BI69" s="1" t="s">
        <v>3</v>
      </c>
      <c r="BJ69" s="1" t="s">
        <v>3</v>
      </c>
      <c r="BK69" s="1" t="s">
        <v>3</v>
      </c>
      <c r="BL69" s="1" t="s">
        <v>3</v>
      </c>
      <c r="BM69" s="1" t="s">
        <v>3</v>
      </c>
      <c r="BN69" s="1" t="s">
        <v>3</v>
      </c>
      <c r="BO69" s="1" t="s">
        <v>3</v>
      </c>
      <c r="BP69" s="1" t="s">
        <v>3</v>
      </c>
      <c r="BQ69" s="1"/>
      <c r="BR69" s="1"/>
      <c r="BS69" s="1"/>
      <c r="BT69" s="1"/>
      <c r="BU69" s="1"/>
      <c r="BV69" s="1"/>
      <c r="BW69" s="1"/>
      <c r="BX69" s="1">
        <v>0</v>
      </c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>
        <v>0</v>
      </c>
    </row>
    <row r="71" spans="1:255" x14ac:dyDescent="0.2">
      <c r="A71" s="3">
        <v>52</v>
      </c>
      <c r="B71" s="3">
        <f t="shared" ref="B71:G71" si="50">B84</f>
        <v>1</v>
      </c>
      <c r="C71" s="3">
        <f t="shared" si="50"/>
        <v>4</v>
      </c>
      <c r="D71" s="3">
        <f t="shared" si="50"/>
        <v>69</v>
      </c>
      <c r="E71" s="3">
        <f t="shared" si="50"/>
        <v>0</v>
      </c>
      <c r="F71" s="3" t="str">
        <f t="shared" si="50"/>
        <v/>
      </c>
      <c r="G71" s="3" t="str">
        <f t="shared" si="50"/>
        <v>Оборудование, не облагаемое НДС</v>
      </c>
      <c r="H71" s="3"/>
      <c r="I71" s="3"/>
      <c r="J71" s="3"/>
      <c r="K71" s="3"/>
      <c r="L71" s="3"/>
      <c r="M71" s="3"/>
      <c r="N71" s="3"/>
      <c r="O71" s="3">
        <f t="shared" ref="O71:AT71" si="51">O84</f>
        <v>19804.830000000002</v>
      </c>
      <c r="P71" s="3">
        <f t="shared" si="51"/>
        <v>19804.830000000002</v>
      </c>
      <c r="Q71" s="3">
        <f t="shared" si="51"/>
        <v>0</v>
      </c>
      <c r="R71" s="3">
        <f t="shared" si="51"/>
        <v>0</v>
      </c>
      <c r="S71" s="3">
        <f t="shared" si="51"/>
        <v>0</v>
      </c>
      <c r="T71" s="3">
        <f t="shared" si="51"/>
        <v>0</v>
      </c>
      <c r="U71" s="3">
        <f t="shared" si="51"/>
        <v>0</v>
      </c>
      <c r="V71" s="3">
        <f t="shared" si="51"/>
        <v>0</v>
      </c>
      <c r="W71" s="3">
        <f t="shared" si="51"/>
        <v>0</v>
      </c>
      <c r="X71" s="3">
        <f t="shared" si="51"/>
        <v>0</v>
      </c>
      <c r="Y71" s="3">
        <f t="shared" si="51"/>
        <v>0</v>
      </c>
      <c r="Z71" s="3">
        <f t="shared" si="51"/>
        <v>0</v>
      </c>
      <c r="AA71" s="3">
        <f t="shared" si="51"/>
        <v>0</v>
      </c>
      <c r="AB71" s="3">
        <f t="shared" si="51"/>
        <v>19804.830000000002</v>
      </c>
      <c r="AC71" s="3">
        <f t="shared" si="51"/>
        <v>19804.830000000002</v>
      </c>
      <c r="AD71" s="3">
        <f t="shared" si="51"/>
        <v>0</v>
      </c>
      <c r="AE71" s="3">
        <f t="shared" si="51"/>
        <v>0</v>
      </c>
      <c r="AF71" s="3">
        <f t="shared" si="51"/>
        <v>0</v>
      </c>
      <c r="AG71" s="3">
        <f t="shared" si="51"/>
        <v>0</v>
      </c>
      <c r="AH71" s="3">
        <f t="shared" si="51"/>
        <v>0</v>
      </c>
      <c r="AI71" s="3">
        <f t="shared" si="51"/>
        <v>0</v>
      </c>
      <c r="AJ71" s="3">
        <f t="shared" si="51"/>
        <v>0</v>
      </c>
      <c r="AK71" s="3">
        <f t="shared" si="51"/>
        <v>0</v>
      </c>
      <c r="AL71" s="3">
        <f t="shared" si="51"/>
        <v>0</v>
      </c>
      <c r="AM71" s="3">
        <f t="shared" si="51"/>
        <v>0</v>
      </c>
      <c r="AN71" s="3">
        <f t="shared" si="51"/>
        <v>0</v>
      </c>
      <c r="AO71" s="3">
        <f t="shared" si="51"/>
        <v>0</v>
      </c>
      <c r="AP71" s="3">
        <f t="shared" si="51"/>
        <v>19804.830000000002</v>
      </c>
      <c r="AQ71" s="3">
        <f t="shared" si="51"/>
        <v>0</v>
      </c>
      <c r="AR71" s="3">
        <f t="shared" si="51"/>
        <v>19804.830000000002</v>
      </c>
      <c r="AS71" s="3">
        <f t="shared" si="51"/>
        <v>0</v>
      </c>
      <c r="AT71" s="3">
        <f t="shared" si="51"/>
        <v>0</v>
      </c>
      <c r="AU71" s="3">
        <f t="shared" ref="AU71:BZ71" si="52">AU84</f>
        <v>0</v>
      </c>
      <c r="AV71" s="3">
        <f t="shared" si="52"/>
        <v>19804.830000000002</v>
      </c>
      <c r="AW71" s="3">
        <f t="shared" si="52"/>
        <v>0</v>
      </c>
      <c r="AX71" s="3">
        <f t="shared" si="52"/>
        <v>0</v>
      </c>
      <c r="AY71" s="3">
        <f t="shared" si="52"/>
        <v>0</v>
      </c>
      <c r="AZ71" s="3">
        <f t="shared" si="52"/>
        <v>19804.830000000002</v>
      </c>
      <c r="BA71" s="3">
        <f t="shared" si="52"/>
        <v>0</v>
      </c>
      <c r="BB71" s="3">
        <f t="shared" si="52"/>
        <v>0</v>
      </c>
      <c r="BC71" s="3">
        <f t="shared" si="52"/>
        <v>0</v>
      </c>
      <c r="BD71" s="3">
        <f t="shared" si="52"/>
        <v>0</v>
      </c>
      <c r="BE71" s="3">
        <f t="shared" si="52"/>
        <v>0</v>
      </c>
      <c r="BF71" s="3">
        <f t="shared" si="52"/>
        <v>0</v>
      </c>
      <c r="BG71" s="3">
        <f t="shared" si="52"/>
        <v>0</v>
      </c>
      <c r="BH71" s="3">
        <f t="shared" si="52"/>
        <v>0</v>
      </c>
      <c r="BI71" s="3">
        <f t="shared" si="52"/>
        <v>0</v>
      </c>
      <c r="BJ71" s="3">
        <f t="shared" si="52"/>
        <v>0</v>
      </c>
      <c r="BK71" s="3">
        <f t="shared" si="52"/>
        <v>0</v>
      </c>
      <c r="BL71" s="3">
        <f t="shared" si="52"/>
        <v>0</v>
      </c>
      <c r="BM71" s="3">
        <f t="shared" si="52"/>
        <v>0</v>
      </c>
      <c r="BN71" s="3">
        <f t="shared" si="52"/>
        <v>0</v>
      </c>
      <c r="BO71" s="3">
        <f t="shared" si="52"/>
        <v>0</v>
      </c>
      <c r="BP71" s="3">
        <f t="shared" si="52"/>
        <v>0</v>
      </c>
      <c r="BQ71" s="3">
        <f t="shared" si="52"/>
        <v>0</v>
      </c>
      <c r="BR71" s="3">
        <f t="shared" si="52"/>
        <v>0</v>
      </c>
      <c r="BS71" s="3">
        <f t="shared" si="52"/>
        <v>0</v>
      </c>
      <c r="BT71" s="3">
        <f t="shared" si="52"/>
        <v>0</v>
      </c>
      <c r="BU71" s="3">
        <f t="shared" si="52"/>
        <v>0</v>
      </c>
      <c r="BV71" s="3">
        <f t="shared" si="52"/>
        <v>0</v>
      </c>
      <c r="BW71" s="3">
        <f t="shared" si="52"/>
        <v>0</v>
      </c>
      <c r="BX71" s="3">
        <f t="shared" si="52"/>
        <v>0</v>
      </c>
      <c r="BY71" s="3">
        <f t="shared" si="52"/>
        <v>19804.830000000002</v>
      </c>
      <c r="BZ71" s="3">
        <f t="shared" si="52"/>
        <v>0</v>
      </c>
      <c r="CA71" s="3">
        <f t="shared" ref="CA71:DF71" si="53">CA84</f>
        <v>19804.830000000002</v>
      </c>
      <c r="CB71" s="3">
        <f t="shared" si="53"/>
        <v>0</v>
      </c>
      <c r="CC71" s="3">
        <f t="shared" si="53"/>
        <v>0</v>
      </c>
      <c r="CD71" s="3">
        <f t="shared" si="53"/>
        <v>0</v>
      </c>
      <c r="CE71" s="3">
        <f t="shared" si="53"/>
        <v>19804.830000000002</v>
      </c>
      <c r="CF71" s="3">
        <f t="shared" si="53"/>
        <v>0</v>
      </c>
      <c r="CG71" s="3">
        <f t="shared" si="53"/>
        <v>0</v>
      </c>
      <c r="CH71" s="3">
        <f t="shared" si="53"/>
        <v>0</v>
      </c>
      <c r="CI71" s="3">
        <f t="shared" si="53"/>
        <v>19804.830000000002</v>
      </c>
      <c r="CJ71" s="3">
        <f t="shared" si="53"/>
        <v>0</v>
      </c>
      <c r="CK71" s="3">
        <f t="shared" si="53"/>
        <v>0</v>
      </c>
      <c r="CL71" s="3">
        <f t="shared" si="53"/>
        <v>0</v>
      </c>
      <c r="CM71" s="3">
        <f t="shared" si="53"/>
        <v>0</v>
      </c>
      <c r="CN71" s="3">
        <f t="shared" si="53"/>
        <v>0</v>
      </c>
      <c r="CO71" s="3">
        <f t="shared" si="53"/>
        <v>0</v>
      </c>
      <c r="CP71" s="3">
        <f t="shared" si="53"/>
        <v>0</v>
      </c>
      <c r="CQ71" s="3">
        <f t="shared" si="53"/>
        <v>0</v>
      </c>
      <c r="CR71" s="3">
        <f t="shared" si="53"/>
        <v>0</v>
      </c>
      <c r="CS71" s="3">
        <f t="shared" si="53"/>
        <v>0</v>
      </c>
      <c r="CT71" s="3">
        <f t="shared" si="53"/>
        <v>0</v>
      </c>
      <c r="CU71" s="3">
        <f t="shared" si="53"/>
        <v>0</v>
      </c>
      <c r="CV71" s="3">
        <f t="shared" si="53"/>
        <v>0</v>
      </c>
      <c r="CW71" s="3">
        <f t="shared" si="53"/>
        <v>0</v>
      </c>
      <c r="CX71" s="3">
        <f t="shared" si="53"/>
        <v>0</v>
      </c>
      <c r="CY71" s="3">
        <f t="shared" si="53"/>
        <v>0</v>
      </c>
      <c r="CZ71" s="3">
        <f t="shared" si="53"/>
        <v>0</v>
      </c>
      <c r="DA71" s="3">
        <f t="shared" si="53"/>
        <v>0</v>
      </c>
      <c r="DB71" s="3">
        <f t="shared" si="53"/>
        <v>0</v>
      </c>
      <c r="DC71" s="3">
        <f t="shared" si="53"/>
        <v>0</v>
      </c>
      <c r="DD71" s="3">
        <f t="shared" si="53"/>
        <v>0</v>
      </c>
      <c r="DE71" s="3">
        <f t="shared" si="53"/>
        <v>0</v>
      </c>
      <c r="DF71" s="3">
        <f t="shared" si="53"/>
        <v>0</v>
      </c>
      <c r="DG71" s="4">
        <f t="shared" ref="DG71:EL71" si="54">DG84</f>
        <v>62665.62</v>
      </c>
      <c r="DH71" s="4">
        <f t="shared" si="54"/>
        <v>62665.62</v>
      </c>
      <c r="DI71" s="4">
        <f t="shared" si="54"/>
        <v>0</v>
      </c>
      <c r="DJ71" s="4">
        <f t="shared" si="54"/>
        <v>0</v>
      </c>
      <c r="DK71" s="4">
        <f t="shared" si="54"/>
        <v>0</v>
      </c>
      <c r="DL71" s="4">
        <f t="shared" si="54"/>
        <v>0</v>
      </c>
      <c r="DM71" s="4">
        <f t="shared" si="54"/>
        <v>0</v>
      </c>
      <c r="DN71" s="4">
        <f t="shared" si="54"/>
        <v>0</v>
      </c>
      <c r="DO71" s="4">
        <f t="shared" si="54"/>
        <v>0</v>
      </c>
      <c r="DP71" s="4">
        <f t="shared" si="54"/>
        <v>0</v>
      </c>
      <c r="DQ71" s="4">
        <f t="shared" si="54"/>
        <v>0</v>
      </c>
      <c r="DR71" s="4">
        <f t="shared" si="54"/>
        <v>0</v>
      </c>
      <c r="DS71" s="4">
        <f t="shared" si="54"/>
        <v>0</v>
      </c>
      <c r="DT71" s="4">
        <f t="shared" si="54"/>
        <v>62665.62</v>
      </c>
      <c r="DU71" s="4">
        <f t="shared" si="54"/>
        <v>62665.62</v>
      </c>
      <c r="DV71" s="4">
        <f t="shared" si="54"/>
        <v>0</v>
      </c>
      <c r="DW71" s="4">
        <f t="shared" si="54"/>
        <v>0</v>
      </c>
      <c r="DX71" s="4">
        <f t="shared" si="54"/>
        <v>0</v>
      </c>
      <c r="DY71" s="4">
        <f t="shared" si="54"/>
        <v>0</v>
      </c>
      <c r="DZ71" s="4">
        <f t="shared" si="54"/>
        <v>0</v>
      </c>
      <c r="EA71" s="4">
        <f t="shared" si="54"/>
        <v>0</v>
      </c>
      <c r="EB71" s="4">
        <f t="shared" si="54"/>
        <v>0</v>
      </c>
      <c r="EC71" s="4">
        <f t="shared" si="54"/>
        <v>0</v>
      </c>
      <c r="ED71" s="4">
        <f t="shared" si="54"/>
        <v>0</v>
      </c>
      <c r="EE71" s="4">
        <f t="shared" si="54"/>
        <v>0</v>
      </c>
      <c r="EF71" s="4">
        <f t="shared" si="54"/>
        <v>0</v>
      </c>
      <c r="EG71" s="4">
        <f t="shared" si="54"/>
        <v>0</v>
      </c>
      <c r="EH71" s="4">
        <f t="shared" si="54"/>
        <v>62665.62</v>
      </c>
      <c r="EI71" s="4">
        <f t="shared" si="54"/>
        <v>0</v>
      </c>
      <c r="EJ71" s="4">
        <f t="shared" si="54"/>
        <v>62665.62</v>
      </c>
      <c r="EK71" s="4">
        <f t="shared" si="54"/>
        <v>0</v>
      </c>
      <c r="EL71" s="4">
        <f t="shared" si="54"/>
        <v>0</v>
      </c>
      <c r="EM71" s="4">
        <f t="shared" ref="EM71:FR71" si="55">EM84</f>
        <v>0</v>
      </c>
      <c r="EN71" s="4">
        <f t="shared" si="55"/>
        <v>62665.62</v>
      </c>
      <c r="EO71" s="4">
        <f t="shared" si="55"/>
        <v>0</v>
      </c>
      <c r="EP71" s="4">
        <f t="shared" si="55"/>
        <v>0</v>
      </c>
      <c r="EQ71" s="4">
        <f t="shared" si="55"/>
        <v>0</v>
      </c>
      <c r="ER71" s="4">
        <f t="shared" si="55"/>
        <v>62665.62</v>
      </c>
      <c r="ES71" s="4">
        <f t="shared" si="55"/>
        <v>0</v>
      </c>
      <c r="ET71" s="4">
        <f t="shared" si="55"/>
        <v>0</v>
      </c>
      <c r="EU71" s="4">
        <f t="shared" si="55"/>
        <v>0</v>
      </c>
      <c r="EV71" s="4">
        <f t="shared" si="55"/>
        <v>0</v>
      </c>
      <c r="EW71" s="4">
        <f t="shared" si="55"/>
        <v>0</v>
      </c>
      <c r="EX71" s="4">
        <f t="shared" si="55"/>
        <v>0</v>
      </c>
      <c r="EY71" s="4">
        <f t="shared" si="55"/>
        <v>0</v>
      </c>
      <c r="EZ71" s="4">
        <f t="shared" si="55"/>
        <v>0</v>
      </c>
      <c r="FA71" s="4">
        <f t="shared" si="55"/>
        <v>0</v>
      </c>
      <c r="FB71" s="4">
        <f t="shared" si="55"/>
        <v>0</v>
      </c>
      <c r="FC71" s="4">
        <f t="shared" si="55"/>
        <v>0</v>
      </c>
      <c r="FD71" s="4">
        <f t="shared" si="55"/>
        <v>0</v>
      </c>
      <c r="FE71" s="4">
        <f t="shared" si="55"/>
        <v>0</v>
      </c>
      <c r="FF71" s="4">
        <f t="shared" si="55"/>
        <v>0</v>
      </c>
      <c r="FG71" s="4">
        <f t="shared" si="55"/>
        <v>0</v>
      </c>
      <c r="FH71" s="4">
        <f t="shared" si="55"/>
        <v>0</v>
      </c>
      <c r="FI71" s="4">
        <f t="shared" si="55"/>
        <v>0</v>
      </c>
      <c r="FJ71" s="4">
        <f t="shared" si="55"/>
        <v>0</v>
      </c>
      <c r="FK71" s="4">
        <f t="shared" si="55"/>
        <v>0</v>
      </c>
      <c r="FL71" s="4">
        <f t="shared" si="55"/>
        <v>0</v>
      </c>
      <c r="FM71" s="4">
        <f t="shared" si="55"/>
        <v>0</v>
      </c>
      <c r="FN71" s="4">
        <f t="shared" si="55"/>
        <v>0</v>
      </c>
      <c r="FO71" s="4">
        <f t="shared" si="55"/>
        <v>0</v>
      </c>
      <c r="FP71" s="4">
        <f t="shared" si="55"/>
        <v>0</v>
      </c>
      <c r="FQ71" s="4">
        <f t="shared" si="55"/>
        <v>62665.62</v>
      </c>
      <c r="FR71" s="4">
        <f t="shared" si="55"/>
        <v>0</v>
      </c>
      <c r="FS71" s="4">
        <f t="shared" ref="FS71:GX71" si="56">FS84</f>
        <v>62665.62</v>
      </c>
      <c r="FT71" s="4">
        <f t="shared" si="56"/>
        <v>0</v>
      </c>
      <c r="FU71" s="4">
        <f t="shared" si="56"/>
        <v>0</v>
      </c>
      <c r="FV71" s="4">
        <f t="shared" si="56"/>
        <v>0</v>
      </c>
      <c r="FW71" s="4">
        <f t="shared" si="56"/>
        <v>62665.62</v>
      </c>
      <c r="FX71" s="4">
        <f t="shared" si="56"/>
        <v>0</v>
      </c>
      <c r="FY71" s="4">
        <f t="shared" si="56"/>
        <v>0</v>
      </c>
      <c r="FZ71" s="4">
        <f t="shared" si="56"/>
        <v>0</v>
      </c>
      <c r="GA71" s="4">
        <f t="shared" si="56"/>
        <v>62665.62</v>
      </c>
      <c r="GB71" s="4">
        <f t="shared" si="56"/>
        <v>0</v>
      </c>
      <c r="GC71" s="4">
        <f t="shared" si="56"/>
        <v>0</v>
      </c>
      <c r="GD71" s="4">
        <f t="shared" si="56"/>
        <v>0</v>
      </c>
      <c r="GE71" s="4">
        <f t="shared" si="56"/>
        <v>0</v>
      </c>
      <c r="GF71" s="4">
        <f t="shared" si="56"/>
        <v>0</v>
      </c>
      <c r="GG71" s="4">
        <f t="shared" si="56"/>
        <v>0</v>
      </c>
      <c r="GH71" s="4">
        <f t="shared" si="56"/>
        <v>0</v>
      </c>
      <c r="GI71" s="4">
        <f t="shared" si="56"/>
        <v>0</v>
      </c>
      <c r="GJ71" s="4">
        <f t="shared" si="56"/>
        <v>0</v>
      </c>
      <c r="GK71" s="4">
        <f t="shared" si="56"/>
        <v>0</v>
      </c>
      <c r="GL71" s="4">
        <f t="shared" si="56"/>
        <v>0</v>
      </c>
      <c r="GM71" s="4">
        <f t="shared" si="56"/>
        <v>0</v>
      </c>
      <c r="GN71" s="4">
        <f t="shared" si="56"/>
        <v>0</v>
      </c>
      <c r="GO71" s="4">
        <f t="shared" si="56"/>
        <v>0</v>
      </c>
      <c r="GP71" s="4">
        <f t="shared" si="56"/>
        <v>0</v>
      </c>
      <c r="GQ71" s="4">
        <f t="shared" si="56"/>
        <v>0</v>
      </c>
      <c r="GR71" s="4">
        <f t="shared" si="56"/>
        <v>0</v>
      </c>
      <c r="GS71" s="4">
        <f t="shared" si="56"/>
        <v>0</v>
      </c>
      <c r="GT71" s="4">
        <f t="shared" si="56"/>
        <v>0</v>
      </c>
      <c r="GU71" s="4">
        <f t="shared" si="56"/>
        <v>0</v>
      </c>
      <c r="GV71" s="4">
        <f t="shared" si="56"/>
        <v>0</v>
      </c>
      <c r="GW71" s="4">
        <f t="shared" si="56"/>
        <v>0</v>
      </c>
      <c r="GX71" s="4">
        <f t="shared" si="56"/>
        <v>0</v>
      </c>
    </row>
    <row r="73" spans="1:255" x14ac:dyDescent="0.2">
      <c r="A73" s="2">
        <v>17</v>
      </c>
      <c r="B73" s="2">
        <v>1</v>
      </c>
      <c r="C73" s="2"/>
      <c r="D73" s="2"/>
      <c r="E73" s="2" t="s">
        <v>101</v>
      </c>
      <c r="F73" s="2" t="s">
        <v>102</v>
      </c>
      <c r="G73" s="2" t="s">
        <v>103</v>
      </c>
      <c r="H73" s="2" t="s">
        <v>104</v>
      </c>
      <c r="I73" s="2">
        <v>1</v>
      </c>
      <c r="J73" s="2">
        <v>0</v>
      </c>
      <c r="K73" s="2">
        <v>1</v>
      </c>
      <c r="L73" s="2"/>
      <c r="M73" s="2"/>
      <c r="N73" s="2"/>
      <c r="O73" s="2">
        <f t="shared" ref="O73:O82" si="57">ROUND(CP73,2)</f>
        <v>7974.05</v>
      </c>
      <c r="P73" s="2">
        <f t="shared" ref="P73:P82" si="58">ROUND((ROUND((AC73*I73),2)*BC73),2)</f>
        <v>7974.05</v>
      </c>
      <c r="Q73" s="2">
        <f t="shared" ref="Q73:Q82" si="59">(ROUND((ROUND(((ET73)*AV73*I73),2)*BB73),2)+ROUND((ROUND(((AE73-(EU73))*AV73*I73),2)*BS73),2))</f>
        <v>0</v>
      </c>
      <c r="R73" s="2">
        <f t="shared" ref="R73:R82" si="60">(ROUND((ROUND(((EU73)*AV73*I73),2)*BS73),2)+ROUND((ROUND(((AE73-(EU73))*AV73*I73),2)*BS73),2))</f>
        <v>0</v>
      </c>
      <c r="S73" s="2">
        <f t="shared" ref="S73:S82" si="61">ROUND((ROUND((AF73*AV73*I73),2)*BA73),2)</f>
        <v>0</v>
      </c>
      <c r="T73" s="2">
        <f t="shared" ref="T73:T82" si="62">ROUND(CU73*I73,2)</f>
        <v>0</v>
      </c>
      <c r="U73" s="2">
        <f t="shared" ref="U73:U82" si="63">CV73*I73</f>
        <v>0</v>
      </c>
      <c r="V73" s="2">
        <f t="shared" ref="V73:V82" si="64">CW73*I73</f>
        <v>0</v>
      </c>
      <c r="W73" s="2">
        <f t="shared" ref="W73:W82" si="65">ROUND(CX73*I73,2)</f>
        <v>0</v>
      </c>
      <c r="X73" s="2">
        <f t="shared" ref="X73:X82" si="66">(ROUND((((S73+ROUND((ROUND(((EU73)*AV73*I73),2)*BS73),2))*AT73)/100),2)+ROUND(((ROUND((ROUND(((AE73-(EU73))*AV73*I73),2)*BS73),2)*AT73)/100),2))</f>
        <v>0</v>
      </c>
      <c r="Y73" s="2">
        <f t="shared" ref="Y73:Y82" si="67">(ROUND((((S73+ROUND((ROUND(((EU73)*AV73*I73),2)*BS73),2))*AU73)/100),2)+ROUND(((ROUND((ROUND(((AE73-(EU73))*AV73*I73),2)*BS73),2)*AU73)/100),2))</f>
        <v>0</v>
      </c>
      <c r="Z73" s="2"/>
      <c r="AA73" s="2">
        <v>59499218</v>
      </c>
      <c r="AB73" s="2">
        <f t="shared" ref="AB73:AB82" si="68">ROUND((AC73+AD73+AF73),6)</f>
        <v>7974.05</v>
      </c>
      <c r="AC73" s="2">
        <f t="shared" ref="AC73:AC82" si="69">ROUND((ES73),6)</f>
        <v>7974.05</v>
      </c>
      <c r="AD73" s="2">
        <f t="shared" ref="AD73:AD82" si="70">ROUND((((ET73)-(EU73))+AE73),6)</f>
        <v>0</v>
      </c>
      <c r="AE73" s="2">
        <f t="shared" ref="AE73:AE82" si="71">ROUND((EU73),6)</f>
        <v>0</v>
      </c>
      <c r="AF73" s="2">
        <f t="shared" ref="AF73:AF82" si="72">ROUND((EV73),6)</f>
        <v>0</v>
      </c>
      <c r="AG73" s="2">
        <f t="shared" ref="AG73:AG82" si="73">ROUND((AP73),6)</f>
        <v>0</v>
      </c>
      <c r="AH73" s="2">
        <f t="shared" ref="AH73:AH82" si="74">(EW73)</f>
        <v>0</v>
      </c>
      <c r="AI73" s="2">
        <f t="shared" ref="AI73:AI82" si="75">(EX73)</f>
        <v>0</v>
      </c>
      <c r="AJ73" s="2">
        <f t="shared" ref="AJ73:AJ82" si="76">(AS73)</f>
        <v>0</v>
      </c>
      <c r="AK73" s="2">
        <v>7974.05</v>
      </c>
      <c r="AL73" s="2">
        <v>7974.05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1</v>
      </c>
      <c r="AW73" s="2">
        <v>1</v>
      </c>
      <c r="AX73" s="2"/>
      <c r="AY73" s="2"/>
      <c r="AZ73" s="2">
        <v>1</v>
      </c>
      <c r="BA73" s="2">
        <v>1</v>
      </c>
      <c r="BB73" s="2">
        <v>1</v>
      </c>
      <c r="BC73" s="2">
        <v>1</v>
      </c>
      <c r="BD73" s="2" t="s">
        <v>3</v>
      </c>
      <c r="BE73" s="2" t="s">
        <v>3</v>
      </c>
      <c r="BF73" s="2" t="s">
        <v>3</v>
      </c>
      <c r="BG73" s="2" t="s">
        <v>3</v>
      </c>
      <c r="BH73" s="2">
        <v>3</v>
      </c>
      <c r="BI73" s="2">
        <v>3</v>
      </c>
      <c r="BJ73" s="2" t="s">
        <v>3</v>
      </c>
      <c r="BK73" s="2"/>
      <c r="BL73" s="2"/>
      <c r="BM73" s="2">
        <v>746</v>
      </c>
      <c r="BN73" s="2">
        <v>59298886</v>
      </c>
      <c r="BO73" s="2" t="s">
        <v>3</v>
      </c>
      <c r="BP73" s="2">
        <v>0</v>
      </c>
      <c r="BQ73" s="2">
        <v>130</v>
      </c>
      <c r="BR73" s="2">
        <v>0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 t="s">
        <v>3</v>
      </c>
      <c r="BZ73" s="2">
        <v>0</v>
      </c>
      <c r="CA73" s="2">
        <v>0</v>
      </c>
      <c r="CB73" s="2" t="s">
        <v>3</v>
      </c>
      <c r="CC73" s="2"/>
      <c r="CD73" s="2"/>
      <c r="CE73" s="2">
        <v>1566</v>
      </c>
      <c r="CF73" s="2">
        <v>0</v>
      </c>
      <c r="CG73" s="2">
        <v>0</v>
      </c>
      <c r="CH73" s="2"/>
      <c r="CI73" s="2"/>
      <c r="CJ73" s="2"/>
      <c r="CK73" s="2"/>
      <c r="CL73" s="2"/>
      <c r="CM73" s="2">
        <v>0</v>
      </c>
      <c r="CN73" s="2" t="s">
        <v>3</v>
      </c>
      <c r="CO73" s="2">
        <v>0</v>
      </c>
      <c r="CP73" s="2">
        <f t="shared" ref="CP73:CP82" si="77">(P73+Q73+S73)</f>
        <v>7974.05</v>
      </c>
      <c r="CQ73" s="2">
        <f t="shared" ref="CQ73:CQ82" si="78">ROUND((ROUND((AC73*1),2)*BC73),2)</f>
        <v>7974.05</v>
      </c>
      <c r="CR73" s="2">
        <f t="shared" ref="CR73:CR82" si="79">(ROUND((ROUND(((ET73)*AV73*1),2)*BB73),2)+ROUND((ROUND(((AE73-(EU73))*AV73*1),2)*BS73),2))</f>
        <v>0</v>
      </c>
      <c r="CS73" s="2">
        <f t="shared" ref="CS73:CS82" si="80">(ROUND((ROUND(((EU73)*AV73*1),2)*BS73),2)+ROUND((ROUND(((AE73-(EU73))*AV73*1),2)*BS73),2))</f>
        <v>0</v>
      </c>
      <c r="CT73" s="2">
        <f t="shared" ref="CT73:CT82" si="81">ROUND((ROUND((AF73*AV73*1),2)*BA73),2)</f>
        <v>0</v>
      </c>
      <c r="CU73" s="2">
        <f t="shared" ref="CU73:CU82" si="82">AG73</f>
        <v>0</v>
      </c>
      <c r="CV73" s="2">
        <f t="shared" ref="CV73:CV82" si="83">(AH73*AV73)</f>
        <v>0</v>
      </c>
      <c r="CW73" s="2">
        <f t="shared" ref="CW73:CW82" si="84">AI73</f>
        <v>0</v>
      </c>
      <c r="CX73" s="2">
        <f t="shared" ref="CX73:CX82" si="85">AJ73</f>
        <v>0</v>
      </c>
      <c r="CY73" s="2">
        <f t="shared" ref="CY73:CY82" si="86">(ROUND((((S73+ROUND((ROUND(((EU73)*AV73*1),2)*BS73),2))*AT73)/100),2)+ROUND(((ROUND((ROUND(((AE73-(EU73))*AV73*1),2)*BS73),2)*AT73)/100),2))</f>
        <v>0</v>
      </c>
      <c r="CZ73" s="2">
        <f t="shared" ref="CZ73:CZ82" si="87">(ROUND((((S73+ROUND((ROUND(((EU73)*AV73*1),2)*BS73),2))*AU73)/100),2)+ROUND(((ROUND((ROUND(((AE73-(EU73))*AV73*1),2)*BS73),2)*AU73)/100),2))</f>
        <v>0</v>
      </c>
      <c r="DA73" s="2"/>
      <c r="DB73" s="2"/>
      <c r="DC73" s="2" t="s">
        <v>3</v>
      </c>
      <c r="DD73" s="2" t="s">
        <v>3</v>
      </c>
      <c r="DE73" s="2" t="s">
        <v>3</v>
      </c>
      <c r="DF73" s="2" t="s">
        <v>3</v>
      </c>
      <c r="DG73" s="2" t="s">
        <v>3</v>
      </c>
      <c r="DH73" s="2" t="s">
        <v>3</v>
      </c>
      <c r="DI73" s="2" t="s">
        <v>3</v>
      </c>
      <c r="DJ73" s="2" t="s">
        <v>3</v>
      </c>
      <c r="DK73" s="2" t="s">
        <v>3</v>
      </c>
      <c r="DL73" s="2" t="s">
        <v>3</v>
      </c>
      <c r="DM73" s="2" t="s">
        <v>3</v>
      </c>
      <c r="DN73" s="2">
        <v>0</v>
      </c>
      <c r="DO73" s="2">
        <v>0</v>
      </c>
      <c r="DP73" s="2">
        <v>1</v>
      </c>
      <c r="DQ73" s="2">
        <v>1</v>
      </c>
      <c r="DR73" s="2"/>
      <c r="DS73" s="2"/>
      <c r="DT73" s="2"/>
      <c r="DU73" s="2">
        <v>1013</v>
      </c>
      <c r="DV73" s="2" t="s">
        <v>104</v>
      </c>
      <c r="DW73" s="2" t="s">
        <v>104</v>
      </c>
      <c r="DX73" s="2">
        <v>1</v>
      </c>
      <c r="DY73" s="2"/>
      <c r="DZ73" s="2" t="s">
        <v>3</v>
      </c>
      <c r="EA73" s="2" t="s">
        <v>3</v>
      </c>
      <c r="EB73" s="2" t="s">
        <v>3</v>
      </c>
      <c r="EC73" s="2" t="s">
        <v>3</v>
      </c>
      <c r="ED73" s="2"/>
      <c r="EE73" s="2">
        <v>59299131</v>
      </c>
      <c r="EF73" s="2">
        <v>130</v>
      </c>
      <c r="EG73" s="2" t="s">
        <v>105</v>
      </c>
      <c r="EH73" s="2">
        <v>0</v>
      </c>
      <c r="EI73" s="2" t="s">
        <v>3</v>
      </c>
      <c r="EJ73" s="2">
        <v>3</v>
      </c>
      <c r="EK73" s="2">
        <v>746</v>
      </c>
      <c r="EL73" s="2" t="s">
        <v>106</v>
      </c>
      <c r="EM73" s="2" t="s">
        <v>107</v>
      </c>
      <c r="EN73" s="2"/>
      <c r="EO73" s="2" t="s">
        <v>3</v>
      </c>
      <c r="EP73" s="2"/>
      <c r="EQ73" s="2">
        <v>0</v>
      </c>
      <c r="ER73" s="2">
        <v>7974.05</v>
      </c>
      <c r="ES73" s="2">
        <v>7974.05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>
        <v>0</v>
      </c>
      <c r="FR73" s="2">
        <f t="shared" ref="FR73:FR82" si="88">P73</f>
        <v>7974.05</v>
      </c>
      <c r="FS73" s="2">
        <v>0</v>
      </c>
      <c r="FT73" s="2"/>
      <c r="FU73" s="2"/>
      <c r="FV73" s="2"/>
      <c r="FW73" s="2"/>
      <c r="FX73" s="2">
        <v>0</v>
      </c>
      <c r="FY73" s="2">
        <v>0</v>
      </c>
      <c r="FZ73" s="2"/>
      <c r="GA73" s="2" t="s">
        <v>3</v>
      </c>
      <c r="GB73" s="2"/>
      <c r="GC73" s="2"/>
      <c r="GD73" s="2">
        <v>1</v>
      </c>
      <c r="GE73" s="2"/>
      <c r="GF73" s="2">
        <v>929854053</v>
      </c>
      <c r="GG73" s="2">
        <v>2</v>
      </c>
      <c r="GH73" s="2">
        <v>1</v>
      </c>
      <c r="GI73" s="2">
        <v>-2</v>
      </c>
      <c r="GJ73" s="2">
        <v>0</v>
      </c>
      <c r="GK73" s="2">
        <v>0</v>
      </c>
      <c r="GL73" s="2">
        <f t="shared" ref="GL73:GL82" si="89">ROUND(IF(AND(BH73=3,BI73=3,FS73&lt;&gt;0),P73,0),2)</f>
        <v>0</v>
      </c>
      <c r="GM73" s="2">
        <f t="shared" ref="GM73:GM82" si="90">ROUND(O73+X73+Y73,2)+GX73</f>
        <v>7974.05</v>
      </c>
      <c r="GN73" s="2">
        <f t="shared" ref="GN73:GN82" si="91">IF(OR(BI73=0,BI73=1),GM73-GX73,0)</f>
        <v>0</v>
      </c>
      <c r="GO73" s="2">
        <f t="shared" ref="GO73:GO82" si="92">IF(BI73=2,GM73-GX73,0)</f>
        <v>0</v>
      </c>
      <c r="GP73" s="2">
        <f t="shared" ref="GP73:GP82" si="93">IF(BI73=4,GM73-GX73,0)</f>
        <v>0</v>
      </c>
      <c r="GQ73" s="2"/>
      <c r="GR73" s="2">
        <v>0</v>
      </c>
      <c r="GS73" s="2">
        <v>3</v>
      </c>
      <c r="GT73" s="2">
        <v>0</v>
      </c>
      <c r="GU73" s="2" t="s">
        <v>3</v>
      </c>
      <c r="GV73" s="2">
        <f t="shared" ref="GV73:GV82" si="94">ROUND((GT73),6)</f>
        <v>0</v>
      </c>
      <c r="GW73" s="2">
        <v>1</v>
      </c>
      <c r="GX73" s="2">
        <f t="shared" ref="GX73:GX82" si="95">ROUND(HC73*I73,2)</f>
        <v>0</v>
      </c>
      <c r="GY73" s="2"/>
      <c r="GZ73" s="2"/>
      <c r="HA73" s="2">
        <v>0</v>
      </c>
      <c r="HB73" s="2">
        <v>0</v>
      </c>
      <c r="HC73" s="2">
        <f t="shared" ref="HC73:HC82" si="96">GV73*GW73</f>
        <v>0</v>
      </c>
      <c r="HD73" s="2"/>
      <c r="HE73" s="2" t="s">
        <v>3</v>
      </c>
      <c r="HF73" s="2" t="s">
        <v>3</v>
      </c>
      <c r="HG73" s="2"/>
      <c r="HH73" s="2"/>
      <c r="HI73" s="2"/>
      <c r="HJ73" s="2"/>
      <c r="HK73" s="2"/>
      <c r="HL73" s="2"/>
      <c r="HM73" s="2" t="s">
        <v>3</v>
      </c>
      <c r="HN73" s="2" t="s">
        <v>3</v>
      </c>
      <c r="HO73" s="2" t="s">
        <v>3</v>
      </c>
      <c r="HP73" s="2" t="s">
        <v>3</v>
      </c>
      <c r="HQ73" s="2" t="s">
        <v>3</v>
      </c>
      <c r="HR73" s="2"/>
      <c r="HS73" s="2">
        <v>0</v>
      </c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>
        <v>0</v>
      </c>
      <c r="IL73" s="2"/>
      <c r="IM73" s="2"/>
      <c r="IN73" s="2"/>
      <c r="IO73" s="2"/>
      <c r="IP73" s="2"/>
      <c r="IQ73" s="2"/>
      <c r="IR73" s="2"/>
      <c r="IS73" s="2"/>
      <c r="IT73" s="2"/>
      <c r="IU73" s="2"/>
    </row>
    <row r="74" spans="1:255" x14ac:dyDescent="0.2">
      <c r="A74">
        <v>17</v>
      </c>
      <c r="B74">
        <v>1</v>
      </c>
      <c r="E74" t="s">
        <v>101</v>
      </c>
      <c r="F74" t="s">
        <v>102</v>
      </c>
      <c r="G74" t="s">
        <v>103</v>
      </c>
      <c r="H74" t="s">
        <v>104</v>
      </c>
      <c r="I74">
        <v>1</v>
      </c>
      <c r="J74">
        <v>0</v>
      </c>
      <c r="K74">
        <v>1</v>
      </c>
      <c r="O74">
        <f t="shared" si="57"/>
        <v>20573.05</v>
      </c>
      <c r="P74">
        <f t="shared" si="58"/>
        <v>20573.05</v>
      </c>
      <c r="Q74">
        <f t="shared" si="59"/>
        <v>0</v>
      </c>
      <c r="R74">
        <f t="shared" si="60"/>
        <v>0</v>
      </c>
      <c r="S74">
        <f t="shared" si="61"/>
        <v>0</v>
      </c>
      <c r="T74">
        <f t="shared" si="62"/>
        <v>0</v>
      </c>
      <c r="U74">
        <f t="shared" si="63"/>
        <v>0</v>
      </c>
      <c r="V74">
        <f t="shared" si="64"/>
        <v>0</v>
      </c>
      <c r="W74">
        <f t="shared" si="65"/>
        <v>0</v>
      </c>
      <c r="X74">
        <f t="shared" si="66"/>
        <v>0</v>
      </c>
      <c r="Y74">
        <f t="shared" si="67"/>
        <v>0</v>
      </c>
      <c r="AA74">
        <v>59499215</v>
      </c>
      <c r="AB74">
        <f t="shared" si="68"/>
        <v>7974.05</v>
      </c>
      <c r="AC74">
        <f t="shared" si="69"/>
        <v>7974.05</v>
      </c>
      <c r="AD74">
        <f t="shared" si="70"/>
        <v>0</v>
      </c>
      <c r="AE74">
        <f t="shared" si="71"/>
        <v>0</v>
      </c>
      <c r="AF74">
        <f t="shared" si="72"/>
        <v>0</v>
      </c>
      <c r="AG74">
        <f t="shared" si="73"/>
        <v>0</v>
      </c>
      <c r="AH74">
        <f t="shared" si="74"/>
        <v>0</v>
      </c>
      <c r="AI74">
        <f t="shared" si="75"/>
        <v>0</v>
      </c>
      <c r="AJ74">
        <f t="shared" si="76"/>
        <v>0</v>
      </c>
      <c r="AK74">
        <v>7974.05</v>
      </c>
      <c r="AL74">
        <v>7974.05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1</v>
      </c>
      <c r="AZ74">
        <v>1</v>
      </c>
      <c r="BA74">
        <v>1</v>
      </c>
      <c r="BB74">
        <v>1</v>
      </c>
      <c r="BC74">
        <v>2.58</v>
      </c>
      <c r="BD74" t="s">
        <v>3</v>
      </c>
      <c r="BE74" t="s">
        <v>3</v>
      </c>
      <c r="BF74" t="s">
        <v>3</v>
      </c>
      <c r="BG74" t="s">
        <v>3</v>
      </c>
      <c r="BH74">
        <v>3</v>
      </c>
      <c r="BI74">
        <v>3</v>
      </c>
      <c r="BJ74" t="s">
        <v>3</v>
      </c>
      <c r="BM74">
        <v>746</v>
      </c>
      <c r="BN74">
        <v>59298886</v>
      </c>
      <c r="BO74" t="s">
        <v>3</v>
      </c>
      <c r="BP74">
        <v>0</v>
      </c>
      <c r="BQ74">
        <v>130</v>
      </c>
      <c r="BR74">
        <v>0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 t="s">
        <v>3</v>
      </c>
      <c r="BZ74">
        <v>0</v>
      </c>
      <c r="CA74">
        <v>0</v>
      </c>
      <c r="CB74" t="s">
        <v>3</v>
      </c>
      <c r="CE74">
        <v>1566</v>
      </c>
      <c r="CF74">
        <v>0</v>
      </c>
      <c r="CG74">
        <v>0</v>
      </c>
      <c r="CM74">
        <v>0</v>
      </c>
      <c r="CN74" t="s">
        <v>3</v>
      </c>
      <c r="CO74">
        <v>0</v>
      </c>
      <c r="CP74">
        <f t="shared" si="77"/>
        <v>20573.05</v>
      </c>
      <c r="CQ74">
        <f t="shared" si="78"/>
        <v>20573.05</v>
      </c>
      <c r="CR74">
        <f t="shared" si="79"/>
        <v>0</v>
      </c>
      <c r="CS74">
        <f t="shared" si="80"/>
        <v>0</v>
      </c>
      <c r="CT74">
        <f t="shared" si="81"/>
        <v>0</v>
      </c>
      <c r="CU74">
        <f t="shared" si="82"/>
        <v>0</v>
      </c>
      <c r="CV74">
        <f t="shared" si="83"/>
        <v>0</v>
      </c>
      <c r="CW74">
        <f t="shared" si="84"/>
        <v>0</v>
      </c>
      <c r="CX74">
        <f t="shared" si="85"/>
        <v>0</v>
      </c>
      <c r="CY74">
        <f t="shared" si="86"/>
        <v>0</v>
      </c>
      <c r="CZ74">
        <f t="shared" si="87"/>
        <v>0</v>
      </c>
      <c r="DC74" t="s">
        <v>3</v>
      </c>
      <c r="DD74" t="s">
        <v>3</v>
      </c>
      <c r="DE74" t="s">
        <v>3</v>
      </c>
      <c r="DF74" t="s">
        <v>3</v>
      </c>
      <c r="DG74" t="s">
        <v>3</v>
      </c>
      <c r="DH74" t="s">
        <v>3</v>
      </c>
      <c r="DI74" t="s">
        <v>3</v>
      </c>
      <c r="DJ74" t="s">
        <v>3</v>
      </c>
      <c r="DK74" t="s">
        <v>3</v>
      </c>
      <c r="DL74" t="s">
        <v>3</v>
      </c>
      <c r="DM74" t="s">
        <v>3</v>
      </c>
      <c r="DN74">
        <v>0</v>
      </c>
      <c r="DO74">
        <v>0</v>
      </c>
      <c r="DP74">
        <v>1</v>
      </c>
      <c r="DQ74">
        <v>1</v>
      </c>
      <c r="DU74">
        <v>1013</v>
      </c>
      <c r="DV74" t="s">
        <v>104</v>
      </c>
      <c r="DW74" t="s">
        <v>104</v>
      </c>
      <c r="DX74">
        <v>1</v>
      </c>
      <c r="DZ74" t="s">
        <v>3</v>
      </c>
      <c r="EA74" t="s">
        <v>3</v>
      </c>
      <c r="EB74" t="s">
        <v>3</v>
      </c>
      <c r="EC74" t="s">
        <v>3</v>
      </c>
      <c r="EE74">
        <v>59299131</v>
      </c>
      <c r="EF74">
        <v>130</v>
      </c>
      <c r="EG74" t="s">
        <v>105</v>
      </c>
      <c r="EH74">
        <v>0</v>
      </c>
      <c r="EI74" t="s">
        <v>3</v>
      </c>
      <c r="EJ74">
        <v>3</v>
      </c>
      <c r="EK74">
        <v>746</v>
      </c>
      <c r="EL74" t="s">
        <v>106</v>
      </c>
      <c r="EM74" t="s">
        <v>107</v>
      </c>
      <c r="EO74" t="s">
        <v>3</v>
      </c>
      <c r="EQ74">
        <v>0</v>
      </c>
      <c r="ER74">
        <v>7974.05</v>
      </c>
      <c r="ES74">
        <v>7974.05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FQ74">
        <v>0</v>
      </c>
      <c r="FR74">
        <f t="shared" si="88"/>
        <v>20573.05</v>
      </c>
      <c r="FS74">
        <v>0</v>
      </c>
      <c r="FX74">
        <v>0</v>
      </c>
      <c r="FY74">
        <v>0</v>
      </c>
      <c r="GA74" t="s">
        <v>3</v>
      </c>
      <c r="GD74">
        <v>1</v>
      </c>
      <c r="GF74">
        <v>929854053</v>
      </c>
      <c r="GG74">
        <v>2</v>
      </c>
      <c r="GH74">
        <v>1</v>
      </c>
      <c r="GI74">
        <v>2</v>
      </c>
      <c r="GJ74">
        <v>0</v>
      </c>
      <c r="GK74">
        <v>0</v>
      </c>
      <c r="GL74">
        <f t="shared" si="89"/>
        <v>0</v>
      </c>
      <c r="GM74">
        <f t="shared" si="90"/>
        <v>20573.05</v>
      </c>
      <c r="GN74">
        <f t="shared" si="91"/>
        <v>0</v>
      </c>
      <c r="GO74">
        <f t="shared" si="92"/>
        <v>0</v>
      </c>
      <c r="GP74">
        <f t="shared" si="93"/>
        <v>0</v>
      </c>
      <c r="GR74">
        <v>0</v>
      </c>
      <c r="GS74">
        <v>3</v>
      </c>
      <c r="GT74">
        <v>0</v>
      </c>
      <c r="GU74" t="s">
        <v>3</v>
      </c>
      <c r="GV74">
        <f t="shared" si="94"/>
        <v>0</v>
      </c>
      <c r="GW74">
        <v>1</v>
      </c>
      <c r="GX74">
        <f t="shared" si="95"/>
        <v>0</v>
      </c>
      <c r="HA74">
        <v>0</v>
      </c>
      <c r="HB74">
        <v>0</v>
      </c>
      <c r="HC74">
        <f t="shared" si="96"/>
        <v>0</v>
      </c>
      <c r="HE74" t="s">
        <v>3</v>
      </c>
      <c r="HF74" t="s">
        <v>3</v>
      </c>
      <c r="HM74" t="s">
        <v>3</v>
      </c>
      <c r="HN74" t="s">
        <v>3</v>
      </c>
      <c r="HO74" t="s">
        <v>3</v>
      </c>
      <c r="HP74" t="s">
        <v>3</v>
      </c>
      <c r="HQ74" t="s">
        <v>3</v>
      </c>
      <c r="HS74">
        <v>0</v>
      </c>
      <c r="IK74">
        <v>0</v>
      </c>
    </row>
    <row r="75" spans="1:255" x14ac:dyDescent="0.2">
      <c r="A75" s="2">
        <v>17</v>
      </c>
      <c r="B75" s="2">
        <v>1</v>
      </c>
      <c r="C75" s="2"/>
      <c r="D75" s="2"/>
      <c r="E75" s="2" t="s">
        <v>108</v>
      </c>
      <c r="F75" s="2" t="s">
        <v>109</v>
      </c>
      <c r="G75" s="2" t="s">
        <v>110</v>
      </c>
      <c r="H75" s="2" t="s">
        <v>104</v>
      </c>
      <c r="I75" s="2">
        <f>ROUND(1+1,9)</f>
        <v>2</v>
      </c>
      <c r="J75" s="2">
        <v>0</v>
      </c>
      <c r="K75" s="2">
        <f>ROUND(1+1,9)</f>
        <v>2</v>
      </c>
      <c r="L75" s="2"/>
      <c r="M75" s="2"/>
      <c r="N75" s="2"/>
      <c r="O75" s="2">
        <f t="shared" si="57"/>
        <v>5920.6</v>
      </c>
      <c r="P75" s="2">
        <f t="shared" si="58"/>
        <v>5920.6</v>
      </c>
      <c r="Q75" s="2">
        <f t="shared" si="59"/>
        <v>0</v>
      </c>
      <c r="R75" s="2">
        <f t="shared" si="60"/>
        <v>0</v>
      </c>
      <c r="S75" s="2">
        <f t="shared" si="61"/>
        <v>0</v>
      </c>
      <c r="T75" s="2">
        <f t="shared" si="62"/>
        <v>0</v>
      </c>
      <c r="U75" s="2">
        <f t="shared" si="63"/>
        <v>0</v>
      </c>
      <c r="V75" s="2">
        <f t="shared" si="64"/>
        <v>0</v>
      </c>
      <c r="W75" s="2">
        <f t="shared" si="65"/>
        <v>0</v>
      </c>
      <c r="X75" s="2">
        <f t="shared" si="66"/>
        <v>0</v>
      </c>
      <c r="Y75" s="2">
        <f t="shared" si="67"/>
        <v>0</v>
      </c>
      <c r="Z75" s="2"/>
      <c r="AA75" s="2">
        <v>59499218</v>
      </c>
      <c r="AB75" s="2">
        <f t="shared" si="68"/>
        <v>2960.3</v>
      </c>
      <c r="AC75" s="2">
        <f t="shared" si="69"/>
        <v>2960.3</v>
      </c>
      <c r="AD75" s="2">
        <f t="shared" si="70"/>
        <v>0</v>
      </c>
      <c r="AE75" s="2">
        <f t="shared" si="71"/>
        <v>0</v>
      </c>
      <c r="AF75" s="2">
        <f t="shared" si="72"/>
        <v>0</v>
      </c>
      <c r="AG75" s="2">
        <f t="shared" si="73"/>
        <v>0</v>
      </c>
      <c r="AH75" s="2">
        <f t="shared" si="74"/>
        <v>0</v>
      </c>
      <c r="AI75" s="2">
        <f t="shared" si="75"/>
        <v>0</v>
      </c>
      <c r="AJ75" s="2">
        <f t="shared" si="76"/>
        <v>0</v>
      </c>
      <c r="AK75" s="2">
        <v>2960.3</v>
      </c>
      <c r="AL75" s="2">
        <v>2960.3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1</v>
      </c>
      <c r="AW75" s="2">
        <v>1</v>
      </c>
      <c r="AX75" s="2"/>
      <c r="AY75" s="2"/>
      <c r="AZ75" s="2">
        <v>1</v>
      </c>
      <c r="BA75" s="2">
        <v>1</v>
      </c>
      <c r="BB75" s="2">
        <v>1</v>
      </c>
      <c r="BC75" s="2">
        <v>1</v>
      </c>
      <c r="BD75" s="2" t="s">
        <v>3</v>
      </c>
      <c r="BE75" s="2" t="s">
        <v>3</v>
      </c>
      <c r="BF75" s="2" t="s">
        <v>3</v>
      </c>
      <c r="BG75" s="2" t="s">
        <v>3</v>
      </c>
      <c r="BH75" s="2">
        <v>3</v>
      </c>
      <c r="BI75" s="2">
        <v>3</v>
      </c>
      <c r="BJ75" s="2" t="s">
        <v>3</v>
      </c>
      <c r="BK75" s="2"/>
      <c r="BL75" s="2"/>
      <c r="BM75" s="2">
        <v>746</v>
      </c>
      <c r="BN75" s="2">
        <v>59298886</v>
      </c>
      <c r="BO75" s="2" t="s">
        <v>3</v>
      </c>
      <c r="BP75" s="2">
        <v>0</v>
      </c>
      <c r="BQ75" s="2">
        <v>130</v>
      </c>
      <c r="BR75" s="2">
        <v>0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 t="s">
        <v>3</v>
      </c>
      <c r="BZ75" s="2">
        <v>0</v>
      </c>
      <c r="CA75" s="2">
        <v>0</v>
      </c>
      <c r="CB75" s="2" t="s">
        <v>3</v>
      </c>
      <c r="CC75" s="2"/>
      <c r="CD75" s="2"/>
      <c r="CE75" s="2">
        <v>1566</v>
      </c>
      <c r="CF75" s="2">
        <v>0</v>
      </c>
      <c r="CG75" s="2">
        <v>0</v>
      </c>
      <c r="CH75" s="2"/>
      <c r="CI75" s="2"/>
      <c r="CJ75" s="2"/>
      <c r="CK75" s="2"/>
      <c r="CL75" s="2"/>
      <c r="CM75" s="2">
        <v>0</v>
      </c>
      <c r="CN75" s="2" t="s">
        <v>3</v>
      </c>
      <c r="CO75" s="2">
        <v>0</v>
      </c>
      <c r="CP75" s="2">
        <f t="shared" si="77"/>
        <v>5920.6</v>
      </c>
      <c r="CQ75" s="2">
        <f t="shared" si="78"/>
        <v>2960.3</v>
      </c>
      <c r="CR75" s="2">
        <f t="shared" si="79"/>
        <v>0</v>
      </c>
      <c r="CS75" s="2">
        <f t="shared" si="80"/>
        <v>0</v>
      </c>
      <c r="CT75" s="2">
        <f t="shared" si="81"/>
        <v>0</v>
      </c>
      <c r="CU75" s="2">
        <f t="shared" si="82"/>
        <v>0</v>
      </c>
      <c r="CV75" s="2">
        <f t="shared" si="83"/>
        <v>0</v>
      </c>
      <c r="CW75" s="2">
        <f t="shared" si="84"/>
        <v>0</v>
      </c>
      <c r="CX75" s="2">
        <f t="shared" si="85"/>
        <v>0</v>
      </c>
      <c r="CY75" s="2">
        <f t="shared" si="86"/>
        <v>0</v>
      </c>
      <c r="CZ75" s="2">
        <f t="shared" si="87"/>
        <v>0</v>
      </c>
      <c r="DA75" s="2"/>
      <c r="DB75" s="2"/>
      <c r="DC75" s="2" t="s">
        <v>3</v>
      </c>
      <c r="DD75" s="2" t="s">
        <v>3</v>
      </c>
      <c r="DE75" s="2" t="s">
        <v>3</v>
      </c>
      <c r="DF75" s="2" t="s">
        <v>3</v>
      </c>
      <c r="DG75" s="2" t="s">
        <v>3</v>
      </c>
      <c r="DH75" s="2" t="s">
        <v>3</v>
      </c>
      <c r="DI75" s="2" t="s">
        <v>3</v>
      </c>
      <c r="DJ75" s="2" t="s">
        <v>3</v>
      </c>
      <c r="DK75" s="2" t="s">
        <v>3</v>
      </c>
      <c r="DL75" s="2" t="s">
        <v>3</v>
      </c>
      <c r="DM75" s="2" t="s">
        <v>3</v>
      </c>
      <c r="DN75" s="2">
        <v>0</v>
      </c>
      <c r="DO75" s="2">
        <v>0</v>
      </c>
      <c r="DP75" s="2">
        <v>1</v>
      </c>
      <c r="DQ75" s="2">
        <v>1</v>
      </c>
      <c r="DR75" s="2"/>
      <c r="DS75" s="2"/>
      <c r="DT75" s="2"/>
      <c r="DU75" s="2">
        <v>1013</v>
      </c>
      <c r="DV75" s="2" t="s">
        <v>104</v>
      </c>
      <c r="DW75" s="2" t="s">
        <v>104</v>
      </c>
      <c r="DX75" s="2">
        <v>1</v>
      </c>
      <c r="DY75" s="2"/>
      <c r="DZ75" s="2" t="s">
        <v>3</v>
      </c>
      <c r="EA75" s="2" t="s">
        <v>3</v>
      </c>
      <c r="EB75" s="2" t="s">
        <v>3</v>
      </c>
      <c r="EC75" s="2" t="s">
        <v>3</v>
      </c>
      <c r="ED75" s="2"/>
      <c r="EE75" s="2">
        <v>59299131</v>
      </c>
      <c r="EF75" s="2">
        <v>130</v>
      </c>
      <c r="EG75" s="2" t="s">
        <v>105</v>
      </c>
      <c r="EH75" s="2">
        <v>0</v>
      </c>
      <c r="EI75" s="2" t="s">
        <v>3</v>
      </c>
      <c r="EJ75" s="2">
        <v>3</v>
      </c>
      <c r="EK75" s="2">
        <v>746</v>
      </c>
      <c r="EL75" s="2" t="s">
        <v>106</v>
      </c>
      <c r="EM75" s="2" t="s">
        <v>107</v>
      </c>
      <c r="EN75" s="2"/>
      <c r="EO75" s="2" t="s">
        <v>3</v>
      </c>
      <c r="EP75" s="2"/>
      <c r="EQ75" s="2">
        <v>0</v>
      </c>
      <c r="ER75" s="2">
        <v>2960.3</v>
      </c>
      <c r="ES75" s="2">
        <v>2960.3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>
        <v>0</v>
      </c>
      <c r="FR75" s="2">
        <f t="shared" si="88"/>
        <v>5920.6</v>
      </c>
      <c r="FS75" s="2">
        <v>0</v>
      </c>
      <c r="FT75" s="2"/>
      <c r="FU75" s="2"/>
      <c r="FV75" s="2"/>
      <c r="FW75" s="2"/>
      <c r="FX75" s="2">
        <v>0</v>
      </c>
      <c r="FY75" s="2">
        <v>0</v>
      </c>
      <c r="FZ75" s="2"/>
      <c r="GA75" s="2" t="s">
        <v>3</v>
      </c>
      <c r="GB75" s="2"/>
      <c r="GC75" s="2"/>
      <c r="GD75" s="2">
        <v>1</v>
      </c>
      <c r="GE75" s="2"/>
      <c r="GF75" s="2">
        <v>334117407</v>
      </c>
      <c r="GG75" s="2">
        <v>2</v>
      </c>
      <c r="GH75" s="2">
        <v>1</v>
      </c>
      <c r="GI75" s="2">
        <v>-2</v>
      </c>
      <c r="GJ75" s="2">
        <v>0</v>
      </c>
      <c r="GK75" s="2">
        <v>0</v>
      </c>
      <c r="GL75" s="2">
        <f t="shared" si="89"/>
        <v>0</v>
      </c>
      <c r="GM75" s="2">
        <f t="shared" si="90"/>
        <v>5920.6</v>
      </c>
      <c r="GN75" s="2">
        <f t="shared" si="91"/>
        <v>0</v>
      </c>
      <c r="GO75" s="2">
        <f t="shared" si="92"/>
        <v>0</v>
      </c>
      <c r="GP75" s="2">
        <f t="shared" si="93"/>
        <v>0</v>
      </c>
      <c r="GQ75" s="2"/>
      <c r="GR75" s="2">
        <v>0</v>
      </c>
      <c r="GS75" s="2">
        <v>3</v>
      </c>
      <c r="GT75" s="2">
        <v>0</v>
      </c>
      <c r="GU75" s="2" t="s">
        <v>3</v>
      </c>
      <c r="GV75" s="2">
        <f t="shared" si="94"/>
        <v>0</v>
      </c>
      <c r="GW75" s="2">
        <v>1</v>
      </c>
      <c r="GX75" s="2">
        <f t="shared" si="95"/>
        <v>0</v>
      </c>
      <c r="GY75" s="2"/>
      <c r="GZ75" s="2"/>
      <c r="HA75" s="2">
        <v>0</v>
      </c>
      <c r="HB75" s="2">
        <v>0</v>
      </c>
      <c r="HC75" s="2">
        <f t="shared" si="96"/>
        <v>0</v>
      </c>
      <c r="HD75" s="2"/>
      <c r="HE75" s="2" t="s">
        <v>3</v>
      </c>
      <c r="HF75" s="2" t="s">
        <v>3</v>
      </c>
      <c r="HG75" s="2"/>
      <c r="HH75" s="2"/>
      <c r="HI75" s="2"/>
      <c r="HJ75" s="2"/>
      <c r="HK75" s="2"/>
      <c r="HL75" s="2"/>
      <c r="HM75" s="2" t="s">
        <v>3</v>
      </c>
      <c r="HN75" s="2" t="s">
        <v>3</v>
      </c>
      <c r="HO75" s="2" t="s">
        <v>3</v>
      </c>
      <c r="HP75" s="2" t="s">
        <v>3</v>
      </c>
      <c r="HQ75" s="2" t="s">
        <v>3</v>
      </c>
      <c r="HR75" s="2"/>
      <c r="HS75" s="2">
        <v>0</v>
      </c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>
        <v>0</v>
      </c>
      <c r="IL75" s="2"/>
      <c r="IM75" s="2"/>
      <c r="IN75" s="2"/>
      <c r="IO75" s="2"/>
      <c r="IP75" s="2"/>
      <c r="IQ75" s="2"/>
      <c r="IR75" s="2"/>
      <c r="IS75" s="2"/>
      <c r="IT75" s="2"/>
      <c r="IU75" s="2"/>
    </row>
    <row r="76" spans="1:255" x14ac:dyDescent="0.2">
      <c r="A76">
        <v>17</v>
      </c>
      <c r="B76">
        <v>1</v>
      </c>
      <c r="E76" t="s">
        <v>108</v>
      </c>
      <c r="F76" t="s">
        <v>109</v>
      </c>
      <c r="G76" t="s">
        <v>110</v>
      </c>
      <c r="H76" t="s">
        <v>104</v>
      </c>
      <c r="I76">
        <f>ROUND(1+1,9)</f>
        <v>2</v>
      </c>
      <c r="J76">
        <v>0</v>
      </c>
      <c r="K76">
        <f>ROUND(1+1,9)</f>
        <v>2</v>
      </c>
      <c r="O76">
        <f t="shared" si="57"/>
        <v>20722.099999999999</v>
      </c>
      <c r="P76">
        <f t="shared" si="58"/>
        <v>20722.099999999999</v>
      </c>
      <c r="Q76">
        <f t="shared" si="59"/>
        <v>0</v>
      </c>
      <c r="R76">
        <f t="shared" si="60"/>
        <v>0</v>
      </c>
      <c r="S76">
        <f t="shared" si="61"/>
        <v>0</v>
      </c>
      <c r="T76">
        <f t="shared" si="62"/>
        <v>0</v>
      </c>
      <c r="U76">
        <f t="shared" si="63"/>
        <v>0</v>
      </c>
      <c r="V76">
        <f t="shared" si="64"/>
        <v>0</v>
      </c>
      <c r="W76">
        <f t="shared" si="65"/>
        <v>0</v>
      </c>
      <c r="X76">
        <f t="shared" si="66"/>
        <v>0</v>
      </c>
      <c r="Y76">
        <f t="shared" si="67"/>
        <v>0</v>
      </c>
      <c r="AA76">
        <v>59499215</v>
      </c>
      <c r="AB76">
        <f t="shared" si="68"/>
        <v>2960.3</v>
      </c>
      <c r="AC76">
        <f t="shared" si="69"/>
        <v>2960.3</v>
      </c>
      <c r="AD76">
        <f t="shared" si="70"/>
        <v>0</v>
      </c>
      <c r="AE76">
        <f t="shared" si="71"/>
        <v>0</v>
      </c>
      <c r="AF76">
        <f t="shared" si="72"/>
        <v>0</v>
      </c>
      <c r="AG76">
        <f t="shared" si="73"/>
        <v>0</v>
      </c>
      <c r="AH76">
        <f t="shared" si="74"/>
        <v>0</v>
      </c>
      <c r="AI76">
        <f t="shared" si="75"/>
        <v>0</v>
      </c>
      <c r="AJ76">
        <f t="shared" si="76"/>
        <v>0</v>
      </c>
      <c r="AK76">
        <v>2960.3</v>
      </c>
      <c r="AL76">
        <v>2960.3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1</v>
      </c>
      <c r="AZ76">
        <v>1</v>
      </c>
      <c r="BA76">
        <v>1</v>
      </c>
      <c r="BB76">
        <v>1</v>
      </c>
      <c r="BC76">
        <v>3.5</v>
      </c>
      <c r="BD76" t="s">
        <v>3</v>
      </c>
      <c r="BE76" t="s">
        <v>3</v>
      </c>
      <c r="BF76" t="s">
        <v>3</v>
      </c>
      <c r="BG76" t="s">
        <v>3</v>
      </c>
      <c r="BH76">
        <v>3</v>
      </c>
      <c r="BI76">
        <v>3</v>
      </c>
      <c r="BJ76" t="s">
        <v>3</v>
      </c>
      <c r="BM76">
        <v>746</v>
      </c>
      <c r="BN76">
        <v>59298886</v>
      </c>
      <c r="BO76" t="s">
        <v>3</v>
      </c>
      <c r="BP76">
        <v>0</v>
      </c>
      <c r="BQ76">
        <v>130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 t="s">
        <v>3</v>
      </c>
      <c r="BZ76">
        <v>0</v>
      </c>
      <c r="CA76">
        <v>0</v>
      </c>
      <c r="CB76" t="s">
        <v>3</v>
      </c>
      <c r="CE76">
        <v>1566</v>
      </c>
      <c r="CF76">
        <v>0</v>
      </c>
      <c r="CG76">
        <v>0</v>
      </c>
      <c r="CM76">
        <v>0</v>
      </c>
      <c r="CN76" t="s">
        <v>3</v>
      </c>
      <c r="CO76">
        <v>0</v>
      </c>
      <c r="CP76">
        <f t="shared" si="77"/>
        <v>20722.099999999999</v>
      </c>
      <c r="CQ76">
        <f t="shared" si="78"/>
        <v>10361.049999999999</v>
      </c>
      <c r="CR76">
        <f t="shared" si="79"/>
        <v>0</v>
      </c>
      <c r="CS76">
        <f t="shared" si="80"/>
        <v>0</v>
      </c>
      <c r="CT76">
        <f t="shared" si="81"/>
        <v>0</v>
      </c>
      <c r="CU76">
        <f t="shared" si="82"/>
        <v>0</v>
      </c>
      <c r="CV76">
        <f t="shared" si="83"/>
        <v>0</v>
      </c>
      <c r="CW76">
        <f t="shared" si="84"/>
        <v>0</v>
      </c>
      <c r="CX76">
        <f t="shared" si="85"/>
        <v>0</v>
      </c>
      <c r="CY76">
        <f t="shared" si="86"/>
        <v>0</v>
      </c>
      <c r="CZ76">
        <f t="shared" si="87"/>
        <v>0</v>
      </c>
      <c r="DC76" t="s">
        <v>3</v>
      </c>
      <c r="DD76" t="s">
        <v>3</v>
      </c>
      <c r="DE76" t="s">
        <v>3</v>
      </c>
      <c r="DF76" t="s">
        <v>3</v>
      </c>
      <c r="DG76" t="s">
        <v>3</v>
      </c>
      <c r="DH76" t="s">
        <v>3</v>
      </c>
      <c r="DI76" t="s">
        <v>3</v>
      </c>
      <c r="DJ76" t="s">
        <v>3</v>
      </c>
      <c r="DK76" t="s">
        <v>3</v>
      </c>
      <c r="DL76" t="s">
        <v>3</v>
      </c>
      <c r="DM76" t="s">
        <v>3</v>
      </c>
      <c r="DN76">
        <v>0</v>
      </c>
      <c r="DO76">
        <v>0</v>
      </c>
      <c r="DP76">
        <v>1</v>
      </c>
      <c r="DQ76">
        <v>1</v>
      </c>
      <c r="DU76">
        <v>1013</v>
      </c>
      <c r="DV76" t="s">
        <v>104</v>
      </c>
      <c r="DW76" t="s">
        <v>104</v>
      </c>
      <c r="DX76">
        <v>1</v>
      </c>
      <c r="DZ76" t="s">
        <v>3</v>
      </c>
      <c r="EA76" t="s">
        <v>3</v>
      </c>
      <c r="EB76" t="s">
        <v>3</v>
      </c>
      <c r="EC76" t="s">
        <v>3</v>
      </c>
      <c r="EE76">
        <v>59299131</v>
      </c>
      <c r="EF76">
        <v>130</v>
      </c>
      <c r="EG76" t="s">
        <v>105</v>
      </c>
      <c r="EH76">
        <v>0</v>
      </c>
      <c r="EI76" t="s">
        <v>3</v>
      </c>
      <c r="EJ76">
        <v>3</v>
      </c>
      <c r="EK76">
        <v>746</v>
      </c>
      <c r="EL76" t="s">
        <v>106</v>
      </c>
      <c r="EM76" t="s">
        <v>107</v>
      </c>
      <c r="EO76" t="s">
        <v>3</v>
      </c>
      <c r="EQ76">
        <v>0</v>
      </c>
      <c r="ER76">
        <v>2960.3</v>
      </c>
      <c r="ES76">
        <v>2960.3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FQ76">
        <v>0</v>
      </c>
      <c r="FR76">
        <f t="shared" si="88"/>
        <v>20722.099999999999</v>
      </c>
      <c r="FS76">
        <v>0</v>
      </c>
      <c r="FX76">
        <v>0</v>
      </c>
      <c r="FY76">
        <v>0</v>
      </c>
      <c r="GA76" t="s">
        <v>3</v>
      </c>
      <c r="GD76">
        <v>1</v>
      </c>
      <c r="GF76">
        <v>334117407</v>
      </c>
      <c r="GG76">
        <v>2</v>
      </c>
      <c r="GH76">
        <v>1</v>
      </c>
      <c r="GI76">
        <v>2</v>
      </c>
      <c r="GJ76">
        <v>0</v>
      </c>
      <c r="GK76">
        <v>0</v>
      </c>
      <c r="GL76">
        <f t="shared" si="89"/>
        <v>0</v>
      </c>
      <c r="GM76">
        <f t="shared" si="90"/>
        <v>20722.099999999999</v>
      </c>
      <c r="GN76">
        <f t="shared" si="91"/>
        <v>0</v>
      </c>
      <c r="GO76">
        <f t="shared" si="92"/>
        <v>0</v>
      </c>
      <c r="GP76">
        <f t="shared" si="93"/>
        <v>0</v>
      </c>
      <c r="GR76">
        <v>0</v>
      </c>
      <c r="GS76">
        <v>3</v>
      </c>
      <c r="GT76">
        <v>0</v>
      </c>
      <c r="GU76" t="s">
        <v>3</v>
      </c>
      <c r="GV76">
        <f t="shared" si="94"/>
        <v>0</v>
      </c>
      <c r="GW76">
        <v>1</v>
      </c>
      <c r="GX76">
        <f t="shared" si="95"/>
        <v>0</v>
      </c>
      <c r="HA76">
        <v>0</v>
      </c>
      <c r="HB76">
        <v>0</v>
      </c>
      <c r="HC76">
        <f t="shared" si="96"/>
        <v>0</v>
      </c>
      <c r="HE76" t="s">
        <v>3</v>
      </c>
      <c r="HF76" t="s">
        <v>3</v>
      </c>
      <c r="HM76" t="s">
        <v>3</v>
      </c>
      <c r="HN76" t="s">
        <v>3</v>
      </c>
      <c r="HO76" t="s">
        <v>3</v>
      </c>
      <c r="HP76" t="s">
        <v>3</v>
      </c>
      <c r="HQ76" t="s">
        <v>3</v>
      </c>
      <c r="HS76">
        <v>0</v>
      </c>
      <c r="IK76">
        <v>0</v>
      </c>
    </row>
    <row r="77" spans="1:255" x14ac:dyDescent="0.2">
      <c r="A77" s="2">
        <v>17</v>
      </c>
      <c r="B77" s="2">
        <v>1</v>
      </c>
      <c r="C77" s="2"/>
      <c r="D77" s="2"/>
      <c r="E77" s="2" t="s">
        <v>111</v>
      </c>
      <c r="F77" s="2" t="s">
        <v>112</v>
      </c>
      <c r="G77" s="2" t="s">
        <v>113</v>
      </c>
      <c r="H77" s="2" t="s">
        <v>104</v>
      </c>
      <c r="I77" s="2">
        <v>1</v>
      </c>
      <c r="J77" s="2">
        <v>0</v>
      </c>
      <c r="K77" s="2">
        <v>1</v>
      </c>
      <c r="L77" s="2"/>
      <c r="M77" s="2"/>
      <c r="N77" s="2"/>
      <c r="O77" s="2">
        <f t="shared" si="57"/>
        <v>2991.57</v>
      </c>
      <c r="P77" s="2">
        <f t="shared" si="58"/>
        <v>2991.57</v>
      </c>
      <c r="Q77" s="2">
        <f t="shared" si="59"/>
        <v>0</v>
      </c>
      <c r="R77" s="2">
        <f t="shared" si="60"/>
        <v>0</v>
      </c>
      <c r="S77" s="2">
        <f t="shared" si="61"/>
        <v>0</v>
      </c>
      <c r="T77" s="2">
        <f t="shared" si="62"/>
        <v>0</v>
      </c>
      <c r="U77" s="2">
        <f t="shared" si="63"/>
        <v>0</v>
      </c>
      <c r="V77" s="2">
        <f t="shared" si="64"/>
        <v>0</v>
      </c>
      <c r="W77" s="2">
        <f t="shared" si="65"/>
        <v>0</v>
      </c>
      <c r="X77" s="2">
        <f t="shared" si="66"/>
        <v>0</v>
      </c>
      <c r="Y77" s="2">
        <f t="shared" si="67"/>
        <v>0</v>
      </c>
      <c r="Z77" s="2"/>
      <c r="AA77" s="2">
        <v>59499218</v>
      </c>
      <c r="AB77" s="2">
        <f t="shared" si="68"/>
        <v>2991.57</v>
      </c>
      <c r="AC77" s="2">
        <f t="shared" si="69"/>
        <v>2991.57</v>
      </c>
      <c r="AD77" s="2">
        <f t="shared" si="70"/>
        <v>0</v>
      </c>
      <c r="AE77" s="2">
        <f t="shared" si="71"/>
        <v>0</v>
      </c>
      <c r="AF77" s="2">
        <f t="shared" si="72"/>
        <v>0</v>
      </c>
      <c r="AG77" s="2">
        <f t="shared" si="73"/>
        <v>0</v>
      </c>
      <c r="AH77" s="2">
        <f t="shared" si="74"/>
        <v>0</v>
      </c>
      <c r="AI77" s="2">
        <f t="shared" si="75"/>
        <v>0</v>
      </c>
      <c r="AJ77" s="2">
        <f t="shared" si="76"/>
        <v>0</v>
      </c>
      <c r="AK77" s="2">
        <v>2991.57</v>
      </c>
      <c r="AL77" s="2">
        <v>2991.57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1</v>
      </c>
      <c r="AW77" s="2">
        <v>1</v>
      </c>
      <c r="AX77" s="2"/>
      <c r="AY77" s="2"/>
      <c r="AZ77" s="2">
        <v>1</v>
      </c>
      <c r="BA77" s="2">
        <v>1</v>
      </c>
      <c r="BB77" s="2">
        <v>1</v>
      </c>
      <c r="BC77" s="2">
        <v>1</v>
      </c>
      <c r="BD77" s="2" t="s">
        <v>3</v>
      </c>
      <c r="BE77" s="2" t="s">
        <v>3</v>
      </c>
      <c r="BF77" s="2" t="s">
        <v>3</v>
      </c>
      <c r="BG77" s="2" t="s">
        <v>3</v>
      </c>
      <c r="BH77" s="2">
        <v>3</v>
      </c>
      <c r="BI77" s="2">
        <v>3</v>
      </c>
      <c r="BJ77" s="2" t="s">
        <v>3</v>
      </c>
      <c r="BK77" s="2"/>
      <c r="BL77" s="2"/>
      <c r="BM77" s="2">
        <v>746</v>
      </c>
      <c r="BN77" s="2">
        <v>59298886</v>
      </c>
      <c r="BO77" s="2" t="s">
        <v>3</v>
      </c>
      <c r="BP77" s="2">
        <v>0</v>
      </c>
      <c r="BQ77" s="2">
        <v>130</v>
      </c>
      <c r="BR77" s="2">
        <v>0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 t="s">
        <v>3</v>
      </c>
      <c r="BZ77" s="2">
        <v>0</v>
      </c>
      <c r="CA77" s="2">
        <v>0</v>
      </c>
      <c r="CB77" s="2" t="s">
        <v>3</v>
      </c>
      <c r="CC77" s="2"/>
      <c r="CD77" s="2"/>
      <c r="CE77" s="2">
        <v>1566</v>
      </c>
      <c r="CF77" s="2">
        <v>0</v>
      </c>
      <c r="CG77" s="2">
        <v>0</v>
      </c>
      <c r="CH77" s="2"/>
      <c r="CI77" s="2"/>
      <c r="CJ77" s="2"/>
      <c r="CK77" s="2"/>
      <c r="CL77" s="2"/>
      <c r="CM77" s="2">
        <v>0</v>
      </c>
      <c r="CN77" s="2" t="s">
        <v>3</v>
      </c>
      <c r="CO77" s="2">
        <v>0</v>
      </c>
      <c r="CP77" s="2">
        <f t="shared" si="77"/>
        <v>2991.57</v>
      </c>
      <c r="CQ77" s="2">
        <f t="shared" si="78"/>
        <v>2991.57</v>
      </c>
      <c r="CR77" s="2">
        <f t="shared" si="79"/>
        <v>0</v>
      </c>
      <c r="CS77" s="2">
        <f t="shared" si="80"/>
        <v>0</v>
      </c>
      <c r="CT77" s="2">
        <f t="shared" si="81"/>
        <v>0</v>
      </c>
      <c r="CU77" s="2">
        <f t="shared" si="82"/>
        <v>0</v>
      </c>
      <c r="CV77" s="2">
        <f t="shared" si="83"/>
        <v>0</v>
      </c>
      <c r="CW77" s="2">
        <f t="shared" si="84"/>
        <v>0</v>
      </c>
      <c r="CX77" s="2">
        <f t="shared" si="85"/>
        <v>0</v>
      </c>
      <c r="CY77" s="2">
        <f t="shared" si="86"/>
        <v>0</v>
      </c>
      <c r="CZ77" s="2">
        <f t="shared" si="87"/>
        <v>0</v>
      </c>
      <c r="DA77" s="2"/>
      <c r="DB77" s="2"/>
      <c r="DC77" s="2" t="s">
        <v>3</v>
      </c>
      <c r="DD77" s="2" t="s">
        <v>3</v>
      </c>
      <c r="DE77" s="2" t="s">
        <v>3</v>
      </c>
      <c r="DF77" s="2" t="s">
        <v>3</v>
      </c>
      <c r="DG77" s="2" t="s">
        <v>3</v>
      </c>
      <c r="DH77" s="2" t="s">
        <v>3</v>
      </c>
      <c r="DI77" s="2" t="s">
        <v>3</v>
      </c>
      <c r="DJ77" s="2" t="s">
        <v>3</v>
      </c>
      <c r="DK77" s="2" t="s">
        <v>3</v>
      </c>
      <c r="DL77" s="2" t="s">
        <v>3</v>
      </c>
      <c r="DM77" s="2" t="s">
        <v>3</v>
      </c>
      <c r="DN77" s="2">
        <v>0</v>
      </c>
      <c r="DO77" s="2">
        <v>0</v>
      </c>
      <c r="DP77" s="2">
        <v>1</v>
      </c>
      <c r="DQ77" s="2">
        <v>1</v>
      </c>
      <c r="DR77" s="2"/>
      <c r="DS77" s="2"/>
      <c r="DT77" s="2"/>
      <c r="DU77" s="2">
        <v>1013</v>
      </c>
      <c r="DV77" s="2" t="s">
        <v>104</v>
      </c>
      <c r="DW77" s="2" t="s">
        <v>104</v>
      </c>
      <c r="DX77" s="2">
        <v>1</v>
      </c>
      <c r="DY77" s="2"/>
      <c r="DZ77" s="2" t="s">
        <v>3</v>
      </c>
      <c r="EA77" s="2" t="s">
        <v>3</v>
      </c>
      <c r="EB77" s="2" t="s">
        <v>3</v>
      </c>
      <c r="EC77" s="2" t="s">
        <v>3</v>
      </c>
      <c r="ED77" s="2"/>
      <c r="EE77" s="2">
        <v>59299131</v>
      </c>
      <c r="EF77" s="2">
        <v>130</v>
      </c>
      <c r="EG77" s="2" t="s">
        <v>105</v>
      </c>
      <c r="EH77" s="2">
        <v>0</v>
      </c>
      <c r="EI77" s="2" t="s">
        <v>3</v>
      </c>
      <c r="EJ77" s="2">
        <v>3</v>
      </c>
      <c r="EK77" s="2">
        <v>746</v>
      </c>
      <c r="EL77" s="2" t="s">
        <v>106</v>
      </c>
      <c r="EM77" s="2" t="s">
        <v>107</v>
      </c>
      <c r="EN77" s="2"/>
      <c r="EO77" s="2" t="s">
        <v>3</v>
      </c>
      <c r="EP77" s="2"/>
      <c r="EQ77" s="2">
        <v>0</v>
      </c>
      <c r="ER77" s="2">
        <v>2991.57</v>
      </c>
      <c r="ES77" s="2">
        <v>2991.57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>
        <v>0</v>
      </c>
      <c r="FR77" s="2">
        <f t="shared" si="88"/>
        <v>2991.57</v>
      </c>
      <c r="FS77" s="2">
        <v>0</v>
      </c>
      <c r="FT77" s="2"/>
      <c r="FU77" s="2"/>
      <c r="FV77" s="2"/>
      <c r="FW77" s="2"/>
      <c r="FX77" s="2">
        <v>0</v>
      </c>
      <c r="FY77" s="2">
        <v>0</v>
      </c>
      <c r="FZ77" s="2"/>
      <c r="GA77" s="2" t="s">
        <v>3</v>
      </c>
      <c r="GB77" s="2"/>
      <c r="GC77" s="2"/>
      <c r="GD77" s="2">
        <v>1</v>
      </c>
      <c r="GE77" s="2"/>
      <c r="GF77" s="2">
        <v>576583559</v>
      </c>
      <c r="GG77" s="2">
        <v>2</v>
      </c>
      <c r="GH77" s="2">
        <v>1</v>
      </c>
      <c r="GI77" s="2">
        <v>-2</v>
      </c>
      <c r="GJ77" s="2">
        <v>0</v>
      </c>
      <c r="GK77" s="2">
        <v>0</v>
      </c>
      <c r="GL77" s="2">
        <f t="shared" si="89"/>
        <v>0</v>
      </c>
      <c r="GM77" s="2">
        <f t="shared" si="90"/>
        <v>2991.57</v>
      </c>
      <c r="GN77" s="2">
        <f t="shared" si="91"/>
        <v>0</v>
      </c>
      <c r="GO77" s="2">
        <f t="shared" si="92"/>
        <v>0</v>
      </c>
      <c r="GP77" s="2">
        <f t="shared" si="93"/>
        <v>0</v>
      </c>
      <c r="GQ77" s="2"/>
      <c r="GR77" s="2">
        <v>0</v>
      </c>
      <c r="GS77" s="2">
        <v>3</v>
      </c>
      <c r="GT77" s="2">
        <v>0</v>
      </c>
      <c r="GU77" s="2" t="s">
        <v>3</v>
      </c>
      <c r="GV77" s="2">
        <f t="shared" si="94"/>
        <v>0</v>
      </c>
      <c r="GW77" s="2">
        <v>1</v>
      </c>
      <c r="GX77" s="2">
        <f t="shared" si="95"/>
        <v>0</v>
      </c>
      <c r="GY77" s="2"/>
      <c r="GZ77" s="2"/>
      <c r="HA77" s="2">
        <v>0</v>
      </c>
      <c r="HB77" s="2">
        <v>0</v>
      </c>
      <c r="HC77" s="2">
        <f t="shared" si="96"/>
        <v>0</v>
      </c>
      <c r="HD77" s="2"/>
      <c r="HE77" s="2" t="s">
        <v>3</v>
      </c>
      <c r="HF77" s="2" t="s">
        <v>3</v>
      </c>
      <c r="HG77" s="2"/>
      <c r="HH77" s="2"/>
      <c r="HI77" s="2"/>
      <c r="HJ77" s="2"/>
      <c r="HK77" s="2"/>
      <c r="HL77" s="2"/>
      <c r="HM77" s="2" t="s">
        <v>3</v>
      </c>
      <c r="HN77" s="2" t="s">
        <v>3</v>
      </c>
      <c r="HO77" s="2" t="s">
        <v>3</v>
      </c>
      <c r="HP77" s="2" t="s">
        <v>3</v>
      </c>
      <c r="HQ77" s="2" t="s">
        <v>3</v>
      </c>
      <c r="HR77" s="2"/>
      <c r="HS77" s="2">
        <v>0</v>
      </c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>
        <v>0</v>
      </c>
      <c r="IL77" s="2"/>
      <c r="IM77" s="2"/>
      <c r="IN77" s="2"/>
      <c r="IO77" s="2"/>
      <c r="IP77" s="2"/>
      <c r="IQ77" s="2"/>
      <c r="IR77" s="2"/>
      <c r="IS77" s="2"/>
      <c r="IT77" s="2"/>
      <c r="IU77" s="2"/>
    </row>
    <row r="78" spans="1:255" x14ac:dyDescent="0.2">
      <c r="A78">
        <v>17</v>
      </c>
      <c r="B78">
        <v>1</v>
      </c>
      <c r="E78" t="s">
        <v>111</v>
      </c>
      <c r="F78" t="s">
        <v>112</v>
      </c>
      <c r="G78" t="s">
        <v>113</v>
      </c>
      <c r="H78" t="s">
        <v>104</v>
      </c>
      <c r="I78">
        <v>1</v>
      </c>
      <c r="J78">
        <v>0</v>
      </c>
      <c r="K78">
        <v>1</v>
      </c>
      <c r="O78">
        <f t="shared" si="57"/>
        <v>10320.92</v>
      </c>
      <c r="P78">
        <f t="shared" si="58"/>
        <v>10320.92</v>
      </c>
      <c r="Q78">
        <f t="shared" si="59"/>
        <v>0</v>
      </c>
      <c r="R78">
        <f t="shared" si="60"/>
        <v>0</v>
      </c>
      <c r="S78">
        <f t="shared" si="61"/>
        <v>0</v>
      </c>
      <c r="T78">
        <f t="shared" si="62"/>
        <v>0</v>
      </c>
      <c r="U78">
        <f t="shared" si="63"/>
        <v>0</v>
      </c>
      <c r="V78">
        <f t="shared" si="64"/>
        <v>0</v>
      </c>
      <c r="W78">
        <f t="shared" si="65"/>
        <v>0</v>
      </c>
      <c r="X78">
        <f t="shared" si="66"/>
        <v>0</v>
      </c>
      <c r="Y78">
        <f t="shared" si="67"/>
        <v>0</v>
      </c>
      <c r="AA78">
        <v>59499215</v>
      </c>
      <c r="AB78">
        <f t="shared" si="68"/>
        <v>2991.57</v>
      </c>
      <c r="AC78">
        <f t="shared" si="69"/>
        <v>2991.57</v>
      </c>
      <c r="AD78">
        <f t="shared" si="70"/>
        <v>0</v>
      </c>
      <c r="AE78">
        <f t="shared" si="71"/>
        <v>0</v>
      </c>
      <c r="AF78">
        <f t="shared" si="72"/>
        <v>0</v>
      </c>
      <c r="AG78">
        <f t="shared" si="73"/>
        <v>0</v>
      </c>
      <c r="AH78">
        <f t="shared" si="74"/>
        <v>0</v>
      </c>
      <c r="AI78">
        <f t="shared" si="75"/>
        <v>0</v>
      </c>
      <c r="AJ78">
        <f t="shared" si="76"/>
        <v>0</v>
      </c>
      <c r="AK78">
        <v>2991.57</v>
      </c>
      <c r="AL78">
        <v>2991.57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Z78">
        <v>1</v>
      </c>
      <c r="BA78">
        <v>1</v>
      </c>
      <c r="BB78">
        <v>1</v>
      </c>
      <c r="BC78">
        <v>3.45</v>
      </c>
      <c r="BD78" t="s">
        <v>3</v>
      </c>
      <c r="BE78" t="s">
        <v>3</v>
      </c>
      <c r="BF78" t="s">
        <v>3</v>
      </c>
      <c r="BG78" t="s">
        <v>3</v>
      </c>
      <c r="BH78">
        <v>3</v>
      </c>
      <c r="BI78">
        <v>3</v>
      </c>
      <c r="BJ78" t="s">
        <v>3</v>
      </c>
      <c r="BM78">
        <v>746</v>
      </c>
      <c r="BN78">
        <v>59298886</v>
      </c>
      <c r="BO78" t="s">
        <v>3</v>
      </c>
      <c r="BP78">
        <v>0</v>
      </c>
      <c r="BQ78">
        <v>130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 t="s">
        <v>3</v>
      </c>
      <c r="BZ78">
        <v>0</v>
      </c>
      <c r="CA78">
        <v>0</v>
      </c>
      <c r="CB78" t="s">
        <v>3</v>
      </c>
      <c r="CE78">
        <v>1566</v>
      </c>
      <c r="CF78">
        <v>0</v>
      </c>
      <c r="CG78">
        <v>0</v>
      </c>
      <c r="CM78">
        <v>0</v>
      </c>
      <c r="CN78" t="s">
        <v>3</v>
      </c>
      <c r="CO78">
        <v>0</v>
      </c>
      <c r="CP78">
        <f t="shared" si="77"/>
        <v>10320.92</v>
      </c>
      <c r="CQ78">
        <f t="shared" si="78"/>
        <v>10320.92</v>
      </c>
      <c r="CR78">
        <f t="shared" si="79"/>
        <v>0</v>
      </c>
      <c r="CS78">
        <f t="shared" si="80"/>
        <v>0</v>
      </c>
      <c r="CT78">
        <f t="shared" si="81"/>
        <v>0</v>
      </c>
      <c r="CU78">
        <f t="shared" si="82"/>
        <v>0</v>
      </c>
      <c r="CV78">
        <f t="shared" si="83"/>
        <v>0</v>
      </c>
      <c r="CW78">
        <f t="shared" si="84"/>
        <v>0</v>
      </c>
      <c r="CX78">
        <f t="shared" si="85"/>
        <v>0</v>
      </c>
      <c r="CY78">
        <f t="shared" si="86"/>
        <v>0</v>
      </c>
      <c r="CZ78">
        <f t="shared" si="87"/>
        <v>0</v>
      </c>
      <c r="DC78" t="s">
        <v>3</v>
      </c>
      <c r="DD78" t="s">
        <v>3</v>
      </c>
      <c r="DE78" t="s">
        <v>3</v>
      </c>
      <c r="DF78" t="s">
        <v>3</v>
      </c>
      <c r="DG78" t="s">
        <v>3</v>
      </c>
      <c r="DH78" t="s">
        <v>3</v>
      </c>
      <c r="DI78" t="s">
        <v>3</v>
      </c>
      <c r="DJ78" t="s">
        <v>3</v>
      </c>
      <c r="DK78" t="s">
        <v>3</v>
      </c>
      <c r="DL78" t="s">
        <v>3</v>
      </c>
      <c r="DM78" t="s">
        <v>3</v>
      </c>
      <c r="DN78">
        <v>0</v>
      </c>
      <c r="DO78">
        <v>0</v>
      </c>
      <c r="DP78">
        <v>1</v>
      </c>
      <c r="DQ78">
        <v>1</v>
      </c>
      <c r="DU78">
        <v>1013</v>
      </c>
      <c r="DV78" t="s">
        <v>104</v>
      </c>
      <c r="DW78" t="s">
        <v>104</v>
      </c>
      <c r="DX78">
        <v>1</v>
      </c>
      <c r="DZ78" t="s">
        <v>3</v>
      </c>
      <c r="EA78" t="s">
        <v>3</v>
      </c>
      <c r="EB78" t="s">
        <v>3</v>
      </c>
      <c r="EC78" t="s">
        <v>3</v>
      </c>
      <c r="EE78">
        <v>59299131</v>
      </c>
      <c r="EF78">
        <v>130</v>
      </c>
      <c r="EG78" t="s">
        <v>105</v>
      </c>
      <c r="EH78">
        <v>0</v>
      </c>
      <c r="EI78" t="s">
        <v>3</v>
      </c>
      <c r="EJ78">
        <v>3</v>
      </c>
      <c r="EK78">
        <v>746</v>
      </c>
      <c r="EL78" t="s">
        <v>106</v>
      </c>
      <c r="EM78" t="s">
        <v>107</v>
      </c>
      <c r="EO78" t="s">
        <v>3</v>
      </c>
      <c r="EQ78">
        <v>0</v>
      </c>
      <c r="ER78">
        <v>2991.57</v>
      </c>
      <c r="ES78">
        <v>2991.57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FQ78">
        <v>0</v>
      </c>
      <c r="FR78">
        <f t="shared" si="88"/>
        <v>10320.92</v>
      </c>
      <c r="FS78">
        <v>0</v>
      </c>
      <c r="FX78">
        <v>0</v>
      </c>
      <c r="FY78">
        <v>0</v>
      </c>
      <c r="GA78" t="s">
        <v>3</v>
      </c>
      <c r="GD78">
        <v>1</v>
      </c>
      <c r="GF78">
        <v>576583559</v>
      </c>
      <c r="GG78">
        <v>2</v>
      </c>
      <c r="GH78">
        <v>1</v>
      </c>
      <c r="GI78">
        <v>2</v>
      </c>
      <c r="GJ78">
        <v>0</v>
      </c>
      <c r="GK78">
        <v>0</v>
      </c>
      <c r="GL78">
        <f t="shared" si="89"/>
        <v>0</v>
      </c>
      <c r="GM78">
        <f t="shared" si="90"/>
        <v>10320.92</v>
      </c>
      <c r="GN78">
        <f t="shared" si="91"/>
        <v>0</v>
      </c>
      <c r="GO78">
        <f t="shared" si="92"/>
        <v>0</v>
      </c>
      <c r="GP78">
        <f t="shared" si="93"/>
        <v>0</v>
      </c>
      <c r="GR78">
        <v>0</v>
      </c>
      <c r="GS78">
        <v>3</v>
      </c>
      <c r="GT78">
        <v>0</v>
      </c>
      <c r="GU78" t="s">
        <v>3</v>
      </c>
      <c r="GV78">
        <f t="shared" si="94"/>
        <v>0</v>
      </c>
      <c r="GW78">
        <v>1</v>
      </c>
      <c r="GX78">
        <f t="shared" si="95"/>
        <v>0</v>
      </c>
      <c r="HA78">
        <v>0</v>
      </c>
      <c r="HB78">
        <v>0</v>
      </c>
      <c r="HC78">
        <f t="shared" si="96"/>
        <v>0</v>
      </c>
      <c r="HE78" t="s">
        <v>3</v>
      </c>
      <c r="HF78" t="s">
        <v>3</v>
      </c>
      <c r="HM78" t="s">
        <v>3</v>
      </c>
      <c r="HN78" t="s">
        <v>3</v>
      </c>
      <c r="HO78" t="s">
        <v>3</v>
      </c>
      <c r="HP78" t="s">
        <v>3</v>
      </c>
      <c r="HQ78" t="s">
        <v>3</v>
      </c>
      <c r="HS78">
        <v>0</v>
      </c>
      <c r="IK78">
        <v>0</v>
      </c>
    </row>
    <row r="79" spans="1:255" x14ac:dyDescent="0.2">
      <c r="A79" s="2">
        <v>17</v>
      </c>
      <c r="B79" s="2">
        <v>1</v>
      </c>
      <c r="C79" s="2"/>
      <c r="D79" s="2"/>
      <c r="E79" s="2" t="s">
        <v>114</v>
      </c>
      <c r="F79" s="2" t="s">
        <v>115</v>
      </c>
      <c r="G79" s="2" t="s">
        <v>116</v>
      </c>
      <c r="H79" s="2" t="s">
        <v>104</v>
      </c>
      <c r="I79" s="2">
        <v>1</v>
      </c>
      <c r="J79" s="2">
        <v>0</v>
      </c>
      <c r="K79" s="2">
        <v>1</v>
      </c>
      <c r="L79" s="2"/>
      <c r="M79" s="2"/>
      <c r="N79" s="2"/>
      <c r="O79" s="2">
        <f t="shared" si="57"/>
        <v>2345.31</v>
      </c>
      <c r="P79" s="2">
        <f t="shared" si="58"/>
        <v>2345.31</v>
      </c>
      <c r="Q79" s="2">
        <f t="shared" si="59"/>
        <v>0</v>
      </c>
      <c r="R79" s="2">
        <f t="shared" si="60"/>
        <v>0</v>
      </c>
      <c r="S79" s="2">
        <f t="shared" si="61"/>
        <v>0</v>
      </c>
      <c r="T79" s="2">
        <f t="shared" si="62"/>
        <v>0</v>
      </c>
      <c r="U79" s="2">
        <f t="shared" si="63"/>
        <v>0</v>
      </c>
      <c r="V79" s="2">
        <f t="shared" si="64"/>
        <v>0</v>
      </c>
      <c r="W79" s="2">
        <f t="shared" si="65"/>
        <v>0</v>
      </c>
      <c r="X79" s="2">
        <f t="shared" si="66"/>
        <v>0</v>
      </c>
      <c r="Y79" s="2">
        <f t="shared" si="67"/>
        <v>0</v>
      </c>
      <c r="Z79" s="2"/>
      <c r="AA79" s="2">
        <v>59499218</v>
      </c>
      <c r="AB79" s="2">
        <f t="shared" si="68"/>
        <v>2345.31</v>
      </c>
      <c r="AC79" s="2">
        <f t="shared" si="69"/>
        <v>2345.31</v>
      </c>
      <c r="AD79" s="2">
        <f t="shared" si="70"/>
        <v>0</v>
      </c>
      <c r="AE79" s="2">
        <f t="shared" si="71"/>
        <v>0</v>
      </c>
      <c r="AF79" s="2">
        <f t="shared" si="72"/>
        <v>0</v>
      </c>
      <c r="AG79" s="2">
        <f t="shared" si="73"/>
        <v>0</v>
      </c>
      <c r="AH79" s="2">
        <f t="shared" si="74"/>
        <v>0</v>
      </c>
      <c r="AI79" s="2">
        <f t="shared" si="75"/>
        <v>0</v>
      </c>
      <c r="AJ79" s="2">
        <f t="shared" si="76"/>
        <v>0</v>
      </c>
      <c r="AK79" s="2">
        <v>2345.31</v>
      </c>
      <c r="AL79" s="2">
        <v>2345.31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1</v>
      </c>
      <c r="AW79" s="2">
        <v>1</v>
      </c>
      <c r="AX79" s="2"/>
      <c r="AY79" s="2"/>
      <c r="AZ79" s="2">
        <v>1</v>
      </c>
      <c r="BA79" s="2">
        <v>1</v>
      </c>
      <c r="BB79" s="2">
        <v>1</v>
      </c>
      <c r="BC79" s="2">
        <v>1</v>
      </c>
      <c r="BD79" s="2" t="s">
        <v>3</v>
      </c>
      <c r="BE79" s="2" t="s">
        <v>3</v>
      </c>
      <c r="BF79" s="2" t="s">
        <v>3</v>
      </c>
      <c r="BG79" s="2" t="s">
        <v>3</v>
      </c>
      <c r="BH79" s="2">
        <v>3</v>
      </c>
      <c r="BI79" s="2">
        <v>3</v>
      </c>
      <c r="BJ79" s="2" t="s">
        <v>3</v>
      </c>
      <c r="BK79" s="2"/>
      <c r="BL79" s="2"/>
      <c r="BM79" s="2">
        <v>746</v>
      </c>
      <c r="BN79" s="2">
        <v>59298886</v>
      </c>
      <c r="BO79" s="2" t="s">
        <v>3</v>
      </c>
      <c r="BP79" s="2">
        <v>0</v>
      </c>
      <c r="BQ79" s="2">
        <v>130</v>
      </c>
      <c r="BR79" s="2">
        <v>0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 t="s">
        <v>3</v>
      </c>
      <c r="BZ79" s="2">
        <v>0</v>
      </c>
      <c r="CA79" s="2">
        <v>0</v>
      </c>
      <c r="CB79" s="2" t="s">
        <v>3</v>
      </c>
      <c r="CC79" s="2"/>
      <c r="CD79" s="2"/>
      <c r="CE79" s="2">
        <v>1566</v>
      </c>
      <c r="CF79" s="2">
        <v>0</v>
      </c>
      <c r="CG79" s="2">
        <v>0</v>
      </c>
      <c r="CH79" s="2"/>
      <c r="CI79" s="2"/>
      <c r="CJ79" s="2"/>
      <c r="CK79" s="2"/>
      <c r="CL79" s="2"/>
      <c r="CM79" s="2">
        <v>0</v>
      </c>
      <c r="CN79" s="2" t="s">
        <v>3</v>
      </c>
      <c r="CO79" s="2">
        <v>0</v>
      </c>
      <c r="CP79" s="2">
        <f t="shared" si="77"/>
        <v>2345.31</v>
      </c>
      <c r="CQ79" s="2">
        <f t="shared" si="78"/>
        <v>2345.31</v>
      </c>
      <c r="CR79" s="2">
        <f t="shared" si="79"/>
        <v>0</v>
      </c>
      <c r="CS79" s="2">
        <f t="shared" si="80"/>
        <v>0</v>
      </c>
      <c r="CT79" s="2">
        <f t="shared" si="81"/>
        <v>0</v>
      </c>
      <c r="CU79" s="2">
        <f t="shared" si="82"/>
        <v>0</v>
      </c>
      <c r="CV79" s="2">
        <f t="shared" si="83"/>
        <v>0</v>
      </c>
      <c r="CW79" s="2">
        <f t="shared" si="84"/>
        <v>0</v>
      </c>
      <c r="CX79" s="2">
        <f t="shared" si="85"/>
        <v>0</v>
      </c>
      <c r="CY79" s="2">
        <f t="shared" si="86"/>
        <v>0</v>
      </c>
      <c r="CZ79" s="2">
        <f t="shared" si="87"/>
        <v>0</v>
      </c>
      <c r="DA79" s="2"/>
      <c r="DB79" s="2"/>
      <c r="DC79" s="2" t="s">
        <v>3</v>
      </c>
      <c r="DD79" s="2" t="s">
        <v>3</v>
      </c>
      <c r="DE79" s="2" t="s">
        <v>3</v>
      </c>
      <c r="DF79" s="2" t="s">
        <v>3</v>
      </c>
      <c r="DG79" s="2" t="s">
        <v>3</v>
      </c>
      <c r="DH79" s="2" t="s">
        <v>3</v>
      </c>
      <c r="DI79" s="2" t="s">
        <v>3</v>
      </c>
      <c r="DJ79" s="2" t="s">
        <v>3</v>
      </c>
      <c r="DK79" s="2" t="s">
        <v>3</v>
      </c>
      <c r="DL79" s="2" t="s">
        <v>3</v>
      </c>
      <c r="DM79" s="2" t="s">
        <v>3</v>
      </c>
      <c r="DN79" s="2">
        <v>0</v>
      </c>
      <c r="DO79" s="2">
        <v>0</v>
      </c>
      <c r="DP79" s="2">
        <v>1</v>
      </c>
      <c r="DQ79" s="2">
        <v>1</v>
      </c>
      <c r="DR79" s="2"/>
      <c r="DS79" s="2"/>
      <c r="DT79" s="2"/>
      <c r="DU79" s="2">
        <v>1013</v>
      </c>
      <c r="DV79" s="2" t="s">
        <v>104</v>
      </c>
      <c r="DW79" s="2" t="s">
        <v>104</v>
      </c>
      <c r="DX79" s="2">
        <v>1</v>
      </c>
      <c r="DY79" s="2"/>
      <c r="DZ79" s="2" t="s">
        <v>3</v>
      </c>
      <c r="EA79" s="2" t="s">
        <v>3</v>
      </c>
      <c r="EB79" s="2" t="s">
        <v>3</v>
      </c>
      <c r="EC79" s="2" t="s">
        <v>3</v>
      </c>
      <c r="ED79" s="2"/>
      <c r="EE79" s="2">
        <v>59299131</v>
      </c>
      <c r="EF79" s="2">
        <v>130</v>
      </c>
      <c r="EG79" s="2" t="s">
        <v>105</v>
      </c>
      <c r="EH79" s="2">
        <v>0</v>
      </c>
      <c r="EI79" s="2" t="s">
        <v>3</v>
      </c>
      <c r="EJ79" s="2">
        <v>3</v>
      </c>
      <c r="EK79" s="2">
        <v>746</v>
      </c>
      <c r="EL79" s="2" t="s">
        <v>106</v>
      </c>
      <c r="EM79" s="2" t="s">
        <v>107</v>
      </c>
      <c r="EN79" s="2"/>
      <c r="EO79" s="2" t="s">
        <v>3</v>
      </c>
      <c r="EP79" s="2"/>
      <c r="EQ79" s="2">
        <v>0</v>
      </c>
      <c r="ER79" s="2">
        <v>2345.31</v>
      </c>
      <c r="ES79" s="2">
        <v>2345.31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>
        <v>0</v>
      </c>
      <c r="FR79" s="2">
        <f t="shared" si="88"/>
        <v>2345.31</v>
      </c>
      <c r="FS79" s="2">
        <v>0</v>
      </c>
      <c r="FT79" s="2"/>
      <c r="FU79" s="2"/>
      <c r="FV79" s="2"/>
      <c r="FW79" s="2"/>
      <c r="FX79" s="2">
        <v>0</v>
      </c>
      <c r="FY79" s="2">
        <v>0</v>
      </c>
      <c r="FZ79" s="2"/>
      <c r="GA79" s="2" t="s">
        <v>3</v>
      </c>
      <c r="GB79" s="2"/>
      <c r="GC79" s="2"/>
      <c r="GD79" s="2">
        <v>1</v>
      </c>
      <c r="GE79" s="2"/>
      <c r="GF79" s="2">
        <v>-293542637</v>
      </c>
      <c r="GG79" s="2">
        <v>2</v>
      </c>
      <c r="GH79" s="2">
        <v>1</v>
      </c>
      <c r="GI79" s="2">
        <v>-2</v>
      </c>
      <c r="GJ79" s="2">
        <v>0</v>
      </c>
      <c r="GK79" s="2">
        <v>0</v>
      </c>
      <c r="GL79" s="2">
        <f t="shared" si="89"/>
        <v>0</v>
      </c>
      <c r="GM79" s="2">
        <f t="shared" si="90"/>
        <v>2345.31</v>
      </c>
      <c r="GN79" s="2">
        <f t="shared" si="91"/>
        <v>0</v>
      </c>
      <c r="GO79" s="2">
        <f t="shared" si="92"/>
        <v>0</v>
      </c>
      <c r="GP79" s="2">
        <f t="shared" si="93"/>
        <v>0</v>
      </c>
      <c r="GQ79" s="2"/>
      <c r="GR79" s="2">
        <v>0</v>
      </c>
      <c r="GS79" s="2">
        <v>3</v>
      </c>
      <c r="GT79" s="2">
        <v>0</v>
      </c>
      <c r="GU79" s="2" t="s">
        <v>3</v>
      </c>
      <c r="GV79" s="2">
        <f t="shared" si="94"/>
        <v>0</v>
      </c>
      <c r="GW79" s="2">
        <v>1</v>
      </c>
      <c r="GX79" s="2">
        <f t="shared" si="95"/>
        <v>0</v>
      </c>
      <c r="GY79" s="2"/>
      <c r="GZ79" s="2"/>
      <c r="HA79" s="2">
        <v>0</v>
      </c>
      <c r="HB79" s="2">
        <v>0</v>
      </c>
      <c r="HC79" s="2">
        <f t="shared" si="96"/>
        <v>0</v>
      </c>
      <c r="HD79" s="2"/>
      <c r="HE79" s="2" t="s">
        <v>3</v>
      </c>
      <c r="HF79" s="2" t="s">
        <v>3</v>
      </c>
      <c r="HG79" s="2"/>
      <c r="HH79" s="2"/>
      <c r="HI79" s="2"/>
      <c r="HJ79" s="2"/>
      <c r="HK79" s="2"/>
      <c r="HL79" s="2"/>
      <c r="HM79" s="2" t="s">
        <v>3</v>
      </c>
      <c r="HN79" s="2" t="s">
        <v>3</v>
      </c>
      <c r="HO79" s="2" t="s">
        <v>3</v>
      </c>
      <c r="HP79" s="2" t="s">
        <v>3</v>
      </c>
      <c r="HQ79" s="2" t="s">
        <v>3</v>
      </c>
      <c r="HR79" s="2"/>
      <c r="HS79" s="2">
        <v>0</v>
      </c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>
        <v>0</v>
      </c>
      <c r="IL79" s="2"/>
      <c r="IM79" s="2"/>
      <c r="IN79" s="2"/>
      <c r="IO79" s="2"/>
      <c r="IP79" s="2"/>
      <c r="IQ79" s="2"/>
      <c r="IR79" s="2"/>
      <c r="IS79" s="2"/>
      <c r="IT79" s="2"/>
      <c r="IU79" s="2"/>
    </row>
    <row r="80" spans="1:255" x14ac:dyDescent="0.2">
      <c r="A80">
        <v>17</v>
      </c>
      <c r="B80">
        <v>1</v>
      </c>
      <c r="E80" t="s">
        <v>114</v>
      </c>
      <c r="F80" t="s">
        <v>115</v>
      </c>
      <c r="G80" t="s">
        <v>116</v>
      </c>
      <c r="H80" t="s">
        <v>104</v>
      </c>
      <c r="I80">
        <v>1</v>
      </c>
      <c r="J80">
        <v>0</v>
      </c>
      <c r="K80">
        <v>1</v>
      </c>
      <c r="O80">
        <f t="shared" si="57"/>
        <v>9123.26</v>
      </c>
      <c r="P80">
        <f t="shared" si="58"/>
        <v>9123.26</v>
      </c>
      <c r="Q80">
        <f t="shared" si="59"/>
        <v>0</v>
      </c>
      <c r="R80">
        <f t="shared" si="60"/>
        <v>0</v>
      </c>
      <c r="S80">
        <f t="shared" si="61"/>
        <v>0</v>
      </c>
      <c r="T80">
        <f t="shared" si="62"/>
        <v>0</v>
      </c>
      <c r="U80">
        <f t="shared" si="63"/>
        <v>0</v>
      </c>
      <c r="V80">
        <f t="shared" si="64"/>
        <v>0</v>
      </c>
      <c r="W80">
        <f t="shared" si="65"/>
        <v>0</v>
      </c>
      <c r="X80">
        <f t="shared" si="66"/>
        <v>0</v>
      </c>
      <c r="Y80">
        <f t="shared" si="67"/>
        <v>0</v>
      </c>
      <c r="AA80">
        <v>59499215</v>
      </c>
      <c r="AB80">
        <f t="shared" si="68"/>
        <v>2345.31</v>
      </c>
      <c r="AC80">
        <f t="shared" si="69"/>
        <v>2345.31</v>
      </c>
      <c r="AD80">
        <f t="shared" si="70"/>
        <v>0</v>
      </c>
      <c r="AE80">
        <f t="shared" si="71"/>
        <v>0</v>
      </c>
      <c r="AF80">
        <f t="shared" si="72"/>
        <v>0</v>
      </c>
      <c r="AG80">
        <f t="shared" si="73"/>
        <v>0</v>
      </c>
      <c r="AH80">
        <f t="shared" si="74"/>
        <v>0</v>
      </c>
      <c r="AI80">
        <f t="shared" si="75"/>
        <v>0</v>
      </c>
      <c r="AJ80">
        <f t="shared" si="76"/>
        <v>0</v>
      </c>
      <c r="AK80">
        <v>2345.31</v>
      </c>
      <c r="AL80">
        <v>2345.31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1</v>
      </c>
      <c r="AZ80">
        <v>1</v>
      </c>
      <c r="BA80">
        <v>1</v>
      </c>
      <c r="BB80">
        <v>1</v>
      </c>
      <c r="BC80">
        <v>3.89</v>
      </c>
      <c r="BD80" t="s">
        <v>3</v>
      </c>
      <c r="BE80" t="s">
        <v>3</v>
      </c>
      <c r="BF80" t="s">
        <v>3</v>
      </c>
      <c r="BG80" t="s">
        <v>3</v>
      </c>
      <c r="BH80">
        <v>3</v>
      </c>
      <c r="BI80">
        <v>3</v>
      </c>
      <c r="BJ80" t="s">
        <v>3</v>
      </c>
      <c r="BM80">
        <v>746</v>
      </c>
      <c r="BN80">
        <v>59298886</v>
      </c>
      <c r="BO80" t="s">
        <v>3</v>
      </c>
      <c r="BP80">
        <v>0</v>
      </c>
      <c r="BQ80">
        <v>130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 t="s">
        <v>3</v>
      </c>
      <c r="BZ80">
        <v>0</v>
      </c>
      <c r="CA80">
        <v>0</v>
      </c>
      <c r="CB80" t="s">
        <v>3</v>
      </c>
      <c r="CE80">
        <v>1566</v>
      </c>
      <c r="CF80">
        <v>0</v>
      </c>
      <c r="CG80">
        <v>0</v>
      </c>
      <c r="CM80">
        <v>0</v>
      </c>
      <c r="CN80" t="s">
        <v>3</v>
      </c>
      <c r="CO80">
        <v>0</v>
      </c>
      <c r="CP80">
        <f t="shared" si="77"/>
        <v>9123.26</v>
      </c>
      <c r="CQ80">
        <f t="shared" si="78"/>
        <v>9123.26</v>
      </c>
      <c r="CR80">
        <f t="shared" si="79"/>
        <v>0</v>
      </c>
      <c r="CS80">
        <f t="shared" si="80"/>
        <v>0</v>
      </c>
      <c r="CT80">
        <f t="shared" si="81"/>
        <v>0</v>
      </c>
      <c r="CU80">
        <f t="shared" si="82"/>
        <v>0</v>
      </c>
      <c r="CV80">
        <f t="shared" si="83"/>
        <v>0</v>
      </c>
      <c r="CW80">
        <f t="shared" si="84"/>
        <v>0</v>
      </c>
      <c r="CX80">
        <f t="shared" si="85"/>
        <v>0</v>
      </c>
      <c r="CY80">
        <f t="shared" si="86"/>
        <v>0</v>
      </c>
      <c r="CZ80">
        <f t="shared" si="87"/>
        <v>0</v>
      </c>
      <c r="DC80" t="s">
        <v>3</v>
      </c>
      <c r="DD80" t="s">
        <v>3</v>
      </c>
      <c r="DE80" t="s">
        <v>3</v>
      </c>
      <c r="DF80" t="s">
        <v>3</v>
      </c>
      <c r="DG80" t="s">
        <v>3</v>
      </c>
      <c r="DH80" t="s">
        <v>3</v>
      </c>
      <c r="DI80" t="s">
        <v>3</v>
      </c>
      <c r="DJ80" t="s">
        <v>3</v>
      </c>
      <c r="DK80" t="s">
        <v>3</v>
      </c>
      <c r="DL80" t="s">
        <v>3</v>
      </c>
      <c r="DM80" t="s">
        <v>3</v>
      </c>
      <c r="DN80">
        <v>0</v>
      </c>
      <c r="DO80">
        <v>0</v>
      </c>
      <c r="DP80">
        <v>1</v>
      </c>
      <c r="DQ80">
        <v>1</v>
      </c>
      <c r="DU80">
        <v>1013</v>
      </c>
      <c r="DV80" t="s">
        <v>104</v>
      </c>
      <c r="DW80" t="s">
        <v>104</v>
      </c>
      <c r="DX80">
        <v>1</v>
      </c>
      <c r="DZ80" t="s">
        <v>3</v>
      </c>
      <c r="EA80" t="s">
        <v>3</v>
      </c>
      <c r="EB80" t="s">
        <v>3</v>
      </c>
      <c r="EC80" t="s">
        <v>3</v>
      </c>
      <c r="EE80">
        <v>59299131</v>
      </c>
      <c r="EF80">
        <v>130</v>
      </c>
      <c r="EG80" t="s">
        <v>105</v>
      </c>
      <c r="EH80">
        <v>0</v>
      </c>
      <c r="EI80" t="s">
        <v>3</v>
      </c>
      <c r="EJ80">
        <v>3</v>
      </c>
      <c r="EK80">
        <v>746</v>
      </c>
      <c r="EL80" t="s">
        <v>106</v>
      </c>
      <c r="EM80" t="s">
        <v>107</v>
      </c>
      <c r="EO80" t="s">
        <v>3</v>
      </c>
      <c r="EQ80">
        <v>0</v>
      </c>
      <c r="ER80">
        <v>2345.31</v>
      </c>
      <c r="ES80">
        <v>2345.31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FQ80">
        <v>0</v>
      </c>
      <c r="FR80">
        <f t="shared" si="88"/>
        <v>9123.26</v>
      </c>
      <c r="FS80">
        <v>0</v>
      </c>
      <c r="FX80">
        <v>0</v>
      </c>
      <c r="FY80">
        <v>0</v>
      </c>
      <c r="GA80" t="s">
        <v>3</v>
      </c>
      <c r="GD80">
        <v>1</v>
      </c>
      <c r="GF80">
        <v>-293542637</v>
      </c>
      <c r="GG80">
        <v>2</v>
      </c>
      <c r="GH80">
        <v>1</v>
      </c>
      <c r="GI80">
        <v>2</v>
      </c>
      <c r="GJ80">
        <v>0</v>
      </c>
      <c r="GK80">
        <v>0</v>
      </c>
      <c r="GL80">
        <f t="shared" si="89"/>
        <v>0</v>
      </c>
      <c r="GM80">
        <f t="shared" si="90"/>
        <v>9123.26</v>
      </c>
      <c r="GN80">
        <f t="shared" si="91"/>
        <v>0</v>
      </c>
      <c r="GO80">
        <f t="shared" si="92"/>
        <v>0</v>
      </c>
      <c r="GP80">
        <f t="shared" si="93"/>
        <v>0</v>
      </c>
      <c r="GR80">
        <v>0</v>
      </c>
      <c r="GS80">
        <v>3</v>
      </c>
      <c r="GT80">
        <v>0</v>
      </c>
      <c r="GU80" t="s">
        <v>3</v>
      </c>
      <c r="GV80">
        <f t="shared" si="94"/>
        <v>0</v>
      </c>
      <c r="GW80">
        <v>1</v>
      </c>
      <c r="GX80">
        <f t="shared" si="95"/>
        <v>0</v>
      </c>
      <c r="HA80">
        <v>0</v>
      </c>
      <c r="HB80">
        <v>0</v>
      </c>
      <c r="HC80">
        <f t="shared" si="96"/>
        <v>0</v>
      </c>
      <c r="HE80" t="s">
        <v>3</v>
      </c>
      <c r="HF80" t="s">
        <v>3</v>
      </c>
      <c r="HM80" t="s">
        <v>3</v>
      </c>
      <c r="HN80" t="s">
        <v>3</v>
      </c>
      <c r="HO80" t="s">
        <v>3</v>
      </c>
      <c r="HP80" t="s">
        <v>3</v>
      </c>
      <c r="HQ80" t="s">
        <v>3</v>
      </c>
      <c r="HS80">
        <v>0</v>
      </c>
      <c r="IK80">
        <v>0</v>
      </c>
    </row>
    <row r="81" spans="1:255" x14ac:dyDescent="0.2">
      <c r="A81" s="2">
        <v>17</v>
      </c>
      <c r="B81" s="2">
        <v>1</v>
      </c>
      <c r="C81" s="2"/>
      <c r="D81" s="2"/>
      <c r="E81" s="2" t="s">
        <v>117</v>
      </c>
      <c r="F81" s="2" t="s">
        <v>118</v>
      </c>
      <c r="G81" s="2" t="s">
        <v>119</v>
      </c>
      <c r="H81" s="2" t="s">
        <v>104</v>
      </c>
      <c r="I81" s="2">
        <v>1</v>
      </c>
      <c r="J81" s="2">
        <v>0</v>
      </c>
      <c r="K81" s="2">
        <v>1</v>
      </c>
      <c r="L81" s="2"/>
      <c r="M81" s="2"/>
      <c r="N81" s="2"/>
      <c r="O81" s="2">
        <f t="shared" si="57"/>
        <v>573.29999999999995</v>
      </c>
      <c r="P81" s="2">
        <f t="shared" si="58"/>
        <v>573.29999999999995</v>
      </c>
      <c r="Q81" s="2">
        <f t="shared" si="59"/>
        <v>0</v>
      </c>
      <c r="R81" s="2">
        <f t="shared" si="60"/>
        <v>0</v>
      </c>
      <c r="S81" s="2">
        <f t="shared" si="61"/>
        <v>0</v>
      </c>
      <c r="T81" s="2">
        <f t="shared" si="62"/>
        <v>0</v>
      </c>
      <c r="U81" s="2">
        <f t="shared" si="63"/>
        <v>0</v>
      </c>
      <c r="V81" s="2">
        <f t="shared" si="64"/>
        <v>0</v>
      </c>
      <c r="W81" s="2">
        <f t="shared" si="65"/>
        <v>0</v>
      </c>
      <c r="X81" s="2">
        <f t="shared" si="66"/>
        <v>0</v>
      </c>
      <c r="Y81" s="2">
        <f t="shared" si="67"/>
        <v>0</v>
      </c>
      <c r="Z81" s="2"/>
      <c r="AA81" s="2">
        <v>59499218</v>
      </c>
      <c r="AB81" s="2">
        <f t="shared" si="68"/>
        <v>573.29999999999995</v>
      </c>
      <c r="AC81" s="2">
        <f t="shared" si="69"/>
        <v>573.29999999999995</v>
      </c>
      <c r="AD81" s="2">
        <f t="shared" si="70"/>
        <v>0</v>
      </c>
      <c r="AE81" s="2">
        <f t="shared" si="71"/>
        <v>0</v>
      </c>
      <c r="AF81" s="2">
        <f t="shared" si="72"/>
        <v>0</v>
      </c>
      <c r="AG81" s="2">
        <f t="shared" si="73"/>
        <v>0</v>
      </c>
      <c r="AH81" s="2">
        <f t="shared" si="74"/>
        <v>0</v>
      </c>
      <c r="AI81" s="2">
        <f t="shared" si="75"/>
        <v>0</v>
      </c>
      <c r="AJ81" s="2">
        <f t="shared" si="76"/>
        <v>0</v>
      </c>
      <c r="AK81" s="2">
        <v>573.29999999999995</v>
      </c>
      <c r="AL81" s="2">
        <v>573.29999999999995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1</v>
      </c>
      <c r="AW81" s="2">
        <v>1</v>
      </c>
      <c r="AX81" s="2"/>
      <c r="AY81" s="2"/>
      <c r="AZ81" s="2">
        <v>1</v>
      </c>
      <c r="BA81" s="2">
        <v>1</v>
      </c>
      <c r="BB81" s="2">
        <v>1</v>
      </c>
      <c r="BC81" s="2">
        <v>1</v>
      </c>
      <c r="BD81" s="2" t="s">
        <v>3</v>
      </c>
      <c r="BE81" s="2" t="s">
        <v>3</v>
      </c>
      <c r="BF81" s="2" t="s">
        <v>3</v>
      </c>
      <c r="BG81" s="2" t="s">
        <v>3</v>
      </c>
      <c r="BH81" s="2">
        <v>3</v>
      </c>
      <c r="BI81" s="2">
        <v>3</v>
      </c>
      <c r="BJ81" s="2" t="s">
        <v>3</v>
      </c>
      <c r="BK81" s="2"/>
      <c r="BL81" s="2"/>
      <c r="BM81" s="2">
        <v>746</v>
      </c>
      <c r="BN81" s="2">
        <v>59298886</v>
      </c>
      <c r="BO81" s="2" t="s">
        <v>3</v>
      </c>
      <c r="BP81" s="2">
        <v>0</v>
      </c>
      <c r="BQ81" s="2">
        <v>130</v>
      </c>
      <c r="BR81" s="2">
        <v>0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 t="s">
        <v>3</v>
      </c>
      <c r="BZ81" s="2">
        <v>0</v>
      </c>
      <c r="CA81" s="2">
        <v>0</v>
      </c>
      <c r="CB81" s="2" t="s">
        <v>3</v>
      </c>
      <c r="CC81" s="2"/>
      <c r="CD81" s="2"/>
      <c r="CE81" s="2">
        <v>1566</v>
      </c>
      <c r="CF81" s="2">
        <v>0</v>
      </c>
      <c r="CG81" s="2">
        <v>0</v>
      </c>
      <c r="CH81" s="2"/>
      <c r="CI81" s="2"/>
      <c r="CJ81" s="2"/>
      <c r="CK81" s="2"/>
      <c r="CL81" s="2"/>
      <c r="CM81" s="2">
        <v>0</v>
      </c>
      <c r="CN81" s="2" t="s">
        <v>3</v>
      </c>
      <c r="CO81" s="2">
        <v>0</v>
      </c>
      <c r="CP81" s="2">
        <f t="shared" si="77"/>
        <v>573.29999999999995</v>
      </c>
      <c r="CQ81" s="2">
        <f t="shared" si="78"/>
        <v>573.29999999999995</v>
      </c>
      <c r="CR81" s="2">
        <f t="shared" si="79"/>
        <v>0</v>
      </c>
      <c r="CS81" s="2">
        <f t="shared" si="80"/>
        <v>0</v>
      </c>
      <c r="CT81" s="2">
        <f t="shared" si="81"/>
        <v>0</v>
      </c>
      <c r="CU81" s="2">
        <f t="shared" si="82"/>
        <v>0</v>
      </c>
      <c r="CV81" s="2">
        <f t="shared" si="83"/>
        <v>0</v>
      </c>
      <c r="CW81" s="2">
        <f t="shared" si="84"/>
        <v>0</v>
      </c>
      <c r="CX81" s="2">
        <f t="shared" si="85"/>
        <v>0</v>
      </c>
      <c r="CY81" s="2">
        <f t="shared" si="86"/>
        <v>0</v>
      </c>
      <c r="CZ81" s="2">
        <f t="shared" si="87"/>
        <v>0</v>
      </c>
      <c r="DA81" s="2"/>
      <c r="DB81" s="2"/>
      <c r="DC81" s="2" t="s">
        <v>3</v>
      </c>
      <c r="DD81" s="2" t="s">
        <v>3</v>
      </c>
      <c r="DE81" s="2" t="s">
        <v>3</v>
      </c>
      <c r="DF81" s="2" t="s">
        <v>3</v>
      </c>
      <c r="DG81" s="2" t="s">
        <v>3</v>
      </c>
      <c r="DH81" s="2" t="s">
        <v>3</v>
      </c>
      <c r="DI81" s="2" t="s">
        <v>3</v>
      </c>
      <c r="DJ81" s="2" t="s">
        <v>3</v>
      </c>
      <c r="DK81" s="2" t="s">
        <v>3</v>
      </c>
      <c r="DL81" s="2" t="s">
        <v>3</v>
      </c>
      <c r="DM81" s="2" t="s">
        <v>3</v>
      </c>
      <c r="DN81" s="2">
        <v>0</v>
      </c>
      <c r="DO81" s="2">
        <v>0</v>
      </c>
      <c r="DP81" s="2">
        <v>1</v>
      </c>
      <c r="DQ81" s="2">
        <v>1</v>
      </c>
      <c r="DR81" s="2"/>
      <c r="DS81" s="2"/>
      <c r="DT81" s="2"/>
      <c r="DU81" s="2">
        <v>1013</v>
      </c>
      <c r="DV81" s="2" t="s">
        <v>104</v>
      </c>
      <c r="DW81" s="2" t="s">
        <v>104</v>
      </c>
      <c r="DX81" s="2">
        <v>1</v>
      </c>
      <c r="DY81" s="2"/>
      <c r="DZ81" s="2" t="s">
        <v>3</v>
      </c>
      <c r="EA81" s="2" t="s">
        <v>3</v>
      </c>
      <c r="EB81" s="2" t="s">
        <v>3</v>
      </c>
      <c r="EC81" s="2" t="s">
        <v>3</v>
      </c>
      <c r="ED81" s="2"/>
      <c r="EE81" s="2">
        <v>59299131</v>
      </c>
      <c r="EF81" s="2">
        <v>130</v>
      </c>
      <c r="EG81" s="2" t="s">
        <v>105</v>
      </c>
      <c r="EH81" s="2">
        <v>0</v>
      </c>
      <c r="EI81" s="2" t="s">
        <v>3</v>
      </c>
      <c r="EJ81" s="2">
        <v>3</v>
      </c>
      <c r="EK81" s="2">
        <v>746</v>
      </c>
      <c r="EL81" s="2" t="s">
        <v>106</v>
      </c>
      <c r="EM81" s="2" t="s">
        <v>107</v>
      </c>
      <c r="EN81" s="2"/>
      <c r="EO81" s="2" t="s">
        <v>3</v>
      </c>
      <c r="EP81" s="2"/>
      <c r="EQ81" s="2">
        <v>0</v>
      </c>
      <c r="ER81" s="2">
        <v>573.29999999999995</v>
      </c>
      <c r="ES81" s="2">
        <v>573.29999999999995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>
        <v>0</v>
      </c>
      <c r="FR81" s="2">
        <f t="shared" si="88"/>
        <v>573.29999999999995</v>
      </c>
      <c r="FS81" s="2">
        <v>0</v>
      </c>
      <c r="FT81" s="2"/>
      <c r="FU81" s="2"/>
      <c r="FV81" s="2"/>
      <c r="FW81" s="2"/>
      <c r="FX81" s="2">
        <v>0</v>
      </c>
      <c r="FY81" s="2">
        <v>0</v>
      </c>
      <c r="FZ81" s="2"/>
      <c r="GA81" s="2" t="s">
        <v>3</v>
      </c>
      <c r="GB81" s="2"/>
      <c r="GC81" s="2"/>
      <c r="GD81" s="2">
        <v>1</v>
      </c>
      <c r="GE81" s="2"/>
      <c r="GF81" s="2">
        <v>-628451411</v>
      </c>
      <c r="GG81" s="2">
        <v>2</v>
      </c>
      <c r="GH81" s="2">
        <v>1</v>
      </c>
      <c r="GI81" s="2">
        <v>-2</v>
      </c>
      <c r="GJ81" s="2">
        <v>0</v>
      </c>
      <c r="GK81" s="2">
        <v>0</v>
      </c>
      <c r="GL81" s="2">
        <f t="shared" si="89"/>
        <v>0</v>
      </c>
      <c r="GM81" s="2">
        <f t="shared" si="90"/>
        <v>573.29999999999995</v>
      </c>
      <c r="GN81" s="2">
        <f t="shared" si="91"/>
        <v>0</v>
      </c>
      <c r="GO81" s="2">
        <f t="shared" si="92"/>
        <v>0</v>
      </c>
      <c r="GP81" s="2">
        <f t="shared" si="93"/>
        <v>0</v>
      </c>
      <c r="GQ81" s="2"/>
      <c r="GR81" s="2">
        <v>0</v>
      </c>
      <c r="GS81" s="2">
        <v>3</v>
      </c>
      <c r="GT81" s="2">
        <v>0</v>
      </c>
      <c r="GU81" s="2" t="s">
        <v>3</v>
      </c>
      <c r="GV81" s="2">
        <f t="shared" si="94"/>
        <v>0</v>
      </c>
      <c r="GW81" s="2">
        <v>1</v>
      </c>
      <c r="GX81" s="2">
        <f t="shared" si="95"/>
        <v>0</v>
      </c>
      <c r="GY81" s="2"/>
      <c r="GZ81" s="2"/>
      <c r="HA81" s="2">
        <v>0</v>
      </c>
      <c r="HB81" s="2">
        <v>0</v>
      </c>
      <c r="HC81" s="2">
        <f t="shared" si="96"/>
        <v>0</v>
      </c>
      <c r="HD81" s="2"/>
      <c r="HE81" s="2" t="s">
        <v>3</v>
      </c>
      <c r="HF81" s="2" t="s">
        <v>3</v>
      </c>
      <c r="HG81" s="2"/>
      <c r="HH81" s="2"/>
      <c r="HI81" s="2"/>
      <c r="HJ81" s="2"/>
      <c r="HK81" s="2"/>
      <c r="HL81" s="2"/>
      <c r="HM81" s="2" t="s">
        <v>3</v>
      </c>
      <c r="HN81" s="2" t="s">
        <v>3</v>
      </c>
      <c r="HO81" s="2" t="s">
        <v>3</v>
      </c>
      <c r="HP81" s="2" t="s">
        <v>3</v>
      </c>
      <c r="HQ81" s="2" t="s">
        <v>3</v>
      </c>
      <c r="HR81" s="2"/>
      <c r="HS81" s="2">
        <v>0</v>
      </c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>
        <v>0</v>
      </c>
      <c r="IL81" s="2"/>
      <c r="IM81" s="2"/>
      <c r="IN81" s="2"/>
      <c r="IO81" s="2"/>
      <c r="IP81" s="2"/>
      <c r="IQ81" s="2"/>
      <c r="IR81" s="2"/>
      <c r="IS81" s="2"/>
      <c r="IT81" s="2"/>
      <c r="IU81" s="2"/>
    </row>
    <row r="82" spans="1:255" x14ac:dyDescent="0.2">
      <c r="A82">
        <v>17</v>
      </c>
      <c r="B82">
        <v>1</v>
      </c>
      <c r="E82" t="s">
        <v>117</v>
      </c>
      <c r="F82" t="s">
        <v>118</v>
      </c>
      <c r="G82" t="s">
        <v>119</v>
      </c>
      <c r="H82" t="s">
        <v>104</v>
      </c>
      <c r="I82">
        <v>1</v>
      </c>
      <c r="J82">
        <v>0</v>
      </c>
      <c r="K82">
        <v>1</v>
      </c>
      <c r="O82">
        <f t="shared" si="57"/>
        <v>1926.29</v>
      </c>
      <c r="P82">
        <f t="shared" si="58"/>
        <v>1926.29</v>
      </c>
      <c r="Q82">
        <f t="shared" si="59"/>
        <v>0</v>
      </c>
      <c r="R82">
        <f t="shared" si="60"/>
        <v>0</v>
      </c>
      <c r="S82">
        <f t="shared" si="61"/>
        <v>0</v>
      </c>
      <c r="T82">
        <f t="shared" si="62"/>
        <v>0</v>
      </c>
      <c r="U82">
        <f t="shared" si="63"/>
        <v>0</v>
      </c>
      <c r="V82">
        <f t="shared" si="64"/>
        <v>0</v>
      </c>
      <c r="W82">
        <f t="shared" si="65"/>
        <v>0</v>
      </c>
      <c r="X82">
        <f t="shared" si="66"/>
        <v>0</v>
      </c>
      <c r="Y82">
        <f t="shared" si="67"/>
        <v>0</v>
      </c>
      <c r="AA82">
        <v>59499215</v>
      </c>
      <c r="AB82">
        <f t="shared" si="68"/>
        <v>573.29999999999995</v>
      </c>
      <c r="AC82">
        <f t="shared" si="69"/>
        <v>573.29999999999995</v>
      </c>
      <c r="AD82">
        <f t="shared" si="70"/>
        <v>0</v>
      </c>
      <c r="AE82">
        <f t="shared" si="71"/>
        <v>0</v>
      </c>
      <c r="AF82">
        <f t="shared" si="72"/>
        <v>0</v>
      </c>
      <c r="AG82">
        <f t="shared" si="73"/>
        <v>0</v>
      </c>
      <c r="AH82">
        <f t="shared" si="74"/>
        <v>0</v>
      </c>
      <c r="AI82">
        <f t="shared" si="75"/>
        <v>0</v>
      </c>
      <c r="AJ82">
        <f t="shared" si="76"/>
        <v>0</v>
      </c>
      <c r="AK82">
        <v>573.29999999999995</v>
      </c>
      <c r="AL82">
        <v>573.29999999999995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1</v>
      </c>
      <c r="AZ82">
        <v>1</v>
      </c>
      <c r="BA82">
        <v>1</v>
      </c>
      <c r="BB82">
        <v>1</v>
      </c>
      <c r="BC82">
        <v>3.36</v>
      </c>
      <c r="BD82" t="s">
        <v>3</v>
      </c>
      <c r="BE82" t="s">
        <v>3</v>
      </c>
      <c r="BF82" t="s">
        <v>3</v>
      </c>
      <c r="BG82" t="s">
        <v>3</v>
      </c>
      <c r="BH82">
        <v>3</v>
      </c>
      <c r="BI82">
        <v>3</v>
      </c>
      <c r="BJ82" t="s">
        <v>3</v>
      </c>
      <c r="BM82">
        <v>746</v>
      </c>
      <c r="BN82">
        <v>59298886</v>
      </c>
      <c r="BO82" t="s">
        <v>3</v>
      </c>
      <c r="BP82">
        <v>0</v>
      </c>
      <c r="BQ82">
        <v>130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 t="s">
        <v>3</v>
      </c>
      <c r="BZ82">
        <v>0</v>
      </c>
      <c r="CA82">
        <v>0</v>
      </c>
      <c r="CB82" t="s">
        <v>3</v>
      </c>
      <c r="CE82">
        <v>1566</v>
      </c>
      <c r="CF82">
        <v>0</v>
      </c>
      <c r="CG82">
        <v>0</v>
      </c>
      <c r="CM82">
        <v>0</v>
      </c>
      <c r="CN82" t="s">
        <v>3</v>
      </c>
      <c r="CO82">
        <v>0</v>
      </c>
      <c r="CP82">
        <f t="shared" si="77"/>
        <v>1926.29</v>
      </c>
      <c r="CQ82">
        <f t="shared" si="78"/>
        <v>1926.29</v>
      </c>
      <c r="CR82">
        <f t="shared" si="79"/>
        <v>0</v>
      </c>
      <c r="CS82">
        <f t="shared" si="80"/>
        <v>0</v>
      </c>
      <c r="CT82">
        <f t="shared" si="81"/>
        <v>0</v>
      </c>
      <c r="CU82">
        <f t="shared" si="82"/>
        <v>0</v>
      </c>
      <c r="CV82">
        <f t="shared" si="83"/>
        <v>0</v>
      </c>
      <c r="CW82">
        <f t="shared" si="84"/>
        <v>0</v>
      </c>
      <c r="CX82">
        <f t="shared" si="85"/>
        <v>0</v>
      </c>
      <c r="CY82">
        <f t="shared" si="86"/>
        <v>0</v>
      </c>
      <c r="CZ82">
        <f t="shared" si="87"/>
        <v>0</v>
      </c>
      <c r="DC82" t="s">
        <v>3</v>
      </c>
      <c r="DD82" t="s">
        <v>3</v>
      </c>
      <c r="DE82" t="s">
        <v>3</v>
      </c>
      <c r="DF82" t="s">
        <v>3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>
        <v>0</v>
      </c>
      <c r="DO82">
        <v>0</v>
      </c>
      <c r="DP82">
        <v>1</v>
      </c>
      <c r="DQ82">
        <v>1</v>
      </c>
      <c r="DU82">
        <v>1013</v>
      </c>
      <c r="DV82" t="s">
        <v>104</v>
      </c>
      <c r="DW82" t="s">
        <v>104</v>
      </c>
      <c r="DX82">
        <v>1</v>
      </c>
      <c r="DZ82" t="s">
        <v>3</v>
      </c>
      <c r="EA82" t="s">
        <v>3</v>
      </c>
      <c r="EB82" t="s">
        <v>3</v>
      </c>
      <c r="EC82" t="s">
        <v>3</v>
      </c>
      <c r="EE82">
        <v>59299131</v>
      </c>
      <c r="EF82">
        <v>130</v>
      </c>
      <c r="EG82" t="s">
        <v>105</v>
      </c>
      <c r="EH82">
        <v>0</v>
      </c>
      <c r="EI82" t="s">
        <v>3</v>
      </c>
      <c r="EJ82">
        <v>3</v>
      </c>
      <c r="EK82">
        <v>746</v>
      </c>
      <c r="EL82" t="s">
        <v>106</v>
      </c>
      <c r="EM82" t="s">
        <v>107</v>
      </c>
      <c r="EO82" t="s">
        <v>3</v>
      </c>
      <c r="EQ82">
        <v>0</v>
      </c>
      <c r="ER82">
        <v>573.29999999999995</v>
      </c>
      <c r="ES82">
        <v>573.29999999999995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FQ82">
        <v>0</v>
      </c>
      <c r="FR82">
        <f t="shared" si="88"/>
        <v>1926.29</v>
      </c>
      <c r="FS82">
        <v>0</v>
      </c>
      <c r="FX82">
        <v>0</v>
      </c>
      <c r="FY82">
        <v>0</v>
      </c>
      <c r="GA82" t="s">
        <v>3</v>
      </c>
      <c r="GD82">
        <v>1</v>
      </c>
      <c r="GF82">
        <v>-628451411</v>
      </c>
      <c r="GG82">
        <v>2</v>
      </c>
      <c r="GH82">
        <v>1</v>
      </c>
      <c r="GI82">
        <v>2</v>
      </c>
      <c r="GJ82">
        <v>0</v>
      </c>
      <c r="GK82">
        <v>0</v>
      </c>
      <c r="GL82">
        <f t="shared" si="89"/>
        <v>0</v>
      </c>
      <c r="GM82">
        <f t="shared" si="90"/>
        <v>1926.29</v>
      </c>
      <c r="GN82">
        <f t="shared" si="91"/>
        <v>0</v>
      </c>
      <c r="GO82">
        <f t="shared" si="92"/>
        <v>0</v>
      </c>
      <c r="GP82">
        <f t="shared" si="93"/>
        <v>0</v>
      </c>
      <c r="GR82">
        <v>0</v>
      </c>
      <c r="GS82">
        <v>3</v>
      </c>
      <c r="GT82">
        <v>0</v>
      </c>
      <c r="GU82" t="s">
        <v>3</v>
      </c>
      <c r="GV82">
        <f t="shared" si="94"/>
        <v>0</v>
      </c>
      <c r="GW82">
        <v>1</v>
      </c>
      <c r="GX82">
        <f t="shared" si="95"/>
        <v>0</v>
      </c>
      <c r="HA82">
        <v>0</v>
      </c>
      <c r="HB82">
        <v>0</v>
      </c>
      <c r="HC82">
        <f t="shared" si="96"/>
        <v>0</v>
      </c>
      <c r="HE82" t="s">
        <v>3</v>
      </c>
      <c r="HF82" t="s">
        <v>3</v>
      </c>
      <c r="HM82" t="s">
        <v>3</v>
      </c>
      <c r="HN82" t="s">
        <v>3</v>
      </c>
      <c r="HO82" t="s">
        <v>3</v>
      </c>
      <c r="HP82" t="s">
        <v>3</v>
      </c>
      <c r="HQ82" t="s">
        <v>3</v>
      </c>
      <c r="HS82">
        <v>0</v>
      </c>
      <c r="IK82">
        <v>0</v>
      </c>
    </row>
    <row r="84" spans="1:255" x14ac:dyDescent="0.2">
      <c r="A84" s="3">
        <v>51</v>
      </c>
      <c r="B84" s="3">
        <f>B69</f>
        <v>1</v>
      </c>
      <c r="C84" s="3">
        <f>A69</f>
        <v>4</v>
      </c>
      <c r="D84" s="3">
        <f>ROW(A69)</f>
        <v>69</v>
      </c>
      <c r="E84" s="3"/>
      <c r="F84" s="3" t="str">
        <f>IF(F69&lt;&gt;"",F69,"")</f>
        <v/>
      </c>
      <c r="G84" s="3" t="str">
        <f>IF(G69&lt;&gt;"",G69,"")</f>
        <v>Оборудование, не облагаемое НДС</v>
      </c>
      <c r="H84" s="3">
        <v>0</v>
      </c>
      <c r="I84" s="3"/>
      <c r="J84" s="3"/>
      <c r="K84" s="3"/>
      <c r="L84" s="3"/>
      <c r="M84" s="3"/>
      <c r="N84" s="3"/>
      <c r="O84" s="3">
        <f t="shared" ref="O84:T84" si="97">ROUND(AB84,2)</f>
        <v>19804.830000000002</v>
      </c>
      <c r="P84" s="3">
        <f t="shared" si="97"/>
        <v>19804.830000000002</v>
      </c>
      <c r="Q84" s="3">
        <f t="shared" si="97"/>
        <v>0</v>
      </c>
      <c r="R84" s="3">
        <f t="shared" si="97"/>
        <v>0</v>
      </c>
      <c r="S84" s="3">
        <f t="shared" si="97"/>
        <v>0</v>
      </c>
      <c r="T84" s="3">
        <f t="shared" si="97"/>
        <v>0</v>
      </c>
      <c r="U84" s="3">
        <f>AH84</f>
        <v>0</v>
      </c>
      <c r="V84" s="3">
        <f>AI84</f>
        <v>0</v>
      </c>
      <c r="W84" s="3">
        <f>ROUND(AJ84,2)</f>
        <v>0</v>
      </c>
      <c r="X84" s="3">
        <f>ROUND(AK84,2)</f>
        <v>0</v>
      </c>
      <c r="Y84" s="3">
        <f>ROUND(AL84,2)</f>
        <v>0</v>
      </c>
      <c r="Z84" s="3"/>
      <c r="AA84" s="3"/>
      <c r="AB84" s="3">
        <f>ROUND(SUMIF(AA73:AA82,"=59499218",O73:O82),2)</f>
        <v>19804.830000000002</v>
      </c>
      <c r="AC84" s="3">
        <f>ROUND(SUMIF(AA73:AA82,"=59499218",P73:P82),2)</f>
        <v>19804.830000000002</v>
      </c>
      <c r="AD84" s="3">
        <f>ROUND(SUMIF(AA73:AA82,"=59499218",Q73:Q82),2)</f>
        <v>0</v>
      </c>
      <c r="AE84" s="3">
        <f>ROUND(SUMIF(AA73:AA82,"=59499218",R73:R82),2)</f>
        <v>0</v>
      </c>
      <c r="AF84" s="3">
        <f>ROUND(SUMIF(AA73:AA82,"=59499218",S73:S82),2)</f>
        <v>0</v>
      </c>
      <c r="AG84" s="3">
        <f>ROUND(SUMIF(AA73:AA82,"=59499218",T73:T82),2)</f>
        <v>0</v>
      </c>
      <c r="AH84" s="3">
        <f>SUMIF(AA73:AA82,"=59499218",U73:U82)</f>
        <v>0</v>
      </c>
      <c r="AI84" s="3">
        <f>SUMIF(AA73:AA82,"=59499218",V73:V82)</f>
        <v>0</v>
      </c>
      <c r="AJ84" s="3">
        <f>ROUND(SUMIF(AA73:AA82,"=59499218",W73:W82),2)</f>
        <v>0</v>
      </c>
      <c r="AK84" s="3">
        <f>ROUND(SUMIF(AA73:AA82,"=59499218",X73:X82),2)</f>
        <v>0</v>
      </c>
      <c r="AL84" s="3">
        <f>ROUND(SUMIF(AA73:AA82,"=59499218",Y73:Y82),2)</f>
        <v>0</v>
      </c>
      <c r="AM84" s="3"/>
      <c r="AN84" s="3"/>
      <c r="AO84" s="3">
        <f t="shared" ref="AO84:BD84" si="98">ROUND(BX84,2)</f>
        <v>0</v>
      </c>
      <c r="AP84" s="3">
        <f t="shared" si="98"/>
        <v>19804.830000000002</v>
      </c>
      <c r="AQ84" s="3">
        <f t="shared" si="98"/>
        <v>0</v>
      </c>
      <c r="AR84" s="3">
        <f t="shared" si="98"/>
        <v>19804.830000000002</v>
      </c>
      <c r="AS84" s="3">
        <f t="shared" si="98"/>
        <v>0</v>
      </c>
      <c r="AT84" s="3">
        <f t="shared" si="98"/>
        <v>0</v>
      </c>
      <c r="AU84" s="3">
        <f t="shared" si="98"/>
        <v>0</v>
      </c>
      <c r="AV84" s="3">
        <f t="shared" si="98"/>
        <v>19804.830000000002</v>
      </c>
      <c r="AW84" s="3">
        <f t="shared" si="98"/>
        <v>0</v>
      </c>
      <c r="AX84" s="3">
        <f t="shared" si="98"/>
        <v>0</v>
      </c>
      <c r="AY84" s="3">
        <f t="shared" si="98"/>
        <v>0</v>
      </c>
      <c r="AZ84" s="3">
        <f t="shared" si="98"/>
        <v>19804.830000000002</v>
      </c>
      <c r="BA84" s="3">
        <f t="shared" si="98"/>
        <v>0</v>
      </c>
      <c r="BB84" s="3">
        <f t="shared" si="98"/>
        <v>0</v>
      </c>
      <c r="BC84" s="3">
        <f t="shared" si="98"/>
        <v>0</v>
      </c>
      <c r="BD84" s="3">
        <f t="shared" si="98"/>
        <v>0</v>
      </c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>
        <f>ROUND(SUMIF(AA73:AA82,"=59499218",FQ73:FQ82),2)</f>
        <v>0</v>
      </c>
      <c r="BY84" s="3">
        <f>ROUND(SUMIF(AA73:AA82,"=59499218",FR73:FR82),2)</f>
        <v>19804.830000000002</v>
      </c>
      <c r="BZ84" s="3">
        <f>ROUND(SUMIF(AA73:AA82,"=59499218",GL73:GL82),2)</f>
        <v>0</v>
      </c>
      <c r="CA84" s="3">
        <f>ROUND(SUMIF(AA73:AA82,"=59499218",GM73:GM82),2)</f>
        <v>19804.830000000002</v>
      </c>
      <c r="CB84" s="3">
        <f>ROUND(SUMIF(AA73:AA82,"=59499218",GN73:GN82),2)</f>
        <v>0</v>
      </c>
      <c r="CC84" s="3">
        <f>ROUND(SUMIF(AA73:AA82,"=59499218",GO73:GO82),2)</f>
        <v>0</v>
      </c>
      <c r="CD84" s="3">
        <f>ROUND(SUMIF(AA73:AA82,"=59499218",GP73:GP82),2)</f>
        <v>0</v>
      </c>
      <c r="CE84" s="3">
        <f>AC84-BX84</f>
        <v>19804.830000000002</v>
      </c>
      <c r="CF84" s="3">
        <f>AC84-BY84</f>
        <v>0</v>
      </c>
      <c r="CG84" s="3">
        <f>BX84-BZ84</f>
        <v>0</v>
      </c>
      <c r="CH84" s="3">
        <f>AC84-BX84-BY84+BZ84</f>
        <v>0</v>
      </c>
      <c r="CI84" s="3">
        <f>BY84-BZ84</f>
        <v>19804.830000000002</v>
      </c>
      <c r="CJ84" s="3">
        <f>ROUND(SUMIF(AA73:AA82,"=59499218",GX73:GX82),2)</f>
        <v>0</v>
      </c>
      <c r="CK84" s="3">
        <f>ROUND(SUMIF(AA73:AA82,"=59499218",GY73:GY82),2)</f>
        <v>0</v>
      </c>
      <c r="CL84" s="3">
        <f>ROUND(SUMIF(AA73:AA82,"=59499218",GZ73:GZ82),2)</f>
        <v>0</v>
      </c>
      <c r="CM84" s="3">
        <f>ROUND(SUMIF(AA73:AA82,"=59499218",HD73:HD82),2)</f>
        <v>0</v>
      </c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4">
        <f t="shared" ref="DG84:DL84" si="99">ROUND(DT84,2)</f>
        <v>62665.62</v>
      </c>
      <c r="DH84" s="4">
        <f t="shared" si="99"/>
        <v>62665.62</v>
      </c>
      <c r="DI84" s="4">
        <f t="shared" si="99"/>
        <v>0</v>
      </c>
      <c r="DJ84" s="4">
        <f t="shared" si="99"/>
        <v>0</v>
      </c>
      <c r="DK84" s="4">
        <f t="shared" si="99"/>
        <v>0</v>
      </c>
      <c r="DL84" s="4">
        <f t="shared" si="99"/>
        <v>0</v>
      </c>
      <c r="DM84" s="4">
        <f>DZ84</f>
        <v>0</v>
      </c>
      <c r="DN84" s="4">
        <f>EA84</f>
        <v>0</v>
      </c>
      <c r="DO84" s="4">
        <f>ROUND(EB84,2)</f>
        <v>0</v>
      </c>
      <c r="DP84" s="4">
        <f>ROUND(EC84,2)</f>
        <v>0</v>
      </c>
      <c r="DQ84" s="4">
        <f>ROUND(ED84,2)</f>
        <v>0</v>
      </c>
      <c r="DR84" s="4"/>
      <c r="DS84" s="4"/>
      <c r="DT84" s="4">
        <f>ROUND(SUMIF(AA73:AA82,"=59499215",O73:O82),2)</f>
        <v>62665.62</v>
      </c>
      <c r="DU84" s="4">
        <f>ROUND(SUMIF(AA73:AA82,"=59499215",P73:P82),2)</f>
        <v>62665.62</v>
      </c>
      <c r="DV84" s="4">
        <f>ROUND(SUMIF(AA73:AA82,"=59499215",Q73:Q82),2)</f>
        <v>0</v>
      </c>
      <c r="DW84" s="4">
        <f>ROUND(SUMIF(AA73:AA82,"=59499215",R73:R82),2)</f>
        <v>0</v>
      </c>
      <c r="DX84" s="4">
        <f>ROUND(SUMIF(AA73:AA82,"=59499215",S73:S82),2)</f>
        <v>0</v>
      </c>
      <c r="DY84" s="4">
        <f>ROUND(SUMIF(AA73:AA82,"=59499215",T73:T82),2)</f>
        <v>0</v>
      </c>
      <c r="DZ84" s="4">
        <f>SUMIF(AA73:AA82,"=59499215",U73:U82)</f>
        <v>0</v>
      </c>
      <c r="EA84" s="4">
        <f>SUMIF(AA73:AA82,"=59499215",V73:V82)</f>
        <v>0</v>
      </c>
      <c r="EB84" s="4">
        <f>ROUND(SUMIF(AA73:AA82,"=59499215",W73:W82),2)</f>
        <v>0</v>
      </c>
      <c r="EC84" s="4">
        <f>ROUND(SUMIF(AA73:AA82,"=59499215",X73:X82),2)</f>
        <v>0</v>
      </c>
      <c r="ED84" s="4">
        <f>ROUND(SUMIF(AA73:AA82,"=59499215",Y73:Y82),2)</f>
        <v>0</v>
      </c>
      <c r="EE84" s="4"/>
      <c r="EF84" s="4"/>
      <c r="EG84" s="4">
        <f t="shared" ref="EG84:EV84" si="100">ROUND(FP84,2)</f>
        <v>0</v>
      </c>
      <c r="EH84" s="4">
        <f t="shared" si="100"/>
        <v>62665.62</v>
      </c>
      <c r="EI84" s="4">
        <f t="shared" si="100"/>
        <v>0</v>
      </c>
      <c r="EJ84" s="4">
        <f t="shared" si="100"/>
        <v>62665.62</v>
      </c>
      <c r="EK84" s="4">
        <f t="shared" si="100"/>
        <v>0</v>
      </c>
      <c r="EL84" s="4">
        <f t="shared" si="100"/>
        <v>0</v>
      </c>
      <c r="EM84" s="4">
        <f t="shared" si="100"/>
        <v>0</v>
      </c>
      <c r="EN84" s="4">
        <f t="shared" si="100"/>
        <v>62665.62</v>
      </c>
      <c r="EO84" s="4">
        <f t="shared" si="100"/>
        <v>0</v>
      </c>
      <c r="EP84" s="4">
        <f t="shared" si="100"/>
        <v>0</v>
      </c>
      <c r="EQ84" s="4">
        <f t="shared" si="100"/>
        <v>0</v>
      </c>
      <c r="ER84" s="4">
        <f t="shared" si="100"/>
        <v>62665.62</v>
      </c>
      <c r="ES84" s="4">
        <f t="shared" si="100"/>
        <v>0</v>
      </c>
      <c r="ET84" s="4">
        <f t="shared" si="100"/>
        <v>0</v>
      </c>
      <c r="EU84" s="4">
        <f t="shared" si="100"/>
        <v>0</v>
      </c>
      <c r="EV84" s="4">
        <f t="shared" si="100"/>
        <v>0</v>
      </c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>
        <f>ROUND(SUMIF(AA73:AA82,"=59499215",FQ73:FQ82),2)</f>
        <v>0</v>
      </c>
      <c r="FQ84" s="4">
        <f>ROUND(SUMIF(AA73:AA82,"=59499215",FR73:FR82),2)</f>
        <v>62665.62</v>
      </c>
      <c r="FR84" s="4">
        <f>ROUND(SUMIF(AA73:AA82,"=59499215",GL73:GL82),2)</f>
        <v>0</v>
      </c>
      <c r="FS84" s="4">
        <f>ROUND(SUMIF(AA73:AA82,"=59499215",GM73:GM82),2)</f>
        <v>62665.62</v>
      </c>
      <c r="FT84" s="4">
        <f>ROUND(SUMIF(AA73:AA82,"=59499215",GN73:GN82),2)</f>
        <v>0</v>
      </c>
      <c r="FU84" s="4">
        <f>ROUND(SUMIF(AA73:AA82,"=59499215",GO73:GO82),2)</f>
        <v>0</v>
      </c>
      <c r="FV84" s="4">
        <f>ROUND(SUMIF(AA73:AA82,"=59499215",GP73:GP82),2)</f>
        <v>0</v>
      </c>
      <c r="FW84" s="4">
        <f>DU84-FP84</f>
        <v>62665.62</v>
      </c>
      <c r="FX84" s="4">
        <f>DU84-FQ84</f>
        <v>0</v>
      </c>
      <c r="FY84" s="4">
        <f>FP84-FR84</f>
        <v>0</v>
      </c>
      <c r="FZ84" s="4">
        <f>DU84-FP84-FQ84+FR84</f>
        <v>0</v>
      </c>
      <c r="GA84" s="4">
        <f>FQ84-FR84</f>
        <v>62665.62</v>
      </c>
      <c r="GB84" s="4">
        <f>ROUND(SUMIF(AA73:AA82,"=59499215",GX73:GX82),2)</f>
        <v>0</v>
      </c>
      <c r="GC84" s="4">
        <f>ROUND(SUMIF(AA73:AA82,"=59499215",GY73:GY82),2)</f>
        <v>0</v>
      </c>
      <c r="GD84" s="4">
        <f>ROUND(SUMIF(AA73:AA82,"=59499215",GZ73:GZ82),2)</f>
        <v>0</v>
      </c>
      <c r="GE84" s="4">
        <f>ROUND(SUMIF(AA73:AA82,"=59499215",HD73:HD82),2)</f>
        <v>0</v>
      </c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>
        <v>0</v>
      </c>
    </row>
    <row r="86" spans="1:255" x14ac:dyDescent="0.2">
      <c r="A86" s="5">
        <v>50</v>
      </c>
      <c r="B86" s="5">
        <v>0</v>
      </c>
      <c r="C86" s="5">
        <v>0</v>
      </c>
      <c r="D86" s="5">
        <v>1</v>
      </c>
      <c r="E86" s="5">
        <v>201</v>
      </c>
      <c r="F86" s="5">
        <f>ROUND(Source!O84,O86)</f>
        <v>19804.830000000002</v>
      </c>
      <c r="G86" s="5" t="s">
        <v>46</v>
      </c>
      <c r="H86" s="5" t="s">
        <v>47</v>
      </c>
      <c r="I86" s="5"/>
      <c r="J86" s="5"/>
      <c r="K86" s="5">
        <v>201</v>
      </c>
      <c r="L86" s="5">
        <v>1</v>
      </c>
      <c r="M86" s="5">
        <v>3</v>
      </c>
      <c r="N86" s="5" t="s">
        <v>3</v>
      </c>
      <c r="O86" s="5">
        <v>2</v>
      </c>
      <c r="P86" s="5">
        <f>ROUND(Source!DG84,O86)</f>
        <v>62665.62</v>
      </c>
      <c r="Q86" s="5"/>
      <c r="R86" s="5"/>
      <c r="S86" s="5"/>
      <c r="T86" s="5"/>
      <c r="U86" s="5"/>
      <c r="V86" s="5"/>
      <c r="W86" s="5">
        <v>19804.830000000002</v>
      </c>
      <c r="X86" s="5">
        <v>1</v>
      </c>
      <c r="Y86" s="5">
        <v>19804.830000000002</v>
      </c>
      <c r="Z86" s="5">
        <v>62665.62</v>
      </c>
      <c r="AA86" s="5">
        <v>1</v>
      </c>
      <c r="AB86" s="5">
        <v>62665.62</v>
      </c>
    </row>
    <row r="87" spans="1:255" x14ac:dyDescent="0.2">
      <c r="A87" s="5">
        <v>50</v>
      </c>
      <c r="B87" s="5">
        <v>0</v>
      </c>
      <c r="C87" s="5">
        <v>0</v>
      </c>
      <c r="D87" s="5">
        <v>1</v>
      </c>
      <c r="E87" s="5">
        <v>202</v>
      </c>
      <c r="F87" s="5">
        <f>ROUND(Source!P84,O87)</f>
        <v>19804.830000000002</v>
      </c>
      <c r="G87" s="5" t="s">
        <v>48</v>
      </c>
      <c r="H87" s="5" t="s">
        <v>49</v>
      </c>
      <c r="I87" s="5"/>
      <c r="J87" s="5"/>
      <c r="K87" s="5">
        <v>202</v>
      </c>
      <c r="L87" s="5">
        <v>2</v>
      </c>
      <c r="M87" s="5">
        <v>3</v>
      </c>
      <c r="N87" s="5" t="s">
        <v>3</v>
      </c>
      <c r="O87" s="5">
        <v>2</v>
      </c>
      <c r="P87" s="5">
        <f>ROUND(Source!DH84,O87)</f>
        <v>62665.62</v>
      </c>
      <c r="Q87" s="5"/>
      <c r="R87" s="5"/>
      <c r="S87" s="5"/>
      <c r="T87" s="5"/>
      <c r="U87" s="5"/>
      <c r="V87" s="5"/>
      <c r="W87" s="5">
        <v>19804.830000000002</v>
      </c>
      <c r="X87" s="5">
        <v>1</v>
      </c>
      <c r="Y87" s="5">
        <v>19804.830000000002</v>
      </c>
      <c r="Z87" s="5">
        <v>62665.62</v>
      </c>
      <c r="AA87" s="5">
        <v>1</v>
      </c>
      <c r="AB87" s="5">
        <v>62665.62</v>
      </c>
    </row>
    <row r="88" spans="1:255" x14ac:dyDescent="0.2">
      <c r="A88" s="5">
        <v>50</v>
      </c>
      <c r="B88" s="5">
        <v>0</v>
      </c>
      <c r="C88" s="5">
        <v>0</v>
      </c>
      <c r="D88" s="5">
        <v>1</v>
      </c>
      <c r="E88" s="5">
        <v>222</v>
      </c>
      <c r="F88" s="5">
        <f>ROUND(Source!AO84,O88)</f>
        <v>0</v>
      </c>
      <c r="G88" s="5" t="s">
        <v>50</v>
      </c>
      <c r="H88" s="5" t="s">
        <v>51</v>
      </c>
      <c r="I88" s="5"/>
      <c r="J88" s="5"/>
      <c r="K88" s="5">
        <v>222</v>
      </c>
      <c r="L88" s="5">
        <v>3</v>
      </c>
      <c r="M88" s="5">
        <v>3</v>
      </c>
      <c r="N88" s="5" t="s">
        <v>3</v>
      </c>
      <c r="O88" s="5">
        <v>2</v>
      </c>
      <c r="P88" s="5">
        <f>ROUND(Source!EG84,O88)</f>
        <v>0</v>
      </c>
      <c r="Q88" s="5"/>
      <c r="R88" s="5"/>
      <c r="S88" s="5"/>
      <c r="T88" s="5"/>
      <c r="U88" s="5"/>
      <c r="V88" s="5"/>
      <c r="W88" s="5">
        <v>0</v>
      </c>
      <c r="X88" s="5">
        <v>1</v>
      </c>
      <c r="Y88" s="5">
        <v>0</v>
      </c>
      <c r="Z88" s="5">
        <v>0</v>
      </c>
      <c r="AA88" s="5">
        <v>1</v>
      </c>
      <c r="AB88" s="5">
        <v>0</v>
      </c>
    </row>
    <row r="89" spans="1:255" x14ac:dyDescent="0.2">
      <c r="A89" s="5">
        <v>50</v>
      </c>
      <c r="B89" s="5">
        <v>0</v>
      </c>
      <c r="C89" s="5">
        <v>0</v>
      </c>
      <c r="D89" s="5">
        <v>1</v>
      </c>
      <c r="E89" s="5">
        <v>225</v>
      </c>
      <c r="F89" s="5">
        <f>ROUND(Source!AV84,O89)</f>
        <v>19804.830000000002</v>
      </c>
      <c r="G89" s="5" t="s">
        <v>52</v>
      </c>
      <c r="H89" s="5" t="s">
        <v>53</v>
      </c>
      <c r="I89" s="5"/>
      <c r="J89" s="5"/>
      <c r="K89" s="5">
        <v>225</v>
      </c>
      <c r="L89" s="5">
        <v>4</v>
      </c>
      <c r="M89" s="5">
        <v>3</v>
      </c>
      <c r="N89" s="5" t="s">
        <v>3</v>
      </c>
      <c r="O89" s="5">
        <v>2</v>
      </c>
      <c r="P89" s="5">
        <f>ROUND(Source!EN84,O89)</f>
        <v>62665.62</v>
      </c>
      <c r="Q89" s="5"/>
      <c r="R89" s="5"/>
      <c r="S89" s="5"/>
      <c r="T89" s="5"/>
      <c r="U89" s="5"/>
      <c r="V89" s="5"/>
      <c r="W89" s="5">
        <v>19804.830000000002</v>
      </c>
      <c r="X89" s="5">
        <v>1</v>
      </c>
      <c r="Y89" s="5">
        <v>19804.830000000002</v>
      </c>
      <c r="Z89" s="5">
        <v>62665.62</v>
      </c>
      <c r="AA89" s="5">
        <v>1</v>
      </c>
      <c r="AB89" s="5">
        <v>62665.62</v>
      </c>
    </row>
    <row r="90" spans="1:255" x14ac:dyDescent="0.2">
      <c r="A90" s="5">
        <v>50</v>
      </c>
      <c r="B90" s="5">
        <v>0</v>
      </c>
      <c r="C90" s="5">
        <v>0</v>
      </c>
      <c r="D90" s="5">
        <v>1</v>
      </c>
      <c r="E90" s="5">
        <v>226</v>
      </c>
      <c r="F90" s="5">
        <f>ROUND(Source!AW84,O90)</f>
        <v>0</v>
      </c>
      <c r="G90" s="5" t="s">
        <v>54</v>
      </c>
      <c r="H90" s="5" t="s">
        <v>55</v>
      </c>
      <c r="I90" s="5"/>
      <c r="J90" s="5"/>
      <c r="K90" s="5">
        <v>226</v>
      </c>
      <c r="L90" s="5">
        <v>5</v>
      </c>
      <c r="M90" s="5">
        <v>3</v>
      </c>
      <c r="N90" s="5" t="s">
        <v>3</v>
      </c>
      <c r="O90" s="5">
        <v>2</v>
      </c>
      <c r="P90" s="5">
        <f>ROUND(Source!EO84,O90)</f>
        <v>0</v>
      </c>
      <c r="Q90" s="5"/>
      <c r="R90" s="5"/>
      <c r="S90" s="5"/>
      <c r="T90" s="5"/>
      <c r="U90" s="5"/>
      <c r="V90" s="5"/>
      <c r="W90" s="5">
        <v>0</v>
      </c>
      <c r="X90" s="5">
        <v>1</v>
      </c>
      <c r="Y90" s="5">
        <v>0</v>
      </c>
      <c r="Z90" s="5">
        <v>0</v>
      </c>
      <c r="AA90" s="5">
        <v>1</v>
      </c>
      <c r="AB90" s="5">
        <v>0</v>
      </c>
    </row>
    <row r="91" spans="1:255" x14ac:dyDescent="0.2">
      <c r="A91" s="5">
        <v>50</v>
      </c>
      <c r="B91" s="5">
        <v>0</v>
      </c>
      <c r="C91" s="5">
        <v>0</v>
      </c>
      <c r="D91" s="5">
        <v>1</v>
      </c>
      <c r="E91" s="5">
        <v>227</v>
      </c>
      <c r="F91" s="5">
        <f>ROUND(Source!AX84,O91)</f>
        <v>0</v>
      </c>
      <c r="G91" s="5" t="s">
        <v>56</v>
      </c>
      <c r="H91" s="5" t="s">
        <v>57</v>
      </c>
      <c r="I91" s="5"/>
      <c r="J91" s="5"/>
      <c r="K91" s="5">
        <v>227</v>
      </c>
      <c r="L91" s="5">
        <v>6</v>
      </c>
      <c r="M91" s="5">
        <v>3</v>
      </c>
      <c r="N91" s="5" t="s">
        <v>3</v>
      </c>
      <c r="O91" s="5">
        <v>2</v>
      </c>
      <c r="P91" s="5">
        <f>ROUND(Source!EP84,O91)</f>
        <v>0</v>
      </c>
      <c r="Q91" s="5"/>
      <c r="R91" s="5"/>
      <c r="S91" s="5"/>
      <c r="T91" s="5"/>
      <c r="U91" s="5"/>
      <c r="V91" s="5"/>
      <c r="W91" s="5">
        <v>0</v>
      </c>
      <c r="X91" s="5">
        <v>1</v>
      </c>
      <c r="Y91" s="5">
        <v>0</v>
      </c>
      <c r="Z91" s="5">
        <v>0</v>
      </c>
      <c r="AA91" s="5">
        <v>1</v>
      </c>
      <c r="AB91" s="5">
        <v>0</v>
      </c>
    </row>
    <row r="92" spans="1:255" x14ac:dyDescent="0.2">
      <c r="A92" s="5">
        <v>50</v>
      </c>
      <c r="B92" s="5">
        <v>0</v>
      </c>
      <c r="C92" s="5">
        <v>0</v>
      </c>
      <c r="D92" s="5">
        <v>1</v>
      </c>
      <c r="E92" s="5">
        <v>228</v>
      </c>
      <c r="F92" s="5">
        <f>ROUND(Source!AY84,O92)</f>
        <v>0</v>
      </c>
      <c r="G92" s="5" t="s">
        <v>58</v>
      </c>
      <c r="H92" s="5" t="s">
        <v>59</v>
      </c>
      <c r="I92" s="5"/>
      <c r="J92" s="5"/>
      <c r="K92" s="5">
        <v>228</v>
      </c>
      <c r="L92" s="5">
        <v>7</v>
      </c>
      <c r="M92" s="5">
        <v>3</v>
      </c>
      <c r="N92" s="5" t="s">
        <v>3</v>
      </c>
      <c r="O92" s="5">
        <v>2</v>
      </c>
      <c r="P92" s="5">
        <f>ROUND(Source!EQ84,O92)</f>
        <v>0</v>
      </c>
      <c r="Q92" s="5"/>
      <c r="R92" s="5"/>
      <c r="S92" s="5"/>
      <c r="T92" s="5"/>
      <c r="U92" s="5"/>
      <c r="V92" s="5"/>
      <c r="W92" s="5">
        <v>0</v>
      </c>
      <c r="X92" s="5">
        <v>1</v>
      </c>
      <c r="Y92" s="5">
        <v>0</v>
      </c>
      <c r="Z92" s="5">
        <v>0</v>
      </c>
      <c r="AA92" s="5">
        <v>1</v>
      </c>
      <c r="AB92" s="5">
        <v>0</v>
      </c>
    </row>
    <row r="93" spans="1:255" x14ac:dyDescent="0.2">
      <c r="A93" s="5">
        <v>50</v>
      </c>
      <c r="B93" s="5">
        <v>0</v>
      </c>
      <c r="C93" s="5">
        <v>0</v>
      </c>
      <c r="D93" s="5">
        <v>1</v>
      </c>
      <c r="E93" s="5">
        <v>216</v>
      </c>
      <c r="F93" s="5">
        <f>ROUND(Source!AP84,O93)</f>
        <v>19804.830000000002</v>
      </c>
      <c r="G93" s="5" t="s">
        <v>60</v>
      </c>
      <c r="H93" s="5" t="s">
        <v>61</v>
      </c>
      <c r="I93" s="5"/>
      <c r="J93" s="5"/>
      <c r="K93" s="5">
        <v>216</v>
      </c>
      <c r="L93" s="5">
        <v>8</v>
      </c>
      <c r="M93" s="5">
        <v>3</v>
      </c>
      <c r="N93" s="5" t="s">
        <v>3</v>
      </c>
      <c r="O93" s="5">
        <v>2</v>
      </c>
      <c r="P93" s="5">
        <f>ROUND(Source!EH84,O93)</f>
        <v>62665.62</v>
      </c>
      <c r="Q93" s="5"/>
      <c r="R93" s="5"/>
      <c r="S93" s="5"/>
      <c r="T93" s="5"/>
      <c r="U93" s="5"/>
      <c r="V93" s="5"/>
      <c r="W93" s="5">
        <v>19804.830000000002</v>
      </c>
      <c r="X93" s="5">
        <v>1</v>
      </c>
      <c r="Y93" s="5">
        <v>19804.830000000002</v>
      </c>
      <c r="Z93" s="5">
        <v>62665.62</v>
      </c>
      <c r="AA93" s="5">
        <v>1</v>
      </c>
      <c r="AB93" s="5">
        <v>62665.62</v>
      </c>
    </row>
    <row r="94" spans="1:255" x14ac:dyDescent="0.2">
      <c r="A94" s="5">
        <v>50</v>
      </c>
      <c r="B94" s="5">
        <v>0</v>
      </c>
      <c r="C94" s="5">
        <v>0</v>
      </c>
      <c r="D94" s="5">
        <v>1</v>
      </c>
      <c r="E94" s="5">
        <v>223</v>
      </c>
      <c r="F94" s="5">
        <f>ROUND(Source!AQ84,O94)</f>
        <v>0</v>
      </c>
      <c r="G94" s="5" t="s">
        <v>62</v>
      </c>
      <c r="H94" s="5" t="s">
        <v>63</v>
      </c>
      <c r="I94" s="5"/>
      <c r="J94" s="5"/>
      <c r="K94" s="5">
        <v>223</v>
      </c>
      <c r="L94" s="5">
        <v>9</v>
      </c>
      <c r="M94" s="5">
        <v>3</v>
      </c>
      <c r="N94" s="5" t="s">
        <v>3</v>
      </c>
      <c r="O94" s="5">
        <v>2</v>
      </c>
      <c r="P94" s="5">
        <f>ROUND(Source!EI84,O94)</f>
        <v>0</v>
      </c>
      <c r="Q94" s="5"/>
      <c r="R94" s="5"/>
      <c r="S94" s="5"/>
      <c r="T94" s="5"/>
      <c r="U94" s="5"/>
      <c r="V94" s="5"/>
      <c r="W94" s="5">
        <v>0</v>
      </c>
      <c r="X94" s="5">
        <v>1</v>
      </c>
      <c r="Y94" s="5">
        <v>0</v>
      </c>
      <c r="Z94" s="5">
        <v>0</v>
      </c>
      <c r="AA94" s="5">
        <v>1</v>
      </c>
      <c r="AB94" s="5">
        <v>0</v>
      </c>
    </row>
    <row r="95" spans="1:255" x14ac:dyDescent="0.2">
      <c r="A95" s="5">
        <v>50</v>
      </c>
      <c r="B95" s="5">
        <v>0</v>
      </c>
      <c r="C95" s="5">
        <v>0</v>
      </c>
      <c r="D95" s="5">
        <v>1</v>
      </c>
      <c r="E95" s="5">
        <v>229</v>
      </c>
      <c r="F95" s="5">
        <f>ROUND(Source!AZ84,O95)</f>
        <v>19804.830000000002</v>
      </c>
      <c r="G95" s="5" t="s">
        <v>64</v>
      </c>
      <c r="H95" s="5" t="s">
        <v>65</v>
      </c>
      <c r="I95" s="5"/>
      <c r="J95" s="5"/>
      <c r="K95" s="5">
        <v>229</v>
      </c>
      <c r="L95" s="5">
        <v>10</v>
      </c>
      <c r="M95" s="5">
        <v>3</v>
      </c>
      <c r="N95" s="5" t="s">
        <v>3</v>
      </c>
      <c r="O95" s="5">
        <v>2</v>
      </c>
      <c r="P95" s="5">
        <f>ROUND(Source!ER84,O95)</f>
        <v>62665.62</v>
      </c>
      <c r="Q95" s="5"/>
      <c r="R95" s="5"/>
      <c r="S95" s="5"/>
      <c r="T95" s="5"/>
      <c r="U95" s="5"/>
      <c r="V95" s="5"/>
      <c r="W95" s="5">
        <v>19804.830000000002</v>
      </c>
      <c r="X95" s="5">
        <v>1</v>
      </c>
      <c r="Y95" s="5">
        <v>19804.830000000002</v>
      </c>
      <c r="Z95" s="5">
        <v>62665.62</v>
      </c>
      <c r="AA95" s="5">
        <v>1</v>
      </c>
      <c r="AB95" s="5">
        <v>62665.62</v>
      </c>
    </row>
    <row r="96" spans="1:255" x14ac:dyDescent="0.2">
      <c r="A96" s="5">
        <v>50</v>
      </c>
      <c r="B96" s="5">
        <v>0</v>
      </c>
      <c r="C96" s="5">
        <v>0</v>
      </c>
      <c r="D96" s="5">
        <v>1</v>
      </c>
      <c r="E96" s="5">
        <v>203</v>
      </c>
      <c r="F96" s="5">
        <f>ROUND(Source!Q84,O96)</f>
        <v>0</v>
      </c>
      <c r="G96" s="5" t="s">
        <v>66</v>
      </c>
      <c r="H96" s="5" t="s">
        <v>67</v>
      </c>
      <c r="I96" s="5"/>
      <c r="J96" s="5"/>
      <c r="K96" s="5">
        <v>203</v>
      </c>
      <c r="L96" s="5">
        <v>11</v>
      </c>
      <c r="M96" s="5">
        <v>3</v>
      </c>
      <c r="N96" s="5" t="s">
        <v>3</v>
      </c>
      <c r="O96" s="5">
        <v>2</v>
      </c>
      <c r="P96" s="5">
        <f>ROUND(Source!DI84,O96)</f>
        <v>0</v>
      </c>
      <c r="Q96" s="5"/>
      <c r="R96" s="5"/>
      <c r="S96" s="5"/>
      <c r="T96" s="5"/>
      <c r="U96" s="5"/>
      <c r="V96" s="5"/>
      <c r="W96" s="5">
        <v>0</v>
      </c>
      <c r="X96" s="5">
        <v>1</v>
      </c>
      <c r="Y96" s="5">
        <v>0</v>
      </c>
      <c r="Z96" s="5">
        <v>0</v>
      </c>
      <c r="AA96" s="5">
        <v>1</v>
      </c>
      <c r="AB96" s="5">
        <v>0</v>
      </c>
    </row>
    <row r="97" spans="1:28" x14ac:dyDescent="0.2">
      <c r="A97" s="5">
        <v>50</v>
      </c>
      <c r="B97" s="5">
        <v>0</v>
      </c>
      <c r="C97" s="5">
        <v>0</v>
      </c>
      <c r="D97" s="5">
        <v>1</v>
      </c>
      <c r="E97" s="5">
        <v>231</v>
      </c>
      <c r="F97" s="5">
        <f>ROUND(Source!BB84,O97)</f>
        <v>0</v>
      </c>
      <c r="G97" s="5" t="s">
        <v>68</v>
      </c>
      <c r="H97" s="5" t="s">
        <v>69</v>
      </c>
      <c r="I97" s="5"/>
      <c r="J97" s="5"/>
      <c r="K97" s="5">
        <v>231</v>
      </c>
      <c r="L97" s="5">
        <v>12</v>
      </c>
      <c r="M97" s="5">
        <v>3</v>
      </c>
      <c r="N97" s="5" t="s">
        <v>3</v>
      </c>
      <c r="O97" s="5">
        <v>2</v>
      </c>
      <c r="P97" s="5">
        <f>ROUND(Source!ET84,O97)</f>
        <v>0</v>
      </c>
      <c r="Q97" s="5"/>
      <c r="R97" s="5"/>
      <c r="S97" s="5"/>
      <c r="T97" s="5"/>
      <c r="U97" s="5"/>
      <c r="V97" s="5"/>
      <c r="W97" s="5">
        <v>0</v>
      </c>
      <c r="X97" s="5">
        <v>1</v>
      </c>
      <c r="Y97" s="5">
        <v>0</v>
      </c>
      <c r="Z97" s="5">
        <v>0</v>
      </c>
      <c r="AA97" s="5">
        <v>1</v>
      </c>
      <c r="AB97" s="5">
        <v>0</v>
      </c>
    </row>
    <row r="98" spans="1:28" x14ac:dyDescent="0.2">
      <c r="A98" s="5">
        <v>50</v>
      </c>
      <c r="B98" s="5">
        <v>0</v>
      </c>
      <c r="C98" s="5">
        <v>0</v>
      </c>
      <c r="D98" s="5">
        <v>1</v>
      </c>
      <c r="E98" s="5">
        <v>204</v>
      </c>
      <c r="F98" s="5">
        <f>ROUND(Source!R84,O98)</f>
        <v>0</v>
      </c>
      <c r="G98" s="5" t="s">
        <v>70</v>
      </c>
      <c r="H98" s="5" t="s">
        <v>71</v>
      </c>
      <c r="I98" s="5"/>
      <c r="J98" s="5"/>
      <c r="K98" s="5">
        <v>204</v>
      </c>
      <c r="L98" s="5">
        <v>13</v>
      </c>
      <c r="M98" s="5">
        <v>3</v>
      </c>
      <c r="N98" s="5" t="s">
        <v>3</v>
      </c>
      <c r="O98" s="5">
        <v>2</v>
      </c>
      <c r="P98" s="5">
        <f>ROUND(Source!DJ84,O98)</f>
        <v>0</v>
      </c>
      <c r="Q98" s="5"/>
      <c r="R98" s="5"/>
      <c r="S98" s="5"/>
      <c r="T98" s="5"/>
      <c r="U98" s="5"/>
      <c r="V98" s="5"/>
      <c r="W98" s="5">
        <v>0</v>
      </c>
      <c r="X98" s="5">
        <v>1</v>
      </c>
      <c r="Y98" s="5">
        <v>0</v>
      </c>
      <c r="Z98" s="5">
        <v>0</v>
      </c>
      <c r="AA98" s="5">
        <v>1</v>
      </c>
      <c r="AB98" s="5">
        <v>0</v>
      </c>
    </row>
    <row r="99" spans="1:28" x14ac:dyDescent="0.2">
      <c r="A99" s="5">
        <v>50</v>
      </c>
      <c r="B99" s="5">
        <v>0</v>
      </c>
      <c r="C99" s="5">
        <v>0</v>
      </c>
      <c r="D99" s="5">
        <v>1</v>
      </c>
      <c r="E99" s="5">
        <v>205</v>
      </c>
      <c r="F99" s="5">
        <f>ROUND(Source!S84,O99)</f>
        <v>0</v>
      </c>
      <c r="G99" s="5" t="s">
        <v>72</v>
      </c>
      <c r="H99" s="5" t="s">
        <v>73</v>
      </c>
      <c r="I99" s="5"/>
      <c r="J99" s="5"/>
      <c r="K99" s="5">
        <v>205</v>
      </c>
      <c r="L99" s="5">
        <v>14</v>
      </c>
      <c r="M99" s="5">
        <v>3</v>
      </c>
      <c r="N99" s="5" t="s">
        <v>3</v>
      </c>
      <c r="O99" s="5">
        <v>2</v>
      </c>
      <c r="P99" s="5">
        <f>ROUND(Source!DK84,O99)</f>
        <v>0</v>
      </c>
      <c r="Q99" s="5"/>
      <c r="R99" s="5"/>
      <c r="S99" s="5"/>
      <c r="T99" s="5"/>
      <c r="U99" s="5"/>
      <c r="V99" s="5"/>
      <c r="W99" s="5">
        <v>0</v>
      </c>
      <c r="X99" s="5">
        <v>1</v>
      </c>
      <c r="Y99" s="5">
        <v>0</v>
      </c>
      <c r="Z99" s="5">
        <v>0</v>
      </c>
      <c r="AA99" s="5">
        <v>1</v>
      </c>
      <c r="AB99" s="5">
        <v>0</v>
      </c>
    </row>
    <row r="100" spans="1:28" x14ac:dyDescent="0.2">
      <c r="A100" s="5">
        <v>50</v>
      </c>
      <c r="B100" s="5">
        <v>0</v>
      </c>
      <c r="C100" s="5">
        <v>0</v>
      </c>
      <c r="D100" s="5">
        <v>1</v>
      </c>
      <c r="E100" s="5">
        <v>232</v>
      </c>
      <c r="F100" s="5">
        <f>ROUND(Source!BC84,O100)</f>
        <v>0</v>
      </c>
      <c r="G100" s="5" t="s">
        <v>74</v>
      </c>
      <c r="H100" s="5" t="s">
        <v>75</v>
      </c>
      <c r="I100" s="5"/>
      <c r="J100" s="5"/>
      <c r="K100" s="5">
        <v>232</v>
      </c>
      <c r="L100" s="5">
        <v>15</v>
      </c>
      <c r="M100" s="5">
        <v>3</v>
      </c>
      <c r="N100" s="5" t="s">
        <v>3</v>
      </c>
      <c r="O100" s="5">
        <v>2</v>
      </c>
      <c r="P100" s="5">
        <f>ROUND(Source!EU84,O100)</f>
        <v>0</v>
      </c>
      <c r="Q100" s="5"/>
      <c r="R100" s="5"/>
      <c r="S100" s="5"/>
      <c r="T100" s="5"/>
      <c r="U100" s="5"/>
      <c r="V100" s="5"/>
      <c r="W100" s="5">
        <v>0</v>
      </c>
      <c r="X100" s="5">
        <v>1</v>
      </c>
      <c r="Y100" s="5">
        <v>0</v>
      </c>
      <c r="Z100" s="5">
        <v>0</v>
      </c>
      <c r="AA100" s="5">
        <v>1</v>
      </c>
      <c r="AB100" s="5">
        <v>0</v>
      </c>
    </row>
    <row r="101" spans="1:28" x14ac:dyDescent="0.2">
      <c r="A101" s="5">
        <v>50</v>
      </c>
      <c r="B101" s="5">
        <v>0</v>
      </c>
      <c r="C101" s="5">
        <v>0</v>
      </c>
      <c r="D101" s="5">
        <v>1</v>
      </c>
      <c r="E101" s="5">
        <v>214</v>
      </c>
      <c r="F101" s="5">
        <f>ROUND(Source!AS84,O101)</f>
        <v>0</v>
      </c>
      <c r="G101" s="5" t="s">
        <v>76</v>
      </c>
      <c r="H101" s="5" t="s">
        <v>77</v>
      </c>
      <c r="I101" s="5"/>
      <c r="J101" s="5"/>
      <c r="K101" s="5">
        <v>214</v>
      </c>
      <c r="L101" s="5">
        <v>16</v>
      </c>
      <c r="M101" s="5">
        <v>3</v>
      </c>
      <c r="N101" s="5" t="s">
        <v>3</v>
      </c>
      <c r="O101" s="5">
        <v>2</v>
      </c>
      <c r="P101" s="5">
        <f>ROUND(Source!EK84,O101)</f>
        <v>0</v>
      </c>
      <c r="Q101" s="5"/>
      <c r="R101" s="5"/>
      <c r="S101" s="5"/>
      <c r="T101" s="5"/>
      <c r="U101" s="5"/>
      <c r="V101" s="5"/>
      <c r="W101" s="5">
        <v>0</v>
      </c>
      <c r="X101" s="5">
        <v>1</v>
      </c>
      <c r="Y101" s="5">
        <v>0</v>
      </c>
      <c r="Z101" s="5">
        <v>0</v>
      </c>
      <c r="AA101" s="5">
        <v>1</v>
      </c>
      <c r="AB101" s="5">
        <v>0</v>
      </c>
    </row>
    <row r="102" spans="1:28" x14ac:dyDescent="0.2">
      <c r="A102" s="5">
        <v>50</v>
      </c>
      <c r="B102" s="5">
        <v>0</v>
      </c>
      <c r="C102" s="5">
        <v>0</v>
      </c>
      <c r="D102" s="5">
        <v>1</v>
      </c>
      <c r="E102" s="5">
        <v>215</v>
      </c>
      <c r="F102" s="5">
        <f>ROUND(Source!AT84,O102)</f>
        <v>0</v>
      </c>
      <c r="G102" s="5" t="s">
        <v>78</v>
      </c>
      <c r="H102" s="5" t="s">
        <v>79</v>
      </c>
      <c r="I102" s="5"/>
      <c r="J102" s="5"/>
      <c r="K102" s="5">
        <v>215</v>
      </c>
      <c r="L102" s="5">
        <v>17</v>
      </c>
      <c r="M102" s="5">
        <v>3</v>
      </c>
      <c r="N102" s="5" t="s">
        <v>3</v>
      </c>
      <c r="O102" s="5">
        <v>2</v>
      </c>
      <c r="P102" s="5">
        <f>ROUND(Source!EL84,O102)</f>
        <v>0</v>
      </c>
      <c r="Q102" s="5"/>
      <c r="R102" s="5"/>
      <c r="S102" s="5"/>
      <c r="T102" s="5"/>
      <c r="U102" s="5"/>
      <c r="V102" s="5"/>
      <c r="W102" s="5">
        <v>0</v>
      </c>
      <c r="X102" s="5">
        <v>1</v>
      </c>
      <c r="Y102" s="5">
        <v>0</v>
      </c>
      <c r="Z102" s="5">
        <v>0</v>
      </c>
      <c r="AA102" s="5">
        <v>1</v>
      </c>
      <c r="AB102" s="5">
        <v>0</v>
      </c>
    </row>
    <row r="103" spans="1:28" x14ac:dyDescent="0.2">
      <c r="A103" s="5">
        <v>50</v>
      </c>
      <c r="B103" s="5">
        <v>0</v>
      </c>
      <c r="C103" s="5">
        <v>0</v>
      </c>
      <c r="D103" s="5">
        <v>1</v>
      </c>
      <c r="E103" s="5">
        <v>217</v>
      </c>
      <c r="F103" s="5">
        <f>ROUND(Source!AU84,O103)</f>
        <v>0</v>
      </c>
      <c r="G103" s="5" t="s">
        <v>80</v>
      </c>
      <c r="H103" s="5" t="s">
        <v>81</v>
      </c>
      <c r="I103" s="5"/>
      <c r="J103" s="5"/>
      <c r="K103" s="5">
        <v>217</v>
      </c>
      <c r="L103" s="5">
        <v>18</v>
      </c>
      <c r="M103" s="5">
        <v>3</v>
      </c>
      <c r="N103" s="5" t="s">
        <v>3</v>
      </c>
      <c r="O103" s="5">
        <v>2</v>
      </c>
      <c r="P103" s="5">
        <f>ROUND(Source!EM84,O103)</f>
        <v>0</v>
      </c>
      <c r="Q103" s="5"/>
      <c r="R103" s="5"/>
      <c r="S103" s="5"/>
      <c r="T103" s="5"/>
      <c r="U103" s="5"/>
      <c r="V103" s="5"/>
      <c r="W103" s="5">
        <v>0</v>
      </c>
      <c r="X103" s="5">
        <v>1</v>
      </c>
      <c r="Y103" s="5">
        <v>0</v>
      </c>
      <c r="Z103" s="5">
        <v>0</v>
      </c>
      <c r="AA103" s="5">
        <v>1</v>
      </c>
      <c r="AB103" s="5">
        <v>0</v>
      </c>
    </row>
    <row r="104" spans="1:28" x14ac:dyDescent="0.2">
      <c r="A104" s="5">
        <v>50</v>
      </c>
      <c r="B104" s="5">
        <v>0</v>
      </c>
      <c r="C104" s="5">
        <v>0</v>
      </c>
      <c r="D104" s="5">
        <v>1</v>
      </c>
      <c r="E104" s="5">
        <v>230</v>
      </c>
      <c r="F104" s="5">
        <f>ROUND(Source!BA84,O104)</f>
        <v>0</v>
      </c>
      <c r="G104" s="5" t="s">
        <v>82</v>
      </c>
      <c r="H104" s="5" t="s">
        <v>83</v>
      </c>
      <c r="I104" s="5"/>
      <c r="J104" s="5"/>
      <c r="K104" s="5">
        <v>230</v>
      </c>
      <c r="L104" s="5">
        <v>19</v>
      </c>
      <c r="M104" s="5">
        <v>3</v>
      </c>
      <c r="N104" s="5" t="s">
        <v>3</v>
      </c>
      <c r="O104" s="5">
        <v>2</v>
      </c>
      <c r="P104" s="5">
        <f>ROUND(Source!ES84,O104)</f>
        <v>0</v>
      </c>
      <c r="Q104" s="5"/>
      <c r="R104" s="5"/>
      <c r="S104" s="5"/>
      <c r="T104" s="5"/>
      <c r="U104" s="5"/>
      <c r="V104" s="5"/>
      <c r="W104" s="5">
        <v>0</v>
      </c>
      <c r="X104" s="5">
        <v>1</v>
      </c>
      <c r="Y104" s="5">
        <v>0</v>
      </c>
      <c r="Z104" s="5">
        <v>0</v>
      </c>
      <c r="AA104" s="5">
        <v>1</v>
      </c>
      <c r="AB104" s="5">
        <v>0</v>
      </c>
    </row>
    <row r="105" spans="1:28" x14ac:dyDescent="0.2">
      <c r="A105" s="5">
        <v>50</v>
      </c>
      <c r="B105" s="5">
        <v>0</v>
      </c>
      <c r="C105" s="5">
        <v>0</v>
      </c>
      <c r="D105" s="5">
        <v>1</v>
      </c>
      <c r="E105" s="5">
        <v>206</v>
      </c>
      <c r="F105" s="5">
        <f>ROUND(Source!T84,O105)</f>
        <v>0</v>
      </c>
      <c r="G105" s="5" t="s">
        <v>84</v>
      </c>
      <c r="H105" s="5" t="s">
        <v>85</v>
      </c>
      <c r="I105" s="5"/>
      <c r="J105" s="5"/>
      <c r="K105" s="5">
        <v>206</v>
      </c>
      <c r="L105" s="5">
        <v>20</v>
      </c>
      <c r="M105" s="5">
        <v>3</v>
      </c>
      <c r="N105" s="5" t="s">
        <v>3</v>
      </c>
      <c r="O105" s="5">
        <v>2</v>
      </c>
      <c r="P105" s="5">
        <f>ROUND(Source!DL84,O105)</f>
        <v>0</v>
      </c>
      <c r="Q105" s="5"/>
      <c r="R105" s="5"/>
      <c r="S105" s="5"/>
      <c r="T105" s="5"/>
      <c r="U105" s="5"/>
      <c r="V105" s="5"/>
      <c r="W105" s="5">
        <v>0</v>
      </c>
      <c r="X105" s="5">
        <v>1</v>
      </c>
      <c r="Y105" s="5">
        <v>0</v>
      </c>
      <c r="Z105" s="5">
        <v>0</v>
      </c>
      <c r="AA105" s="5">
        <v>1</v>
      </c>
      <c r="AB105" s="5">
        <v>0</v>
      </c>
    </row>
    <row r="106" spans="1:28" x14ac:dyDescent="0.2">
      <c r="A106" s="5">
        <v>50</v>
      </c>
      <c r="B106" s="5">
        <v>0</v>
      </c>
      <c r="C106" s="5">
        <v>0</v>
      </c>
      <c r="D106" s="5">
        <v>1</v>
      </c>
      <c r="E106" s="5">
        <v>207</v>
      </c>
      <c r="F106" s="5">
        <f>Source!U84</f>
        <v>0</v>
      </c>
      <c r="G106" s="5" t="s">
        <v>86</v>
      </c>
      <c r="H106" s="5" t="s">
        <v>87</v>
      </c>
      <c r="I106" s="5"/>
      <c r="J106" s="5"/>
      <c r="K106" s="5">
        <v>207</v>
      </c>
      <c r="L106" s="5">
        <v>21</v>
      </c>
      <c r="M106" s="5">
        <v>3</v>
      </c>
      <c r="N106" s="5" t="s">
        <v>3</v>
      </c>
      <c r="O106" s="5">
        <v>-1</v>
      </c>
      <c r="P106" s="5">
        <f>Source!DM84</f>
        <v>0</v>
      </c>
      <c r="Q106" s="5"/>
      <c r="R106" s="5"/>
      <c r="S106" s="5"/>
      <c r="T106" s="5"/>
      <c r="U106" s="5"/>
      <c r="V106" s="5"/>
      <c r="W106" s="5">
        <v>0</v>
      </c>
      <c r="X106" s="5">
        <v>1</v>
      </c>
      <c r="Y106" s="5">
        <v>0</v>
      </c>
      <c r="Z106" s="5">
        <v>0</v>
      </c>
      <c r="AA106" s="5">
        <v>1</v>
      </c>
      <c r="AB106" s="5">
        <v>0</v>
      </c>
    </row>
    <row r="107" spans="1:28" x14ac:dyDescent="0.2">
      <c r="A107" s="5">
        <v>50</v>
      </c>
      <c r="B107" s="5">
        <v>0</v>
      </c>
      <c r="C107" s="5">
        <v>0</v>
      </c>
      <c r="D107" s="5">
        <v>1</v>
      </c>
      <c r="E107" s="5">
        <v>208</v>
      </c>
      <c r="F107" s="5">
        <f>Source!V84</f>
        <v>0</v>
      </c>
      <c r="G107" s="5" t="s">
        <v>88</v>
      </c>
      <c r="H107" s="5" t="s">
        <v>89</v>
      </c>
      <c r="I107" s="5"/>
      <c r="J107" s="5"/>
      <c r="K107" s="5">
        <v>208</v>
      </c>
      <c r="L107" s="5">
        <v>22</v>
      </c>
      <c r="M107" s="5">
        <v>3</v>
      </c>
      <c r="N107" s="5" t="s">
        <v>3</v>
      </c>
      <c r="O107" s="5">
        <v>-1</v>
      </c>
      <c r="P107" s="5">
        <f>Source!DN84</f>
        <v>0</v>
      </c>
      <c r="Q107" s="5"/>
      <c r="R107" s="5"/>
      <c r="S107" s="5"/>
      <c r="T107" s="5"/>
      <c r="U107" s="5"/>
      <c r="V107" s="5"/>
      <c r="W107" s="5">
        <v>0</v>
      </c>
      <c r="X107" s="5">
        <v>1</v>
      </c>
      <c r="Y107" s="5">
        <v>0</v>
      </c>
      <c r="Z107" s="5">
        <v>0</v>
      </c>
      <c r="AA107" s="5">
        <v>1</v>
      </c>
      <c r="AB107" s="5">
        <v>0</v>
      </c>
    </row>
    <row r="108" spans="1:28" x14ac:dyDescent="0.2">
      <c r="A108" s="5">
        <v>50</v>
      </c>
      <c r="B108" s="5">
        <v>0</v>
      </c>
      <c r="C108" s="5">
        <v>0</v>
      </c>
      <c r="D108" s="5">
        <v>1</v>
      </c>
      <c r="E108" s="5">
        <v>209</v>
      </c>
      <c r="F108" s="5">
        <f>ROUND(Source!W84,O108)</f>
        <v>0</v>
      </c>
      <c r="G108" s="5" t="s">
        <v>90</v>
      </c>
      <c r="H108" s="5" t="s">
        <v>91</v>
      </c>
      <c r="I108" s="5"/>
      <c r="J108" s="5"/>
      <c r="K108" s="5">
        <v>209</v>
      </c>
      <c r="L108" s="5">
        <v>23</v>
      </c>
      <c r="M108" s="5">
        <v>3</v>
      </c>
      <c r="N108" s="5" t="s">
        <v>3</v>
      </c>
      <c r="O108" s="5">
        <v>2</v>
      </c>
      <c r="P108" s="5">
        <f>ROUND(Source!DO84,O108)</f>
        <v>0</v>
      </c>
      <c r="Q108" s="5"/>
      <c r="R108" s="5"/>
      <c r="S108" s="5"/>
      <c r="T108" s="5"/>
      <c r="U108" s="5"/>
      <c r="V108" s="5"/>
      <c r="W108" s="5">
        <v>0</v>
      </c>
      <c r="X108" s="5">
        <v>1</v>
      </c>
      <c r="Y108" s="5">
        <v>0</v>
      </c>
      <c r="Z108" s="5">
        <v>0</v>
      </c>
      <c r="AA108" s="5">
        <v>1</v>
      </c>
      <c r="AB108" s="5">
        <v>0</v>
      </c>
    </row>
    <row r="109" spans="1:28" x14ac:dyDescent="0.2">
      <c r="A109" s="5">
        <v>50</v>
      </c>
      <c r="B109" s="5">
        <v>0</v>
      </c>
      <c r="C109" s="5">
        <v>0</v>
      </c>
      <c r="D109" s="5">
        <v>1</v>
      </c>
      <c r="E109" s="5">
        <v>233</v>
      </c>
      <c r="F109" s="5">
        <f>ROUND(Source!BD84,O109)</f>
        <v>0</v>
      </c>
      <c r="G109" s="5" t="s">
        <v>92</v>
      </c>
      <c r="H109" s="5" t="s">
        <v>93</v>
      </c>
      <c r="I109" s="5"/>
      <c r="J109" s="5"/>
      <c r="K109" s="5">
        <v>233</v>
      </c>
      <c r="L109" s="5">
        <v>24</v>
      </c>
      <c r="M109" s="5">
        <v>3</v>
      </c>
      <c r="N109" s="5" t="s">
        <v>3</v>
      </c>
      <c r="O109" s="5">
        <v>2</v>
      </c>
      <c r="P109" s="5">
        <f>ROUND(Source!EV84,O109)</f>
        <v>0</v>
      </c>
      <c r="Q109" s="5"/>
      <c r="R109" s="5"/>
      <c r="S109" s="5"/>
      <c r="T109" s="5"/>
      <c r="U109" s="5"/>
      <c r="V109" s="5"/>
      <c r="W109" s="5">
        <v>0</v>
      </c>
      <c r="X109" s="5">
        <v>1</v>
      </c>
      <c r="Y109" s="5">
        <v>0</v>
      </c>
      <c r="Z109" s="5">
        <v>0</v>
      </c>
      <c r="AA109" s="5">
        <v>1</v>
      </c>
      <c r="AB109" s="5">
        <v>0</v>
      </c>
    </row>
    <row r="110" spans="1:28" x14ac:dyDescent="0.2">
      <c r="A110" s="5">
        <v>50</v>
      </c>
      <c r="B110" s="5">
        <v>0</v>
      </c>
      <c r="C110" s="5">
        <v>0</v>
      </c>
      <c r="D110" s="5">
        <v>1</v>
      </c>
      <c r="E110" s="5">
        <v>210</v>
      </c>
      <c r="F110" s="5">
        <f>ROUND(Source!X84,O110)</f>
        <v>0</v>
      </c>
      <c r="G110" s="5" t="s">
        <v>94</v>
      </c>
      <c r="H110" s="5" t="s">
        <v>95</v>
      </c>
      <c r="I110" s="5"/>
      <c r="J110" s="5"/>
      <c r="K110" s="5">
        <v>210</v>
      </c>
      <c r="L110" s="5">
        <v>25</v>
      </c>
      <c r="M110" s="5">
        <v>3</v>
      </c>
      <c r="N110" s="5" t="s">
        <v>3</v>
      </c>
      <c r="O110" s="5">
        <v>2</v>
      </c>
      <c r="P110" s="5">
        <f>ROUND(Source!DP84,O110)</f>
        <v>0</v>
      </c>
      <c r="Q110" s="5"/>
      <c r="R110" s="5"/>
      <c r="S110" s="5"/>
      <c r="T110" s="5"/>
      <c r="U110" s="5"/>
      <c r="V110" s="5"/>
      <c r="W110" s="5">
        <v>0</v>
      </c>
      <c r="X110" s="5">
        <v>1</v>
      </c>
      <c r="Y110" s="5">
        <v>0</v>
      </c>
      <c r="Z110" s="5">
        <v>0</v>
      </c>
      <c r="AA110" s="5">
        <v>1</v>
      </c>
      <c r="AB110" s="5">
        <v>0</v>
      </c>
    </row>
    <row r="111" spans="1:28" x14ac:dyDescent="0.2">
      <c r="A111" s="5">
        <v>50</v>
      </c>
      <c r="B111" s="5">
        <v>0</v>
      </c>
      <c r="C111" s="5">
        <v>0</v>
      </c>
      <c r="D111" s="5">
        <v>1</v>
      </c>
      <c r="E111" s="5">
        <v>211</v>
      </c>
      <c r="F111" s="5">
        <f>ROUND(Source!Y84,O111)</f>
        <v>0</v>
      </c>
      <c r="G111" s="5" t="s">
        <v>96</v>
      </c>
      <c r="H111" s="5" t="s">
        <v>97</v>
      </c>
      <c r="I111" s="5"/>
      <c r="J111" s="5"/>
      <c r="K111" s="5">
        <v>211</v>
      </c>
      <c r="L111" s="5">
        <v>26</v>
      </c>
      <c r="M111" s="5">
        <v>3</v>
      </c>
      <c r="N111" s="5" t="s">
        <v>3</v>
      </c>
      <c r="O111" s="5">
        <v>2</v>
      </c>
      <c r="P111" s="5">
        <f>ROUND(Source!DQ84,O111)</f>
        <v>0</v>
      </c>
      <c r="Q111" s="5"/>
      <c r="R111" s="5"/>
      <c r="S111" s="5"/>
      <c r="T111" s="5"/>
      <c r="U111" s="5"/>
      <c r="V111" s="5"/>
      <c r="W111" s="5">
        <v>0</v>
      </c>
      <c r="X111" s="5">
        <v>1</v>
      </c>
      <c r="Y111" s="5">
        <v>0</v>
      </c>
      <c r="Z111" s="5">
        <v>0</v>
      </c>
      <c r="AA111" s="5">
        <v>1</v>
      </c>
      <c r="AB111" s="5">
        <v>0</v>
      </c>
    </row>
    <row r="112" spans="1:28" x14ac:dyDescent="0.2">
      <c r="A112" s="5">
        <v>50</v>
      </c>
      <c r="B112" s="5">
        <v>0</v>
      </c>
      <c r="C112" s="5">
        <v>0</v>
      </c>
      <c r="D112" s="5">
        <v>1</v>
      </c>
      <c r="E112" s="5">
        <v>224</v>
      </c>
      <c r="F112" s="5">
        <f>ROUND(Source!AR84,O112)</f>
        <v>19804.830000000002</v>
      </c>
      <c r="G112" s="5" t="s">
        <v>98</v>
      </c>
      <c r="H112" s="5" t="s">
        <v>99</v>
      </c>
      <c r="I112" s="5"/>
      <c r="J112" s="5"/>
      <c r="K112" s="5">
        <v>224</v>
      </c>
      <c r="L112" s="5">
        <v>27</v>
      </c>
      <c r="M112" s="5">
        <v>3</v>
      </c>
      <c r="N112" s="5" t="s">
        <v>3</v>
      </c>
      <c r="O112" s="5">
        <v>2</v>
      </c>
      <c r="P112" s="5">
        <f>ROUND(Source!EJ84,O112)</f>
        <v>62665.62</v>
      </c>
      <c r="Q112" s="5"/>
      <c r="R112" s="5"/>
      <c r="S112" s="5"/>
      <c r="T112" s="5"/>
      <c r="U112" s="5"/>
      <c r="V112" s="5"/>
      <c r="W112" s="5">
        <v>19804.830000000002</v>
      </c>
      <c r="X112" s="5">
        <v>1</v>
      </c>
      <c r="Y112" s="5">
        <v>19804.830000000002</v>
      </c>
      <c r="Z112" s="5">
        <v>62665.62</v>
      </c>
      <c r="AA112" s="5">
        <v>1</v>
      </c>
      <c r="AB112" s="5">
        <v>62665.62</v>
      </c>
    </row>
    <row r="114" spans="1:255" x14ac:dyDescent="0.2">
      <c r="A114" s="1">
        <v>4</v>
      </c>
      <c r="B114" s="1">
        <v>1</v>
      </c>
      <c r="C114" s="1"/>
      <c r="D114" s="1">
        <f>ROW(A131)</f>
        <v>131</v>
      </c>
      <c r="E114" s="1"/>
      <c r="F114" s="1" t="s">
        <v>3</v>
      </c>
      <c r="G114" s="1" t="s">
        <v>120</v>
      </c>
      <c r="H114" s="1" t="s">
        <v>3</v>
      </c>
      <c r="I114" s="1">
        <v>0</v>
      </c>
      <c r="J114" s="1"/>
      <c r="K114" s="1">
        <v>-1</v>
      </c>
      <c r="L114" s="1"/>
      <c r="M114" s="1" t="s">
        <v>3</v>
      </c>
      <c r="N114" s="1"/>
      <c r="O114" s="1"/>
      <c r="P114" s="1"/>
      <c r="Q114" s="1"/>
      <c r="R114" s="1"/>
      <c r="S114" s="1">
        <v>0</v>
      </c>
      <c r="T114" s="1">
        <v>0</v>
      </c>
      <c r="U114" s="1" t="s">
        <v>3</v>
      </c>
      <c r="V114" s="1">
        <v>2</v>
      </c>
      <c r="W114" s="1"/>
      <c r="X114" s="1"/>
      <c r="Y114" s="1"/>
      <c r="Z114" s="1"/>
      <c r="AA114" s="1"/>
      <c r="AB114" s="1" t="s">
        <v>3</v>
      </c>
      <c r="AC114" s="1" t="s">
        <v>3</v>
      </c>
      <c r="AD114" s="1" t="s">
        <v>3</v>
      </c>
      <c r="AE114" s="1" t="s">
        <v>3</v>
      </c>
      <c r="AF114" s="1" t="s">
        <v>3</v>
      </c>
      <c r="AG114" s="1" t="s">
        <v>3</v>
      </c>
      <c r="AH114" s="1"/>
      <c r="AI114" s="1"/>
      <c r="AJ114" s="1"/>
      <c r="AK114" s="1"/>
      <c r="AL114" s="1"/>
      <c r="AM114" s="1"/>
      <c r="AN114" s="1"/>
      <c r="AO114" s="1"/>
      <c r="AP114" s="1" t="s">
        <v>3</v>
      </c>
      <c r="AQ114" s="1" t="s">
        <v>3</v>
      </c>
      <c r="AR114" s="1" t="s">
        <v>3</v>
      </c>
      <c r="AS114" s="1"/>
      <c r="AT114" s="1"/>
      <c r="AU114" s="1"/>
      <c r="AV114" s="1"/>
      <c r="AW114" s="1"/>
      <c r="AX114" s="1"/>
      <c r="AY114" s="1"/>
      <c r="AZ114" s="1" t="s">
        <v>3</v>
      </c>
      <c r="BA114" s="1"/>
      <c r="BB114" s="1" t="s">
        <v>3</v>
      </c>
      <c r="BC114" s="1" t="s">
        <v>3</v>
      </c>
      <c r="BD114" s="1" t="s">
        <v>3</v>
      </c>
      <c r="BE114" s="1" t="s">
        <v>3</v>
      </c>
      <c r="BF114" s="1" t="s">
        <v>3</v>
      </c>
      <c r="BG114" s="1" t="s">
        <v>3</v>
      </c>
      <c r="BH114" s="1" t="s">
        <v>3</v>
      </c>
      <c r="BI114" s="1" t="s">
        <v>3</v>
      </c>
      <c r="BJ114" s="1" t="s">
        <v>3</v>
      </c>
      <c r="BK114" s="1" t="s">
        <v>3</v>
      </c>
      <c r="BL114" s="1" t="s">
        <v>3</v>
      </c>
      <c r="BM114" s="1" t="s">
        <v>3</v>
      </c>
      <c r="BN114" s="1" t="s">
        <v>3</v>
      </c>
      <c r="BO114" s="1" t="s">
        <v>3</v>
      </c>
      <c r="BP114" s="1" t="s">
        <v>3</v>
      </c>
      <c r="BQ114" s="1"/>
      <c r="BR114" s="1"/>
      <c r="BS114" s="1"/>
      <c r="BT114" s="1"/>
      <c r="BU114" s="1"/>
      <c r="BV114" s="1"/>
      <c r="BW114" s="1"/>
      <c r="BX114" s="1">
        <v>0</v>
      </c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>
        <v>0</v>
      </c>
    </row>
    <row r="116" spans="1:255" x14ac:dyDescent="0.2">
      <c r="A116" s="3">
        <v>52</v>
      </c>
      <c r="B116" s="3">
        <f t="shared" ref="B116:G116" si="101">B131</f>
        <v>1</v>
      </c>
      <c r="C116" s="3">
        <f t="shared" si="101"/>
        <v>4</v>
      </c>
      <c r="D116" s="3">
        <f t="shared" si="101"/>
        <v>114</v>
      </c>
      <c r="E116" s="3">
        <f t="shared" si="101"/>
        <v>0</v>
      </c>
      <c r="F116" s="3" t="str">
        <f t="shared" si="101"/>
        <v/>
      </c>
      <c r="G116" s="3" t="str">
        <f t="shared" si="101"/>
        <v>Оборудование, облагаемое НДС</v>
      </c>
      <c r="H116" s="3"/>
      <c r="I116" s="3"/>
      <c r="J116" s="3"/>
      <c r="K116" s="3"/>
      <c r="L116" s="3"/>
      <c r="M116" s="3"/>
      <c r="N116" s="3"/>
      <c r="O116" s="3">
        <f t="shared" ref="O116:AT116" si="102">O131</f>
        <v>15190.53</v>
      </c>
      <c r="P116" s="3">
        <f t="shared" si="102"/>
        <v>15190.53</v>
      </c>
      <c r="Q116" s="3">
        <f t="shared" si="102"/>
        <v>0</v>
      </c>
      <c r="R116" s="3">
        <f t="shared" si="102"/>
        <v>0</v>
      </c>
      <c r="S116" s="3">
        <f t="shared" si="102"/>
        <v>0</v>
      </c>
      <c r="T116" s="3">
        <f t="shared" si="102"/>
        <v>0</v>
      </c>
      <c r="U116" s="3">
        <f t="shared" si="102"/>
        <v>0</v>
      </c>
      <c r="V116" s="3">
        <f t="shared" si="102"/>
        <v>0</v>
      </c>
      <c r="W116" s="3">
        <f t="shared" si="102"/>
        <v>0</v>
      </c>
      <c r="X116" s="3">
        <f t="shared" si="102"/>
        <v>0</v>
      </c>
      <c r="Y116" s="3">
        <f t="shared" si="102"/>
        <v>0</v>
      </c>
      <c r="Z116" s="3">
        <f t="shared" si="102"/>
        <v>0</v>
      </c>
      <c r="AA116" s="3">
        <f t="shared" si="102"/>
        <v>0</v>
      </c>
      <c r="AB116" s="3">
        <f t="shared" si="102"/>
        <v>15190.53</v>
      </c>
      <c r="AC116" s="3">
        <f t="shared" si="102"/>
        <v>15190.53</v>
      </c>
      <c r="AD116" s="3">
        <f t="shared" si="102"/>
        <v>0</v>
      </c>
      <c r="AE116" s="3">
        <f t="shared" si="102"/>
        <v>0</v>
      </c>
      <c r="AF116" s="3">
        <f t="shared" si="102"/>
        <v>0</v>
      </c>
      <c r="AG116" s="3">
        <f t="shared" si="102"/>
        <v>0</v>
      </c>
      <c r="AH116" s="3">
        <f t="shared" si="102"/>
        <v>0</v>
      </c>
      <c r="AI116" s="3">
        <f t="shared" si="102"/>
        <v>0</v>
      </c>
      <c r="AJ116" s="3">
        <f t="shared" si="102"/>
        <v>0</v>
      </c>
      <c r="AK116" s="3">
        <f t="shared" si="102"/>
        <v>0</v>
      </c>
      <c r="AL116" s="3">
        <f t="shared" si="102"/>
        <v>0</v>
      </c>
      <c r="AM116" s="3">
        <f t="shared" si="102"/>
        <v>0</v>
      </c>
      <c r="AN116" s="3">
        <f t="shared" si="102"/>
        <v>0</v>
      </c>
      <c r="AO116" s="3">
        <f t="shared" si="102"/>
        <v>0</v>
      </c>
      <c r="AP116" s="3">
        <f t="shared" si="102"/>
        <v>15190.53</v>
      </c>
      <c r="AQ116" s="3">
        <f t="shared" si="102"/>
        <v>0</v>
      </c>
      <c r="AR116" s="3">
        <f t="shared" si="102"/>
        <v>15190.53</v>
      </c>
      <c r="AS116" s="3">
        <f t="shared" si="102"/>
        <v>0</v>
      </c>
      <c r="AT116" s="3">
        <f t="shared" si="102"/>
        <v>0</v>
      </c>
      <c r="AU116" s="3">
        <f t="shared" ref="AU116:BZ116" si="103">AU131</f>
        <v>0</v>
      </c>
      <c r="AV116" s="3">
        <f t="shared" si="103"/>
        <v>15190.53</v>
      </c>
      <c r="AW116" s="3">
        <f t="shared" si="103"/>
        <v>0</v>
      </c>
      <c r="AX116" s="3">
        <f t="shared" si="103"/>
        <v>0</v>
      </c>
      <c r="AY116" s="3">
        <f t="shared" si="103"/>
        <v>0</v>
      </c>
      <c r="AZ116" s="3">
        <f t="shared" si="103"/>
        <v>15190.53</v>
      </c>
      <c r="BA116" s="3">
        <f t="shared" si="103"/>
        <v>0</v>
      </c>
      <c r="BB116" s="3">
        <f t="shared" si="103"/>
        <v>0</v>
      </c>
      <c r="BC116" s="3">
        <f t="shared" si="103"/>
        <v>0</v>
      </c>
      <c r="BD116" s="3">
        <f t="shared" si="103"/>
        <v>0</v>
      </c>
      <c r="BE116" s="3">
        <f t="shared" si="103"/>
        <v>0</v>
      </c>
      <c r="BF116" s="3">
        <f t="shared" si="103"/>
        <v>0</v>
      </c>
      <c r="BG116" s="3">
        <f t="shared" si="103"/>
        <v>0</v>
      </c>
      <c r="BH116" s="3">
        <f t="shared" si="103"/>
        <v>0</v>
      </c>
      <c r="BI116" s="3">
        <f t="shared" si="103"/>
        <v>0</v>
      </c>
      <c r="BJ116" s="3">
        <f t="shared" si="103"/>
        <v>0</v>
      </c>
      <c r="BK116" s="3">
        <f t="shared" si="103"/>
        <v>0</v>
      </c>
      <c r="BL116" s="3">
        <f t="shared" si="103"/>
        <v>0</v>
      </c>
      <c r="BM116" s="3">
        <f t="shared" si="103"/>
        <v>0</v>
      </c>
      <c r="BN116" s="3">
        <f t="shared" si="103"/>
        <v>0</v>
      </c>
      <c r="BO116" s="3">
        <f t="shared" si="103"/>
        <v>0</v>
      </c>
      <c r="BP116" s="3">
        <f t="shared" si="103"/>
        <v>0</v>
      </c>
      <c r="BQ116" s="3">
        <f t="shared" si="103"/>
        <v>0</v>
      </c>
      <c r="BR116" s="3">
        <f t="shared" si="103"/>
        <v>0</v>
      </c>
      <c r="BS116" s="3">
        <f t="shared" si="103"/>
        <v>0</v>
      </c>
      <c r="BT116" s="3">
        <f t="shared" si="103"/>
        <v>0</v>
      </c>
      <c r="BU116" s="3">
        <f t="shared" si="103"/>
        <v>0</v>
      </c>
      <c r="BV116" s="3">
        <f t="shared" si="103"/>
        <v>0</v>
      </c>
      <c r="BW116" s="3">
        <f t="shared" si="103"/>
        <v>0</v>
      </c>
      <c r="BX116" s="3">
        <f t="shared" si="103"/>
        <v>0</v>
      </c>
      <c r="BY116" s="3">
        <f t="shared" si="103"/>
        <v>15190.53</v>
      </c>
      <c r="BZ116" s="3">
        <f t="shared" si="103"/>
        <v>0</v>
      </c>
      <c r="CA116" s="3">
        <f t="shared" ref="CA116:DF116" si="104">CA131</f>
        <v>15190.53</v>
      </c>
      <c r="CB116" s="3">
        <f t="shared" si="104"/>
        <v>0</v>
      </c>
      <c r="CC116" s="3">
        <f t="shared" si="104"/>
        <v>0</v>
      </c>
      <c r="CD116" s="3">
        <f t="shared" si="104"/>
        <v>0</v>
      </c>
      <c r="CE116" s="3">
        <f t="shared" si="104"/>
        <v>15190.53</v>
      </c>
      <c r="CF116" s="3">
        <f t="shared" si="104"/>
        <v>0</v>
      </c>
      <c r="CG116" s="3">
        <f t="shared" si="104"/>
        <v>0</v>
      </c>
      <c r="CH116" s="3">
        <f t="shared" si="104"/>
        <v>0</v>
      </c>
      <c r="CI116" s="3">
        <f t="shared" si="104"/>
        <v>15190.53</v>
      </c>
      <c r="CJ116" s="3">
        <f t="shared" si="104"/>
        <v>0</v>
      </c>
      <c r="CK116" s="3">
        <f t="shared" si="104"/>
        <v>0</v>
      </c>
      <c r="CL116" s="3">
        <f t="shared" si="104"/>
        <v>0</v>
      </c>
      <c r="CM116" s="3">
        <f t="shared" si="104"/>
        <v>0</v>
      </c>
      <c r="CN116" s="3">
        <f t="shared" si="104"/>
        <v>0</v>
      </c>
      <c r="CO116" s="3">
        <f t="shared" si="104"/>
        <v>0</v>
      </c>
      <c r="CP116" s="3">
        <f t="shared" si="104"/>
        <v>0</v>
      </c>
      <c r="CQ116" s="3">
        <f t="shared" si="104"/>
        <v>0</v>
      </c>
      <c r="CR116" s="3">
        <f t="shared" si="104"/>
        <v>0</v>
      </c>
      <c r="CS116" s="3">
        <f t="shared" si="104"/>
        <v>0</v>
      </c>
      <c r="CT116" s="3">
        <f t="shared" si="104"/>
        <v>0</v>
      </c>
      <c r="CU116" s="3">
        <f t="shared" si="104"/>
        <v>0</v>
      </c>
      <c r="CV116" s="3">
        <f t="shared" si="104"/>
        <v>0</v>
      </c>
      <c r="CW116" s="3">
        <f t="shared" si="104"/>
        <v>0</v>
      </c>
      <c r="CX116" s="3">
        <f t="shared" si="104"/>
        <v>0</v>
      </c>
      <c r="CY116" s="3">
        <f t="shared" si="104"/>
        <v>0</v>
      </c>
      <c r="CZ116" s="3">
        <f t="shared" si="104"/>
        <v>0</v>
      </c>
      <c r="DA116" s="3">
        <f t="shared" si="104"/>
        <v>0</v>
      </c>
      <c r="DB116" s="3">
        <f t="shared" si="104"/>
        <v>0</v>
      </c>
      <c r="DC116" s="3">
        <f t="shared" si="104"/>
        <v>0</v>
      </c>
      <c r="DD116" s="3">
        <f t="shared" si="104"/>
        <v>0</v>
      </c>
      <c r="DE116" s="3">
        <f t="shared" si="104"/>
        <v>0</v>
      </c>
      <c r="DF116" s="3">
        <f t="shared" si="104"/>
        <v>0</v>
      </c>
      <c r="DG116" s="4">
        <f t="shared" ref="DG116:EL116" si="105">DG131</f>
        <v>116359.45</v>
      </c>
      <c r="DH116" s="4">
        <f t="shared" si="105"/>
        <v>116359.45</v>
      </c>
      <c r="DI116" s="4">
        <f t="shared" si="105"/>
        <v>0</v>
      </c>
      <c r="DJ116" s="4">
        <f t="shared" si="105"/>
        <v>0</v>
      </c>
      <c r="DK116" s="4">
        <f t="shared" si="105"/>
        <v>0</v>
      </c>
      <c r="DL116" s="4">
        <f t="shared" si="105"/>
        <v>0</v>
      </c>
      <c r="DM116" s="4">
        <f t="shared" si="105"/>
        <v>0</v>
      </c>
      <c r="DN116" s="4">
        <f t="shared" si="105"/>
        <v>0</v>
      </c>
      <c r="DO116" s="4">
        <f t="shared" si="105"/>
        <v>0</v>
      </c>
      <c r="DP116" s="4">
        <f t="shared" si="105"/>
        <v>0</v>
      </c>
      <c r="DQ116" s="4">
        <f t="shared" si="105"/>
        <v>0</v>
      </c>
      <c r="DR116" s="4">
        <f t="shared" si="105"/>
        <v>0</v>
      </c>
      <c r="DS116" s="4">
        <f t="shared" si="105"/>
        <v>0</v>
      </c>
      <c r="DT116" s="4">
        <f t="shared" si="105"/>
        <v>116359.45</v>
      </c>
      <c r="DU116" s="4">
        <f t="shared" si="105"/>
        <v>116359.45</v>
      </c>
      <c r="DV116" s="4">
        <f t="shared" si="105"/>
        <v>0</v>
      </c>
      <c r="DW116" s="4">
        <f t="shared" si="105"/>
        <v>0</v>
      </c>
      <c r="DX116" s="4">
        <f t="shared" si="105"/>
        <v>0</v>
      </c>
      <c r="DY116" s="4">
        <f t="shared" si="105"/>
        <v>0</v>
      </c>
      <c r="DZ116" s="4">
        <f t="shared" si="105"/>
        <v>0</v>
      </c>
      <c r="EA116" s="4">
        <f t="shared" si="105"/>
        <v>0</v>
      </c>
      <c r="EB116" s="4">
        <f t="shared" si="105"/>
        <v>0</v>
      </c>
      <c r="EC116" s="4">
        <f t="shared" si="105"/>
        <v>0</v>
      </c>
      <c r="ED116" s="4">
        <f t="shared" si="105"/>
        <v>0</v>
      </c>
      <c r="EE116" s="4">
        <f t="shared" si="105"/>
        <v>0</v>
      </c>
      <c r="EF116" s="4">
        <f t="shared" si="105"/>
        <v>0</v>
      </c>
      <c r="EG116" s="4">
        <f t="shared" si="105"/>
        <v>0</v>
      </c>
      <c r="EH116" s="4">
        <f t="shared" si="105"/>
        <v>116359.45</v>
      </c>
      <c r="EI116" s="4">
        <f t="shared" si="105"/>
        <v>0</v>
      </c>
      <c r="EJ116" s="4">
        <f t="shared" si="105"/>
        <v>116359.45</v>
      </c>
      <c r="EK116" s="4">
        <f t="shared" si="105"/>
        <v>0</v>
      </c>
      <c r="EL116" s="4">
        <f t="shared" si="105"/>
        <v>0</v>
      </c>
      <c r="EM116" s="4">
        <f t="shared" ref="EM116:FR116" si="106">EM131</f>
        <v>0</v>
      </c>
      <c r="EN116" s="4">
        <f t="shared" si="106"/>
        <v>116359.45</v>
      </c>
      <c r="EO116" s="4">
        <f t="shared" si="106"/>
        <v>0</v>
      </c>
      <c r="EP116" s="4">
        <f t="shared" si="106"/>
        <v>0</v>
      </c>
      <c r="EQ116" s="4">
        <f t="shared" si="106"/>
        <v>0</v>
      </c>
      <c r="ER116" s="4">
        <f t="shared" si="106"/>
        <v>116359.45</v>
      </c>
      <c r="ES116" s="4">
        <f t="shared" si="106"/>
        <v>0</v>
      </c>
      <c r="ET116" s="4">
        <f t="shared" si="106"/>
        <v>0</v>
      </c>
      <c r="EU116" s="4">
        <f t="shared" si="106"/>
        <v>0</v>
      </c>
      <c r="EV116" s="4">
        <f t="shared" si="106"/>
        <v>0</v>
      </c>
      <c r="EW116" s="4">
        <f t="shared" si="106"/>
        <v>0</v>
      </c>
      <c r="EX116" s="4">
        <f t="shared" si="106"/>
        <v>0</v>
      </c>
      <c r="EY116" s="4">
        <f t="shared" si="106"/>
        <v>0</v>
      </c>
      <c r="EZ116" s="4">
        <f t="shared" si="106"/>
        <v>0</v>
      </c>
      <c r="FA116" s="4">
        <f t="shared" si="106"/>
        <v>0</v>
      </c>
      <c r="FB116" s="4">
        <f t="shared" si="106"/>
        <v>0</v>
      </c>
      <c r="FC116" s="4">
        <f t="shared" si="106"/>
        <v>0</v>
      </c>
      <c r="FD116" s="4">
        <f t="shared" si="106"/>
        <v>0</v>
      </c>
      <c r="FE116" s="4">
        <f t="shared" si="106"/>
        <v>0</v>
      </c>
      <c r="FF116" s="4">
        <f t="shared" si="106"/>
        <v>0</v>
      </c>
      <c r="FG116" s="4">
        <f t="shared" si="106"/>
        <v>0</v>
      </c>
      <c r="FH116" s="4">
        <f t="shared" si="106"/>
        <v>0</v>
      </c>
      <c r="FI116" s="4">
        <f t="shared" si="106"/>
        <v>0</v>
      </c>
      <c r="FJ116" s="4">
        <f t="shared" si="106"/>
        <v>0</v>
      </c>
      <c r="FK116" s="4">
        <f t="shared" si="106"/>
        <v>0</v>
      </c>
      <c r="FL116" s="4">
        <f t="shared" si="106"/>
        <v>0</v>
      </c>
      <c r="FM116" s="4">
        <f t="shared" si="106"/>
        <v>0</v>
      </c>
      <c r="FN116" s="4">
        <f t="shared" si="106"/>
        <v>0</v>
      </c>
      <c r="FO116" s="4">
        <f t="shared" si="106"/>
        <v>0</v>
      </c>
      <c r="FP116" s="4">
        <f t="shared" si="106"/>
        <v>0</v>
      </c>
      <c r="FQ116" s="4">
        <f t="shared" si="106"/>
        <v>116359.45</v>
      </c>
      <c r="FR116" s="4">
        <f t="shared" si="106"/>
        <v>0</v>
      </c>
      <c r="FS116" s="4">
        <f t="shared" ref="FS116:GX116" si="107">FS131</f>
        <v>116359.45</v>
      </c>
      <c r="FT116" s="4">
        <f t="shared" si="107"/>
        <v>0</v>
      </c>
      <c r="FU116" s="4">
        <f t="shared" si="107"/>
        <v>0</v>
      </c>
      <c r="FV116" s="4">
        <f t="shared" si="107"/>
        <v>0</v>
      </c>
      <c r="FW116" s="4">
        <f t="shared" si="107"/>
        <v>116359.45</v>
      </c>
      <c r="FX116" s="4">
        <f t="shared" si="107"/>
        <v>0</v>
      </c>
      <c r="FY116" s="4">
        <f t="shared" si="107"/>
        <v>0</v>
      </c>
      <c r="FZ116" s="4">
        <f t="shared" si="107"/>
        <v>0</v>
      </c>
      <c r="GA116" s="4">
        <f t="shared" si="107"/>
        <v>116359.45</v>
      </c>
      <c r="GB116" s="4">
        <f t="shared" si="107"/>
        <v>0</v>
      </c>
      <c r="GC116" s="4">
        <f t="shared" si="107"/>
        <v>0</v>
      </c>
      <c r="GD116" s="4">
        <f t="shared" si="107"/>
        <v>0</v>
      </c>
      <c r="GE116" s="4">
        <f t="shared" si="107"/>
        <v>0</v>
      </c>
      <c r="GF116" s="4">
        <f t="shared" si="107"/>
        <v>0</v>
      </c>
      <c r="GG116" s="4">
        <f t="shared" si="107"/>
        <v>0</v>
      </c>
      <c r="GH116" s="4">
        <f t="shared" si="107"/>
        <v>0</v>
      </c>
      <c r="GI116" s="4">
        <f t="shared" si="107"/>
        <v>0</v>
      </c>
      <c r="GJ116" s="4">
        <f t="shared" si="107"/>
        <v>0</v>
      </c>
      <c r="GK116" s="4">
        <f t="shared" si="107"/>
        <v>0</v>
      </c>
      <c r="GL116" s="4">
        <f t="shared" si="107"/>
        <v>0</v>
      </c>
      <c r="GM116" s="4">
        <f t="shared" si="107"/>
        <v>0</v>
      </c>
      <c r="GN116" s="4">
        <f t="shared" si="107"/>
        <v>0</v>
      </c>
      <c r="GO116" s="4">
        <f t="shared" si="107"/>
        <v>0</v>
      </c>
      <c r="GP116" s="4">
        <f t="shared" si="107"/>
        <v>0</v>
      </c>
      <c r="GQ116" s="4">
        <f t="shared" si="107"/>
        <v>0</v>
      </c>
      <c r="GR116" s="4">
        <f t="shared" si="107"/>
        <v>0</v>
      </c>
      <c r="GS116" s="4">
        <f t="shared" si="107"/>
        <v>0</v>
      </c>
      <c r="GT116" s="4">
        <f t="shared" si="107"/>
        <v>0</v>
      </c>
      <c r="GU116" s="4">
        <f t="shared" si="107"/>
        <v>0</v>
      </c>
      <c r="GV116" s="4">
        <f t="shared" si="107"/>
        <v>0</v>
      </c>
      <c r="GW116" s="4">
        <f t="shared" si="107"/>
        <v>0</v>
      </c>
      <c r="GX116" s="4">
        <f t="shared" si="107"/>
        <v>0</v>
      </c>
    </row>
    <row r="118" spans="1:255" x14ac:dyDescent="0.2">
      <c r="A118" s="2">
        <v>17</v>
      </c>
      <c r="B118" s="2">
        <v>1</v>
      </c>
      <c r="C118" s="2"/>
      <c r="D118" s="2"/>
      <c r="E118" s="2" t="s">
        <v>121</v>
      </c>
      <c r="F118" s="2" t="s">
        <v>122</v>
      </c>
      <c r="G118" s="2" t="s">
        <v>123</v>
      </c>
      <c r="H118" s="2" t="s">
        <v>124</v>
      </c>
      <c r="I118" s="2">
        <v>1</v>
      </c>
      <c r="J118" s="2">
        <v>0</v>
      </c>
      <c r="K118" s="2">
        <v>1</v>
      </c>
      <c r="L118" s="2"/>
      <c r="M118" s="2"/>
      <c r="N118" s="2"/>
      <c r="O118" s="2">
        <f t="shared" ref="O118:O129" si="108">ROUND(CP118,2)</f>
        <v>1879.24</v>
      </c>
      <c r="P118" s="2">
        <f t="shared" ref="P118:P129" si="109">ROUND((ROUND((AC118*I118),2)*BC118),2)</f>
        <v>1879.24</v>
      </c>
      <c r="Q118" s="2">
        <f t="shared" ref="Q118:Q129" si="110">(ROUND((ROUND(((ET118)*AV118*I118),2)*BB118),2)+ROUND((ROUND(((AE118-(EU118))*AV118*I118),2)*BS118),2))</f>
        <v>0</v>
      </c>
      <c r="R118" s="2">
        <f t="shared" ref="R118:R129" si="111">(ROUND((ROUND(((EU118)*AV118*I118),2)*BS118),2)+ROUND((ROUND(((AE118-(EU118))*AV118*I118),2)*BS118),2))</f>
        <v>0</v>
      </c>
      <c r="S118" s="2">
        <f t="shared" ref="S118:S129" si="112">ROUND((ROUND((AF118*AV118*I118),2)*BA118),2)</f>
        <v>0</v>
      </c>
      <c r="T118" s="2">
        <f t="shared" ref="T118:T129" si="113">ROUND(CU118*I118,2)</f>
        <v>0</v>
      </c>
      <c r="U118" s="2">
        <f t="shared" ref="U118:U129" si="114">CV118*I118</f>
        <v>0</v>
      </c>
      <c r="V118" s="2">
        <f t="shared" ref="V118:V129" si="115">CW118*I118</f>
        <v>0</v>
      </c>
      <c r="W118" s="2">
        <f t="shared" ref="W118:W129" si="116">ROUND(CX118*I118,2)</f>
        <v>0</v>
      </c>
      <c r="X118" s="2">
        <f t="shared" ref="X118:X129" si="117">(ROUND((((S118+ROUND((ROUND(((EU118)*AV118*I118),2)*BS118),2))*AT118)/100),2)+ROUND(((ROUND((ROUND(((AE118-(EU118))*AV118*I118),2)*BS118),2)*AT118)/100),2))</f>
        <v>0</v>
      </c>
      <c r="Y118" s="2">
        <f t="shared" ref="Y118:Y129" si="118">(ROUND((((S118+ROUND((ROUND(((EU118)*AV118*I118),2)*BS118),2))*AU118)/100),2)+ROUND(((ROUND((ROUND(((AE118-(EU118))*AV118*I118),2)*BS118),2)*AU118)/100),2))</f>
        <v>0</v>
      </c>
      <c r="Z118" s="2"/>
      <c r="AA118" s="2">
        <v>59499218</v>
      </c>
      <c r="AB118" s="2">
        <f t="shared" ref="AB118:AB129" si="119">ROUND((AC118+AD118+AF118),6)</f>
        <v>1879.24</v>
      </c>
      <c r="AC118" s="2">
        <f t="shared" ref="AC118:AC129" si="120">ROUND((ES118),6)</f>
        <v>1879.24</v>
      </c>
      <c r="AD118" s="2">
        <f t="shared" ref="AD118:AD129" si="121">ROUND((((ET118)-(EU118))+AE118),6)</f>
        <v>0</v>
      </c>
      <c r="AE118" s="2">
        <f t="shared" ref="AE118:AE129" si="122">ROUND((EU118),6)</f>
        <v>0</v>
      </c>
      <c r="AF118" s="2">
        <f t="shared" ref="AF118:AF129" si="123">ROUND((EV118),6)</f>
        <v>0</v>
      </c>
      <c r="AG118" s="2">
        <f t="shared" ref="AG118:AG129" si="124">ROUND((AP118),6)</f>
        <v>0</v>
      </c>
      <c r="AH118" s="2">
        <f t="shared" ref="AH118:AH129" si="125">(EW118)</f>
        <v>0</v>
      </c>
      <c r="AI118" s="2">
        <f t="shared" ref="AI118:AI129" si="126">(EX118)</f>
        <v>0</v>
      </c>
      <c r="AJ118" s="2">
        <f t="shared" ref="AJ118:AJ129" si="127">(AS118)</f>
        <v>0</v>
      </c>
      <c r="AK118" s="2">
        <v>1879.2399999999998</v>
      </c>
      <c r="AL118" s="2">
        <v>1879.2399999999998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1</v>
      </c>
      <c r="AW118" s="2">
        <v>1</v>
      </c>
      <c r="AX118" s="2"/>
      <c r="AY118" s="2"/>
      <c r="AZ118" s="2">
        <v>1</v>
      </c>
      <c r="BA118" s="2">
        <v>1</v>
      </c>
      <c r="BB118" s="2">
        <v>1</v>
      </c>
      <c r="BC118" s="2">
        <v>1</v>
      </c>
      <c r="BD118" s="2" t="s">
        <v>3</v>
      </c>
      <c r="BE118" s="2" t="s">
        <v>3</v>
      </c>
      <c r="BF118" s="2" t="s">
        <v>3</v>
      </c>
      <c r="BG118" s="2" t="s">
        <v>3</v>
      </c>
      <c r="BH118" s="2">
        <v>3</v>
      </c>
      <c r="BI118" s="2">
        <v>3</v>
      </c>
      <c r="BJ118" s="2" t="s">
        <v>3</v>
      </c>
      <c r="BK118" s="2"/>
      <c r="BL118" s="2"/>
      <c r="BM118" s="2">
        <v>746</v>
      </c>
      <c r="BN118" s="2">
        <v>0</v>
      </c>
      <c r="BO118" s="2" t="s">
        <v>3</v>
      </c>
      <c r="BP118" s="2">
        <v>0</v>
      </c>
      <c r="BQ118" s="2">
        <v>130</v>
      </c>
      <c r="BR118" s="2">
        <v>0</v>
      </c>
      <c r="BS118" s="2">
        <v>1</v>
      </c>
      <c r="BT118" s="2">
        <v>1</v>
      </c>
      <c r="BU118" s="2">
        <v>1</v>
      </c>
      <c r="BV118" s="2">
        <v>1</v>
      </c>
      <c r="BW118" s="2">
        <v>1</v>
      </c>
      <c r="BX118" s="2">
        <v>1</v>
      </c>
      <c r="BY118" s="2" t="s">
        <v>3</v>
      </c>
      <c r="BZ118" s="2">
        <v>0</v>
      </c>
      <c r="CA118" s="2">
        <v>0</v>
      </c>
      <c r="CB118" s="2" t="s">
        <v>3</v>
      </c>
      <c r="CC118" s="2"/>
      <c r="CD118" s="2"/>
      <c r="CE118" s="2">
        <v>1566</v>
      </c>
      <c r="CF118" s="2">
        <v>0</v>
      </c>
      <c r="CG118" s="2">
        <v>0</v>
      </c>
      <c r="CH118" s="2"/>
      <c r="CI118" s="2"/>
      <c r="CJ118" s="2"/>
      <c r="CK118" s="2"/>
      <c r="CL118" s="2"/>
      <c r="CM118" s="2">
        <v>0</v>
      </c>
      <c r="CN118" s="2" t="s">
        <v>3</v>
      </c>
      <c r="CO118" s="2">
        <v>0</v>
      </c>
      <c r="CP118" s="2">
        <f t="shared" ref="CP118:CP129" si="128">(P118+Q118+S118)</f>
        <v>1879.24</v>
      </c>
      <c r="CQ118" s="2">
        <f t="shared" ref="CQ118:CQ129" si="129">ROUND((ROUND((AC118*1),2)*BC118),2)</f>
        <v>1879.24</v>
      </c>
      <c r="CR118" s="2">
        <f t="shared" ref="CR118:CR129" si="130">(ROUND((ROUND(((ET118)*AV118*1),2)*BB118),2)+ROUND((ROUND(((AE118-(EU118))*AV118*1),2)*BS118),2))</f>
        <v>0</v>
      </c>
      <c r="CS118" s="2">
        <f t="shared" ref="CS118:CS129" si="131">(ROUND((ROUND(((EU118)*AV118*1),2)*BS118),2)+ROUND((ROUND(((AE118-(EU118))*AV118*1),2)*BS118),2))</f>
        <v>0</v>
      </c>
      <c r="CT118" s="2">
        <f t="shared" ref="CT118:CT129" si="132">ROUND((ROUND((AF118*AV118*1),2)*BA118),2)</f>
        <v>0</v>
      </c>
      <c r="CU118" s="2">
        <f t="shared" ref="CU118:CU129" si="133">AG118</f>
        <v>0</v>
      </c>
      <c r="CV118" s="2">
        <f t="shared" ref="CV118:CV129" si="134">(AH118*AV118)</f>
        <v>0</v>
      </c>
      <c r="CW118" s="2">
        <f t="shared" ref="CW118:CW129" si="135">AI118</f>
        <v>0</v>
      </c>
      <c r="CX118" s="2">
        <f t="shared" ref="CX118:CX129" si="136">AJ118</f>
        <v>0</v>
      </c>
      <c r="CY118" s="2">
        <f t="shared" ref="CY118:CY129" si="137">(ROUND((((S118+ROUND((ROUND(((EU118)*AV118*1),2)*BS118),2))*AT118)/100),2)+ROUND(((ROUND((ROUND(((AE118-(EU118))*AV118*1),2)*BS118),2)*AT118)/100),2))</f>
        <v>0</v>
      </c>
      <c r="CZ118" s="2">
        <f t="shared" ref="CZ118:CZ129" si="138">(ROUND((((S118+ROUND((ROUND(((EU118)*AV118*1),2)*BS118),2))*AU118)/100),2)+ROUND(((ROUND((ROUND(((AE118-(EU118))*AV118*1),2)*BS118),2)*AU118)/100),2))</f>
        <v>0</v>
      </c>
      <c r="DA118" s="2"/>
      <c r="DB118" s="2"/>
      <c r="DC118" s="2" t="s">
        <v>3</v>
      </c>
      <c r="DD118" s="2" t="s">
        <v>3</v>
      </c>
      <c r="DE118" s="2" t="s">
        <v>3</v>
      </c>
      <c r="DF118" s="2" t="s">
        <v>3</v>
      </c>
      <c r="DG118" s="2" t="s">
        <v>3</v>
      </c>
      <c r="DH118" s="2" t="s">
        <v>3</v>
      </c>
      <c r="DI118" s="2" t="s">
        <v>3</v>
      </c>
      <c r="DJ118" s="2" t="s">
        <v>3</v>
      </c>
      <c r="DK118" s="2" t="s">
        <v>3</v>
      </c>
      <c r="DL118" s="2" t="s">
        <v>3</v>
      </c>
      <c r="DM118" s="2" t="s">
        <v>3</v>
      </c>
      <c r="DN118" s="2">
        <v>0</v>
      </c>
      <c r="DO118" s="2">
        <v>0</v>
      </c>
      <c r="DP118" s="2">
        <v>1</v>
      </c>
      <c r="DQ118" s="2">
        <v>1</v>
      </c>
      <c r="DR118" s="2"/>
      <c r="DS118" s="2"/>
      <c r="DT118" s="2"/>
      <c r="DU118" s="2">
        <v>1010</v>
      </c>
      <c r="DV118" s="2" t="s">
        <v>124</v>
      </c>
      <c r="DW118" s="2" t="s">
        <v>124</v>
      </c>
      <c r="DX118" s="2">
        <v>1</v>
      </c>
      <c r="DY118" s="2"/>
      <c r="DZ118" s="2" t="s">
        <v>3</v>
      </c>
      <c r="EA118" s="2" t="s">
        <v>3</v>
      </c>
      <c r="EB118" s="2" t="s">
        <v>3</v>
      </c>
      <c r="EC118" s="2" t="s">
        <v>3</v>
      </c>
      <c r="ED118" s="2"/>
      <c r="EE118" s="2">
        <v>59299131</v>
      </c>
      <c r="EF118" s="2">
        <v>130</v>
      </c>
      <c r="EG118" s="2" t="s">
        <v>105</v>
      </c>
      <c r="EH118" s="2">
        <v>0</v>
      </c>
      <c r="EI118" s="2" t="s">
        <v>3</v>
      </c>
      <c r="EJ118" s="2">
        <v>3</v>
      </c>
      <c r="EK118" s="2">
        <v>746</v>
      </c>
      <c r="EL118" s="2" t="s">
        <v>106</v>
      </c>
      <c r="EM118" s="2" t="s">
        <v>107</v>
      </c>
      <c r="EN118" s="2"/>
      <c r="EO118" s="2" t="s">
        <v>3</v>
      </c>
      <c r="EP118" s="2"/>
      <c r="EQ118" s="2">
        <v>0</v>
      </c>
      <c r="ER118" s="2">
        <v>0</v>
      </c>
      <c r="ES118" s="2">
        <v>1879.2399999999998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>
        <v>0</v>
      </c>
      <c r="FR118" s="2">
        <f t="shared" ref="FR118:FR129" si="139">P118</f>
        <v>1879.24</v>
      </c>
      <c r="FS118" s="2">
        <v>0</v>
      </c>
      <c r="FT118" s="2"/>
      <c r="FU118" s="2"/>
      <c r="FV118" s="2"/>
      <c r="FW118" s="2"/>
      <c r="FX118" s="2">
        <v>0</v>
      </c>
      <c r="FY118" s="2">
        <v>0</v>
      </c>
      <c r="FZ118" s="2"/>
      <c r="GA118" s="2" t="s">
        <v>125</v>
      </c>
      <c r="GB118" s="2"/>
      <c r="GC118" s="2"/>
      <c r="GD118" s="2">
        <v>1</v>
      </c>
      <c r="GE118" s="2"/>
      <c r="GF118" s="2">
        <v>-1505903575</v>
      </c>
      <c r="GG118" s="2">
        <v>2</v>
      </c>
      <c r="GH118" s="2">
        <v>4</v>
      </c>
      <c r="GI118" s="2">
        <v>-2</v>
      </c>
      <c r="GJ118" s="2">
        <v>0</v>
      </c>
      <c r="GK118" s="2">
        <v>0</v>
      </c>
      <c r="GL118" s="2">
        <f t="shared" ref="GL118:GL129" si="140">ROUND(IF(AND(BH118=3,BI118=3,FS118&lt;&gt;0),P118,0),2)</f>
        <v>0</v>
      </c>
      <c r="GM118" s="2">
        <f t="shared" ref="GM118:GM129" si="141">ROUND(O118+X118+Y118,2)+GX118</f>
        <v>1879.24</v>
      </c>
      <c r="GN118" s="2">
        <f t="shared" ref="GN118:GN129" si="142">IF(OR(BI118=0,BI118=1),GM118-GX118,0)</f>
        <v>0</v>
      </c>
      <c r="GO118" s="2">
        <f t="shared" ref="GO118:GO129" si="143">IF(BI118=2,GM118-GX118,0)</f>
        <v>0</v>
      </c>
      <c r="GP118" s="2">
        <f t="shared" ref="GP118:GP129" si="144">IF(BI118=4,GM118-GX118,0)</f>
        <v>0</v>
      </c>
      <c r="GQ118" s="2"/>
      <c r="GR118" s="2">
        <v>0</v>
      </c>
      <c r="GS118" s="2">
        <v>2</v>
      </c>
      <c r="GT118" s="2">
        <v>0</v>
      </c>
      <c r="GU118" s="2" t="s">
        <v>3</v>
      </c>
      <c r="GV118" s="2">
        <f t="shared" ref="GV118:GV129" si="145">ROUND((GT118),6)</f>
        <v>0</v>
      </c>
      <c r="GW118" s="2">
        <v>1</v>
      </c>
      <c r="GX118" s="2">
        <f t="shared" ref="GX118:GX129" si="146">ROUND(HC118*I118,2)</f>
        <v>0</v>
      </c>
      <c r="GY118" s="2"/>
      <c r="GZ118" s="2"/>
      <c r="HA118" s="2">
        <v>0</v>
      </c>
      <c r="HB118" s="2">
        <v>0</v>
      </c>
      <c r="HC118" s="2">
        <f t="shared" ref="HC118:HC129" si="147">GV118*GW118</f>
        <v>0</v>
      </c>
      <c r="HD118" s="2"/>
      <c r="HE118" s="2" t="s">
        <v>34</v>
      </c>
      <c r="HF118" s="2" t="s">
        <v>126</v>
      </c>
      <c r="HG118" s="2"/>
      <c r="HH118" s="2"/>
      <c r="HI118" s="2"/>
      <c r="HJ118" s="2"/>
      <c r="HK118" s="2"/>
      <c r="HL118" s="2"/>
      <c r="HM118" s="2" t="s">
        <v>3</v>
      </c>
      <c r="HN118" s="2" t="s">
        <v>3</v>
      </c>
      <c r="HO118" s="2" t="s">
        <v>3</v>
      </c>
      <c r="HP118" s="2" t="s">
        <v>3</v>
      </c>
      <c r="HQ118" s="2" t="s">
        <v>3</v>
      </c>
      <c r="HR118" s="2"/>
      <c r="HS118" s="2">
        <v>0</v>
      </c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>
        <v>0</v>
      </c>
      <c r="IL118" s="2"/>
      <c r="IM118" s="2"/>
      <c r="IN118" s="2"/>
      <c r="IO118" s="2"/>
      <c r="IP118" s="2"/>
      <c r="IQ118" s="2"/>
      <c r="IR118" s="2"/>
      <c r="IS118" s="2"/>
      <c r="IT118" s="2"/>
      <c r="IU118" s="2"/>
    </row>
    <row r="119" spans="1:255" x14ac:dyDescent="0.2">
      <c r="A119">
        <v>17</v>
      </c>
      <c r="B119">
        <v>1</v>
      </c>
      <c r="E119" t="s">
        <v>121</v>
      </c>
      <c r="F119" t="s">
        <v>122</v>
      </c>
      <c r="G119" t="s">
        <v>123</v>
      </c>
      <c r="H119" t="s">
        <v>124</v>
      </c>
      <c r="I119">
        <v>1</v>
      </c>
      <c r="J119">
        <v>0</v>
      </c>
      <c r="K119">
        <v>1</v>
      </c>
      <c r="O119">
        <f t="shared" si="108"/>
        <v>14394.98</v>
      </c>
      <c r="P119">
        <f t="shared" si="109"/>
        <v>14394.98</v>
      </c>
      <c r="Q119">
        <f t="shared" si="110"/>
        <v>0</v>
      </c>
      <c r="R119">
        <f t="shared" si="111"/>
        <v>0</v>
      </c>
      <c r="S119">
        <f t="shared" si="112"/>
        <v>0</v>
      </c>
      <c r="T119">
        <f t="shared" si="113"/>
        <v>0</v>
      </c>
      <c r="U119">
        <f t="shared" si="114"/>
        <v>0</v>
      </c>
      <c r="V119">
        <f t="shared" si="115"/>
        <v>0</v>
      </c>
      <c r="W119">
        <f t="shared" si="116"/>
        <v>0</v>
      </c>
      <c r="X119">
        <f t="shared" si="117"/>
        <v>0</v>
      </c>
      <c r="Y119">
        <f t="shared" si="118"/>
        <v>0</v>
      </c>
      <c r="AA119">
        <v>59499215</v>
      </c>
      <c r="AB119">
        <f t="shared" si="119"/>
        <v>1879.24</v>
      </c>
      <c r="AC119">
        <f t="shared" si="120"/>
        <v>1879.24</v>
      </c>
      <c r="AD119">
        <f t="shared" si="121"/>
        <v>0</v>
      </c>
      <c r="AE119">
        <f t="shared" si="122"/>
        <v>0</v>
      </c>
      <c r="AF119">
        <f t="shared" si="123"/>
        <v>0</v>
      </c>
      <c r="AG119">
        <f t="shared" si="124"/>
        <v>0</v>
      </c>
      <c r="AH119">
        <f t="shared" si="125"/>
        <v>0</v>
      </c>
      <c r="AI119">
        <f t="shared" si="126"/>
        <v>0</v>
      </c>
      <c r="AJ119">
        <f t="shared" si="127"/>
        <v>0</v>
      </c>
      <c r="AK119">
        <v>1879.2399999999998</v>
      </c>
      <c r="AL119">
        <v>1879.2399999999998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1</v>
      </c>
      <c r="AZ119">
        <v>1</v>
      </c>
      <c r="BA119">
        <v>1</v>
      </c>
      <c r="BB119">
        <v>1</v>
      </c>
      <c r="BC119">
        <v>7.66</v>
      </c>
      <c r="BD119" t="s">
        <v>3</v>
      </c>
      <c r="BE119" t="s">
        <v>3</v>
      </c>
      <c r="BF119" t="s">
        <v>3</v>
      </c>
      <c r="BG119" t="s">
        <v>3</v>
      </c>
      <c r="BH119">
        <v>3</v>
      </c>
      <c r="BI119">
        <v>3</v>
      </c>
      <c r="BJ119" t="s">
        <v>3</v>
      </c>
      <c r="BM119">
        <v>746</v>
      </c>
      <c r="BN119">
        <v>0</v>
      </c>
      <c r="BO119" t="s">
        <v>3</v>
      </c>
      <c r="BP119">
        <v>0</v>
      </c>
      <c r="BQ119">
        <v>130</v>
      </c>
      <c r="BR119">
        <v>0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 t="s">
        <v>3</v>
      </c>
      <c r="BZ119">
        <v>0</v>
      </c>
      <c r="CA119">
        <v>0</v>
      </c>
      <c r="CB119" t="s">
        <v>3</v>
      </c>
      <c r="CE119">
        <v>1566</v>
      </c>
      <c r="CF119">
        <v>0</v>
      </c>
      <c r="CG119">
        <v>0</v>
      </c>
      <c r="CM119">
        <v>0</v>
      </c>
      <c r="CN119" t="s">
        <v>3</v>
      </c>
      <c r="CO119">
        <v>0</v>
      </c>
      <c r="CP119">
        <f t="shared" si="128"/>
        <v>14394.98</v>
      </c>
      <c r="CQ119">
        <f t="shared" si="129"/>
        <v>14394.98</v>
      </c>
      <c r="CR119">
        <f t="shared" si="130"/>
        <v>0</v>
      </c>
      <c r="CS119">
        <f t="shared" si="131"/>
        <v>0</v>
      </c>
      <c r="CT119">
        <f t="shared" si="132"/>
        <v>0</v>
      </c>
      <c r="CU119">
        <f t="shared" si="133"/>
        <v>0</v>
      </c>
      <c r="CV119">
        <f t="shared" si="134"/>
        <v>0</v>
      </c>
      <c r="CW119">
        <f t="shared" si="135"/>
        <v>0</v>
      </c>
      <c r="CX119">
        <f t="shared" si="136"/>
        <v>0</v>
      </c>
      <c r="CY119">
        <f t="shared" si="137"/>
        <v>0</v>
      </c>
      <c r="CZ119">
        <f t="shared" si="138"/>
        <v>0</v>
      </c>
      <c r="DC119" t="s">
        <v>3</v>
      </c>
      <c r="DD119" t="s">
        <v>3</v>
      </c>
      <c r="DE119" t="s">
        <v>3</v>
      </c>
      <c r="DF119" t="s">
        <v>3</v>
      </c>
      <c r="DG119" t="s">
        <v>3</v>
      </c>
      <c r="DH119" t="s">
        <v>3</v>
      </c>
      <c r="DI119" t="s">
        <v>3</v>
      </c>
      <c r="DJ119" t="s">
        <v>3</v>
      </c>
      <c r="DK119" t="s">
        <v>3</v>
      </c>
      <c r="DL119" t="s">
        <v>3</v>
      </c>
      <c r="DM119" t="s">
        <v>3</v>
      </c>
      <c r="DN119">
        <v>0</v>
      </c>
      <c r="DO119">
        <v>0</v>
      </c>
      <c r="DP119">
        <v>1</v>
      </c>
      <c r="DQ119">
        <v>1</v>
      </c>
      <c r="DU119">
        <v>1010</v>
      </c>
      <c r="DV119" t="s">
        <v>124</v>
      </c>
      <c r="DW119" t="s">
        <v>124</v>
      </c>
      <c r="DX119">
        <v>1</v>
      </c>
      <c r="DZ119" t="s">
        <v>3</v>
      </c>
      <c r="EA119" t="s">
        <v>3</v>
      </c>
      <c r="EB119" t="s">
        <v>3</v>
      </c>
      <c r="EC119" t="s">
        <v>3</v>
      </c>
      <c r="EE119">
        <v>59299131</v>
      </c>
      <c r="EF119">
        <v>130</v>
      </c>
      <c r="EG119" t="s">
        <v>105</v>
      </c>
      <c r="EH119">
        <v>0</v>
      </c>
      <c r="EI119" t="s">
        <v>3</v>
      </c>
      <c r="EJ119">
        <v>3</v>
      </c>
      <c r="EK119">
        <v>746</v>
      </c>
      <c r="EL119" t="s">
        <v>106</v>
      </c>
      <c r="EM119" t="s">
        <v>107</v>
      </c>
      <c r="EO119" t="s">
        <v>3</v>
      </c>
      <c r="EQ119">
        <v>0</v>
      </c>
      <c r="ER119">
        <v>1879.2399999999998</v>
      </c>
      <c r="ES119">
        <v>1879.2399999999998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5</v>
      </c>
      <c r="FC119">
        <v>1</v>
      </c>
      <c r="FD119">
        <v>18</v>
      </c>
      <c r="FF119">
        <v>16572</v>
      </c>
      <c r="FQ119">
        <v>0</v>
      </c>
      <c r="FR119">
        <f t="shared" si="139"/>
        <v>14394.98</v>
      </c>
      <c r="FS119">
        <v>0</v>
      </c>
      <c r="FX119">
        <v>0</v>
      </c>
      <c r="FY119">
        <v>0</v>
      </c>
      <c r="GA119" t="s">
        <v>125</v>
      </c>
      <c r="GD119">
        <v>1</v>
      </c>
      <c r="GF119">
        <v>-1505903575</v>
      </c>
      <c r="GG119">
        <v>2</v>
      </c>
      <c r="GH119">
        <v>3</v>
      </c>
      <c r="GI119">
        <v>3</v>
      </c>
      <c r="GJ119">
        <v>0</v>
      </c>
      <c r="GK119">
        <v>0</v>
      </c>
      <c r="GL119">
        <f t="shared" si="140"/>
        <v>0</v>
      </c>
      <c r="GM119">
        <f t="shared" si="141"/>
        <v>14394.98</v>
      </c>
      <c r="GN119">
        <f t="shared" si="142"/>
        <v>0</v>
      </c>
      <c r="GO119">
        <f t="shared" si="143"/>
        <v>0</v>
      </c>
      <c r="GP119">
        <f t="shared" si="144"/>
        <v>0</v>
      </c>
      <c r="GR119">
        <v>1</v>
      </c>
      <c r="GS119">
        <v>1</v>
      </c>
      <c r="GT119">
        <v>0</v>
      </c>
      <c r="GU119" t="s">
        <v>3</v>
      </c>
      <c r="GV119">
        <f t="shared" si="145"/>
        <v>0</v>
      </c>
      <c r="GW119">
        <v>1</v>
      </c>
      <c r="GX119">
        <f t="shared" si="146"/>
        <v>0</v>
      </c>
      <c r="HA119">
        <v>0</v>
      </c>
      <c r="HB119">
        <v>0</v>
      </c>
      <c r="HC119">
        <f t="shared" si="147"/>
        <v>0</v>
      </c>
      <c r="HE119" t="s">
        <v>34</v>
      </c>
      <c r="HF119" t="s">
        <v>126</v>
      </c>
      <c r="HM119" t="s">
        <v>3</v>
      </c>
      <c r="HN119" t="s">
        <v>3</v>
      </c>
      <c r="HO119" t="s">
        <v>3</v>
      </c>
      <c r="HP119" t="s">
        <v>3</v>
      </c>
      <c r="HQ119" t="s">
        <v>3</v>
      </c>
      <c r="HS119">
        <v>0</v>
      </c>
      <c r="IK119">
        <v>0</v>
      </c>
    </row>
    <row r="120" spans="1:255" x14ac:dyDescent="0.2">
      <c r="A120" s="2">
        <v>17</v>
      </c>
      <c r="B120" s="2">
        <v>1</v>
      </c>
      <c r="C120" s="2"/>
      <c r="D120" s="2"/>
      <c r="E120" s="2" t="s">
        <v>127</v>
      </c>
      <c r="F120" s="2" t="s">
        <v>128</v>
      </c>
      <c r="G120" s="2" t="s">
        <v>129</v>
      </c>
      <c r="H120" s="2" t="s">
        <v>124</v>
      </c>
      <c r="I120" s="2">
        <v>1</v>
      </c>
      <c r="J120" s="2">
        <v>0</v>
      </c>
      <c r="K120" s="2">
        <v>1</v>
      </c>
      <c r="L120" s="2"/>
      <c r="M120" s="2"/>
      <c r="N120" s="2"/>
      <c r="O120" s="2">
        <f t="shared" si="108"/>
        <v>9068.49</v>
      </c>
      <c r="P120" s="2">
        <f t="shared" si="109"/>
        <v>9068.49</v>
      </c>
      <c r="Q120" s="2">
        <f t="shared" si="110"/>
        <v>0</v>
      </c>
      <c r="R120" s="2">
        <f t="shared" si="111"/>
        <v>0</v>
      </c>
      <c r="S120" s="2">
        <f t="shared" si="112"/>
        <v>0</v>
      </c>
      <c r="T120" s="2">
        <f t="shared" si="113"/>
        <v>0</v>
      </c>
      <c r="U120" s="2">
        <f t="shared" si="114"/>
        <v>0</v>
      </c>
      <c r="V120" s="2">
        <f t="shared" si="115"/>
        <v>0</v>
      </c>
      <c r="W120" s="2">
        <f t="shared" si="116"/>
        <v>0</v>
      </c>
      <c r="X120" s="2">
        <f t="shared" si="117"/>
        <v>0</v>
      </c>
      <c r="Y120" s="2">
        <f t="shared" si="118"/>
        <v>0</v>
      </c>
      <c r="Z120" s="2"/>
      <c r="AA120" s="2">
        <v>59499218</v>
      </c>
      <c r="AB120" s="2">
        <f t="shared" si="119"/>
        <v>9068.49</v>
      </c>
      <c r="AC120" s="2">
        <f t="shared" si="120"/>
        <v>9068.49</v>
      </c>
      <c r="AD120" s="2">
        <f t="shared" si="121"/>
        <v>0</v>
      </c>
      <c r="AE120" s="2">
        <f t="shared" si="122"/>
        <v>0</v>
      </c>
      <c r="AF120" s="2">
        <f t="shared" si="123"/>
        <v>0</v>
      </c>
      <c r="AG120" s="2">
        <f t="shared" si="124"/>
        <v>0</v>
      </c>
      <c r="AH120" s="2">
        <f t="shared" si="125"/>
        <v>0</v>
      </c>
      <c r="AI120" s="2">
        <f t="shared" si="126"/>
        <v>0</v>
      </c>
      <c r="AJ120" s="2">
        <f t="shared" si="127"/>
        <v>0</v>
      </c>
      <c r="AK120" s="2">
        <v>9068.49</v>
      </c>
      <c r="AL120" s="2">
        <v>9068.49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1</v>
      </c>
      <c r="AW120" s="2">
        <v>1</v>
      </c>
      <c r="AX120" s="2"/>
      <c r="AY120" s="2"/>
      <c r="AZ120" s="2">
        <v>1</v>
      </c>
      <c r="BA120" s="2">
        <v>1</v>
      </c>
      <c r="BB120" s="2">
        <v>1</v>
      </c>
      <c r="BC120" s="2">
        <v>1</v>
      </c>
      <c r="BD120" s="2" t="s">
        <v>3</v>
      </c>
      <c r="BE120" s="2" t="s">
        <v>3</v>
      </c>
      <c r="BF120" s="2" t="s">
        <v>3</v>
      </c>
      <c r="BG120" s="2" t="s">
        <v>3</v>
      </c>
      <c r="BH120" s="2">
        <v>3</v>
      </c>
      <c r="BI120" s="2">
        <v>3</v>
      </c>
      <c r="BJ120" s="2" t="s">
        <v>3</v>
      </c>
      <c r="BK120" s="2"/>
      <c r="BL120" s="2"/>
      <c r="BM120" s="2">
        <v>746</v>
      </c>
      <c r="BN120" s="2">
        <v>0</v>
      </c>
      <c r="BO120" s="2" t="s">
        <v>3</v>
      </c>
      <c r="BP120" s="2">
        <v>0</v>
      </c>
      <c r="BQ120" s="2">
        <v>130</v>
      </c>
      <c r="BR120" s="2">
        <v>0</v>
      </c>
      <c r="BS120" s="2">
        <v>1</v>
      </c>
      <c r="BT120" s="2">
        <v>1</v>
      </c>
      <c r="BU120" s="2">
        <v>1</v>
      </c>
      <c r="BV120" s="2">
        <v>1</v>
      </c>
      <c r="BW120" s="2">
        <v>1</v>
      </c>
      <c r="BX120" s="2">
        <v>1</v>
      </c>
      <c r="BY120" s="2" t="s">
        <v>3</v>
      </c>
      <c r="BZ120" s="2">
        <v>0</v>
      </c>
      <c r="CA120" s="2">
        <v>0</v>
      </c>
      <c r="CB120" s="2" t="s">
        <v>3</v>
      </c>
      <c r="CC120" s="2"/>
      <c r="CD120" s="2"/>
      <c r="CE120" s="2">
        <v>1566</v>
      </c>
      <c r="CF120" s="2">
        <v>0</v>
      </c>
      <c r="CG120" s="2">
        <v>0</v>
      </c>
      <c r="CH120" s="2"/>
      <c r="CI120" s="2"/>
      <c r="CJ120" s="2"/>
      <c r="CK120" s="2"/>
      <c r="CL120" s="2"/>
      <c r="CM120" s="2">
        <v>0</v>
      </c>
      <c r="CN120" s="2" t="s">
        <v>3</v>
      </c>
      <c r="CO120" s="2">
        <v>0</v>
      </c>
      <c r="CP120" s="2">
        <f t="shared" si="128"/>
        <v>9068.49</v>
      </c>
      <c r="CQ120" s="2">
        <f t="shared" si="129"/>
        <v>9068.49</v>
      </c>
      <c r="CR120" s="2">
        <f t="shared" si="130"/>
        <v>0</v>
      </c>
      <c r="CS120" s="2">
        <f t="shared" si="131"/>
        <v>0</v>
      </c>
      <c r="CT120" s="2">
        <f t="shared" si="132"/>
        <v>0</v>
      </c>
      <c r="CU120" s="2">
        <f t="shared" si="133"/>
        <v>0</v>
      </c>
      <c r="CV120" s="2">
        <f t="shared" si="134"/>
        <v>0</v>
      </c>
      <c r="CW120" s="2">
        <f t="shared" si="135"/>
        <v>0</v>
      </c>
      <c r="CX120" s="2">
        <f t="shared" si="136"/>
        <v>0</v>
      </c>
      <c r="CY120" s="2">
        <f t="shared" si="137"/>
        <v>0</v>
      </c>
      <c r="CZ120" s="2">
        <f t="shared" si="138"/>
        <v>0</v>
      </c>
      <c r="DA120" s="2"/>
      <c r="DB120" s="2"/>
      <c r="DC120" s="2" t="s">
        <v>3</v>
      </c>
      <c r="DD120" s="2" t="s">
        <v>3</v>
      </c>
      <c r="DE120" s="2" t="s">
        <v>3</v>
      </c>
      <c r="DF120" s="2" t="s">
        <v>3</v>
      </c>
      <c r="DG120" s="2" t="s">
        <v>3</v>
      </c>
      <c r="DH120" s="2" t="s">
        <v>3</v>
      </c>
      <c r="DI120" s="2" t="s">
        <v>3</v>
      </c>
      <c r="DJ120" s="2" t="s">
        <v>3</v>
      </c>
      <c r="DK120" s="2" t="s">
        <v>3</v>
      </c>
      <c r="DL120" s="2" t="s">
        <v>3</v>
      </c>
      <c r="DM120" s="2" t="s">
        <v>3</v>
      </c>
      <c r="DN120" s="2">
        <v>0</v>
      </c>
      <c r="DO120" s="2">
        <v>0</v>
      </c>
      <c r="DP120" s="2">
        <v>1</v>
      </c>
      <c r="DQ120" s="2">
        <v>1</v>
      </c>
      <c r="DR120" s="2"/>
      <c r="DS120" s="2"/>
      <c r="DT120" s="2"/>
      <c r="DU120" s="2">
        <v>1010</v>
      </c>
      <c r="DV120" s="2" t="s">
        <v>124</v>
      </c>
      <c r="DW120" s="2" t="s">
        <v>124</v>
      </c>
      <c r="DX120" s="2">
        <v>1</v>
      </c>
      <c r="DY120" s="2"/>
      <c r="DZ120" s="2" t="s">
        <v>3</v>
      </c>
      <c r="EA120" s="2" t="s">
        <v>3</v>
      </c>
      <c r="EB120" s="2" t="s">
        <v>3</v>
      </c>
      <c r="EC120" s="2" t="s">
        <v>3</v>
      </c>
      <c r="ED120" s="2"/>
      <c r="EE120" s="2">
        <v>59299131</v>
      </c>
      <c r="EF120" s="2">
        <v>130</v>
      </c>
      <c r="EG120" s="2" t="s">
        <v>105</v>
      </c>
      <c r="EH120" s="2">
        <v>0</v>
      </c>
      <c r="EI120" s="2" t="s">
        <v>3</v>
      </c>
      <c r="EJ120" s="2">
        <v>3</v>
      </c>
      <c r="EK120" s="2">
        <v>746</v>
      </c>
      <c r="EL120" s="2" t="s">
        <v>106</v>
      </c>
      <c r="EM120" s="2" t="s">
        <v>107</v>
      </c>
      <c r="EN120" s="2"/>
      <c r="EO120" s="2" t="s">
        <v>3</v>
      </c>
      <c r="EP120" s="2"/>
      <c r="EQ120" s="2">
        <v>0</v>
      </c>
      <c r="ER120" s="2">
        <v>0</v>
      </c>
      <c r="ES120" s="2">
        <v>9068.49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>
        <v>0</v>
      </c>
      <c r="FR120" s="2">
        <f t="shared" si="139"/>
        <v>9068.49</v>
      </c>
      <c r="FS120" s="2">
        <v>0</v>
      </c>
      <c r="FT120" s="2"/>
      <c r="FU120" s="2"/>
      <c r="FV120" s="2"/>
      <c r="FW120" s="2"/>
      <c r="FX120" s="2">
        <v>0</v>
      </c>
      <c r="FY120" s="2">
        <v>0</v>
      </c>
      <c r="FZ120" s="2"/>
      <c r="GA120" s="2" t="s">
        <v>130</v>
      </c>
      <c r="GB120" s="2"/>
      <c r="GC120" s="2"/>
      <c r="GD120" s="2">
        <v>1</v>
      </c>
      <c r="GE120" s="2"/>
      <c r="GF120" s="2">
        <v>-58094079</v>
      </c>
      <c r="GG120" s="2">
        <v>2</v>
      </c>
      <c r="GH120" s="2">
        <v>4</v>
      </c>
      <c r="GI120" s="2">
        <v>-2</v>
      </c>
      <c r="GJ120" s="2">
        <v>0</v>
      </c>
      <c r="GK120" s="2">
        <v>0</v>
      </c>
      <c r="GL120" s="2">
        <f t="shared" si="140"/>
        <v>0</v>
      </c>
      <c r="GM120" s="2">
        <f t="shared" si="141"/>
        <v>9068.49</v>
      </c>
      <c r="GN120" s="2">
        <f t="shared" si="142"/>
        <v>0</v>
      </c>
      <c r="GO120" s="2">
        <f t="shared" si="143"/>
        <v>0</v>
      </c>
      <c r="GP120" s="2">
        <f t="shared" si="144"/>
        <v>0</v>
      </c>
      <c r="GQ120" s="2"/>
      <c r="GR120" s="2">
        <v>0</v>
      </c>
      <c r="GS120" s="2">
        <v>2</v>
      </c>
      <c r="GT120" s="2">
        <v>0</v>
      </c>
      <c r="GU120" s="2" t="s">
        <v>3</v>
      </c>
      <c r="GV120" s="2">
        <f t="shared" si="145"/>
        <v>0</v>
      </c>
      <c r="GW120" s="2">
        <v>1</v>
      </c>
      <c r="GX120" s="2">
        <f t="shared" si="146"/>
        <v>0</v>
      </c>
      <c r="GY120" s="2"/>
      <c r="GZ120" s="2"/>
      <c r="HA120" s="2">
        <v>0</v>
      </c>
      <c r="HB120" s="2">
        <v>0</v>
      </c>
      <c r="HC120" s="2">
        <f t="shared" si="147"/>
        <v>0</v>
      </c>
      <c r="HD120" s="2"/>
      <c r="HE120" s="2" t="s">
        <v>34</v>
      </c>
      <c r="HF120" s="2" t="s">
        <v>126</v>
      </c>
      <c r="HG120" s="2"/>
      <c r="HH120" s="2"/>
      <c r="HI120" s="2"/>
      <c r="HJ120" s="2"/>
      <c r="HK120" s="2"/>
      <c r="HL120" s="2"/>
      <c r="HM120" s="2" t="s">
        <v>3</v>
      </c>
      <c r="HN120" s="2" t="s">
        <v>3</v>
      </c>
      <c r="HO120" s="2" t="s">
        <v>3</v>
      </c>
      <c r="HP120" s="2" t="s">
        <v>3</v>
      </c>
      <c r="HQ120" s="2" t="s">
        <v>3</v>
      </c>
      <c r="HR120" s="2"/>
      <c r="HS120" s="2">
        <v>0</v>
      </c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>
        <v>0</v>
      </c>
      <c r="IL120" s="2"/>
      <c r="IM120" s="2"/>
      <c r="IN120" s="2"/>
      <c r="IO120" s="2"/>
      <c r="IP120" s="2"/>
      <c r="IQ120" s="2"/>
      <c r="IR120" s="2"/>
      <c r="IS120" s="2"/>
      <c r="IT120" s="2"/>
      <c r="IU120" s="2"/>
    </row>
    <row r="121" spans="1:255" x14ac:dyDescent="0.2">
      <c r="A121">
        <v>17</v>
      </c>
      <c r="B121">
        <v>1</v>
      </c>
      <c r="E121" t="s">
        <v>127</v>
      </c>
      <c r="F121" t="s">
        <v>128</v>
      </c>
      <c r="G121" t="s">
        <v>129</v>
      </c>
      <c r="H121" t="s">
        <v>124</v>
      </c>
      <c r="I121">
        <v>1</v>
      </c>
      <c r="J121">
        <v>0</v>
      </c>
      <c r="K121">
        <v>1</v>
      </c>
      <c r="O121">
        <f t="shared" si="108"/>
        <v>69464.63</v>
      </c>
      <c r="P121">
        <f t="shared" si="109"/>
        <v>69464.63</v>
      </c>
      <c r="Q121">
        <f t="shared" si="110"/>
        <v>0</v>
      </c>
      <c r="R121">
        <f t="shared" si="111"/>
        <v>0</v>
      </c>
      <c r="S121">
        <f t="shared" si="112"/>
        <v>0</v>
      </c>
      <c r="T121">
        <f t="shared" si="113"/>
        <v>0</v>
      </c>
      <c r="U121">
        <f t="shared" si="114"/>
        <v>0</v>
      </c>
      <c r="V121">
        <f t="shared" si="115"/>
        <v>0</v>
      </c>
      <c r="W121">
        <f t="shared" si="116"/>
        <v>0</v>
      </c>
      <c r="X121">
        <f t="shared" si="117"/>
        <v>0</v>
      </c>
      <c r="Y121">
        <f t="shared" si="118"/>
        <v>0</v>
      </c>
      <c r="AA121">
        <v>59499215</v>
      </c>
      <c r="AB121">
        <f t="shared" si="119"/>
        <v>9068.49</v>
      </c>
      <c r="AC121">
        <f t="shared" si="120"/>
        <v>9068.49</v>
      </c>
      <c r="AD121">
        <f t="shared" si="121"/>
        <v>0</v>
      </c>
      <c r="AE121">
        <f t="shared" si="122"/>
        <v>0</v>
      </c>
      <c r="AF121">
        <f t="shared" si="123"/>
        <v>0</v>
      </c>
      <c r="AG121">
        <f t="shared" si="124"/>
        <v>0</v>
      </c>
      <c r="AH121">
        <f t="shared" si="125"/>
        <v>0</v>
      </c>
      <c r="AI121">
        <f t="shared" si="126"/>
        <v>0</v>
      </c>
      <c r="AJ121">
        <f t="shared" si="127"/>
        <v>0</v>
      </c>
      <c r="AK121">
        <v>9068.49</v>
      </c>
      <c r="AL121">
        <v>9068.49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1</v>
      </c>
      <c r="AZ121">
        <v>1</v>
      </c>
      <c r="BA121">
        <v>1</v>
      </c>
      <c r="BB121">
        <v>1</v>
      </c>
      <c r="BC121">
        <v>7.66</v>
      </c>
      <c r="BD121" t="s">
        <v>3</v>
      </c>
      <c r="BE121" t="s">
        <v>3</v>
      </c>
      <c r="BF121" t="s">
        <v>3</v>
      </c>
      <c r="BG121" t="s">
        <v>3</v>
      </c>
      <c r="BH121">
        <v>3</v>
      </c>
      <c r="BI121">
        <v>3</v>
      </c>
      <c r="BJ121" t="s">
        <v>3</v>
      </c>
      <c r="BM121">
        <v>746</v>
      </c>
      <c r="BN121">
        <v>0</v>
      </c>
      <c r="BO121" t="s">
        <v>3</v>
      </c>
      <c r="BP121">
        <v>0</v>
      </c>
      <c r="BQ121">
        <v>130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 t="s">
        <v>3</v>
      </c>
      <c r="BZ121">
        <v>0</v>
      </c>
      <c r="CA121">
        <v>0</v>
      </c>
      <c r="CB121" t="s">
        <v>3</v>
      </c>
      <c r="CE121">
        <v>1566</v>
      </c>
      <c r="CF121">
        <v>0</v>
      </c>
      <c r="CG121">
        <v>0</v>
      </c>
      <c r="CM121">
        <v>0</v>
      </c>
      <c r="CN121" t="s">
        <v>3</v>
      </c>
      <c r="CO121">
        <v>0</v>
      </c>
      <c r="CP121">
        <f t="shared" si="128"/>
        <v>69464.63</v>
      </c>
      <c r="CQ121">
        <f t="shared" si="129"/>
        <v>69464.63</v>
      </c>
      <c r="CR121">
        <f t="shared" si="130"/>
        <v>0</v>
      </c>
      <c r="CS121">
        <f t="shared" si="131"/>
        <v>0</v>
      </c>
      <c r="CT121">
        <f t="shared" si="132"/>
        <v>0</v>
      </c>
      <c r="CU121">
        <f t="shared" si="133"/>
        <v>0</v>
      </c>
      <c r="CV121">
        <f t="shared" si="134"/>
        <v>0</v>
      </c>
      <c r="CW121">
        <f t="shared" si="135"/>
        <v>0</v>
      </c>
      <c r="CX121">
        <f t="shared" si="136"/>
        <v>0</v>
      </c>
      <c r="CY121">
        <f t="shared" si="137"/>
        <v>0</v>
      </c>
      <c r="CZ121">
        <f t="shared" si="138"/>
        <v>0</v>
      </c>
      <c r="DC121" t="s">
        <v>3</v>
      </c>
      <c r="DD121" t="s">
        <v>3</v>
      </c>
      <c r="DE121" t="s">
        <v>3</v>
      </c>
      <c r="DF121" t="s">
        <v>3</v>
      </c>
      <c r="DG121" t="s">
        <v>3</v>
      </c>
      <c r="DH121" t="s">
        <v>3</v>
      </c>
      <c r="DI121" t="s">
        <v>3</v>
      </c>
      <c r="DJ121" t="s">
        <v>3</v>
      </c>
      <c r="DK121" t="s">
        <v>3</v>
      </c>
      <c r="DL121" t="s">
        <v>3</v>
      </c>
      <c r="DM121" t="s">
        <v>3</v>
      </c>
      <c r="DN121">
        <v>0</v>
      </c>
      <c r="DO121">
        <v>0</v>
      </c>
      <c r="DP121">
        <v>1</v>
      </c>
      <c r="DQ121">
        <v>1</v>
      </c>
      <c r="DU121">
        <v>1010</v>
      </c>
      <c r="DV121" t="s">
        <v>124</v>
      </c>
      <c r="DW121" t="s">
        <v>124</v>
      </c>
      <c r="DX121">
        <v>1</v>
      </c>
      <c r="DZ121" t="s">
        <v>3</v>
      </c>
      <c r="EA121" t="s">
        <v>3</v>
      </c>
      <c r="EB121" t="s">
        <v>3</v>
      </c>
      <c r="EC121" t="s">
        <v>3</v>
      </c>
      <c r="EE121">
        <v>59299131</v>
      </c>
      <c r="EF121">
        <v>130</v>
      </c>
      <c r="EG121" t="s">
        <v>105</v>
      </c>
      <c r="EH121">
        <v>0</v>
      </c>
      <c r="EI121" t="s">
        <v>3</v>
      </c>
      <c r="EJ121">
        <v>3</v>
      </c>
      <c r="EK121">
        <v>746</v>
      </c>
      <c r="EL121" t="s">
        <v>106</v>
      </c>
      <c r="EM121" t="s">
        <v>107</v>
      </c>
      <c r="EO121" t="s">
        <v>3</v>
      </c>
      <c r="EQ121">
        <v>0</v>
      </c>
      <c r="ER121">
        <v>9068.49</v>
      </c>
      <c r="ES121">
        <v>9068.49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5</v>
      </c>
      <c r="FC121">
        <v>1</v>
      </c>
      <c r="FD121">
        <v>18</v>
      </c>
      <c r="FF121">
        <v>79970</v>
      </c>
      <c r="FQ121">
        <v>0</v>
      </c>
      <c r="FR121">
        <f t="shared" si="139"/>
        <v>69464.63</v>
      </c>
      <c r="FS121">
        <v>0</v>
      </c>
      <c r="FX121">
        <v>0</v>
      </c>
      <c r="FY121">
        <v>0</v>
      </c>
      <c r="GA121" t="s">
        <v>130</v>
      </c>
      <c r="GD121">
        <v>1</v>
      </c>
      <c r="GF121">
        <v>-58094079</v>
      </c>
      <c r="GG121">
        <v>2</v>
      </c>
      <c r="GH121">
        <v>3</v>
      </c>
      <c r="GI121">
        <v>3</v>
      </c>
      <c r="GJ121">
        <v>0</v>
      </c>
      <c r="GK121">
        <v>0</v>
      </c>
      <c r="GL121">
        <f t="shared" si="140"/>
        <v>0</v>
      </c>
      <c r="GM121">
        <f t="shared" si="141"/>
        <v>69464.63</v>
      </c>
      <c r="GN121">
        <f t="shared" si="142"/>
        <v>0</v>
      </c>
      <c r="GO121">
        <f t="shared" si="143"/>
        <v>0</v>
      </c>
      <c r="GP121">
        <f t="shared" si="144"/>
        <v>0</v>
      </c>
      <c r="GR121">
        <v>1</v>
      </c>
      <c r="GS121">
        <v>1</v>
      </c>
      <c r="GT121">
        <v>0</v>
      </c>
      <c r="GU121" t="s">
        <v>3</v>
      </c>
      <c r="GV121">
        <f t="shared" si="145"/>
        <v>0</v>
      </c>
      <c r="GW121">
        <v>1</v>
      </c>
      <c r="GX121">
        <f t="shared" si="146"/>
        <v>0</v>
      </c>
      <c r="HA121">
        <v>0</v>
      </c>
      <c r="HB121">
        <v>0</v>
      </c>
      <c r="HC121">
        <f t="shared" si="147"/>
        <v>0</v>
      </c>
      <c r="HE121" t="s">
        <v>34</v>
      </c>
      <c r="HF121" t="s">
        <v>126</v>
      </c>
      <c r="HM121" t="s">
        <v>3</v>
      </c>
      <c r="HN121" t="s">
        <v>3</v>
      </c>
      <c r="HO121" t="s">
        <v>3</v>
      </c>
      <c r="HP121" t="s">
        <v>3</v>
      </c>
      <c r="HQ121" t="s">
        <v>3</v>
      </c>
      <c r="HS121">
        <v>0</v>
      </c>
      <c r="IK121">
        <v>0</v>
      </c>
    </row>
    <row r="122" spans="1:255" x14ac:dyDescent="0.2">
      <c r="A122" s="2">
        <v>17</v>
      </c>
      <c r="B122" s="2">
        <v>1</v>
      </c>
      <c r="C122" s="2"/>
      <c r="D122" s="2"/>
      <c r="E122" s="2" t="s">
        <v>131</v>
      </c>
      <c r="F122" s="2" t="s">
        <v>132</v>
      </c>
      <c r="G122" s="2" t="s">
        <v>133</v>
      </c>
      <c r="H122" s="2" t="s">
        <v>124</v>
      </c>
      <c r="I122" s="2">
        <v>1</v>
      </c>
      <c r="J122" s="2">
        <v>0</v>
      </c>
      <c r="K122" s="2">
        <v>1</v>
      </c>
      <c r="L122" s="2"/>
      <c r="M122" s="2"/>
      <c r="N122" s="2"/>
      <c r="O122" s="2">
        <f t="shared" si="108"/>
        <v>1253.05</v>
      </c>
      <c r="P122" s="2">
        <f t="shared" si="109"/>
        <v>1253.05</v>
      </c>
      <c r="Q122" s="2">
        <f t="shared" si="110"/>
        <v>0</v>
      </c>
      <c r="R122" s="2">
        <f t="shared" si="111"/>
        <v>0</v>
      </c>
      <c r="S122" s="2">
        <f t="shared" si="112"/>
        <v>0</v>
      </c>
      <c r="T122" s="2">
        <f t="shared" si="113"/>
        <v>0</v>
      </c>
      <c r="U122" s="2">
        <f t="shared" si="114"/>
        <v>0</v>
      </c>
      <c r="V122" s="2">
        <f t="shared" si="115"/>
        <v>0</v>
      </c>
      <c r="W122" s="2">
        <f t="shared" si="116"/>
        <v>0</v>
      </c>
      <c r="X122" s="2">
        <f t="shared" si="117"/>
        <v>0</v>
      </c>
      <c r="Y122" s="2">
        <f t="shared" si="118"/>
        <v>0</v>
      </c>
      <c r="Z122" s="2"/>
      <c r="AA122" s="2">
        <v>59499218</v>
      </c>
      <c r="AB122" s="2">
        <f t="shared" si="119"/>
        <v>1253.05</v>
      </c>
      <c r="AC122" s="2">
        <f t="shared" si="120"/>
        <v>1253.05</v>
      </c>
      <c r="AD122" s="2">
        <f t="shared" si="121"/>
        <v>0</v>
      </c>
      <c r="AE122" s="2">
        <f t="shared" si="122"/>
        <v>0</v>
      </c>
      <c r="AF122" s="2">
        <f t="shared" si="123"/>
        <v>0</v>
      </c>
      <c r="AG122" s="2">
        <f t="shared" si="124"/>
        <v>0</v>
      </c>
      <c r="AH122" s="2">
        <f t="shared" si="125"/>
        <v>0</v>
      </c>
      <c r="AI122" s="2">
        <f t="shared" si="126"/>
        <v>0</v>
      </c>
      <c r="AJ122" s="2">
        <f t="shared" si="127"/>
        <v>0</v>
      </c>
      <c r="AK122" s="2">
        <v>1253.05</v>
      </c>
      <c r="AL122" s="2">
        <v>1253.05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1</v>
      </c>
      <c r="AW122" s="2">
        <v>1</v>
      </c>
      <c r="AX122" s="2"/>
      <c r="AY122" s="2"/>
      <c r="AZ122" s="2">
        <v>1</v>
      </c>
      <c r="BA122" s="2">
        <v>1</v>
      </c>
      <c r="BB122" s="2">
        <v>1</v>
      </c>
      <c r="BC122" s="2">
        <v>1</v>
      </c>
      <c r="BD122" s="2" t="s">
        <v>3</v>
      </c>
      <c r="BE122" s="2" t="s">
        <v>3</v>
      </c>
      <c r="BF122" s="2" t="s">
        <v>3</v>
      </c>
      <c r="BG122" s="2" t="s">
        <v>3</v>
      </c>
      <c r="BH122" s="2">
        <v>3</v>
      </c>
      <c r="BI122" s="2">
        <v>3</v>
      </c>
      <c r="BJ122" s="2" t="s">
        <v>3</v>
      </c>
      <c r="BK122" s="2"/>
      <c r="BL122" s="2"/>
      <c r="BM122" s="2">
        <v>746</v>
      </c>
      <c r="BN122" s="2">
        <v>0</v>
      </c>
      <c r="BO122" s="2" t="s">
        <v>3</v>
      </c>
      <c r="BP122" s="2">
        <v>0</v>
      </c>
      <c r="BQ122" s="2">
        <v>130</v>
      </c>
      <c r="BR122" s="2">
        <v>0</v>
      </c>
      <c r="BS122" s="2">
        <v>1</v>
      </c>
      <c r="BT122" s="2">
        <v>1</v>
      </c>
      <c r="BU122" s="2">
        <v>1</v>
      </c>
      <c r="BV122" s="2">
        <v>1</v>
      </c>
      <c r="BW122" s="2">
        <v>1</v>
      </c>
      <c r="BX122" s="2">
        <v>1</v>
      </c>
      <c r="BY122" s="2" t="s">
        <v>3</v>
      </c>
      <c r="BZ122" s="2">
        <v>0</v>
      </c>
      <c r="CA122" s="2">
        <v>0</v>
      </c>
      <c r="CB122" s="2" t="s">
        <v>3</v>
      </c>
      <c r="CC122" s="2"/>
      <c r="CD122" s="2"/>
      <c r="CE122" s="2">
        <v>1566</v>
      </c>
      <c r="CF122" s="2">
        <v>0</v>
      </c>
      <c r="CG122" s="2">
        <v>0</v>
      </c>
      <c r="CH122" s="2"/>
      <c r="CI122" s="2"/>
      <c r="CJ122" s="2"/>
      <c r="CK122" s="2"/>
      <c r="CL122" s="2"/>
      <c r="CM122" s="2">
        <v>0</v>
      </c>
      <c r="CN122" s="2" t="s">
        <v>3</v>
      </c>
      <c r="CO122" s="2">
        <v>0</v>
      </c>
      <c r="CP122" s="2">
        <f t="shared" si="128"/>
        <v>1253.05</v>
      </c>
      <c r="CQ122" s="2">
        <f t="shared" si="129"/>
        <v>1253.05</v>
      </c>
      <c r="CR122" s="2">
        <f t="shared" si="130"/>
        <v>0</v>
      </c>
      <c r="CS122" s="2">
        <f t="shared" si="131"/>
        <v>0</v>
      </c>
      <c r="CT122" s="2">
        <f t="shared" si="132"/>
        <v>0</v>
      </c>
      <c r="CU122" s="2">
        <f t="shared" si="133"/>
        <v>0</v>
      </c>
      <c r="CV122" s="2">
        <f t="shared" si="134"/>
        <v>0</v>
      </c>
      <c r="CW122" s="2">
        <f t="shared" si="135"/>
        <v>0</v>
      </c>
      <c r="CX122" s="2">
        <f t="shared" si="136"/>
        <v>0</v>
      </c>
      <c r="CY122" s="2">
        <f t="shared" si="137"/>
        <v>0</v>
      </c>
      <c r="CZ122" s="2">
        <f t="shared" si="138"/>
        <v>0</v>
      </c>
      <c r="DA122" s="2"/>
      <c r="DB122" s="2"/>
      <c r="DC122" s="2" t="s">
        <v>3</v>
      </c>
      <c r="DD122" s="2" t="s">
        <v>3</v>
      </c>
      <c r="DE122" s="2" t="s">
        <v>3</v>
      </c>
      <c r="DF122" s="2" t="s">
        <v>3</v>
      </c>
      <c r="DG122" s="2" t="s">
        <v>3</v>
      </c>
      <c r="DH122" s="2" t="s">
        <v>3</v>
      </c>
      <c r="DI122" s="2" t="s">
        <v>3</v>
      </c>
      <c r="DJ122" s="2" t="s">
        <v>3</v>
      </c>
      <c r="DK122" s="2" t="s">
        <v>3</v>
      </c>
      <c r="DL122" s="2" t="s">
        <v>3</v>
      </c>
      <c r="DM122" s="2" t="s">
        <v>3</v>
      </c>
      <c r="DN122" s="2">
        <v>0</v>
      </c>
      <c r="DO122" s="2">
        <v>0</v>
      </c>
      <c r="DP122" s="2">
        <v>1</v>
      </c>
      <c r="DQ122" s="2">
        <v>1</v>
      </c>
      <c r="DR122" s="2"/>
      <c r="DS122" s="2"/>
      <c r="DT122" s="2"/>
      <c r="DU122" s="2">
        <v>1010</v>
      </c>
      <c r="DV122" s="2" t="s">
        <v>124</v>
      </c>
      <c r="DW122" s="2" t="s">
        <v>124</v>
      </c>
      <c r="DX122" s="2">
        <v>1</v>
      </c>
      <c r="DY122" s="2"/>
      <c r="DZ122" s="2" t="s">
        <v>3</v>
      </c>
      <c r="EA122" s="2" t="s">
        <v>3</v>
      </c>
      <c r="EB122" s="2" t="s">
        <v>3</v>
      </c>
      <c r="EC122" s="2" t="s">
        <v>3</v>
      </c>
      <c r="ED122" s="2"/>
      <c r="EE122" s="2">
        <v>59299131</v>
      </c>
      <c r="EF122" s="2">
        <v>130</v>
      </c>
      <c r="EG122" s="2" t="s">
        <v>105</v>
      </c>
      <c r="EH122" s="2">
        <v>0</v>
      </c>
      <c r="EI122" s="2" t="s">
        <v>3</v>
      </c>
      <c r="EJ122" s="2">
        <v>3</v>
      </c>
      <c r="EK122" s="2">
        <v>746</v>
      </c>
      <c r="EL122" s="2" t="s">
        <v>106</v>
      </c>
      <c r="EM122" s="2" t="s">
        <v>107</v>
      </c>
      <c r="EN122" s="2"/>
      <c r="EO122" s="2" t="s">
        <v>3</v>
      </c>
      <c r="EP122" s="2"/>
      <c r="EQ122" s="2">
        <v>0</v>
      </c>
      <c r="ER122" s="2">
        <v>0</v>
      </c>
      <c r="ES122" s="2">
        <v>1253.05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>
        <v>0</v>
      </c>
      <c r="FR122" s="2">
        <f t="shared" si="139"/>
        <v>1253.05</v>
      </c>
      <c r="FS122" s="2">
        <v>0</v>
      </c>
      <c r="FT122" s="2"/>
      <c r="FU122" s="2"/>
      <c r="FV122" s="2"/>
      <c r="FW122" s="2"/>
      <c r="FX122" s="2">
        <v>0</v>
      </c>
      <c r="FY122" s="2">
        <v>0</v>
      </c>
      <c r="FZ122" s="2"/>
      <c r="GA122" s="2" t="s">
        <v>134</v>
      </c>
      <c r="GB122" s="2"/>
      <c r="GC122" s="2"/>
      <c r="GD122" s="2">
        <v>1</v>
      </c>
      <c r="GE122" s="2"/>
      <c r="GF122" s="2">
        <v>320934078</v>
      </c>
      <c r="GG122" s="2">
        <v>2</v>
      </c>
      <c r="GH122" s="2">
        <v>4</v>
      </c>
      <c r="GI122" s="2">
        <v>-2</v>
      </c>
      <c r="GJ122" s="2">
        <v>0</v>
      </c>
      <c r="GK122" s="2">
        <v>0</v>
      </c>
      <c r="GL122" s="2">
        <f t="shared" si="140"/>
        <v>0</v>
      </c>
      <c r="GM122" s="2">
        <f t="shared" si="141"/>
        <v>1253.05</v>
      </c>
      <c r="GN122" s="2">
        <f t="shared" si="142"/>
        <v>0</v>
      </c>
      <c r="GO122" s="2">
        <f t="shared" si="143"/>
        <v>0</v>
      </c>
      <c r="GP122" s="2">
        <f t="shared" si="144"/>
        <v>0</v>
      </c>
      <c r="GQ122" s="2"/>
      <c r="GR122" s="2">
        <v>0</v>
      </c>
      <c r="GS122" s="2">
        <v>2</v>
      </c>
      <c r="GT122" s="2">
        <v>0</v>
      </c>
      <c r="GU122" s="2" t="s">
        <v>3</v>
      </c>
      <c r="GV122" s="2">
        <f t="shared" si="145"/>
        <v>0</v>
      </c>
      <c r="GW122" s="2">
        <v>1</v>
      </c>
      <c r="GX122" s="2">
        <f t="shared" si="146"/>
        <v>0</v>
      </c>
      <c r="GY122" s="2"/>
      <c r="GZ122" s="2"/>
      <c r="HA122" s="2">
        <v>0</v>
      </c>
      <c r="HB122" s="2">
        <v>0</v>
      </c>
      <c r="HC122" s="2">
        <f t="shared" si="147"/>
        <v>0</v>
      </c>
      <c r="HD122" s="2"/>
      <c r="HE122" s="2" t="s">
        <v>34</v>
      </c>
      <c r="HF122" s="2" t="s">
        <v>126</v>
      </c>
      <c r="HG122" s="2"/>
      <c r="HH122" s="2"/>
      <c r="HI122" s="2"/>
      <c r="HJ122" s="2"/>
      <c r="HK122" s="2"/>
      <c r="HL122" s="2"/>
      <c r="HM122" s="2" t="s">
        <v>3</v>
      </c>
      <c r="HN122" s="2" t="s">
        <v>3</v>
      </c>
      <c r="HO122" s="2" t="s">
        <v>3</v>
      </c>
      <c r="HP122" s="2" t="s">
        <v>3</v>
      </c>
      <c r="HQ122" s="2" t="s">
        <v>3</v>
      </c>
      <c r="HR122" s="2"/>
      <c r="HS122" s="2">
        <v>0</v>
      </c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>
        <v>0</v>
      </c>
      <c r="IL122" s="2"/>
      <c r="IM122" s="2"/>
      <c r="IN122" s="2"/>
      <c r="IO122" s="2"/>
      <c r="IP122" s="2"/>
      <c r="IQ122" s="2"/>
      <c r="IR122" s="2"/>
      <c r="IS122" s="2"/>
      <c r="IT122" s="2"/>
      <c r="IU122" s="2"/>
    </row>
    <row r="123" spans="1:255" x14ac:dyDescent="0.2">
      <c r="A123">
        <v>17</v>
      </c>
      <c r="B123">
        <v>1</v>
      </c>
      <c r="E123" t="s">
        <v>131</v>
      </c>
      <c r="F123" t="s">
        <v>132</v>
      </c>
      <c r="G123" t="s">
        <v>133</v>
      </c>
      <c r="H123" t="s">
        <v>124</v>
      </c>
      <c r="I123">
        <v>1</v>
      </c>
      <c r="J123">
        <v>0</v>
      </c>
      <c r="K123">
        <v>1</v>
      </c>
      <c r="O123">
        <f t="shared" si="108"/>
        <v>9598.36</v>
      </c>
      <c r="P123">
        <f t="shared" si="109"/>
        <v>9598.36</v>
      </c>
      <c r="Q123">
        <f t="shared" si="110"/>
        <v>0</v>
      </c>
      <c r="R123">
        <f t="shared" si="111"/>
        <v>0</v>
      </c>
      <c r="S123">
        <f t="shared" si="112"/>
        <v>0</v>
      </c>
      <c r="T123">
        <f t="shared" si="113"/>
        <v>0</v>
      </c>
      <c r="U123">
        <f t="shared" si="114"/>
        <v>0</v>
      </c>
      <c r="V123">
        <f t="shared" si="115"/>
        <v>0</v>
      </c>
      <c r="W123">
        <f t="shared" si="116"/>
        <v>0</v>
      </c>
      <c r="X123">
        <f t="shared" si="117"/>
        <v>0</v>
      </c>
      <c r="Y123">
        <f t="shared" si="118"/>
        <v>0</v>
      </c>
      <c r="AA123">
        <v>59499215</v>
      </c>
      <c r="AB123">
        <f t="shared" si="119"/>
        <v>1253.05</v>
      </c>
      <c r="AC123">
        <f t="shared" si="120"/>
        <v>1253.05</v>
      </c>
      <c r="AD123">
        <f t="shared" si="121"/>
        <v>0</v>
      </c>
      <c r="AE123">
        <f t="shared" si="122"/>
        <v>0</v>
      </c>
      <c r="AF123">
        <f t="shared" si="123"/>
        <v>0</v>
      </c>
      <c r="AG123">
        <f t="shared" si="124"/>
        <v>0</v>
      </c>
      <c r="AH123">
        <f t="shared" si="125"/>
        <v>0</v>
      </c>
      <c r="AI123">
        <f t="shared" si="126"/>
        <v>0</v>
      </c>
      <c r="AJ123">
        <f t="shared" si="127"/>
        <v>0</v>
      </c>
      <c r="AK123">
        <v>1253.05</v>
      </c>
      <c r="AL123">
        <v>1253.05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1</v>
      </c>
      <c r="AZ123">
        <v>1</v>
      </c>
      <c r="BA123">
        <v>1</v>
      </c>
      <c r="BB123">
        <v>1</v>
      </c>
      <c r="BC123">
        <v>7.66</v>
      </c>
      <c r="BD123" t="s">
        <v>3</v>
      </c>
      <c r="BE123" t="s">
        <v>3</v>
      </c>
      <c r="BF123" t="s">
        <v>3</v>
      </c>
      <c r="BG123" t="s">
        <v>3</v>
      </c>
      <c r="BH123">
        <v>3</v>
      </c>
      <c r="BI123">
        <v>3</v>
      </c>
      <c r="BJ123" t="s">
        <v>3</v>
      </c>
      <c r="BM123">
        <v>746</v>
      </c>
      <c r="BN123">
        <v>0</v>
      </c>
      <c r="BO123" t="s">
        <v>3</v>
      </c>
      <c r="BP123">
        <v>0</v>
      </c>
      <c r="BQ123">
        <v>130</v>
      </c>
      <c r="BR123">
        <v>0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 t="s">
        <v>3</v>
      </c>
      <c r="BZ123">
        <v>0</v>
      </c>
      <c r="CA123">
        <v>0</v>
      </c>
      <c r="CB123" t="s">
        <v>3</v>
      </c>
      <c r="CE123">
        <v>1566</v>
      </c>
      <c r="CF123">
        <v>0</v>
      </c>
      <c r="CG123">
        <v>0</v>
      </c>
      <c r="CM123">
        <v>0</v>
      </c>
      <c r="CN123" t="s">
        <v>3</v>
      </c>
      <c r="CO123">
        <v>0</v>
      </c>
      <c r="CP123">
        <f t="shared" si="128"/>
        <v>9598.36</v>
      </c>
      <c r="CQ123">
        <f t="shared" si="129"/>
        <v>9598.36</v>
      </c>
      <c r="CR123">
        <f t="shared" si="130"/>
        <v>0</v>
      </c>
      <c r="CS123">
        <f t="shared" si="131"/>
        <v>0</v>
      </c>
      <c r="CT123">
        <f t="shared" si="132"/>
        <v>0</v>
      </c>
      <c r="CU123">
        <f t="shared" si="133"/>
        <v>0</v>
      </c>
      <c r="CV123">
        <f t="shared" si="134"/>
        <v>0</v>
      </c>
      <c r="CW123">
        <f t="shared" si="135"/>
        <v>0</v>
      </c>
      <c r="CX123">
        <f t="shared" si="136"/>
        <v>0</v>
      </c>
      <c r="CY123">
        <f t="shared" si="137"/>
        <v>0</v>
      </c>
      <c r="CZ123">
        <f t="shared" si="138"/>
        <v>0</v>
      </c>
      <c r="DC123" t="s">
        <v>3</v>
      </c>
      <c r="DD123" t="s">
        <v>3</v>
      </c>
      <c r="DE123" t="s">
        <v>3</v>
      </c>
      <c r="DF123" t="s">
        <v>3</v>
      </c>
      <c r="DG123" t="s">
        <v>3</v>
      </c>
      <c r="DH123" t="s">
        <v>3</v>
      </c>
      <c r="DI123" t="s">
        <v>3</v>
      </c>
      <c r="DJ123" t="s">
        <v>3</v>
      </c>
      <c r="DK123" t="s">
        <v>3</v>
      </c>
      <c r="DL123" t="s">
        <v>3</v>
      </c>
      <c r="DM123" t="s">
        <v>3</v>
      </c>
      <c r="DN123">
        <v>0</v>
      </c>
      <c r="DO123">
        <v>0</v>
      </c>
      <c r="DP123">
        <v>1</v>
      </c>
      <c r="DQ123">
        <v>1</v>
      </c>
      <c r="DU123">
        <v>1010</v>
      </c>
      <c r="DV123" t="s">
        <v>124</v>
      </c>
      <c r="DW123" t="s">
        <v>124</v>
      </c>
      <c r="DX123">
        <v>1</v>
      </c>
      <c r="DZ123" t="s">
        <v>3</v>
      </c>
      <c r="EA123" t="s">
        <v>3</v>
      </c>
      <c r="EB123" t="s">
        <v>3</v>
      </c>
      <c r="EC123" t="s">
        <v>3</v>
      </c>
      <c r="EE123">
        <v>59299131</v>
      </c>
      <c r="EF123">
        <v>130</v>
      </c>
      <c r="EG123" t="s">
        <v>105</v>
      </c>
      <c r="EH123">
        <v>0</v>
      </c>
      <c r="EI123" t="s">
        <v>3</v>
      </c>
      <c r="EJ123">
        <v>3</v>
      </c>
      <c r="EK123">
        <v>746</v>
      </c>
      <c r="EL123" t="s">
        <v>106</v>
      </c>
      <c r="EM123" t="s">
        <v>107</v>
      </c>
      <c r="EO123" t="s">
        <v>3</v>
      </c>
      <c r="EQ123">
        <v>0</v>
      </c>
      <c r="ER123">
        <v>1253.05</v>
      </c>
      <c r="ES123">
        <v>1253.05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5</v>
      </c>
      <c r="FC123">
        <v>1</v>
      </c>
      <c r="FD123">
        <v>18</v>
      </c>
      <c r="FF123">
        <v>11050</v>
      </c>
      <c r="FQ123">
        <v>0</v>
      </c>
      <c r="FR123">
        <f t="shared" si="139"/>
        <v>9598.36</v>
      </c>
      <c r="FS123">
        <v>0</v>
      </c>
      <c r="FX123">
        <v>0</v>
      </c>
      <c r="FY123">
        <v>0</v>
      </c>
      <c r="GA123" t="s">
        <v>134</v>
      </c>
      <c r="GD123">
        <v>1</v>
      </c>
      <c r="GF123">
        <v>320934078</v>
      </c>
      <c r="GG123">
        <v>2</v>
      </c>
      <c r="GH123">
        <v>3</v>
      </c>
      <c r="GI123">
        <v>3</v>
      </c>
      <c r="GJ123">
        <v>0</v>
      </c>
      <c r="GK123">
        <v>0</v>
      </c>
      <c r="GL123">
        <f t="shared" si="140"/>
        <v>0</v>
      </c>
      <c r="GM123">
        <f t="shared" si="141"/>
        <v>9598.36</v>
      </c>
      <c r="GN123">
        <f t="shared" si="142"/>
        <v>0</v>
      </c>
      <c r="GO123">
        <f t="shared" si="143"/>
        <v>0</v>
      </c>
      <c r="GP123">
        <f t="shared" si="144"/>
        <v>0</v>
      </c>
      <c r="GR123">
        <v>1</v>
      </c>
      <c r="GS123">
        <v>1</v>
      </c>
      <c r="GT123">
        <v>0</v>
      </c>
      <c r="GU123" t="s">
        <v>3</v>
      </c>
      <c r="GV123">
        <f t="shared" si="145"/>
        <v>0</v>
      </c>
      <c r="GW123">
        <v>1</v>
      </c>
      <c r="GX123">
        <f t="shared" si="146"/>
        <v>0</v>
      </c>
      <c r="HA123">
        <v>0</v>
      </c>
      <c r="HB123">
        <v>0</v>
      </c>
      <c r="HC123">
        <f t="shared" si="147"/>
        <v>0</v>
      </c>
      <c r="HE123" t="s">
        <v>34</v>
      </c>
      <c r="HF123" t="s">
        <v>126</v>
      </c>
      <c r="HM123" t="s">
        <v>3</v>
      </c>
      <c r="HN123" t="s">
        <v>3</v>
      </c>
      <c r="HO123" t="s">
        <v>3</v>
      </c>
      <c r="HP123" t="s">
        <v>3</v>
      </c>
      <c r="HQ123" t="s">
        <v>3</v>
      </c>
      <c r="HS123">
        <v>0</v>
      </c>
      <c r="IK123">
        <v>0</v>
      </c>
    </row>
    <row r="124" spans="1:255" x14ac:dyDescent="0.2">
      <c r="A124" s="2">
        <v>17</v>
      </c>
      <c r="B124" s="2">
        <v>1</v>
      </c>
      <c r="C124" s="2"/>
      <c r="D124" s="2"/>
      <c r="E124" s="2" t="s">
        <v>135</v>
      </c>
      <c r="F124" s="2" t="s">
        <v>136</v>
      </c>
      <c r="G124" s="2" t="s">
        <v>137</v>
      </c>
      <c r="H124" s="2" t="s">
        <v>124</v>
      </c>
      <c r="I124" s="2">
        <v>1</v>
      </c>
      <c r="J124" s="2">
        <v>0</v>
      </c>
      <c r="K124" s="2">
        <v>1</v>
      </c>
      <c r="L124" s="2"/>
      <c r="M124" s="2"/>
      <c r="N124" s="2"/>
      <c r="O124" s="2">
        <f t="shared" si="108"/>
        <v>1869.94</v>
      </c>
      <c r="P124" s="2">
        <f t="shared" si="109"/>
        <v>1869.94</v>
      </c>
      <c r="Q124" s="2">
        <f t="shared" si="110"/>
        <v>0</v>
      </c>
      <c r="R124" s="2">
        <f t="shared" si="111"/>
        <v>0</v>
      </c>
      <c r="S124" s="2">
        <f t="shared" si="112"/>
        <v>0</v>
      </c>
      <c r="T124" s="2">
        <f t="shared" si="113"/>
        <v>0</v>
      </c>
      <c r="U124" s="2">
        <f t="shared" si="114"/>
        <v>0</v>
      </c>
      <c r="V124" s="2">
        <f t="shared" si="115"/>
        <v>0</v>
      </c>
      <c r="W124" s="2">
        <f t="shared" si="116"/>
        <v>0</v>
      </c>
      <c r="X124" s="2">
        <f t="shared" si="117"/>
        <v>0</v>
      </c>
      <c r="Y124" s="2">
        <f t="shared" si="118"/>
        <v>0</v>
      </c>
      <c r="Z124" s="2"/>
      <c r="AA124" s="2">
        <v>59499218</v>
      </c>
      <c r="AB124" s="2">
        <f t="shared" si="119"/>
        <v>1869.94</v>
      </c>
      <c r="AC124" s="2">
        <f t="shared" si="120"/>
        <v>1869.94</v>
      </c>
      <c r="AD124" s="2">
        <f t="shared" si="121"/>
        <v>0</v>
      </c>
      <c r="AE124" s="2">
        <f t="shared" si="122"/>
        <v>0</v>
      </c>
      <c r="AF124" s="2">
        <f t="shared" si="123"/>
        <v>0</v>
      </c>
      <c r="AG124" s="2">
        <f t="shared" si="124"/>
        <v>0</v>
      </c>
      <c r="AH124" s="2">
        <f t="shared" si="125"/>
        <v>0</v>
      </c>
      <c r="AI124" s="2">
        <f t="shared" si="126"/>
        <v>0</v>
      </c>
      <c r="AJ124" s="2">
        <f t="shared" si="127"/>
        <v>0</v>
      </c>
      <c r="AK124" s="2">
        <v>1869.94</v>
      </c>
      <c r="AL124" s="2">
        <v>1869.94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1</v>
      </c>
      <c r="AW124" s="2">
        <v>1</v>
      </c>
      <c r="AX124" s="2"/>
      <c r="AY124" s="2"/>
      <c r="AZ124" s="2">
        <v>1</v>
      </c>
      <c r="BA124" s="2">
        <v>1</v>
      </c>
      <c r="BB124" s="2">
        <v>1</v>
      </c>
      <c r="BC124" s="2">
        <v>1</v>
      </c>
      <c r="BD124" s="2" t="s">
        <v>3</v>
      </c>
      <c r="BE124" s="2" t="s">
        <v>3</v>
      </c>
      <c r="BF124" s="2" t="s">
        <v>3</v>
      </c>
      <c r="BG124" s="2" t="s">
        <v>3</v>
      </c>
      <c r="BH124" s="2">
        <v>3</v>
      </c>
      <c r="BI124" s="2">
        <v>3</v>
      </c>
      <c r="BJ124" s="2" t="s">
        <v>3</v>
      </c>
      <c r="BK124" s="2"/>
      <c r="BL124" s="2"/>
      <c r="BM124" s="2">
        <v>746</v>
      </c>
      <c r="BN124" s="2">
        <v>0</v>
      </c>
      <c r="BO124" s="2" t="s">
        <v>3</v>
      </c>
      <c r="BP124" s="2">
        <v>0</v>
      </c>
      <c r="BQ124" s="2">
        <v>130</v>
      </c>
      <c r="BR124" s="2">
        <v>0</v>
      </c>
      <c r="BS124" s="2">
        <v>1</v>
      </c>
      <c r="BT124" s="2">
        <v>1</v>
      </c>
      <c r="BU124" s="2">
        <v>1</v>
      </c>
      <c r="BV124" s="2">
        <v>1</v>
      </c>
      <c r="BW124" s="2">
        <v>1</v>
      </c>
      <c r="BX124" s="2">
        <v>1</v>
      </c>
      <c r="BY124" s="2" t="s">
        <v>3</v>
      </c>
      <c r="BZ124" s="2">
        <v>0</v>
      </c>
      <c r="CA124" s="2">
        <v>0</v>
      </c>
      <c r="CB124" s="2" t="s">
        <v>3</v>
      </c>
      <c r="CC124" s="2"/>
      <c r="CD124" s="2"/>
      <c r="CE124" s="2">
        <v>1566</v>
      </c>
      <c r="CF124" s="2">
        <v>0</v>
      </c>
      <c r="CG124" s="2">
        <v>0</v>
      </c>
      <c r="CH124" s="2"/>
      <c r="CI124" s="2"/>
      <c r="CJ124" s="2"/>
      <c r="CK124" s="2"/>
      <c r="CL124" s="2"/>
      <c r="CM124" s="2">
        <v>0</v>
      </c>
      <c r="CN124" s="2" t="s">
        <v>3</v>
      </c>
      <c r="CO124" s="2">
        <v>0</v>
      </c>
      <c r="CP124" s="2">
        <f t="shared" si="128"/>
        <v>1869.94</v>
      </c>
      <c r="CQ124" s="2">
        <f t="shared" si="129"/>
        <v>1869.94</v>
      </c>
      <c r="CR124" s="2">
        <f t="shared" si="130"/>
        <v>0</v>
      </c>
      <c r="CS124" s="2">
        <f t="shared" si="131"/>
        <v>0</v>
      </c>
      <c r="CT124" s="2">
        <f t="shared" si="132"/>
        <v>0</v>
      </c>
      <c r="CU124" s="2">
        <f t="shared" si="133"/>
        <v>0</v>
      </c>
      <c r="CV124" s="2">
        <f t="shared" si="134"/>
        <v>0</v>
      </c>
      <c r="CW124" s="2">
        <f t="shared" si="135"/>
        <v>0</v>
      </c>
      <c r="CX124" s="2">
        <f t="shared" si="136"/>
        <v>0</v>
      </c>
      <c r="CY124" s="2">
        <f t="shared" si="137"/>
        <v>0</v>
      </c>
      <c r="CZ124" s="2">
        <f t="shared" si="138"/>
        <v>0</v>
      </c>
      <c r="DA124" s="2"/>
      <c r="DB124" s="2"/>
      <c r="DC124" s="2" t="s">
        <v>3</v>
      </c>
      <c r="DD124" s="2" t="s">
        <v>3</v>
      </c>
      <c r="DE124" s="2" t="s">
        <v>3</v>
      </c>
      <c r="DF124" s="2" t="s">
        <v>3</v>
      </c>
      <c r="DG124" s="2" t="s">
        <v>3</v>
      </c>
      <c r="DH124" s="2" t="s">
        <v>3</v>
      </c>
      <c r="DI124" s="2" t="s">
        <v>3</v>
      </c>
      <c r="DJ124" s="2" t="s">
        <v>3</v>
      </c>
      <c r="DK124" s="2" t="s">
        <v>3</v>
      </c>
      <c r="DL124" s="2" t="s">
        <v>3</v>
      </c>
      <c r="DM124" s="2" t="s">
        <v>3</v>
      </c>
      <c r="DN124" s="2">
        <v>0</v>
      </c>
      <c r="DO124" s="2">
        <v>0</v>
      </c>
      <c r="DP124" s="2">
        <v>1</v>
      </c>
      <c r="DQ124" s="2">
        <v>1</v>
      </c>
      <c r="DR124" s="2"/>
      <c r="DS124" s="2"/>
      <c r="DT124" s="2"/>
      <c r="DU124" s="2">
        <v>1010</v>
      </c>
      <c r="DV124" s="2" t="s">
        <v>124</v>
      </c>
      <c r="DW124" s="2" t="s">
        <v>124</v>
      </c>
      <c r="DX124" s="2">
        <v>1</v>
      </c>
      <c r="DY124" s="2"/>
      <c r="DZ124" s="2" t="s">
        <v>3</v>
      </c>
      <c r="EA124" s="2" t="s">
        <v>3</v>
      </c>
      <c r="EB124" s="2" t="s">
        <v>3</v>
      </c>
      <c r="EC124" s="2" t="s">
        <v>3</v>
      </c>
      <c r="ED124" s="2"/>
      <c r="EE124" s="2">
        <v>59299131</v>
      </c>
      <c r="EF124" s="2">
        <v>130</v>
      </c>
      <c r="EG124" s="2" t="s">
        <v>105</v>
      </c>
      <c r="EH124" s="2">
        <v>0</v>
      </c>
      <c r="EI124" s="2" t="s">
        <v>3</v>
      </c>
      <c r="EJ124" s="2">
        <v>3</v>
      </c>
      <c r="EK124" s="2">
        <v>746</v>
      </c>
      <c r="EL124" s="2" t="s">
        <v>106</v>
      </c>
      <c r="EM124" s="2" t="s">
        <v>107</v>
      </c>
      <c r="EN124" s="2"/>
      <c r="EO124" s="2" t="s">
        <v>3</v>
      </c>
      <c r="EP124" s="2"/>
      <c r="EQ124" s="2">
        <v>0</v>
      </c>
      <c r="ER124" s="2">
        <v>0</v>
      </c>
      <c r="ES124" s="2">
        <v>1869.94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>
        <v>0</v>
      </c>
      <c r="FR124" s="2">
        <f t="shared" si="139"/>
        <v>1869.94</v>
      </c>
      <c r="FS124" s="2">
        <v>0</v>
      </c>
      <c r="FT124" s="2"/>
      <c r="FU124" s="2"/>
      <c r="FV124" s="2"/>
      <c r="FW124" s="2"/>
      <c r="FX124" s="2">
        <v>0</v>
      </c>
      <c r="FY124" s="2">
        <v>0</v>
      </c>
      <c r="FZ124" s="2"/>
      <c r="GA124" s="2" t="s">
        <v>138</v>
      </c>
      <c r="GB124" s="2"/>
      <c r="GC124" s="2"/>
      <c r="GD124" s="2">
        <v>1</v>
      </c>
      <c r="GE124" s="2"/>
      <c r="GF124" s="2">
        <v>703989269</v>
      </c>
      <c r="GG124" s="2">
        <v>2</v>
      </c>
      <c r="GH124" s="2">
        <v>4</v>
      </c>
      <c r="GI124" s="2">
        <v>-2</v>
      </c>
      <c r="GJ124" s="2">
        <v>0</v>
      </c>
      <c r="GK124" s="2">
        <v>0</v>
      </c>
      <c r="GL124" s="2">
        <f t="shared" si="140"/>
        <v>0</v>
      </c>
      <c r="GM124" s="2">
        <f t="shared" si="141"/>
        <v>1869.94</v>
      </c>
      <c r="GN124" s="2">
        <f t="shared" si="142"/>
        <v>0</v>
      </c>
      <c r="GO124" s="2">
        <f t="shared" si="143"/>
        <v>0</v>
      </c>
      <c r="GP124" s="2">
        <f t="shared" si="144"/>
        <v>0</v>
      </c>
      <c r="GQ124" s="2"/>
      <c r="GR124" s="2">
        <v>0</v>
      </c>
      <c r="GS124" s="2">
        <v>2</v>
      </c>
      <c r="GT124" s="2">
        <v>0</v>
      </c>
      <c r="GU124" s="2" t="s">
        <v>3</v>
      </c>
      <c r="GV124" s="2">
        <f t="shared" si="145"/>
        <v>0</v>
      </c>
      <c r="GW124" s="2">
        <v>1</v>
      </c>
      <c r="GX124" s="2">
        <f t="shared" si="146"/>
        <v>0</v>
      </c>
      <c r="GY124" s="2"/>
      <c r="GZ124" s="2"/>
      <c r="HA124" s="2">
        <v>0</v>
      </c>
      <c r="HB124" s="2">
        <v>0</v>
      </c>
      <c r="HC124" s="2">
        <f t="shared" si="147"/>
        <v>0</v>
      </c>
      <c r="HD124" s="2"/>
      <c r="HE124" s="2" t="s">
        <v>34</v>
      </c>
      <c r="HF124" s="2" t="s">
        <v>126</v>
      </c>
      <c r="HG124" s="2"/>
      <c r="HH124" s="2"/>
      <c r="HI124" s="2"/>
      <c r="HJ124" s="2"/>
      <c r="HK124" s="2"/>
      <c r="HL124" s="2"/>
      <c r="HM124" s="2" t="s">
        <v>3</v>
      </c>
      <c r="HN124" s="2" t="s">
        <v>3</v>
      </c>
      <c r="HO124" s="2" t="s">
        <v>3</v>
      </c>
      <c r="HP124" s="2" t="s">
        <v>3</v>
      </c>
      <c r="HQ124" s="2" t="s">
        <v>3</v>
      </c>
      <c r="HR124" s="2"/>
      <c r="HS124" s="2">
        <v>0</v>
      </c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>
        <v>0</v>
      </c>
      <c r="IL124" s="2"/>
      <c r="IM124" s="2"/>
      <c r="IN124" s="2"/>
      <c r="IO124" s="2"/>
      <c r="IP124" s="2"/>
      <c r="IQ124" s="2"/>
      <c r="IR124" s="2"/>
      <c r="IS124" s="2"/>
      <c r="IT124" s="2"/>
      <c r="IU124" s="2"/>
    </row>
    <row r="125" spans="1:255" x14ac:dyDescent="0.2">
      <c r="A125">
        <v>17</v>
      </c>
      <c r="B125">
        <v>1</v>
      </c>
      <c r="E125" t="s">
        <v>135</v>
      </c>
      <c r="F125" t="s">
        <v>136</v>
      </c>
      <c r="G125" t="s">
        <v>137</v>
      </c>
      <c r="H125" t="s">
        <v>124</v>
      </c>
      <c r="I125">
        <v>1</v>
      </c>
      <c r="J125">
        <v>0</v>
      </c>
      <c r="K125">
        <v>1</v>
      </c>
      <c r="O125">
        <f t="shared" si="108"/>
        <v>14323.74</v>
      </c>
      <c r="P125">
        <f t="shared" si="109"/>
        <v>14323.74</v>
      </c>
      <c r="Q125">
        <f t="shared" si="110"/>
        <v>0</v>
      </c>
      <c r="R125">
        <f t="shared" si="111"/>
        <v>0</v>
      </c>
      <c r="S125">
        <f t="shared" si="112"/>
        <v>0</v>
      </c>
      <c r="T125">
        <f t="shared" si="113"/>
        <v>0</v>
      </c>
      <c r="U125">
        <f t="shared" si="114"/>
        <v>0</v>
      </c>
      <c r="V125">
        <f t="shared" si="115"/>
        <v>0</v>
      </c>
      <c r="W125">
        <f t="shared" si="116"/>
        <v>0</v>
      </c>
      <c r="X125">
        <f t="shared" si="117"/>
        <v>0</v>
      </c>
      <c r="Y125">
        <f t="shared" si="118"/>
        <v>0</v>
      </c>
      <c r="AA125">
        <v>59499215</v>
      </c>
      <c r="AB125">
        <f t="shared" si="119"/>
        <v>1869.94</v>
      </c>
      <c r="AC125">
        <f t="shared" si="120"/>
        <v>1869.94</v>
      </c>
      <c r="AD125">
        <f t="shared" si="121"/>
        <v>0</v>
      </c>
      <c r="AE125">
        <f t="shared" si="122"/>
        <v>0</v>
      </c>
      <c r="AF125">
        <f t="shared" si="123"/>
        <v>0</v>
      </c>
      <c r="AG125">
        <f t="shared" si="124"/>
        <v>0</v>
      </c>
      <c r="AH125">
        <f t="shared" si="125"/>
        <v>0</v>
      </c>
      <c r="AI125">
        <f t="shared" si="126"/>
        <v>0</v>
      </c>
      <c r="AJ125">
        <f t="shared" si="127"/>
        <v>0</v>
      </c>
      <c r="AK125">
        <v>1869.94</v>
      </c>
      <c r="AL125">
        <v>1869.94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1</v>
      </c>
      <c r="AZ125">
        <v>1</v>
      </c>
      <c r="BA125">
        <v>1</v>
      </c>
      <c r="BB125">
        <v>1</v>
      </c>
      <c r="BC125">
        <v>7.66</v>
      </c>
      <c r="BD125" t="s">
        <v>3</v>
      </c>
      <c r="BE125" t="s">
        <v>3</v>
      </c>
      <c r="BF125" t="s">
        <v>3</v>
      </c>
      <c r="BG125" t="s">
        <v>3</v>
      </c>
      <c r="BH125">
        <v>3</v>
      </c>
      <c r="BI125">
        <v>3</v>
      </c>
      <c r="BJ125" t="s">
        <v>3</v>
      </c>
      <c r="BM125">
        <v>746</v>
      </c>
      <c r="BN125">
        <v>0</v>
      </c>
      <c r="BO125" t="s">
        <v>3</v>
      </c>
      <c r="BP125">
        <v>0</v>
      </c>
      <c r="BQ125">
        <v>130</v>
      </c>
      <c r="BR125">
        <v>0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 t="s">
        <v>3</v>
      </c>
      <c r="BZ125">
        <v>0</v>
      </c>
      <c r="CA125">
        <v>0</v>
      </c>
      <c r="CB125" t="s">
        <v>3</v>
      </c>
      <c r="CE125">
        <v>1566</v>
      </c>
      <c r="CF125">
        <v>0</v>
      </c>
      <c r="CG125">
        <v>0</v>
      </c>
      <c r="CM125">
        <v>0</v>
      </c>
      <c r="CN125" t="s">
        <v>3</v>
      </c>
      <c r="CO125">
        <v>0</v>
      </c>
      <c r="CP125">
        <f t="shared" si="128"/>
        <v>14323.74</v>
      </c>
      <c r="CQ125">
        <f t="shared" si="129"/>
        <v>14323.74</v>
      </c>
      <c r="CR125">
        <f t="shared" si="130"/>
        <v>0</v>
      </c>
      <c r="CS125">
        <f t="shared" si="131"/>
        <v>0</v>
      </c>
      <c r="CT125">
        <f t="shared" si="132"/>
        <v>0</v>
      </c>
      <c r="CU125">
        <f t="shared" si="133"/>
        <v>0</v>
      </c>
      <c r="CV125">
        <f t="shared" si="134"/>
        <v>0</v>
      </c>
      <c r="CW125">
        <f t="shared" si="135"/>
        <v>0</v>
      </c>
      <c r="CX125">
        <f t="shared" si="136"/>
        <v>0</v>
      </c>
      <c r="CY125">
        <f t="shared" si="137"/>
        <v>0</v>
      </c>
      <c r="CZ125">
        <f t="shared" si="138"/>
        <v>0</v>
      </c>
      <c r="DC125" t="s">
        <v>3</v>
      </c>
      <c r="DD125" t="s">
        <v>3</v>
      </c>
      <c r="DE125" t="s">
        <v>3</v>
      </c>
      <c r="DF125" t="s">
        <v>3</v>
      </c>
      <c r="DG125" t="s">
        <v>3</v>
      </c>
      <c r="DH125" t="s">
        <v>3</v>
      </c>
      <c r="DI125" t="s">
        <v>3</v>
      </c>
      <c r="DJ125" t="s">
        <v>3</v>
      </c>
      <c r="DK125" t="s">
        <v>3</v>
      </c>
      <c r="DL125" t="s">
        <v>3</v>
      </c>
      <c r="DM125" t="s">
        <v>3</v>
      </c>
      <c r="DN125">
        <v>0</v>
      </c>
      <c r="DO125">
        <v>0</v>
      </c>
      <c r="DP125">
        <v>1</v>
      </c>
      <c r="DQ125">
        <v>1</v>
      </c>
      <c r="DU125">
        <v>1010</v>
      </c>
      <c r="DV125" t="s">
        <v>124</v>
      </c>
      <c r="DW125" t="s">
        <v>124</v>
      </c>
      <c r="DX125">
        <v>1</v>
      </c>
      <c r="DZ125" t="s">
        <v>3</v>
      </c>
      <c r="EA125" t="s">
        <v>3</v>
      </c>
      <c r="EB125" t="s">
        <v>3</v>
      </c>
      <c r="EC125" t="s">
        <v>3</v>
      </c>
      <c r="EE125">
        <v>59299131</v>
      </c>
      <c r="EF125">
        <v>130</v>
      </c>
      <c r="EG125" t="s">
        <v>105</v>
      </c>
      <c r="EH125">
        <v>0</v>
      </c>
      <c r="EI125" t="s">
        <v>3</v>
      </c>
      <c r="EJ125">
        <v>3</v>
      </c>
      <c r="EK125">
        <v>746</v>
      </c>
      <c r="EL125" t="s">
        <v>106</v>
      </c>
      <c r="EM125" t="s">
        <v>107</v>
      </c>
      <c r="EO125" t="s">
        <v>3</v>
      </c>
      <c r="EQ125">
        <v>0</v>
      </c>
      <c r="ER125">
        <v>1869.94</v>
      </c>
      <c r="ES125">
        <v>1869.94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5</v>
      </c>
      <c r="FC125">
        <v>1</v>
      </c>
      <c r="FD125">
        <v>18</v>
      </c>
      <c r="FF125">
        <v>16490</v>
      </c>
      <c r="FQ125">
        <v>0</v>
      </c>
      <c r="FR125">
        <f t="shared" si="139"/>
        <v>14323.74</v>
      </c>
      <c r="FS125">
        <v>0</v>
      </c>
      <c r="FX125">
        <v>0</v>
      </c>
      <c r="FY125">
        <v>0</v>
      </c>
      <c r="GA125" t="s">
        <v>138</v>
      </c>
      <c r="GD125">
        <v>1</v>
      </c>
      <c r="GF125">
        <v>703989269</v>
      </c>
      <c r="GG125">
        <v>2</v>
      </c>
      <c r="GH125">
        <v>3</v>
      </c>
      <c r="GI125">
        <v>3</v>
      </c>
      <c r="GJ125">
        <v>0</v>
      </c>
      <c r="GK125">
        <v>0</v>
      </c>
      <c r="GL125">
        <f t="shared" si="140"/>
        <v>0</v>
      </c>
      <c r="GM125">
        <f t="shared" si="141"/>
        <v>14323.74</v>
      </c>
      <c r="GN125">
        <f t="shared" si="142"/>
        <v>0</v>
      </c>
      <c r="GO125">
        <f t="shared" si="143"/>
        <v>0</v>
      </c>
      <c r="GP125">
        <f t="shared" si="144"/>
        <v>0</v>
      </c>
      <c r="GR125">
        <v>1</v>
      </c>
      <c r="GS125">
        <v>1</v>
      </c>
      <c r="GT125">
        <v>0</v>
      </c>
      <c r="GU125" t="s">
        <v>3</v>
      </c>
      <c r="GV125">
        <f t="shared" si="145"/>
        <v>0</v>
      </c>
      <c r="GW125">
        <v>1</v>
      </c>
      <c r="GX125">
        <f t="shared" si="146"/>
        <v>0</v>
      </c>
      <c r="HA125">
        <v>0</v>
      </c>
      <c r="HB125">
        <v>0</v>
      </c>
      <c r="HC125">
        <f t="shared" si="147"/>
        <v>0</v>
      </c>
      <c r="HE125" t="s">
        <v>34</v>
      </c>
      <c r="HF125" t="s">
        <v>126</v>
      </c>
      <c r="HM125" t="s">
        <v>3</v>
      </c>
      <c r="HN125" t="s">
        <v>3</v>
      </c>
      <c r="HO125" t="s">
        <v>3</v>
      </c>
      <c r="HP125" t="s">
        <v>3</v>
      </c>
      <c r="HQ125" t="s">
        <v>3</v>
      </c>
      <c r="HS125">
        <v>0</v>
      </c>
      <c r="IK125">
        <v>0</v>
      </c>
    </row>
    <row r="126" spans="1:255" x14ac:dyDescent="0.2">
      <c r="A126" s="2">
        <v>17</v>
      </c>
      <c r="B126" s="2">
        <v>1</v>
      </c>
      <c r="C126" s="2"/>
      <c r="D126" s="2"/>
      <c r="E126" s="2" t="s">
        <v>139</v>
      </c>
      <c r="F126" s="2" t="s">
        <v>140</v>
      </c>
      <c r="G126" s="2" t="s">
        <v>141</v>
      </c>
      <c r="H126" s="2" t="s">
        <v>124</v>
      </c>
      <c r="I126" s="2">
        <v>1</v>
      </c>
      <c r="J126" s="2">
        <v>0</v>
      </c>
      <c r="K126" s="2">
        <v>1</v>
      </c>
      <c r="L126" s="2"/>
      <c r="M126" s="2"/>
      <c r="N126" s="2"/>
      <c r="O126" s="2">
        <f t="shared" si="108"/>
        <v>605.54999999999995</v>
      </c>
      <c r="P126" s="2">
        <f t="shared" si="109"/>
        <v>605.54999999999995</v>
      </c>
      <c r="Q126" s="2">
        <f t="shared" si="110"/>
        <v>0</v>
      </c>
      <c r="R126" s="2">
        <f t="shared" si="111"/>
        <v>0</v>
      </c>
      <c r="S126" s="2">
        <f t="shared" si="112"/>
        <v>0</v>
      </c>
      <c r="T126" s="2">
        <f t="shared" si="113"/>
        <v>0</v>
      </c>
      <c r="U126" s="2">
        <f t="shared" si="114"/>
        <v>0</v>
      </c>
      <c r="V126" s="2">
        <f t="shared" si="115"/>
        <v>0</v>
      </c>
      <c r="W126" s="2">
        <f t="shared" si="116"/>
        <v>0</v>
      </c>
      <c r="X126" s="2">
        <f t="shared" si="117"/>
        <v>0</v>
      </c>
      <c r="Y126" s="2">
        <f t="shared" si="118"/>
        <v>0</v>
      </c>
      <c r="Z126" s="2"/>
      <c r="AA126" s="2">
        <v>59499218</v>
      </c>
      <c r="AB126" s="2">
        <f t="shared" si="119"/>
        <v>605.54999999999995</v>
      </c>
      <c r="AC126" s="2">
        <f t="shared" si="120"/>
        <v>605.54999999999995</v>
      </c>
      <c r="AD126" s="2">
        <f t="shared" si="121"/>
        <v>0</v>
      </c>
      <c r="AE126" s="2">
        <f t="shared" si="122"/>
        <v>0</v>
      </c>
      <c r="AF126" s="2">
        <f t="shared" si="123"/>
        <v>0</v>
      </c>
      <c r="AG126" s="2">
        <f t="shared" si="124"/>
        <v>0</v>
      </c>
      <c r="AH126" s="2">
        <f t="shared" si="125"/>
        <v>0</v>
      </c>
      <c r="AI126" s="2">
        <f t="shared" si="126"/>
        <v>0</v>
      </c>
      <c r="AJ126" s="2">
        <f t="shared" si="127"/>
        <v>0</v>
      </c>
      <c r="AK126" s="2">
        <v>605.54999999999995</v>
      </c>
      <c r="AL126" s="2">
        <v>605.54999999999995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1</v>
      </c>
      <c r="AW126" s="2">
        <v>1</v>
      </c>
      <c r="AX126" s="2"/>
      <c r="AY126" s="2"/>
      <c r="AZ126" s="2">
        <v>1</v>
      </c>
      <c r="BA126" s="2">
        <v>1</v>
      </c>
      <c r="BB126" s="2">
        <v>1</v>
      </c>
      <c r="BC126" s="2">
        <v>1</v>
      </c>
      <c r="BD126" s="2" t="s">
        <v>3</v>
      </c>
      <c r="BE126" s="2" t="s">
        <v>3</v>
      </c>
      <c r="BF126" s="2" t="s">
        <v>3</v>
      </c>
      <c r="BG126" s="2" t="s">
        <v>3</v>
      </c>
      <c r="BH126" s="2">
        <v>3</v>
      </c>
      <c r="BI126" s="2">
        <v>3</v>
      </c>
      <c r="BJ126" s="2" t="s">
        <v>3</v>
      </c>
      <c r="BK126" s="2"/>
      <c r="BL126" s="2"/>
      <c r="BM126" s="2">
        <v>746</v>
      </c>
      <c r="BN126" s="2">
        <v>0</v>
      </c>
      <c r="BO126" s="2" t="s">
        <v>3</v>
      </c>
      <c r="BP126" s="2">
        <v>0</v>
      </c>
      <c r="BQ126" s="2">
        <v>130</v>
      </c>
      <c r="BR126" s="2">
        <v>0</v>
      </c>
      <c r="BS126" s="2">
        <v>1</v>
      </c>
      <c r="BT126" s="2">
        <v>1</v>
      </c>
      <c r="BU126" s="2">
        <v>1</v>
      </c>
      <c r="BV126" s="2">
        <v>1</v>
      </c>
      <c r="BW126" s="2">
        <v>1</v>
      </c>
      <c r="BX126" s="2">
        <v>1</v>
      </c>
      <c r="BY126" s="2" t="s">
        <v>3</v>
      </c>
      <c r="BZ126" s="2">
        <v>0</v>
      </c>
      <c r="CA126" s="2">
        <v>0</v>
      </c>
      <c r="CB126" s="2" t="s">
        <v>3</v>
      </c>
      <c r="CC126" s="2"/>
      <c r="CD126" s="2"/>
      <c r="CE126" s="2">
        <v>1566</v>
      </c>
      <c r="CF126" s="2">
        <v>0</v>
      </c>
      <c r="CG126" s="2">
        <v>0</v>
      </c>
      <c r="CH126" s="2"/>
      <c r="CI126" s="2"/>
      <c r="CJ126" s="2"/>
      <c r="CK126" s="2"/>
      <c r="CL126" s="2"/>
      <c r="CM126" s="2">
        <v>0</v>
      </c>
      <c r="CN126" s="2" t="s">
        <v>3</v>
      </c>
      <c r="CO126" s="2">
        <v>0</v>
      </c>
      <c r="CP126" s="2">
        <f t="shared" si="128"/>
        <v>605.54999999999995</v>
      </c>
      <c r="CQ126" s="2">
        <f t="shared" si="129"/>
        <v>605.54999999999995</v>
      </c>
      <c r="CR126" s="2">
        <f t="shared" si="130"/>
        <v>0</v>
      </c>
      <c r="CS126" s="2">
        <f t="shared" si="131"/>
        <v>0</v>
      </c>
      <c r="CT126" s="2">
        <f t="shared" si="132"/>
        <v>0</v>
      </c>
      <c r="CU126" s="2">
        <f t="shared" si="133"/>
        <v>0</v>
      </c>
      <c r="CV126" s="2">
        <f t="shared" si="134"/>
        <v>0</v>
      </c>
      <c r="CW126" s="2">
        <f t="shared" si="135"/>
        <v>0</v>
      </c>
      <c r="CX126" s="2">
        <f t="shared" si="136"/>
        <v>0</v>
      </c>
      <c r="CY126" s="2">
        <f t="shared" si="137"/>
        <v>0</v>
      </c>
      <c r="CZ126" s="2">
        <f t="shared" si="138"/>
        <v>0</v>
      </c>
      <c r="DA126" s="2"/>
      <c r="DB126" s="2"/>
      <c r="DC126" s="2" t="s">
        <v>3</v>
      </c>
      <c r="DD126" s="2" t="s">
        <v>3</v>
      </c>
      <c r="DE126" s="2" t="s">
        <v>3</v>
      </c>
      <c r="DF126" s="2" t="s">
        <v>3</v>
      </c>
      <c r="DG126" s="2" t="s">
        <v>3</v>
      </c>
      <c r="DH126" s="2" t="s">
        <v>3</v>
      </c>
      <c r="DI126" s="2" t="s">
        <v>3</v>
      </c>
      <c r="DJ126" s="2" t="s">
        <v>3</v>
      </c>
      <c r="DK126" s="2" t="s">
        <v>3</v>
      </c>
      <c r="DL126" s="2" t="s">
        <v>3</v>
      </c>
      <c r="DM126" s="2" t="s">
        <v>3</v>
      </c>
      <c r="DN126" s="2">
        <v>0</v>
      </c>
      <c r="DO126" s="2">
        <v>0</v>
      </c>
      <c r="DP126" s="2">
        <v>1</v>
      </c>
      <c r="DQ126" s="2">
        <v>1</v>
      </c>
      <c r="DR126" s="2"/>
      <c r="DS126" s="2"/>
      <c r="DT126" s="2"/>
      <c r="DU126" s="2">
        <v>1010</v>
      </c>
      <c r="DV126" s="2" t="s">
        <v>124</v>
      </c>
      <c r="DW126" s="2" t="s">
        <v>124</v>
      </c>
      <c r="DX126" s="2">
        <v>1</v>
      </c>
      <c r="DY126" s="2"/>
      <c r="DZ126" s="2" t="s">
        <v>3</v>
      </c>
      <c r="EA126" s="2" t="s">
        <v>3</v>
      </c>
      <c r="EB126" s="2" t="s">
        <v>3</v>
      </c>
      <c r="EC126" s="2" t="s">
        <v>3</v>
      </c>
      <c r="ED126" s="2"/>
      <c r="EE126" s="2">
        <v>59299131</v>
      </c>
      <c r="EF126" s="2">
        <v>130</v>
      </c>
      <c r="EG126" s="2" t="s">
        <v>105</v>
      </c>
      <c r="EH126" s="2">
        <v>0</v>
      </c>
      <c r="EI126" s="2" t="s">
        <v>3</v>
      </c>
      <c r="EJ126" s="2">
        <v>3</v>
      </c>
      <c r="EK126" s="2">
        <v>746</v>
      </c>
      <c r="EL126" s="2" t="s">
        <v>106</v>
      </c>
      <c r="EM126" s="2" t="s">
        <v>107</v>
      </c>
      <c r="EN126" s="2"/>
      <c r="EO126" s="2" t="s">
        <v>3</v>
      </c>
      <c r="EP126" s="2"/>
      <c r="EQ126" s="2">
        <v>0</v>
      </c>
      <c r="ER126" s="2">
        <v>0</v>
      </c>
      <c r="ES126" s="2">
        <v>605.54999999999995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>
        <v>0</v>
      </c>
      <c r="FR126" s="2">
        <f t="shared" si="139"/>
        <v>605.54999999999995</v>
      </c>
      <c r="FS126" s="2">
        <v>0</v>
      </c>
      <c r="FT126" s="2"/>
      <c r="FU126" s="2"/>
      <c r="FV126" s="2"/>
      <c r="FW126" s="2"/>
      <c r="FX126" s="2">
        <v>0</v>
      </c>
      <c r="FY126" s="2">
        <v>0</v>
      </c>
      <c r="FZ126" s="2"/>
      <c r="GA126" s="2" t="s">
        <v>142</v>
      </c>
      <c r="GB126" s="2"/>
      <c r="GC126" s="2"/>
      <c r="GD126" s="2">
        <v>1</v>
      </c>
      <c r="GE126" s="2"/>
      <c r="GF126" s="2">
        <v>1544061745</v>
      </c>
      <c r="GG126" s="2">
        <v>2</v>
      </c>
      <c r="GH126" s="2">
        <v>4</v>
      </c>
      <c r="GI126" s="2">
        <v>-2</v>
      </c>
      <c r="GJ126" s="2">
        <v>0</v>
      </c>
      <c r="GK126" s="2">
        <v>0</v>
      </c>
      <c r="GL126" s="2">
        <f t="shared" si="140"/>
        <v>0</v>
      </c>
      <c r="GM126" s="2">
        <f t="shared" si="141"/>
        <v>605.54999999999995</v>
      </c>
      <c r="GN126" s="2">
        <f t="shared" si="142"/>
        <v>0</v>
      </c>
      <c r="GO126" s="2">
        <f t="shared" si="143"/>
        <v>0</v>
      </c>
      <c r="GP126" s="2">
        <f t="shared" si="144"/>
        <v>0</v>
      </c>
      <c r="GQ126" s="2"/>
      <c r="GR126" s="2">
        <v>0</v>
      </c>
      <c r="GS126" s="2">
        <v>2</v>
      </c>
      <c r="GT126" s="2">
        <v>0</v>
      </c>
      <c r="GU126" s="2" t="s">
        <v>3</v>
      </c>
      <c r="GV126" s="2">
        <f t="shared" si="145"/>
        <v>0</v>
      </c>
      <c r="GW126" s="2">
        <v>1</v>
      </c>
      <c r="GX126" s="2">
        <f t="shared" si="146"/>
        <v>0</v>
      </c>
      <c r="GY126" s="2"/>
      <c r="GZ126" s="2"/>
      <c r="HA126" s="2">
        <v>0</v>
      </c>
      <c r="HB126" s="2">
        <v>0</v>
      </c>
      <c r="HC126" s="2">
        <f t="shared" si="147"/>
        <v>0</v>
      </c>
      <c r="HD126" s="2"/>
      <c r="HE126" s="2" t="s">
        <v>34</v>
      </c>
      <c r="HF126" s="2" t="s">
        <v>126</v>
      </c>
      <c r="HG126" s="2"/>
      <c r="HH126" s="2"/>
      <c r="HI126" s="2"/>
      <c r="HJ126" s="2"/>
      <c r="HK126" s="2"/>
      <c r="HL126" s="2"/>
      <c r="HM126" s="2" t="s">
        <v>3</v>
      </c>
      <c r="HN126" s="2" t="s">
        <v>3</v>
      </c>
      <c r="HO126" s="2" t="s">
        <v>3</v>
      </c>
      <c r="HP126" s="2" t="s">
        <v>3</v>
      </c>
      <c r="HQ126" s="2" t="s">
        <v>3</v>
      </c>
      <c r="HR126" s="2"/>
      <c r="HS126" s="2">
        <v>0</v>
      </c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>
        <v>0</v>
      </c>
      <c r="IL126" s="2"/>
      <c r="IM126" s="2"/>
      <c r="IN126" s="2"/>
      <c r="IO126" s="2"/>
      <c r="IP126" s="2"/>
      <c r="IQ126" s="2"/>
      <c r="IR126" s="2"/>
      <c r="IS126" s="2"/>
      <c r="IT126" s="2"/>
      <c r="IU126" s="2"/>
    </row>
    <row r="127" spans="1:255" x14ac:dyDescent="0.2">
      <c r="A127">
        <v>17</v>
      </c>
      <c r="B127">
        <v>1</v>
      </c>
      <c r="E127" t="s">
        <v>139</v>
      </c>
      <c r="F127" t="s">
        <v>140</v>
      </c>
      <c r="G127" t="s">
        <v>141</v>
      </c>
      <c r="H127" t="s">
        <v>124</v>
      </c>
      <c r="I127">
        <v>1</v>
      </c>
      <c r="J127">
        <v>0</v>
      </c>
      <c r="K127">
        <v>1</v>
      </c>
      <c r="O127">
        <f t="shared" si="108"/>
        <v>4638.51</v>
      </c>
      <c r="P127">
        <f t="shared" si="109"/>
        <v>4638.51</v>
      </c>
      <c r="Q127">
        <f t="shared" si="110"/>
        <v>0</v>
      </c>
      <c r="R127">
        <f t="shared" si="111"/>
        <v>0</v>
      </c>
      <c r="S127">
        <f t="shared" si="112"/>
        <v>0</v>
      </c>
      <c r="T127">
        <f t="shared" si="113"/>
        <v>0</v>
      </c>
      <c r="U127">
        <f t="shared" si="114"/>
        <v>0</v>
      </c>
      <c r="V127">
        <f t="shared" si="115"/>
        <v>0</v>
      </c>
      <c r="W127">
        <f t="shared" si="116"/>
        <v>0</v>
      </c>
      <c r="X127">
        <f t="shared" si="117"/>
        <v>0</v>
      </c>
      <c r="Y127">
        <f t="shared" si="118"/>
        <v>0</v>
      </c>
      <c r="AA127">
        <v>59499215</v>
      </c>
      <c r="AB127">
        <f t="shared" si="119"/>
        <v>605.54999999999995</v>
      </c>
      <c r="AC127">
        <f t="shared" si="120"/>
        <v>605.54999999999995</v>
      </c>
      <c r="AD127">
        <f t="shared" si="121"/>
        <v>0</v>
      </c>
      <c r="AE127">
        <f t="shared" si="122"/>
        <v>0</v>
      </c>
      <c r="AF127">
        <f t="shared" si="123"/>
        <v>0</v>
      </c>
      <c r="AG127">
        <f t="shared" si="124"/>
        <v>0</v>
      </c>
      <c r="AH127">
        <f t="shared" si="125"/>
        <v>0</v>
      </c>
      <c r="AI127">
        <f t="shared" si="126"/>
        <v>0</v>
      </c>
      <c r="AJ127">
        <f t="shared" si="127"/>
        <v>0</v>
      </c>
      <c r="AK127">
        <v>605.54999999999995</v>
      </c>
      <c r="AL127">
        <v>605.54999999999995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1</v>
      </c>
      <c r="AZ127">
        <v>1</v>
      </c>
      <c r="BA127">
        <v>1</v>
      </c>
      <c r="BB127">
        <v>1</v>
      </c>
      <c r="BC127">
        <v>7.66</v>
      </c>
      <c r="BD127" t="s">
        <v>3</v>
      </c>
      <c r="BE127" t="s">
        <v>3</v>
      </c>
      <c r="BF127" t="s">
        <v>3</v>
      </c>
      <c r="BG127" t="s">
        <v>3</v>
      </c>
      <c r="BH127">
        <v>3</v>
      </c>
      <c r="BI127">
        <v>3</v>
      </c>
      <c r="BJ127" t="s">
        <v>3</v>
      </c>
      <c r="BM127">
        <v>746</v>
      </c>
      <c r="BN127">
        <v>0</v>
      </c>
      <c r="BO127" t="s">
        <v>3</v>
      </c>
      <c r="BP127">
        <v>0</v>
      </c>
      <c r="BQ127">
        <v>130</v>
      </c>
      <c r="BR127">
        <v>0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 t="s">
        <v>3</v>
      </c>
      <c r="BZ127">
        <v>0</v>
      </c>
      <c r="CA127">
        <v>0</v>
      </c>
      <c r="CB127" t="s">
        <v>3</v>
      </c>
      <c r="CE127">
        <v>1566</v>
      </c>
      <c r="CF127">
        <v>0</v>
      </c>
      <c r="CG127">
        <v>0</v>
      </c>
      <c r="CM127">
        <v>0</v>
      </c>
      <c r="CN127" t="s">
        <v>3</v>
      </c>
      <c r="CO127">
        <v>0</v>
      </c>
      <c r="CP127">
        <f t="shared" si="128"/>
        <v>4638.51</v>
      </c>
      <c r="CQ127">
        <f t="shared" si="129"/>
        <v>4638.51</v>
      </c>
      <c r="CR127">
        <f t="shared" si="130"/>
        <v>0</v>
      </c>
      <c r="CS127">
        <f t="shared" si="131"/>
        <v>0</v>
      </c>
      <c r="CT127">
        <f t="shared" si="132"/>
        <v>0</v>
      </c>
      <c r="CU127">
        <f t="shared" si="133"/>
        <v>0</v>
      </c>
      <c r="CV127">
        <f t="shared" si="134"/>
        <v>0</v>
      </c>
      <c r="CW127">
        <f t="shared" si="135"/>
        <v>0</v>
      </c>
      <c r="CX127">
        <f t="shared" si="136"/>
        <v>0</v>
      </c>
      <c r="CY127">
        <f t="shared" si="137"/>
        <v>0</v>
      </c>
      <c r="CZ127">
        <f t="shared" si="138"/>
        <v>0</v>
      </c>
      <c r="DC127" t="s">
        <v>3</v>
      </c>
      <c r="DD127" t="s">
        <v>3</v>
      </c>
      <c r="DE127" t="s">
        <v>3</v>
      </c>
      <c r="DF127" t="s">
        <v>3</v>
      </c>
      <c r="DG127" t="s">
        <v>3</v>
      </c>
      <c r="DH127" t="s">
        <v>3</v>
      </c>
      <c r="DI127" t="s">
        <v>3</v>
      </c>
      <c r="DJ127" t="s">
        <v>3</v>
      </c>
      <c r="DK127" t="s">
        <v>3</v>
      </c>
      <c r="DL127" t="s">
        <v>3</v>
      </c>
      <c r="DM127" t="s">
        <v>3</v>
      </c>
      <c r="DN127">
        <v>0</v>
      </c>
      <c r="DO127">
        <v>0</v>
      </c>
      <c r="DP127">
        <v>1</v>
      </c>
      <c r="DQ127">
        <v>1</v>
      </c>
      <c r="DU127">
        <v>1010</v>
      </c>
      <c r="DV127" t="s">
        <v>124</v>
      </c>
      <c r="DW127" t="s">
        <v>124</v>
      </c>
      <c r="DX127">
        <v>1</v>
      </c>
      <c r="DZ127" t="s">
        <v>3</v>
      </c>
      <c r="EA127" t="s">
        <v>3</v>
      </c>
      <c r="EB127" t="s">
        <v>3</v>
      </c>
      <c r="EC127" t="s">
        <v>3</v>
      </c>
      <c r="EE127">
        <v>59299131</v>
      </c>
      <c r="EF127">
        <v>130</v>
      </c>
      <c r="EG127" t="s">
        <v>105</v>
      </c>
      <c r="EH127">
        <v>0</v>
      </c>
      <c r="EI127" t="s">
        <v>3</v>
      </c>
      <c r="EJ127">
        <v>3</v>
      </c>
      <c r="EK127">
        <v>746</v>
      </c>
      <c r="EL127" t="s">
        <v>106</v>
      </c>
      <c r="EM127" t="s">
        <v>107</v>
      </c>
      <c r="EO127" t="s">
        <v>3</v>
      </c>
      <c r="EQ127">
        <v>0</v>
      </c>
      <c r="ER127">
        <v>605.54999999999995</v>
      </c>
      <c r="ES127">
        <v>605.54999999999995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5</v>
      </c>
      <c r="FC127">
        <v>1</v>
      </c>
      <c r="FD127">
        <v>18</v>
      </c>
      <c r="FF127">
        <v>5340</v>
      </c>
      <c r="FQ127">
        <v>0</v>
      </c>
      <c r="FR127">
        <f t="shared" si="139"/>
        <v>4638.51</v>
      </c>
      <c r="FS127">
        <v>0</v>
      </c>
      <c r="FX127">
        <v>0</v>
      </c>
      <c r="FY127">
        <v>0</v>
      </c>
      <c r="GA127" t="s">
        <v>142</v>
      </c>
      <c r="GD127">
        <v>1</v>
      </c>
      <c r="GF127">
        <v>1544061745</v>
      </c>
      <c r="GG127">
        <v>2</v>
      </c>
      <c r="GH127">
        <v>3</v>
      </c>
      <c r="GI127">
        <v>3</v>
      </c>
      <c r="GJ127">
        <v>0</v>
      </c>
      <c r="GK127">
        <v>0</v>
      </c>
      <c r="GL127">
        <f t="shared" si="140"/>
        <v>0</v>
      </c>
      <c r="GM127">
        <f t="shared" si="141"/>
        <v>4638.51</v>
      </c>
      <c r="GN127">
        <f t="shared" si="142"/>
        <v>0</v>
      </c>
      <c r="GO127">
        <f t="shared" si="143"/>
        <v>0</v>
      </c>
      <c r="GP127">
        <f t="shared" si="144"/>
        <v>0</v>
      </c>
      <c r="GR127">
        <v>1</v>
      </c>
      <c r="GS127">
        <v>1</v>
      </c>
      <c r="GT127">
        <v>0</v>
      </c>
      <c r="GU127" t="s">
        <v>3</v>
      </c>
      <c r="GV127">
        <f t="shared" si="145"/>
        <v>0</v>
      </c>
      <c r="GW127">
        <v>1</v>
      </c>
      <c r="GX127">
        <f t="shared" si="146"/>
        <v>0</v>
      </c>
      <c r="HA127">
        <v>0</v>
      </c>
      <c r="HB127">
        <v>0</v>
      </c>
      <c r="HC127">
        <f t="shared" si="147"/>
        <v>0</v>
      </c>
      <c r="HE127" t="s">
        <v>34</v>
      </c>
      <c r="HF127" t="s">
        <v>126</v>
      </c>
      <c r="HM127" t="s">
        <v>3</v>
      </c>
      <c r="HN127" t="s">
        <v>3</v>
      </c>
      <c r="HO127" t="s">
        <v>3</v>
      </c>
      <c r="HP127" t="s">
        <v>3</v>
      </c>
      <c r="HQ127" t="s">
        <v>3</v>
      </c>
      <c r="HS127">
        <v>0</v>
      </c>
      <c r="IK127">
        <v>0</v>
      </c>
    </row>
    <row r="128" spans="1:255" x14ac:dyDescent="0.2">
      <c r="A128" s="2">
        <v>17</v>
      </c>
      <c r="B128" s="2">
        <v>1</v>
      </c>
      <c r="C128" s="2"/>
      <c r="D128" s="2"/>
      <c r="E128" s="2" t="s">
        <v>143</v>
      </c>
      <c r="F128" s="2" t="s">
        <v>144</v>
      </c>
      <c r="G128" s="2" t="s">
        <v>145</v>
      </c>
      <c r="H128" s="2" t="s">
        <v>124</v>
      </c>
      <c r="I128" s="2">
        <v>1</v>
      </c>
      <c r="J128" s="2">
        <v>0</v>
      </c>
      <c r="K128" s="2">
        <v>1</v>
      </c>
      <c r="L128" s="2"/>
      <c r="M128" s="2"/>
      <c r="N128" s="2"/>
      <c r="O128" s="2">
        <f t="shared" si="108"/>
        <v>514.26</v>
      </c>
      <c r="P128" s="2">
        <f t="shared" si="109"/>
        <v>514.26</v>
      </c>
      <c r="Q128" s="2">
        <f t="shared" si="110"/>
        <v>0</v>
      </c>
      <c r="R128" s="2">
        <f t="shared" si="111"/>
        <v>0</v>
      </c>
      <c r="S128" s="2">
        <f t="shared" si="112"/>
        <v>0</v>
      </c>
      <c r="T128" s="2">
        <f t="shared" si="113"/>
        <v>0</v>
      </c>
      <c r="U128" s="2">
        <f t="shared" si="114"/>
        <v>0</v>
      </c>
      <c r="V128" s="2">
        <f t="shared" si="115"/>
        <v>0</v>
      </c>
      <c r="W128" s="2">
        <f t="shared" si="116"/>
        <v>0</v>
      </c>
      <c r="X128" s="2">
        <f t="shared" si="117"/>
        <v>0</v>
      </c>
      <c r="Y128" s="2">
        <f t="shared" si="118"/>
        <v>0</v>
      </c>
      <c r="Z128" s="2"/>
      <c r="AA128" s="2">
        <v>59499218</v>
      </c>
      <c r="AB128" s="2">
        <f t="shared" si="119"/>
        <v>514.26</v>
      </c>
      <c r="AC128" s="2">
        <f t="shared" si="120"/>
        <v>514.26</v>
      </c>
      <c r="AD128" s="2">
        <f t="shared" si="121"/>
        <v>0</v>
      </c>
      <c r="AE128" s="2">
        <f t="shared" si="122"/>
        <v>0</v>
      </c>
      <c r="AF128" s="2">
        <f t="shared" si="123"/>
        <v>0</v>
      </c>
      <c r="AG128" s="2">
        <f t="shared" si="124"/>
        <v>0</v>
      </c>
      <c r="AH128" s="2">
        <f t="shared" si="125"/>
        <v>0</v>
      </c>
      <c r="AI128" s="2">
        <f t="shared" si="126"/>
        <v>0</v>
      </c>
      <c r="AJ128" s="2">
        <f t="shared" si="127"/>
        <v>0</v>
      </c>
      <c r="AK128" s="2">
        <v>514.26</v>
      </c>
      <c r="AL128" s="2">
        <v>514.26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1</v>
      </c>
      <c r="AW128" s="2">
        <v>1</v>
      </c>
      <c r="AX128" s="2"/>
      <c r="AY128" s="2"/>
      <c r="AZ128" s="2">
        <v>1</v>
      </c>
      <c r="BA128" s="2">
        <v>1</v>
      </c>
      <c r="BB128" s="2">
        <v>1</v>
      </c>
      <c r="BC128" s="2">
        <v>1</v>
      </c>
      <c r="BD128" s="2" t="s">
        <v>3</v>
      </c>
      <c r="BE128" s="2" t="s">
        <v>3</v>
      </c>
      <c r="BF128" s="2" t="s">
        <v>3</v>
      </c>
      <c r="BG128" s="2" t="s">
        <v>3</v>
      </c>
      <c r="BH128" s="2">
        <v>3</v>
      </c>
      <c r="BI128" s="2">
        <v>3</v>
      </c>
      <c r="BJ128" s="2" t="s">
        <v>3</v>
      </c>
      <c r="BK128" s="2"/>
      <c r="BL128" s="2"/>
      <c r="BM128" s="2">
        <v>746</v>
      </c>
      <c r="BN128" s="2">
        <v>0</v>
      </c>
      <c r="BO128" s="2" t="s">
        <v>3</v>
      </c>
      <c r="BP128" s="2">
        <v>0</v>
      </c>
      <c r="BQ128" s="2">
        <v>130</v>
      </c>
      <c r="BR128" s="2">
        <v>0</v>
      </c>
      <c r="BS128" s="2">
        <v>1</v>
      </c>
      <c r="BT128" s="2">
        <v>1</v>
      </c>
      <c r="BU128" s="2">
        <v>1</v>
      </c>
      <c r="BV128" s="2">
        <v>1</v>
      </c>
      <c r="BW128" s="2">
        <v>1</v>
      </c>
      <c r="BX128" s="2">
        <v>1</v>
      </c>
      <c r="BY128" s="2" t="s">
        <v>3</v>
      </c>
      <c r="BZ128" s="2">
        <v>0</v>
      </c>
      <c r="CA128" s="2">
        <v>0</v>
      </c>
      <c r="CB128" s="2" t="s">
        <v>3</v>
      </c>
      <c r="CC128" s="2"/>
      <c r="CD128" s="2"/>
      <c r="CE128" s="2">
        <v>1566</v>
      </c>
      <c r="CF128" s="2">
        <v>0</v>
      </c>
      <c r="CG128" s="2">
        <v>0</v>
      </c>
      <c r="CH128" s="2"/>
      <c r="CI128" s="2"/>
      <c r="CJ128" s="2"/>
      <c r="CK128" s="2"/>
      <c r="CL128" s="2"/>
      <c r="CM128" s="2">
        <v>0</v>
      </c>
      <c r="CN128" s="2" t="s">
        <v>3</v>
      </c>
      <c r="CO128" s="2">
        <v>0</v>
      </c>
      <c r="CP128" s="2">
        <f t="shared" si="128"/>
        <v>514.26</v>
      </c>
      <c r="CQ128" s="2">
        <f t="shared" si="129"/>
        <v>514.26</v>
      </c>
      <c r="CR128" s="2">
        <f t="shared" si="130"/>
        <v>0</v>
      </c>
      <c r="CS128" s="2">
        <f t="shared" si="131"/>
        <v>0</v>
      </c>
      <c r="CT128" s="2">
        <f t="shared" si="132"/>
        <v>0</v>
      </c>
      <c r="CU128" s="2">
        <f t="shared" si="133"/>
        <v>0</v>
      </c>
      <c r="CV128" s="2">
        <f t="shared" si="134"/>
        <v>0</v>
      </c>
      <c r="CW128" s="2">
        <f t="shared" si="135"/>
        <v>0</v>
      </c>
      <c r="CX128" s="2">
        <f t="shared" si="136"/>
        <v>0</v>
      </c>
      <c r="CY128" s="2">
        <f t="shared" si="137"/>
        <v>0</v>
      </c>
      <c r="CZ128" s="2">
        <f t="shared" si="138"/>
        <v>0</v>
      </c>
      <c r="DA128" s="2"/>
      <c r="DB128" s="2"/>
      <c r="DC128" s="2" t="s">
        <v>3</v>
      </c>
      <c r="DD128" s="2" t="s">
        <v>3</v>
      </c>
      <c r="DE128" s="2" t="s">
        <v>3</v>
      </c>
      <c r="DF128" s="2" t="s">
        <v>3</v>
      </c>
      <c r="DG128" s="2" t="s">
        <v>3</v>
      </c>
      <c r="DH128" s="2" t="s">
        <v>3</v>
      </c>
      <c r="DI128" s="2" t="s">
        <v>3</v>
      </c>
      <c r="DJ128" s="2" t="s">
        <v>3</v>
      </c>
      <c r="DK128" s="2" t="s">
        <v>3</v>
      </c>
      <c r="DL128" s="2" t="s">
        <v>3</v>
      </c>
      <c r="DM128" s="2" t="s">
        <v>3</v>
      </c>
      <c r="DN128" s="2">
        <v>0</v>
      </c>
      <c r="DO128" s="2">
        <v>0</v>
      </c>
      <c r="DP128" s="2">
        <v>1</v>
      </c>
      <c r="DQ128" s="2">
        <v>1</v>
      </c>
      <c r="DR128" s="2"/>
      <c r="DS128" s="2"/>
      <c r="DT128" s="2"/>
      <c r="DU128" s="2">
        <v>1010</v>
      </c>
      <c r="DV128" s="2" t="s">
        <v>124</v>
      </c>
      <c r="DW128" s="2" t="s">
        <v>124</v>
      </c>
      <c r="DX128" s="2">
        <v>1</v>
      </c>
      <c r="DY128" s="2"/>
      <c r="DZ128" s="2" t="s">
        <v>3</v>
      </c>
      <c r="EA128" s="2" t="s">
        <v>3</v>
      </c>
      <c r="EB128" s="2" t="s">
        <v>3</v>
      </c>
      <c r="EC128" s="2" t="s">
        <v>3</v>
      </c>
      <c r="ED128" s="2"/>
      <c r="EE128" s="2">
        <v>59299131</v>
      </c>
      <c r="EF128" s="2">
        <v>130</v>
      </c>
      <c r="EG128" s="2" t="s">
        <v>105</v>
      </c>
      <c r="EH128" s="2">
        <v>0</v>
      </c>
      <c r="EI128" s="2" t="s">
        <v>3</v>
      </c>
      <c r="EJ128" s="2">
        <v>3</v>
      </c>
      <c r="EK128" s="2">
        <v>746</v>
      </c>
      <c r="EL128" s="2" t="s">
        <v>106</v>
      </c>
      <c r="EM128" s="2" t="s">
        <v>107</v>
      </c>
      <c r="EN128" s="2"/>
      <c r="EO128" s="2" t="s">
        <v>3</v>
      </c>
      <c r="EP128" s="2"/>
      <c r="EQ128" s="2">
        <v>0</v>
      </c>
      <c r="ER128" s="2">
        <v>0</v>
      </c>
      <c r="ES128" s="2">
        <v>514.26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>
        <v>0</v>
      </c>
      <c r="FR128" s="2">
        <f t="shared" si="139"/>
        <v>514.26</v>
      </c>
      <c r="FS128" s="2">
        <v>0</v>
      </c>
      <c r="FT128" s="2"/>
      <c r="FU128" s="2"/>
      <c r="FV128" s="2"/>
      <c r="FW128" s="2"/>
      <c r="FX128" s="2">
        <v>0</v>
      </c>
      <c r="FY128" s="2">
        <v>0</v>
      </c>
      <c r="FZ128" s="2"/>
      <c r="GA128" s="2" t="s">
        <v>146</v>
      </c>
      <c r="GB128" s="2"/>
      <c r="GC128" s="2"/>
      <c r="GD128" s="2">
        <v>1</v>
      </c>
      <c r="GE128" s="2"/>
      <c r="GF128" s="2">
        <v>1595785961</v>
      </c>
      <c r="GG128" s="2">
        <v>2</v>
      </c>
      <c r="GH128" s="2">
        <v>4</v>
      </c>
      <c r="GI128" s="2">
        <v>-2</v>
      </c>
      <c r="GJ128" s="2">
        <v>0</v>
      </c>
      <c r="GK128" s="2">
        <v>0</v>
      </c>
      <c r="GL128" s="2">
        <f t="shared" si="140"/>
        <v>0</v>
      </c>
      <c r="GM128" s="2">
        <f t="shared" si="141"/>
        <v>514.26</v>
      </c>
      <c r="GN128" s="2">
        <f t="shared" si="142"/>
        <v>0</v>
      </c>
      <c r="GO128" s="2">
        <f t="shared" si="143"/>
        <v>0</v>
      </c>
      <c r="GP128" s="2">
        <f t="shared" si="144"/>
        <v>0</v>
      </c>
      <c r="GQ128" s="2"/>
      <c r="GR128" s="2">
        <v>0</v>
      </c>
      <c r="GS128" s="2">
        <v>2</v>
      </c>
      <c r="GT128" s="2">
        <v>0</v>
      </c>
      <c r="GU128" s="2" t="s">
        <v>3</v>
      </c>
      <c r="GV128" s="2">
        <f t="shared" si="145"/>
        <v>0</v>
      </c>
      <c r="GW128" s="2">
        <v>1</v>
      </c>
      <c r="GX128" s="2">
        <f t="shared" si="146"/>
        <v>0</v>
      </c>
      <c r="GY128" s="2"/>
      <c r="GZ128" s="2"/>
      <c r="HA128" s="2">
        <v>0</v>
      </c>
      <c r="HB128" s="2">
        <v>0</v>
      </c>
      <c r="HC128" s="2">
        <f t="shared" si="147"/>
        <v>0</v>
      </c>
      <c r="HD128" s="2"/>
      <c r="HE128" s="2" t="s">
        <v>34</v>
      </c>
      <c r="HF128" s="2" t="s">
        <v>126</v>
      </c>
      <c r="HG128" s="2"/>
      <c r="HH128" s="2"/>
      <c r="HI128" s="2"/>
      <c r="HJ128" s="2"/>
      <c r="HK128" s="2"/>
      <c r="HL128" s="2"/>
      <c r="HM128" s="2" t="s">
        <v>3</v>
      </c>
      <c r="HN128" s="2" t="s">
        <v>3</v>
      </c>
      <c r="HO128" s="2" t="s">
        <v>3</v>
      </c>
      <c r="HP128" s="2" t="s">
        <v>3</v>
      </c>
      <c r="HQ128" s="2" t="s">
        <v>3</v>
      </c>
      <c r="HR128" s="2"/>
      <c r="HS128" s="2">
        <v>0</v>
      </c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>
        <v>0</v>
      </c>
      <c r="IL128" s="2"/>
      <c r="IM128" s="2"/>
      <c r="IN128" s="2"/>
      <c r="IO128" s="2"/>
      <c r="IP128" s="2"/>
      <c r="IQ128" s="2"/>
      <c r="IR128" s="2"/>
      <c r="IS128" s="2"/>
      <c r="IT128" s="2"/>
      <c r="IU128" s="2"/>
    </row>
    <row r="129" spans="1:245" x14ac:dyDescent="0.2">
      <c r="A129">
        <v>17</v>
      </c>
      <c r="B129">
        <v>1</v>
      </c>
      <c r="E129" t="s">
        <v>143</v>
      </c>
      <c r="F129" t="s">
        <v>144</v>
      </c>
      <c r="G129" t="s">
        <v>145</v>
      </c>
      <c r="H129" t="s">
        <v>124</v>
      </c>
      <c r="I129">
        <v>1</v>
      </c>
      <c r="J129">
        <v>0</v>
      </c>
      <c r="K129">
        <v>1</v>
      </c>
      <c r="O129">
        <f t="shared" si="108"/>
        <v>3939.23</v>
      </c>
      <c r="P129">
        <f t="shared" si="109"/>
        <v>3939.23</v>
      </c>
      <c r="Q129">
        <f t="shared" si="110"/>
        <v>0</v>
      </c>
      <c r="R129">
        <f t="shared" si="111"/>
        <v>0</v>
      </c>
      <c r="S129">
        <f t="shared" si="112"/>
        <v>0</v>
      </c>
      <c r="T129">
        <f t="shared" si="113"/>
        <v>0</v>
      </c>
      <c r="U129">
        <f t="shared" si="114"/>
        <v>0</v>
      </c>
      <c r="V129">
        <f t="shared" si="115"/>
        <v>0</v>
      </c>
      <c r="W129">
        <f t="shared" si="116"/>
        <v>0</v>
      </c>
      <c r="X129">
        <f t="shared" si="117"/>
        <v>0</v>
      </c>
      <c r="Y129">
        <f t="shared" si="118"/>
        <v>0</v>
      </c>
      <c r="AA129">
        <v>59499215</v>
      </c>
      <c r="AB129">
        <f t="shared" si="119"/>
        <v>514.26</v>
      </c>
      <c r="AC129">
        <f t="shared" si="120"/>
        <v>514.26</v>
      </c>
      <c r="AD129">
        <f t="shared" si="121"/>
        <v>0</v>
      </c>
      <c r="AE129">
        <f t="shared" si="122"/>
        <v>0</v>
      </c>
      <c r="AF129">
        <f t="shared" si="123"/>
        <v>0</v>
      </c>
      <c r="AG129">
        <f t="shared" si="124"/>
        <v>0</v>
      </c>
      <c r="AH129">
        <f t="shared" si="125"/>
        <v>0</v>
      </c>
      <c r="AI129">
        <f t="shared" si="126"/>
        <v>0</v>
      </c>
      <c r="AJ129">
        <f t="shared" si="127"/>
        <v>0</v>
      </c>
      <c r="AK129">
        <v>514.26</v>
      </c>
      <c r="AL129">
        <v>514.26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1</v>
      </c>
      <c r="AZ129">
        <v>1</v>
      </c>
      <c r="BA129">
        <v>1</v>
      </c>
      <c r="BB129">
        <v>1</v>
      </c>
      <c r="BC129">
        <v>7.66</v>
      </c>
      <c r="BD129" t="s">
        <v>3</v>
      </c>
      <c r="BE129" t="s">
        <v>3</v>
      </c>
      <c r="BF129" t="s">
        <v>3</v>
      </c>
      <c r="BG129" t="s">
        <v>3</v>
      </c>
      <c r="BH129">
        <v>3</v>
      </c>
      <c r="BI129">
        <v>3</v>
      </c>
      <c r="BJ129" t="s">
        <v>3</v>
      </c>
      <c r="BM129">
        <v>746</v>
      </c>
      <c r="BN129">
        <v>0</v>
      </c>
      <c r="BO129" t="s">
        <v>3</v>
      </c>
      <c r="BP129">
        <v>0</v>
      </c>
      <c r="BQ129">
        <v>130</v>
      </c>
      <c r="BR129">
        <v>0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 t="s">
        <v>3</v>
      </c>
      <c r="BZ129">
        <v>0</v>
      </c>
      <c r="CA129">
        <v>0</v>
      </c>
      <c r="CB129" t="s">
        <v>3</v>
      </c>
      <c r="CE129">
        <v>1566</v>
      </c>
      <c r="CF129">
        <v>0</v>
      </c>
      <c r="CG129">
        <v>0</v>
      </c>
      <c r="CM129">
        <v>0</v>
      </c>
      <c r="CN129" t="s">
        <v>3</v>
      </c>
      <c r="CO129">
        <v>0</v>
      </c>
      <c r="CP129">
        <f t="shared" si="128"/>
        <v>3939.23</v>
      </c>
      <c r="CQ129">
        <f t="shared" si="129"/>
        <v>3939.23</v>
      </c>
      <c r="CR129">
        <f t="shared" si="130"/>
        <v>0</v>
      </c>
      <c r="CS129">
        <f t="shared" si="131"/>
        <v>0</v>
      </c>
      <c r="CT129">
        <f t="shared" si="132"/>
        <v>0</v>
      </c>
      <c r="CU129">
        <f t="shared" si="133"/>
        <v>0</v>
      </c>
      <c r="CV129">
        <f t="shared" si="134"/>
        <v>0</v>
      </c>
      <c r="CW129">
        <f t="shared" si="135"/>
        <v>0</v>
      </c>
      <c r="CX129">
        <f t="shared" si="136"/>
        <v>0</v>
      </c>
      <c r="CY129">
        <f t="shared" si="137"/>
        <v>0</v>
      </c>
      <c r="CZ129">
        <f t="shared" si="138"/>
        <v>0</v>
      </c>
      <c r="DC129" t="s">
        <v>3</v>
      </c>
      <c r="DD129" t="s">
        <v>3</v>
      </c>
      <c r="DE129" t="s">
        <v>3</v>
      </c>
      <c r="DF129" t="s">
        <v>3</v>
      </c>
      <c r="DG129" t="s">
        <v>3</v>
      </c>
      <c r="DH129" t="s">
        <v>3</v>
      </c>
      <c r="DI129" t="s">
        <v>3</v>
      </c>
      <c r="DJ129" t="s">
        <v>3</v>
      </c>
      <c r="DK129" t="s">
        <v>3</v>
      </c>
      <c r="DL129" t="s">
        <v>3</v>
      </c>
      <c r="DM129" t="s">
        <v>3</v>
      </c>
      <c r="DN129">
        <v>0</v>
      </c>
      <c r="DO129">
        <v>0</v>
      </c>
      <c r="DP129">
        <v>1</v>
      </c>
      <c r="DQ129">
        <v>1</v>
      </c>
      <c r="DU129">
        <v>1010</v>
      </c>
      <c r="DV129" t="s">
        <v>124</v>
      </c>
      <c r="DW129" t="s">
        <v>124</v>
      </c>
      <c r="DX129">
        <v>1</v>
      </c>
      <c r="DZ129" t="s">
        <v>3</v>
      </c>
      <c r="EA129" t="s">
        <v>3</v>
      </c>
      <c r="EB129" t="s">
        <v>3</v>
      </c>
      <c r="EC129" t="s">
        <v>3</v>
      </c>
      <c r="EE129">
        <v>59299131</v>
      </c>
      <c r="EF129">
        <v>130</v>
      </c>
      <c r="EG129" t="s">
        <v>105</v>
      </c>
      <c r="EH129">
        <v>0</v>
      </c>
      <c r="EI129" t="s">
        <v>3</v>
      </c>
      <c r="EJ129">
        <v>3</v>
      </c>
      <c r="EK129">
        <v>746</v>
      </c>
      <c r="EL129" t="s">
        <v>106</v>
      </c>
      <c r="EM129" t="s">
        <v>107</v>
      </c>
      <c r="EO129" t="s">
        <v>3</v>
      </c>
      <c r="EQ129">
        <v>0</v>
      </c>
      <c r="ER129">
        <v>514.26</v>
      </c>
      <c r="ES129">
        <v>514.26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5</v>
      </c>
      <c r="FC129">
        <v>1</v>
      </c>
      <c r="FD129">
        <v>18</v>
      </c>
      <c r="FF129">
        <v>4535</v>
      </c>
      <c r="FQ129">
        <v>0</v>
      </c>
      <c r="FR129">
        <f t="shared" si="139"/>
        <v>3939.23</v>
      </c>
      <c r="FS129">
        <v>0</v>
      </c>
      <c r="FX129">
        <v>0</v>
      </c>
      <c r="FY129">
        <v>0</v>
      </c>
      <c r="GA129" t="s">
        <v>146</v>
      </c>
      <c r="GD129">
        <v>1</v>
      </c>
      <c r="GF129">
        <v>1595785961</v>
      </c>
      <c r="GG129">
        <v>2</v>
      </c>
      <c r="GH129">
        <v>3</v>
      </c>
      <c r="GI129">
        <v>3</v>
      </c>
      <c r="GJ129">
        <v>0</v>
      </c>
      <c r="GK129">
        <v>0</v>
      </c>
      <c r="GL129">
        <f t="shared" si="140"/>
        <v>0</v>
      </c>
      <c r="GM129">
        <f t="shared" si="141"/>
        <v>3939.23</v>
      </c>
      <c r="GN129">
        <f t="shared" si="142"/>
        <v>0</v>
      </c>
      <c r="GO129">
        <f t="shared" si="143"/>
        <v>0</v>
      </c>
      <c r="GP129">
        <f t="shared" si="144"/>
        <v>0</v>
      </c>
      <c r="GR129">
        <v>1</v>
      </c>
      <c r="GS129">
        <v>1</v>
      </c>
      <c r="GT129">
        <v>0</v>
      </c>
      <c r="GU129" t="s">
        <v>3</v>
      </c>
      <c r="GV129">
        <f t="shared" si="145"/>
        <v>0</v>
      </c>
      <c r="GW129">
        <v>1</v>
      </c>
      <c r="GX129">
        <f t="shared" si="146"/>
        <v>0</v>
      </c>
      <c r="HA129">
        <v>0</v>
      </c>
      <c r="HB129">
        <v>0</v>
      </c>
      <c r="HC129">
        <f t="shared" si="147"/>
        <v>0</v>
      </c>
      <c r="HE129" t="s">
        <v>34</v>
      </c>
      <c r="HF129" t="s">
        <v>126</v>
      </c>
      <c r="HM129" t="s">
        <v>3</v>
      </c>
      <c r="HN129" t="s">
        <v>3</v>
      </c>
      <c r="HO129" t="s">
        <v>3</v>
      </c>
      <c r="HP129" t="s">
        <v>3</v>
      </c>
      <c r="HQ129" t="s">
        <v>3</v>
      </c>
      <c r="HS129">
        <v>0</v>
      </c>
      <c r="IK129">
        <v>0</v>
      </c>
    </row>
    <row r="131" spans="1:245" x14ac:dyDescent="0.2">
      <c r="A131" s="3">
        <v>51</v>
      </c>
      <c r="B131" s="3">
        <f>B114</f>
        <v>1</v>
      </c>
      <c r="C131" s="3">
        <f>A114</f>
        <v>4</v>
      </c>
      <c r="D131" s="3">
        <f>ROW(A114)</f>
        <v>114</v>
      </c>
      <c r="E131" s="3"/>
      <c r="F131" s="3" t="str">
        <f>IF(F114&lt;&gt;"",F114,"")</f>
        <v/>
      </c>
      <c r="G131" s="3" t="str">
        <f>IF(G114&lt;&gt;"",G114,"")</f>
        <v>Оборудование, облагаемое НДС</v>
      </c>
      <c r="H131" s="3">
        <v>0</v>
      </c>
      <c r="I131" s="3"/>
      <c r="J131" s="3"/>
      <c r="K131" s="3"/>
      <c r="L131" s="3"/>
      <c r="M131" s="3"/>
      <c r="N131" s="3"/>
      <c r="O131" s="3">
        <f t="shared" ref="O131:T131" si="148">ROUND(AB131,2)</f>
        <v>15190.53</v>
      </c>
      <c r="P131" s="3">
        <f t="shared" si="148"/>
        <v>15190.53</v>
      </c>
      <c r="Q131" s="3">
        <f t="shared" si="148"/>
        <v>0</v>
      </c>
      <c r="R131" s="3">
        <f t="shared" si="148"/>
        <v>0</v>
      </c>
      <c r="S131" s="3">
        <f t="shared" si="148"/>
        <v>0</v>
      </c>
      <c r="T131" s="3">
        <f t="shared" si="148"/>
        <v>0</v>
      </c>
      <c r="U131" s="3">
        <f>AH131</f>
        <v>0</v>
      </c>
      <c r="V131" s="3">
        <f>AI131</f>
        <v>0</v>
      </c>
      <c r="W131" s="3">
        <f>ROUND(AJ131,2)</f>
        <v>0</v>
      </c>
      <c r="X131" s="3">
        <f>ROUND(AK131,2)</f>
        <v>0</v>
      </c>
      <c r="Y131" s="3">
        <f>ROUND(AL131,2)</f>
        <v>0</v>
      </c>
      <c r="Z131" s="3"/>
      <c r="AA131" s="3"/>
      <c r="AB131" s="3">
        <f>ROUND(SUMIF(AA118:AA129,"=59499218",O118:O129),2)</f>
        <v>15190.53</v>
      </c>
      <c r="AC131" s="3">
        <f>ROUND(SUMIF(AA118:AA129,"=59499218",P118:P129),2)</f>
        <v>15190.53</v>
      </c>
      <c r="AD131" s="3">
        <f>ROUND(SUMIF(AA118:AA129,"=59499218",Q118:Q129),2)</f>
        <v>0</v>
      </c>
      <c r="AE131" s="3">
        <f>ROUND(SUMIF(AA118:AA129,"=59499218",R118:R129),2)</f>
        <v>0</v>
      </c>
      <c r="AF131" s="3">
        <f>ROUND(SUMIF(AA118:AA129,"=59499218",S118:S129),2)</f>
        <v>0</v>
      </c>
      <c r="AG131" s="3">
        <f>ROUND(SUMIF(AA118:AA129,"=59499218",T118:T129),2)</f>
        <v>0</v>
      </c>
      <c r="AH131" s="3">
        <f>SUMIF(AA118:AA129,"=59499218",U118:U129)</f>
        <v>0</v>
      </c>
      <c r="AI131" s="3">
        <f>SUMIF(AA118:AA129,"=59499218",V118:V129)</f>
        <v>0</v>
      </c>
      <c r="AJ131" s="3">
        <f>ROUND(SUMIF(AA118:AA129,"=59499218",W118:W129),2)</f>
        <v>0</v>
      </c>
      <c r="AK131" s="3">
        <f>ROUND(SUMIF(AA118:AA129,"=59499218",X118:X129),2)</f>
        <v>0</v>
      </c>
      <c r="AL131" s="3">
        <f>ROUND(SUMIF(AA118:AA129,"=59499218",Y118:Y129),2)</f>
        <v>0</v>
      </c>
      <c r="AM131" s="3"/>
      <c r="AN131" s="3"/>
      <c r="AO131" s="3">
        <f t="shared" ref="AO131:BD131" si="149">ROUND(BX131,2)</f>
        <v>0</v>
      </c>
      <c r="AP131" s="3">
        <f t="shared" si="149"/>
        <v>15190.53</v>
      </c>
      <c r="AQ131" s="3">
        <f t="shared" si="149"/>
        <v>0</v>
      </c>
      <c r="AR131" s="3">
        <f t="shared" si="149"/>
        <v>15190.53</v>
      </c>
      <c r="AS131" s="3">
        <f t="shared" si="149"/>
        <v>0</v>
      </c>
      <c r="AT131" s="3">
        <f t="shared" si="149"/>
        <v>0</v>
      </c>
      <c r="AU131" s="3">
        <f t="shared" si="149"/>
        <v>0</v>
      </c>
      <c r="AV131" s="3">
        <f t="shared" si="149"/>
        <v>15190.53</v>
      </c>
      <c r="AW131" s="3">
        <f t="shared" si="149"/>
        <v>0</v>
      </c>
      <c r="AX131" s="3">
        <f t="shared" si="149"/>
        <v>0</v>
      </c>
      <c r="AY131" s="3">
        <f t="shared" si="149"/>
        <v>0</v>
      </c>
      <c r="AZ131" s="3">
        <f t="shared" si="149"/>
        <v>15190.53</v>
      </c>
      <c r="BA131" s="3">
        <f t="shared" si="149"/>
        <v>0</v>
      </c>
      <c r="BB131" s="3">
        <f t="shared" si="149"/>
        <v>0</v>
      </c>
      <c r="BC131" s="3">
        <f t="shared" si="149"/>
        <v>0</v>
      </c>
      <c r="BD131" s="3">
        <f t="shared" si="149"/>
        <v>0</v>
      </c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>
        <f>ROUND(SUMIF(AA118:AA129,"=59499218",FQ118:FQ129),2)</f>
        <v>0</v>
      </c>
      <c r="BY131" s="3">
        <f>ROUND(SUMIF(AA118:AA129,"=59499218",FR118:FR129),2)</f>
        <v>15190.53</v>
      </c>
      <c r="BZ131" s="3">
        <f>ROUND(SUMIF(AA118:AA129,"=59499218",GL118:GL129),2)</f>
        <v>0</v>
      </c>
      <c r="CA131" s="3">
        <f>ROUND(SUMIF(AA118:AA129,"=59499218",GM118:GM129),2)</f>
        <v>15190.53</v>
      </c>
      <c r="CB131" s="3">
        <f>ROUND(SUMIF(AA118:AA129,"=59499218",GN118:GN129),2)</f>
        <v>0</v>
      </c>
      <c r="CC131" s="3">
        <f>ROUND(SUMIF(AA118:AA129,"=59499218",GO118:GO129),2)</f>
        <v>0</v>
      </c>
      <c r="CD131" s="3">
        <f>ROUND(SUMIF(AA118:AA129,"=59499218",GP118:GP129),2)</f>
        <v>0</v>
      </c>
      <c r="CE131" s="3">
        <f>AC131-BX131</f>
        <v>15190.53</v>
      </c>
      <c r="CF131" s="3">
        <f>AC131-BY131</f>
        <v>0</v>
      </c>
      <c r="CG131" s="3">
        <f>BX131-BZ131</f>
        <v>0</v>
      </c>
      <c r="CH131" s="3">
        <f>AC131-BX131-BY131+BZ131</f>
        <v>0</v>
      </c>
      <c r="CI131" s="3">
        <f>BY131-BZ131</f>
        <v>15190.53</v>
      </c>
      <c r="CJ131" s="3">
        <f>ROUND(SUMIF(AA118:AA129,"=59499218",GX118:GX129),2)</f>
        <v>0</v>
      </c>
      <c r="CK131" s="3">
        <f>ROUND(SUMIF(AA118:AA129,"=59499218",GY118:GY129),2)</f>
        <v>0</v>
      </c>
      <c r="CL131" s="3">
        <f>ROUND(SUMIF(AA118:AA129,"=59499218",GZ118:GZ129),2)</f>
        <v>0</v>
      </c>
      <c r="CM131" s="3">
        <f>ROUND(SUMIF(AA118:AA129,"=59499218",HD118:HD129),2)</f>
        <v>0</v>
      </c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4">
        <f t="shared" ref="DG131:DL131" si="150">ROUND(DT131,2)</f>
        <v>116359.45</v>
      </c>
      <c r="DH131" s="4">
        <f t="shared" si="150"/>
        <v>116359.45</v>
      </c>
      <c r="DI131" s="4">
        <f t="shared" si="150"/>
        <v>0</v>
      </c>
      <c r="DJ131" s="4">
        <f t="shared" si="150"/>
        <v>0</v>
      </c>
      <c r="DK131" s="4">
        <f t="shared" si="150"/>
        <v>0</v>
      </c>
      <c r="DL131" s="4">
        <f t="shared" si="150"/>
        <v>0</v>
      </c>
      <c r="DM131" s="4">
        <f>DZ131</f>
        <v>0</v>
      </c>
      <c r="DN131" s="4">
        <f>EA131</f>
        <v>0</v>
      </c>
      <c r="DO131" s="4">
        <f>ROUND(EB131,2)</f>
        <v>0</v>
      </c>
      <c r="DP131" s="4">
        <f>ROUND(EC131,2)</f>
        <v>0</v>
      </c>
      <c r="DQ131" s="4">
        <f>ROUND(ED131,2)</f>
        <v>0</v>
      </c>
      <c r="DR131" s="4"/>
      <c r="DS131" s="4"/>
      <c r="DT131" s="4">
        <f>ROUND(SUMIF(AA118:AA129,"=59499215",O118:O129),2)</f>
        <v>116359.45</v>
      </c>
      <c r="DU131" s="4">
        <f>ROUND(SUMIF(AA118:AA129,"=59499215",P118:P129),2)</f>
        <v>116359.45</v>
      </c>
      <c r="DV131" s="4">
        <f>ROUND(SUMIF(AA118:AA129,"=59499215",Q118:Q129),2)</f>
        <v>0</v>
      </c>
      <c r="DW131" s="4">
        <f>ROUND(SUMIF(AA118:AA129,"=59499215",R118:R129),2)</f>
        <v>0</v>
      </c>
      <c r="DX131" s="4">
        <f>ROUND(SUMIF(AA118:AA129,"=59499215",S118:S129),2)</f>
        <v>0</v>
      </c>
      <c r="DY131" s="4">
        <f>ROUND(SUMIF(AA118:AA129,"=59499215",T118:T129),2)</f>
        <v>0</v>
      </c>
      <c r="DZ131" s="4">
        <f>SUMIF(AA118:AA129,"=59499215",U118:U129)</f>
        <v>0</v>
      </c>
      <c r="EA131" s="4">
        <f>SUMIF(AA118:AA129,"=59499215",V118:V129)</f>
        <v>0</v>
      </c>
      <c r="EB131" s="4">
        <f>ROUND(SUMIF(AA118:AA129,"=59499215",W118:W129),2)</f>
        <v>0</v>
      </c>
      <c r="EC131" s="4">
        <f>ROUND(SUMIF(AA118:AA129,"=59499215",X118:X129),2)</f>
        <v>0</v>
      </c>
      <c r="ED131" s="4">
        <f>ROUND(SUMIF(AA118:AA129,"=59499215",Y118:Y129),2)</f>
        <v>0</v>
      </c>
      <c r="EE131" s="4"/>
      <c r="EF131" s="4"/>
      <c r="EG131" s="4">
        <f t="shared" ref="EG131:EV131" si="151">ROUND(FP131,2)</f>
        <v>0</v>
      </c>
      <c r="EH131" s="4">
        <f t="shared" si="151"/>
        <v>116359.45</v>
      </c>
      <c r="EI131" s="4">
        <f t="shared" si="151"/>
        <v>0</v>
      </c>
      <c r="EJ131" s="4">
        <f t="shared" si="151"/>
        <v>116359.45</v>
      </c>
      <c r="EK131" s="4">
        <f t="shared" si="151"/>
        <v>0</v>
      </c>
      <c r="EL131" s="4">
        <f t="shared" si="151"/>
        <v>0</v>
      </c>
      <c r="EM131" s="4">
        <f t="shared" si="151"/>
        <v>0</v>
      </c>
      <c r="EN131" s="4">
        <f t="shared" si="151"/>
        <v>116359.45</v>
      </c>
      <c r="EO131" s="4">
        <f t="shared" si="151"/>
        <v>0</v>
      </c>
      <c r="EP131" s="4">
        <f t="shared" si="151"/>
        <v>0</v>
      </c>
      <c r="EQ131" s="4">
        <f t="shared" si="151"/>
        <v>0</v>
      </c>
      <c r="ER131" s="4">
        <f t="shared" si="151"/>
        <v>116359.45</v>
      </c>
      <c r="ES131" s="4">
        <f t="shared" si="151"/>
        <v>0</v>
      </c>
      <c r="ET131" s="4">
        <f t="shared" si="151"/>
        <v>0</v>
      </c>
      <c r="EU131" s="4">
        <f t="shared" si="151"/>
        <v>0</v>
      </c>
      <c r="EV131" s="4">
        <f t="shared" si="151"/>
        <v>0</v>
      </c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>
        <f>ROUND(SUMIF(AA118:AA129,"=59499215",FQ118:FQ129),2)</f>
        <v>0</v>
      </c>
      <c r="FQ131" s="4">
        <f>ROUND(SUMIF(AA118:AA129,"=59499215",FR118:FR129),2)</f>
        <v>116359.45</v>
      </c>
      <c r="FR131" s="4">
        <f>ROUND(SUMIF(AA118:AA129,"=59499215",GL118:GL129),2)</f>
        <v>0</v>
      </c>
      <c r="FS131" s="4">
        <f>ROUND(SUMIF(AA118:AA129,"=59499215",GM118:GM129),2)</f>
        <v>116359.45</v>
      </c>
      <c r="FT131" s="4">
        <f>ROUND(SUMIF(AA118:AA129,"=59499215",GN118:GN129),2)</f>
        <v>0</v>
      </c>
      <c r="FU131" s="4">
        <f>ROUND(SUMIF(AA118:AA129,"=59499215",GO118:GO129),2)</f>
        <v>0</v>
      </c>
      <c r="FV131" s="4">
        <f>ROUND(SUMIF(AA118:AA129,"=59499215",GP118:GP129),2)</f>
        <v>0</v>
      </c>
      <c r="FW131" s="4">
        <f>DU131-FP131</f>
        <v>116359.45</v>
      </c>
      <c r="FX131" s="4">
        <f>DU131-FQ131</f>
        <v>0</v>
      </c>
      <c r="FY131" s="4">
        <f>FP131-FR131</f>
        <v>0</v>
      </c>
      <c r="FZ131" s="4">
        <f>DU131-FP131-FQ131+FR131</f>
        <v>0</v>
      </c>
      <c r="GA131" s="4">
        <f>FQ131-FR131</f>
        <v>116359.45</v>
      </c>
      <c r="GB131" s="4">
        <f>ROUND(SUMIF(AA118:AA129,"=59499215",GX118:GX129),2)</f>
        <v>0</v>
      </c>
      <c r="GC131" s="4">
        <f>ROUND(SUMIF(AA118:AA129,"=59499215",GY118:GY129),2)</f>
        <v>0</v>
      </c>
      <c r="GD131" s="4">
        <f>ROUND(SUMIF(AA118:AA129,"=59499215",GZ118:GZ129),2)</f>
        <v>0</v>
      </c>
      <c r="GE131" s="4">
        <f>ROUND(SUMIF(AA118:AA129,"=59499215",HD118:HD129),2)</f>
        <v>0</v>
      </c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>
        <v>0</v>
      </c>
    </row>
    <row r="133" spans="1:245" x14ac:dyDescent="0.2">
      <c r="A133" s="5">
        <v>50</v>
      </c>
      <c r="B133" s="5">
        <v>0</v>
      </c>
      <c r="C133" s="5">
        <v>0</v>
      </c>
      <c r="D133" s="5">
        <v>1</v>
      </c>
      <c r="E133" s="5">
        <v>201</v>
      </c>
      <c r="F133" s="5">
        <f>ROUND(Source!O131,O133)</f>
        <v>15190.53</v>
      </c>
      <c r="G133" s="5" t="s">
        <v>46</v>
      </c>
      <c r="H133" s="5" t="s">
        <v>47</v>
      </c>
      <c r="I133" s="5"/>
      <c r="J133" s="5"/>
      <c r="K133" s="5">
        <v>201</v>
      </c>
      <c r="L133" s="5">
        <v>1</v>
      </c>
      <c r="M133" s="5">
        <v>3</v>
      </c>
      <c r="N133" s="5" t="s">
        <v>3</v>
      </c>
      <c r="O133" s="5">
        <v>2</v>
      </c>
      <c r="P133" s="5">
        <f>ROUND(Source!DG131,O133)</f>
        <v>116359.45</v>
      </c>
      <c r="Q133" s="5"/>
      <c r="R133" s="5"/>
      <c r="S133" s="5"/>
      <c r="T133" s="5"/>
      <c r="U133" s="5"/>
      <c r="V133" s="5"/>
      <c r="W133" s="5">
        <v>15190.53</v>
      </c>
      <c r="X133" s="5">
        <v>1</v>
      </c>
      <c r="Y133" s="5">
        <v>15190.53</v>
      </c>
      <c r="Z133" s="5">
        <v>116359.45</v>
      </c>
      <c r="AA133" s="5">
        <v>1</v>
      </c>
      <c r="AB133" s="5">
        <v>116359.45</v>
      </c>
    </row>
    <row r="134" spans="1:245" x14ac:dyDescent="0.2">
      <c r="A134" s="5">
        <v>50</v>
      </c>
      <c r="B134" s="5">
        <v>0</v>
      </c>
      <c r="C134" s="5">
        <v>0</v>
      </c>
      <c r="D134" s="5">
        <v>1</v>
      </c>
      <c r="E134" s="5">
        <v>202</v>
      </c>
      <c r="F134" s="5">
        <f>ROUND(Source!P131,O134)</f>
        <v>15190.53</v>
      </c>
      <c r="G134" s="5" t="s">
        <v>48</v>
      </c>
      <c r="H134" s="5" t="s">
        <v>49</v>
      </c>
      <c r="I134" s="5"/>
      <c r="J134" s="5"/>
      <c r="K134" s="5">
        <v>202</v>
      </c>
      <c r="L134" s="5">
        <v>2</v>
      </c>
      <c r="M134" s="5">
        <v>3</v>
      </c>
      <c r="N134" s="5" t="s">
        <v>3</v>
      </c>
      <c r="O134" s="5">
        <v>2</v>
      </c>
      <c r="P134" s="5">
        <f>ROUND(Source!DH131,O134)</f>
        <v>116359.45</v>
      </c>
      <c r="Q134" s="5"/>
      <c r="R134" s="5"/>
      <c r="S134" s="5"/>
      <c r="T134" s="5"/>
      <c r="U134" s="5"/>
      <c r="V134" s="5"/>
      <c r="W134" s="5">
        <v>15190.53</v>
      </c>
      <c r="X134" s="5">
        <v>1</v>
      </c>
      <c r="Y134" s="5">
        <v>15190.53</v>
      </c>
      <c r="Z134" s="5">
        <v>116359.45</v>
      </c>
      <c r="AA134" s="5">
        <v>1</v>
      </c>
      <c r="AB134" s="5">
        <v>116359.45</v>
      </c>
    </row>
    <row r="135" spans="1:245" x14ac:dyDescent="0.2">
      <c r="A135" s="5">
        <v>50</v>
      </c>
      <c r="B135" s="5">
        <v>0</v>
      </c>
      <c r="C135" s="5">
        <v>0</v>
      </c>
      <c r="D135" s="5">
        <v>1</v>
      </c>
      <c r="E135" s="5">
        <v>222</v>
      </c>
      <c r="F135" s="5">
        <f>ROUND(Source!AO131,O135)</f>
        <v>0</v>
      </c>
      <c r="G135" s="5" t="s">
        <v>50</v>
      </c>
      <c r="H135" s="5" t="s">
        <v>51</v>
      </c>
      <c r="I135" s="5"/>
      <c r="J135" s="5"/>
      <c r="K135" s="5">
        <v>222</v>
      </c>
      <c r="L135" s="5">
        <v>3</v>
      </c>
      <c r="M135" s="5">
        <v>3</v>
      </c>
      <c r="N135" s="5" t="s">
        <v>3</v>
      </c>
      <c r="O135" s="5">
        <v>2</v>
      </c>
      <c r="P135" s="5">
        <f>ROUND(Source!EG131,O135)</f>
        <v>0</v>
      </c>
      <c r="Q135" s="5"/>
      <c r="R135" s="5"/>
      <c r="S135" s="5"/>
      <c r="T135" s="5"/>
      <c r="U135" s="5"/>
      <c r="V135" s="5"/>
      <c r="W135" s="5">
        <v>0</v>
      </c>
      <c r="X135" s="5">
        <v>1</v>
      </c>
      <c r="Y135" s="5">
        <v>0</v>
      </c>
      <c r="Z135" s="5">
        <v>0</v>
      </c>
      <c r="AA135" s="5">
        <v>1</v>
      </c>
      <c r="AB135" s="5">
        <v>0</v>
      </c>
    </row>
    <row r="136" spans="1:245" x14ac:dyDescent="0.2">
      <c r="A136" s="5">
        <v>50</v>
      </c>
      <c r="B136" s="5">
        <v>0</v>
      </c>
      <c r="C136" s="5">
        <v>0</v>
      </c>
      <c r="D136" s="5">
        <v>1</v>
      </c>
      <c r="E136" s="5">
        <v>225</v>
      </c>
      <c r="F136" s="5">
        <f>ROUND(Source!AV131,O136)</f>
        <v>15190.53</v>
      </c>
      <c r="G136" s="5" t="s">
        <v>52</v>
      </c>
      <c r="H136" s="5" t="s">
        <v>53</v>
      </c>
      <c r="I136" s="5"/>
      <c r="J136" s="5"/>
      <c r="K136" s="5">
        <v>225</v>
      </c>
      <c r="L136" s="5">
        <v>4</v>
      </c>
      <c r="M136" s="5">
        <v>3</v>
      </c>
      <c r="N136" s="5" t="s">
        <v>3</v>
      </c>
      <c r="O136" s="5">
        <v>2</v>
      </c>
      <c r="P136" s="5">
        <f>ROUND(Source!EN131,O136)</f>
        <v>116359.45</v>
      </c>
      <c r="Q136" s="5"/>
      <c r="R136" s="5"/>
      <c r="S136" s="5"/>
      <c r="T136" s="5"/>
      <c r="U136" s="5"/>
      <c r="V136" s="5"/>
      <c r="W136" s="5">
        <v>15190.53</v>
      </c>
      <c r="X136" s="5">
        <v>1</v>
      </c>
      <c r="Y136" s="5">
        <v>15190.53</v>
      </c>
      <c r="Z136" s="5">
        <v>116359.45</v>
      </c>
      <c r="AA136" s="5">
        <v>1</v>
      </c>
      <c r="AB136" s="5">
        <v>116359.45</v>
      </c>
    </row>
    <row r="137" spans="1:245" x14ac:dyDescent="0.2">
      <c r="A137" s="5">
        <v>50</v>
      </c>
      <c r="B137" s="5">
        <v>0</v>
      </c>
      <c r="C137" s="5">
        <v>0</v>
      </c>
      <c r="D137" s="5">
        <v>1</v>
      </c>
      <c r="E137" s="5">
        <v>226</v>
      </c>
      <c r="F137" s="5">
        <f>ROUND(Source!AW131,O137)</f>
        <v>0</v>
      </c>
      <c r="G137" s="5" t="s">
        <v>54</v>
      </c>
      <c r="H137" s="5" t="s">
        <v>55</v>
      </c>
      <c r="I137" s="5"/>
      <c r="J137" s="5"/>
      <c r="K137" s="5">
        <v>226</v>
      </c>
      <c r="L137" s="5">
        <v>5</v>
      </c>
      <c r="M137" s="5">
        <v>3</v>
      </c>
      <c r="N137" s="5" t="s">
        <v>3</v>
      </c>
      <c r="O137" s="5">
        <v>2</v>
      </c>
      <c r="P137" s="5">
        <f>ROUND(Source!EO131,O137)</f>
        <v>0</v>
      </c>
      <c r="Q137" s="5"/>
      <c r="R137" s="5"/>
      <c r="S137" s="5"/>
      <c r="T137" s="5"/>
      <c r="U137" s="5"/>
      <c r="V137" s="5"/>
      <c r="W137" s="5">
        <v>0</v>
      </c>
      <c r="X137" s="5">
        <v>1</v>
      </c>
      <c r="Y137" s="5">
        <v>0</v>
      </c>
      <c r="Z137" s="5">
        <v>0</v>
      </c>
      <c r="AA137" s="5">
        <v>1</v>
      </c>
      <c r="AB137" s="5">
        <v>0</v>
      </c>
    </row>
    <row r="138" spans="1:245" x14ac:dyDescent="0.2">
      <c r="A138" s="5">
        <v>50</v>
      </c>
      <c r="B138" s="5">
        <v>0</v>
      </c>
      <c r="C138" s="5">
        <v>0</v>
      </c>
      <c r="D138" s="5">
        <v>1</v>
      </c>
      <c r="E138" s="5">
        <v>227</v>
      </c>
      <c r="F138" s="5">
        <f>ROUND(Source!AX131,O138)</f>
        <v>0</v>
      </c>
      <c r="G138" s="5" t="s">
        <v>56</v>
      </c>
      <c r="H138" s="5" t="s">
        <v>57</v>
      </c>
      <c r="I138" s="5"/>
      <c r="J138" s="5"/>
      <c r="K138" s="5">
        <v>227</v>
      </c>
      <c r="L138" s="5">
        <v>6</v>
      </c>
      <c r="M138" s="5">
        <v>3</v>
      </c>
      <c r="N138" s="5" t="s">
        <v>3</v>
      </c>
      <c r="O138" s="5">
        <v>2</v>
      </c>
      <c r="P138" s="5">
        <f>ROUND(Source!EP131,O138)</f>
        <v>0</v>
      </c>
      <c r="Q138" s="5"/>
      <c r="R138" s="5"/>
      <c r="S138" s="5"/>
      <c r="T138" s="5"/>
      <c r="U138" s="5"/>
      <c r="V138" s="5"/>
      <c r="W138" s="5">
        <v>0</v>
      </c>
      <c r="X138" s="5">
        <v>1</v>
      </c>
      <c r="Y138" s="5">
        <v>0</v>
      </c>
      <c r="Z138" s="5">
        <v>0</v>
      </c>
      <c r="AA138" s="5">
        <v>1</v>
      </c>
      <c r="AB138" s="5">
        <v>0</v>
      </c>
    </row>
    <row r="139" spans="1:245" x14ac:dyDescent="0.2">
      <c r="A139" s="5">
        <v>50</v>
      </c>
      <c r="B139" s="5">
        <v>0</v>
      </c>
      <c r="C139" s="5">
        <v>0</v>
      </c>
      <c r="D139" s="5">
        <v>1</v>
      </c>
      <c r="E139" s="5">
        <v>228</v>
      </c>
      <c r="F139" s="5">
        <f>ROUND(Source!AY131,O139)</f>
        <v>0</v>
      </c>
      <c r="G139" s="5" t="s">
        <v>58</v>
      </c>
      <c r="H139" s="5" t="s">
        <v>59</v>
      </c>
      <c r="I139" s="5"/>
      <c r="J139" s="5"/>
      <c r="K139" s="5">
        <v>228</v>
      </c>
      <c r="L139" s="5">
        <v>7</v>
      </c>
      <c r="M139" s="5">
        <v>3</v>
      </c>
      <c r="N139" s="5" t="s">
        <v>3</v>
      </c>
      <c r="O139" s="5">
        <v>2</v>
      </c>
      <c r="P139" s="5">
        <f>ROUND(Source!EQ131,O139)</f>
        <v>0</v>
      </c>
      <c r="Q139" s="5"/>
      <c r="R139" s="5"/>
      <c r="S139" s="5"/>
      <c r="T139" s="5"/>
      <c r="U139" s="5"/>
      <c r="V139" s="5"/>
      <c r="W139" s="5">
        <v>0</v>
      </c>
      <c r="X139" s="5">
        <v>1</v>
      </c>
      <c r="Y139" s="5">
        <v>0</v>
      </c>
      <c r="Z139" s="5">
        <v>0</v>
      </c>
      <c r="AA139" s="5">
        <v>1</v>
      </c>
      <c r="AB139" s="5">
        <v>0</v>
      </c>
    </row>
    <row r="140" spans="1:245" x14ac:dyDescent="0.2">
      <c r="A140" s="5">
        <v>50</v>
      </c>
      <c r="B140" s="5">
        <v>0</v>
      </c>
      <c r="C140" s="5">
        <v>0</v>
      </c>
      <c r="D140" s="5">
        <v>1</v>
      </c>
      <c r="E140" s="5">
        <v>216</v>
      </c>
      <c r="F140" s="5">
        <f>ROUND(Source!AP131,O140)</f>
        <v>15190.53</v>
      </c>
      <c r="G140" s="5" t="s">
        <v>60</v>
      </c>
      <c r="H140" s="5" t="s">
        <v>61</v>
      </c>
      <c r="I140" s="5"/>
      <c r="J140" s="5"/>
      <c r="K140" s="5">
        <v>216</v>
      </c>
      <c r="L140" s="5">
        <v>8</v>
      </c>
      <c r="M140" s="5">
        <v>3</v>
      </c>
      <c r="N140" s="5" t="s">
        <v>3</v>
      </c>
      <c r="O140" s="5">
        <v>2</v>
      </c>
      <c r="P140" s="5">
        <f>ROUND(Source!EH131,O140)</f>
        <v>116359.45</v>
      </c>
      <c r="Q140" s="5"/>
      <c r="R140" s="5"/>
      <c r="S140" s="5"/>
      <c r="T140" s="5"/>
      <c r="U140" s="5"/>
      <c r="V140" s="5"/>
      <c r="W140" s="5">
        <v>15190.53</v>
      </c>
      <c r="X140" s="5">
        <v>1</v>
      </c>
      <c r="Y140" s="5">
        <v>15190.53</v>
      </c>
      <c r="Z140" s="5">
        <v>116359.45</v>
      </c>
      <c r="AA140" s="5">
        <v>1</v>
      </c>
      <c r="AB140" s="5">
        <v>116359.45</v>
      </c>
    </row>
    <row r="141" spans="1:245" x14ac:dyDescent="0.2">
      <c r="A141" s="5">
        <v>50</v>
      </c>
      <c r="B141" s="5">
        <v>0</v>
      </c>
      <c r="C141" s="5">
        <v>0</v>
      </c>
      <c r="D141" s="5">
        <v>1</v>
      </c>
      <c r="E141" s="5">
        <v>223</v>
      </c>
      <c r="F141" s="5">
        <f>ROUND(Source!AQ131,O141)</f>
        <v>0</v>
      </c>
      <c r="G141" s="5" t="s">
        <v>62</v>
      </c>
      <c r="H141" s="5" t="s">
        <v>63</v>
      </c>
      <c r="I141" s="5"/>
      <c r="J141" s="5"/>
      <c r="K141" s="5">
        <v>223</v>
      </c>
      <c r="L141" s="5">
        <v>9</v>
      </c>
      <c r="M141" s="5">
        <v>3</v>
      </c>
      <c r="N141" s="5" t="s">
        <v>3</v>
      </c>
      <c r="O141" s="5">
        <v>2</v>
      </c>
      <c r="P141" s="5">
        <f>ROUND(Source!EI131,O141)</f>
        <v>0</v>
      </c>
      <c r="Q141" s="5"/>
      <c r="R141" s="5"/>
      <c r="S141" s="5"/>
      <c r="T141" s="5"/>
      <c r="U141" s="5"/>
      <c r="V141" s="5"/>
      <c r="W141" s="5">
        <v>0</v>
      </c>
      <c r="X141" s="5">
        <v>1</v>
      </c>
      <c r="Y141" s="5">
        <v>0</v>
      </c>
      <c r="Z141" s="5">
        <v>0</v>
      </c>
      <c r="AA141" s="5">
        <v>1</v>
      </c>
      <c r="AB141" s="5">
        <v>0</v>
      </c>
    </row>
    <row r="142" spans="1:245" x14ac:dyDescent="0.2">
      <c r="A142" s="5">
        <v>50</v>
      </c>
      <c r="B142" s="5">
        <v>0</v>
      </c>
      <c r="C142" s="5">
        <v>0</v>
      </c>
      <c r="D142" s="5">
        <v>1</v>
      </c>
      <c r="E142" s="5">
        <v>229</v>
      </c>
      <c r="F142" s="5">
        <f>ROUND(Source!AZ131,O142)</f>
        <v>15190.53</v>
      </c>
      <c r="G142" s="5" t="s">
        <v>64</v>
      </c>
      <c r="H142" s="5" t="s">
        <v>65</v>
      </c>
      <c r="I142" s="5"/>
      <c r="J142" s="5"/>
      <c r="K142" s="5">
        <v>229</v>
      </c>
      <c r="L142" s="5">
        <v>10</v>
      </c>
      <c r="M142" s="5">
        <v>3</v>
      </c>
      <c r="N142" s="5" t="s">
        <v>3</v>
      </c>
      <c r="O142" s="5">
        <v>2</v>
      </c>
      <c r="P142" s="5">
        <f>ROUND(Source!ER131,O142)</f>
        <v>116359.45</v>
      </c>
      <c r="Q142" s="5"/>
      <c r="R142" s="5"/>
      <c r="S142" s="5"/>
      <c r="T142" s="5"/>
      <c r="U142" s="5"/>
      <c r="V142" s="5"/>
      <c r="W142" s="5">
        <v>15190.53</v>
      </c>
      <c r="X142" s="5">
        <v>1</v>
      </c>
      <c r="Y142" s="5">
        <v>15190.53</v>
      </c>
      <c r="Z142" s="5">
        <v>116359.45</v>
      </c>
      <c r="AA142" s="5">
        <v>1</v>
      </c>
      <c r="AB142" s="5">
        <v>116359.45</v>
      </c>
    </row>
    <row r="143" spans="1:245" x14ac:dyDescent="0.2">
      <c r="A143" s="5">
        <v>50</v>
      </c>
      <c r="B143" s="5">
        <v>0</v>
      </c>
      <c r="C143" s="5">
        <v>0</v>
      </c>
      <c r="D143" s="5">
        <v>1</v>
      </c>
      <c r="E143" s="5">
        <v>203</v>
      </c>
      <c r="F143" s="5">
        <f>ROUND(Source!Q131,O143)</f>
        <v>0</v>
      </c>
      <c r="G143" s="5" t="s">
        <v>66</v>
      </c>
      <c r="H143" s="5" t="s">
        <v>67</v>
      </c>
      <c r="I143" s="5"/>
      <c r="J143" s="5"/>
      <c r="K143" s="5">
        <v>203</v>
      </c>
      <c r="L143" s="5">
        <v>11</v>
      </c>
      <c r="M143" s="5">
        <v>3</v>
      </c>
      <c r="N143" s="5" t="s">
        <v>3</v>
      </c>
      <c r="O143" s="5">
        <v>2</v>
      </c>
      <c r="P143" s="5">
        <f>ROUND(Source!DI131,O143)</f>
        <v>0</v>
      </c>
      <c r="Q143" s="5"/>
      <c r="R143" s="5"/>
      <c r="S143" s="5"/>
      <c r="T143" s="5"/>
      <c r="U143" s="5"/>
      <c r="V143" s="5"/>
      <c r="W143" s="5">
        <v>0</v>
      </c>
      <c r="X143" s="5">
        <v>1</v>
      </c>
      <c r="Y143" s="5">
        <v>0</v>
      </c>
      <c r="Z143" s="5">
        <v>0</v>
      </c>
      <c r="AA143" s="5">
        <v>1</v>
      </c>
      <c r="AB143" s="5">
        <v>0</v>
      </c>
    </row>
    <row r="144" spans="1:245" x14ac:dyDescent="0.2">
      <c r="A144" s="5">
        <v>50</v>
      </c>
      <c r="B144" s="5">
        <v>0</v>
      </c>
      <c r="C144" s="5">
        <v>0</v>
      </c>
      <c r="D144" s="5">
        <v>1</v>
      </c>
      <c r="E144" s="5">
        <v>231</v>
      </c>
      <c r="F144" s="5">
        <f>ROUND(Source!BB131,O144)</f>
        <v>0</v>
      </c>
      <c r="G144" s="5" t="s">
        <v>68</v>
      </c>
      <c r="H144" s="5" t="s">
        <v>69</v>
      </c>
      <c r="I144" s="5"/>
      <c r="J144" s="5"/>
      <c r="K144" s="5">
        <v>231</v>
      </c>
      <c r="L144" s="5">
        <v>12</v>
      </c>
      <c r="M144" s="5">
        <v>3</v>
      </c>
      <c r="N144" s="5" t="s">
        <v>3</v>
      </c>
      <c r="O144" s="5">
        <v>2</v>
      </c>
      <c r="P144" s="5">
        <f>ROUND(Source!ET131,O144)</f>
        <v>0</v>
      </c>
      <c r="Q144" s="5"/>
      <c r="R144" s="5"/>
      <c r="S144" s="5"/>
      <c r="T144" s="5"/>
      <c r="U144" s="5"/>
      <c r="V144" s="5"/>
      <c r="W144" s="5">
        <v>0</v>
      </c>
      <c r="X144" s="5">
        <v>1</v>
      </c>
      <c r="Y144" s="5">
        <v>0</v>
      </c>
      <c r="Z144" s="5">
        <v>0</v>
      </c>
      <c r="AA144" s="5">
        <v>1</v>
      </c>
      <c r="AB144" s="5">
        <v>0</v>
      </c>
    </row>
    <row r="145" spans="1:28" x14ac:dyDescent="0.2">
      <c r="A145" s="5">
        <v>50</v>
      </c>
      <c r="B145" s="5">
        <v>0</v>
      </c>
      <c r="C145" s="5">
        <v>0</v>
      </c>
      <c r="D145" s="5">
        <v>1</v>
      </c>
      <c r="E145" s="5">
        <v>204</v>
      </c>
      <c r="F145" s="5">
        <f>ROUND(Source!R131,O145)</f>
        <v>0</v>
      </c>
      <c r="G145" s="5" t="s">
        <v>70</v>
      </c>
      <c r="H145" s="5" t="s">
        <v>71</v>
      </c>
      <c r="I145" s="5"/>
      <c r="J145" s="5"/>
      <c r="K145" s="5">
        <v>204</v>
      </c>
      <c r="L145" s="5">
        <v>13</v>
      </c>
      <c r="M145" s="5">
        <v>3</v>
      </c>
      <c r="N145" s="5" t="s">
        <v>3</v>
      </c>
      <c r="O145" s="5">
        <v>2</v>
      </c>
      <c r="P145" s="5">
        <f>ROUND(Source!DJ131,O145)</f>
        <v>0</v>
      </c>
      <c r="Q145" s="5"/>
      <c r="R145" s="5"/>
      <c r="S145" s="5"/>
      <c r="T145" s="5"/>
      <c r="U145" s="5"/>
      <c r="V145" s="5"/>
      <c r="W145" s="5">
        <v>0</v>
      </c>
      <c r="X145" s="5">
        <v>1</v>
      </c>
      <c r="Y145" s="5">
        <v>0</v>
      </c>
      <c r="Z145" s="5">
        <v>0</v>
      </c>
      <c r="AA145" s="5">
        <v>1</v>
      </c>
      <c r="AB145" s="5">
        <v>0</v>
      </c>
    </row>
    <row r="146" spans="1:28" x14ac:dyDescent="0.2">
      <c r="A146" s="5">
        <v>50</v>
      </c>
      <c r="B146" s="5">
        <v>0</v>
      </c>
      <c r="C146" s="5">
        <v>0</v>
      </c>
      <c r="D146" s="5">
        <v>1</v>
      </c>
      <c r="E146" s="5">
        <v>205</v>
      </c>
      <c r="F146" s="5">
        <f>ROUND(Source!S131,O146)</f>
        <v>0</v>
      </c>
      <c r="G146" s="5" t="s">
        <v>72</v>
      </c>
      <c r="H146" s="5" t="s">
        <v>73</v>
      </c>
      <c r="I146" s="5"/>
      <c r="J146" s="5"/>
      <c r="K146" s="5">
        <v>205</v>
      </c>
      <c r="L146" s="5">
        <v>14</v>
      </c>
      <c r="M146" s="5">
        <v>3</v>
      </c>
      <c r="N146" s="5" t="s">
        <v>3</v>
      </c>
      <c r="O146" s="5">
        <v>2</v>
      </c>
      <c r="P146" s="5">
        <f>ROUND(Source!DK131,O146)</f>
        <v>0</v>
      </c>
      <c r="Q146" s="5"/>
      <c r="R146" s="5"/>
      <c r="S146" s="5"/>
      <c r="T146" s="5"/>
      <c r="U146" s="5"/>
      <c r="V146" s="5"/>
      <c r="W146" s="5">
        <v>0</v>
      </c>
      <c r="X146" s="5">
        <v>1</v>
      </c>
      <c r="Y146" s="5">
        <v>0</v>
      </c>
      <c r="Z146" s="5">
        <v>0</v>
      </c>
      <c r="AA146" s="5">
        <v>1</v>
      </c>
      <c r="AB146" s="5">
        <v>0</v>
      </c>
    </row>
    <row r="147" spans="1:28" x14ac:dyDescent="0.2">
      <c r="A147" s="5">
        <v>50</v>
      </c>
      <c r="B147" s="5">
        <v>0</v>
      </c>
      <c r="C147" s="5">
        <v>0</v>
      </c>
      <c r="D147" s="5">
        <v>1</v>
      </c>
      <c r="E147" s="5">
        <v>232</v>
      </c>
      <c r="F147" s="5">
        <f>ROUND(Source!BC131,O147)</f>
        <v>0</v>
      </c>
      <c r="G147" s="5" t="s">
        <v>74</v>
      </c>
      <c r="H147" s="5" t="s">
        <v>75</v>
      </c>
      <c r="I147" s="5"/>
      <c r="J147" s="5"/>
      <c r="K147" s="5">
        <v>232</v>
      </c>
      <c r="L147" s="5">
        <v>15</v>
      </c>
      <c r="M147" s="5">
        <v>3</v>
      </c>
      <c r="N147" s="5" t="s">
        <v>3</v>
      </c>
      <c r="O147" s="5">
        <v>2</v>
      </c>
      <c r="P147" s="5">
        <f>ROUND(Source!EU131,O147)</f>
        <v>0</v>
      </c>
      <c r="Q147" s="5"/>
      <c r="R147" s="5"/>
      <c r="S147" s="5"/>
      <c r="T147" s="5"/>
      <c r="U147" s="5"/>
      <c r="V147" s="5"/>
      <c r="W147" s="5">
        <v>0</v>
      </c>
      <c r="X147" s="5">
        <v>1</v>
      </c>
      <c r="Y147" s="5">
        <v>0</v>
      </c>
      <c r="Z147" s="5">
        <v>0</v>
      </c>
      <c r="AA147" s="5">
        <v>1</v>
      </c>
      <c r="AB147" s="5">
        <v>0</v>
      </c>
    </row>
    <row r="148" spans="1:28" x14ac:dyDescent="0.2">
      <c r="A148" s="5">
        <v>50</v>
      </c>
      <c r="B148" s="5">
        <v>0</v>
      </c>
      <c r="C148" s="5">
        <v>0</v>
      </c>
      <c r="D148" s="5">
        <v>1</v>
      </c>
      <c r="E148" s="5">
        <v>214</v>
      </c>
      <c r="F148" s="5">
        <f>ROUND(Source!AS131,O148)</f>
        <v>0</v>
      </c>
      <c r="G148" s="5" t="s">
        <v>76</v>
      </c>
      <c r="H148" s="5" t="s">
        <v>77</v>
      </c>
      <c r="I148" s="5"/>
      <c r="J148" s="5"/>
      <c r="K148" s="5">
        <v>214</v>
      </c>
      <c r="L148" s="5">
        <v>16</v>
      </c>
      <c r="M148" s="5">
        <v>3</v>
      </c>
      <c r="N148" s="5" t="s">
        <v>3</v>
      </c>
      <c r="O148" s="5">
        <v>2</v>
      </c>
      <c r="P148" s="5">
        <f>ROUND(Source!EK131,O148)</f>
        <v>0</v>
      </c>
      <c r="Q148" s="5"/>
      <c r="R148" s="5"/>
      <c r="S148" s="5"/>
      <c r="T148" s="5"/>
      <c r="U148" s="5"/>
      <c r="V148" s="5"/>
      <c r="W148" s="5">
        <v>0</v>
      </c>
      <c r="X148" s="5">
        <v>1</v>
      </c>
      <c r="Y148" s="5">
        <v>0</v>
      </c>
      <c r="Z148" s="5">
        <v>0</v>
      </c>
      <c r="AA148" s="5">
        <v>1</v>
      </c>
      <c r="AB148" s="5">
        <v>0</v>
      </c>
    </row>
    <row r="149" spans="1:28" x14ac:dyDescent="0.2">
      <c r="A149" s="5">
        <v>50</v>
      </c>
      <c r="B149" s="5">
        <v>0</v>
      </c>
      <c r="C149" s="5">
        <v>0</v>
      </c>
      <c r="D149" s="5">
        <v>1</v>
      </c>
      <c r="E149" s="5">
        <v>215</v>
      </c>
      <c r="F149" s="5">
        <f>ROUND(Source!AT131,O149)</f>
        <v>0</v>
      </c>
      <c r="G149" s="5" t="s">
        <v>78</v>
      </c>
      <c r="H149" s="5" t="s">
        <v>79</v>
      </c>
      <c r="I149" s="5"/>
      <c r="J149" s="5"/>
      <c r="K149" s="5">
        <v>215</v>
      </c>
      <c r="L149" s="5">
        <v>17</v>
      </c>
      <c r="M149" s="5">
        <v>3</v>
      </c>
      <c r="N149" s="5" t="s">
        <v>3</v>
      </c>
      <c r="O149" s="5">
        <v>2</v>
      </c>
      <c r="P149" s="5">
        <f>ROUND(Source!EL131,O149)</f>
        <v>0</v>
      </c>
      <c r="Q149" s="5"/>
      <c r="R149" s="5"/>
      <c r="S149" s="5"/>
      <c r="T149" s="5"/>
      <c r="U149" s="5"/>
      <c r="V149" s="5"/>
      <c r="W149" s="5">
        <v>0</v>
      </c>
      <c r="X149" s="5">
        <v>1</v>
      </c>
      <c r="Y149" s="5">
        <v>0</v>
      </c>
      <c r="Z149" s="5">
        <v>0</v>
      </c>
      <c r="AA149" s="5">
        <v>1</v>
      </c>
      <c r="AB149" s="5">
        <v>0</v>
      </c>
    </row>
    <row r="150" spans="1:28" x14ac:dyDescent="0.2">
      <c r="A150" s="5">
        <v>50</v>
      </c>
      <c r="B150" s="5">
        <v>0</v>
      </c>
      <c r="C150" s="5">
        <v>0</v>
      </c>
      <c r="D150" s="5">
        <v>1</v>
      </c>
      <c r="E150" s="5">
        <v>217</v>
      </c>
      <c r="F150" s="5">
        <f>ROUND(Source!AU131,O150)</f>
        <v>0</v>
      </c>
      <c r="G150" s="5" t="s">
        <v>80</v>
      </c>
      <c r="H150" s="5" t="s">
        <v>81</v>
      </c>
      <c r="I150" s="5"/>
      <c r="J150" s="5"/>
      <c r="K150" s="5">
        <v>217</v>
      </c>
      <c r="L150" s="5">
        <v>18</v>
      </c>
      <c r="M150" s="5">
        <v>3</v>
      </c>
      <c r="N150" s="5" t="s">
        <v>3</v>
      </c>
      <c r="O150" s="5">
        <v>2</v>
      </c>
      <c r="P150" s="5">
        <f>ROUND(Source!EM131,O150)</f>
        <v>0</v>
      </c>
      <c r="Q150" s="5"/>
      <c r="R150" s="5"/>
      <c r="S150" s="5"/>
      <c r="T150" s="5"/>
      <c r="U150" s="5"/>
      <c r="V150" s="5"/>
      <c r="W150" s="5">
        <v>0</v>
      </c>
      <c r="X150" s="5">
        <v>1</v>
      </c>
      <c r="Y150" s="5">
        <v>0</v>
      </c>
      <c r="Z150" s="5">
        <v>0</v>
      </c>
      <c r="AA150" s="5">
        <v>1</v>
      </c>
      <c r="AB150" s="5">
        <v>0</v>
      </c>
    </row>
    <row r="151" spans="1:28" x14ac:dyDescent="0.2">
      <c r="A151" s="5">
        <v>50</v>
      </c>
      <c r="B151" s="5">
        <v>0</v>
      </c>
      <c r="C151" s="5">
        <v>0</v>
      </c>
      <c r="D151" s="5">
        <v>1</v>
      </c>
      <c r="E151" s="5">
        <v>230</v>
      </c>
      <c r="F151" s="5">
        <f>ROUND(Source!BA131,O151)</f>
        <v>0</v>
      </c>
      <c r="G151" s="5" t="s">
        <v>82</v>
      </c>
      <c r="H151" s="5" t="s">
        <v>83</v>
      </c>
      <c r="I151" s="5"/>
      <c r="J151" s="5"/>
      <c r="K151" s="5">
        <v>230</v>
      </c>
      <c r="L151" s="5">
        <v>19</v>
      </c>
      <c r="M151" s="5">
        <v>3</v>
      </c>
      <c r="N151" s="5" t="s">
        <v>3</v>
      </c>
      <c r="O151" s="5">
        <v>2</v>
      </c>
      <c r="P151" s="5">
        <f>ROUND(Source!ES131,O151)</f>
        <v>0</v>
      </c>
      <c r="Q151" s="5"/>
      <c r="R151" s="5"/>
      <c r="S151" s="5"/>
      <c r="T151" s="5"/>
      <c r="U151" s="5"/>
      <c r="V151" s="5"/>
      <c r="W151" s="5">
        <v>0</v>
      </c>
      <c r="X151" s="5">
        <v>1</v>
      </c>
      <c r="Y151" s="5">
        <v>0</v>
      </c>
      <c r="Z151" s="5">
        <v>0</v>
      </c>
      <c r="AA151" s="5">
        <v>1</v>
      </c>
      <c r="AB151" s="5">
        <v>0</v>
      </c>
    </row>
    <row r="152" spans="1:28" x14ac:dyDescent="0.2">
      <c r="A152" s="5">
        <v>50</v>
      </c>
      <c r="B152" s="5">
        <v>0</v>
      </c>
      <c r="C152" s="5">
        <v>0</v>
      </c>
      <c r="D152" s="5">
        <v>1</v>
      </c>
      <c r="E152" s="5">
        <v>206</v>
      </c>
      <c r="F152" s="5">
        <f>ROUND(Source!T131,O152)</f>
        <v>0</v>
      </c>
      <c r="G152" s="5" t="s">
        <v>84</v>
      </c>
      <c r="H152" s="5" t="s">
        <v>85</v>
      </c>
      <c r="I152" s="5"/>
      <c r="J152" s="5"/>
      <c r="K152" s="5">
        <v>206</v>
      </c>
      <c r="L152" s="5">
        <v>20</v>
      </c>
      <c r="M152" s="5">
        <v>3</v>
      </c>
      <c r="N152" s="5" t="s">
        <v>3</v>
      </c>
      <c r="O152" s="5">
        <v>2</v>
      </c>
      <c r="P152" s="5">
        <f>ROUND(Source!DL131,O152)</f>
        <v>0</v>
      </c>
      <c r="Q152" s="5"/>
      <c r="R152" s="5"/>
      <c r="S152" s="5"/>
      <c r="T152" s="5"/>
      <c r="U152" s="5"/>
      <c r="V152" s="5"/>
      <c r="W152" s="5">
        <v>0</v>
      </c>
      <c r="X152" s="5">
        <v>1</v>
      </c>
      <c r="Y152" s="5">
        <v>0</v>
      </c>
      <c r="Z152" s="5">
        <v>0</v>
      </c>
      <c r="AA152" s="5">
        <v>1</v>
      </c>
      <c r="AB152" s="5">
        <v>0</v>
      </c>
    </row>
    <row r="153" spans="1:28" x14ac:dyDescent="0.2">
      <c r="A153" s="5">
        <v>50</v>
      </c>
      <c r="B153" s="5">
        <v>0</v>
      </c>
      <c r="C153" s="5">
        <v>0</v>
      </c>
      <c r="D153" s="5">
        <v>1</v>
      </c>
      <c r="E153" s="5">
        <v>207</v>
      </c>
      <c r="F153" s="5">
        <f>Source!U131</f>
        <v>0</v>
      </c>
      <c r="G153" s="5" t="s">
        <v>86</v>
      </c>
      <c r="H153" s="5" t="s">
        <v>87</v>
      </c>
      <c r="I153" s="5"/>
      <c r="J153" s="5"/>
      <c r="K153" s="5">
        <v>207</v>
      </c>
      <c r="L153" s="5">
        <v>21</v>
      </c>
      <c r="M153" s="5">
        <v>3</v>
      </c>
      <c r="N153" s="5" t="s">
        <v>3</v>
      </c>
      <c r="O153" s="5">
        <v>-1</v>
      </c>
      <c r="P153" s="5">
        <f>Source!DM131</f>
        <v>0</v>
      </c>
      <c r="Q153" s="5"/>
      <c r="R153" s="5"/>
      <c r="S153" s="5"/>
      <c r="T153" s="5"/>
      <c r="U153" s="5"/>
      <c r="V153" s="5"/>
      <c r="W153" s="5">
        <v>0</v>
      </c>
      <c r="X153" s="5">
        <v>1</v>
      </c>
      <c r="Y153" s="5">
        <v>0</v>
      </c>
      <c r="Z153" s="5">
        <v>0</v>
      </c>
      <c r="AA153" s="5">
        <v>1</v>
      </c>
      <c r="AB153" s="5">
        <v>0</v>
      </c>
    </row>
    <row r="154" spans="1:28" x14ac:dyDescent="0.2">
      <c r="A154" s="5">
        <v>50</v>
      </c>
      <c r="B154" s="5">
        <v>0</v>
      </c>
      <c r="C154" s="5">
        <v>0</v>
      </c>
      <c r="D154" s="5">
        <v>1</v>
      </c>
      <c r="E154" s="5">
        <v>208</v>
      </c>
      <c r="F154" s="5">
        <f>Source!V131</f>
        <v>0</v>
      </c>
      <c r="G154" s="5" t="s">
        <v>88</v>
      </c>
      <c r="H154" s="5" t="s">
        <v>89</v>
      </c>
      <c r="I154" s="5"/>
      <c r="J154" s="5"/>
      <c r="K154" s="5">
        <v>208</v>
      </c>
      <c r="L154" s="5">
        <v>22</v>
      </c>
      <c r="M154" s="5">
        <v>3</v>
      </c>
      <c r="N154" s="5" t="s">
        <v>3</v>
      </c>
      <c r="O154" s="5">
        <v>-1</v>
      </c>
      <c r="P154" s="5">
        <f>Source!DN131</f>
        <v>0</v>
      </c>
      <c r="Q154" s="5"/>
      <c r="R154" s="5"/>
      <c r="S154" s="5"/>
      <c r="T154" s="5"/>
      <c r="U154" s="5"/>
      <c r="V154" s="5"/>
      <c r="W154" s="5">
        <v>0</v>
      </c>
      <c r="X154" s="5">
        <v>1</v>
      </c>
      <c r="Y154" s="5">
        <v>0</v>
      </c>
      <c r="Z154" s="5">
        <v>0</v>
      </c>
      <c r="AA154" s="5">
        <v>1</v>
      </c>
      <c r="AB154" s="5">
        <v>0</v>
      </c>
    </row>
    <row r="155" spans="1:28" x14ac:dyDescent="0.2">
      <c r="A155" s="5">
        <v>50</v>
      </c>
      <c r="B155" s="5">
        <v>0</v>
      </c>
      <c r="C155" s="5">
        <v>0</v>
      </c>
      <c r="D155" s="5">
        <v>1</v>
      </c>
      <c r="E155" s="5">
        <v>209</v>
      </c>
      <c r="F155" s="5">
        <f>ROUND(Source!W131,O155)</f>
        <v>0</v>
      </c>
      <c r="G155" s="5" t="s">
        <v>90</v>
      </c>
      <c r="H155" s="5" t="s">
        <v>91</v>
      </c>
      <c r="I155" s="5"/>
      <c r="J155" s="5"/>
      <c r="K155" s="5">
        <v>209</v>
      </c>
      <c r="L155" s="5">
        <v>23</v>
      </c>
      <c r="M155" s="5">
        <v>3</v>
      </c>
      <c r="N155" s="5" t="s">
        <v>3</v>
      </c>
      <c r="O155" s="5">
        <v>2</v>
      </c>
      <c r="P155" s="5">
        <f>ROUND(Source!DO131,O155)</f>
        <v>0</v>
      </c>
      <c r="Q155" s="5"/>
      <c r="R155" s="5"/>
      <c r="S155" s="5"/>
      <c r="T155" s="5"/>
      <c r="U155" s="5"/>
      <c r="V155" s="5"/>
      <c r="W155" s="5">
        <v>0</v>
      </c>
      <c r="X155" s="5">
        <v>1</v>
      </c>
      <c r="Y155" s="5">
        <v>0</v>
      </c>
      <c r="Z155" s="5">
        <v>0</v>
      </c>
      <c r="AA155" s="5">
        <v>1</v>
      </c>
      <c r="AB155" s="5">
        <v>0</v>
      </c>
    </row>
    <row r="156" spans="1:28" x14ac:dyDescent="0.2">
      <c r="A156" s="5">
        <v>50</v>
      </c>
      <c r="B156" s="5">
        <v>0</v>
      </c>
      <c r="C156" s="5">
        <v>0</v>
      </c>
      <c r="D156" s="5">
        <v>1</v>
      </c>
      <c r="E156" s="5">
        <v>233</v>
      </c>
      <c r="F156" s="5">
        <f>ROUND(Source!BD131,O156)</f>
        <v>0</v>
      </c>
      <c r="G156" s="5" t="s">
        <v>92</v>
      </c>
      <c r="H156" s="5" t="s">
        <v>93</v>
      </c>
      <c r="I156" s="5"/>
      <c r="J156" s="5"/>
      <c r="K156" s="5">
        <v>233</v>
      </c>
      <c r="L156" s="5">
        <v>24</v>
      </c>
      <c r="M156" s="5">
        <v>3</v>
      </c>
      <c r="N156" s="5" t="s">
        <v>3</v>
      </c>
      <c r="O156" s="5">
        <v>2</v>
      </c>
      <c r="P156" s="5">
        <f>ROUND(Source!EV131,O156)</f>
        <v>0</v>
      </c>
      <c r="Q156" s="5"/>
      <c r="R156" s="5"/>
      <c r="S156" s="5"/>
      <c r="T156" s="5"/>
      <c r="U156" s="5"/>
      <c r="V156" s="5"/>
      <c r="W156" s="5">
        <v>0</v>
      </c>
      <c r="X156" s="5">
        <v>1</v>
      </c>
      <c r="Y156" s="5">
        <v>0</v>
      </c>
      <c r="Z156" s="5">
        <v>0</v>
      </c>
      <c r="AA156" s="5">
        <v>1</v>
      </c>
      <c r="AB156" s="5">
        <v>0</v>
      </c>
    </row>
    <row r="157" spans="1:28" x14ac:dyDescent="0.2">
      <c r="A157" s="5">
        <v>50</v>
      </c>
      <c r="B157" s="5">
        <v>0</v>
      </c>
      <c r="C157" s="5">
        <v>0</v>
      </c>
      <c r="D157" s="5">
        <v>1</v>
      </c>
      <c r="E157" s="5">
        <v>210</v>
      </c>
      <c r="F157" s="5">
        <f>ROUND(Source!X131,O157)</f>
        <v>0</v>
      </c>
      <c r="G157" s="5" t="s">
        <v>94</v>
      </c>
      <c r="H157" s="5" t="s">
        <v>95</v>
      </c>
      <c r="I157" s="5"/>
      <c r="J157" s="5"/>
      <c r="K157" s="5">
        <v>210</v>
      </c>
      <c r="L157" s="5">
        <v>25</v>
      </c>
      <c r="M157" s="5">
        <v>3</v>
      </c>
      <c r="N157" s="5" t="s">
        <v>3</v>
      </c>
      <c r="O157" s="5">
        <v>2</v>
      </c>
      <c r="P157" s="5">
        <f>ROUND(Source!DP131,O157)</f>
        <v>0</v>
      </c>
      <c r="Q157" s="5"/>
      <c r="R157" s="5"/>
      <c r="S157" s="5"/>
      <c r="T157" s="5"/>
      <c r="U157" s="5"/>
      <c r="V157" s="5"/>
      <c r="W157" s="5">
        <v>0</v>
      </c>
      <c r="X157" s="5">
        <v>1</v>
      </c>
      <c r="Y157" s="5">
        <v>0</v>
      </c>
      <c r="Z157" s="5">
        <v>0</v>
      </c>
      <c r="AA157" s="5">
        <v>1</v>
      </c>
      <c r="AB157" s="5">
        <v>0</v>
      </c>
    </row>
    <row r="158" spans="1:28" x14ac:dyDescent="0.2">
      <c r="A158" s="5">
        <v>50</v>
      </c>
      <c r="B158" s="5">
        <v>0</v>
      </c>
      <c r="C158" s="5">
        <v>0</v>
      </c>
      <c r="D158" s="5">
        <v>1</v>
      </c>
      <c r="E158" s="5">
        <v>211</v>
      </c>
      <c r="F158" s="5">
        <f>ROUND(Source!Y131,O158)</f>
        <v>0</v>
      </c>
      <c r="G158" s="5" t="s">
        <v>96</v>
      </c>
      <c r="H158" s="5" t="s">
        <v>97</v>
      </c>
      <c r="I158" s="5"/>
      <c r="J158" s="5"/>
      <c r="K158" s="5">
        <v>211</v>
      </c>
      <c r="L158" s="5">
        <v>26</v>
      </c>
      <c r="M158" s="5">
        <v>3</v>
      </c>
      <c r="N158" s="5" t="s">
        <v>3</v>
      </c>
      <c r="O158" s="5">
        <v>2</v>
      </c>
      <c r="P158" s="5">
        <f>ROUND(Source!DQ131,O158)</f>
        <v>0</v>
      </c>
      <c r="Q158" s="5"/>
      <c r="R158" s="5"/>
      <c r="S158" s="5"/>
      <c r="T158" s="5"/>
      <c r="U158" s="5"/>
      <c r="V158" s="5"/>
      <c r="W158" s="5">
        <v>0</v>
      </c>
      <c r="X158" s="5">
        <v>1</v>
      </c>
      <c r="Y158" s="5">
        <v>0</v>
      </c>
      <c r="Z158" s="5">
        <v>0</v>
      </c>
      <c r="AA158" s="5">
        <v>1</v>
      </c>
      <c r="AB158" s="5">
        <v>0</v>
      </c>
    </row>
    <row r="159" spans="1:28" x14ac:dyDescent="0.2">
      <c r="A159" s="5">
        <v>50</v>
      </c>
      <c r="B159" s="5">
        <v>0</v>
      </c>
      <c r="C159" s="5">
        <v>0</v>
      </c>
      <c r="D159" s="5">
        <v>1</v>
      </c>
      <c r="E159" s="5">
        <v>224</v>
      </c>
      <c r="F159" s="5">
        <f>ROUND(Source!AR131,O159)</f>
        <v>15190.53</v>
      </c>
      <c r="G159" s="5" t="s">
        <v>98</v>
      </c>
      <c r="H159" s="5" t="s">
        <v>99</v>
      </c>
      <c r="I159" s="5"/>
      <c r="J159" s="5"/>
      <c r="K159" s="5">
        <v>224</v>
      </c>
      <c r="L159" s="5">
        <v>27</v>
      </c>
      <c r="M159" s="5">
        <v>3</v>
      </c>
      <c r="N159" s="5" t="s">
        <v>3</v>
      </c>
      <c r="O159" s="5">
        <v>2</v>
      </c>
      <c r="P159" s="5">
        <f>ROUND(Source!EJ131,O159)</f>
        <v>116359.45</v>
      </c>
      <c r="Q159" s="5"/>
      <c r="R159" s="5"/>
      <c r="S159" s="5"/>
      <c r="T159" s="5"/>
      <c r="U159" s="5"/>
      <c r="V159" s="5"/>
      <c r="W159" s="5">
        <v>15190.53</v>
      </c>
      <c r="X159" s="5">
        <v>1</v>
      </c>
      <c r="Y159" s="5">
        <v>15190.53</v>
      </c>
      <c r="Z159" s="5">
        <v>116359.45</v>
      </c>
      <c r="AA159" s="5">
        <v>1</v>
      </c>
      <c r="AB159" s="5">
        <v>116359.45</v>
      </c>
    </row>
    <row r="161" spans="1:255" x14ac:dyDescent="0.2">
      <c r="A161" s="1">
        <v>4</v>
      </c>
      <c r="B161" s="1">
        <v>1</v>
      </c>
      <c r="C161" s="1"/>
      <c r="D161" s="1">
        <f>ROW(A238)</f>
        <v>238</v>
      </c>
      <c r="E161" s="1"/>
      <c r="F161" s="1" t="s">
        <v>3</v>
      </c>
      <c r="G161" s="1" t="s">
        <v>147</v>
      </c>
      <c r="H161" s="1" t="s">
        <v>3</v>
      </c>
      <c r="I161" s="1">
        <v>0</v>
      </c>
      <c r="J161" s="1"/>
      <c r="K161" s="1">
        <v>-1</v>
      </c>
      <c r="L161" s="1"/>
      <c r="M161" s="1" t="s">
        <v>3</v>
      </c>
      <c r="N161" s="1"/>
      <c r="O161" s="1"/>
      <c r="P161" s="1"/>
      <c r="Q161" s="1"/>
      <c r="R161" s="1"/>
      <c r="S161" s="1">
        <v>0</v>
      </c>
      <c r="T161" s="1">
        <v>0</v>
      </c>
      <c r="U161" s="1" t="s">
        <v>3</v>
      </c>
      <c r="V161" s="1">
        <v>2</v>
      </c>
      <c r="W161" s="1"/>
      <c r="X161" s="1"/>
      <c r="Y161" s="1"/>
      <c r="Z161" s="1"/>
      <c r="AA161" s="1"/>
      <c r="AB161" s="1" t="s">
        <v>3</v>
      </c>
      <c r="AC161" s="1" t="s">
        <v>3</v>
      </c>
      <c r="AD161" s="1" t="s">
        <v>3</v>
      </c>
      <c r="AE161" s="1" t="s">
        <v>3</v>
      </c>
      <c r="AF161" s="1" t="s">
        <v>3</v>
      </c>
      <c r="AG161" s="1" t="s">
        <v>3</v>
      </c>
      <c r="AH161" s="1"/>
      <c r="AI161" s="1"/>
      <c r="AJ161" s="1"/>
      <c r="AK161" s="1"/>
      <c r="AL161" s="1"/>
      <c r="AM161" s="1"/>
      <c r="AN161" s="1"/>
      <c r="AO161" s="1"/>
      <c r="AP161" s="1" t="s">
        <v>3</v>
      </c>
      <c r="AQ161" s="1" t="s">
        <v>3</v>
      </c>
      <c r="AR161" s="1" t="s">
        <v>3</v>
      </c>
      <c r="AS161" s="1"/>
      <c r="AT161" s="1"/>
      <c r="AU161" s="1"/>
      <c r="AV161" s="1"/>
      <c r="AW161" s="1"/>
      <c r="AX161" s="1"/>
      <c r="AY161" s="1"/>
      <c r="AZ161" s="1" t="s">
        <v>3</v>
      </c>
      <c r="BA161" s="1"/>
      <c r="BB161" s="1" t="s">
        <v>3</v>
      </c>
      <c r="BC161" s="1" t="s">
        <v>3</v>
      </c>
      <c r="BD161" s="1" t="s">
        <v>3</v>
      </c>
      <c r="BE161" s="1" t="s">
        <v>3</v>
      </c>
      <c r="BF161" s="1" t="s">
        <v>3</v>
      </c>
      <c r="BG161" s="1" t="s">
        <v>3</v>
      </c>
      <c r="BH161" s="1" t="s">
        <v>3</v>
      </c>
      <c r="BI161" s="1" t="s">
        <v>3</v>
      </c>
      <c r="BJ161" s="1" t="s">
        <v>3</v>
      </c>
      <c r="BK161" s="1" t="s">
        <v>3</v>
      </c>
      <c r="BL161" s="1" t="s">
        <v>3</v>
      </c>
      <c r="BM161" s="1" t="s">
        <v>3</v>
      </c>
      <c r="BN161" s="1" t="s">
        <v>3</v>
      </c>
      <c r="BO161" s="1" t="s">
        <v>3</v>
      </c>
      <c r="BP161" s="1" t="s">
        <v>3</v>
      </c>
      <c r="BQ161" s="1"/>
      <c r="BR161" s="1"/>
      <c r="BS161" s="1"/>
      <c r="BT161" s="1"/>
      <c r="BU161" s="1"/>
      <c r="BV161" s="1"/>
      <c r="BW161" s="1"/>
      <c r="BX161" s="1">
        <v>0</v>
      </c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>
        <v>0</v>
      </c>
    </row>
    <row r="163" spans="1:255" x14ac:dyDescent="0.2">
      <c r="A163" s="3">
        <v>52</v>
      </c>
      <c r="B163" s="3">
        <f t="shared" ref="B163:G163" si="152">B238</f>
        <v>1</v>
      </c>
      <c r="C163" s="3">
        <f t="shared" si="152"/>
        <v>4</v>
      </c>
      <c r="D163" s="3">
        <f t="shared" si="152"/>
        <v>161</v>
      </c>
      <c r="E163" s="3">
        <f t="shared" si="152"/>
        <v>0</v>
      </c>
      <c r="F163" s="3" t="str">
        <f t="shared" si="152"/>
        <v/>
      </c>
      <c r="G163" s="3" t="str">
        <f t="shared" si="152"/>
        <v>Информационно-тактильные знаки</v>
      </c>
      <c r="H163" s="3"/>
      <c r="I163" s="3"/>
      <c r="J163" s="3"/>
      <c r="K163" s="3"/>
      <c r="L163" s="3"/>
      <c r="M163" s="3"/>
      <c r="N163" s="3"/>
      <c r="O163" s="3">
        <f t="shared" ref="O163:AT163" si="153">O238</f>
        <v>14931.16</v>
      </c>
      <c r="P163" s="3">
        <f t="shared" si="153"/>
        <v>14074.2</v>
      </c>
      <c r="Q163" s="3">
        <f t="shared" si="153"/>
        <v>0</v>
      </c>
      <c r="R163" s="3">
        <f t="shared" si="153"/>
        <v>0</v>
      </c>
      <c r="S163" s="3">
        <f t="shared" si="153"/>
        <v>856.96</v>
      </c>
      <c r="T163" s="3">
        <f t="shared" si="153"/>
        <v>0</v>
      </c>
      <c r="U163" s="3">
        <f t="shared" si="153"/>
        <v>57.202287999999974</v>
      </c>
      <c r="V163" s="3">
        <f t="shared" si="153"/>
        <v>0</v>
      </c>
      <c r="W163" s="3">
        <f t="shared" si="153"/>
        <v>0</v>
      </c>
      <c r="X163" s="3">
        <f t="shared" si="153"/>
        <v>719.86</v>
      </c>
      <c r="Y163" s="3">
        <f t="shared" si="153"/>
        <v>454.18</v>
      </c>
      <c r="Z163" s="3">
        <f t="shared" si="153"/>
        <v>0</v>
      </c>
      <c r="AA163" s="3">
        <f t="shared" si="153"/>
        <v>0</v>
      </c>
      <c r="AB163" s="3">
        <f t="shared" si="153"/>
        <v>14931.16</v>
      </c>
      <c r="AC163" s="3">
        <f t="shared" si="153"/>
        <v>14074.2</v>
      </c>
      <c r="AD163" s="3">
        <f t="shared" si="153"/>
        <v>0</v>
      </c>
      <c r="AE163" s="3">
        <f t="shared" si="153"/>
        <v>0</v>
      </c>
      <c r="AF163" s="3">
        <f t="shared" si="153"/>
        <v>856.96</v>
      </c>
      <c r="AG163" s="3">
        <f t="shared" si="153"/>
        <v>0</v>
      </c>
      <c r="AH163" s="3">
        <f t="shared" si="153"/>
        <v>57.202287999999974</v>
      </c>
      <c r="AI163" s="3">
        <f t="shared" si="153"/>
        <v>0</v>
      </c>
      <c r="AJ163" s="3">
        <f t="shared" si="153"/>
        <v>0</v>
      </c>
      <c r="AK163" s="3">
        <f t="shared" si="153"/>
        <v>719.86</v>
      </c>
      <c r="AL163" s="3">
        <f t="shared" si="153"/>
        <v>454.18</v>
      </c>
      <c r="AM163" s="3">
        <f t="shared" si="153"/>
        <v>0</v>
      </c>
      <c r="AN163" s="3">
        <f t="shared" si="153"/>
        <v>0</v>
      </c>
      <c r="AO163" s="3">
        <f t="shared" si="153"/>
        <v>0</v>
      </c>
      <c r="AP163" s="3">
        <f t="shared" si="153"/>
        <v>0</v>
      </c>
      <c r="AQ163" s="3">
        <f t="shared" si="153"/>
        <v>0</v>
      </c>
      <c r="AR163" s="3">
        <f t="shared" si="153"/>
        <v>16105.2</v>
      </c>
      <c r="AS163" s="3">
        <f t="shared" si="153"/>
        <v>16105.2</v>
      </c>
      <c r="AT163" s="3">
        <f t="shared" si="153"/>
        <v>0</v>
      </c>
      <c r="AU163" s="3">
        <f t="shared" ref="AU163:BZ163" si="154">AU238</f>
        <v>0</v>
      </c>
      <c r="AV163" s="3">
        <f t="shared" si="154"/>
        <v>14074.2</v>
      </c>
      <c r="AW163" s="3">
        <f t="shared" si="154"/>
        <v>14074.2</v>
      </c>
      <c r="AX163" s="3">
        <f t="shared" si="154"/>
        <v>0</v>
      </c>
      <c r="AY163" s="3">
        <f t="shared" si="154"/>
        <v>14074.2</v>
      </c>
      <c r="AZ163" s="3">
        <f t="shared" si="154"/>
        <v>0</v>
      </c>
      <c r="BA163" s="3">
        <f t="shared" si="154"/>
        <v>0</v>
      </c>
      <c r="BB163" s="3">
        <f t="shared" si="154"/>
        <v>0</v>
      </c>
      <c r="BC163" s="3">
        <f t="shared" si="154"/>
        <v>0</v>
      </c>
      <c r="BD163" s="3">
        <f t="shared" si="154"/>
        <v>0</v>
      </c>
      <c r="BE163" s="3">
        <f t="shared" si="154"/>
        <v>0</v>
      </c>
      <c r="BF163" s="3">
        <f t="shared" si="154"/>
        <v>0</v>
      </c>
      <c r="BG163" s="3">
        <f t="shared" si="154"/>
        <v>0</v>
      </c>
      <c r="BH163" s="3">
        <f t="shared" si="154"/>
        <v>0</v>
      </c>
      <c r="BI163" s="3">
        <f t="shared" si="154"/>
        <v>0</v>
      </c>
      <c r="BJ163" s="3">
        <f t="shared" si="154"/>
        <v>0</v>
      </c>
      <c r="BK163" s="3">
        <f t="shared" si="154"/>
        <v>0</v>
      </c>
      <c r="BL163" s="3">
        <f t="shared" si="154"/>
        <v>0</v>
      </c>
      <c r="BM163" s="3">
        <f t="shared" si="154"/>
        <v>0</v>
      </c>
      <c r="BN163" s="3">
        <f t="shared" si="154"/>
        <v>0</v>
      </c>
      <c r="BO163" s="3">
        <f t="shared" si="154"/>
        <v>0</v>
      </c>
      <c r="BP163" s="3">
        <f t="shared" si="154"/>
        <v>0</v>
      </c>
      <c r="BQ163" s="3">
        <f t="shared" si="154"/>
        <v>0</v>
      </c>
      <c r="BR163" s="3">
        <f t="shared" si="154"/>
        <v>0</v>
      </c>
      <c r="BS163" s="3">
        <f t="shared" si="154"/>
        <v>0</v>
      </c>
      <c r="BT163" s="3">
        <f t="shared" si="154"/>
        <v>0</v>
      </c>
      <c r="BU163" s="3">
        <f t="shared" si="154"/>
        <v>0</v>
      </c>
      <c r="BV163" s="3">
        <f t="shared" si="154"/>
        <v>0</v>
      </c>
      <c r="BW163" s="3">
        <f t="shared" si="154"/>
        <v>0</v>
      </c>
      <c r="BX163" s="3">
        <f t="shared" si="154"/>
        <v>0</v>
      </c>
      <c r="BY163" s="3">
        <f t="shared" si="154"/>
        <v>0</v>
      </c>
      <c r="BZ163" s="3">
        <f t="shared" si="154"/>
        <v>0</v>
      </c>
      <c r="CA163" s="3">
        <f t="shared" ref="CA163:DF163" si="155">CA238</f>
        <v>16105.2</v>
      </c>
      <c r="CB163" s="3">
        <f t="shared" si="155"/>
        <v>16105.2</v>
      </c>
      <c r="CC163" s="3">
        <f t="shared" si="155"/>
        <v>0</v>
      </c>
      <c r="CD163" s="3">
        <f t="shared" si="155"/>
        <v>0</v>
      </c>
      <c r="CE163" s="3">
        <f t="shared" si="155"/>
        <v>14074.2</v>
      </c>
      <c r="CF163" s="3">
        <f t="shared" si="155"/>
        <v>14074.2</v>
      </c>
      <c r="CG163" s="3">
        <f t="shared" si="155"/>
        <v>0</v>
      </c>
      <c r="CH163" s="3">
        <f t="shared" si="155"/>
        <v>14074.2</v>
      </c>
      <c r="CI163" s="3">
        <f t="shared" si="155"/>
        <v>0</v>
      </c>
      <c r="CJ163" s="3">
        <f t="shared" si="155"/>
        <v>0</v>
      </c>
      <c r="CK163" s="3">
        <f t="shared" si="155"/>
        <v>0</v>
      </c>
      <c r="CL163" s="3">
        <f t="shared" si="155"/>
        <v>0</v>
      </c>
      <c r="CM163" s="3">
        <f t="shared" si="155"/>
        <v>0</v>
      </c>
      <c r="CN163" s="3">
        <f t="shared" si="155"/>
        <v>0</v>
      </c>
      <c r="CO163" s="3">
        <f t="shared" si="155"/>
        <v>0</v>
      </c>
      <c r="CP163" s="3">
        <f t="shared" si="155"/>
        <v>0</v>
      </c>
      <c r="CQ163" s="3">
        <f t="shared" si="155"/>
        <v>0</v>
      </c>
      <c r="CR163" s="3">
        <f t="shared" si="155"/>
        <v>0</v>
      </c>
      <c r="CS163" s="3">
        <f t="shared" si="155"/>
        <v>0</v>
      </c>
      <c r="CT163" s="3">
        <f t="shared" si="155"/>
        <v>0</v>
      </c>
      <c r="CU163" s="3">
        <f t="shared" si="155"/>
        <v>0</v>
      </c>
      <c r="CV163" s="3">
        <f t="shared" si="155"/>
        <v>0</v>
      </c>
      <c r="CW163" s="3">
        <f t="shared" si="155"/>
        <v>0</v>
      </c>
      <c r="CX163" s="3">
        <f t="shared" si="155"/>
        <v>0</v>
      </c>
      <c r="CY163" s="3">
        <f t="shared" si="155"/>
        <v>0</v>
      </c>
      <c r="CZ163" s="3">
        <f t="shared" si="155"/>
        <v>0</v>
      </c>
      <c r="DA163" s="3">
        <f t="shared" si="155"/>
        <v>0</v>
      </c>
      <c r="DB163" s="3">
        <f t="shared" si="155"/>
        <v>0</v>
      </c>
      <c r="DC163" s="3">
        <f t="shared" si="155"/>
        <v>0</v>
      </c>
      <c r="DD163" s="3">
        <f t="shared" si="155"/>
        <v>0</v>
      </c>
      <c r="DE163" s="3">
        <f t="shared" si="155"/>
        <v>0</v>
      </c>
      <c r="DF163" s="3">
        <f t="shared" si="155"/>
        <v>0</v>
      </c>
      <c r="DG163" s="4">
        <f t="shared" ref="DG163:EL163" si="156">DG238</f>
        <v>134266.59</v>
      </c>
      <c r="DH163" s="4">
        <f t="shared" si="156"/>
        <v>87142.37</v>
      </c>
      <c r="DI163" s="4">
        <f t="shared" si="156"/>
        <v>0</v>
      </c>
      <c r="DJ163" s="4">
        <f t="shared" si="156"/>
        <v>0</v>
      </c>
      <c r="DK163" s="4">
        <f t="shared" si="156"/>
        <v>47124.22</v>
      </c>
      <c r="DL163" s="4">
        <f t="shared" si="156"/>
        <v>0</v>
      </c>
      <c r="DM163" s="4">
        <f t="shared" si="156"/>
        <v>57.202287999999974</v>
      </c>
      <c r="DN163" s="4">
        <f t="shared" si="156"/>
        <v>0</v>
      </c>
      <c r="DO163" s="4">
        <f t="shared" si="156"/>
        <v>0</v>
      </c>
      <c r="DP163" s="4">
        <f t="shared" si="156"/>
        <v>39584.36</v>
      </c>
      <c r="DQ163" s="4">
        <f t="shared" si="156"/>
        <v>24975.84</v>
      </c>
      <c r="DR163" s="4">
        <f t="shared" si="156"/>
        <v>0</v>
      </c>
      <c r="DS163" s="4">
        <f t="shared" si="156"/>
        <v>0</v>
      </c>
      <c r="DT163" s="4">
        <f t="shared" si="156"/>
        <v>134266.59</v>
      </c>
      <c r="DU163" s="4">
        <f t="shared" si="156"/>
        <v>87142.37</v>
      </c>
      <c r="DV163" s="4">
        <f t="shared" si="156"/>
        <v>0</v>
      </c>
      <c r="DW163" s="4">
        <f t="shared" si="156"/>
        <v>0</v>
      </c>
      <c r="DX163" s="4">
        <f t="shared" si="156"/>
        <v>47124.22</v>
      </c>
      <c r="DY163" s="4">
        <f t="shared" si="156"/>
        <v>0</v>
      </c>
      <c r="DZ163" s="4">
        <f t="shared" si="156"/>
        <v>57.202287999999974</v>
      </c>
      <c r="EA163" s="4">
        <f t="shared" si="156"/>
        <v>0</v>
      </c>
      <c r="EB163" s="4">
        <f t="shared" si="156"/>
        <v>0</v>
      </c>
      <c r="EC163" s="4">
        <f t="shared" si="156"/>
        <v>39584.36</v>
      </c>
      <c r="ED163" s="4">
        <f t="shared" si="156"/>
        <v>24975.84</v>
      </c>
      <c r="EE163" s="4">
        <f t="shared" si="156"/>
        <v>0</v>
      </c>
      <c r="EF163" s="4">
        <f t="shared" si="156"/>
        <v>0</v>
      </c>
      <c r="EG163" s="4">
        <f t="shared" si="156"/>
        <v>0</v>
      </c>
      <c r="EH163" s="4">
        <f t="shared" si="156"/>
        <v>0</v>
      </c>
      <c r="EI163" s="4">
        <f t="shared" si="156"/>
        <v>0</v>
      </c>
      <c r="EJ163" s="4">
        <f t="shared" si="156"/>
        <v>198826.79</v>
      </c>
      <c r="EK163" s="4">
        <f t="shared" si="156"/>
        <v>198826.79</v>
      </c>
      <c r="EL163" s="4">
        <f t="shared" si="156"/>
        <v>0</v>
      </c>
      <c r="EM163" s="4">
        <f t="shared" ref="EM163:FR163" si="157">EM238</f>
        <v>0</v>
      </c>
      <c r="EN163" s="4">
        <f t="shared" si="157"/>
        <v>87142.37</v>
      </c>
      <c r="EO163" s="4">
        <f t="shared" si="157"/>
        <v>87142.37</v>
      </c>
      <c r="EP163" s="4">
        <f t="shared" si="157"/>
        <v>0</v>
      </c>
      <c r="EQ163" s="4">
        <f t="shared" si="157"/>
        <v>87142.37</v>
      </c>
      <c r="ER163" s="4">
        <f t="shared" si="157"/>
        <v>0</v>
      </c>
      <c r="ES163" s="4">
        <f t="shared" si="157"/>
        <v>0</v>
      </c>
      <c r="ET163" s="4">
        <f t="shared" si="157"/>
        <v>0</v>
      </c>
      <c r="EU163" s="4">
        <f t="shared" si="157"/>
        <v>0</v>
      </c>
      <c r="EV163" s="4">
        <f t="shared" si="157"/>
        <v>0</v>
      </c>
      <c r="EW163" s="4">
        <f t="shared" si="157"/>
        <v>0</v>
      </c>
      <c r="EX163" s="4">
        <f t="shared" si="157"/>
        <v>0</v>
      </c>
      <c r="EY163" s="4">
        <f t="shared" si="157"/>
        <v>0</v>
      </c>
      <c r="EZ163" s="4">
        <f t="shared" si="157"/>
        <v>0</v>
      </c>
      <c r="FA163" s="4">
        <f t="shared" si="157"/>
        <v>0</v>
      </c>
      <c r="FB163" s="4">
        <f t="shared" si="157"/>
        <v>0</v>
      </c>
      <c r="FC163" s="4">
        <f t="shared" si="157"/>
        <v>0</v>
      </c>
      <c r="FD163" s="4">
        <f t="shared" si="157"/>
        <v>0</v>
      </c>
      <c r="FE163" s="4">
        <f t="shared" si="157"/>
        <v>0</v>
      </c>
      <c r="FF163" s="4">
        <f t="shared" si="157"/>
        <v>0</v>
      </c>
      <c r="FG163" s="4">
        <f t="shared" si="157"/>
        <v>0</v>
      </c>
      <c r="FH163" s="4">
        <f t="shared" si="157"/>
        <v>0</v>
      </c>
      <c r="FI163" s="4">
        <f t="shared" si="157"/>
        <v>0</v>
      </c>
      <c r="FJ163" s="4">
        <f t="shared" si="157"/>
        <v>0</v>
      </c>
      <c r="FK163" s="4">
        <f t="shared" si="157"/>
        <v>0</v>
      </c>
      <c r="FL163" s="4">
        <f t="shared" si="157"/>
        <v>0</v>
      </c>
      <c r="FM163" s="4">
        <f t="shared" si="157"/>
        <v>0</v>
      </c>
      <c r="FN163" s="4">
        <f t="shared" si="157"/>
        <v>0</v>
      </c>
      <c r="FO163" s="4">
        <f t="shared" si="157"/>
        <v>0</v>
      </c>
      <c r="FP163" s="4">
        <f t="shared" si="157"/>
        <v>0</v>
      </c>
      <c r="FQ163" s="4">
        <f t="shared" si="157"/>
        <v>0</v>
      </c>
      <c r="FR163" s="4">
        <f t="shared" si="157"/>
        <v>0</v>
      </c>
      <c r="FS163" s="4">
        <f t="shared" ref="FS163:GX163" si="158">FS238</f>
        <v>198826.79</v>
      </c>
      <c r="FT163" s="4">
        <f t="shared" si="158"/>
        <v>198826.79</v>
      </c>
      <c r="FU163" s="4">
        <f t="shared" si="158"/>
        <v>0</v>
      </c>
      <c r="FV163" s="4">
        <f t="shared" si="158"/>
        <v>0</v>
      </c>
      <c r="FW163" s="4">
        <f t="shared" si="158"/>
        <v>87142.37</v>
      </c>
      <c r="FX163" s="4">
        <f t="shared" si="158"/>
        <v>87142.37</v>
      </c>
      <c r="FY163" s="4">
        <f t="shared" si="158"/>
        <v>0</v>
      </c>
      <c r="FZ163" s="4">
        <f t="shared" si="158"/>
        <v>87142.37</v>
      </c>
      <c r="GA163" s="4">
        <f t="shared" si="158"/>
        <v>0</v>
      </c>
      <c r="GB163" s="4">
        <f t="shared" si="158"/>
        <v>0</v>
      </c>
      <c r="GC163" s="4">
        <f t="shared" si="158"/>
        <v>0</v>
      </c>
      <c r="GD163" s="4">
        <f t="shared" si="158"/>
        <v>0</v>
      </c>
      <c r="GE163" s="4">
        <f t="shared" si="158"/>
        <v>0</v>
      </c>
      <c r="GF163" s="4">
        <f t="shared" si="158"/>
        <v>0</v>
      </c>
      <c r="GG163" s="4">
        <f t="shared" si="158"/>
        <v>0</v>
      </c>
      <c r="GH163" s="4">
        <f t="shared" si="158"/>
        <v>0</v>
      </c>
      <c r="GI163" s="4">
        <f t="shared" si="158"/>
        <v>0</v>
      </c>
      <c r="GJ163" s="4">
        <f t="shared" si="158"/>
        <v>0</v>
      </c>
      <c r="GK163" s="4">
        <f t="shared" si="158"/>
        <v>0</v>
      </c>
      <c r="GL163" s="4">
        <f t="shared" si="158"/>
        <v>0</v>
      </c>
      <c r="GM163" s="4">
        <f t="shared" si="158"/>
        <v>0</v>
      </c>
      <c r="GN163" s="4">
        <f t="shared" si="158"/>
        <v>0</v>
      </c>
      <c r="GO163" s="4">
        <f t="shared" si="158"/>
        <v>0</v>
      </c>
      <c r="GP163" s="4">
        <f t="shared" si="158"/>
        <v>0</v>
      </c>
      <c r="GQ163" s="4">
        <f t="shared" si="158"/>
        <v>0</v>
      </c>
      <c r="GR163" s="4">
        <f t="shared" si="158"/>
        <v>0</v>
      </c>
      <c r="GS163" s="4">
        <f t="shared" si="158"/>
        <v>0</v>
      </c>
      <c r="GT163" s="4">
        <f t="shared" si="158"/>
        <v>0</v>
      </c>
      <c r="GU163" s="4">
        <f t="shared" si="158"/>
        <v>0</v>
      </c>
      <c r="GV163" s="4">
        <f t="shared" si="158"/>
        <v>0</v>
      </c>
      <c r="GW163" s="4">
        <f t="shared" si="158"/>
        <v>0</v>
      </c>
      <c r="GX163" s="4">
        <f t="shared" si="158"/>
        <v>0</v>
      </c>
    </row>
    <row r="165" spans="1:255" x14ac:dyDescent="0.2">
      <c r="A165" s="2">
        <v>17</v>
      </c>
      <c r="B165" s="2">
        <v>1</v>
      </c>
      <c r="C165" s="2">
        <f>ROW(SmtRes!A3)</f>
        <v>3</v>
      </c>
      <c r="D165" s="2">
        <f>ROW(EtalonRes!A11)</f>
        <v>11</v>
      </c>
      <c r="E165" s="2" t="s">
        <v>148</v>
      </c>
      <c r="F165" s="2" t="s">
        <v>149</v>
      </c>
      <c r="G165" s="2" t="s">
        <v>150</v>
      </c>
      <c r="H165" s="2" t="s">
        <v>37</v>
      </c>
      <c r="I165" s="2">
        <v>6</v>
      </c>
      <c r="J165" s="2">
        <v>0</v>
      </c>
      <c r="K165" s="2">
        <v>6</v>
      </c>
      <c r="L165" s="2"/>
      <c r="M165" s="2"/>
      <c r="N165" s="2"/>
      <c r="O165" s="2">
        <f t="shared" ref="O165:O196" si="159">ROUND(CP165,2)</f>
        <v>67.27</v>
      </c>
      <c r="P165" s="2">
        <f t="shared" ref="P165:P196" si="160">ROUND((ROUND((AC165*AW165*I165),2)*BC165),2)</f>
        <v>3</v>
      </c>
      <c r="Q165" s="2">
        <f>(ROUND((ROUND(((((ET165*1.25)*1.1))*AV165*I165),2)*BB165),2)+ROUND((ROUND(((AE165-(((EU165*1.25)*1.1)))*AV165*I165),2)*BS165),2))</f>
        <v>0</v>
      </c>
      <c r="R165" s="2">
        <f>(ROUND((ROUND(((((EU165*1.25)*1.1))*AV165*I165),2)*BS165),2)+ROUND((ROUND(((AE165-(((EU165*1.25)*1.1)))*AV165*I165),2)*BS165),2))</f>
        <v>0</v>
      </c>
      <c r="S165" s="2">
        <f t="shared" ref="S165:S196" si="161">ROUND((ROUND((AF165*AV165*I165),2)*BA165),2)</f>
        <v>64.27</v>
      </c>
      <c r="T165" s="2">
        <f t="shared" ref="T165:T196" si="162">ROUND(CU165*I165,2)</f>
        <v>0</v>
      </c>
      <c r="U165" s="2">
        <f t="shared" ref="U165:U196" si="163">CV165*I165</f>
        <v>4.2901715999999999</v>
      </c>
      <c r="V165" s="2">
        <f t="shared" ref="V165:V196" si="164">CW165*I165</f>
        <v>0</v>
      </c>
      <c r="W165" s="2">
        <f t="shared" ref="W165:W196" si="165">ROUND(CX165*I165,2)</f>
        <v>0</v>
      </c>
      <c r="X165" s="2">
        <f>(ROUND((((S165+ROUND((ROUND(((((EU165*1.25)*1.1))*AV165*I165),2)*BS165),2))*AT165)/100),2)+ROUND(((ROUND((ROUND(((AE165-(((EU165*1.25)*1.1)))*AV165*I165),2)*BS165),2)*AT165)/100),2))</f>
        <v>53.99</v>
      </c>
      <c r="Y165" s="2">
        <f>(ROUND((((S165+ROUND((ROUND(((((EU165*1.25)*1.1))*AV165*I165),2)*BS165),2))*AU165)/100),2)+ROUND(((ROUND((ROUND(((AE165-(((EU165*1.25)*1.1)))*AV165*I165),2)*BS165),2)*AU165)/100),2))</f>
        <v>34.06</v>
      </c>
      <c r="Z165" s="2"/>
      <c r="AA165" s="2">
        <v>59499218</v>
      </c>
      <c r="AB165" s="2">
        <f t="shared" ref="AB165:AB196" si="166">ROUND((AC165+AD165+AF165),6)</f>
        <v>10.35435</v>
      </c>
      <c r="AC165" s="2">
        <f t="shared" ref="AC165:AC196" si="167">ROUND((ES165),6)</f>
        <v>0.5</v>
      </c>
      <c r="AD165" s="2">
        <f>ROUND((((((ET165*1.25)*1.1))-(((EU165*1.25)*1.1)))+AE165),6)</f>
        <v>0</v>
      </c>
      <c r="AE165" s="2">
        <f>ROUND((((EU165*1.25)*1.1)),6)</f>
        <v>0</v>
      </c>
      <c r="AF165" s="2">
        <f>ROUND((((EV165*1.15)*1.1)),6)</f>
        <v>9.8543500000000002</v>
      </c>
      <c r="AG165" s="2">
        <f t="shared" ref="AG165:AG196" si="168">ROUND((AP165),6)</f>
        <v>0</v>
      </c>
      <c r="AH165" s="2">
        <f>(((EW165*1.15)*1.1))</f>
        <v>0.65780000000000005</v>
      </c>
      <c r="AI165" s="2">
        <f>(((EX165*1.25)*1.1))</f>
        <v>0</v>
      </c>
      <c r="AJ165" s="2">
        <f t="shared" ref="AJ165:AJ196" si="169">(AS165)</f>
        <v>0</v>
      </c>
      <c r="AK165" s="2">
        <v>8.2899999999999991</v>
      </c>
      <c r="AL165" s="2">
        <v>0.5</v>
      </c>
      <c r="AM165" s="2">
        <v>0</v>
      </c>
      <c r="AN165" s="2">
        <v>0</v>
      </c>
      <c r="AO165" s="2">
        <v>7.79</v>
      </c>
      <c r="AP165" s="2">
        <v>0</v>
      </c>
      <c r="AQ165" s="2">
        <v>0.52</v>
      </c>
      <c r="AR165" s="2">
        <v>0</v>
      </c>
      <c r="AS165" s="2">
        <v>0</v>
      </c>
      <c r="AT165" s="2">
        <v>84</v>
      </c>
      <c r="AU165" s="2">
        <v>53</v>
      </c>
      <c r="AV165" s="2">
        <v>1.087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0</v>
      </c>
      <c r="BI165" s="2">
        <v>1</v>
      </c>
      <c r="BJ165" s="2" t="s">
        <v>151</v>
      </c>
      <c r="BK165" s="2"/>
      <c r="BL165" s="2"/>
      <c r="BM165" s="2">
        <v>55</v>
      </c>
      <c r="BN165" s="2">
        <v>59298886</v>
      </c>
      <c r="BO165" s="2" t="s">
        <v>149</v>
      </c>
      <c r="BP165" s="2">
        <v>1</v>
      </c>
      <c r="BQ165" s="2">
        <v>30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84</v>
      </c>
      <c r="CA165" s="2">
        <v>53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375</v>
      </c>
      <c r="CO165" s="2">
        <v>0</v>
      </c>
      <c r="CP165" s="2">
        <f t="shared" ref="CP165:CP196" si="170">(P165+Q165+S165)</f>
        <v>67.27</v>
      </c>
      <c r="CQ165" s="2">
        <f t="shared" ref="CQ165:CQ196" si="171">ROUND((ROUND((AC165*AW165*1),2)*BC165),2)</f>
        <v>0.5</v>
      </c>
      <c r="CR165" s="2">
        <f>(ROUND((ROUND(((((ET165*1.25)*1.1))*AV165*1),2)*BB165),2)+ROUND((ROUND(((AE165-(((EU165*1.25)*1.1)))*AV165*1),2)*BS165),2))</f>
        <v>0</v>
      </c>
      <c r="CS165" s="2">
        <f>(ROUND((ROUND(((((EU165*1.25)*1.1))*AV165*1),2)*BS165),2)+ROUND((ROUND(((AE165-(((EU165*1.25)*1.1)))*AV165*1),2)*BS165),2))</f>
        <v>0</v>
      </c>
      <c r="CT165" s="2">
        <f t="shared" ref="CT165:CT196" si="172">ROUND((ROUND((AF165*AV165*1),2)*BA165),2)</f>
        <v>10.71</v>
      </c>
      <c r="CU165" s="2">
        <f t="shared" ref="CU165:CU196" si="173">AG165</f>
        <v>0</v>
      </c>
      <c r="CV165" s="2">
        <f t="shared" ref="CV165:CV196" si="174">(AH165*AV165)</f>
        <v>0.71502860000000001</v>
      </c>
      <c r="CW165" s="2">
        <f t="shared" ref="CW165:CW196" si="175">AI165</f>
        <v>0</v>
      </c>
      <c r="CX165" s="2">
        <f t="shared" ref="CX165:CX196" si="176">AJ165</f>
        <v>0</v>
      </c>
      <c r="CY165" s="2">
        <f>(ROUND((((S165+ROUND((ROUND(((((EU165*1.25)*1.1))*AV165*1),2)*BS165),2))*AT165)/100),2)+ROUND(((ROUND((ROUND(((AE165-(((EU165*1.25)*1.1)))*AV165*1),2)*BS165),2)*AT165)/100),2))</f>
        <v>53.99</v>
      </c>
      <c r="CZ165" s="2">
        <f>(ROUND((((S165+ROUND((ROUND(((((EU165*1.25)*1.1))*AV165*1),2)*BS165),2))*AU165)/100),2)+ROUND(((ROUND((ROUND(((AE165-(((EU165*1.25)*1.1)))*AV165*1),2)*BS165),2)*AU165)/100),2))</f>
        <v>34.06</v>
      </c>
      <c r="DA165" s="2"/>
      <c r="DB165" s="2">
        <v>21</v>
      </c>
      <c r="DC165" s="2" t="s">
        <v>3</v>
      </c>
      <c r="DD165" s="2" t="s">
        <v>3</v>
      </c>
      <c r="DE165" s="2" t="s">
        <v>39</v>
      </c>
      <c r="DF165" s="2" t="s">
        <v>39</v>
      </c>
      <c r="DG165" s="2" t="s">
        <v>40</v>
      </c>
      <c r="DH165" s="2" t="s">
        <v>3</v>
      </c>
      <c r="DI165" s="2" t="s">
        <v>40</v>
      </c>
      <c r="DJ165" s="2" t="s">
        <v>39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1013</v>
      </c>
      <c r="DV165" s="2" t="s">
        <v>37</v>
      </c>
      <c r="DW165" s="2" t="s">
        <v>37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59298982</v>
      </c>
      <c r="EF165" s="2">
        <v>30</v>
      </c>
      <c r="EG165" s="2" t="s">
        <v>26</v>
      </c>
      <c r="EH165" s="2">
        <v>0</v>
      </c>
      <c r="EI165" s="2" t="s">
        <v>3</v>
      </c>
      <c r="EJ165" s="2">
        <v>1</v>
      </c>
      <c r="EK165" s="2">
        <v>55</v>
      </c>
      <c r="EL165" s="2" t="s">
        <v>152</v>
      </c>
      <c r="EM165" s="2" t="s">
        <v>153</v>
      </c>
      <c r="EN165" s="2"/>
      <c r="EO165" s="2" t="s">
        <v>41</v>
      </c>
      <c r="EP165" s="2"/>
      <c r="EQ165" s="2">
        <v>0</v>
      </c>
      <c r="ER165" s="2">
        <v>8.2899999999999991</v>
      </c>
      <c r="ES165" s="2">
        <v>0.5</v>
      </c>
      <c r="ET165" s="2">
        <v>0</v>
      </c>
      <c r="EU165" s="2">
        <v>0</v>
      </c>
      <c r="EV165" s="2">
        <v>7.79</v>
      </c>
      <c r="EW165" s="2">
        <v>0.52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84</v>
      </c>
      <c r="FY165" s="2">
        <v>53</v>
      </c>
      <c r="FZ165" s="2"/>
      <c r="GA165" s="2" t="s">
        <v>3</v>
      </c>
      <c r="GB165" s="2"/>
      <c r="GC165" s="2"/>
      <c r="GD165" s="2">
        <v>1</v>
      </c>
      <c r="GE165" s="2"/>
      <c r="GF165" s="2">
        <v>1188505423</v>
      </c>
      <c r="GG165" s="2">
        <v>2</v>
      </c>
      <c r="GH165" s="2">
        <v>1</v>
      </c>
      <c r="GI165" s="2">
        <v>2</v>
      </c>
      <c r="GJ165" s="2">
        <v>0</v>
      </c>
      <c r="GK165" s="2">
        <v>0</v>
      </c>
      <c r="GL165" s="2">
        <f t="shared" ref="GL165:GL196" si="177">ROUND(IF(AND(BH165=3,BI165=3,FS165&lt;&gt;0),P165,0),2)</f>
        <v>0</v>
      </c>
      <c r="GM165" s="2">
        <f t="shared" ref="GM165:GM196" si="178">ROUND(O165+X165+Y165,2)+GX165</f>
        <v>155.32</v>
      </c>
      <c r="GN165" s="2">
        <f t="shared" ref="GN165:GN196" si="179">IF(OR(BI165=0,BI165=1),GM165-GX165,0)</f>
        <v>155.32</v>
      </c>
      <c r="GO165" s="2">
        <f t="shared" ref="GO165:GO196" si="180">IF(BI165=2,GM165-GX165,0)</f>
        <v>0</v>
      </c>
      <c r="GP165" s="2">
        <f t="shared" ref="GP165:GP196" si="181">IF(BI165=4,GM165-GX165,0)</f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ref="GV165:GV196" si="182">ROUND((GT165),6)</f>
        <v>0</v>
      </c>
      <c r="GW165" s="2">
        <v>1</v>
      </c>
      <c r="GX165" s="2">
        <f t="shared" ref="GX165:GX196" si="183">ROUND(HC165*I165,2)</f>
        <v>0</v>
      </c>
      <c r="GY165" s="2"/>
      <c r="GZ165" s="2"/>
      <c r="HA165" s="2">
        <v>0</v>
      </c>
      <c r="HB165" s="2">
        <v>0</v>
      </c>
      <c r="HC165" s="2">
        <f t="shared" ref="HC165:HC196" si="184">GV165*GW165</f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">
      <c r="A166">
        <v>17</v>
      </c>
      <c r="B166">
        <v>1</v>
      </c>
      <c r="C166">
        <f>ROW(SmtRes!A6)</f>
        <v>6</v>
      </c>
      <c r="D166">
        <f>ROW(EtalonRes!A14)</f>
        <v>14</v>
      </c>
      <c r="E166" t="s">
        <v>148</v>
      </c>
      <c r="F166" t="s">
        <v>149</v>
      </c>
      <c r="G166" t="s">
        <v>150</v>
      </c>
      <c r="H166" t="s">
        <v>37</v>
      </c>
      <c r="I166">
        <v>6</v>
      </c>
      <c r="J166">
        <v>0</v>
      </c>
      <c r="K166">
        <v>6</v>
      </c>
      <c r="O166">
        <f t="shared" si="159"/>
        <v>3581.91</v>
      </c>
      <c r="P166">
        <f t="shared" si="160"/>
        <v>47.7</v>
      </c>
      <c r="Q166">
        <f>(ROUND((ROUND(((((ET166*1.25)*1.1))*AV166*I166),2)*BB166),2)+ROUND((ROUND(((AE166-(((EU166*1.25)*1.1)))*AV166*I166),2)*BS166),2))</f>
        <v>0</v>
      </c>
      <c r="R166">
        <f>(ROUND((ROUND(((((EU166*1.25)*1.1))*AV166*I166),2)*BS166),2)+ROUND((ROUND(((AE166-(((EU166*1.25)*1.1)))*AV166*I166),2)*BS166),2))</f>
        <v>0</v>
      </c>
      <c r="S166">
        <f t="shared" si="161"/>
        <v>3534.21</v>
      </c>
      <c r="T166">
        <f t="shared" si="162"/>
        <v>0</v>
      </c>
      <c r="U166">
        <f t="shared" si="163"/>
        <v>4.2901715999999999</v>
      </c>
      <c r="V166">
        <f t="shared" si="164"/>
        <v>0</v>
      </c>
      <c r="W166">
        <f t="shared" si="165"/>
        <v>0</v>
      </c>
      <c r="X166">
        <f>(ROUND((((S166+ROUND((ROUND(((((EU166*1.25)*1.1))*AV166*I166),2)*BS166),2))*AT166)/100),2)+ROUND(((ROUND((ROUND(((AE166-(((EU166*1.25)*1.1)))*AV166*I166),2)*BS166),2)*AT166)/100),2))</f>
        <v>2968.74</v>
      </c>
      <c r="Y166">
        <f>(ROUND((((S166+ROUND((ROUND(((((EU166*1.25)*1.1))*AV166*I166),2)*BS166),2))*AU166)/100),2)+ROUND(((ROUND((ROUND(((AE166-(((EU166*1.25)*1.1)))*AV166*I166),2)*BS166),2)*AU166)/100),2))</f>
        <v>1873.13</v>
      </c>
      <c r="AA166">
        <v>59499215</v>
      </c>
      <c r="AB166">
        <f t="shared" si="166"/>
        <v>10.35435</v>
      </c>
      <c r="AC166">
        <f t="shared" si="167"/>
        <v>0.5</v>
      </c>
      <c r="AD166">
        <f>ROUND((((((ET166*1.25)*1.1))-(((EU166*1.25)*1.1)))+AE166),6)</f>
        <v>0</v>
      </c>
      <c r="AE166">
        <f>ROUND((((EU166*1.25)*1.1)),6)</f>
        <v>0</v>
      </c>
      <c r="AF166">
        <f>ROUND((((EV166*1.15)*1.1)),6)</f>
        <v>9.8543500000000002</v>
      </c>
      <c r="AG166">
        <f t="shared" si="168"/>
        <v>0</v>
      </c>
      <c r="AH166">
        <f>(((EW166*1.15)*1.1))</f>
        <v>0.65780000000000005</v>
      </c>
      <c r="AI166">
        <f>(((EX166*1.25)*1.1))</f>
        <v>0</v>
      </c>
      <c r="AJ166">
        <f t="shared" si="169"/>
        <v>0</v>
      </c>
      <c r="AK166">
        <v>8.2899999999999991</v>
      </c>
      <c r="AL166">
        <v>0.5</v>
      </c>
      <c r="AM166">
        <v>0</v>
      </c>
      <c r="AN166">
        <v>0</v>
      </c>
      <c r="AO166">
        <v>7.79</v>
      </c>
      <c r="AP166">
        <v>0</v>
      </c>
      <c r="AQ166">
        <v>0.52</v>
      </c>
      <c r="AR166">
        <v>0</v>
      </c>
      <c r="AS166">
        <v>0</v>
      </c>
      <c r="AT166">
        <v>84</v>
      </c>
      <c r="AU166">
        <v>53</v>
      </c>
      <c r="AV166">
        <v>1.087</v>
      </c>
      <c r="AW166">
        <v>1</v>
      </c>
      <c r="AZ166">
        <v>1</v>
      </c>
      <c r="BA166">
        <v>54.99</v>
      </c>
      <c r="BB166">
        <v>1</v>
      </c>
      <c r="BC166">
        <v>15.9</v>
      </c>
      <c r="BD166" t="s">
        <v>3</v>
      </c>
      <c r="BE166" t="s">
        <v>3</v>
      </c>
      <c r="BF166" t="s">
        <v>3</v>
      </c>
      <c r="BG166" t="s">
        <v>3</v>
      </c>
      <c r="BH166">
        <v>0</v>
      </c>
      <c r="BI166">
        <v>1</v>
      </c>
      <c r="BJ166" t="s">
        <v>151</v>
      </c>
      <c r="BM166">
        <v>55</v>
      </c>
      <c r="BN166">
        <v>59298886</v>
      </c>
      <c r="BO166" t="s">
        <v>149</v>
      </c>
      <c r="BP166">
        <v>1</v>
      </c>
      <c r="BQ166">
        <v>30</v>
      </c>
      <c r="BR166">
        <v>0</v>
      </c>
      <c r="BS166">
        <v>54.99</v>
      </c>
      <c r="BT166">
        <v>1</v>
      </c>
      <c r="BU166">
        <v>1</v>
      </c>
      <c r="BV166">
        <v>1</v>
      </c>
      <c r="BW166">
        <v>1</v>
      </c>
      <c r="BX166">
        <v>1</v>
      </c>
      <c r="BY166" t="s">
        <v>3</v>
      </c>
      <c r="BZ166">
        <v>84</v>
      </c>
      <c r="CA166">
        <v>53</v>
      </c>
      <c r="CB166" t="s">
        <v>3</v>
      </c>
      <c r="CE166">
        <v>1566</v>
      </c>
      <c r="CF166">
        <v>0</v>
      </c>
      <c r="CG166">
        <v>0</v>
      </c>
      <c r="CM166">
        <v>0</v>
      </c>
      <c r="CN166" t="s">
        <v>375</v>
      </c>
      <c r="CO166">
        <v>0</v>
      </c>
      <c r="CP166">
        <f t="shared" si="170"/>
        <v>3581.91</v>
      </c>
      <c r="CQ166">
        <f t="shared" si="171"/>
        <v>7.95</v>
      </c>
      <c r="CR166">
        <f>(ROUND((ROUND(((((ET166*1.25)*1.1))*AV166*1),2)*BB166),2)+ROUND((ROUND(((AE166-(((EU166*1.25)*1.1)))*AV166*1),2)*BS166),2))</f>
        <v>0</v>
      </c>
      <c r="CS166">
        <f>(ROUND((ROUND(((((EU166*1.25)*1.1))*AV166*1),2)*BS166),2)+ROUND((ROUND(((AE166-(((EU166*1.25)*1.1)))*AV166*1),2)*BS166),2))</f>
        <v>0</v>
      </c>
      <c r="CT166">
        <f t="shared" si="172"/>
        <v>588.94000000000005</v>
      </c>
      <c r="CU166">
        <f t="shared" si="173"/>
        <v>0</v>
      </c>
      <c r="CV166">
        <f t="shared" si="174"/>
        <v>0.71502860000000001</v>
      </c>
      <c r="CW166">
        <f t="shared" si="175"/>
        <v>0</v>
      </c>
      <c r="CX166">
        <f t="shared" si="176"/>
        <v>0</v>
      </c>
      <c r="CY166">
        <f>(ROUND((((S166+ROUND((ROUND(((((EU166*1.25)*1.1))*AV166*1),2)*BS166),2))*AT166)/100),2)+ROUND(((ROUND((ROUND(((AE166-(((EU166*1.25)*1.1)))*AV166*1),2)*BS166),2)*AT166)/100),2))</f>
        <v>2968.74</v>
      </c>
      <c r="CZ166">
        <f>(ROUND((((S166+ROUND((ROUND(((((EU166*1.25)*1.1))*AV166*1),2)*BS166),2))*AU166)/100),2)+ROUND(((ROUND((ROUND(((AE166-(((EU166*1.25)*1.1)))*AV166*1),2)*BS166),2)*AU166)/100),2))</f>
        <v>1873.13</v>
      </c>
      <c r="DB166">
        <v>23</v>
      </c>
      <c r="DC166" t="s">
        <v>3</v>
      </c>
      <c r="DD166" t="s">
        <v>3</v>
      </c>
      <c r="DE166" t="s">
        <v>39</v>
      </c>
      <c r="DF166" t="s">
        <v>39</v>
      </c>
      <c r="DG166" t="s">
        <v>40</v>
      </c>
      <c r="DH166" t="s">
        <v>3</v>
      </c>
      <c r="DI166" t="s">
        <v>40</v>
      </c>
      <c r="DJ166" t="s">
        <v>39</v>
      </c>
      <c r="DK166" t="s">
        <v>3</v>
      </c>
      <c r="DL166" t="s">
        <v>3</v>
      </c>
      <c r="DM166" t="s">
        <v>3</v>
      </c>
      <c r="DN166">
        <v>0</v>
      </c>
      <c r="DO166">
        <v>0</v>
      </c>
      <c r="DP166">
        <v>1</v>
      </c>
      <c r="DQ166">
        <v>1</v>
      </c>
      <c r="DU166">
        <v>1013</v>
      </c>
      <c r="DV166" t="s">
        <v>37</v>
      </c>
      <c r="DW166" t="s">
        <v>37</v>
      </c>
      <c r="DX166">
        <v>1</v>
      </c>
      <c r="DZ166" t="s">
        <v>3</v>
      </c>
      <c r="EA166" t="s">
        <v>3</v>
      </c>
      <c r="EB166" t="s">
        <v>3</v>
      </c>
      <c r="EC166" t="s">
        <v>3</v>
      </c>
      <c r="EE166">
        <v>59298982</v>
      </c>
      <c r="EF166">
        <v>30</v>
      </c>
      <c r="EG166" t="s">
        <v>26</v>
      </c>
      <c r="EH166">
        <v>0</v>
      </c>
      <c r="EI166" t="s">
        <v>3</v>
      </c>
      <c r="EJ166">
        <v>1</v>
      </c>
      <c r="EK166">
        <v>55</v>
      </c>
      <c r="EL166" t="s">
        <v>152</v>
      </c>
      <c r="EM166" t="s">
        <v>153</v>
      </c>
      <c r="EO166" t="s">
        <v>41</v>
      </c>
      <c r="EQ166">
        <v>0</v>
      </c>
      <c r="ER166">
        <v>8.2899999999999991</v>
      </c>
      <c r="ES166">
        <v>0.5</v>
      </c>
      <c r="ET166">
        <v>0</v>
      </c>
      <c r="EU166">
        <v>0</v>
      </c>
      <c r="EV166">
        <v>7.79</v>
      </c>
      <c r="EW166">
        <v>0.52</v>
      </c>
      <c r="EX166">
        <v>0</v>
      </c>
      <c r="EY166">
        <v>0</v>
      </c>
      <c r="FQ166">
        <v>0</v>
      </c>
      <c r="FR166">
        <v>0</v>
      </c>
      <c r="FS166">
        <v>0</v>
      </c>
      <c r="FX166">
        <v>84</v>
      </c>
      <c r="FY166">
        <v>53</v>
      </c>
      <c r="GA166" t="s">
        <v>3</v>
      </c>
      <c r="GD166">
        <v>1</v>
      </c>
      <c r="GF166">
        <v>1188505423</v>
      </c>
      <c r="GG166">
        <v>2</v>
      </c>
      <c r="GH166">
        <v>1</v>
      </c>
      <c r="GI166">
        <v>2</v>
      </c>
      <c r="GJ166">
        <v>0</v>
      </c>
      <c r="GK166">
        <v>0</v>
      </c>
      <c r="GL166">
        <f t="shared" si="177"/>
        <v>0</v>
      </c>
      <c r="GM166">
        <f t="shared" si="178"/>
        <v>8423.7800000000007</v>
      </c>
      <c r="GN166">
        <f t="shared" si="179"/>
        <v>8423.7800000000007</v>
      </c>
      <c r="GO166">
        <f t="shared" si="180"/>
        <v>0</v>
      </c>
      <c r="GP166">
        <f t="shared" si="181"/>
        <v>0</v>
      </c>
      <c r="GR166">
        <v>0</v>
      </c>
      <c r="GS166">
        <v>3</v>
      </c>
      <c r="GT166">
        <v>0</v>
      </c>
      <c r="GU166" t="s">
        <v>3</v>
      </c>
      <c r="GV166">
        <f t="shared" si="182"/>
        <v>0</v>
      </c>
      <c r="GW166">
        <v>1</v>
      </c>
      <c r="GX166">
        <f t="shared" si="183"/>
        <v>0</v>
      </c>
      <c r="HA166">
        <v>0</v>
      </c>
      <c r="HB166">
        <v>0</v>
      </c>
      <c r="HC166">
        <f t="shared" si="184"/>
        <v>0</v>
      </c>
      <c r="HE166" t="s">
        <v>3</v>
      </c>
      <c r="HF166" t="s">
        <v>3</v>
      </c>
      <c r="HM166" t="s">
        <v>3</v>
      </c>
      <c r="HN166" t="s">
        <v>3</v>
      </c>
      <c r="HO166" t="s">
        <v>3</v>
      </c>
      <c r="HP166" t="s">
        <v>3</v>
      </c>
      <c r="HQ166" t="s">
        <v>3</v>
      </c>
      <c r="HS166">
        <v>0</v>
      </c>
      <c r="IK166">
        <v>0</v>
      </c>
    </row>
    <row r="167" spans="1:255" x14ac:dyDescent="0.2">
      <c r="A167" s="2">
        <v>18</v>
      </c>
      <c r="B167" s="2">
        <v>1</v>
      </c>
      <c r="C167" s="2">
        <v>3</v>
      </c>
      <c r="D167" s="2"/>
      <c r="E167" s="2" t="s">
        <v>154</v>
      </c>
      <c r="F167" s="2" t="s">
        <v>155</v>
      </c>
      <c r="G167" s="2" t="s">
        <v>156</v>
      </c>
      <c r="H167" s="2" t="s">
        <v>124</v>
      </c>
      <c r="I167" s="2">
        <f>I165*J167</f>
        <v>6</v>
      </c>
      <c r="J167" s="2">
        <v>1</v>
      </c>
      <c r="K167" s="2">
        <v>1</v>
      </c>
      <c r="L167" s="2"/>
      <c r="M167" s="2"/>
      <c r="N167" s="2"/>
      <c r="O167" s="2">
        <f t="shared" si="159"/>
        <v>941.76</v>
      </c>
      <c r="P167" s="2">
        <f t="shared" si="160"/>
        <v>941.76</v>
      </c>
      <c r="Q167" s="2">
        <f>(ROUND((ROUND(((ET167)*AV167*I167),2)*BB167),2)+ROUND((ROUND(((AE167-(EU167))*AV167*I167),2)*BS167),2))</f>
        <v>0</v>
      </c>
      <c r="R167" s="2">
        <f>(ROUND((ROUND(((EU167)*AV167*I167),2)*BS167),2)+ROUND((ROUND(((AE167-(EU167))*AV167*I167),2)*BS167),2))</f>
        <v>0</v>
      </c>
      <c r="S167" s="2">
        <f t="shared" si="161"/>
        <v>0</v>
      </c>
      <c r="T167" s="2">
        <f t="shared" si="162"/>
        <v>0</v>
      </c>
      <c r="U167" s="2">
        <f t="shared" si="163"/>
        <v>0</v>
      </c>
      <c r="V167" s="2">
        <f t="shared" si="164"/>
        <v>0</v>
      </c>
      <c r="W167" s="2">
        <f t="shared" si="165"/>
        <v>0</v>
      </c>
      <c r="X167" s="2">
        <f>(ROUND((((S167+ROUND((ROUND(((EU167)*AV167*I167),2)*BS167),2))*AT167)/100),2)+ROUND(((ROUND((ROUND(((AE167-(EU167))*AV167*I167),2)*BS167),2)*AT167)/100),2))</f>
        <v>0</v>
      </c>
      <c r="Y167" s="2">
        <f>(ROUND((((S167+ROUND((ROUND(((EU167)*AV167*I167),2)*BS167),2))*AU167)/100),2)+ROUND(((ROUND((ROUND(((AE167-(EU167))*AV167*I167),2)*BS167),2)*AU167)/100),2))</f>
        <v>0</v>
      </c>
      <c r="Z167" s="2"/>
      <c r="AA167" s="2">
        <v>59499218</v>
      </c>
      <c r="AB167" s="2">
        <f t="shared" si="166"/>
        <v>156.96</v>
      </c>
      <c r="AC167" s="2">
        <f t="shared" si="167"/>
        <v>156.96</v>
      </c>
      <c r="AD167" s="2">
        <f>ROUND((((ET167)-(EU167))+AE167),6)</f>
        <v>0</v>
      </c>
      <c r="AE167" s="2">
        <f>ROUND((EU167),6)</f>
        <v>0</v>
      </c>
      <c r="AF167" s="2">
        <f>ROUND((EV167),6)</f>
        <v>0</v>
      </c>
      <c r="AG167" s="2">
        <f t="shared" si="168"/>
        <v>0</v>
      </c>
      <c r="AH167" s="2">
        <f>(EW167)</f>
        <v>0</v>
      </c>
      <c r="AI167" s="2">
        <f>(EX167)</f>
        <v>0</v>
      </c>
      <c r="AJ167" s="2">
        <f t="shared" si="169"/>
        <v>0</v>
      </c>
      <c r="AK167" s="2">
        <v>156.96</v>
      </c>
      <c r="AL167" s="2">
        <v>156.96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84</v>
      </c>
      <c r="AU167" s="2">
        <v>53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1</v>
      </c>
      <c r="BJ167" s="2" t="s">
        <v>157</v>
      </c>
      <c r="BK167" s="2"/>
      <c r="BL167" s="2"/>
      <c r="BM167" s="2">
        <v>55</v>
      </c>
      <c r="BN167" s="2">
        <v>59298886</v>
      </c>
      <c r="BO167" s="2" t="s">
        <v>3</v>
      </c>
      <c r="BP167" s="2">
        <v>0</v>
      </c>
      <c r="BQ167" s="2">
        <v>30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84</v>
      </c>
      <c r="CA167" s="2">
        <v>53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3</v>
      </c>
      <c r="CO167" s="2">
        <v>0</v>
      </c>
      <c r="CP167" s="2">
        <f t="shared" si="170"/>
        <v>941.76</v>
      </c>
      <c r="CQ167" s="2">
        <f t="shared" si="171"/>
        <v>156.96</v>
      </c>
      <c r="CR167" s="2">
        <f>(ROUND((ROUND(((ET167)*AV167*1),2)*BB167),2)+ROUND((ROUND(((AE167-(EU167))*AV167*1),2)*BS167),2))</f>
        <v>0</v>
      </c>
      <c r="CS167" s="2">
        <f>(ROUND((ROUND(((EU167)*AV167*1),2)*BS167),2)+ROUND((ROUND(((AE167-(EU167))*AV167*1),2)*BS167),2))</f>
        <v>0</v>
      </c>
      <c r="CT167" s="2">
        <f t="shared" si="172"/>
        <v>0</v>
      </c>
      <c r="CU167" s="2">
        <f t="shared" si="173"/>
        <v>0</v>
      </c>
      <c r="CV167" s="2">
        <f t="shared" si="174"/>
        <v>0</v>
      </c>
      <c r="CW167" s="2">
        <f t="shared" si="175"/>
        <v>0</v>
      </c>
      <c r="CX167" s="2">
        <f t="shared" si="176"/>
        <v>0</v>
      </c>
      <c r="CY167" s="2">
        <f>(ROUND((((S167+ROUND((ROUND(((EU167)*AV167*1),2)*BS167),2))*AT167)/100),2)+ROUND(((ROUND((ROUND(((AE167-(EU167))*AV167*1),2)*BS167),2)*AT167)/100),2))</f>
        <v>0</v>
      </c>
      <c r="CZ167" s="2">
        <f>(ROUND((((S167+ROUND((ROUND(((EU167)*AV167*1),2)*BS167),2))*AU167)/100),2)+ROUND(((ROUND((ROUND(((AE167-(EU167))*AV167*1),2)*BS167),2)*AU167)/100),2))</f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1010</v>
      </c>
      <c r="DV167" s="2" t="s">
        <v>124</v>
      </c>
      <c r="DW167" s="2" t="s">
        <v>124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59298982</v>
      </c>
      <c r="EF167" s="2">
        <v>30</v>
      </c>
      <c r="EG167" s="2" t="s">
        <v>26</v>
      </c>
      <c r="EH167" s="2">
        <v>0</v>
      </c>
      <c r="EI167" s="2" t="s">
        <v>3</v>
      </c>
      <c r="EJ167" s="2">
        <v>1</v>
      </c>
      <c r="EK167" s="2">
        <v>55</v>
      </c>
      <c r="EL167" s="2" t="s">
        <v>152</v>
      </c>
      <c r="EM167" s="2" t="s">
        <v>153</v>
      </c>
      <c r="EN167" s="2"/>
      <c r="EO167" s="2" t="s">
        <v>3</v>
      </c>
      <c r="EP167" s="2"/>
      <c r="EQ167" s="2">
        <v>0</v>
      </c>
      <c r="ER167" s="2">
        <v>156.96</v>
      </c>
      <c r="ES167" s="2">
        <v>156.96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84</v>
      </c>
      <c r="FY167" s="2">
        <v>53</v>
      </c>
      <c r="FZ167" s="2"/>
      <c r="GA167" s="2" t="s">
        <v>3</v>
      </c>
      <c r="GB167" s="2"/>
      <c r="GC167" s="2"/>
      <c r="GD167" s="2">
        <v>1</v>
      </c>
      <c r="GE167" s="2"/>
      <c r="GF167" s="2">
        <v>1303734261</v>
      </c>
      <c r="GG167" s="2">
        <v>2</v>
      </c>
      <c r="GH167" s="2">
        <v>1</v>
      </c>
      <c r="GI167" s="2">
        <v>-2</v>
      </c>
      <c r="GJ167" s="2">
        <v>0</v>
      </c>
      <c r="GK167" s="2">
        <v>0</v>
      </c>
      <c r="GL167" s="2">
        <f t="shared" si="177"/>
        <v>0</v>
      </c>
      <c r="GM167" s="2">
        <f t="shared" si="178"/>
        <v>941.76</v>
      </c>
      <c r="GN167" s="2">
        <f t="shared" si="179"/>
        <v>941.76</v>
      </c>
      <c r="GO167" s="2">
        <f t="shared" si="180"/>
        <v>0</v>
      </c>
      <c r="GP167" s="2">
        <f t="shared" si="181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182"/>
        <v>0</v>
      </c>
      <c r="GW167" s="2">
        <v>1</v>
      </c>
      <c r="GX167" s="2">
        <f t="shared" si="183"/>
        <v>0</v>
      </c>
      <c r="GY167" s="2"/>
      <c r="GZ167" s="2"/>
      <c r="HA167" s="2">
        <v>0</v>
      </c>
      <c r="HB167" s="2">
        <v>0</v>
      </c>
      <c r="HC167" s="2">
        <f t="shared" si="184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">
      <c r="A168">
        <v>18</v>
      </c>
      <c r="B168">
        <v>1</v>
      </c>
      <c r="C168">
        <v>6</v>
      </c>
      <c r="E168" t="s">
        <v>154</v>
      </c>
      <c r="F168" t="s">
        <v>155</v>
      </c>
      <c r="G168" t="s">
        <v>156</v>
      </c>
      <c r="H168" t="s">
        <v>124</v>
      </c>
      <c r="I168">
        <f>I166*J168</f>
        <v>6</v>
      </c>
      <c r="J168">
        <v>1</v>
      </c>
      <c r="K168">
        <v>1</v>
      </c>
      <c r="O168">
        <f t="shared" si="159"/>
        <v>847.58</v>
      </c>
      <c r="P168">
        <f t="shared" si="160"/>
        <v>847.58</v>
      </c>
      <c r="Q168">
        <f>(ROUND((ROUND(((ET168)*AV168*I168),2)*BB168),2)+ROUND((ROUND(((AE168-(EU168))*AV168*I168),2)*BS168),2))</f>
        <v>0</v>
      </c>
      <c r="R168">
        <f>(ROUND((ROUND(((EU168)*AV168*I168),2)*BS168),2)+ROUND((ROUND(((AE168-(EU168))*AV168*I168),2)*BS168),2))</f>
        <v>0</v>
      </c>
      <c r="S168">
        <f t="shared" si="161"/>
        <v>0</v>
      </c>
      <c r="T168">
        <f t="shared" si="162"/>
        <v>0</v>
      </c>
      <c r="U168">
        <f t="shared" si="163"/>
        <v>0</v>
      </c>
      <c r="V168">
        <f t="shared" si="164"/>
        <v>0</v>
      </c>
      <c r="W168">
        <f t="shared" si="165"/>
        <v>0</v>
      </c>
      <c r="X168">
        <f>(ROUND((((S168+ROUND((ROUND(((EU168)*AV168*I168),2)*BS168),2))*AT168)/100),2)+ROUND(((ROUND((ROUND(((AE168-(EU168))*AV168*I168),2)*BS168),2)*AT168)/100),2))</f>
        <v>0</v>
      </c>
      <c r="Y168">
        <f>(ROUND((((S168+ROUND((ROUND(((EU168)*AV168*I168),2)*BS168),2))*AU168)/100),2)+ROUND(((ROUND((ROUND(((AE168-(EU168))*AV168*I168),2)*BS168),2)*AU168)/100),2))</f>
        <v>0</v>
      </c>
      <c r="AA168">
        <v>59499215</v>
      </c>
      <c r="AB168">
        <f t="shared" si="166"/>
        <v>156.96</v>
      </c>
      <c r="AC168">
        <f t="shared" si="167"/>
        <v>156.96</v>
      </c>
      <c r="AD168">
        <f>ROUND((((ET168)-(EU168))+AE168),6)</f>
        <v>0</v>
      </c>
      <c r="AE168">
        <f>ROUND((EU168),6)</f>
        <v>0</v>
      </c>
      <c r="AF168">
        <f>ROUND((EV168),6)</f>
        <v>0</v>
      </c>
      <c r="AG168">
        <f t="shared" si="168"/>
        <v>0</v>
      </c>
      <c r="AH168">
        <f>(EW168)</f>
        <v>0</v>
      </c>
      <c r="AI168">
        <f>(EX168)</f>
        <v>0</v>
      </c>
      <c r="AJ168">
        <f t="shared" si="169"/>
        <v>0</v>
      </c>
      <c r="AK168">
        <v>156.96</v>
      </c>
      <c r="AL168">
        <v>156.96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84</v>
      </c>
      <c r="AU168">
        <v>53</v>
      </c>
      <c r="AV168">
        <v>1</v>
      </c>
      <c r="AW168">
        <v>1</v>
      </c>
      <c r="AZ168">
        <v>1</v>
      </c>
      <c r="BA168">
        <v>1</v>
      </c>
      <c r="BB168">
        <v>1</v>
      </c>
      <c r="BC168">
        <v>0.9</v>
      </c>
      <c r="BD168" t="s">
        <v>3</v>
      </c>
      <c r="BE168" t="s">
        <v>3</v>
      </c>
      <c r="BF168" t="s">
        <v>3</v>
      </c>
      <c r="BG168" t="s">
        <v>3</v>
      </c>
      <c r="BH168">
        <v>3</v>
      </c>
      <c r="BI168">
        <v>1</v>
      </c>
      <c r="BJ168" t="s">
        <v>157</v>
      </c>
      <c r="BM168">
        <v>55</v>
      </c>
      <c r="BN168">
        <v>59298886</v>
      </c>
      <c r="BO168" t="s">
        <v>155</v>
      </c>
      <c r="BP168">
        <v>1</v>
      </c>
      <c r="BQ168">
        <v>30</v>
      </c>
      <c r="BR168">
        <v>0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 t="s">
        <v>3</v>
      </c>
      <c r="BZ168">
        <v>84</v>
      </c>
      <c r="CA168">
        <v>53</v>
      </c>
      <c r="CB168" t="s">
        <v>3</v>
      </c>
      <c r="CE168">
        <v>1566</v>
      </c>
      <c r="CF168">
        <v>0</v>
      </c>
      <c r="CG168">
        <v>0</v>
      </c>
      <c r="CM168">
        <v>0</v>
      </c>
      <c r="CN168" t="s">
        <v>3</v>
      </c>
      <c r="CO168">
        <v>0</v>
      </c>
      <c r="CP168">
        <f t="shared" si="170"/>
        <v>847.58</v>
      </c>
      <c r="CQ168">
        <f t="shared" si="171"/>
        <v>141.26</v>
      </c>
      <c r="CR168">
        <f>(ROUND((ROUND(((ET168)*AV168*1),2)*BB168),2)+ROUND((ROUND(((AE168-(EU168))*AV168*1),2)*BS168),2))</f>
        <v>0</v>
      </c>
      <c r="CS168">
        <f>(ROUND((ROUND(((EU168)*AV168*1),2)*BS168),2)+ROUND((ROUND(((AE168-(EU168))*AV168*1),2)*BS168),2))</f>
        <v>0</v>
      </c>
      <c r="CT168">
        <f t="shared" si="172"/>
        <v>0</v>
      </c>
      <c r="CU168">
        <f t="shared" si="173"/>
        <v>0</v>
      </c>
      <c r="CV168">
        <f t="shared" si="174"/>
        <v>0</v>
      </c>
      <c r="CW168">
        <f t="shared" si="175"/>
        <v>0</v>
      </c>
      <c r="CX168">
        <f t="shared" si="176"/>
        <v>0</v>
      </c>
      <c r="CY168">
        <f>(ROUND((((S168+ROUND((ROUND(((EU168)*AV168*1),2)*BS168),2))*AT168)/100),2)+ROUND(((ROUND((ROUND(((AE168-(EU168))*AV168*1),2)*BS168),2)*AT168)/100),2))</f>
        <v>0</v>
      </c>
      <c r="CZ168">
        <f>(ROUND((((S168+ROUND((ROUND(((EU168)*AV168*1),2)*BS168),2))*AU168)/100),2)+ROUND(((ROUND((ROUND(((AE168-(EU168))*AV168*1),2)*BS168),2)*AU168)/100),2))</f>
        <v>0</v>
      </c>
      <c r="DC168" t="s">
        <v>3</v>
      </c>
      <c r="DD168" t="s">
        <v>3</v>
      </c>
      <c r="DE168" t="s">
        <v>3</v>
      </c>
      <c r="DF168" t="s">
        <v>3</v>
      </c>
      <c r="DG168" t="s">
        <v>3</v>
      </c>
      <c r="DH168" t="s">
        <v>3</v>
      </c>
      <c r="DI168" t="s">
        <v>3</v>
      </c>
      <c r="DJ168" t="s">
        <v>3</v>
      </c>
      <c r="DK168" t="s">
        <v>3</v>
      </c>
      <c r="DL168" t="s">
        <v>3</v>
      </c>
      <c r="DM168" t="s">
        <v>3</v>
      </c>
      <c r="DN168">
        <v>0</v>
      </c>
      <c r="DO168">
        <v>0</v>
      </c>
      <c r="DP168">
        <v>1</v>
      </c>
      <c r="DQ168">
        <v>1</v>
      </c>
      <c r="DU168">
        <v>1010</v>
      </c>
      <c r="DV168" t="s">
        <v>124</v>
      </c>
      <c r="DW168" t="s">
        <v>124</v>
      </c>
      <c r="DX168">
        <v>1</v>
      </c>
      <c r="DZ168" t="s">
        <v>3</v>
      </c>
      <c r="EA168" t="s">
        <v>3</v>
      </c>
      <c r="EB168" t="s">
        <v>3</v>
      </c>
      <c r="EC168" t="s">
        <v>3</v>
      </c>
      <c r="EE168">
        <v>59298982</v>
      </c>
      <c r="EF168">
        <v>30</v>
      </c>
      <c r="EG168" t="s">
        <v>26</v>
      </c>
      <c r="EH168">
        <v>0</v>
      </c>
      <c r="EI168" t="s">
        <v>3</v>
      </c>
      <c r="EJ168">
        <v>1</v>
      </c>
      <c r="EK168">
        <v>55</v>
      </c>
      <c r="EL168" t="s">
        <v>152</v>
      </c>
      <c r="EM168" t="s">
        <v>153</v>
      </c>
      <c r="EO168" t="s">
        <v>3</v>
      </c>
      <c r="EQ168">
        <v>0</v>
      </c>
      <c r="ER168">
        <v>156.96</v>
      </c>
      <c r="ES168">
        <v>156.96</v>
      </c>
      <c r="ET168">
        <v>0</v>
      </c>
      <c r="EU168">
        <v>0</v>
      </c>
      <c r="EV168">
        <v>0</v>
      </c>
      <c r="EW168">
        <v>0</v>
      </c>
      <c r="EX168">
        <v>0</v>
      </c>
      <c r="FQ168">
        <v>0</v>
      </c>
      <c r="FR168">
        <v>0</v>
      </c>
      <c r="FS168">
        <v>0</v>
      </c>
      <c r="FX168">
        <v>84</v>
      </c>
      <c r="FY168">
        <v>53</v>
      </c>
      <c r="GA168" t="s">
        <v>3</v>
      </c>
      <c r="GD168">
        <v>1</v>
      </c>
      <c r="GF168">
        <v>1303734261</v>
      </c>
      <c r="GG168">
        <v>2</v>
      </c>
      <c r="GH168">
        <v>1</v>
      </c>
      <c r="GI168">
        <v>2</v>
      </c>
      <c r="GJ168">
        <v>0</v>
      </c>
      <c r="GK168">
        <v>0</v>
      </c>
      <c r="GL168">
        <f t="shared" si="177"/>
        <v>0</v>
      </c>
      <c r="GM168">
        <f t="shared" si="178"/>
        <v>847.58</v>
      </c>
      <c r="GN168">
        <f t="shared" si="179"/>
        <v>847.58</v>
      </c>
      <c r="GO168">
        <f t="shared" si="180"/>
        <v>0</v>
      </c>
      <c r="GP168">
        <f t="shared" si="181"/>
        <v>0</v>
      </c>
      <c r="GR168">
        <v>0</v>
      </c>
      <c r="GS168">
        <v>3</v>
      </c>
      <c r="GT168">
        <v>0</v>
      </c>
      <c r="GU168" t="s">
        <v>3</v>
      </c>
      <c r="GV168">
        <f t="shared" si="182"/>
        <v>0</v>
      </c>
      <c r="GW168">
        <v>1</v>
      </c>
      <c r="GX168">
        <f t="shared" si="183"/>
        <v>0</v>
      </c>
      <c r="HA168">
        <v>0</v>
      </c>
      <c r="HB168">
        <v>0</v>
      </c>
      <c r="HC168">
        <f t="shared" si="184"/>
        <v>0</v>
      </c>
      <c r="HE168" t="s">
        <v>3</v>
      </c>
      <c r="HF168" t="s">
        <v>3</v>
      </c>
      <c r="HM168" t="s">
        <v>3</v>
      </c>
      <c r="HN168" t="s">
        <v>3</v>
      </c>
      <c r="HO168" t="s">
        <v>3</v>
      </c>
      <c r="HP168" t="s">
        <v>3</v>
      </c>
      <c r="HQ168" t="s">
        <v>3</v>
      </c>
      <c r="HS168">
        <v>0</v>
      </c>
      <c r="IK168">
        <v>0</v>
      </c>
    </row>
    <row r="169" spans="1:255" x14ac:dyDescent="0.2">
      <c r="A169" s="2">
        <v>17</v>
      </c>
      <c r="B169" s="2">
        <v>1</v>
      </c>
      <c r="C169" s="2">
        <f>ROW(SmtRes!A9)</f>
        <v>9</v>
      </c>
      <c r="D169" s="2">
        <f>ROW(EtalonRes!A17)</f>
        <v>17</v>
      </c>
      <c r="E169" s="2" t="s">
        <v>158</v>
      </c>
      <c r="F169" s="2" t="s">
        <v>149</v>
      </c>
      <c r="G169" s="2" t="s">
        <v>159</v>
      </c>
      <c r="H169" s="2" t="s">
        <v>37</v>
      </c>
      <c r="I169" s="2">
        <v>6</v>
      </c>
      <c r="J169" s="2">
        <v>0</v>
      </c>
      <c r="K169" s="2">
        <v>6</v>
      </c>
      <c r="L169" s="2"/>
      <c r="M169" s="2"/>
      <c r="N169" s="2"/>
      <c r="O169" s="2">
        <f t="shared" si="159"/>
        <v>67.27</v>
      </c>
      <c r="P169" s="2">
        <f t="shared" si="160"/>
        <v>3</v>
      </c>
      <c r="Q169" s="2">
        <f>(ROUND((ROUND(((((ET169*1.25)*1.1))*AV169*I169),2)*BB169),2)+ROUND((ROUND(((AE169-(((EU169*1.25)*1.1)))*AV169*I169),2)*BS169),2))</f>
        <v>0</v>
      </c>
      <c r="R169" s="2">
        <f>(ROUND((ROUND(((((EU169*1.25)*1.1))*AV169*I169),2)*BS169),2)+ROUND((ROUND(((AE169-(((EU169*1.25)*1.1)))*AV169*I169),2)*BS169),2))</f>
        <v>0</v>
      </c>
      <c r="S169" s="2">
        <f t="shared" si="161"/>
        <v>64.27</v>
      </c>
      <c r="T169" s="2">
        <f t="shared" si="162"/>
        <v>0</v>
      </c>
      <c r="U169" s="2">
        <f t="shared" si="163"/>
        <v>4.2901715999999999</v>
      </c>
      <c r="V169" s="2">
        <f t="shared" si="164"/>
        <v>0</v>
      </c>
      <c r="W169" s="2">
        <f t="shared" si="165"/>
        <v>0</v>
      </c>
      <c r="X169" s="2">
        <f>(ROUND((((S169+ROUND((ROUND(((((EU169*1.25)*1.1))*AV169*I169),2)*BS169),2))*AT169)/100),2)+ROUND(((ROUND((ROUND(((AE169-(((EU169*1.25)*1.1)))*AV169*I169),2)*BS169),2)*AT169)/100),2))</f>
        <v>53.99</v>
      </c>
      <c r="Y169" s="2">
        <f>(ROUND((((S169+ROUND((ROUND(((((EU169*1.25)*1.1))*AV169*I169),2)*BS169),2))*AU169)/100),2)+ROUND(((ROUND((ROUND(((AE169-(((EU169*1.25)*1.1)))*AV169*I169),2)*BS169),2)*AU169)/100),2))</f>
        <v>34.06</v>
      </c>
      <c r="Z169" s="2"/>
      <c r="AA169" s="2">
        <v>59499218</v>
      </c>
      <c r="AB169" s="2">
        <f t="shared" si="166"/>
        <v>10.35435</v>
      </c>
      <c r="AC169" s="2">
        <f t="shared" si="167"/>
        <v>0.5</v>
      </c>
      <c r="AD169" s="2">
        <f>ROUND((((((ET169*1.25)*1.1))-(((EU169*1.25)*1.1)))+AE169),6)</f>
        <v>0</v>
      </c>
      <c r="AE169" s="2">
        <f>ROUND((((EU169*1.25)*1.1)),6)</f>
        <v>0</v>
      </c>
      <c r="AF169" s="2">
        <f>ROUND((((EV169*1.15)*1.1)),6)</f>
        <v>9.8543500000000002</v>
      </c>
      <c r="AG169" s="2">
        <f t="shared" si="168"/>
        <v>0</v>
      </c>
      <c r="AH169" s="2">
        <f>(((EW169*1.15)*1.1))</f>
        <v>0.65780000000000005</v>
      </c>
      <c r="AI169" s="2">
        <f>(((EX169*1.25)*1.1))</f>
        <v>0</v>
      </c>
      <c r="AJ169" s="2">
        <f t="shared" si="169"/>
        <v>0</v>
      </c>
      <c r="AK169" s="2">
        <v>8.2899999999999991</v>
      </c>
      <c r="AL169" s="2">
        <v>0.5</v>
      </c>
      <c r="AM169" s="2">
        <v>0</v>
      </c>
      <c r="AN169" s="2">
        <v>0</v>
      </c>
      <c r="AO169" s="2">
        <v>7.79</v>
      </c>
      <c r="AP169" s="2">
        <v>0</v>
      </c>
      <c r="AQ169" s="2">
        <v>0.52</v>
      </c>
      <c r="AR169" s="2">
        <v>0</v>
      </c>
      <c r="AS169" s="2">
        <v>0</v>
      </c>
      <c r="AT169" s="2">
        <v>84</v>
      </c>
      <c r="AU169" s="2">
        <v>53</v>
      </c>
      <c r="AV169" s="2">
        <v>1.087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0</v>
      </c>
      <c r="BI169" s="2">
        <v>1</v>
      </c>
      <c r="BJ169" s="2" t="s">
        <v>151</v>
      </c>
      <c r="BK169" s="2"/>
      <c r="BL169" s="2"/>
      <c r="BM169" s="2">
        <v>55</v>
      </c>
      <c r="BN169" s="2">
        <v>59298886</v>
      </c>
      <c r="BO169" s="2" t="s">
        <v>149</v>
      </c>
      <c r="BP169" s="2">
        <v>1</v>
      </c>
      <c r="BQ169" s="2">
        <v>30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84</v>
      </c>
      <c r="CA169" s="2">
        <v>53</v>
      </c>
      <c r="CB169" s="2" t="s">
        <v>3</v>
      </c>
      <c r="CC169" s="2"/>
      <c r="CD169" s="2"/>
      <c r="CE169" s="2">
        <v>1566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375</v>
      </c>
      <c r="CO169" s="2">
        <v>0</v>
      </c>
      <c r="CP169" s="2">
        <f t="shared" si="170"/>
        <v>67.27</v>
      </c>
      <c r="CQ169" s="2">
        <f t="shared" si="171"/>
        <v>0.5</v>
      </c>
      <c r="CR169" s="2">
        <f>(ROUND((ROUND(((((ET169*1.25)*1.1))*AV169*1),2)*BB169),2)+ROUND((ROUND(((AE169-(((EU169*1.25)*1.1)))*AV169*1),2)*BS169),2))</f>
        <v>0</v>
      </c>
      <c r="CS169" s="2">
        <f>(ROUND((ROUND(((((EU169*1.25)*1.1))*AV169*1),2)*BS169),2)+ROUND((ROUND(((AE169-(((EU169*1.25)*1.1)))*AV169*1),2)*BS169),2))</f>
        <v>0</v>
      </c>
      <c r="CT169" s="2">
        <f t="shared" si="172"/>
        <v>10.71</v>
      </c>
      <c r="CU169" s="2">
        <f t="shared" si="173"/>
        <v>0</v>
      </c>
      <c r="CV169" s="2">
        <f t="shared" si="174"/>
        <v>0.71502860000000001</v>
      </c>
      <c r="CW169" s="2">
        <f t="shared" si="175"/>
        <v>0</v>
      </c>
      <c r="CX169" s="2">
        <f t="shared" si="176"/>
        <v>0</v>
      </c>
      <c r="CY169" s="2">
        <f>(ROUND((((S169+ROUND((ROUND(((((EU169*1.25)*1.1))*AV169*1),2)*BS169),2))*AT169)/100),2)+ROUND(((ROUND((ROUND(((AE169-(((EU169*1.25)*1.1)))*AV169*1),2)*BS169),2)*AT169)/100),2))</f>
        <v>53.99</v>
      </c>
      <c r="CZ169" s="2">
        <f>(ROUND((((S169+ROUND((ROUND(((((EU169*1.25)*1.1))*AV169*1),2)*BS169),2))*AU169)/100),2)+ROUND(((ROUND((ROUND(((AE169-(((EU169*1.25)*1.1)))*AV169*1),2)*BS169),2)*AU169)/100),2))</f>
        <v>34.06</v>
      </c>
      <c r="DA169" s="2"/>
      <c r="DB169" s="2">
        <v>25</v>
      </c>
      <c r="DC169" s="2" t="s">
        <v>3</v>
      </c>
      <c r="DD169" s="2" t="s">
        <v>3</v>
      </c>
      <c r="DE169" s="2" t="s">
        <v>39</v>
      </c>
      <c r="DF169" s="2" t="s">
        <v>39</v>
      </c>
      <c r="DG169" s="2" t="s">
        <v>40</v>
      </c>
      <c r="DH169" s="2" t="s">
        <v>3</v>
      </c>
      <c r="DI169" s="2" t="s">
        <v>40</v>
      </c>
      <c r="DJ169" s="2" t="s">
        <v>39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37</v>
      </c>
      <c r="DW169" s="2" t="s">
        <v>37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59298982</v>
      </c>
      <c r="EF169" s="2">
        <v>30</v>
      </c>
      <c r="EG169" s="2" t="s">
        <v>26</v>
      </c>
      <c r="EH169" s="2">
        <v>0</v>
      </c>
      <c r="EI169" s="2" t="s">
        <v>3</v>
      </c>
      <c r="EJ169" s="2">
        <v>1</v>
      </c>
      <c r="EK169" s="2">
        <v>55</v>
      </c>
      <c r="EL169" s="2" t="s">
        <v>152</v>
      </c>
      <c r="EM169" s="2" t="s">
        <v>153</v>
      </c>
      <c r="EN169" s="2"/>
      <c r="EO169" s="2" t="s">
        <v>41</v>
      </c>
      <c r="EP169" s="2"/>
      <c r="EQ169" s="2">
        <v>0</v>
      </c>
      <c r="ER169" s="2">
        <v>8.2899999999999991</v>
      </c>
      <c r="ES169" s="2">
        <v>0.5</v>
      </c>
      <c r="ET169" s="2">
        <v>0</v>
      </c>
      <c r="EU169" s="2">
        <v>0</v>
      </c>
      <c r="EV169" s="2">
        <v>7.79</v>
      </c>
      <c r="EW169" s="2">
        <v>0.52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84</v>
      </c>
      <c r="FY169" s="2">
        <v>53</v>
      </c>
      <c r="FZ169" s="2"/>
      <c r="GA169" s="2" t="s">
        <v>3</v>
      </c>
      <c r="GB169" s="2"/>
      <c r="GC169" s="2"/>
      <c r="GD169" s="2">
        <v>1</v>
      </c>
      <c r="GE169" s="2"/>
      <c r="GF169" s="2">
        <v>-627755098</v>
      </c>
      <c r="GG169" s="2">
        <v>2</v>
      </c>
      <c r="GH169" s="2">
        <v>1</v>
      </c>
      <c r="GI169" s="2">
        <v>2</v>
      </c>
      <c r="GJ169" s="2">
        <v>0</v>
      </c>
      <c r="GK169" s="2">
        <v>0</v>
      </c>
      <c r="GL169" s="2">
        <f t="shared" si="177"/>
        <v>0</v>
      </c>
      <c r="GM169" s="2">
        <f t="shared" si="178"/>
        <v>155.32</v>
      </c>
      <c r="GN169" s="2">
        <f t="shared" si="179"/>
        <v>155.32</v>
      </c>
      <c r="GO169" s="2">
        <f t="shared" si="180"/>
        <v>0</v>
      </c>
      <c r="GP169" s="2">
        <f t="shared" si="181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182"/>
        <v>0</v>
      </c>
      <c r="GW169" s="2">
        <v>1</v>
      </c>
      <c r="GX169" s="2">
        <f t="shared" si="183"/>
        <v>0</v>
      </c>
      <c r="GY169" s="2"/>
      <c r="GZ169" s="2"/>
      <c r="HA169" s="2">
        <v>0</v>
      </c>
      <c r="HB169" s="2">
        <v>0</v>
      </c>
      <c r="HC169" s="2">
        <f t="shared" si="184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">
      <c r="A170">
        <v>17</v>
      </c>
      <c r="B170">
        <v>1</v>
      </c>
      <c r="C170">
        <f>ROW(SmtRes!A12)</f>
        <v>12</v>
      </c>
      <c r="D170">
        <f>ROW(EtalonRes!A20)</f>
        <v>20</v>
      </c>
      <c r="E170" t="s">
        <v>158</v>
      </c>
      <c r="F170" t="s">
        <v>149</v>
      </c>
      <c r="G170" t="s">
        <v>159</v>
      </c>
      <c r="H170" t="s">
        <v>37</v>
      </c>
      <c r="I170">
        <v>6</v>
      </c>
      <c r="J170">
        <v>0</v>
      </c>
      <c r="K170">
        <v>6</v>
      </c>
      <c r="O170">
        <f t="shared" si="159"/>
        <v>3581.91</v>
      </c>
      <c r="P170">
        <f t="shared" si="160"/>
        <v>47.7</v>
      </c>
      <c r="Q170">
        <f>(ROUND((ROUND(((((ET170*1.25)*1.1))*AV170*I170),2)*BB170),2)+ROUND((ROUND(((AE170-(((EU170*1.25)*1.1)))*AV170*I170),2)*BS170),2))</f>
        <v>0</v>
      </c>
      <c r="R170">
        <f>(ROUND((ROUND(((((EU170*1.25)*1.1))*AV170*I170),2)*BS170),2)+ROUND((ROUND(((AE170-(((EU170*1.25)*1.1)))*AV170*I170),2)*BS170),2))</f>
        <v>0</v>
      </c>
      <c r="S170">
        <f t="shared" si="161"/>
        <v>3534.21</v>
      </c>
      <c r="T170">
        <f t="shared" si="162"/>
        <v>0</v>
      </c>
      <c r="U170">
        <f t="shared" si="163"/>
        <v>4.2901715999999999</v>
      </c>
      <c r="V170">
        <f t="shared" si="164"/>
        <v>0</v>
      </c>
      <c r="W170">
        <f t="shared" si="165"/>
        <v>0</v>
      </c>
      <c r="X170">
        <f>(ROUND((((S170+ROUND((ROUND(((((EU170*1.25)*1.1))*AV170*I170),2)*BS170),2))*AT170)/100),2)+ROUND(((ROUND((ROUND(((AE170-(((EU170*1.25)*1.1)))*AV170*I170),2)*BS170),2)*AT170)/100),2))</f>
        <v>2968.74</v>
      </c>
      <c r="Y170">
        <f>(ROUND((((S170+ROUND((ROUND(((((EU170*1.25)*1.1))*AV170*I170),2)*BS170),2))*AU170)/100),2)+ROUND(((ROUND((ROUND(((AE170-(((EU170*1.25)*1.1)))*AV170*I170),2)*BS170),2)*AU170)/100),2))</f>
        <v>1873.13</v>
      </c>
      <c r="AA170">
        <v>59499215</v>
      </c>
      <c r="AB170">
        <f t="shared" si="166"/>
        <v>10.35435</v>
      </c>
      <c r="AC170">
        <f t="shared" si="167"/>
        <v>0.5</v>
      </c>
      <c r="AD170">
        <f>ROUND((((((ET170*1.25)*1.1))-(((EU170*1.25)*1.1)))+AE170),6)</f>
        <v>0</v>
      </c>
      <c r="AE170">
        <f>ROUND((((EU170*1.25)*1.1)),6)</f>
        <v>0</v>
      </c>
      <c r="AF170">
        <f>ROUND((((EV170*1.15)*1.1)),6)</f>
        <v>9.8543500000000002</v>
      </c>
      <c r="AG170">
        <f t="shared" si="168"/>
        <v>0</v>
      </c>
      <c r="AH170">
        <f>(((EW170*1.15)*1.1))</f>
        <v>0.65780000000000005</v>
      </c>
      <c r="AI170">
        <f>(((EX170*1.25)*1.1))</f>
        <v>0</v>
      </c>
      <c r="AJ170">
        <f t="shared" si="169"/>
        <v>0</v>
      </c>
      <c r="AK170">
        <v>8.2899999999999991</v>
      </c>
      <c r="AL170">
        <v>0.5</v>
      </c>
      <c r="AM170">
        <v>0</v>
      </c>
      <c r="AN170">
        <v>0</v>
      </c>
      <c r="AO170">
        <v>7.79</v>
      </c>
      <c r="AP170">
        <v>0</v>
      </c>
      <c r="AQ170">
        <v>0.52</v>
      </c>
      <c r="AR170">
        <v>0</v>
      </c>
      <c r="AS170">
        <v>0</v>
      </c>
      <c r="AT170">
        <v>84</v>
      </c>
      <c r="AU170">
        <v>53</v>
      </c>
      <c r="AV170">
        <v>1.087</v>
      </c>
      <c r="AW170">
        <v>1</v>
      </c>
      <c r="AZ170">
        <v>1</v>
      </c>
      <c r="BA170">
        <v>54.99</v>
      </c>
      <c r="BB170">
        <v>1</v>
      </c>
      <c r="BC170">
        <v>15.9</v>
      </c>
      <c r="BD170" t="s">
        <v>3</v>
      </c>
      <c r="BE170" t="s">
        <v>3</v>
      </c>
      <c r="BF170" t="s">
        <v>3</v>
      </c>
      <c r="BG170" t="s">
        <v>3</v>
      </c>
      <c r="BH170">
        <v>0</v>
      </c>
      <c r="BI170">
        <v>1</v>
      </c>
      <c r="BJ170" t="s">
        <v>151</v>
      </c>
      <c r="BM170">
        <v>55</v>
      </c>
      <c r="BN170">
        <v>59298886</v>
      </c>
      <c r="BO170" t="s">
        <v>149</v>
      </c>
      <c r="BP170">
        <v>1</v>
      </c>
      <c r="BQ170">
        <v>30</v>
      </c>
      <c r="BR170">
        <v>0</v>
      </c>
      <c r="BS170">
        <v>54.99</v>
      </c>
      <c r="BT170">
        <v>1</v>
      </c>
      <c r="BU170">
        <v>1</v>
      </c>
      <c r="BV170">
        <v>1</v>
      </c>
      <c r="BW170">
        <v>1</v>
      </c>
      <c r="BX170">
        <v>1</v>
      </c>
      <c r="BY170" t="s">
        <v>3</v>
      </c>
      <c r="BZ170">
        <v>84</v>
      </c>
      <c r="CA170">
        <v>53</v>
      </c>
      <c r="CB170" t="s">
        <v>3</v>
      </c>
      <c r="CE170">
        <v>1566</v>
      </c>
      <c r="CF170">
        <v>0</v>
      </c>
      <c r="CG170">
        <v>0</v>
      </c>
      <c r="CM170">
        <v>0</v>
      </c>
      <c r="CN170" t="s">
        <v>375</v>
      </c>
      <c r="CO170">
        <v>0</v>
      </c>
      <c r="CP170">
        <f t="shared" si="170"/>
        <v>3581.91</v>
      </c>
      <c r="CQ170">
        <f t="shared" si="171"/>
        <v>7.95</v>
      </c>
      <c r="CR170">
        <f>(ROUND((ROUND(((((ET170*1.25)*1.1))*AV170*1),2)*BB170),2)+ROUND((ROUND(((AE170-(((EU170*1.25)*1.1)))*AV170*1),2)*BS170),2))</f>
        <v>0</v>
      </c>
      <c r="CS170">
        <f>(ROUND((ROUND(((((EU170*1.25)*1.1))*AV170*1),2)*BS170),2)+ROUND((ROUND(((AE170-(((EU170*1.25)*1.1)))*AV170*1),2)*BS170),2))</f>
        <v>0</v>
      </c>
      <c r="CT170">
        <f t="shared" si="172"/>
        <v>588.94000000000005</v>
      </c>
      <c r="CU170">
        <f t="shared" si="173"/>
        <v>0</v>
      </c>
      <c r="CV170">
        <f t="shared" si="174"/>
        <v>0.71502860000000001</v>
      </c>
      <c r="CW170">
        <f t="shared" si="175"/>
        <v>0</v>
      </c>
      <c r="CX170">
        <f t="shared" si="176"/>
        <v>0</v>
      </c>
      <c r="CY170">
        <f>(ROUND((((S170+ROUND((ROUND(((((EU170*1.25)*1.1))*AV170*1),2)*BS170),2))*AT170)/100),2)+ROUND(((ROUND((ROUND(((AE170-(((EU170*1.25)*1.1)))*AV170*1),2)*BS170),2)*AT170)/100),2))</f>
        <v>2968.74</v>
      </c>
      <c r="CZ170">
        <f>(ROUND((((S170+ROUND((ROUND(((((EU170*1.25)*1.1))*AV170*1),2)*BS170),2))*AU170)/100),2)+ROUND(((ROUND((ROUND(((AE170-(((EU170*1.25)*1.1)))*AV170*1),2)*BS170),2)*AU170)/100),2))</f>
        <v>1873.13</v>
      </c>
      <c r="DB170">
        <v>27</v>
      </c>
      <c r="DC170" t="s">
        <v>3</v>
      </c>
      <c r="DD170" t="s">
        <v>3</v>
      </c>
      <c r="DE170" t="s">
        <v>39</v>
      </c>
      <c r="DF170" t="s">
        <v>39</v>
      </c>
      <c r="DG170" t="s">
        <v>40</v>
      </c>
      <c r="DH170" t="s">
        <v>3</v>
      </c>
      <c r="DI170" t="s">
        <v>40</v>
      </c>
      <c r="DJ170" t="s">
        <v>39</v>
      </c>
      <c r="DK170" t="s">
        <v>3</v>
      </c>
      <c r="DL170" t="s">
        <v>3</v>
      </c>
      <c r="DM170" t="s">
        <v>3</v>
      </c>
      <c r="DN170">
        <v>0</v>
      </c>
      <c r="DO170">
        <v>0</v>
      </c>
      <c r="DP170">
        <v>1</v>
      </c>
      <c r="DQ170">
        <v>1</v>
      </c>
      <c r="DU170">
        <v>1013</v>
      </c>
      <c r="DV170" t="s">
        <v>37</v>
      </c>
      <c r="DW170" t="s">
        <v>37</v>
      </c>
      <c r="DX170">
        <v>1</v>
      </c>
      <c r="DZ170" t="s">
        <v>3</v>
      </c>
      <c r="EA170" t="s">
        <v>3</v>
      </c>
      <c r="EB170" t="s">
        <v>3</v>
      </c>
      <c r="EC170" t="s">
        <v>3</v>
      </c>
      <c r="EE170">
        <v>59298982</v>
      </c>
      <c r="EF170">
        <v>30</v>
      </c>
      <c r="EG170" t="s">
        <v>26</v>
      </c>
      <c r="EH170">
        <v>0</v>
      </c>
      <c r="EI170" t="s">
        <v>3</v>
      </c>
      <c r="EJ170">
        <v>1</v>
      </c>
      <c r="EK170">
        <v>55</v>
      </c>
      <c r="EL170" t="s">
        <v>152</v>
      </c>
      <c r="EM170" t="s">
        <v>153</v>
      </c>
      <c r="EO170" t="s">
        <v>41</v>
      </c>
      <c r="EQ170">
        <v>0</v>
      </c>
      <c r="ER170">
        <v>8.2899999999999991</v>
      </c>
      <c r="ES170">
        <v>0.5</v>
      </c>
      <c r="ET170">
        <v>0</v>
      </c>
      <c r="EU170">
        <v>0</v>
      </c>
      <c r="EV170">
        <v>7.79</v>
      </c>
      <c r="EW170">
        <v>0.52</v>
      </c>
      <c r="EX170">
        <v>0</v>
      </c>
      <c r="EY170">
        <v>0</v>
      </c>
      <c r="FQ170">
        <v>0</v>
      </c>
      <c r="FR170">
        <v>0</v>
      </c>
      <c r="FS170">
        <v>0</v>
      </c>
      <c r="FX170">
        <v>84</v>
      </c>
      <c r="FY170">
        <v>53</v>
      </c>
      <c r="GA170" t="s">
        <v>3</v>
      </c>
      <c r="GD170">
        <v>1</v>
      </c>
      <c r="GF170">
        <v>-627755098</v>
      </c>
      <c r="GG170">
        <v>2</v>
      </c>
      <c r="GH170">
        <v>1</v>
      </c>
      <c r="GI170">
        <v>2</v>
      </c>
      <c r="GJ170">
        <v>0</v>
      </c>
      <c r="GK170">
        <v>0</v>
      </c>
      <c r="GL170">
        <f t="shared" si="177"/>
        <v>0</v>
      </c>
      <c r="GM170">
        <f t="shared" si="178"/>
        <v>8423.7800000000007</v>
      </c>
      <c r="GN170">
        <f t="shared" si="179"/>
        <v>8423.7800000000007</v>
      </c>
      <c r="GO170">
        <f t="shared" si="180"/>
        <v>0</v>
      </c>
      <c r="GP170">
        <f t="shared" si="181"/>
        <v>0</v>
      </c>
      <c r="GR170">
        <v>0</v>
      </c>
      <c r="GS170">
        <v>3</v>
      </c>
      <c r="GT170">
        <v>0</v>
      </c>
      <c r="GU170" t="s">
        <v>3</v>
      </c>
      <c r="GV170">
        <f t="shared" si="182"/>
        <v>0</v>
      </c>
      <c r="GW170">
        <v>1</v>
      </c>
      <c r="GX170">
        <f t="shared" si="183"/>
        <v>0</v>
      </c>
      <c r="HA170">
        <v>0</v>
      </c>
      <c r="HB170">
        <v>0</v>
      </c>
      <c r="HC170">
        <f t="shared" si="184"/>
        <v>0</v>
      </c>
      <c r="HE170" t="s">
        <v>3</v>
      </c>
      <c r="HF170" t="s">
        <v>3</v>
      </c>
      <c r="HM170" t="s">
        <v>3</v>
      </c>
      <c r="HN170" t="s">
        <v>3</v>
      </c>
      <c r="HO170" t="s">
        <v>3</v>
      </c>
      <c r="HP170" t="s">
        <v>3</v>
      </c>
      <c r="HQ170" t="s">
        <v>3</v>
      </c>
      <c r="HS170">
        <v>0</v>
      </c>
      <c r="IK170">
        <v>0</v>
      </c>
    </row>
    <row r="171" spans="1:255" x14ac:dyDescent="0.2">
      <c r="A171" s="2">
        <v>18</v>
      </c>
      <c r="B171" s="2">
        <v>1</v>
      </c>
      <c r="C171" s="2">
        <v>9</v>
      </c>
      <c r="D171" s="2"/>
      <c r="E171" s="2" t="s">
        <v>160</v>
      </c>
      <c r="F171" s="2" t="s">
        <v>155</v>
      </c>
      <c r="G171" s="2" t="s">
        <v>156</v>
      </c>
      <c r="H171" s="2" t="s">
        <v>124</v>
      </c>
      <c r="I171" s="2">
        <f>I169*J171</f>
        <v>6</v>
      </c>
      <c r="J171" s="2">
        <v>1</v>
      </c>
      <c r="K171" s="2">
        <v>1</v>
      </c>
      <c r="L171" s="2"/>
      <c r="M171" s="2"/>
      <c r="N171" s="2"/>
      <c r="O171" s="2">
        <f t="shared" si="159"/>
        <v>941.76</v>
      </c>
      <c r="P171" s="2">
        <f t="shared" si="160"/>
        <v>941.76</v>
      </c>
      <c r="Q171" s="2">
        <f>(ROUND((ROUND(((ET171)*AV171*I171),2)*BB171),2)+ROUND((ROUND(((AE171-(EU171))*AV171*I171),2)*BS171),2))</f>
        <v>0</v>
      </c>
      <c r="R171" s="2">
        <f>(ROUND((ROUND(((EU171)*AV171*I171),2)*BS171),2)+ROUND((ROUND(((AE171-(EU171))*AV171*I171),2)*BS171),2))</f>
        <v>0</v>
      </c>
      <c r="S171" s="2">
        <f t="shared" si="161"/>
        <v>0</v>
      </c>
      <c r="T171" s="2">
        <f t="shared" si="162"/>
        <v>0</v>
      </c>
      <c r="U171" s="2">
        <f t="shared" si="163"/>
        <v>0</v>
      </c>
      <c r="V171" s="2">
        <f t="shared" si="164"/>
        <v>0</v>
      </c>
      <c r="W171" s="2">
        <f t="shared" si="165"/>
        <v>0</v>
      </c>
      <c r="X171" s="2">
        <f>(ROUND((((S171+ROUND((ROUND(((EU171)*AV171*I171),2)*BS171),2))*AT171)/100),2)+ROUND(((ROUND((ROUND(((AE171-(EU171))*AV171*I171),2)*BS171),2)*AT171)/100),2))</f>
        <v>0</v>
      </c>
      <c r="Y171" s="2">
        <f>(ROUND((((S171+ROUND((ROUND(((EU171)*AV171*I171),2)*BS171),2))*AU171)/100),2)+ROUND(((ROUND((ROUND(((AE171-(EU171))*AV171*I171),2)*BS171),2)*AU171)/100),2))</f>
        <v>0</v>
      </c>
      <c r="Z171" s="2"/>
      <c r="AA171" s="2">
        <v>59499218</v>
      </c>
      <c r="AB171" s="2">
        <f t="shared" si="166"/>
        <v>156.96</v>
      </c>
      <c r="AC171" s="2">
        <f t="shared" si="167"/>
        <v>156.96</v>
      </c>
      <c r="AD171" s="2">
        <f>ROUND((((ET171)-(EU171))+AE171),6)</f>
        <v>0</v>
      </c>
      <c r="AE171" s="2">
        <f>ROUND((EU171),6)</f>
        <v>0</v>
      </c>
      <c r="AF171" s="2">
        <f>ROUND((EV171),6)</f>
        <v>0</v>
      </c>
      <c r="AG171" s="2">
        <f t="shared" si="168"/>
        <v>0</v>
      </c>
      <c r="AH171" s="2">
        <f>(EW171)</f>
        <v>0</v>
      </c>
      <c r="AI171" s="2">
        <f>(EX171)</f>
        <v>0</v>
      </c>
      <c r="AJ171" s="2">
        <f t="shared" si="169"/>
        <v>0</v>
      </c>
      <c r="AK171" s="2">
        <v>156.96</v>
      </c>
      <c r="AL171" s="2">
        <v>156.96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84</v>
      </c>
      <c r="AU171" s="2">
        <v>53</v>
      </c>
      <c r="AV171" s="2">
        <v>1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3</v>
      </c>
      <c r="BI171" s="2">
        <v>1</v>
      </c>
      <c r="BJ171" s="2" t="s">
        <v>157</v>
      </c>
      <c r="BK171" s="2"/>
      <c r="BL171" s="2"/>
      <c r="BM171" s="2">
        <v>55</v>
      </c>
      <c r="BN171" s="2">
        <v>59298886</v>
      </c>
      <c r="BO171" s="2" t="s">
        <v>3</v>
      </c>
      <c r="BP171" s="2">
        <v>0</v>
      </c>
      <c r="BQ171" s="2">
        <v>30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84</v>
      </c>
      <c r="CA171" s="2">
        <v>53</v>
      </c>
      <c r="CB171" s="2" t="s">
        <v>3</v>
      </c>
      <c r="CC171" s="2"/>
      <c r="CD171" s="2"/>
      <c r="CE171" s="2">
        <v>1566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3</v>
      </c>
      <c r="CO171" s="2">
        <v>0</v>
      </c>
      <c r="CP171" s="2">
        <f t="shared" si="170"/>
        <v>941.76</v>
      </c>
      <c r="CQ171" s="2">
        <f t="shared" si="171"/>
        <v>156.96</v>
      </c>
      <c r="CR171" s="2">
        <f>(ROUND((ROUND(((ET171)*AV171*1),2)*BB171),2)+ROUND((ROUND(((AE171-(EU171))*AV171*1),2)*BS171),2))</f>
        <v>0</v>
      </c>
      <c r="CS171" s="2">
        <f>(ROUND((ROUND(((EU171)*AV171*1),2)*BS171),2)+ROUND((ROUND(((AE171-(EU171))*AV171*1),2)*BS171),2))</f>
        <v>0</v>
      </c>
      <c r="CT171" s="2">
        <f t="shared" si="172"/>
        <v>0</v>
      </c>
      <c r="CU171" s="2">
        <f t="shared" si="173"/>
        <v>0</v>
      </c>
      <c r="CV171" s="2">
        <f t="shared" si="174"/>
        <v>0</v>
      </c>
      <c r="CW171" s="2">
        <f t="shared" si="175"/>
        <v>0</v>
      </c>
      <c r="CX171" s="2">
        <f t="shared" si="176"/>
        <v>0</v>
      </c>
      <c r="CY171" s="2">
        <f>(ROUND((((S171+ROUND((ROUND(((EU171)*AV171*1),2)*BS171),2))*AT171)/100),2)+ROUND(((ROUND((ROUND(((AE171-(EU171))*AV171*1),2)*BS171),2)*AT171)/100),2))</f>
        <v>0</v>
      </c>
      <c r="CZ171" s="2">
        <f>(ROUND((((S171+ROUND((ROUND(((EU171)*AV171*1),2)*BS171),2))*AU171)/100),2)+ROUND(((ROUND((ROUND(((AE171-(EU171))*AV171*1),2)*BS171),2)*AU171)/100),2))</f>
        <v>0</v>
      </c>
      <c r="DA171" s="2"/>
      <c r="DB171" s="2"/>
      <c r="DC171" s="2" t="s">
        <v>3</v>
      </c>
      <c r="DD171" s="2" t="s">
        <v>3</v>
      </c>
      <c r="DE171" s="2" t="s">
        <v>3</v>
      </c>
      <c r="DF171" s="2" t="s">
        <v>3</v>
      </c>
      <c r="DG171" s="2" t="s">
        <v>3</v>
      </c>
      <c r="DH171" s="2" t="s">
        <v>3</v>
      </c>
      <c r="DI171" s="2" t="s">
        <v>3</v>
      </c>
      <c r="DJ171" s="2" t="s">
        <v>3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1010</v>
      </c>
      <c r="DV171" s="2" t="s">
        <v>124</v>
      </c>
      <c r="DW171" s="2" t="s">
        <v>124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59298982</v>
      </c>
      <c r="EF171" s="2">
        <v>30</v>
      </c>
      <c r="EG171" s="2" t="s">
        <v>26</v>
      </c>
      <c r="EH171" s="2">
        <v>0</v>
      </c>
      <c r="EI171" s="2" t="s">
        <v>3</v>
      </c>
      <c r="EJ171" s="2">
        <v>1</v>
      </c>
      <c r="EK171" s="2">
        <v>55</v>
      </c>
      <c r="EL171" s="2" t="s">
        <v>152</v>
      </c>
      <c r="EM171" s="2" t="s">
        <v>153</v>
      </c>
      <c r="EN171" s="2"/>
      <c r="EO171" s="2" t="s">
        <v>3</v>
      </c>
      <c r="EP171" s="2"/>
      <c r="EQ171" s="2">
        <v>0</v>
      </c>
      <c r="ER171" s="2">
        <v>156.96</v>
      </c>
      <c r="ES171" s="2">
        <v>156.96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84</v>
      </c>
      <c r="FY171" s="2">
        <v>53</v>
      </c>
      <c r="FZ171" s="2"/>
      <c r="GA171" s="2" t="s">
        <v>3</v>
      </c>
      <c r="GB171" s="2"/>
      <c r="GC171" s="2"/>
      <c r="GD171" s="2">
        <v>1</v>
      </c>
      <c r="GE171" s="2"/>
      <c r="GF171" s="2">
        <v>1303734261</v>
      </c>
      <c r="GG171" s="2">
        <v>2</v>
      </c>
      <c r="GH171" s="2">
        <v>1</v>
      </c>
      <c r="GI171" s="2">
        <v>-2</v>
      </c>
      <c r="GJ171" s="2">
        <v>0</v>
      </c>
      <c r="GK171" s="2">
        <v>0</v>
      </c>
      <c r="GL171" s="2">
        <f t="shared" si="177"/>
        <v>0</v>
      </c>
      <c r="GM171" s="2">
        <f t="shared" si="178"/>
        <v>941.76</v>
      </c>
      <c r="GN171" s="2">
        <f t="shared" si="179"/>
        <v>941.76</v>
      </c>
      <c r="GO171" s="2">
        <f t="shared" si="180"/>
        <v>0</v>
      </c>
      <c r="GP171" s="2">
        <f t="shared" si="181"/>
        <v>0</v>
      </c>
      <c r="GQ171" s="2"/>
      <c r="GR171" s="2">
        <v>0</v>
      </c>
      <c r="GS171" s="2">
        <v>3</v>
      </c>
      <c r="GT171" s="2">
        <v>0</v>
      </c>
      <c r="GU171" s="2" t="s">
        <v>3</v>
      </c>
      <c r="GV171" s="2">
        <f t="shared" si="182"/>
        <v>0</v>
      </c>
      <c r="GW171" s="2">
        <v>1</v>
      </c>
      <c r="GX171" s="2">
        <f t="shared" si="183"/>
        <v>0</v>
      </c>
      <c r="GY171" s="2"/>
      <c r="GZ171" s="2"/>
      <c r="HA171" s="2">
        <v>0</v>
      </c>
      <c r="HB171" s="2">
        <v>0</v>
      </c>
      <c r="HC171" s="2">
        <f t="shared" si="184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">
      <c r="A172">
        <v>18</v>
      </c>
      <c r="B172">
        <v>1</v>
      </c>
      <c r="C172">
        <v>12</v>
      </c>
      <c r="E172" t="s">
        <v>160</v>
      </c>
      <c r="F172" t="s">
        <v>155</v>
      </c>
      <c r="G172" t="s">
        <v>156</v>
      </c>
      <c r="H172" t="s">
        <v>124</v>
      </c>
      <c r="I172">
        <f>I170*J172</f>
        <v>6</v>
      </c>
      <c r="J172">
        <v>1</v>
      </c>
      <c r="K172">
        <v>1</v>
      </c>
      <c r="O172">
        <f t="shared" si="159"/>
        <v>847.58</v>
      </c>
      <c r="P172">
        <f t="shared" si="160"/>
        <v>847.58</v>
      </c>
      <c r="Q172">
        <f>(ROUND((ROUND(((ET172)*AV172*I172),2)*BB172),2)+ROUND((ROUND(((AE172-(EU172))*AV172*I172),2)*BS172),2))</f>
        <v>0</v>
      </c>
      <c r="R172">
        <f>(ROUND((ROUND(((EU172)*AV172*I172),2)*BS172),2)+ROUND((ROUND(((AE172-(EU172))*AV172*I172),2)*BS172),2))</f>
        <v>0</v>
      </c>
      <c r="S172">
        <f t="shared" si="161"/>
        <v>0</v>
      </c>
      <c r="T172">
        <f t="shared" si="162"/>
        <v>0</v>
      </c>
      <c r="U172">
        <f t="shared" si="163"/>
        <v>0</v>
      </c>
      <c r="V172">
        <f t="shared" si="164"/>
        <v>0</v>
      </c>
      <c r="W172">
        <f t="shared" si="165"/>
        <v>0</v>
      </c>
      <c r="X172">
        <f>(ROUND((((S172+ROUND((ROUND(((EU172)*AV172*I172),2)*BS172),2))*AT172)/100),2)+ROUND(((ROUND((ROUND(((AE172-(EU172))*AV172*I172),2)*BS172),2)*AT172)/100),2))</f>
        <v>0</v>
      </c>
      <c r="Y172">
        <f>(ROUND((((S172+ROUND((ROUND(((EU172)*AV172*I172),2)*BS172),2))*AU172)/100),2)+ROUND(((ROUND((ROUND(((AE172-(EU172))*AV172*I172),2)*BS172),2)*AU172)/100),2))</f>
        <v>0</v>
      </c>
      <c r="AA172">
        <v>59499215</v>
      </c>
      <c r="AB172">
        <f t="shared" si="166"/>
        <v>156.96</v>
      </c>
      <c r="AC172">
        <f t="shared" si="167"/>
        <v>156.96</v>
      </c>
      <c r="AD172">
        <f>ROUND((((ET172)-(EU172))+AE172),6)</f>
        <v>0</v>
      </c>
      <c r="AE172">
        <f>ROUND((EU172),6)</f>
        <v>0</v>
      </c>
      <c r="AF172">
        <f>ROUND((EV172),6)</f>
        <v>0</v>
      </c>
      <c r="AG172">
        <f t="shared" si="168"/>
        <v>0</v>
      </c>
      <c r="AH172">
        <f>(EW172)</f>
        <v>0</v>
      </c>
      <c r="AI172">
        <f>(EX172)</f>
        <v>0</v>
      </c>
      <c r="AJ172">
        <f t="shared" si="169"/>
        <v>0</v>
      </c>
      <c r="AK172">
        <v>156.96</v>
      </c>
      <c r="AL172">
        <v>156.96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84</v>
      </c>
      <c r="AU172">
        <v>53</v>
      </c>
      <c r="AV172">
        <v>1</v>
      </c>
      <c r="AW172">
        <v>1</v>
      </c>
      <c r="AZ172">
        <v>1</v>
      </c>
      <c r="BA172">
        <v>1</v>
      </c>
      <c r="BB172">
        <v>1</v>
      </c>
      <c r="BC172">
        <v>0.9</v>
      </c>
      <c r="BD172" t="s">
        <v>3</v>
      </c>
      <c r="BE172" t="s">
        <v>3</v>
      </c>
      <c r="BF172" t="s">
        <v>3</v>
      </c>
      <c r="BG172" t="s">
        <v>3</v>
      </c>
      <c r="BH172">
        <v>3</v>
      </c>
      <c r="BI172">
        <v>1</v>
      </c>
      <c r="BJ172" t="s">
        <v>157</v>
      </c>
      <c r="BM172">
        <v>55</v>
      </c>
      <c r="BN172">
        <v>59298886</v>
      </c>
      <c r="BO172" t="s">
        <v>155</v>
      </c>
      <c r="BP172">
        <v>1</v>
      </c>
      <c r="BQ172">
        <v>30</v>
      </c>
      <c r="BR172">
        <v>0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 t="s">
        <v>3</v>
      </c>
      <c r="BZ172">
        <v>84</v>
      </c>
      <c r="CA172">
        <v>53</v>
      </c>
      <c r="CB172" t="s">
        <v>3</v>
      </c>
      <c r="CE172">
        <v>1566</v>
      </c>
      <c r="CF172">
        <v>0</v>
      </c>
      <c r="CG172">
        <v>0</v>
      </c>
      <c r="CM172">
        <v>0</v>
      </c>
      <c r="CN172" t="s">
        <v>3</v>
      </c>
      <c r="CO172">
        <v>0</v>
      </c>
      <c r="CP172">
        <f t="shared" si="170"/>
        <v>847.58</v>
      </c>
      <c r="CQ172">
        <f t="shared" si="171"/>
        <v>141.26</v>
      </c>
      <c r="CR172">
        <f>(ROUND((ROUND(((ET172)*AV172*1),2)*BB172),2)+ROUND((ROUND(((AE172-(EU172))*AV172*1),2)*BS172),2))</f>
        <v>0</v>
      </c>
      <c r="CS172">
        <f>(ROUND((ROUND(((EU172)*AV172*1),2)*BS172),2)+ROUND((ROUND(((AE172-(EU172))*AV172*1),2)*BS172),2))</f>
        <v>0</v>
      </c>
      <c r="CT172">
        <f t="shared" si="172"/>
        <v>0</v>
      </c>
      <c r="CU172">
        <f t="shared" si="173"/>
        <v>0</v>
      </c>
      <c r="CV172">
        <f t="shared" si="174"/>
        <v>0</v>
      </c>
      <c r="CW172">
        <f t="shared" si="175"/>
        <v>0</v>
      </c>
      <c r="CX172">
        <f t="shared" si="176"/>
        <v>0</v>
      </c>
      <c r="CY172">
        <f>(ROUND((((S172+ROUND((ROUND(((EU172)*AV172*1),2)*BS172),2))*AT172)/100),2)+ROUND(((ROUND((ROUND(((AE172-(EU172))*AV172*1),2)*BS172),2)*AT172)/100),2))</f>
        <v>0</v>
      </c>
      <c r="CZ172">
        <f>(ROUND((((S172+ROUND((ROUND(((EU172)*AV172*1),2)*BS172),2))*AU172)/100),2)+ROUND(((ROUND((ROUND(((AE172-(EU172))*AV172*1),2)*BS172),2)*AU172)/100),2))</f>
        <v>0</v>
      </c>
      <c r="DC172" t="s">
        <v>3</v>
      </c>
      <c r="DD172" t="s">
        <v>3</v>
      </c>
      <c r="DE172" t="s">
        <v>3</v>
      </c>
      <c r="DF172" t="s">
        <v>3</v>
      </c>
      <c r="DG172" t="s">
        <v>3</v>
      </c>
      <c r="DH172" t="s">
        <v>3</v>
      </c>
      <c r="DI172" t="s">
        <v>3</v>
      </c>
      <c r="DJ172" t="s">
        <v>3</v>
      </c>
      <c r="DK172" t="s">
        <v>3</v>
      </c>
      <c r="DL172" t="s">
        <v>3</v>
      </c>
      <c r="DM172" t="s">
        <v>3</v>
      </c>
      <c r="DN172">
        <v>0</v>
      </c>
      <c r="DO172">
        <v>0</v>
      </c>
      <c r="DP172">
        <v>1</v>
      </c>
      <c r="DQ172">
        <v>1</v>
      </c>
      <c r="DU172">
        <v>1010</v>
      </c>
      <c r="DV172" t="s">
        <v>124</v>
      </c>
      <c r="DW172" t="s">
        <v>124</v>
      </c>
      <c r="DX172">
        <v>1</v>
      </c>
      <c r="DZ172" t="s">
        <v>3</v>
      </c>
      <c r="EA172" t="s">
        <v>3</v>
      </c>
      <c r="EB172" t="s">
        <v>3</v>
      </c>
      <c r="EC172" t="s">
        <v>3</v>
      </c>
      <c r="EE172">
        <v>59298982</v>
      </c>
      <c r="EF172">
        <v>30</v>
      </c>
      <c r="EG172" t="s">
        <v>26</v>
      </c>
      <c r="EH172">
        <v>0</v>
      </c>
      <c r="EI172" t="s">
        <v>3</v>
      </c>
      <c r="EJ172">
        <v>1</v>
      </c>
      <c r="EK172">
        <v>55</v>
      </c>
      <c r="EL172" t="s">
        <v>152</v>
      </c>
      <c r="EM172" t="s">
        <v>153</v>
      </c>
      <c r="EO172" t="s">
        <v>3</v>
      </c>
      <c r="EQ172">
        <v>0</v>
      </c>
      <c r="ER172">
        <v>156.96</v>
      </c>
      <c r="ES172">
        <v>156.96</v>
      </c>
      <c r="ET172">
        <v>0</v>
      </c>
      <c r="EU172">
        <v>0</v>
      </c>
      <c r="EV172">
        <v>0</v>
      </c>
      <c r="EW172">
        <v>0</v>
      </c>
      <c r="EX172">
        <v>0</v>
      </c>
      <c r="FQ172">
        <v>0</v>
      </c>
      <c r="FR172">
        <v>0</v>
      </c>
      <c r="FS172">
        <v>0</v>
      </c>
      <c r="FX172">
        <v>84</v>
      </c>
      <c r="FY172">
        <v>53</v>
      </c>
      <c r="GA172" t="s">
        <v>3</v>
      </c>
      <c r="GD172">
        <v>1</v>
      </c>
      <c r="GF172">
        <v>1303734261</v>
      </c>
      <c r="GG172">
        <v>2</v>
      </c>
      <c r="GH172">
        <v>1</v>
      </c>
      <c r="GI172">
        <v>2</v>
      </c>
      <c r="GJ172">
        <v>0</v>
      </c>
      <c r="GK172">
        <v>0</v>
      </c>
      <c r="GL172">
        <f t="shared" si="177"/>
        <v>0</v>
      </c>
      <c r="GM172">
        <f t="shared" si="178"/>
        <v>847.58</v>
      </c>
      <c r="GN172">
        <f t="shared" si="179"/>
        <v>847.58</v>
      </c>
      <c r="GO172">
        <f t="shared" si="180"/>
        <v>0</v>
      </c>
      <c r="GP172">
        <f t="shared" si="181"/>
        <v>0</v>
      </c>
      <c r="GR172">
        <v>0</v>
      </c>
      <c r="GS172">
        <v>3</v>
      </c>
      <c r="GT172">
        <v>0</v>
      </c>
      <c r="GU172" t="s">
        <v>3</v>
      </c>
      <c r="GV172">
        <f t="shared" si="182"/>
        <v>0</v>
      </c>
      <c r="GW172">
        <v>1</v>
      </c>
      <c r="GX172">
        <f t="shared" si="183"/>
        <v>0</v>
      </c>
      <c r="HA172">
        <v>0</v>
      </c>
      <c r="HB172">
        <v>0</v>
      </c>
      <c r="HC172">
        <f t="shared" si="184"/>
        <v>0</v>
      </c>
      <c r="HE172" t="s">
        <v>3</v>
      </c>
      <c r="HF172" t="s">
        <v>3</v>
      </c>
      <c r="HM172" t="s">
        <v>3</v>
      </c>
      <c r="HN172" t="s">
        <v>3</v>
      </c>
      <c r="HO172" t="s">
        <v>3</v>
      </c>
      <c r="HP172" t="s">
        <v>3</v>
      </c>
      <c r="HQ172" t="s">
        <v>3</v>
      </c>
      <c r="HS172">
        <v>0</v>
      </c>
      <c r="IK172">
        <v>0</v>
      </c>
    </row>
    <row r="173" spans="1:255" x14ac:dyDescent="0.2">
      <c r="A173" s="2">
        <v>17</v>
      </c>
      <c r="B173" s="2">
        <v>1</v>
      </c>
      <c r="C173" s="2">
        <f>ROW(SmtRes!A15)</f>
        <v>15</v>
      </c>
      <c r="D173" s="2">
        <f>ROW(EtalonRes!A23)</f>
        <v>23</v>
      </c>
      <c r="E173" s="2" t="s">
        <v>161</v>
      </c>
      <c r="F173" s="2" t="s">
        <v>149</v>
      </c>
      <c r="G173" s="2" t="s">
        <v>162</v>
      </c>
      <c r="H173" s="2" t="s">
        <v>37</v>
      </c>
      <c r="I173" s="2">
        <v>4</v>
      </c>
      <c r="J173" s="2">
        <v>0</v>
      </c>
      <c r="K173" s="2">
        <v>4</v>
      </c>
      <c r="L173" s="2"/>
      <c r="M173" s="2"/>
      <c r="N173" s="2"/>
      <c r="O173" s="2">
        <f t="shared" si="159"/>
        <v>44.85</v>
      </c>
      <c r="P173" s="2">
        <f t="shared" si="160"/>
        <v>2</v>
      </c>
      <c r="Q173" s="2">
        <f>(ROUND((ROUND(((((ET173*1.25)*1.1))*AV173*I173),2)*BB173),2)+ROUND((ROUND(((AE173-(((EU173*1.25)*1.1)))*AV173*I173),2)*BS173),2))</f>
        <v>0</v>
      </c>
      <c r="R173" s="2">
        <f>(ROUND((ROUND(((((EU173*1.25)*1.1))*AV173*I173),2)*BS173),2)+ROUND((ROUND(((AE173-(((EU173*1.25)*1.1)))*AV173*I173),2)*BS173),2))</f>
        <v>0</v>
      </c>
      <c r="S173" s="2">
        <f t="shared" si="161"/>
        <v>42.85</v>
      </c>
      <c r="T173" s="2">
        <f t="shared" si="162"/>
        <v>0</v>
      </c>
      <c r="U173" s="2">
        <f t="shared" si="163"/>
        <v>2.8601144000000001</v>
      </c>
      <c r="V173" s="2">
        <f t="shared" si="164"/>
        <v>0</v>
      </c>
      <c r="W173" s="2">
        <f t="shared" si="165"/>
        <v>0</v>
      </c>
      <c r="X173" s="2">
        <f>(ROUND((((S173+ROUND((ROUND(((((EU173*1.25)*1.1))*AV173*I173),2)*BS173),2))*AT173)/100),2)+ROUND(((ROUND((ROUND(((AE173-(((EU173*1.25)*1.1)))*AV173*I173),2)*BS173),2)*AT173)/100),2))</f>
        <v>35.99</v>
      </c>
      <c r="Y173" s="2">
        <f>(ROUND((((S173+ROUND((ROUND(((((EU173*1.25)*1.1))*AV173*I173),2)*BS173),2))*AU173)/100),2)+ROUND(((ROUND((ROUND(((AE173-(((EU173*1.25)*1.1)))*AV173*I173),2)*BS173),2)*AU173)/100),2))</f>
        <v>22.71</v>
      </c>
      <c r="Z173" s="2"/>
      <c r="AA173" s="2">
        <v>59499218</v>
      </c>
      <c r="AB173" s="2">
        <f t="shared" si="166"/>
        <v>10.35435</v>
      </c>
      <c r="AC173" s="2">
        <f t="shared" si="167"/>
        <v>0.5</v>
      </c>
      <c r="AD173" s="2">
        <f>ROUND((((((ET173*1.25)*1.1))-(((EU173*1.25)*1.1)))+AE173),6)</f>
        <v>0</v>
      </c>
      <c r="AE173" s="2">
        <f>ROUND((((EU173*1.25)*1.1)),6)</f>
        <v>0</v>
      </c>
      <c r="AF173" s="2">
        <f>ROUND((((EV173*1.15)*1.1)),6)</f>
        <v>9.8543500000000002</v>
      </c>
      <c r="AG173" s="2">
        <f t="shared" si="168"/>
        <v>0</v>
      </c>
      <c r="AH173" s="2">
        <f>(((EW173*1.15)*1.1))</f>
        <v>0.65780000000000005</v>
      </c>
      <c r="AI173" s="2">
        <f>(((EX173*1.25)*1.1))</f>
        <v>0</v>
      </c>
      <c r="AJ173" s="2">
        <f t="shared" si="169"/>
        <v>0</v>
      </c>
      <c r="AK173" s="2">
        <v>8.2899999999999991</v>
      </c>
      <c r="AL173" s="2">
        <v>0.5</v>
      </c>
      <c r="AM173" s="2">
        <v>0</v>
      </c>
      <c r="AN173" s="2">
        <v>0</v>
      </c>
      <c r="AO173" s="2">
        <v>7.79</v>
      </c>
      <c r="AP173" s="2">
        <v>0</v>
      </c>
      <c r="AQ173" s="2">
        <v>0.52</v>
      </c>
      <c r="AR173" s="2">
        <v>0</v>
      </c>
      <c r="AS173" s="2">
        <v>0</v>
      </c>
      <c r="AT173" s="2">
        <v>84</v>
      </c>
      <c r="AU173" s="2">
        <v>53</v>
      </c>
      <c r="AV173" s="2">
        <v>1.087</v>
      </c>
      <c r="AW173" s="2">
        <v>1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0</v>
      </c>
      <c r="BI173" s="2">
        <v>1</v>
      </c>
      <c r="BJ173" s="2" t="s">
        <v>151</v>
      </c>
      <c r="BK173" s="2"/>
      <c r="BL173" s="2"/>
      <c r="BM173" s="2">
        <v>55</v>
      </c>
      <c r="BN173" s="2">
        <v>59298886</v>
      </c>
      <c r="BO173" s="2" t="s">
        <v>149</v>
      </c>
      <c r="BP173" s="2">
        <v>1</v>
      </c>
      <c r="BQ173" s="2">
        <v>30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84</v>
      </c>
      <c r="CA173" s="2">
        <v>53</v>
      </c>
      <c r="CB173" s="2" t="s">
        <v>3</v>
      </c>
      <c r="CC173" s="2"/>
      <c r="CD173" s="2"/>
      <c r="CE173" s="2">
        <v>1566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375</v>
      </c>
      <c r="CO173" s="2">
        <v>0</v>
      </c>
      <c r="CP173" s="2">
        <f t="shared" si="170"/>
        <v>44.85</v>
      </c>
      <c r="CQ173" s="2">
        <f t="shared" si="171"/>
        <v>0.5</v>
      </c>
      <c r="CR173" s="2">
        <f>(ROUND((ROUND(((((ET173*1.25)*1.1))*AV173*1),2)*BB173),2)+ROUND((ROUND(((AE173-(((EU173*1.25)*1.1)))*AV173*1),2)*BS173),2))</f>
        <v>0</v>
      </c>
      <c r="CS173" s="2">
        <f>(ROUND((ROUND(((((EU173*1.25)*1.1))*AV173*1),2)*BS173),2)+ROUND((ROUND(((AE173-(((EU173*1.25)*1.1)))*AV173*1),2)*BS173),2))</f>
        <v>0</v>
      </c>
      <c r="CT173" s="2">
        <f t="shared" si="172"/>
        <v>10.71</v>
      </c>
      <c r="CU173" s="2">
        <f t="shared" si="173"/>
        <v>0</v>
      </c>
      <c r="CV173" s="2">
        <f t="shared" si="174"/>
        <v>0.71502860000000001</v>
      </c>
      <c r="CW173" s="2">
        <f t="shared" si="175"/>
        <v>0</v>
      </c>
      <c r="CX173" s="2">
        <f t="shared" si="176"/>
        <v>0</v>
      </c>
      <c r="CY173" s="2">
        <f>(ROUND((((S173+ROUND((ROUND(((((EU173*1.25)*1.1))*AV173*1),2)*BS173),2))*AT173)/100),2)+ROUND(((ROUND((ROUND(((AE173-(((EU173*1.25)*1.1)))*AV173*1),2)*BS173),2)*AT173)/100),2))</f>
        <v>35.99</v>
      </c>
      <c r="CZ173" s="2">
        <f>(ROUND((((S173+ROUND((ROUND(((((EU173*1.25)*1.1))*AV173*1),2)*BS173),2))*AU173)/100),2)+ROUND(((ROUND((ROUND(((AE173-(((EU173*1.25)*1.1)))*AV173*1),2)*BS173),2)*AU173)/100),2))</f>
        <v>22.71</v>
      </c>
      <c r="DA173" s="2"/>
      <c r="DB173" s="2">
        <v>29</v>
      </c>
      <c r="DC173" s="2" t="s">
        <v>3</v>
      </c>
      <c r="DD173" s="2" t="s">
        <v>3</v>
      </c>
      <c r="DE173" s="2" t="s">
        <v>39</v>
      </c>
      <c r="DF173" s="2" t="s">
        <v>39</v>
      </c>
      <c r="DG173" s="2" t="s">
        <v>40</v>
      </c>
      <c r="DH173" s="2" t="s">
        <v>3</v>
      </c>
      <c r="DI173" s="2" t="s">
        <v>40</v>
      </c>
      <c r="DJ173" s="2" t="s">
        <v>39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1013</v>
      </c>
      <c r="DV173" s="2" t="s">
        <v>37</v>
      </c>
      <c r="DW173" s="2" t="s">
        <v>37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59298982</v>
      </c>
      <c r="EF173" s="2">
        <v>30</v>
      </c>
      <c r="EG173" s="2" t="s">
        <v>26</v>
      </c>
      <c r="EH173" s="2">
        <v>0</v>
      </c>
      <c r="EI173" s="2" t="s">
        <v>3</v>
      </c>
      <c r="EJ173" s="2">
        <v>1</v>
      </c>
      <c r="EK173" s="2">
        <v>55</v>
      </c>
      <c r="EL173" s="2" t="s">
        <v>152</v>
      </c>
      <c r="EM173" s="2" t="s">
        <v>153</v>
      </c>
      <c r="EN173" s="2"/>
      <c r="EO173" s="2" t="s">
        <v>41</v>
      </c>
      <c r="EP173" s="2"/>
      <c r="EQ173" s="2">
        <v>0</v>
      </c>
      <c r="ER173" s="2">
        <v>8.2899999999999991</v>
      </c>
      <c r="ES173" s="2">
        <v>0.5</v>
      </c>
      <c r="ET173" s="2">
        <v>0</v>
      </c>
      <c r="EU173" s="2">
        <v>0</v>
      </c>
      <c r="EV173" s="2">
        <v>7.79</v>
      </c>
      <c r="EW173" s="2">
        <v>0.52</v>
      </c>
      <c r="EX173" s="2">
        <v>0</v>
      </c>
      <c r="EY173" s="2">
        <v>0</v>
      </c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0</v>
      </c>
      <c r="FT173" s="2"/>
      <c r="FU173" s="2"/>
      <c r="FV173" s="2"/>
      <c r="FW173" s="2"/>
      <c r="FX173" s="2">
        <v>84</v>
      </c>
      <c r="FY173" s="2">
        <v>53</v>
      </c>
      <c r="FZ173" s="2"/>
      <c r="GA173" s="2" t="s">
        <v>3</v>
      </c>
      <c r="GB173" s="2"/>
      <c r="GC173" s="2"/>
      <c r="GD173" s="2">
        <v>1</v>
      </c>
      <c r="GE173" s="2"/>
      <c r="GF173" s="2">
        <v>-121546324</v>
      </c>
      <c r="GG173" s="2">
        <v>2</v>
      </c>
      <c r="GH173" s="2">
        <v>1</v>
      </c>
      <c r="GI173" s="2">
        <v>2</v>
      </c>
      <c r="GJ173" s="2">
        <v>0</v>
      </c>
      <c r="GK173" s="2">
        <v>0</v>
      </c>
      <c r="GL173" s="2">
        <f t="shared" si="177"/>
        <v>0</v>
      </c>
      <c r="GM173" s="2">
        <f t="shared" si="178"/>
        <v>103.55</v>
      </c>
      <c r="GN173" s="2">
        <f t="shared" si="179"/>
        <v>103.55</v>
      </c>
      <c r="GO173" s="2">
        <f t="shared" si="180"/>
        <v>0</v>
      </c>
      <c r="GP173" s="2">
        <f t="shared" si="181"/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si="182"/>
        <v>0</v>
      </c>
      <c r="GW173" s="2">
        <v>1</v>
      </c>
      <c r="GX173" s="2">
        <f t="shared" si="183"/>
        <v>0</v>
      </c>
      <c r="GY173" s="2"/>
      <c r="GZ173" s="2"/>
      <c r="HA173" s="2">
        <v>0</v>
      </c>
      <c r="HB173" s="2">
        <v>0</v>
      </c>
      <c r="HC173" s="2">
        <f t="shared" si="184"/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">
      <c r="A174">
        <v>17</v>
      </c>
      <c r="B174">
        <v>1</v>
      </c>
      <c r="C174">
        <f>ROW(SmtRes!A18)</f>
        <v>18</v>
      </c>
      <c r="D174">
        <f>ROW(EtalonRes!A26)</f>
        <v>26</v>
      </c>
      <c r="E174" t="s">
        <v>161</v>
      </c>
      <c r="F174" t="s">
        <v>149</v>
      </c>
      <c r="G174" t="s">
        <v>162</v>
      </c>
      <c r="H174" t="s">
        <v>37</v>
      </c>
      <c r="I174">
        <v>4</v>
      </c>
      <c r="J174">
        <v>0</v>
      </c>
      <c r="K174">
        <v>4</v>
      </c>
      <c r="O174">
        <f t="shared" si="159"/>
        <v>2388.12</v>
      </c>
      <c r="P174">
        <f t="shared" si="160"/>
        <v>31.8</v>
      </c>
      <c r="Q174">
        <f>(ROUND((ROUND(((((ET174*1.25)*1.1))*AV174*I174),2)*BB174),2)+ROUND((ROUND(((AE174-(((EU174*1.25)*1.1)))*AV174*I174),2)*BS174),2))</f>
        <v>0</v>
      </c>
      <c r="R174">
        <f>(ROUND((ROUND(((((EU174*1.25)*1.1))*AV174*I174),2)*BS174),2)+ROUND((ROUND(((AE174-(((EU174*1.25)*1.1)))*AV174*I174),2)*BS174),2))</f>
        <v>0</v>
      </c>
      <c r="S174">
        <f t="shared" si="161"/>
        <v>2356.3200000000002</v>
      </c>
      <c r="T174">
        <f t="shared" si="162"/>
        <v>0</v>
      </c>
      <c r="U174">
        <f t="shared" si="163"/>
        <v>2.8601144000000001</v>
      </c>
      <c r="V174">
        <f t="shared" si="164"/>
        <v>0</v>
      </c>
      <c r="W174">
        <f t="shared" si="165"/>
        <v>0</v>
      </c>
      <c r="X174">
        <f>(ROUND((((S174+ROUND((ROUND(((((EU174*1.25)*1.1))*AV174*I174),2)*BS174),2))*AT174)/100),2)+ROUND(((ROUND((ROUND(((AE174-(((EU174*1.25)*1.1)))*AV174*I174),2)*BS174),2)*AT174)/100),2))</f>
        <v>1979.31</v>
      </c>
      <c r="Y174">
        <f>(ROUND((((S174+ROUND((ROUND(((((EU174*1.25)*1.1))*AV174*I174),2)*BS174),2))*AU174)/100),2)+ROUND(((ROUND((ROUND(((AE174-(((EU174*1.25)*1.1)))*AV174*I174),2)*BS174),2)*AU174)/100),2))</f>
        <v>1248.8499999999999</v>
      </c>
      <c r="AA174">
        <v>59499215</v>
      </c>
      <c r="AB174">
        <f t="shared" si="166"/>
        <v>10.35435</v>
      </c>
      <c r="AC174">
        <f t="shared" si="167"/>
        <v>0.5</v>
      </c>
      <c r="AD174">
        <f>ROUND((((((ET174*1.25)*1.1))-(((EU174*1.25)*1.1)))+AE174),6)</f>
        <v>0</v>
      </c>
      <c r="AE174">
        <f>ROUND((((EU174*1.25)*1.1)),6)</f>
        <v>0</v>
      </c>
      <c r="AF174">
        <f>ROUND((((EV174*1.15)*1.1)),6)</f>
        <v>9.8543500000000002</v>
      </c>
      <c r="AG174">
        <f t="shared" si="168"/>
        <v>0</v>
      </c>
      <c r="AH174">
        <f>(((EW174*1.15)*1.1))</f>
        <v>0.65780000000000005</v>
      </c>
      <c r="AI174">
        <f>(((EX174*1.25)*1.1))</f>
        <v>0</v>
      </c>
      <c r="AJ174">
        <f t="shared" si="169"/>
        <v>0</v>
      </c>
      <c r="AK174">
        <v>8.2899999999999991</v>
      </c>
      <c r="AL174">
        <v>0.5</v>
      </c>
      <c r="AM174">
        <v>0</v>
      </c>
      <c r="AN174">
        <v>0</v>
      </c>
      <c r="AO174">
        <v>7.79</v>
      </c>
      <c r="AP174">
        <v>0</v>
      </c>
      <c r="AQ174">
        <v>0.52</v>
      </c>
      <c r="AR174">
        <v>0</v>
      </c>
      <c r="AS174">
        <v>0</v>
      </c>
      <c r="AT174">
        <v>84</v>
      </c>
      <c r="AU174">
        <v>53</v>
      </c>
      <c r="AV174">
        <v>1.087</v>
      </c>
      <c r="AW174">
        <v>1</v>
      </c>
      <c r="AZ174">
        <v>1</v>
      </c>
      <c r="BA174">
        <v>54.99</v>
      </c>
      <c r="BB174">
        <v>1</v>
      </c>
      <c r="BC174">
        <v>15.9</v>
      </c>
      <c r="BD174" t="s">
        <v>3</v>
      </c>
      <c r="BE174" t="s">
        <v>3</v>
      </c>
      <c r="BF174" t="s">
        <v>3</v>
      </c>
      <c r="BG174" t="s">
        <v>3</v>
      </c>
      <c r="BH174">
        <v>0</v>
      </c>
      <c r="BI174">
        <v>1</v>
      </c>
      <c r="BJ174" t="s">
        <v>151</v>
      </c>
      <c r="BM174">
        <v>55</v>
      </c>
      <c r="BN174">
        <v>59298886</v>
      </c>
      <c r="BO174" t="s">
        <v>149</v>
      </c>
      <c r="BP174">
        <v>1</v>
      </c>
      <c r="BQ174">
        <v>30</v>
      </c>
      <c r="BR174">
        <v>0</v>
      </c>
      <c r="BS174">
        <v>54.99</v>
      </c>
      <c r="BT174">
        <v>1</v>
      </c>
      <c r="BU174">
        <v>1</v>
      </c>
      <c r="BV174">
        <v>1</v>
      </c>
      <c r="BW174">
        <v>1</v>
      </c>
      <c r="BX174">
        <v>1</v>
      </c>
      <c r="BY174" t="s">
        <v>3</v>
      </c>
      <c r="BZ174">
        <v>84</v>
      </c>
      <c r="CA174">
        <v>53</v>
      </c>
      <c r="CB174" t="s">
        <v>3</v>
      </c>
      <c r="CE174">
        <v>1566</v>
      </c>
      <c r="CF174">
        <v>0</v>
      </c>
      <c r="CG174">
        <v>0</v>
      </c>
      <c r="CM174">
        <v>0</v>
      </c>
      <c r="CN174" t="s">
        <v>375</v>
      </c>
      <c r="CO174">
        <v>0</v>
      </c>
      <c r="CP174">
        <f t="shared" si="170"/>
        <v>2388.1200000000003</v>
      </c>
      <c r="CQ174">
        <f t="shared" si="171"/>
        <v>7.95</v>
      </c>
      <c r="CR174">
        <f>(ROUND((ROUND(((((ET174*1.25)*1.1))*AV174*1),2)*BB174),2)+ROUND((ROUND(((AE174-(((EU174*1.25)*1.1)))*AV174*1),2)*BS174),2))</f>
        <v>0</v>
      </c>
      <c r="CS174">
        <f>(ROUND((ROUND(((((EU174*1.25)*1.1))*AV174*1),2)*BS174),2)+ROUND((ROUND(((AE174-(((EU174*1.25)*1.1)))*AV174*1),2)*BS174),2))</f>
        <v>0</v>
      </c>
      <c r="CT174">
        <f t="shared" si="172"/>
        <v>588.94000000000005</v>
      </c>
      <c r="CU174">
        <f t="shared" si="173"/>
        <v>0</v>
      </c>
      <c r="CV174">
        <f t="shared" si="174"/>
        <v>0.71502860000000001</v>
      </c>
      <c r="CW174">
        <f t="shared" si="175"/>
        <v>0</v>
      </c>
      <c r="CX174">
        <f t="shared" si="176"/>
        <v>0</v>
      </c>
      <c r="CY174">
        <f>(ROUND((((S174+ROUND((ROUND(((((EU174*1.25)*1.1))*AV174*1),2)*BS174),2))*AT174)/100),2)+ROUND(((ROUND((ROUND(((AE174-(((EU174*1.25)*1.1)))*AV174*1),2)*BS174),2)*AT174)/100),2))</f>
        <v>1979.31</v>
      </c>
      <c r="CZ174">
        <f>(ROUND((((S174+ROUND((ROUND(((((EU174*1.25)*1.1))*AV174*1),2)*BS174),2))*AU174)/100),2)+ROUND(((ROUND((ROUND(((AE174-(((EU174*1.25)*1.1)))*AV174*1),2)*BS174),2)*AU174)/100),2))</f>
        <v>1248.8499999999999</v>
      </c>
      <c r="DB174">
        <v>31</v>
      </c>
      <c r="DC174" t="s">
        <v>3</v>
      </c>
      <c r="DD174" t="s">
        <v>3</v>
      </c>
      <c r="DE174" t="s">
        <v>39</v>
      </c>
      <c r="DF174" t="s">
        <v>39</v>
      </c>
      <c r="DG174" t="s">
        <v>40</v>
      </c>
      <c r="DH174" t="s">
        <v>3</v>
      </c>
      <c r="DI174" t="s">
        <v>40</v>
      </c>
      <c r="DJ174" t="s">
        <v>39</v>
      </c>
      <c r="DK174" t="s">
        <v>3</v>
      </c>
      <c r="DL174" t="s">
        <v>3</v>
      </c>
      <c r="DM174" t="s">
        <v>3</v>
      </c>
      <c r="DN174">
        <v>0</v>
      </c>
      <c r="DO174">
        <v>0</v>
      </c>
      <c r="DP174">
        <v>1</v>
      </c>
      <c r="DQ174">
        <v>1</v>
      </c>
      <c r="DU174">
        <v>1013</v>
      </c>
      <c r="DV174" t="s">
        <v>37</v>
      </c>
      <c r="DW174" t="s">
        <v>37</v>
      </c>
      <c r="DX174">
        <v>1</v>
      </c>
      <c r="DZ174" t="s">
        <v>3</v>
      </c>
      <c r="EA174" t="s">
        <v>3</v>
      </c>
      <c r="EB174" t="s">
        <v>3</v>
      </c>
      <c r="EC174" t="s">
        <v>3</v>
      </c>
      <c r="EE174">
        <v>59298982</v>
      </c>
      <c r="EF174">
        <v>30</v>
      </c>
      <c r="EG174" t="s">
        <v>26</v>
      </c>
      <c r="EH174">
        <v>0</v>
      </c>
      <c r="EI174" t="s">
        <v>3</v>
      </c>
      <c r="EJ174">
        <v>1</v>
      </c>
      <c r="EK174">
        <v>55</v>
      </c>
      <c r="EL174" t="s">
        <v>152</v>
      </c>
      <c r="EM174" t="s">
        <v>153</v>
      </c>
      <c r="EO174" t="s">
        <v>41</v>
      </c>
      <c r="EQ174">
        <v>0</v>
      </c>
      <c r="ER174">
        <v>8.2899999999999991</v>
      </c>
      <c r="ES174">
        <v>0.5</v>
      </c>
      <c r="ET174">
        <v>0</v>
      </c>
      <c r="EU174">
        <v>0</v>
      </c>
      <c r="EV174">
        <v>7.79</v>
      </c>
      <c r="EW174">
        <v>0.52</v>
      </c>
      <c r="EX174">
        <v>0</v>
      </c>
      <c r="EY174">
        <v>0</v>
      </c>
      <c r="FQ174">
        <v>0</v>
      </c>
      <c r="FR174">
        <v>0</v>
      </c>
      <c r="FS174">
        <v>0</v>
      </c>
      <c r="FX174">
        <v>84</v>
      </c>
      <c r="FY174">
        <v>53</v>
      </c>
      <c r="GA174" t="s">
        <v>3</v>
      </c>
      <c r="GD174">
        <v>1</v>
      </c>
      <c r="GF174">
        <v>-121546324</v>
      </c>
      <c r="GG174">
        <v>2</v>
      </c>
      <c r="GH174">
        <v>1</v>
      </c>
      <c r="GI174">
        <v>2</v>
      </c>
      <c r="GJ174">
        <v>0</v>
      </c>
      <c r="GK174">
        <v>0</v>
      </c>
      <c r="GL174">
        <f t="shared" si="177"/>
        <v>0</v>
      </c>
      <c r="GM174">
        <f t="shared" si="178"/>
        <v>5616.28</v>
      </c>
      <c r="GN174">
        <f t="shared" si="179"/>
        <v>5616.28</v>
      </c>
      <c r="GO174">
        <f t="shared" si="180"/>
        <v>0</v>
      </c>
      <c r="GP174">
        <f t="shared" si="181"/>
        <v>0</v>
      </c>
      <c r="GR174">
        <v>0</v>
      </c>
      <c r="GS174">
        <v>3</v>
      </c>
      <c r="GT174">
        <v>0</v>
      </c>
      <c r="GU174" t="s">
        <v>3</v>
      </c>
      <c r="GV174">
        <f t="shared" si="182"/>
        <v>0</v>
      </c>
      <c r="GW174">
        <v>1</v>
      </c>
      <c r="GX174">
        <f t="shared" si="183"/>
        <v>0</v>
      </c>
      <c r="HA174">
        <v>0</v>
      </c>
      <c r="HB174">
        <v>0</v>
      </c>
      <c r="HC174">
        <f t="shared" si="184"/>
        <v>0</v>
      </c>
      <c r="HE174" t="s">
        <v>3</v>
      </c>
      <c r="HF174" t="s">
        <v>3</v>
      </c>
      <c r="HM174" t="s">
        <v>3</v>
      </c>
      <c r="HN174" t="s">
        <v>3</v>
      </c>
      <c r="HO174" t="s">
        <v>3</v>
      </c>
      <c r="HP174" t="s">
        <v>3</v>
      </c>
      <c r="HQ174" t="s">
        <v>3</v>
      </c>
      <c r="HS174">
        <v>0</v>
      </c>
      <c r="IK174">
        <v>0</v>
      </c>
    </row>
    <row r="175" spans="1:255" x14ac:dyDescent="0.2">
      <c r="A175" s="2">
        <v>18</v>
      </c>
      <c r="B175" s="2">
        <v>1</v>
      </c>
      <c r="C175" s="2">
        <v>15</v>
      </c>
      <c r="D175" s="2"/>
      <c r="E175" s="2" t="s">
        <v>163</v>
      </c>
      <c r="F175" s="2" t="s">
        <v>155</v>
      </c>
      <c r="G175" s="2" t="s">
        <v>156</v>
      </c>
      <c r="H175" s="2" t="s">
        <v>124</v>
      </c>
      <c r="I175" s="2">
        <f>I173*J175</f>
        <v>4</v>
      </c>
      <c r="J175" s="2">
        <v>1</v>
      </c>
      <c r="K175" s="2">
        <v>1</v>
      </c>
      <c r="L175" s="2"/>
      <c r="M175" s="2"/>
      <c r="N175" s="2"/>
      <c r="O175" s="2">
        <f t="shared" si="159"/>
        <v>627.84</v>
      </c>
      <c r="P175" s="2">
        <f t="shared" si="160"/>
        <v>627.84</v>
      </c>
      <c r="Q175" s="2">
        <f>(ROUND((ROUND(((ET175)*AV175*I175),2)*BB175),2)+ROUND((ROUND(((AE175-(EU175))*AV175*I175),2)*BS175),2))</f>
        <v>0</v>
      </c>
      <c r="R175" s="2">
        <f>(ROUND((ROUND(((EU175)*AV175*I175),2)*BS175),2)+ROUND((ROUND(((AE175-(EU175))*AV175*I175),2)*BS175),2))</f>
        <v>0</v>
      </c>
      <c r="S175" s="2">
        <f t="shared" si="161"/>
        <v>0</v>
      </c>
      <c r="T175" s="2">
        <f t="shared" si="162"/>
        <v>0</v>
      </c>
      <c r="U175" s="2">
        <f t="shared" si="163"/>
        <v>0</v>
      </c>
      <c r="V175" s="2">
        <f t="shared" si="164"/>
        <v>0</v>
      </c>
      <c r="W175" s="2">
        <f t="shared" si="165"/>
        <v>0</v>
      </c>
      <c r="X175" s="2">
        <f>(ROUND((((S175+ROUND((ROUND(((EU175)*AV175*I175),2)*BS175),2))*AT175)/100),2)+ROUND(((ROUND((ROUND(((AE175-(EU175))*AV175*I175),2)*BS175),2)*AT175)/100),2))</f>
        <v>0</v>
      </c>
      <c r="Y175" s="2">
        <f>(ROUND((((S175+ROUND((ROUND(((EU175)*AV175*I175),2)*BS175),2))*AU175)/100),2)+ROUND(((ROUND((ROUND(((AE175-(EU175))*AV175*I175),2)*BS175),2)*AU175)/100),2))</f>
        <v>0</v>
      </c>
      <c r="Z175" s="2"/>
      <c r="AA175" s="2">
        <v>59499218</v>
      </c>
      <c r="AB175" s="2">
        <f t="shared" si="166"/>
        <v>156.96</v>
      </c>
      <c r="AC175" s="2">
        <f t="shared" si="167"/>
        <v>156.96</v>
      </c>
      <c r="AD175" s="2">
        <f>ROUND((((ET175)-(EU175))+AE175),6)</f>
        <v>0</v>
      </c>
      <c r="AE175" s="2">
        <f>ROUND((EU175),6)</f>
        <v>0</v>
      </c>
      <c r="AF175" s="2">
        <f>ROUND((EV175),6)</f>
        <v>0</v>
      </c>
      <c r="AG175" s="2">
        <f t="shared" si="168"/>
        <v>0</v>
      </c>
      <c r="AH175" s="2">
        <f>(EW175)</f>
        <v>0</v>
      </c>
      <c r="AI175" s="2">
        <f>(EX175)</f>
        <v>0</v>
      </c>
      <c r="AJ175" s="2">
        <f t="shared" si="169"/>
        <v>0</v>
      </c>
      <c r="AK175" s="2">
        <v>156.96</v>
      </c>
      <c r="AL175" s="2">
        <v>156.96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84</v>
      </c>
      <c r="AU175" s="2">
        <v>53</v>
      </c>
      <c r="AV175" s="2">
        <v>1</v>
      </c>
      <c r="AW175" s="2">
        <v>1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3</v>
      </c>
      <c r="BI175" s="2">
        <v>1</v>
      </c>
      <c r="BJ175" s="2" t="s">
        <v>157</v>
      </c>
      <c r="BK175" s="2"/>
      <c r="BL175" s="2"/>
      <c r="BM175" s="2">
        <v>55</v>
      </c>
      <c r="BN175" s="2">
        <v>59298886</v>
      </c>
      <c r="BO175" s="2" t="s">
        <v>3</v>
      </c>
      <c r="BP175" s="2">
        <v>0</v>
      </c>
      <c r="BQ175" s="2">
        <v>30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84</v>
      </c>
      <c r="CA175" s="2">
        <v>53</v>
      </c>
      <c r="CB175" s="2" t="s">
        <v>3</v>
      </c>
      <c r="CC175" s="2"/>
      <c r="CD175" s="2"/>
      <c r="CE175" s="2">
        <v>1566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3</v>
      </c>
      <c r="CO175" s="2">
        <v>0</v>
      </c>
      <c r="CP175" s="2">
        <f t="shared" si="170"/>
        <v>627.84</v>
      </c>
      <c r="CQ175" s="2">
        <f t="shared" si="171"/>
        <v>156.96</v>
      </c>
      <c r="CR175" s="2">
        <f>(ROUND((ROUND(((ET175)*AV175*1),2)*BB175),2)+ROUND((ROUND(((AE175-(EU175))*AV175*1),2)*BS175),2))</f>
        <v>0</v>
      </c>
      <c r="CS175" s="2">
        <f>(ROUND((ROUND(((EU175)*AV175*1),2)*BS175),2)+ROUND((ROUND(((AE175-(EU175))*AV175*1),2)*BS175),2))</f>
        <v>0</v>
      </c>
      <c r="CT175" s="2">
        <f t="shared" si="172"/>
        <v>0</v>
      </c>
      <c r="CU175" s="2">
        <f t="shared" si="173"/>
        <v>0</v>
      </c>
      <c r="CV175" s="2">
        <f t="shared" si="174"/>
        <v>0</v>
      </c>
      <c r="CW175" s="2">
        <f t="shared" si="175"/>
        <v>0</v>
      </c>
      <c r="CX175" s="2">
        <f t="shared" si="176"/>
        <v>0</v>
      </c>
      <c r="CY175" s="2">
        <f>(ROUND((((S175+ROUND((ROUND(((EU175)*AV175*1),2)*BS175),2))*AT175)/100),2)+ROUND(((ROUND((ROUND(((AE175-(EU175))*AV175*1),2)*BS175),2)*AT175)/100),2))</f>
        <v>0</v>
      </c>
      <c r="CZ175" s="2">
        <f>(ROUND((((S175+ROUND((ROUND(((EU175)*AV175*1),2)*BS175),2))*AU175)/100),2)+ROUND(((ROUND((ROUND(((AE175-(EU175))*AV175*1),2)*BS175),2)*AU175)/100),2))</f>
        <v>0</v>
      </c>
      <c r="DA175" s="2"/>
      <c r="DB175" s="2"/>
      <c r="DC175" s="2" t="s">
        <v>3</v>
      </c>
      <c r="DD175" s="2" t="s">
        <v>3</v>
      </c>
      <c r="DE175" s="2" t="s">
        <v>3</v>
      </c>
      <c r="DF175" s="2" t="s">
        <v>3</v>
      </c>
      <c r="DG175" s="2" t="s">
        <v>3</v>
      </c>
      <c r="DH175" s="2" t="s">
        <v>3</v>
      </c>
      <c r="DI175" s="2" t="s">
        <v>3</v>
      </c>
      <c r="DJ175" s="2" t="s">
        <v>3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1010</v>
      </c>
      <c r="DV175" s="2" t="s">
        <v>124</v>
      </c>
      <c r="DW175" s="2" t="s">
        <v>124</v>
      </c>
      <c r="DX175" s="2">
        <v>1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59298982</v>
      </c>
      <c r="EF175" s="2">
        <v>30</v>
      </c>
      <c r="EG175" s="2" t="s">
        <v>26</v>
      </c>
      <c r="EH175" s="2">
        <v>0</v>
      </c>
      <c r="EI175" s="2" t="s">
        <v>3</v>
      </c>
      <c r="EJ175" s="2">
        <v>1</v>
      </c>
      <c r="EK175" s="2">
        <v>55</v>
      </c>
      <c r="EL175" s="2" t="s">
        <v>152</v>
      </c>
      <c r="EM175" s="2" t="s">
        <v>153</v>
      </c>
      <c r="EN175" s="2"/>
      <c r="EO175" s="2" t="s">
        <v>3</v>
      </c>
      <c r="EP175" s="2"/>
      <c r="EQ175" s="2">
        <v>0</v>
      </c>
      <c r="ER175" s="2">
        <v>156.96</v>
      </c>
      <c r="ES175" s="2">
        <v>156.96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v>0</v>
      </c>
      <c r="FS175" s="2">
        <v>0</v>
      </c>
      <c r="FT175" s="2"/>
      <c r="FU175" s="2"/>
      <c r="FV175" s="2"/>
      <c r="FW175" s="2"/>
      <c r="FX175" s="2">
        <v>84</v>
      </c>
      <c r="FY175" s="2">
        <v>53</v>
      </c>
      <c r="FZ175" s="2"/>
      <c r="GA175" s="2" t="s">
        <v>3</v>
      </c>
      <c r="GB175" s="2"/>
      <c r="GC175" s="2"/>
      <c r="GD175" s="2">
        <v>1</v>
      </c>
      <c r="GE175" s="2"/>
      <c r="GF175" s="2">
        <v>1303734261</v>
      </c>
      <c r="GG175" s="2">
        <v>2</v>
      </c>
      <c r="GH175" s="2">
        <v>1</v>
      </c>
      <c r="GI175" s="2">
        <v>-2</v>
      </c>
      <c r="GJ175" s="2">
        <v>0</v>
      </c>
      <c r="GK175" s="2">
        <v>0</v>
      </c>
      <c r="GL175" s="2">
        <f t="shared" si="177"/>
        <v>0</v>
      </c>
      <c r="GM175" s="2">
        <f t="shared" si="178"/>
        <v>627.84</v>
      </c>
      <c r="GN175" s="2">
        <f t="shared" si="179"/>
        <v>627.84</v>
      </c>
      <c r="GO175" s="2">
        <f t="shared" si="180"/>
        <v>0</v>
      </c>
      <c r="GP175" s="2">
        <f t="shared" si="181"/>
        <v>0</v>
      </c>
      <c r="GQ175" s="2"/>
      <c r="GR175" s="2">
        <v>0</v>
      </c>
      <c r="GS175" s="2">
        <v>3</v>
      </c>
      <c r="GT175" s="2">
        <v>0</v>
      </c>
      <c r="GU175" s="2" t="s">
        <v>3</v>
      </c>
      <c r="GV175" s="2">
        <f t="shared" si="182"/>
        <v>0</v>
      </c>
      <c r="GW175" s="2">
        <v>1</v>
      </c>
      <c r="GX175" s="2">
        <f t="shared" si="183"/>
        <v>0</v>
      </c>
      <c r="GY175" s="2"/>
      <c r="GZ175" s="2"/>
      <c r="HA175" s="2">
        <v>0</v>
      </c>
      <c r="HB175" s="2">
        <v>0</v>
      </c>
      <c r="HC175" s="2">
        <f t="shared" si="184"/>
        <v>0</v>
      </c>
      <c r="HD175" s="2"/>
      <c r="HE175" s="2" t="s">
        <v>3</v>
      </c>
      <c r="HF175" s="2" t="s">
        <v>3</v>
      </c>
      <c r="HG175" s="2"/>
      <c r="HH175" s="2"/>
      <c r="HI175" s="2"/>
      <c r="HJ175" s="2"/>
      <c r="HK175" s="2"/>
      <c r="HL175" s="2"/>
      <c r="HM175" s="2" t="s">
        <v>3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">
      <c r="A176">
        <v>18</v>
      </c>
      <c r="B176">
        <v>1</v>
      </c>
      <c r="C176">
        <v>18</v>
      </c>
      <c r="E176" t="s">
        <v>163</v>
      </c>
      <c r="F176" t="s">
        <v>155</v>
      </c>
      <c r="G176" t="s">
        <v>156</v>
      </c>
      <c r="H176" t="s">
        <v>124</v>
      </c>
      <c r="I176">
        <f>I174*J176</f>
        <v>4</v>
      </c>
      <c r="J176">
        <v>1</v>
      </c>
      <c r="K176">
        <v>1</v>
      </c>
      <c r="O176">
        <f t="shared" si="159"/>
        <v>565.05999999999995</v>
      </c>
      <c r="P176">
        <f t="shared" si="160"/>
        <v>565.05999999999995</v>
      </c>
      <c r="Q176">
        <f>(ROUND((ROUND(((ET176)*AV176*I176),2)*BB176),2)+ROUND((ROUND(((AE176-(EU176))*AV176*I176),2)*BS176),2))</f>
        <v>0</v>
      </c>
      <c r="R176">
        <f>(ROUND((ROUND(((EU176)*AV176*I176),2)*BS176),2)+ROUND((ROUND(((AE176-(EU176))*AV176*I176),2)*BS176),2))</f>
        <v>0</v>
      </c>
      <c r="S176">
        <f t="shared" si="161"/>
        <v>0</v>
      </c>
      <c r="T176">
        <f t="shared" si="162"/>
        <v>0</v>
      </c>
      <c r="U176">
        <f t="shared" si="163"/>
        <v>0</v>
      </c>
      <c r="V176">
        <f t="shared" si="164"/>
        <v>0</v>
      </c>
      <c r="W176">
        <f t="shared" si="165"/>
        <v>0</v>
      </c>
      <c r="X176">
        <f>(ROUND((((S176+ROUND((ROUND(((EU176)*AV176*I176),2)*BS176),2))*AT176)/100),2)+ROUND(((ROUND((ROUND(((AE176-(EU176))*AV176*I176),2)*BS176),2)*AT176)/100),2))</f>
        <v>0</v>
      </c>
      <c r="Y176">
        <f>(ROUND((((S176+ROUND((ROUND(((EU176)*AV176*I176),2)*BS176),2))*AU176)/100),2)+ROUND(((ROUND((ROUND(((AE176-(EU176))*AV176*I176),2)*BS176),2)*AU176)/100),2))</f>
        <v>0</v>
      </c>
      <c r="AA176">
        <v>59499215</v>
      </c>
      <c r="AB176">
        <f t="shared" si="166"/>
        <v>156.96</v>
      </c>
      <c r="AC176">
        <f t="shared" si="167"/>
        <v>156.96</v>
      </c>
      <c r="AD176">
        <f>ROUND((((ET176)-(EU176))+AE176),6)</f>
        <v>0</v>
      </c>
      <c r="AE176">
        <f>ROUND((EU176),6)</f>
        <v>0</v>
      </c>
      <c r="AF176">
        <f>ROUND((EV176),6)</f>
        <v>0</v>
      </c>
      <c r="AG176">
        <f t="shared" si="168"/>
        <v>0</v>
      </c>
      <c r="AH176">
        <f>(EW176)</f>
        <v>0</v>
      </c>
      <c r="AI176">
        <f>(EX176)</f>
        <v>0</v>
      </c>
      <c r="AJ176">
        <f t="shared" si="169"/>
        <v>0</v>
      </c>
      <c r="AK176">
        <v>156.96</v>
      </c>
      <c r="AL176">
        <v>156.96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84</v>
      </c>
      <c r="AU176">
        <v>53</v>
      </c>
      <c r="AV176">
        <v>1</v>
      </c>
      <c r="AW176">
        <v>1</v>
      </c>
      <c r="AZ176">
        <v>1</v>
      </c>
      <c r="BA176">
        <v>1</v>
      </c>
      <c r="BB176">
        <v>1</v>
      </c>
      <c r="BC176">
        <v>0.9</v>
      </c>
      <c r="BD176" t="s">
        <v>3</v>
      </c>
      <c r="BE176" t="s">
        <v>3</v>
      </c>
      <c r="BF176" t="s">
        <v>3</v>
      </c>
      <c r="BG176" t="s">
        <v>3</v>
      </c>
      <c r="BH176">
        <v>3</v>
      </c>
      <c r="BI176">
        <v>1</v>
      </c>
      <c r="BJ176" t="s">
        <v>157</v>
      </c>
      <c r="BM176">
        <v>55</v>
      </c>
      <c r="BN176">
        <v>59298886</v>
      </c>
      <c r="BO176" t="s">
        <v>155</v>
      </c>
      <c r="BP176">
        <v>1</v>
      </c>
      <c r="BQ176">
        <v>30</v>
      </c>
      <c r="BR176">
        <v>0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 t="s">
        <v>3</v>
      </c>
      <c r="BZ176">
        <v>84</v>
      </c>
      <c r="CA176">
        <v>53</v>
      </c>
      <c r="CB176" t="s">
        <v>3</v>
      </c>
      <c r="CE176">
        <v>1566</v>
      </c>
      <c r="CF176">
        <v>0</v>
      </c>
      <c r="CG176">
        <v>0</v>
      </c>
      <c r="CM176">
        <v>0</v>
      </c>
      <c r="CN176" t="s">
        <v>3</v>
      </c>
      <c r="CO176">
        <v>0</v>
      </c>
      <c r="CP176">
        <f t="shared" si="170"/>
        <v>565.05999999999995</v>
      </c>
      <c r="CQ176">
        <f t="shared" si="171"/>
        <v>141.26</v>
      </c>
      <c r="CR176">
        <f>(ROUND((ROUND(((ET176)*AV176*1),2)*BB176),2)+ROUND((ROUND(((AE176-(EU176))*AV176*1),2)*BS176),2))</f>
        <v>0</v>
      </c>
      <c r="CS176">
        <f>(ROUND((ROUND(((EU176)*AV176*1),2)*BS176),2)+ROUND((ROUND(((AE176-(EU176))*AV176*1),2)*BS176),2))</f>
        <v>0</v>
      </c>
      <c r="CT176">
        <f t="shared" si="172"/>
        <v>0</v>
      </c>
      <c r="CU176">
        <f t="shared" si="173"/>
        <v>0</v>
      </c>
      <c r="CV176">
        <f t="shared" si="174"/>
        <v>0</v>
      </c>
      <c r="CW176">
        <f t="shared" si="175"/>
        <v>0</v>
      </c>
      <c r="CX176">
        <f t="shared" si="176"/>
        <v>0</v>
      </c>
      <c r="CY176">
        <f>(ROUND((((S176+ROUND((ROUND(((EU176)*AV176*1),2)*BS176),2))*AT176)/100),2)+ROUND(((ROUND((ROUND(((AE176-(EU176))*AV176*1),2)*BS176),2)*AT176)/100),2))</f>
        <v>0</v>
      </c>
      <c r="CZ176">
        <f>(ROUND((((S176+ROUND((ROUND(((EU176)*AV176*1),2)*BS176),2))*AU176)/100),2)+ROUND(((ROUND((ROUND(((AE176-(EU176))*AV176*1),2)*BS176),2)*AU176)/100),2))</f>
        <v>0</v>
      </c>
      <c r="DC176" t="s">
        <v>3</v>
      </c>
      <c r="DD176" t="s">
        <v>3</v>
      </c>
      <c r="DE176" t="s">
        <v>3</v>
      </c>
      <c r="DF176" t="s">
        <v>3</v>
      </c>
      <c r="DG176" t="s">
        <v>3</v>
      </c>
      <c r="DH176" t="s">
        <v>3</v>
      </c>
      <c r="DI176" t="s">
        <v>3</v>
      </c>
      <c r="DJ176" t="s">
        <v>3</v>
      </c>
      <c r="DK176" t="s">
        <v>3</v>
      </c>
      <c r="DL176" t="s">
        <v>3</v>
      </c>
      <c r="DM176" t="s">
        <v>3</v>
      </c>
      <c r="DN176">
        <v>0</v>
      </c>
      <c r="DO176">
        <v>0</v>
      </c>
      <c r="DP176">
        <v>1</v>
      </c>
      <c r="DQ176">
        <v>1</v>
      </c>
      <c r="DU176">
        <v>1010</v>
      </c>
      <c r="DV176" t="s">
        <v>124</v>
      </c>
      <c r="DW176" t="s">
        <v>124</v>
      </c>
      <c r="DX176">
        <v>1</v>
      </c>
      <c r="DZ176" t="s">
        <v>3</v>
      </c>
      <c r="EA176" t="s">
        <v>3</v>
      </c>
      <c r="EB176" t="s">
        <v>3</v>
      </c>
      <c r="EC176" t="s">
        <v>3</v>
      </c>
      <c r="EE176">
        <v>59298982</v>
      </c>
      <c r="EF176">
        <v>30</v>
      </c>
      <c r="EG176" t="s">
        <v>26</v>
      </c>
      <c r="EH176">
        <v>0</v>
      </c>
      <c r="EI176" t="s">
        <v>3</v>
      </c>
      <c r="EJ176">
        <v>1</v>
      </c>
      <c r="EK176">
        <v>55</v>
      </c>
      <c r="EL176" t="s">
        <v>152</v>
      </c>
      <c r="EM176" t="s">
        <v>153</v>
      </c>
      <c r="EO176" t="s">
        <v>3</v>
      </c>
      <c r="EQ176">
        <v>0</v>
      </c>
      <c r="ER176">
        <v>156.96</v>
      </c>
      <c r="ES176">
        <v>156.96</v>
      </c>
      <c r="ET176">
        <v>0</v>
      </c>
      <c r="EU176">
        <v>0</v>
      </c>
      <c r="EV176">
        <v>0</v>
      </c>
      <c r="EW176">
        <v>0</v>
      </c>
      <c r="EX176">
        <v>0</v>
      </c>
      <c r="FQ176">
        <v>0</v>
      </c>
      <c r="FR176">
        <v>0</v>
      </c>
      <c r="FS176">
        <v>0</v>
      </c>
      <c r="FX176">
        <v>84</v>
      </c>
      <c r="FY176">
        <v>53</v>
      </c>
      <c r="GA176" t="s">
        <v>3</v>
      </c>
      <c r="GD176">
        <v>1</v>
      </c>
      <c r="GF176">
        <v>1303734261</v>
      </c>
      <c r="GG176">
        <v>2</v>
      </c>
      <c r="GH176">
        <v>1</v>
      </c>
      <c r="GI176">
        <v>2</v>
      </c>
      <c r="GJ176">
        <v>0</v>
      </c>
      <c r="GK176">
        <v>0</v>
      </c>
      <c r="GL176">
        <f t="shared" si="177"/>
        <v>0</v>
      </c>
      <c r="GM176">
        <f t="shared" si="178"/>
        <v>565.05999999999995</v>
      </c>
      <c r="GN176">
        <f t="shared" si="179"/>
        <v>565.05999999999995</v>
      </c>
      <c r="GO176">
        <f t="shared" si="180"/>
        <v>0</v>
      </c>
      <c r="GP176">
        <f t="shared" si="181"/>
        <v>0</v>
      </c>
      <c r="GR176">
        <v>0</v>
      </c>
      <c r="GS176">
        <v>3</v>
      </c>
      <c r="GT176">
        <v>0</v>
      </c>
      <c r="GU176" t="s">
        <v>3</v>
      </c>
      <c r="GV176">
        <f t="shared" si="182"/>
        <v>0</v>
      </c>
      <c r="GW176">
        <v>1</v>
      </c>
      <c r="GX176">
        <f t="shared" si="183"/>
        <v>0</v>
      </c>
      <c r="HA176">
        <v>0</v>
      </c>
      <c r="HB176">
        <v>0</v>
      </c>
      <c r="HC176">
        <f t="shared" si="184"/>
        <v>0</v>
      </c>
      <c r="HE176" t="s">
        <v>3</v>
      </c>
      <c r="HF176" t="s">
        <v>3</v>
      </c>
      <c r="HM176" t="s">
        <v>3</v>
      </c>
      <c r="HN176" t="s">
        <v>3</v>
      </c>
      <c r="HO176" t="s">
        <v>3</v>
      </c>
      <c r="HP176" t="s">
        <v>3</v>
      </c>
      <c r="HQ176" t="s">
        <v>3</v>
      </c>
      <c r="HS176">
        <v>0</v>
      </c>
      <c r="IK176">
        <v>0</v>
      </c>
    </row>
    <row r="177" spans="1:255" x14ac:dyDescent="0.2">
      <c r="A177" s="2">
        <v>17</v>
      </c>
      <c r="B177" s="2">
        <v>1</v>
      </c>
      <c r="C177" s="2">
        <f>ROW(SmtRes!A21)</f>
        <v>21</v>
      </c>
      <c r="D177" s="2">
        <f>ROW(EtalonRes!A29)</f>
        <v>29</v>
      </c>
      <c r="E177" s="2" t="s">
        <v>164</v>
      </c>
      <c r="F177" s="2" t="s">
        <v>149</v>
      </c>
      <c r="G177" s="2" t="s">
        <v>165</v>
      </c>
      <c r="H177" s="2" t="s">
        <v>37</v>
      </c>
      <c r="I177" s="2">
        <v>21</v>
      </c>
      <c r="J177" s="2">
        <v>0</v>
      </c>
      <c r="K177" s="2">
        <v>21</v>
      </c>
      <c r="L177" s="2"/>
      <c r="M177" s="2"/>
      <c r="N177" s="2"/>
      <c r="O177" s="2">
        <f t="shared" si="159"/>
        <v>235.45</v>
      </c>
      <c r="P177" s="2">
        <f t="shared" si="160"/>
        <v>10.5</v>
      </c>
      <c r="Q177" s="2">
        <f>(ROUND((ROUND(((((ET177*1.25)*1.1))*AV177*I177),2)*BB177),2)+ROUND((ROUND(((AE177-(((EU177*1.25)*1.1)))*AV177*I177),2)*BS177),2))</f>
        <v>0</v>
      </c>
      <c r="R177" s="2">
        <f>(ROUND((ROUND(((((EU177*1.25)*1.1))*AV177*I177),2)*BS177),2)+ROUND((ROUND(((AE177-(((EU177*1.25)*1.1)))*AV177*I177),2)*BS177),2))</f>
        <v>0</v>
      </c>
      <c r="S177" s="2">
        <f t="shared" si="161"/>
        <v>224.95</v>
      </c>
      <c r="T177" s="2">
        <f t="shared" si="162"/>
        <v>0</v>
      </c>
      <c r="U177" s="2">
        <f t="shared" si="163"/>
        <v>15.015600600000001</v>
      </c>
      <c r="V177" s="2">
        <f t="shared" si="164"/>
        <v>0</v>
      </c>
      <c r="W177" s="2">
        <f t="shared" si="165"/>
        <v>0</v>
      </c>
      <c r="X177" s="2">
        <f>(ROUND((((S177+ROUND((ROUND(((((EU177*1.25)*1.1))*AV177*I177),2)*BS177),2))*AT177)/100),2)+ROUND(((ROUND((ROUND(((AE177-(((EU177*1.25)*1.1)))*AV177*I177),2)*BS177),2)*AT177)/100),2))</f>
        <v>188.96</v>
      </c>
      <c r="Y177" s="2">
        <f>(ROUND((((S177+ROUND((ROUND(((((EU177*1.25)*1.1))*AV177*I177),2)*BS177),2))*AU177)/100),2)+ROUND(((ROUND((ROUND(((AE177-(((EU177*1.25)*1.1)))*AV177*I177),2)*BS177),2)*AU177)/100),2))</f>
        <v>119.22</v>
      </c>
      <c r="Z177" s="2"/>
      <c r="AA177" s="2">
        <v>59499218</v>
      </c>
      <c r="AB177" s="2">
        <f t="shared" si="166"/>
        <v>10.35435</v>
      </c>
      <c r="AC177" s="2">
        <f t="shared" si="167"/>
        <v>0.5</v>
      </c>
      <c r="AD177" s="2">
        <f>ROUND((((((ET177*1.25)*1.1))-(((EU177*1.25)*1.1)))+AE177),6)</f>
        <v>0</v>
      </c>
      <c r="AE177" s="2">
        <f>ROUND((((EU177*1.25)*1.1)),6)</f>
        <v>0</v>
      </c>
      <c r="AF177" s="2">
        <f>ROUND((((EV177*1.15)*1.1)),6)</f>
        <v>9.8543500000000002</v>
      </c>
      <c r="AG177" s="2">
        <f t="shared" si="168"/>
        <v>0</v>
      </c>
      <c r="AH177" s="2">
        <f>(((EW177*1.15)*1.1))</f>
        <v>0.65780000000000005</v>
      </c>
      <c r="AI177" s="2">
        <f>(((EX177*1.25)*1.1))</f>
        <v>0</v>
      </c>
      <c r="AJ177" s="2">
        <f t="shared" si="169"/>
        <v>0</v>
      </c>
      <c r="AK177" s="2">
        <v>8.2899999999999991</v>
      </c>
      <c r="AL177" s="2">
        <v>0.5</v>
      </c>
      <c r="AM177" s="2">
        <v>0</v>
      </c>
      <c r="AN177" s="2">
        <v>0</v>
      </c>
      <c r="AO177" s="2">
        <v>7.79</v>
      </c>
      <c r="AP177" s="2">
        <v>0</v>
      </c>
      <c r="AQ177" s="2">
        <v>0.52</v>
      </c>
      <c r="AR177" s="2">
        <v>0</v>
      </c>
      <c r="AS177" s="2">
        <v>0</v>
      </c>
      <c r="AT177" s="2">
        <v>84</v>
      </c>
      <c r="AU177" s="2">
        <v>53</v>
      </c>
      <c r="AV177" s="2">
        <v>1.087</v>
      </c>
      <c r="AW177" s="2">
        <v>1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0</v>
      </c>
      <c r="BI177" s="2">
        <v>1</v>
      </c>
      <c r="BJ177" s="2" t="s">
        <v>151</v>
      </c>
      <c r="BK177" s="2"/>
      <c r="BL177" s="2"/>
      <c r="BM177" s="2">
        <v>55</v>
      </c>
      <c r="BN177" s="2">
        <v>59298886</v>
      </c>
      <c r="BO177" s="2" t="s">
        <v>149</v>
      </c>
      <c r="BP177" s="2">
        <v>1</v>
      </c>
      <c r="BQ177" s="2">
        <v>30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84</v>
      </c>
      <c r="CA177" s="2">
        <v>53</v>
      </c>
      <c r="CB177" s="2" t="s">
        <v>3</v>
      </c>
      <c r="CC177" s="2"/>
      <c r="CD177" s="2"/>
      <c r="CE177" s="2">
        <v>1566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375</v>
      </c>
      <c r="CO177" s="2">
        <v>0</v>
      </c>
      <c r="CP177" s="2">
        <f t="shared" si="170"/>
        <v>235.45</v>
      </c>
      <c r="CQ177" s="2">
        <f t="shared" si="171"/>
        <v>0.5</v>
      </c>
      <c r="CR177" s="2">
        <f>(ROUND((ROUND(((((ET177*1.25)*1.1))*AV177*1),2)*BB177),2)+ROUND((ROUND(((AE177-(((EU177*1.25)*1.1)))*AV177*1),2)*BS177),2))</f>
        <v>0</v>
      </c>
      <c r="CS177" s="2">
        <f>(ROUND((ROUND(((((EU177*1.25)*1.1))*AV177*1),2)*BS177),2)+ROUND((ROUND(((AE177-(((EU177*1.25)*1.1)))*AV177*1),2)*BS177),2))</f>
        <v>0</v>
      </c>
      <c r="CT177" s="2">
        <f t="shared" si="172"/>
        <v>10.71</v>
      </c>
      <c r="CU177" s="2">
        <f t="shared" si="173"/>
        <v>0</v>
      </c>
      <c r="CV177" s="2">
        <f t="shared" si="174"/>
        <v>0.71502860000000001</v>
      </c>
      <c r="CW177" s="2">
        <f t="shared" si="175"/>
        <v>0</v>
      </c>
      <c r="CX177" s="2">
        <f t="shared" si="176"/>
        <v>0</v>
      </c>
      <c r="CY177" s="2">
        <f>(ROUND((((S177+ROUND((ROUND(((((EU177*1.25)*1.1))*AV177*1),2)*BS177),2))*AT177)/100),2)+ROUND(((ROUND((ROUND(((AE177-(((EU177*1.25)*1.1)))*AV177*1),2)*BS177),2)*AT177)/100),2))</f>
        <v>188.96</v>
      </c>
      <c r="CZ177" s="2">
        <f>(ROUND((((S177+ROUND((ROUND(((((EU177*1.25)*1.1))*AV177*1),2)*BS177),2))*AU177)/100),2)+ROUND(((ROUND((ROUND(((AE177-(((EU177*1.25)*1.1)))*AV177*1),2)*BS177),2)*AU177)/100),2))</f>
        <v>119.22</v>
      </c>
      <c r="DA177" s="2"/>
      <c r="DB177" s="2">
        <v>33</v>
      </c>
      <c r="DC177" s="2" t="s">
        <v>3</v>
      </c>
      <c r="DD177" s="2" t="s">
        <v>3</v>
      </c>
      <c r="DE177" s="2" t="s">
        <v>39</v>
      </c>
      <c r="DF177" s="2" t="s">
        <v>39</v>
      </c>
      <c r="DG177" s="2" t="s">
        <v>40</v>
      </c>
      <c r="DH177" s="2" t="s">
        <v>3</v>
      </c>
      <c r="DI177" s="2" t="s">
        <v>40</v>
      </c>
      <c r="DJ177" s="2" t="s">
        <v>39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1013</v>
      </c>
      <c r="DV177" s="2" t="s">
        <v>37</v>
      </c>
      <c r="DW177" s="2" t="s">
        <v>37</v>
      </c>
      <c r="DX177" s="2">
        <v>1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59298982</v>
      </c>
      <c r="EF177" s="2">
        <v>30</v>
      </c>
      <c r="EG177" s="2" t="s">
        <v>26</v>
      </c>
      <c r="EH177" s="2">
        <v>0</v>
      </c>
      <c r="EI177" s="2" t="s">
        <v>3</v>
      </c>
      <c r="EJ177" s="2">
        <v>1</v>
      </c>
      <c r="EK177" s="2">
        <v>55</v>
      </c>
      <c r="EL177" s="2" t="s">
        <v>152</v>
      </c>
      <c r="EM177" s="2" t="s">
        <v>153</v>
      </c>
      <c r="EN177" s="2"/>
      <c r="EO177" s="2" t="s">
        <v>41</v>
      </c>
      <c r="EP177" s="2"/>
      <c r="EQ177" s="2">
        <v>0</v>
      </c>
      <c r="ER177" s="2">
        <v>8.2899999999999991</v>
      </c>
      <c r="ES177" s="2">
        <v>0.5</v>
      </c>
      <c r="ET177" s="2">
        <v>0</v>
      </c>
      <c r="EU177" s="2">
        <v>0</v>
      </c>
      <c r="EV177" s="2">
        <v>7.79</v>
      </c>
      <c r="EW177" s="2">
        <v>0.52</v>
      </c>
      <c r="EX177" s="2">
        <v>0</v>
      </c>
      <c r="EY177" s="2">
        <v>0</v>
      </c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0</v>
      </c>
      <c r="FT177" s="2"/>
      <c r="FU177" s="2"/>
      <c r="FV177" s="2"/>
      <c r="FW177" s="2"/>
      <c r="FX177" s="2">
        <v>84</v>
      </c>
      <c r="FY177" s="2">
        <v>53</v>
      </c>
      <c r="FZ177" s="2"/>
      <c r="GA177" s="2" t="s">
        <v>3</v>
      </c>
      <c r="GB177" s="2"/>
      <c r="GC177" s="2"/>
      <c r="GD177" s="2">
        <v>1</v>
      </c>
      <c r="GE177" s="2"/>
      <c r="GF177" s="2">
        <v>-340027573</v>
      </c>
      <c r="GG177" s="2">
        <v>2</v>
      </c>
      <c r="GH177" s="2">
        <v>1</v>
      </c>
      <c r="GI177" s="2">
        <v>2</v>
      </c>
      <c r="GJ177" s="2">
        <v>0</v>
      </c>
      <c r="GK177" s="2">
        <v>0</v>
      </c>
      <c r="GL177" s="2">
        <f t="shared" si="177"/>
        <v>0</v>
      </c>
      <c r="GM177" s="2">
        <f t="shared" si="178"/>
        <v>543.63</v>
      </c>
      <c r="GN177" s="2">
        <f t="shared" si="179"/>
        <v>543.63</v>
      </c>
      <c r="GO177" s="2">
        <f t="shared" si="180"/>
        <v>0</v>
      </c>
      <c r="GP177" s="2">
        <f t="shared" si="181"/>
        <v>0</v>
      </c>
      <c r="GQ177" s="2"/>
      <c r="GR177" s="2">
        <v>0</v>
      </c>
      <c r="GS177" s="2">
        <v>3</v>
      </c>
      <c r="GT177" s="2">
        <v>0</v>
      </c>
      <c r="GU177" s="2" t="s">
        <v>3</v>
      </c>
      <c r="GV177" s="2">
        <f t="shared" si="182"/>
        <v>0</v>
      </c>
      <c r="GW177" s="2">
        <v>1</v>
      </c>
      <c r="GX177" s="2">
        <f t="shared" si="183"/>
        <v>0</v>
      </c>
      <c r="GY177" s="2"/>
      <c r="GZ177" s="2"/>
      <c r="HA177" s="2">
        <v>0</v>
      </c>
      <c r="HB177" s="2">
        <v>0</v>
      </c>
      <c r="HC177" s="2">
        <f t="shared" si="184"/>
        <v>0</v>
      </c>
      <c r="HD177" s="2"/>
      <c r="HE177" s="2" t="s">
        <v>3</v>
      </c>
      <c r="HF177" s="2" t="s">
        <v>3</v>
      </c>
      <c r="HG177" s="2"/>
      <c r="HH177" s="2"/>
      <c r="HI177" s="2"/>
      <c r="HJ177" s="2"/>
      <c r="HK177" s="2"/>
      <c r="HL177" s="2"/>
      <c r="HM177" s="2" t="s">
        <v>3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">
      <c r="A178">
        <v>17</v>
      </c>
      <c r="B178">
        <v>1</v>
      </c>
      <c r="C178">
        <f>ROW(SmtRes!A24)</f>
        <v>24</v>
      </c>
      <c r="D178">
        <f>ROW(EtalonRes!A32)</f>
        <v>32</v>
      </c>
      <c r="E178" t="s">
        <v>164</v>
      </c>
      <c r="F178" t="s">
        <v>149</v>
      </c>
      <c r="G178" t="s">
        <v>165</v>
      </c>
      <c r="H178" t="s">
        <v>37</v>
      </c>
      <c r="I178">
        <v>21</v>
      </c>
      <c r="J178">
        <v>0</v>
      </c>
      <c r="K178">
        <v>21</v>
      </c>
      <c r="O178">
        <f t="shared" si="159"/>
        <v>12536.95</v>
      </c>
      <c r="P178">
        <f t="shared" si="160"/>
        <v>166.95</v>
      </c>
      <c r="Q178">
        <f>(ROUND((ROUND(((((ET178*1.25)*1.1))*AV178*I178),2)*BB178),2)+ROUND((ROUND(((AE178-(((EU178*1.25)*1.1)))*AV178*I178),2)*BS178),2))</f>
        <v>0</v>
      </c>
      <c r="R178">
        <f>(ROUND((ROUND(((((EU178*1.25)*1.1))*AV178*I178),2)*BS178),2)+ROUND((ROUND(((AE178-(((EU178*1.25)*1.1)))*AV178*I178),2)*BS178),2))</f>
        <v>0</v>
      </c>
      <c r="S178">
        <f t="shared" si="161"/>
        <v>12370</v>
      </c>
      <c r="T178">
        <f t="shared" si="162"/>
        <v>0</v>
      </c>
      <c r="U178">
        <f t="shared" si="163"/>
        <v>15.015600600000001</v>
      </c>
      <c r="V178">
        <f t="shared" si="164"/>
        <v>0</v>
      </c>
      <c r="W178">
        <f t="shared" si="165"/>
        <v>0</v>
      </c>
      <c r="X178">
        <f>(ROUND((((S178+ROUND((ROUND(((((EU178*1.25)*1.1))*AV178*I178),2)*BS178),2))*AT178)/100),2)+ROUND(((ROUND((ROUND(((AE178-(((EU178*1.25)*1.1)))*AV178*I178),2)*BS178),2)*AT178)/100),2))</f>
        <v>10390.799999999999</v>
      </c>
      <c r="Y178">
        <f>(ROUND((((S178+ROUND((ROUND(((((EU178*1.25)*1.1))*AV178*I178),2)*BS178),2))*AU178)/100),2)+ROUND(((ROUND((ROUND(((AE178-(((EU178*1.25)*1.1)))*AV178*I178),2)*BS178),2)*AU178)/100),2))</f>
        <v>6556.1</v>
      </c>
      <c r="AA178">
        <v>59499215</v>
      </c>
      <c r="AB178">
        <f t="shared" si="166"/>
        <v>10.35435</v>
      </c>
      <c r="AC178">
        <f t="shared" si="167"/>
        <v>0.5</v>
      </c>
      <c r="AD178">
        <f>ROUND((((((ET178*1.25)*1.1))-(((EU178*1.25)*1.1)))+AE178),6)</f>
        <v>0</v>
      </c>
      <c r="AE178">
        <f>ROUND((((EU178*1.25)*1.1)),6)</f>
        <v>0</v>
      </c>
      <c r="AF178">
        <f>ROUND((((EV178*1.15)*1.1)),6)</f>
        <v>9.8543500000000002</v>
      </c>
      <c r="AG178">
        <f t="shared" si="168"/>
        <v>0</v>
      </c>
      <c r="AH178">
        <f>(((EW178*1.15)*1.1))</f>
        <v>0.65780000000000005</v>
      </c>
      <c r="AI178">
        <f>(((EX178*1.25)*1.1))</f>
        <v>0</v>
      </c>
      <c r="AJ178">
        <f t="shared" si="169"/>
        <v>0</v>
      </c>
      <c r="AK178">
        <v>8.2899999999999991</v>
      </c>
      <c r="AL178">
        <v>0.5</v>
      </c>
      <c r="AM178">
        <v>0</v>
      </c>
      <c r="AN178">
        <v>0</v>
      </c>
      <c r="AO178">
        <v>7.79</v>
      </c>
      <c r="AP178">
        <v>0</v>
      </c>
      <c r="AQ178">
        <v>0.52</v>
      </c>
      <c r="AR178">
        <v>0</v>
      </c>
      <c r="AS178">
        <v>0</v>
      </c>
      <c r="AT178">
        <v>84</v>
      </c>
      <c r="AU178">
        <v>53</v>
      </c>
      <c r="AV178">
        <v>1.087</v>
      </c>
      <c r="AW178">
        <v>1</v>
      </c>
      <c r="AZ178">
        <v>1</v>
      </c>
      <c r="BA178">
        <v>54.99</v>
      </c>
      <c r="BB178">
        <v>1</v>
      </c>
      <c r="BC178">
        <v>15.9</v>
      </c>
      <c r="BD178" t="s">
        <v>3</v>
      </c>
      <c r="BE178" t="s">
        <v>3</v>
      </c>
      <c r="BF178" t="s">
        <v>3</v>
      </c>
      <c r="BG178" t="s">
        <v>3</v>
      </c>
      <c r="BH178">
        <v>0</v>
      </c>
      <c r="BI178">
        <v>1</v>
      </c>
      <c r="BJ178" t="s">
        <v>151</v>
      </c>
      <c r="BM178">
        <v>55</v>
      </c>
      <c r="BN178">
        <v>59298886</v>
      </c>
      <c r="BO178" t="s">
        <v>149</v>
      </c>
      <c r="BP178">
        <v>1</v>
      </c>
      <c r="BQ178">
        <v>30</v>
      </c>
      <c r="BR178">
        <v>0</v>
      </c>
      <c r="BS178">
        <v>54.99</v>
      </c>
      <c r="BT178">
        <v>1</v>
      </c>
      <c r="BU178">
        <v>1</v>
      </c>
      <c r="BV178">
        <v>1</v>
      </c>
      <c r="BW178">
        <v>1</v>
      </c>
      <c r="BX178">
        <v>1</v>
      </c>
      <c r="BY178" t="s">
        <v>3</v>
      </c>
      <c r="BZ178">
        <v>84</v>
      </c>
      <c r="CA178">
        <v>53</v>
      </c>
      <c r="CB178" t="s">
        <v>3</v>
      </c>
      <c r="CE178">
        <v>1566</v>
      </c>
      <c r="CF178">
        <v>0</v>
      </c>
      <c r="CG178">
        <v>0</v>
      </c>
      <c r="CM178">
        <v>0</v>
      </c>
      <c r="CN178" t="s">
        <v>375</v>
      </c>
      <c r="CO178">
        <v>0</v>
      </c>
      <c r="CP178">
        <f t="shared" si="170"/>
        <v>12536.95</v>
      </c>
      <c r="CQ178">
        <f t="shared" si="171"/>
        <v>7.95</v>
      </c>
      <c r="CR178">
        <f>(ROUND((ROUND(((((ET178*1.25)*1.1))*AV178*1),2)*BB178),2)+ROUND((ROUND(((AE178-(((EU178*1.25)*1.1)))*AV178*1),2)*BS178),2))</f>
        <v>0</v>
      </c>
      <c r="CS178">
        <f>(ROUND((ROUND(((((EU178*1.25)*1.1))*AV178*1),2)*BS178),2)+ROUND((ROUND(((AE178-(((EU178*1.25)*1.1)))*AV178*1),2)*BS178),2))</f>
        <v>0</v>
      </c>
      <c r="CT178">
        <f t="shared" si="172"/>
        <v>588.94000000000005</v>
      </c>
      <c r="CU178">
        <f t="shared" si="173"/>
        <v>0</v>
      </c>
      <c r="CV178">
        <f t="shared" si="174"/>
        <v>0.71502860000000001</v>
      </c>
      <c r="CW178">
        <f t="shared" si="175"/>
        <v>0</v>
      </c>
      <c r="CX178">
        <f t="shared" si="176"/>
        <v>0</v>
      </c>
      <c r="CY178">
        <f>(ROUND((((S178+ROUND((ROUND(((((EU178*1.25)*1.1))*AV178*1),2)*BS178),2))*AT178)/100),2)+ROUND(((ROUND((ROUND(((AE178-(((EU178*1.25)*1.1)))*AV178*1),2)*BS178),2)*AT178)/100),2))</f>
        <v>10390.799999999999</v>
      </c>
      <c r="CZ178">
        <f>(ROUND((((S178+ROUND((ROUND(((((EU178*1.25)*1.1))*AV178*1),2)*BS178),2))*AU178)/100),2)+ROUND(((ROUND((ROUND(((AE178-(((EU178*1.25)*1.1)))*AV178*1),2)*BS178),2)*AU178)/100),2))</f>
        <v>6556.1</v>
      </c>
      <c r="DB178">
        <v>35</v>
      </c>
      <c r="DC178" t="s">
        <v>3</v>
      </c>
      <c r="DD178" t="s">
        <v>3</v>
      </c>
      <c r="DE178" t="s">
        <v>39</v>
      </c>
      <c r="DF178" t="s">
        <v>39</v>
      </c>
      <c r="DG178" t="s">
        <v>40</v>
      </c>
      <c r="DH178" t="s">
        <v>3</v>
      </c>
      <c r="DI178" t="s">
        <v>40</v>
      </c>
      <c r="DJ178" t="s">
        <v>39</v>
      </c>
      <c r="DK178" t="s">
        <v>3</v>
      </c>
      <c r="DL178" t="s">
        <v>3</v>
      </c>
      <c r="DM178" t="s">
        <v>3</v>
      </c>
      <c r="DN178">
        <v>0</v>
      </c>
      <c r="DO178">
        <v>0</v>
      </c>
      <c r="DP178">
        <v>1</v>
      </c>
      <c r="DQ178">
        <v>1</v>
      </c>
      <c r="DU178">
        <v>1013</v>
      </c>
      <c r="DV178" t="s">
        <v>37</v>
      </c>
      <c r="DW178" t="s">
        <v>37</v>
      </c>
      <c r="DX178">
        <v>1</v>
      </c>
      <c r="DZ178" t="s">
        <v>3</v>
      </c>
      <c r="EA178" t="s">
        <v>3</v>
      </c>
      <c r="EB178" t="s">
        <v>3</v>
      </c>
      <c r="EC178" t="s">
        <v>3</v>
      </c>
      <c r="EE178">
        <v>59298982</v>
      </c>
      <c r="EF178">
        <v>30</v>
      </c>
      <c r="EG178" t="s">
        <v>26</v>
      </c>
      <c r="EH178">
        <v>0</v>
      </c>
      <c r="EI178" t="s">
        <v>3</v>
      </c>
      <c r="EJ178">
        <v>1</v>
      </c>
      <c r="EK178">
        <v>55</v>
      </c>
      <c r="EL178" t="s">
        <v>152</v>
      </c>
      <c r="EM178" t="s">
        <v>153</v>
      </c>
      <c r="EO178" t="s">
        <v>41</v>
      </c>
      <c r="EQ178">
        <v>0</v>
      </c>
      <c r="ER178">
        <v>8.2899999999999991</v>
      </c>
      <c r="ES178">
        <v>0.5</v>
      </c>
      <c r="ET178">
        <v>0</v>
      </c>
      <c r="EU178">
        <v>0</v>
      </c>
      <c r="EV178">
        <v>7.79</v>
      </c>
      <c r="EW178">
        <v>0.52</v>
      </c>
      <c r="EX178">
        <v>0</v>
      </c>
      <c r="EY178">
        <v>0</v>
      </c>
      <c r="FQ178">
        <v>0</v>
      </c>
      <c r="FR178">
        <v>0</v>
      </c>
      <c r="FS178">
        <v>0</v>
      </c>
      <c r="FX178">
        <v>84</v>
      </c>
      <c r="FY178">
        <v>53</v>
      </c>
      <c r="GA178" t="s">
        <v>3</v>
      </c>
      <c r="GD178">
        <v>1</v>
      </c>
      <c r="GF178">
        <v>-340027573</v>
      </c>
      <c r="GG178">
        <v>2</v>
      </c>
      <c r="GH178">
        <v>1</v>
      </c>
      <c r="GI178">
        <v>2</v>
      </c>
      <c r="GJ178">
        <v>0</v>
      </c>
      <c r="GK178">
        <v>0</v>
      </c>
      <c r="GL178">
        <f t="shared" si="177"/>
        <v>0</v>
      </c>
      <c r="GM178">
        <f t="shared" si="178"/>
        <v>29483.85</v>
      </c>
      <c r="GN178">
        <f t="shared" si="179"/>
        <v>29483.85</v>
      </c>
      <c r="GO178">
        <f t="shared" si="180"/>
        <v>0</v>
      </c>
      <c r="GP178">
        <f t="shared" si="181"/>
        <v>0</v>
      </c>
      <c r="GR178">
        <v>0</v>
      </c>
      <c r="GS178">
        <v>3</v>
      </c>
      <c r="GT178">
        <v>0</v>
      </c>
      <c r="GU178" t="s">
        <v>3</v>
      </c>
      <c r="GV178">
        <f t="shared" si="182"/>
        <v>0</v>
      </c>
      <c r="GW178">
        <v>1</v>
      </c>
      <c r="GX178">
        <f t="shared" si="183"/>
        <v>0</v>
      </c>
      <c r="HA178">
        <v>0</v>
      </c>
      <c r="HB178">
        <v>0</v>
      </c>
      <c r="HC178">
        <f t="shared" si="184"/>
        <v>0</v>
      </c>
      <c r="HE178" t="s">
        <v>3</v>
      </c>
      <c r="HF178" t="s">
        <v>3</v>
      </c>
      <c r="HM178" t="s">
        <v>3</v>
      </c>
      <c r="HN178" t="s">
        <v>3</v>
      </c>
      <c r="HO178" t="s">
        <v>3</v>
      </c>
      <c r="HP178" t="s">
        <v>3</v>
      </c>
      <c r="HQ178" t="s">
        <v>3</v>
      </c>
      <c r="HS178">
        <v>0</v>
      </c>
      <c r="IK178">
        <v>0</v>
      </c>
    </row>
    <row r="179" spans="1:255" x14ac:dyDescent="0.2">
      <c r="A179" s="2">
        <v>18</v>
      </c>
      <c r="B179" s="2">
        <v>1</v>
      </c>
      <c r="C179" s="2">
        <v>21</v>
      </c>
      <c r="D179" s="2"/>
      <c r="E179" s="2" t="s">
        <v>166</v>
      </c>
      <c r="F179" s="2" t="s">
        <v>155</v>
      </c>
      <c r="G179" s="2" t="s">
        <v>156</v>
      </c>
      <c r="H179" s="2" t="s">
        <v>124</v>
      </c>
      <c r="I179" s="2">
        <f>I177*J179</f>
        <v>21</v>
      </c>
      <c r="J179" s="2">
        <v>1</v>
      </c>
      <c r="K179" s="2">
        <v>1</v>
      </c>
      <c r="L179" s="2"/>
      <c r="M179" s="2"/>
      <c r="N179" s="2"/>
      <c r="O179" s="2">
        <f t="shared" si="159"/>
        <v>3296.16</v>
      </c>
      <c r="P179" s="2">
        <f t="shared" si="160"/>
        <v>3296.16</v>
      </c>
      <c r="Q179" s="2">
        <f>(ROUND((ROUND(((ET179)*AV179*I179),2)*BB179),2)+ROUND((ROUND(((AE179-(EU179))*AV179*I179),2)*BS179),2))</f>
        <v>0</v>
      </c>
      <c r="R179" s="2">
        <f>(ROUND((ROUND(((EU179)*AV179*I179),2)*BS179),2)+ROUND((ROUND(((AE179-(EU179))*AV179*I179),2)*BS179),2))</f>
        <v>0</v>
      </c>
      <c r="S179" s="2">
        <f t="shared" si="161"/>
        <v>0</v>
      </c>
      <c r="T179" s="2">
        <f t="shared" si="162"/>
        <v>0</v>
      </c>
      <c r="U179" s="2">
        <f t="shared" si="163"/>
        <v>0</v>
      </c>
      <c r="V179" s="2">
        <f t="shared" si="164"/>
        <v>0</v>
      </c>
      <c r="W179" s="2">
        <f t="shared" si="165"/>
        <v>0</v>
      </c>
      <c r="X179" s="2">
        <f>(ROUND((((S179+ROUND((ROUND(((EU179)*AV179*I179),2)*BS179),2))*AT179)/100),2)+ROUND(((ROUND((ROUND(((AE179-(EU179))*AV179*I179),2)*BS179),2)*AT179)/100),2))</f>
        <v>0</v>
      </c>
      <c r="Y179" s="2">
        <f>(ROUND((((S179+ROUND((ROUND(((EU179)*AV179*I179),2)*BS179),2))*AU179)/100),2)+ROUND(((ROUND((ROUND(((AE179-(EU179))*AV179*I179),2)*BS179),2)*AU179)/100),2))</f>
        <v>0</v>
      </c>
      <c r="Z179" s="2"/>
      <c r="AA179" s="2">
        <v>59499218</v>
      </c>
      <c r="AB179" s="2">
        <f t="shared" si="166"/>
        <v>156.96</v>
      </c>
      <c r="AC179" s="2">
        <f t="shared" si="167"/>
        <v>156.96</v>
      </c>
      <c r="AD179" s="2">
        <f>ROUND((((ET179)-(EU179))+AE179),6)</f>
        <v>0</v>
      </c>
      <c r="AE179" s="2">
        <f>ROUND((EU179),6)</f>
        <v>0</v>
      </c>
      <c r="AF179" s="2">
        <f>ROUND((EV179),6)</f>
        <v>0</v>
      </c>
      <c r="AG179" s="2">
        <f t="shared" si="168"/>
        <v>0</v>
      </c>
      <c r="AH179" s="2">
        <f>(EW179)</f>
        <v>0</v>
      </c>
      <c r="AI179" s="2">
        <f>(EX179)</f>
        <v>0</v>
      </c>
      <c r="AJ179" s="2">
        <f t="shared" si="169"/>
        <v>0</v>
      </c>
      <c r="AK179" s="2">
        <v>156.96</v>
      </c>
      <c r="AL179" s="2">
        <v>156.96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84</v>
      </c>
      <c r="AU179" s="2">
        <v>53</v>
      </c>
      <c r="AV179" s="2">
        <v>1</v>
      </c>
      <c r="AW179" s="2">
        <v>1</v>
      </c>
      <c r="AX179" s="2"/>
      <c r="AY179" s="2"/>
      <c r="AZ179" s="2">
        <v>1</v>
      </c>
      <c r="BA179" s="2">
        <v>1</v>
      </c>
      <c r="BB179" s="2">
        <v>1</v>
      </c>
      <c r="BC179" s="2">
        <v>1</v>
      </c>
      <c r="BD179" s="2" t="s">
        <v>3</v>
      </c>
      <c r="BE179" s="2" t="s">
        <v>3</v>
      </c>
      <c r="BF179" s="2" t="s">
        <v>3</v>
      </c>
      <c r="BG179" s="2" t="s">
        <v>3</v>
      </c>
      <c r="BH179" s="2">
        <v>3</v>
      </c>
      <c r="BI179" s="2">
        <v>1</v>
      </c>
      <c r="BJ179" s="2" t="s">
        <v>157</v>
      </c>
      <c r="BK179" s="2"/>
      <c r="BL179" s="2"/>
      <c r="BM179" s="2">
        <v>55</v>
      </c>
      <c r="BN179" s="2">
        <v>59298886</v>
      </c>
      <c r="BO179" s="2" t="s">
        <v>3</v>
      </c>
      <c r="BP179" s="2">
        <v>0</v>
      </c>
      <c r="BQ179" s="2">
        <v>30</v>
      </c>
      <c r="BR179" s="2">
        <v>0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 t="s">
        <v>3</v>
      </c>
      <c r="BZ179" s="2">
        <v>84</v>
      </c>
      <c r="CA179" s="2">
        <v>53</v>
      </c>
      <c r="CB179" s="2" t="s">
        <v>3</v>
      </c>
      <c r="CC179" s="2"/>
      <c r="CD179" s="2"/>
      <c r="CE179" s="2">
        <v>1566</v>
      </c>
      <c r="CF179" s="2">
        <v>0</v>
      </c>
      <c r="CG179" s="2">
        <v>0</v>
      </c>
      <c r="CH179" s="2"/>
      <c r="CI179" s="2"/>
      <c r="CJ179" s="2"/>
      <c r="CK179" s="2"/>
      <c r="CL179" s="2"/>
      <c r="CM179" s="2">
        <v>0</v>
      </c>
      <c r="CN179" s="2" t="s">
        <v>3</v>
      </c>
      <c r="CO179" s="2">
        <v>0</v>
      </c>
      <c r="CP179" s="2">
        <f t="shared" si="170"/>
        <v>3296.16</v>
      </c>
      <c r="CQ179" s="2">
        <f t="shared" si="171"/>
        <v>156.96</v>
      </c>
      <c r="CR179" s="2">
        <f>(ROUND((ROUND(((ET179)*AV179*1),2)*BB179),2)+ROUND((ROUND(((AE179-(EU179))*AV179*1),2)*BS179),2))</f>
        <v>0</v>
      </c>
      <c r="CS179" s="2">
        <f>(ROUND((ROUND(((EU179)*AV179*1),2)*BS179),2)+ROUND((ROUND(((AE179-(EU179))*AV179*1),2)*BS179),2))</f>
        <v>0</v>
      </c>
      <c r="CT179" s="2">
        <f t="shared" si="172"/>
        <v>0</v>
      </c>
      <c r="CU179" s="2">
        <f t="shared" si="173"/>
        <v>0</v>
      </c>
      <c r="CV179" s="2">
        <f t="shared" si="174"/>
        <v>0</v>
      </c>
      <c r="CW179" s="2">
        <f t="shared" si="175"/>
        <v>0</v>
      </c>
      <c r="CX179" s="2">
        <f t="shared" si="176"/>
        <v>0</v>
      </c>
      <c r="CY179" s="2">
        <f>(ROUND((((S179+ROUND((ROUND(((EU179)*AV179*1),2)*BS179),2))*AT179)/100),2)+ROUND(((ROUND((ROUND(((AE179-(EU179))*AV179*1),2)*BS179),2)*AT179)/100),2))</f>
        <v>0</v>
      </c>
      <c r="CZ179" s="2">
        <f>(ROUND((((S179+ROUND((ROUND(((EU179)*AV179*1),2)*BS179),2))*AU179)/100),2)+ROUND(((ROUND((ROUND(((AE179-(EU179))*AV179*1),2)*BS179),2)*AU179)/100),2))</f>
        <v>0</v>
      </c>
      <c r="DA179" s="2"/>
      <c r="DB179" s="2"/>
      <c r="DC179" s="2" t="s">
        <v>3</v>
      </c>
      <c r="DD179" s="2" t="s">
        <v>3</v>
      </c>
      <c r="DE179" s="2" t="s">
        <v>3</v>
      </c>
      <c r="DF179" s="2" t="s">
        <v>3</v>
      </c>
      <c r="DG179" s="2" t="s">
        <v>3</v>
      </c>
      <c r="DH179" s="2" t="s">
        <v>3</v>
      </c>
      <c r="DI179" s="2" t="s">
        <v>3</v>
      </c>
      <c r="DJ179" s="2" t="s">
        <v>3</v>
      </c>
      <c r="DK179" s="2" t="s">
        <v>3</v>
      </c>
      <c r="DL179" s="2" t="s">
        <v>3</v>
      </c>
      <c r="DM179" s="2" t="s">
        <v>3</v>
      </c>
      <c r="DN179" s="2">
        <v>0</v>
      </c>
      <c r="DO179" s="2">
        <v>0</v>
      </c>
      <c r="DP179" s="2">
        <v>1</v>
      </c>
      <c r="DQ179" s="2">
        <v>1</v>
      </c>
      <c r="DR179" s="2"/>
      <c r="DS179" s="2"/>
      <c r="DT179" s="2"/>
      <c r="DU179" s="2">
        <v>1010</v>
      </c>
      <c r="DV179" s="2" t="s">
        <v>124</v>
      </c>
      <c r="DW179" s="2" t="s">
        <v>124</v>
      </c>
      <c r="DX179" s="2">
        <v>1</v>
      </c>
      <c r="DY179" s="2"/>
      <c r="DZ179" s="2" t="s">
        <v>3</v>
      </c>
      <c r="EA179" s="2" t="s">
        <v>3</v>
      </c>
      <c r="EB179" s="2" t="s">
        <v>3</v>
      </c>
      <c r="EC179" s="2" t="s">
        <v>3</v>
      </c>
      <c r="ED179" s="2"/>
      <c r="EE179" s="2">
        <v>59298982</v>
      </c>
      <c r="EF179" s="2">
        <v>30</v>
      </c>
      <c r="EG179" s="2" t="s">
        <v>26</v>
      </c>
      <c r="EH179" s="2">
        <v>0</v>
      </c>
      <c r="EI179" s="2" t="s">
        <v>3</v>
      </c>
      <c r="EJ179" s="2">
        <v>1</v>
      </c>
      <c r="EK179" s="2">
        <v>55</v>
      </c>
      <c r="EL179" s="2" t="s">
        <v>152</v>
      </c>
      <c r="EM179" s="2" t="s">
        <v>153</v>
      </c>
      <c r="EN179" s="2"/>
      <c r="EO179" s="2" t="s">
        <v>3</v>
      </c>
      <c r="EP179" s="2"/>
      <c r="EQ179" s="2">
        <v>0</v>
      </c>
      <c r="ER179" s="2">
        <v>156.96</v>
      </c>
      <c r="ES179" s="2">
        <v>156.96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>
        <v>0</v>
      </c>
      <c r="FR179" s="2">
        <v>0</v>
      </c>
      <c r="FS179" s="2">
        <v>0</v>
      </c>
      <c r="FT179" s="2"/>
      <c r="FU179" s="2"/>
      <c r="FV179" s="2"/>
      <c r="FW179" s="2"/>
      <c r="FX179" s="2">
        <v>84</v>
      </c>
      <c r="FY179" s="2">
        <v>53</v>
      </c>
      <c r="FZ179" s="2"/>
      <c r="GA179" s="2" t="s">
        <v>3</v>
      </c>
      <c r="GB179" s="2"/>
      <c r="GC179" s="2"/>
      <c r="GD179" s="2">
        <v>1</v>
      </c>
      <c r="GE179" s="2"/>
      <c r="GF179" s="2">
        <v>1303734261</v>
      </c>
      <c r="GG179" s="2">
        <v>2</v>
      </c>
      <c r="GH179" s="2">
        <v>1</v>
      </c>
      <c r="GI179" s="2">
        <v>-2</v>
      </c>
      <c r="GJ179" s="2">
        <v>0</v>
      </c>
      <c r="GK179" s="2">
        <v>0</v>
      </c>
      <c r="GL179" s="2">
        <f t="shared" si="177"/>
        <v>0</v>
      </c>
      <c r="GM179" s="2">
        <f t="shared" si="178"/>
        <v>3296.16</v>
      </c>
      <c r="GN179" s="2">
        <f t="shared" si="179"/>
        <v>3296.16</v>
      </c>
      <c r="GO179" s="2">
        <f t="shared" si="180"/>
        <v>0</v>
      </c>
      <c r="GP179" s="2">
        <f t="shared" si="181"/>
        <v>0</v>
      </c>
      <c r="GQ179" s="2"/>
      <c r="GR179" s="2">
        <v>0</v>
      </c>
      <c r="GS179" s="2">
        <v>3</v>
      </c>
      <c r="GT179" s="2">
        <v>0</v>
      </c>
      <c r="GU179" s="2" t="s">
        <v>3</v>
      </c>
      <c r="GV179" s="2">
        <f t="shared" si="182"/>
        <v>0</v>
      </c>
      <c r="GW179" s="2">
        <v>1</v>
      </c>
      <c r="GX179" s="2">
        <f t="shared" si="183"/>
        <v>0</v>
      </c>
      <c r="GY179" s="2"/>
      <c r="GZ179" s="2"/>
      <c r="HA179" s="2">
        <v>0</v>
      </c>
      <c r="HB179" s="2">
        <v>0</v>
      </c>
      <c r="HC179" s="2">
        <f t="shared" si="184"/>
        <v>0</v>
      </c>
      <c r="HD179" s="2"/>
      <c r="HE179" s="2" t="s">
        <v>3</v>
      </c>
      <c r="HF179" s="2" t="s">
        <v>3</v>
      </c>
      <c r="HG179" s="2"/>
      <c r="HH179" s="2"/>
      <c r="HI179" s="2"/>
      <c r="HJ179" s="2"/>
      <c r="HK179" s="2"/>
      <c r="HL179" s="2"/>
      <c r="HM179" s="2" t="s">
        <v>3</v>
      </c>
      <c r="HN179" s="2" t="s">
        <v>3</v>
      </c>
      <c r="HO179" s="2" t="s">
        <v>3</v>
      </c>
      <c r="HP179" s="2" t="s">
        <v>3</v>
      </c>
      <c r="HQ179" s="2" t="s">
        <v>3</v>
      </c>
      <c r="HR179" s="2"/>
      <c r="HS179" s="2">
        <v>0</v>
      </c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>
        <v>0</v>
      </c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x14ac:dyDescent="0.2">
      <c r="A180">
        <v>18</v>
      </c>
      <c r="B180">
        <v>1</v>
      </c>
      <c r="C180">
        <v>24</v>
      </c>
      <c r="E180" t="s">
        <v>166</v>
      </c>
      <c r="F180" t="s">
        <v>155</v>
      </c>
      <c r="G180" t="s">
        <v>156</v>
      </c>
      <c r="H180" t="s">
        <v>124</v>
      </c>
      <c r="I180">
        <f>I178*J180</f>
        <v>21</v>
      </c>
      <c r="J180">
        <v>1</v>
      </c>
      <c r="K180">
        <v>1</v>
      </c>
      <c r="O180">
        <f t="shared" si="159"/>
        <v>2966.54</v>
      </c>
      <c r="P180">
        <f t="shared" si="160"/>
        <v>2966.54</v>
      </c>
      <c r="Q180">
        <f>(ROUND((ROUND(((ET180)*AV180*I180),2)*BB180),2)+ROUND((ROUND(((AE180-(EU180))*AV180*I180),2)*BS180),2))</f>
        <v>0</v>
      </c>
      <c r="R180">
        <f>(ROUND((ROUND(((EU180)*AV180*I180),2)*BS180),2)+ROUND((ROUND(((AE180-(EU180))*AV180*I180),2)*BS180),2))</f>
        <v>0</v>
      </c>
      <c r="S180">
        <f t="shared" si="161"/>
        <v>0</v>
      </c>
      <c r="T180">
        <f t="shared" si="162"/>
        <v>0</v>
      </c>
      <c r="U180">
        <f t="shared" si="163"/>
        <v>0</v>
      </c>
      <c r="V180">
        <f t="shared" si="164"/>
        <v>0</v>
      </c>
      <c r="W180">
        <f t="shared" si="165"/>
        <v>0</v>
      </c>
      <c r="X180">
        <f>(ROUND((((S180+ROUND((ROUND(((EU180)*AV180*I180),2)*BS180),2))*AT180)/100),2)+ROUND(((ROUND((ROUND(((AE180-(EU180))*AV180*I180),2)*BS180),2)*AT180)/100),2))</f>
        <v>0</v>
      </c>
      <c r="Y180">
        <f>(ROUND((((S180+ROUND((ROUND(((EU180)*AV180*I180),2)*BS180),2))*AU180)/100),2)+ROUND(((ROUND((ROUND(((AE180-(EU180))*AV180*I180),2)*BS180),2)*AU180)/100),2))</f>
        <v>0</v>
      </c>
      <c r="AA180">
        <v>59499215</v>
      </c>
      <c r="AB180">
        <f t="shared" si="166"/>
        <v>156.96</v>
      </c>
      <c r="AC180">
        <f t="shared" si="167"/>
        <v>156.96</v>
      </c>
      <c r="AD180">
        <f>ROUND((((ET180)-(EU180))+AE180),6)</f>
        <v>0</v>
      </c>
      <c r="AE180">
        <f>ROUND((EU180),6)</f>
        <v>0</v>
      </c>
      <c r="AF180">
        <f>ROUND((EV180),6)</f>
        <v>0</v>
      </c>
      <c r="AG180">
        <f t="shared" si="168"/>
        <v>0</v>
      </c>
      <c r="AH180">
        <f>(EW180)</f>
        <v>0</v>
      </c>
      <c r="AI180">
        <f>(EX180)</f>
        <v>0</v>
      </c>
      <c r="AJ180">
        <f t="shared" si="169"/>
        <v>0</v>
      </c>
      <c r="AK180">
        <v>156.96</v>
      </c>
      <c r="AL180">
        <v>156.96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84</v>
      </c>
      <c r="AU180">
        <v>53</v>
      </c>
      <c r="AV180">
        <v>1</v>
      </c>
      <c r="AW180">
        <v>1</v>
      </c>
      <c r="AZ180">
        <v>1</v>
      </c>
      <c r="BA180">
        <v>1</v>
      </c>
      <c r="BB180">
        <v>1</v>
      </c>
      <c r="BC180">
        <v>0.9</v>
      </c>
      <c r="BD180" t="s">
        <v>3</v>
      </c>
      <c r="BE180" t="s">
        <v>3</v>
      </c>
      <c r="BF180" t="s">
        <v>3</v>
      </c>
      <c r="BG180" t="s">
        <v>3</v>
      </c>
      <c r="BH180">
        <v>3</v>
      </c>
      <c r="BI180">
        <v>1</v>
      </c>
      <c r="BJ180" t="s">
        <v>157</v>
      </c>
      <c r="BM180">
        <v>55</v>
      </c>
      <c r="BN180">
        <v>59298886</v>
      </c>
      <c r="BO180" t="s">
        <v>155</v>
      </c>
      <c r="BP180">
        <v>1</v>
      </c>
      <c r="BQ180">
        <v>30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 t="s">
        <v>3</v>
      </c>
      <c r="BZ180">
        <v>84</v>
      </c>
      <c r="CA180">
        <v>53</v>
      </c>
      <c r="CB180" t="s">
        <v>3</v>
      </c>
      <c r="CE180">
        <v>1566</v>
      </c>
      <c r="CF180">
        <v>0</v>
      </c>
      <c r="CG180">
        <v>0</v>
      </c>
      <c r="CM180">
        <v>0</v>
      </c>
      <c r="CN180" t="s">
        <v>3</v>
      </c>
      <c r="CO180">
        <v>0</v>
      </c>
      <c r="CP180">
        <f t="shared" si="170"/>
        <v>2966.54</v>
      </c>
      <c r="CQ180">
        <f t="shared" si="171"/>
        <v>141.26</v>
      </c>
      <c r="CR180">
        <f>(ROUND((ROUND(((ET180)*AV180*1),2)*BB180),2)+ROUND((ROUND(((AE180-(EU180))*AV180*1),2)*BS180),2))</f>
        <v>0</v>
      </c>
      <c r="CS180">
        <f>(ROUND((ROUND(((EU180)*AV180*1),2)*BS180),2)+ROUND((ROUND(((AE180-(EU180))*AV180*1),2)*BS180),2))</f>
        <v>0</v>
      </c>
      <c r="CT180">
        <f t="shared" si="172"/>
        <v>0</v>
      </c>
      <c r="CU180">
        <f t="shared" si="173"/>
        <v>0</v>
      </c>
      <c r="CV180">
        <f t="shared" si="174"/>
        <v>0</v>
      </c>
      <c r="CW180">
        <f t="shared" si="175"/>
        <v>0</v>
      </c>
      <c r="CX180">
        <f t="shared" si="176"/>
        <v>0</v>
      </c>
      <c r="CY180">
        <f>(ROUND((((S180+ROUND((ROUND(((EU180)*AV180*1),2)*BS180),2))*AT180)/100),2)+ROUND(((ROUND((ROUND(((AE180-(EU180))*AV180*1),2)*BS180),2)*AT180)/100),2))</f>
        <v>0</v>
      </c>
      <c r="CZ180">
        <f>(ROUND((((S180+ROUND((ROUND(((EU180)*AV180*1),2)*BS180),2))*AU180)/100),2)+ROUND(((ROUND((ROUND(((AE180-(EU180))*AV180*1),2)*BS180),2)*AU180)/100),2))</f>
        <v>0</v>
      </c>
      <c r="DC180" t="s">
        <v>3</v>
      </c>
      <c r="DD180" t="s">
        <v>3</v>
      </c>
      <c r="DE180" t="s">
        <v>3</v>
      </c>
      <c r="DF180" t="s">
        <v>3</v>
      </c>
      <c r="DG180" t="s">
        <v>3</v>
      </c>
      <c r="DH180" t="s">
        <v>3</v>
      </c>
      <c r="DI180" t="s">
        <v>3</v>
      </c>
      <c r="DJ180" t="s">
        <v>3</v>
      </c>
      <c r="DK180" t="s">
        <v>3</v>
      </c>
      <c r="DL180" t="s">
        <v>3</v>
      </c>
      <c r="DM180" t="s">
        <v>3</v>
      </c>
      <c r="DN180">
        <v>0</v>
      </c>
      <c r="DO180">
        <v>0</v>
      </c>
      <c r="DP180">
        <v>1</v>
      </c>
      <c r="DQ180">
        <v>1</v>
      </c>
      <c r="DU180">
        <v>1010</v>
      </c>
      <c r="DV180" t="s">
        <v>124</v>
      </c>
      <c r="DW180" t="s">
        <v>124</v>
      </c>
      <c r="DX180">
        <v>1</v>
      </c>
      <c r="DZ180" t="s">
        <v>3</v>
      </c>
      <c r="EA180" t="s">
        <v>3</v>
      </c>
      <c r="EB180" t="s">
        <v>3</v>
      </c>
      <c r="EC180" t="s">
        <v>3</v>
      </c>
      <c r="EE180">
        <v>59298982</v>
      </c>
      <c r="EF180">
        <v>30</v>
      </c>
      <c r="EG180" t="s">
        <v>26</v>
      </c>
      <c r="EH180">
        <v>0</v>
      </c>
      <c r="EI180" t="s">
        <v>3</v>
      </c>
      <c r="EJ180">
        <v>1</v>
      </c>
      <c r="EK180">
        <v>55</v>
      </c>
      <c r="EL180" t="s">
        <v>152</v>
      </c>
      <c r="EM180" t="s">
        <v>153</v>
      </c>
      <c r="EO180" t="s">
        <v>3</v>
      </c>
      <c r="EQ180">
        <v>0</v>
      </c>
      <c r="ER180">
        <v>156.96</v>
      </c>
      <c r="ES180">
        <v>156.96</v>
      </c>
      <c r="ET180">
        <v>0</v>
      </c>
      <c r="EU180">
        <v>0</v>
      </c>
      <c r="EV180">
        <v>0</v>
      </c>
      <c r="EW180">
        <v>0</v>
      </c>
      <c r="EX180">
        <v>0</v>
      </c>
      <c r="FQ180">
        <v>0</v>
      </c>
      <c r="FR180">
        <v>0</v>
      </c>
      <c r="FS180">
        <v>0</v>
      </c>
      <c r="FX180">
        <v>84</v>
      </c>
      <c r="FY180">
        <v>53</v>
      </c>
      <c r="GA180" t="s">
        <v>3</v>
      </c>
      <c r="GD180">
        <v>1</v>
      </c>
      <c r="GF180">
        <v>1303734261</v>
      </c>
      <c r="GG180">
        <v>2</v>
      </c>
      <c r="GH180">
        <v>1</v>
      </c>
      <c r="GI180">
        <v>2</v>
      </c>
      <c r="GJ180">
        <v>0</v>
      </c>
      <c r="GK180">
        <v>0</v>
      </c>
      <c r="GL180">
        <f t="shared" si="177"/>
        <v>0</v>
      </c>
      <c r="GM180">
        <f t="shared" si="178"/>
        <v>2966.54</v>
      </c>
      <c r="GN180">
        <f t="shared" si="179"/>
        <v>2966.54</v>
      </c>
      <c r="GO180">
        <f t="shared" si="180"/>
        <v>0</v>
      </c>
      <c r="GP180">
        <f t="shared" si="181"/>
        <v>0</v>
      </c>
      <c r="GR180">
        <v>0</v>
      </c>
      <c r="GS180">
        <v>3</v>
      </c>
      <c r="GT180">
        <v>0</v>
      </c>
      <c r="GU180" t="s">
        <v>3</v>
      </c>
      <c r="GV180">
        <f t="shared" si="182"/>
        <v>0</v>
      </c>
      <c r="GW180">
        <v>1</v>
      </c>
      <c r="GX180">
        <f t="shared" si="183"/>
        <v>0</v>
      </c>
      <c r="HA180">
        <v>0</v>
      </c>
      <c r="HB180">
        <v>0</v>
      </c>
      <c r="HC180">
        <f t="shared" si="184"/>
        <v>0</v>
      </c>
      <c r="HE180" t="s">
        <v>3</v>
      </c>
      <c r="HF180" t="s">
        <v>3</v>
      </c>
      <c r="HM180" t="s">
        <v>3</v>
      </c>
      <c r="HN180" t="s">
        <v>3</v>
      </c>
      <c r="HO180" t="s">
        <v>3</v>
      </c>
      <c r="HP180" t="s">
        <v>3</v>
      </c>
      <c r="HQ180" t="s">
        <v>3</v>
      </c>
      <c r="HS180">
        <v>0</v>
      </c>
      <c r="IK180">
        <v>0</v>
      </c>
    </row>
    <row r="181" spans="1:255" x14ac:dyDescent="0.2">
      <c r="A181" s="2">
        <v>17</v>
      </c>
      <c r="B181" s="2">
        <v>1</v>
      </c>
      <c r="C181" s="2">
        <f>ROW(SmtRes!A27)</f>
        <v>27</v>
      </c>
      <c r="D181" s="2">
        <f>ROW(EtalonRes!A35)</f>
        <v>35</v>
      </c>
      <c r="E181" s="2" t="s">
        <v>167</v>
      </c>
      <c r="F181" s="2" t="s">
        <v>149</v>
      </c>
      <c r="G181" s="2" t="s">
        <v>168</v>
      </c>
      <c r="H181" s="2" t="s">
        <v>37</v>
      </c>
      <c r="I181" s="2">
        <v>4</v>
      </c>
      <c r="J181" s="2">
        <v>0</v>
      </c>
      <c r="K181" s="2">
        <v>4</v>
      </c>
      <c r="L181" s="2"/>
      <c r="M181" s="2"/>
      <c r="N181" s="2"/>
      <c r="O181" s="2">
        <f t="shared" si="159"/>
        <v>44.85</v>
      </c>
      <c r="P181" s="2">
        <f t="shared" si="160"/>
        <v>2</v>
      </c>
      <c r="Q181" s="2">
        <f>(ROUND((ROUND(((((ET181*1.25)*1.1))*AV181*I181),2)*BB181),2)+ROUND((ROUND(((AE181-(((EU181*1.25)*1.1)))*AV181*I181),2)*BS181),2))</f>
        <v>0</v>
      </c>
      <c r="R181" s="2">
        <f>(ROUND((ROUND(((((EU181*1.25)*1.1))*AV181*I181),2)*BS181),2)+ROUND((ROUND(((AE181-(((EU181*1.25)*1.1)))*AV181*I181),2)*BS181),2))</f>
        <v>0</v>
      </c>
      <c r="S181" s="2">
        <f t="shared" si="161"/>
        <v>42.85</v>
      </c>
      <c r="T181" s="2">
        <f t="shared" si="162"/>
        <v>0</v>
      </c>
      <c r="U181" s="2">
        <f t="shared" si="163"/>
        <v>2.8601144000000001</v>
      </c>
      <c r="V181" s="2">
        <f t="shared" si="164"/>
        <v>0</v>
      </c>
      <c r="W181" s="2">
        <f t="shared" si="165"/>
        <v>0</v>
      </c>
      <c r="X181" s="2">
        <f>(ROUND((((S181+ROUND((ROUND(((((EU181*1.25)*1.1))*AV181*I181),2)*BS181),2))*AT181)/100),2)+ROUND(((ROUND((ROUND(((AE181-(((EU181*1.25)*1.1)))*AV181*I181),2)*BS181),2)*AT181)/100),2))</f>
        <v>35.99</v>
      </c>
      <c r="Y181" s="2">
        <f>(ROUND((((S181+ROUND((ROUND(((((EU181*1.25)*1.1))*AV181*I181),2)*BS181),2))*AU181)/100),2)+ROUND(((ROUND((ROUND(((AE181-(((EU181*1.25)*1.1)))*AV181*I181),2)*BS181),2)*AU181)/100),2))</f>
        <v>22.71</v>
      </c>
      <c r="Z181" s="2"/>
      <c r="AA181" s="2">
        <v>59499218</v>
      </c>
      <c r="AB181" s="2">
        <f t="shared" si="166"/>
        <v>10.35435</v>
      </c>
      <c r="AC181" s="2">
        <f t="shared" si="167"/>
        <v>0.5</v>
      </c>
      <c r="AD181" s="2">
        <f>ROUND((((((ET181*1.25)*1.1))-(((EU181*1.25)*1.1)))+AE181),6)</f>
        <v>0</v>
      </c>
      <c r="AE181" s="2">
        <f>ROUND((((EU181*1.25)*1.1)),6)</f>
        <v>0</v>
      </c>
      <c r="AF181" s="2">
        <f>ROUND((((EV181*1.15)*1.1)),6)</f>
        <v>9.8543500000000002</v>
      </c>
      <c r="AG181" s="2">
        <f t="shared" si="168"/>
        <v>0</v>
      </c>
      <c r="AH181" s="2">
        <f>(((EW181*1.15)*1.1))</f>
        <v>0.65780000000000005</v>
      </c>
      <c r="AI181" s="2">
        <f>(((EX181*1.25)*1.1))</f>
        <v>0</v>
      </c>
      <c r="AJ181" s="2">
        <f t="shared" si="169"/>
        <v>0</v>
      </c>
      <c r="AK181" s="2">
        <v>8.2899999999999991</v>
      </c>
      <c r="AL181" s="2">
        <v>0.5</v>
      </c>
      <c r="AM181" s="2">
        <v>0</v>
      </c>
      <c r="AN181" s="2">
        <v>0</v>
      </c>
      <c r="AO181" s="2">
        <v>7.79</v>
      </c>
      <c r="AP181" s="2">
        <v>0</v>
      </c>
      <c r="AQ181" s="2">
        <v>0.52</v>
      </c>
      <c r="AR181" s="2">
        <v>0</v>
      </c>
      <c r="AS181" s="2">
        <v>0</v>
      </c>
      <c r="AT181" s="2">
        <v>84</v>
      </c>
      <c r="AU181" s="2">
        <v>53</v>
      </c>
      <c r="AV181" s="2">
        <v>1.087</v>
      </c>
      <c r="AW181" s="2">
        <v>1</v>
      </c>
      <c r="AX181" s="2"/>
      <c r="AY181" s="2"/>
      <c r="AZ181" s="2">
        <v>1</v>
      </c>
      <c r="BA181" s="2">
        <v>1</v>
      </c>
      <c r="BB181" s="2">
        <v>1</v>
      </c>
      <c r="BC181" s="2">
        <v>1</v>
      </c>
      <c r="BD181" s="2" t="s">
        <v>3</v>
      </c>
      <c r="BE181" s="2" t="s">
        <v>3</v>
      </c>
      <c r="BF181" s="2" t="s">
        <v>3</v>
      </c>
      <c r="BG181" s="2" t="s">
        <v>3</v>
      </c>
      <c r="BH181" s="2">
        <v>0</v>
      </c>
      <c r="BI181" s="2">
        <v>1</v>
      </c>
      <c r="BJ181" s="2" t="s">
        <v>151</v>
      </c>
      <c r="BK181" s="2"/>
      <c r="BL181" s="2"/>
      <c r="BM181" s="2">
        <v>55</v>
      </c>
      <c r="BN181" s="2">
        <v>59298886</v>
      </c>
      <c r="BO181" s="2" t="s">
        <v>149</v>
      </c>
      <c r="BP181" s="2">
        <v>1</v>
      </c>
      <c r="BQ181" s="2">
        <v>30</v>
      </c>
      <c r="BR181" s="2">
        <v>0</v>
      </c>
      <c r="BS181" s="2">
        <v>1</v>
      </c>
      <c r="BT181" s="2">
        <v>1</v>
      </c>
      <c r="BU181" s="2">
        <v>1</v>
      </c>
      <c r="BV181" s="2">
        <v>1</v>
      </c>
      <c r="BW181" s="2">
        <v>1</v>
      </c>
      <c r="BX181" s="2">
        <v>1</v>
      </c>
      <c r="BY181" s="2" t="s">
        <v>3</v>
      </c>
      <c r="BZ181" s="2">
        <v>84</v>
      </c>
      <c r="CA181" s="2">
        <v>53</v>
      </c>
      <c r="CB181" s="2" t="s">
        <v>3</v>
      </c>
      <c r="CC181" s="2"/>
      <c r="CD181" s="2"/>
      <c r="CE181" s="2">
        <v>1566</v>
      </c>
      <c r="CF181" s="2">
        <v>0</v>
      </c>
      <c r="CG181" s="2">
        <v>0</v>
      </c>
      <c r="CH181" s="2"/>
      <c r="CI181" s="2"/>
      <c r="CJ181" s="2"/>
      <c r="CK181" s="2"/>
      <c r="CL181" s="2"/>
      <c r="CM181" s="2">
        <v>0</v>
      </c>
      <c r="CN181" s="2" t="s">
        <v>375</v>
      </c>
      <c r="CO181" s="2">
        <v>0</v>
      </c>
      <c r="CP181" s="2">
        <f t="shared" si="170"/>
        <v>44.85</v>
      </c>
      <c r="CQ181" s="2">
        <f t="shared" si="171"/>
        <v>0.5</v>
      </c>
      <c r="CR181" s="2">
        <f>(ROUND((ROUND(((((ET181*1.25)*1.1))*AV181*1),2)*BB181),2)+ROUND((ROUND(((AE181-(((EU181*1.25)*1.1)))*AV181*1),2)*BS181),2))</f>
        <v>0</v>
      </c>
      <c r="CS181" s="2">
        <f>(ROUND((ROUND(((((EU181*1.25)*1.1))*AV181*1),2)*BS181),2)+ROUND((ROUND(((AE181-(((EU181*1.25)*1.1)))*AV181*1),2)*BS181),2))</f>
        <v>0</v>
      </c>
      <c r="CT181" s="2">
        <f t="shared" si="172"/>
        <v>10.71</v>
      </c>
      <c r="CU181" s="2">
        <f t="shared" si="173"/>
        <v>0</v>
      </c>
      <c r="CV181" s="2">
        <f t="shared" si="174"/>
        <v>0.71502860000000001</v>
      </c>
      <c r="CW181" s="2">
        <f t="shared" si="175"/>
        <v>0</v>
      </c>
      <c r="CX181" s="2">
        <f t="shared" si="176"/>
        <v>0</v>
      </c>
      <c r="CY181" s="2">
        <f>(ROUND((((S181+ROUND((ROUND(((((EU181*1.25)*1.1))*AV181*1),2)*BS181),2))*AT181)/100),2)+ROUND(((ROUND((ROUND(((AE181-(((EU181*1.25)*1.1)))*AV181*1),2)*BS181),2)*AT181)/100),2))</f>
        <v>35.99</v>
      </c>
      <c r="CZ181" s="2">
        <f>(ROUND((((S181+ROUND((ROUND(((((EU181*1.25)*1.1))*AV181*1),2)*BS181),2))*AU181)/100),2)+ROUND(((ROUND((ROUND(((AE181-(((EU181*1.25)*1.1)))*AV181*1),2)*BS181),2)*AU181)/100),2))</f>
        <v>22.71</v>
      </c>
      <c r="DA181" s="2"/>
      <c r="DB181" s="2">
        <v>37</v>
      </c>
      <c r="DC181" s="2" t="s">
        <v>3</v>
      </c>
      <c r="DD181" s="2" t="s">
        <v>3</v>
      </c>
      <c r="DE181" s="2" t="s">
        <v>39</v>
      </c>
      <c r="DF181" s="2" t="s">
        <v>39</v>
      </c>
      <c r="DG181" s="2" t="s">
        <v>40</v>
      </c>
      <c r="DH181" s="2" t="s">
        <v>3</v>
      </c>
      <c r="DI181" s="2" t="s">
        <v>40</v>
      </c>
      <c r="DJ181" s="2" t="s">
        <v>39</v>
      </c>
      <c r="DK181" s="2" t="s">
        <v>3</v>
      </c>
      <c r="DL181" s="2" t="s">
        <v>3</v>
      </c>
      <c r="DM181" s="2" t="s">
        <v>3</v>
      </c>
      <c r="DN181" s="2">
        <v>0</v>
      </c>
      <c r="DO181" s="2">
        <v>0</v>
      </c>
      <c r="DP181" s="2">
        <v>1</v>
      </c>
      <c r="DQ181" s="2">
        <v>1</v>
      </c>
      <c r="DR181" s="2"/>
      <c r="DS181" s="2"/>
      <c r="DT181" s="2"/>
      <c r="DU181" s="2">
        <v>1013</v>
      </c>
      <c r="DV181" s="2" t="s">
        <v>37</v>
      </c>
      <c r="DW181" s="2" t="s">
        <v>37</v>
      </c>
      <c r="DX181" s="2">
        <v>1</v>
      </c>
      <c r="DY181" s="2"/>
      <c r="DZ181" s="2" t="s">
        <v>3</v>
      </c>
      <c r="EA181" s="2" t="s">
        <v>3</v>
      </c>
      <c r="EB181" s="2" t="s">
        <v>3</v>
      </c>
      <c r="EC181" s="2" t="s">
        <v>3</v>
      </c>
      <c r="ED181" s="2"/>
      <c r="EE181" s="2">
        <v>59298982</v>
      </c>
      <c r="EF181" s="2">
        <v>30</v>
      </c>
      <c r="EG181" s="2" t="s">
        <v>26</v>
      </c>
      <c r="EH181" s="2">
        <v>0</v>
      </c>
      <c r="EI181" s="2" t="s">
        <v>3</v>
      </c>
      <c r="EJ181" s="2">
        <v>1</v>
      </c>
      <c r="EK181" s="2">
        <v>55</v>
      </c>
      <c r="EL181" s="2" t="s">
        <v>152</v>
      </c>
      <c r="EM181" s="2" t="s">
        <v>153</v>
      </c>
      <c r="EN181" s="2"/>
      <c r="EO181" s="2" t="s">
        <v>41</v>
      </c>
      <c r="EP181" s="2"/>
      <c r="EQ181" s="2">
        <v>0</v>
      </c>
      <c r="ER181" s="2">
        <v>8.2899999999999991</v>
      </c>
      <c r="ES181" s="2">
        <v>0.5</v>
      </c>
      <c r="ET181" s="2">
        <v>0</v>
      </c>
      <c r="EU181" s="2">
        <v>0</v>
      </c>
      <c r="EV181" s="2">
        <v>7.79</v>
      </c>
      <c r="EW181" s="2">
        <v>0.52</v>
      </c>
      <c r="EX181" s="2">
        <v>0</v>
      </c>
      <c r="EY181" s="2">
        <v>0</v>
      </c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>
        <v>0</v>
      </c>
      <c r="FR181" s="2">
        <v>0</v>
      </c>
      <c r="FS181" s="2">
        <v>0</v>
      </c>
      <c r="FT181" s="2"/>
      <c r="FU181" s="2"/>
      <c r="FV181" s="2"/>
      <c r="FW181" s="2"/>
      <c r="FX181" s="2">
        <v>84</v>
      </c>
      <c r="FY181" s="2">
        <v>53</v>
      </c>
      <c r="FZ181" s="2"/>
      <c r="GA181" s="2" t="s">
        <v>3</v>
      </c>
      <c r="GB181" s="2"/>
      <c r="GC181" s="2"/>
      <c r="GD181" s="2">
        <v>1</v>
      </c>
      <c r="GE181" s="2"/>
      <c r="GF181" s="2">
        <v>1745385659</v>
      </c>
      <c r="GG181" s="2">
        <v>2</v>
      </c>
      <c r="GH181" s="2">
        <v>1</v>
      </c>
      <c r="GI181" s="2">
        <v>2</v>
      </c>
      <c r="GJ181" s="2">
        <v>0</v>
      </c>
      <c r="GK181" s="2">
        <v>0</v>
      </c>
      <c r="GL181" s="2">
        <f t="shared" si="177"/>
        <v>0</v>
      </c>
      <c r="GM181" s="2">
        <f t="shared" si="178"/>
        <v>103.55</v>
      </c>
      <c r="GN181" s="2">
        <f t="shared" si="179"/>
        <v>103.55</v>
      </c>
      <c r="GO181" s="2">
        <f t="shared" si="180"/>
        <v>0</v>
      </c>
      <c r="GP181" s="2">
        <f t="shared" si="181"/>
        <v>0</v>
      </c>
      <c r="GQ181" s="2"/>
      <c r="GR181" s="2">
        <v>0</v>
      </c>
      <c r="GS181" s="2">
        <v>3</v>
      </c>
      <c r="GT181" s="2">
        <v>0</v>
      </c>
      <c r="GU181" s="2" t="s">
        <v>3</v>
      </c>
      <c r="GV181" s="2">
        <f t="shared" si="182"/>
        <v>0</v>
      </c>
      <c r="GW181" s="2">
        <v>1</v>
      </c>
      <c r="GX181" s="2">
        <f t="shared" si="183"/>
        <v>0</v>
      </c>
      <c r="GY181" s="2"/>
      <c r="GZ181" s="2"/>
      <c r="HA181" s="2">
        <v>0</v>
      </c>
      <c r="HB181" s="2">
        <v>0</v>
      </c>
      <c r="HC181" s="2">
        <f t="shared" si="184"/>
        <v>0</v>
      </c>
      <c r="HD181" s="2"/>
      <c r="HE181" s="2" t="s">
        <v>3</v>
      </c>
      <c r="HF181" s="2" t="s">
        <v>3</v>
      </c>
      <c r="HG181" s="2"/>
      <c r="HH181" s="2"/>
      <c r="HI181" s="2"/>
      <c r="HJ181" s="2"/>
      <c r="HK181" s="2"/>
      <c r="HL181" s="2"/>
      <c r="HM181" s="2" t="s">
        <v>3</v>
      </c>
      <c r="HN181" s="2" t="s">
        <v>3</v>
      </c>
      <c r="HO181" s="2" t="s">
        <v>3</v>
      </c>
      <c r="HP181" s="2" t="s">
        <v>3</v>
      </c>
      <c r="HQ181" s="2" t="s">
        <v>3</v>
      </c>
      <c r="HR181" s="2"/>
      <c r="HS181" s="2">
        <v>0</v>
      </c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>
        <v>0</v>
      </c>
      <c r="IL181" s="2"/>
      <c r="IM181" s="2"/>
      <c r="IN181" s="2"/>
      <c r="IO181" s="2"/>
      <c r="IP181" s="2"/>
      <c r="IQ181" s="2"/>
      <c r="IR181" s="2"/>
      <c r="IS181" s="2"/>
      <c r="IT181" s="2"/>
      <c r="IU181" s="2"/>
    </row>
    <row r="182" spans="1:255" x14ac:dyDescent="0.2">
      <c r="A182">
        <v>17</v>
      </c>
      <c r="B182">
        <v>1</v>
      </c>
      <c r="C182">
        <f>ROW(SmtRes!A30)</f>
        <v>30</v>
      </c>
      <c r="D182">
        <f>ROW(EtalonRes!A38)</f>
        <v>38</v>
      </c>
      <c r="E182" t="s">
        <v>167</v>
      </c>
      <c r="F182" t="s">
        <v>149</v>
      </c>
      <c r="G182" t="s">
        <v>168</v>
      </c>
      <c r="H182" t="s">
        <v>37</v>
      </c>
      <c r="I182">
        <v>4</v>
      </c>
      <c r="J182">
        <v>0</v>
      </c>
      <c r="K182">
        <v>4</v>
      </c>
      <c r="O182">
        <f t="shared" si="159"/>
        <v>2388.12</v>
      </c>
      <c r="P182">
        <f t="shared" si="160"/>
        <v>31.8</v>
      </c>
      <c r="Q182">
        <f>(ROUND((ROUND(((((ET182*1.25)*1.1))*AV182*I182),2)*BB182),2)+ROUND((ROUND(((AE182-(((EU182*1.25)*1.1)))*AV182*I182),2)*BS182),2))</f>
        <v>0</v>
      </c>
      <c r="R182">
        <f>(ROUND((ROUND(((((EU182*1.25)*1.1))*AV182*I182),2)*BS182),2)+ROUND((ROUND(((AE182-(((EU182*1.25)*1.1)))*AV182*I182),2)*BS182),2))</f>
        <v>0</v>
      </c>
      <c r="S182">
        <f t="shared" si="161"/>
        <v>2356.3200000000002</v>
      </c>
      <c r="T182">
        <f t="shared" si="162"/>
        <v>0</v>
      </c>
      <c r="U182">
        <f t="shared" si="163"/>
        <v>2.8601144000000001</v>
      </c>
      <c r="V182">
        <f t="shared" si="164"/>
        <v>0</v>
      </c>
      <c r="W182">
        <f t="shared" si="165"/>
        <v>0</v>
      </c>
      <c r="X182">
        <f>(ROUND((((S182+ROUND((ROUND(((((EU182*1.25)*1.1))*AV182*I182),2)*BS182),2))*AT182)/100),2)+ROUND(((ROUND((ROUND(((AE182-(((EU182*1.25)*1.1)))*AV182*I182),2)*BS182),2)*AT182)/100),2))</f>
        <v>1979.31</v>
      </c>
      <c r="Y182">
        <f>(ROUND((((S182+ROUND((ROUND(((((EU182*1.25)*1.1))*AV182*I182),2)*BS182),2))*AU182)/100),2)+ROUND(((ROUND((ROUND(((AE182-(((EU182*1.25)*1.1)))*AV182*I182),2)*BS182),2)*AU182)/100),2))</f>
        <v>1248.8499999999999</v>
      </c>
      <c r="AA182">
        <v>59499215</v>
      </c>
      <c r="AB182">
        <f t="shared" si="166"/>
        <v>10.35435</v>
      </c>
      <c r="AC182">
        <f t="shared" si="167"/>
        <v>0.5</v>
      </c>
      <c r="AD182">
        <f>ROUND((((((ET182*1.25)*1.1))-(((EU182*1.25)*1.1)))+AE182),6)</f>
        <v>0</v>
      </c>
      <c r="AE182">
        <f>ROUND((((EU182*1.25)*1.1)),6)</f>
        <v>0</v>
      </c>
      <c r="AF182">
        <f>ROUND((((EV182*1.15)*1.1)),6)</f>
        <v>9.8543500000000002</v>
      </c>
      <c r="AG182">
        <f t="shared" si="168"/>
        <v>0</v>
      </c>
      <c r="AH182">
        <f>(((EW182*1.15)*1.1))</f>
        <v>0.65780000000000005</v>
      </c>
      <c r="AI182">
        <f>(((EX182*1.25)*1.1))</f>
        <v>0</v>
      </c>
      <c r="AJ182">
        <f t="shared" si="169"/>
        <v>0</v>
      </c>
      <c r="AK182">
        <v>8.2899999999999991</v>
      </c>
      <c r="AL182">
        <v>0.5</v>
      </c>
      <c r="AM182">
        <v>0</v>
      </c>
      <c r="AN182">
        <v>0</v>
      </c>
      <c r="AO182">
        <v>7.79</v>
      </c>
      <c r="AP182">
        <v>0</v>
      </c>
      <c r="AQ182">
        <v>0.52</v>
      </c>
      <c r="AR182">
        <v>0</v>
      </c>
      <c r="AS182">
        <v>0</v>
      </c>
      <c r="AT182">
        <v>84</v>
      </c>
      <c r="AU182">
        <v>53</v>
      </c>
      <c r="AV182">
        <v>1.087</v>
      </c>
      <c r="AW182">
        <v>1</v>
      </c>
      <c r="AZ182">
        <v>1</v>
      </c>
      <c r="BA182">
        <v>54.99</v>
      </c>
      <c r="BB182">
        <v>1</v>
      </c>
      <c r="BC182">
        <v>15.9</v>
      </c>
      <c r="BD182" t="s">
        <v>3</v>
      </c>
      <c r="BE182" t="s">
        <v>3</v>
      </c>
      <c r="BF182" t="s">
        <v>3</v>
      </c>
      <c r="BG182" t="s">
        <v>3</v>
      </c>
      <c r="BH182">
        <v>0</v>
      </c>
      <c r="BI182">
        <v>1</v>
      </c>
      <c r="BJ182" t="s">
        <v>151</v>
      </c>
      <c r="BM182">
        <v>55</v>
      </c>
      <c r="BN182">
        <v>59298886</v>
      </c>
      <c r="BO182" t="s">
        <v>149</v>
      </c>
      <c r="BP182">
        <v>1</v>
      </c>
      <c r="BQ182">
        <v>30</v>
      </c>
      <c r="BR182">
        <v>0</v>
      </c>
      <c r="BS182">
        <v>54.99</v>
      </c>
      <c r="BT182">
        <v>1</v>
      </c>
      <c r="BU182">
        <v>1</v>
      </c>
      <c r="BV182">
        <v>1</v>
      </c>
      <c r="BW182">
        <v>1</v>
      </c>
      <c r="BX182">
        <v>1</v>
      </c>
      <c r="BY182" t="s">
        <v>3</v>
      </c>
      <c r="BZ182">
        <v>84</v>
      </c>
      <c r="CA182">
        <v>53</v>
      </c>
      <c r="CB182" t="s">
        <v>3</v>
      </c>
      <c r="CE182">
        <v>1566</v>
      </c>
      <c r="CF182">
        <v>0</v>
      </c>
      <c r="CG182">
        <v>0</v>
      </c>
      <c r="CM182">
        <v>0</v>
      </c>
      <c r="CN182" t="s">
        <v>375</v>
      </c>
      <c r="CO182">
        <v>0</v>
      </c>
      <c r="CP182">
        <f t="shared" si="170"/>
        <v>2388.1200000000003</v>
      </c>
      <c r="CQ182">
        <f t="shared" si="171"/>
        <v>7.95</v>
      </c>
      <c r="CR182">
        <f>(ROUND((ROUND(((((ET182*1.25)*1.1))*AV182*1),2)*BB182),2)+ROUND((ROUND(((AE182-(((EU182*1.25)*1.1)))*AV182*1),2)*BS182),2))</f>
        <v>0</v>
      </c>
      <c r="CS182">
        <f>(ROUND((ROUND(((((EU182*1.25)*1.1))*AV182*1),2)*BS182),2)+ROUND((ROUND(((AE182-(((EU182*1.25)*1.1)))*AV182*1),2)*BS182),2))</f>
        <v>0</v>
      </c>
      <c r="CT182">
        <f t="shared" si="172"/>
        <v>588.94000000000005</v>
      </c>
      <c r="CU182">
        <f t="shared" si="173"/>
        <v>0</v>
      </c>
      <c r="CV182">
        <f t="shared" si="174"/>
        <v>0.71502860000000001</v>
      </c>
      <c r="CW182">
        <f t="shared" si="175"/>
        <v>0</v>
      </c>
      <c r="CX182">
        <f t="shared" si="176"/>
        <v>0</v>
      </c>
      <c r="CY182">
        <f>(ROUND((((S182+ROUND((ROUND(((((EU182*1.25)*1.1))*AV182*1),2)*BS182),2))*AT182)/100),2)+ROUND(((ROUND((ROUND(((AE182-(((EU182*1.25)*1.1)))*AV182*1),2)*BS182),2)*AT182)/100),2))</f>
        <v>1979.31</v>
      </c>
      <c r="CZ182">
        <f>(ROUND((((S182+ROUND((ROUND(((((EU182*1.25)*1.1))*AV182*1),2)*BS182),2))*AU182)/100),2)+ROUND(((ROUND((ROUND(((AE182-(((EU182*1.25)*1.1)))*AV182*1),2)*BS182),2)*AU182)/100),2))</f>
        <v>1248.8499999999999</v>
      </c>
      <c r="DB182">
        <v>39</v>
      </c>
      <c r="DC182" t="s">
        <v>3</v>
      </c>
      <c r="DD182" t="s">
        <v>3</v>
      </c>
      <c r="DE182" t="s">
        <v>39</v>
      </c>
      <c r="DF182" t="s">
        <v>39</v>
      </c>
      <c r="DG182" t="s">
        <v>40</v>
      </c>
      <c r="DH182" t="s">
        <v>3</v>
      </c>
      <c r="DI182" t="s">
        <v>40</v>
      </c>
      <c r="DJ182" t="s">
        <v>39</v>
      </c>
      <c r="DK182" t="s">
        <v>3</v>
      </c>
      <c r="DL182" t="s">
        <v>3</v>
      </c>
      <c r="DM182" t="s">
        <v>3</v>
      </c>
      <c r="DN182">
        <v>0</v>
      </c>
      <c r="DO182">
        <v>0</v>
      </c>
      <c r="DP182">
        <v>1</v>
      </c>
      <c r="DQ182">
        <v>1</v>
      </c>
      <c r="DU182">
        <v>1013</v>
      </c>
      <c r="DV182" t="s">
        <v>37</v>
      </c>
      <c r="DW182" t="s">
        <v>37</v>
      </c>
      <c r="DX182">
        <v>1</v>
      </c>
      <c r="DZ182" t="s">
        <v>3</v>
      </c>
      <c r="EA182" t="s">
        <v>3</v>
      </c>
      <c r="EB182" t="s">
        <v>3</v>
      </c>
      <c r="EC182" t="s">
        <v>3</v>
      </c>
      <c r="EE182">
        <v>59298982</v>
      </c>
      <c r="EF182">
        <v>30</v>
      </c>
      <c r="EG182" t="s">
        <v>26</v>
      </c>
      <c r="EH182">
        <v>0</v>
      </c>
      <c r="EI182" t="s">
        <v>3</v>
      </c>
      <c r="EJ182">
        <v>1</v>
      </c>
      <c r="EK182">
        <v>55</v>
      </c>
      <c r="EL182" t="s">
        <v>152</v>
      </c>
      <c r="EM182" t="s">
        <v>153</v>
      </c>
      <c r="EO182" t="s">
        <v>41</v>
      </c>
      <c r="EQ182">
        <v>0</v>
      </c>
      <c r="ER182">
        <v>8.2899999999999991</v>
      </c>
      <c r="ES182">
        <v>0.5</v>
      </c>
      <c r="ET182">
        <v>0</v>
      </c>
      <c r="EU182">
        <v>0</v>
      </c>
      <c r="EV182">
        <v>7.79</v>
      </c>
      <c r="EW182">
        <v>0.52</v>
      </c>
      <c r="EX182">
        <v>0</v>
      </c>
      <c r="EY182">
        <v>0</v>
      </c>
      <c r="FQ182">
        <v>0</v>
      </c>
      <c r="FR182">
        <v>0</v>
      </c>
      <c r="FS182">
        <v>0</v>
      </c>
      <c r="FX182">
        <v>84</v>
      </c>
      <c r="FY182">
        <v>53</v>
      </c>
      <c r="GA182" t="s">
        <v>3</v>
      </c>
      <c r="GD182">
        <v>1</v>
      </c>
      <c r="GF182">
        <v>1745385659</v>
      </c>
      <c r="GG182">
        <v>2</v>
      </c>
      <c r="GH182">
        <v>1</v>
      </c>
      <c r="GI182">
        <v>2</v>
      </c>
      <c r="GJ182">
        <v>0</v>
      </c>
      <c r="GK182">
        <v>0</v>
      </c>
      <c r="GL182">
        <f t="shared" si="177"/>
        <v>0</v>
      </c>
      <c r="GM182">
        <f t="shared" si="178"/>
        <v>5616.28</v>
      </c>
      <c r="GN182">
        <f t="shared" si="179"/>
        <v>5616.28</v>
      </c>
      <c r="GO182">
        <f t="shared" si="180"/>
        <v>0</v>
      </c>
      <c r="GP182">
        <f t="shared" si="181"/>
        <v>0</v>
      </c>
      <c r="GR182">
        <v>0</v>
      </c>
      <c r="GS182">
        <v>3</v>
      </c>
      <c r="GT182">
        <v>0</v>
      </c>
      <c r="GU182" t="s">
        <v>3</v>
      </c>
      <c r="GV182">
        <f t="shared" si="182"/>
        <v>0</v>
      </c>
      <c r="GW182">
        <v>1</v>
      </c>
      <c r="GX182">
        <f t="shared" si="183"/>
        <v>0</v>
      </c>
      <c r="HA182">
        <v>0</v>
      </c>
      <c r="HB182">
        <v>0</v>
      </c>
      <c r="HC182">
        <f t="shared" si="184"/>
        <v>0</v>
      </c>
      <c r="HE182" t="s">
        <v>3</v>
      </c>
      <c r="HF182" t="s">
        <v>3</v>
      </c>
      <c r="HM182" t="s">
        <v>3</v>
      </c>
      <c r="HN182" t="s">
        <v>3</v>
      </c>
      <c r="HO182" t="s">
        <v>3</v>
      </c>
      <c r="HP182" t="s">
        <v>3</v>
      </c>
      <c r="HQ182" t="s">
        <v>3</v>
      </c>
      <c r="HS182">
        <v>0</v>
      </c>
      <c r="IK182">
        <v>0</v>
      </c>
    </row>
    <row r="183" spans="1:255" x14ac:dyDescent="0.2">
      <c r="A183" s="2">
        <v>18</v>
      </c>
      <c r="B183" s="2">
        <v>1</v>
      </c>
      <c r="C183" s="2">
        <v>27</v>
      </c>
      <c r="D183" s="2"/>
      <c r="E183" s="2" t="s">
        <v>169</v>
      </c>
      <c r="F183" s="2" t="s">
        <v>170</v>
      </c>
      <c r="G183" s="2" t="s">
        <v>171</v>
      </c>
      <c r="H183" s="2" t="s">
        <v>124</v>
      </c>
      <c r="I183" s="2">
        <f>I181*J183</f>
        <v>4</v>
      </c>
      <c r="J183" s="2">
        <v>1</v>
      </c>
      <c r="K183" s="2">
        <v>1</v>
      </c>
      <c r="L183" s="2"/>
      <c r="M183" s="2"/>
      <c r="N183" s="2"/>
      <c r="O183" s="2">
        <f t="shared" si="159"/>
        <v>215.44</v>
      </c>
      <c r="P183" s="2">
        <f t="shared" si="160"/>
        <v>215.44</v>
      </c>
      <c r="Q183" s="2">
        <f>(ROUND((ROUND(((ET183)*AV183*I183),2)*BB183),2)+ROUND((ROUND(((AE183-(EU183))*AV183*I183),2)*BS183),2))</f>
        <v>0</v>
      </c>
      <c r="R183" s="2">
        <f>(ROUND((ROUND(((EU183)*AV183*I183),2)*BS183),2)+ROUND((ROUND(((AE183-(EU183))*AV183*I183),2)*BS183),2))</f>
        <v>0</v>
      </c>
      <c r="S183" s="2">
        <f t="shared" si="161"/>
        <v>0</v>
      </c>
      <c r="T183" s="2">
        <f t="shared" si="162"/>
        <v>0</v>
      </c>
      <c r="U183" s="2">
        <f t="shared" si="163"/>
        <v>0</v>
      </c>
      <c r="V183" s="2">
        <f t="shared" si="164"/>
        <v>0</v>
      </c>
      <c r="W183" s="2">
        <f t="shared" si="165"/>
        <v>0</v>
      </c>
      <c r="X183" s="2">
        <f>(ROUND((((S183+ROUND((ROUND(((EU183)*AV183*I183),2)*BS183),2))*AT183)/100),2)+ROUND(((ROUND((ROUND(((AE183-(EU183))*AV183*I183),2)*BS183),2)*AT183)/100),2))</f>
        <v>0</v>
      </c>
      <c r="Y183" s="2">
        <f>(ROUND((((S183+ROUND((ROUND(((EU183)*AV183*I183),2)*BS183),2))*AU183)/100),2)+ROUND(((ROUND((ROUND(((AE183-(EU183))*AV183*I183),2)*BS183),2)*AU183)/100),2))</f>
        <v>0</v>
      </c>
      <c r="Z183" s="2"/>
      <c r="AA183" s="2">
        <v>59499218</v>
      </c>
      <c r="AB183" s="2">
        <f t="shared" si="166"/>
        <v>53.86</v>
      </c>
      <c r="AC183" s="2">
        <f t="shared" si="167"/>
        <v>53.86</v>
      </c>
      <c r="AD183" s="2">
        <f>ROUND((((ET183)-(EU183))+AE183),6)</f>
        <v>0</v>
      </c>
      <c r="AE183" s="2">
        <f>ROUND((EU183),6)</f>
        <v>0</v>
      </c>
      <c r="AF183" s="2">
        <f>ROUND((EV183),6)</f>
        <v>0</v>
      </c>
      <c r="AG183" s="2">
        <f t="shared" si="168"/>
        <v>0</v>
      </c>
      <c r="AH183" s="2">
        <f>(EW183)</f>
        <v>0</v>
      </c>
      <c r="AI183" s="2">
        <f>(EX183)</f>
        <v>0</v>
      </c>
      <c r="AJ183" s="2">
        <f t="shared" si="169"/>
        <v>0</v>
      </c>
      <c r="AK183" s="2">
        <v>53.86</v>
      </c>
      <c r="AL183" s="2">
        <v>53.86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84</v>
      </c>
      <c r="AU183" s="2">
        <v>53</v>
      </c>
      <c r="AV183" s="2">
        <v>1</v>
      </c>
      <c r="AW183" s="2">
        <v>1</v>
      </c>
      <c r="AX183" s="2"/>
      <c r="AY183" s="2"/>
      <c r="AZ183" s="2">
        <v>1</v>
      </c>
      <c r="BA183" s="2">
        <v>1</v>
      </c>
      <c r="BB183" s="2">
        <v>1</v>
      </c>
      <c r="BC183" s="2">
        <v>1</v>
      </c>
      <c r="BD183" s="2" t="s">
        <v>3</v>
      </c>
      <c r="BE183" s="2" t="s">
        <v>3</v>
      </c>
      <c r="BF183" s="2" t="s">
        <v>3</v>
      </c>
      <c r="BG183" s="2" t="s">
        <v>3</v>
      </c>
      <c r="BH183" s="2">
        <v>3</v>
      </c>
      <c r="BI183" s="2">
        <v>1</v>
      </c>
      <c r="BJ183" s="2" t="s">
        <v>3</v>
      </c>
      <c r="BK183" s="2"/>
      <c r="BL183" s="2"/>
      <c r="BM183" s="2">
        <v>55</v>
      </c>
      <c r="BN183" s="2">
        <v>0</v>
      </c>
      <c r="BO183" s="2" t="s">
        <v>3</v>
      </c>
      <c r="BP183" s="2">
        <v>0</v>
      </c>
      <c r="BQ183" s="2">
        <v>30</v>
      </c>
      <c r="BR183" s="2">
        <v>0</v>
      </c>
      <c r="BS183" s="2">
        <v>1</v>
      </c>
      <c r="BT183" s="2">
        <v>1</v>
      </c>
      <c r="BU183" s="2">
        <v>1</v>
      </c>
      <c r="BV183" s="2">
        <v>1</v>
      </c>
      <c r="BW183" s="2">
        <v>1</v>
      </c>
      <c r="BX183" s="2">
        <v>1</v>
      </c>
      <c r="BY183" s="2" t="s">
        <v>3</v>
      </c>
      <c r="BZ183" s="2">
        <v>84</v>
      </c>
      <c r="CA183" s="2">
        <v>53</v>
      </c>
      <c r="CB183" s="2" t="s">
        <v>3</v>
      </c>
      <c r="CC183" s="2"/>
      <c r="CD183" s="2"/>
      <c r="CE183" s="2">
        <v>1566</v>
      </c>
      <c r="CF183" s="2">
        <v>0</v>
      </c>
      <c r="CG183" s="2">
        <v>0</v>
      </c>
      <c r="CH183" s="2"/>
      <c r="CI183" s="2"/>
      <c r="CJ183" s="2"/>
      <c r="CK183" s="2"/>
      <c r="CL183" s="2"/>
      <c r="CM183" s="2">
        <v>0</v>
      </c>
      <c r="CN183" s="2" t="s">
        <v>3</v>
      </c>
      <c r="CO183" s="2">
        <v>0</v>
      </c>
      <c r="CP183" s="2">
        <f t="shared" si="170"/>
        <v>215.44</v>
      </c>
      <c r="CQ183" s="2">
        <f t="shared" si="171"/>
        <v>53.86</v>
      </c>
      <c r="CR183" s="2">
        <f>(ROUND((ROUND(((ET183)*AV183*1),2)*BB183),2)+ROUND((ROUND(((AE183-(EU183))*AV183*1),2)*BS183),2))</f>
        <v>0</v>
      </c>
      <c r="CS183" s="2">
        <f>(ROUND((ROUND(((EU183)*AV183*1),2)*BS183),2)+ROUND((ROUND(((AE183-(EU183))*AV183*1),2)*BS183),2))</f>
        <v>0</v>
      </c>
      <c r="CT183" s="2">
        <f t="shared" si="172"/>
        <v>0</v>
      </c>
      <c r="CU183" s="2">
        <f t="shared" si="173"/>
        <v>0</v>
      </c>
      <c r="CV183" s="2">
        <f t="shared" si="174"/>
        <v>0</v>
      </c>
      <c r="CW183" s="2">
        <f t="shared" si="175"/>
        <v>0</v>
      </c>
      <c r="CX183" s="2">
        <f t="shared" si="176"/>
        <v>0</v>
      </c>
      <c r="CY183" s="2">
        <f>(ROUND((((S183+ROUND((ROUND(((EU183)*AV183*1),2)*BS183),2))*AT183)/100),2)+ROUND(((ROUND((ROUND(((AE183-(EU183))*AV183*1),2)*BS183),2)*AT183)/100),2))</f>
        <v>0</v>
      </c>
      <c r="CZ183" s="2">
        <f>(ROUND((((S183+ROUND((ROUND(((EU183)*AV183*1),2)*BS183),2))*AU183)/100),2)+ROUND(((ROUND((ROUND(((AE183-(EU183))*AV183*1),2)*BS183),2)*AU183)/100),2))</f>
        <v>0</v>
      </c>
      <c r="DA183" s="2"/>
      <c r="DB183" s="2"/>
      <c r="DC183" s="2" t="s">
        <v>3</v>
      </c>
      <c r="DD183" s="2" t="s">
        <v>3</v>
      </c>
      <c r="DE183" s="2" t="s">
        <v>3</v>
      </c>
      <c r="DF183" s="2" t="s">
        <v>3</v>
      </c>
      <c r="DG183" s="2" t="s">
        <v>3</v>
      </c>
      <c r="DH183" s="2" t="s">
        <v>3</v>
      </c>
      <c r="DI183" s="2" t="s">
        <v>3</v>
      </c>
      <c r="DJ183" s="2" t="s">
        <v>3</v>
      </c>
      <c r="DK183" s="2" t="s">
        <v>3</v>
      </c>
      <c r="DL183" s="2" t="s">
        <v>3</v>
      </c>
      <c r="DM183" s="2" t="s">
        <v>3</v>
      </c>
      <c r="DN183" s="2">
        <v>0</v>
      </c>
      <c r="DO183" s="2">
        <v>0</v>
      </c>
      <c r="DP183" s="2">
        <v>1</v>
      </c>
      <c r="DQ183" s="2">
        <v>1</v>
      </c>
      <c r="DR183" s="2"/>
      <c r="DS183" s="2"/>
      <c r="DT183" s="2"/>
      <c r="DU183" s="2">
        <v>1010</v>
      </c>
      <c r="DV183" s="2" t="s">
        <v>124</v>
      </c>
      <c r="DW183" s="2" t="s">
        <v>124</v>
      </c>
      <c r="DX183" s="2">
        <v>1</v>
      </c>
      <c r="DY183" s="2"/>
      <c r="DZ183" s="2" t="s">
        <v>3</v>
      </c>
      <c r="EA183" s="2" t="s">
        <v>3</v>
      </c>
      <c r="EB183" s="2" t="s">
        <v>3</v>
      </c>
      <c r="EC183" s="2" t="s">
        <v>3</v>
      </c>
      <c r="ED183" s="2"/>
      <c r="EE183" s="2">
        <v>59298982</v>
      </c>
      <c r="EF183" s="2">
        <v>30</v>
      </c>
      <c r="EG183" s="2" t="s">
        <v>26</v>
      </c>
      <c r="EH183" s="2">
        <v>0</v>
      </c>
      <c r="EI183" s="2" t="s">
        <v>3</v>
      </c>
      <c r="EJ183" s="2">
        <v>1</v>
      </c>
      <c r="EK183" s="2">
        <v>55</v>
      </c>
      <c r="EL183" s="2" t="s">
        <v>152</v>
      </c>
      <c r="EM183" s="2" t="s">
        <v>153</v>
      </c>
      <c r="EN183" s="2"/>
      <c r="EO183" s="2" t="s">
        <v>3</v>
      </c>
      <c r="EP183" s="2"/>
      <c r="EQ183" s="2">
        <v>0</v>
      </c>
      <c r="ER183" s="2">
        <v>0</v>
      </c>
      <c r="ES183" s="2">
        <v>53.86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>
        <v>0</v>
      </c>
      <c r="FR183" s="2">
        <v>0</v>
      </c>
      <c r="FS183" s="2">
        <v>0</v>
      </c>
      <c r="FT183" s="2"/>
      <c r="FU183" s="2"/>
      <c r="FV183" s="2"/>
      <c r="FW183" s="2"/>
      <c r="FX183" s="2">
        <v>84</v>
      </c>
      <c r="FY183" s="2">
        <v>53</v>
      </c>
      <c r="FZ183" s="2"/>
      <c r="GA183" s="2" t="s">
        <v>172</v>
      </c>
      <c r="GB183" s="2"/>
      <c r="GC183" s="2"/>
      <c r="GD183" s="2">
        <v>1</v>
      </c>
      <c r="GE183" s="2"/>
      <c r="GF183" s="2">
        <v>888944111</v>
      </c>
      <c r="GG183" s="2">
        <v>2</v>
      </c>
      <c r="GH183" s="2">
        <v>4</v>
      </c>
      <c r="GI183" s="2">
        <v>-2</v>
      </c>
      <c r="GJ183" s="2">
        <v>0</v>
      </c>
      <c r="GK183" s="2">
        <v>0</v>
      </c>
      <c r="GL183" s="2">
        <f t="shared" si="177"/>
        <v>0</v>
      </c>
      <c r="GM183" s="2">
        <f t="shared" si="178"/>
        <v>215.44</v>
      </c>
      <c r="GN183" s="2">
        <f t="shared" si="179"/>
        <v>215.44</v>
      </c>
      <c r="GO183" s="2">
        <f t="shared" si="180"/>
        <v>0</v>
      </c>
      <c r="GP183" s="2">
        <f t="shared" si="181"/>
        <v>0</v>
      </c>
      <c r="GQ183" s="2"/>
      <c r="GR183" s="2">
        <v>0</v>
      </c>
      <c r="GS183" s="2">
        <v>2</v>
      </c>
      <c r="GT183" s="2">
        <v>0</v>
      </c>
      <c r="GU183" s="2" t="s">
        <v>3</v>
      </c>
      <c r="GV183" s="2">
        <f t="shared" si="182"/>
        <v>0</v>
      </c>
      <c r="GW183" s="2">
        <v>1</v>
      </c>
      <c r="GX183" s="2">
        <f t="shared" si="183"/>
        <v>0</v>
      </c>
      <c r="GY183" s="2"/>
      <c r="GZ183" s="2"/>
      <c r="HA183" s="2">
        <v>0</v>
      </c>
      <c r="HB183" s="2">
        <v>0</v>
      </c>
      <c r="HC183" s="2">
        <f t="shared" si="184"/>
        <v>0</v>
      </c>
      <c r="HD183" s="2"/>
      <c r="HE183" s="2" t="s">
        <v>173</v>
      </c>
      <c r="HF183" s="2" t="s">
        <v>30</v>
      </c>
      <c r="HG183" s="2"/>
      <c r="HH183" s="2"/>
      <c r="HI183" s="2"/>
      <c r="HJ183" s="2"/>
      <c r="HK183" s="2"/>
      <c r="HL183" s="2"/>
      <c r="HM183" s="2" t="s">
        <v>3</v>
      </c>
      <c r="HN183" s="2" t="s">
        <v>3</v>
      </c>
      <c r="HO183" s="2" t="s">
        <v>3</v>
      </c>
      <c r="HP183" s="2" t="s">
        <v>3</v>
      </c>
      <c r="HQ183" s="2" t="s">
        <v>3</v>
      </c>
      <c r="HR183" s="2"/>
      <c r="HS183" s="2">
        <v>0</v>
      </c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>
        <v>0</v>
      </c>
      <c r="IL183" s="2"/>
      <c r="IM183" s="2"/>
      <c r="IN183" s="2"/>
      <c r="IO183" s="2"/>
      <c r="IP183" s="2"/>
      <c r="IQ183" s="2"/>
      <c r="IR183" s="2"/>
      <c r="IS183" s="2"/>
      <c r="IT183" s="2"/>
      <c r="IU183" s="2"/>
    </row>
    <row r="184" spans="1:255" x14ac:dyDescent="0.2">
      <c r="A184">
        <v>18</v>
      </c>
      <c r="B184">
        <v>1</v>
      </c>
      <c r="C184">
        <v>30</v>
      </c>
      <c r="E184" t="s">
        <v>169</v>
      </c>
      <c r="F184" t="s">
        <v>170</v>
      </c>
      <c r="G184" t="s">
        <v>171</v>
      </c>
      <c r="H184" t="s">
        <v>124</v>
      </c>
      <c r="I184">
        <f>I182*J184</f>
        <v>4</v>
      </c>
      <c r="J184">
        <v>1</v>
      </c>
      <c r="K184">
        <v>1</v>
      </c>
      <c r="O184">
        <f t="shared" si="159"/>
        <v>2128.5500000000002</v>
      </c>
      <c r="P184">
        <f t="shared" si="160"/>
        <v>2128.5500000000002</v>
      </c>
      <c r="Q184">
        <f>(ROUND((ROUND(((ET184)*AV184*I184),2)*BB184),2)+ROUND((ROUND(((AE184-(EU184))*AV184*I184),2)*BS184),2))</f>
        <v>0</v>
      </c>
      <c r="R184">
        <f>(ROUND((ROUND(((EU184)*AV184*I184),2)*BS184),2)+ROUND((ROUND(((AE184-(EU184))*AV184*I184),2)*BS184),2))</f>
        <v>0</v>
      </c>
      <c r="S184">
        <f t="shared" si="161"/>
        <v>0</v>
      </c>
      <c r="T184">
        <f t="shared" si="162"/>
        <v>0</v>
      </c>
      <c r="U184">
        <f t="shared" si="163"/>
        <v>0</v>
      </c>
      <c r="V184">
        <f t="shared" si="164"/>
        <v>0</v>
      </c>
      <c r="W184">
        <f t="shared" si="165"/>
        <v>0</v>
      </c>
      <c r="X184">
        <f>(ROUND((((S184+ROUND((ROUND(((EU184)*AV184*I184),2)*BS184),2))*AT184)/100),2)+ROUND(((ROUND((ROUND(((AE184-(EU184))*AV184*I184),2)*BS184),2)*AT184)/100),2))</f>
        <v>0</v>
      </c>
      <c r="Y184">
        <f>(ROUND((((S184+ROUND((ROUND(((EU184)*AV184*I184),2)*BS184),2))*AU184)/100),2)+ROUND(((ROUND((ROUND(((AE184-(EU184))*AV184*I184),2)*BS184),2)*AU184)/100),2))</f>
        <v>0</v>
      </c>
      <c r="AA184">
        <v>59499215</v>
      </c>
      <c r="AB184">
        <f t="shared" si="166"/>
        <v>53.86</v>
      </c>
      <c r="AC184">
        <f t="shared" si="167"/>
        <v>53.86</v>
      </c>
      <c r="AD184">
        <f>ROUND((((ET184)-(EU184))+AE184),6)</f>
        <v>0</v>
      </c>
      <c r="AE184">
        <f>ROUND((EU184),6)</f>
        <v>0</v>
      </c>
      <c r="AF184">
        <f>ROUND((EV184),6)</f>
        <v>0</v>
      </c>
      <c r="AG184">
        <f t="shared" si="168"/>
        <v>0</v>
      </c>
      <c r="AH184">
        <f>(EW184)</f>
        <v>0</v>
      </c>
      <c r="AI184">
        <f>(EX184)</f>
        <v>0</v>
      </c>
      <c r="AJ184">
        <f t="shared" si="169"/>
        <v>0</v>
      </c>
      <c r="AK184">
        <v>53.86</v>
      </c>
      <c r="AL184">
        <v>53.86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84</v>
      </c>
      <c r="AU184">
        <v>53</v>
      </c>
      <c r="AV184">
        <v>1</v>
      </c>
      <c r="AW184">
        <v>1</v>
      </c>
      <c r="AZ184">
        <v>1</v>
      </c>
      <c r="BA184">
        <v>1</v>
      </c>
      <c r="BB184">
        <v>1</v>
      </c>
      <c r="BC184">
        <v>9.8800000000000008</v>
      </c>
      <c r="BD184" t="s">
        <v>3</v>
      </c>
      <c r="BE184" t="s">
        <v>3</v>
      </c>
      <c r="BF184" t="s">
        <v>3</v>
      </c>
      <c r="BG184" t="s">
        <v>3</v>
      </c>
      <c r="BH184">
        <v>3</v>
      </c>
      <c r="BI184">
        <v>1</v>
      </c>
      <c r="BJ184" t="s">
        <v>3</v>
      </c>
      <c r="BM184">
        <v>55</v>
      </c>
      <c r="BN184">
        <v>0</v>
      </c>
      <c r="BO184" t="s">
        <v>3</v>
      </c>
      <c r="BP184">
        <v>0</v>
      </c>
      <c r="BQ184">
        <v>30</v>
      </c>
      <c r="BR184">
        <v>0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 t="s">
        <v>3</v>
      </c>
      <c r="BZ184">
        <v>84</v>
      </c>
      <c r="CA184">
        <v>53</v>
      </c>
      <c r="CB184" t="s">
        <v>3</v>
      </c>
      <c r="CE184">
        <v>1566</v>
      </c>
      <c r="CF184">
        <v>0</v>
      </c>
      <c r="CG184">
        <v>0</v>
      </c>
      <c r="CM184">
        <v>0</v>
      </c>
      <c r="CN184" t="s">
        <v>3</v>
      </c>
      <c r="CO184">
        <v>0</v>
      </c>
      <c r="CP184">
        <f t="shared" si="170"/>
        <v>2128.5500000000002</v>
      </c>
      <c r="CQ184">
        <f t="shared" si="171"/>
        <v>532.14</v>
      </c>
      <c r="CR184">
        <f>(ROUND((ROUND(((ET184)*AV184*1),2)*BB184),2)+ROUND((ROUND(((AE184-(EU184))*AV184*1),2)*BS184),2))</f>
        <v>0</v>
      </c>
      <c r="CS184">
        <f>(ROUND((ROUND(((EU184)*AV184*1),2)*BS184),2)+ROUND((ROUND(((AE184-(EU184))*AV184*1),2)*BS184),2))</f>
        <v>0</v>
      </c>
      <c r="CT184">
        <f t="shared" si="172"/>
        <v>0</v>
      </c>
      <c r="CU184">
        <f t="shared" si="173"/>
        <v>0</v>
      </c>
      <c r="CV184">
        <f t="shared" si="174"/>
        <v>0</v>
      </c>
      <c r="CW184">
        <f t="shared" si="175"/>
        <v>0</v>
      </c>
      <c r="CX184">
        <f t="shared" si="176"/>
        <v>0</v>
      </c>
      <c r="CY184">
        <f>(ROUND((((S184+ROUND((ROUND(((EU184)*AV184*1),2)*BS184),2))*AT184)/100),2)+ROUND(((ROUND((ROUND(((AE184-(EU184))*AV184*1),2)*BS184),2)*AT184)/100),2))</f>
        <v>0</v>
      </c>
      <c r="CZ184">
        <f>(ROUND((((S184+ROUND((ROUND(((EU184)*AV184*1),2)*BS184),2))*AU184)/100),2)+ROUND(((ROUND((ROUND(((AE184-(EU184))*AV184*1),2)*BS184),2)*AU184)/100),2))</f>
        <v>0</v>
      </c>
      <c r="DC184" t="s">
        <v>3</v>
      </c>
      <c r="DD184" t="s">
        <v>3</v>
      </c>
      <c r="DE184" t="s">
        <v>3</v>
      </c>
      <c r="DF184" t="s">
        <v>3</v>
      </c>
      <c r="DG184" t="s">
        <v>3</v>
      </c>
      <c r="DH184" t="s">
        <v>3</v>
      </c>
      <c r="DI184" t="s">
        <v>3</v>
      </c>
      <c r="DJ184" t="s">
        <v>3</v>
      </c>
      <c r="DK184" t="s">
        <v>3</v>
      </c>
      <c r="DL184" t="s">
        <v>3</v>
      </c>
      <c r="DM184" t="s">
        <v>3</v>
      </c>
      <c r="DN184">
        <v>0</v>
      </c>
      <c r="DO184">
        <v>0</v>
      </c>
      <c r="DP184">
        <v>1</v>
      </c>
      <c r="DQ184">
        <v>1</v>
      </c>
      <c r="DU184">
        <v>1010</v>
      </c>
      <c r="DV184" t="s">
        <v>124</v>
      </c>
      <c r="DW184" t="s">
        <v>124</v>
      </c>
      <c r="DX184">
        <v>1</v>
      </c>
      <c r="DZ184" t="s">
        <v>3</v>
      </c>
      <c r="EA184" t="s">
        <v>3</v>
      </c>
      <c r="EB184" t="s">
        <v>3</v>
      </c>
      <c r="EC184" t="s">
        <v>3</v>
      </c>
      <c r="EE184">
        <v>59298982</v>
      </c>
      <c r="EF184">
        <v>30</v>
      </c>
      <c r="EG184" t="s">
        <v>26</v>
      </c>
      <c r="EH184">
        <v>0</v>
      </c>
      <c r="EI184" t="s">
        <v>3</v>
      </c>
      <c r="EJ184">
        <v>1</v>
      </c>
      <c r="EK184">
        <v>55</v>
      </c>
      <c r="EL184" t="s">
        <v>152</v>
      </c>
      <c r="EM184" t="s">
        <v>153</v>
      </c>
      <c r="EO184" t="s">
        <v>3</v>
      </c>
      <c r="EQ184">
        <v>0</v>
      </c>
      <c r="ER184">
        <v>53.86</v>
      </c>
      <c r="ES184">
        <v>53.86</v>
      </c>
      <c r="ET184">
        <v>0</v>
      </c>
      <c r="EU184">
        <v>0</v>
      </c>
      <c r="EV184">
        <v>0</v>
      </c>
      <c r="EW184">
        <v>0</v>
      </c>
      <c r="EX184">
        <v>0</v>
      </c>
      <c r="EZ184">
        <v>5</v>
      </c>
      <c r="FC184">
        <v>1</v>
      </c>
      <c r="FD184">
        <v>18</v>
      </c>
      <c r="FF184">
        <v>626</v>
      </c>
      <c r="FQ184">
        <v>0</v>
      </c>
      <c r="FR184">
        <v>0</v>
      </c>
      <c r="FS184">
        <v>0</v>
      </c>
      <c r="FX184">
        <v>84</v>
      </c>
      <c r="FY184">
        <v>53</v>
      </c>
      <c r="GA184" t="s">
        <v>172</v>
      </c>
      <c r="GD184">
        <v>1</v>
      </c>
      <c r="GF184">
        <v>888944111</v>
      </c>
      <c r="GG184">
        <v>2</v>
      </c>
      <c r="GH184">
        <v>3</v>
      </c>
      <c r="GI184">
        <v>3</v>
      </c>
      <c r="GJ184">
        <v>0</v>
      </c>
      <c r="GK184">
        <v>0</v>
      </c>
      <c r="GL184">
        <f t="shared" si="177"/>
        <v>0</v>
      </c>
      <c r="GM184">
        <f t="shared" si="178"/>
        <v>2128.5500000000002</v>
      </c>
      <c r="GN184">
        <f t="shared" si="179"/>
        <v>2128.5500000000002</v>
      </c>
      <c r="GO184">
        <f t="shared" si="180"/>
        <v>0</v>
      </c>
      <c r="GP184">
        <f t="shared" si="181"/>
        <v>0</v>
      </c>
      <c r="GR184">
        <v>1</v>
      </c>
      <c r="GS184">
        <v>1</v>
      </c>
      <c r="GT184">
        <v>0</v>
      </c>
      <c r="GU184" t="s">
        <v>3</v>
      </c>
      <c r="GV184">
        <f t="shared" si="182"/>
        <v>0</v>
      </c>
      <c r="GW184">
        <v>1</v>
      </c>
      <c r="GX184">
        <f t="shared" si="183"/>
        <v>0</v>
      </c>
      <c r="HA184">
        <v>0</v>
      </c>
      <c r="HB184">
        <v>0</v>
      </c>
      <c r="HC184">
        <f t="shared" si="184"/>
        <v>0</v>
      </c>
      <c r="HE184" t="s">
        <v>173</v>
      </c>
      <c r="HF184" t="s">
        <v>30</v>
      </c>
      <c r="HM184" t="s">
        <v>3</v>
      </c>
      <c r="HN184" t="s">
        <v>3</v>
      </c>
      <c r="HO184" t="s">
        <v>3</v>
      </c>
      <c r="HP184" t="s">
        <v>3</v>
      </c>
      <c r="HQ184" t="s">
        <v>3</v>
      </c>
      <c r="HS184">
        <v>0</v>
      </c>
      <c r="IK184">
        <v>0</v>
      </c>
    </row>
    <row r="185" spans="1:255" x14ac:dyDescent="0.2">
      <c r="A185" s="2">
        <v>17</v>
      </c>
      <c r="B185" s="2">
        <v>1</v>
      </c>
      <c r="C185" s="2">
        <f>ROW(SmtRes!A33)</f>
        <v>33</v>
      </c>
      <c r="D185" s="2">
        <f>ROW(EtalonRes!A41)</f>
        <v>41</v>
      </c>
      <c r="E185" s="2" t="s">
        <v>174</v>
      </c>
      <c r="F185" s="2" t="s">
        <v>149</v>
      </c>
      <c r="G185" s="2" t="s">
        <v>168</v>
      </c>
      <c r="H185" s="2" t="s">
        <v>37</v>
      </c>
      <c r="I185" s="2">
        <v>4</v>
      </c>
      <c r="J185" s="2">
        <v>0</v>
      </c>
      <c r="K185" s="2">
        <v>4</v>
      </c>
      <c r="L185" s="2"/>
      <c r="M185" s="2"/>
      <c r="N185" s="2"/>
      <c r="O185" s="2">
        <f t="shared" si="159"/>
        <v>44.85</v>
      </c>
      <c r="P185" s="2">
        <f t="shared" si="160"/>
        <v>2</v>
      </c>
      <c r="Q185" s="2">
        <f>(ROUND((ROUND(((((ET185*1.25)*1.1))*AV185*I185),2)*BB185),2)+ROUND((ROUND(((AE185-(((EU185*1.25)*1.1)))*AV185*I185),2)*BS185),2))</f>
        <v>0</v>
      </c>
      <c r="R185" s="2">
        <f>(ROUND((ROUND(((((EU185*1.25)*1.1))*AV185*I185),2)*BS185),2)+ROUND((ROUND(((AE185-(((EU185*1.25)*1.1)))*AV185*I185),2)*BS185),2))</f>
        <v>0</v>
      </c>
      <c r="S185" s="2">
        <f t="shared" si="161"/>
        <v>42.85</v>
      </c>
      <c r="T185" s="2">
        <f t="shared" si="162"/>
        <v>0</v>
      </c>
      <c r="U185" s="2">
        <f t="shared" si="163"/>
        <v>2.8601144000000001</v>
      </c>
      <c r="V185" s="2">
        <f t="shared" si="164"/>
        <v>0</v>
      </c>
      <c r="W185" s="2">
        <f t="shared" si="165"/>
        <v>0</v>
      </c>
      <c r="X185" s="2">
        <f>(ROUND((((S185+ROUND((ROUND(((((EU185*1.25)*1.1))*AV185*I185),2)*BS185),2))*AT185)/100),2)+ROUND(((ROUND((ROUND(((AE185-(((EU185*1.25)*1.1)))*AV185*I185),2)*BS185),2)*AT185)/100),2))</f>
        <v>35.99</v>
      </c>
      <c r="Y185" s="2">
        <f>(ROUND((((S185+ROUND((ROUND(((((EU185*1.25)*1.1))*AV185*I185),2)*BS185),2))*AU185)/100),2)+ROUND(((ROUND((ROUND(((AE185-(((EU185*1.25)*1.1)))*AV185*I185),2)*BS185),2)*AU185)/100),2))</f>
        <v>22.71</v>
      </c>
      <c r="Z185" s="2"/>
      <c r="AA185" s="2">
        <v>59499218</v>
      </c>
      <c r="AB185" s="2">
        <f t="shared" si="166"/>
        <v>10.35435</v>
      </c>
      <c r="AC185" s="2">
        <f t="shared" si="167"/>
        <v>0.5</v>
      </c>
      <c r="AD185" s="2">
        <f>ROUND((((((ET185*1.25)*1.1))-(((EU185*1.25)*1.1)))+AE185),6)</f>
        <v>0</v>
      </c>
      <c r="AE185" s="2">
        <f>ROUND((((EU185*1.25)*1.1)),6)</f>
        <v>0</v>
      </c>
      <c r="AF185" s="2">
        <f>ROUND((((EV185*1.15)*1.1)),6)</f>
        <v>9.8543500000000002</v>
      </c>
      <c r="AG185" s="2">
        <f t="shared" si="168"/>
        <v>0</v>
      </c>
      <c r="AH185" s="2">
        <f>(((EW185*1.15)*1.1))</f>
        <v>0.65780000000000005</v>
      </c>
      <c r="AI185" s="2">
        <f>(((EX185*1.25)*1.1))</f>
        <v>0</v>
      </c>
      <c r="AJ185" s="2">
        <f t="shared" si="169"/>
        <v>0</v>
      </c>
      <c r="AK185" s="2">
        <v>8.2899999999999991</v>
      </c>
      <c r="AL185" s="2">
        <v>0.5</v>
      </c>
      <c r="AM185" s="2">
        <v>0</v>
      </c>
      <c r="AN185" s="2">
        <v>0</v>
      </c>
      <c r="AO185" s="2">
        <v>7.79</v>
      </c>
      <c r="AP185" s="2">
        <v>0</v>
      </c>
      <c r="AQ185" s="2">
        <v>0.52</v>
      </c>
      <c r="AR185" s="2">
        <v>0</v>
      </c>
      <c r="AS185" s="2">
        <v>0</v>
      </c>
      <c r="AT185" s="2">
        <v>84</v>
      </c>
      <c r="AU185" s="2">
        <v>53</v>
      </c>
      <c r="AV185" s="2">
        <v>1.087</v>
      </c>
      <c r="AW185" s="2">
        <v>1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0</v>
      </c>
      <c r="BI185" s="2">
        <v>1</v>
      </c>
      <c r="BJ185" s="2" t="s">
        <v>151</v>
      </c>
      <c r="BK185" s="2"/>
      <c r="BL185" s="2"/>
      <c r="BM185" s="2">
        <v>55</v>
      </c>
      <c r="BN185" s="2">
        <v>59298886</v>
      </c>
      <c r="BO185" s="2" t="s">
        <v>149</v>
      </c>
      <c r="BP185" s="2">
        <v>1</v>
      </c>
      <c r="BQ185" s="2">
        <v>30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84</v>
      </c>
      <c r="CA185" s="2">
        <v>53</v>
      </c>
      <c r="CB185" s="2" t="s">
        <v>3</v>
      </c>
      <c r="CC185" s="2"/>
      <c r="CD185" s="2"/>
      <c r="CE185" s="2">
        <v>1566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375</v>
      </c>
      <c r="CO185" s="2">
        <v>0</v>
      </c>
      <c r="CP185" s="2">
        <f t="shared" si="170"/>
        <v>44.85</v>
      </c>
      <c r="CQ185" s="2">
        <f t="shared" si="171"/>
        <v>0.5</v>
      </c>
      <c r="CR185" s="2">
        <f>(ROUND((ROUND(((((ET185*1.25)*1.1))*AV185*1),2)*BB185),2)+ROUND((ROUND(((AE185-(((EU185*1.25)*1.1)))*AV185*1),2)*BS185),2))</f>
        <v>0</v>
      </c>
      <c r="CS185" s="2">
        <f>(ROUND((ROUND(((((EU185*1.25)*1.1))*AV185*1),2)*BS185),2)+ROUND((ROUND(((AE185-(((EU185*1.25)*1.1)))*AV185*1),2)*BS185),2))</f>
        <v>0</v>
      </c>
      <c r="CT185" s="2">
        <f t="shared" si="172"/>
        <v>10.71</v>
      </c>
      <c r="CU185" s="2">
        <f t="shared" si="173"/>
        <v>0</v>
      </c>
      <c r="CV185" s="2">
        <f t="shared" si="174"/>
        <v>0.71502860000000001</v>
      </c>
      <c r="CW185" s="2">
        <f t="shared" si="175"/>
        <v>0</v>
      </c>
      <c r="CX185" s="2">
        <f t="shared" si="176"/>
        <v>0</v>
      </c>
      <c r="CY185" s="2">
        <f>(ROUND((((S185+ROUND((ROUND(((((EU185*1.25)*1.1))*AV185*1),2)*BS185),2))*AT185)/100),2)+ROUND(((ROUND((ROUND(((AE185-(((EU185*1.25)*1.1)))*AV185*1),2)*BS185),2)*AT185)/100),2))</f>
        <v>35.99</v>
      </c>
      <c r="CZ185" s="2">
        <f>(ROUND((((S185+ROUND((ROUND(((((EU185*1.25)*1.1))*AV185*1),2)*BS185),2))*AU185)/100),2)+ROUND(((ROUND((ROUND(((AE185-(((EU185*1.25)*1.1)))*AV185*1),2)*BS185),2)*AU185)/100),2))</f>
        <v>22.71</v>
      </c>
      <c r="DA185" s="2"/>
      <c r="DB185" s="2">
        <v>41</v>
      </c>
      <c r="DC185" s="2" t="s">
        <v>3</v>
      </c>
      <c r="DD185" s="2" t="s">
        <v>3</v>
      </c>
      <c r="DE185" s="2" t="s">
        <v>39</v>
      </c>
      <c r="DF185" s="2" t="s">
        <v>39</v>
      </c>
      <c r="DG185" s="2" t="s">
        <v>40</v>
      </c>
      <c r="DH185" s="2" t="s">
        <v>3</v>
      </c>
      <c r="DI185" s="2" t="s">
        <v>40</v>
      </c>
      <c r="DJ185" s="2" t="s">
        <v>39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</v>
      </c>
      <c r="DQ185" s="2">
        <v>1</v>
      </c>
      <c r="DR185" s="2"/>
      <c r="DS185" s="2"/>
      <c r="DT185" s="2"/>
      <c r="DU185" s="2">
        <v>1013</v>
      </c>
      <c r="DV185" s="2" t="s">
        <v>37</v>
      </c>
      <c r="DW185" s="2" t="s">
        <v>37</v>
      </c>
      <c r="DX185" s="2">
        <v>1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59298982</v>
      </c>
      <c r="EF185" s="2">
        <v>30</v>
      </c>
      <c r="EG185" s="2" t="s">
        <v>26</v>
      </c>
      <c r="EH185" s="2">
        <v>0</v>
      </c>
      <c r="EI185" s="2" t="s">
        <v>3</v>
      </c>
      <c r="EJ185" s="2">
        <v>1</v>
      </c>
      <c r="EK185" s="2">
        <v>55</v>
      </c>
      <c r="EL185" s="2" t="s">
        <v>152</v>
      </c>
      <c r="EM185" s="2" t="s">
        <v>153</v>
      </c>
      <c r="EN185" s="2"/>
      <c r="EO185" s="2" t="s">
        <v>41</v>
      </c>
      <c r="EP185" s="2"/>
      <c r="EQ185" s="2">
        <v>0</v>
      </c>
      <c r="ER185" s="2">
        <v>8.2899999999999991</v>
      </c>
      <c r="ES185" s="2">
        <v>0.5</v>
      </c>
      <c r="ET185" s="2">
        <v>0</v>
      </c>
      <c r="EU185" s="2">
        <v>0</v>
      </c>
      <c r="EV185" s="2">
        <v>7.79</v>
      </c>
      <c r="EW185" s="2">
        <v>0.52</v>
      </c>
      <c r="EX185" s="2">
        <v>0</v>
      </c>
      <c r="EY185" s="2">
        <v>0</v>
      </c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84</v>
      </c>
      <c r="FY185" s="2">
        <v>53</v>
      </c>
      <c r="FZ185" s="2"/>
      <c r="GA185" s="2" t="s">
        <v>3</v>
      </c>
      <c r="GB185" s="2"/>
      <c r="GC185" s="2"/>
      <c r="GD185" s="2">
        <v>1</v>
      </c>
      <c r="GE185" s="2"/>
      <c r="GF185" s="2">
        <v>1745385659</v>
      </c>
      <c r="GG185" s="2">
        <v>2</v>
      </c>
      <c r="GH185" s="2">
        <v>1</v>
      </c>
      <c r="GI185" s="2">
        <v>2</v>
      </c>
      <c r="GJ185" s="2">
        <v>0</v>
      </c>
      <c r="GK185" s="2">
        <v>0</v>
      </c>
      <c r="GL185" s="2">
        <f t="shared" si="177"/>
        <v>0</v>
      </c>
      <c r="GM185" s="2">
        <f t="shared" si="178"/>
        <v>103.55</v>
      </c>
      <c r="GN185" s="2">
        <f t="shared" si="179"/>
        <v>103.55</v>
      </c>
      <c r="GO185" s="2">
        <f t="shared" si="180"/>
        <v>0</v>
      </c>
      <c r="GP185" s="2">
        <f t="shared" si="181"/>
        <v>0</v>
      </c>
      <c r="GQ185" s="2"/>
      <c r="GR185" s="2">
        <v>0</v>
      </c>
      <c r="GS185" s="2">
        <v>3</v>
      </c>
      <c r="GT185" s="2">
        <v>0</v>
      </c>
      <c r="GU185" s="2" t="s">
        <v>3</v>
      </c>
      <c r="GV185" s="2">
        <f t="shared" si="182"/>
        <v>0</v>
      </c>
      <c r="GW185" s="2">
        <v>1</v>
      </c>
      <c r="GX185" s="2">
        <f t="shared" si="183"/>
        <v>0</v>
      </c>
      <c r="GY185" s="2"/>
      <c r="GZ185" s="2"/>
      <c r="HA185" s="2">
        <v>0</v>
      </c>
      <c r="HB185" s="2">
        <v>0</v>
      </c>
      <c r="HC185" s="2">
        <f t="shared" si="184"/>
        <v>0</v>
      </c>
      <c r="HD185" s="2"/>
      <c r="HE185" s="2" t="s">
        <v>3</v>
      </c>
      <c r="HF185" s="2" t="s">
        <v>3</v>
      </c>
      <c r="HG185" s="2"/>
      <c r="HH185" s="2"/>
      <c r="HI185" s="2"/>
      <c r="HJ185" s="2"/>
      <c r="HK185" s="2"/>
      <c r="HL185" s="2"/>
      <c r="HM185" s="2" t="s">
        <v>3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">
      <c r="A186">
        <v>17</v>
      </c>
      <c r="B186">
        <v>1</v>
      </c>
      <c r="C186">
        <f>ROW(SmtRes!A36)</f>
        <v>36</v>
      </c>
      <c r="D186">
        <f>ROW(EtalonRes!A44)</f>
        <v>44</v>
      </c>
      <c r="E186" t="s">
        <v>174</v>
      </c>
      <c r="F186" t="s">
        <v>149</v>
      </c>
      <c r="G186" t="s">
        <v>168</v>
      </c>
      <c r="H186" t="s">
        <v>37</v>
      </c>
      <c r="I186">
        <v>4</v>
      </c>
      <c r="J186">
        <v>0</v>
      </c>
      <c r="K186">
        <v>4</v>
      </c>
      <c r="O186">
        <f t="shared" si="159"/>
        <v>2388.12</v>
      </c>
      <c r="P186">
        <f t="shared" si="160"/>
        <v>31.8</v>
      </c>
      <c r="Q186">
        <f>(ROUND((ROUND(((((ET186*1.25)*1.1))*AV186*I186),2)*BB186),2)+ROUND((ROUND(((AE186-(((EU186*1.25)*1.1)))*AV186*I186),2)*BS186),2))</f>
        <v>0</v>
      </c>
      <c r="R186">
        <f>(ROUND((ROUND(((((EU186*1.25)*1.1))*AV186*I186),2)*BS186),2)+ROUND((ROUND(((AE186-(((EU186*1.25)*1.1)))*AV186*I186),2)*BS186),2))</f>
        <v>0</v>
      </c>
      <c r="S186">
        <f t="shared" si="161"/>
        <v>2356.3200000000002</v>
      </c>
      <c r="T186">
        <f t="shared" si="162"/>
        <v>0</v>
      </c>
      <c r="U186">
        <f t="shared" si="163"/>
        <v>2.8601144000000001</v>
      </c>
      <c r="V186">
        <f t="shared" si="164"/>
        <v>0</v>
      </c>
      <c r="W186">
        <f t="shared" si="165"/>
        <v>0</v>
      </c>
      <c r="X186">
        <f>(ROUND((((S186+ROUND((ROUND(((((EU186*1.25)*1.1))*AV186*I186),2)*BS186),2))*AT186)/100),2)+ROUND(((ROUND((ROUND(((AE186-(((EU186*1.25)*1.1)))*AV186*I186),2)*BS186),2)*AT186)/100),2))</f>
        <v>1979.31</v>
      </c>
      <c r="Y186">
        <f>(ROUND((((S186+ROUND((ROUND(((((EU186*1.25)*1.1))*AV186*I186),2)*BS186),2))*AU186)/100),2)+ROUND(((ROUND((ROUND(((AE186-(((EU186*1.25)*1.1)))*AV186*I186),2)*BS186),2)*AU186)/100),2))</f>
        <v>1248.8499999999999</v>
      </c>
      <c r="AA186">
        <v>59499215</v>
      </c>
      <c r="AB186">
        <f t="shared" si="166"/>
        <v>10.35435</v>
      </c>
      <c r="AC186">
        <f t="shared" si="167"/>
        <v>0.5</v>
      </c>
      <c r="AD186">
        <f>ROUND((((((ET186*1.25)*1.1))-(((EU186*1.25)*1.1)))+AE186),6)</f>
        <v>0</v>
      </c>
      <c r="AE186">
        <f>ROUND((((EU186*1.25)*1.1)),6)</f>
        <v>0</v>
      </c>
      <c r="AF186">
        <f>ROUND((((EV186*1.15)*1.1)),6)</f>
        <v>9.8543500000000002</v>
      </c>
      <c r="AG186">
        <f t="shared" si="168"/>
        <v>0</v>
      </c>
      <c r="AH186">
        <f>(((EW186*1.15)*1.1))</f>
        <v>0.65780000000000005</v>
      </c>
      <c r="AI186">
        <f>(((EX186*1.25)*1.1))</f>
        <v>0</v>
      </c>
      <c r="AJ186">
        <f t="shared" si="169"/>
        <v>0</v>
      </c>
      <c r="AK186">
        <v>8.2899999999999991</v>
      </c>
      <c r="AL186">
        <v>0.5</v>
      </c>
      <c r="AM186">
        <v>0</v>
      </c>
      <c r="AN186">
        <v>0</v>
      </c>
      <c r="AO186">
        <v>7.79</v>
      </c>
      <c r="AP186">
        <v>0</v>
      </c>
      <c r="AQ186">
        <v>0.52</v>
      </c>
      <c r="AR186">
        <v>0</v>
      </c>
      <c r="AS186">
        <v>0</v>
      </c>
      <c r="AT186">
        <v>84</v>
      </c>
      <c r="AU186">
        <v>53</v>
      </c>
      <c r="AV186">
        <v>1.087</v>
      </c>
      <c r="AW186">
        <v>1</v>
      </c>
      <c r="AZ186">
        <v>1</v>
      </c>
      <c r="BA186">
        <v>54.99</v>
      </c>
      <c r="BB186">
        <v>1</v>
      </c>
      <c r="BC186">
        <v>15.9</v>
      </c>
      <c r="BD186" t="s">
        <v>3</v>
      </c>
      <c r="BE186" t="s">
        <v>3</v>
      </c>
      <c r="BF186" t="s">
        <v>3</v>
      </c>
      <c r="BG186" t="s">
        <v>3</v>
      </c>
      <c r="BH186">
        <v>0</v>
      </c>
      <c r="BI186">
        <v>1</v>
      </c>
      <c r="BJ186" t="s">
        <v>151</v>
      </c>
      <c r="BM186">
        <v>55</v>
      </c>
      <c r="BN186">
        <v>59298886</v>
      </c>
      <c r="BO186" t="s">
        <v>149</v>
      </c>
      <c r="BP186">
        <v>1</v>
      </c>
      <c r="BQ186">
        <v>30</v>
      </c>
      <c r="BR186">
        <v>0</v>
      </c>
      <c r="BS186">
        <v>54.99</v>
      </c>
      <c r="BT186">
        <v>1</v>
      </c>
      <c r="BU186">
        <v>1</v>
      </c>
      <c r="BV186">
        <v>1</v>
      </c>
      <c r="BW186">
        <v>1</v>
      </c>
      <c r="BX186">
        <v>1</v>
      </c>
      <c r="BY186" t="s">
        <v>3</v>
      </c>
      <c r="BZ186">
        <v>84</v>
      </c>
      <c r="CA186">
        <v>53</v>
      </c>
      <c r="CB186" t="s">
        <v>3</v>
      </c>
      <c r="CE186">
        <v>1566</v>
      </c>
      <c r="CF186">
        <v>0</v>
      </c>
      <c r="CG186">
        <v>0</v>
      </c>
      <c r="CM186">
        <v>0</v>
      </c>
      <c r="CN186" t="s">
        <v>375</v>
      </c>
      <c r="CO186">
        <v>0</v>
      </c>
      <c r="CP186">
        <f t="shared" si="170"/>
        <v>2388.1200000000003</v>
      </c>
      <c r="CQ186">
        <f t="shared" si="171"/>
        <v>7.95</v>
      </c>
      <c r="CR186">
        <f>(ROUND((ROUND(((((ET186*1.25)*1.1))*AV186*1),2)*BB186),2)+ROUND((ROUND(((AE186-(((EU186*1.25)*1.1)))*AV186*1),2)*BS186),2))</f>
        <v>0</v>
      </c>
      <c r="CS186">
        <f>(ROUND((ROUND(((((EU186*1.25)*1.1))*AV186*1),2)*BS186),2)+ROUND((ROUND(((AE186-(((EU186*1.25)*1.1)))*AV186*1),2)*BS186),2))</f>
        <v>0</v>
      </c>
      <c r="CT186">
        <f t="shared" si="172"/>
        <v>588.94000000000005</v>
      </c>
      <c r="CU186">
        <f t="shared" si="173"/>
        <v>0</v>
      </c>
      <c r="CV186">
        <f t="shared" si="174"/>
        <v>0.71502860000000001</v>
      </c>
      <c r="CW186">
        <f t="shared" si="175"/>
        <v>0</v>
      </c>
      <c r="CX186">
        <f t="shared" si="176"/>
        <v>0</v>
      </c>
      <c r="CY186">
        <f>(ROUND((((S186+ROUND((ROUND(((((EU186*1.25)*1.1))*AV186*1),2)*BS186),2))*AT186)/100),2)+ROUND(((ROUND((ROUND(((AE186-(((EU186*1.25)*1.1)))*AV186*1),2)*BS186),2)*AT186)/100),2))</f>
        <v>1979.31</v>
      </c>
      <c r="CZ186">
        <f>(ROUND((((S186+ROUND((ROUND(((((EU186*1.25)*1.1))*AV186*1),2)*BS186),2))*AU186)/100),2)+ROUND(((ROUND((ROUND(((AE186-(((EU186*1.25)*1.1)))*AV186*1),2)*BS186),2)*AU186)/100),2))</f>
        <v>1248.8499999999999</v>
      </c>
      <c r="DB186">
        <v>43</v>
      </c>
      <c r="DC186" t="s">
        <v>3</v>
      </c>
      <c r="DD186" t="s">
        <v>3</v>
      </c>
      <c r="DE186" t="s">
        <v>39</v>
      </c>
      <c r="DF186" t="s">
        <v>39</v>
      </c>
      <c r="DG186" t="s">
        <v>40</v>
      </c>
      <c r="DH186" t="s">
        <v>3</v>
      </c>
      <c r="DI186" t="s">
        <v>40</v>
      </c>
      <c r="DJ186" t="s">
        <v>39</v>
      </c>
      <c r="DK186" t="s">
        <v>3</v>
      </c>
      <c r="DL186" t="s">
        <v>3</v>
      </c>
      <c r="DM186" t="s">
        <v>3</v>
      </c>
      <c r="DN186">
        <v>0</v>
      </c>
      <c r="DO186">
        <v>0</v>
      </c>
      <c r="DP186">
        <v>1</v>
      </c>
      <c r="DQ186">
        <v>1</v>
      </c>
      <c r="DU186">
        <v>1013</v>
      </c>
      <c r="DV186" t="s">
        <v>37</v>
      </c>
      <c r="DW186" t="s">
        <v>37</v>
      </c>
      <c r="DX186">
        <v>1</v>
      </c>
      <c r="DZ186" t="s">
        <v>3</v>
      </c>
      <c r="EA186" t="s">
        <v>3</v>
      </c>
      <c r="EB186" t="s">
        <v>3</v>
      </c>
      <c r="EC186" t="s">
        <v>3</v>
      </c>
      <c r="EE186">
        <v>59298982</v>
      </c>
      <c r="EF186">
        <v>30</v>
      </c>
      <c r="EG186" t="s">
        <v>26</v>
      </c>
      <c r="EH186">
        <v>0</v>
      </c>
      <c r="EI186" t="s">
        <v>3</v>
      </c>
      <c r="EJ186">
        <v>1</v>
      </c>
      <c r="EK186">
        <v>55</v>
      </c>
      <c r="EL186" t="s">
        <v>152</v>
      </c>
      <c r="EM186" t="s">
        <v>153</v>
      </c>
      <c r="EO186" t="s">
        <v>41</v>
      </c>
      <c r="EQ186">
        <v>0</v>
      </c>
      <c r="ER186">
        <v>8.2899999999999991</v>
      </c>
      <c r="ES186">
        <v>0.5</v>
      </c>
      <c r="ET186">
        <v>0</v>
      </c>
      <c r="EU186">
        <v>0</v>
      </c>
      <c r="EV186">
        <v>7.79</v>
      </c>
      <c r="EW186">
        <v>0.52</v>
      </c>
      <c r="EX186">
        <v>0</v>
      </c>
      <c r="EY186">
        <v>0</v>
      </c>
      <c r="FQ186">
        <v>0</v>
      </c>
      <c r="FR186">
        <v>0</v>
      </c>
      <c r="FS186">
        <v>0</v>
      </c>
      <c r="FX186">
        <v>84</v>
      </c>
      <c r="FY186">
        <v>53</v>
      </c>
      <c r="GA186" t="s">
        <v>3</v>
      </c>
      <c r="GD186">
        <v>1</v>
      </c>
      <c r="GF186">
        <v>1745385659</v>
      </c>
      <c r="GG186">
        <v>2</v>
      </c>
      <c r="GH186">
        <v>1</v>
      </c>
      <c r="GI186">
        <v>2</v>
      </c>
      <c r="GJ186">
        <v>0</v>
      </c>
      <c r="GK186">
        <v>0</v>
      </c>
      <c r="GL186">
        <f t="shared" si="177"/>
        <v>0</v>
      </c>
      <c r="GM186">
        <f t="shared" si="178"/>
        <v>5616.28</v>
      </c>
      <c r="GN186">
        <f t="shared" si="179"/>
        <v>5616.28</v>
      </c>
      <c r="GO186">
        <f t="shared" si="180"/>
        <v>0</v>
      </c>
      <c r="GP186">
        <f t="shared" si="181"/>
        <v>0</v>
      </c>
      <c r="GR186">
        <v>0</v>
      </c>
      <c r="GS186">
        <v>3</v>
      </c>
      <c r="GT186">
        <v>0</v>
      </c>
      <c r="GU186" t="s">
        <v>3</v>
      </c>
      <c r="GV186">
        <f t="shared" si="182"/>
        <v>0</v>
      </c>
      <c r="GW186">
        <v>1</v>
      </c>
      <c r="GX186">
        <f t="shared" si="183"/>
        <v>0</v>
      </c>
      <c r="HA186">
        <v>0</v>
      </c>
      <c r="HB186">
        <v>0</v>
      </c>
      <c r="HC186">
        <f t="shared" si="184"/>
        <v>0</v>
      </c>
      <c r="HE186" t="s">
        <v>3</v>
      </c>
      <c r="HF186" t="s">
        <v>3</v>
      </c>
      <c r="HM186" t="s">
        <v>3</v>
      </c>
      <c r="HN186" t="s">
        <v>3</v>
      </c>
      <c r="HO186" t="s">
        <v>3</v>
      </c>
      <c r="HP186" t="s">
        <v>3</v>
      </c>
      <c r="HQ186" t="s">
        <v>3</v>
      </c>
      <c r="HS186">
        <v>0</v>
      </c>
      <c r="IK186">
        <v>0</v>
      </c>
    </row>
    <row r="187" spans="1:255" x14ac:dyDescent="0.2">
      <c r="A187" s="2">
        <v>18</v>
      </c>
      <c r="B187" s="2">
        <v>1</v>
      </c>
      <c r="C187" s="2">
        <v>33</v>
      </c>
      <c r="D187" s="2"/>
      <c r="E187" s="2" t="s">
        <v>175</v>
      </c>
      <c r="F187" s="2" t="s">
        <v>176</v>
      </c>
      <c r="G187" s="2" t="s">
        <v>177</v>
      </c>
      <c r="H187" s="2" t="s">
        <v>124</v>
      </c>
      <c r="I187" s="2">
        <f>I185*J187</f>
        <v>4</v>
      </c>
      <c r="J187" s="2">
        <v>1</v>
      </c>
      <c r="K187" s="2">
        <v>1</v>
      </c>
      <c r="L187" s="2"/>
      <c r="M187" s="2"/>
      <c r="N187" s="2"/>
      <c r="O187" s="2">
        <f t="shared" si="159"/>
        <v>215.44</v>
      </c>
      <c r="P187" s="2">
        <f t="shared" si="160"/>
        <v>215.44</v>
      </c>
      <c r="Q187" s="2">
        <f>(ROUND((ROUND(((ET187)*AV187*I187),2)*BB187),2)+ROUND((ROUND(((AE187-(EU187))*AV187*I187),2)*BS187),2))</f>
        <v>0</v>
      </c>
      <c r="R187" s="2">
        <f>(ROUND((ROUND(((EU187)*AV187*I187),2)*BS187),2)+ROUND((ROUND(((AE187-(EU187))*AV187*I187),2)*BS187),2))</f>
        <v>0</v>
      </c>
      <c r="S187" s="2">
        <f t="shared" si="161"/>
        <v>0</v>
      </c>
      <c r="T187" s="2">
        <f t="shared" si="162"/>
        <v>0</v>
      </c>
      <c r="U187" s="2">
        <f t="shared" si="163"/>
        <v>0</v>
      </c>
      <c r="V187" s="2">
        <f t="shared" si="164"/>
        <v>0</v>
      </c>
      <c r="W187" s="2">
        <f t="shared" si="165"/>
        <v>0</v>
      </c>
      <c r="X187" s="2">
        <f>(ROUND((((S187+ROUND((ROUND(((EU187)*AV187*I187),2)*BS187),2))*AT187)/100),2)+ROUND(((ROUND((ROUND(((AE187-(EU187))*AV187*I187),2)*BS187),2)*AT187)/100),2))</f>
        <v>0</v>
      </c>
      <c r="Y187" s="2">
        <f>(ROUND((((S187+ROUND((ROUND(((EU187)*AV187*I187),2)*BS187),2))*AU187)/100),2)+ROUND(((ROUND((ROUND(((AE187-(EU187))*AV187*I187),2)*BS187),2)*AU187)/100),2))</f>
        <v>0</v>
      </c>
      <c r="Z187" s="2"/>
      <c r="AA187" s="2">
        <v>59499218</v>
      </c>
      <c r="AB187" s="2">
        <f t="shared" si="166"/>
        <v>53.86</v>
      </c>
      <c r="AC187" s="2">
        <f t="shared" si="167"/>
        <v>53.86</v>
      </c>
      <c r="AD187" s="2">
        <f>ROUND((((ET187)-(EU187))+AE187),6)</f>
        <v>0</v>
      </c>
      <c r="AE187" s="2">
        <f>ROUND((EU187),6)</f>
        <v>0</v>
      </c>
      <c r="AF187" s="2">
        <f>ROUND((EV187),6)</f>
        <v>0</v>
      </c>
      <c r="AG187" s="2">
        <f t="shared" si="168"/>
        <v>0</v>
      </c>
      <c r="AH187" s="2">
        <f>(EW187)</f>
        <v>0</v>
      </c>
      <c r="AI187" s="2">
        <f>(EX187)</f>
        <v>0</v>
      </c>
      <c r="AJ187" s="2">
        <f t="shared" si="169"/>
        <v>0</v>
      </c>
      <c r="AK187" s="2">
        <v>53.86</v>
      </c>
      <c r="AL187" s="2">
        <v>53.86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84</v>
      </c>
      <c r="AU187" s="2">
        <v>53</v>
      </c>
      <c r="AV187" s="2">
        <v>1</v>
      </c>
      <c r="AW187" s="2">
        <v>1</v>
      </c>
      <c r="AX187" s="2"/>
      <c r="AY187" s="2"/>
      <c r="AZ187" s="2">
        <v>1</v>
      </c>
      <c r="BA187" s="2">
        <v>1</v>
      </c>
      <c r="BB187" s="2">
        <v>1</v>
      </c>
      <c r="BC187" s="2">
        <v>1</v>
      </c>
      <c r="BD187" s="2" t="s">
        <v>3</v>
      </c>
      <c r="BE187" s="2" t="s">
        <v>3</v>
      </c>
      <c r="BF187" s="2" t="s">
        <v>3</v>
      </c>
      <c r="BG187" s="2" t="s">
        <v>3</v>
      </c>
      <c r="BH187" s="2">
        <v>3</v>
      </c>
      <c r="BI187" s="2">
        <v>1</v>
      </c>
      <c r="BJ187" s="2" t="s">
        <v>3</v>
      </c>
      <c r="BK187" s="2"/>
      <c r="BL187" s="2"/>
      <c r="BM187" s="2">
        <v>55</v>
      </c>
      <c r="BN187" s="2">
        <v>0</v>
      </c>
      <c r="BO187" s="2" t="s">
        <v>3</v>
      </c>
      <c r="BP187" s="2">
        <v>0</v>
      </c>
      <c r="BQ187" s="2">
        <v>30</v>
      </c>
      <c r="BR187" s="2">
        <v>0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 t="s">
        <v>3</v>
      </c>
      <c r="BZ187" s="2">
        <v>84</v>
      </c>
      <c r="CA187" s="2">
        <v>53</v>
      </c>
      <c r="CB187" s="2" t="s">
        <v>3</v>
      </c>
      <c r="CC187" s="2"/>
      <c r="CD187" s="2"/>
      <c r="CE187" s="2">
        <v>1566</v>
      </c>
      <c r="CF187" s="2">
        <v>0</v>
      </c>
      <c r="CG187" s="2">
        <v>0</v>
      </c>
      <c r="CH187" s="2"/>
      <c r="CI187" s="2"/>
      <c r="CJ187" s="2"/>
      <c r="CK187" s="2"/>
      <c r="CL187" s="2"/>
      <c r="CM187" s="2">
        <v>0</v>
      </c>
      <c r="CN187" s="2" t="s">
        <v>3</v>
      </c>
      <c r="CO187" s="2">
        <v>0</v>
      </c>
      <c r="CP187" s="2">
        <f t="shared" si="170"/>
        <v>215.44</v>
      </c>
      <c r="CQ187" s="2">
        <f t="shared" si="171"/>
        <v>53.86</v>
      </c>
      <c r="CR187" s="2">
        <f>(ROUND((ROUND(((ET187)*AV187*1),2)*BB187),2)+ROUND((ROUND(((AE187-(EU187))*AV187*1),2)*BS187),2))</f>
        <v>0</v>
      </c>
      <c r="CS187" s="2">
        <f>(ROUND((ROUND(((EU187)*AV187*1),2)*BS187),2)+ROUND((ROUND(((AE187-(EU187))*AV187*1),2)*BS187),2))</f>
        <v>0</v>
      </c>
      <c r="CT187" s="2">
        <f t="shared" si="172"/>
        <v>0</v>
      </c>
      <c r="CU187" s="2">
        <f t="shared" si="173"/>
        <v>0</v>
      </c>
      <c r="CV187" s="2">
        <f t="shared" si="174"/>
        <v>0</v>
      </c>
      <c r="CW187" s="2">
        <f t="shared" si="175"/>
        <v>0</v>
      </c>
      <c r="CX187" s="2">
        <f t="shared" si="176"/>
        <v>0</v>
      </c>
      <c r="CY187" s="2">
        <f>(ROUND((((S187+ROUND((ROUND(((EU187)*AV187*1),2)*BS187),2))*AT187)/100),2)+ROUND(((ROUND((ROUND(((AE187-(EU187))*AV187*1),2)*BS187),2)*AT187)/100),2))</f>
        <v>0</v>
      </c>
      <c r="CZ187" s="2">
        <f>(ROUND((((S187+ROUND((ROUND(((EU187)*AV187*1),2)*BS187),2))*AU187)/100),2)+ROUND(((ROUND((ROUND(((AE187-(EU187))*AV187*1),2)*BS187),2)*AU187)/100),2))</f>
        <v>0</v>
      </c>
      <c r="DA187" s="2"/>
      <c r="DB187" s="2"/>
      <c r="DC187" s="2" t="s">
        <v>3</v>
      </c>
      <c r="DD187" s="2" t="s">
        <v>3</v>
      </c>
      <c r="DE187" s="2" t="s">
        <v>3</v>
      </c>
      <c r="DF187" s="2" t="s">
        <v>3</v>
      </c>
      <c r="DG187" s="2" t="s">
        <v>3</v>
      </c>
      <c r="DH187" s="2" t="s">
        <v>3</v>
      </c>
      <c r="DI187" s="2" t="s">
        <v>3</v>
      </c>
      <c r="DJ187" s="2" t="s">
        <v>3</v>
      </c>
      <c r="DK187" s="2" t="s">
        <v>3</v>
      </c>
      <c r="DL187" s="2" t="s">
        <v>3</v>
      </c>
      <c r="DM187" s="2" t="s">
        <v>3</v>
      </c>
      <c r="DN187" s="2">
        <v>0</v>
      </c>
      <c r="DO187" s="2">
        <v>0</v>
      </c>
      <c r="DP187" s="2">
        <v>1</v>
      </c>
      <c r="DQ187" s="2">
        <v>1</v>
      </c>
      <c r="DR187" s="2"/>
      <c r="DS187" s="2"/>
      <c r="DT187" s="2"/>
      <c r="DU187" s="2">
        <v>1010</v>
      </c>
      <c r="DV187" s="2" t="s">
        <v>124</v>
      </c>
      <c r="DW187" s="2" t="s">
        <v>124</v>
      </c>
      <c r="DX187" s="2">
        <v>1</v>
      </c>
      <c r="DY187" s="2"/>
      <c r="DZ187" s="2" t="s">
        <v>3</v>
      </c>
      <c r="EA187" s="2" t="s">
        <v>3</v>
      </c>
      <c r="EB187" s="2" t="s">
        <v>3</v>
      </c>
      <c r="EC187" s="2" t="s">
        <v>3</v>
      </c>
      <c r="ED187" s="2"/>
      <c r="EE187" s="2">
        <v>59298982</v>
      </c>
      <c r="EF187" s="2">
        <v>30</v>
      </c>
      <c r="EG187" s="2" t="s">
        <v>26</v>
      </c>
      <c r="EH187" s="2">
        <v>0</v>
      </c>
      <c r="EI187" s="2" t="s">
        <v>3</v>
      </c>
      <c r="EJ187" s="2">
        <v>1</v>
      </c>
      <c r="EK187" s="2">
        <v>55</v>
      </c>
      <c r="EL187" s="2" t="s">
        <v>152</v>
      </c>
      <c r="EM187" s="2" t="s">
        <v>153</v>
      </c>
      <c r="EN187" s="2"/>
      <c r="EO187" s="2" t="s">
        <v>3</v>
      </c>
      <c r="EP187" s="2"/>
      <c r="EQ187" s="2">
        <v>0</v>
      </c>
      <c r="ER187" s="2">
        <v>0</v>
      </c>
      <c r="ES187" s="2">
        <v>53.86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>
        <v>0</v>
      </c>
      <c r="FR187" s="2">
        <v>0</v>
      </c>
      <c r="FS187" s="2">
        <v>0</v>
      </c>
      <c r="FT187" s="2"/>
      <c r="FU187" s="2"/>
      <c r="FV187" s="2"/>
      <c r="FW187" s="2"/>
      <c r="FX187" s="2">
        <v>84</v>
      </c>
      <c r="FY187" s="2">
        <v>53</v>
      </c>
      <c r="FZ187" s="2"/>
      <c r="GA187" s="2" t="s">
        <v>172</v>
      </c>
      <c r="GB187" s="2"/>
      <c r="GC187" s="2"/>
      <c r="GD187" s="2">
        <v>1</v>
      </c>
      <c r="GE187" s="2"/>
      <c r="GF187" s="2">
        <v>-230518799</v>
      </c>
      <c r="GG187" s="2">
        <v>2</v>
      </c>
      <c r="GH187" s="2">
        <v>4</v>
      </c>
      <c r="GI187" s="2">
        <v>-2</v>
      </c>
      <c r="GJ187" s="2">
        <v>0</v>
      </c>
      <c r="GK187" s="2">
        <v>0</v>
      </c>
      <c r="GL187" s="2">
        <f t="shared" si="177"/>
        <v>0</v>
      </c>
      <c r="GM187" s="2">
        <f t="shared" si="178"/>
        <v>215.44</v>
      </c>
      <c r="GN187" s="2">
        <f t="shared" si="179"/>
        <v>215.44</v>
      </c>
      <c r="GO187" s="2">
        <f t="shared" si="180"/>
        <v>0</v>
      </c>
      <c r="GP187" s="2">
        <f t="shared" si="181"/>
        <v>0</v>
      </c>
      <c r="GQ187" s="2"/>
      <c r="GR187" s="2">
        <v>0</v>
      </c>
      <c r="GS187" s="2">
        <v>2</v>
      </c>
      <c r="GT187" s="2">
        <v>0</v>
      </c>
      <c r="GU187" s="2" t="s">
        <v>3</v>
      </c>
      <c r="GV187" s="2">
        <f t="shared" si="182"/>
        <v>0</v>
      </c>
      <c r="GW187" s="2">
        <v>1</v>
      </c>
      <c r="GX187" s="2">
        <f t="shared" si="183"/>
        <v>0</v>
      </c>
      <c r="GY187" s="2"/>
      <c r="GZ187" s="2"/>
      <c r="HA187" s="2">
        <v>0</v>
      </c>
      <c r="HB187" s="2">
        <v>0</v>
      </c>
      <c r="HC187" s="2">
        <f t="shared" si="184"/>
        <v>0</v>
      </c>
      <c r="HD187" s="2"/>
      <c r="HE187" s="2" t="s">
        <v>173</v>
      </c>
      <c r="HF187" s="2" t="s">
        <v>30</v>
      </c>
      <c r="HG187" s="2"/>
      <c r="HH187" s="2"/>
      <c r="HI187" s="2"/>
      <c r="HJ187" s="2"/>
      <c r="HK187" s="2"/>
      <c r="HL187" s="2"/>
      <c r="HM187" s="2" t="s">
        <v>3</v>
      </c>
      <c r="HN187" s="2" t="s">
        <v>3</v>
      </c>
      <c r="HO187" s="2" t="s">
        <v>3</v>
      </c>
      <c r="HP187" s="2" t="s">
        <v>3</v>
      </c>
      <c r="HQ187" s="2" t="s">
        <v>3</v>
      </c>
      <c r="HR187" s="2"/>
      <c r="HS187" s="2">
        <v>0</v>
      </c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>
        <v>0</v>
      </c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x14ac:dyDescent="0.2">
      <c r="A188">
        <v>18</v>
      </c>
      <c r="B188">
        <v>1</v>
      </c>
      <c r="C188">
        <v>36</v>
      </c>
      <c r="E188" t="s">
        <v>175</v>
      </c>
      <c r="F188" t="s">
        <v>176</v>
      </c>
      <c r="G188" t="s">
        <v>177</v>
      </c>
      <c r="H188" t="s">
        <v>124</v>
      </c>
      <c r="I188">
        <f>I186*J188</f>
        <v>4</v>
      </c>
      <c r="J188">
        <v>1</v>
      </c>
      <c r="K188">
        <v>1</v>
      </c>
      <c r="O188">
        <f t="shared" si="159"/>
        <v>2128.5500000000002</v>
      </c>
      <c r="P188">
        <f t="shared" si="160"/>
        <v>2128.5500000000002</v>
      </c>
      <c r="Q188">
        <f>(ROUND((ROUND(((ET188)*AV188*I188),2)*BB188),2)+ROUND((ROUND(((AE188-(EU188))*AV188*I188),2)*BS188),2))</f>
        <v>0</v>
      </c>
      <c r="R188">
        <f>(ROUND((ROUND(((EU188)*AV188*I188),2)*BS188),2)+ROUND((ROUND(((AE188-(EU188))*AV188*I188),2)*BS188),2))</f>
        <v>0</v>
      </c>
      <c r="S188">
        <f t="shared" si="161"/>
        <v>0</v>
      </c>
      <c r="T188">
        <f t="shared" si="162"/>
        <v>0</v>
      </c>
      <c r="U188">
        <f t="shared" si="163"/>
        <v>0</v>
      </c>
      <c r="V188">
        <f t="shared" si="164"/>
        <v>0</v>
      </c>
      <c r="W188">
        <f t="shared" si="165"/>
        <v>0</v>
      </c>
      <c r="X188">
        <f>(ROUND((((S188+ROUND((ROUND(((EU188)*AV188*I188),2)*BS188),2))*AT188)/100),2)+ROUND(((ROUND((ROUND(((AE188-(EU188))*AV188*I188),2)*BS188),2)*AT188)/100),2))</f>
        <v>0</v>
      </c>
      <c r="Y188">
        <f>(ROUND((((S188+ROUND((ROUND(((EU188)*AV188*I188),2)*BS188),2))*AU188)/100),2)+ROUND(((ROUND((ROUND(((AE188-(EU188))*AV188*I188),2)*BS188),2)*AU188)/100),2))</f>
        <v>0</v>
      </c>
      <c r="AA188">
        <v>59499215</v>
      </c>
      <c r="AB188">
        <f t="shared" si="166"/>
        <v>53.86</v>
      </c>
      <c r="AC188">
        <f t="shared" si="167"/>
        <v>53.86</v>
      </c>
      <c r="AD188">
        <f>ROUND((((ET188)-(EU188))+AE188),6)</f>
        <v>0</v>
      </c>
      <c r="AE188">
        <f>ROUND((EU188),6)</f>
        <v>0</v>
      </c>
      <c r="AF188">
        <f>ROUND((EV188),6)</f>
        <v>0</v>
      </c>
      <c r="AG188">
        <f t="shared" si="168"/>
        <v>0</v>
      </c>
      <c r="AH188">
        <f>(EW188)</f>
        <v>0</v>
      </c>
      <c r="AI188">
        <f>(EX188)</f>
        <v>0</v>
      </c>
      <c r="AJ188">
        <f t="shared" si="169"/>
        <v>0</v>
      </c>
      <c r="AK188">
        <v>53.86</v>
      </c>
      <c r="AL188">
        <v>53.86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84</v>
      </c>
      <c r="AU188">
        <v>53</v>
      </c>
      <c r="AV188">
        <v>1</v>
      </c>
      <c r="AW188">
        <v>1</v>
      </c>
      <c r="AZ188">
        <v>1</v>
      </c>
      <c r="BA188">
        <v>1</v>
      </c>
      <c r="BB188">
        <v>1</v>
      </c>
      <c r="BC188">
        <v>9.8800000000000008</v>
      </c>
      <c r="BD188" t="s">
        <v>3</v>
      </c>
      <c r="BE188" t="s">
        <v>3</v>
      </c>
      <c r="BF188" t="s">
        <v>3</v>
      </c>
      <c r="BG188" t="s">
        <v>3</v>
      </c>
      <c r="BH188">
        <v>3</v>
      </c>
      <c r="BI188">
        <v>1</v>
      </c>
      <c r="BJ188" t="s">
        <v>3</v>
      </c>
      <c r="BM188">
        <v>55</v>
      </c>
      <c r="BN188">
        <v>0</v>
      </c>
      <c r="BO188" t="s">
        <v>3</v>
      </c>
      <c r="BP188">
        <v>0</v>
      </c>
      <c r="BQ188">
        <v>30</v>
      </c>
      <c r="BR188">
        <v>0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 t="s">
        <v>3</v>
      </c>
      <c r="BZ188">
        <v>84</v>
      </c>
      <c r="CA188">
        <v>53</v>
      </c>
      <c r="CB188" t="s">
        <v>3</v>
      </c>
      <c r="CE188">
        <v>1566</v>
      </c>
      <c r="CF188">
        <v>0</v>
      </c>
      <c r="CG188">
        <v>0</v>
      </c>
      <c r="CM188">
        <v>0</v>
      </c>
      <c r="CN188" t="s">
        <v>3</v>
      </c>
      <c r="CO188">
        <v>0</v>
      </c>
      <c r="CP188">
        <f t="shared" si="170"/>
        <v>2128.5500000000002</v>
      </c>
      <c r="CQ188">
        <f t="shared" si="171"/>
        <v>532.14</v>
      </c>
      <c r="CR188">
        <f>(ROUND((ROUND(((ET188)*AV188*1),2)*BB188),2)+ROUND((ROUND(((AE188-(EU188))*AV188*1),2)*BS188),2))</f>
        <v>0</v>
      </c>
      <c r="CS188">
        <f>(ROUND((ROUND(((EU188)*AV188*1),2)*BS188),2)+ROUND((ROUND(((AE188-(EU188))*AV188*1),2)*BS188),2))</f>
        <v>0</v>
      </c>
      <c r="CT188">
        <f t="shared" si="172"/>
        <v>0</v>
      </c>
      <c r="CU188">
        <f t="shared" si="173"/>
        <v>0</v>
      </c>
      <c r="CV188">
        <f t="shared" si="174"/>
        <v>0</v>
      </c>
      <c r="CW188">
        <f t="shared" si="175"/>
        <v>0</v>
      </c>
      <c r="CX188">
        <f t="shared" si="176"/>
        <v>0</v>
      </c>
      <c r="CY188">
        <f>(ROUND((((S188+ROUND((ROUND(((EU188)*AV188*1),2)*BS188),2))*AT188)/100),2)+ROUND(((ROUND((ROUND(((AE188-(EU188))*AV188*1),2)*BS188),2)*AT188)/100),2))</f>
        <v>0</v>
      </c>
      <c r="CZ188">
        <f>(ROUND((((S188+ROUND((ROUND(((EU188)*AV188*1),2)*BS188),2))*AU188)/100),2)+ROUND(((ROUND((ROUND(((AE188-(EU188))*AV188*1),2)*BS188),2)*AU188)/100),2))</f>
        <v>0</v>
      </c>
      <c r="DC188" t="s">
        <v>3</v>
      </c>
      <c r="DD188" t="s">
        <v>3</v>
      </c>
      <c r="DE188" t="s">
        <v>3</v>
      </c>
      <c r="DF188" t="s">
        <v>3</v>
      </c>
      <c r="DG188" t="s">
        <v>3</v>
      </c>
      <c r="DH188" t="s">
        <v>3</v>
      </c>
      <c r="DI188" t="s">
        <v>3</v>
      </c>
      <c r="DJ188" t="s">
        <v>3</v>
      </c>
      <c r="DK188" t="s">
        <v>3</v>
      </c>
      <c r="DL188" t="s">
        <v>3</v>
      </c>
      <c r="DM188" t="s">
        <v>3</v>
      </c>
      <c r="DN188">
        <v>0</v>
      </c>
      <c r="DO188">
        <v>0</v>
      </c>
      <c r="DP188">
        <v>1</v>
      </c>
      <c r="DQ188">
        <v>1</v>
      </c>
      <c r="DU188">
        <v>1010</v>
      </c>
      <c r="DV188" t="s">
        <v>124</v>
      </c>
      <c r="DW188" t="s">
        <v>124</v>
      </c>
      <c r="DX188">
        <v>1</v>
      </c>
      <c r="DZ188" t="s">
        <v>3</v>
      </c>
      <c r="EA188" t="s">
        <v>3</v>
      </c>
      <c r="EB188" t="s">
        <v>3</v>
      </c>
      <c r="EC188" t="s">
        <v>3</v>
      </c>
      <c r="EE188">
        <v>59298982</v>
      </c>
      <c r="EF188">
        <v>30</v>
      </c>
      <c r="EG188" t="s">
        <v>26</v>
      </c>
      <c r="EH188">
        <v>0</v>
      </c>
      <c r="EI188" t="s">
        <v>3</v>
      </c>
      <c r="EJ188">
        <v>1</v>
      </c>
      <c r="EK188">
        <v>55</v>
      </c>
      <c r="EL188" t="s">
        <v>152</v>
      </c>
      <c r="EM188" t="s">
        <v>153</v>
      </c>
      <c r="EO188" t="s">
        <v>3</v>
      </c>
      <c r="EQ188">
        <v>0</v>
      </c>
      <c r="ER188">
        <v>53.86</v>
      </c>
      <c r="ES188">
        <v>53.86</v>
      </c>
      <c r="ET188">
        <v>0</v>
      </c>
      <c r="EU188">
        <v>0</v>
      </c>
      <c r="EV188">
        <v>0</v>
      </c>
      <c r="EW188">
        <v>0</v>
      </c>
      <c r="EX188">
        <v>0</v>
      </c>
      <c r="EZ188">
        <v>5</v>
      </c>
      <c r="FC188">
        <v>1</v>
      </c>
      <c r="FD188">
        <v>18</v>
      </c>
      <c r="FF188">
        <v>626</v>
      </c>
      <c r="FQ188">
        <v>0</v>
      </c>
      <c r="FR188">
        <v>0</v>
      </c>
      <c r="FS188">
        <v>0</v>
      </c>
      <c r="FX188">
        <v>84</v>
      </c>
      <c r="FY188">
        <v>53</v>
      </c>
      <c r="GA188" t="s">
        <v>172</v>
      </c>
      <c r="GD188">
        <v>1</v>
      </c>
      <c r="GF188">
        <v>-230518799</v>
      </c>
      <c r="GG188">
        <v>2</v>
      </c>
      <c r="GH188">
        <v>3</v>
      </c>
      <c r="GI188">
        <v>3</v>
      </c>
      <c r="GJ188">
        <v>0</v>
      </c>
      <c r="GK188">
        <v>0</v>
      </c>
      <c r="GL188">
        <f t="shared" si="177"/>
        <v>0</v>
      </c>
      <c r="GM188">
        <f t="shared" si="178"/>
        <v>2128.5500000000002</v>
      </c>
      <c r="GN188">
        <f t="shared" si="179"/>
        <v>2128.5500000000002</v>
      </c>
      <c r="GO188">
        <f t="shared" si="180"/>
        <v>0</v>
      </c>
      <c r="GP188">
        <f t="shared" si="181"/>
        <v>0</v>
      </c>
      <c r="GR188">
        <v>1</v>
      </c>
      <c r="GS188">
        <v>1</v>
      </c>
      <c r="GT188">
        <v>0</v>
      </c>
      <c r="GU188" t="s">
        <v>3</v>
      </c>
      <c r="GV188">
        <f t="shared" si="182"/>
        <v>0</v>
      </c>
      <c r="GW188">
        <v>1</v>
      </c>
      <c r="GX188">
        <f t="shared" si="183"/>
        <v>0</v>
      </c>
      <c r="HA188">
        <v>0</v>
      </c>
      <c r="HB188">
        <v>0</v>
      </c>
      <c r="HC188">
        <f t="shared" si="184"/>
        <v>0</v>
      </c>
      <c r="HE188" t="s">
        <v>173</v>
      </c>
      <c r="HF188" t="s">
        <v>30</v>
      </c>
      <c r="HM188" t="s">
        <v>3</v>
      </c>
      <c r="HN188" t="s">
        <v>3</v>
      </c>
      <c r="HO188" t="s">
        <v>3</v>
      </c>
      <c r="HP188" t="s">
        <v>3</v>
      </c>
      <c r="HQ188" t="s">
        <v>3</v>
      </c>
      <c r="HS188">
        <v>0</v>
      </c>
      <c r="IK188">
        <v>0</v>
      </c>
    </row>
    <row r="189" spans="1:255" x14ac:dyDescent="0.2">
      <c r="A189" s="2">
        <v>17</v>
      </c>
      <c r="B189" s="2">
        <v>1</v>
      </c>
      <c r="C189" s="2">
        <f>ROW(SmtRes!A39)</f>
        <v>39</v>
      </c>
      <c r="D189" s="2">
        <f>ROW(EtalonRes!A47)</f>
        <v>47</v>
      </c>
      <c r="E189" s="2" t="s">
        <v>178</v>
      </c>
      <c r="F189" s="2" t="s">
        <v>149</v>
      </c>
      <c r="G189" s="2" t="s">
        <v>168</v>
      </c>
      <c r="H189" s="2" t="s">
        <v>37</v>
      </c>
      <c r="I189" s="2">
        <v>4</v>
      </c>
      <c r="J189" s="2">
        <v>0</v>
      </c>
      <c r="K189" s="2">
        <v>4</v>
      </c>
      <c r="L189" s="2"/>
      <c r="M189" s="2"/>
      <c r="N189" s="2"/>
      <c r="O189" s="2">
        <f t="shared" si="159"/>
        <v>44.85</v>
      </c>
      <c r="P189" s="2">
        <f t="shared" si="160"/>
        <v>2</v>
      </c>
      <c r="Q189" s="2">
        <f>(ROUND((ROUND(((((ET189*1.25)*1.1))*AV189*I189),2)*BB189),2)+ROUND((ROUND(((AE189-(((EU189*1.25)*1.1)))*AV189*I189),2)*BS189),2))</f>
        <v>0</v>
      </c>
      <c r="R189" s="2">
        <f>(ROUND((ROUND(((((EU189*1.25)*1.1))*AV189*I189),2)*BS189),2)+ROUND((ROUND(((AE189-(((EU189*1.25)*1.1)))*AV189*I189),2)*BS189),2))</f>
        <v>0</v>
      </c>
      <c r="S189" s="2">
        <f t="shared" si="161"/>
        <v>42.85</v>
      </c>
      <c r="T189" s="2">
        <f t="shared" si="162"/>
        <v>0</v>
      </c>
      <c r="U189" s="2">
        <f t="shared" si="163"/>
        <v>2.8601144000000001</v>
      </c>
      <c r="V189" s="2">
        <f t="shared" si="164"/>
        <v>0</v>
      </c>
      <c r="W189" s="2">
        <f t="shared" si="165"/>
        <v>0</v>
      </c>
      <c r="X189" s="2">
        <f>(ROUND((((S189+ROUND((ROUND(((((EU189*1.25)*1.1))*AV189*I189),2)*BS189),2))*AT189)/100),2)+ROUND(((ROUND((ROUND(((AE189-(((EU189*1.25)*1.1)))*AV189*I189),2)*BS189),2)*AT189)/100),2))</f>
        <v>35.99</v>
      </c>
      <c r="Y189" s="2">
        <f>(ROUND((((S189+ROUND((ROUND(((((EU189*1.25)*1.1))*AV189*I189),2)*BS189),2))*AU189)/100),2)+ROUND(((ROUND((ROUND(((AE189-(((EU189*1.25)*1.1)))*AV189*I189),2)*BS189),2)*AU189)/100),2))</f>
        <v>22.71</v>
      </c>
      <c r="Z189" s="2"/>
      <c r="AA189" s="2">
        <v>59499218</v>
      </c>
      <c r="AB189" s="2">
        <f t="shared" si="166"/>
        <v>10.35435</v>
      </c>
      <c r="AC189" s="2">
        <f t="shared" si="167"/>
        <v>0.5</v>
      </c>
      <c r="AD189" s="2">
        <f>ROUND((((((ET189*1.25)*1.1))-(((EU189*1.25)*1.1)))+AE189),6)</f>
        <v>0</v>
      </c>
      <c r="AE189" s="2">
        <f>ROUND((((EU189*1.25)*1.1)),6)</f>
        <v>0</v>
      </c>
      <c r="AF189" s="2">
        <f>ROUND((((EV189*1.15)*1.1)),6)</f>
        <v>9.8543500000000002</v>
      </c>
      <c r="AG189" s="2">
        <f t="shared" si="168"/>
        <v>0</v>
      </c>
      <c r="AH189" s="2">
        <f>(((EW189*1.15)*1.1))</f>
        <v>0.65780000000000005</v>
      </c>
      <c r="AI189" s="2">
        <f>(((EX189*1.25)*1.1))</f>
        <v>0</v>
      </c>
      <c r="AJ189" s="2">
        <f t="shared" si="169"/>
        <v>0</v>
      </c>
      <c r="AK189" s="2">
        <v>8.2899999999999991</v>
      </c>
      <c r="AL189" s="2">
        <v>0.5</v>
      </c>
      <c r="AM189" s="2">
        <v>0</v>
      </c>
      <c r="AN189" s="2">
        <v>0</v>
      </c>
      <c r="AO189" s="2">
        <v>7.79</v>
      </c>
      <c r="AP189" s="2">
        <v>0</v>
      </c>
      <c r="AQ189" s="2">
        <v>0.52</v>
      </c>
      <c r="AR189" s="2">
        <v>0</v>
      </c>
      <c r="AS189" s="2">
        <v>0</v>
      </c>
      <c r="AT189" s="2">
        <v>84</v>
      </c>
      <c r="AU189" s="2">
        <v>53</v>
      </c>
      <c r="AV189" s="2">
        <v>1.087</v>
      </c>
      <c r="AW189" s="2">
        <v>1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0</v>
      </c>
      <c r="BI189" s="2">
        <v>1</v>
      </c>
      <c r="BJ189" s="2" t="s">
        <v>151</v>
      </c>
      <c r="BK189" s="2"/>
      <c r="BL189" s="2"/>
      <c r="BM189" s="2">
        <v>55</v>
      </c>
      <c r="BN189" s="2">
        <v>59298886</v>
      </c>
      <c r="BO189" s="2" t="s">
        <v>149</v>
      </c>
      <c r="BP189" s="2">
        <v>1</v>
      </c>
      <c r="BQ189" s="2">
        <v>30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84</v>
      </c>
      <c r="CA189" s="2">
        <v>53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375</v>
      </c>
      <c r="CO189" s="2">
        <v>0</v>
      </c>
      <c r="CP189" s="2">
        <f t="shared" si="170"/>
        <v>44.85</v>
      </c>
      <c r="CQ189" s="2">
        <f t="shared" si="171"/>
        <v>0.5</v>
      </c>
      <c r="CR189" s="2">
        <f>(ROUND((ROUND(((((ET189*1.25)*1.1))*AV189*1),2)*BB189),2)+ROUND((ROUND(((AE189-(((EU189*1.25)*1.1)))*AV189*1),2)*BS189),2))</f>
        <v>0</v>
      </c>
      <c r="CS189" s="2">
        <f>(ROUND((ROUND(((((EU189*1.25)*1.1))*AV189*1),2)*BS189),2)+ROUND((ROUND(((AE189-(((EU189*1.25)*1.1)))*AV189*1),2)*BS189),2))</f>
        <v>0</v>
      </c>
      <c r="CT189" s="2">
        <f t="shared" si="172"/>
        <v>10.71</v>
      </c>
      <c r="CU189" s="2">
        <f t="shared" si="173"/>
        <v>0</v>
      </c>
      <c r="CV189" s="2">
        <f t="shared" si="174"/>
        <v>0.71502860000000001</v>
      </c>
      <c r="CW189" s="2">
        <f t="shared" si="175"/>
        <v>0</v>
      </c>
      <c r="CX189" s="2">
        <f t="shared" si="176"/>
        <v>0</v>
      </c>
      <c r="CY189" s="2">
        <f>(ROUND((((S189+ROUND((ROUND(((((EU189*1.25)*1.1))*AV189*1),2)*BS189),2))*AT189)/100),2)+ROUND(((ROUND((ROUND(((AE189-(((EU189*1.25)*1.1)))*AV189*1),2)*BS189),2)*AT189)/100),2))</f>
        <v>35.99</v>
      </c>
      <c r="CZ189" s="2">
        <f>(ROUND((((S189+ROUND((ROUND(((((EU189*1.25)*1.1))*AV189*1),2)*BS189),2))*AU189)/100),2)+ROUND(((ROUND((ROUND(((AE189-(((EU189*1.25)*1.1)))*AV189*1),2)*BS189),2)*AU189)/100),2))</f>
        <v>22.71</v>
      </c>
      <c r="DA189" s="2"/>
      <c r="DB189" s="2">
        <v>45</v>
      </c>
      <c r="DC189" s="2" t="s">
        <v>3</v>
      </c>
      <c r="DD189" s="2" t="s">
        <v>3</v>
      </c>
      <c r="DE189" s="2" t="s">
        <v>39</v>
      </c>
      <c r="DF189" s="2" t="s">
        <v>39</v>
      </c>
      <c r="DG189" s="2" t="s">
        <v>40</v>
      </c>
      <c r="DH189" s="2" t="s">
        <v>3</v>
      </c>
      <c r="DI189" s="2" t="s">
        <v>40</v>
      </c>
      <c r="DJ189" s="2" t="s">
        <v>39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1013</v>
      </c>
      <c r="DV189" s="2" t="s">
        <v>37</v>
      </c>
      <c r="DW189" s="2" t="s">
        <v>37</v>
      </c>
      <c r="DX189" s="2">
        <v>1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59298982</v>
      </c>
      <c r="EF189" s="2">
        <v>30</v>
      </c>
      <c r="EG189" s="2" t="s">
        <v>26</v>
      </c>
      <c r="EH189" s="2">
        <v>0</v>
      </c>
      <c r="EI189" s="2" t="s">
        <v>3</v>
      </c>
      <c r="EJ189" s="2">
        <v>1</v>
      </c>
      <c r="EK189" s="2">
        <v>55</v>
      </c>
      <c r="EL189" s="2" t="s">
        <v>152</v>
      </c>
      <c r="EM189" s="2" t="s">
        <v>153</v>
      </c>
      <c r="EN189" s="2"/>
      <c r="EO189" s="2" t="s">
        <v>41</v>
      </c>
      <c r="EP189" s="2"/>
      <c r="EQ189" s="2">
        <v>0</v>
      </c>
      <c r="ER189" s="2">
        <v>8.2899999999999991</v>
      </c>
      <c r="ES189" s="2">
        <v>0.5</v>
      </c>
      <c r="ET189" s="2">
        <v>0</v>
      </c>
      <c r="EU189" s="2">
        <v>0</v>
      </c>
      <c r="EV189" s="2">
        <v>7.79</v>
      </c>
      <c r="EW189" s="2">
        <v>0.52</v>
      </c>
      <c r="EX189" s="2">
        <v>0</v>
      </c>
      <c r="EY189" s="2">
        <v>0</v>
      </c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84</v>
      </c>
      <c r="FY189" s="2">
        <v>53</v>
      </c>
      <c r="FZ189" s="2"/>
      <c r="GA189" s="2" t="s">
        <v>3</v>
      </c>
      <c r="GB189" s="2"/>
      <c r="GC189" s="2"/>
      <c r="GD189" s="2">
        <v>1</v>
      </c>
      <c r="GE189" s="2"/>
      <c r="GF189" s="2">
        <v>1745385659</v>
      </c>
      <c r="GG189" s="2">
        <v>2</v>
      </c>
      <c r="GH189" s="2">
        <v>1</v>
      </c>
      <c r="GI189" s="2">
        <v>2</v>
      </c>
      <c r="GJ189" s="2">
        <v>0</v>
      </c>
      <c r="GK189" s="2">
        <v>0</v>
      </c>
      <c r="GL189" s="2">
        <f t="shared" si="177"/>
        <v>0</v>
      </c>
      <c r="GM189" s="2">
        <f t="shared" si="178"/>
        <v>103.55</v>
      </c>
      <c r="GN189" s="2">
        <f t="shared" si="179"/>
        <v>103.55</v>
      </c>
      <c r="GO189" s="2">
        <f t="shared" si="180"/>
        <v>0</v>
      </c>
      <c r="GP189" s="2">
        <f t="shared" si="181"/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si="182"/>
        <v>0</v>
      </c>
      <c r="GW189" s="2">
        <v>1</v>
      </c>
      <c r="GX189" s="2">
        <f t="shared" si="183"/>
        <v>0</v>
      </c>
      <c r="GY189" s="2"/>
      <c r="GZ189" s="2"/>
      <c r="HA189" s="2">
        <v>0</v>
      </c>
      <c r="HB189" s="2">
        <v>0</v>
      </c>
      <c r="HC189" s="2">
        <f t="shared" si="184"/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3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">
      <c r="A190">
        <v>17</v>
      </c>
      <c r="B190">
        <v>1</v>
      </c>
      <c r="C190">
        <f>ROW(SmtRes!A42)</f>
        <v>42</v>
      </c>
      <c r="D190">
        <f>ROW(EtalonRes!A50)</f>
        <v>50</v>
      </c>
      <c r="E190" t="s">
        <v>178</v>
      </c>
      <c r="F190" t="s">
        <v>149</v>
      </c>
      <c r="G190" t="s">
        <v>168</v>
      </c>
      <c r="H190" t="s">
        <v>37</v>
      </c>
      <c r="I190">
        <v>4</v>
      </c>
      <c r="J190">
        <v>0</v>
      </c>
      <c r="K190">
        <v>4</v>
      </c>
      <c r="O190">
        <f t="shared" si="159"/>
        <v>2388.12</v>
      </c>
      <c r="P190">
        <f t="shared" si="160"/>
        <v>31.8</v>
      </c>
      <c r="Q190">
        <f>(ROUND((ROUND(((((ET190*1.25)*1.1))*AV190*I190),2)*BB190),2)+ROUND((ROUND(((AE190-(((EU190*1.25)*1.1)))*AV190*I190),2)*BS190),2))</f>
        <v>0</v>
      </c>
      <c r="R190">
        <f>(ROUND((ROUND(((((EU190*1.25)*1.1))*AV190*I190),2)*BS190),2)+ROUND((ROUND(((AE190-(((EU190*1.25)*1.1)))*AV190*I190),2)*BS190),2))</f>
        <v>0</v>
      </c>
      <c r="S190">
        <f t="shared" si="161"/>
        <v>2356.3200000000002</v>
      </c>
      <c r="T190">
        <f t="shared" si="162"/>
        <v>0</v>
      </c>
      <c r="U190">
        <f t="shared" si="163"/>
        <v>2.8601144000000001</v>
      </c>
      <c r="V190">
        <f t="shared" si="164"/>
        <v>0</v>
      </c>
      <c r="W190">
        <f t="shared" si="165"/>
        <v>0</v>
      </c>
      <c r="X190">
        <f>(ROUND((((S190+ROUND((ROUND(((((EU190*1.25)*1.1))*AV190*I190),2)*BS190),2))*AT190)/100),2)+ROUND(((ROUND((ROUND(((AE190-(((EU190*1.25)*1.1)))*AV190*I190),2)*BS190),2)*AT190)/100),2))</f>
        <v>1979.31</v>
      </c>
      <c r="Y190">
        <f>(ROUND((((S190+ROUND((ROUND(((((EU190*1.25)*1.1))*AV190*I190),2)*BS190),2))*AU190)/100),2)+ROUND(((ROUND((ROUND(((AE190-(((EU190*1.25)*1.1)))*AV190*I190),2)*BS190),2)*AU190)/100),2))</f>
        <v>1248.8499999999999</v>
      </c>
      <c r="AA190">
        <v>59499215</v>
      </c>
      <c r="AB190">
        <f t="shared" si="166"/>
        <v>10.35435</v>
      </c>
      <c r="AC190">
        <f t="shared" si="167"/>
        <v>0.5</v>
      </c>
      <c r="AD190">
        <f>ROUND((((((ET190*1.25)*1.1))-(((EU190*1.25)*1.1)))+AE190),6)</f>
        <v>0</v>
      </c>
      <c r="AE190">
        <f>ROUND((((EU190*1.25)*1.1)),6)</f>
        <v>0</v>
      </c>
      <c r="AF190">
        <f>ROUND((((EV190*1.15)*1.1)),6)</f>
        <v>9.8543500000000002</v>
      </c>
      <c r="AG190">
        <f t="shared" si="168"/>
        <v>0</v>
      </c>
      <c r="AH190">
        <f>(((EW190*1.15)*1.1))</f>
        <v>0.65780000000000005</v>
      </c>
      <c r="AI190">
        <f>(((EX190*1.25)*1.1))</f>
        <v>0</v>
      </c>
      <c r="AJ190">
        <f t="shared" si="169"/>
        <v>0</v>
      </c>
      <c r="AK190">
        <v>8.2899999999999991</v>
      </c>
      <c r="AL190">
        <v>0.5</v>
      </c>
      <c r="AM190">
        <v>0</v>
      </c>
      <c r="AN190">
        <v>0</v>
      </c>
      <c r="AO190">
        <v>7.79</v>
      </c>
      <c r="AP190">
        <v>0</v>
      </c>
      <c r="AQ190">
        <v>0.52</v>
      </c>
      <c r="AR190">
        <v>0</v>
      </c>
      <c r="AS190">
        <v>0</v>
      </c>
      <c r="AT190">
        <v>84</v>
      </c>
      <c r="AU190">
        <v>53</v>
      </c>
      <c r="AV190">
        <v>1.087</v>
      </c>
      <c r="AW190">
        <v>1</v>
      </c>
      <c r="AZ190">
        <v>1</v>
      </c>
      <c r="BA190">
        <v>54.99</v>
      </c>
      <c r="BB190">
        <v>1</v>
      </c>
      <c r="BC190">
        <v>15.9</v>
      </c>
      <c r="BD190" t="s">
        <v>3</v>
      </c>
      <c r="BE190" t="s">
        <v>3</v>
      </c>
      <c r="BF190" t="s">
        <v>3</v>
      </c>
      <c r="BG190" t="s">
        <v>3</v>
      </c>
      <c r="BH190">
        <v>0</v>
      </c>
      <c r="BI190">
        <v>1</v>
      </c>
      <c r="BJ190" t="s">
        <v>151</v>
      </c>
      <c r="BM190">
        <v>55</v>
      </c>
      <c r="BN190">
        <v>59298886</v>
      </c>
      <c r="BO190" t="s">
        <v>149</v>
      </c>
      <c r="BP190">
        <v>1</v>
      </c>
      <c r="BQ190">
        <v>30</v>
      </c>
      <c r="BR190">
        <v>0</v>
      </c>
      <c r="BS190">
        <v>54.99</v>
      </c>
      <c r="BT190">
        <v>1</v>
      </c>
      <c r="BU190">
        <v>1</v>
      </c>
      <c r="BV190">
        <v>1</v>
      </c>
      <c r="BW190">
        <v>1</v>
      </c>
      <c r="BX190">
        <v>1</v>
      </c>
      <c r="BY190" t="s">
        <v>3</v>
      </c>
      <c r="BZ190">
        <v>84</v>
      </c>
      <c r="CA190">
        <v>53</v>
      </c>
      <c r="CB190" t="s">
        <v>3</v>
      </c>
      <c r="CE190">
        <v>1566</v>
      </c>
      <c r="CF190">
        <v>0</v>
      </c>
      <c r="CG190">
        <v>0</v>
      </c>
      <c r="CM190">
        <v>0</v>
      </c>
      <c r="CN190" t="s">
        <v>375</v>
      </c>
      <c r="CO190">
        <v>0</v>
      </c>
      <c r="CP190">
        <f t="shared" si="170"/>
        <v>2388.1200000000003</v>
      </c>
      <c r="CQ190">
        <f t="shared" si="171"/>
        <v>7.95</v>
      </c>
      <c r="CR190">
        <f>(ROUND((ROUND(((((ET190*1.25)*1.1))*AV190*1),2)*BB190),2)+ROUND((ROUND(((AE190-(((EU190*1.25)*1.1)))*AV190*1),2)*BS190),2))</f>
        <v>0</v>
      </c>
      <c r="CS190">
        <f>(ROUND((ROUND(((((EU190*1.25)*1.1))*AV190*1),2)*BS190),2)+ROUND((ROUND(((AE190-(((EU190*1.25)*1.1)))*AV190*1),2)*BS190),2))</f>
        <v>0</v>
      </c>
      <c r="CT190">
        <f t="shared" si="172"/>
        <v>588.94000000000005</v>
      </c>
      <c r="CU190">
        <f t="shared" si="173"/>
        <v>0</v>
      </c>
      <c r="CV190">
        <f t="shared" si="174"/>
        <v>0.71502860000000001</v>
      </c>
      <c r="CW190">
        <f t="shared" si="175"/>
        <v>0</v>
      </c>
      <c r="CX190">
        <f t="shared" si="176"/>
        <v>0</v>
      </c>
      <c r="CY190">
        <f>(ROUND((((S190+ROUND((ROUND(((((EU190*1.25)*1.1))*AV190*1),2)*BS190),2))*AT190)/100),2)+ROUND(((ROUND((ROUND(((AE190-(((EU190*1.25)*1.1)))*AV190*1),2)*BS190),2)*AT190)/100),2))</f>
        <v>1979.31</v>
      </c>
      <c r="CZ190">
        <f>(ROUND((((S190+ROUND((ROUND(((((EU190*1.25)*1.1))*AV190*1),2)*BS190),2))*AU190)/100),2)+ROUND(((ROUND((ROUND(((AE190-(((EU190*1.25)*1.1)))*AV190*1),2)*BS190),2)*AU190)/100),2))</f>
        <v>1248.8499999999999</v>
      </c>
      <c r="DB190">
        <v>47</v>
      </c>
      <c r="DC190" t="s">
        <v>3</v>
      </c>
      <c r="DD190" t="s">
        <v>3</v>
      </c>
      <c r="DE190" t="s">
        <v>39</v>
      </c>
      <c r="DF190" t="s">
        <v>39</v>
      </c>
      <c r="DG190" t="s">
        <v>40</v>
      </c>
      <c r="DH190" t="s">
        <v>3</v>
      </c>
      <c r="DI190" t="s">
        <v>40</v>
      </c>
      <c r="DJ190" t="s">
        <v>39</v>
      </c>
      <c r="DK190" t="s">
        <v>3</v>
      </c>
      <c r="DL190" t="s">
        <v>3</v>
      </c>
      <c r="DM190" t="s">
        <v>3</v>
      </c>
      <c r="DN190">
        <v>0</v>
      </c>
      <c r="DO190">
        <v>0</v>
      </c>
      <c r="DP190">
        <v>1</v>
      </c>
      <c r="DQ190">
        <v>1</v>
      </c>
      <c r="DU190">
        <v>1013</v>
      </c>
      <c r="DV190" t="s">
        <v>37</v>
      </c>
      <c r="DW190" t="s">
        <v>37</v>
      </c>
      <c r="DX190">
        <v>1</v>
      </c>
      <c r="DZ190" t="s">
        <v>3</v>
      </c>
      <c r="EA190" t="s">
        <v>3</v>
      </c>
      <c r="EB190" t="s">
        <v>3</v>
      </c>
      <c r="EC190" t="s">
        <v>3</v>
      </c>
      <c r="EE190">
        <v>59298982</v>
      </c>
      <c r="EF190">
        <v>30</v>
      </c>
      <c r="EG190" t="s">
        <v>26</v>
      </c>
      <c r="EH190">
        <v>0</v>
      </c>
      <c r="EI190" t="s">
        <v>3</v>
      </c>
      <c r="EJ190">
        <v>1</v>
      </c>
      <c r="EK190">
        <v>55</v>
      </c>
      <c r="EL190" t="s">
        <v>152</v>
      </c>
      <c r="EM190" t="s">
        <v>153</v>
      </c>
      <c r="EO190" t="s">
        <v>41</v>
      </c>
      <c r="EQ190">
        <v>0</v>
      </c>
      <c r="ER190">
        <v>8.2899999999999991</v>
      </c>
      <c r="ES190">
        <v>0.5</v>
      </c>
      <c r="ET190">
        <v>0</v>
      </c>
      <c r="EU190">
        <v>0</v>
      </c>
      <c r="EV190">
        <v>7.79</v>
      </c>
      <c r="EW190">
        <v>0.52</v>
      </c>
      <c r="EX190">
        <v>0</v>
      </c>
      <c r="EY190">
        <v>0</v>
      </c>
      <c r="FQ190">
        <v>0</v>
      </c>
      <c r="FR190">
        <v>0</v>
      </c>
      <c r="FS190">
        <v>0</v>
      </c>
      <c r="FX190">
        <v>84</v>
      </c>
      <c r="FY190">
        <v>53</v>
      </c>
      <c r="GA190" t="s">
        <v>3</v>
      </c>
      <c r="GD190">
        <v>1</v>
      </c>
      <c r="GF190">
        <v>1745385659</v>
      </c>
      <c r="GG190">
        <v>2</v>
      </c>
      <c r="GH190">
        <v>1</v>
      </c>
      <c r="GI190">
        <v>2</v>
      </c>
      <c r="GJ190">
        <v>0</v>
      </c>
      <c r="GK190">
        <v>0</v>
      </c>
      <c r="GL190">
        <f t="shared" si="177"/>
        <v>0</v>
      </c>
      <c r="GM190">
        <f t="shared" si="178"/>
        <v>5616.28</v>
      </c>
      <c r="GN190">
        <f t="shared" si="179"/>
        <v>5616.28</v>
      </c>
      <c r="GO190">
        <f t="shared" si="180"/>
        <v>0</v>
      </c>
      <c r="GP190">
        <f t="shared" si="181"/>
        <v>0</v>
      </c>
      <c r="GR190">
        <v>0</v>
      </c>
      <c r="GS190">
        <v>3</v>
      </c>
      <c r="GT190">
        <v>0</v>
      </c>
      <c r="GU190" t="s">
        <v>3</v>
      </c>
      <c r="GV190">
        <f t="shared" si="182"/>
        <v>0</v>
      </c>
      <c r="GW190">
        <v>1</v>
      </c>
      <c r="GX190">
        <f t="shared" si="183"/>
        <v>0</v>
      </c>
      <c r="HA190">
        <v>0</v>
      </c>
      <c r="HB190">
        <v>0</v>
      </c>
      <c r="HC190">
        <f t="shared" si="184"/>
        <v>0</v>
      </c>
      <c r="HE190" t="s">
        <v>3</v>
      </c>
      <c r="HF190" t="s">
        <v>3</v>
      </c>
      <c r="HM190" t="s">
        <v>3</v>
      </c>
      <c r="HN190" t="s">
        <v>3</v>
      </c>
      <c r="HO190" t="s">
        <v>3</v>
      </c>
      <c r="HP190" t="s">
        <v>3</v>
      </c>
      <c r="HQ190" t="s">
        <v>3</v>
      </c>
      <c r="HS190">
        <v>0</v>
      </c>
      <c r="IK190">
        <v>0</v>
      </c>
    </row>
    <row r="191" spans="1:255" x14ac:dyDescent="0.2">
      <c r="A191" s="2">
        <v>18</v>
      </c>
      <c r="B191" s="2">
        <v>1</v>
      </c>
      <c r="C191" s="2">
        <v>39</v>
      </c>
      <c r="D191" s="2"/>
      <c r="E191" s="2" t="s">
        <v>179</v>
      </c>
      <c r="F191" s="2" t="s">
        <v>180</v>
      </c>
      <c r="G191" s="2" t="s">
        <v>181</v>
      </c>
      <c r="H191" s="2" t="s">
        <v>124</v>
      </c>
      <c r="I191" s="2">
        <f>I189*J191</f>
        <v>4</v>
      </c>
      <c r="J191" s="2">
        <v>1</v>
      </c>
      <c r="K191" s="2">
        <v>1</v>
      </c>
      <c r="L191" s="2"/>
      <c r="M191" s="2"/>
      <c r="N191" s="2"/>
      <c r="O191" s="2">
        <f t="shared" si="159"/>
        <v>215.44</v>
      </c>
      <c r="P191" s="2">
        <f t="shared" si="160"/>
        <v>215.44</v>
      </c>
      <c r="Q191" s="2">
        <f>(ROUND((ROUND(((ET191)*AV191*I191),2)*BB191),2)+ROUND((ROUND(((AE191-(EU191))*AV191*I191),2)*BS191),2))</f>
        <v>0</v>
      </c>
      <c r="R191" s="2">
        <f>(ROUND((ROUND(((EU191)*AV191*I191),2)*BS191),2)+ROUND((ROUND(((AE191-(EU191))*AV191*I191),2)*BS191),2))</f>
        <v>0</v>
      </c>
      <c r="S191" s="2">
        <f t="shared" si="161"/>
        <v>0</v>
      </c>
      <c r="T191" s="2">
        <f t="shared" si="162"/>
        <v>0</v>
      </c>
      <c r="U191" s="2">
        <f t="shared" si="163"/>
        <v>0</v>
      </c>
      <c r="V191" s="2">
        <f t="shared" si="164"/>
        <v>0</v>
      </c>
      <c r="W191" s="2">
        <f t="shared" si="165"/>
        <v>0</v>
      </c>
      <c r="X191" s="2">
        <f>(ROUND((((S191+ROUND((ROUND(((EU191)*AV191*I191),2)*BS191),2))*AT191)/100),2)+ROUND(((ROUND((ROUND(((AE191-(EU191))*AV191*I191),2)*BS191),2)*AT191)/100),2))</f>
        <v>0</v>
      </c>
      <c r="Y191" s="2">
        <f>(ROUND((((S191+ROUND((ROUND(((EU191)*AV191*I191),2)*BS191),2))*AU191)/100),2)+ROUND(((ROUND((ROUND(((AE191-(EU191))*AV191*I191),2)*BS191),2)*AU191)/100),2))</f>
        <v>0</v>
      </c>
      <c r="Z191" s="2"/>
      <c r="AA191" s="2">
        <v>59499218</v>
      </c>
      <c r="AB191" s="2">
        <f t="shared" si="166"/>
        <v>53.86</v>
      </c>
      <c r="AC191" s="2">
        <f t="shared" si="167"/>
        <v>53.86</v>
      </c>
      <c r="AD191" s="2">
        <f>ROUND((((ET191)-(EU191))+AE191),6)</f>
        <v>0</v>
      </c>
      <c r="AE191" s="2">
        <f>ROUND((EU191),6)</f>
        <v>0</v>
      </c>
      <c r="AF191" s="2">
        <f>ROUND((EV191),6)</f>
        <v>0</v>
      </c>
      <c r="AG191" s="2">
        <f t="shared" si="168"/>
        <v>0</v>
      </c>
      <c r="AH191" s="2">
        <f>(EW191)</f>
        <v>0</v>
      </c>
      <c r="AI191" s="2">
        <f>(EX191)</f>
        <v>0</v>
      </c>
      <c r="AJ191" s="2">
        <f t="shared" si="169"/>
        <v>0</v>
      </c>
      <c r="AK191" s="2">
        <v>53.86</v>
      </c>
      <c r="AL191" s="2">
        <v>53.86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84</v>
      </c>
      <c r="AU191" s="2">
        <v>53</v>
      </c>
      <c r="AV191" s="2">
        <v>1</v>
      </c>
      <c r="AW191" s="2">
        <v>1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3</v>
      </c>
      <c r="BI191" s="2">
        <v>1</v>
      </c>
      <c r="BJ191" s="2" t="s">
        <v>3</v>
      </c>
      <c r="BK191" s="2"/>
      <c r="BL191" s="2"/>
      <c r="BM191" s="2">
        <v>55</v>
      </c>
      <c r="BN191" s="2">
        <v>0</v>
      </c>
      <c r="BO191" s="2" t="s">
        <v>3</v>
      </c>
      <c r="BP191" s="2">
        <v>0</v>
      </c>
      <c r="BQ191" s="2">
        <v>30</v>
      </c>
      <c r="BR191" s="2">
        <v>0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84</v>
      </c>
      <c r="CA191" s="2">
        <v>53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3</v>
      </c>
      <c r="CO191" s="2">
        <v>0</v>
      </c>
      <c r="CP191" s="2">
        <f t="shared" si="170"/>
        <v>215.44</v>
      </c>
      <c r="CQ191" s="2">
        <f t="shared" si="171"/>
        <v>53.86</v>
      </c>
      <c r="CR191" s="2">
        <f>(ROUND((ROUND(((ET191)*AV191*1),2)*BB191),2)+ROUND((ROUND(((AE191-(EU191))*AV191*1),2)*BS191),2))</f>
        <v>0</v>
      </c>
      <c r="CS191" s="2">
        <f>(ROUND((ROUND(((EU191)*AV191*1),2)*BS191),2)+ROUND((ROUND(((AE191-(EU191))*AV191*1),2)*BS191),2))</f>
        <v>0</v>
      </c>
      <c r="CT191" s="2">
        <f t="shared" si="172"/>
        <v>0</v>
      </c>
      <c r="CU191" s="2">
        <f t="shared" si="173"/>
        <v>0</v>
      </c>
      <c r="CV191" s="2">
        <f t="shared" si="174"/>
        <v>0</v>
      </c>
      <c r="CW191" s="2">
        <f t="shared" si="175"/>
        <v>0</v>
      </c>
      <c r="CX191" s="2">
        <f t="shared" si="176"/>
        <v>0</v>
      </c>
      <c r="CY191" s="2">
        <f>(ROUND((((S191+ROUND((ROUND(((EU191)*AV191*1),2)*BS191),2))*AT191)/100),2)+ROUND(((ROUND((ROUND(((AE191-(EU191))*AV191*1),2)*BS191),2)*AT191)/100),2))</f>
        <v>0</v>
      </c>
      <c r="CZ191" s="2">
        <f>(ROUND((((S191+ROUND((ROUND(((EU191)*AV191*1),2)*BS191),2))*AU191)/100),2)+ROUND(((ROUND((ROUND(((AE191-(EU191))*AV191*1),2)*BS191),2)*AU191)/100),2))</f>
        <v>0</v>
      </c>
      <c r="DA191" s="2"/>
      <c r="DB191" s="2"/>
      <c r="DC191" s="2" t="s">
        <v>3</v>
      </c>
      <c r="DD191" s="2" t="s">
        <v>3</v>
      </c>
      <c r="DE191" s="2" t="s">
        <v>3</v>
      </c>
      <c r="DF191" s="2" t="s">
        <v>3</v>
      </c>
      <c r="DG191" s="2" t="s">
        <v>3</v>
      </c>
      <c r="DH191" s="2" t="s">
        <v>3</v>
      </c>
      <c r="DI191" s="2" t="s">
        <v>3</v>
      </c>
      <c r="DJ191" s="2" t="s">
        <v>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1010</v>
      </c>
      <c r="DV191" s="2" t="s">
        <v>124</v>
      </c>
      <c r="DW191" s="2" t="s">
        <v>124</v>
      </c>
      <c r="DX191" s="2">
        <v>1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59298982</v>
      </c>
      <c r="EF191" s="2">
        <v>30</v>
      </c>
      <c r="EG191" s="2" t="s">
        <v>26</v>
      </c>
      <c r="EH191" s="2">
        <v>0</v>
      </c>
      <c r="EI191" s="2" t="s">
        <v>3</v>
      </c>
      <c r="EJ191" s="2">
        <v>1</v>
      </c>
      <c r="EK191" s="2">
        <v>55</v>
      </c>
      <c r="EL191" s="2" t="s">
        <v>152</v>
      </c>
      <c r="EM191" s="2" t="s">
        <v>153</v>
      </c>
      <c r="EN191" s="2"/>
      <c r="EO191" s="2" t="s">
        <v>3</v>
      </c>
      <c r="EP191" s="2"/>
      <c r="EQ191" s="2">
        <v>0</v>
      </c>
      <c r="ER191" s="2">
        <v>0</v>
      </c>
      <c r="ES191" s="2">
        <v>53.86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84</v>
      </c>
      <c r="FY191" s="2">
        <v>53</v>
      </c>
      <c r="FZ191" s="2"/>
      <c r="GA191" s="2" t="s">
        <v>172</v>
      </c>
      <c r="GB191" s="2"/>
      <c r="GC191" s="2"/>
      <c r="GD191" s="2">
        <v>1</v>
      </c>
      <c r="GE191" s="2"/>
      <c r="GF191" s="2">
        <v>-179061167</v>
      </c>
      <c r="GG191" s="2">
        <v>2</v>
      </c>
      <c r="GH191" s="2">
        <v>4</v>
      </c>
      <c r="GI191" s="2">
        <v>-2</v>
      </c>
      <c r="GJ191" s="2">
        <v>0</v>
      </c>
      <c r="GK191" s="2">
        <v>0</v>
      </c>
      <c r="GL191" s="2">
        <f t="shared" si="177"/>
        <v>0</v>
      </c>
      <c r="GM191" s="2">
        <f t="shared" si="178"/>
        <v>215.44</v>
      </c>
      <c r="GN191" s="2">
        <f t="shared" si="179"/>
        <v>215.44</v>
      </c>
      <c r="GO191" s="2">
        <f t="shared" si="180"/>
        <v>0</v>
      </c>
      <c r="GP191" s="2">
        <f t="shared" si="181"/>
        <v>0</v>
      </c>
      <c r="GQ191" s="2"/>
      <c r="GR191" s="2">
        <v>0</v>
      </c>
      <c r="GS191" s="2">
        <v>2</v>
      </c>
      <c r="GT191" s="2">
        <v>0</v>
      </c>
      <c r="GU191" s="2" t="s">
        <v>3</v>
      </c>
      <c r="GV191" s="2">
        <f t="shared" si="182"/>
        <v>0</v>
      </c>
      <c r="GW191" s="2">
        <v>1</v>
      </c>
      <c r="GX191" s="2">
        <f t="shared" si="183"/>
        <v>0</v>
      </c>
      <c r="GY191" s="2"/>
      <c r="GZ191" s="2"/>
      <c r="HA191" s="2">
        <v>0</v>
      </c>
      <c r="HB191" s="2">
        <v>0</v>
      </c>
      <c r="HC191" s="2">
        <f t="shared" si="184"/>
        <v>0</v>
      </c>
      <c r="HD191" s="2"/>
      <c r="HE191" s="2" t="s">
        <v>173</v>
      </c>
      <c r="HF191" s="2" t="s">
        <v>30</v>
      </c>
      <c r="HG191" s="2"/>
      <c r="HH191" s="2"/>
      <c r="HI191" s="2"/>
      <c r="HJ191" s="2"/>
      <c r="HK191" s="2"/>
      <c r="HL191" s="2"/>
      <c r="HM191" s="2" t="s">
        <v>3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">
      <c r="A192">
        <v>18</v>
      </c>
      <c r="B192">
        <v>1</v>
      </c>
      <c r="C192">
        <v>42</v>
      </c>
      <c r="E192" t="s">
        <v>179</v>
      </c>
      <c r="F192" t="s">
        <v>180</v>
      </c>
      <c r="G192" t="s">
        <v>181</v>
      </c>
      <c r="H192" t="s">
        <v>124</v>
      </c>
      <c r="I192">
        <f>I190*J192</f>
        <v>4</v>
      </c>
      <c r="J192">
        <v>1</v>
      </c>
      <c r="K192">
        <v>1</v>
      </c>
      <c r="O192">
        <f t="shared" si="159"/>
        <v>2128.5500000000002</v>
      </c>
      <c r="P192">
        <f t="shared" si="160"/>
        <v>2128.5500000000002</v>
      </c>
      <c r="Q192">
        <f>(ROUND((ROUND(((ET192)*AV192*I192),2)*BB192),2)+ROUND((ROUND(((AE192-(EU192))*AV192*I192),2)*BS192),2))</f>
        <v>0</v>
      </c>
      <c r="R192">
        <f>(ROUND((ROUND(((EU192)*AV192*I192),2)*BS192),2)+ROUND((ROUND(((AE192-(EU192))*AV192*I192),2)*BS192),2))</f>
        <v>0</v>
      </c>
      <c r="S192">
        <f t="shared" si="161"/>
        <v>0</v>
      </c>
      <c r="T192">
        <f t="shared" si="162"/>
        <v>0</v>
      </c>
      <c r="U192">
        <f t="shared" si="163"/>
        <v>0</v>
      </c>
      <c r="V192">
        <f t="shared" si="164"/>
        <v>0</v>
      </c>
      <c r="W192">
        <f t="shared" si="165"/>
        <v>0</v>
      </c>
      <c r="X192">
        <f>(ROUND((((S192+ROUND((ROUND(((EU192)*AV192*I192),2)*BS192),2))*AT192)/100),2)+ROUND(((ROUND((ROUND(((AE192-(EU192))*AV192*I192),2)*BS192),2)*AT192)/100),2))</f>
        <v>0</v>
      </c>
      <c r="Y192">
        <f>(ROUND((((S192+ROUND((ROUND(((EU192)*AV192*I192),2)*BS192),2))*AU192)/100),2)+ROUND(((ROUND((ROUND(((AE192-(EU192))*AV192*I192),2)*BS192),2)*AU192)/100),2))</f>
        <v>0</v>
      </c>
      <c r="AA192">
        <v>59499215</v>
      </c>
      <c r="AB192">
        <f t="shared" si="166"/>
        <v>53.86</v>
      </c>
      <c r="AC192">
        <f t="shared" si="167"/>
        <v>53.86</v>
      </c>
      <c r="AD192">
        <f>ROUND((((ET192)-(EU192))+AE192),6)</f>
        <v>0</v>
      </c>
      <c r="AE192">
        <f>ROUND((EU192),6)</f>
        <v>0</v>
      </c>
      <c r="AF192">
        <f>ROUND((EV192),6)</f>
        <v>0</v>
      </c>
      <c r="AG192">
        <f t="shared" si="168"/>
        <v>0</v>
      </c>
      <c r="AH192">
        <f>(EW192)</f>
        <v>0</v>
      </c>
      <c r="AI192">
        <f>(EX192)</f>
        <v>0</v>
      </c>
      <c r="AJ192">
        <f t="shared" si="169"/>
        <v>0</v>
      </c>
      <c r="AK192">
        <v>53.86</v>
      </c>
      <c r="AL192">
        <v>53.86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84</v>
      </c>
      <c r="AU192">
        <v>53</v>
      </c>
      <c r="AV192">
        <v>1</v>
      </c>
      <c r="AW192">
        <v>1</v>
      </c>
      <c r="AZ192">
        <v>1</v>
      </c>
      <c r="BA192">
        <v>1</v>
      </c>
      <c r="BB192">
        <v>1</v>
      </c>
      <c r="BC192">
        <v>9.8800000000000008</v>
      </c>
      <c r="BD192" t="s">
        <v>3</v>
      </c>
      <c r="BE192" t="s">
        <v>3</v>
      </c>
      <c r="BF192" t="s">
        <v>3</v>
      </c>
      <c r="BG192" t="s">
        <v>3</v>
      </c>
      <c r="BH192">
        <v>3</v>
      </c>
      <c r="BI192">
        <v>1</v>
      </c>
      <c r="BJ192" t="s">
        <v>3</v>
      </c>
      <c r="BM192">
        <v>55</v>
      </c>
      <c r="BN192">
        <v>0</v>
      </c>
      <c r="BO192" t="s">
        <v>3</v>
      </c>
      <c r="BP192">
        <v>0</v>
      </c>
      <c r="BQ192">
        <v>30</v>
      </c>
      <c r="BR192">
        <v>0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 t="s">
        <v>3</v>
      </c>
      <c r="BZ192">
        <v>84</v>
      </c>
      <c r="CA192">
        <v>53</v>
      </c>
      <c r="CB192" t="s">
        <v>3</v>
      </c>
      <c r="CE192">
        <v>1566</v>
      </c>
      <c r="CF192">
        <v>0</v>
      </c>
      <c r="CG192">
        <v>0</v>
      </c>
      <c r="CM192">
        <v>0</v>
      </c>
      <c r="CN192" t="s">
        <v>3</v>
      </c>
      <c r="CO192">
        <v>0</v>
      </c>
      <c r="CP192">
        <f t="shared" si="170"/>
        <v>2128.5500000000002</v>
      </c>
      <c r="CQ192">
        <f t="shared" si="171"/>
        <v>532.14</v>
      </c>
      <c r="CR192">
        <f>(ROUND((ROUND(((ET192)*AV192*1),2)*BB192),2)+ROUND((ROUND(((AE192-(EU192))*AV192*1),2)*BS192),2))</f>
        <v>0</v>
      </c>
      <c r="CS192">
        <f>(ROUND((ROUND(((EU192)*AV192*1),2)*BS192),2)+ROUND((ROUND(((AE192-(EU192))*AV192*1),2)*BS192),2))</f>
        <v>0</v>
      </c>
      <c r="CT192">
        <f t="shared" si="172"/>
        <v>0</v>
      </c>
      <c r="CU192">
        <f t="shared" si="173"/>
        <v>0</v>
      </c>
      <c r="CV192">
        <f t="shared" si="174"/>
        <v>0</v>
      </c>
      <c r="CW192">
        <f t="shared" si="175"/>
        <v>0</v>
      </c>
      <c r="CX192">
        <f t="shared" si="176"/>
        <v>0</v>
      </c>
      <c r="CY192">
        <f>(ROUND((((S192+ROUND((ROUND(((EU192)*AV192*1),2)*BS192),2))*AT192)/100),2)+ROUND(((ROUND((ROUND(((AE192-(EU192))*AV192*1),2)*BS192),2)*AT192)/100),2))</f>
        <v>0</v>
      </c>
      <c r="CZ192">
        <f>(ROUND((((S192+ROUND((ROUND(((EU192)*AV192*1),2)*BS192),2))*AU192)/100),2)+ROUND(((ROUND((ROUND(((AE192-(EU192))*AV192*1),2)*BS192),2)*AU192)/100),2))</f>
        <v>0</v>
      </c>
      <c r="DC192" t="s">
        <v>3</v>
      </c>
      <c r="DD192" t="s">
        <v>3</v>
      </c>
      <c r="DE192" t="s">
        <v>3</v>
      </c>
      <c r="DF192" t="s">
        <v>3</v>
      </c>
      <c r="DG192" t="s">
        <v>3</v>
      </c>
      <c r="DH192" t="s">
        <v>3</v>
      </c>
      <c r="DI192" t="s">
        <v>3</v>
      </c>
      <c r="DJ192" t="s">
        <v>3</v>
      </c>
      <c r="DK192" t="s">
        <v>3</v>
      </c>
      <c r="DL192" t="s">
        <v>3</v>
      </c>
      <c r="DM192" t="s">
        <v>3</v>
      </c>
      <c r="DN192">
        <v>0</v>
      </c>
      <c r="DO192">
        <v>0</v>
      </c>
      <c r="DP192">
        <v>1</v>
      </c>
      <c r="DQ192">
        <v>1</v>
      </c>
      <c r="DU192">
        <v>1010</v>
      </c>
      <c r="DV192" t="s">
        <v>124</v>
      </c>
      <c r="DW192" t="s">
        <v>124</v>
      </c>
      <c r="DX192">
        <v>1</v>
      </c>
      <c r="DZ192" t="s">
        <v>3</v>
      </c>
      <c r="EA192" t="s">
        <v>3</v>
      </c>
      <c r="EB192" t="s">
        <v>3</v>
      </c>
      <c r="EC192" t="s">
        <v>3</v>
      </c>
      <c r="EE192">
        <v>59298982</v>
      </c>
      <c r="EF192">
        <v>30</v>
      </c>
      <c r="EG192" t="s">
        <v>26</v>
      </c>
      <c r="EH192">
        <v>0</v>
      </c>
      <c r="EI192" t="s">
        <v>3</v>
      </c>
      <c r="EJ192">
        <v>1</v>
      </c>
      <c r="EK192">
        <v>55</v>
      </c>
      <c r="EL192" t="s">
        <v>152</v>
      </c>
      <c r="EM192" t="s">
        <v>153</v>
      </c>
      <c r="EO192" t="s">
        <v>3</v>
      </c>
      <c r="EQ192">
        <v>0</v>
      </c>
      <c r="ER192">
        <v>53.86</v>
      </c>
      <c r="ES192">
        <v>53.86</v>
      </c>
      <c r="ET192">
        <v>0</v>
      </c>
      <c r="EU192">
        <v>0</v>
      </c>
      <c r="EV192">
        <v>0</v>
      </c>
      <c r="EW192">
        <v>0</v>
      </c>
      <c r="EX192">
        <v>0</v>
      </c>
      <c r="EZ192">
        <v>5</v>
      </c>
      <c r="FC192">
        <v>1</v>
      </c>
      <c r="FD192">
        <v>18</v>
      </c>
      <c r="FF192">
        <v>626</v>
      </c>
      <c r="FQ192">
        <v>0</v>
      </c>
      <c r="FR192">
        <v>0</v>
      </c>
      <c r="FS192">
        <v>0</v>
      </c>
      <c r="FX192">
        <v>84</v>
      </c>
      <c r="FY192">
        <v>53</v>
      </c>
      <c r="GA192" t="s">
        <v>172</v>
      </c>
      <c r="GD192">
        <v>1</v>
      </c>
      <c r="GF192">
        <v>-179061167</v>
      </c>
      <c r="GG192">
        <v>2</v>
      </c>
      <c r="GH192">
        <v>3</v>
      </c>
      <c r="GI192">
        <v>3</v>
      </c>
      <c r="GJ192">
        <v>0</v>
      </c>
      <c r="GK192">
        <v>0</v>
      </c>
      <c r="GL192">
        <f t="shared" si="177"/>
        <v>0</v>
      </c>
      <c r="GM192">
        <f t="shared" si="178"/>
        <v>2128.5500000000002</v>
      </c>
      <c r="GN192">
        <f t="shared" si="179"/>
        <v>2128.5500000000002</v>
      </c>
      <c r="GO192">
        <f t="shared" si="180"/>
        <v>0</v>
      </c>
      <c r="GP192">
        <f t="shared" si="181"/>
        <v>0</v>
      </c>
      <c r="GR192">
        <v>1</v>
      </c>
      <c r="GS192">
        <v>1</v>
      </c>
      <c r="GT192">
        <v>0</v>
      </c>
      <c r="GU192" t="s">
        <v>3</v>
      </c>
      <c r="GV192">
        <f t="shared" si="182"/>
        <v>0</v>
      </c>
      <c r="GW192">
        <v>1</v>
      </c>
      <c r="GX192">
        <f t="shared" si="183"/>
        <v>0</v>
      </c>
      <c r="HA192">
        <v>0</v>
      </c>
      <c r="HB192">
        <v>0</v>
      </c>
      <c r="HC192">
        <f t="shared" si="184"/>
        <v>0</v>
      </c>
      <c r="HE192" t="s">
        <v>173</v>
      </c>
      <c r="HF192" t="s">
        <v>30</v>
      </c>
      <c r="HM192" t="s">
        <v>3</v>
      </c>
      <c r="HN192" t="s">
        <v>3</v>
      </c>
      <c r="HO192" t="s">
        <v>3</v>
      </c>
      <c r="HP192" t="s">
        <v>3</v>
      </c>
      <c r="HQ192" t="s">
        <v>3</v>
      </c>
      <c r="HS192">
        <v>0</v>
      </c>
      <c r="IK192">
        <v>0</v>
      </c>
    </row>
    <row r="193" spans="1:255" x14ac:dyDescent="0.2">
      <c r="A193" s="2">
        <v>17</v>
      </c>
      <c r="B193" s="2">
        <v>1</v>
      </c>
      <c r="C193" s="2">
        <f>ROW(SmtRes!A45)</f>
        <v>45</v>
      </c>
      <c r="D193" s="2">
        <f>ROW(EtalonRes!A53)</f>
        <v>53</v>
      </c>
      <c r="E193" s="2" t="s">
        <v>182</v>
      </c>
      <c r="F193" s="2" t="s">
        <v>149</v>
      </c>
      <c r="G193" s="2" t="s">
        <v>168</v>
      </c>
      <c r="H193" s="2" t="s">
        <v>37</v>
      </c>
      <c r="I193" s="2">
        <v>1</v>
      </c>
      <c r="J193" s="2">
        <v>0</v>
      </c>
      <c r="K193" s="2">
        <v>1</v>
      </c>
      <c r="L193" s="2"/>
      <c r="M193" s="2"/>
      <c r="N193" s="2"/>
      <c r="O193" s="2">
        <f t="shared" si="159"/>
        <v>11.21</v>
      </c>
      <c r="P193" s="2">
        <f t="shared" si="160"/>
        <v>0.5</v>
      </c>
      <c r="Q193" s="2">
        <f>(ROUND((ROUND(((((ET193*1.25)*1.1))*AV193*I193),2)*BB193),2)+ROUND((ROUND(((AE193-(((EU193*1.25)*1.1)))*AV193*I193),2)*BS193),2))</f>
        <v>0</v>
      </c>
      <c r="R193" s="2">
        <f>(ROUND((ROUND(((((EU193*1.25)*1.1))*AV193*I193),2)*BS193),2)+ROUND((ROUND(((AE193-(((EU193*1.25)*1.1)))*AV193*I193),2)*BS193),2))</f>
        <v>0</v>
      </c>
      <c r="S193" s="2">
        <f t="shared" si="161"/>
        <v>10.71</v>
      </c>
      <c r="T193" s="2">
        <f t="shared" si="162"/>
        <v>0</v>
      </c>
      <c r="U193" s="2">
        <f t="shared" si="163"/>
        <v>0.71502860000000001</v>
      </c>
      <c r="V193" s="2">
        <f t="shared" si="164"/>
        <v>0</v>
      </c>
      <c r="W193" s="2">
        <f t="shared" si="165"/>
        <v>0</v>
      </c>
      <c r="X193" s="2">
        <f>(ROUND((((S193+ROUND((ROUND(((((EU193*1.25)*1.1))*AV193*I193),2)*BS193),2))*AT193)/100),2)+ROUND(((ROUND((ROUND(((AE193-(((EU193*1.25)*1.1)))*AV193*I193),2)*BS193),2)*AT193)/100),2))</f>
        <v>9</v>
      </c>
      <c r="Y193" s="2">
        <f>(ROUND((((S193+ROUND((ROUND(((((EU193*1.25)*1.1))*AV193*I193),2)*BS193),2))*AU193)/100),2)+ROUND(((ROUND((ROUND(((AE193-(((EU193*1.25)*1.1)))*AV193*I193),2)*BS193),2)*AU193)/100),2))</f>
        <v>5.68</v>
      </c>
      <c r="Z193" s="2"/>
      <c r="AA193" s="2">
        <v>59499218</v>
      </c>
      <c r="AB193" s="2">
        <f t="shared" si="166"/>
        <v>10.35435</v>
      </c>
      <c r="AC193" s="2">
        <f t="shared" si="167"/>
        <v>0.5</v>
      </c>
      <c r="AD193" s="2">
        <f>ROUND((((((ET193*1.25)*1.1))-(((EU193*1.25)*1.1)))+AE193),6)</f>
        <v>0</v>
      </c>
      <c r="AE193" s="2">
        <f>ROUND((((EU193*1.25)*1.1)),6)</f>
        <v>0</v>
      </c>
      <c r="AF193" s="2">
        <f>ROUND((((EV193*1.15)*1.1)),6)</f>
        <v>9.8543500000000002</v>
      </c>
      <c r="AG193" s="2">
        <f t="shared" si="168"/>
        <v>0</v>
      </c>
      <c r="AH193" s="2">
        <f>(((EW193*1.15)*1.1))</f>
        <v>0.65780000000000005</v>
      </c>
      <c r="AI193" s="2">
        <f>(((EX193*1.25)*1.1))</f>
        <v>0</v>
      </c>
      <c r="AJ193" s="2">
        <f t="shared" si="169"/>
        <v>0</v>
      </c>
      <c r="AK193" s="2">
        <v>8.2899999999999991</v>
      </c>
      <c r="AL193" s="2">
        <v>0.5</v>
      </c>
      <c r="AM193" s="2">
        <v>0</v>
      </c>
      <c r="AN193" s="2">
        <v>0</v>
      </c>
      <c r="AO193" s="2">
        <v>7.79</v>
      </c>
      <c r="AP193" s="2">
        <v>0</v>
      </c>
      <c r="AQ193" s="2">
        <v>0.52</v>
      </c>
      <c r="AR193" s="2">
        <v>0</v>
      </c>
      <c r="AS193" s="2">
        <v>0</v>
      </c>
      <c r="AT193" s="2">
        <v>84</v>
      </c>
      <c r="AU193" s="2">
        <v>53</v>
      </c>
      <c r="AV193" s="2">
        <v>1.087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0</v>
      </c>
      <c r="BI193" s="2">
        <v>1</v>
      </c>
      <c r="BJ193" s="2" t="s">
        <v>151</v>
      </c>
      <c r="BK193" s="2"/>
      <c r="BL193" s="2"/>
      <c r="BM193" s="2">
        <v>55</v>
      </c>
      <c r="BN193" s="2">
        <v>59298886</v>
      </c>
      <c r="BO193" s="2" t="s">
        <v>149</v>
      </c>
      <c r="BP193" s="2">
        <v>1</v>
      </c>
      <c r="BQ193" s="2">
        <v>30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84</v>
      </c>
      <c r="CA193" s="2">
        <v>53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375</v>
      </c>
      <c r="CO193" s="2">
        <v>0</v>
      </c>
      <c r="CP193" s="2">
        <f t="shared" si="170"/>
        <v>11.21</v>
      </c>
      <c r="CQ193" s="2">
        <f t="shared" si="171"/>
        <v>0.5</v>
      </c>
      <c r="CR193" s="2">
        <f>(ROUND((ROUND(((((ET193*1.25)*1.1))*AV193*1),2)*BB193),2)+ROUND((ROUND(((AE193-(((EU193*1.25)*1.1)))*AV193*1),2)*BS193),2))</f>
        <v>0</v>
      </c>
      <c r="CS193" s="2">
        <f>(ROUND((ROUND(((((EU193*1.25)*1.1))*AV193*1),2)*BS193),2)+ROUND((ROUND(((AE193-(((EU193*1.25)*1.1)))*AV193*1),2)*BS193),2))</f>
        <v>0</v>
      </c>
      <c r="CT193" s="2">
        <f t="shared" si="172"/>
        <v>10.71</v>
      </c>
      <c r="CU193" s="2">
        <f t="shared" si="173"/>
        <v>0</v>
      </c>
      <c r="CV193" s="2">
        <f t="shared" si="174"/>
        <v>0.71502860000000001</v>
      </c>
      <c r="CW193" s="2">
        <f t="shared" si="175"/>
        <v>0</v>
      </c>
      <c r="CX193" s="2">
        <f t="shared" si="176"/>
        <v>0</v>
      </c>
      <c r="CY193" s="2">
        <f>(ROUND((((S193+ROUND((ROUND(((((EU193*1.25)*1.1))*AV193*1),2)*BS193),2))*AT193)/100),2)+ROUND(((ROUND((ROUND(((AE193-(((EU193*1.25)*1.1)))*AV193*1),2)*BS193),2)*AT193)/100),2))</f>
        <v>9</v>
      </c>
      <c r="CZ193" s="2">
        <f>(ROUND((((S193+ROUND((ROUND(((((EU193*1.25)*1.1))*AV193*1),2)*BS193),2))*AU193)/100),2)+ROUND(((ROUND((ROUND(((AE193-(((EU193*1.25)*1.1)))*AV193*1),2)*BS193),2)*AU193)/100),2))</f>
        <v>5.68</v>
      </c>
      <c r="DA193" s="2"/>
      <c r="DB193" s="2">
        <v>49</v>
      </c>
      <c r="DC193" s="2" t="s">
        <v>3</v>
      </c>
      <c r="DD193" s="2" t="s">
        <v>3</v>
      </c>
      <c r="DE193" s="2" t="s">
        <v>39</v>
      </c>
      <c r="DF193" s="2" t="s">
        <v>39</v>
      </c>
      <c r="DG193" s="2" t="s">
        <v>40</v>
      </c>
      <c r="DH193" s="2" t="s">
        <v>3</v>
      </c>
      <c r="DI193" s="2" t="s">
        <v>40</v>
      </c>
      <c r="DJ193" s="2" t="s">
        <v>39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1013</v>
      </c>
      <c r="DV193" s="2" t="s">
        <v>37</v>
      </c>
      <c r="DW193" s="2" t="s">
        <v>37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59298982</v>
      </c>
      <c r="EF193" s="2">
        <v>30</v>
      </c>
      <c r="EG193" s="2" t="s">
        <v>26</v>
      </c>
      <c r="EH193" s="2">
        <v>0</v>
      </c>
      <c r="EI193" s="2" t="s">
        <v>3</v>
      </c>
      <c r="EJ193" s="2">
        <v>1</v>
      </c>
      <c r="EK193" s="2">
        <v>55</v>
      </c>
      <c r="EL193" s="2" t="s">
        <v>152</v>
      </c>
      <c r="EM193" s="2" t="s">
        <v>153</v>
      </c>
      <c r="EN193" s="2"/>
      <c r="EO193" s="2" t="s">
        <v>41</v>
      </c>
      <c r="EP193" s="2"/>
      <c r="EQ193" s="2">
        <v>0</v>
      </c>
      <c r="ER193" s="2">
        <v>8.2899999999999991</v>
      </c>
      <c r="ES193" s="2">
        <v>0.5</v>
      </c>
      <c r="ET193" s="2">
        <v>0</v>
      </c>
      <c r="EU193" s="2">
        <v>0</v>
      </c>
      <c r="EV193" s="2">
        <v>7.79</v>
      </c>
      <c r="EW193" s="2">
        <v>0.52</v>
      </c>
      <c r="EX193" s="2">
        <v>0</v>
      </c>
      <c r="EY193" s="2">
        <v>0</v>
      </c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84</v>
      </c>
      <c r="FY193" s="2">
        <v>53</v>
      </c>
      <c r="FZ193" s="2"/>
      <c r="GA193" s="2" t="s">
        <v>3</v>
      </c>
      <c r="GB193" s="2"/>
      <c r="GC193" s="2"/>
      <c r="GD193" s="2">
        <v>1</v>
      </c>
      <c r="GE193" s="2"/>
      <c r="GF193" s="2">
        <v>1745385659</v>
      </c>
      <c r="GG193" s="2">
        <v>2</v>
      </c>
      <c r="GH193" s="2">
        <v>1</v>
      </c>
      <c r="GI193" s="2">
        <v>2</v>
      </c>
      <c r="GJ193" s="2">
        <v>0</v>
      </c>
      <c r="GK193" s="2">
        <v>0</v>
      </c>
      <c r="GL193" s="2">
        <f t="shared" si="177"/>
        <v>0</v>
      </c>
      <c r="GM193" s="2">
        <f t="shared" si="178"/>
        <v>25.89</v>
      </c>
      <c r="GN193" s="2">
        <f t="shared" si="179"/>
        <v>25.89</v>
      </c>
      <c r="GO193" s="2">
        <f t="shared" si="180"/>
        <v>0</v>
      </c>
      <c r="GP193" s="2">
        <f t="shared" si="181"/>
        <v>0</v>
      </c>
      <c r="GQ193" s="2"/>
      <c r="GR193" s="2">
        <v>0</v>
      </c>
      <c r="GS193" s="2">
        <v>3</v>
      </c>
      <c r="GT193" s="2">
        <v>0</v>
      </c>
      <c r="GU193" s="2" t="s">
        <v>3</v>
      </c>
      <c r="GV193" s="2">
        <f t="shared" si="182"/>
        <v>0</v>
      </c>
      <c r="GW193" s="2">
        <v>1</v>
      </c>
      <c r="GX193" s="2">
        <f t="shared" si="183"/>
        <v>0</v>
      </c>
      <c r="GY193" s="2"/>
      <c r="GZ193" s="2"/>
      <c r="HA193" s="2">
        <v>0</v>
      </c>
      <c r="HB193" s="2">
        <v>0</v>
      </c>
      <c r="HC193" s="2">
        <f t="shared" si="184"/>
        <v>0</v>
      </c>
      <c r="HD193" s="2"/>
      <c r="HE193" s="2" t="s">
        <v>3</v>
      </c>
      <c r="HF193" s="2" t="s">
        <v>3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">
      <c r="A194">
        <v>17</v>
      </c>
      <c r="B194">
        <v>1</v>
      </c>
      <c r="C194">
        <f>ROW(SmtRes!A48)</f>
        <v>48</v>
      </c>
      <c r="D194">
        <f>ROW(EtalonRes!A56)</f>
        <v>56</v>
      </c>
      <c r="E194" t="s">
        <v>182</v>
      </c>
      <c r="F194" t="s">
        <v>149</v>
      </c>
      <c r="G194" t="s">
        <v>168</v>
      </c>
      <c r="H194" t="s">
        <v>37</v>
      </c>
      <c r="I194">
        <v>1</v>
      </c>
      <c r="J194">
        <v>0</v>
      </c>
      <c r="K194">
        <v>1</v>
      </c>
      <c r="O194">
        <f t="shared" si="159"/>
        <v>596.89</v>
      </c>
      <c r="P194">
        <f t="shared" si="160"/>
        <v>7.95</v>
      </c>
      <c r="Q194">
        <f>(ROUND((ROUND(((((ET194*1.25)*1.1))*AV194*I194),2)*BB194),2)+ROUND((ROUND(((AE194-(((EU194*1.25)*1.1)))*AV194*I194),2)*BS194),2))</f>
        <v>0</v>
      </c>
      <c r="R194">
        <f>(ROUND((ROUND(((((EU194*1.25)*1.1))*AV194*I194),2)*BS194),2)+ROUND((ROUND(((AE194-(((EU194*1.25)*1.1)))*AV194*I194),2)*BS194),2))</f>
        <v>0</v>
      </c>
      <c r="S194">
        <f t="shared" si="161"/>
        <v>588.94000000000005</v>
      </c>
      <c r="T194">
        <f t="shared" si="162"/>
        <v>0</v>
      </c>
      <c r="U194">
        <f t="shared" si="163"/>
        <v>0.71502860000000001</v>
      </c>
      <c r="V194">
        <f t="shared" si="164"/>
        <v>0</v>
      </c>
      <c r="W194">
        <f t="shared" si="165"/>
        <v>0</v>
      </c>
      <c r="X194">
        <f>(ROUND((((S194+ROUND((ROUND(((((EU194*1.25)*1.1))*AV194*I194),2)*BS194),2))*AT194)/100),2)+ROUND(((ROUND((ROUND(((AE194-(((EU194*1.25)*1.1)))*AV194*I194),2)*BS194),2)*AT194)/100),2))</f>
        <v>494.71</v>
      </c>
      <c r="Y194">
        <f>(ROUND((((S194+ROUND((ROUND(((((EU194*1.25)*1.1))*AV194*I194),2)*BS194),2))*AU194)/100),2)+ROUND(((ROUND((ROUND(((AE194-(((EU194*1.25)*1.1)))*AV194*I194),2)*BS194),2)*AU194)/100),2))</f>
        <v>312.14</v>
      </c>
      <c r="AA194">
        <v>59499215</v>
      </c>
      <c r="AB194">
        <f t="shared" si="166"/>
        <v>10.35435</v>
      </c>
      <c r="AC194">
        <f t="shared" si="167"/>
        <v>0.5</v>
      </c>
      <c r="AD194">
        <f>ROUND((((((ET194*1.25)*1.1))-(((EU194*1.25)*1.1)))+AE194),6)</f>
        <v>0</v>
      </c>
      <c r="AE194">
        <f>ROUND((((EU194*1.25)*1.1)),6)</f>
        <v>0</v>
      </c>
      <c r="AF194">
        <f>ROUND((((EV194*1.15)*1.1)),6)</f>
        <v>9.8543500000000002</v>
      </c>
      <c r="AG194">
        <f t="shared" si="168"/>
        <v>0</v>
      </c>
      <c r="AH194">
        <f>(((EW194*1.15)*1.1))</f>
        <v>0.65780000000000005</v>
      </c>
      <c r="AI194">
        <f>(((EX194*1.25)*1.1))</f>
        <v>0</v>
      </c>
      <c r="AJ194">
        <f t="shared" si="169"/>
        <v>0</v>
      </c>
      <c r="AK194">
        <v>8.2899999999999991</v>
      </c>
      <c r="AL194">
        <v>0.5</v>
      </c>
      <c r="AM194">
        <v>0</v>
      </c>
      <c r="AN194">
        <v>0</v>
      </c>
      <c r="AO194">
        <v>7.79</v>
      </c>
      <c r="AP194">
        <v>0</v>
      </c>
      <c r="AQ194">
        <v>0.52</v>
      </c>
      <c r="AR194">
        <v>0</v>
      </c>
      <c r="AS194">
        <v>0</v>
      </c>
      <c r="AT194">
        <v>84</v>
      </c>
      <c r="AU194">
        <v>53</v>
      </c>
      <c r="AV194">
        <v>1.087</v>
      </c>
      <c r="AW194">
        <v>1</v>
      </c>
      <c r="AZ194">
        <v>1</v>
      </c>
      <c r="BA194">
        <v>54.99</v>
      </c>
      <c r="BB194">
        <v>1</v>
      </c>
      <c r="BC194">
        <v>15.9</v>
      </c>
      <c r="BD194" t="s">
        <v>3</v>
      </c>
      <c r="BE194" t="s">
        <v>3</v>
      </c>
      <c r="BF194" t="s">
        <v>3</v>
      </c>
      <c r="BG194" t="s">
        <v>3</v>
      </c>
      <c r="BH194">
        <v>0</v>
      </c>
      <c r="BI194">
        <v>1</v>
      </c>
      <c r="BJ194" t="s">
        <v>151</v>
      </c>
      <c r="BM194">
        <v>55</v>
      </c>
      <c r="BN194">
        <v>59298886</v>
      </c>
      <c r="BO194" t="s">
        <v>149</v>
      </c>
      <c r="BP194">
        <v>1</v>
      </c>
      <c r="BQ194">
        <v>30</v>
      </c>
      <c r="BR194">
        <v>0</v>
      </c>
      <c r="BS194">
        <v>54.99</v>
      </c>
      <c r="BT194">
        <v>1</v>
      </c>
      <c r="BU194">
        <v>1</v>
      </c>
      <c r="BV194">
        <v>1</v>
      </c>
      <c r="BW194">
        <v>1</v>
      </c>
      <c r="BX194">
        <v>1</v>
      </c>
      <c r="BY194" t="s">
        <v>3</v>
      </c>
      <c r="BZ194">
        <v>84</v>
      </c>
      <c r="CA194">
        <v>53</v>
      </c>
      <c r="CB194" t="s">
        <v>3</v>
      </c>
      <c r="CE194">
        <v>1566</v>
      </c>
      <c r="CF194">
        <v>0</v>
      </c>
      <c r="CG194">
        <v>0</v>
      </c>
      <c r="CM194">
        <v>0</v>
      </c>
      <c r="CN194" t="s">
        <v>375</v>
      </c>
      <c r="CO194">
        <v>0</v>
      </c>
      <c r="CP194">
        <f t="shared" si="170"/>
        <v>596.8900000000001</v>
      </c>
      <c r="CQ194">
        <f t="shared" si="171"/>
        <v>7.95</v>
      </c>
      <c r="CR194">
        <f>(ROUND((ROUND(((((ET194*1.25)*1.1))*AV194*1),2)*BB194),2)+ROUND((ROUND(((AE194-(((EU194*1.25)*1.1)))*AV194*1),2)*BS194),2))</f>
        <v>0</v>
      </c>
      <c r="CS194">
        <f>(ROUND((ROUND(((((EU194*1.25)*1.1))*AV194*1),2)*BS194),2)+ROUND((ROUND(((AE194-(((EU194*1.25)*1.1)))*AV194*1),2)*BS194),2))</f>
        <v>0</v>
      </c>
      <c r="CT194">
        <f t="shared" si="172"/>
        <v>588.94000000000005</v>
      </c>
      <c r="CU194">
        <f t="shared" si="173"/>
        <v>0</v>
      </c>
      <c r="CV194">
        <f t="shared" si="174"/>
        <v>0.71502860000000001</v>
      </c>
      <c r="CW194">
        <f t="shared" si="175"/>
        <v>0</v>
      </c>
      <c r="CX194">
        <f t="shared" si="176"/>
        <v>0</v>
      </c>
      <c r="CY194">
        <f>(ROUND((((S194+ROUND((ROUND(((((EU194*1.25)*1.1))*AV194*1),2)*BS194),2))*AT194)/100),2)+ROUND(((ROUND((ROUND(((AE194-(((EU194*1.25)*1.1)))*AV194*1),2)*BS194),2)*AT194)/100),2))</f>
        <v>494.71</v>
      </c>
      <c r="CZ194">
        <f>(ROUND((((S194+ROUND((ROUND(((((EU194*1.25)*1.1))*AV194*1),2)*BS194),2))*AU194)/100),2)+ROUND(((ROUND((ROUND(((AE194-(((EU194*1.25)*1.1)))*AV194*1),2)*BS194),2)*AU194)/100),2))</f>
        <v>312.14</v>
      </c>
      <c r="DB194">
        <v>51</v>
      </c>
      <c r="DC194" t="s">
        <v>3</v>
      </c>
      <c r="DD194" t="s">
        <v>3</v>
      </c>
      <c r="DE194" t="s">
        <v>39</v>
      </c>
      <c r="DF194" t="s">
        <v>39</v>
      </c>
      <c r="DG194" t="s">
        <v>40</v>
      </c>
      <c r="DH194" t="s">
        <v>3</v>
      </c>
      <c r="DI194" t="s">
        <v>40</v>
      </c>
      <c r="DJ194" t="s">
        <v>39</v>
      </c>
      <c r="DK194" t="s">
        <v>3</v>
      </c>
      <c r="DL194" t="s">
        <v>3</v>
      </c>
      <c r="DM194" t="s">
        <v>3</v>
      </c>
      <c r="DN194">
        <v>0</v>
      </c>
      <c r="DO194">
        <v>0</v>
      </c>
      <c r="DP194">
        <v>1</v>
      </c>
      <c r="DQ194">
        <v>1</v>
      </c>
      <c r="DU194">
        <v>1013</v>
      </c>
      <c r="DV194" t="s">
        <v>37</v>
      </c>
      <c r="DW194" t="s">
        <v>37</v>
      </c>
      <c r="DX194">
        <v>1</v>
      </c>
      <c r="DZ194" t="s">
        <v>3</v>
      </c>
      <c r="EA194" t="s">
        <v>3</v>
      </c>
      <c r="EB194" t="s">
        <v>3</v>
      </c>
      <c r="EC194" t="s">
        <v>3</v>
      </c>
      <c r="EE194">
        <v>59298982</v>
      </c>
      <c r="EF194">
        <v>30</v>
      </c>
      <c r="EG194" t="s">
        <v>26</v>
      </c>
      <c r="EH194">
        <v>0</v>
      </c>
      <c r="EI194" t="s">
        <v>3</v>
      </c>
      <c r="EJ194">
        <v>1</v>
      </c>
      <c r="EK194">
        <v>55</v>
      </c>
      <c r="EL194" t="s">
        <v>152</v>
      </c>
      <c r="EM194" t="s">
        <v>153</v>
      </c>
      <c r="EO194" t="s">
        <v>41</v>
      </c>
      <c r="EQ194">
        <v>0</v>
      </c>
      <c r="ER194">
        <v>8.2899999999999991</v>
      </c>
      <c r="ES194">
        <v>0.5</v>
      </c>
      <c r="ET194">
        <v>0</v>
      </c>
      <c r="EU194">
        <v>0</v>
      </c>
      <c r="EV194">
        <v>7.79</v>
      </c>
      <c r="EW194">
        <v>0.52</v>
      </c>
      <c r="EX194">
        <v>0</v>
      </c>
      <c r="EY194">
        <v>0</v>
      </c>
      <c r="FQ194">
        <v>0</v>
      </c>
      <c r="FR194">
        <v>0</v>
      </c>
      <c r="FS194">
        <v>0</v>
      </c>
      <c r="FX194">
        <v>84</v>
      </c>
      <c r="FY194">
        <v>53</v>
      </c>
      <c r="GA194" t="s">
        <v>3</v>
      </c>
      <c r="GD194">
        <v>1</v>
      </c>
      <c r="GF194">
        <v>1745385659</v>
      </c>
      <c r="GG194">
        <v>2</v>
      </c>
      <c r="GH194">
        <v>1</v>
      </c>
      <c r="GI194">
        <v>2</v>
      </c>
      <c r="GJ194">
        <v>0</v>
      </c>
      <c r="GK194">
        <v>0</v>
      </c>
      <c r="GL194">
        <f t="shared" si="177"/>
        <v>0</v>
      </c>
      <c r="GM194">
        <f t="shared" si="178"/>
        <v>1403.74</v>
      </c>
      <c r="GN194">
        <f t="shared" si="179"/>
        <v>1403.74</v>
      </c>
      <c r="GO194">
        <f t="shared" si="180"/>
        <v>0</v>
      </c>
      <c r="GP194">
        <f t="shared" si="181"/>
        <v>0</v>
      </c>
      <c r="GR194">
        <v>0</v>
      </c>
      <c r="GS194">
        <v>3</v>
      </c>
      <c r="GT194">
        <v>0</v>
      </c>
      <c r="GU194" t="s">
        <v>3</v>
      </c>
      <c r="GV194">
        <f t="shared" si="182"/>
        <v>0</v>
      </c>
      <c r="GW194">
        <v>1</v>
      </c>
      <c r="GX194">
        <f t="shared" si="183"/>
        <v>0</v>
      </c>
      <c r="HA194">
        <v>0</v>
      </c>
      <c r="HB194">
        <v>0</v>
      </c>
      <c r="HC194">
        <f t="shared" si="184"/>
        <v>0</v>
      </c>
      <c r="HE194" t="s">
        <v>3</v>
      </c>
      <c r="HF194" t="s">
        <v>3</v>
      </c>
      <c r="HM194" t="s">
        <v>3</v>
      </c>
      <c r="HN194" t="s">
        <v>3</v>
      </c>
      <c r="HO194" t="s">
        <v>3</v>
      </c>
      <c r="HP194" t="s">
        <v>3</v>
      </c>
      <c r="HQ194" t="s">
        <v>3</v>
      </c>
      <c r="HS194">
        <v>0</v>
      </c>
      <c r="IK194">
        <v>0</v>
      </c>
    </row>
    <row r="195" spans="1:255" x14ac:dyDescent="0.2">
      <c r="A195" s="2">
        <v>18</v>
      </c>
      <c r="B195" s="2">
        <v>1</v>
      </c>
      <c r="C195" s="2">
        <v>45</v>
      </c>
      <c r="D195" s="2"/>
      <c r="E195" s="2" t="s">
        <v>183</v>
      </c>
      <c r="F195" s="2" t="s">
        <v>184</v>
      </c>
      <c r="G195" s="2" t="s">
        <v>185</v>
      </c>
      <c r="H195" s="2" t="s">
        <v>124</v>
      </c>
      <c r="I195" s="2">
        <f>I193*J195</f>
        <v>1</v>
      </c>
      <c r="J195" s="2">
        <v>1</v>
      </c>
      <c r="K195" s="2">
        <v>1</v>
      </c>
      <c r="L195" s="2"/>
      <c r="M195" s="2"/>
      <c r="N195" s="2"/>
      <c r="O195" s="2">
        <f t="shared" si="159"/>
        <v>53.86</v>
      </c>
      <c r="P195" s="2">
        <f t="shared" si="160"/>
        <v>53.86</v>
      </c>
      <c r="Q195" s="2">
        <f>(ROUND((ROUND(((ET195)*AV195*I195),2)*BB195),2)+ROUND((ROUND(((AE195-(EU195))*AV195*I195),2)*BS195),2))</f>
        <v>0</v>
      </c>
      <c r="R195" s="2">
        <f>(ROUND((ROUND(((EU195)*AV195*I195),2)*BS195),2)+ROUND((ROUND(((AE195-(EU195))*AV195*I195),2)*BS195),2))</f>
        <v>0</v>
      </c>
      <c r="S195" s="2">
        <f t="shared" si="161"/>
        <v>0</v>
      </c>
      <c r="T195" s="2">
        <f t="shared" si="162"/>
        <v>0</v>
      </c>
      <c r="U195" s="2">
        <f t="shared" si="163"/>
        <v>0</v>
      </c>
      <c r="V195" s="2">
        <f t="shared" si="164"/>
        <v>0</v>
      </c>
      <c r="W195" s="2">
        <f t="shared" si="165"/>
        <v>0</v>
      </c>
      <c r="X195" s="2">
        <f>(ROUND((((S195+ROUND((ROUND(((EU195)*AV195*I195),2)*BS195),2))*AT195)/100),2)+ROUND(((ROUND((ROUND(((AE195-(EU195))*AV195*I195),2)*BS195),2)*AT195)/100),2))</f>
        <v>0</v>
      </c>
      <c r="Y195" s="2">
        <f>(ROUND((((S195+ROUND((ROUND(((EU195)*AV195*I195),2)*BS195),2))*AU195)/100),2)+ROUND(((ROUND((ROUND(((AE195-(EU195))*AV195*I195),2)*BS195),2)*AU195)/100),2))</f>
        <v>0</v>
      </c>
      <c r="Z195" s="2"/>
      <c r="AA195" s="2">
        <v>59499218</v>
      </c>
      <c r="AB195" s="2">
        <f t="shared" si="166"/>
        <v>53.86</v>
      </c>
      <c r="AC195" s="2">
        <f t="shared" si="167"/>
        <v>53.86</v>
      </c>
      <c r="AD195" s="2">
        <f>ROUND((((ET195)-(EU195))+AE195),6)</f>
        <v>0</v>
      </c>
      <c r="AE195" s="2">
        <f>ROUND((EU195),6)</f>
        <v>0</v>
      </c>
      <c r="AF195" s="2">
        <f>ROUND((EV195),6)</f>
        <v>0</v>
      </c>
      <c r="AG195" s="2">
        <f t="shared" si="168"/>
        <v>0</v>
      </c>
      <c r="AH195" s="2">
        <f>(EW195)</f>
        <v>0</v>
      </c>
      <c r="AI195" s="2">
        <f>(EX195)</f>
        <v>0</v>
      </c>
      <c r="AJ195" s="2">
        <f t="shared" si="169"/>
        <v>0</v>
      </c>
      <c r="AK195" s="2">
        <v>53.86</v>
      </c>
      <c r="AL195" s="2">
        <v>53.86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84</v>
      </c>
      <c r="AU195" s="2">
        <v>53</v>
      </c>
      <c r="AV195" s="2">
        <v>1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3</v>
      </c>
      <c r="BI195" s="2">
        <v>1</v>
      </c>
      <c r="BJ195" s="2" t="s">
        <v>3</v>
      </c>
      <c r="BK195" s="2"/>
      <c r="BL195" s="2"/>
      <c r="BM195" s="2">
        <v>55</v>
      </c>
      <c r="BN195" s="2">
        <v>0</v>
      </c>
      <c r="BO195" s="2" t="s">
        <v>3</v>
      </c>
      <c r="BP195" s="2">
        <v>0</v>
      </c>
      <c r="BQ195" s="2">
        <v>30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84</v>
      </c>
      <c r="CA195" s="2">
        <v>53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3</v>
      </c>
      <c r="CO195" s="2">
        <v>0</v>
      </c>
      <c r="CP195" s="2">
        <f t="shared" si="170"/>
        <v>53.86</v>
      </c>
      <c r="CQ195" s="2">
        <f t="shared" si="171"/>
        <v>53.86</v>
      </c>
      <c r="CR195" s="2">
        <f>(ROUND((ROUND(((ET195)*AV195*1),2)*BB195),2)+ROUND((ROUND(((AE195-(EU195))*AV195*1),2)*BS195),2))</f>
        <v>0</v>
      </c>
      <c r="CS195" s="2">
        <f>(ROUND((ROUND(((EU195)*AV195*1),2)*BS195),2)+ROUND((ROUND(((AE195-(EU195))*AV195*1),2)*BS195),2))</f>
        <v>0</v>
      </c>
      <c r="CT195" s="2">
        <f t="shared" si="172"/>
        <v>0</v>
      </c>
      <c r="CU195" s="2">
        <f t="shared" si="173"/>
        <v>0</v>
      </c>
      <c r="CV195" s="2">
        <f t="shared" si="174"/>
        <v>0</v>
      </c>
      <c r="CW195" s="2">
        <f t="shared" si="175"/>
        <v>0</v>
      </c>
      <c r="CX195" s="2">
        <f t="shared" si="176"/>
        <v>0</v>
      </c>
      <c r="CY195" s="2">
        <f>(ROUND((((S195+ROUND((ROUND(((EU195)*AV195*1),2)*BS195),2))*AT195)/100),2)+ROUND(((ROUND((ROUND(((AE195-(EU195))*AV195*1),2)*BS195),2)*AT195)/100),2))</f>
        <v>0</v>
      </c>
      <c r="CZ195" s="2">
        <f>(ROUND((((S195+ROUND((ROUND(((EU195)*AV195*1),2)*BS195),2))*AU195)/100),2)+ROUND(((ROUND((ROUND(((AE195-(EU195))*AV195*1),2)*BS195),2)*AU195)/100),2))</f>
        <v>0</v>
      </c>
      <c r="DA195" s="2"/>
      <c r="DB195" s="2"/>
      <c r="DC195" s="2" t="s">
        <v>3</v>
      </c>
      <c r="DD195" s="2" t="s">
        <v>3</v>
      </c>
      <c r="DE195" s="2" t="s">
        <v>3</v>
      </c>
      <c r="DF195" s="2" t="s">
        <v>3</v>
      </c>
      <c r="DG195" s="2" t="s">
        <v>3</v>
      </c>
      <c r="DH195" s="2" t="s">
        <v>3</v>
      </c>
      <c r="DI195" s="2" t="s">
        <v>3</v>
      </c>
      <c r="DJ195" s="2" t="s">
        <v>3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1010</v>
      </c>
      <c r="DV195" s="2" t="s">
        <v>124</v>
      </c>
      <c r="DW195" s="2" t="s">
        <v>124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59298982</v>
      </c>
      <c r="EF195" s="2">
        <v>30</v>
      </c>
      <c r="EG195" s="2" t="s">
        <v>26</v>
      </c>
      <c r="EH195" s="2">
        <v>0</v>
      </c>
      <c r="EI195" s="2" t="s">
        <v>3</v>
      </c>
      <c r="EJ195" s="2">
        <v>1</v>
      </c>
      <c r="EK195" s="2">
        <v>55</v>
      </c>
      <c r="EL195" s="2" t="s">
        <v>152</v>
      </c>
      <c r="EM195" s="2" t="s">
        <v>153</v>
      </c>
      <c r="EN195" s="2"/>
      <c r="EO195" s="2" t="s">
        <v>3</v>
      </c>
      <c r="EP195" s="2"/>
      <c r="EQ195" s="2">
        <v>0</v>
      </c>
      <c r="ER195" s="2">
        <v>0</v>
      </c>
      <c r="ES195" s="2">
        <v>53.86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84</v>
      </c>
      <c r="FY195" s="2">
        <v>53</v>
      </c>
      <c r="FZ195" s="2"/>
      <c r="GA195" s="2" t="s">
        <v>172</v>
      </c>
      <c r="GB195" s="2"/>
      <c r="GC195" s="2"/>
      <c r="GD195" s="2">
        <v>1</v>
      </c>
      <c r="GE195" s="2"/>
      <c r="GF195" s="2">
        <v>-221517403</v>
      </c>
      <c r="GG195" s="2">
        <v>2</v>
      </c>
      <c r="GH195" s="2">
        <v>4</v>
      </c>
      <c r="GI195" s="2">
        <v>-2</v>
      </c>
      <c r="GJ195" s="2">
        <v>0</v>
      </c>
      <c r="GK195" s="2">
        <v>0</v>
      </c>
      <c r="GL195" s="2">
        <f t="shared" si="177"/>
        <v>0</v>
      </c>
      <c r="GM195" s="2">
        <f t="shared" si="178"/>
        <v>53.86</v>
      </c>
      <c r="GN195" s="2">
        <f t="shared" si="179"/>
        <v>53.86</v>
      </c>
      <c r="GO195" s="2">
        <f t="shared" si="180"/>
        <v>0</v>
      </c>
      <c r="GP195" s="2">
        <f t="shared" si="181"/>
        <v>0</v>
      </c>
      <c r="GQ195" s="2"/>
      <c r="GR195" s="2">
        <v>0</v>
      </c>
      <c r="GS195" s="2">
        <v>2</v>
      </c>
      <c r="GT195" s="2">
        <v>0</v>
      </c>
      <c r="GU195" s="2" t="s">
        <v>3</v>
      </c>
      <c r="GV195" s="2">
        <f t="shared" si="182"/>
        <v>0</v>
      </c>
      <c r="GW195" s="2">
        <v>1</v>
      </c>
      <c r="GX195" s="2">
        <f t="shared" si="183"/>
        <v>0</v>
      </c>
      <c r="GY195" s="2"/>
      <c r="GZ195" s="2"/>
      <c r="HA195" s="2">
        <v>0</v>
      </c>
      <c r="HB195" s="2">
        <v>0</v>
      </c>
      <c r="HC195" s="2">
        <f t="shared" si="184"/>
        <v>0</v>
      </c>
      <c r="HD195" s="2"/>
      <c r="HE195" s="2" t="s">
        <v>173</v>
      </c>
      <c r="HF195" s="2" t="s">
        <v>30</v>
      </c>
      <c r="HG195" s="2"/>
      <c r="HH195" s="2"/>
      <c r="HI195" s="2"/>
      <c r="HJ195" s="2"/>
      <c r="HK195" s="2"/>
      <c r="HL195" s="2"/>
      <c r="HM195" s="2" t="s">
        <v>3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">
      <c r="A196">
        <v>18</v>
      </c>
      <c r="B196">
        <v>1</v>
      </c>
      <c r="C196">
        <v>48</v>
      </c>
      <c r="E196" t="s">
        <v>183</v>
      </c>
      <c r="F196" t="s">
        <v>184</v>
      </c>
      <c r="G196" t="s">
        <v>185</v>
      </c>
      <c r="H196" t="s">
        <v>124</v>
      </c>
      <c r="I196">
        <f>I194*J196</f>
        <v>1</v>
      </c>
      <c r="J196">
        <v>1</v>
      </c>
      <c r="K196">
        <v>1</v>
      </c>
      <c r="O196">
        <f t="shared" si="159"/>
        <v>532.14</v>
      </c>
      <c r="P196">
        <f t="shared" si="160"/>
        <v>532.14</v>
      </c>
      <c r="Q196">
        <f>(ROUND((ROUND(((ET196)*AV196*I196),2)*BB196),2)+ROUND((ROUND(((AE196-(EU196))*AV196*I196),2)*BS196),2))</f>
        <v>0</v>
      </c>
      <c r="R196">
        <f>(ROUND((ROUND(((EU196)*AV196*I196),2)*BS196),2)+ROUND((ROUND(((AE196-(EU196))*AV196*I196),2)*BS196),2))</f>
        <v>0</v>
      </c>
      <c r="S196">
        <f t="shared" si="161"/>
        <v>0</v>
      </c>
      <c r="T196">
        <f t="shared" si="162"/>
        <v>0</v>
      </c>
      <c r="U196">
        <f t="shared" si="163"/>
        <v>0</v>
      </c>
      <c r="V196">
        <f t="shared" si="164"/>
        <v>0</v>
      </c>
      <c r="W196">
        <f t="shared" si="165"/>
        <v>0</v>
      </c>
      <c r="X196">
        <f>(ROUND((((S196+ROUND((ROUND(((EU196)*AV196*I196),2)*BS196),2))*AT196)/100),2)+ROUND(((ROUND((ROUND(((AE196-(EU196))*AV196*I196),2)*BS196),2)*AT196)/100),2))</f>
        <v>0</v>
      </c>
      <c r="Y196">
        <f>(ROUND((((S196+ROUND((ROUND(((EU196)*AV196*I196),2)*BS196),2))*AU196)/100),2)+ROUND(((ROUND((ROUND(((AE196-(EU196))*AV196*I196),2)*BS196),2)*AU196)/100),2))</f>
        <v>0</v>
      </c>
      <c r="AA196">
        <v>59499215</v>
      </c>
      <c r="AB196">
        <f t="shared" si="166"/>
        <v>53.86</v>
      </c>
      <c r="AC196">
        <f t="shared" si="167"/>
        <v>53.86</v>
      </c>
      <c r="AD196">
        <f>ROUND((((ET196)-(EU196))+AE196),6)</f>
        <v>0</v>
      </c>
      <c r="AE196">
        <f>ROUND((EU196),6)</f>
        <v>0</v>
      </c>
      <c r="AF196">
        <f>ROUND((EV196),6)</f>
        <v>0</v>
      </c>
      <c r="AG196">
        <f t="shared" si="168"/>
        <v>0</v>
      </c>
      <c r="AH196">
        <f>(EW196)</f>
        <v>0</v>
      </c>
      <c r="AI196">
        <f>(EX196)</f>
        <v>0</v>
      </c>
      <c r="AJ196">
        <f t="shared" si="169"/>
        <v>0</v>
      </c>
      <c r="AK196">
        <v>53.86</v>
      </c>
      <c r="AL196">
        <v>53.86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84</v>
      </c>
      <c r="AU196">
        <v>53</v>
      </c>
      <c r="AV196">
        <v>1</v>
      </c>
      <c r="AW196">
        <v>1</v>
      </c>
      <c r="AZ196">
        <v>1</v>
      </c>
      <c r="BA196">
        <v>1</v>
      </c>
      <c r="BB196">
        <v>1</v>
      </c>
      <c r="BC196">
        <v>9.8800000000000008</v>
      </c>
      <c r="BD196" t="s">
        <v>3</v>
      </c>
      <c r="BE196" t="s">
        <v>3</v>
      </c>
      <c r="BF196" t="s">
        <v>3</v>
      </c>
      <c r="BG196" t="s">
        <v>3</v>
      </c>
      <c r="BH196">
        <v>3</v>
      </c>
      <c r="BI196">
        <v>1</v>
      </c>
      <c r="BJ196" t="s">
        <v>3</v>
      </c>
      <c r="BM196">
        <v>55</v>
      </c>
      <c r="BN196">
        <v>0</v>
      </c>
      <c r="BO196" t="s">
        <v>3</v>
      </c>
      <c r="BP196">
        <v>0</v>
      </c>
      <c r="BQ196">
        <v>30</v>
      </c>
      <c r="BR196">
        <v>0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 t="s">
        <v>3</v>
      </c>
      <c r="BZ196">
        <v>84</v>
      </c>
      <c r="CA196">
        <v>53</v>
      </c>
      <c r="CB196" t="s">
        <v>3</v>
      </c>
      <c r="CE196">
        <v>1566</v>
      </c>
      <c r="CF196">
        <v>0</v>
      </c>
      <c r="CG196">
        <v>0</v>
      </c>
      <c r="CM196">
        <v>0</v>
      </c>
      <c r="CN196" t="s">
        <v>3</v>
      </c>
      <c r="CO196">
        <v>0</v>
      </c>
      <c r="CP196">
        <f t="shared" si="170"/>
        <v>532.14</v>
      </c>
      <c r="CQ196">
        <f t="shared" si="171"/>
        <v>532.14</v>
      </c>
      <c r="CR196">
        <f>(ROUND((ROUND(((ET196)*AV196*1),2)*BB196),2)+ROUND((ROUND(((AE196-(EU196))*AV196*1),2)*BS196),2))</f>
        <v>0</v>
      </c>
      <c r="CS196">
        <f>(ROUND((ROUND(((EU196)*AV196*1),2)*BS196),2)+ROUND((ROUND(((AE196-(EU196))*AV196*1),2)*BS196),2))</f>
        <v>0</v>
      </c>
      <c r="CT196">
        <f t="shared" si="172"/>
        <v>0</v>
      </c>
      <c r="CU196">
        <f t="shared" si="173"/>
        <v>0</v>
      </c>
      <c r="CV196">
        <f t="shared" si="174"/>
        <v>0</v>
      </c>
      <c r="CW196">
        <f t="shared" si="175"/>
        <v>0</v>
      </c>
      <c r="CX196">
        <f t="shared" si="176"/>
        <v>0</v>
      </c>
      <c r="CY196">
        <f>(ROUND((((S196+ROUND((ROUND(((EU196)*AV196*1),2)*BS196),2))*AT196)/100),2)+ROUND(((ROUND((ROUND(((AE196-(EU196))*AV196*1),2)*BS196),2)*AT196)/100),2))</f>
        <v>0</v>
      </c>
      <c r="CZ196">
        <f>(ROUND((((S196+ROUND((ROUND(((EU196)*AV196*1),2)*BS196),2))*AU196)/100),2)+ROUND(((ROUND((ROUND(((AE196-(EU196))*AV196*1),2)*BS196),2)*AU196)/100),2))</f>
        <v>0</v>
      </c>
      <c r="DC196" t="s">
        <v>3</v>
      </c>
      <c r="DD196" t="s">
        <v>3</v>
      </c>
      <c r="DE196" t="s">
        <v>3</v>
      </c>
      <c r="DF196" t="s">
        <v>3</v>
      </c>
      <c r="DG196" t="s">
        <v>3</v>
      </c>
      <c r="DH196" t="s">
        <v>3</v>
      </c>
      <c r="DI196" t="s">
        <v>3</v>
      </c>
      <c r="DJ196" t="s">
        <v>3</v>
      </c>
      <c r="DK196" t="s">
        <v>3</v>
      </c>
      <c r="DL196" t="s">
        <v>3</v>
      </c>
      <c r="DM196" t="s">
        <v>3</v>
      </c>
      <c r="DN196">
        <v>0</v>
      </c>
      <c r="DO196">
        <v>0</v>
      </c>
      <c r="DP196">
        <v>1</v>
      </c>
      <c r="DQ196">
        <v>1</v>
      </c>
      <c r="DU196">
        <v>1010</v>
      </c>
      <c r="DV196" t="s">
        <v>124</v>
      </c>
      <c r="DW196" t="s">
        <v>124</v>
      </c>
      <c r="DX196">
        <v>1</v>
      </c>
      <c r="DZ196" t="s">
        <v>3</v>
      </c>
      <c r="EA196" t="s">
        <v>3</v>
      </c>
      <c r="EB196" t="s">
        <v>3</v>
      </c>
      <c r="EC196" t="s">
        <v>3</v>
      </c>
      <c r="EE196">
        <v>59298982</v>
      </c>
      <c r="EF196">
        <v>30</v>
      </c>
      <c r="EG196" t="s">
        <v>26</v>
      </c>
      <c r="EH196">
        <v>0</v>
      </c>
      <c r="EI196" t="s">
        <v>3</v>
      </c>
      <c r="EJ196">
        <v>1</v>
      </c>
      <c r="EK196">
        <v>55</v>
      </c>
      <c r="EL196" t="s">
        <v>152</v>
      </c>
      <c r="EM196" t="s">
        <v>153</v>
      </c>
      <c r="EO196" t="s">
        <v>3</v>
      </c>
      <c r="EQ196">
        <v>0</v>
      </c>
      <c r="ER196">
        <v>53.86</v>
      </c>
      <c r="ES196">
        <v>53.86</v>
      </c>
      <c r="ET196">
        <v>0</v>
      </c>
      <c r="EU196">
        <v>0</v>
      </c>
      <c r="EV196">
        <v>0</v>
      </c>
      <c r="EW196">
        <v>0</v>
      </c>
      <c r="EX196">
        <v>0</v>
      </c>
      <c r="EZ196">
        <v>5</v>
      </c>
      <c r="FC196">
        <v>1</v>
      </c>
      <c r="FD196">
        <v>18</v>
      </c>
      <c r="FF196">
        <v>626</v>
      </c>
      <c r="FQ196">
        <v>0</v>
      </c>
      <c r="FR196">
        <v>0</v>
      </c>
      <c r="FS196">
        <v>0</v>
      </c>
      <c r="FX196">
        <v>84</v>
      </c>
      <c r="FY196">
        <v>53</v>
      </c>
      <c r="GA196" t="s">
        <v>172</v>
      </c>
      <c r="GD196">
        <v>1</v>
      </c>
      <c r="GF196">
        <v>-221517403</v>
      </c>
      <c r="GG196">
        <v>2</v>
      </c>
      <c r="GH196">
        <v>3</v>
      </c>
      <c r="GI196">
        <v>3</v>
      </c>
      <c r="GJ196">
        <v>0</v>
      </c>
      <c r="GK196">
        <v>0</v>
      </c>
      <c r="GL196">
        <f t="shared" si="177"/>
        <v>0</v>
      </c>
      <c r="GM196">
        <f t="shared" si="178"/>
        <v>532.14</v>
      </c>
      <c r="GN196">
        <f t="shared" si="179"/>
        <v>532.14</v>
      </c>
      <c r="GO196">
        <f t="shared" si="180"/>
        <v>0</v>
      </c>
      <c r="GP196">
        <f t="shared" si="181"/>
        <v>0</v>
      </c>
      <c r="GR196">
        <v>1</v>
      </c>
      <c r="GS196">
        <v>1</v>
      </c>
      <c r="GT196">
        <v>0</v>
      </c>
      <c r="GU196" t="s">
        <v>3</v>
      </c>
      <c r="GV196">
        <f t="shared" si="182"/>
        <v>0</v>
      </c>
      <c r="GW196">
        <v>1</v>
      </c>
      <c r="GX196">
        <f t="shared" si="183"/>
        <v>0</v>
      </c>
      <c r="HA196">
        <v>0</v>
      </c>
      <c r="HB196">
        <v>0</v>
      </c>
      <c r="HC196">
        <f t="shared" si="184"/>
        <v>0</v>
      </c>
      <c r="HE196" t="s">
        <v>173</v>
      </c>
      <c r="HF196" t="s">
        <v>30</v>
      </c>
      <c r="HM196" t="s">
        <v>3</v>
      </c>
      <c r="HN196" t="s">
        <v>3</v>
      </c>
      <c r="HO196" t="s">
        <v>3</v>
      </c>
      <c r="HP196" t="s">
        <v>3</v>
      </c>
      <c r="HQ196" t="s">
        <v>3</v>
      </c>
      <c r="HS196">
        <v>0</v>
      </c>
      <c r="IK196">
        <v>0</v>
      </c>
    </row>
    <row r="197" spans="1:255" x14ac:dyDescent="0.2">
      <c r="A197" s="2">
        <v>17</v>
      </c>
      <c r="B197" s="2">
        <v>1</v>
      </c>
      <c r="C197" s="2">
        <f>ROW(SmtRes!A51)</f>
        <v>51</v>
      </c>
      <c r="D197" s="2">
        <f>ROW(EtalonRes!A59)</f>
        <v>59</v>
      </c>
      <c r="E197" s="2" t="s">
        <v>186</v>
      </c>
      <c r="F197" s="2" t="s">
        <v>149</v>
      </c>
      <c r="G197" s="2" t="s">
        <v>168</v>
      </c>
      <c r="H197" s="2" t="s">
        <v>37</v>
      </c>
      <c r="I197" s="2">
        <v>3</v>
      </c>
      <c r="J197" s="2">
        <v>0</v>
      </c>
      <c r="K197" s="2">
        <v>3</v>
      </c>
      <c r="L197" s="2"/>
      <c r="M197" s="2"/>
      <c r="N197" s="2"/>
      <c r="O197" s="2">
        <f t="shared" ref="O197:O228" si="185">ROUND(CP197,2)</f>
        <v>33.64</v>
      </c>
      <c r="P197" s="2">
        <f t="shared" ref="P197:P228" si="186">ROUND((ROUND((AC197*AW197*I197),2)*BC197),2)</f>
        <v>1.5</v>
      </c>
      <c r="Q197" s="2">
        <f>(ROUND((ROUND(((((ET197*1.25)*1.1))*AV197*I197),2)*BB197),2)+ROUND((ROUND(((AE197-(((EU197*1.25)*1.1)))*AV197*I197),2)*BS197),2))</f>
        <v>0</v>
      </c>
      <c r="R197" s="2">
        <f>(ROUND((ROUND(((((EU197*1.25)*1.1))*AV197*I197),2)*BS197),2)+ROUND((ROUND(((AE197-(((EU197*1.25)*1.1)))*AV197*I197),2)*BS197),2))</f>
        <v>0</v>
      </c>
      <c r="S197" s="2">
        <f t="shared" ref="S197:S228" si="187">ROUND((ROUND((AF197*AV197*I197),2)*BA197),2)</f>
        <v>32.14</v>
      </c>
      <c r="T197" s="2">
        <f t="shared" ref="T197:T228" si="188">ROUND(CU197*I197,2)</f>
        <v>0</v>
      </c>
      <c r="U197" s="2">
        <f t="shared" ref="U197:U228" si="189">CV197*I197</f>
        <v>2.1450857999999999</v>
      </c>
      <c r="V197" s="2">
        <f t="shared" ref="V197:V228" si="190">CW197*I197</f>
        <v>0</v>
      </c>
      <c r="W197" s="2">
        <f t="shared" ref="W197:W228" si="191">ROUND(CX197*I197,2)</f>
        <v>0</v>
      </c>
      <c r="X197" s="2">
        <f>(ROUND((((S197+ROUND((ROUND(((((EU197*1.25)*1.1))*AV197*I197),2)*BS197),2))*AT197)/100),2)+ROUND(((ROUND((ROUND(((AE197-(((EU197*1.25)*1.1)))*AV197*I197),2)*BS197),2)*AT197)/100),2))</f>
        <v>27</v>
      </c>
      <c r="Y197" s="2">
        <f>(ROUND((((S197+ROUND((ROUND(((((EU197*1.25)*1.1))*AV197*I197),2)*BS197),2))*AU197)/100),2)+ROUND(((ROUND((ROUND(((AE197-(((EU197*1.25)*1.1)))*AV197*I197),2)*BS197),2)*AU197)/100),2))</f>
        <v>17.03</v>
      </c>
      <c r="Z197" s="2"/>
      <c r="AA197" s="2">
        <v>59499218</v>
      </c>
      <c r="AB197" s="2">
        <f t="shared" ref="AB197:AB228" si="192">ROUND((AC197+AD197+AF197),6)</f>
        <v>10.35435</v>
      </c>
      <c r="AC197" s="2">
        <f t="shared" ref="AC197:AC228" si="193">ROUND((ES197),6)</f>
        <v>0.5</v>
      </c>
      <c r="AD197" s="2">
        <f>ROUND((((((ET197*1.25)*1.1))-(((EU197*1.25)*1.1)))+AE197),6)</f>
        <v>0</v>
      </c>
      <c r="AE197" s="2">
        <f>ROUND((((EU197*1.25)*1.1)),6)</f>
        <v>0</v>
      </c>
      <c r="AF197" s="2">
        <f>ROUND((((EV197*1.15)*1.1)),6)</f>
        <v>9.8543500000000002</v>
      </c>
      <c r="AG197" s="2">
        <f t="shared" ref="AG197:AG228" si="194">ROUND((AP197),6)</f>
        <v>0</v>
      </c>
      <c r="AH197" s="2">
        <f>(((EW197*1.15)*1.1))</f>
        <v>0.65780000000000005</v>
      </c>
      <c r="AI197" s="2">
        <f>(((EX197*1.25)*1.1))</f>
        <v>0</v>
      </c>
      <c r="AJ197" s="2">
        <f t="shared" ref="AJ197:AJ228" si="195">(AS197)</f>
        <v>0</v>
      </c>
      <c r="AK197" s="2">
        <v>8.2899999999999991</v>
      </c>
      <c r="AL197" s="2">
        <v>0.5</v>
      </c>
      <c r="AM197" s="2">
        <v>0</v>
      </c>
      <c r="AN197" s="2">
        <v>0</v>
      </c>
      <c r="AO197" s="2">
        <v>7.79</v>
      </c>
      <c r="AP197" s="2">
        <v>0</v>
      </c>
      <c r="AQ197" s="2">
        <v>0.52</v>
      </c>
      <c r="AR197" s="2">
        <v>0</v>
      </c>
      <c r="AS197" s="2">
        <v>0</v>
      </c>
      <c r="AT197" s="2">
        <v>84</v>
      </c>
      <c r="AU197" s="2">
        <v>53</v>
      </c>
      <c r="AV197" s="2">
        <v>1.087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0</v>
      </c>
      <c r="BI197" s="2">
        <v>1</v>
      </c>
      <c r="BJ197" s="2" t="s">
        <v>151</v>
      </c>
      <c r="BK197" s="2"/>
      <c r="BL197" s="2"/>
      <c r="BM197" s="2">
        <v>55</v>
      </c>
      <c r="BN197" s="2">
        <v>59298886</v>
      </c>
      <c r="BO197" s="2" t="s">
        <v>149</v>
      </c>
      <c r="BP197" s="2">
        <v>1</v>
      </c>
      <c r="BQ197" s="2">
        <v>30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84</v>
      </c>
      <c r="CA197" s="2">
        <v>53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375</v>
      </c>
      <c r="CO197" s="2">
        <v>0</v>
      </c>
      <c r="CP197" s="2">
        <f t="shared" ref="CP197:CP228" si="196">(P197+Q197+S197)</f>
        <v>33.64</v>
      </c>
      <c r="CQ197" s="2">
        <f t="shared" ref="CQ197:CQ228" si="197">ROUND((ROUND((AC197*AW197*1),2)*BC197),2)</f>
        <v>0.5</v>
      </c>
      <c r="CR197" s="2">
        <f>(ROUND((ROUND(((((ET197*1.25)*1.1))*AV197*1),2)*BB197),2)+ROUND((ROUND(((AE197-(((EU197*1.25)*1.1)))*AV197*1),2)*BS197),2))</f>
        <v>0</v>
      </c>
      <c r="CS197" s="2">
        <f>(ROUND((ROUND(((((EU197*1.25)*1.1))*AV197*1),2)*BS197),2)+ROUND((ROUND(((AE197-(((EU197*1.25)*1.1)))*AV197*1),2)*BS197),2))</f>
        <v>0</v>
      </c>
      <c r="CT197" s="2">
        <f t="shared" ref="CT197:CT228" si="198">ROUND((ROUND((AF197*AV197*1),2)*BA197),2)</f>
        <v>10.71</v>
      </c>
      <c r="CU197" s="2">
        <f t="shared" ref="CU197:CU228" si="199">AG197</f>
        <v>0</v>
      </c>
      <c r="CV197" s="2">
        <f t="shared" ref="CV197:CV228" si="200">(AH197*AV197)</f>
        <v>0.71502860000000001</v>
      </c>
      <c r="CW197" s="2">
        <f t="shared" ref="CW197:CW228" si="201">AI197</f>
        <v>0</v>
      </c>
      <c r="CX197" s="2">
        <f t="shared" ref="CX197:CX228" si="202">AJ197</f>
        <v>0</v>
      </c>
      <c r="CY197" s="2">
        <f>(ROUND((((S197+ROUND((ROUND(((((EU197*1.25)*1.1))*AV197*1),2)*BS197),2))*AT197)/100),2)+ROUND(((ROUND((ROUND(((AE197-(((EU197*1.25)*1.1)))*AV197*1),2)*BS197),2)*AT197)/100),2))</f>
        <v>27</v>
      </c>
      <c r="CZ197" s="2">
        <f>(ROUND((((S197+ROUND((ROUND(((((EU197*1.25)*1.1))*AV197*1),2)*BS197),2))*AU197)/100),2)+ROUND(((ROUND((ROUND(((AE197-(((EU197*1.25)*1.1)))*AV197*1),2)*BS197),2)*AU197)/100),2))</f>
        <v>17.03</v>
      </c>
      <c r="DA197" s="2"/>
      <c r="DB197" s="2">
        <v>53</v>
      </c>
      <c r="DC197" s="2" t="s">
        <v>3</v>
      </c>
      <c r="DD197" s="2" t="s">
        <v>3</v>
      </c>
      <c r="DE197" s="2" t="s">
        <v>39</v>
      </c>
      <c r="DF197" s="2" t="s">
        <v>39</v>
      </c>
      <c r="DG197" s="2" t="s">
        <v>40</v>
      </c>
      <c r="DH197" s="2" t="s">
        <v>3</v>
      </c>
      <c r="DI197" s="2" t="s">
        <v>40</v>
      </c>
      <c r="DJ197" s="2" t="s">
        <v>39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1013</v>
      </c>
      <c r="DV197" s="2" t="s">
        <v>37</v>
      </c>
      <c r="DW197" s="2" t="s">
        <v>37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59298982</v>
      </c>
      <c r="EF197" s="2">
        <v>30</v>
      </c>
      <c r="EG197" s="2" t="s">
        <v>26</v>
      </c>
      <c r="EH197" s="2">
        <v>0</v>
      </c>
      <c r="EI197" s="2" t="s">
        <v>3</v>
      </c>
      <c r="EJ197" s="2">
        <v>1</v>
      </c>
      <c r="EK197" s="2">
        <v>55</v>
      </c>
      <c r="EL197" s="2" t="s">
        <v>152</v>
      </c>
      <c r="EM197" s="2" t="s">
        <v>153</v>
      </c>
      <c r="EN197" s="2"/>
      <c r="EO197" s="2" t="s">
        <v>41</v>
      </c>
      <c r="EP197" s="2"/>
      <c r="EQ197" s="2">
        <v>0</v>
      </c>
      <c r="ER197" s="2">
        <v>8.2899999999999991</v>
      </c>
      <c r="ES197" s="2">
        <v>0.5</v>
      </c>
      <c r="ET197" s="2">
        <v>0</v>
      </c>
      <c r="EU197" s="2">
        <v>0</v>
      </c>
      <c r="EV197" s="2">
        <v>7.79</v>
      </c>
      <c r="EW197" s="2">
        <v>0.52</v>
      </c>
      <c r="EX197" s="2">
        <v>0</v>
      </c>
      <c r="EY197" s="2">
        <v>0</v>
      </c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84</v>
      </c>
      <c r="FY197" s="2">
        <v>53</v>
      </c>
      <c r="FZ197" s="2"/>
      <c r="GA197" s="2" t="s">
        <v>3</v>
      </c>
      <c r="GB197" s="2"/>
      <c r="GC197" s="2"/>
      <c r="GD197" s="2">
        <v>1</v>
      </c>
      <c r="GE197" s="2"/>
      <c r="GF197" s="2">
        <v>1745385659</v>
      </c>
      <c r="GG197" s="2">
        <v>2</v>
      </c>
      <c r="GH197" s="2">
        <v>1</v>
      </c>
      <c r="GI197" s="2">
        <v>2</v>
      </c>
      <c r="GJ197" s="2">
        <v>0</v>
      </c>
      <c r="GK197" s="2">
        <v>0</v>
      </c>
      <c r="GL197" s="2">
        <f t="shared" ref="GL197:GL228" si="203">ROUND(IF(AND(BH197=3,BI197=3,FS197&lt;&gt;0),P197,0),2)</f>
        <v>0</v>
      </c>
      <c r="GM197" s="2">
        <f t="shared" ref="GM197:GM228" si="204">ROUND(O197+X197+Y197,2)+GX197</f>
        <v>77.67</v>
      </c>
      <c r="GN197" s="2">
        <f t="shared" ref="GN197:GN228" si="205">IF(OR(BI197=0,BI197=1),GM197-GX197,0)</f>
        <v>77.67</v>
      </c>
      <c r="GO197" s="2">
        <f t="shared" ref="GO197:GO228" si="206">IF(BI197=2,GM197-GX197,0)</f>
        <v>0</v>
      </c>
      <c r="GP197" s="2">
        <f t="shared" ref="GP197:GP228" si="207">IF(BI197=4,GM197-GX197,0)</f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ref="GV197:GV228" si="208">ROUND((GT197),6)</f>
        <v>0</v>
      </c>
      <c r="GW197" s="2">
        <v>1</v>
      </c>
      <c r="GX197" s="2">
        <f t="shared" ref="GX197:GX228" si="209">ROUND(HC197*I197,2)</f>
        <v>0</v>
      </c>
      <c r="GY197" s="2"/>
      <c r="GZ197" s="2"/>
      <c r="HA197" s="2">
        <v>0</v>
      </c>
      <c r="HB197" s="2">
        <v>0</v>
      </c>
      <c r="HC197" s="2">
        <f t="shared" ref="HC197:HC228" si="210">GV197*GW197</f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3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">
      <c r="A198">
        <v>17</v>
      </c>
      <c r="B198">
        <v>1</v>
      </c>
      <c r="C198">
        <f>ROW(SmtRes!A54)</f>
        <v>54</v>
      </c>
      <c r="D198">
        <f>ROW(EtalonRes!A62)</f>
        <v>62</v>
      </c>
      <c r="E198" t="s">
        <v>186</v>
      </c>
      <c r="F198" t="s">
        <v>149</v>
      </c>
      <c r="G198" t="s">
        <v>168</v>
      </c>
      <c r="H198" t="s">
        <v>37</v>
      </c>
      <c r="I198">
        <v>3</v>
      </c>
      <c r="J198">
        <v>0</v>
      </c>
      <c r="K198">
        <v>3</v>
      </c>
      <c r="O198">
        <f t="shared" si="185"/>
        <v>1791.23</v>
      </c>
      <c r="P198">
        <f t="shared" si="186"/>
        <v>23.85</v>
      </c>
      <c r="Q198">
        <f>(ROUND((ROUND(((((ET198*1.25)*1.1))*AV198*I198),2)*BB198),2)+ROUND((ROUND(((AE198-(((EU198*1.25)*1.1)))*AV198*I198),2)*BS198),2))</f>
        <v>0</v>
      </c>
      <c r="R198">
        <f>(ROUND((ROUND(((((EU198*1.25)*1.1))*AV198*I198),2)*BS198),2)+ROUND((ROUND(((AE198-(((EU198*1.25)*1.1)))*AV198*I198),2)*BS198),2))</f>
        <v>0</v>
      </c>
      <c r="S198">
        <f t="shared" si="187"/>
        <v>1767.38</v>
      </c>
      <c r="T198">
        <f t="shared" si="188"/>
        <v>0</v>
      </c>
      <c r="U198">
        <f t="shared" si="189"/>
        <v>2.1450857999999999</v>
      </c>
      <c r="V198">
        <f t="shared" si="190"/>
        <v>0</v>
      </c>
      <c r="W198">
        <f t="shared" si="191"/>
        <v>0</v>
      </c>
      <c r="X198">
        <f>(ROUND((((S198+ROUND((ROUND(((((EU198*1.25)*1.1))*AV198*I198),2)*BS198),2))*AT198)/100),2)+ROUND(((ROUND((ROUND(((AE198-(((EU198*1.25)*1.1)))*AV198*I198),2)*BS198),2)*AT198)/100),2))</f>
        <v>1484.6</v>
      </c>
      <c r="Y198">
        <f>(ROUND((((S198+ROUND((ROUND(((((EU198*1.25)*1.1))*AV198*I198),2)*BS198),2))*AU198)/100),2)+ROUND(((ROUND((ROUND(((AE198-(((EU198*1.25)*1.1)))*AV198*I198),2)*BS198),2)*AU198)/100),2))</f>
        <v>936.71</v>
      </c>
      <c r="AA198">
        <v>59499215</v>
      </c>
      <c r="AB198">
        <f t="shared" si="192"/>
        <v>10.35435</v>
      </c>
      <c r="AC198">
        <f t="shared" si="193"/>
        <v>0.5</v>
      </c>
      <c r="AD198">
        <f>ROUND((((((ET198*1.25)*1.1))-(((EU198*1.25)*1.1)))+AE198),6)</f>
        <v>0</v>
      </c>
      <c r="AE198">
        <f>ROUND((((EU198*1.25)*1.1)),6)</f>
        <v>0</v>
      </c>
      <c r="AF198">
        <f>ROUND((((EV198*1.15)*1.1)),6)</f>
        <v>9.8543500000000002</v>
      </c>
      <c r="AG198">
        <f t="shared" si="194"/>
        <v>0</v>
      </c>
      <c r="AH198">
        <f>(((EW198*1.15)*1.1))</f>
        <v>0.65780000000000005</v>
      </c>
      <c r="AI198">
        <f>(((EX198*1.25)*1.1))</f>
        <v>0</v>
      </c>
      <c r="AJ198">
        <f t="shared" si="195"/>
        <v>0</v>
      </c>
      <c r="AK198">
        <v>8.2899999999999991</v>
      </c>
      <c r="AL198">
        <v>0.5</v>
      </c>
      <c r="AM198">
        <v>0</v>
      </c>
      <c r="AN198">
        <v>0</v>
      </c>
      <c r="AO198">
        <v>7.79</v>
      </c>
      <c r="AP198">
        <v>0</v>
      </c>
      <c r="AQ198">
        <v>0.52</v>
      </c>
      <c r="AR198">
        <v>0</v>
      </c>
      <c r="AS198">
        <v>0</v>
      </c>
      <c r="AT198">
        <v>84</v>
      </c>
      <c r="AU198">
        <v>53</v>
      </c>
      <c r="AV198">
        <v>1.087</v>
      </c>
      <c r="AW198">
        <v>1</v>
      </c>
      <c r="AZ198">
        <v>1</v>
      </c>
      <c r="BA198">
        <v>54.99</v>
      </c>
      <c r="BB198">
        <v>1</v>
      </c>
      <c r="BC198">
        <v>15.9</v>
      </c>
      <c r="BD198" t="s">
        <v>3</v>
      </c>
      <c r="BE198" t="s">
        <v>3</v>
      </c>
      <c r="BF198" t="s">
        <v>3</v>
      </c>
      <c r="BG198" t="s">
        <v>3</v>
      </c>
      <c r="BH198">
        <v>0</v>
      </c>
      <c r="BI198">
        <v>1</v>
      </c>
      <c r="BJ198" t="s">
        <v>151</v>
      </c>
      <c r="BM198">
        <v>55</v>
      </c>
      <c r="BN198">
        <v>59298886</v>
      </c>
      <c r="BO198" t="s">
        <v>149</v>
      </c>
      <c r="BP198">
        <v>1</v>
      </c>
      <c r="BQ198">
        <v>30</v>
      </c>
      <c r="BR198">
        <v>0</v>
      </c>
      <c r="BS198">
        <v>54.99</v>
      </c>
      <c r="BT198">
        <v>1</v>
      </c>
      <c r="BU198">
        <v>1</v>
      </c>
      <c r="BV198">
        <v>1</v>
      </c>
      <c r="BW198">
        <v>1</v>
      </c>
      <c r="BX198">
        <v>1</v>
      </c>
      <c r="BY198" t="s">
        <v>3</v>
      </c>
      <c r="BZ198">
        <v>84</v>
      </c>
      <c r="CA198">
        <v>53</v>
      </c>
      <c r="CB198" t="s">
        <v>3</v>
      </c>
      <c r="CE198">
        <v>1566</v>
      </c>
      <c r="CF198">
        <v>0</v>
      </c>
      <c r="CG198">
        <v>0</v>
      </c>
      <c r="CM198">
        <v>0</v>
      </c>
      <c r="CN198" t="s">
        <v>375</v>
      </c>
      <c r="CO198">
        <v>0</v>
      </c>
      <c r="CP198">
        <f t="shared" si="196"/>
        <v>1791.23</v>
      </c>
      <c r="CQ198">
        <f t="shared" si="197"/>
        <v>7.95</v>
      </c>
      <c r="CR198">
        <f>(ROUND((ROUND(((((ET198*1.25)*1.1))*AV198*1),2)*BB198),2)+ROUND((ROUND(((AE198-(((EU198*1.25)*1.1)))*AV198*1),2)*BS198),2))</f>
        <v>0</v>
      </c>
      <c r="CS198">
        <f>(ROUND((ROUND(((((EU198*1.25)*1.1))*AV198*1),2)*BS198),2)+ROUND((ROUND(((AE198-(((EU198*1.25)*1.1)))*AV198*1),2)*BS198),2))</f>
        <v>0</v>
      </c>
      <c r="CT198">
        <f t="shared" si="198"/>
        <v>588.94000000000005</v>
      </c>
      <c r="CU198">
        <f t="shared" si="199"/>
        <v>0</v>
      </c>
      <c r="CV198">
        <f t="shared" si="200"/>
        <v>0.71502860000000001</v>
      </c>
      <c r="CW198">
        <f t="shared" si="201"/>
        <v>0</v>
      </c>
      <c r="CX198">
        <f t="shared" si="202"/>
        <v>0</v>
      </c>
      <c r="CY198">
        <f>(ROUND((((S198+ROUND((ROUND(((((EU198*1.25)*1.1))*AV198*1),2)*BS198),2))*AT198)/100),2)+ROUND(((ROUND((ROUND(((AE198-(((EU198*1.25)*1.1)))*AV198*1),2)*BS198),2)*AT198)/100),2))</f>
        <v>1484.6</v>
      </c>
      <c r="CZ198">
        <f>(ROUND((((S198+ROUND((ROUND(((((EU198*1.25)*1.1))*AV198*1),2)*BS198),2))*AU198)/100),2)+ROUND(((ROUND((ROUND(((AE198-(((EU198*1.25)*1.1)))*AV198*1),2)*BS198),2)*AU198)/100),2))</f>
        <v>936.71</v>
      </c>
      <c r="DB198">
        <v>55</v>
      </c>
      <c r="DC198" t="s">
        <v>3</v>
      </c>
      <c r="DD198" t="s">
        <v>3</v>
      </c>
      <c r="DE198" t="s">
        <v>39</v>
      </c>
      <c r="DF198" t="s">
        <v>39</v>
      </c>
      <c r="DG198" t="s">
        <v>40</v>
      </c>
      <c r="DH198" t="s">
        <v>3</v>
      </c>
      <c r="DI198" t="s">
        <v>40</v>
      </c>
      <c r="DJ198" t="s">
        <v>39</v>
      </c>
      <c r="DK198" t="s">
        <v>3</v>
      </c>
      <c r="DL198" t="s">
        <v>3</v>
      </c>
      <c r="DM198" t="s">
        <v>3</v>
      </c>
      <c r="DN198">
        <v>0</v>
      </c>
      <c r="DO198">
        <v>0</v>
      </c>
      <c r="DP198">
        <v>1</v>
      </c>
      <c r="DQ198">
        <v>1</v>
      </c>
      <c r="DU198">
        <v>1013</v>
      </c>
      <c r="DV198" t="s">
        <v>37</v>
      </c>
      <c r="DW198" t="s">
        <v>37</v>
      </c>
      <c r="DX198">
        <v>1</v>
      </c>
      <c r="DZ198" t="s">
        <v>3</v>
      </c>
      <c r="EA198" t="s">
        <v>3</v>
      </c>
      <c r="EB198" t="s">
        <v>3</v>
      </c>
      <c r="EC198" t="s">
        <v>3</v>
      </c>
      <c r="EE198">
        <v>59298982</v>
      </c>
      <c r="EF198">
        <v>30</v>
      </c>
      <c r="EG198" t="s">
        <v>26</v>
      </c>
      <c r="EH198">
        <v>0</v>
      </c>
      <c r="EI198" t="s">
        <v>3</v>
      </c>
      <c r="EJ198">
        <v>1</v>
      </c>
      <c r="EK198">
        <v>55</v>
      </c>
      <c r="EL198" t="s">
        <v>152</v>
      </c>
      <c r="EM198" t="s">
        <v>153</v>
      </c>
      <c r="EO198" t="s">
        <v>41</v>
      </c>
      <c r="EQ198">
        <v>0</v>
      </c>
      <c r="ER198">
        <v>8.2899999999999991</v>
      </c>
      <c r="ES198">
        <v>0.5</v>
      </c>
      <c r="ET198">
        <v>0</v>
      </c>
      <c r="EU198">
        <v>0</v>
      </c>
      <c r="EV198">
        <v>7.79</v>
      </c>
      <c r="EW198">
        <v>0.52</v>
      </c>
      <c r="EX198">
        <v>0</v>
      </c>
      <c r="EY198">
        <v>0</v>
      </c>
      <c r="FQ198">
        <v>0</v>
      </c>
      <c r="FR198">
        <v>0</v>
      </c>
      <c r="FS198">
        <v>0</v>
      </c>
      <c r="FX198">
        <v>84</v>
      </c>
      <c r="FY198">
        <v>53</v>
      </c>
      <c r="GA198" t="s">
        <v>3</v>
      </c>
      <c r="GD198">
        <v>1</v>
      </c>
      <c r="GF198">
        <v>1745385659</v>
      </c>
      <c r="GG198">
        <v>2</v>
      </c>
      <c r="GH198">
        <v>1</v>
      </c>
      <c r="GI198">
        <v>2</v>
      </c>
      <c r="GJ198">
        <v>0</v>
      </c>
      <c r="GK198">
        <v>0</v>
      </c>
      <c r="GL198">
        <f t="shared" si="203"/>
        <v>0</v>
      </c>
      <c r="GM198">
        <f t="shared" si="204"/>
        <v>4212.54</v>
      </c>
      <c r="GN198">
        <f t="shared" si="205"/>
        <v>4212.54</v>
      </c>
      <c r="GO198">
        <f t="shared" si="206"/>
        <v>0</v>
      </c>
      <c r="GP198">
        <f t="shared" si="207"/>
        <v>0</v>
      </c>
      <c r="GR198">
        <v>0</v>
      </c>
      <c r="GS198">
        <v>3</v>
      </c>
      <c r="GT198">
        <v>0</v>
      </c>
      <c r="GU198" t="s">
        <v>3</v>
      </c>
      <c r="GV198">
        <f t="shared" si="208"/>
        <v>0</v>
      </c>
      <c r="GW198">
        <v>1</v>
      </c>
      <c r="GX198">
        <f t="shared" si="209"/>
        <v>0</v>
      </c>
      <c r="HA198">
        <v>0</v>
      </c>
      <c r="HB198">
        <v>0</v>
      </c>
      <c r="HC198">
        <f t="shared" si="210"/>
        <v>0</v>
      </c>
      <c r="HE198" t="s">
        <v>3</v>
      </c>
      <c r="HF198" t="s">
        <v>3</v>
      </c>
      <c r="HM198" t="s">
        <v>3</v>
      </c>
      <c r="HN198" t="s">
        <v>3</v>
      </c>
      <c r="HO198" t="s">
        <v>3</v>
      </c>
      <c r="HP198" t="s">
        <v>3</v>
      </c>
      <c r="HQ198" t="s">
        <v>3</v>
      </c>
      <c r="HS198">
        <v>0</v>
      </c>
      <c r="IK198">
        <v>0</v>
      </c>
    </row>
    <row r="199" spans="1:255" x14ac:dyDescent="0.2">
      <c r="A199" s="2">
        <v>18</v>
      </c>
      <c r="B199" s="2">
        <v>1</v>
      </c>
      <c r="C199" s="2">
        <v>51</v>
      </c>
      <c r="D199" s="2"/>
      <c r="E199" s="2" t="s">
        <v>187</v>
      </c>
      <c r="F199" s="2" t="s">
        <v>188</v>
      </c>
      <c r="G199" s="2" t="s">
        <v>189</v>
      </c>
      <c r="H199" s="2" t="s">
        <v>124</v>
      </c>
      <c r="I199" s="2">
        <f>I197*J199</f>
        <v>3</v>
      </c>
      <c r="J199" s="2">
        <v>1</v>
      </c>
      <c r="K199" s="2">
        <v>1</v>
      </c>
      <c r="L199" s="2"/>
      <c r="M199" s="2"/>
      <c r="N199" s="2"/>
      <c r="O199" s="2">
        <f t="shared" si="185"/>
        <v>161.58000000000001</v>
      </c>
      <c r="P199" s="2">
        <f t="shared" si="186"/>
        <v>161.58000000000001</v>
      </c>
      <c r="Q199" s="2">
        <f>(ROUND((ROUND(((ET199)*AV199*I199),2)*BB199),2)+ROUND((ROUND(((AE199-(EU199))*AV199*I199),2)*BS199),2))</f>
        <v>0</v>
      </c>
      <c r="R199" s="2">
        <f>(ROUND((ROUND(((EU199)*AV199*I199),2)*BS199),2)+ROUND((ROUND(((AE199-(EU199))*AV199*I199),2)*BS199),2))</f>
        <v>0</v>
      </c>
      <c r="S199" s="2">
        <f t="shared" si="187"/>
        <v>0</v>
      </c>
      <c r="T199" s="2">
        <f t="shared" si="188"/>
        <v>0</v>
      </c>
      <c r="U199" s="2">
        <f t="shared" si="189"/>
        <v>0</v>
      </c>
      <c r="V199" s="2">
        <f t="shared" si="190"/>
        <v>0</v>
      </c>
      <c r="W199" s="2">
        <f t="shared" si="191"/>
        <v>0</v>
      </c>
      <c r="X199" s="2">
        <f>(ROUND((((S199+ROUND((ROUND(((EU199)*AV199*I199),2)*BS199),2))*AT199)/100),2)+ROUND(((ROUND((ROUND(((AE199-(EU199))*AV199*I199),2)*BS199),2)*AT199)/100),2))</f>
        <v>0</v>
      </c>
      <c r="Y199" s="2">
        <f>(ROUND((((S199+ROUND((ROUND(((EU199)*AV199*I199),2)*BS199),2))*AU199)/100),2)+ROUND(((ROUND((ROUND(((AE199-(EU199))*AV199*I199),2)*BS199),2)*AU199)/100),2))</f>
        <v>0</v>
      </c>
      <c r="Z199" s="2"/>
      <c r="AA199" s="2">
        <v>59499218</v>
      </c>
      <c r="AB199" s="2">
        <f t="shared" si="192"/>
        <v>53.86</v>
      </c>
      <c r="AC199" s="2">
        <f t="shared" si="193"/>
        <v>53.86</v>
      </c>
      <c r="AD199" s="2">
        <f>ROUND((((ET199)-(EU199))+AE199),6)</f>
        <v>0</v>
      </c>
      <c r="AE199" s="2">
        <f>ROUND((EU199),6)</f>
        <v>0</v>
      </c>
      <c r="AF199" s="2">
        <f>ROUND((EV199),6)</f>
        <v>0</v>
      </c>
      <c r="AG199" s="2">
        <f t="shared" si="194"/>
        <v>0</v>
      </c>
      <c r="AH199" s="2">
        <f>(EW199)</f>
        <v>0</v>
      </c>
      <c r="AI199" s="2">
        <f>(EX199)</f>
        <v>0</v>
      </c>
      <c r="AJ199" s="2">
        <f t="shared" si="195"/>
        <v>0</v>
      </c>
      <c r="AK199" s="2">
        <v>53.86</v>
      </c>
      <c r="AL199" s="2">
        <v>53.86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84</v>
      </c>
      <c r="AU199" s="2">
        <v>53</v>
      </c>
      <c r="AV199" s="2">
        <v>1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3</v>
      </c>
      <c r="BI199" s="2">
        <v>1</v>
      </c>
      <c r="BJ199" s="2" t="s">
        <v>3</v>
      </c>
      <c r="BK199" s="2"/>
      <c r="BL199" s="2"/>
      <c r="BM199" s="2">
        <v>55</v>
      </c>
      <c r="BN199" s="2">
        <v>0</v>
      </c>
      <c r="BO199" s="2" t="s">
        <v>3</v>
      </c>
      <c r="BP199" s="2">
        <v>0</v>
      </c>
      <c r="BQ199" s="2">
        <v>30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84</v>
      </c>
      <c r="CA199" s="2">
        <v>53</v>
      </c>
      <c r="CB199" s="2" t="s">
        <v>3</v>
      </c>
      <c r="CC199" s="2"/>
      <c r="CD199" s="2"/>
      <c r="CE199" s="2">
        <v>1566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3</v>
      </c>
      <c r="CO199" s="2">
        <v>0</v>
      </c>
      <c r="CP199" s="2">
        <f t="shared" si="196"/>
        <v>161.58000000000001</v>
      </c>
      <c r="CQ199" s="2">
        <f t="shared" si="197"/>
        <v>53.86</v>
      </c>
      <c r="CR199" s="2">
        <f>(ROUND((ROUND(((ET199)*AV199*1),2)*BB199),2)+ROUND((ROUND(((AE199-(EU199))*AV199*1),2)*BS199),2))</f>
        <v>0</v>
      </c>
      <c r="CS199" s="2">
        <f>(ROUND((ROUND(((EU199)*AV199*1),2)*BS199),2)+ROUND((ROUND(((AE199-(EU199))*AV199*1),2)*BS199),2))</f>
        <v>0</v>
      </c>
      <c r="CT199" s="2">
        <f t="shared" si="198"/>
        <v>0</v>
      </c>
      <c r="CU199" s="2">
        <f t="shared" si="199"/>
        <v>0</v>
      </c>
      <c r="CV199" s="2">
        <f t="shared" si="200"/>
        <v>0</v>
      </c>
      <c r="CW199" s="2">
        <f t="shared" si="201"/>
        <v>0</v>
      </c>
      <c r="CX199" s="2">
        <f t="shared" si="202"/>
        <v>0</v>
      </c>
      <c r="CY199" s="2">
        <f>(ROUND((((S199+ROUND((ROUND(((EU199)*AV199*1),2)*BS199),2))*AT199)/100),2)+ROUND(((ROUND((ROUND(((AE199-(EU199))*AV199*1),2)*BS199),2)*AT199)/100),2))</f>
        <v>0</v>
      </c>
      <c r="CZ199" s="2">
        <f>(ROUND((((S199+ROUND((ROUND(((EU199)*AV199*1),2)*BS199),2))*AU199)/100),2)+ROUND(((ROUND((ROUND(((AE199-(EU199))*AV199*1),2)*BS199),2)*AU199)/100),2))</f>
        <v>0</v>
      </c>
      <c r="DA199" s="2"/>
      <c r="DB199" s="2"/>
      <c r="DC199" s="2" t="s">
        <v>3</v>
      </c>
      <c r="DD199" s="2" t="s">
        <v>3</v>
      </c>
      <c r="DE199" s="2" t="s">
        <v>3</v>
      </c>
      <c r="DF199" s="2" t="s">
        <v>3</v>
      </c>
      <c r="DG199" s="2" t="s">
        <v>3</v>
      </c>
      <c r="DH199" s="2" t="s">
        <v>3</v>
      </c>
      <c r="DI199" s="2" t="s">
        <v>3</v>
      </c>
      <c r="DJ199" s="2" t="s">
        <v>3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1010</v>
      </c>
      <c r="DV199" s="2" t="s">
        <v>124</v>
      </c>
      <c r="DW199" s="2" t="s">
        <v>124</v>
      </c>
      <c r="DX199" s="2">
        <v>1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59298982</v>
      </c>
      <c r="EF199" s="2">
        <v>30</v>
      </c>
      <c r="EG199" s="2" t="s">
        <v>26</v>
      </c>
      <c r="EH199" s="2">
        <v>0</v>
      </c>
      <c r="EI199" s="2" t="s">
        <v>3</v>
      </c>
      <c r="EJ199" s="2">
        <v>1</v>
      </c>
      <c r="EK199" s="2">
        <v>55</v>
      </c>
      <c r="EL199" s="2" t="s">
        <v>152</v>
      </c>
      <c r="EM199" s="2" t="s">
        <v>153</v>
      </c>
      <c r="EN199" s="2"/>
      <c r="EO199" s="2" t="s">
        <v>3</v>
      </c>
      <c r="EP199" s="2"/>
      <c r="EQ199" s="2">
        <v>0</v>
      </c>
      <c r="ER199" s="2">
        <v>0</v>
      </c>
      <c r="ES199" s="2">
        <v>53.86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v>0</v>
      </c>
      <c r="FS199" s="2">
        <v>0</v>
      </c>
      <c r="FT199" s="2"/>
      <c r="FU199" s="2"/>
      <c r="FV199" s="2"/>
      <c r="FW199" s="2"/>
      <c r="FX199" s="2">
        <v>84</v>
      </c>
      <c r="FY199" s="2">
        <v>53</v>
      </c>
      <c r="FZ199" s="2"/>
      <c r="GA199" s="2" t="s">
        <v>172</v>
      </c>
      <c r="GB199" s="2"/>
      <c r="GC199" s="2"/>
      <c r="GD199" s="2">
        <v>1</v>
      </c>
      <c r="GE199" s="2"/>
      <c r="GF199" s="2">
        <v>934536702</v>
      </c>
      <c r="GG199" s="2">
        <v>2</v>
      </c>
      <c r="GH199" s="2">
        <v>4</v>
      </c>
      <c r="GI199" s="2">
        <v>-2</v>
      </c>
      <c r="GJ199" s="2">
        <v>0</v>
      </c>
      <c r="GK199" s="2">
        <v>0</v>
      </c>
      <c r="GL199" s="2">
        <f t="shared" si="203"/>
        <v>0</v>
      </c>
      <c r="GM199" s="2">
        <f t="shared" si="204"/>
        <v>161.58000000000001</v>
      </c>
      <c r="GN199" s="2">
        <f t="shared" si="205"/>
        <v>161.58000000000001</v>
      </c>
      <c r="GO199" s="2">
        <f t="shared" si="206"/>
        <v>0</v>
      </c>
      <c r="GP199" s="2">
        <f t="shared" si="207"/>
        <v>0</v>
      </c>
      <c r="GQ199" s="2"/>
      <c r="GR199" s="2">
        <v>0</v>
      </c>
      <c r="GS199" s="2">
        <v>2</v>
      </c>
      <c r="GT199" s="2">
        <v>0</v>
      </c>
      <c r="GU199" s="2" t="s">
        <v>3</v>
      </c>
      <c r="GV199" s="2">
        <f t="shared" si="208"/>
        <v>0</v>
      </c>
      <c r="GW199" s="2">
        <v>1</v>
      </c>
      <c r="GX199" s="2">
        <f t="shared" si="209"/>
        <v>0</v>
      </c>
      <c r="GY199" s="2"/>
      <c r="GZ199" s="2"/>
      <c r="HA199" s="2">
        <v>0</v>
      </c>
      <c r="HB199" s="2">
        <v>0</v>
      </c>
      <c r="HC199" s="2">
        <f t="shared" si="210"/>
        <v>0</v>
      </c>
      <c r="HD199" s="2"/>
      <c r="HE199" s="2" t="s">
        <v>173</v>
      </c>
      <c r="HF199" s="2" t="s">
        <v>30</v>
      </c>
      <c r="HG199" s="2"/>
      <c r="HH199" s="2"/>
      <c r="HI199" s="2"/>
      <c r="HJ199" s="2"/>
      <c r="HK199" s="2"/>
      <c r="HL199" s="2"/>
      <c r="HM199" s="2" t="s">
        <v>3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">
      <c r="A200">
        <v>18</v>
      </c>
      <c r="B200">
        <v>1</v>
      </c>
      <c r="C200">
        <v>54</v>
      </c>
      <c r="E200" t="s">
        <v>187</v>
      </c>
      <c r="F200" t="s">
        <v>188</v>
      </c>
      <c r="G200" t="s">
        <v>189</v>
      </c>
      <c r="H200" t="s">
        <v>124</v>
      </c>
      <c r="I200">
        <f>I198*J200</f>
        <v>3</v>
      </c>
      <c r="J200">
        <v>1</v>
      </c>
      <c r="K200">
        <v>1</v>
      </c>
      <c r="O200">
        <f t="shared" si="185"/>
        <v>1596.41</v>
      </c>
      <c r="P200">
        <f t="shared" si="186"/>
        <v>1596.41</v>
      </c>
      <c r="Q200">
        <f>(ROUND((ROUND(((ET200)*AV200*I200),2)*BB200),2)+ROUND((ROUND(((AE200-(EU200))*AV200*I200),2)*BS200),2))</f>
        <v>0</v>
      </c>
      <c r="R200">
        <f>(ROUND((ROUND(((EU200)*AV200*I200),2)*BS200),2)+ROUND((ROUND(((AE200-(EU200))*AV200*I200),2)*BS200),2))</f>
        <v>0</v>
      </c>
      <c r="S200">
        <f t="shared" si="187"/>
        <v>0</v>
      </c>
      <c r="T200">
        <f t="shared" si="188"/>
        <v>0</v>
      </c>
      <c r="U200">
        <f t="shared" si="189"/>
        <v>0</v>
      </c>
      <c r="V200">
        <f t="shared" si="190"/>
        <v>0</v>
      </c>
      <c r="W200">
        <f t="shared" si="191"/>
        <v>0</v>
      </c>
      <c r="X200">
        <f>(ROUND((((S200+ROUND((ROUND(((EU200)*AV200*I200),2)*BS200),2))*AT200)/100),2)+ROUND(((ROUND((ROUND(((AE200-(EU200))*AV200*I200),2)*BS200),2)*AT200)/100),2))</f>
        <v>0</v>
      </c>
      <c r="Y200">
        <f>(ROUND((((S200+ROUND((ROUND(((EU200)*AV200*I200),2)*BS200),2))*AU200)/100),2)+ROUND(((ROUND((ROUND(((AE200-(EU200))*AV200*I200),2)*BS200),2)*AU200)/100),2))</f>
        <v>0</v>
      </c>
      <c r="AA200">
        <v>59499215</v>
      </c>
      <c r="AB200">
        <f t="shared" si="192"/>
        <v>53.86</v>
      </c>
      <c r="AC200">
        <f t="shared" si="193"/>
        <v>53.86</v>
      </c>
      <c r="AD200">
        <f>ROUND((((ET200)-(EU200))+AE200),6)</f>
        <v>0</v>
      </c>
      <c r="AE200">
        <f>ROUND((EU200),6)</f>
        <v>0</v>
      </c>
      <c r="AF200">
        <f>ROUND((EV200),6)</f>
        <v>0</v>
      </c>
      <c r="AG200">
        <f t="shared" si="194"/>
        <v>0</v>
      </c>
      <c r="AH200">
        <f>(EW200)</f>
        <v>0</v>
      </c>
      <c r="AI200">
        <f>(EX200)</f>
        <v>0</v>
      </c>
      <c r="AJ200">
        <f t="shared" si="195"/>
        <v>0</v>
      </c>
      <c r="AK200">
        <v>53.86</v>
      </c>
      <c r="AL200">
        <v>53.86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84</v>
      </c>
      <c r="AU200">
        <v>53</v>
      </c>
      <c r="AV200">
        <v>1</v>
      </c>
      <c r="AW200">
        <v>1</v>
      </c>
      <c r="AZ200">
        <v>1</v>
      </c>
      <c r="BA200">
        <v>1</v>
      </c>
      <c r="BB200">
        <v>1</v>
      </c>
      <c r="BC200">
        <v>9.8800000000000008</v>
      </c>
      <c r="BD200" t="s">
        <v>3</v>
      </c>
      <c r="BE200" t="s">
        <v>3</v>
      </c>
      <c r="BF200" t="s">
        <v>3</v>
      </c>
      <c r="BG200" t="s">
        <v>3</v>
      </c>
      <c r="BH200">
        <v>3</v>
      </c>
      <c r="BI200">
        <v>1</v>
      </c>
      <c r="BJ200" t="s">
        <v>3</v>
      </c>
      <c r="BM200">
        <v>55</v>
      </c>
      <c r="BN200">
        <v>0</v>
      </c>
      <c r="BO200" t="s">
        <v>3</v>
      </c>
      <c r="BP200">
        <v>0</v>
      </c>
      <c r="BQ200">
        <v>30</v>
      </c>
      <c r="BR200">
        <v>0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 t="s">
        <v>3</v>
      </c>
      <c r="BZ200">
        <v>84</v>
      </c>
      <c r="CA200">
        <v>53</v>
      </c>
      <c r="CB200" t="s">
        <v>3</v>
      </c>
      <c r="CE200">
        <v>1566</v>
      </c>
      <c r="CF200">
        <v>0</v>
      </c>
      <c r="CG200">
        <v>0</v>
      </c>
      <c r="CM200">
        <v>0</v>
      </c>
      <c r="CN200" t="s">
        <v>3</v>
      </c>
      <c r="CO200">
        <v>0</v>
      </c>
      <c r="CP200">
        <f t="shared" si="196"/>
        <v>1596.41</v>
      </c>
      <c r="CQ200">
        <f t="shared" si="197"/>
        <v>532.14</v>
      </c>
      <c r="CR200">
        <f>(ROUND((ROUND(((ET200)*AV200*1),2)*BB200),2)+ROUND((ROUND(((AE200-(EU200))*AV200*1),2)*BS200),2))</f>
        <v>0</v>
      </c>
      <c r="CS200">
        <f>(ROUND((ROUND(((EU200)*AV200*1),2)*BS200),2)+ROUND((ROUND(((AE200-(EU200))*AV200*1),2)*BS200),2))</f>
        <v>0</v>
      </c>
      <c r="CT200">
        <f t="shared" si="198"/>
        <v>0</v>
      </c>
      <c r="CU200">
        <f t="shared" si="199"/>
        <v>0</v>
      </c>
      <c r="CV200">
        <f t="shared" si="200"/>
        <v>0</v>
      </c>
      <c r="CW200">
        <f t="shared" si="201"/>
        <v>0</v>
      </c>
      <c r="CX200">
        <f t="shared" si="202"/>
        <v>0</v>
      </c>
      <c r="CY200">
        <f>(ROUND((((S200+ROUND((ROUND(((EU200)*AV200*1),2)*BS200),2))*AT200)/100),2)+ROUND(((ROUND((ROUND(((AE200-(EU200))*AV200*1),2)*BS200),2)*AT200)/100),2))</f>
        <v>0</v>
      </c>
      <c r="CZ200">
        <f>(ROUND((((S200+ROUND((ROUND(((EU200)*AV200*1),2)*BS200),2))*AU200)/100),2)+ROUND(((ROUND((ROUND(((AE200-(EU200))*AV200*1),2)*BS200),2)*AU200)/100),2))</f>
        <v>0</v>
      </c>
      <c r="DC200" t="s">
        <v>3</v>
      </c>
      <c r="DD200" t="s">
        <v>3</v>
      </c>
      <c r="DE200" t="s">
        <v>3</v>
      </c>
      <c r="DF200" t="s">
        <v>3</v>
      </c>
      <c r="DG200" t="s">
        <v>3</v>
      </c>
      <c r="DH200" t="s">
        <v>3</v>
      </c>
      <c r="DI200" t="s">
        <v>3</v>
      </c>
      <c r="DJ200" t="s">
        <v>3</v>
      </c>
      <c r="DK200" t="s">
        <v>3</v>
      </c>
      <c r="DL200" t="s">
        <v>3</v>
      </c>
      <c r="DM200" t="s">
        <v>3</v>
      </c>
      <c r="DN200">
        <v>0</v>
      </c>
      <c r="DO200">
        <v>0</v>
      </c>
      <c r="DP200">
        <v>1</v>
      </c>
      <c r="DQ200">
        <v>1</v>
      </c>
      <c r="DU200">
        <v>1010</v>
      </c>
      <c r="DV200" t="s">
        <v>124</v>
      </c>
      <c r="DW200" t="s">
        <v>124</v>
      </c>
      <c r="DX200">
        <v>1</v>
      </c>
      <c r="DZ200" t="s">
        <v>3</v>
      </c>
      <c r="EA200" t="s">
        <v>3</v>
      </c>
      <c r="EB200" t="s">
        <v>3</v>
      </c>
      <c r="EC200" t="s">
        <v>3</v>
      </c>
      <c r="EE200">
        <v>59298982</v>
      </c>
      <c r="EF200">
        <v>30</v>
      </c>
      <c r="EG200" t="s">
        <v>26</v>
      </c>
      <c r="EH200">
        <v>0</v>
      </c>
      <c r="EI200" t="s">
        <v>3</v>
      </c>
      <c r="EJ200">
        <v>1</v>
      </c>
      <c r="EK200">
        <v>55</v>
      </c>
      <c r="EL200" t="s">
        <v>152</v>
      </c>
      <c r="EM200" t="s">
        <v>153</v>
      </c>
      <c r="EO200" t="s">
        <v>3</v>
      </c>
      <c r="EQ200">
        <v>0</v>
      </c>
      <c r="ER200">
        <v>53.86</v>
      </c>
      <c r="ES200">
        <v>53.86</v>
      </c>
      <c r="ET200">
        <v>0</v>
      </c>
      <c r="EU200">
        <v>0</v>
      </c>
      <c r="EV200">
        <v>0</v>
      </c>
      <c r="EW200">
        <v>0</v>
      </c>
      <c r="EX200">
        <v>0</v>
      </c>
      <c r="EZ200">
        <v>5</v>
      </c>
      <c r="FC200">
        <v>1</v>
      </c>
      <c r="FD200">
        <v>18</v>
      </c>
      <c r="FF200">
        <v>626</v>
      </c>
      <c r="FQ200">
        <v>0</v>
      </c>
      <c r="FR200">
        <v>0</v>
      </c>
      <c r="FS200">
        <v>0</v>
      </c>
      <c r="FX200">
        <v>84</v>
      </c>
      <c r="FY200">
        <v>53</v>
      </c>
      <c r="GA200" t="s">
        <v>172</v>
      </c>
      <c r="GD200">
        <v>1</v>
      </c>
      <c r="GF200">
        <v>934536702</v>
      </c>
      <c r="GG200">
        <v>2</v>
      </c>
      <c r="GH200">
        <v>3</v>
      </c>
      <c r="GI200">
        <v>3</v>
      </c>
      <c r="GJ200">
        <v>0</v>
      </c>
      <c r="GK200">
        <v>0</v>
      </c>
      <c r="GL200">
        <f t="shared" si="203"/>
        <v>0</v>
      </c>
      <c r="GM200">
        <f t="shared" si="204"/>
        <v>1596.41</v>
      </c>
      <c r="GN200">
        <f t="shared" si="205"/>
        <v>1596.41</v>
      </c>
      <c r="GO200">
        <f t="shared" si="206"/>
        <v>0</v>
      </c>
      <c r="GP200">
        <f t="shared" si="207"/>
        <v>0</v>
      </c>
      <c r="GR200">
        <v>1</v>
      </c>
      <c r="GS200">
        <v>1</v>
      </c>
      <c r="GT200">
        <v>0</v>
      </c>
      <c r="GU200" t="s">
        <v>3</v>
      </c>
      <c r="GV200">
        <f t="shared" si="208"/>
        <v>0</v>
      </c>
      <c r="GW200">
        <v>1</v>
      </c>
      <c r="GX200">
        <f t="shared" si="209"/>
        <v>0</v>
      </c>
      <c r="HA200">
        <v>0</v>
      </c>
      <c r="HB200">
        <v>0</v>
      </c>
      <c r="HC200">
        <f t="shared" si="210"/>
        <v>0</v>
      </c>
      <c r="HE200" t="s">
        <v>173</v>
      </c>
      <c r="HF200" t="s">
        <v>30</v>
      </c>
      <c r="HM200" t="s">
        <v>3</v>
      </c>
      <c r="HN200" t="s">
        <v>3</v>
      </c>
      <c r="HO200" t="s">
        <v>3</v>
      </c>
      <c r="HP200" t="s">
        <v>3</v>
      </c>
      <c r="HQ200" t="s">
        <v>3</v>
      </c>
      <c r="HS200">
        <v>0</v>
      </c>
      <c r="IK200">
        <v>0</v>
      </c>
    </row>
    <row r="201" spans="1:255" x14ac:dyDescent="0.2">
      <c r="A201" s="2">
        <v>17</v>
      </c>
      <c r="B201" s="2">
        <v>1</v>
      </c>
      <c r="C201" s="2">
        <f>ROW(SmtRes!A57)</f>
        <v>57</v>
      </c>
      <c r="D201" s="2">
        <f>ROW(EtalonRes!A65)</f>
        <v>65</v>
      </c>
      <c r="E201" s="2" t="s">
        <v>190</v>
      </c>
      <c r="F201" s="2" t="s">
        <v>149</v>
      </c>
      <c r="G201" s="2" t="s">
        <v>168</v>
      </c>
      <c r="H201" s="2" t="s">
        <v>37</v>
      </c>
      <c r="I201" s="2">
        <v>2</v>
      </c>
      <c r="J201" s="2">
        <v>0</v>
      </c>
      <c r="K201" s="2">
        <v>2</v>
      </c>
      <c r="L201" s="2"/>
      <c r="M201" s="2"/>
      <c r="N201" s="2"/>
      <c r="O201" s="2">
        <f t="shared" si="185"/>
        <v>22.42</v>
      </c>
      <c r="P201" s="2">
        <f t="shared" si="186"/>
        <v>1</v>
      </c>
      <c r="Q201" s="2">
        <f>(ROUND((ROUND(((((ET201*1.25)*1.1))*AV201*I201),2)*BB201),2)+ROUND((ROUND(((AE201-(((EU201*1.25)*1.1)))*AV201*I201),2)*BS201),2))</f>
        <v>0</v>
      </c>
      <c r="R201" s="2">
        <f>(ROUND((ROUND(((((EU201*1.25)*1.1))*AV201*I201),2)*BS201),2)+ROUND((ROUND(((AE201-(((EU201*1.25)*1.1)))*AV201*I201),2)*BS201),2))</f>
        <v>0</v>
      </c>
      <c r="S201" s="2">
        <f t="shared" si="187"/>
        <v>21.42</v>
      </c>
      <c r="T201" s="2">
        <f t="shared" si="188"/>
        <v>0</v>
      </c>
      <c r="U201" s="2">
        <f t="shared" si="189"/>
        <v>1.4300572</v>
      </c>
      <c r="V201" s="2">
        <f t="shared" si="190"/>
        <v>0</v>
      </c>
      <c r="W201" s="2">
        <f t="shared" si="191"/>
        <v>0</v>
      </c>
      <c r="X201" s="2">
        <f>(ROUND((((S201+ROUND((ROUND(((((EU201*1.25)*1.1))*AV201*I201),2)*BS201),2))*AT201)/100),2)+ROUND(((ROUND((ROUND(((AE201-(((EU201*1.25)*1.1)))*AV201*I201),2)*BS201),2)*AT201)/100),2))</f>
        <v>17.989999999999998</v>
      </c>
      <c r="Y201" s="2">
        <f>(ROUND((((S201+ROUND((ROUND(((((EU201*1.25)*1.1))*AV201*I201),2)*BS201),2))*AU201)/100),2)+ROUND(((ROUND((ROUND(((AE201-(((EU201*1.25)*1.1)))*AV201*I201),2)*BS201),2)*AU201)/100),2))</f>
        <v>11.35</v>
      </c>
      <c r="Z201" s="2"/>
      <c r="AA201" s="2">
        <v>59499218</v>
      </c>
      <c r="AB201" s="2">
        <f t="shared" si="192"/>
        <v>10.35435</v>
      </c>
      <c r="AC201" s="2">
        <f t="shared" si="193"/>
        <v>0.5</v>
      </c>
      <c r="AD201" s="2">
        <f>ROUND((((((ET201*1.25)*1.1))-(((EU201*1.25)*1.1)))+AE201),6)</f>
        <v>0</v>
      </c>
      <c r="AE201" s="2">
        <f>ROUND((((EU201*1.25)*1.1)),6)</f>
        <v>0</v>
      </c>
      <c r="AF201" s="2">
        <f>ROUND((((EV201*1.15)*1.1)),6)</f>
        <v>9.8543500000000002</v>
      </c>
      <c r="AG201" s="2">
        <f t="shared" si="194"/>
        <v>0</v>
      </c>
      <c r="AH201" s="2">
        <f>(((EW201*1.15)*1.1))</f>
        <v>0.65780000000000005</v>
      </c>
      <c r="AI201" s="2">
        <f>(((EX201*1.25)*1.1))</f>
        <v>0</v>
      </c>
      <c r="AJ201" s="2">
        <f t="shared" si="195"/>
        <v>0</v>
      </c>
      <c r="AK201" s="2">
        <v>8.2899999999999991</v>
      </c>
      <c r="AL201" s="2">
        <v>0.5</v>
      </c>
      <c r="AM201" s="2">
        <v>0</v>
      </c>
      <c r="AN201" s="2">
        <v>0</v>
      </c>
      <c r="AO201" s="2">
        <v>7.79</v>
      </c>
      <c r="AP201" s="2">
        <v>0</v>
      </c>
      <c r="AQ201" s="2">
        <v>0.52</v>
      </c>
      <c r="AR201" s="2">
        <v>0</v>
      </c>
      <c r="AS201" s="2">
        <v>0</v>
      </c>
      <c r="AT201" s="2">
        <v>84</v>
      </c>
      <c r="AU201" s="2">
        <v>53</v>
      </c>
      <c r="AV201" s="2">
        <v>1.087</v>
      </c>
      <c r="AW201" s="2">
        <v>1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0</v>
      </c>
      <c r="BI201" s="2">
        <v>1</v>
      </c>
      <c r="BJ201" s="2" t="s">
        <v>151</v>
      </c>
      <c r="BK201" s="2"/>
      <c r="BL201" s="2"/>
      <c r="BM201" s="2">
        <v>55</v>
      </c>
      <c r="BN201" s="2">
        <v>59298886</v>
      </c>
      <c r="BO201" s="2" t="s">
        <v>149</v>
      </c>
      <c r="BP201" s="2">
        <v>1</v>
      </c>
      <c r="BQ201" s="2">
        <v>30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84</v>
      </c>
      <c r="CA201" s="2">
        <v>53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375</v>
      </c>
      <c r="CO201" s="2">
        <v>0</v>
      </c>
      <c r="CP201" s="2">
        <f t="shared" si="196"/>
        <v>22.42</v>
      </c>
      <c r="CQ201" s="2">
        <f t="shared" si="197"/>
        <v>0.5</v>
      </c>
      <c r="CR201" s="2">
        <f>(ROUND((ROUND(((((ET201*1.25)*1.1))*AV201*1),2)*BB201),2)+ROUND((ROUND(((AE201-(((EU201*1.25)*1.1)))*AV201*1),2)*BS201),2))</f>
        <v>0</v>
      </c>
      <c r="CS201" s="2">
        <f>(ROUND((ROUND(((((EU201*1.25)*1.1))*AV201*1),2)*BS201),2)+ROUND((ROUND(((AE201-(((EU201*1.25)*1.1)))*AV201*1),2)*BS201),2))</f>
        <v>0</v>
      </c>
      <c r="CT201" s="2">
        <f t="shared" si="198"/>
        <v>10.71</v>
      </c>
      <c r="CU201" s="2">
        <f t="shared" si="199"/>
        <v>0</v>
      </c>
      <c r="CV201" s="2">
        <f t="shared" si="200"/>
        <v>0.71502860000000001</v>
      </c>
      <c r="CW201" s="2">
        <f t="shared" si="201"/>
        <v>0</v>
      </c>
      <c r="CX201" s="2">
        <f t="shared" si="202"/>
        <v>0</v>
      </c>
      <c r="CY201" s="2">
        <f>(ROUND((((S201+ROUND((ROUND(((((EU201*1.25)*1.1))*AV201*1),2)*BS201),2))*AT201)/100),2)+ROUND(((ROUND((ROUND(((AE201-(((EU201*1.25)*1.1)))*AV201*1),2)*BS201),2)*AT201)/100),2))</f>
        <v>17.989999999999998</v>
      </c>
      <c r="CZ201" s="2">
        <f>(ROUND((((S201+ROUND((ROUND(((((EU201*1.25)*1.1))*AV201*1),2)*BS201),2))*AU201)/100),2)+ROUND(((ROUND((ROUND(((AE201-(((EU201*1.25)*1.1)))*AV201*1),2)*BS201),2)*AU201)/100),2))</f>
        <v>11.35</v>
      </c>
      <c r="DA201" s="2"/>
      <c r="DB201" s="2">
        <v>57</v>
      </c>
      <c r="DC201" s="2" t="s">
        <v>3</v>
      </c>
      <c r="DD201" s="2" t="s">
        <v>3</v>
      </c>
      <c r="DE201" s="2" t="s">
        <v>39</v>
      </c>
      <c r="DF201" s="2" t="s">
        <v>39</v>
      </c>
      <c r="DG201" s="2" t="s">
        <v>40</v>
      </c>
      <c r="DH201" s="2" t="s">
        <v>3</v>
      </c>
      <c r="DI201" s="2" t="s">
        <v>40</v>
      </c>
      <c r="DJ201" s="2" t="s">
        <v>39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1013</v>
      </c>
      <c r="DV201" s="2" t="s">
        <v>37</v>
      </c>
      <c r="DW201" s="2" t="s">
        <v>37</v>
      </c>
      <c r="DX201" s="2">
        <v>1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59298982</v>
      </c>
      <c r="EF201" s="2">
        <v>30</v>
      </c>
      <c r="EG201" s="2" t="s">
        <v>26</v>
      </c>
      <c r="EH201" s="2">
        <v>0</v>
      </c>
      <c r="EI201" s="2" t="s">
        <v>3</v>
      </c>
      <c r="EJ201" s="2">
        <v>1</v>
      </c>
      <c r="EK201" s="2">
        <v>55</v>
      </c>
      <c r="EL201" s="2" t="s">
        <v>152</v>
      </c>
      <c r="EM201" s="2" t="s">
        <v>153</v>
      </c>
      <c r="EN201" s="2"/>
      <c r="EO201" s="2" t="s">
        <v>41</v>
      </c>
      <c r="EP201" s="2"/>
      <c r="EQ201" s="2">
        <v>0</v>
      </c>
      <c r="ER201" s="2">
        <v>8.2899999999999991</v>
      </c>
      <c r="ES201" s="2">
        <v>0.5</v>
      </c>
      <c r="ET201" s="2">
        <v>0</v>
      </c>
      <c r="EU201" s="2">
        <v>0</v>
      </c>
      <c r="EV201" s="2">
        <v>7.79</v>
      </c>
      <c r="EW201" s="2">
        <v>0.52</v>
      </c>
      <c r="EX201" s="2">
        <v>0</v>
      </c>
      <c r="EY201" s="2">
        <v>0</v>
      </c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0</v>
      </c>
      <c r="FT201" s="2"/>
      <c r="FU201" s="2"/>
      <c r="FV201" s="2"/>
      <c r="FW201" s="2"/>
      <c r="FX201" s="2">
        <v>84</v>
      </c>
      <c r="FY201" s="2">
        <v>53</v>
      </c>
      <c r="FZ201" s="2"/>
      <c r="GA201" s="2" t="s">
        <v>3</v>
      </c>
      <c r="GB201" s="2"/>
      <c r="GC201" s="2"/>
      <c r="GD201" s="2">
        <v>1</v>
      </c>
      <c r="GE201" s="2"/>
      <c r="GF201" s="2">
        <v>1745385659</v>
      </c>
      <c r="GG201" s="2">
        <v>2</v>
      </c>
      <c r="GH201" s="2">
        <v>1</v>
      </c>
      <c r="GI201" s="2">
        <v>2</v>
      </c>
      <c r="GJ201" s="2">
        <v>0</v>
      </c>
      <c r="GK201" s="2">
        <v>0</v>
      </c>
      <c r="GL201" s="2">
        <f t="shared" si="203"/>
        <v>0</v>
      </c>
      <c r="GM201" s="2">
        <f t="shared" si="204"/>
        <v>51.76</v>
      </c>
      <c r="GN201" s="2">
        <f t="shared" si="205"/>
        <v>51.76</v>
      </c>
      <c r="GO201" s="2">
        <f t="shared" si="206"/>
        <v>0</v>
      </c>
      <c r="GP201" s="2">
        <f t="shared" si="207"/>
        <v>0</v>
      </c>
      <c r="GQ201" s="2"/>
      <c r="GR201" s="2">
        <v>0</v>
      </c>
      <c r="GS201" s="2">
        <v>3</v>
      </c>
      <c r="GT201" s="2">
        <v>0</v>
      </c>
      <c r="GU201" s="2" t="s">
        <v>3</v>
      </c>
      <c r="GV201" s="2">
        <f t="shared" si="208"/>
        <v>0</v>
      </c>
      <c r="GW201" s="2">
        <v>1</v>
      </c>
      <c r="GX201" s="2">
        <f t="shared" si="209"/>
        <v>0</v>
      </c>
      <c r="GY201" s="2"/>
      <c r="GZ201" s="2"/>
      <c r="HA201" s="2">
        <v>0</v>
      </c>
      <c r="HB201" s="2">
        <v>0</v>
      </c>
      <c r="HC201" s="2">
        <f t="shared" si="210"/>
        <v>0</v>
      </c>
      <c r="HD201" s="2"/>
      <c r="HE201" s="2" t="s">
        <v>3</v>
      </c>
      <c r="HF201" s="2" t="s">
        <v>3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">
      <c r="A202">
        <v>17</v>
      </c>
      <c r="B202">
        <v>1</v>
      </c>
      <c r="C202">
        <f>ROW(SmtRes!A60)</f>
        <v>60</v>
      </c>
      <c r="D202">
        <f>ROW(EtalonRes!A68)</f>
        <v>68</v>
      </c>
      <c r="E202" t="s">
        <v>190</v>
      </c>
      <c r="F202" t="s">
        <v>149</v>
      </c>
      <c r="G202" t="s">
        <v>168</v>
      </c>
      <c r="H202" t="s">
        <v>37</v>
      </c>
      <c r="I202">
        <v>2</v>
      </c>
      <c r="J202">
        <v>0</v>
      </c>
      <c r="K202">
        <v>2</v>
      </c>
      <c r="O202">
        <f t="shared" si="185"/>
        <v>1193.79</v>
      </c>
      <c r="P202">
        <f t="shared" si="186"/>
        <v>15.9</v>
      </c>
      <c r="Q202">
        <f>(ROUND((ROUND(((((ET202*1.25)*1.1))*AV202*I202),2)*BB202),2)+ROUND((ROUND(((AE202-(((EU202*1.25)*1.1)))*AV202*I202),2)*BS202),2))</f>
        <v>0</v>
      </c>
      <c r="R202">
        <f>(ROUND((ROUND(((((EU202*1.25)*1.1))*AV202*I202),2)*BS202),2)+ROUND((ROUND(((AE202-(((EU202*1.25)*1.1)))*AV202*I202),2)*BS202),2))</f>
        <v>0</v>
      </c>
      <c r="S202">
        <f t="shared" si="187"/>
        <v>1177.8900000000001</v>
      </c>
      <c r="T202">
        <f t="shared" si="188"/>
        <v>0</v>
      </c>
      <c r="U202">
        <f t="shared" si="189"/>
        <v>1.4300572</v>
      </c>
      <c r="V202">
        <f t="shared" si="190"/>
        <v>0</v>
      </c>
      <c r="W202">
        <f t="shared" si="191"/>
        <v>0</v>
      </c>
      <c r="X202">
        <f>(ROUND((((S202+ROUND((ROUND(((((EU202*1.25)*1.1))*AV202*I202),2)*BS202),2))*AT202)/100),2)+ROUND(((ROUND((ROUND(((AE202-(((EU202*1.25)*1.1)))*AV202*I202),2)*BS202),2)*AT202)/100),2))</f>
        <v>989.43</v>
      </c>
      <c r="Y202">
        <f>(ROUND((((S202+ROUND((ROUND(((((EU202*1.25)*1.1))*AV202*I202),2)*BS202),2))*AU202)/100),2)+ROUND(((ROUND((ROUND(((AE202-(((EU202*1.25)*1.1)))*AV202*I202),2)*BS202),2)*AU202)/100),2))</f>
        <v>624.28</v>
      </c>
      <c r="AA202">
        <v>59499215</v>
      </c>
      <c r="AB202">
        <f t="shared" si="192"/>
        <v>10.35435</v>
      </c>
      <c r="AC202">
        <f t="shared" si="193"/>
        <v>0.5</v>
      </c>
      <c r="AD202">
        <f>ROUND((((((ET202*1.25)*1.1))-(((EU202*1.25)*1.1)))+AE202),6)</f>
        <v>0</v>
      </c>
      <c r="AE202">
        <f>ROUND((((EU202*1.25)*1.1)),6)</f>
        <v>0</v>
      </c>
      <c r="AF202">
        <f>ROUND((((EV202*1.15)*1.1)),6)</f>
        <v>9.8543500000000002</v>
      </c>
      <c r="AG202">
        <f t="shared" si="194"/>
        <v>0</v>
      </c>
      <c r="AH202">
        <f>(((EW202*1.15)*1.1))</f>
        <v>0.65780000000000005</v>
      </c>
      <c r="AI202">
        <f>(((EX202*1.25)*1.1))</f>
        <v>0</v>
      </c>
      <c r="AJ202">
        <f t="shared" si="195"/>
        <v>0</v>
      </c>
      <c r="AK202">
        <v>8.2899999999999991</v>
      </c>
      <c r="AL202">
        <v>0.5</v>
      </c>
      <c r="AM202">
        <v>0</v>
      </c>
      <c r="AN202">
        <v>0</v>
      </c>
      <c r="AO202">
        <v>7.79</v>
      </c>
      <c r="AP202">
        <v>0</v>
      </c>
      <c r="AQ202">
        <v>0.52</v>
      </c>
      <c r="AR202">
        <v>0</v>
      </c>
      <c r="AS202">
        <v>0</v>
      </c>
      <c r="AT202">
        <v>84</v>
      </c>
      <c r="AU202">
        <v>53</v>
      </c>
      <c r="AV202">
        <v>1.087</v>
      </c>
      <c r="AW202">
        <v>1</v>
      </c>
      <c r="AZ202">
        <v>1</v>
      </c>
      <c r="BA202">
        <v>54.99</v>
      </c>
      <c r="BB202">
        <v>1</v>
      </c>
      <c r="BC202">
        <v>15.9</v>
      </c>
      <c r="BD202" t="s">
        <v>3</v>
      </c>
      <c r="BE202" t="s">
        <v>3</v>
      </c>
      <c r="BF202" t="s">
        <v>3</v>
      </c>
      <c r="BG202" t="s">
        <v>3</v>
      </c>
      <c r="BH202">
        <v>0</v>
      </c>
      <c r="BI202">
        <v>1</v>
      </c>
      <c r="BJ202" t="s">
        <v>151</v>
      </c>
      <c r="BM202">
        <v>55</v>
      </c>
      <c r="BN202">
        <v>59298886</v>
      </c>
      <c r="BO202" t="s">
        <v>149</v>
      </c>
      <c r="BP202">
        <v>1</v>
      </c>
      <c r="BQ202">
        <v>30</v>
      </c>
      <c r="BR202">
        <v>0</v>
      </c>
      <c r="BS202">
        <v>54.99</v>
      </c>
      <c r="BT202">
        <v>1</v>
      </c>
      <c r="BU202">
        <v>1</v>
      </c>
      <c r="BV202">
        <v>1</v>
      </c>
      <c r="BW202">
        <v>1</v>
      </c>
      <c r="BX202">
        <v>1</v>
      </c>
      <c r="BY202" t="s">
        <v>3</v>
      </c>
      <c r="BZ202">
        <v>84</v>
      </c>
      <c r="CA202">
        <v>53</v>
      </c>
      <c r="CB202" t="s">
        <v>3</v>
      </c>
      <c r="CE202">
        <v>1566</v>
      </c>
      <c r="CF202">
        <v>0</v>
      </c>
      <c r="CG202">
        <v>0</v>
      </c>
      <c r="CM202">
        <v>0</v>
      </c>
      <c r="CN202" t="s">
        <v>375</v>
      </c>
      <c r="CO202">
        <v>0</v>
      </c>
      <c r="CP202">
        <f t="shared" si="196"/>
        <v>1193.7900000000002</v>
      </c>
      <c r="CQ202">
        <f t="shared" si="197"/>
        <v>7.95</v>
      </c>
      <c r="CR202">
        <f>(ROUND((ROUND(((((ET202*1.25)*1.1))*AV202*1),2)*BB202),2)+ROUND((ROUND(((AE202-(((EU202*1.25)*1.1)))*AV202*1),2)*BS202),2))</f>
        <v>0</v>
      </c>
      <c r="CS202">
        <f>(ROUND((ROUND(((((EU202*1.25)*1.1))*AV202*1),2)*BS202),2)+ROUND((ROUND(((AE202-(((EU202*1.25)*1.1)))*AV202*1),2)*BS202),2))</f>
        <v>0</v>
      </c>
      <c r="CT202">
        <f t="shared" si="198"/>
        <v>588.94000000000005</v>
      </c>
      <c r="CU202">
        <f t="shared" si="199"/>
        <v>0</v>
      </c>
      <c r="CV202">
        <f t="shared" si="200"/>
        <v>0.71502860000000001</v>
      </c>
      <c r="CW202">
        <f t="shared" si="201"/>
        <v>0</v>
      </c>
      <c r="CX202">
        <f t="shared" si="202"/>
        <v>0</v>
      </c>
      <c r="CY202">
        <f>(ROUND((((S202+ROUND((ROUND(((((EU202*1.25)*1.1))*AV202*1),2)*BS202),2))*AT202)/100),2)+ROUND(((ROUND((ROUND(((AE202-(((EU202*1.25)*1.1)))*AV202*1),2)*BS202),2)*AT202)/100),2))</f>
        <v>989.43</v>
      </c>
      <c r="CZ202">
        <f>(ROUND((((S202+ROUND((ROUND(((((EU202*1.25)*1.1))*AV202*1),2)*BS202),2))*AU202)/100),2)+ROUND(((ROUND((ROUND(((AE202-(((EU202*1.25)*1.1)))*AV202*1),2)*BS202),2)*AU202)/100),2))</f>
        <v>624.28</v>
      </c>
      <c r="DB202">
        <v>59</v>
      </c>
      <c r="DC202" t="s">
        <v>3</v>
      </c>
      <c r="DD202" t="s">
        <v>3</v>
      </c>
      <c r="DE202" t="s">
        <v>39</v>
      </c>
      <c r="DF202" t="s">
        <v>39</v>
      </c>
      <c r="DG202" t="s">
        <v>40</v>
      </c>
      <c r="DH202" t="s">
        <v>3</v>
      </c>
      <c r="DI202" t="s">
        <v>40</v>
      </c>
      <c r="DJ202" t="s">
        <v>39</v>
      </c>
      <c r="DK202" t="s">
        <v>3</v>
      </c>
      <c r="DL202" t="s">
        <v>3</v>
      </c>
      <c r="DM202" t="s">
        <v>3</v>
      </c>
      <c r="DN202">
        <v>0</v>
      </c>
      <c r="DO202">
        <v>0</v>
      </c>
      <c r="DP202">
        <v>1</v>
      </c>
      <c r="DQ202">
        <v>1</v>
      </c>
      <c r="DU202">
        <v>1013</v>
      </c>
      <c r="DV202" t="s">
        <v>37</v>
      </c>
      <c r="DW202" t="s">
        <v>37</v>
      </c>
      <c r="DX202">
        <v>1</v>
      </c>
      <c r="DZ202" t="s">
        <v>3</v>
      </c>
      <c r="EA202" t="s">
        <v>3</v>
      </c>
      <c r="EB202" t="s">
        <v>3</v>
      </c>
      <c r="EC202" t="s">
        <v>3</v>
      </c>
      <c r="EE202">
        <v>59298982</v>
      </c>
      <c r="EF202">
        <v>30</v>
      </c>
      <c r="EG202" t="s">
        <v>26</v>
      </c>
      <c r="EH202">
        <v>0</v>
      </c>
      <c r="EI202" t="s">
        <v>3</v>
      </c>
      <c r="EJ202">
        <v>1</v>
      </c>
      <c r="EK202">
        <v>55</v>
      </c>
      <c r="EL202" t="s">
        <v>152</v>
      </c>
      <c r="EM202" t="s">
        <v>153</v>
      </c>
      <c r="EO202" t="s">
        <v>41</v>
      </c>
      <c r="EQ202">
        <v>0</v>
      </c>
      <c r="ER202">
        <v>8.2899999999999991</v>
      </c>
      <c r="ES202">
        <v>0.5</v>
      </c>
      <c r="ET202">
        <v>0</v>
      </c>
      <c r="EU202">
        <v>0</v>
      </c>
      <c r="EV202">
        <v>7.79</v>
      </c>
      <c r="EW202">
        <v>0.52</v>
      </c>
      <c r="EX202">
        <v>0</v>
      </c>
      <c r="EY202">
        <v>0</v>
      </c>
      <c r="FQ202">
        <v>0</v>
      </c>
      <c r="FR202">
        <v>0</v>
      </c>
      <c r="FS202">
        <v>0</v>
      </c>
      <c r="FX202">
        <v>84</v>
      </c>
      <c r="FY202">
        <v>53</v>
      </c>
      <c r="GA202" t="s">
        <v>3</v>
      </c>
      <c r="GD202">
        <v>1</v>
      </c>
      <c r="GF202">
        <v>1745385659</v>
      </c>
      <c r="GG202">
        <v>2</v>
      </c>
      <c r="GH202">
        <v>1</v>
      </c>
      <c r="GI202">
        <v>2</v>
      </c>
      <c r="GJ202">
        <v>0</v>
      </c>
      <c r="GK202">
        <v>0</v>
      </c>
      <c r="GL202">
        <f t="shared" si="203"/>
        <v>0</v>
      </c>
      <c r="GM202">
        <f t="shared" si="204"/>
        <v>2807.5</v>
      </c>
      <c r="GN202">
        <f t="shared" si="205"/>
        <v>2807.5</v>
      </c>
      <c r="GO202">
        <f t="shared" si="206"/>
        <v>0</v>
      </c>
      <c r="GP202">
        <f t="shared" si="207"/>
        <v>0</v>
      </c>
      <c r="GR202">
        <v>0</v>
      </c>
      <c r="GS202">
        <v>3</v>
      </c>
      <c r="GT202">
        <v>0</v>
      </c>
      <c r="GU202" t="s">
        <v>3</v>
      </c>
      <c r="GV202">
        <f t="shared" si="208"/>
        <v>0</v>
      </c>
      <c r="GW202">
        <v>1</v>
      </c>
      <c r="GX202">
        <f t="shared" si="209"/>
        <v>0</v>
      </c>
      <c r="HA202">
        <v>0</v>
      </c>
      <c r="HB202">
        <v>0</v>
      </c>
      <c r="HC202">
        <f t="shared" si="210"/>
        <v>0</v>
      </c>
      <c r="HE202" t="s">
        <v>3</v>
      </c>
      <c r="HF202" t="s">
        <v>3</v>
      </c>
      <c r="HM202" t="s">
        <v>3</v>
      </c>
      <c r="HN202" t="s">
        <v>3</v>
      </c>
      <c r="HO202" t="s">
        <v>3</v>
      </c>
      <c r="HP202" t="s">
        <v>3</v>
      </c>
      <c r="HQ202" t="s">
        <v>3</v>
      </c>
      <c r="HS202">
        <v>0</v>
      </c>
      <c r="IK202">
        <v>0</v>
      </c>
    </row>
    <row r="203" spans="1:255" x14ac:dyDescent="0.2">
      <c r="A203" s="2">
        <v>18</v>
      </c>
      <c r="B203" s="2">
        <v>1</v>
      </c>
      <c r="C203" s="2">
        <v>57</v>
      </c>
      <c r="D203" s="2"/>
      <c r="E203" s="2" t="s">
        <v>191</v>
      </c>
      <c r="F203" s="2" t="s">
        <v>192</v>
      </c>
      <c r="G203" s="2" t="s">
        <v>193</v>
      </c>
      <c r="H203" s="2" t="s">
        <v>124</v>
      </c>
      <c r="I203" s="2">
        <f>I201*J203</f>
        <v>2</v>
      </c>
      <c r="J203" s="2">
        <v>1</v>
      </c>
      <c r="K203" s="2">
        <v>1</v>
      </c>
      <c r="L203" s="2"/>
      <c r="M203" s="2"/>
      <c r="N203" s="2"/>
      <c r="O203" s="2">
        <f t="shared" si="185"/>
        <v>77.64</v>
      </c>
      <c r="P203" s="2">
        <f t="shared" si="186"/>
        <v>77.64</v>
      </c>
      <c r="Q203" s="2">
        <f>(ROUND((ROUND(((ET203)*AV203*I203),2)*BB203),2)+ROUND((ROUND(((AE203-(EU203))*AV203*I203),2)*BS203),2))</f>
        <v>0</v>
      </c>
      <c r="R203" s="2">
        <f>(ROUND((ROUND(((EU203)*AV203*I203),2)*BS203),2)+ROUND((ROUND(((AE203-(EU203))*AV203*I203),2)*BS203),2))</f>
        <v>0</v>
      </c>
      <c r="S203" s="2">
        <f t="shared" si="187"/>
        <v>0</v>
      </c>
      <c r="T203" s="2">
        <f t="shared" si="188"/>
        <v>0</v>
      </c>
      <c r="U203" s="2">
        <f t="shared" si="189"/>
        <v>0</v>
      </c>
      <c r="V203" s="2">
        <f t="shared" si="190"/>
        <v>0</v>
      </c>
      <c r="W203" s="2">
        <f t="shared" si="191"/>
        <v>0</v>
      </c>
      <c r="X203" s="2">
        <f>(ROUND((((S203+ROUND((ROUND(((EU203)*AV203*I203),2)*BS203),2))*AT203)/100),2)+ROUND(((ROUND((ROUND(((AE203-(EU203))*AV203*I203),2)*BS203),2)*AT203)/100),2))</f>
        <v>0</v>
      </c>
      <c r="Y203" s="2">
        <f>(ROUND((((S203+ROUND((ROUND(((EU203)*AV203*I203),2)*BS203),2))*AU203)/100),2)+ROUND(((ROUND((ROUND(((AE203-(EU203))*AV203*I203),2)*BS203),2)*AU203)/100),2))</f>
        <v>0</v>
      </c>
      <c r="Z203" s="2"/>
      <c r="AA203" s="2">
        <v>59499218</v>
      </c>
      <c r="AB203" s="2">
        <f t="shared" si="192"/>
        <v>38.82</v>
      </c>
      <c r="AC203" s="2">
        <f t="shared" si="193"/>
        <v>38.82</v>
      </c>
      <c r="AD203" s="2">
        <f>ROUND((((ET203)-(EU203))+AE203),6)</f>
        <v>0</v>
      </c>
      <c r="AE203" s="2">
        <f>ROUND((EU203),6)</f>
        <v>0</v>
      </c>
      <c r="AF203" s="2">
        <f>ROUND((EV203),6)</f>
        <v>0</v>
      </c>
      <c r="AG203" s="2">
        <f t="shared" si="194"/>
        <v>0</v>
      </c>
      <c r="AH203" s="2">
        <f>(EW203)</f>
        <v>0</v>
      </c>
      <c r="AI203" s="2">
        <f>(EX203)</f>
        <v>0</v>
      </c>
      <c r="AJ203" s="2">
        <f t="shared" si="195"/>
        <v>0</v>
      </c>
      <c r="AK203" s="2">
        <v>38.82</v>
      </c>
      <c r="AL203" s="2">
        <v>38.82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84</v>
      </c>
      <c r="AU203" s="2">
        <v>53</v>
      </c>
      <c r="AV203" s="2">
        <v>1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3</v>
      </c>
      <c r="BI203" s="2">
        <v>1</v>
      </c>
      <c r="BJ203" s="2" t="s">
        <v>3</v>
      </c>
      <c r="BK203" s="2"/>
      <c r="BL203" s="2"/>
      <c r="BM203" s="2">
        <v>55</v>
      </c>
      <c r="BN203" s="2">
        <v>0</v>
      </c>
      <c r="BO203" s="2" t="s">
        <v>3</v>
      </c>
      <c r="BP203" s="2">
        <v>0</v>
      </c>
      <c r="BQ203" s="2">
        <v>30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84</v>
      </c>
      <c r="CA203" s="2">
        <v>53</v>
      </c>
      <c r="CB203" s="2" t="s">
        <v>3</v>
      </c>
      <c r="CC203" s="2"/>
      <c r="CD203" s="2"/>
      <c r="CE203" s="2">
        <v>1566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3</v>
      </c>
      <c r="CO203" s="2">
        <v>0</v>
      </c>
      <c r="CP203" s="2">
        <f t="shared" si="196"/>
        <v>77.64</v>
      </c>
      <c r="CQ203" s="2">
        <f t="shared" si="197"/>
        <v>38.82</v>
      </c>
      <c r="CR203" s="2">
        <f>(ROUND((ROUND(((ET203)*AV203*1),2)*BB203),2)+ROUND((ROUND(((AE203-(EU203))*AV203*1),2)*BS203),2))</f>
        <v>0</v>
      </c>
      <c r="CS203" s="2">
        <f>(ROUND((ROUND(((EU203)*AV203*1),2)*BS203),2)+ROUND((ROUND(((AE203-(EU203))*AV203*1),2)*BS203),2))</f>
        <v>0</v>
      </c>
      <c r="CT203" s="2">
        <f t="shared" si="198"/>
        <v>0</v>
      </c>
      <c r="CU203" s="2">
        <f t="shared" si="199"/>
        <v>0</v>
      </c>
      <c r="CV203" s="2">
        <f t="shared" si="200"/>
        <v>0</v>
      </c>
      <c r="CW203" s="2">
        <f t="shared" si="201"/>
        <v>0</v>
      </c>
      <c r="CX203" s="2">
        <f t="shared" si="202"/>
        <v>0</v>
      </c>
      <c r="CY203" s="2">
        <f>(ROUND((((S203+ROUND((ROUND(((EU203)*AV203*1),2)*BS203),2))*AT203)/100),2)+ROUND(((ROUND((ROUND(((AE203-(EU203))*AV203*1),2)*BS203),2)*AT203)/100),2))</f>
        <v>0</v>
      </c>
      <c r="CZ203" s="2">
        <f>(ROUND((((S203+ROUND((ROUND(((EU203)*AV203*1),2)*BS203),2))*AU203)/100),2)+ROUND(((ROUND((ROUND(((AE203-(EU203))*AV203*1),2)*BS203),2)*AU203)/100),2))</f>
        <v>0</v>
      </c>
      <c r="DA203" s="2"/>
      <c r="DB203" s="2"/>
      <c r="DC203" s="2" t="s">
        <v>3</v>
      </c>
      <c r="DD203" s="2" t="s">
        <v>3</v>
      </c>
      <c r="DE203" s="2" t="s">
        <v>3</v>
      </c>
      <c r="DF203" s="2" t="s">
        <v>3</v>
      </c>
      <c r="DG203" s="2" t="s">
        <v>3</v>
      </c>
      <c r="DH203" s="2" t="s">
        <v>3</v>
      </c>
      <c r="DI203" s="2" t="s">
        <v>3</v>
      </c>
      <c r="DJ203" s="2" t="s">
        <v>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1010</v>
      </c>
      <c r="DV203" s="2" t="s">
        <v>124</v>
      </c>
      <c r="DW203" s="2" t="s">
        <v>124</v>
      </c>
      <c r="DX203" s="2">
        <v>1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59298982</v>
      </c>
      <c r="EF203" s="2">
        <v>30</v>
      </c>
      <c r="EG203" s="2" t="s">
        <v>26</v>
      </c>
      <c r="EH203" s="2">
        <v>0</v>
      </c>
      <c r="EI203" s="2" t="s">
        <v>3</v>
      </c>
      <c r="EJ203" s="2">
        <v>1</v>
      </c>
      <c r="EK203" s="2">
        <v>55</v>
      </c>
      <c r="EL203" s="2" t="s">
        <v>152</v>
      </c>
      <c r="EM203" s="2" t="s">
        <v>153</v>
      </c>
      <c r="EN203" s="2"/>
      <c r="EO203" s="2" t="s">
        <v>3</v>
      </c>
      <c r="EP203" s="2"/>
      <c r="EQ203" s="2">
        <v>0</v>
      </c>
      <c r="ER203" s="2">
        <v>0</v>
      </c>
      <c r="ES203" s="2">
        <v>38.82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v>0</v>
      </c>
      <c r="FS203" s="2">
        <v>0</v>
      </c>
      <c r="FT203" s="2"/>
      <c r="FU203" s="2"/>
      <c r="FV203" s="2"/>
      <c r="FW203" s="2"/>
      <c r="FX203" s="2">
        <v>84</v>
      </c>
      <c r="FY203" s="2">
        <v>53</v>
      </c>
      <c r="FZ203" s="2"/>
      <c r="GA203" s="2" t="s">
        <v>194</v>
      </c>
      <c r="GB203" s="2"/>
      <c r="GC203" s="2"/>
      <c r="GD203" s="2">
        <v>1</v>
      </c>
      <c r="GE203" s="2"/>
      <c r="GF203" s="2">
        <v>78082530</v>
      </c>
      <c r="GG203" s="2">
        <v>2</v>
      </c>
      <c r="GH203" s="2">
        <v>4</v>
      </c>
      <c r="GI203" s="2">
        <v>-2</v>
      </c>
      <c r="GJ203" s="2">
        <v>0</v>
      </c>
      <c r="GK203" s="2">
        <v>0</v>
      </c>
      <c r="GL203" s="2">
        <f t="shared" si="203"/>
        <v>0</v>
      </c>
      <c r="GM203" s="2">
        <f t="shared" si="204"/>
        <v>77.64</v>
      </c>
      <c r="GN203" s="2">
        <f t="shared" si="205"/>
        <v>77.64</v>
      </c>
      <c r="GO203" s="2">
        <f t="shared" si="206"/>
        <v>0</v>
      </c>
      <c r="GP203" s="2">
        <f t="shared" si="207"/>
        <v>0</v>
      </c>
      <c r="GQ203" s="2"/>
      <c r="GR203" s="2">
        <v>0</v>
      </c>
      <c r="GS203" s="2">
        <v>2</v>
      </c>
      <c r="GT203" s="2">
        <v>0</v>
      </c>
      <c r="GU203" s="2" t="s">
        <v>3</v>
      </c>
      <c r="GV203" s="2">
        <f t="shared" si="208"/>
        <v>0</v>
      </c>
      <c r="GW203" s="2">
        <v>1</v>
      </c>
      <c r="GX203" s="2">
        <f t="shared" si="209"/>
        <v>0</v>
      </c>
      <c r="GY203" s="2"/>
      <c r="GZ203" s="2"/>
      <c r="HA203" s="2">
        <v>0</v>
      </c>
      <c r="HB203" s="2">
        <v>0</v>
      </c>
      <c r="HC203" s="2">
        <f t="shared" si="210"/>
        <v>0</v>
      </c>
      <c r="HD203" s="2"/>
      <c r="HE203" s="2" t="s">
        <v>173</v>
      </c>
      <c r="HF203" s="2" t="s">
        <v>30</v>
      </c>
      <c r="HG203" s="2"/>
      <c r="HH203" s="2"/>
      <c r="HI203" s="2"/>
      <c r="HJ203" s="2"/>
      <c r="HK203" s="2"/>
      <c r="HL203" s="2"/>
      <c r="HM203" s="2" t="s">
        <v>3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">
      <c r="A204">
        <v>18</v>
      </c>
      <c r="B204">
        <v>1</v>
      </c>
      <c r="C204">
        <v>60</v>
      </c>
      <c r="E204" t="s">
        <v>191</v>
      </c>
      <c r="F204" t="s">
        <v>192</v>
      </c>
      <c r="G204" t="s">
        <v>193</v>
      </c>
      <c r="H204" t="s">
        <v>124</v>
      </c>
      <c r="I204">
        <f>I202*J204</f>
        <v>2</v>
      </c>
      <c r="J204">
        <v>1</v>
      </c>
      <c r="K204">
        <v>1</v>
      </c>
      <c r="O204">
        <f t="shared" si="185"/>
        <v>767.08</v>
      </c>
      <c r="P204">
        <f t="shared" si="186"/>
        <v>767.08</v>
      </c>
      <c r="Q204">
        <f>(ROUND((ROUND(((ET204)*AV204*I204),2)*BB204),2)+ROUND((ROUND(((AE204-(EU204))*AV204*I204),2)*BS204),2))</f>
        <v>0</v>
      </c>
      <c r="R204">
        <f>(ROUND((ROUND(((EU204)*AV204*I204),2)*BS204),2)+ROUND((ROUND(((AE204-(EU204))*AV204*I204),2)*BS204),2))</f>
        <v>0</v>
      </c>
      <c r="S204">
        <f t="shared" si="187"/>
        <v>0</v>
      </c>
      <c r="T204">
        <f t="shared" si="188"/>
        <v>0</v>
      </c>
      <c r="U204">
        <f t="shared" si="189"/>
        <v>0</v>
      </c>
      <c r="V204">
        <f t="shared" si="190"/>
        <v>0</v>
      </c>
      <c r="W204">
        <f t="shared" si="191"/>
        <v>0</v>
      </c>
      <c r="X204">
        <f>(ROUND((((S204+ROUND((ROUND(((EU204)*AV204*I204),2)*BS204),2))*AT204)/100),2)+ROUND(((ROUND((ROUND(((AE204-(EU204))*AV204*I204),2)*BS204),2)*AT204)/100),2))</f>
        <v>0</v>
      </c>
      <c r="Y204">
        <f>(ROUND((((S204+ROUND((ROUND(((EU204)*AV204*I204),2)*BS204),2))*AU204)/100),2)+ROUND(((ROUND((ROUND(((AE204-(EU204))*AV204*I204),2)*BS204),2)*AU204)/100),2))</f>
        <v>0</v>
      </c>
      <c r="AA204">
        <v>59499215</v>
      </c>
      <c r="AB204">
        <f t="shared" si="192"/>
        <v>38.82</v>
      </c>
      <c r="AC204">
        <f t="shared" si="193"/>
        <v>38.82</v>
      </c>
      <c r="AD204">
        <f>ROUND((((ET204)-(EU204))+AE204),6)</f>
        <v>0</v>
      </c>
      <c r="AE204">
        <f>ROUND((EU204),6)</f>
        <v>0</v>
      </c>
      <c r="AF204">
        <f>ROUND((EV204),6)</f>
        <v>0</v>
      </c>
      <c r="AG204">
        <f t="shared" si="194"/>
        <v>0</v>
      </c>
      <c r="AH204">
        <f>(EW204)</f>
        <v>0</v>
      </c>
      <c r="AI204">
        <f>(EX204)</f>
        <v>0</v>
      </c>
      <c r="AJ204">
        <f t="shared" si="195"/>
        <v>0</v>
      </c>
      <c r="AK204">
        <v>38.82</v>
      </c>
      <c r="AL204">
        <v>38.82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84</v>
      </c>
      <c r="AU204">
        <v>53</v>
      </c>
      <c r="AV204">
        <v>1</v>
      </c>
      <c r="AW204">
        <v>1</v>
      </c>
      <c r="AZ204">
        <v>1</v>
      </c>
      <c r="BA204">
        <v>1</v>
      </c>
      <c r="BB204">
        <v>1</v>
      </c>
      <c r="BC204">
        <v>9.8800000000000008</v>
      </c>
      <c r="BD204" t="s">
        <v>3</v>
      </c>
      <c r="BE204" t="s">
        <v>3</v>
      </c>
      <c r="BF204" t="s">
        <v>3</v>
      </c>
      <c r="BG204" t="s">
        <v>3</v>
      </c>
      <c r="BH204">
        <v>3</v>
      </c>
      <c r="BI204">
        <v>1</v>
      </c>
      <c r="BJ204" t="s">
        <v>3</v>
      </c>
      <c r="BM204">
        <v>55</v>
      </c>
      <c r="BN204">
        <v>0</v>
      </c>
      <c r="BO204" t="s">
        <v>3</v>
      </c>
      <c r="BP204">
        <v>0</v>
      </c>
      <c r="BQ204">
        <v>30</v>
      </c>
      <c r="BR204">
        <v>0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 t="s">
        <v>3</v>
      </c>
      <c r="BZ204">
        <v>84</v>
      </c>
      <c r="CA204">
        <v>53</v>
      </c>
      <c r="CB204" t="s">
        <v>3</v>
      </c>
      <c r="CE204">
        <v>1566</v>
      </c>
      <c r="CF204">
        <v>0</v>
      </c>
      <c r="CG204">
        <v>0</v>
      </c>
      <c r="CM204">
        <v>0</v>
      </c>
      <c r="CN204" t="s">
        <v>3</v>
      </c>
      <c r="CO204">
        <v>0</v>
      </c>
      <c r="CP204">
        <f t="shared" si="196"/>
        <v>767.08</v>
      </c>
      <c r="CQ204">
        <f t="shared" si="197"/>
        <v>383.54</v>
      </c>
      <c r="CR204">
        <f>(ROUND((ROUND(((ET204)*AV204*1),2)*BB204),2)+ROUND((ROUND(((AE204-(EU204))*AV204*1),2)*BS204),2))</f>
        <v>0</v>
      </c>
      <c r="CS204">
        <f>(ROUND((ROUND(((EU204)*AV204*1),2)*BS204),2)+ROUND((ROUND(((AE204-(EU204))*AV204*1),2)*BS204),2))</f>
        <v>0</v>
      </c>
      <c r="CT204">
        <f t="shared" si="198"/>
        <v>0</v>
      </c>
      <c r="CU204">
        <f t="shared" si="199"/>
        <v>0</v>
      </c>
      <c r="CV204">
        <f t="shared" si="200"/>
        <v>0</v>
      </c>
      <c r="CW204">
        <f t="shared" si="201"/>
        <v>0</v>
      </c>
      <c r="CX204">
        <f t="shared" si="202"/>
        <v>0</v>
      </c>
      <c r="CY204">
        <f>(ROUND((((S204+ROUND((ROUND(((EU204)*AV204*1),2)*BS204),2))*AT204)/100),2)+ROUND(((ROUND((ROUND(((AE204-(EU204))*AV204*1),2)*BS204),2)*AT204)/100),2))</f>
        <v>0</v>
      </c>
      <c r="CZ204">
        <f>(ROUND((((S204+ROUND((ROUND(((EU204)*AV204*1),2)*BS204),2))*AU204)/100),2)+ROUND(((ROUND((ROUND(((AE204-(EU204))*AV204*1),2)*BS204),2)*AU204)/100),2))</f>
        <v>0</v>
      </c>
      <c r="DC204" t="s">
        <v>3</v>
      </c>
      <c r="DD204" t="s">
        <v>3</v>
      </c>
      <c r="DE204" t="s">
        <v>3</v>
      </c>
      <c r="DF204" t="s">
        <v>3</v>
      </c>
      <c r="DG204" t="s">
        <v>3</v>
      </c>
      <c r="DH204" t="s">
        <v>3</v>
      </c>
      <c r="DI204" t="s">
        <v>3</v>
      </c>
      <c r="DJ204" t="s">
        <v>3</v>
      </c>
      <c r="DK204" t="s">
        <v>3</v>
      </c>
      <c r="DL204" t="s">
        <v>3</v>
      </c>
      <c r="DM204" t="s">
        <v>3</v>
      </c>
      <c r="DN204">
        <v>0</v>
      </c>
      <c r="DO204">
        <v>0</v>
      </c>
      <c r="DP204">
        <v>1</v>
      </c>
      <c r="DQ204">
        <v>1</v>
      </c>
      <c r="DU204">
        <v>1010</v>
      </c>
      <c r="DV204" t="s">
        <v>124</v>
      </c>
      <c r="DW204" t="s">
        <v>124</v>
      </c>
      <c r="DX204">
        <v>1</v>
      </c>
      <c r="DZ204" t="s">
        <v>3</v>
      </c>
      <c r="EA204" t="s">
        <v>3</v>
      </c>
      <c r="EB204" t="s">
        <v>3</v>
      </c>
      <c r="EC204" t="s">
        <v>3</v>
      </c>
      <c r="EE204">
        <v>59298982</v>
      </c>
      <c r="EF204">
        <v>30</v>
      </c>
      <c r="EG204" t="s">
        <v>26</v>
      </c>
      <c r="EH204">
        <v>0</v>
      </c>
      <c r="EI204" t="s">
        <v>3</v>
      </c>
      <c r="EJ204">
        <v>1</v>
      </c>
      <c r="EK204">
        <v>55</v>
      </c>
      <c r="EL204" t="s">
        <v>152</v>
      </c>
      <c r="EM204" t="s">
        <v>153</v>
      </c>
      <c r="EO204" t="s">
        <v>3</v>
      </c>
      <c r="EQ204">
        <v>0</v>
      </c>
      <c r="ER204">
        <v>38.82</v>
      </c>
      <c r="ES204">
        <v>38.82</v>
      </c>
      <c r="ET204">
        <v>0</v>
      </c>
      <c r="EU204">
        <v>0</v>
      </c>
      <c r="EV204">
        <v>0</v>
      </c>
      <c r="EW204">
        <v>0</v>
      </c>
      <c r="EX204">
        <v>0</v>
      </c>
      <c r="EZ204">
        <v>5</v>
      </c>
      <c r="FC204">
        <v>1</v>
      </c>
      <c r="FD204">
        <v>18</v>
      </c>
      <c r="FF204">
        <v>451.2</v>
      </c>
      <c r="FQ204">
        <v>0</v>
      </c>
      <c r="FR204">
        <v>0</v>
      </c>
      <c r="FS204">
        <v>0</v>
      </c>
      <c r="FX204">
        <v>84</v>
      </c>
      <c r="FY204">
        <v>53</v>
      </c>
      <c r="GA204" t="s">
        <v>194</v>
      </c>
      <c r="GD204">
        <v>1</v>
      </c>
      <c r="GF204">
        <v>78082530</v>
      </c>
      <c r="GG204">
        <v>2</v>
      </c>
      <c r="GH204">
        <v>3</v>
      </c>
      <c r="GI204">
        <v>3</v>
      </c>
      <c r="GJ204">
        <v>0</v>
      </c>
      <c r="GK204">
        <v>0</v>
      </c>
      <c r="GL204">
        <f t="shared" si="203"/>
        <v>0</v>
      </c>
      <c r="GM204">
        <f t="shared" si="204"/>
        <v>767.08</v>
      </c>
      <c r="GN204">
        <f t="shared" si="205"/>
        <v>767.08</v>
      </c>
      <c r="GO204">
        <f t="shared" si="206"/>
        <v>0</v>
      </c>
      <c r="GP204">
        <f t="shared" si="207"/>
        <v>0</v>
      </c>
      <c r="GR204">
        <v>1</v>
      </c>
      <c r="GS204">
        <v>1</v>
      </c>
      <c r="GT204">
        <v>0</v>
      </c>
      <c r="GU204" t="s">
        <v>3</v>
      </c>
      <c r="GV204">
        <f t="shared" si="208"/>
        <v>0</v>
      </c>
      <c r="GW204">
        <v>1</v>
      </c>
      <c r="GX204">
        <f t="shared" si="209"/>
        <v>0</v>
      </c>
      <c r="HA204">
        <v>0</v>
      </c>
      <c r="HB204">
        <v>0</v>
      </c>
      <c r="HC204">
        <f t="shared" si="210"/>
        <v>0</v>
      </c>
      <c r="HE204" t="s">
        <v>173</v>
      </c>
      <c r="HF204" t="s">
        <v>30</v>
      </c>
      <c r="HM204" t="s">
        <v>3</v>
      </c>
      <c r="HN204" t="s">
        <v>3</v>
      </c>
      <c r="HO204" t="s">
        <v>3</v>
      </c>
      <c r="HP204" t="s">
        <v>3</v>
      </c>
      <c r="HQ204" t="s">
        <v>3</v>
      </c>
      <c r="HS204">
        <v>0</v>
      </c>
      <c r="IK204">
        <v>0</v>
      </c>
    </row>
    <row r="205" spans="1:255" x14ac:dyDescent="0.2">
      <c r="A205" s="2">
        <v>17</v>
      </c>
      <c r="B205" s="2">
        <v>1</v>
      </c>
      <c r="C205" s="2">
        <f>ROW(SmtRes!A63)</f>
        <v>63</v>
      </c>
      <c r="D205" s="2">
        <f>ROW(EtalonRes!A71)</f>
        <v>71</v>
      </c>
      <c r="E205" s="2" t="s">
        <v>195</v>
      </c>
      <c r="F205" s="2" t="s">
        <v>149</v>
      </c>
      <c r="G205" s="2" t="s">
        <v>168</v>
      </c>
      <c r="H205" s="2" t="s">
        <v>37</v>
      </c>
      <c r="I205" s="2">
        <v>1</v>
      </c>
      <c r="J205" s="2">
        <v>0</v>
      </c>
      <c r="K205" s="2">
        <v>1</v>
      </c>
      <c r="L205" s="2"/>
      <c r="M205" s="2"/>
      <c r="N205" s="2"/>
      <c r="O205" s="2">
        <f t="shared" si="185"/>
        <v>11.21</v>
      </c>
      <c r="P205" s="2">
        <f t="shared" si="186"/>
        <v>0.5</v>
      </c>
      <c r="Q205" s="2">
        <f>(ROUND((ROUND(((((ET205*1.25)*1.1))*AV205*I205),2)*BB205),2)+ROUND((ROUND(((AE205-(((EU205*1.25)*1.1)))*AV205*I205),2)*BS205),2))</f>
        <v>0</v>
      </c>
      <c r="R205" s="2">
        <f>(ROUND((ROUND(((((EU205*1.25)*1.1))*AV205*I205),2)*BS205),2)+ROUND((ROUND(((AE205-(((EU205*1.25)*1.1)))*AV205*I205),2)*BS205),2))</f>
        <v>0</v>
      </c>
      <c r="S205" s="2">
        <f t="shared" si="187"/>
        <v>10.71</v>
      </c>
      <c r="T205" s="2">
        <f t="shared" si="188"/>
        <v>0</v>
      </c>
      <c r="U205" s="2">
        <f t="shared" si="189"/>
        <v>0.71502860000000001</v>
      </c>
      <c r="V205" s="2">
        <f t="shared" si="190"/>
        <v>0</v>
      </c>
      <c r="W205" s="2">
        <f t="shared" si="191"/>
        <v>0</v>
      </c>
      <c r="X205" s="2">
        <f>(ROUND((((S205+ROUND((ROUND(((((EU205*1.25)*1.1))*AV205*I205),2)*BS205),2))*AT205)/100),2)+ROUND(((ROUND((ROUND(((AE205-(((EU205*1.25)*1.1)))*AV205*I205),2)*BS205),2)*AT205)/100),2))</f>
        <v>9</v>
      </c>
      <c r="Y205" s="2">
        <f>(ROUND((((S205+ROUND((ROUND(((((EU205*1.25)*1.1))*AV205*I205),2)*BS205),2))*AU205)/100),2)+ROUND(((ROUND((ROUND(((AE205-(((EU205*1.25)*1.1)))*AV205*I205),2)*BS205),2)*AU205)/100),2))</f>
        <v>5.68</v>
      </c>
      <c r="Z205" s="2"/>
      <c r="AA205" s="2">
        <v>59499218</v>
      </c>
      <c r="AB205" s="2">
        <f t="shared" si="192"/>
        <v>10.35435</v>
      </c>
      <c r="AC205" s="2">
        <f t="shared" si="193"/>
        <v>0.5</v>
      </c>
      <c r="AD205" s="2">
        <f>ROUND((((((ET205*1.25)*1.1))-(((EU205*1.25)*1.1)))+AE205),6)</f>
        <v>0</v>
      </c>
      <c r="AE205" s="2">
        <f>ROUND((((EU205*1.25)*1.1)),6)</f>
        <v>0</v>
      </c>
      <c r="AF205" s="2">
        <f>ROUND((((EV205*1.15)*1.1)),6)</f>
        <v>9.8543500000000002</v>
      </c>
      <c r="AG205" s="2">
        <f t="shared" si="194"/>
        <v>0</v>
      </c>
      <c r="AH205" s="2">
        <f>(((EW205*1.15)*1.1))</f>
        <v>0.65780000000000005</v>
      </c>
      <c r="AI205" s="2">
        <f>(((EX205*1.25)*1.1))</f>
        <v>0</v>
      </c>
      <c r="AJ205" s="2">
        <f t="shared" si="195"/>
        <v>0</v>
      </c>
      <c r="AK205" s="2">
        <v>8.2899999999999991</v>
      </c>
      <c r="AL205" s="2">
        <v>0.5</v>
      </c>
      <c r="AM205" s="2">
        <v>0</v>
      </c>
      <c r="AN205" s="2">
        <v>0</v>
      </c>
      <c r="AO205" s="2">
        <v>7.79</v>
      </c>
      <c r="AP205" s="2">
        <v>0</v>
      </c>
      <c r="AQ205" s="2">
        <v>0.52</v>
      </c>
      <c r="AR205" s="2">
        <v>0</v>
      </c>
      <c r="AS205" s="2">
        <v>0</v>
      </c>
      <c r="AT205" s="2">
        <v>84</v>
      </c>
      <c r="AU205" s="2">
        <v>53</v>
      </c>
      <c r="AV205" s="2">
        <v>1.087</v>
      </c>
      <c r="AW205" s="2">
        <v>1</v>
      </c>
      <c r="AX205" s="2"/>
      <c r="AY205" s="2"/>
      <c r="AZ205" s="2">
        <v>1</v>
      </c>
      <c r="BA205" s="2">
        <v>1</v>
      </c>
      <c r="BB205" s="2">
        <v>1</v>
      </c>
      <c r="BC205" s="2">
        <v>1</v>
      </c>
      <c r="BD205" s="2" t="s">
        <v>3</v>
      </c>
      <c r="BE205" s="2" t="s">
        <v>3</v>
      </c>
      <c r="BF205" s="2" t="s">
        <v>3</v>
      </c>
      <c r="BG205" s="2" t="s">
        <v>3</v>
      </c>
      <c r="BH205" s="2">
        <v>0</v>
      </c>
      <c r="BI205" s="2">
        <v>1</v>
      </c>
      <c r="BJ205" s="2" t="s">
        <v>151</v>
      </c>
      <c r="BK205" s="2"/>
      <c r="BL205" s="2"/>
      <c r="BM205" s="2">
        <v>55</v>
      </c>
      <c r="BN205" s="2">
        <v>59298886</v>
      </c>
      <c r="BO205" s="2" t="s">
        <v>149</v>
      </c>
      <c r="BP205" s="2">
        <v>1</v>
      </c>
      <c r="BQ205" s="2">
        <v>30</v>
      </c>
      <c r="BR205" s="2">
        <v>0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 t="s">
        <v>3</v>
      </c>
      <c r="BZ205" s="2">
        <v>84</v>
      </c>
      <c r="CA205" s="2">
        <v>53</v>
      </c>
      <c r="CB205" s="2" t="s">
        <v>3</v>
      </c>
      <c r="CC205" s="2"/>
      <c r="CD205" s="2"/>
      <c r="CE205" s="2">
        <v>1566</v>
      </c>
      <c r="CF205" s="2">
        <v>0</v>
      </c>
      <c r="CG205" s="2">
        <v>0</v>
      </c>
      <c r="CH205" s="2"/>
      <c r="CI205" s="2"/>
      <c r="CJ205" s="2"/>
      <c r="CK205" s="2"/>
      <c r="CL205" s="2"/>
      <c r="CM205" s="2">
        <v>0</v>
      </c>
      <c r="CN205" s="2" t="s">
        <v>375</v>
      </c>
      <c r="CO205" s="2">
        <v>0</v>
      </c>
      <c r="CP205" s="2">
        <f t="shared" si="196"/>
        <v>11.21</v>
      </c>
      <c r="CQ205" s="2">
        <f t="shared" si="197"/>
        <v>0.5</v>
      </c>
      <c r="CR205" s="2">
        <f>(ROUND((ROUND(((((ET205*1.25)*1.1))*AV205*1),2)*BB205),2)+ROUND((ROUND(((AE205-(((EU205*1.25)*1.1)))*AV205*1),2)*BS205),2))</f>
        <v>0</v>
      </c>
      <c r="CS205" s="2">
        <f>(ROUND((ROUND(((((EU205*1.25)*1.1))*AV205*1),2)*BS205),2)+ROUND((ROUND(((AE205-(((EU205*1.25)*1.1)))*AV205*1),2)*BS205),2))</f>
        <v>0</v>
      </c>
      <c r="CT205" s="2">
        <f t="shared" si="198"/>
        <v>10.71</v>
      </c>
      <c r="CU205" s="2">
        <f t="shared" si="199"/>
        <v>0</v>
      </c>
      <c r="CV205" s="2">
        <f t="shared" si="200"/>
        <v>0.71502860000000001</v>
      </c>
      <c r="CW205" s="2">
        <f t="shared" si="201"/>
        <v>0</v>
      </c>
      <c r="CX205" s="2">
        <f t="shared" si="202"/>
        <v>0</v>
      </c>
      <c r="CY205" s="2">
        <f>(ROUND((((S205+ROUND((ROUND(((((EU205*1.25)*1.1))*AV205*1),2)*BS205),2))*AT205)/100),2)+ROUND(((ROUND((ROUND(((AE205-(((EU205*1.25)*1.1)))*AV205*1),2)*BS205),2)*AT205)/100),2))</f>
        <v>9</v>
      </c>
      <c r="CZ205" s="2">
        <f>(ROUND((((S205+ROUND((ROUND(((((EU205*1.25)*1.1))*AV205*1),2)*BS205),2))*AU205)/100),2)+ROUND(((ROUND((ROUND(((AE205-(((EU205*1.25)*1.1)))*AV205*1),2)*BS205),2)*AU205)/100),2))</f>
        <v>5.68</v>
      </c>
      <c r="DA205" s="2"/>
      <c r="DB205" s="2">
        <v>61</v>
      </c>
      <c r="DC205" s="2" t="s">
        <v>3</v>
      </c>
      <c r="DD205" s="2" t="s">
        <v>3</v>
      </c>
      <c r="DE205" s="2" t="s">
        <v>39</v>
      </c>
      <c r="DF205" s="2" t="s">
        <v>39</v>
      </c>
      <c r="DG205" s="2" t="s">
        <v>40</v>
      </c>
      <c r="DH205" s="2" t="s">
        <v>3</v>
      </c>
      <c r="DI205" s="2" t="s">
        <v>40</v>
      </c>
      <c r="DJ205" s="2" t="s">
        <v>39</v>
      </c>
      <c r="DK205" s="2" t="s">
        <v>3</v>
      </c>
      <c r="DL205" s="2" t="s">
        <v>3</v>
      </c>
      <c r="DM205" s="2" t="s">
        <v>3</v>
      </c>
      <c r="DN205" s="2">
        <v>0</v>
      </c>
      <c r="DO205" s="2">
        <v>0</v>
      </c>
      <c r="DP205" s="2">
        <v>1</v>
      </c>
      <c r="DQ205" s="2">
        <v>1</v>
      </c>
      <c r="DR205" s="2"/>
      <c r="DS205" s="2"/>
      <c r="DT205" s="2"/>
      <c r="DU205" s="2">
        <v>1013</v>
      </c>
      <c r="DV205" s="2" t="s">
        <v>37</v>
      </c>
      <c r="DW205" s="2" t="s">
        <v>37</v>
      </c>
      <c r="DX205" s="2">
        <v>1</v>
      </c>
      <c r="DY205" s="2"/>
      <c r="DZ205" s="2" t="s">
        <v>3</v>
      </c>
      <c r="EA205" s="2" t="s">
        <v>3</v>
      </c>
      <c r="EB205" s="2" t="s">
        <v>3</v>
      </c>
      <c r="EC205" s="2" t="s">
        <v>3</v>
      </c>
      <c r="ED205" s="2"/>
      <c r="EE205" s="2">
        <v>59298982</v>
      </c>
      <c r="EF205" s="2">
        <v>30</v>
      </c>
      <c r="EG205" s="2" t="s">
        <v>26</v>
      </c>
      <c r="EH205" s="2">
        <v>0</v>
      </c>
      <c r="EI205" s="2" t="s">
        <v>3</v>
      </c>
      <c r="EJ205" s="2">
        <v>1</v>
      </c>
      <c r="EK205" s="2">
        <v>55</v>
      </c>
      <c r="EL205" s="2" t="s">
        <v>152</v>
      </c>
      <c r="EM205" s="2" t="s">
        <v>153</v>
      </c>
      <c r="EN205" s="2"/>
      <c r="EO205" s="2" t="s">
        <v>41</v>
      </c>
      <c r="EP205" s="2"/>
      <c r="EQ205" s="2">
        <v>0</v>
      </c>
      <c r="ER205" s="2">
        <v>8.2899999999999991</v>
      </c>
      <c r="ES205" s="2">
        <v>0.5</v>
      </c>
      <c r="ET205" s="2">
        <v>0</v>
      </c>
      <c r="EU205" s="2">
        <v>0</v>
      </c>
      <c r="EV205" s="2">
        <v>7.79</v>
      </c>
      <c r="EW205" s="2">
        <v>0.52</v>
      </c>
      <c r="EX205" s="2">
        <v>0</v>
      </c>
      <c r="EY205" s="2">
        <v>0</v>
      </c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>
        <v>0</v>
      </c>
      <c r="FR205" s="2">
        <v>0</v>
      </c>
      <c r="FS205" s="2">
        <v>0</v>
      </c>
      <c r="FT205" s="2"/>
      <c r="FU205" s="2"/>
      <c r="FV205" s="2"/>
      <c r="FW205" s="2"/>
      <c r="FX205" s="2">
        <v>84</v>
      </c>
      <c r="FY205" s="2">
        <v>53</v>
      </c>
      <c r="FZ205" s="2"/>
      <c r="GA205" s="2" t="s">
        <v>3</v>
      </c>
      <c r="GB205" s="2"/>
      <c r="GC205" s="2"/>
      <c r="GD205" s="2">
        <v>1</v>
      </c>
      <c r="GE205" s="2"/>
      <c r="GF205" s="2">
        <v>1745385659</v>
      </c>
      <c r="GG205" s="2">
        <v>2</v>
      </c>
      <c r="GH205" s="2">
        <v>1</v>
      </c>
      <c r="GI205" s="2">
        <v>2</v>
      </c>
      <c r="GJ205" s="2">
        <v>0</v>
      </c>
      <c r="GK205" s="2">
        <v>0</v>
      </c>
      <c r="GL205" s="2">
        <f t="shared" si="203"/>
        <v>0</v>
      </c>
      <c r="GM205" s="2">
        <f t="shared" si="204"/>
        <v>25.89</v>
      </c>
      <c r="GN205" s="2">
        <f t="shared" si="205"/>
        <v>25.89</v>
      </c>
      <c r="GO205" s="2">
        <f t="shared" si="206"/>
        <v>0</v>
      </c>
      <c r="GP205" s="2">
        <f t="shared" si="207"/>
        <v>0</v>
      </c>
      <c r="GQ205" s="2"/>
      <c r="GR205" s="2">
        <v>0</v>
      </c>
      <c r="GS205" s="2">
        <v>3</v>
      </c>
      <c r="GT205" s="2">
        <v>0</v>
      </c>
      <c r="GU205" s="2" t="s">
        <v>3</v>
      </c>
      <c r="GV205" s="2">
        <f t="shared" si="208"/>
        <v>0</v>
      </c>
      <c r="GW205" s="2">
        <v>1</v>
      </c>
      <c r="GX205" s="2">
        <f t="shared" si="209"/>
        <v>0</v>
      </c>
      <c r="GY205" s="2"/>
      <c r="GZ205" s="2"/>
      <c r="HA205" s="2">
        <v>0</v>
      </c>
      <c r="HB205" s="2">
        <v>0</v>
      </c>
      <c r="HC205" s="2">
        <f t="shared" si="210"/>
        <v>0</v>
      </c>
      <c r="HD205" s="2"/>
      <c r="HE205" s="2" t="s">
        <v>3</v>
      </c>
      <c r="HF205" s="2" t="s">
        <v>3</v>
      </c>
      <c r="HG205" s="2"/>
      <c r="HH205" s="2"/>
      <c r="HI205" s="2"/>
      <c r="HJ205" s="2"/>
      <c r="HK205" s="2"/>
      <c r="HL205" s="2"/>
      <c r="HM205" s="2" t="s">
        <v>3</v>
      </c>
      <c r="HN205" s="2" t="s">
        <v>3</v>
      </c>
      <c r="HO205" s="2" t="s">
        <v>3</v>
      </c>
      <c r="HP205" s="2" t="s">
        <v>3</v>
      </c>
      <c r="HQ205" s="2" t="s">
        <v>3</v>
      </c>
      <c r="HR205" s="2"/>
      <c r="HS205" s="2">
        <v>0</v>
      </c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>
        <v>0</v>
      </c>
      <c r="IL205" s="2"/>
      <c r="IM205" s="2"/>
      <c r="IN205" s="2"/>
      <c r="IO205" s="2"/>
      <c r="IP205" s="2"/>
      <c r="IQ205" s="2"/>
      <c r="IR205" s="2"/>
      <c r="IS205" s="2"/>
      <c r="IT205" s="2"/>
      <c r="IU205" s="2"/>
    </row>
    <row r="206" spans="1:255" x14ac:dyDescent="0.2">
      <c r="A206">
        <v>17</v>
      </c>
      <c r="B206">
        <v>1</v>
      </c>
      <c r="C206">
        <f>ROW(SmtRes!A66)</f>
        <v>66</v>
      </c>
      <c r="D206">
        <f>ROW(EtalonRes!A74)</f>
        <v>74</v>
      </c>
      <c r="E206" t="s">
        <v>195</v>
      </c>
      <c r="F206" t="s">
        <v>149</v>
      </c>
      <c r="G206" t="s">
        <v>168</v>
      </c>
      <c r="H206" t="s">
        <v>37</v>
      </c>
      <c r="I206">
        <v>1</v>
      </c>
      <c r="J206">
        <v>0</v>
      </c>
      <c r="K206">
        <v>1</v>
      </c>
      <c r="O206">
        <f t="shared" si="185"/>
        <v>596.89</v>
      </c>
      <c r="P206">
        <f t="shared" si="186"/>
        <v>7.95</v>
      </c>
      <c r="Q206">
        <f>(ROUND((ROUND(((((ET206*1.25)*1.1))*AV206*I206),2)*BB206),2)+ROUND((ROUND(((AE206-(((EU206*1.25)*1.1)))*AV206*I206),2)*BS206),2))</f>
        <v>0</v>
      </c>
      <c r="R206">
        <f>(ROUND((ROUND(((((EU206*1.25)*1.1))*AV206*I206),2)*BS206),2)+ROUND((ROUND(((AE206-(((EU206*1.25)*1.1)))*AV206*I206),2)*BS206),2))</f>
        <v>0</v>
      </c>
      <c r="S206">
        <f t="shared" si="187"/>
        <v>588.94000000000005</v>
      </c>
      <c r="T206">
        <f t="shared" si="188"/>
        <v>0</v>
      </c>
      <c r="U206">
        <f t="shared" si="189"/>
        <v>0.71502860000000001</v>
      </c>
      <c r="V206">
        <f t="shared" si="190"/>
        <v>0</v>
      </c>
      <c r="W206">
        <f t="shared" si="191"/>
        <v>0</v>
      </c>
      <c r="X206">
        <f>(ROUND((((S206+ROUND((ROUND(((((EU206*1.25)*1.1))*AV206*I206),2)*BS206),2))*AT206)/100),2)+ROUND(((ROUND((ROUND(((AE206-(((EU206*1.25)*1.1)))*AV206*I206),2)*BS206),2)*AT206)/100),2))</f>
        <v>494.71</v>
      </c>
      <c r="Y206">
        <f>(ROUND((((S206+ROUND((ROUND(((((EU206*1.25)*1.1))*AV206*I206),2)*BS206),2))*AU206)/100),2)+ROUND(((ROUND((ROUND(((AE206-(((EU206*1.25)*1.1)))*AV206*I206),2)*BS206),2)*AU206)/100),2))</f>
        <v>312.14</v>
      </c>
      <c r="AA206">
        <v>59499215</v>
      </c>
      <c r="AB206">
        <f t="shared" si="192"/>
        <v>10.35435</v>
      </c>
      <c r="AC206">
        <f t="shared" si="193"/>
        <v>0.5</v>
      </c>
      <c r="AD206">
        <f>ROUND((((((ET206*1.25)*1.1))-(((EU206*1.25)*1.1)))+AE206),6)</f>
        <v>0</v>
      </c>
      <c r="AE206">
        <f>ROUND((((EU206*1.25)*1.1)),6)</f>
        <v>0</v>
      </c>
      <c r="AF206">
        <f>ROUND((((EV206*1.15)*1.1)),6)</f>
        <v>9.8543500000000002</v>
      </c>
      <c r="AG206">
        <f t="shared" si="194"/>
        <v>0</v>
      </c>
      <c r="AH206">
        <f>(((EW206*1.15)*1.1))</f>
        <v>0.65780000000000005</v>
      </c>
      <c r="AI206">
        <f>(((EX206*1.25)*1.1))</f>
        <v>0</v>
      </c>
      <c r="AJ206">
        <f t="shared" si="195"/>
        <v>0</v>
      </c>
      <c r="AK206">
        <v>8.2899999999999991</v>
      </c>
      <c r="AL206">
        <v>0.5</v>
      </c>
      <c r="AM206">
        <v>0</v>
      </c>
      <c r="AN206">
        <v>0</v>
      </c>
      <c r="AO206">
        <v>7.79</v>
      </c>
      <c r="AP206">
        <v>0</v>
      </c>
      <c r="AQ206">
        <v>0.52</v>
      </c>
      <c r="AR206">
        <v>0</v>
      </c>
      <c r="AS206">
        <v>0</v>
      </c>
      <c r="AT206">
        <v>84</v>
      </c>
      <c r="AU206">
        <v>53</v>
      </c>
      <c r="AV206">
        <v>1.087</v>
      </c>
      <c r="AW206">
        <v>1</v>
      </c>
      <c r="AZ206">
        <v>1</v>
      </c>
      <c r="BA206">
        <v>54.99</v>
      </c>
      <c r="BB206">
        <v>1</v>
      </c>
      <c r="BC206">
        <v>15.9</v>
      </c>
      <c r="BD206" t="s">
        <v>3</v>
      </c>
      <c r="BE206" t="s">
        <v>3</v>
      </c>
      <c r="BF206" t="s">
        <v>3</v>
      </c>
      <c r="BG206" t="s">
        <v>3</v>
      </c>
      <c r="BH206">
        <v>0</v>
      </c>
      <c r="BI206">
        <v>1</v>
      </c>
      <c r="BJ206" t="s">
        <v>151</v>
      </c>
      <c r="BM206">
        <v>55</v>
      </c>
      <c r="BN206">
        <v>59298886</v>
      </c>
      <c r="BO206" t="s">
        <v>149</v>
      </c>
      <c r="BP206">
        <v>1</v>
      </c>
      <c r="BQ206">
        <v>30</v>
      </c>
      <c r="BR206">
        <v>0</v>
      </c>
      <c r="BS206">
        <v>54.99</v>
      </c>
      <c r="BT206">
        <v>1</v>
      </c>
      <c r="BU206">
        <v>1</v>
      </c>
      <c r="BV206">
        <v>1</v>
      </c>
      <c r="BW206">
        <v>1</v>
      </c>
      <c r="BX206">
        <v>1</v>
      </c>
      <c r="BY206" t="s">
        <v>3</v>
      </c>
      <c r="BZ206">
        <v>84</v>
      </c>
      <c r="CA206">
        <v>53</v>
      </c>
      <c r="CB206" t="s">
        <v>3</v>
      </c>
      <c r="CE206">
        <v>1566</v>
      </c>
      <c r="CF206">
        <v>0</v>
      </c>
      <c r="CG206">
        <v>0</v>
      </c>
      <c r="CM206">
        <v>0</v>
      </c>
      <c r="CN206" t="s">
        <v>375</v>
      </c>
      <c r="CO206">
        <v>0</v>
      </c>
      <c r="CP206">
        <f t="shared" si="196"/>
        <v>596.8900000000001</v>
      </c>
      <c r="CQ206">
        <f t="shared" si="197"/>
        <v>7.95</v>
      </c>
      <c r="CR206">
        <f>(ROUND((ROUND(((((ET206*1.25)*1.1))*AV206*1),2)*BB206),2)+ROUND((ROUND(((AE206-(((EU206*1.25)*1.1)))*AV206*1),2)*BS206),2))</f>
        <v>0</v>
      </c>
      <c r="CS206">
        <f>(ROUND((ROUND(((((EU206*1.25)*1.1))*AV206*1),2)*BS206),2)+ROUND((ROUND(((AE206-(((EU206*1.25)*1.1)))*AV206*1),2)*BS206),2))</f>
        <v>0</v>
      </c>
      <c r="CT206">
        <f t="shared" si="198"/>
        <v>588.94000000000005</v>
      </c>
      <c r="CU206">
        <f t="shared" si="199"/>
        <v>0</v>
      </c>
      <c r="CV206">
        <f t="shared" si="200"/>
        <v>0.71502860000000001</v>
      </c>
      <c r="CW206">
        <f t="shared" si="201"/>
        <v>0</v>
      </c>
      <c r="CX206">
        <f t="shared" si="202"/>
        <v>0</v>
      </c>
      <c r="CY206">
        <f>(ROUND((((S206+ROUND((ROUND(((((EU206*1.25)*1.1))*AV206*1),2)*BS206),2))*AT206)/100),2)+ROUND(((ROUND((ROUND(((AE206-(((EU206*1.25)*1.1)))*AV206*1),2)*BS206),2)*AT206)/100),2))</f>
        <v>494.71</v>
      </c>
      <c r="CZ206">
        <f>(ROUND((((S206+ROUND((ROUND(((((EU206*1.25)*1.1))*AV206*1),2)*BS206),2))*AU206)/100),2)+ROUND(((ROUND((ROUND(((AE206-(((EU206*1.25)*1.1)))*AV206*1),2)*BS206),2)*AU206)/100),2))</f>
        <v>312.14</v>
      </c>
      <c r="DB206">
        <v>63</v>
      </c>
      <c r="DC206" t="s">
        <v>3</v>
      </c>
      <c r="DD206" t="s">
        <v>3</v>
      </c>
      <c r="DE206" t="s">
        <v>39</v>
      </c>
      <c r="DF206" t="s">
        <v>39</v>
      </c>
      <c r="DG206" t="s">
        <v>40</v>
      </c>
      <c r="DH206" t="s">
        <v>3</v>
      </c>
      <c r="DI206" t="s">
        <v>40</v>
      </c>
      <c r="DJ206" t="s">
        <v>39</v>
      </c>
      <c r="DK206" t="s">
        <v>3</v>
      </c>
      <c r="DL206" t="s">
        <v>3</v>
      </c>
      <c r="DM206" t="s">
        <v>3</v>
      </c>
      <c r="DN206">
        <v>0</v>
      </c>
      <c r="DO206">
        <v>0</v>
      </c>
      <c r="DP206">
        <v>1</v>
      </c>
      <c r="DQ206">
        <v>1</v>
      </c>
      <c r="DU206">
        <v>1013</v>
      </c>
      <c r="DV206" t="s">
        <v>37</v>
      </c>
      <c r="DW206" t="s">
        <v>37</v>
      </c>
      <c r="DX206">
        <v>1</v>
      </c>
      <c r="DZ206" t="s">
        <v>3</v>
      </c>
      <c r="EA206" t="s">
        <v>3</v>
      </c>
      <c r="EB206" t="s">
        <v>3</v>
      </c>
      <c r="EC206" t="s">
        <v>3</v>
      </c>
      <c r="EE206">
        <v>59298982</v>
      </c>
      <c r="EF206">
        <v>30</v>
      </c>
      <c r="EG206" t="s">
        <v>26</v>
      </c>
      <c r="EH206">
        <v>0</v>
      </c>
      <c r="EI206" t="s">
        <v>3</v>
      </c>
      <c r="EJ206">
        <v>1</v>
      </c>
      <c r="EK206">
        <v>55</v>
      </c>
      <c r="EL206" t="s">
        <v>152</v>
      </c>
      <c r="EM206" t="s">
        <v>153</v>
      </c>
      <c r="EO206" t="s">
        <v>41</v>
      </c>
      <c r="EQ206">
        <v>0</v>
      </c>
      <c r="ER206">
        <v>8.2899999999999991</v>
      </c>
      <c r="ES206">
        <v>0.5</v>
      </c>
      <c r="ET206">
        <v>0</v>
      </c>
      <c r="EU206">
        <v>0</v>
      </c>
      <c r="EV206">
        <v>7.79</v>
      </c>
      <c r="EW206">
        <v>0.52</v>
      </c>
      <c r="EX206">
        <v>0</v>
      </c>
      <c r="EY206">
        <v>0</v>
      </c>
      <c r="FQ206">
        <v>0</v>
      </c>
      <c r="FR206">
        <v>0</v>
      </c>
      <c r="FS206">
        <v>0</v>
      </c>
      <c r="FX206">
        <v>84</v>
      </c>
      <c r="FY206">
        <v>53</v>
      </c>
      <c r="GA206" t="s">
        <v>3</v>
      </c>
      <c r="GD206">
        <v>1</v>
      </c>
      <c r="GF206">
        <v>1745385659</v>
      </c>
      <c r="GG206">
        <v>2</v>
      </c>
      <c r="GH206">
        <v>1</v>
      </c>
      <c r="GI206">
        <v>2</v>
      </c>
      <c r="GJ206">
        <v>0</v>
      </c>
      <c r="GK206">
        <v>0</v>
      </c>
      <c r="GL206">
        <f t="shared" si="203"/>
        <v>0</v>
      </c>
      <c r="GM206">
        <f t="shared" si="204"/>
        <v>1403.74</v>
      </c>
      <c r="GN206">
        <f t="shared" si="205"/>
        <v>1403.74</v>
      </c>
      <c r="GO206">
        <f t="shared" si="206"/>
        <v>0</v>
      </c>
      <c r="GP206">
        <f t="shared" si="207"/>
        <v>0</v>
      </c>
      <c r="GR206">
        <v>0</v>
      </c>
      <c r="GS206">
        <v>3</v>
      </c>
      <c r="GT206">
        <v>0</v>
      </c>
      <c r="GU206" t="s">
        <v>3</v>
      </c>
      <c r="GV206">
        <f t="shared" si="208"/>
        <v>0</v>
      </c>
      <c r="GW206">
        <v>1</v>
      </c>
      <c r="GX206">
        <f t="shared" si="209"/>
        <v>0</v>
      </c>
      <c r="HA206">
        <v>0</v>
      </c>
      <c r="HB206">
        <v>0</v>
      </c>
      <c r="HC206">
        <f t="shared" si="210"/>
        <v>0</v>
      </c>
      <c r="HE206" t="s">
        <v>3</v>
      </c>
      <c r="HF206" t="s">
        <v>3</v>
      </c>
      <c r="HM206" t="s">
        <v>3</v>
      </c>
      <c r="HN206" t="s">
        <v>3</v>
      </c>
      <c r="HO206" t="s">
        <v>3</v>
      </c>
      <c r="HP206" t="s">
        <v>3</v>
      </c>
      <c r="HQ206" t="s">
        <v>3</v>
      </c>
      <c r="HS206">
        <v>0</v>
      </c>
      <c r="IK206">
        <v>0</v>
      </c>
    </row>
    <row r="207" spans="1:255" x14ac:dyDescent="0.2">
      <c r="A207" s="2">
        <v>18</v>
      </c>
      <c r="B207" s="2">
        <v>1</v>
      </c>
      <c r="C207" s="2">
        <v>63</v>
      </c>
      <c r="D207" s="2"/>
      <c r="E207" s="2" t="s">
        <v>196</v>
      </c>
      <c r="F207" s="2" t="s">
        <v>197</v>
      </c>
      <c r="G207" s="2" t="s">
        <v>198</v>
      </c>
      <c r="H207" s="2" t="s">
        <v>124</v>
      </c>
      <c r="I207" s="2">
        <f>I205*J207</f>
        <v>1</v>
      </c>
      <c r="J207" s="2">
        <v>1</v>
      </c>
      <c r="K207" s="2">
        <v>1</v>
      </c>
      <c r="L207" s="2"/>
      <c r="M207" s="2"/>
      <c r="N207" s="2"/>
      <c r="O207" s="2">
        <f t="shared" si="185"/>
        <v>53.86</v>
      </c>
      <c r="P207" s="2">
        <f t="shared" si="186"/>
        <v>53.86</v>
      </c>
      <c r="Q207" s="2">
        <f>(ROUND((ROUND(((ET207)*AV207*I207),2)*BB207),2)+ROUND((ROUND(((AE207-(EU207))*AV207*I207),2)*BS207),2))</f>
        <v>0</v>
      </c>
      <c r="R207" s="2">
        <f>(ROUND((ROUND(((EU207)*AV207*I207),2)*BS207),2)+ROUND((ROUND(((AE207-(EU207))*AV207*I207),2)*BS207),2))</f>
        <v>0</v>
      </c>
      <c r="S207" s="2">
        <f t="shared" si="187"/>
        <v>0</v>
      </c>
      <c r="T207" s="2">
        <f t="shared" si="188"/>
        <v>0</v>
      </c>
      <c r="U207" s="2">
        <f t="shared" si="189"/>
        <v>0</v>
      </c>
      <c r="V207" s="2">
        <f t="shared" si="190"/>
        <v>0</v>
      </c>
      <c r="W207" s="2">
        <f t="shared" si="191"/>
        <v>0</v>
      </c>
      <c r="X207" s="2">
        <f>(ROUND((((S207+ROUND((ROUND(((EU207)*AV207*I207),2)*BS207),2))*AT207)/100),2)+ROUND(((ROUND((ROUND(((AE207-(EU207))*AV207*I207),2)*BS207),2)*AT207)/100),2))</f>
        <v>0</v>
      </c>
      <c r="Y207" s="2">
        <f>(ROUND((((S207+ROUND((ROUND(((EU207)*AV207*I207),2)*BS207),2))*AU207)/100),2)+ROUND(((ROUND((ROUND(((AE207-(EU207))*AV207*I207),2)*BS207),2)*AU207)/100),2))</f>
        <v>0</v>
      </c>
      <c r="Z207" s="2"/>
      <c r="AA207" s="2">
        <v>59499218</v>
      </c>
      <c r="AB207" s="2">
        <f t="shared" si="192"/>
        <v>53.86</v>
      </c>
      <c r="AC207" s="2">
        <f t="shared" si="193"/>
        <v>53.86</v>
      </c>
      <c r="AD207" s="2">
        <f>ROUND((((ET207)-(EU207))+AE207),6)</f>
        <v>0</v>
      </c>
      <c r="AE207" s="2">
        <f>ROUND((EU207),6)</f>
        <v>0</v>
      </c>
      <c r="AF207" s="2">
        <f>ROUND((EV207),6)</f>
        <v>0</v>
      </c>
      <c r="AG207" s="2">
        <f t="shared" si="194"/>
        <v>0</v>
      </c>
      <c r="AH207" s="2">
        <f>(EW207)</f>
        <v>0</v>
      </c>
      <c r="AI207" s="2">
        <f>(EX207)</f>
        <v>0</v>
      </c>
      <c r="AJ207" s="2">
        <f t="shared" si="195"/>
        <v>0</v>
      </c>
      <c r="AK207" s="2">
        <v>53.86</v>
      </c>
      <c r="AL207" s="2">
        <v>53.86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84</v>
      </c>
      <c r="AU207" s="2">
        <v>53</v>
      </c>
      <c r="AV207" s="2">
        <v>1</v>
      </c>
      <c r="AW207" s="2">
        <v>1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3</v>
      </c>
      <c r="BI207" s="2">
        <v>1</v>
      </c>
      <c r="BJ207" s="2" t="s">
        <v>3</v>
      </c>
      <c r="BK207" s="2"/>
      <c r="BL207" s="2"/>
      <c r="BM207" s="2">
        <v>55</v>
      </c>
      <c r="BN207" s="2">
        <v>0</v>
      </c>
      <c r="BO207" s="2" t="s">
        <v>3</v>
      </c>
      <c r="BP207" s="2">
        <v>0</v>
      </c>
      <c r="BQ207" s="2">
        <v>30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84</v>
      </c>
      <c r="CA207" s="2">
        <v>53</v>
      </c>
      <c r="CB207" s="2" t="s">
        <v>3</v>
      </c>
      <c r="CC207" s="2"/>
      <c r="CD207" s="2"/>
      <c r="CE207" s="2">
        <v>1566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3</v>
      </c>
      <c r="CO207" s="2">
        <v>0</v>
      </c>
      <c r="CP207" s="2">
        <f t="shared" si="196"/>
        <v>53.86</v>
      </c>
      <c r="CQ207" s="2">
        <f t="shared" si="197"/>
        <v>53.86</v>
      </c>
      <c r="CR207" s="2">
        <f>(ROUND((ROUND(((ET207)*AV207*1),2)*BB207),2)+ROUND((ROUND(((AE207-(EU207))*AV207*1),2)*BS207),2))</f>
        <v>0</v>
      </c>
      <c r="CS207" s="2">
        <f>(ROUND((ROUND(((EU207)*AV207*1),2)*BS207),2)+ROUND((ROUND(((AE207-(EU207))*AV207*1),2)*BS207),2))</f>
        <v>0</v>
      </c>
      <c r="CT207" s="2">
        <f t="shared" si="198"/>
        <v>0</v>
      </c>
      <c r="CU207" s="2">
        <f t="shared" si="199"/>
        <v>0</v>
      </c>
      <c r="CV207" s="2">
        <f t="shared" si="200"/>
        <v>0</v>
      </c>
      <c r="CW207" s="2">
        <f t="shared" si="201"/>
        <v>0</v>
      </c>
      <c r="CX207" s="2">
        <f t="shared" si="202"/>
        <v>0</v>
      </c>
      <c r="CY207" s="2">
        <f>(ROUND((((S207+ROUND((ROUND(((EU207)*AV207*1),2)*BS207),2))*AT207)/100),2)+ROUND(((ROUND((ROUND(((AE207-(EU207))*AV207*1),2)*BS207),2)*AT207)/100),2))</f>
        <v>0</v>
      </c>
      <c r="CZ207" s="2">
        <f>(ROUND((((S207+ROUND((ROUND(((EU207)*AV207*1),2)*BS207),2))*AU207)/100),2)+ROUND(((ROUND((ROUND(((AE207-(EU207))*AV207*1),2)*BS207),2)*AU207)/100),2))</f>
        <v>0</v>
      </c>
      <c r="DA207" s="2"/>
      <c r="DB207" s="2"/>
      <c r="DC207" s="2" t="s">
        <v>3</v>
      </c>
      <c r="DD207" s="2" t="s">
        <v>3</v>
      </c>
      <c r="DE207" s="2" t="s">
        <v>3</v>
      </c>
      <c r="DF207" s="2" t="s">
        <v>3</v>
      </c>
      <c r="DG207" s="2" t="s">
        <v>3</v>
      </c>
      <c r="DH207" s="2" t="s">
        <v>3</v>
      </c>
      <c r="DI207" s="2" t="s">
        <v>3</v>
      </c>
      <c r="DJ207" s="2" t="s">
        <v>3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1010</v>
      </c>
      <c r="DV207" s="2" t="s">
        <v>124</v>
      </c>
      <c r="DW207" s="2" t="s">
        <v>124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59298982</v>
      </c>
      <c r="EF207" s="2">
        <v>30</v>
      </c>
      <c r="EG207" s="2" t="s">
        <v>26</v>
      </c>
      <c r="EH207" s="2">
        <v>0</v>
      </c>
      <c r="EI207" s="2" t="s">
        <v>3</v>
      </c>
      <c r="EJ207" s="2">
        <v>1</v>
      </c>
      <c r="EK207" s="2">
        <v>55</v>
      </c>
      <c r="EL207" s="2" t="s">
        <v>152</v>
      </c>
      <c r="EM207" s="2" t="s">
        <v>153</v>
      </c>
      <c r="EN207" s="2"/>
      <c r="EO207" s="2" t="s">
        <v>3</v>
      </c>
      <c r="EP207" s="2"/>
      <c r="EQ207" s="2">
        <v>0</v>
      </c>
      <c r="ER207" s="2">
        <v>0</v>
      </c>
      <c r="ES207" s="2">
        <v>53.86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v>0</v>
      </c>
      <c r="FS207" s="2">
        <v>0</v>
      </c>
      <c r="FT207" s="2"/>
      <c r="FU207" s="2"/>
      <c r="FV207" s="2"/>
      <c r="FW207" s="2"/>
      <c r="FX207" s="2">
        <v>84</v>
      </c>
      <c r="FY207" s="2">
        <v>53</v>
      </c>
      <c r="FZ207" s="2"/>
      <c r="GA207" s="2" t="s">
        <v>172</v>
      </c>
      <c r="GB207" s="2"/>
      <c r="GC207" s="2"/>
      <c r="GD207" s="2">
        <v>1</v>
      </c>
      <c r="GE207" s="2"/>
      <c r="GF207" s="2">
        <v>-501629636</v>
      </c>
      <c r="GG207" s="2">
        <v>2</v>
      </c>
      <c r="GH207" s="2">
        <v>4</v>
      </c>
      <c r="GI207" s="2">
        <v>-2</v>
      </c>
      <c r="GJ207" s="2">
        <v>0</v>
      </c>
      <c r="GK207" s="2">
        <v>0</v>
      </c>
      <c r="GL207" s="2">
        <f t="shared" si="203"/>
        <v>0</v>
      </c>
      <c r="GM207" s="2">
        <f t="shared" si="204"/>
        <v>53.86</v>
      </c>
      <c r="GN207" s="2">
        <f t="shared" si="205"/>
        <v>53.86</v>
      </c>
      <c r="GO207" s="2">
        <f t="shared" si="206"/>
        <v>0</v>
      </c>
      <c r="GP207" s="2">
        <f t="shared" si="207"/>
        <v>0</v>
      </c>
      <c r="GQ207" s="2"/>
      <c r="GR207" s="2">
        <v>0</v>
      </c>
      <c r="GS207" s="2">
        <v>2</v>
      </c>
      <c r="GT207" s="2">
        <v>0</v>
      </c>
      <c r="GU207" s="2" t="s">
        <v>3</v>
      </c>
      <c r="GV207" s="2">
        <f t="shared" si="208"/>
        <v>0</v>
      </c>
      <c r="GW207" s="2">
        <v>1</v>
      </c>
      <c r="GX207" s="2">
        <f t="shared" si="209"/>
        <v>0</v>
      </c>
      <c r="GY207" s="2"/>
      <c r="GZ207" s="2"/>
      <c r="HA207" s="2">
        <v>0</v>
      </c>
      <c r="HB207" s="2">
        <v>0</v>
      </c>
      <c r="HC207" s="2">
        <f t="shared" si="210"/>
        <v>0</v>
      </c>
      <c r="HD207" s="2"/>
      <c r="HE207" s="2" t="s">
        <v>173</v>
      </c>
      <c r="HF207" s="2" t="s">
        <v>30</v>
      </c>
      <c r="HG207" s="2"/>
      <c r="HH207" s="2"/>
      <c r="HI207" s="2"/>
      <c r="HJ207" s="2"/>
      <c r="HK207" s="2"/>
      <c r="HL207" s="2"/>
      <c r="HM207" s="2" t="s">
        <v>3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2">
      <c r="A208">
        <v>18</v>
      </c>
      <c r="B208">
        <v>1</v>
      </c>
      <c r="C208">
        <v>66</v>
      </c>
      <c r="E208" t="s">
        <v>196</v>
      </c>
      <c r="F208" t="s">
        <v>197</v>
      </c>
      <c r="G208" t="s">
        <v>198</v>
      </c>
      <c r="H208" t="s">
        <v>124</v>
      </c>
      <c r="I208">
        <f>I206*J208</f>
        <v>1</v>
      </c>
      <c r="J208">
        <v>1</v>
      </c>
      <c r="K208">
        <v>1</v>
      </c>
      <c r="O208">
        <f t="shared" si="185"/>
        <v>532.14</v>
      </c>
      <c r="P208">
        <f t="shared" si="186"/>
        <v>532.14</v>
      </c>
      <c r="Q208">
        <f>(ROUND((ROUND(((ET208)*AV208*I208),2)*BB208),2)+ROUND((ROUND(((AE208-(EU208))*AV208*I208),2)*BS208),2))</f>
        <v>0</v>
      </c>
      <c r="R208">
        <f>(ROUND((ROUND(((EU208)*AV208*I208),2)*BS208),2)+ROUND((ROUND(((AE208-(EU208))*AV208*I208),2)*BS208),2))</f>
        <v>0</v>
      </c>
      <c r="S208">
        <f t="shared" si="187"/>
        <v>0</v>
      </c>
      <c r="T208">
        <f t="shared" si="188"/>
        <v>0</v>
      </c>
      <c r="U208">
        <f t="shared" si="189"/>
        <v>0</v>
      </c>
      <c r="V208">
        <f t="shared" si="190"/>
        <v>0</v>
      </c>
      <c r="W208">
        <f t="shared" si="191"/>
        <v>0</v>
      </c>
      <c r="X208">
        <f>(ROUND((((S208+ROUND((ROUND(((EU208)*AV208*I208),2)*BS208),2))*AT208)/100),2)+ROUND(((ROUND((ROUND(((AE208-(EU208))*AV208*I208),2)*BS208),2)*AT208)/100),2))</f>
        <v>0</v>
      </c>
      <c r="Y208">
        <f>(ROUND((((S208+ROUND((ROUND(((EU208)*AV208*I208),2)*BS208),2))*AU208)/100),2)+ROUND(((ROUND((ROUND(((AE208-(EU208))*AV208*I208),2)*BS208),2)*AU208)/100),2))</f>
        <v>0</v>
      </c>
      <c r="AA208">
        <v>59499215</v>
      </c>
      <c r="AB208">
        <f t="shared" si="192"/>
        <v>53.86</v>
      </c>
      <c r="AC208">
        <f t="shared" si="193"/>
        <v>53.86</v>
      </c>
      <c r="AD208">
        <f>ROUND((((ET208)-(EU208))+AE208),6)</f>
        <v>0</v>
      </c>
      <c r="AE208">
        <f>ROUND((EU208),6)</f>
        <v>0</v>
      </c>
      <c r="AF208">
        <f>ROUND((EV208),6)</f>
        <v>0</v>
      </c>
      <c r="AG208">
        <f t="shared" si="194"/>
        <v>0</v>
      </c>
      <c r="AH208">
        <f>(EW208)</f>
        <v>0</v>
      </c>
      <c r="AI208">
        <f>(EX208)</f>
        <v>0</v>
      </c>
      <c r="AJ208">
        <f t="shared" si="195"/>
        <v>0</v>
      </c>
      <c r="AK208">
        <v>53.86</v>
      </c>
      <c r="AL208">
        <v>53.86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84</v>
      </c>
      <c r="AU208">
        <v>53</v>
      </c>
      <c r="AV208">
        <v>1</v>
      </c>
      <c r="AW208">
        <v>1</v>
      </c>
      <c r="AZ208">
        <v>1</v>
      </c>
      <c r="BA208">
        <v>1</v>
      </c>
      <c r="BB208">
        <v>1</v>
      </c>
      <c r="BC208">
        <v>9.8800000000000008</v>
      </c>
      <c r="BD208" t="s">
        <v>3</v>
      </c>
      <c r="BE208" t="s">
        <v>3</v>
      </c>
      <c r="BF208" t="s">
        <v>3</v>
      </c>
      <c r="BG208" t="s">
        <v>3</v>
      </c>
      <c r="BH208">
        <v>3</v>
      </c>
      <c r="BI208">
        <v>1</v>
      </c>
      <c r="BJ208" t="s">
        <v>3</v>
      </c>
      <c r="BM208">
        <v>55</v>
      </c>
      <c r="BN208">
        <v>0</v>
      </c>
      <c r="BO208" t="s">
        <v>3</v>
      </c>
      <c r="BP208">
        <v>0</v>
      </c>
      <c r="BQ208">
        <v>30</v>
      </c>
      <c r="BR208">
        <v>0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 t="s">
        <v>3</v>
      </c>
      <c r="BZ208">
        <v>84</v>
      </c>
      <c r="CA208">
        <v>53</v>
      </c>
      <c r="CB208" t="s">
        <v>3</v>
      </c>
      <c r="CE208">
        <v>1566</v>
      </c>
      <c r="CF208">
        <v>0</v>
      </c>
      <c r="CG208">
        <v>0</v>
      </c>
      <c r="CM208">
        <v>0</v>
      </c>
      <c r="CN208" t="s">
        <v>3</v>
      </c>
      <c r="CO208">
        <v>0</v>
      </c>
      <c r="CP208">
        <f t="shared" si="196"/>
        <v>532.14</v>
      </c>
      <c r="CQ208">
        <f t="shared" si="197"/>
        <v>532.14</v>
      </c>
      <c r="CR208">
        <f>(ROUND((ROUND(((ET208)*AV208*1),2)*BB208),2)+ROUND((ROUND(((AE208-(EU208))*AV208*1),2)*BS208),2))</f>
        <v>0</v>
      </c>
      <c r="CS208">
        <f>(ROUND((ROUND(((EU208)*AV208*1),2)*BS208),2)+ROUND((ROUND(((AE208-(EU208))*AV208*1),2)*BS208),2))</f>
        <v>0</v>
      </c>
      <c r="CT208">
        <f t="shared" si="198"/>
        <v>0</v>
      </c>
      <c r="CU208">
        <f t="shared" si="199"/>
        <v>0</v>
      </c>
      <c r="CV208">
        <f t="shared" si="200"/>
        <v>0</v>
      </c>
      <c r="CW208">
        <f t="shared" si="201"/>
        <v>0</v>
      </c>
      <c r="CX208">
        <f t="shared" si="202"/>
        <v>0</v>
      </c>
      <c r="CY208">
        <f>(ROUND((((S208+ROUND((ROUND(((EU208)*AV208*1),2)*BS208),2))*AT208)/100),2)+ROUND(((ROUND((ROUND(((AE208-(EU208))*AV208*1),2)*BS208),2)*AT208)/100),2))</f>
        <v>0</v>
      </c>
      <c r="CZ208">
        <f>(ROUND((((S208+ROUND((ROUND(((EU208)*AV208*1),2)*BS208),2))*AU208)/100),2)+ROUND(((ROUND((ROUND(((AE208-(EU208))*AV208*1),2)*BS208),2)*AU208)/100),2))</f>
        <v>0</v>
      </c>
      <c r="DC208" t="s">
        <v>3</v>
      </c>
      <c r="DD208" t="s">
        <v>3</v>
      </c>
      <c r="DE208" t="s">
        <v>3</v>
      </c>
      <c r="DF208" t="s">
        <v>3</v>
      </c>
      <c r="DG208" t="s">
        <v>3</v>
      </c>
      <c r="DH208" t="s">
        <v>3</v>
      </c>
      <c r="DI208" t="s">
        <v>3</v>
      </c>
      <c r="DJ208" t="s">
        <v>3</v>
      </c>
      <c r="DK208" t="s">
        <v>3</v>
      </c>
      <c r="DL208" t="s">
        <v>3</v>
      </c>
      <c r="DM208" t="s">
        <v>3</v>
      </c>
      <c r="DN208">
        <v>0</v>
      </c>
      <c r="DO208">
        <v>0</v>
      </c>
      <c r="DP208">
        <v>1</v>
      </c>
      <c r="DQ208">
        <v>1</v>
      </c>
      <c r="DU208">
        <v>1010</v>
      </c>
      <c r="DV208" t="s">
        <v>124</v>
      </c>
      <c r="DW208" t="s">
        <v>124</v>
      </c>
      <c r="DX208">
        <v>1</v>
      </c>
      <c r="DZ208" t="s">
        <v>3</v>
      </c>
      <c r="EA208" t="s">
        <v>3</v>
      </c>
      <c r="EB208" t="s">
        <v>3</v>
      </c>
      <c r="EC208" t="s">
        <v>3</v>
      </c>
      <c r="EE208">
        <v>59298982</v>
      </c>
      <c r="EF208">
        <v>30</v>
      </c>
      <c r="EG208" t="s">
        <v>26</v>
      </c>
      <c r="EH208">
        <v>0</v>
      </c>
      <c r="EI208" t="s">
        <v>3</v>
      </c>
      <c r="EJ208">
        <v>1</v>
      </c>
      <c r="EK208">
        <v>55</v>
      </c>
      <c r="EL208" t="s">
        <v>152</v>
      </c>
      <c r="EM208" t="s">
        <v>153</v>
      </c>
      <c r="EO208" t="s">
        <v>3</v>
      </c>
      <c r="EQ208">
        <v>0</v>
      </c>
      <c r="ER208">
        <v>53.86</v>
      </c>
      <c r="ES208">
        <v>53.86</v>
      </c>
      <c r="ET208">
        <v>0</v>
      </c>
      <c r="EU208">
        <v>0</v>
      </c>
      <c r="EV208">
        <v>0</v>
      </c>
      <c r="EW208">
        <v>0</v>
      </c>
      <c r="EX208">
        <v>0</v>
      </c>
      <c r="EZ208">
        <v>5</v>
      </c>
      <c r="FC208">
        <v>1</v>
      </c>
      <c r="FD208">
        <v>18</v>
      </c>
      <c r="FF208">
        <v>626</v>
      </c>
      <c r="FQ208">
        <v>0</v>
      </c>
      <c r="FR208">
        <v>0</v>
      </c>
      <c r="FS208">
        <v>0</v>
      </c>
      <c r="FX208">
        <v>84</v>
      </c>
      <c r="FY208">
        <v>53</v>
      </c>
      <c r="GA208" t="s">
        <v>172</v>
      </c>
      <c r="GD208">
        <v>1</v>
      </c>
      <c r="GF208">
        <v>-501629636</v>
      </c>
      <c r="GG208">
        <v>2</v>
      </c>
      <c r="GH208">
        <v>3</v>
      </c>
      <c r="GI208">
        <v>3</v>
      </c>
      <c r="GJ208">
        <v>0</v>
      </c>
      <c r="GK208">
        <v>0</v>
      </c>
      <c r="GL208">
        <f t="shared" si="203"/>
        <v>0</v>
      </c>
      <c r="GM208">
        <f t="shared" si="204"/>
        <v>532.14</v>
      </c>
      <c r="GN208">
        <f t="shared" si="205"/>
        <v>532.14</v>
      </c>
      <c r="GO208">
        <f t="shared" si="206"/>
        <v>0</v>
      </c>
      <c r="GP208">
        <f t="shared" si="207"/>
        <v>0</v>
      </c>
      <c r="GR208">
        <v>1</v>
      </c>
      <c r="GS208">
        <v>1</v>
      </c>
      <c r="GT208">
        <v>0</v>
      </c>
      <c r="GU208" t="s">
        <v>3</v>
      </c>
      <c r="GV208">
        <f t="shared" si="208"/>
        <v>0</v>
      </c>
      <c r="GW208">
        <v>1</v>
      </c>
      <c r="GX208">
        <f t="shared" si="209"/>
        <v>0</v>
      </c>
      <c r="HA208">
        <v>0</v>
      </c>
      <c r="HB208">
        <v>0</v>
      </c>
      <c r="HC208">
        <f t="shared" si="210"/>
        <v>0</v>
      </c>
      <c r="HE208" t="s">
        <v>173</v>
      </c>
      <c r="HF208" t="s">
        <v>30</v>
      </c>
      <c r="HM208" t="s">
        <v>3</v>
      </c>
      <c r="HN208" t="s">
        <v>3</v>
      </c>
      <c r="HO208" t="s">
        <v>3</v>
      </c>
      <c r="HP208" t="s">
        <v>3</v>
      </c>
      <c r="HQ208" t="s">
        <v>3</v>
      </c>
      <c r="HS208">
        <v>0</v>
      </c>
      <c r="IK208">
        <v>0</v>
      </c>
    </row>
    <row r="209" spans="1:255" x14ac:dyDescent="0.2">
      <c r="A209" s="2">
        <v>17</v>
      </c>
      <c r="B209" s="2">
        <v>1</v>
      </c>
      <c r="C209" s="2">
        <f>ROW(SmtRes!A69)</f>
        <v>69</v>
      </c>
      <c r="D209" s="2">
        <f>ROW(EtalonRes!A77)</f>
        <v>77</v>
      </c>
      <c r="E209" s="2" t="s">
        <v>199</v>
      </c>
      <c r="F209" s="2" t="s">
        <v>149</v>
      </c>
      <c r="G209" s="2" t="s">
        <v>168</v>
      </c>
      <c r="H209" s="2" t="s">
        <v>37</v>
      </c>
      <c r="I209" s="2">
        <v>3</v>
      </c>
      <c r="J209" s="2">
        <v>0</v>
      </c>
      <c r="K209" s="2">
        <v>3</v>
      </c>
      <c r="L209" s="2"/>
      <c r="M209" s="2"/>
      <c r="N209" s="2"/>
      <c r="O209" s="2">
        <f t="shared" si="185"/>
        <v>33.64</v>
      </c>
      <c r="P209" s="2">
        <f t="shared" si="186"/>
        <v>1.5</v>
      </c>
      <c r="Q209" s="2">
        <f>(ROUND((ROUND(((((ET209*1.25)*1.1))*AV209*I209),2)*BB209),2)+ROUND((ROUND(((AE209-(((EU209*1.25)*1.1)))*AV209*I209),2)*BS209),2))</f>
        <v>0</v>
      </c>
      <c r="R209" s="2">
        <f>(ROUND((ROUND(((((EU209*1.25)*1.1))*AV209*I209),2)*BS209),2)+ROUND((ROUND(((AE209-(((EU209*1.25)*1.1)))*AV209*I209),2)*BS209),2))</f>
        <v>0</v>
      </c>
      <c r="S209" s="2">
        <f t="shared" si="187"/>
        <v>32.14</v>
      </c>
      <c r="T209" s="2">
        <f t="shared" si="188"/>
        <v>0</v>
      </c>
      <c r="U209" s="2">
        <f t="shared" si="189"/>
        <v>2.1450857999999999</v>
      </c>
      <c r="V209" s="2">
        <f t="shared" si="190"/>
        <v>0</v>
      </c>
      <c r="W209" s="2">
        <f t="shared" si="191"/>
        <v>0</v>
      </c>
      <c r="X209" s="2">
        <f>(ROUND((((S209+ROUND((ROUND(((((EU209*1.25)*1.1))*AV209*I209),2)*BS209),2))*AT209)/100),2)+ROUND(((ROUND((ROUND(((AE209-(((EU209*1.25)*1.1)))*AV209*I209),2)*BS209),2)*AT209)/100),2))</f>
        <v>27</v>
      </c>
      <c r="Y209" s="2">
        <f>(ROUND((((S209+ROUND((ROUND(((((EU209*1.25)*1.1))*AV209*I209),2)*BS209),2))*AU209)/100),2)+ROUND(((ROUND((ROUND(((AE209-(((EU209*1.25)*1.1)))*AV209*I209),2)*BS209),2)*AU209)/100),2))</f>
        <v>17.03</v>
      </c>
      <c r="Z209" s="2"/>
      <c r="AA209" s="2">
        <v>59499218</v>
      </c>
      <c r="AB209" s="2">
        <f t="shared" si="192"/>
        <v>10.35435</v>
      </c>
      <c r="AC209" s="2">
        <f t="shared" si="193"/>
        <v>0.5</v>
      </c>
      <c r="AD209" s="2">
        <f>ROUND((((((ET209*1.25)*1.1))-(((EU209*1.25)*1.1)))+AE209),6)</f>
        <v>0</v>
      </c>
      <c r="AE209" s="2">
        <f>ROUND((((EU209*1.25)*1.1)),6)</f>
        <v>0</v>
      </c>
      <c r="AF209" s="2">
        <f>ROUND((((EV209*1.15)*1.1)),6)</f>
        <v>9.8543500000000002</v>
      </c>
      <c r="AG209" s="2">
        <f t="shared" si="194"/>
        <v>0</v>
      </c>
      <c r="AH209" s="2">
        <f>(((EW209*1.15)*1.1))</f>
        <v>0.65780000000000005</v>
      </c>
      <c r="AI209" s="2">
        <f>(((EX209*1.25)*1.1))</f>
        <v>0</v>
      </c>
      <c r="AJ209" s="2">
        <f t="shared" si="195"/>
        <v>0</v>
      </c>
      <c r="AK209" s="2">
        <v>8.2899999999999991</v>
      </c>
      <c r="AL209" s="2">
        <v>0.5</v>
      </c>
      <c r="AM209" s="2">
        <v>0</v>
      </c>
      <c r="AN209" s="2">
        <v>0</v>
      </c>
      <c r="AO209" s="2">
        <v>7.79</v>
      </c>
      <c r="AP209" s="2">
        <v>0</v>
      </c>
      <c r="AQ209" s="2">
        <v>0.52</v>
      </c>
      <c r="AR209" s="2">
        <v>0</v>
      </c>
      <c r="AS209" s="2">
        <v>0</v>
      </c>
      <c r="AT209" s="2">
        <v>84</v>
      </c>
      <c r="AU209" s="2">
        <v>53</v>
      </c>
      <c r="AV209" s="2">
        <v>1.087</v>
      </c>
      <c r="AW209" s="2">
        <v>1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0</v>
      </c>
      <c r="BI209" s="2">
        <v>1</v>
      </c>
      <c r="BJ209" s="2" t="s">
        <v>151</v>
      </c>
      <c r="BK209" s="2"/>
      <c r="BL209" s="2"/>
      <c r="BM209" s="2">
        <v>55</v>
      </c>
      <c r="BN209" s="2">
        <v>59298886</v>
      </c>
      <c r="BO209" s="2" t="s">
        <v>149</v>
      </c>
      <c r="BP209" s="2">
        <v>1</v>
      </c>
      <c r="BQ209" s="2">
        <v>30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84</v>
      </c>
      <c r="CA209" s="2">
        <v>53</v>
      </c>
      <c r="CB209" s="2" t="s">
        <v>3</v>
      </c>
      <c r="CC209" s="2"/>
      <c r="CD209" s="2"/>
      <c r="CE209" s="2">
        <v>1566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375</v>
      </c>
      <c r="CO209" s="2">
        <v>0</v>
      </c>
      <c r="CP209" s="2">
        <f t="shared" si="196"/>
        <v>33.64</v>
      </c>
      <c r="CQ209" s="2">
        <f t="shared" si="197"/>
        <v>0.5</v>
      </c>
      <c r="CR209" s="2">
        <f>(ROUND((ROUND(((((ET209*1.25)*1.1))*AV209*1),2)*BB209),2)+ROUND((ROUND(((AE209-(((EU209*1.25)*1.1)))*AV209*1),2)*BS209),2))</f>
        <v>0</v>
      </c>
      <c r="CS209" s="2">
        <f>(ROUND((ROUND(((((EU209*1.25)*1.1))*AV209*1),2)*BS209),2)+ROUND((ROUND(((AE209-(((EU209*1.25)*1.1)))*AV209*1),2)*BS209),2))</f>
        <v>0</v>
      </c>
      <c r="CT209" s="2">
        <f t="shared" si="198"/>
        <v>10.71</v>
      </c>
      <c r="CU209" s="2">
        <f t="shared" si="199"/>
        <v>0</v>
      </c>
      <c r="CV209" s="2">
        <f t="shared" si="200"/>
        <v>0.71502860000000001</v>
      </c>
      <c r="CW209" s="2">
        <f t="shared" si="201"/>
        <v>0</v>
      </c>
      <c r="CX209" s="2">
        <f t="shared" si="202"/>
        <v>0</v>
      </c>
      <c r="CY209" s="2">
        <f>(ROUND((((S209+ROUND((ROUND(((((EU209*1.25)*1.1))*AV209*1),2)*BS209),2))*AT209)/100),2)+ROUND(((ROUND((ROUND(((AE209-(((EU209*1.25)*1.1)))*AV209*1),2)*BS209),2)*AT209)/100),2))</f>
        <v>27</v>
      </c>
      <c r="CZ209" s="2">
        <f>(ROUND((((S209+ROUND((ROUND(((((EU209*1.25)*1.1))*AV209*1),2)*BS209),2))*AU209)/100),2)+ROUND(((ROUND((ROUND(((AE209-(((EU209*1.25)*1.1)))*AV209*1),2)*BS209),2)*AU209)/100),2))</f>
        <v>17.03</v>
      </c>
      <c r="DA209" s="2"/>
      <c r="DB209" s="2">
        <v>65</v>
      </c>
      <c r="DC209" s="2" t="s">
        <v>3</v>
      </c>
      <c r="DD209" s="2" t="s">
        <v>3</v>
      </c>
      <c r="DE209" s="2" t="s">
        <v>39</v>
      </c>
      <c r="DF209" s="2" t="s">
        <v>39</v>
      </c>
      <c r="DG209" s="2" t="s">
        <v>40</v>
      </c>
      <c r="DH209" s="2" t="s">
        <v>3</v>
      </c>
      <c r="DI209" s="2" t="s">
        <v>40</v>
      </c>
      <c r="DJ209" s="2" t="s">
        <v>39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1013</v>
      </c>
      <c r="DV209" s="2" t="s">
        <v>37</v>
      </c>
      <c r="DW209" s="2" t="s">
        <v>37</v>
      </c>
      <c r="DX209" s="2">
        <v>1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59298982</v>
      </c>
      <c r="EF209" s="2">
        <v>30</v>
      </c>
      <c r="EG209" s="2" t="s">
        <v>26</v>
      </c>
      <c r="EH209" s="2">
        <v>0</v>
      </c>
      <c r="EI209" s="2" t="s">
        <v>3</v>
      </c>
      <c r="EJ209" s="2">
        <v>1</v>
      </c>
      <c r="EK209" s="2">
        <v>55</v>
      </c>
      <c r="EL209" s="2" t="s">
        <v>152</v>
      </c>
      <c r="EM209" s="2" t="s">
        <v>153</v>
      </c>
      <c r="EN209" s="2"/>
      <c r="EO209" s="2" t="s">
        <v>41</v>
      </c>
      <c r="EP209" s="2"/>
      <c r="EQ209" s="2">
        <v>0</v>
      </c>
      <c r="ER209" s="2">
        <v>8.2899999999999991</v>
      </c>
      <c r="ES209" s="2">
        <v>0.5</v>
      </c>
      <c r="ET209" s="2">
        <v>0</v>
      </c>
      <c r="EU209" s="2">
        <v>0</v>
      </c>
      <c r="EV209" s="2">
        <v>7.79</v>
      </c>
      <c r="EW209" s="2">
        <v>0.52</v>
      </c>
      <c r="EX209" s="2">
        <v>0</v>
      </c>
      <c r="EY209" s="2">
        <v>0</v>
      </c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v>0</v>
      </c>
      <c r="FS209" s="2">
        <v>0</v>
      </c>
      <c r="FT209" s="2"/>
      <c r="FU209" s="2"/>
      <c r="FV209" s="2"/>
      <c r="FW209" s="2"/>
      <c r="FX209" s="2">
        <v>84</v>
      </c>
      <c r="FY209" s="2">
        <v>53</v>
      </c>
      <c r="FZ209" s="2"/>
      <c r="GA209" s="2" t="s">
        <v>3</v>
      </c>
      <c r="GB209" s="2"/>
      <c r="GC209" s="2"/>
      <c r="GD209" s="2">
        <v>1</v>
      </c>
      <c r="GE209" s="2"/>
      <c r="GF209" s="2">
        <v>1745385659</v>
      </c>
      <c r="GG209" s="2">
        <v>2</v>
      </c>
      <c r="GH209" s="2">
        <v>1</v>
      </c>
      <c r="GI209" s="2">
        <v>2</v>
      </c>
      <c r="GJ209" s="2">
        <v>0</v>
      </c>
      <c r="GK209" s="2">
        <v>0</v>
      </c>
      <c r="GL209" s="2">
        <f t="shared" si="203"/>
        <v>0</v>
      </c>
      <c r="GM209" s="2">
        <f t="shared" si="204"/>
        <v>77.67</v>
      </c>
      <c r="GN209" s="2">
        <f t="shared" si="205"/>
        <v>77.67</v>
      </c>
      <c r="GO209" s="2">
        <f t="shared" si="206"/>
        <v>0</v>
      </c>
      <c r="GP209" s="2">
        <f t="shared" si="207"/>
        <v>0</v>
      </c>
      <c r="GQ209" s="2"/>
      <c r="GR209" s="2">
        <v>0</v>
      </c>
      <c r="GS209" s="2">
        <v>3</v>
      </c>
      <c r="GT209" s="2">
        <v>0</v>
      </c>
      <c r="GU209" s="2" t="s">
        <v>3</v>
      </c>
      <c r="GV209" s="2">
        <f t="shared" si="208"/>
        <v>0</v>
      </c>
      <c r="GW209" s="2">
        <v>1</v>
      </c>
      <c r="GX209" s="2">
        <f t="shared" si="209"/>
        <v>0</v>
      </c>
      <c r="GY209" s="2"/>
      <c r="GZ209" s="2"/>
      <c r="HA209" s="2">
        <v>0</v>
      </c>
      <c r="HB209" s="2">
        <v>0</v>
      </c>
      <c r="HC209" s="2">
        <f t="shared" si="210"/>
        <v>0</v>
      </c>
      <c r="HD209" s="2"/>
      <c r="HE209" s="2" t="s">
        <v>3</v>
      </c>
      <c r="HF209" s="2" t="s">
        <v>3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2">
      <c r="A210">
        <v>17</v>
      </c>
      <c r="B210">
        <v>1</v>
      </c>
      <c r="C210">
        <f>ROW(SmtRes!A72)</f>
        <v>72</v>
      </c>
      <c r="D210">
        <f>ROW(EtalonRes!A80)</f>
        <v>80</v>
      </c>
      <c r="E210" t="s">
        <v>199</v>
      </c>
      <c r="F210" t="s">
        <v>149</v>
      </c>
      <c r="G210" t="s">
        <v>168</v>
      </c>
      <c r="H210" t="s">
        <v>37</v>
      </c>
      <c r="I210">
        <v>3</v>
      </c>
      <c r="J210">
        <v>0</v>
      </c>
      <c r="K210">
        <v>3</v>
      </c>
      <c r="O210">
        <f t="shared" si="185"/>
        <v>1791.23</v>
      </c>
      <c r="P210">
        <f t="shared" si="186"/>
        <v>23.85</v>
      </c>
      <c r="Q210">
        <f>(ROUND((ROUND(((((ET210*1.25)*1.1))*AV210*I210),2)*BB210),2)+ROUND((ROUND(((AE210-(((EU210*1.25)*1.1)))*AV210*I210),2)*BS210),2))</f>
        <v>0</v>
      </c>
      <c r="R210">
        <f>(ROUND((ROUND(((((EU210*1.25)*1.1))*AV210*I210),2)*BS210),2)+ROUND((ROUND(((AE210-(((EU210*1.25)*1.1)))*AV210*I210),2)*BS210),2))</f>
        <v>0</v>
      </c>
      <c r="S210">
        <f t="shared" si="187"/>
        <v>1767.38</v>
      </c>
      <c r="T210">
        <f t="shared" si="188"/>
        <v>0</v>
      </c>
      <c r="U210">
        <f t="shared" si="189"/>
        <v>2.1450857999999999</v>
      </c>
      <c r="V210">
        <f t="shared" si="190"/>
        <v>0</v>
      </c>
      <c r="W210">
        <f t="shared" si="191"/>
        <v>0</v>
      </c>
      <c r="X210">
        <f>(ROUND((((S210+ROUND((ROUND(((((EU210*1.25)*1.1))*AV210*I210),2)*BS210),2))*AT210)/100),2)+ROUND(((ROUND((ROUND(((AE210-(((EU210*1.25)*1.1)))*AV210*I210),2)*BS210),2)*AT210)/100),2))</f>
        <v>1484.6</v>
      </c>
      <c r="Y210">
        <f>(ROUND((((S210+ROUND((ROUND(((((EU210*1.25)*1.1))*AV210*I210),2)*BS210),2))*AU210)/100),2)+ROUND(((ROUND((ROUND(((AE210-(((EU210*1.25)*1.1)))*AV210*I210),2)*BS210),2)*AU210)/100),2))</f>
        <v>936.71</v>
      </c>
      <c r="AA210">
        <v>59499215</v>
      </c>
      <c r="AB210">
        <f t="shared" si="192"/>
        <v>10.35435</v>
      </c>
      <c r="AC210">
        <f t="shared" si="193"/>
        <v>0.5</v>
      </c>
      <c r="AD210">
        <f>ROUND((((((ET210*1.25)*1.1))-(((EU210*1.25)*1.1)))+AE210),6)</f>
        <v>0</v>
      </c>
      <c r="AE210">
        <f>ROUND((((EU210*1.25)*1.1)),6)</f>
        <v>0</v>
      </c>
      <c r="AF210">
        <f>ROUND((((EV210*1.15)*1.1)),6)</f>
        <v>9.8543500000000002</v>
      </c>
      <c r="AG210">
        <f t="shared" si="194"/>
        <v>0</v>
      </c>
      <c r="AH210">
        <f>(((EW210*1.15)*1.1))</f>
        <v>0.65780000000000005</v>
      </c>
      <c r="AI210">
        <f>(((EX210*1.25)*1.1))</f>
        <v>0</v>
      </c>
      <c r="AJ210">
        <f t="shared" si="195"/>
        <v>0</v>
      </c>
      <c r="AK210">
        <v>8.2899999999999991</v>
      </c>
      <c r="AL210">
        <v>0.5</v>
      </c>
      <c r="AM210">
        <v>0</v>
      </c>
      <c r="AN210">
        <v>0</v>
      </c>
      <c r="AO210">
        <v>7.79</v>
      </c>
      <c r="AP210">
        <v>0</v>
      </c>
      <c r="AQ210">
        <v>0.52</v>
      </c>
      <c r="AR210">
        <v>0</v>
      </c>
      <c r="AS210">
        <v>0</v>
      </c>
      <c r="AT210">
        <v>84</v>
      </c>
      <c r="AU210">
        <v>53</v>
      </c>
      <c r="AV210">
        <v>1.087</v>
      </c>
      <c r="AW210">
        <v>1</v>
      </c>
      <c r="AZ210">
        <v>1</v>
      </c>
      <c r="BA210">
        <v>54.99</v>
      </c>
      <c r="BB210">
        <v>1</v>
      </c>
      <c r="BC210">
        <v>15.9</v>
      </c>
      <c r="BD210" t="s">
        <v>3</v>
      </c>
      <c r="BE210" t="s">
        <v>3</v>
      </c>
      <c r="BF210" t="s">
        <v>3</v>
      </c>
      <c r="BG210" t="s">
        <v>3</v>
      </c>
      <c r="BH210">
        <v>0</v>
      </c>
      <c r="BI210">
        <v>1</v>
      </c>
      <c r="BJ210" t="s">
        <v>151</v>
      </c>
      <c r="BM210">
        <v>55</v>
      </c>
      <c r="BN210">
        <v>59298886</v>
      </c>
      <c r="BO210" t="s">
        <v>149</v>
      </c>
      <c r="BP210">
        <v>1</v>
      </c>
      <c r="BQ210">
        <v>30</v>
      </c>
      <c r="BR210">
        <v>0</v>
      </c>
      <c r="BS210">
        <v>54.99</v>
      </c>
      <c r="BT210">
        <v>1</v>
      </c>
      <c r="BU210">
        <v>1</v>
      </c>
      <c r="BV210">
        <v>1</v>
      </c>
      <c r="BW210">
        <v>1</v>
      </c>
      <c r="BX210">
        <v>1</v>
      </c>
      <c r="BY210" t="s">
        <v>3</v>
      </c>
      <c r="BZ210">
        <v>84</v>
      </c>
      <c r="CA210">
        <v>53</v>
      </c>
      <c r="CB210" t="s">
        <v>3</v>
      </c>
      <c r="CE210">
        <v>1566</v>
      </c>
      <c r="CF210">
        <v>0</v>
      </c>
      <c r="CG210">
        <v>0</v>
      </c>
      <c r="CM210">
        <v>0</v>
      </c>
      <c r="CN210" t="s">
        <v>375</v>
      </c>
      <c r="CO210">
        <v>0</v>
      </c>
      <c r="CP210">
        <f t="shared" si="196"/>
        <v>1791.23</v>
      </c>
      <c r="CQ210">
        <f t="shared" si="197"/>
        <v>7.95</v>
      </c>
      <c r="CR210">
        <f>(ROUND((ROUND(((((ET210*1.25)*1.1))*AV210*1),2)*BB210),2)+ROUND((ROUND(((AE210-(((EU210*1.25)*1.1)))*AV210*1),2)*BS210),2))</f>
        <v>0</v>
      </c>
      <c r="CS210">
        <f>(ROUND((ROUND(((((EU210*1.25)*1.1))*AV210*1),2)*BS210),2)+ROUND((ROUND(((AE210-(((EU210*1.25)*1.1)))*AV210*1),2)*BS210),2))</f>
        <v>0</v>
      </c>
      <c r="CT210">
        <f t="shared" si="198"/>
        <v>588.94000000000005</v>
      </c>
      <c r="CU210">
        <f t="shared" si="199"/>
        <v>0</v>
      </c>
      <c r="CV210">
        <f t="shared" si="200"/>
        <v>0.71502860000000001</v>
      </c>
      <c r="CW210">
        <f t="shared" si="201"/>
        <v>0</v>
      </c>
      <c r="CX210">
        <f t="shared" si="202"/>
        <v>0</v>
      </c>
      <c r="CY210">
        <f>(ROUND((((S210+ROUND((ROUND(((((EU210*1.25)*1.1))*AV210*1),2)*BS210),2))*AT210)/100),2)+ROUND(((ROUND((ROUND(((AE210-(((EU210*1.25)*1.1)))*AV210*1),2)*BS210),2)*AT210)/100),2))</f>
        <v>1484.6</v>
      </c>
      <c r="CZ210">
        <f>(ROUND((((S210+ROUND((ROUND(((((EU210*1.25)*1.1))*AV210*1),2)*BS210),2))*AU210)/100),2)+ROUND(((ROUND((ROUND(((AE210-(((EU210*1.25)*1.1)))*AV210*1),2)*BS210),2)*AU210)/100),2))</f>
        <v>936.71</v>
      </c>
      <c r="DB210">
        <v>67</v>
      </c>
      <c r="DC210" t="s">
        <v>3</v>
      </c>
      <c r="DD210" t="s">
        <v>3</v>
      </c>
      <c r="DE210" t="s">
        <v>39</v>
      </c>
      <c r="DF210" t="s">
        <v>39</v>
      </c>
      <c r="DG210" t="s">
        <v>40</v>
      </c>
      <c r="DH210" t="s">
        <v>3</v>
      </c>
      <c r="DI210" t="s">
        <v>40</v>
      </c>
      <c r="DJ210" t="s">
        <v>39</v>
      </c>
      <c r="DK210" t="s">
        <v>3</v>
      </c>
      <c r="DL210" t="s">
        <v>3</v>
      </c>
      <c r="DM210" t="s">
        <v>3</v>
      </c>
      <c r="DN210">
        <v>0</v>
      </c>
      <c r="DO210">
        <v>0</v>
      </c>
      <c r="DP210">
        <v>1</v>
      </c>
      <c r="DQ210">
        <v>1</v>
      </c>
      <c r="DU210">
        <v>1013</v>
      </c>
      <c r="DV210" t="s">
        <v>37</v>
      </c>
      <c r="DW210" t="s">
        <v>37</v>
      </c>
      <c r="DX210">
        <v>1</v>
      </c>
      <c r="DZ210" t="s">
        <v>3</v>
      </c>
      <c r="EA210" t="s">
        <v>3</v>
      </c>
      <c r="EB210" t="s">
        <v>3</v>
      </c>
      <c r="EC210" t="s">
        <v>3</v>
      </c>
      <c r="EE210">
        <v>59298982</v>
      </c>
      <c r="EF210">
        <v>30</v>
      </c>
      <c r="EG210" t="s">
        <v>26</v>
      </c>
      <c r="EH210">
        <v>0</v>
      </c>
      <c r="EI210" t="s">
        <v>3</v>
      </c>
      <c r="EJ210">
        <v>1</v>
      </c>
      <c r="EK210">
        <v>55</v>
      </c>
      <c r="EL210" t="s">
        <v>152</v>
      </c>
      <c r="EM210" t="s">
        <v>153</v>
      </c>
      <c r="EO210" t="s">
        <v>41</v>
      </c>
      <c r="EQ210">
        <v>0</v>
      </c>
      <c r="ER210">
        <v>8.2899999999999991</v>
      </c>
      <c r="ES210">
        <v>0.5</v>
      </c>
      <c r="ET210">
        <v>0</v>
      </c>
      <c r="EU210">
        <v>0</v>
      </c>
      <c r="EV210">
        <v>7.79</v>
      </c>
      <c r="EW210">
        <v>0.52</v>
      </c>
      <c r="EX210">
        <v>0</v>
      </c>
      <c r="EY210">
        <v>0</v>
      </c>
      <c r="FQ210">
        <v>0</v>
      </c>
      <c r="FR210">
        <v>0</v>
      </c>
      <c r="FS210">
        <v>0</v>
      </c>
      <c r="FX210">
        <v>84</v>
      </c>
      <c r="FY210">
        <v>53</v>
      </c>
      <c r="GA210" t="s">
        <v>3</v>
      </c>
      <c r="GD210">
        <v>1</v>
      </c>
      <c r="GF210">
        <v>1745385659</v>
      </c>
      <c r="GG210">
        <v>2</v>
      </c>
      <c r="GH210">
        <v>1</v>
      </c>
      <c r="GI210">
        <v>2</v>
      </c>
      <c r="GJ210">
        <v>0</v>
      </c>
      <c r="GK210">
        <v>0</v>
      </c>
      <c r="GL210">
        <f t="shared" si="203"/>
        <v>0</v>
      </c>
      <c r="GM210">
        <f t="shared" si="204"/>
        <v>4212.54</v>
      </c>
      <c r="GN210">
        <f t="shared" si="205"/>
        <v>4212.54</v>
      </c>
      <c r="GO210">
        <f t="shared" si="206"/>
        <v>0</v>
      </c>
      <c r="GP210">
        <f t="shared" si="207"/>
        <v>0</v>
      </c>
      <c r="GR210">
        <v>0</v>
      </c>
      <c r="GS210">
        <v>3</v>
      </c>
      <c r="GT210">
        <v>0</v>
      </c>
      <c r="GU210" t="s">
        <v>3</v>
      </c>
      <c r="GV210">
        <f t="shared" si="208"/>
        <v>0</v>
      </c>
      <c r="GW210">
        <v>1</v>
      </c>
      <c r="GX210">
        <f t="shared" si="209"/>
        <v>0</v>
      </c>
      <c r="HA210">
        <v>0</v>
      </c>
      <c r="HB210">
        <v>0</v>
      </c>
      <c r="HC210">
        <f t="shared" si="210"/>
        <v>0</v>
      </c>
      <c r="HE210" t="s">
        <v>3</v>
      </c>
      <c r="HF210" t="s">
        <v>3</v>
      </c>
      <c r="HM210" t="s">
        <v>3</v>
      </c>
      <c r="HN210" t="s">
        <v>3</v>
      </c>
      <c r="HO210" t="s">
        <v>3</v>
      </c>
      <c r="HP210" t="s">
        <v>3</v>
      </c>
      <c r="HQ210" t="s">
        <v>3</v>
      </c>
      <c r="HS210">
        <v>0</v>
      </c>
      <c r="IK210">
        <v>0</v>
      </c>
    </row>
    <row r="211" spans="1:255" x14ac:dyDescent="0.2">
      <c r="A211" s="2">
        <v>18</v>
      </c>
      <c r="B211" s="2">
        <v>1</v>
      </c>
      <c r="C211" s="2">
        <v>69</v>
      </c>
      <c r="D211" s="2"/>
      <c r="E211" s="2" t="s">
        <v>200</v>
      </c>
      <c r="F211" s="2" t="s">
        <v>201</v>
      </c>
      <c r="G211" s="2" t="s">
        <v>202</v>
      </c>
      <c r="H211" s="2" t="s">
        <v>124</v>
      </c>
      <c r="I211" s="2">
        <f>I209*J211</f>
        <v>3</v>
      </c>
      <c r="J211" s="2">
        <v>1</v>
      </c>
      <c r="K211" s="2">
        <v>1</v>
      </c>
      <c r="L211" s="2"/>
      <c r="M211" s="2"/>
      <c r="N211" s="2"/>
      <c r="O211" s="2">
        <f t="shared" si="185"/>
        <v>161.58000000000001</v>
      </c>
      <c r="P211" s="2">
        <f t="shared" si="186"/>
        <v>161.58000000000001</v>
      </c>
      <c r="Q211" s="2">
        <f>(ROUND((ROUND(((ET211)*AV211*I211),2)*BB211),2)+ROUND((ROUND(((AE211-(EU211))*AV211*I211),2)*BS211),2))</f>
        <v>0</v>
      </c>
      <c r="R211" s="2">
        <f>(ROUND((ROUND(((EU211)*AV211*I211),2)*BS211),2)+ROUND((ROUND(((AE211-(EU211))*AV211*I211),2)*BS211),2))</f>
        <v>0</v>
      </c>
      <c r="S211" s="2">
        <f t="shared" si="187"/>
        <v>0</v>
      </c>
      <c r="T211" s="2">
        <f t="shared" si="188"/>
        <v>0</v>
      </c>
      <c r="U211" s="2">
        <f t="shared" si="189"/>
        <v>0</v>
      </c>
      <c r="V211" s="2">
        <f t="shared" si="190"/>
        <v>0</v>
      </c>
      <c r="W211" s="2">
        <f t="shared" si="191"/>
        <v>0</v>
      </c>
      <c r="X211" s="2">
        <f>(ROUND((((S211+ROUND((ROUND(((EU211)*AV211*I211),2)*BS211),2))*AT211)/100),2)+ROUND(((ROUND((ROUND(((AE211-(EU211))*AV211*I211),2)*BS211),2)*AT211)/100),2))</f>
        <v>0</v>
      </c>
      <c r="Y211" s="2">
        <f>(ROUND((((S211+ROUND((ROUND(((EU211)*AV211*I211),2)*BS211),2))*AU211)/100),2)+ROUND(((ROUND((ROUND(((AE211-(EU211))*AV211*I211),2)*BS211),2)*AU211)/100),2))</f>
        <v>0</v>
      </c>
      <c r="Z211" s="2"/>
      <c r="AA211" s="2">
        <v>59499218</v>
      </c>
      <c r="AB211" s="2">
        <f t="shared" si="192"/>
        <v>53.86</v>
      </c>
      <c r="AC211" s="2">
        <f t="shared" si="193"/>
        <v>53.86</v>
      </c>
      <c r="AD211" s="2">
        <f>ROUND((((ET211)-(EU211))+AE211),6)</f>
        <v>0</v>
      </c>
      <c r="AE211" s="2">
        <f>ROUND((EU211),6)</f>
        <v>0</v>
      </c>
      <c r="AF211" s="2">
        <f>ROUND((EV211),6)</f>
        <v>0</v>
      </c>
      <c r="AG211" s="2">
        <f t="shared" si="194"/>
        <v>0</v>
      </c>
      <c r="AH211" s="2">
        <f>(EW211)</f>
        <v>0</v>
      </c>
      <c r="AI211" s="2">
        <f>(EX211)</f>
        <v>0</v>
      </c>
      <c r="AJ211" s="2">
        <f t="shared" si="195"/>
        <v>0</v>
      </c>
      <c r="AK211" s="2">
        <v>53.86</v>
      </c>
      <c r="AL211" s="2">
        <v>53.86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84</v>
      </c>
      <c r="AU211" s="2">
        <v>53</v>
      </c>
      <c r="AV211" s="2">
        <v>1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3</v>
      </c>
      <c r="BI211" s="2">
        <v>1</v>
      </c>
      <c r="BJ211" s="2" t="s">
        <v>3</v>
      </c>
      <c r="BK211" s="2"/>
      <c r="BL211" s="2"/>
      <c r="BM211" s="2">
        <v>55</v>
      </c>
      <c r="BN211" s="2">
        <v>0</v>
      </c>
      <c r="BO211" s="2" t="s">
        <v>3</v>
      </c>
      <c r="BP211" s="2">
        <v>0</v>
      </c>
      <c r="BQ211" s="2">
        <v>30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84</v>
      </c>
      <c r="CA211" s="2">
        <v>53</v>
      </c>
      <c r="CB211" s="2" t="s">
        <v>3</v>
      </c>
      <c r="CC211" s="2"/>
      <c r="CD211" s="2"/>
      <c r="CE211" s="2">
        <v>1566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3</v>
      </c>
      <c r="CO211" s="2">
        <v>0</v>
      </c>
      <c r="CP211" s="2">
        <f t="shared" si="196"/>
        <v>161.58000000000001</v>
      </c>
      <c r="CQ211" s="2">
        <f t="shared" si="197"/>
        <v>53.86</v>
      </c>
      <c r="CR211" s="2">
        <f>(ROUND((ROUND(((ET211)*AV211*1),2)*BB211),2)+ROUND((ROUND(((AE211-(EU211))*AV211*1),2)*BS211),2))</f>
        <v>0</v>
      </c>
      <c r="CS211" s="2">
        <f>(ROUND((ROUND(((EU211)*AV211*1),2)*BS211),2)+ROUND((ROUND(((AE211-(EU211))*AV211*1),2)*BS211),2))</f>
        <v>0</v>
      </c>
      <c r="CT211" s="2">
        <f t="shared" si="198"/>
        <v>0</v>
      </c>
      <c r="CU211" s="2">
        <f t="shared" si="199"/>
        <v>0</v>
      </c>
      <c r="CV211" s="2">
        <f t="shared" si="200"/>
        <v>0</v>
      </c>
      <c r="CW211" s="2">
        <f t="shared" si="201"/>
        <v>0</v>
      </c>
      <c r="CX211" s="2">
        <f t="shared" si="202"/>
        <v>0</v>
      </c>
      <c r="CY211" s="2">
        <f>(ROUND((((S211+ROUND((ROUND(((EU211)*AV211*1),2)*BS211),2))*AT211)/100),2)+ROUND(((ROUND((ROUND(((AE211-(EU211))*AV211*1),2)*BS211),2)*AT211)/100),2))</f>
        <v>0</v>
      </c>
      <c r="CZ211" s="2">
        <f>(ROUND((((S211+ROUND((ROUND(((EU211)*AV211*1),2)*BS211),2))*AU211)/100),2)+ROUND(((ROUND((ROUND(((AE211-(EU211))*AV211*1),2)*BS211),2)*AU211)/100),2))</f>
        <v>0</v>
      </c>
      <c r="DA211" s="2"/>
      <c r="DB211" s="2"/>
      <c r="DC211" s="2" t="s">
        <v>3</v>
      </c>
      <c r="DD211" s="2" t="s">
        <v>3</v>
      </c>
      <c r="DE211" s="2" t="s">
        <v>3</v>
      </c>
      <c r="DF211" s="2" t="s">
        <v>3</v>
      </c>
      <c r="DG211" s="2" t="s">
        <v>3</v>
      </c>
      <c r="DH211" s="2" t="s">
        <v>3</v>
      </c>
      <c r="DI211" s="2" t="s">
        <v>3</v>
      </c>
      <c r="DJ211" s="2" t="s">
        <v>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1010</v>
      </c>
      <c r="DV211" s="2" t="s">
        <v>124</v>
      </c>
      <c r="DW211" s="2" t="s">
        <v>124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59298982</v>
      </c>
      <c r="EF211" s="2">
        <v>30</v>
      </c>
      <c r="EG211" s="2" t="s">
        <v>26</v>
      </c>
      <c r="EH211" s="2">
        <v>0</v>
      </c>
      <c r="EI211" s="2" t="s">
        <v>3</v>
      </c>
      <c r="EJ211" s="2">
        <v>1</v>
      </c>
      <c r="EK211" s="2">
        <v>55</v>
      </c>
      <c r="EL211" s="2" t="s">
        <v>152</v>
      </c>
      <c r="EM211" s="2" t="s">
        <v>153</v>
      </c>
      <c r="EN211" s="2"/>
      <c r="EO211" s="2" t="s">
        <v>3</v>
      </c>
      <c r="EP211" s="2"/>
      <c r="EQ211" s="2">
        <v>0</v>
      </c>
      <c r="ER211" s="2">
        <v>0</v>
      </c>
      <c r="ES211" s="2">
        <v>53.86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v>0</v>
      </c>
      <c r="FS211" s="2">
        <v>0</v>
      </c>
      <c r="FT211" s="2"/>
      <c r="FU211" s="2"/>
      <c r="FV211" s="2"/>
      <c r="FW211" s="2"/>
      <c r="FX211" s="2">
        <v>84</v>
      </c>
      <c r="FY211" s="2">
        <v>53</v>
      </c>
      <c r="FZ211" s="2"/>
      <c r="GA211" s="2" t="s">
        <v>172</v>
      </c>
      <c r="GB211" s="2"/>
      <c r="GC211" s="2"/>
      <c r="GD211" s="2">
        <v>1</v>
      </c>
      <c r="GE211" s="2"/>
      <c r="GF211" s="2">
        <v>-2007388342</v>
      </c>
      <c r="GG211" s="2">
        <v>2</v>
      </c>
      <c r="GH211" s="2">
        <v>4</v>
      </c>
      <c r="GI211" s="2">
        <v>-2</v>
      </c>
      <c r="GJ211" s="2">
        <v>0</v>
      </c>
      <c r="GK211" s="2">
        <v>0</v>
      </c>
      <c r="GL211" s="2">
        <f t="shared" si="203"/>
        <v>0</v>
      </c>
      <c r="GM211" s="2">
        <f t="shared" si="204"/>
        <v>161.58000000000001</v>
      </c>
      <c r="GN211" s="2">
        <f t="shared" si="205"/>
        <v>161.58000000000001</v>
      </c>
      <c r="GO211" s="2">
        <f t="shared" si="206"/>
        <v>0</v>
      </c>
      <c r="GP211" s="2">
        <f t="shared" si="207"/>
        <v>0</v>
      </c>
      <c r="GQ211" s="2"/>
      <c r="GR211" s="2">
        <v>0</v>
      </c>
      <c r="GS211" s="2">
        <v>2</v>
      </c>
      <c r="GT211" s="2">
        <v>0</v>
      </c>
      <c r="GU211" s="2" t="s">
        <v>3</v>
      </c>
      <c r="GV211" s="2">
        <f t="shared" si="208"/>
        <v>0</v>
      </c>
      <c r="GW211" s="2">
        <v>1</v>
      </c>
      <c r="GX211" s="2">
        <f t="shared" si="209"/>
        <v>0</v>
      </c>
      <c r="GY211" s="2"/>
      <c r="GZ211" s="2"/>
      <c r="HA211" s="2">
        <v>0</v>
      </c>
      <c r="HB211" s="2">
        <v>0</v>
      </c>
      <c r="HC211" s="2">
        <f t="shared" si="210"/>
        <v>0</v>
      </c>
      <c r="HD211" s="2"/>
      <c r="HE211" s="2" t="s">
        <v>173</v>
      </c>
      <c r="HF211" s="2" t="s">
        <v>30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">
      <c r="A212">
        <v>18</v>
      </c>
      <c r="B212">
        <v>1</v>
      </c>
      <c r="C212">
        <v>72</v>
      </c>
      <c r="E212" t="s">
        <v>200</v>
      </c>
      <c r="F212" t="s">
        <v>201</v>
      </c>
      <c r="G212" t="s">
        <v>202</v>
      </c>
      <c r="H212" t="s">
        <v>124</v>
      </c>
      <c r="I212">
        <f>I210*J212</f>
        <v>3</v>
      </c>
      <c r="J212">
        <v>1</v>
      </c>
      <c r="K212">
        <v>1</v>
      </c>
      <c r="O212">
        <f t="shared" si="185"/>
        <v>1596.41</v>
      </c>
      <c r="P212">
        <f t="shared" si="186"/>
        <v>1596.41</v>
      </c>
      <c r="Q212">
        <f>(ROUND((ROUND(((ET212)*AV212*I212),2)*BB212),2)+ROUND((ROUND(((AE212-(EU212))*AV212*I212),2)*BS212),2))</f>
        <v>0</v>
      </c>
      <c r="R212">
        <f>(ROUND((ROUND(((EU212)*AV212*I212),2)*BS212),2)+ROUND((ROUND(((AE212-(EU212))*AV212*I212),2)*BS212),2))</f>
        <v>0</v>
      </c>
      <c r="S212">
        <f t="shared" si="187"/>
        <v>0</v>
      </c>
      <c r="T212">
        <f t="shared" si="188"/>
        <v>0</v>
      </c>
      <c r="U212">
        <f t="shared" si="189"/>
        <v>0</v>
      </c>
      <c r="V212">
        <f t="shared" si="190"/>
        <v>0</v>
      </c>
      <c r="W212">
        <f t="shared" si="191"/>
        <v>0</v>
      </c>
      <c r="X212">
        <f>(ROUND((((S212+ROUND((ROUND(((EU212)*AV212*I212),2)*BS212),2))*AT212)/100),2)+ROUND(((ROUND((ROUND(((AE212-(EU212))*AV212*I212),2)*BS212),2)*AT212)/100),2))</f>
        <v>0</v>
      </c>
      <c r="Y212">
        <f>(ROUND((((S212+ROUND((ROUND(((EU212)*AV212*I212),2)*BS212),2))*AU212)/100),2)+ROUND(((ROUND((ROUND(((AE212-(EU212))*AV212*I212),2)*BS212),2)*AU212)/100),2))</f>
        <v>0</v>
      </c>
      <c r="AA212">
        <v>59499215</v>
      </c>
      <c r="AB212">
        <f t="shared" si="192"/>
        <v>53.86</v>
      </c>
      <c r="AC212">
        <f t="shared" si="193"/>
        <v>53.86</v>
      </c>
      <c r="AD212">
        <f>ROUND((((ET212)-(EU212))+AE212),6)</f>
        <v>0</v>
      </c>
      <c r="AE212">
        <f>ROUND((EU212),6)</f>
        <v>0</v>
      </c>
      <c r="AF212">
        <f>ROUND((EV212),6)</f>
        <v>0</v>
      </c>
      <c r="AG212">
        <f t="shared" si="194"/>
        <v>0</v>
      </c>
      <c r="AH212">
        <f>(EW212)</f>
        <v>0</v>
      </c>
      <c r="AI212">
        <f>(EX212)</f>
        <v>0</v>
      </c>
      <c r="AJ212">
        <f t="shared" si="195"/>
        <v>0</v>
      </c>
      <c r="AK212">
        <v>53.86</v>
      </c>
      <c r="AL212">
        <v>53.86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84</v>
      </c>
      <c r="AU212">
        <v>53</v>
      </c>
      <c r="AV212">
        <v>1</v>
      </c>
      <c r="AW212">
        <v>1</v>
      </c>
      <c r="AZ212">
        <v>1</v>
      </c>
      <c r="BA212">
        <v>1</v>
      </c>
      <c r="BB212">
        <v>1</v>
      </c>
      <c r="BC212">
        <v>9.8800000000000008</v>
      </c>
      <c r="BD212" t="s">
        <v>3</v>
      </c>
      <c r="BE212" t="s">
        <v>3</v>
      </c>
      <c r="BF212" t="s">
        <v>3</v>
      </c>
      <c r="BG212" t="s">
        <v>3</v>
      </c>
      <c r="BH212">
        <v>3</v>
      </c>
      <c r="BI212">
        <v>1</v>
      </c>
      <c r="BJ212" t="s">
        <v>3</v>
      </c>
      <c r="BM212">
        <v>55</v>
      </c>
      <c r="BN212">
        <v>0</v>
      </c>
      <c r="BO212" t="s">
        <v>3</v>
      </c>
      <c r="BP212">
        <v>0</v>
      </c>
      <c r="BQ212">
        <v>30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 t="s">
        <v>3</v>
      </c>
      <c r="BZ212">
        <v>84</v>
      </c>
      <c r="CA212">
        <v>53</v>
      </c>
      <c r="CB212" t="s">
        <v>3</v>
      </c>
      <c r="CE212">
        <v>1566</v>
      </c>
      <c r="CF212">
        <v>0</v>
      </c>
      <c r="CG212">
        <v>0</v>
      </c>
      <c r="CM212">
        <v>0</v>
      </c>
      <c r="CN212" t="s">
        <v>3</v>
      </c>
      <c r="CO212">
        <v>0</v>
      </c>
      <c r="CP212">
        <f t="shared" si="196"/>
        <v>1596.41</v>
      </c>
      <c r="CQ212">
        <f t="shared" si="197"/>
        <v>532.14</v>
      </c>
      <c r="CR212">
        <f>(ROUND((ROUND(((ET212)*AV212*1),2)*BB212),2)+ROUND((ROUND(((AE212-(EU212))*AV212*1),2)*BS212),2))</f>
        <v>0</v>
      </c>
      <c r="CS212">
        <f>(ROUND((ROUND(((EU212)*AV212*1),2)*BS212),2)+ROUND((ROUND(((AE212-(EU212))*AV212*1),2)*BS212),2))</f>
        <v>0</v>
      </c>
      <c r="CT212">
        <f t="shared" si="198"/>
        <v>0</v>
      </c>
      <c r="CU212">
        <f t="shared" si="199"/>
        <v>0</v>
      </c>
      <c r="CV212">
        <f t="shared" si="200"/>
        <v>0</v>
      </c>
      <c r="CW212">
        <f t="shared" si="201"/>
        <v>0</v>
      </c>
      <c r="CX212">
        <f t="shared" si="202"/>
        <v>0</v>
      </c>
      <c r="CY212">
        <f>(ROUND((((S212+ROUND((ROUND(((EU212)*AV212*1),2)*BS212),2))*AT212)/100),2)+ROUND(((ROUND((ROUND(((AE212-(EU212))*AV212*1),2)*BS212),2)*AT212)/100),2))</f>
        <v>0</v>
      </c>
      <c r="CZ212">
        <f>(ROUND((((S212+ROUND((ROUND(((EU212)*AV212*1),2)*BS212),2))*AU212)/100),2)+ROUND(((ROUND((ROUND(((AE212-(EU212))*AV212*1),2)*BS212),2)*AU212)/100),2))</f>
        <v>0</v>
      </c>
      <c r="DC212" t="s">
        <v>3</v>
      </c>
      <c r="DD212" t="s">
        <v>3</v>
      </c>
      <c r="DE212" t="s">
        <v>3</v>
      </c>
      <c r="DF212" t="s">
        <v>3</v>
      </c>
      <c r="DG212" t="s">
        <v>3</v>
      </c>
      <c r="DH212" t="s">
        <v>3</v>
      </c>
      <c r="DI212" t="s">
        <v>3</v>
      </c>
      <c r="DJ212" t="s">
        <v>3</v>
      </c>
      <c r="DK212" t="s">
        <v>3</v>
      </c>
      <c r="DL212" t="s">
        <v>3</v>
      </c>
      <c r="DM212" t="s">
        <v>3</v>
      </c>
      <c r="DN212">
        <v>0</v>
      </c>
      <c r="DO212">
        <v>0</v>
      </c>
      <c r="DP212">
        <v>1</v>
      </c>
      <c r="DQ212">
        <v>1</v>
      </c>
      <c r="DU212">
        <v>1010</v>
      </c>
      <c r="DV212" t="s">
        <v>124</v>
      </c>
      <c r="DW212" t="s">
        <v>124</v>
      </c>
      <c r="DX212">
        <v>1</v>
      </c>
      <c r="DZ212" t="s">
        <v>3</v>
      </c>
      <c r="EA212" t="s">
        <v>3</v>
      </c>
      <c r="EB212" t="s">
        <v>3</v>
      </c>
      <c r="EC212" t="s">
        <v>3</v>
      </c>
      <c r="EE212">
        <v>59298982</v>
      </c>
      <c r="EF212">
        <v>30</v>
      </c>
      <c r="EG212" t="s">
        <v>26</v>
      </c>
      <c r="EH212">
        <v>0</v>
      </c>
      <c r="EI212" t="s">
        <v>3</v>
      </c>
      <c r="EJ212">
        <v>1</v>
      </c>
      <c r="EK212">
        <v>55</v>
      </c>
      <c r="EL212" t="s">
        <v>152</v>
      </c>
      <c r="EM212" t="s">
        <v>153</v>
      </c>
      <c r="EO212" t="s">
        <v>3</v>
      </c>
      <c r="EQ212">
        <v>0</v>
      </c>
      <c r="ER212">
        <v>53.86</v>
      </c>
      <c r="ES212">
        <v>53.86</v>
      </c>
      <c r="ET212">
        <v>0</v>
      </c>
      <c r="EU212">
        <v>0</v>
      </c>
      <c r="EV212">
        <v>0</v>
      </c>
      <c r="EW212">
        <v>0</v>
      </c>
      <c r="EX212">
        <v>0</v>
      </c>
      <c r="EZ212">
        <v>5</v>
      </c>
      <c r="FC212">
        <v>1</v>
      </c>
      <c r="FD212">
        <v>18</v>
      </c>
      <c r="FF212">
        <v>626</v>
      </c>
      <c r="FQ212">
        <v>0</v>
      </c>
      <c r="FR212">
        <v>0</v>
      </c>
      <c r="FS212">
        <v>0</v>
      </c>
      <c r="FX212">
        <v>84</v>
      </c>
      <c r="FY212">
        <v>53</v>
      </c>
      <c r="GA212" t="s">
        <v>172</v>
      </c>
      <c r="GD212">
        <v>1</v>
      </c>
      <c r="GF212">
        <v>-2007388342</v>
      </c>
      <c r="GG212">
        <v>2</v>
      </c>
      <c r="GH212">
        <v>3</v>
      </c>
      <c r="GI212">
        <v>3</v>
      </c>
      <c r="GJ212">
        <v>0</v>
      </c>
      <c r="GK212">
        <v>0</v>
      </c>
      <c r="GL212">
        <f t="shared" si="203"/>
        <v>0</v>
      </c>
      <c r="GM212">
        <f t="shared" si="204"/>
        <v>1596.41</v>
      </c>
      <c r="GN212">
        <f t="shared" si="205"/>
        <v>1596.41</v>
      </c>
      <c r="GO212">
        <f t="shared" si="206"/>
        <v>0</v>
      </c>
      <c r="GP212">
        <f t="shared" si="207"/>
        <v>0</v>
      </c>
      <c r="GR212">
        <v>1</v>
      </c>
      <c r="GS212">
        <v>1</v>
      </c>
      <c r="GT212">
        <v>0</v>
      </c>
      <c r="GU212" t="s">
        <v>3</v>
      </c>
      <c r="GV212">
        <f t="shared" si="208"/>
        <v>0</v>
      </c>
      <c r="GW212">
        <v>1</v>
      </c>
      <c r="GX212">
        <f t="shared" si="209"/>
        <v>0</v>
      </c>
      <c r="HA212">
        <v>0</v>
      </c>
      <c r="HB212">
        <v>0</v>
      </c>
      <c r="HC212">
        <f t="shared" si="210"/>
        <v>0</v>
      </c>
      <c r="HE212" t="s">
        <v>173</v>
      </c>
      <c r="HF212" t="s">
        <v>30</v>
      </c>
      <c r="HM212" t="s">
        <v>3</v>
      </c>
      <c r="HN212" t="s">
        <v>3</v>
      </c>
      <c r="HO212" t="s">
        <v>3</v>
      </c>
      <c r="HP212" t="s">
        <v>3</v>
      </c>
      <c r="HQ212" t="s">
        <v>3</v>
      </c>
      <c r="HS212">
        <v>0</v>
      </c>
      <c r="IK212">
        <v>0</v>
      </c>
    </row>
    <row r="213" spans="1:255" x14ac:dyDescent="0.2">
      <c r="A213" s="2">
        <v>17</v>
      </c>
      <c r="B213" s="2">
        <v>1</v>
      </c>
      <c r="C213" s="2">
        <f>ROW(SmtRes!A75)</f>
        <v>75</v>
      </c>
      <c r="D213" s="2">
        <f>ROW(EtalonRes!A83)</f>
        <v>83</v>
      </c>
      <c r="E213" s="2" t="s">
        <v>203</v>
      </c>
      <c r="F213" s="2" t="s">
        <v>149</v>
      </c>
      <c r="G213" s="2" t="s">
        <v>168</v>
      </c>
      <c r="H213" s="2" t="s">
        <v>37</v>
      </c>
      <c r="I213" s="2">
        <v>3</v>
      </c>
      <c r="J213" s="2">
        <v>0</v>
      </c>
      <c r="K213" s="2">
        <v>3</v>
      </c>
      <c r="L213" s="2"/>
      <c r="M213" s="2"/>
      <c r="N213" s="2"/>
      <c r="O213" s="2">
        <f t="shared" si="185"/>
        <v>33.64</v>
      </c>
      <c r="P213" s="2">
        <f t="shared" si="186"/>
        <v>1.5</v>
      </c>
      <c r="Q213" s="2">
        <f>(ROUND((ROUND(((((ET213*1.25)*1.1))*AV213*I213),2)*BB213),2)+ROUND((ROUND(((AE213-(((EU213*1.25)*1.1)))*AV213*I213),2)*BS213),2))</f>
        <v>0</v>
      </c>
      <c r="R213" s="2">
        <f>(ROUND((ROUND(((((EU213*1.25)*1.1))*AV213*I213),2)*BS213),2)+ROUND((ROUND(((AE213-(((EU213*1.25)*1.1)))*AV213*I213),2)*BS213),2))</f>
        <v>0</v>
      </c>
      <c r="S213" s="2">
        <f t="shared" si="187"/>
        <v>32.14</v>
      </c>
      <c r="T213" s="2">
        <f t="shared" si="188"/>
        <v>0</v>
      </c>
      <c r="U213" s="2">
        <f t="shared" si="189"/>
        <v>2.1450857999999999</v>
      </c>
      <c r="V213" s="2">
        <f t="shared" si="190"/>
        <v>0</v>
      </c>
      <c r="W213" s="2">
        <f t="shared" si="191"/>
        <v>0</v>
      </c>
      <c r="X213" s="2">
        <f>(ROUND((((S213+ROUND((ROUND(((((EU213*1.25)*1.1))*AV213*I213),2)*BS213),2))*AT213)/100),2)+ROUND(((ROUND((ROUND(((AE213-(((EU213*1.25)*1.1)))*AV213*I213),2)*BS213),2)*AT213)/100),2))</f>
        <v>27</v>
      </c>
      <c r="Y213" s="2">
        <f>(ROUND((((S213+ROUND((ROUND(((((EU213*1.25)*1.1))*AV213*I213),2)*BS213),2))*AU213)/100),2)+ROUND(((ROUND((ROUND(((AE213-(((EU213*1.25)*1.1)))*AV213*I213),2)*BS213),2)*AU213)/100),2))</f>
        <v>17.03</v>
      </c>
      <c r="Z213" s="2"/>
      <c r="AA213" s="2">
        <v>59499218</v>
      </c>
      <c r="AB213" s="2">
        <f t="shared" si="192"/>
        <v>10.35435</v>
      </c>
      <c r="AC213" s="2">
        <f t="shared" si="193"/>
        <v>0.5</v>
      </c>
      <c r="AD213" s="2">
        <f>ROUND((((((ET213*1.25)*1.1))-(((EU213*1.25)*1.1)))+AE213),6)</f>
        <v>0</v>
      </c>
      <c r="AE213" s="2">
        <f>ROUND((((EU213*1.25)*1.1)),6)</f>
        <v>0</v>
      </c>
      <c r="AF213" s="2">
        <f>ROUND((((EV213*1.15)*1.1)),6)</f>
        <v>9.8543500000000002</v>
      </c>
      <c r="AG213" s="2">
        <f t="shared" si="194"/>
        <v>0</v>
      </c>
      <c r="AH213" s="2">
        <f>(((EW213*1.15)*1.1))</f>
        <v>0.65780000000000005</v>
      </c>
      <c r="AI213" s="2">
        <f>(((EX213*1.25)*1.1))</f>
        <v>0</v>
      </c>
      <c r="AJ213" s="2">
        <f t="shared" si="195"/>
        <v>0</v>
      </c>
      <c r="AK213" s="2">
        <v>8.2899999999999991</v>
      </c>
      <c r="AL213" s="2">
        <v>0.5</v>
      </c>
      <c r="AM213" s="2">
        <v>0</v>
      </c>
      <c r="AN213" s="2">
        <v>0</v>
      </c>
      <c r="AO213" s="2">
        <v>7.79</v>
      </c>
      <c r="AP213" s="2">
        <v>0</v>
      </c>
      <c r="AQ213" s="2">
        <v>0.52</v>
      </c>
      <c r="AR213" s="2">
        <v>0</v>
      </c>
      <c r="AS213" s="2">
        <v>0</v>
      </c>
      <c r="AT213" s="2">
        <v>84</v>
      </c>
      <c r="AU213" s="2">
        <v>53</v>
      </c>
      <c r="AV213" s="2">
        <v>1.087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0</v>
      </c>
      <c r="BI213" s="2">
        <v>1</v>
      </c>
      <c r="BJ213" s="2" t="s">
        <v>151</v>
      </c>
      <c r="BK213" s="2"/>
      <c r="BL213" s="2"/>
      <c r="BM213" s="2">
        <v>55</v>
      </c>
      <c r="BN213" s="2">
        <v>59298886</v>
      </c>
      <c r="BO213" s="2" t="s">
        <v>149</v>
      </c>
      <c r="BP213" s="2">
        <v>1</v>
      </c>
      <c r="BQ213" s="2">
        <v>30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84</v>
      </c>
      <c r="CA213" s="2">
        <v>53</v>
      </c>
      <c r="CB213" s="2" t="s">
        <v>3</v>
      </c>
      <c r="CC213" s="2"/>
      <c r="CD213" s="2"/>
      <c r="CE213" s="2">
        <v>1566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375</v>
      </c>
      <c r="CO213" s="2">
        <v>0</v>
      </c>
      <c r="CP213" s="2">
        <f t="shared" si="196"/>
        <v>33.64</v>
      </c>
      <c r="CQ213" s="2">
        <f t="shared" si="197"/>
        <v>0.5</v>
      </c>
      <c r="CR213" s="2">
        <f>(ROUND((ROUND(((((ET213*1.25)*1.1))*AV213*1),2)*BB213),2)+ROUND((ROUND(((AE213-(((EU213*1.25)*1.1)))*AV213*1),2)*BS213),2))</f>
        <v>0</v>
      </c>
      <c r="CS213" s="2">
        <f>(ROUND((ROUND(((((EU213*1.25)*1.1))*AV213*1),2)*BS213),2)+ROUND((ROUND(((AE213-(((EU213*1.25)*1.1)))*AV213*1),2)*BS213),2))</f>
        <v>0</v>
      </c>
      <c r="CT213" s="2">
        <f t="shared" si="198"/>
        <v>10.71</v>
      </c>
      <c r="CU213" s="2">
        <f t="shared" si="199"/>
        <v>0</v>
      </c>
      <c r="CV213" s="2">
        <f t="shared" si="200"/>
        <v>0.71502860000000001</v>
      </c>
      <c r="CW213" s="2">
        <f t="shared" si="201"/>
        <v>0</v>
      </c>
      <c r="CX213" s="2">
        <f t="shared" si="202"/>
        <v>0</v>
      </c>
      <c r="CY213" s="2">
        <f>(ROUND((((S213+ROUND((ROUND(((((EU213*1.25)*1.1))*AV213*1),2)*BS213),2))*AT213)/100),2)+ROUND(((ROUND((ROUND(((AE213-(((EU213*1.25)*1.1)))*AV213*1),2)*BS213),2)*AT213)/100),2))</f>
        <v>27</v>
      </c>
      <c r="CZ213" s="2">
        <f>(ROUND((((S213+ROUND((ROUND(((((EU213*1.25)*1.1))*AV213*1),2)*BS213),2))*AU213)/100),2)+ROUND(((ROUND((ROUND(((AE213-(((EU213*1.25)*1.1)))*AV213*1),2)*BS213),2)*AU213)/100),2))</f>
        <v>17.03</v>
      </c>
      <c r="DA213" s="2"/>
      <c r="DB213" s="2">
        <v>69</v>
      </c>
      <c r="DC213" s="2" t="s">
        <v>3</v>
      </c>
      <c r="DD213" s="2" t="s">
        <v>3</v>
      </c>
      <c r="DE213" s="2" t="s">
        <v>39</v>
      </c>
      <c r="DF213" s="2" t="s">
        <v>39</v>
      </c>
      <c r="DG213" s="2" t="s">
        <v>40</v>
      </c>
      <c r="DH213" s="2" t="s">
        <v>3</v>
      </c>
      <c r="DI213" s="2" t="s">
        <v>40</v>
      </c>
      <c r="DJ213" s="2" t="s">
        <v>39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1013</v>
      </c>
      <c r="DV213" s="2" t="s">
        <v>37</v>
      </c>
      <c r="DW213" s="2" t="s">
        <v>37</v>
      </c>
      <c r="DX213" s="2">
        <v>1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59298982</v>
      </c>
      <c r="EF213" s="2">
        <v>30</v>
      </c>
      <c r="EG213" s="2" t="s">
        <v>26</v>
      </c>
      <c r="EH213" s="2">
        <v>0</v>
      </c>
      <c r="EI213" s="2" t="s">
        <v>3</v>
      </c>
      <c r="EJ213" s="2">
        <v>1</v>
      </c>
      <c r="EK213" s="2">
        <v>55</v>
      </c>
      <c r="EL213" s="2" t="s">
        <v>152</v>
      </c>
      <c r="EM213" s="2" t="s">
        <v>153</v>
      </c>
      <c r="EN213" s="2"/>
      <c r="EO213" s="2" t="s">
        <v>41</v>
      </c>
      <c r="EP213" s="2"/>
      <c r="EQ213" s="2">
        <v>0</v>
      </c>
      <c r="ER213" s="2">
        <v>8.2899999999999991</v>
      </c>
      <c r="ES213" s="2">
        <v>0.5</v>
      </c>
      <c r="ET213" s="2">
        <v>0</v>
      </c>
      <c r="EU213" s="2">
        <v>0</v>
      </c>
      <c r="EV213" s="2">
        <v>7.79</v>
      </c>
      <c r="EW213" s="2">
        <v>0.52</v>
      </c>
      <c r="EX213" s="2">
        <v>0</v>
      </c>
      <c r="EY213" s="2">
        <v>0</v>
      </c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v>0</v>
      </c>
      <c r="FS213" s="2">
        <v>0</v>
      </c>
      <c r="FT213" s="2"/>
      <c r="FU213" s="2"/>
      <c r="FV213" s="2"/>
      <c r="FW213" s="2"/>
      <c r="FX213" s="2">
        <v>84</v>
      </c>
      <c r="FY213" s="2">
        <v>53</v>
      </c>
      <c r="FZ213" s="2"/>
      <c r="GA213" s="2" t="s">
        <v>3</v>
      </c>
      <c r="GB213" s="2"/>
      <c r="GC213" s="2"/>
      <c r="GD213" s="2">
        <v>1</v>
      </c>
      <c r="GE213" s="2"/>
      <c r="GF213" s="2">
        <v>1745385659</v>
      </c>
      <c r="GG213" s="2">
        <v>2</v>
      </c>
      <c r="GH213" s="2">
        <v>1</v>
      </c>
      <c r="GI213" s="2">
        <v>2</v>
      </c>
      <c r="GJ213" s="2">
        <v>0</v>
      </c>
      <c r="GK213" s="2">
        <v>0</v>
      </c>
      <c r="GL213" s="2">
        <f t="shared" si="203"/>
        <v>0</v>
      </c>
      <c r="GM213" s="2">
        <f t="shared" si="204"/>
        <v>77.67</v>
      </c>
      <c r="GN213" s="2">
        <f t="shared" si="205"/>
        <v>77.67</v>
      </c>
      <c r="GO213" s="2">
        <f t="shared" si="206"/>
        <v>0</v>
      </c>
      <c r="GP213" s="2">
        <f t="shared" si="207"/>
        <v>0</v>
      </c>
      <c r="GQ213" s="2"/>
      <c r="GR213" s="2">
        <v>0</v>
      </c>
      <c r="GS213" s="2">
        <v>3</v>
      </c>
      <c r="GT213" s="2">
        <v>0</v>
      </c>
      <c r="GU213" s="2" t="s">
        <v>3</v>
      </c>
      <c r="GV213" s="2">
        <f t="shared" si="208"/>
        <v>0</v>
      </c>
      <c r="GW213" s="2">
        <v>1</v>
      </c>
      <c r="GX213" s="2">
        <f t="shared" si="209"/>
        <v>0</v>
      </c>
      <c r="GY213" s="2"/>
      <c r="GZ213" s="2"/>
      <c r="HA213" s="2">
        <v>0</v>
      </c>
      <c r="HB213" s="2">
        <v>0</v>
      </c>
      <c r="HC213" s="2">
        <f t="shared" si="210"/>
        <v>0</v>
      </c>
      <c r="HD213" s="2"/>
      <c r="HE213" s="2" t="s">
        <v>3</v>
      </c>
      <c r="HF213" s="2" t="s">
        <v>3</v>
      </c>
      <c r="HG213" s="2"/>
      <c r="HH213" s="2"/>
      <c r="HI213" s="2"/>
      <c r="HJ213" s="2"/>
      <c r="HK213" s="2"/>
      <c r="HL213" s="2"/>
      <c r="HM213" s="2" t="s">
        <v>3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">
      <c r="A214">
        <v>17</v>
      </c>
      <c r="B214">
        <v>1</v>
      </c>
      <c r="C214">
        <f>ROW(SmtRes!A78)</f>
        <v>78</v>
      </c>
      <c r="D214">
        <f>ROW(EtalonRes!A86)</f>
        <v>86</v>
      </c>
      <c r="E214" t="s">
        <v>203</v>
      </c>
      <c r="F214" t="s">
        <v>149</v>
      </c>
      <c r="G214" t="s">
        <v>168</v>
      </c>
      <c r="H214" t="s">
        <v>37</v>
      </c>
      <c r="I214">
        <v>3</v>
      </c>
      <c r="J214">
        <v>0</v>
      </c>
      <c r="K214">
        <v>3</v>
      </c>
      <c r="O214">
        <f t="shared" si="185"/>
        <v>1791.23</v>
      </c>
      <c r="P214">
        <f t="shared" si="186"/>
        <v>23.85</v>
      </c>
      <c r="Q214">
        <f>(ROUND((ROUND(((((ET214*1.25)*1.1))*AV214*I214),2)*BB214),2)+ROUND((ROUND(((AE214-(((EU214*1.25)*1.1)))*AV214*I214),2)*BS214),2))</f>
        <v>0</v>
      </c>
      <c r="R214">
        <f>(ROUND((ROUND(((((EU214*1.25)*1.1))*AV214*I214),2)*BS214),2)+ROUND((ROUND(((AE214-(((EU214*1.25)*1.1)))*AV214*I214),2)*BS214),2))</f>
        <v>0</v>
      </c>
      <c r="S214">
        <f t="shared" si="187"/>
        <v>1767.38</v>
      </c>
      <c r="T214">
        <f t="shared" si="188"/>
        <v>0</v>
      </c>
      <c r="U214">
        <f t="shared" si="189"/>
        <v>2.1450857999999999</v>
      </c>
      <c r="V214">
        <f t="shared" si="190"/>
        <v>0</v>
      </c>
      <c r="W214">
        <f t="shared" si="191"/>
        <v>0</v>
      </c>
      <c r="X214">
        <f>(ROUND((((S214+ROUND((ROUND(((((EU214*1.25)*1.1))*AV214*I214),2)*BS214),2))*AT214)/100),2)+ROUND(((ROUND((ROUND(((AE214-(((EU214*1.25)*1.1)))*AV214*I214),2)*BS214),2)*AT214)/100),2))</f>
        <v>1484.6</v>
      </c>
      <c r="Y214">
        <f>(ROUND((((S214+ROUND((ROUND(((((EU214*1.25)*1.1))*AV214*I214),2)*BS214),2))*AU214)/100),2)+ROUND(((ROUND((ROUND(((AE214-(((EU214*1.25)*1.1)))*AV214*I214),2)*BS214),2)*AU214)/100),2))</f>
        <v>936.71</v>
      </c>
      <c r="AA214">
        <v>59499215</v>
      </c>
      <c r="AB214">
        <f t="shared" si="192"/>
        <v>10.35435</v>
      </c>
      <c r="AC214">
        <f t="shared" si="193"/>
        <v>0.5</v>
      </c>
      <c r="AD214">
        <f>ROUND((((((ET214*1.25)*1.1))-(((EU214*1.25)*1.1)))+AE214),6)</f>
        <v>0</v>
      </c>
      <c r="AE214">
        <f>ROUND((((EU214*1.25)*1.1)),6)</f>
        <v>0</v>
      </c>
      <c r="AF214">
        <f>ROUND((((EV214*1.15)*1.1)),6)</f>
        <v>9.8543500000000002</v>
      </c>
      <c r="AG214">
        <f t="shared" si="194"/>
        <v>0</v>
      </c>
      <c r="AH214">
        <f>(((EW214*1.15)*1.1))</f>
        <v>0.65780000000000005</v>
      </c>
      <c r="AI214">
        <f>(((EX214*1.25)*1.1))</f>
        <v>0</v>
      </c>
      <c r="AJ214">
        <f t="shared" si="195"/>
        <v>0</v>
      </c>
      <c r="AK214">
        <v>8.2899999999999991</v>
      </c>
      <c r="AL214">
        <v>0.5</v>
      </c>
      <c r="AM214">
        <v>0</v>
      </c>
      <c r="AN214">
        <v>0</v>
      </c>
      <c r="AO214">
        <v>7.79</v>
      </c>
      <c r="AP214">
        <v>0</v>
      </c>
      <c r="AQ214">
        <v>0.52</v>
      </c>
      <c r="AR214">
        <v>0</v>
      </c>
      <c r="AS214">
        <v>0</v>
      </c>
      <c r="AT214">
        <v>84</v>
      </c>
      <c r="AU214">
        <v>53</v>
      </c>
      <c r="AV214">
        <v>1.087</v>
      </c>
      <c r="AW214">
        <v>1</v>
      </c>
      <c r="AZ214">
        <v>1</v>
      </c>
      <c r="BA214">
        <v>54.99</v>
      </c>
      <c r="BB214">
        <v>1</v>
      </c>
      <c r="BC214">
        <v>15.9</v>
      </c>
      <c r="BD214" t="s">
        <v>3</v>
      </c>
      <c r="BE214" t="s">
        <v>3</v>
      </c>
      <c r="BF214" t="s">
        <v>3</v>
      </c>
      <c r="BG214" t="s">
        <v>3</v>
      </c>
      <c r="BH214">
        <v>0</v>
      </c>
      <c r="BI214">
        <v>1</v>
      </c>
      <c r="BJ214" t="s">
        <v>151</v>
      </c>
      <c r="BM214">
        <v>55</v>
      </c>
      <c r="BN214">
        <v>59298886</v>
      </c>
      <c r="BO214" t="s">
        <v>149</v>
      </c>
      <c r="BP214">
        <v>1</v>
      </c>
      <c r="BQ214">
        <v>30</v>
      </c>
      <c r="BR214">
        <v>0</v>
      </c>
      <c r="BS214">
        <v>54.99</v>
      </c>
      <c r="BT214">
        <v>1</v>
      </c>
      <c r="BU214">
        <v>1</v>
      </c>
      <c r="BV214">
        <v>1</v>
      </c>
      <c r="BW214">
        <v>1</v>
      </c>
      <c r="BX214">
        <v>1</v>
      </c>
      <c r="BY214" t="s">
        <v>3</v>
      </c>
      <c r="BZ214">
        <v>84</v>
      </c>
      <c r="CA214">
        <v>53</v>
      </c>
      <c r="CB214" t="s">
        <v>3</v>
      </c>
      <c r="CE214">
        <v>1566</v>
      </c>
      <c r="CF214">
        <v>0</v>
      </c>
      <c r="CG214">
        <v>0</v>
      </c>
      <c r="CM214">
        <v>0</v>
      </c>
      <c r="CN214" t="s">
        <v>375</v>
      </c>
      <c r="CO214">
        <v>0</v>
      </c>
      <c r="CP214">
        <f t="shared" si="196"/>
        <v>1791.23</v>
      </c>
      <c r="CQ214">
        <f t="shared" si="197"/>
        <v>7.95</v>
      </c>
      <c r="CR214">
        <f>(ROUND((ROUND(((((ET214*1.25)*1.1))*AV214*1),2)*BB214),2)+ROUND((ROUND(((AE214-(((EU214*1.25)*1.1)))*AV214*1),2)*BS214),2))</f>
        <v>0</v>
      </c>
      <c r="CS214">
        <f>(ROUND((ROUND(((((EU214*1.25)*1.1))*AV214*1),2)*BS214),2)+ROUND((ROUND(((AE214-(((EU214*1.25)*1.1)))*AV214*1),2)*BS214),2))</f>
        <v>0</v>
      </c>
      <c r="CT214">
        <f t="shared" si="198"/>
        <v>588.94000000000005</v>
      </c>
      <c r="CU214">
        <f t="shared" si="199"/>
        <v>0</v>
      </c>
      <c r="CV214">
        <f t="shared" si="200"/>
        <v>0.71502860000000001</v>
      </c>
      <c r="CW214">
        <f t="shared" si="201"/>
        <v>0</v>
      </c>
      <c r="CX214">
        <f t="shared" si="202"/>
        <v>0</v>
      </c>
      <c r="CY214">
        <f>(ROUND((((S214+ROUND((ROUND(((((EU214*1.25)*1.1))*AV214*1),2)*BS214),2))*AT214)/100),2)+ROUND(((ROUND((ROUND(((AE214-(((EU214*1.25)*1.1)))*AV214*1),2)*BS214),2)*AT214)/100),2))</f>
        <v>1484.6</v>
      </c>
      <c r="CZ214">
        <f>(ROUND((((S214+ROUND((ROUND(((((EU214*1.25)*1.1))*AV214*1),2)*BS214),2))*AU214)/100),2)+ROUND(((ROUND((ROUND(((AE214-(((EU214*1.25)*1.1)))*AV214*1),2)*BS214),2)*AU214)/100),2))</f>
        <v>936.71</v>
      </c>
      <c r="DB214">
        <v>71</v>
      </c>
      <c r="DC214" t="s">
        <v>3</v>
      </c>
      <c r="DD214" t="s">
        <v>3</v>
      </c>
      <c r="DE214" t="s">
        <v>39</v>
      </c>
      <c r="DF214" t="s">
        <v>39</v>
      </c>
      <c r="DG214" t="s">
        <v>40</v>
      </c>
      <c r="DH214" t="s">
        <v>3</v>
      </c>
      <c r="DI214" t="s">
        <v>40</v>
      </c>
      <c r="DJ214" t="s">
        <v>39</v>
      </c>
      <c r="DK214" t="s">
        <v>3</v>
      </c>
      <c r="DL214" t="s">
        <v>3</v>
      </c>
      <c r="DM214" t="s">
        <v>3</v>
      </c>
      <c r="DN214">
        <v>0</v>
      </c>
      <c r="DO214">
        <v>0</v>
      </c>
      <c r="DP214">
        <v>1</v>
      </c>
      <c r="DQ214">
        <v>1</v>
      </c>
      <c r="DU214">
        <v>1013</v>
      </c>
      <c r="DV214" t="s">
        <v>37</v>
      </c>
      <c r="DW214" t="s">
        <v>37</v>
      </c>
      <c r="DX214">
        <v>1</v>
      </c>
      <c r="DZ214" t="s">
        <v>3</v>
      </c>
      <c r="EA214" t="s">
        <v>3</v>
      </c>
      <c r="EB214" t="s">
        <v>3</v>
      </c>
      <c r="EC214" t="s">
        <v>3</v>
      </c>
      <c r="EE214">
        <v>59298982</v>
      </c>
      <c r="EF214">
        <v>30</v>
      </c>
      <c r="EG214" t="s">
        <v>26</v>
      </c>
      <c r="EH214">
        <v>0</v>
      </c>
      <c r="EI214" t="s">
        <v>3</v>
      </c>
      <c r="EJ214">
        <v>1</v>
      </c>
      <c r="EK214">
        <v>55</v>
      </c>
      <c r="EL214" t="s">
        <v>152</v>
      </c>
      <c r="EM214" t="s">
        <v>153</v>
      </c>
      <c r="EO214" t="s">
        <v>41</v>
      </c>
      <c r="EQ214">
        <v>0</v>
      </c>
      <c r="ER214">
        <v>8.2899999999999991</v>
      </c>
      <c r="ES214">
        <v>0.5</v>
      </c>
      <c r="ET214">
        <v>0</v>
      </c>
      <c r="EU214">
        <v>0</v>
      </c>
      <c r="EV214">
        <v>7.79</v>
      </c>
      <c r="EW214">
        <v>0.52</v>
      </c>
      <c r="EX214">
        <v>0</v>
      </c>
      <c r="EY214">
        <v>0</v>
      </c>
      <c r="FQ214">
        <v>0</v>
      </c>
      <c r="FR214">
        <v>0</v>
      </c>
      <c r="FS214">
        <v>0</v>
      </c>
      <c r="FX214">
        <v>84</v>
      </c>
      <c r="FY214">
        <v>53</v>
      </c>
      <c r="GA214" t="s">
        <v>3</v>
      </c>
      <c r="GD214">
        <v>1</v>
      </c>
      <c r="GF214">
        <v>1745385659</v>
      </c>
      <c r="GG214">
        <v>2</v>
      </c>
      <c r="GH214">
        <v>1</v>
      </c>
      <c r="GI214">
        <v>2</v>
      </c>
      <c r="GJ214">
        <v>0</v>
      </c>
      <c r="GK214">
        <v>0</v>
      </c>
      <c r="GL214">
        <f t="shared" si="203"/>
        <v>0</v>
      </c>
      <c r="GM214">
        <f t="shared" si="204"/>
        <v>4212.54</v>
      </c>
      <c r="GN214">
        <f t="shared" si="205"/>
        <v>4212.54</v>
      </c>
      <c r="GO214">
        <f t="shared" si="206"/>
        <v>0</v>
      </c>
      <c r="GP214">
        <f t="shared" si="207"/>
        <v>0</v>
      </c>
      <c r="GR214">
        <v>0</v>
      </c>
      <c r="GS214">
        <v>3</v>
      </c>
      <c r="GT214">
        <v>0</v>
      </c>
      <c r="GU214" t="s">
        <v>3</v>
      </c>
      <c r="GV214">
        <f t="shared" si="208"/>
        <v>0</v>
      </c>
      <c r="GW214">
        <v>1</v>
      </c>
      <c r="GX214">
        <f t="shared" si="209"/>
        <v>0</v>
      </c>
      <c r="HA214">
        <v>0</v>
      </c>
      <c r="HB214">
        <v>0</v>
      </c>
      <c r="HC214">
        <f t="shared" si="210"/>
        <v>0</v>
      </c>
      <c r="HE214" t="s">
        <v>3</v>
      </c>
      <c r="HF214" t="s">
        <v>3</v>
      </c>
      <c r="HM214" t="s">
        <v>3</v>
      </c>
      <c r="HN214" t="s">
        <v>3</v>
      </c>
      <c r="HO214" t="s">
        <v>3</v>
      </c>
      <c r="HP214" t="s">
        <v>3</v>
      </c>
      <c r="HQ214" t="s">
        <v>3</v>
      </c>
      <c r="HS214">
        <v>0</v>
      </c>
      <c r="IK214">
        <v>0</v>
      </c>
    </row>
    <row r="215" spans="1:255" x14ac:dyDescent="0.2">
      <c r="A215" s="2">
        <v>18</v>
      </c>
      <c r="B215" s="2">
        <v>1</v>
      </c>
      <c r="C215" s="2">
        <v>75</v>
      </c>
      <c r="D215" s="2"/>
      <c r="E215" s="2" t="s">
        <v>204</v>
      </c>
      <c r="F215" s="2" t="s">
        <v>205</v>
      </c>
      <c r="G215" s="2" t="s">
        <v>206</v>
      </c>
      <c r="H215" s="2" t="s">
        <v>124</v>
      </c>
      <c r="I215" s="2">
        <f>I213*J215</f>
        <v>3</v>
      </c>
      <c r="J215" s="2">
        <v>1</v>
      </c>
      <c r="K215" s="2">
        <v>1</v>
      </c>
      <c r="L215" s="2"/>
      <c r="M215" s="2"/>
      <c r="N215" s="2"/>
      <c r="O215" s="2">
        <f t="shared" si="185"/>
        <v>161.58000000000001</v>
      </c>
      <c r="P215" s="2">
        <f t="shared" si="186"/>
        <v>161.58000000000001</v>
      </c>
      <c r="Q215" s="2">
        <f>(ROUND((ROUND(((ET215)*AV215*I215),2)*BB215),2)+ROUND((ROUND(((AE215-(EU215))*AV215*I215),2)*BS215),2))</f>
        <v>0</v>
      </c>
      <c r="R215" s="2">
        <f>(ROUND((ROUND(((EU215)*AV215*I215),2)*BS215),2)+ROUND((ROUND(((AE215-(EU215))*AV215*I215),2)*BS215),2))</f>
        <v>0</v>
      </c>
      <c r="S215" s="2">
        <f t="shared" si="187"/>
        <v>0</v>
      </c>
      <c r="T215" s="2">
        <f t="shared" si="188"/>
        <v>0</v>
      </c>
      <c r="U215" s="2">
        <f t="shared" si="189"/>
        <v>0</v>
      </c>
      <c r="V215" s="2">
        <f t="shared" si="190"/>
        <v>0</v>
      </c>
      <c r="W215" s="2">
        <f t="shared" si="191"/>
        <v>0</v>
      </c>
      <c r="X215" s="2">
        <f>(ROUND((((S215+ROUND((ROUND(((EU215)*AV215*I215),2)*BS215),2))*AT215)/100),2)+ROUND(((ROUND((ROUND(((AE215-(EU215))*AV215*I215),2)*BS215),2)*AT215)/100),2))</f>
        <v>0</v>
      </c>
      <c r="Y215" s="2">
        <f>(ROUND((((S215+ROUND((ROUND(((EU215)*AV215*I215),2)*BS215),2))*AU215)/100),2)+ROUND(((ROUND((ROUND(((AE215-(EU215))*AV215*I215),2)*BS215),2)*AU215)/100),2))</f>
        <v>0</v>
      </c>
      <c r="Z215" s="2"/>
      <c r="AA215" s="2">
        <v>59499218</v>
      </c>
      <c r="AB215" s="2">
        <f t="shared" si="192"/>
        <v>53.86</v>
      </c>
      <c r="AC215" s="2">
        <f t="shared" si="193"/>
        <v>53.86</v>
      </c>
      <c r="AD215" s="2">
        <f>ROUND((((ET215)-(EU215))+AE215),6)</f>
        <v>0</v>
      </c>
      <c r="AE215" s="2">
        <f>ROUND((EU215),6)</f>
        <v>0</v>
      </c>
      <c r="AF215" s="2">
        <f>ROUND((EV215),6)</f>
        <v>0</v>
      </c>
      <c r="AG215" s="2">
        <f t="shared" si="194"/>
        <v>0</v>
      </c>
      <c r="AH215" s="2">
        <f>(EW215)</f>
        <v>0</v>
      </c>
      <c r="AI215" s="2">
        <f>(EX215)</f>
        <v>0</v>
      </c>
      <c r="AJ215" s="2">
        <f t="shared" si="195"/>
        <v>0</v>
      </c>
      <c r="AK215" s="2">
        <v>53.86</v>
      </c>
      <c r="AL215" s="2">
        <v>53.86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84</v>
      </c>
      <c r="AU215" s="2">
        <v>53</v>
      </c>
      <c r="AV215" s="2">
        <v>1</v>
      </c>
      <c r="AW215" s="2">
        <v>1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3</v>
      </c>
      <c r="BI215" s="2">
        <v>1</v>
      </c>
      <c r="BJ215" s="2" t="s">
        <v>3</v>
      </c>
      <c r="BK215" s="2"/>
      <c r="BL215" s="2"/>
      <c r="BM215" s="2">
        <v>55</v>
      </c>
      <c r="BN215" s="2">
        <v>0</v>
      </c>
      <c r="BO215" s="2" t="s">
        <v>3</v>
      </c>
      <c r="BP215" s="2">
        <v>0</v>
      </c>
      <c r="BQ215" s="2">
        <v>30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84</v>
      </c>
      <c r="CA215" s="2">
        <v>53</v>
      </c>
      <c r="CB215" s="2" t="s">
        <v>3</v>
      </c>
      <c r="CC215" s="2"/>
      <c r="CD215" s="2"/>
      <c r="CE215" s="2">
        <v>1566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3</v>
      </c>
      <c r="CO215" s="2">
        <v>0</v>
      </c>
      <c r="CP215" s="2">
        <f t="shared" si="196"/>
        <v>161.58000000000001</v>
      </c>
      <c r="CQ215" s="2">
        <f t="shared" si="197"/>
        <v>53.86</v>
      </c>
      <c r="CR215" s="2">
        <f>(ROUND((ROUND(((ET215)*AV215*1),2)*BB215),2)+ROUND((ROUND(((AE215-(EU215))*AV215*1),2)*BS215),2))</f>
        <v>0</v>
      </c>
      <c r="CS215" s="2">
        <f>(ROUND((ROUND(((EU215)*AV215*1),2)*BS215),2)+ROUND((ROUND(((AE215-(EU215))*AV215*1),2)*BS215),2))</f>
        <v>0</v>
      </c>
      <c r="CT215" s="2">
        <f t="shared" si="198"/>
        <v>0</v>
      </c>
      <c r="CU215" s="2">
        <f t="shared" si="199"/>
        <v>0</v>
      </c>
      <c r="CV215" s="2">
        <f t="shared" si="200"/>
        <v>0</v>
      </c>
      <c r="CW215" s="2">
        <f t="shared" si="201"/>
        <v>0</v>
      </c>
      <c r="CX215" s="2">
        <f t="shared" si="202"/>
        <v>0</v>
      </c>
      <c r="CY215" s="2">
        <f>(ROUND((((S215+ROUND((ROUND(((EU215)*AV215*1),2)*BS215),2))*AT215)/100),2)+ROUND(((ROUND((ROUND(((AE215-(EU215))*AV215*1),2)*BS215),2)*AT215)/100),2))</f>
        <v>0</v>
      </c>
      <c r="CZ215" s="2">
        <f>(ROUND((((S215+ROUND((ROUND(((EU215)*AV215*1),2)*BS215),2))*AU215)/100),2)+ROUND(((ROUND((ROUND(((AE215-(EU215))*AV215*1),2)*BS215),2)*AU215)/100),2))</f>
        <v>0</v>
      </c>
      <c r="DA215" s="2"/>
      <c r="DB215" s="2"/>
      <c r="DC215" s="2" t="s">
        <v>3</v>
      </c>
      <c r="DD215" s="2" t="s">
        <v>3</v>
      </c>
      <c r="DE215" s="2" t="s">
        <v>3</v>
      </c>
      <c r="DF215" s="2" t="s">
        <v>3</v>
      </c>
      <c r="DG215" s="2" t="s">
        <v>3</v>
      </c>
      <c r="DH215" s="2" t="s">
        <v>3</v>
      </c>
      <c r="DI215" s="2" t="s">
        <v>3</v>
      </c>
      <c r="DJ215" s="2" t="s">
        <v>3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1010</v>
      </c>
      <c r="DV215" s="2" t="s">
        <v>124</v>
      </c>
      <c r="DW215" s="2" t="s">
        <v>124</v>
      </c>
      <c r="DX215" s="2">
        <v>1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59298982</v>
      </c>
      <c r="EF215" s="2">
        <v>30</v>
      </c>
      <c r="EG215" s="2" t="s">
        <v>26</v>
      </c>
      <c r="EH215" s="2">
        <v>0</v>
      </c>
      <c r="EI215" s="2" t="s">
        <v>3</v>
      </c>
      <c r="EJ215" s="2">
        <v>1</v>
      </c>
      <c r="EK215" s="2">
        <v>55</v>
      </c>
      <c r="EL215" s="2" t="s">
        <v>152</v>
      </c>
      <c r="EM215" s="2" t="s">
        <v>153</v>
      </c>
      <c r="EN215" s="2"/>
      <c r="EO215" s="2" t="s">
        <v>3</v>
      </c>
      <c r="EP215" s="2"/>
      <c r="EQ215" s="2">
        <v>0</v>
      </c>
      <c r="ER215" s="2">
        <v>0</v>
      </c>
      <c r="ES215" s="2">
        <v>53.86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v>0</v>
      </c>
      <c r="FS215" s="2">
        <v>0</v>
      </c>
      <c r="FT215" s="2"/>
      <c r="FU215" s="2"/>
      <c r="FV215" s="2"/>
      <c r="FW215" s="2"/>
      <c r="FX215" s="2">
        <v>84</v>
      </c>
      <c r="FY215" s="2">
        <v>53</v>
      </c>
      <c r="FZ215" s="2"/>
      <c r="GA215" s="2" t="s">
        <v>172</v>
      </c>
      <c r="GB215" s="2"/>
      <c r="GC215" s="2"/>
      <c r="GD215" s="2">
        <v>1</v>
      </c>
      <c r="GE215" s="2"/>
      <c r="GF215" s="2">
        <v>199806789</v>
      </c>
      <c r="GG215" s="2">
        <v>2</v>
      </c>
      <c r="GH215" s="2">
        <v>4</v>
      </c>
      <c r="GI215" s="2">
        <v>-2</v>
      </c>
      <c r="GJ215" s="2">
        <v>0</v>
      </c>
      <c r="GK215" s="2">
        <v>0</v>
      </c>
      <c r="GL215" s="2">
        <f t="shared" si="203"/>
        <v>0</v>
      </c>
      <c r="GM215" s="2">
        <f t="shared" si="204"/>
        <v>161.58000000000001</v>
      </c>
      <c r="GN215" s="2">
        <f t="shared" si="205"/>
        <v>161.58000000000001</v>
      </c>
      <c r="GO215" s="2">
        <f t="shared" si="206"/>
        <v>0</v>
      </c>
      <c r="GP215" s="2">
        <f t="shared" si="207"/>
        <v>0</v>
      </c>
      <c r="GQ215" s="2"/>
      <c r="GR215" s="2">
        <v>0</v>
      </c>
      <c r="GS215" s="2">
        <v>2</v>
      </c>
      <c r="GT215" s="2">
        <v>0</v>
      </c>
      <c r="GU215" s="2" t="s">
        <v>3</v>
      </c>
      <c r="GV215" s="2">
        <f t="shared" si="208"/>
        <v>0</v>
      </c>
      <c r="GW215" s="2">
        <v>1</v>
      </c>
      <c r="GX215" s="2">
        <f t="shared" si="209"/>
        <v>0</v>
      </c>
      <c r="GY215" s="2"/>
      <c r="GZ215" s="2"/>
      <c r="HA215" s="2">
        <v>0</v>
      </c>
      <c r="HB215" s="2">
        <v>0</v>
      </c>
      <c r="HC215" s="2">
        <f t="shared" si="210"/>
        <v>0</v>
      </c>
      <c r="HD215" s="2"/>
      <c r="HE215" s="2" t="s">
        <v>173</v>
      </c>
      <c r="HF215" s="2" t="s">
        <v>30</v>
      </c>
      <c r="HG215" s="2"/>
      <c r="HH215" s="2"/>
      <c r="HI215" s="2"/>
      <c r="HJ215" s="2"/>
      <c r="HK215" s="2"/>
      <c r="HL215" s="2"/>
      <c r="HM215" s="2" t="s">
        <v>3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2">
      <c r="A216">
        <v>18</v>
      </c>
      <c r="B216">
        <v>1</v>
      </c>
      <c r="C216">
        <v>78</v>
      </c>
      <c r="E216" t="s">
        <v>204</v>
      </c>
      <c r="F216" t="s">
        <v>205</v>
      </c>
      <c r="G216" t="s">
        <v>206</v>
      </c>
      <c r="H216" t="s">
        <v>124</v>
      </c>
      <c r="I216">
        <f>I214*J216</f>
        <v>3</v>
      </c>
      <c r="J216">
        <v>1</v>
      </c>
      <c r="K216">
        <v>1</v>
      </c>
      <c r="O216">
        <f t="shared" si="185"/>
        <v>1596.41</v>
      </c>
      <c r="P216">
        <f t="shared" si="186"/>
        <v>1596.41</v>
      </c>
      <c r="Q216">
        <f>(ROUND((ROUND(((ET216)*AV216*I216),2)*BB216),2)+ROUND((ROUND(((AE216-(EU216))*AV216*I216),2)*BS216),2))</f>
        <v>0</v>
      </c>
      <c r="R216">
        <f>(ROUND((ROUND(((EU216)*AV216*I216),2)*BS216),2)+ROUND((ROUND(((AE216-(EU216))*AV216*I216),2)*BS216),2))</f>
        <v>0</v>
      </c>
      <c r="S216">
        <f t="shared" si="187"/>
        <v>0</v>
      </c>
      <c r="T216">
        <f t="shared" si="188"/>
        <v>0</v>
      </c>
      <c r="U216">
        <f t="shared" si="189"/>
        <v>0</v>
      </c>
      <c r="V216">
        <f t="shared" si="190"/>
        <v>0</v>
      </c>
      <c r="W216">
        <f t="shared" si="191"/>
        <v>0</v>
      </c>
      <c r="X216">
        <f>(ROUND((((S216+ROUND((ROUND(((EU216)*AV216*I216),2)*BS216),2))*AT216)/100),2)+ROUND(((ROUND((ROUND(((AE216-(EU216))*AV216*I216),2)*BS216),2)*AT216)/100),2))</f>
        <v>0</v>
      </c>
      <c r="Y216">
        <f>(ROUND((((S216+ROUND((ROUND(((EU216)*AV216*I216),2)*BS216),2))*AU216)/100),2)+ROUND(((ROUND((ROUND(((AE216-(EU216))*AV216*I216),2)*BS216),2)*AU216)/100),2))</f>
        <v>0</v>
      </c>
      <c r="AA216">
        <v>59499215</v>
      </c>
      <c r="AB216">
        <f t="shared" si="192"/>
        <v>53.86</v>
      </c>
      <c r="AC216">
        <f t="shared" si="193"/>
        <v>53.86</v>
      </c>
      <c r="AD216">
        <f>ROUND((((ET216)-(EU216))+AE216),6)</f>
        <v>0</v>
      </c>
      <c r="AE216">
        <f>ROUND((EU216),6)</f>
        <v>0</v>
      </c>
      <c r="AF216">
        <f>ROUND((EV216),6)</f>
        <v>0</v>
      </c>
      <c r="AG216">
        <f t="shared" si="194"/>
        <v>0</v>
      </c>
      <c r="AH216">
        <f>(EW216)</f>
        <v>0</v>
      </c>
      <c r="AI216">
        <f>(EX216)</f>
        <v>0</v>
      </c>
      <c r="AJ216">
        <f t="shared" si="195"/>
        <v>0</v>
      </c>
      <c r="AK216">
        <v>53.86</v>
      </c>
      <c r="AL216">
        <v>53.86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84</v>
      </c>
      <c r="AU216">
        <v>53</v>
      </c>
      <c r="AV216">
        <v>1</v>
      </c>
      <c r="AW216">
        <v>1</v>
      </c>
      <c r="AZ216">
        <v>1</v>
      </c>
      <c r="BA216">
        <v>1</v>
      </c>
      <c r="BB216">
        <v>1</v>
      </c>
      <c r="BC216">
        <v>9.8800000000000008</v>
      </c>
      <c r="BD216" t="s">
        <v>3</v>
      </c>
      <c r="BE216" t="s">
        <v>3</v>
      </c>
      <c r="BF216" t="s">
        <v>3</v>
      </c>
      <c r="BG216" t="s">
        <v>3</v>
      </c>
      <c r="BH216">
        <v>3</v>
      </c>
      <c r="BI216">
        <v>1</v>
      </c>
      <c r="BJ216" t="s">
        <v>3</v>
      </c>
      <c r="BM216">
        <v>55</v>
      </c>
      <c r="BN216">
        <v>0</v>
      </c>
      <c r="BO216" t="s">
        <v>3</v>
      </c>
      <c r="BP216">
        <v>0</v>
      </c>
      <c r="BQ216">
        <v>30</v>
      </c>
      <c r="BR216">
        <v>0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 t="s">
        <v>3</v>
      </c>
      <c r="BZ216">
        <v>84</v>
      </c>
      <c r="CA216">
        <v>53</v>
      </c>
      <c r="CB216" t="s">
        <v>3</v>
      </c>
      <c r="CE216">
        <v>1566</v>
      </c>
      <c r="CF216">
        <v>0</v>
      </c>
      <c r="CG216">
        <v>0</v>
      </c>
      <c r="CM216">
        <v>0</v>
      </c>
      <c r="CN216" t="s">
        <v>3</v>
      </c>
      <c r="CO216">
        <v>0</v>
      </c>
      <c r="CP216">
        <f t="shared" si="196"/>
        <v>1596.41</v>
      </c>
      <c r="CQ216">
        <f t="shared" si="197"/>
        <v>532.14</v>
      </c>
      <c r="CR216">
        <f>(ROUND((ROUND(((ET216)*AV216*1),2)*BB216),2)+ROUND((ROUND(((AE216-(EU216))*AV216*1),2)*BS216),2))</f>
        <v>0</v>
      </c>
      <c r="CS216">
        <f>(ROUND((ROUND(((EU216)*AV216*1),2)*BS216),2)+ROUND((ROUND(((AE216-(EU216))*AV216*1),2)*BS216),2))</f>
        <v>0</v>
      </c>
      <c r="CT216">
        <f t="shared" si="198"/>
        <v>0</v>
      </c>
      <c r="CU216">
        <f t="shared" si="199"/>
        <v>0</v>
      </c>
      <c r="CV216">
        <f t="shared" si="200"/>
        <v>0</v>
      </c>
      <c r="CW216">
        <f t="shared" si="201"/>
        <v>0</v>
      </c>
      <c r="CX216">
        <f t="shared" si="202"/>
        <v>0</v>
      </c>
      <c r="CY216">
        <f>(ROUND((((S216+ROUND((ROUND(((EU216)*AV216*1),2)*BS216),2))*AT216)/100),2)+ROUND(((ROUND((ROUND(((AE216-(EU216))*AV216*1),2)*BS216),2)*AT216)/100),2))</f>
        <v>0</v>
      </c>
      <c r="CZ216">
        <f>(ROUND((((S216+ROUND((ROUND(((EU216)*AV216*1),2)*BS216),2))*AU216)/100),2)+ROUND(((ROUND((ROUND(((AE216-(EU216))*AV216*1),2)*BS216),2)*AU216)/100),2))</f>
        <v>0</v>
      </c>
      <c r="DC216" t="s">
        <v>3</v>
      </c>
      <c r="DD216" t="s">
        <v>3</v>
      </c>
      <c r="DE216" t="s">
        <v>3</v>
      </c>
      <c r="DF216" t="s">
        <v>3</v>
      </c>
      <c r="DG216" t="s">
        <v>3</v>
      </c>
      <c r="DH216" t="s">
        <v>3</v>
      </c>
      <c r="DI216" t="s">
        <v>3</v>
      </c>
      <c r="DJ216" t="s">
        <v>3</v>
      </c>
      <c r="DK216" t="s">
        <v>3</v>
      </c>
      <c r="DL216" t="s">
        <v>3</v>
      </c>
      <c r="DM216" t="s">
        <v>3</v>
      </c>
      <c r="DN216">
        <v>0</v>
      </c>
      <c r="DO216">
        <v>0</v>
      </c>
      <c r="DP216">
        <v>1</v>
      </c>
      <c r="DQ216">
        <v>1</v>
      </c>
      <c r="DU216">
        <v>1010</v>
      </c>
      <c r="DV216" t="s">
        <v>124</v>
      </c>
      <c r="DW216" t="s">
        <v>124</v>
      </c>
      <c r="DX216">
        <v>1</v>
      </c>
      <c r="DZ216" t="s">
        <v>3</v>
      </c>
      <c r="EA216" t="s">
        <v>3</v>
      </c>
      <c r="EB216" t="s">
        <v>3</v>
      </c>
      <c r="EC216" t="s">
        <v>3</v>
      </c>
      <c r="EE216">
        <v>59298982</v>
      </c>
      <c r="EF216">
        <v>30</v>
      </c>
      <c r="EG216" t="s">
        <v>26</v>
      </c>
      <c r="EH216">
        <v>0</v>
      </c>
      <c r="EI216" t="s">
        <v>3</v>
      </c>
      <c r="EJ216">
        <v>1</v>
      </c>
      <c r="EK216">
        <v>55</v>
      </c>
      <c r="EL216" t="s">
        <v>152</v>
      </c>
      <c r="EM216" t="s">
        <v>153</v>
      </c>
      <c r="EO216" t="s">
        <v>3</v>
      </c>
      <c r="EQ216">
        <v>0</v>
      </c>
      <c r="ER216">
        <v>53.86</v>
      </c>
      <c r="ES216">
        <v>53.86</v>
      </c>
      <c r="ET216">
        <v>0</v>
      </c>
      <c r="EU216">
        <v>0</v>
      </c>
      <c r="EV216">
        <v>0</v>
      </c>
      <c r="EW216">
        <v>0</v>
      </c>
      <c r="EX216">
        <v>0</v>
      </c>
      <c r="EZ216">
        <v>5</v>
      </c>
      <c r="FC216">
        <v>1</v>
      </c>
      <c r="FD216">
        <v>18</v>
      </c>
      <c r="FF216">
        <v>626</v>
      </c>
      <c r="FQ216">
        <v>0</v>
      </c>
      <c r="FR216">
        <v>0</v>
      </c>
      <c r="FS216">
        <v>0</v>
      </c>
      <c r="FX216">
        <v>84</v>
      </c>
      <c r="FY216">
        <v>53</v>
      </c>
      <c r="GA216" t="s">
        <v>172</v>
      </c>
      <c r="GD216">
        <v>1</v>
      </c>
      <c r="GF216">
        <v>199806789</v>
      </c>
      <c r="GG216">
        <v>2</v>
      </c>
      <c r="GH216">
        <v>3</v>
      </c>
      <c r="GI216">
        <v>3</v>
      </c>
      <c r="GJ216">
        <v>0</v>
      </c>
      <c r="GK216">
        <v>0</v>
      </c>
      <c r="GL216">
        <f t="shared" si="203"/>
        <v>0</v>
      </c>
      <c r="GM216">
        <f t="shared" si="204"/>
        <v>1596.41</v>
      </c>
      <c r="GN216">
        <f t="shared" si="205"/>
        <v>1596.41</v>
      </c>
      <c r="GO216">
        <f t="shared" si="206"/>
        <v>0</v>
      </c>
      <c r="GP216">
        <f t="shared" si="207"/>
        <v>0</v>
      </c>
      <c r="GR216">
        <v>1</v>
      </c>
      <c r="GS216">
        <v>1</v>
      </c>
      <c r="GT216">
        <v>0</v>
      </c>
      <c r="GU216" t="s">
        <v>3</v>
      </c>
      <c r="GV216">
        <f t="shared" si="208"/>
        <v>0</v>
      </c>
      <c r="GW216">
        <v>1</v>
      </c>
      <c r="GX216">
        <f t="shared" si="209"/>
        <v>0</v>
      </c>
      <c r="HA216">
        <v>0</v>
      </c>
      <c r="HB216">
        <v>0</v>
      </c>
      <c r="HC216">
        <f t="shared" si="210"/>
        <v>0</v>
      </c>
      <c r="HE216" t="s">
        <v>173</v>
      </c>
      <c r="HF216" t="s">
        <v>30</v>
      </c>
      <c r="HM216" t="s">
        <v>3</v>
      </c>
      <c r="HN216" t="s">
        <v>3</v>
      </c>
      <c r="HO216" t="s">
        <v>3</v>
      </c>
      <c r="HP216" t="s">
        <v>3</v>
      </c>
      <c r="HQ216" t="s">
        <v>3</v>
      </c>
      <c r="HS216">
        <v>0</v>
      </c>
      <c r="IK216">
        <v>0</v>
      </c>
    </row>
    <row r="217" spans="1:255" x14ac:dyDescent="0.2">
      <c r="A217" s="2">
        <v>17</v>
      </c>
      <c r="B217" s="2">
        <v>1</v>
      </c>
      <c r="C217" s="2">
        <f>ROW(SmtRes!A81)</f>
        <v>81</v>
      </c>
      <c r="D217" s="2">
        <f>ROW(EtalonRes!A89)</f>
        <v>89</v>
      </c>
      <c r="E217" s="2" t="s">
        <v>207</v>
      </c>
      <c r="F217" s="2" t="s">
        <v>149</v>
      </c>
      <c r="G217" s="2" t="s">
        <v>168</v>
      </c>
      <c r="H217" s="2" t="s">
        <v>37</v>
      </c>
      <c r="I217" s="2">
        <v>12</v>
      </c>
      <c r="J217" s="2">
        <v>0</v>
      </c>
      <c r="K217" s="2">
        <v>12</v>
      </c>
      <c r="L217" s="2"/>
      <c r="M217" s="2"/>
      <c r="N217" s="2"/>
      <c r="O217" s="2">
        <f t="shared" si="185"/>
        <v>134.54</v>
      </c>
      <c r="P217" s="2">
        <f t="shared" si="186"/>
        <v>6</v>
      </c>
      <c r="Q217" s="2">
        <f>(ROUND((ROUND(((((ET217*1.25)*1.1))*AV217*I217),2)*BB217),2)+ROUND((ROUND(((AE217-(((EU217*1.25)*1.1)))*AV217*I217),2)*BS217),2))</f>
        <v>0</v>
      </c>
      <c r="R217" s="2">
        <f>(ROUND((ROUND(((((EU217*1.25)*1.1))*AV217*I217),2)*BS217),2)+ROUND((ROUND(((AE217-(((EU217*1.25)*1.1)))*AV217*I217),2)*BS217),2))</f>
        <v>0</v>
      </c>
      <c r="S217" s="2">
        <f t="shared" si="187"/>
        <v>128.54</v>
      </c>
      <c r="T217" s="2">
        <f t="shared" si="188"/>
        <v>0</v>
      </c>
      <c r="U217" s="2">
        <f t="shared" si="189"/>
        <v>8.5803431999999997</v>
      </c>
      <c r="V217" s="2">
        <f t="shared" si="190"/>
        <v>0</v>
      </c>
      <c r="W217" s="2">
        <f t="shared" si="191"/>
        <v>0</v>
      </c>
      <c r="X217" s="2">
        <f>(ROUND((((S217+ROUND((ROUND(((((EU217*1.25)*1.1))*AV217*I217),2)*BS217),2))*AT217)/100),2)+ROUND(((ROUND((ROUND(((AE217-(((EU217*1.25)*1.1)))*AV217*I217),2)*BS217),2)*AT217)/100),2))</f>
        <v>107.97</v>
      </c>
      <c r="Y217" s="2">
        <f>(ROUND((((S217+ROUND((ROUND(((((EU217*1.25)*1.1))*AV217*I217),2)*BS217),2))*AU217)/100),2)+ROUND(((ROUND((ROUND(((AE217-(((EU217*1.25)*1.1)))*AV217*I217),2)*BS217),2)*AU217)/100),2))</f>
        <v>68.13</v>
      </c>
      <c r="Z217" s="2"/>
      <c r="AA217" s="2">
        <v>59499218</v>
      </c>
      <c r="AB217" s="2">
        <f t="shared" si="192"/>
        <v>10.35435</v>
      </c>
      <c r="AC217" s="2">
        <f t="shared" si="193"/>
        <v>0.5</v>
      </c>
      <c r="AD217" s="2">
        <f>ROUND((((((ET217*1.25)*1.1))-(((EU217*1.25)*1.1)))+AE217),6)</f>
        <v>0</v>
      </c>
      <c r="AE217" s="2">
        <f>ROUND((((EU217*1.25)*1.1)),6)</f>
        <v>0</v>
      </c>
      <c r="AF217" s="2">
        <f>ROUND((((EV217*1.15)*1.1)),6)</f>
        <v>9.8543500000000002</v>
      </c>
      <c r="AG217" s="2">
        <f t="shared" si="194"/>
        <v>0</v>
      </c>
      <c r="AH217" s="2">
        <f>(((EW217*1.15)*1.1))</f>
        <v>0.65780000000000005</v>
      </c>
      <c r="AI217" s="2">
        <f>(((EX217*1.25)*1.1))</f>
        <v>0</v>
      </c>
      <c r="AJ217" s="2">
        <f t="shared" si="195"/>
        <v>0</v>
      </c>
      <c r="AK217" s="2">
        <v>8.2899999999999991</v>
      </c>
      <c r="AL217" s="2">
        <v>0.5</v>
      </c>
      <c r="AM217" s="2">
        <v>0</v>
      </c>
      <c r="AN217" s="2">
        <v>0</v>
      </c>
      <c r="AO217" s="2">
        <v>7.79</v>
      </c>
      <c r="AP217" s="2">
        <v>0</v>
      </c>
      <c r="AQ217" s="2">
        <v>0.52</v>
      </c>
      <c r="AR217" s="2">
        <v>0</v>
      </c>
      <c r="AS217" s="2">
        <v>0</v>
      </c>
      <c r="AT217" s="2">
        <v>84</v>
      </c>
      <c r="AU217" s="2">
        <v>53</v>
      </c>
      <c r="AV217" s="2">
        <v>1.087</v>
      </c>
      <c r="AW217" s="2">
        <v>1</v>
      </c>
      <c r="AX217" s="2"/>
      <c r="AY217" s="2"/>
      <c r="AZ217" s="2">
        <v>1</v>
      </c>
      <c r="BA217" s="2">
        <v>1</v>
      </c>
      <c r="BB217" s="2">
        <v>1</v>
      </c>
      <c r="BC217" s="2">
        <v>1</v>
      </c>
      <c r="BD217" s="2" t="s">
        <v>3</v>
      </c>
      <c r="BE217" s="2" t="s">
        <v>3</v>
      </c>
      <c r="BF217" s="2" t="s">
        <v>3</v>
      </c>
      <c r="BG217" s="2" t="s">
        <v>3</v>
      </c>
      <c r="BH217" s="2">
        <v>0</v>
      </c>
      <c r="BI217" s="2">
        <v>1</v>
      </c>
      <c r="BJ217" s="2" t="s">
        <v>151</v>
      </c>
      <c r="BK217" s="2"/>
      <c r="BL217" s="2"/>
      <c r="BM217" s="2">
        <v>55</v>
      </c>
      <c r="BN217" s="2">
        <v>59298886</v>
      </c>
      <c r="BO217" s="2" t="s">
        <v>149</v>
      </c>
      <c r="BP217" s="2">
        <v>1</v>
      </c>
      <c r="BQ217" s="2">
        <v>30</v>
      </c>
      <c r="BR217" s="2">
        <v>0</v>
      </c>
      <c r="BS217" s="2">
        <v>1</v>
      </c>
      <c r="BT217" s="2">
        <v>1</v>
      </c>
      <c r="BU217" s="2">
        <v>1</v>
      </c>
      <c r="BV217" s="2">
        <v>1</v>
      </c>
      <c r="BW217" s="2">
        <v>1</v>
      </c>
      <c r="BX217" s="2">
        <v>1</v>
      </c>
      <c r="BY217" s="2" t="s">
        <v>3</v>
      </c>
      <c r="BZ217" s="2">
        <v>84</v>
      </c>
      <c r="CA217" s="2">
        <v>53</v>
      </c>
      <c r="CB217" s="2" t="s">
        <v>3</v>
      </c>
      <c r="CC217" s="2"/>
      <c r="CD217" s="2"/>
      <c r="CE217" s="2">
        <v>1566</v>
      </c>
      <c r="CF217" s="2">
        <v>0</v>
      </c>
      <c r="CG217" s="2">
        <v>0</v>
      </c>
      <c r="CH217" s="2"/>
      <c r="CI217" s="2"/>
      <c r="CJ217" s="2"/>
      <c r="CK217" s="2"/>
      <c r="CL217" s="2"/>
      <c r="CM217" s="2">
        <v>0</v>
      </c>
      <c r="CN217" s="2" t="s">
        <v>375</v>
      </c>
      <c r="CO217" s="2">
        <v>0</v>
      </c>
      <c r="CP217" s="2">
        <f t="shared" si="196"/>
        <v>134.54</v>
      </c>
      <c r="CQ217" s="2">
        <f t="shared" si="197"/>
        <v>0.5</v>
      </c>
      <c r="CR217" s="2">
        <f>(ROUND((ROUND(((((ET217*1.25)*1.1))*AV217*1),2)*BB217),2)+ROUND((ROUND(((AE217-(((EU217*1.25)*1.1)))*AV217*1),2)*BS217),2))</f>
        <v>0</v>
      </c>
      <c r="CS217" s="2">
        <f>(ROUND((ROUND(((((EU217*1.25)*1.1))*AV217*1),2)*BS217),2)+ROUND((ROUND(((AE217-(((EU217*1.25)*1.1)))*AV217*1),2)*BS217),2))</f>
        <v>0</v>
      </c>
      <c r="CT217" s="2">
        <f t="shared" si="198"/>
        <v>10.71</v>
      </c>
      <c r="CU217" s="2">
        <f t="shared" si="199"/>
        <v>0</v>
      </c>
      <c r="CV217" s="2">
        <f t="shared" si="200"/>
        <v>0.71502860000000001</v>
      </c>
      <c r="CW217" s="2">
        <f t="shared" si="201"/>
        <v>0</v>
      </c>
      <c r="CX217" s="2">
        <f t="shared" si="202"/>
        <v>0</v>
      </c>
      <c r="CY217" s="2">
        <f>(ROUND((((S217+ROUND((ROUND(((((EU217*1.25)*1.1))*AV217*1),2)*BS217),2))*AT217)/100),2)+ROUND(((ROUND((ROUND(((AE217-(((EU217*1.25)*1.1)))*AV217*1),2)*BS217),2)*AT217)/100),2))</f>
        <v>107.97</v>
      </c>
      <c r="CZ217" s="2">
        <f>(ROUND((((S217+ROUND((ROUND(((((EU217*1.25)*1.1))*AV217*1),2)*BS217),2))*AU217)/100),2)+ROUND(((ROUND((ROUND(((AE217-(((EU217*1.25)*1.1)))*AV217*1),2)*BS217),2)*AU217)/100),2))</f>
        <v>68.13</v>
      </c>
      <c r="DA217" s="2"/>
      <c r="DB217" s="2">
        <v>73</v>
      </c>
      <c r="DC217" s="2" t="s">
        <v>3</v>
      </c>
      <c r="DD217" s="2" t="s">
        <v>3</v>
      </c>
      <c r="DE217" s="2" t="s">
        <v>39</v>
      </c>
      <c r="DF217" s="2" t="s">
        <v>39</v>
      </c>
      <c r="DG217" s="2" t="s">
        <v>40</v>
      </c>
      <c r="DH217" s="2" t="s">
        <v>3</v>
      </c>
      <c r="DI217" s="2" t="s">
        <v>40</v>
      </c>
      <c r="DJ217" s="2" t="s">
        <v>39</v>
      </c>
      <c r="DK217" s="2" t="s">
        <v>3</v>
      </c>
      <c r="DL217" s="2" t="s">
        <v>3</v>
      </c>
      <c r="DM217" s="2" t="s">
        <v>3</v>
      </c>
      <c r="DN217" s="2">
        <v>0</v>
      </c>
      <c r="DO217" s="2">
        <v>0</v>
      </c>
      <c r="DP217" s="2">
        <v>1</v>
      </c>
      <c r="DQ217" s="2">
        <v>1</v>
      </c>
      <c r="DR217" s="2"/>
      <c r="DS217" s="2"/>
      <c r="DT217" s="2"/>
      <c r="DU217" s="2">
        <v>1013</v>
      </c>
      <c r="DV217" s="2" t="s">
        <v>37</v>
      </c>
      <c r="DW217" s="2" t="s">
        <v>37</v>
      </c>
      <c r="DX217" s="2">
        <v>1</v>
      </c>
      <c r="DY217" s="2"/>
      <c r="DZ217" s="2" t="s">
        <v>3</v>
      </c>
      <c r="EA217" s="2" t="s">
        <v>3</v>
      </c>
      <c r="EB217" s="2" t="s">
        <v>3</v>
      </c>
      <c r="EC217" s="2" t="s">
        <v>3</v>
      </c>
      <c r="ED217" s="2"/>
      <c r="EE217" s="2">
        <v>59298982</v>
      </c>
      <c r="EF217" s="2">
        <v>30</v>
      </c>
      <c r="EG217" s="2" t="s">
        <v>26</v>
      </c>
      <c r="EH217" s="2">
        <v>0</v>
      </c>
      <c r="EI217" s="2" t="s">
        <v>3</v>
      </c>
      <c r="EJ217" s="2">
        <v>1</v>
      </c>
      <c r="EK217" s="2">
        <v>55</v>
      </c>
      <c r="EL217" s="2" t="s">
        <v>152</v>
      </c>
      <c r="EM217" s="2" t="s">
        <v>153</v>
      </c>
      <c r="EN217" s="2"/>
      <c r="EO217" s="2" t="s">
        <v>41</v>
      </c>
      <c r="EP217" s="2"/>
      <c r="EQ217" s="2">
        <v>0</v>
      </c>
      <c r="ER217" s="2">
        <v>8.2899999999999991</v>
      </c>
      <c r="ES217" s="2">
        <v>0.5</v>
      </c>
      <c r="ET217" s="2">
        <v>0</v>
      </c>
      <c r="EU217" s="2">
        <v>0</v>
      </c>
      <c r="EV217" s="2">
        <v>7.79</v>
      </c>
      <c r="EW217" s="2">
        <v>0.52</v>
      </c>
      <c r="EX217" s="2">
        <v>0</v>
      </c>
      <c r="EY217" s="2">
        <v>0</v>
      </c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>
        <v>0</v>
      </c>
      <c r="FR217" s="2">
        <v>0</v>
      </c>
      <c r="FS217" s="2">
        <v>0</v>
      </c>
      <c r="FT217" s="2"/>
      <c r="FU217" s="2"/>
      <c r="FV217" s="2"/>
      <c r="FW217" s="2"/>
      <c r="FX217" s="2">
        <v>84</v>
      </c>
      <c r="FY217" s="2">
        <v>53</v>
      </c>
      <c r="FZ217" s="2"/>
      <c r="GA217" s="2" t="s">
        <v>3</v>
      </c>
      <c r="GB217" s="2"/>
      <c r="GC217" s="2"/>
      <c r="GD217" s="2">
        <v>1</v>
      </c>
      <c r="GE217" s="2"/>
      <c r="GF217" s="2">
        <v>1745385659</v>
      </c>
      <c r="GG217" s="2">
        <v>2</v>
      </c>
      <c r="GH217" s="2">
        <v>1</v>
      </c>
      <c r="GI217" s="2">
        <v>2</v>
      </c>
      <c r="GJ217" s="2">
        <v>0</v>
      </c>
      <c r="GK217" s="2">
        <v>0</v>
      </c>
      <c r="GL217" s="2">
        <f t="shared" si="203"/>
        <v>0</v>
      </c>
      <c r="GM217" s="2">
        <f t="shared" si="204"/>
        <v>310.64</v>
      </c>
      <c r="GN217" s="2">
        <f t="shared" si="205"/>
        <v>310.64</v>
      </c>
      <c r="GO217" s="2">
        <f t="shared" si="206"/>
        <v>0</v>
      </c>
      <c r="GP217" s="2">
        <f t="shared" si="207"/>
        <v>0</v>
      </c>
      <c r="GQ217" s="2"/>
      <c r="GR217" s="2">
        <v>0</v>
      </c>
      <c r="GS217" s="2">
        <v>3</v>
      </c>
      <c r="GT217" s="2">
        <v>0</v>
      </c>
      <c r="GU217" s="2" t="s">
        <v>3</v>
      </c>
      <c r="GV217" s="2">
        <f t="shared" si="208"/>
        <v>0</v>
      </c>
      <c r="GW217" s="2">
        <v>1</v>
      </c>
      <c r="GX217" s="2">
        <f t="shared" si="209"/>
        <v>0</v>
      </c>
      <c r="GY217" s="2"/>
      <c r="GZ217" s="2"/>
      <c r="HA217" s="2">
        <v>0</v>
      </c>
      <c r="HB217" s="2">
        <v>0</v>
      </c>
      <c r="HC217" s="2">
        <f t="shared" si="210"/>
        <v>0</v>
      </c>
      <c r="HD217" s="2"/>
      <c r="HE217" s="2" t="s">
        <v>3</v>
      </c>
      <c r="HF217" s="2" t="s">
        <v>3</v>
      </c>
      <c r="HG217" s="2"/>
      <c r="HH217" s="2"/>
      <c r="HI217" s="2"/>
      <c r="HJ217" s="2"/>
      <c r="HK217" s="2"/>
      <c r="HL217" s="2"/>
      <c r="HM217" s="2" t="s">
        <v>3</v>
      </c>
      <c r="HN217" s="2" t="s">
        <v>3</v>
      </c>
      <c r="HO217" s="2" t="s">
        <v>3</v>
      </c>
      <c r="HP217" s="2" t="s">
        <v>3</v>
      </c>
      <c r="HQ217" s="2" t="s">
        <v>3</v>
      </c>
      <c r="HR217" s="2"/>
      <c r="HS217" s="2">
        <v>0</v>
      </c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>
        <v>0</v>
      </c>
      <c r="IL217" s="2"/>
      <c r="IM217" s="2"/>
      <c r="IN217" s="2"/>
      <c r="IO217" s="2"/>
      <c r="IP217" s="2"/>
      <c r="IQ217" s="2"/>
      <c r="IR217" s="2"/>
      <c r="IS217" s="2"/>
      <c r="IT217" s="2"/>
      <c r="IU217" s="2"/>
    </row>
    <row r="218" spans="1:255" x14ac:dyDescent="0.2">
      <c r="A218">
        <v>17</v>
      </c>
      <c r="B218">
        <v>1</v>
      </c>
      <c r="C218">
        <f>ROW(SmtRes!A84)</f>
        <v>84</v>
      </c>
      <c r="D218">
        <f>ROW(EtalonRes!A92)</f>
        <v>92</v>
      </c>
      <c r="E218" t="s">
        <v>207</v>
      </c>
      <c r="F218" t="s">
        <v>149</v>
      </c>
      <c r="G218" t="s">
        <v>168</v>
      </c>
      <c r="H218" t="s">
        <v>37</v>
      </c>
      <c r="I218">
        <v>12</v>
      </c>
      <c r="J218">
        <v>0</v>
      </c>
      <c r="K218">
        <v>12</v>
      </c>
      <c r="O218">
        <f t="shared" si="185"/>
        <v>7163.81</v>
      </c>
      <c r="P218">
        <f t="shared" si="186"/>
        <v>95.4</v>
      </c>
      <c r="Q218">
        <f>(ROUND((ROUND(((((ET218*1.25)*1.1))*AV218*I218),2)*BB218),2)+ROUND((ROUND(((AE218-(((EU218*1.25)*1.1)))*AV218*I218),2)*BS218),2))</f>
        <v>0</v>
      </c>
      <c r="R218">
        <f>(ROUND((ROUND(((((EU218*1.25)*1.1))*AV218*I218),2)*BS218),2)+ROUND((ROUND(((AE218-(((EU218*1.25)*1.1)))*AV218*I218),2)*BS218),2))</f>
        <v>0</v>
      </c>
      <c r="S218">
        <f t="shared" si="187"/>
        <v>7068.41</v>
      </c>
      <c r="T218">
        <f t="shared" si="188"/>
        <v>0</v>
      </c>
      <c r="U218">
        <f t="shared" si="189"/>
        <v>8.5803431999999997</v>
      </c>
      <c r="V218">
        <f t="shared" si="190"/>
        <v>0</v>
      </c>
      <c r="W218">
        <f t="shared" si="191"/>
        <v>0</v>
      </c>
      <c r="X218">
        <f>(ROUND((((S218+ROUND((ROUND(((((EU218*1.25)*1.1))*AV218*I218),2)*BS218),2))*AT218)/100),2)+ROUND(((ROUND((ROUND(((AE218-(((EU218*1.25)*1.1)))*AV218*I218),2)*BS218),2)*AT218)/100),2))</f>
        <v>5937.46</v>
      </c>
      <c r="Y218">
        <f>(ROUND((((S218+ROUND((ROUND(((((EU218*1.25)*1.1))*AV218*I218),2)*BS218),2))*AU218)/100),2)+ROUND(((ROUND((ROUND(((AE218-(((EU218*1.25)*1.1)))*AV218*I218),2)*BS218),2)*AU218)/100),2))</f>
        <v>3746.26</v>
      </c>
      <c r="AA218">
        <v>59499215</v>
      </c>
      <c r="AB218">
        <f t="shared" si="192"/>
        <v>10.35435</v>
      </c>
      <c r="AC218">
        <f t="shared" si="193"/>
        <v>0.5</v>
      </c>
      <c r="AD218">
        <f>ROUND((((((ET218*1.25)*1.1))-(((EU218*1.25)*1.1)))+AE218),6)</f>
        <v>0</v>
      </c>
      <c r="AE218">
        <f>ROUND((((EU218*1.25)*1.1)),6)</f>
        <v>0</v>
      </c>
      <c r="AF218">
        <f>ROUND((((EV218*1.15)*1.1)),6)</f>
        <v>9.8543500000000002</v>
      </c>
      <c r="AG218">
        <f t="shared" si="194"/>
        <v>0</v>
      </c>
      <c r="AH218">
        <f>(((EW218*1.15)*1.1))</f>
        <v>0.65780000000000005</v>
      </c>
      <c r="AI218">
        <f>(((EX218*1.25)*1.1))</f>
        <v>0</v>
      </c>
      <c r="AJ218">
        <f t="shared" si="195"/>
        <v>0</v>
      </c>
      <c r="AK218">
        <v>8.2899999999999991</v>
      </c>
      <c r="AL218">
        <v>0.5</v>
      </c>
      <c r="AM218">
        <v>0</v>
      </c>
      <c r="AN218">
        <v>0</v>
      </c>
      <c r="AO218">
        <v>7.79</v>
      </c>
      <c r="AP218">
        <v>0</v>
      </c>
      <c r="AQ218">
        <v>0.52</v>
      </c>
      <c r="AR218">
        <v>0</v>
      </c>
      <c r="AS218">
        <v>0</v>
      </c>
      <c r="AT218">
        <v>84</v>
      </c>
      <c r="AU218">
        <v>53</v>
      </c>
      <c r="AV218">
        <v>1.087</v>
      </c>
      <c r="AW218">
        <v>1</v>
      </c>
      <c r="AZ218">
        <v>1</v>
      </c>
      <c r="BA218">
        <v>54.99</v>
      </c>
      <c r="BB218">
        <v>1</v>
      </c>
      <c r="BC218">
        <v>15.9</v>
      </c>
      <c r="BD218" t="s">
        <v>3</v>
      </c>
      <c r="BE218" t="s">
        <v>3</v>
      </c>
      <c r="BF218" t="s">
        <v>3</v>
      </c>
      <c r="BG218" t="s">
        <v>3</v>
      </c>
      <c r="BH218">
        <v>0</v>
      </c>
      <c r="BI218">
        <v>1</v>
      </c>
      <c r="BJ218" t="s">
        <v>151</v>
      </c>
      <c r="BM218">
        <v>55</v>
      </c>
      <c r="BN218">
        <v>59298886</v>
      </c>
      <c r="BO218" t="s">
        <v>149</v>
      </c>
      <c r="BP218">
        <v>1</v>
      </c>
      <c r="BQ218">
        <v>30</v>
      </c>
      <c r="BR218">
        <v>0</v>
      </c>
      <c r="BS218">
        <v>54.99</v>
      </c>
      <c r="BT218">
        <v>1</v>
      </c>
      <c r="BU218">
        <v>1</v>
      </c>
      <c r="BV218">
        <v>1</v>
      </c>
      <c r="BW218">
        <v>1</v>
      </c>
      <c r="BX218">
        <v>1</v>
      </c>
      <c r="BY218" t="s">
        <v>3</v>
      </c>
      <c r="BZ218">
        <v>84</v>
      </c>
      <c r="CA218">
        <v>53</v>
      </c>
      <c r="CB218" t="s">
        <v>3</v>
      </c>
      <c r="CE218">
        <v>1566</v>
      </c>
      <c r="CF218">
        <v>0</v>
      </c>
      <c r="CG218">
        <v>0</v>
      </c>
      <c r="CM218">
        <v>0</v>
      </c>
      <c r="CN218" t="s">
        <v>375</v>
      </c>
      <c r="CO218">
        <v>0</v>
      </c>
      <c r="CP218">
        <f t="shared" si="196"/>
        <v>7163.8099999999995</v>
      </c>
      <c r="CQ218">
        <f t="shared" si="197"/>
        <v>7.95</v>
      </c>
      <c r="CR218">
        <f>(ROUND((ROUND(((((ET218*1.25)*1.1))*AV218*1),2)*BB218),2)+ROUND((ROUND(((AE218-(((EU218*1.25)*1.1)))*AV218*1),2)*BS218),2))</f>
        <v>0</v>
      </c>
      <c r="CS218">
        <f>(ROUND((ROUND(((((EU218*1.25)*1.1))*AV218*1),2)*BS218),2)+ROUND((ROUND(((AE218-(((EU218*1.25)*1.1)))*AV218*1),2)*BS218),2))</f>
        <v>0</v>
      </c>
      <c r="CT218">
        <f t="shared" si="198"/>
        <v>588.94000000000005</v>
      </c>
      <c r="CU218">
        <f t="shared" si="199"/>
        <v>0</v>
      </c>
      <c r="CV218">
        <f t="shared" si="200"/>
        <v>0.71502860000000001</v>
      </c>
      <c r="CW218">
        <f t="shared" si="201"/>
        <v>0</v>
      </c>
      <c r="CX218">
        <f t="shared" si="202"/>
        <v>0</v>
      </c>
      <c r="CY218">
        <f>(ROUND((((S218+ROUND((ROUND(((((EU218*1.25)*1.1))*AV218*1),2)*BS218),2))*AT218)/100),2)+ROUND(((ROUND((ROUND(((AE218-(((EU218*1.25)*1.1)))*AV218*1),2)*BS218),2)*AT218)/100),2))</f>
        <v>5937.46</v>
      </c>
      <c r="CZ218">
        <f>(ROUND((((S218+ROUND((ROUND(((((EU218*1.25)*1.1))*AV218*1),2)*BS218),2))*AU218)/100),2)+ROUND(((ROUND((ROUND(((AE218-(((EU218*1.25)*1.1)))*AV218*1),2)*BS218),2)*AU218)/100),2))</f>
        <v>3746.26</v>
      </c>
      <c r="DB218">
        <v>75</v>
      </c>
      <c r="DC218" t="s">
        <v>3</v>
      </c>
      <c r="DD218" t="s">
        <v>3</v>
      </c>
      <c r="DE218" t="s">
        <v>39</v>
      </c>
      <c r="DF218" t="s">
        <v>39</v>
      </c>
      <c r="DG218" t="s">
        <v>40</v>
      </c>
      <c r="DH218" t="s">
        <v>3</v>
      </c>
      <c r="DI218" t="s">
        <v>40</v>
      </c>
      <c r="DJ218" t="s">
        <v>39</v>
      </c>
      <c r="DK218" t="s">
        <v>3</v>
      </c>
      <c r="DL218" t="s">
        <v>3</v>
      </c>
      <c r="DM218" t="s">
        <v>3</v>
      </c>
      <c r="DN218">
        <v>0</v>
      </c>
      <c r="DO218">
        <v>0</v>
      </c>
      <c r="DP218">
        <v>1</v>
      </c>
      <c r="DQ218">
        <v>1</v>
      </c>
      <c r="DU218">
        <v>1013</v>
      </c>
      <c r="DV218" t="s">
        <v>37</v>
      </c>
      <c r="DW218" t="s">
        <v>37</v>
      </c>
      <c r="DX218">
        <v>1</v>
      </c>
      <c r="DZ218" t="s">
        <v>3</v>
      </c>
      <c r="EA218" t="s">
        <v>3</v>
      </c>
      <c r="EB218" t="s">
        <v>3</v>
      </c>
      <c r="EC218" t="s">
        <v>3</v>
      </c>
      <c r="EE218">
        <v>59298982</v>
      </c>
      <c r="EF218">
        <v>30</v>
      </c>
      <c r="EG218" t="s">
        <v>26</v>
      </c>
      <c r="EH218">
        <v>0</v>
      </c>
      <c r="EI218" t="s">
        <v>3</v>
      </c>
      <c r="EJ218">
        <v>1</v>
      </c>
      <c r="EK218">
        <v>55</v>
      </c>
      <c r="EL218" t="s">
        <v>152</v>
      </c>
      <c r="EM218" t="s">
        <v>153</v>
      </c>
      <c r="EO218" t="s">
        <v>41</v>
      </c>
      <c r="EQ218">
        <v>0</v>
      </c>
      <c r="ER218">
        <v>8.2899999999999991</v>
      </c>
      <c r="ES218">
        <v>0.5</v>
      </c>
      <c r="ET218">
        <v>0</v>
      </c>
      <c r="EU218">
        <v>0</v>
      </c>
      <c r="EV218">
        <v>7.79</v>
      </c>
      <c r="EW218">
        <v>0.52</v>
      </c>
      <c r="EX218">
        <v>0</v>
      </c>
      <c r="EY218">
        <v>0</v>
      </c>
      <c r="FQ218">
        <v>0</v>
      </c>
      <c r="FR218">
        <v>0</v>
      </c>
      <c r="FS218">
        <v>0</v>
      </c>
      <c r="FX218">
        <v>84</v>
      </c>
      <c r="FY218">
        <v>53</v>
      </c>
      <c r="GA218" t="s">
        <v>3</v>
      </c>
      <c r="GD218">
        <v>1</v>
      </c>
      <c r="GF218">
        <v>1745385659</v>
      </c>
      <c r="GG218">
        <v>2</v>
      </c>
      <c r="GH218">
        <v>1</v>
      </c>
      <c r="GI218">
        <v>2</v>
      </c>
      <c r="GJ218">
        <v>0</v>
      </c>
      <c r="GK218">
        <v>0</v>
      </c>
      <c r="GL218">
        <f t="shared" si="203"/>
        <v>0</v>
      </c>
      <c r="GM218">
        <f t="shared" si="204"/>
        <v>16847.53</v>
      </c>
      <c r="GN218">
        <f t="shared" si="205"/>
        <v>16847.53</v>
      </c>
      <c r="GO218">
        <f t="shared" si="206"/>
        <v>0</v>
      </c>
      <c r="GP218">
        <f t="shared" si="207"/>
        <v>0</v>
      </c>
      <c r="GR218">
        <v>0</v>
      </c>
      <c r="GS218">
        <v>3</v>
      </c>
      <c r="GT218">
        <v>0</v>
      </c>
      <c r="GU218" t="s">
        <v>3</v>
      </c>
      <c r="GV218">
        <f t="shared" si="208"/>
        <v>0</v>
      </c>
      <c r="GW218">
        <v>1</v>
      </c>
      <c r="GX218">
        <f t="shared" si="209"/>
        <v>0</v>
      </c>
      <c r="HA218">
        <v>0</v>
      </c>
      <c r="HB218">
        <v>0</v>
      </c>
      <c r="HC218">
        <f t="shared" si="210"/>
        <v>0</v>
      </c>
      <c r="HE218" t="s">
        <v>3</v>
      </c>
      <c r="HF218" t="s">
        <v>3</v>
      </c>
      <c r="HM218" t="s">
        <v>3</v>
      </c>
      <c r="HN218" t="s">
        <v>3</v>
      </c>
      <c r="HO218" t="s">
        <v>3</v>
      </c>
      <c r="HP218" t="s">
        <v>3</v>
      </c>
      <c r="HQ218" t="s">
        <v>3</v>
      </c>
      <c r="HS218">
        <v>0</v>
      </c>
      <c r="IK218">
        <v>0</v>
      </c>
    </row>
    <row r="219" spans="1:255" x14ac:dyDescent="0.2">
      <c r="A219" s="2">
        <v>18</v>
      </c>
      <c r="B219" s="2">
        <v>1</v>
      </c>
      <c r="C219" s="2">
        <v>81</v>
      </c>
      <c r="D219" s="2"/>
      <c r="E219" s="2" t="s">
        <v>208</v>
      </c>
      <c r="F219" s="2" t="s">
        <v>209</v>
      </c>
      <c r="G219" s="2" t="s">
        <v>210</v>
      </c>
      <c r="H219" s="2" t="s">
        <v>124</v>
      </c>
      <c r="I219" s="2">
        <f>I217*J219</f>
        <v>12</v>
      </c>
      <c r="J219" s="2">
        <v>1</v>
      </c>
      <c r="K219" s="2">
        <v>1</v>
      </c>
      <c r="L219" s="2"/>
      <c r="M219" s="2"/>
      <c r="N219" s="2"/>
      <c r="O219" s="2">
        <f t="shared" si="185"/>
        <v>2709.48</v>
      </c>
      <c r="P219" s="2">
        <f t="shared" si="186"/>
        <v>2709.48</v>
      </c>
      <c r="Q219" s="2">
        <f>(ROUND((ROUND(((ET219)*AV219*I219),2)*BB219),2)+ROUND((ROUND(((AE219-(EU219))*AV219*I219),2)*BS219),2))</f>
        <v>0</v>
      </c>
      <c r="R219" s="2">
        <f>(ROUND((ROUND(((EU219)*AV219*I219),2)*BS219),2)+ROUND((ROUND(((AE219-(EU219))*AV219*I219),2)*BS219),2))</f>
        <v>0</v>
      </c>
      <c r="S219" s="2">
        <f t="shared" si="187"/>
        <v>0</v>
      </c>
      <c r="T219" s="2">
        <f t="shared" si="188"/>
        <v>0</v>
      </c>
      <c r="U219" s="2">
        <f t="shared" si="189"/>
        <v>0</v>
      </c>
      <c r="V219" s="2">
        <f t="shared" si="190"/>
        <v>0</v>
      </c>
      <c r="W219" s="2">
        <f t="shared" si="191"/>
        <v>0</v>
      </c>
      <c r="X219" s="2">
        <f>(ROUND((((S219+ROUND((ROUND(((EU219)*AV219*I219),2)*BS219),2))*AT219)/100),2)+ROUND(((ROUND((ROUND(((AE219-(EU219))*AV219*I219),2)*BS219),2)*AT219)/100),2))</f>
        <v>0</v>
      </c>
      <c r="Y219" s="2">
        <f>(ROUND((((S219+ROUND((ROUND(((EU219)*AV219*I219),2)*BS219),2))*AU219)/100),2)+ROUND(((ROUND((ROUND(((AE219-(EU219))*AV219*I219),2)*BS219),2)*AU219)/100),2))</f>
        <v>0</v>
      </c>
      <c r="Z219" s="2"/>
      <c r="AA219" s="2">
        <v>59499218</v>
      </c>
      <c r="AB219" s="2">
        <f t="shared" si="192"/>
        <v>225.79</v>
      </c>
      <c r="AC219" s="2">
        <f t="shared" si="193"/>
        <v>225.79</v>
      </c>
      <c r="AD219" s="2">
        <f>ROUND((((ET219)-(EU219))+AE219),6)</f>
        <v>0</v>
      </c>
      <c r="AE219" s="2">
        <f>ROUND((EU219),6)</f>
        <v>0</v>
      </c>
      <c r="AF219" s="2">
        <f>ROUND((EV219),6)</f>
        <v>0</v>
      </c>
      <c r="AG219" s="2">
        <f t="shared" si="194"/>
        <v>0</v>
      </c>
      <c r="AH219" s="2">
        <f>(EW219)</f>
        <v>0</v>
      </c>
      <c r="AI219" s="2">
        <f>(EX219)</f>
        <v>0</v>
      </c>
      <c r="AJ219" s="2">
        <f t="shared" si="195"/>
        <v>0</v>
      </c>
      <c r="AK219" s="2">
        <v>225.79000000000002</v>
      </c>
      <c r="AL219" s="2">
        <v>225.79000000000002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84</v>
      </c>
      <c r="AU219" s="2">
        <v>53</v>
      </c>
      <c r="AV219" s="2">
        <v>1</v>
      </c>
      <c r="AW219" s="2">
        <v>1</v>
      </c>
      <c r="AX219" s="2"/>
      <c r="AY219" s="2"/>
      <c r="AZ219" s="2">
        <v>1</v>
      </c>
      <c r="BA219" s="2">
        <v>1</v>
      </c>
      <c r="BB219" s="2">
        <v>1</v>
      </c>
      <c r="BC219" s="2">
        <v>1</v>
      </c>
      <c r="BD219" s="2" t="s">
        <v>3</v>
      </c>
      <c r="BE219" s="2" t="s">
        <v>3</v>
      </c>
      <c r="BF219" s="2" t="s">
        <v>3</v>
      </c>
      <c r="BG219" s="2" t="s">
        <v>3</v>
      </c>
      <c r="BH219" s="2">
        <v>3</v>
      </c>
      <c r="BI219" s="2">
        <v>1</v>
      </c>
      <c r="BJ219" s="2" t="s">
        <v>3</v>
      </c>
      <c r="BK219" s="2"/>
      <c r="BL219" s="2"/>
      <c r="BM219" s="2">
        <v>55</v>
      </c>
      <c r="BN219" s="2">
        <v>0</v>
      </c>
      <c r="BO219" s="2" t="s">
        <v>3</v>
      </c>
      <c r="BP219" s="2">
        <v>0</v>
      </c>
      <c r="BQ219" s="2">
        <v>30</v>
      </c>
      <c r="BR219" s="2">
        <v>0</v>
      </c>
      <c r="BS219" s="2">
        <v>1</v>
      </c>
      <c r="BT219" s="2">
        <v>1</v>
      </c>
      <c r="BU219" s="2">
        <v>1</v>
      </c>
      <c r="BV219" s="2">
        <v>1</v>
      </c>
      <c r="BW219" s="2">
        <v>1</v>
      </c>
      <c r="BX219" s="2">
        <v>1</v>
      </c>
      <c r="BY219" s="2" t="s">
        <v>3</v>
      </c>
      <c r="BZ219" s="2">
        <v>84</v>
      </c>
      <c r="CA219" s="2">
        <v>53</v>
      </c>
      <c r="CB219" s="2" t="s">
        <v>3</v>
      </c>
      <c r="CC219" s="2"/>
      <c r="CD219" s="2"/>
      <c r="CE219" s="2">
        <v>1566</v>
      </c>
      <c r="CF219" s="2">
        <v>0</v>
      </c>
      <c r="CG219" s="2">
        <v>0</v>
      </c>
      <c r="CH219" s="2"/>
      <c r="CI219" s="2"/>
      <c r="CJ219" s="2"/>
      <c r="CK219" s="2"/>
      <c r="CL219" s="2"/>
      <c r="CM219" s="2">
        <v>0</v>
      </c>
      <c r="CN219" s="2" t="s">
        <v>3</v>
      </c>
      <c r="CO219" s="2">
        <v>0</v>
      </c>
      <c r="CP219" s="2">
        <f t="shared" si="196"/>
        <v>2709.48</v>
      </c>
      <c r="CQ219" s="2">
        <f t="shared" si="197"/>
        <v>225.79</v>
      </c>
      <c r="CR219" s="2">
        <f>(ROUND((ROUND(((ET219)*AV219*1),2)*BB219),2)+ROUND((ROUND(((AE219-(EU219))*AV219*1),2)*BS219),2))</f>
        <v>0</v>
      </c>
      <c r="CS219" s="2">
        <f>(ROUND((ROUND(((EU219)*AV219*1),2)*BS219),2)+ROUND((ROUND(((AE219-(EU219))*AV219*1),2)*BS219),2))</f>
        <v>0</v>
      </c>
      <c r="CT219" s="2">
        <f t="shared" si="198"/>
        <v>0</v>
      </c>
      <c r="CU219" s="2">
        <f t="shared" si="199"/>
        <v>0</v>
      </c>
      <c r="CV219" s="2">
        <f t="shared" si="200"/>
        <v>0</v>
      </c>
      <c r="CW219" s="2">
        <f t="shared" si="201"/>
        <v>0</v>
      </c>
      <c r="CX219" s="2">
        <f t="shared" si="202"/>
        <v>0</v>
      </c>
      <c r="CY219" s="2">
        <f>(ROUND((((S219+ROUND((ROUND(((EU219)*AV219*1),2)*BS219),2))*AT219)/100),2)+ROUND(((ROUND((ROUND(((AE219-(EU219))*AV219*1),2)*BS219),2)*AT219)/100),2))</f>
        <v>0</v>
      </c>
      <c r="CZ219" s="2">
        <f>(ROUND((((S219+ROUND((ROUND(((EU219)*AV219*1),2)*BS219),2))*AU219)/100),2)+ROUND(((ROUND((ROUND(((AE219-(EU219))*AV219*1),2)*BS219),2)*AU219)/100),2))</f>
        <v>0</v>
      </c>
      <c r="DA219" s="2"/>
      <c r="DB219" s="2"/>
      <c r="DC219" s="2" t="s">
        <v>3</v>
      </c>
      <c r="DD219" s="2" t="s">
        <v>3</v>
      </c>
      <c r="DE219" s="2" t="s">
        <v>3</v>
      </c>
      <c r="DF219" s="2" t="s">
        <v>3</v>
      </c>
      <c r="DG219" s="2" t="s">
        <v>3</v>
      </c>
      <c r="DH219" s="2" t="s">
        <v>3</v>
      </c>
      <c r="DI219" s="2" t="s">
        <v>3</v>
      </c>
      <c r="DJ219" s="2" t="s">
        <v>3</v>
      </c>
      <c r="DK219" s="2" t="s">
        <v>3</v>
      </c>
      <c r="DL219" s="2" t="s">
        <v>3</v>
      </c>
      <c r="DM219" s="2" t="s">
        <v>3</v>
      </c>
      <c r="DN219" s="2">
        <v>0</v>
      </c>
      <c r="DO219" s="2">
        <v>0</v>
      </c>
      <c r="DP219" s="2">
        <v>1</v>
      </c>
      <c r="DQ219" s="2">
        <v>1</v>
      </c>
      <c r="DR219" s="2"/>
      <c r="DS219" s="2"/>
      <c r="DT219" s="2"/>
      <c r="DU219" s="2">
        <v>1010</v>
      </c>
      <c r="DV219" s="2" t="s">
        <v>124</v>
      </c>
      <c r="DW219" s="2" t="s">
        <v>124</v>
      </c>
      <c r="DX219" s="2">
        <v>1</v>
      </c>
      <c r="DY219" s="2"/>
      <c r="DZ219" s="2" t="s">
        <v>3</v>
      </c>
      <c r="EA219" s="2" t="s">
        <v>3</v>
      </c>
      <c r="EB219" s="2" t="s">
        <v>3</v>
      </c>
      <c r="EC219" s="2" t="s">
        <v>3</v>
      </c>
      <c r="ED219" s="2"/>
      <c r="EE219" s="2">
        <v>59298982</v>
      </c>
      <c r="EF219" s="2">
        <v>30</v>
      </c>
      <c r="EG219" s="2" t="s">
        <v>26</v>
      </c>
      <c r="EH219" s="2">
        <v>0</v>
      </c>
      <c r="EI219" s="2" t="s">
        <v>3</v>
      </c>
      <c r="EJ219" s="2">
        <v>1</v>
      </c>
      <c r="EK219" s="2">
        <v>55</v>
      </c>
      <c r="EL219" s="2" t="s">
        <v>152</v>
      </c>
      <c r="EM219" s="2" t="s">
        <v>153</v>
      </c>
      <c r="EN219" s="2"/>
      <c r="EO219" s="2" t="s">
        <v>3</v>
      </c>
      <c r="EP219" s="2"/>
      <c r="EQ219" s="2">
        <v>0</v>
      </c>
      <c r="ER219" s="2">
        <v>0</v>
      </c>
      <c r="ES219" s="2">
        <v>225.79000000000002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>
        <v>0</v>
      </c>
      <c r="FR219" s="2">
        <v>0</v>
      </c>
      <c r="FS219" s="2">
        <v>0</v>
      </c>
      <c r="FT219" s="2"/>
      <c r="FU219" s="2"/>
      <c r="FV219" s="2"/>
      <c r="FW219" s="2"/>
      <c r="FX219" s="2">
        <v>84</v>
      </c>
      <c r="FY219" s="2">
        <v>53</v>
      </c>
      <c r="FZ219" s="2"/>
      <c r="GA219" s="2" t="s">
        <v>211</v>
      </c>
      <c r="GB219" s="2"/>
      <c r="GC219" s="2"/>
      <c r="GD219" s="2">
        <v>1</v>
      </c>
      <c r="GE219" s="2"/>
      <c r="GF219" s="2">
        <v>1057203401</v>
      </c>
      <c r="GG219" s="2">
        <v>2</v>
      </c>
      <c r="GH219" s="2">
        <v>4</v>
      </c>
      <c r="GI219" s="2">
        <v>-2</v>
      </c>
      <c r="GJ219" s="2">
        <v>0</v>
      </c>
      <c r="GK219" s="2">
        <v>0</v>
      </c>
      <c r="GL219" s="2">
        <f t="shared" si="203"/>
        <v>0</v>
      </c>
      <c r="GM219" s="2">
        <f t="shared" si="204"/>
        <v>2709.48</v>
      </c>
      <c r="GN219" s="2">
        <f t="shared" si="205"/>
        <v>2709.48</v>
      </c>
      <c r="GO219" s="2">
        <f t="shared" si="206"/>
        <v>0</v>
      </c>
      <c r="GP219" s="2">
        <f t="shared" si="207"/>
        <v>0</v>
      </c>
      <c r="GQ219" s="2"/>
      <c r="GR219" s="2">
        <v>0</v>
      </c>
      <c r="GS219" s="2">
        <v>2</v>
      </c>
      <c r="GT219" s="2">
        <v>0</v>
      </c>
      <c r="GU219" s="2" t="s">
        <v>3</v>
      </c>
      <c r="GV219" s="2">
        <f t="shared" si="208"/>
        <v>0</v>
      </c>
      <c r="GW219" s="2">
        <v>1</v>
      </c>
      <c r="GX219" s="2">
        <f t="shared" si="209"/>
        <v>0</v>
      </c>
      <c r="GY219" s="2"/>
      <c r="GZ219" s="2"/>
      <c r="HA219" s="2">
        <v>0</v>
      </c>
      <c r="HB219" s="2">
        <v>0</v>
      </c>
      <c r="HC219" s="2">
        <f t="shared" si="210"/>
        <v>0</v>
      </c>
      <c r="HD219" s="2"/>
      <c r="HE219" s="2" t="s">
        <v>173</v>
      </c>
      <c r="HF219" s="2" t="s">
        <v>30</v>
      </c>
      <c r="HG219" s="2"/>
      <c r="HH219" s="2"/>
      <c r="HI219" s="2"/>
      <c r="HJ219" s="2"/>
      <c r="HK219" s="2"/>
      <c r="HL219" s="2"/>
      <c r="HM219" s="2" t="s">
        <v>3</v>
      </c>
      <c r="HN219" s="2" t="s">
        <v>3</v>
      </c>
      <c r="HO219" s="2" t="s">
        <v>3</v>
      </c>
      <c r="HP219" s="2" t="s">
        <v>3</v>
      </c>
      <c r="HQ219" s="2" t="s">
        <v>3</v>
      </c>
      <c r="HR219" s="2"/>
      <c r="HS219" s="2">
        <v>0</v>
      </c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>
        <v>0</v>
      </c>
      <c r="IL219" s="2"/>
      <c r="IM219" s="2"/>
      <c r="IN219" s="2"/>
      <c r="IO219" s="2"/>
      <c r="IP219" s="2"/>
      <c r="IQ219" s="2"/>
      <c r="IR219" s="2"/>
      <c r="IS219" s="2"/>
      <c r="IT219" s="2"/>
      <c r="IU219" s="2"/>
    </row>
    <row r="220" spans="1:255" x14ac:dyDescent="0.2">
      <c r="A220">
        <v>18</v>
      </c>
      <c r="B220">
        <v>1</v>
      </c>
      <c r="C220">
        <v>84</v>
      </c>
      <c r="E220" t="s">
        <v>208</v>
      </c>
      <c r="F220" t="s">
        <v>209</v>
      </c>
      <c r="G220" t="s">
        <v>210</v>
      </c>
      <c r="H220" t="s">
        <v>124</v>
      </c>
      <c r="I220">
        <f>I218*J220</f>
        <v>12</v>
      </c>
      <c r="J220">
        <v>1</v>
      </c>
      <c r="K220">
        <v>1</v>
      </c>
      <c r="O220">
        <f t="shared" si="185"/>
        <v>26769.66</v>
      </c>
      <c r="P220">
        <f t="shared" si="186"/>
        <v>26769.66</v>
      </c>
      <c r="Q220">
        <f>(ROUND((ROUND(((ET220)*AV220*I220),2)*BB220),2)+ROUND((ROUND(((AE220-(EU220))*AV220*I220),2)*BS220),2))</f>
        <v>0</v>
      </c>
      <c r="R220">
        <f>(ROUND((ROUND(((EU220)*AV220*I220),2)*BS220),2)+ROUND((ROUND(((AE220-(EU220))*AV220*I220),2)*BS220),2))</f>
        <v>0</v>
      </c>
      <c r="S220">
        <f t="shared" si="187"/>
        <v>0</v>
      </c>
      <c r="T220">
        <f t="shared" si="188"/>
        <v>0</v>
      </c>
      <c r="U220">
        <f t="shared" si="189"/>
        <v>0</v>
      </c>
      <c r="V220">
        <f t="shared" si="190"/>
        <v>0</v>
      </c>
      <c r="W220">
        <f t="shared" si="191"/>
        <v>0</v>
      </c>
      <c r="X220">
        <f>(ROUND((((S220+ROUND((ROUND(((EU220)*AV220*I220),2)*BS220),2))*AT220)/100),2)+ROUND(((ROUND((ROUND(((AE220-(EU220))*AV220*I220),2)*BS220),2)*AT220)/100),2))</f>
        <v>0</v>
      </c>
      <c r="Y220">
        <f>(ROUND((((S220+ROUND((ROUND(((EU220)*AV220*I220),2)*BS220),2))*AU220)/100),2)+ROUND(((ROUND((ROUND(((AE220-(EU220))*AV220*I220),2)*BS220),2)*AU220)/100),2))</f>
        <v>0</v>
      </c>
      <c r="AA220">
        <v>59499215</v>
      </c>
      <c r="AB220">
        <f t="shared" si="192"/>
        <v>225.79</v>
      </c>
      <c r="AC220">
        <f t="shared" si="193"/>
        <v>225.79</v>
      </c>
      <c r="AD220">
        <f>ROUND((((ET220)-(EU220))+AE220),6)</f>
        <v>0</v>
      </c>
      <c r="AE220">
        <f>ROUND((EU220),6)</f>
        <v>0</v>
      </c>
      <c r="AF220">
        <f>ROUND((EV220),6)</f>
        <v>0</v>
      </c>
      <c r="AG220">
        <f t="shared" si="194"/>
        <v>0</v>
      </c>
      <c r="AH220">
        <f>(EW220)</f>
        <v>0</v>
      </c>
      <c r="AI220">
        <f>(EX220)</f>
        <v>0</v>
      </c>
      <c r="AJ220">
        <f t="shared" si="195"/>
        <v>0</v>
      </c>
      <c r="AK220">
        <v>225.79000000000002</v>
      </c>
      <c r="AL220">
        <v>225.79000000000002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84</v>
      </c>
      <c r="AU220">
        <v>53</v>
      </c>
      <c r="AV220">
        <v>1</v>
      </c>
      <c r="AW220">
        <v>1</v>
      </c>
      <c r="AZ220">
        <v>1</v>
      </c>
      <c r="BA220">
        <v>1</v>
      </c>
      <c r="BB220">
        <v>1</v>
      </c>
      <c r="BC220">
        <v>9.8800000000000008</v>
      </c>
      <c r="BD220" t="s">
        <v>3</v>
      </c>
      <c r="BE220" t="s">
        <v>3</v>
      </c>
      <c r="BF220" t="s">
        <v>3</v>
      </c>
      <c r="BG220" t="s">
        <v>3</v>
      </c>
      <c r="BH220">
        <v>3</v>
      </c>
      <c r="BI220">
        <v>1</v>
      </c>
      <c r="BJ220" t="s">
        <v>3</v>
      </c>
      <c r="BM220">
        <v>55</v>
      </c>
      <c r="BN220">
        <v>0</v>
      </c>
      <c r="BO220" t="s">
        <v>3</v>
      </c>
      <c r="BP220">
        <v>0</v>
      </c>
      <c r="BQ220">
        <v>30</v>
      </c>
      <c r="BR220">
        <v>0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 t="s">
        <v>3</v>
      </c>
      <c r="BZ220">
        <v>84</v>
      </c>
      <c r="CA220">
        <v>53</v>
      </c>
      <c r="CB220" t="s">
        <v>3</v>
      </c>
      <c r="CE220">
        <v>1566</v>
      </c>
      <c r="CF220">
        <v>0</v>
      </c>
      <c r="CG220">
        <v>0</v>
      </c>
      <c r="CM220">
        <v>0</v>
      </c>
      <c r="CN220" t="s">
        <v>3</v>
      </c>
      <c r="CO220">
        <v>0</v>
      </c>
      <c r="CP220">
        <f t="shared" si="196"/>
        <v>26769.66</v>
      </c>
      <c r="CQ220">
        <f t="shared" si="197"/>
        <v>2230.81</v>
      </c>
      <c r="CR220">
        <f>(ROUND((ROUND(((ET220)*AV220*1),2)*BB220),2)+ROUND((ROUND(((AE220-(EU220))*AV220*1),2)*BS220),2))</f>
        <v>0</v>
      </c>
      <c r="CS220">
        <f>(ROUND((ROUND(((EU220)*AV220*1),2)*BS220),2)+ROUND((ROUND(((AE220-(EU220))*AV220*1),2)*BS220),2))</f>
        <v>0</v>
      </c>
      <c r="CT220">
        <f t="shared" si="198"/>
        <v>0</v>
      </c>
      <c r="CU220">
        <f t="shared" si="199"/>
        <v>0</v>
      </c>
      <c r="CV220">
        <f t="shared" si="200"/>
        <v>0</v>
      </c>
      <c r="CW220">
        <f t="shared" si="201"/>
        <v>0</v>
      </c>
      <c r="CX220">
        <f t="shared" si="202"/>
        <v>0</v>
      </c>
      <c r="CY220">
        <f>(ROUND((((S220+ROUND((ROUND(((EU220)*AV220*1),2)*BS220),2))*AT220)/100),2)+ROUND(((ROUND((ROUND(((AE220-(EU220))*AV220*1),2)*BS220),2)*AT220)/100),2))</f>
        <v>0</v>
      </c>
      <c r="CZ220">
        <f>(ROUND((((S220+ROUND((ROUND(((EU220)*AV220*1),2)*BS220),2))*AU220)/100),2)+ROUND(((ROUND((ROUND(((AE220-(EU220))*AV220*1),2)*BS220),2)*AU220)/100),2))</f>
        <v>0</v>
      </c>
      <c r="DC220" t="s">
        <v>3</v>
      </c>
      <c r="DD220" t="s">
        <v>3</v>
      </c>
      <c r="DE220" t="s">
        <v>3</v>
      </c>
      <c r="DF220" t="s">
        <v>3</v>
      </c>
      <c r="DG220" t="s">
        <v>3</v>
      </c>
      <c r="DH220" t="s">
        <v>3</v>
      </c>
      <c r="DI220" t="s">
        <v>3</v>
      </c>
      <c r="DJ220" t="s">
        <v>3</v>
      </c>
      <c r="DK220" t="s">
        <v>3</v>
      </c>
      <c r="DL220" t="s">
        <v>3</v>
      </c>
      <c r="DM220" t="s">
        <v>3</v>
      </c>
      <c r="DN220">
        <v>0</v>
      </c>
      <c r="DO220">
        <v>0</v>
      </c>
      <c r="DP220">
        <v>1</v>
      </c>
      <c r="DQ220">
        <v>1</v>
      </c>
      <c r="DU220">
        <v>1010</v>
      </c>
      <c r="DV220" t="s">
        <v>124</v>
      </c>
      <c r="DW220" t="s">
        <v>124</v>
      </c>
      <c r="DX220">
        <v>1</v>
      </c>
      <c r="DZ220" t="s">
        <v>3</v>
      </c>
      <c r="EA220" t="s">
        <v>3</v>
      </c>
      <c r="EB220" t="s">
        <v>3</v>
      </c>
      <c r="EC220" t="s">
        <v>3</v>
      </c>
      <c r="EE220">
        <v>59298982</v>
      </c>
      <c r="EF220">
        <v>30</v>
      </c>
      <c r="EG220" t="s">
        <v>26</v>
      </c>
      <c r="EH220">
        <v>0</v>
      </c>
      <c r="EI220" t="s">
        <v>3</v>
      </c>
      <c r="EJ220">
        <v>1</v>
      </c>
      <c r="EK220">
        <v>55</v>
      </c>
      <c r="EL220" t="s">
        <v>152</v>
      </c>
      <c r="EM220" t="s">
        <v>153</v>
      </c>
      <c r="EO220" t="s">
        <v>3</v>
      </c>
      <c r="EQ220">
        <v>0</v>
      </c>
      <c r="ER220">
        <v>225.79000000000002</v>
      </c>
      <c r="ES220">
        <v>225.79000000000002</v>
      </c>
      <c r="ET220">
        <v>0</v>
      </c>
      <c r="EU220">
        <v>0</v>
      </c>
      <c r="EV220">
        <v>0</v>
      </c>
      <c r="EW220">
        <v>0</v>
      </c>
      <c r="EX220">
        <v>0</v>
      </c>
      <c r="EZ220">
        <v>5</v>
      </c>
      <c r="FC220">
        <v>1</v>
      </c>
      <c r="FD220">
        <v>18</v>
      </c>
      <c r="FF220">
        <v>2624.4</v>
      </c>
      <c r="FQ220">
        <v>0</v>
      </c>
      <c r="FR220">
        <v>0</v>
      </c>
      <c r="FS220">
        <v>0</v>
      </c>
      <c r="FX220">
        <v>84</v>
      </c>
      <c r="FY220">
        <v>53</v>
      </c>
      <c r="GA220" t="s">
        <v>211</v>
      </c>
      <c r="GD220">
        <v>1</v>
      </c>
      <c r="GF220">
        <v>1057203401</v>
      </c>
      <c r="GG220">
        <v>2</v>
      </c>
      <c r="GH220">
        <v>3</v>
      </c>
      <c r="GI220">
        <v>3</v>
      </c>
      <c r="GJ220">
        <v>0</v>
      </c>
      <c r="GK220">
        <v>0</v>
      </c>
      <c r="GL220">
        <f t="shared" si="203"/>
        <v>0</v>
      </c>
      <c r="GM220">
        <f t="shared" si="204"/>
        <v>26769.66</v>
      </c>
      <c r="GN220">
        <f t="shared" si="205"/>
        <v>26769.66</v>
      </c>
      <c r="GO220">
        <f t="shared" si="206"/>
        <v>0</v>
      </c>
      <c r="GP220">
        <f t="shared" si="207"/>
        <v>0</v>
      </c>
      <c r="GR220">
        <v>1</v>
      </c>
      <c r="GS220">
        <v>1</v>
      </c>
      <c r="GT220">
        <v>0</v>
      </c>
      <c r="GU220" t="s">
        <v>3</v>
      </c>
      <c r="GV220">
        <f t="shared" si="208"/>
        <v>0</v>
      </c>
      <c r="GW220">
        <v>1</v>
      </c>
      <c r="GX220">
        <f t="shared" si="209"/>
        <v>0</v>
      </c>
      <c r="HA220">
        <v>0</v>
      </c>
      <c r="HB220">
        <v>0</v>
      </c>
      <c r="HC220">
        <f t="shared" si="210"/>
        <v>0</v>
      </c>
      <c r="HE220" t="s">
        <v>173</v>
      </c>
      <c r="HF220" t="s">
        <v>30</v>
      </c>
      <c r="HM220" t="s">
        <v>3</v>
      </c>
      <c r="HN220" t="s">
        <v>3</v>
      </c>
      <c r="HO220" t="s">
        <v>3</v>
      </c>
      <c r="HP220" t="s">
        <v>3</v>
      </c>
      <c r="HQ220" t="s">
        <v>3</v>
      </c>
      <c r="HS220">
        <v>0</v>
      </c>
      <c r="IK220">
        <v>0</v>
      </c>
    </row>
    <row r="221" spans="1:255" x14ac:dyDescent="0.2">
      <c r="A221" s="2">
        <v>17</v>
      </c>
      <c r="B221" s="2">
        <v>1</v>
      </c>
      <c r="C221" s="2">
        <f>ROW(SmtRes!A87)</f>
        <v>87</v>
      </c>
      <c r="D221" s="2">
        <f>ROW(EtalonRes!A95)</f>
        <v>95</v>
      </c>
      <c r="E221" s="2" t="s">
        <v>212</v>
      </c>
      <c r="F221" s="2" t="s">
        <v>149</v>
      </c>
      <c r="G221" s="2" t="s">
        <v>168</v>
      </c>
      <c r="H221" s="2" t="s">
        <v>37</v>
      </c>
      <c r="I221" s="2">
        <v>1</v>
      </c>
      <c r="J221" s="2">
        <v>0</v>
      </c>
      <c r="K221" s="2">
        <v>1</v>
      </c>
      <c r="L221" s="2"/>
      <c r="M221" s="2"/>
      <c r="N221" s="2"/>
      <c r="O221" s="2">
        <f t="shared" si="185"/>
        <v>11.21</v>
      </c>
      <c r="P221" s="2">
        <f t="shared" si="186"/>
        <v>0.5</v>
      </c>
      <c r="Q221" s="2">
        <f>(ROUND((ROUND(((((ET221*1.25)*1.1))*AV221*I221),2)*BB221),2)+ROUND((ROUND(((AE221-(((EU221*1.25)*1.1)))*AV221*I221),2)*BS221),2))</f>
        <v>0</v>
      </c>
      <c r="R221" s="2">
        <f>(ROUND((ROUND(((((EU221*1.25)*1.1))*AV221*I221),2)*BS221),2)+ROUND((ROUND(((AE221-(((EU221*1.25)*1.1)))*AV221*I221),2)*BS221),2))</f>
        <v>0</v>
      </c>
      <c r="S221" s="2">
        <f t="shared" si="187"/>
        <v>10.71</v>
      </c>
      <c r="T221" s="2">
        <f t="shared" si="188"/>
        <v>0</v>
      </c>
      <c r="U221" s="2">
        <f t="shared" si="189"/>
        <v>0.71502860000000001</v>
      </c>
      <c r="V221" s="2">
        <f t="shared" si="190"/>
        <v>0</v>
      </c>
      <c r="W221" s="2">
        <f t="shared" si="191"/>
        <v>0</v>
      </c>
      <c r="X221" s="2">
        <f>(ROUND((((S221+ROUND((ROUND(((((EU221*1.25)*1.1))*AV221*I221),2)*BS221),2))*AT221)/100),2)+ROUND(((ROUND((ROUND(((AE221-(((EU221*1.25)*1.1)))*AV221*I221),2)*BS221),2)*AT221)/100),2))</f>
        <v>9</v>
      </c>
      <c r="Y221" s="2">
        <f>(ROUND((((S221+ROUND((ROUND(((((EU221*1.25)*1.1))*AV221*I221),2)*BS221),2))*AU221)/100),2)+ROUND(((ROUND((ROUND(((AE221-(((EU221*1.25)*1.1)))*AV221*I221),2)*BS221),2)*AU221)/100),2))</f>
        <v>5.68</v>
      </c>
      <c r="Z221" s="2"/>
      <c r="AA221" s="2">
        <v>59499218</v>
      </c>
      <c r="AB221" s="2">
        <f t="shared" si="192"/>
        <v>10.35435</v>
      </c>
      <c r="AC221" s="2">
        <f t="shared" si="193"/>
        <v>0.5</v>
      </c>
      <c r="AD221" s="2">
        <f>ROUND((((((ET221*1.25)*1.1))-(((EU221*1.25)*1.1)))+AE221),6)</f>
        <v>0</v>
      </c>
      <c r="AE221" s="2">
        <f>ROUND((((EU221*1.25)*1.1)),6)</f>
        <v>0</v>
      </c>
      <c r="AF221" s="2">
        <f>ROUND((((EV221*1.15)*1.1)),6)</f>
        <v>9.8543500000000002</v>
      </c>
      <c r="AG221" s="2">
        <f t="shared" si="194"/>
        <v>0</v>
      </c>
      <c r="AH221" s="2">
        <f>(((EW221*1.15)*1.1))</f>
        <v>0.65780000000000005</v>
      </c>
      <c r="AI221" s="2">
        <f>(((EX221*1.25)*1.1))</f>
        <v>0</v>
      </c>
      <c r="AJ221" s="2">
        <f t="shared" si="195"/>
        <v>0</v>
      </c>
      <c r="AK221" s="2">
        <v>8.2899999999999991</v>
      </c>
      <c r="AL221" s="2">
        <v>0.5</v>
      </c>
      <c r="AM221" s="2">
        <v>0</v>
      </c>
      <c r="AN221" s="2">
        <v>0</v>
      </c>
      <c r="AO221" s="2">
        <v>7.79</v>
      </c>
      <c r="AP221" s="2">
        <v>0</v>
      </c>
      <c r="AQ221" s="2">
        <v>0.52</v>
      </c>
      <c r="AR221" s="2">
        <v>0</v>
      </c>
      <c r="AS221" s="2">
        <v>0</v>
      </c>
      <c r="AT221" s="2">
        <v>84</v>
      </c>
      <c r="AU221" s="2">
        <v>53</v>
      </c>
      <c r="AV221" s="2">
        <v>1.087</v>
      </c>
      <c r="AW221" s="2">
        <v>1</v>
      </c>
      <c r="AX221" s="2"/>
      <c r="AY221" s="2"/>
      <c r="AZ221" s="2">
        <v>1</v>
      </c>
      <c r="BA221" s="2">
        <v>1</v>
      </c>
      <c r="BB221" s="2">
        <v>1</v>
      </c>
      <c r="BC221" s="2">
        <v>1</v>
      </c>
      <c r="BD221" s="2" t="s">
        <v>3</v>
      </c>
      <c r="BE221" s="2" t="s">
        <v>3</v>
      </c>
      <c r="BF221" s="2" t="s">
        <v>3</v>
      </c>
      <c r="BG221" s="2" t="s">
        <v>3</v>
      </c>
      <c r="BH221" s="2">
        <v>0</v>
      </c>
      <c r="BI221" s="2">
        <v>1</v>
      </c>
      <c r="BJ221" s="2" t="s">
        <v>151</v>
      </c>
      <c r="BK221" s="2"/>
      <c r="BL221" s="2"/>
      <c r="BM221" s="2">
        <v>55</v>
      </c>
      <c r="BN221" s="2">
        <v>59298886</v>
      </c>
      <c r="BO221" s="2" t="s">
        <v>149</v>
      </c>
      <c r="BP221" s="2">
        <v>1</v>
      </c>
      <c r="BQ221" s="2">
        <v>30</v>
      </c>
      <c r="BR221" s="2">
        <v>0</v>
      </c>
      <c r="BS221" s="2">
        <v>1</v>
      </c>
      <c r="BT221" s="2">
        <v>1</v>
      </c>
      <c r="BU221" s="2">
        <v>1</v>
      </c>
      <c r="BV221" s="2">
        <v>1</v>
      </c>
      <c r="BW221" s="2">
        <v>1</v>
      </c>
      <c r="BX221" s="2">
        <v>1</v>
      </c>
      <c r="BY221" s="2" t="s">
        <v>3</v>
      </c>
      <c r="BZ221" s="2">
        <v>84</v>
      </c>
      <c r="CA221" s="2">
        <v>53</v>
      </c>
      <c r="CB221" s="2" t="s">
        <v>3</v>
      </c>
      <c r="CC221" s="2"/>
      <c r="CD221" s="2"/>
      <c r="CE221" s="2">
        <v>1566</v>
      </c>
      <c r="CF221" s="2">
        <v>0</v>
      </c>
      <c r="CG221" s="2">
        <v>0</v>
      </c>
      <c r="CH221" s="2"/>
      <c r="CI221" s="2"/>
      <c r="CJ221" s="2"/>
      <c r="CK221" s="2"/>
      <c r="CL221" s="2"/>
      <c r="CM221" s="2">
        <v>0</v>
      </c>
      <c r="CN221" s="2" t="s">
        <v>375</v>
      </c>
      <c r="CO221" s="2">
        <v>0</v>
      </c>
      <c r="CP221" s="2">
        <f t="shared" si="196"/>
        <v>11.21</v>
      </c>
      <c r="CQ221" s="2">
        <f t="shared" si="197"/>
        <v>0.5</v>
      </c>
      <c r="CR221" s="2">
        <f>(ROUND((ROUND(((((ET221*1.25)*1.1))*AV221*1),2)*BB221),2)+ROUND((ROUND(((AE221-(((EU221*1.25)*1.1)))*AV221*1),2)*BS221),2))</f>
        <v>0</v>
      </c>
      <c r="CS221" s="2">
        <f>(ROUND((ROUND(((((EU221*1.25)*1.1))*AV221*1),2)*BS221),2)+ROUND((ROUND(((AE221-(((EU221*1.25)*1.1)))*AV221*1),2)*BS221),2))</f>
        <v>0</v>
      </c>
      <c r="CT221" s="2">
        <f t="shared" si="198"/>
        <v>10.71</v>
      </c>
      <c r="CU221" s="2">
        <f t="shared" si="199"/>
        <v>0</v>
      </c>
      <c r="CV221" s="2">
        <f t="shared" si="200"/>
        <v>0.71502860000000001</v>
      </c>
      <c r="CW221" s="2">
        <f t="shared" si="201"/>
        <v>0</v>
      </c>
      <c r="CX221" s="2">
        <f t="shared" si="202"/>
        <v>0</v>
      </c>
      <c r="CY221" s="2">
        <f>(ROUND((((S221+ROUND((ROUND(((((EU221*1.25)*1.1))*AV221*1),2)*BS221),2))*AT221)/100),2)+ROUND(((ROUND((ROUND(((AE221-(((EU221*1.25)*1.1)))*AV221*1),2)*BS221),2)*AT221)/100),2))</f>
        <v>9</v>
      </c>
      <c r="CZ221" s="2">
        <f>(ROUND((((S221+ROUND((ROUND(((((EU221*1.25)*1.1))*AV221*1),2)*BS221),2))*AU221)/100),2)+ROUND(((ROUND((ROUND(((AE221-(((EU221*1.25)*1.1)))*AV221*1),2)*BS221),2)*AU221)/100),2))</f>
        <v>5.68</v>
      </c>
      <c r="DA221" s="2"/>
      <c r="DB221" s="2">
        <v>77</v>
      </c>
      <c r="DC221" s="2" t="s">
        <v>3</v>
      </c>
      <c r="DD221" s="2" t="s">
        <v>3</v>
      </c>
      <c r="DE221" s="2" t="s">
        <v>39</v>
      </c>
      <c r="DF221" s="2" t="s">
        <v>39</v>
      </c>
      <c r="DG221" s="2" t="s">
        <v>40</v>
      </c>
      <c r="DH221" s="2" t="s">
        <v>3</v>
      </c>
      <c r="DI221" s="2" t="s">
        <v>40</v>
      </c>
      <c r="DJ221" s="2" t="s">
        <v>39</v>
      </c>
      <c r="DK221" s="2" t="s">
        <v>3</v>
      </c>
      <c r="DL221" s="2" t="s">
        <v>3</v>
      </c>
      <c r="DM221" s="2" t="s">
        <v>3</v>
      </c>
      <c r="DN221" s="2">
        <v>0</v>
      </c>
      <c r="DO221" s="2">
        <v>0</v>
      </c>
      <c r="DP221" s="2">
        <v>1</v>
      </c>
      <c r="DQ221" s="2">
        <v>1</v>
      </c>
      <c r="DR221" s="2"/>
      <c r="DS221" s="2"/>
      <c r="DT221" s="2"/>
      <c r="DU221" s="2">
        <v>1013</v>
      </c>
      <c r="DV221" s="2" t="s">
        <v>37</v>
      </c>
      <c r="DW221" s="2" t="s">
        <v>37</v>
      </c>
      <c r="DX221" s="2">
        <v>1</v>
      </c>
      <c r="DY221" s="2"/>
      <c r="DZ221" s="2" t="s">
        <v>3</v>
      </c>
      <c r="EA221" s="2" t="s">
        <v>3</v>
      </c>
      <c r="EB221" s="2" t="s">
        <v>3</v>
      </c>
      <c r="EC221" s="2" t="s">
        <v>3</v>
      </c>
      <c r="ED221" s="2"/>
      <c r="EE221" s="2">
        <v>59298982</v>
      </c>
      <c r="EF221" s="2">
        <v>30</v>
      </c>
      <c r="EG221" s="2" t="s">
        <v>26</v>
      </c>
      <c r="EH221" s="2">
        <v>0</v>
      </c>
      <c r="EI221" s="2" t="s">
        <v>3</v>
      </c>
      <c r="EJ221" s="2">
        <v>1</v>
      </c>
      <c r="EK221" s="2">
        <v>55</v>
      </c>
      <c r="EL221" s="2" t="s">
        <v>152</v>
      </c>
      <c r="EM221" s="2" t="s">
        <v>153</v>
      </c>
      <c r="EN221" s="2"/>
      <c r="EO221" s="2" t="s">
        <v>41</v>
      </c>
      <c r="EP221" s="2"/>
      <c r="EQ221" s="2">
        <v>0</v>
      </c>
      <c r="ER221" s="2">
        <v>8.2899999999999991</v>
      </c>
      <c r="ES221" s="2">
        <v>0.5</v>
      </c>
      <c r="ET221" s="2">
        <v>0</v>
      </c>
      <c r="EU221" s="2">
        <v>0</v>
      </c>
      <c r="EV221" s="2">
        <v>7.79</v>
      </c>
      <c r="EW221" s="2">
        <v>0.52</v>
      </c>
      <c r="EX221" s="2">
        <v>0</v>
      </c>
      <c r="EY221" s="2">
        <v>0</v>
      </c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>
        <v>0</v>
      </c>
      <c r="FR221" s="2">
        <v>0</v>
      </c>
      <c r="FS221" s="2">
        <v>0</v>
      </c>
      <c r="FT221" s="2"/>
      <c r="FU221" s="2"/>
      <c r="FV221" s="2"/>
      <c r="FW221" s="2"/>
      <c r="FX221" s="2">
        <v>84</v>
      </c>
      <c r="FY221" s="2">
        <v>53</v>
      </c>
      <c r="FZ221" s="2"/>
      <c r="GA221" s="2" t="s">
        <v>3</v>
      </c>
      <c r="GB221" s="2"/>
      <c r="GC221" s="2"/>
      <c r="GD221" s="2">
        <v>1</v>
      </c>
      <c r="GE221" s="2"/>
      <c r="GF221" s="2">
        <v>1745385659</v>
      </c>
      <c r="GG221" s="2">
        <v>2</v>
      </c>
      <c r="GH221" s="2">
        <v>1</v>
      </c>
      <c r="GI221" s="2">
        <v>2</v>
      </c>
      <c r="GJ221" s="2">
        <v>0</v>
      </c>
      <c r="GK221" s="2">
        <v>0</v>
      </c>
      <c r="GL221" s="2">
        <f t="shared" si="203"/>
        <v>0</v>
      </c>
      <c r="GM221" s="2">
        <f t="shared" si="204"/>
        <v>25.89</v>
      </c>
      <c r="GN221" s="2">
        <f t="shared" si="205"/>
        <v>25.89</v>
      </c>
      <c r="GO221" s="2">
        <f t="shared" si="206"/>
        <v>0</v>
      </c>
      <c r="GP221" s="2">
        <f t="shared" si="207"/>
        <v>0</v>
      </c>
      <c r="GQ221" s="2"/>
      <c r="GR221" s="2">
        <v>0</v>
      </c>
      <c r="GS221" s="2">
        <v>3</v>
      </c>
      <c r="GT221" s="2">
        <v>0</v>
      </c>
      <c r="GU221" s="2" t="s">
        <v>3</v>
      </c>
      <c r="GV221" s="2">
        <f t="shared" si="208"/>
        <v>0</v>
      </c>
      <c r="GW221" s="2">
        <v>1</v>
      </c>
      <c r="GX221" s="2">
        <f t="shared" si="209"/>
        <v>0</v>
      </c>
      <c r="GY221" s="2"/>
      <c r="GZ221" s="2"/>
      <c r="HA221" s="2">
        <v>0</v>
      </c>
      <c r="HB221" s="2">
        <v>0</v>
      </c>
      <c r="HC221" s="2">
        <f t="shared" si="210"/>
        <v>0</v>
      </c>
      <c r="HD221" s="2"/>
      <c r="HE221" s="2" t="s">
        <v>3</v>
      </c>
      <c r="HF221" s="2" t="s">
        <v>3</v>
      </c>
      <c r="HG221" s="2"/>
      <c r="HH221" s="2"/>
      <c r="HI221" s="2"/>
      <c r="HJ221" s="2"/>
      <c r="HK221" s="2"/>
      <c r="HL221" s="2"/>
      <c r="HM221" s="2" t="s">
        <v>3</v>
      </c>
      <c r="HN221" s="2" t="s">
        <v>3</v>
      </c>
      <c r="HO221" s="2" t="s">
        <v>3</v>
      </c>
      <c r="HP221" s="2" t="s">
        <v>3</v>
      </c>
      <c r="HQ221" s="2" t="s">
        <v>3</v>
      </c>
      <c r="HR221" s="2"/>
      <c r="HS221" s="2">
        <v>0</v>
      </c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>
        <v>0</v>
      </c>
      <c r="IL221" s="2"/>
      <c r="IM221" s="2"/>
      <c r="IN221" s="2"/>
      <c r="IO221" s="2"/>
      <c r="IP221" s="2"/>
      <c r="IQ221" s="2"/>
      <c r="IR221" s="2"/>
      <c r="IS221" s="2"/>
      <c r="IT221" s="2"/>
      <c r="IU221" s="2"/>
    </row>
    <row r="222" spans="1:255" x14ac:dyDescent="0.2">
      <c r="A222">
        <v>17</v>
      </c>
      <c r="B222">
        <v>1</v>
      </c>
      <c r="C222">
        <f>ROW(SmtRes!A90)</f>
        <v>90</v>
      </c>
      <c r="D222">
        <f>ROW(EtalonRes!A98)</f>
        <v>98</v>
      </c>
      <c r="E222" t="s">
        <v>212</v>
      </c>
      <c r="F222" t="s">
        <v>149</v>
      </c>
      <c r="G222" t="s">
        <v>168</v>
      </c>
      <c r="H222" t="s">
        <v>37</v>
      </c>
      <c r="I222">
        <v>1</v>
      </c>
      <c r="J222">
        <v>0</v>
      </c>
      <c r="K222">
        <v>1</v>
      </c>
      <c r="O222">
        <f t="shared" si="185"/>
        <v>596.89</v>
      </c>
      <c r="P222">
        <f t="shared" si="186"/>
        <v>7.95</v>
      </c>
      <c r="Q222">
        <f>(ROUND((ROUND(((((ET222*1.25)*1.1))*AV222*I222),2)*BB222),2)+ROUND((ROUND(((AE222-(((EU222*1.25)*1.1)))*AV222*I222),2)*BS222),2))</f>
        <v>0</v>
      </c>
      <c r="R222">
        <f>(ROUND((ROUND(((((EU222*1.25)*1.1))*AV222*I222),2)*BS222),2)+ROUND((ROUND(((AE222-(((EU222*1.25)*1.1)))*AV222*I222),2)*BS222),2))</f>
        <v>0</v>
      </c>
      <c r="S222">
        <f t="shared" si="187"/>
        <v>588.94000000000005</v>
      </c>
      <c r="T222">
        <f t="shared" si="188"/>
        <v>0</v>
      </c>
      <c r="U222">
        <f t="shared" si="189"/>
        <v>0.71502860000000001</v>
      </c>
      <c r="V222">
        <f t="shared" si="190"/>
        <v>0</v>
      </c>
      <c r="W222">
        <f t="shared" si="191"/>
        <v>0</v>
      </c>
      <c r="X222">
        <f>(ROUND((((S222+ROUND((ROUND(((((EU222*1.25)*1.1))*AV222*I222),2)*BS222),2))*AT222)/100),2)+ROUND(((ROUND((ROUND(((AE222-(((EU222*1.25)*1.1)))*AV222*I222),2)*BS222),2)*AT222)/100),2))</f>
        <v>494.71</v>
      </c>
      <c r="Y222">
        <f>(ROUND((((S222+ROUND((ROUND(((((EU222*1.25)*1.1))*AV222*I222),2)*BS222),2))*AU222)/100),2)+ROUND(((ROUND((ROUND(((AE222-(((EU222*1.25)*1.1)))*AV222*I222),2)*BS222),2)*AU222)/100),2))</f>
        <v>312.14</v>
      </c>
      <c r="AA222">
        <v>59499215</v>
      </c>
      <c r="AB222">
        <f t="shared" si="192"/>
        <v>10.35435</v>
      </c>
      <c r="AC222">
        <f t="shared" si="193"/>
        <v>0.5</v>
      </c>
      <c r="AD222">
        <f>ROUND((((((ET222*1.25)*1.1))-(((EU222*1.25)*1.1)))+AE222),6)</f>
        <v>0</v>
      </c>
      <c r="AE222">
        <f>ROUND((((EU222*1.25)*1.1)),6)</f>
        <v>0</v>
      </c>
      <c r="AF222">
        <f>ROUND((((EV222*1.15)*1.1)),6)</f>
        <v>9.8543500000000002</v>
      </c>
      <c r="AG222">
        <f t="shared" si="194"/>
        <v>0</v>
      </c>
      <c r="AH222">
        <f>(((EW222*1.15)*1.1))</f>
        <v>0.65780000000000005</v>
      </c>
      <c r="AI222">
        <f>(((EX222*1.25)*1.1))</f>
        <v>0</v>
      </c>
      <c r="AJ222">
        <f t="shared" si="195"/>
        <v>0</v>
      </c>
      <c r="AK222">
        <v>8.2899999999999991</v>
      </c>
      <c r="AL222">
        <v>0.5</v>
      </c>
      <c r="AM222">
        <v>0</v>
      </c>
      <c r="AN222">
        <v>0</v>
      </c>
      <c r="AO222">
        <v>7.79</v>
      </c>
      <c r="AP222">
        <v>0</v>
      </c>
      <c r="AQ222">
        <v>0.52</v>
      </c>
      <c r="AR222">
        <v>0</v>
      </c>
      <c r="AS222">
        <v>0</v>
      </c>
      <c r="AT222">
        <v>84</v>
      </c>
      <c r="AU222">
        <v>53</v>
      </c>
      <c r="AV222">
        <v>1.087</v>
      </c>
      <c r="AW222">
        <v>1</v>
      </c>
      <c r="AZ222">
        <v>1</v>
      </c>
      <c r="BA222">
        <v>54.99</v>
      </c>
      <c r="BB222">
        <v>1</v>
      </c>
      <c r="BC222">
        <v>15.9</v>
      </c>
      <c r="BD222" t="s">
        <v>3</v>
      </c>
      <c r="BE222" t="s">
        <v>3</v>
      </c>
      <c r="BF222" t="s">
        <v>3</v>
      </c>
      <c r="BG222" t="s">
        <v>3</v>
      </c>
      <c r="BH222">
        <v>0</v>
      </c>
      <c r="BI222">
        <v>1</v>
      </c>
      <c r="BJ222" t="s">
        <v>151</v>
      </c>
      <c r="BM222">
        <v>55</v>
      </c>
      <c r="BN222">
        <v>59298886</v>
      </c>
      <c r="BO222" t="s">
        <v>149</v>
      </c>
      <c r="BP222">
        <v>1</v>
      </c>
      <c r="BQ222">
        <v>30</v>
      </c>
      <c r="BR222">
        <v>0</v>
      </c>
      <c r="BS222">
        <v>54.99</v>
      </c>
      <c r="BT222">
        <v>1</v>
      </c>
      <c r="BU222">
        <v>1</v>
      </c>
      <c r="BV222">
        <v>1</v>
      </c>
      <c r="BW222">
        <v>1</v>
      </c>
      <c r="BX222">
        <v>1</v>
      </c>
      <c r="BY222" t="s">
        <v>3</v>
      </c>
      <c r="BZ222">
        <v>84</v>
      </c>
      <c r="CA222">
        <v>53</v>
      </c>
      <c r="CB222" t="s">
        <v>3</v>
      </c>
      <c r="CE222">
        <v>1566</v>
      </c>
      <c r="CF222">
        <v>0</v>
      </c>
      <c r="CG222">
        <v>0</v>
      </c>
      <c r="CM222">
        <v>0</v>
      </c>
      <c r="CN222" t="s">
        <v>375</v>
      </c>
      <c r="CO222">
        <v>0</v>
      </c>
      <c r="CP222">
        <f t="shared" si="196"/>
        <v>596.8900000000001</v>
      </c>
      <c r="CQ222">
        <f t="shared" si="197"/>
        <v>7.95</v>
      </c>
      <c r="CR222">
        <f>(ROUND((ROUND(((((ET222*1.25)*1.1))*AV222*1),2)*BB222),2)+ROUND((ROUND(((AE222-(((EU222*1.25)*1.1)))*AV222*1),2)*BS222),2))</f>
        <v>0</v>
      </c>
      <c r="CS222">
        <f>(ROUND((ROUND(((((EU222*1.25)*1.1))*AV222*1),2)*BS222),2)+ROUND((ROUND(((AE222-(((EU222*1.25)*1.1)))*AV222*1),2)*BS222),2))</f>
        <v>0</v>
      </c>
      <c r="CT222">
        <f t="shared" si="198"/>
        <v>588.94000000000005</v>
      </c>
      <c r="CU222">
        <f t="shared" si="199"/>
        <v>0</v>
      </c>
      <c r="CV222">
        <f t="shared" si="200"/>
        <v>0.71502860000000001</v>
      </c>
      <c r="CW222">
        <f t="shared" si="201"/>
        <v>0</v>
      </c>
      <c r="CX222">
        <f t="shared" si="202"/>
        <v>0</v>
      </c>
      <c r="CY222">
        <f>(ROUND((((S222+ROUND((ROUND(((((EU222*1.25)*1.1))*AV222*1),2)*BS222),2))*AT222)/100),2)+ROUND(((ROUND((ROUND(((AE222-(((EU222*1.25)*1.1)))*AV222*1),2)*BS222),2)*AT222)/100),2))</f>
        <v>494.71</v>
      </c>
      <c r="CZ222">
        <f>(ROUND((((S222+ROUND((ROUND(((((EU222*1.25)*1.1))*AV222*1),2)*BS222),2))*AU222)/100),2)+ROUND(((ROUND((ROUND(((AE222-(((EU222*1.25)*1.1)))*AV222*1),2)*BS222),2)*AU222)/100),2))</f>
        <v>312.14</v>
      </c>
      <c r="DB222">
        <v>79</v>
      </c>
      <c r="DC222" t="s">
        <v>3</v>
      </c>
      <c r="DD222" t="s">
        <v>3</v>
      </c>
      <c r="DE222" t="s">
        <v>39</v>
      </c>
      <c r="DF222" t="s">
        <v>39</v>
      </c>
      <c r="DG222" t="s">
        <v>40</v>
      </c>
      <c r="DH222" t="s">
        <v>3</v>
      </c>
      <c r="DI222" t="s">
        <v>40</v>
      </c>
      <c r="DJ222" t="s">
        <v>39</v>
      </c>
      <c r="DK222" t="s">
        <v>3</v>
      </c>
      <c r="DL222" t="s">
        <v>3</v>
      </c>
      <c r="DM222" t="s">
        <v>3</v>
      </c>
      <c r="DN222">
        <v>0</v>
      </c>
      <c r="DO222">
        <v>0</v>
      </c>
      <c r="DP222">
        <v>1</v>
      </c>
      <c r="DQ222">
        <v>1</v>
      </c>
      <c r="DU222">
        <v>1013</v>
      </c>
      <c r="DV222" t="s">
        <v>37</v>
      </c>
      <c r="DW222" t="s">
        <v>37</v>
      </c>
      <c r="DX222">
        <v>1</v>
      </c>
      <c r="DZ222" t="s">
        <v>3</v>
      </c>
      <c r="EA222" t="s">
        <v>3</v>
      </c>
      <c r="EB222" t="s">
        <v>3</v>
      </c>
      <c r="EC222" t="s">
        <v>3</v>
      </c>
      <c r="EE222">
        <v>59298982</v>
      </c>
      <c r="EF222">
        <v>30</v>
      </c>
      <c r="EG222" t="s">
        <v>26</v>
      </c>
      <c r="EH222">
        <v>0</v>
      </c>
      <c r="EI222" t="s">
        <v>3</v>
      </c>
      <c r="EJ222">
        <v>1</v>
      </c>
      <c r="EK222">
        <v>55</v>
      </c>
      <c r="EL222" t="s">
        <v>152</v>
      </c>
      <c r="EM222" t="s">
        <v>153</v>
      </c>
      <c r="EO222" t="s">
        <v>41</v>
      </c>
      <c r="EQ222">
        <v>0</v>
      </c>
      <c r="ER222">
        <v>8.2899999999999991</v>
      </c>
      <c r="ES222">
        <v>0.5</v>
      </c>
      <c r="ET222">
        <v>0</v>
      </c>
      <c r="EU222">
        <v>0</v>
      </c>
      <c r="EV222">
        <v>7.79</v>
      </c>
      <c r="EW222">
        <v>0.52</v>
      </c>
      <c r="EX222">
        <v>0</v>
      </c>
      <c r="EY222">
        <v>0</v>
      </c>
      <c r="FQ222">
        <v>0</v>
      </c>
      <c r="FR222">
        <v>0</v>
      </c>
      <c r="FS222">
        <v>0</v>
      </c>
      <c r="FX222">
        <v>84</v>
      </c>
      <c r="FY222">
        <v>53</v>
      </c>
      <c r="GA222" t="s">
        <v>3</v>
      </c>
      <c r="GD222">
        <v>1</v>
      </c>
      <c r="GF222">
        <v>1745385659</v>
      </c>
      <c r="GG222">
        <v>2</v>
      </c>
      <c r="GH222">
        <v>1</v>
      </c>
      <c r="GI222">
        <v>2</v>
      </c>
      <c r="GJ222">
        <v>0</v>
      </c>
      <c r="GK222">
        <v>0</v>
      </c>
      <c r="GL222">
        <f t="shared" si="203"/>
        <v>0</v>
      </c>
      <c r="GM222">
        <f t="shared" si="204"/>
        <v>1403.74</v>
      </c>
      <c r="GN222">
        <f t="shared" si="205"/>
        <v>1403.74</v>
      </c>
      <c r="GO222">
        <f t="shared" si="206"/>
        <v>0</v>
      </c>
      <c r="GP222">
        <f t="shared" si="207"/>
        <v>0</v>
      </c>
      <c r="GR222">
        <v>0</v>
      </c>
      <c r="GS222">
        <v>3</v>
      </c>
      <c r="GT222">
        <v>0</v>
      </c>
      <c r="GU222" t="s">
        <v>3</v>
      </c>
      <c r="GV222">
        <f t="shared" si="208"/>
        <v>0</v>
      </c>
      <c r="GW222">
        <v>1</v>
      </c>
      <c r="GX222">
        <f t="shared" si="209"/>
        <v>0</v>
      </c>
      <c r="HA222">
        <v>0</v>
      </c>
      <c r="HB222">
        <v>0</v>
      </c>
      <c r="HC222">
        <f t="shared" si="210"/>
        <v>0</v>
      </c>
      <c r="HE222" t="s">
        <v>3</v>
      </c>
      <c r="HF222" t="s">
        <v>3</v>
      </c>
      <c r="HM222" t="s">
        <v>3</v>
      </c>
      <c r="HN222" t="s">
        <v>3</v>
      </c>
      <c r="HO222" t="s">
        <v>3</v>
      </c>
      <c r="HP222" t="s">
        <v>3</v>
      </c>
      <c r="HQ222" t="s">
        <v>3</v>
      </c>
      <c r="HS222">
        <v>0</v>
      </c>
      <c r="IK222">
        <v>0</v>
      </c>
    </row>
    <row r="223" spans="1:255" x14ac:dyDescent="0.2">
      <c r="A223" s="2">
        <v>18</v>
      </c>
      <c r="B223" s="2">
        <v>1</v>
      </c>
      <c r="C223" s="2">
        <v>87</v>
      </c>
      <c r="D223" s="2"/>
      <c r="E223" s="2" t="s">
        <v>213</v>
      </c>
      <c r="F223" s="2" t="s">
        <v>214</v>
      </c>
      <c r="G223" s="2" t="s">
        <v>215</v>
      </c>
      <c r="H223" s="2" t="s">
        <v>124</v>
      </c>
      <c r="I223" s="2">
        <f>I221*J223</f>
        <v>1</v>
      </c>
      <c r="J223" s="2">
        <v>1</v>
      </c>
      <c r="K223" s="2">
        <v>1</v>
      </c>
      <c r="L223" s="2"/>
      <c r="M223" s="2"/>
      <c r="N223" s="2"/>
      <c r="O223" s="2">
        <f t="shared" si="185"/>
        <v>30.87</v>
      </c>
      <c r="P223" s="2">
        <f t="shared" si="186"/>
        <v>30.87</v>
      </c>
      <c r="Q223" s="2">
        <f>(ROUND((ROUND(((ET223)*AV223*I223),2)*BB223),2)+ROUND((ROUND(((AE223-(EU223))*AV223*I223),2)*BS223),2))</f>
        <v>0</v>
      </c>
      <c r="R223" s="2">
        <f>(ROUND((ROUND(((EU223)*AV223*I223),2)*BS223),2)+ROUND((ROUND(((AE223-(EU223))*AV223*I223),2)*BS223),2))</f>
        <v>0</v>
      </c>
      <c r="S223" s="2">
        <f t="shared" si="187"/>
        <v>0</v>
      </c>
      <c r="T223" s="2">
        <f t="shared" si="188"/>
        <v>0</v>
      </c>
      <c r="U223" s="2">
        <f t="shared" si="189"/>
        <v>0</v>
      </c>
      <c r="V223" s="2">
        <f t="shared" si="190"/>
        <v>0</v>
      </c>
      <c r="W223" s="2">
        <f t="shared" si="191"/>
        <v>0</v>
      </c>
      <c r="X223" s="2">
        <f>(ROUND((((S223+ROUND((ROUND(((EU223)*AV223*I223),2)*BS223),2))*AT223)/100),2)+ROUND(((ROUND((ROUND(((AE223-(EU223))*AV223*I223),2)*BS223),2)*AT223)/100),2))</f>
        <v>0</v>
      </c>
      <c r="Y223" s="2">
        <f>(ROUND((((S223+ROUND((ROUND(((EU223)*AV223*I223),2)*BS223),2))*AU223)/100),2)+ROUND(((ROUND((ROUND(((AE223-(EU223))*AV223*I223),2)*BS223),2)*AU223)/100),2))</f>
        <v>0</v>
      </c>
      <c r="Z223" s="2"/>
      <c r="AA223" s="2">
        <v>59499218</v>
      </c>
      <c r="AB223" s="2">
        <f t="shared" si="192"/>
        <v>30.87</v>
      </c>
      <c r="AC223" s="2">
        <f t="shared" si="193"/>
        <v>30.87</v>
      </c>
      <c r="AD223" s="2">
        <f>ROUND((((ET223)-(EU223))+AE223),6)</f>
        <v>0</v>
      </c>
      <c r="AE223" s="2">
        <f>ROUND((EU223),6)</f>
        <v>0</v>
      </c>
      <c r="AF223" s="2">
        <f>ROUND((EV223),6)</f>
        <v>0</v>
      </c>
      <c r="AG223" s="2">
        <f t="shared" si="194"/>
        <v>0</v>
      </c>
      <c r="AH223" s="2">
        <f>(EW223)</f>
        <v>0</v>
      </c>
      <c r="AI223" s="2">
        <f>(EX223)</f>
        <v>0</v>
      </c>
      <c r="AJ223" s="2">
        <f t="shared" si="195"/>
        <v>0</v>
      </c>
      <c r="AK223" s="2">
        <v>30.87</v>
      </c>
      <c r="AL223" s="2">
        <v>30.87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84</v>
      </c>
      <c r="AU223" s="2">
        <v>53</v>
      </c>
      <c r="AV223" s="2">
        <v>1</v>
      </c>
      <c r="AW223" s="2">
        <v>1</v>
      </c>
      <c r="AX223" s="2"/>
      <c r="AY223" s="2"/>
      <c r="AZ223" s="2">
        <v>1</v>
      </c>
      <c r="BA223" s="2">
        <v>1</v>
      </c>
      <c r="BB223" s="2">
        <v>1</v>
      </c>
      <c r="BC223" s="2">
        <v>1</v>
      </c>
      <c r="BD223" s="2" t="s">
        <v>3</v>
      </c>
      <c r="BE223" s="2" t="s">
        <v>3</v>
      </c>
      <c r="BF223" s="2" t="s">
        <v>3</v>
      </c>
      <c r="BG223" s="2" t="s">
        <v>3</v>
      </c>
      <c r="BH223" s="2">
        <v>3</v>
      </c>
      <c r="BI223" s="2">
        <v>1</v>
      </c>
      <c r="BJ223" s="2" t="s">
        <v>3</v>
      </c>
      <c r="BK223" s="2"/>
      <c r="BL223" s="2"/>
      <c r="BM223" s="2">
        <v>55</v>
      </c>
      <c r="BN223" s="2">
        <v>0</v>
      </c>
      <c r="BO223" s="2" t="s">
        <v>3</v>
      </c>
      <c r="BP223" s="2">
        <v>0</v>
      </c>
      <c r="BQ223" s="2">
        <v>30</v>
      </c>
      <c r="BR223" s="2">
        <v>0</v>
      </c>
      <c r="BS223" s="2">
        <v>1</v>
      </c>
      <c r="BT223" s="2">
        <v>1</v>
      </c>
      <c r="BU223" s="2">
        <v>1</v>
      </c>
      <c r="BV223" s="2">
        <v>1</v>
      </c>
      <c r="BW223" s="2">
        <v>1</v>
      </c>
      <c r="BX223" s="2">
        <v>1</v>
      </c>
      <c r="BY223" s="2" t="s">
        <v>3</v>
      </c>
      <c r="BZ223" s="2">
        <v>84</v>
      </c>
      <c r="CA223" s="2">
        <v>53</v>
      </c>
      <c r="CB223" s="2" t="s">
        <v>3</v>
      </c>
      <c r="CC223" s="2"/>
      <c r="CD223" s="2"/>
      <c r="CE223" s="2">
        <v>1566</v>
      </c>
      <c r="CF223" s="2">
        <v>0</v>
      </c>
      <c r="CG223" s="2">
        <v>0</v>
      </c>
      <c r="CH223" s="2"/>
      <c r="CI223" s="2"/>
      <c r="CJ223" s="2"/>
      <c r="CK223" s="2"/>
      <c r="CL223" s="2"/>
      <c r="CM223" s="2">
        <v>0</v>
      </c>
      <c r="CN223" s="2" t="s">
        <v>3</v>
      </c>
      <c r="CO223" s="2">
        <v>0</v>
      </c>
      <c r="CP223" s="2">
        <f t="shared" si="196"/>
        <v>30.87</v>
      </c>
      <c r="CQ223" s="2">
        <f t="shared" si="197"/>
        <v>30.87</v>
      </c>
      <c r="CR223" s="2">
        <f>(ROUND((ROUND(((ET223)*AV223*1),2)*BB223),2)+ROUND((ROUND(((AE223-(EU223))*AV223*1),2)*BS223),2))</f>
        <v>0</v>
      </c>
      <c r="CS223" s="2">
        <f>(ROUND((ROUND(((EU223)*AV223*1),2)*BS223),2)+ROUND((ROUND(((AE223-(EU223))*AV223*1),2)*BS223),2))</f>
        <v>0</v>
      </c>
      <c r="CT223" s="2">
        <f t="shared" si="198"/>
        <v>0</v>
      </c>
      <c r="CU223" s="2">
        <f t="shared" si="199"/>
        <v>0</v>
      </c>
      <c r="CV223" s="2">
        <f t="shared" si="200"/>
        <v>0</v>
      </c>
      <c r="CW223" s="2">
        <f t="shared" si="201"/>
        <v>0</v>
      </c>
      <c r="CX223" s="2">
        <f t="shared" si="202"/>
        <v>0</v>
      </c>
      <c r="CY223" s="2">
        <f>(ROUND((((S223+ROUND((ROUND(((EU223)*AV223*1),2)*BS223),2))*AT223)/100),2)+ROUND(((ROUND((ROUND(((AE223-(EU223))*AV223*1),2)*BS223),2)*AT223)/100),2))</f>
        <v>0</v>
      </c>
      <c r="CZ223" s="2">
        <f>(ROUND((((S223+ROUND((ROUND(((EU223)*AV223*1),2)*BS223),2))*AU223)/100),2)+ROUND(((ROUND((ROUND(((AE223-(EU223))*AV223*1),2)*BS223),2)*AU223)/100),2))</f>
        <v>0</v>
      </c>
      <c r="DA223" s="2"/>
      <c r="DB223" s="2"/>
      <c r="DC223" s="2" t="s">
        <v>3</v>
      </c>
      <c r="DD223" s="2" t="s">
        <v>3</v>
      </c>
      <c r="DE223" s="2" t="s">
        <v>3</v>
      </c>
      <c r="DF223" s="2" t="s">
        <v>3</v>
      </c>
      <c r="DG223" s="2" t="s">
        <v>3</v>
      </c>
      <c r="DH223" s="2" t="s">
        <v>3</v>
      </c>
      <c r="DI223" s="2" t="s">
        <v>3</v>
      </c>
      <c r="DJ223" s="2" t="s">
        <v>3</v>
      </c>
      <c r="DK223" s="2" t="s">
        <v>3</v>
      </c>
      <c r="DL223" s="2" t="s">
        <v>3</v>
      </c>
      <c r="DM223" s="2" t="s">
        <v>3</v>
      </c>
      <c r="DN223" s="2">
        <v>0</v>
      </c>
      <c r="DO223" s="2">
        <v>0</v>
      </c>
      <c r="DP223" s="2">
        <v>1</v>
      </c>
      <c r="DQ223" s="2">
        <v>1</v>
      </c>
      <c r="DR223" s="2"/>
      <c r="DS223" s="2"/>
      <c r="DT223" s="2"/>
      <c r="DU223" s="2">
        <v>1010</v>
      </c>
      <c r="DV223" s="2" t="s">
        <v>124</v>
      </c>
      <c r="DW223" s="2" t="s">
        <v>124</v>
      </c>
      <c r="DX223" s="2">
        <v>1</v>
      </c>
      <c r="DY223" s="2"/>
      <c r="DZ223" s="2" t="s">
        <v>3</v>
      </c>
      <c r="EA223" s="2" t="s">
        <v>3</v>
      </c>
      <c r="EB223" s="2" t="s">
        <v>3</v>
      </c>
      <c r="EC223" s="2" t="s">
        <v>3</v>
      </c>
      <c r="ED223" s="2"/>
      <c r="EE223" s="2">
        <v>59298982</v>
      </c>
      <c r="EF223" s="2">
        <v>30</v>
      </c>
      <c r="EG223" s="2" t="s">
        <v>26</v>
      </c>
      <c r="EH223" s="2">
        <v>0</v>
      </c>
      <c r="EI223" s="2" t="s">
        <v>3</v>
      </c>
      <c r="EJ223" s="2">
        <v>1</v>
      </c>
      <c r="EK223" s="2">
        <v>55</v>
      </c>
      <c r="EL223" s="2" t="s">
        <v>152</v>
      </c>
      <c r="EM223" s="2" t="s">
        <v>153</v>
      </c>
      <c r="EN223" s="2"/>
      <c r="EO223" s="2" t="s">
        <v>3</v>
      </c>
      <c r="EP223" s="2"/>
      <c r="EQ223" s="2">
        <v>0</v>
      </c>
      <c r="ER223" s="2">
        <v>0</v>
      </c>
      <c r="ES223" s="2">
        <v>30.87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>
        <v>0</v>
      </c>
      <c r="FR223" s="2">
        <v>0</v>
      </c>
      <c r="FS223" s="2">
        <v>0</v>
      </c>
      <c r="FT223" s="2"/>
      <c r="FU223" s="2"/>
      <c r="FV223" s="2"/>
      <c r="FW223" s="2"/>
      <c r="FX223" s="2">
        <v>84</v>
      </c>
      <c r="FY223" s="2">
        <v>53</v>
      </c>
      <c r="FZ223" s="2"/>
      <c r="GA223" s="2" t="s">
        <v>216</v>
      </c>
      <c r="GB223" s="2"/>
      <c r="GC223" s="2"/>
      <c r="GD223" s="2">
        <v>1</v>
      </c>
      <c r="GE223" s="2"/>
      <c r="GF223" s="2">
        <v>-1839897682</v>
      </c>
      <c r="GG223" s="2">
        <v>2</v>
      </c>
      <c r="GH223" s="2">
        <v>4</v>
      </c>
      <c r="GI223" s="2">
        <v>-2</v>
      </c>
      <c r="GJ223" s="2">
        <v>0</v>
      </c>
      <c r="GK223" s="2">
        <v>0</v>
      </c>
      <c r="GL223" s="2">
        <f t="shared" si="203"/>
        <v>0</v>
      </c>
      <c r="GM223" s="2">
        <f t="shared" si="204"/>
        <v>30.87</v>
      </c>
      <c r="GN223" s="2">
        <f t="shared" si="205"/>
        <v>30.87</v>
      </c>
      <c r="GO223" s="2">
        <f t="shared" si="206"/>
        <v>0</v>
      </c>
      <c r="GP223" s="2">
        <f t="shared" si="207"/>
        <v>0</v>
      </c>
      <c r="GQ223" s="2"/>
      <c r="GR223" s="2">
        <v>0</v>
      </c>
      <c r="GS223" s="2">
        <v>2</v>
      </c>
      <c r="GT223" s="2">
        <v>0</v>
      </c>
      <c r="GU223" s="2" t="s">
        <v>3</v>
      </c>
      <c r="GV223" s="2">
        <f t="shared" si="208"/>
        <v>0</v>
      </c>
      <c r="GW223" s="2">
        <v>1</v>
      </c>
      <c r="GX223" s="2">
        <f t="shared" si="209"/>
        <v>0</v>
      </c>
      <c r="GY223" s="2"/>
      <c r="GZ223" s="2"/>
      <c r="HA223" s="2">
        <v>0</v>
      </c>
      <c r="HB223" s="2">
        <v>0</v>
      </c>
      <c r="HC223" s="2">
        <f t="shared" si="210"/>
        <v>0</v>
      </c>
      <c r="HD223" s="2"/>
      <c r="HE223" s="2" t="s">
        <v>173</v>
      </c>
      <c r="HF223" s="2" t="s">
        <v>30</v>
      </c>
      <c r="HG223" s="2"/>
      <c r="HH223" s="2"/>
      <c r="HI223" s="2"/>
      <c r="HJ223" s="2"/>
      <c r="HK223" s="2"/>
      <c r="HL223" s="2"/>
      <c r="HM223" s="2" t="s">
        <v>3</v>
      </c>
      <c r="HN223" s="2" t="s">
        <v>3</v>
      </c>
      <c r="HO223" s="2" t="s">
        <v>3</v>
      </c>
      <c r="HP223" s="2" t="s">
        <v>3</v>
      </c>
      <c r="HQ223" s="2" t="s">
        <v>3</v>
      </c>
      <c r="HR223" s="2"/>
      <c r="HS223" s="2">
        <v>0</v>
      </c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>
        <v>0</v>
      </c>
      <c r="IL223" s="2"/>
      <c r="IM223" s="2"/>
      <c r="IN223" s="2"/>
      <c r="IO223" s="2"/>
      <c r="IP223" s="2"/>
      <c r="IQ223" s="2"/>
      <c r="IR223" s="2"/>
      <c r="IS223" s="2"/>
      <c r="IT223" s="2"/>
      <c r="IU223" s="2"/>
    </row>
    <row r="224" spans="1:255" x14ac:dyDescent="0.2">
      <c r="A224">
        <v>18</v>
      </c>
      <c r="B224">
        <v>1</v>
      </c>
      <c r="C224">
        <v>90</v>
      </c>
      <c r="E224" t="s">
        <v>213</v>
      </c>
      <c r="F224" t="s">
        <v>214</v>
      </c>
      <c r="G224" t="s">
        <v>215</v>
      </c>
      <c r="H224" t="s">
        <v>124</v>
      </c>
      <c r="I224">
        <f>I222*J224</f>
        <v>1</v>
      </c>
      <c r="J224">
        <v>1</v>
      </c>
      <c r="K224">
        <v>1</v>
      </c>
      <c r="O224">
        <f t="shared" si="185"/>
        <v>305</v>
      </c>
      <c r="P224">
        <f t="shared" si="186"/>
        <v>305</v>
      </c>
      <c r="Q224">
        <f>(ROUND((ROUND(((ET224)*AV224*I224),2)*BB224),2)+ROUND((ROUND(((AE224-(EU224))*AV224*I224),2)*BS224),2))</f>
        <v>0</v>
      </c>
      <c r="R224">
        <f>(ROUND((ROUND(((EU224)*AV224*I224),2)*BS224),2)+ROUND((ROUND(((AE224-(EU224))*AV224*I224),2)*BS224),2))</f>
        <v>0</v>
      </c>
      <c r="S224">
        <f t="shared" si="187"/>
        <v>0</v>
      </c>
      <c r="T224">
        <f t="shared" si="188"/>
        <v>0</v>
      </c>
      <c r="U224">
        <f t="shared" si="189"/>
        <v>0</v>
      </c>
      <c r="V224">
        <f t="shared" si="190"/>
        <v>0</v>
      </c>
      <c r="W224">
        <f t="shared" si="191"/>
        <v>0</v>
      </c>
      <c r="X224">
        <f>(ROUND((((S224+ROUND((ROUND(((EU224)*AV224*I224),2)*BS224),2))*AT224)/100),2)+ROUND(((ROUND((ROUND(((AE224-(EU224))*AV224*I224),2)*BS224),2)*AT224)/100),2))</f>
        <v>0</v>
      </c>
      <c r="Y224">
        <f>(ROUND((((S224+ROUND((ROUND(((EU224)*AV224*I224),2)*BS224),2))*AU224)/100),2)+ROUND(((ROUND((ROUND(((AE224-(EU224))*AV224*I224),2)*BS224),2)*AU224)/100),2))</f>
        <v>0</v>
      </c>
      <c r="AA224">
        <v>59499215</v>
      </c>
      <c r="AB224">
        <f t="shared" si="192"/>
        <v>30.87</v>
      </c>
      <c r="AC224">
        <f t="shared" si="193"/>
        <v>30.87</v>
      </c>
      <c r="AD224">
        <f>ROUND((((ET224)-(EU224))+AE224),6)</f>
        <v>0</v>
      </c>
      <c r="AE224">
        <f>ROUND((EU224),6)</f>
        <v>0</v>
      </c>
      <c r="AF224">
        <f>ROUND((EV224),6)</f>
        <v>0</v>
      </c>
      <c r="AG224">
        <f t="shared" si="194"/>
        <v>0</v>
      </c>
      <c r="AH224">
        <f>(EW224)</f>
        <v>0</v>
      </c>
      <c r="AI224">
        <f>(EX224)</f>
        <v>0</v>
      </c>
      <c r="AJ224">
        <f t="shared" si="195"/>
        <v>0</v>
      </c>
      <c r="AK224">
        <v>30.87</v>
      </c>
      <c r="AL224">
        <v>30.87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84</v>
      </c>
      <c r="AU224">
        <v>53</v>
      </c>
      <c r="AV224">
        <v>1</v>
      </c>
      <c r="AW224">
        <v>1</v>
      </c>
      <c r="AZ224">
        <v>1</v>
      </c>
      <c r="BA224">
        <v>1</v>
      </c>
      <c r="BB224">
        <v>1</v>
      </c>
      <c r="BC224">
        <v>9.8800000000000008</v>
      </c>
      <c r="BD224" t="s">
        <v>3</v>
      </c>
      <c r="BE224" t="s">
        <v>3</v>
      </c>
      <c r="BF224" t="s">
        <v>3</v>
      </c>
      <c r="BG224" t="s">
        <v>3</v>
      </c>
      <c r="BH224">
        <v>3</v>
      </c>
      <c r="BI224">
        <v>1</v>
      </c>
      <c r="BJ224" t="s">
        <v>3</v>
      </c>
      <c r="BM224">
        <v>55</v>
      </c>
      <c r="BN224">
        <v>0</v>
      </c>
      <c r="BO224" t="s">
        <v>3</v>
      </c>
      <c r="BP224">
        <v>0</v>
      </c>
      <c r="BQ224">
        <v>30</v>
      </c>
      <c r="BR224">
        <v>0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 t="s">
        <v>3</v>
      </c>
      <c r="BZ224">
        <v>84</v>
      </c>
      <c r="CA224">
        <v>53</v>
      </c>
      <c r="CB224" t="s">
        <v>3</v>
      </c>
      <c r="CE224">
        <v>1566</v>
      </c>
      <c r="CF224">
        <v>0</v>
      </c>
      <c r="CG224">
        <v>0</v>
      </c>
      <c r="CM224">
        <v>0</v>
      </c>
      <c r="CN224" t="s">
        <v>3</v>
      </c>
      <c r="CO224">
        <v>0</v>
      </c>
      <c r="CP224">
        <f t="shared" si="196"/>
        <v>305</v>
      </c>
      <c r="CQ224">
        <f t="shared" si="197"/>
        <v>305</v>
      </c>
      <c r="CR224">
        <f>(ROUND((ROUND(((ET224)*AV224*1),2)*BB224),2)+ROUND((ROUND(((AE224-(EU224))*AV224*1),2)*BS224),2))</f>
        <v>0</v>
      </c>
      <c r="CS224">
        <f>(ROUND((ROUND(((EU224)*AV224*1),2)*BS224),2)+ROUND((ROUND(((AE224-(EU224))*AV224*1),2)*BS224),2))</f>
        <v>0</v>
      </c>
      <c r="CT224">
        <f t="shared" si="198"/>
        <v>0</v>
      </c>
      <c r="CU224">
        <f t="shared" si="199"/>
        <v>0</v>
      </c>
      <c r="CV224">
        <f t="shared" si="200"/>
        <v>0</v>
      </c>
      <c r="CW224">
        <f t="shared" si="201"/>
        <v>0</v>
      </c>
      <c r="CX224">
        <f t="shared" si="202"/>
        <v>0</v>
      </c>
      <c r="CY224">
        <f>(ROUND((((S224+ROUND((ROUND(((EU224)*AV224*1),2)*BS224),2))*AT224)/100),2)+ROUND(((ROUND((ROUND(((AE224-(EU224))*AV224*1),2)*BS224),2)*AT224)/100),2))</f>
        <v>0</v>
      </c>
      <c r="CZ224">
        <f>(ROUND((((S224+ROUND((ROUND(((EU224)*AV224*1),2)*BS224),2))*AU224)/100),2)+ROUND(((ROUND((ROUND(((AE224-(EU224))*AV224*1),2)*BS224),2)*AU224)/100),2))</f>
        <v>0</v>
      </c>
      <c r="DC224" t="s">
        <v>3</v>
      </c>
      <c r="DD224" t="s">
        <v>3</v>
      </c>
      <c r="DE224" t="s">
        <v>3</v>
      </c>
      <c r="DF224" t="s">
        <v>3</v>
      </c>
      <c r="DG224" t="s">
        <v>3</v>
      </c>
      <c r="DH224" t="s">
        <v>3</v>
      </c>
      <c r="DI224" t="s">
        <v>3</v>
      </c>
      <c r="DJ224" t="s">
        <v>3</v>
      </c>
      <c r="DK224" t="s">
        <v>3</v>
      </c>
      <c r="DL224" t="s">
        <v>3</v>
      </c>
      <c r="DM224" t="s">
        <v>3</v>
      </c>
      <c r="DN224">
        <v>0</v>
      </c>
      <c r="DO224">
        <v>0</v>
      </c>
      <c r="DP224">
        <v>1</v>
      </c>
      <c r="DQ224">
        <v>1</v>
      </c>
      <c r="DU224">
        <v>1010</v>
      </c>
      <c r="DV224" t="s">
        <v>124</v>
      </c>
      <c r="DW224" t="s">
        <v>124</v>
      </c>
      <c r="DX224">
        <v>1</v>
      </c>
      <c r="DZ224" t="s">
        <v>3</v>
      </c>
      <c r="EA224" t="s">
        <v>3</v>
      </c>
      <c r="EB224" t="s">
        <v>3</v>
      </c>
      <c r="EC224" t="s">
        <v>3</v>
      </c>
      <c r="EE224">
        <v>59298982</v>
      </c>
      <c r="EF224">
        <v>30</v>
      </c>
      <c r="EG224" t="s">
        <v>26</v>
      </c>
      <c r="EH224">
        <v>0</v>
      </c>
      <c r="EI224" t="s">
        <v>3</v>
      </c>
      <c r="EJ224">
        <v>1</v>
      </c>
      <c r="EK224">
        <v>55</v>
      </c>
      <c r="EL224" t="s">
        <v>152</v>
      </c>
      <c r="EM224" t="s">
        <v>153</v>
      </c>
      <c r="EO224" t="s">
        <v>3</v>
      </c>
      <c r="EQ224">
        <v>0</v>
      </c>
      <c r="ER224">
        <v>30.87</v>
      </c>
      <c r="ES224">
        <v>30.87</v>
      </c>
      <c r="ET224">
        <v>0</v>
      </c>
      <c r="EU224">
        <v>0</v>
      </c>
      <c r="EV224">
        <v>0</v>
      </c>
      <c r="EW224">
        <v>0</v>
      </c>
      <c r="EX224">
        <v>0</v>
      </c>
      <c r="EZ224">
        <v>5</v>
      </c>
      <c r="FC224">
        <v>1</v>
      </c>
      <c r="FD224">
        <v>18</v>
      </c>
      <c r="FF224">
        <v>358.8</v>
      </c>
      <c r="FQ224">
        <v>0</v>
      </c>
      <c r="FR224">
        <v>0</v>
      </c>
      <c r="FS224">
        <v>0</v>
      </c>
      <c r="FX224">
        <v>84</v>
      </c>
      <c r="FY224">
        <v>53</v>
      </c>
      <c r="GA224" t="s">
        <v>216</v>
      </c>
      <c r="GD224">
        <v>1</v>
      </c>
      <c r="GF224">
        <v>-1839897682</v>
      </c>
      <c r="GG224">
        <v>2</v>
      </c>
      <c r="GH224">
        <v>3</v>
      </c>
      <c r="GI224">
        <v>3</v>
      </c>
      <c r="GJ224">
        <v>0</v>
      </c>
      <c r="GK224">
        <v>0</v>
      </c>
      <c r="GL224">
        <f t="shared" si="203"/>
        <v>0</v>
      </c>
      <c r="GM224">
        <f t="shared" si="204"/>
        <v>305</v>
      </c>
      <c r="GN224">
        <f t="shared" si="205"/>
        <v>305</v>
      </c>
      <c r="GO224">
        <f t="shared" si="206"/>
        <v>0</v>
      </c>
      <c r="GP224">
        <f t="shared" si="207"/>
        <v>0</v>
      </c>
      <c r="GR224">
        <v>1</v>
      </c>
      <c r="GS224">
        <v>1</v>
      </c>
      <c r="GT224">
        <v>0</v>
      </c>
      <c r="GU224" t="s">
        <v>3</v>
      </c>
      <c r="GV224">
        <f t="shared" si="208"/>
        <v>0</v>
      </c>
      <c r="GW224">
        <v>1</v>
      </c>
      <c r="GX224">
        <f t="shared" si="209"/>
        <v>0</v>
      </c>
      <c r="HA224">
        <v>0</v>
      </c>
      <c r="HB224">
        <v>0</v>
      </c>
      <c r="HC224">
        <f t="shared" si="210"/>
        <v>0</v>
      </c>
      <c r="HE224" t="s">
        <v>173</v>
      </c>
      <c r="HF224" t="s">
        <v>30</v>
      </c>
      <c r="HM224" t="s">
        <v>3</v>
      </c>
      <c r="HN224" t="s">
        <v>3</v>
      </c>
      <c r="HO224" t="s">
        <v>3</v>
      </c>
      <c r="HP224" t="s">
        <v>3</v>
      </c>
      <c r="HQ224" t="s">
        <v>3</v>
      </c>
      <c r="HS224">
        <v>0</v>
      </c>
      <c r="IK224">
        <v>0</v>
      </c>
    </row>
    <row r="225" spans="1:255" x14ac:dyDescent="0.2">
      <c r="A225" s="2">
        <v>17</v>
      </c>
      <c r="B225" s="2">
        <v>1</v>
      </c>
      <c r="C225" s="2">
        <f>ROW(SmtRes!A93)</f>
        <v>93</v>
      </c>
      <c r="D225" s="2">
        <f>ROW(EtalonRes!A101)</f>
        <v>101</v>
      </c>
      <c r="E225" s="2" t="s">
        <v>217</v>
      </c>
      <c r="F225" s="2" t="s">
        <v>149</v>
      </c>
      <c r="G225" s="2" t="s">
        <v>168</v>
      </c>
      <c r="H225" s="2" t="s">
        <v>37</v>
      </c>
      <c r="I225" s="2">
        <v>1</v>
      </c>
      <c r="J225" s="2">
        <v>0</v>
      </c>
      <c r="K225" s="2">
        <v>1</v>
      </c>
      <c r="L225" s="2"/>
      <c r="M225" s="2"/>
      <c r="N225" s="2"/>
      <c r="O225" s="2">
        <f t="shared" si="185"/>
        <v>11.21</v>
      </c>
      <c r="P225" s="2">
        <f t="shared" si="186"/>
        <v>0.5</v>
      </c>
      <c r="Q225" s="2">
        <f>(ROUND((ROUND(((((ET225*1.25)*1.1))*AV225*I225),2)*BB225),2)+ROUND((ROUND(((AE225-(((EU225*1.25)*1.1)))*AV225*I225),2)*BS225),2))</f>
        <v>0</v>
      </c>
      <c r="R225" s="2">
        <f>(ROUND((ROUND(((((EU225*1.25)*1.1))*AV225*I225),2)*BS225),2)+ROUND((ROUND(((AE225-(((EU225*1.25)*1.1)))*AV225*I225),2)*BS225),2))</f>
        <v>0</v>
      </c>
      <c r="S225" s="2">
        <f t="shared" si="187"/>
        <v>10.71</v>
      </c>
      <c r="T225" s="2">
        <f t="shared" si="188"/>
        <v>0</v>
      </c>
      <c r="U225" s="2">
        <f t="shared" si="189"/>
        <v>0.71502860000000001</v>
      </c>
      <c r="V225" s="2">
        <f t="shared" si="190"/>
        <v>0</v>
      </c>
      <c r="W225" s="2">
        <f t="shared" si="191"/>
        <v>0</v>
      </c>
      <c r="X225" s="2">
        <f>(ROUND((((S225+ROUND((ROUND(((((EU225*1.25)*1.1))*AV225*I225),2)*BS225),2))*AT225)/100),2)+ROUND(((ROUND((ROUND(((AE225-(((EU225*1.25)*1.1)))*AV225*I225),2)*BS225),2)*AT225)/100),2))</f>
        <v>9</v>
      </c>
      <c r="Y225" s="2">
        <f>(ROUND((((S225+ROUND((ROUND(((((EU225*1.25)*1.1))*AV225*I225),2)*BS225),2))*AU225)/100),2)+ROUND(((ROUND((ROUND(((AE225-(((EU225*1.25)*1.1)))*AV225*I225),2)*BS225),2)*AU225)/100),2))</f>
        <v>5.68</v>
      </c>
      <c r="Z225" s="2"/>
      <c r="AA225" s="2">
        <v>59499218</v>
      </c>
      <c r="AB225" s="2">
        <f t="shared" si="192"/>
        <v>10.35435</v>
      </c>
      <c r="AC225" s="2">
        <f t="shared" si="193"/>
        <v>0.5</v>
      </c>
      <c r="AD225" s="2">
        <f>ROUND((((((ET225*1.25)*1.1))-(((EU225*1.25)*1.1)))+AE225),6)</f>
        <v>0</v>
      </c>
      <c r="AE225" s="2">
        <f>ROUND((((EU225*1.25)*1.1)),6)</f>
        <v>0</v>
      </c>
      <c r="AF225" s="2">
        <f>ROUND((((EV225*1.15)*1.1)),6)</f>
        <v>9.8543500000000002</v>
      </c>
      <c r="AG225" s="2">
        <f t="shared" si="194"/>
        <v>0</v>
      </c>
      <c r="AH225" s="2">
        <f>(((EW225*1.15)*1.1))</f>
        <v>0.65780000000000005</v>
      </c>
      <c r="AI225" s="2">
        <f>(((EX225*1.25)*1.1))</f>
        <v>0</v>
      </c>
      <c r="AJ225" s="2">
        <f t="shared" si="195"/>
        <v>0</v>
      </c>
      <c r="AK225" s="2">
        <v>8.2899999999999991</v>
      </c>
      <c r="AL225" s="2">
        <v>0.5</v>
      </c>
      <c r="AM225" s="2">
        <v>0</v>
      </c>
      <c r="AN225" s="2">
        <v>0</v>
      </c>
      <c r="AO225" s="2">
        <v>7.79</v>
      </c>
      <c r="AP225" s="2">
        <v>0</v>
      </c>
      <c r="AQ225" s="2">
        <v>0.52</v>
      </c>
      <c r="AR225" s="2">
        <v>0</v>
      </c>
      <c r="AS225" s="2">
        <v>0</v>
      </c>
      <c r="AT225" s="2">
        <v>84</v>
      </c>
      <c r="AU225" s="2">
        <v>53</v>
      </c>
      <c r="AV225" s="2">
        <v>1.087</v>
      </c>
      <c r="AW225" s="2">
        <v>1</v>
      </c>
      <c r="AX225" s="2"/>
      <c r="AY225" s="2"/>
      <c r="AZ225" s="2">
        <v>1</v>
      </c>
      <c r="BA225" s="2">
        <v>1</v>
      </c>
      <c r="BB225" s="2">
        <v>1</v>
      </c>
      <c r="BC225" s="2">
        <v>1</v>
      </c>
      <c r="BD225" s="2" t="s">
        <v>3</v>
      </c>
      <c r="BE225" s="2" t="s">
        <v>3</v>
      </c>
      <c r="BF225" s="2" t="s">
        <v>3</v>
      </c>
      <c r="BG225" s="2" t="s">
        <v>3</v>
      </c>
      <c r="BH225" s="2">
        <v>0</v>
      </c>
      <c r="BI225" s="2">
        <v>1</v>
      </c>
      <c r="BJ225" s="2" t="s">
        <v>151</v>
      </c>
      <c r="BK225" s="2"/>
      <c r="BL225" s="2"/>
      <c r="BM225" s="2">
        <v>55</v>
      </c>
      <c r="BN225" s="2">
        <v>59298886</v>
      </c>
      <c r="BO225" s="2" t="s">
        <v>149</v>
      </c>
      <c r="BP225" s="2">
        <v>1</v>
      </c>
      <c r="BQ225" s="2">
        <v>30</v>
      </c>
      <c r="BR225" s="2">
        <v>0</v>
      </c>
      <c r="BS225" s="2">
        <v>1</v>
      </c>
      <c r="BT225" s="2">
        <v>1</v>
      </c>
      <c r="BU225" s="2">
        <v>1</v>
      </c>
      <c r="BV225" s="2">
        <v>1</v>
      </c>
      <c r="BW225" s="2">
        <v>1</v>
      </c>
      <c r="BX225" s="2">
        <v>1</v>
      </c>
      <c r="BY225" s="2" t="s">
        <v>3</v>
      </c>
      <c r="BZ225" s="2">
        <v>84</v>
      </c>
      <c r="CA225" s="2">
        <v>53</v>
      </c>
      <c r="CB225" s="2" t="s">
        <v>3</v>
      </c>
      <c r="CC225" s="2"/>
      <c r="CD225" s="2"/>
      <c r="CE225" s="2">
        <v>1566</v>
      </c>
      <c r="CF225" s="2">
        <v>0</v>
      </c>
      <c r="CG225" s="2">
        <v>0</v>
      </c>
      <c r="CH225" s="2"/>
      <c r="CI225" s="2"/>
      <c r="CJ225" s="2"/>
      <c r="CK225" s="2"/>
      <c r="CL225" s="2"/>
      <c r="CM225" s="2">
        <v>0</v>
      </c>
      <c r="CN225" s="2" t="s">
        <v>375</v>
      </c>
      <c r="CO225" s="2">
        <v>0</v>
      </c>
      <c r="CP225" s="2">
        <f t="shared" si="196"/>
        <v>11.21</v>
      </c>
      <c r="CQ225" s="2">
        <f t="shared" si="197"/>
        <v>0.5</v>
      </c>
      <c r="CR225" s="2">
        <f>(ROUND((ROUND(((((ET225*1.25)*1.1))*AV225*1),2)*BB225),2)+ROUND((ROUND(((AE225-(((EU225*1.25)*1.1)))*AV225*1),2)*BS225),2))</f>
        <v>0</v>
      </c>
      <c r="CS225" s="2">
        <f>(ROUND((ROUND(((((EU225*1.25)*1.1))*AV225*1),2)*BS225),2)+ROUND((ROUND(((AE225-(((EU225*1.25)*1.1)))*AV225*1),2)*BS225),2))</f>
        <v>0</v>
      </c>
      <c r="CT225" s="2">
        <f t="shared" si="198"/>
        <v>10.71</v>
      </c>
      <c r="CU225" s="2">
        <f t="shared" si="199"/>
        <v>0</v>
      </c>
      <c r="CV225" s="2">
        <f t="shared" si="200"/>
        <v>0.71502860000000001</v>
      </c>
      <c r="CW225" s="2">
        <f t="shared" si="201"/>
        <v>0</v>
      </c>
      <c r="CX225" s="2">
        <f t="shared" si="202"/>
        <v>0</v>
      </c>
      <c r="CY225" s="2">
        <f>(ROUND((((S225+ROUND((ROUND(((((EU225*1.25)*1.1))*AV225*1),2)*BS225),2))*AT225)/100),2)+ROUND(((ROUND((ROUND(((AE225-(((EU225*1.25)*1.1)))*AV225*1),2)*BS225),2)*AT225)/100),2))</f>
        <v>9</v>
      </c>
      <c r="CZ225" s="2">
        <f>(ROUND((((S225+ROUND((ROUND(((((EU225*1.25)*1.1))*AV225*1),2)*BS225),2))*AU225)/100),2)+ROUND(((ROUND((ROUND(((AE225-(((EU225*1.25)*1.1)))*AV225*1),2)*BS225),2)*AU225)/100),2))</f>
        <v>5.68</v>
      </c>
      <c r="DA225" s="2"/>
      <c r="DB225" s="2">
        <v>81</v>
      </c>
      <c r="DC225" s="2" t="s">
        <v>3</v>
      </c>
      <c r="DD225" s="2" t="s">
        <v>3</v>
      </c>
      <c r="DE225" s="2" t="s">
        <v>39</v>
      </c>
      <c r="DF225" s="2" t="s">
        <v>39</v>
      </c>
      <c r="DG225" s="2" t="s">
        <v>40</v>
      </c>
      <c r="DH225" s="2" t="s">
        <v>3</v>
      </c>
      <c r="DI225" s="2" t="s">
        <v>40</v>
      </c>
      <c r="DJ225" s="2" t="s">
        <v>39</v>
      </c>
      <c r="DK225" s="2" t="s">
        <v>3</v>
      </c>
      <c r="DL225" s="2" t="s">
        <v>3</v>
      </c>
      <c r="DM225" s="2" t="s">
        <v>3</v>
      </c>
      <c r="DN225" s="2">
        <v>0</v>
      </c>
      <c r="DO225" s="2">
        <v>0</v>
      </c>
      <c r="DP225" s="2">
        <v>1</v>
      </c>
      <c r="DQ225" s="2">
        <v>1</v>
      </c>
      <c r="DR225" s="2"/>
      <c r="DS225" s="2"/>
      <c r="DT225" s="2"/>
      <c r="DU225" s="2">
        <v>1013</v>
      </c>
      <c r="DV225" s="2" t="s">
        <v>37</v>
      </c>
      <c r="DW225" s="2" t="s">
        <v>37</v>
      </c>
      <c r="DX225" s="2">
        <v>1</v>
      </c>
      <c r="DY225" s="2"/>
      <c r="DZ225" s="2" t="s">
        <v>3</v>
      </c>
      <c r="EA225" s="2" t="s">
        <v>3</v>
      </c>
      <c r="EB225" s="2" t="s">
        <v>3</v>
      </c>
      <c r="EC225" s="2" t="s">
        <v>3</v>
      </c>
      <c r="ED225" s="2"/>
      <c r="EE225" s="2">
        <v>59298982</v>
      </c>
      <c r="EF225" s="2">
        <v>30</v>
      </c>
      <c r="EG225" s="2" t="s">
        <v>26</v>
      </c>
      <c r="EH225" s="2">
        <v>0</v>
      </c>
      <c r="EI225" s="2" t="s">
        <v>3</v>
      </c>
      <c r="EJ225" s="2">
        <v>1</v>
      </c>
      <c r="EK225" s="2">
        <v>55</v>
      </c>
      <c r="EL225" s="2" t="s">
        <v>152</v>
      </c>
      <c r="EM225" s="2" t="s">
        <v>153</v>
      </c>
      <c r="EN225" s="2"/>
      <c r="EO225" s="2" t="s">
        <v>41</v>
      </c>
      <c r="EP225" s="2"/>
      <c r="EQ225" s="2">
        <v>0</v>
      </c>
      <c r="ER225" s="2">
        <v>8.2899999999999991</v>
      </c>
      <c r="ES225" s="2">
        <v>0.5</v>
      </c>
      <c r="ET225" s="2">
        <v>0</v>
      </c>
      <c r="EU225" s="2">
        <v>0</v>
      </c>
      <c r="EV225" s="2">
        <v>7.79</v>
      </c>
      <c r="EW225" s="2">
        <v>0.52</v>
      </c>
      <c r="EX225" s="2">
        <v>0</v>
      </c>
      <c r="EY225" s="2">
        <v>0</v>
      </c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>
        <v>0</v>
      </c>
      <c r="FR225" s="2">
        <v>0</v>
      </c>
      <c r="FS225" s="2">
        <v>0</v>
      </c>
      <c r="FT225" s="2"/>
      <c r="FU225" s="2"/>
      <c r="FV225" s="2"/>
      <c r="FW225" s="2"/>
      <c r="FX225" s="2">
        <v>84</v>
      </c>
      <c r="FY225" s="2">
        <v>53</v>
      </c>
      <c r="FZ225" s="2"/>
      <c r="GA225" s="2" t="s">
        <v>3</v>
      </c>
      <c r="GB225" s="2"/>
      <c r="GC225" s="2"/>
      <c r="GD225" s="2">
        <v>1</v>
      </c>
      <c r="GE225" s="2"/>
      <c r="GF225" s="2">
        <v>1745385659</v>
      </c>
      <c r="GG225" s="2">
        <v>2</v>
      </c>
      <c r="GH225" s="2">
        <v>1</v>
      </c>
      <c r="GI225" s="2">
        <v>2</v>
      </c>
      <c r="GJ225" s="2">
        <v>0</v>
      </c>
      <c r="GK225" s="2">
        <v>0</v>
      </c>
      <c r="GL225" s="2">
        <f t="shared" si="203"/>
        <v>0</v>
      </c>
      <c r="GM225" s="2">
        <f t="shared" si="204"/>
        <v>25.89</v>
      </c>
      <c r="GN225" s="2">
        <f t="shared" si="205"/>
        <v>25.89</v>
      </c>
      <c r="GO225" s="2">
        <f t="shared" si="206"/>
        <v>0</v>
      </c>
      <c r="GP225" s="2">
        <f t="shared" si="207"/>
        <v>0</v>
      </c>
      <c r="GQ225" s="2"/>
      <c r="GR225" s="2">
        <v>0</v>
      </c>
      <c r="GS225" s="2">
        <v>3</v>
      </c>
      <c r="GT225" s="2">
        <v>0</v>
      </c>
      <c r="GU225" s="2" t="s">
        <v>3</v>
      </c>
      <c r="GV225" s="2">
        <f t="shared" si="208"/>
        <v>0</v>
      </c>
      <c r="GW225" s="2">
        <v>1</v>
      </c>
      <c r="GX225" s="2">
        <f t="shared" si="209"/>
        <v>0</v>
      </c>
      <c r="GY225" s="2"/>
      <c r="GZ225" s="2"/>
      <c r="HA225" s="2">
        <v>0</v>
      </c>
      <c r="HB225" s="2">
        <v>0</v>
      </c>
      <c r="HC225" s="2">
        <f t="shared" si="210"/>
        <v>0</v>
      </c>
      <c r="HD225" s="2"/>
      <c r="HE225" s="2" t="s">
        <v>3</v>
      </c>
      <c r="HF225" s="2" t="s">
        <v>3</v>
      </c>
      <c r="HG225" s="2"/>
      <c r="HH225" s="2"/>
      <c r="HI225" s="2"/>
      <c r="HJ225" s="2"/>
      <c r="HK225" s="2"/>
      <c r="HL225" s="2"/>
      <c r="HM225" s="2" t="s">
        <v>3</v>
      </c>
      <c r="HN225" s="2" t="s">
        <v>3</v>
      </c>
      <c r="HO225" s="2" t="s">
        <v>3</v>
      </c>
      <c r="HP225" s="2" t="s">
        <v>3</v>
      </c>
      <c r="HQ225" s="2" t="s">
        <v>3</v>
      </c>
      <c r="HR225" s="2"/>
      <c r="HS225" s="2">
        <v>0</v>
      </c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>
        <v>0</v>
      </c>
      <c r="IL225" s="2"/>
      <c r="IM225" s="2"/>
      <c r="IN225" s="2"/>
      <c r="IO225" s="2"/>
      <c r="IP225" s="2"/>
      <c r="IQ225" s="2"/>
      <c r="IR225" s="2"/>
      <c r="IS225" s="2"/>
      <c r="IT225" s="2"/>
      <c r="IU225" s="2"/>
    </row>
    <row r="226" spans="1:255" x14ac:dyDescent="0.2">
      <c r="A226">
        <v>17</v>
      </c>
      <c r="B226">
        <v>1</v>
      </c>
      <c r="C226">
        <f>ROW(SmtRes!A96)</f>
        <v>96</v>
      </c>
      <c r="D226">
        <f>ROW(EtalonRes!A104)</f>
        <v>104</v>
      </c>
      <c r="E226" t="s">
        <v>217</v>
      </c>
      <c r="F226" t="s">
        <v>149</v>
      </c>
      <c r="G226" t="s">
        <v>168</v>
      </c>
      <c r="H226" t="s">
        <v>37</v>
      </c>
      <c r="I226">
        <v>1</v>
      </c>
      <c r="J226">
        <v>0</v>
      </c>
      <c r="K226">
        <v>1</v>
      </c>
      <c r="O226">
        <f t="shared" si="185"/>
        <v>596.89</v>
      </c>
      <c r="P226">
        <f t="shared" si="186"/>
        <v>7.95</v>
      </c>
      <c r="Q226">
        <f>(ROUND((ROUND(((((ET226*1.25)*1.1))*AV226*I226),2)*BB226),2)+ROUND((ROUND(((AE226-(((EU226*1.25)*1.1)))*AV226*I226),2)*BS226),2))</f>
        <v>0</v>
      </c>
      <c r="R226">
        <f>(ROUND((ROUND(((((EU226*1.25)*1.1))*AV226*I226),2)*BS226),2)+ROUND((ROUND(((AE226-(((EU226*1.25)*1.1)))*AV226*I226),2)*BS226),2))</f>
        <v>0</v>
      </c>
      <c r="S226">
        <f t="shared" si="187"/>
        <v>588.94000000000005</v>
      </c>
      <c r="T226">
        <f t="shared" si="188"/>
        <v>0</v>
      </c>
      <c r="U226">
        <f t="shared" si="189"/>
        <v>0.71502860000000001</v>
      </c>
      <c r="V226">
        <f t="shared" si="190"/>
        <v>0</v>
      </c>
      <c r="W226">
        <f t="shared" si="191"/>
        <v>0</v>
      </c>
      <c r="X226">
        <f>(ROUND((((S226+ROUND((ROUND(((((EU226*1.25)*1.1))*AV226*I226),2)*BS226),2))*AT226)/100),2)+ROUND(((ROUND((ROUND(((AE226-(((EU226*1.25)*1.1)))*AV226*I226),2)*BS226),2)*AT226)/100),2))</f>
        <v>494.71</v>
      </c>
      <c r="Y226">
        <f>(ROUND((((S226+ROUND((ROUND(((((EU226*1.25)*1.1))*AV226*I226),2)*BS226),2))*AU226)/100),2)+ROUND(((ROUND((ROUND(((AE226-(((EU226*1.25)*1.1)))*AV226*I226),2)*BS226),2)*AU226)/100),2))</f>
        <v>312.14</v>
      </c>
      <c r="AA226">
        <v>59499215</v>
      </c>
      <c r="AB226">
        <f t="shared" si="192"/>
        <v>10.35435</v>
      </c>
      <c r="AC226">
        <f t="shared" si="193"/>
        <v>0.5</v>
      </c>
      <c r="AD226">
        <f>ROUND((((((ET226*1.25)*1.1))-(((EU226*1.25)*1.1)))+AE226),6)</f>
        <v>0</v>
      </c>
      <c r="AE226">
        <f>ROUND((((EU226*1.25)*1.1)),6)</f>
        <v>0</v>
      </c>
      <c r="AF226">
        <f>ROUND((((EV226*1.15)*1.1)),6)</f>
        <v>9.8543500000000002</v>
      </c>
      <c r="AG226">
        <f t="shared" si="194"/>
        <v>0</v>
      </c>
      <c r="AH226">
        <f>(((EW226*1.15)*1.1))</f>
        <v>0.65780000000000005</v>
      </c>
      <c r="AI226">
        <f>(((EX226*1.25)*1.1))</f>
        <v>0</v>
      </c>
      <c r="AJ226">
        <f t="shared" si="195"/>
        <v>0</v>
      </c>
      <c r="AK226">
        <v>8.2899999999999991</v>
      </c>
      <c r="AL226">
        <v>0.5</v>
      </c>
      <c r="AM226">
        <v>0</v>
      </c>
      <c r="AN226">
        <v>0</v>
      </c>
      <c r="AO226">
        <v>7.79</v>
      </c>
      <c r="AP226">
        <v>0</v>
      </c>
      <c r="AQ226">
        <v>0.52</v>
      </c>
      <c r="AR226">
        <v>0</v>
      </c>
      <c r="AS226">
        <v>0</v>
      </c>
      <c r="AT226">
        <v>84</v>
      </c>
      <c r="AU226">
        <v>53</v>
      </c>
      <c r="AV226">
        <v>1.087</v>
      </c>
      <c r="AW226">
        <v>1</v>
      </c>
      <c r="AZ226">
        <v>1</v>
      </c>
      <c r="BA226">
        <v>54.99</v>
      </c>
      <c r="BB226">
        <v>1</v>
      </c>
      <c r="BC226">
        <v>15.9</v>
      </c>
      <c r="BD226" t="s">
        <v>3</v>
      </c>
      <c r="BE226" t="s">
        <v>3</v>
      </c>
      <c r="BF226" t="s">
        <v>3</v>
      </c>
      <c r="BG226" t="s">
        <v>3</v>
      </c>
      <c r="BH226">
        <v>0</v>
      </c>
      <c r="BI226">
        <v>1</v>
      </c>
      <c r="BJ226" t="s">
        <v>151</v>
      </c>
      <c r="BM226">
        <v>55</v>
      </c>
      <c r="BN226">
        <v>59298886</v>
      </c>
      <c r="BO226" t="s">
        <v>149</v>
      </c>
      <c r="BP226">
        <v>1</v>
      </c>
      <c r="BQ226">
        <v>30</v>
      </c>
      <c r="BR226">
        <v>0</v>
      </c>
      <c r="BS226">
        <v>54.99</v>
      </c>
      <c r="BT226">
        <v>1</v>
      </c>
      <c r="BU226">
        <v>1</v>
      </c>
      <c r="BV226">
        <v>1</v>
      </c>
      <c r="BW226">
        <v>1</v>
      </c>
      <c r="BX226">
        <v>1</v>
      </c>
      <c r="BY226" t="s">
        <v>3</v>
      </c>
      <c r="BZ226">
        <v>84</v>
      </c>
      <c r="CA226">
        <v>53</v>
      </c>
      <c r="CB226" t="s">
        <v>3</v>
      </c>
      <c r="CE226">
        <v>1566</v>
      </c>
      <c r="CF226">
        <v>0</v>
      </c>
      <c r="CG226">
        <v>0</v>
      </c>
      <c r="CM226">
        <v>0</v>
      </c>
      <c r="CN226" t="s">
        <v>375</v>
      </c>
      <c r="CO226">
        <v>0</v>
      </c>
      <c r="CP226">
        <f t="shared" si="196"/>
        <v>596.8900000000001</v>
      </c>
      <c r="CQ226">
        <f t="shared" si="197"/>
        <v>7.95</v>
      </c>
      <c r="CR226">
        <f>(ROUND((ROUND(((((ET226*1.25)*1.1))*AV226*1),2)*BB226),2)+ROUND((ROUND(((AE226-(((EU226*1.25)*1.1)))*AV226*1),2)*BS226),2))</f>
        <v>0</v>
      </c>
      <c r="CS226">
        <f>(ROUND((ROUND(((((EU226*1.25)*1.1))*AV226*1),2)*BS226),2)+ROUND((ROUND(((AE226-(((EU226*1.25)*1.1)))*AV226*1),2)*BS226),2))</f>
        <v>0</v>
      </c>
      <c r="CT226">
        <f t="shared" si="198"/>
        <v>588.94000000000005</v>
      </c>
      <c r="CU226">
        <f t="shared" si="199"/>
        <v>0</v>
      </c>
      <c r="CV226">
        <f t="shared" si="200"/>
        <v>0.71502860000000001</v>
      </c>
      <c r="CW226">
        <f t="shared" si="201"/>
        <v>0</v>
      </c>
      <c r="CX226">
        <f t="shared" si="202"/>
        <v>0</v>
      </c>
      <c r="CY226">
        <f>(ROUND((((S226+ROUND((ROUND(((((EU226*1.25)*1.1))*AV226*1),2)*BS226),2))*AT226)/100),2)+ROUND(((ROUND((ROUND(((AE226-(((EU226*1.25)*1.1)))*AV226*1),2)*BS226),2)*AT226)/100),2))</f>
        <v>494.71</v>
      </c>
      <c r="CZ226">
        <f>(ROUND((((S226+ROUND((ROUND(((((EU226*1.25)*1.1))*AV226*1),2)*BS226),2))*AU226)/100),2)+ROUND(((ROUND((ROUND(((AE226-(((EU226*1.25)*1.1)))*AV226*1),2)*BS226),2)*AU226)/100),2))</f>
        <v>312.14</v>
      </c>
      <c r="DB226">
        <v>83</v>
      </c>
      <c r="DC226" t="s">
        <v>3</v>
      </c>
      <c r="DD226" t="s">
        <v>3</v>
      </c>
      <c r="DE226" t="s">
        <v>39</v>
      </c>
      <c r="DF226" t="s">
        <v>39</v>
      </c>
      <c r="DG226" t="s">
        <v>40</v>
      </c>
      <c r="DH226" t="s">
        <v>3</v>
      </c>
      <c r="DI226" t="s">
        <v>40</v>
      </c>
      <c r="DJ226" t="s">
        <v>39</v>
      </c>
      <c r="DK226" t="s">
        <v>3</v>
      </c>
      <c r="DL226" t="s">
        <v>3</v>
      </c>
      <c r="DM226" t="s">
        <v>3</v>
      </c>
      <c r="DN226">
        <v>0</v>
      </c>
      <c r="DO226">
        <v>0</v>
      </c>
      <c r="DP226">
        <v>1</v>
      </c>
      <c r="DQ226">
        <v>1</v>
      </c>
      <c r="DU226">
        <v>1013</v>
      </c>
      <c r="DV226" t="s">
        <v>37</v>
      </c>
      <c r="DW226" t="s">
        <v>37</v>
      </c>
      <c r="DX226">
        <v>1</v>
      </c>
      <c r="DZ226" t="s">
        <v>3</v>
      </c>
      <c r="EA226" t="s">
        <v>3</v>
      </c>
      <c r="EB226" t="s">
        <v>3</v>
      </c>
      <c r="EC226" t="s">
        <v>3</v>
      </c>
      <c r="EE226">
        <v>59298982</v>
      </c>
      <c r="EF226">
        <v>30</v>
      </c>
      <c r="EG226" t="s">
        <v>26</v>
      </c>
      <c r="EH226">
        <v>0</v>
      </c>
      <c r="EI226" t="s">
        <v>3</v>
      </c>
      <c r="EJ226">
        <v>1</v>
      </c>
      <c r="EK226">
        <v>55</v>
      </c>
      <c r="EL226" t="s">
        <v>152</v>
      </c>
      <c r="EM226" t="s">
        <v>153</v>
      </c>
      <c r="EO226" t="s">
        <v>41</v>
      </c>
      <c r="EQ226">
        <v>0</v>
      </c>
      <c r="ER226">
        <v>8.2899999999999991</v>
      </c>
      <c r="ES226">
        <v>0.5</v>
      </c>
      <c r="ET226">
        <v>0</v>
      </c>
      <c r="EU226">
        <v>0</v>
      </c>
      <c r="EV226">
        <v>7.79</v>
      </c>
      <c r="EW226">
        <v>0.52</v>
      </c>
      <c r="EX226">
        <v>0</v>
      </c>
      <c r="EY226">
        <v>0</v>
      </c>
      <c r="FQ226">
        <v>0</v>
      </c>
      <c r="FR226">
        <v>0</v>
      </c>
      <c r="FS226">
        <v>0</v>
      </c>
      <c r="FX226">
        <v>84</v>
      </c>
      <c r="FY226">
        <v>53</v>
      </c>
      <c r="GA226" t="s">
        <v>3</v>
      </c>
      <c r="GD226">
        <v>1</v>
      </c>
      <c r="GF226">
        <v>1745385659</v>
      </c>
      <c r="GG226">
        <v>2</v>
      </c>
      <c r="GH226">
        <v>1</v>
      </c>
      <c r="GI226">
        <v>2</v>
      </c>
      <c r="GJ226">
        <v>0</v>
      </c>
      <c r="GK226">
        <v>0</v>
      </c>
      <c r="GL226">
        <f t="shared" si="203"/>
        <v>0</v>
      </c>
      <c r="GM226">
        <f t="shared" si="204"/>
        <v>1403.74</v>
      </c>
      <c r="GN226">
        <f t="shared" si="205"/>
        <v>1403.74</v>
      </c>
      <c r="GO226">
        <f t="shared" si="206"/>
        <v>0</v>
      </c>
      <c r="GP226">
        <f t="shared" si="207"/>
        <v>0</v>
      </c>
      <c r="GR226">
        <v>0</v>
      </c>
      <c r="GS226">
        <v>3</v>
      </c>
      <c r="GT226">
        <v>0</v>
      </c>
      <c r="GU226" t="s">
        <v>3</v>
      </c>
      <c r="GV226">
        <f t="shared" si="208"/>
        <v>0</v>
      </c>
      <c r="GW226">
        <v>1</v>
      </c>
      <c r="GX226">
        <f t="shared" si="209"/>
        <v>0</v>
      </c>
      <c r="HA226">
        <v>0</v>
      </c>
      <c r="HB226">
        <v>0</v>
      </c>
      <c r="HC226">
        <f t="shared" si="210"/>
        <v>0</v>
      </c>
      <c r="HE226" t="s">
        <v>3</v>
      </c>
      <c r="HF226" t="s">
        <v>3</v>
      </c>
      <c r="HM226" t="s">
        <v>3</v>
      </c>
      <c r="HN226" t="s">
        <v>3</v>
      </c>
      <c r="HO226" t="s">
        <v>3</v>
      </c>
      <c r="HP226" t="s">
        <v>3</v>
      </c>
      <c r="HQ226" t="s">
        <v>3</v>
      </c>
      <c r="HS226">
        <v>0</v>
      </c>
      <c r="IK226">
        <v>0</v>
      </c>
    </row>
    <row r="227" spans="1:255" x14ac:dyDescent="0.2">
      <c r="A227" s="2">
        <v>18</v>
      </c>
      <c r="B227" s="2">
        <v>1</v>
      </c>
      <c r="C227" s="2">
        <v>93</v>
      </c>
      <c r="D227" s="2"/>
      <c r="E227" s="2" t="s">
        <v>218</v>
      </c>
      <c r="F227" s="2" t="s">
        <v>219</v>
      </c>
      <c r="G227" s="2" t="s">
        <v>220</v>
      </c>
      <c r="H227" s="2" t="s">
        <v>124</v>
      </c>
      <c r="I227" s="2">
        <f>I225*J227</f>
        <v>1</v>
      </c>
      <c r="J227" s="2">
        <v>1</v>
      </c>
      <c r="K227" s="2">
        <v>1</v>
      </c>
      <c r="L227" s="2"/>
      <c r="M227" s="2"/>
      <c r="N227" s="2"/>
      <c r="O227" s="2">
        <f t="shared" si="185"/>
        <v>30.87</v>
      </c>
      <c r="P227" s="2">
        <f t="shared" si="186"/>
        <v>30.87</v>
      </c>
      <c r="Q227" s="2">
        <f>(ROUND((ROUND(((ET227)*AV227*I227),2)*BB227),2)+ROUND((ROUND(((AE227-(EU227))*AV227*I227),2)*BS227),2))</f>
        <v>0</v>
      </c>
      <c r="R227" s="2">
        <f>(ROUND((ROUND(((EU227)*AV227*I227),2)*BS227),2)+ROUND((ROUND(((AE227-(EU227))*AV227*I227),2)*BS227),2))</f>
        <v>0</v>
      </c>
      <c r="S227" s="2">
        <f t="shared" si="187"/>
        <v>0</v>
      </c>
      <c r="T227" s="2">
        <f t="shared" si="188"/>
        <v>0</v>
      </c>
      <c r="U227" s="2">
        <f t="shared" si="189"/>
        <v>0</v>
      </c>
      <c r="V227" s="2">
        <f t="shared" si="190"/>
        <v>0</v>
      </c>
      <c r="W227" s="2">
        <f t="shared" si="191"/>
        <v>0</v>
      </c>
      <c r="X227" s="2">
        <f>(ROUND((((S227+ROUND((ROUND(((EU227)*AV227*I227),2)*BS227),2))*AT227)/100),2)+ROUND(((ROUND((ROUND(((AE227-(EU227))*AV227*I227),2)*BS227),2)*AT227)/100),2))</f>
        <v>0</v>
      </c>
      <c r="Y227" s="2">
        <f>(ROUND((((S227+ROUND((ROUND(((EU227)*AV227*I227),2)*BS227),2))*AU227)/100),2)+ROUND(((ROUND((ROUND(((AE227-(EU227))*AV227*I227),2)*BS227),2)*AU227)/100),2))</f>
        <v>0</v>
      </c>
      <c r="Z227" s="2"/>
      <c r="AA227" s="2">
        <v>59499218</v>
      </c>
      <c r="AB227" s="2">
        <f t="shared" si="192"/>
        <v>30.87</v>
      </c>
      <c r="AC227" s="2">
        <f t="shared" si="193"/>
        <v>30.87</v>
      </c>
      <c r="AD227" s="2">
        <f>ROUND((((ET227)-(EU227))+AE227),6)</f>
        <v>0</v>
      </c>
      <c r="AE227" s="2">
        <f>ROUND((EU227),6)</f>
        <v>0</v>
      </c>
      <c r="AF227" s="2">
        <f>ROUND((EV227),6)</f>
        <v>0</v>
      </c>
      <c r="AG227" s="2">
        <f t="shared" si="194"/>
        <v>0</v>
      </c>
      <c r="AH227" s="2">
        <f>(EW227)</f>
        <v>0</v>
      </c>
      <c r="AI227" s="2">
        <f>(EX227)</f>
        <v>0</v>
      </c>
      <c r="AJ227" s="2">
        <f t="shared" si="195"/>
        <v>0</v>
      </c>
      <c r="AK227" s="2">
        <v>30.87</v>
      </c>
      <c r="AL227" s="2">
        <v>30.87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84</v>
      </c>
      <c r="AU227" s="2">
        <v>53</v>
      </c>
      <c r="AV227" s="2">
        <v>1</v>
      </c>
      <c r="AW227" s="2">
        <v>1</v>
      </c>
      <c r="AX227" s="2"/>
      <c r="AY227" s="2"/>
      <c r="AZ227" s="2">
        <v>1</v>
      </c>
      <c r="BA227" s="2">
        <v>1</v>
      </c>
      <c r="BB227" s="2">
        <v>1</v>
      </c>
      <c r="BC227" s="2">
        <v>1</v>
      </c>
      <c r="BD227" s="2" t="s">
        <v>3</v>
      </c>
      <c r="BE227" s="2" t="s">
        <v>3</v>
      </c>
      <c r="BF227" s="2" t="s">
        <v>3</v>
      </c>
      <c r="BG227" s="2" t="s">
        <v>3</v>
      </c>
      <c r="BH227" s="2">
        <v>3</v>
      </c>
      <c r="BI227" s="2">
        <v>1</v>
      </c>
      <c r="BJ227" s="2" t="s">
        <v>3</v>
      </c>
      <c r="BK227" s="2"/>
      <c r="BL227" s="2"/>
      <c r="BM227" s="2">
        <v>55</v>
      </c>
      <c r="BN227" s="2">
        <v>0</v>
      </c>
      <c r="BO227" s="2" t="s">
        <v>3</v>
      </c>
      <c r="BP227" s="2">
        <v>0</v>
      </c>
      <c r="BQ227" s="2">
        <v>30</v>
      </c>
      <c r="BR227" s="2">
        <v>0</v>
      </c>
      <c r="BS227" s="2">
        <v>1</v>
      </c>
      <c r="BT227" s="2">
        <v>1</v>
      </c>
      <c r="BU227" s="2">
        <v>1</v>
      </c>
      <c r="BV227" s="2">
        <v>1</v>
      </c>
      <c r="BW227" s="2">
        <v>1</v>
      </c>
      <c r="BX227" s="2">
        <v>1</v>
      </c>
      <c r="BY227" s="2" t="s">
        <v>3</v>
      </c>
      <c r="BZ227" s="2">
        <v>84</v>
      </c>
      <c r="CA227" s="2">
        <v>53</v>
      </c>
      <c r="CB227" s="2" t="s">
        <v>3</v>
      </c>
      <c r="CC227" s="2"/>
      <c r="CD227" s="2"/>
      <c r="CE227" s="2">
        <v>1566</v>
      </c>
      <c r="CF227" s="2">
        <v>0</v>
      </c>
      <c r="CG227" s="2">
        <v>0</v>
      </c>
      <c r="CH227" s="2"/>
      <c r="CI227" s="2"/>
      <c r="CJ227" s="2"/>
      <c r="CK227" s="2"/>
      <c r="CL227" s="2"/>
      <c r="CM227" s="2">
        <v>0</v>
      </c>
      <c r="CN227" s="2" t="s">
        <v>3</v>
      </c>
      <c r="CO227" s="2">
        <v>0</v>
      </c>
      <c r="CP227" s="2">
        <f t="shared" si="196"/>
        <v>30.87</v>
      </c>
      <c r="CQ227" s="2">
        <f t="shared" si="197"/>
        <v>30.87</v>
      </c>
      <c r="CR227" s="2">
        <f>(ROUND((ROUND(((ET227)*AV227*1),2)*BB227),2)+ROUND((ROUND(((AE227-(EU227))*AV227*1),2)*BS227),2))</f>
        <v>0</v>
      </c>
      <c r="CS227" s="2">
        <f>(ROUND((ROUND(((EU227)*AV227*1),2)*BS227),2)+ROUND((ROUND(((AE227-(EU227))*AV227*1),2)*BS227),2))</f>
        <v>0</v>
      </c>
      <c r="CT227" s="2">
        <f t="shared" si="198"/>
        <v>0</v>
      </c>
      <c r="CU227" s="2">
        <f t="shared" si="199"/>
        <v>0</v>
      </c>
      <c r="CV227" s="2">
        <f t="shared" si="200"/>
        <v>0</v>
      </c>
      <c r="CW227" s="2">
        <f t="shared" si="201"/>
        <v>0</v>
      </c>
      <c r="CX227" s="2">
        <f t="shared" si="202"/>
        <v>0</v>
      </c>
      <c r="CY227" s="2">
        <f>(ROUND((((S227+ROUND((ROUND(((EU227)*AV227*1),2)*BS227),2))*AT227)/100),2)+ROUND(((ROUND((ROUND(((AE227-(EU227))*AV227*1),2)*BS227),2)*AT227)/100),2))</f>
        <v>0</v>
      </c>
      <c r="CZ227" s="2">
        <f>(ROUND((((S227+ROUND((ROUND(((EU227)*AV227*1),2)*BS227),2))*AU227)/100),2)+ROUND(((ROUND((ROUND(((AE227-(EU227))*AV227*1),2)*BS227),2)*AU227)/100),2))</f>
        <v>0</v>
      </c>
      <c r="DA227" s="2"/>
      <c r="DB227" s="2"/>
      <c r="DC227" s="2" t="s">
        <v>3</v>
      </c>
      <c r="DD227" s="2" t="s">
        <v>3</v>
      </c>
      <c r="DE227" s="2" t="s">
        <v>3</v>
      </c>
      <c r="DF227" s="2" t="s">
        <v>3</v>
      </c>
      <c r="DG227" s="2" t="s">
        <v>3</v>
      </c>
      <c r="DH227" s="2" t="s">
        <v>3</v>
      </c>
      <c r="DI227" s="2" t="s">
        <v>3</v>
      </c>
      <c r="DJ227" s="2" t="s">
        <v>3</v>
      </c>
      <c r="DK227" s="2" t="s">
        <v>3</v>
      </c>
      <c r="DL227" s="2" t="s">
        <v>3</v>
      </c>
      <c r="DM227" s="2" t="s">
        <v>3</v>
      </c>
      <c r="DN227" s="2">
        <v>0</v>
      </c>
      <c r="DO227" s="2">
        <v>0</v>
      </c>
      <c r="DP227" s="2">
        <v>1</v>
      </c>
      <c r="DQ227" s="2">
        <v>1</v>
      </c>
      <c r="DR227" s="2"/>
      <c r="DS227" s="2"/>
      <c r="DT227" s="2"/>
      <c r="DU227" s="2">
        <v>1010</v>
      </c>
      <c r="DV227" s="2" t="s">
        <v>124</v>
      </c>
      <c r="DW227" s="2" t="s">
        <v>124</v>
      </c>
      <c r="DX227" s="2">
        <v>1</v>
      </c>
      <c r="DY227" s="2"/>
      <c r="DZ227" s="2" t="s">
        <v>3</v>
      </c>
      <c r="EA227" s="2" t="s">
        <v>3</v>
      </c>
      <c r="EB227" s="2" t="s">
        <v>3</v>
      </c>
      <c r="EC227" s="2" t="s">
        <v>3</v>
      </c>
      <c r="ED227" s="2"/>
      <c r="EE227" s="2">
        <v>59298982</v>
      </c>
      <c r="EF227" s="2">
        <v>30</v>
      </c>
      <c r="EG227" s="2" t="s">
        <v>26</v>
      </c>
      <c r="EH227" s="2">
        <v>0</v>
      </c>
      <c r="EI227" s="2" t="s">
        <v>3</v>
      </c>
      <c r="EJ227" s="2">
        <v>1</v>
      </c>
      <c r="EK227" s="2">
        <v>55</v>
      </c>
      <c r="EL227" s="2" t="s">
        <v>152</v>
      </c>
      <c r="EM227" s="2" t="s">
        <v>153</v>
      </c>
      <c r="EN227" s="2"/>
      <c r="EO227" s="2" t="s">
        <v>3</v>
      </c>
      <c r="EP227" s="2"/>
      <c r="EQ227" s="2">
        <v>0</v>
      </c>
      <c r="ER227" s="2">
        <v>0</v>
      </c>
      <c r="ES227" s="2">
        <v>30.87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>
        <v>0</v>
      </c>
      <c r="FR227" s="2">
        <v>0</v>
      </c>
      <c r="FS227" s="2">
        <v>0</v>
      </c>
      <c r="FT227" s="2"/>
      <c r="FU227" s="2"/>
      <c r="FV227" s="2"/>
      <c r="FW227" s="2"/>
      <c r="FX227" s="2">
        <v>84</v>
      </c>
      <c r="FY227" s="2">
        <v>53</v>
      </c>
      <c r="FZ227" s="2"/>
      <c r="GA227" s="2" t="s">
        <v>216</v>
      </c>
      <c r="GB227" s="2"/>
      <c r="GC227" s="2"/>
      <c r="GD227" s="2">
        <v>1</v>
      </c>
      <c r="GE227" s="2"/>
      <c r="GF227" s="2">
        <v>-268844085</v>
      </c>
      <c r="GG227" s="2">
        <v>2</v>
      </c>
      <c r="GH227" s="2">
        <v>4</v>
      </c>
      <c r="GI227" s="2">
        <v>-2</v>
      </c>
      <c r="GJ227" s="2">
        <v>0</v>
      </c>
      <c r="GK227" s="2">
        <v>0</v>
      </c>
      <c r="GL227" s="2">
        <f t="shared" si="203"/>
        <v>0</v>
      </c>
      <c r="GM227" s="2">
        <f t="shared" si="204"/>
        <v>30.87</v>
      </c>
      <c r="GN227" s="2">
        <f t="shared" si="205"/>
        <v>30.87</v>
      </c>
      <c r="GO227" s="2">
        <f t="shared" si="206"/>
        <v>0</v>
      </c>
      <c r="GP227" s="2">
        <f t="shared" si="207"/>
        <v>0</v>
      </c>
      <c r="GQ227" s="2"/>
      <c r="GR227" s="2">
        <v>0</v>
      </c>
      <c r="GS227" s="2">
        <v>2</v>
      </c>
      <c r="GT227" s="2">
        <v>0</v>
      </c>
      <c r="GU227" s="2" t="s">
        <v>3</v>
      </c>
      <c r="GV227" s="2">
        <f t="shared" si="208"/>
        <v>0</v>
      </c>
      <c r="GW227" s="2">
        <v>1</v>
      </c>
      <c r="GX227" s="2">
        <f t="shared" si="209"/>
        <v>0</v>
      </c>
      <c r="GY227" s="2"/>
      <c r="GZ227" s="2"/>
      <c r="HA227" s="2">
        <v>0</v>
      </c>
      <c r="HB227" s="2">
        <v>0</v>
      </c>
      <c r="HC227" s="2">
        <f t="shared" si="210"/>
        <v>0</v>
      </c>
      <c r="HD227" s="2"/>
      <c r="HE227" s="2" t="s">
        <v>173</v>
      </c>
      <c r="HF227" s="2" t="s">
        <v>30</v>
      </c>
      <c r="HG227" s="2"/>
      <c r="HH227" s="2"/>
      <c r="HI227" s="2"/>
      <c r="HJ227" s="2"/>
      <c r="HK227" s="2"/>
      <c r="HL227" s="2"/>
      <c r="HM227" s="2" t="s">
        <v>3</v>
      </c>
      <c r="HN227" s="2" t="s">
        <v>3</v>
      </c>
      <c r="HO227" s="2" t="s">
        <v>3</v>
      </c>
      <c r="HP227" s="2" t="s">
        <v>3</v>
      </c>
      <c r="HQ227" s="2" t="s">
        <v>3</v>
      </c>
      <c r="HR227" s="2"/>
      <c r="HS227" s="2">
        <v>0</v>
      </c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>
        <v>0</v>
      </c>
      <c r="IL227" s="2"/>
      <c r="IM227" s="2"/>
      <c r="IN227" s="2"/>
      <c r="IO227" s="2"/>
      <c r="IP227" s="2"/>
      <c r="IQ227" s="2"/>
      <c r="IR227" s="2"/>
      <c r="IS227" s="2"/>
      <c r="IT227" s="2"/>
      <c r="IU227" s="2"/>
    </row>
    <row r="228" spans="1:255" x14ac:dyDescent="0.2">
      <c r="A228">
        <v>18</v>
      </c>
      <c r="B228">
        <v>1</v>
      </c>
      <c r="C228">
        <v>96</v>
      </c>
      <c r="E228" t="s">
        <v>218</v>
      </c>
      <c r="F228" t="s">
        <v>219</v>
      </c>
      <c r="G228" t="s">
        <v>220</v>
      </c>
      <c r="H228" t="s">
        <v>124</v>
      </c>
      <c r="I228">
        <f>I226*J228</f>
        <v>1</v>
      </c>
      <c r="J228">
        <v>1</v>
      </c>
      <c r="K228">
        <v>1</v>
      </c>
      <c r="O228">
        <f t="shared" si="185"/>
        <v>305</v>
      </c>
      <c r="P228">
        <f t="shared" si="186"/>
        <v>305</v>
      </c>
      <c r="Q228">
        <f>(ROUND((ROUND(((ET228)*AV228*I228),2)*BB228),2)+ROUND((ROUND(((AE228-(EU228))*AV228*I228),2)*BS228),2))</f>
        <v>0</v>
      </c>
      <c r="R228">
        <f>(ROUND((ROUND(((EU228)*AV228*I228),2)*BS228),2)+ROUND((ROUND(((AE228-(EU228))*AV228*I228),2)*BS228),2))</f>
        <v>0</v>
      </c>
      <c r="S228">
        <f t="shared" si="187"/>
        <v>0</v>
      </c>
      <c r="T228">
        <f t="shared" si="188"/>
        <v>0</v>
      </c>
      <c r="U228">
        <f t="shared" si="189"/>
        <v>0</v>
      </c>
      <c r="V228">
        <f t="shared" si="190"/>
        <v>0</v>
      </c>
      <c r="W228">
        <f t="shared" si="191"/>
        <v>0</v>
      </c>
      <c r="X228">
        <f>(ROUND((((S228+ROUND((ROUND(((EU228)*AV228*I228),2)*BS228),2))*AT228)/100),2)+ROUND(((ROUND((ROUND(((AE228-(EU228))*AV228*I228),2)*BS228),2)*AT228)/100),2))</f>
        <v>0</v>
      </c>
      <c r="Y228">
        <f>(ROUND((((S228+ROUND((ROUND(((EU228)*AV228*I228),2)*BS228),2))*AU228)/100),2)+ROUND(((ROUND((ROUND(((AE228-(EU228))*AV228*I228),2)*BS228),2)*AU228)/100),2))</f>
        <v>0</v>
      </c>
      <c r="AA228">
        <v>59499215</v>
      </c>
      <c r="AB228">
        <f t="shared" si="192"/>
        <v>30.87</v>
      </c>
      <c r="AC228">
        <f t="shared" si="193"/>
        <v>30.87</v>
      </c>
      <c r="AD228">
        <f>ROUND((((ET228)-(EU228))+AE228),6)</f>
        <v>0</v>
      </c>
      <c r="AE228">
        <f>ROUND((EU228),6)</f>
        <v>0</v>
      </c>
      <c r="AF228">
        <f>ROUND((EV228),6)</f>
        <v>0</v>
      </c>
      <c r="AG228">
        <f t="shared" si="194"/>
        <v>0</v>
      </c>
      <c r="AH228">
        <f>(EW228)</f>
        <v>0</v>
      </c>
      <c r="AI228">
        <f>(EX228)</f>
        <v>0</v>
      </c>
      <c r="AJ228">
        <f t="shared" si="195"/>
        <v>0</v>
      </c>
      <c r="AK228">
        <v>30.87</v>
      </c>
      <c r="AL228">
        <v>30.87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84</v>
      </c>
      <c r="AU228">
        <v>53</v>
      </c>
      <c r="AV228">
        <v>1</v>
      </c>
      <c r="AW228">
        <v>1</v>
      </c>
      <c r="AZ228">
        <v>1</v>
      </c>
      <c r="BA228">
        <v>1</v>
      </c>
      <c r="BB228">
        <v>1</v>
      </c>
      <c r="BC228">
        <v>9.8800000000000008</v>
      </c>
      <c r="BD228" t="s">
        <v>3</v>
      </c>
      <c r="BE228" t="s">
        <v>3</v>
      </c>
      <c r="BF228" t="s">
        <v>3</v>
      </c>
      <c r="BG228" t="s">
        <v>3</v>
      </c>
      <c r="BH228">
        <v>3</v>
      </c>
      <c r="BI228">
        <v>1</v>
      </c>
      <c r="BJ228" t="s">
        <v>3</v>
      </c>
      <c r="BM228">
        <v>55</v>
      </c>
      <c r="BN228">
        <v>0</v>
      </c>
      <c r="BO228" t="s">
        <v>3</v>
      </c>
      <c r="BP228">
        <v>0</v>
      </c>
      <c r="BQ228">
        <v>30</v>
      </c>
      <c r="BR228">
        <v>0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 t="s">
        <v>3</v>
      </c>
      <c r="BZ228">
        <v>84</v>
      </c>
      <c r="CA228">
        <v>53</v>
      </c>
      <c r="CB228" t="s">
        <v>3</v>
      </c>
      <c r="CE228">
        <v>1566</v>
      </c>
      <c r="CF228">
        <v>0</v>
      </c>
      <c r="CG228">
        <v>0</v>
      </c>
      <c r="CM228">
        <v>0</v>
      </c>
      <c r="CN228" t="s">
        <v>3</v>
      </c>
      <c r="CO228">
        <v>0</v>
      </c>
      <c r="CP228">
        <f t="shared" si="196"/>
        <v>305</v>
      </c>
      <c r="CQ228">
        <f t="shared" si="197"/>
        <v>305</v>
      </c>
      <c r="CR228">
        <f>(ROUND((ROUND(((ET228)*AV228*1),2)*BB228),2)+ROUND((ROUND(((AE228-(EU228))*AV228*1),2)*BS228),2))</f>
        <v>0</v>
      </c>
      <c r="CS228">
        <f>(ROUND((ROUND(((EU228)*AV228*1),2)*BS228),2)+ROUND((ROUND(((AE228-(EU228))*AV228*1),2)*BS228),2))</f>
        <v>0</v>
      </c>
      <c r="CT228">
        <f t="shared" si="198"/>
        <v>0</v>
      </c>
      <c r="CU228">
        <f t="shared" si="199"/>
        <v>0</v>
      </c>
      <c r="CV228">
        <f t="shared" si="200"/>
        <v>0</v>
      </c>
      <c r="CW228">
        <f t="shared" si="201"/>
        <v>0</v>
      </c>
      <c r="CX228">
        <f t="shared" si="202"/>
        <v>0</v>
      </c>
      <c r="CY228">
        <f>(ROUND((((S228+ROUND((ROUND(((EU228)*AV228*1),2)*BS228),2))*AT228)/100),2)+ROUND(((ROUND((ROUND(((AE228-(EU228))*AV228*1),2)*BS228),2)*AT228)/100),2))</f>
        <v>0</v>
      </c>
      <c r="CZ228">
        <f>(ROUND((((S228+ROUND((ROUND(((EU228)*AV228*1),2)*BS228),2))*AU228)/100),2)+ROUND(((ROUND((ROUND(((AE228-(EU228))*AV228*1),2)*BS228),2)*AU228)/100),2))</f>
        <v>0</v>
      </c>
      <c r="DC228" t="s">
        <v>3</v>
      </c>
      <c r="DD228" t="s">
        <v>3</v>
      </c>
      <c r="DE228" t="s">
        <v>3</v>
      </c>
      <c r="DF228" t="s">
        <v>3</v>
      </c>
      <c r="DG228" t="s">
        <v>3</v>
      </c>
      <c r="DH228" t="s">
        <v>3</v>
      </c>
      <c r="DI228" t="s">
        <v>3</v>
      </c>
      <c r="DJ228" t="s">
        <v>3</v>
      </c>
      <c r="DK228" t="s">
        <v>3</v>
      </c>
      <c r="DL228" t="s">
        <v>3</v>
      </c>
      <c r="DM228" t="s">
        <v>3</v>
      </c>
      <c r="DN228">
        <v>0</v>
      </c>
      <c r="DO228">
        <v>0</v>
      </c>
      <c r="DP228">
        <v>1</v>
      </c>
      <c r="DQ228">
        <v>1</v>
      </c>
      <c r="DU228">
        <v>1010</v>
      </c>
      <c r="DV228" t="s">
        <v>124</v>
      </c>
      <c r="DW228" t="s">
        <v>124</v>
      </c>
      <c r="DX228">
        <v>1</v>
      </c>
      <c r="DZ228" t="s">
        <v>3</v>
      </c>
      <c r="EA228" t="s">
        <v>3</v>
      </c>
      <c r="EB228" t="s">
        <v>3</v>
      </c>
      <c r="EC228" t="s">
        <v>3</v>
      </c>
      <c r="EE228">
        <v>59298982</v>
      </c>
      <c r="EF228">
        <v>30</v>
      </c>
      <c r="EG228" t="s">
        <v>26</v>
      </c>
      <c r="EH228">
        <v>0</v>
      </c>
      <c r="EI228" t="s">
        <v>3</v>
      </c>
      <c r="EJ228">
        <v>1</v>
      </c>
      <c r="EK228">
        <v>55</v>
      </c>
      <c r="EL228" t="s">
        <v>152</v>
      </c>
      <c r="EM228" t="s">
        <v>153</v>
      </c>
      <c r="EO228" t="s">
        <v>3</v>
      </c>
      <c r="EQ228">
        <v>0</v>
      </c>
      <c r="ER228">
        <v>30.87</v>
      </c>
      <c r="ES228">
        <v>30.87</v>
      </c>
      <c r="ET228">
        <v>0</v>
      </c>
      <c r="EU228">
        <v>0</v>
      </c>
      <c r="EV228">
        <v>0</v>
      </c>
      <c r="EW228">
        <v>0</v>
      </c>
      <c r="EX228">
        <v>0</v>
      </c>
      <c r="EZ228">
        <v>5</v>
      </c>
      <c r="FC228">
        <v>1</v>
      </c>
      <c r="FD228">
        <v>18</v>
      </c>
      <c r="FF228">
        <v>358.8</v>
      </c>
      <c r="FQ228">
        <v>0</v>
      </c>
      <c r="FR228">
        <v>0</v>
      </c>
      <c r="FS228">
        <v>0</v>
      </c>
      <c r="FX228">
        <v>84</v>
      </c>
      <c r="FY228">
        <v>53</v>
      </c>
      <c r="GA228" t="s">
        <v>216</v>
      </c>
      <c r="GD228">
        <v>1</v>
      </c>
      <c r="GF228">
        <v>-268844085</v>
      </c>
      <c r="GG228">
        <v>2</v>
      </c>
      <c r="GH228">
        <v>3</v>
      </c>
      <c r="GI228">
        <v>3</v>
      </c>
      <c r="GJ228">
        <v>0</v>
      </c>
      <c r="GK228">
        <v>0</v>
      </c>
      <c r="GL228">
        <f t="shared" si="203"/>
        <v>0</v>
      </c>
      <c r="GM228">
        <f t="shared" si="204"/>
        <v>305</v>
      </c>
      <c r="GN228">
        <f t="shared" si="205"/>
        <v>305</v>
      </c>
      <c r="GO228">
        <f t="shared" si="206"/>
        <v>0</v>
      </c>
      <c r="GP228">
        <f t="shared" si="207"/>
        <v>0</v>
      </c>
      <c r="GR228">
        <v>1</v>
      </c>
      <c r="GS228">
        <v>1</v>
      </c>
      <c r="GT228">
        <v>0</v>
      </c>
      <c r="GU228" t="s">
        <v>3</v>
      </c>
      <c r="GV228">
        <f t="shared" si="208"/>
        <v>0</v>
      </c>
      <c r="GW228">
        <v>1</v>
      </c>
      <c r="GX228">
        <f t="shared" si="209"/>
        <v>0</v>
      </c>
      <c r="HA228">
        <v>0</v>
      </c>
      <c r="HB228">
        <v>0</v>
      </c>
      <c r="HC228">
        <f t="shared" si="210"/>
        <v>0</v>
      </c>
      <c r="HE228" t="s">
        <v>173</v>
      </c>
      <c r="HF228" t="s">
        <v>30</v>
      </c>
      <c r="HM228" t="s">
        <v>3</v>
      </c>
      <c r="HN228" t="s">
        <v>3</v>
      </c>
      <c r="HO228" t="s">
        <v>3</v>
      </c>
      <c r="HP228" t="s">
        <v>3</v>
      </c>
      <c r="HQ228" t="s">
        <v>3</v>
      </c>
      <c r="HS228">
        <v>0</v>
      </c>
      <c r="IK228">
        <v>0</v>
      </c>
    </row>
    <row r="229" spans="1:255" x14ac:dyDescent="0.2">
      <c r="A229" s="2">
        <v>17</v>
      </c>
      <c r="B229" s="2">
        <v>1</v>
      </c>
      <c r="C229" s="2">
        <f>ROW(SmtRes!A99)</f>
        <v>99</v>
      </c>
      <c r="D229" s="2">
        <f>ROW(EtalonRes!A107)</f>
        <v>107</v>
      </c>
      <c r="E229" s="2" t="s">
        <v>221</v>
      </c>
      <c r="F229" s="2" t="s">
        <v>149</v>
      </c>
      <c r="G229" s="2" t="s">
        <v>168</v>
      </c>
      <c r="H229" s="2" t="s">
        <v>37</v>
      </c>
      <c r="I229" s="2">
        <v>3</v>
      </c>
      <c r="J229" s="2">
        <v>0</v>
      </c>
      <c r="K229" s="2">
        <v>3</v>
      </c>
      <c r="L229" s="2"/>
      <c r="M229" s="2"/>
      <c r="N229" s="2"/>
      <c r="O229" s="2">
        <f t="shared" ref="O229:O236" si="211">ROUND(CP229,2)</f>
        <v>33.64</v>
      </c>
      <c r="P229" s="2">
        <f t="shared" ref="P229:P236" si="212">ROUND((ROUND((AC229*AW229*I229),2)*BC229),2)</f>
        <v>1.5</v>
      </c>
      <c r="Q229" s="2">
        <f>(ROUND((ROUND(((((ET229*1.25)*1.1))*AV229*I229),2)*BB229),2)+ROUND((ROUND(((AE229-(((EU229*1.25)*1.1)))*AV229*I229),2)*BS229),2))</f>
        <v>0</v>
      </c>
      <c r="R229" s="2">
        <f>(ROUND((ROUND(((((EU229*1.25)*1.1))*AV229*I229),2)*BS229),2)+ROUND((ROUND(((AE229-(((EU229*1.25)*1.1)))*AV229*I229),2)*BS229),2))</f>
        <v>0</v>
      </c>
      <c r="S229" s="2">
        <f t="shared" ref="S229:S236" si="213">ROUND((ROUND((AF229*AV229*I229),2)*BA229),2)</f>
        <v>32.14</v>
      </c>
      <c r="T229" s="2">
        <f t="shared" ref="T229:T236" si="214">ROUND(CU229*I229,2)</f>
        <v>0</v>
      </c>
      <c r="U229" s="2">
        <f t="shared" ref="U229:U236" si="215">CV229*I229</f>
        <v>2.1450857999999999</v>
      </c>
      <c r="V229" s="2">
        <f t="shared" ref="V229:V236" si="216">CW229*I229</f>
        <v>0</v>
      </c>
      <c r="W229" s="2">
        <f t="shared" ref="W229:W236" si="217">ROUND(CX229*I229,2)</f>
        <v>0</v>
      </c>
      <c r="X229" s="2">
        <f>(ROUND((((S229+ROUND((ROUND(((((EU229*1.25)*1.1))*AV229*I229),2)*BS229),2))*AT229)/100),2)+ROUND(((ROUND((ROUND(((AE229-(((EU229*1.25)*1.1)))*AV229*I229),2)*BS229),2)*AT229)/100),2))</f>
        <v>27</v>
      </c>
      <c r="Y229" s="2">
        <f>(ROUND((((S229+ROUND((ROUND(((((EU229*1.25)*1.1))*AV229*I229),2)*BS229),2))*AU229)/100),2)+ROUND(((ROUND((ROUND(((AE229-(((EU229*1.25)*1.1)))*AV229*I229),2)*BS229),2)*AU229)/100),2))</f>
        <v>17.03</v>
      </c>
      <c r="Z229" s="2"/>
      <c r="AA229" s="2">
        <v>59499218</v>
      </c>
      <c r="AB229" s="2">
        <f t="shared" ref="AB229:AB236" si="218">ROUND((AC229+AD229+AF229),6)</f>
        <v>10.35435</v>
      </c>
      <c r="AC229" s="2">
        <f t="shared" ref="AC229:AC236" si="219">ROUND((ES229),6)</f>
        <v>0.5</v>
      </c>
      <c r="AD229" s="2">
        <f>ROUND((((((ET229*1.25)*1.1))-(((EU229*1.25)*1.1)))+AE229),6)</f>
        <v>0</v>
      </c>
      <c r="AE229" s="2">
        <f>ROUND((((EU229*1.25)*1.1)),6)</f>
        <v>0</v>
      </c>
      <c r="AF229" s="2">
        <f>ROUND((((EV229*1.15)*1.1)),6)</f>
        <v>9.8543500000000002</v>
      </c>
      <c r="AG229" s="2">
        <f t="shared" ref="AG229:AG236" si="220">ROUND((AP229),6)</f>
        <v>0</v>
      </c>
      <c r="AH229" s="2">
        <f>(((EW229*1.15)*1.1))</f>
        <v>0.65780000000000005</v>
      </c>
      <c r="AI229" s="2">
        <f>(((EX229*1.25)*1.1))</f>
        <v>0</v>
      </c>
      <c r="AJ229" s="2">
        <f t="shared" ref="AJ229:AJ236" si="221">(AS229)</f>
        <v>0</v>
      </c>
      <c r="AK229" s="2">
        <v>8.2899999999999991</v>
      </c>
      <c r="AL229" s="2">
        <v>0.5</v>
      </c>
      <c r="AM229" s="2">
        <v>0</v>
      </c>
      <c r="AN229" s="2">
        <v>0</v>
      </c>
      <c r="AO229" s="2">
        <v>7.79</v>
      </c>
      <c r="AP229" s="2">
        <v>0</v>
      </c>
      <c r="AQ229" s="2">
        <v>0.52</v>
      </c>
      <c r="AR229" s="2">
        <v>0</v>
      </c>
      <c r="AS229" s="2">
        <v>0</v>
      </c>
      <c r="AT229" s="2">
        <v>84</v>
      </c>
      <c r="AU229" s="2">
        <v>53</v>
      </c>
      <c r="AV229" s="2">
        <v>1.087</v>
      </c>
      <c r="AW229" s="2">
        <v>1</v>
      </c>
      <c r="AX229" s="2"/>
      <c r="AY229" s="2"/>
      <c r="AZ229" s="2">
        <v>1</v>
      </c>
      <c r="BA229" s="2">
        <v>1</v>
      </c>
      <c r="BB229" s="2">
        <v>1</v>
      </c>
      <c r="BC229" s="2">
        <v>1</v>
      </c>
      <c r="BD229" s="2" t="s">
        <v>3</v>
      </c>
      <c r="BE229" s="2" t="s">
        <v>3</v>
      </c>
      <c r="BF229" s="2" t="s">
        <v>3</v>
      </c>
      <c r="BG229" s="2" t="s">
        <v>3</v>
      </c>
      <c r="BH229" s="2">
        <v>0</v>
      </c>
      <c r="BI229" s="2">
        <v>1</v>
      </c>
      <c r="BJ229" s="2" t="s">
        <v>151</v>
      </c>
      <c r="BK229" s="2"/>
      <c r="BL229" s="2"/>
      <c r="BM229" s="2">
        <v>55</v>
      </c>
      <c r="BN229" s="2">
        <v>59298886</v>
      </c>
      <c r="BO229" s="2" t="s">
        <v>149</v>
      </c>
      <c r="BP229" s="2">
        <v>1</v>
      </c>
      <c r="BQ229" s="2">
        <v>30</v>
      </c>
      <c r="BR229" s="2">
        <v>0</v>
      </c>
      <c r="BS229" s="2">
        <v>1</v>
      </c>
      <c r="BT229" s="2">
        <v>1</v>
      </c>
      <c r="BU229" s="2">
        <v>1</v>
      </c>
      <c r="BV229" s="2">
        <v>1</v>
      </c>
      <c r="BW229" s="2">
        <v>1</v>
      </c>
      <c r="BX229" s="2">
        <v>1</v>
      </c>
      <c r="BY229" s="2" t="s">
        <v>3</v>
      </c>
      <c r="BZ229" s="2">
        <v>84</v>
      </c>
      <c r="CA229" s="2">
        <v>53</v>
      </c>
      <c r="CB229" s="2" t="s">
        <v>3</v>
      </c>
      <c r="CC229" s="2"/>
      <c r="CD229" s="2"/>
      <c r="CE229" s="2">
        <v>1566</v>
      </c>
      <c r="CF229" s="2">
        <v>0</v>
      </c>
      <c r="CG229" s="2">
        <v>0</v>
      </c>
      <c r="CH229" s="2"/>
      <c r="CI229" s="2"/>
      <c r="CJ229" s="2"/>
      <c r="CK229" s="2"/>
      <c r="CL229" s="2"/>
      <c r="CM229" s="2">
        <v>0</v>
      </c>
      <c r="CN229" s="2" t="s">
        <v>375</v>
      </c>
      <c r="CO229" s="2">
        <v>0</v>
      </c>
      <c r="CP229" s="2">
        <f t="shared" ref="CP229:CP236" si="222">(P229+Q229+S229)</f>
        <v>33.64</v>
      </c>
      <c r="CQ229" s="2">
        <f t="shared" ref="CQ229:CQ236" si="223">ROUND((ROUND((AC229*AW229*1),2)*BC229),2)</f>
        <v>0.5</v>
      </c>
      <c r="CR229" s="2">
        <f>(ROUND((ROUND(((((ET229*1.25)*1.1))*AV229*1),2)*BB229),2)+ROUND((ROUND(((AE229-(((EU229*1.25)*1.1)))*AV229*1),2)*BS229),2))</f>
        <v>0</v>
      </c>
      <c r="CS229" s="2">
        <f>(ROUND((ROUND(((((EU229*1.25)*1.1))*AV229*1),2)*BS229),2)+ROUND((ROUND(((AE229-(((EU229*1.25)*1.1)))*AV229*1),2)*BS229),2))</f>
        <v>0</v>
      </c>
      <c r="CT229" s="2">
        <f t="shared" ref="CT229:CT236" si="224">ROUND((ROUND((AF229*AV229*1),2)*BA229),2)</f>
        <v>10.71</v>
      </c>
      <c r="CU229" s="2">
        <f t="shared" ref="CU229:CU236" si="225">AG229</f>
        <v>0</v>
      </c>
      <c r="CV229" s="2">
        <f t="shared" ref="CV229:CV236" si="226">(AH229*AV229)</f>
        <v>0.71502860000000001</v>
      </c>
      <c r="CW229" s="2">
        <f t="shared" ref="CW229:CW236" si="227">AI229</f>
        <v>0</v>
      </c>
      <c r="CX229" s="2">
        <f t="shared" ref="CX229:CX236" si="228">AJ229</f>
        <v>0</v>
      </c>
      <c r="CY229" s="2">
        <f>(ROUND((((S229+ROUND((ROUND(((((EU229*1.25)*1.1))*AV229*1),2)*BS229),2))*AT229)/100),2)+ROUND(((ROUND((ROUND(((AE229-(((EU229*1.25)*1.1)))*AV229*1),2)*BS229),2)*AT229)/100),2))</f>
        <v>27</v>
      </c>
      <c r="CZ229" s="2">
        <f>(ROUND((((S229+ROUND((ROUND(((((EU229*1.25)*1.1))*AV229*1),2)*BS229),2))*AU229)/100),2)+ROUND(((ROUND((ROUND(((AE229-(((EU229*1.25)*1.1)))*AV229*1),2)*BS229),2)*AU229)/100),2))</f>
        <v>17.03</v>
      </c>
      <c r="DA229" s="2"/>
      <c r="DB229" s="2">
        <v>85</v>
      </c>
      <c r="DC229" s="2" t="s">
        <v>3</v>
      </c>
      <c r="DD229" s="2" t="s">
        <v>3</v>
      </c>
      <c r="DE229" s="2" t="s">
        <v>39</v>
      </c>
      <c r="DF229" s="2" t="s">
        <v>39</v>
      </c>
      <c r="DG229" s="2" t="s">
        <v>40</v>
      </c>
      <c r="DH229" s="2" t="s">
        <v>3</v>
      </c>
      <c r="DI229" s="2" t="s">
        <v>40</v>
      </c>
      <c r="DJ229" s="2" t="s">
        <v>39</v>
      </c>
      <c r="DK229" s="2" t="s">
        <v>3</v>
      </c>
      <c r="DL229" s="2" t="s">
        <v>3</v>
      </c>
      <c r="DM229" s="2" t="s">
        <v>3</v>
      </c>
      <c r="DN229" s="2">
        <v>0</v>
      </c>
      <c r="DO229" s="2">
        <v>0</v>
      </c>
      <c r="DP229" s="2">
        <v>1</v>
      </c>
      <c r="DQ229" s="2">
        <v>1</v>
      </c>
      <c r="DR229" s="2"/>
      <c r="DS229" s="2"/>
      <c r="DT229" s="2"/>
      <c r="DU229" s="2">
        <v>1013</v>
      </c>
      <c r="DV229" s="2" t="s">
        <v>37</v>
      </c>
      <c r="DW229" s="2" t="s">
        <v>37</v>
      </c>
      <c r="DX229" s="2">
        <v>1</v>
      </c>
      <c r="DY229" s="2"/>
      <c r="DZ229" s="2" t="s">
        <v>3</v>
      </c>
      <c r="EA229" s="2" t="s">
        <v>3</v>
      </c>
      <c r="EB229" s="2" t="s">
        <v>3</v>
      </c>
      <c r="EC229" s="2" t="s">
        <v>3</v>
      </c>
      <c r="ED229" s="2"/>
      <c r="EE229" s="2">
        <v>59298982</v>
      </c>
      <c r="EF229" s="2">
        <v>30</v>
      </c>
      <c r="EG229" s="2" t="s">
        <v>26</v>
      </c>
      <c r="EH229" s="2">
        <v>0</v>
      </c>
      <c r="EI229" s="2" t="s">
        <v>3</v>
      </c>
      <c r="EJ229" s="2">
        <v>1</v>
      </c>
      <c r="EK229" s="2">
        <v>55</v>
      </c>
      <c r="EL229" s="2" t="s">
        <v>152</v>
      </c>
      <c r="EM229" s="2" t="s">
        <v>153</v>
      </c>
      <c r="EN229" s="2"/>
      <c r="EO229" s="2" t="s">
        <v>41</v>
      </c>
      <c r="EP229" s="2"/>
      <c r="EQ229" s="2">
        <v>0</v>
      </c>
      <c r="ER229" s="2">
        <v>8.2899999999999991</v>
      </c>
      <c r="ES229" s="2">
        <v>0.5</v>
      </c>
      <c r="ET229" s="2">
        <v>0</v>
      </c>
      <c r="EU229" s="2">
        <v>0</v>
      </c>
      <c r="EV229" s="2">
        <v>7.79</v>
      </c>
      <c r="EW229" s="2">
        <v>0.52</v>
      </c>
      <c r="EX229" s="2">
        <v>0</v>
      </c>
      <c r="EY229" s="2">
        <v>0</v>
      </c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>
        <v>0</v>
      </c>
      <c r="FR229" s="2">
        <v>0</v>
      </c>
      <c r="FS229" s="2">
        <v>0</v>
      </c>
      <c r="FT229" s="2"/>
      <c r="FU229" s="2"/>
      <c r="FV229" s="2"/>
      <c r="FW229" s="2"/>
      <c r="FX229" s="2">
        <v>84</v>
      </c>
      <c r="FY229" s="2">
        <v>53</v>
      </c>
      <c r="FZ229" s="2"/>
      <c r="GA229" s="2" t="s">
        <v>3</v>
      </c>
      <c r="GB229" s="2"/>
      <c r="GC229" s="2"/>
      <c r="GD229" s="2">
        <v>1</v>
      </c>
      <c r="GE229" s="2"/>
      <c r="GF229" s="2">
        <v>1745385659</v>
      </c>
      <c r="GG229" s="2">
        <v>2</v>
      </c>
      <c r="GH229" s="2">
        <v>1</v>
      </c>
      <c r="GI229" s="2">
        <v>2</v>
      </c>
      <c r="GJ229" s="2">
        <v>0</v>
      </c>
      <c r="GK229" s="2">
        <v>0</v>
      </c>
      <c r="GL229" s="2">
        <f t="shared" ref="GL229:GL236" si="229">ROUND(IF(AND(BH229=3,BI229=3,FS229&lt;&gt;0),P229,0),2)</f>
        <v>0</v>
      </c>
      <c r="GM229" s="2">
        <f t="shared" ref="GM229:GM236" si="230">ROUND(O229+X229+Y229,2)+GX229</f>
        <v>77.67</v>
      </c>
      <c r="GN229" s="2">
        <f t="shared" ref="GN229:GN236" si="231">IF(OR(BI229=0,BI229=1),GM229-GX229,0)</f>
        <v>77.67</v>
      </c>
      <c r="GO229" s="2">
        <f t="shared" ref="GO229:GO236" si="232">IF(BI229=2,GM229-GX229,0)</f>
        <v>0</v>
      </c>
      <c r="GP229" s="2">
        <f t="shared" ref="GP229:GP236" si="233">IF(BI229=4,GM229-GX229,0)</f>
        <v>0</v>
      </c>
      <c r="GQ229" s="2"/>
      <c r="GR229" s="2">
        <v>0</v>
      </c>
      <c r="GS229" s="2">
        <v>3</v>
      </c>
      <c r="GT229" s="2">
        <v>0</v>
      </c>
      <c r="GU229" s="2" t="s">
        <v>3</v>
      </c>
      <c r="GV229" s="2">
        <f t="shared" ref="GV229:GV236" si="234">ROUND((GT229),6)</f>
        <v>0</v>
      </c>
      <c r="GW229" s="2">
        <v>1</v>
      </c>
      <c r="GX229" s="2">
        <f t="shared" ref="GX229:GX236" si="235">ROUND(HC229*I229,2)</f>
        <v>0</v>
      </c>
      <c r="GY229" s="2"/>
      <c r="GZ229" s="2"/>
      <c r="HA229" s="2">
        <v>0</v>
      </c>
      <c r="HB229" s="2">
        <v>0</v>
      </c>
      <c r="HC229" s="2">
        <f t="shared" ref="HC229:HC236" si="236">GV229*GW229</f>
        <v>0</v>
      </c>
      <c r="HD229" s="2"/>
      <c r="HE229" s="2" t="s">
        <v>3</v>
      </c>
      <c r="HF229" s="2" t="s">
        <v>3</v>
      </c>
      <c r="HG229" s="2"/>
      <c r="HH229" s="2"/>
      <c r="HI229" s="2"/>
      <c r="HJ229" s="2"/>
      <c r="HK229" s="2"/>
      <c r="HL229" s="2"/>
      <c r="HM229" s="2" t="s">
        <v>3</v>
      </c>
      <c r="HN229" s="2" t="s">
        <v>3</v>
      </c>
      <c r="HO229" s="2" t="s">
        <v>3</v>
      </c>
      <c r="HP229" s="2" t="s">
        <v>3</v>
      </c>
      <c r="HQ229" s="2" t="s">
        <v>3</v>
      </c>
      <c r="HR229" s="2"/>
      <c r="HS229" s="2">
        <v>0</v>
      </c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>
        <v>0</v>
      </c>
      <c r="IL229" s="2"/>
      <c r="IM229" s="2"/>
      <c r="IN229" s="2"/>
      <c r="IO229" s="2"/>
      <c r="IP229" s="2"/>
      <c r="IQ229" s="2"/>
      <c r="IR229" s="2"/>
      <c r="IS229" s="2"/>
      <c r="IT229" s="2"/>
      <c r="IU229" s="2"/>
    </row>
    <row r="230" spans="1:255" x14ac:dyDescent="0.2">
      <c r="A230">
        <v>17</v>
      </c>
      <c r="B230">
        <v>1</v>
      </c>
      <c r="C230">
        <f>ROW(SmtRes!A102)</f>
        <v>102</v>
      </c>
      <c r="D230">
        <f>ROW(EtalonRes!A110)</f>
        <v>110</v>
      </c>
      <c r="E230" t="s">
        <v>221</v>
      </c>
      <c r="F230" t="s">
        <v>149</v>
      </c>
      <c r="G230" t="s">
        <v>168</v>
      </c>
      <c r="H230" t="s">
        <v>37</v>
      </c>
      <c r="I230">
        <v>3</v>
      </c>
      <c r="J230">
        <v>0</v>
      </c>
      <c r="K230">
        <v>3</v>
      </c>
      <c r="O230">
        <f t="shared" si="211"/>
        <v>1791.23</v>
      </c>
      <c r="P230">
        <f t="shared" si="212"/>
        <v>23.85</v>
      </c>
      <c r="Q230">
        <f>(ROUND((ROUND(((((ET230*1.25)*1.1))*AV230*I230),2)*BB230),2)+ROUND((ROUND(((AE230-(((EU230*1.25)*1.1)))*AV230*I230),2)*BS230),2))</f>
        <v>0</v>
      </c>
      <c r="R230">
        <f>(ROUND((ROUND(((((EU230*1.25)*1.1))*AV230*I230),2)*BS230),2)+ROUND((ROUND(((AE230-(((EU230*1.25)*1.1)))*AV230*I230),2)*BS230),2))</f>
        <v>0</v>
      </c>
      <c r="S230">
        <f t="shared" si="213"/>
        <v>1767.38</v>
      </c>
      <c r="T230">
        <f t="shared" si="214"/>
        <v>0</v>
      </c>
      <c r="U230">
        <f t="shared" si="215"/>
        <v>2.1450857999999999</v>
      </c>
      <c r="V230">
        <f t="shared" si="216"/>
        <v>0</v>
      </c>
      <c r="W230">
        <f t="shared" si="217"/>
        <v>0</v>
      </c>
      <c r="X230">
        <f>(ROUND((((S230+ROUND((ROUND(((((EU230*1.25)*1.1))*AV230*I230),2)*BS230),2))*AT230)/100),2)+ROUND(((ROUND((ROUND(((AE230-(((EU230*1.25)*1.1)))*AV230*I230),2)*BS230),2)*AT230)/100),2))</f>
        <v>1484.6</v>
      </c>
      <c r="Y230">
        <f>(ROUND((((S230+ROUND((ROUND(((((EU230*1.25)*1.1))*AV230*I230),2)*BS230),2))*AU230)/100),2)+ROUND(((ROUND((ROUND(((AE230-(((EU230*1.25)*1.1)))*AV230*I230),2)*BS230),2)*AU230)/100),2))</f>
        <v>936.71</v>
      </c>
      <c r="AA230">
        <v>59499215</v>
      </c>
      <c r="AB230">
        <f t="shared" si="218"/>
        <v>10.35435</v>
      </c>
      <c r="AC230">
        <f t="shared" si="219"/>
        <v>0.5</v>
      </c>
      <c r="AD230">
        <f>ROUND((((((ET230*1.25)*1.1))-(((EU230*1.25)*1.1)))+AE230),6)</f>
        <v>0</v>
      </c>
      <c r="AE230">
        <f>ROUND((((EU230*1.25)*1.1)),6)</f>
        <v>0</v>
      </c>
      <c r="AF230">
        <f>ROUND((((EV230*1.15)*1.1)),6)</f>
        <v>9.8543500000000002</v>
      </c>
      <c r="AG230">
        <f t="shared" si="220"/>
        <v>0</v>
      </c>
      <c r="AH230">
        <f>(((EW230*1.15)*1.1))</f>
        <v>0.65780000000000005</v>
      </c>
      <c r="AI230">
        <f>(((EX230*1.25)*1.1))</f>
        <v>0</v>
      </c>
      <c r="AJ230">
        <f t="shared" si="221"/>
        <v>0</v>
      </c>
      <c r="AK230">
        <v>8.2899999999999991</v>
      </c>
      <c r="AL230">
        <v>0.5</v>
      </c>
      <c r="AM230">
        <v>0</v>
      </c>
      <c r="AN230">
        <v>0</v>
      </c>
      <c r="AO230">
        <v>7.79</v>
      </c>
      <c r="AP230">
        <v>0</v>
      </c>
      <c r="AQ230">
        <v>0.52</v>
      </c>
      <c r="AR230">
        <v>0</v>
      </c>
      <c r="AS230">
        <v>0</v>
      </c>
      <c r="AT230">
        <v>84</v>
      </c>
      <c r="AU230">
        <v>53</v>
      </c>
      <c r="AV230">
        <v>1.087</v>
      </c>
      <c r="AW230">
        <v>1</v>
      </c>
      <c r="AZ230">
        <v>1</v>
      </c>
      <c r="BA230">
        <v>54.99</v>
      </c>
      <c r="BB230">
        <v>1</v>
      </c>
      <c r="BC230">
        <v>15.9</v>
      </c>
      <c r="BD230" t="s">
        <v>3</v>
      </c>
      <c r="BE230" t="s">
        <v>3</v>
      </c>
      <c r="BF230" t="s">
        <v>3</v>
      </c>
      <c r="BG230" t="s">
        <v>3</v>
      </c>
      <c r="BH230">
        <v>0</v>
      </c>
      <c r="BI230">
        <v>1</v>
      </c>
      <c r="BJ230" t="s">
        <v>151</v>
      </c>
      <c r="BM230">
        <v>55</v>
      </c>
      <c r="BN230">
        <v>59298886</v>
      </c>
      <c r="BO230" t="s">
        <v>149</v>
      </c>
      <c r="BP230">
        <v>1</v>
      </c>
      <c r="BQ230">
        <v>30</v>
      </c>
      <c r="BR230">
        <v>0</v>
      </c>
      <c r="BS230">
        <v>54.99</v>
      </c>
      <c r="BT230">
        <v>1</v>
      </c>
      <c r="BU230">
        <v>1</v>
      </c>
      <c r="BV230">
        <v>1</v>
      </c>
      <c r="BW230">
        <v>1</v>
      </c>
      <c r="BX230">
        <v>1</v>
      </c>
      <c r="BY230" t="s">
        <v>3</v>
      </c>
      <c r="BZ230">
        <v>84</v>
      </c>
      <c r="CA230">
        <v>53</v>
      </c>
      <c r="CB230" t="s">
        <v>3</v>
      </c>
      <c r="CE230">
        <v>1566</v>
      </c>
      <c r="CF230">
        <v>0</v>
      </c>
      <c r="CG230">
        <v>0</v>
      </c>
      <c r="CM230">
        <v>0</v>
      </c>
      <c r="CN230" t="s">
        <v>375</v>
      </c>
      <c r="CO230">
        <v>0</v>
      </c>
      <c r="CP230">
        <f t="shared" si="222"/>
        <v>1791.23</v>
      </c>
      <c r="CQ230">
        <f t="shared" si="223"/>
        <v>7.95</v>
      </c>
      <c r="CR230">
        <f>(ROUND((ROUND(((((ET230*1.25)*1.1))*AV230*1),2)*BB230),2)+ROUND((ROUND(((AE230-(((EU230*1.25)*1.1)))*AV230*1),2)*BS230),2))</f>
        <v>0</v>
      </c>
      <c r="CS230">
        <f>(ROUND((ROUND(((((EU230*1.25)*1.1))*AV230*1),2)*BS230),2)+ROUND((ROUND(((AE230-(((EU230*1.25)*1.1)))*AV230*1),2)*BS230),2))</f>
        <v>0</v>
      </c>
      <c r="CT230">
        <f t="shared" si="224"/>
        <v>588.94000000000005</v>
      </c>
      <c r="CU230">
        <f t="shared" si="225"/>
        <v>0</v>
      </c>
      <c r="CV230">
        <f t="shared" si="226"/>
        <v>0.71502860000000001</v>
      </c>
      <c r="CW230">
        <f t="shared" si="227"/>
        <v>0</v>
      </c>
      <c r="CX230">
        <f t="shared" si="228"/>
        <v>0</v>
      </c>
      <c r="CY230">
        <f>(ROUND((((S230+ROUND((ROUND(((((EU230*1.25)*1.1))*AV230*1),2)*BS230),2))*AT230)/100),2)+ROUND(((ROUND((ROUND(((AE230-(((EU230*1.25)*1.1)))*AV230*1),2)*BS230),2)*AT230)/100),2))</f>
        <v>1484.6</v>
      </c>
      <c r="CZ230">
        <f>(ROUND((((S230+ROUND((ROUND(((((EU230*1.25)*1.1))*AV230*1),2)*BS230),2))*AU230)/100),2)+ROUND(((ROUND((ROUND(((AE230-(((EU230*1.25)*1.1)))*AV230*1),2)*BS230),2)*AU230)/100),2))</f>
        <v>936.71</v>
      </c>
      <c r="DB230">
        <v>87</v>
      </c>
      <c r="DC230" t="s">
        <v>3</v>
      </c>
      <c r="DD230" t="s">
        <v>3</v>
      </c>
      <c r="DE230" t="s">
        <v>39</v>
      </c>
      <c r="DF230" t="s">
        <v>39</v>
      </c>
      <c r="DG230" t="s">
        <v>40</v>
      </c>
      <c r="DH230" t="s">
        <v>3</v>
      </c>
      <c r="DI230" t="s">
        <v>40</v>
      </c>
      <c r="DJ230" t="s">
        <v>39</v>
      </c>
      <c r="DK230" t="s">
        <v>3</v>
      </c>
      <c r="DL230" t="s">
        <v>3</v>
      </c>
      <c r="DM230" t="s">
        <v>3</v>
      </c>
      <c r="DN230">
        <v>0</v>
      </c>
      <c r="DO230">
        <v>0</v>
      </c>
      <c r="DP230">
        <v>1</v>
      </c>
      <c r="DQ230">
        <v>1</v>
      </c>
      <c r="DU230">
        <v>1013</v>
      </c>
      <c r="DV230" t="s">
        <v>37</v>
      </c>
      <c r="DW230" t="s">
        <v>37</v>
      </c>
      <c r="DX230">
        <v>1</v>
      </c>
      <c r="DZ230" t="s">
        <v>3</v>
      </c>
      <c r="EA230" t="s">
        <v>3</v>
      </c>
      <c r="EB230" t="s">
        <v>3</v>
      </c>
      <c r="EC230" t="s">
        <v>3</v>
      </c>
      <c r="EE230">
        <v>59298982</v>
      </c>
      <c r="EF230">
        <v>30</v>
      </c>
      <c r="EG230" t="s">
        <v>26</v>
      </c>
      <c r="EH230">
        <v>0</v>
      </c>
      <c r="EI230" t="s">
        <v>3</v>
      </c>
      <c r="EJ230">
        <v>1</v>
      </c>
      <c r="EK230">
        <v>55</v>
      </c>
      <c r="EL230" t="s">
        <v>152</v>
      </c>
      <c r="EM230" t="s">
        <v>153</v>
      </c>
      <c r="EO230" t="s">
        <v>41</v>
      </c>
      <c r="EQ230">
        <v>0</v>
      </c>
      <c r="ER230">
        <v>8.2899999999999991</v>
      </c>
      <c r="ES230">
        <v>0.5</v>
      </c>
      <c r="ET230">
        <v>0</v>
      </c>
      <c r="EU230">
        <v>0</v>
      </c>
      <c r="EV230">
        <v>7.79</v>
      </c>
      <c r="EW230">
        <v>0.52</v>
      </c>
      <c r="EX230">
        <v>0</v>
      </c>
      <c r="EY230">
        <v>0</v>
      </c>
      <c r="FQ230">
        <v>0</v>
      </c>
      <c r="FR230">
        <v>0</v>
      </c>
      <c r="FS230">
        <v>0</v>
      </c>
      <c r="FX230">
        <v>84</v>
      </c>
      <c r="FY230">
        <v>53</v>
      </c>
      <c r="GA230" t="s">
        <v>3</v>
      </c>
      <c r="GD230">
        <v>1</v>
      </c>
      <c r="GF230">
        <v>1745385659</v>
      </c>
      <c r="GG230">
        <v>2</v>
      </c>
      <c r="GH230">
        <v>1</v>
      </c>
      <c r="GI230">
        <v>2</v>
      </c>
      <c r="GJ230">
        <v>0</v>
      </c>
      <c r="GK230">
        <v>0</v>
      </c>
      <c r="GL230">
        <f t="shared" si="229"/>
        <v>0</v>
      </c>
      <c r="GM230">
        <f t="shared" si="230"/>
        <v>4212.54</v>
      </c>
      <c r="GN230">
        <f t="shared" si="231"/>
        <v>4212.54</v>
      </c>
      <c r="GO230">
        <f t="shared" si="232"/>
        <v>0</v>
      </c>
      <c r="GP230">
        <f t="shared" si="233"/>
        <v>0</v>
      </c>
      <c r="GR230">
        <v>0</v>
      </c>
      <c r="GS230">
        <v>3</v>
      </c>
      <c r="GT230">
        <v>0</v>
      </c>
      <c r="GU230" t="s">
        <v>3</v>
      </c>
      <c r="GV230">
        <f t="shared" si="234"/>
        <v>0</v>
      </c>
      <c r="GW230">
        <v>1</v>
      </c>
      <c r="GX230">
        <f t="shared" si="235"/>
        <v>0</v>
      </c>
      <c r="HA230">
        <v>0</v>
      </c>
      <c r="HB230">
        <v>0</v>
      </c>
      <c r="HC230">
        <f t="shared" si="236"/>
        <v>0</v>
      </c>
      <c r="HE230" t="s">
        <v>3</v>
      </c>
      <c r="HF230" t="s">
        <v>3</v>
      </c>
      <c r="HM230" t="s">
        <v>3</v>
      </c>
      <c r="HN230" t="s">
        <v>3</v>
      </c>
      <c r="HO230" t="s">
        <v>3</v>
      </c>
      <c r="HP230" t="s">
        <v>3</v>
      </c>
      <c r="HQ230" t="s">
        <v>3</v>
      </c>
      <c r="HS230">
        <v>0</v>
      </c>
      <c r="IK230">
        <v>0</v>
      </c>
    </row>
    <row r="231" spans="1:255" x14ac:dyDescent="0.2">
      <c r="A231" s="2">
        <v>18</v>
      </c>
      <c r="B231" s="2">
        <v>1</v>
      </c>
      <c r="C231" s="2">
        <v>99</v>
      </c>
      <c r="D231" s="2"/>
      <c r="E231" s="2" t="s">
        <v>222</v>
      </c>
      <c r="F231" s="2" t="s">
        <v>223</v>
      </c>
      <c r="G231" s="2" t="s">
        <v>224</v>
      </c>
      <c r="H231" s="2" t="s">
        <v>124</v>
      </c>
      <c r="I231" s="2">
        <f>I229*J231</f>
        <v>3</v>
      </c>
      <c r="J231" s="2">
        <v>1</v>
      </c>
      <c r="K231" s="2">
        <v>1</v>
      </c>
      <c r="L231" s="2"/>
      <c r="M231" s="2"/>
      <c r="N231" s="2"/>
      <c r="O231" s="2">
        <f t="shared" si="211"/>
        <v>1554.15</v>
      </c>
      <c r="P231" s="2">
        <f t="shared" si="212"/>
        <v>1554.15</v>
      </c>
      <c r="Q231" s="2">
        <f>(ROUND((ROUND(((ET231)*AV231*I231),2)*BB231),2)+ROUND((ROUND(((AE231-(EU231))*AV231*I231),2)*BS231),2))</f>
        <v>0</v>
      </c>
      <c r="R231" s="2">
        <f>(ROUND((ROUND(((EU231)*AV231*I231),2)*BS231),2)+ROUND((ROUND(((AE231-(EU231))*AV231*I231),2)*BS231),2))</f>
        <v>0</v>
      </c>
      <c r="S231" s="2">
        <f t="shared" si="213"/>
        <v>0</v>
      </c>
      <c r="T231" s="2">
        <f t="shared" si="214"/>
        <v>0</v>
      </c>
      <c r="U231" s="2">
        <f t="shared" si="215"/>
        <v>0</v>
      </c>
      <c r="V231" s="2">
        <f t="shared" si="216"/>
        <v>0</v>
      </c>
      <c r="W231" s="2">
        <f t="shared" si="217"/>
        <v>0</v>
      </c>
      <c r="X231" s="2">
        <f>(ROUND((((S231+ROUND((ROUND(((EU231)*AV231*I231),2)*BS231),2))*AT231)/100),2)+ROUND(((ROUND((ROUND(((AE231-(EU231))*AV231*I231),2)*BS231),2)*AT231)/100),2))</f>
        <v>0</v>
      </c>
      <c r="Y231" s="2">
        <f>(ROUND((((S231+ROUND((ROUND(((EU231)*AV231*I231),2)*BS231),2))*AU231)/100),2)+ROUND(((ROUND((ROUND(((AE231-(EU231))*AV231*I231),2)*BS231),2)*AU231)/100),2))</f>
        <v>0</v>
      </c>
      <c r="Z231" s="2"/>
      <c r="AA231" s="2">
        <v>59499218</v>
      </c>
      <c r="AB231" s="2">
        <f t="shared" si="218"/>
        <v>518.04999999999995</v>
      </c>
      <c r="AC231" s="2">
        <f t="shared" si="219"/>
        <v>518.04999999999995</v>
      </c>
      <c r="AD231" s="2">
        <f>ROUND((((ET231)-(EU231))+AE231),6)</f>
        <v>0</v>
      </c>
      <c r="AE231" s="2">
        <f>ROUND((EU231),6)</f>
        <v>0</v>
      </c>
      <c r="AF231" s="2">
        <f>ROUND((EV231),6)</f>
        <v>0</v>
      </c>
      <c r="AG231" s="2">
        <f t="shared" si="220"/>
        <v>0</v>
      </c>
      <c r="AH231" s="2">
        <f>(EW231)</f>
        <v>0</v>
      </c>
      <c r="AI231" s="2">
        <f>(EX231)</f>
        <v>0</v>
      </c>
      <c r="AJ231" s="2">
        <f t="shared" si="221"/>
        <v>0</v>
      </c>
      <c r="AK231" s="2">
        <v>518.04999999999995</v>
      </c>
      <c r="AL231" s="2">
        <v>518.04999999999995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84</v>
      </c>
      <c r="AU231" s="2">
        <v>53</v>
      </c>
      <c r="AV231" s="2">
        <v>1</v>
      </c>
      <c r="AW231" s="2">
        <v>1</v>
      </c>
      <c r="AX231" s="2"/>
      <c r="AY231" s="2"/>
      <c r="AZ231" s="2">
        <v>1</v>
      </c>
      <c r="BA231" s="2">
        <v>1</v>
      </c>
      <c r="BB231" s="2">
        <v>1</v>
      </c>
      <c r="BC231" s="2">
        <v>1</v>
      </c>
      <c r="BD231" s="2" t="s">
        <v>3</v>
      </c>
      <c r="BE231" s="2" t="s">
        <v>3</v>
      </c>
      <c r="BF231" s="2" t="s">
        <v>3</v>
      </c>
      <c r="BG231" s="2" t="s">
        <v>3</v>
      </c>
      <c r="BH231" s="2">
        <v>3</v>
      </c>
      <c r="BI231" s="2">
        <v>1</v>
      </c>
      <c r="BJ231" s="2" t="s">
        <v>3</v>
      </c>
      <c r="BK231" s="2"/>
      <c r="BL231" s="2"/>
      <c r="BM231" s="2">
        <v>55</v>
      </c>
      <c r="BN231" s="2">
        <v>0</v>
      </c>
      <c r="BO231" s="2" t="s">
        <v>3</v>
      </c>
      <c r="BP231" s="2">
        <v>0</v>
      </c>
      <c r="BQ231" s="2">
        <v>30</v>
      </c>
      <c r="BR231" s="2">
        <v>0</v>
      </c>
      <c r="BS231" s="2">
        <v>1</v>
      </c>
      <c r="BT231" s="2">
        <v>1</v>
      </c>
      <c r="BU231" s="2">
        <v>1</v>
      </c>
      <c r="BV231" s="2">
        <v>1</v>
      </c>
      <c r="BW231" s="2">
        <v>1</v>
      </c>
      <c r="BX231" s="2">
        <v>1</v>
      </c>
      <c r="BY231" s="2" t="s">
        <v>3</v>
      </c>
      <c r="BZ231" s="2">
        <v>84</v>
      </c>
      <c r="CA231" s="2">
        <v>53</v>
      </c>
      <c r="CB231" s="2" t="s">
        <v>3</v>
      </c>
      <c r="CC231" s="2"/>
      <c r="CD231" s="2"/>
      <c r="CE231" s="2">
        <v>1566</v>
      </c>
      <c r="CF231" s="2">
        <v>0</v>
      </c>
      <c r="CG231" s="2">
        <v>0</v>
      </c>
      <c r="CH231" s="2"/>
      <c r="CI231" s="2"/>
      <c r="CJ231" s="2"/>
      <c r="CK231" s="2"/>
      <c r="CL231" s="2"/>
      <c r="CM231" s="2">
        <v>0</v>
      </c>
      <c r="CN231" s="2" t="s">
        <v>3</v>
      </c>
      <c r="CO231" s="2">
        <v>0</v>
      </c>
      <c r="CP231" s="2">
        <f t="shared" si="222"/>
        <v>1554.15</v>
      </c>
      <c r="CQ231" s="2">
        <f t="shared" si="223"/>
        <v>518.04999999999995</v>
      </c>
      <c r="CR231" s="2">
        <f>(ROUND((ROUND(((ET231)*AV231*1),2)*BB231),2)+ROUND((ROUND(((AE231-(EU231))*AV231*1),2)*BS231),2))</f>
        <v>0</v>
      </c>
      <c r="CS231" s="2">
        <f>(ROUND((ROUND(((EU231)*AV231*1),2)*BS231),2)+ROUND((ROUND(((AE231-(EU231))*AV231*1),2)*BS231),2))</f>
        <v>0</v>
      </c>
      <c r="CT231" s="2">
        <f t="shared" si="224"/>
        <v>0</v>
      </c>
      <c r="CU231" s="2">
        <f t="shared" si="225"/>
        <v>0</v>
      </c>
      <c r="CV231" s="2">
        <f t="shared" si="226"/>
        <v>0</v>
      </c>
      <c r="CW231" s="2">
        <f t="shared" si="227"/>
        <v>0</v>
      </c>
      <c r="CX231" s="2">
        <f t="shared" si="228"/>
        <v>0</v>
      </c>
      <c r="CY231" s="2">
        <f>(ROUND((((S231+ROUND((ROUND(((EU231)*AV231*1),2)*BS231),2))*AT231)/100),2)+ROUND(((ROUND((ROUND(((AE231-(EU231))*AV231*1),2)*BS231),2)*AT231)/100),2))</f>
        <v>0</v>
      </c>
      <c r="CZ231" s="2">
        <f>(ROUND((((S231+ROUND((ROUND(((EU231)*AV231*1),2)*BS231),2))*AU231)/100),2)+ROUND(((ROUND((ROUND(((AE231-(EU231))*AV231*1),2)*BS231),2)*AU231)/100),2))</f>
        <v>0</v>
      </c>
      <c r="DA231" s="2"/>
      <c r="DB231" s="2"/>
      <c r="DC231" s="2" t="s">
        <v>3</v>
      </c>
      <c r="DD231" s="2" t="s">
        <v>3</v>
      </c>
      <c r="DE231" s="2" t="s">
        <v>3</v>
      </c>
      <c r="DF231" s="2" t="s">
        <v>3</v>
      </c>
      <c r="DG231" s="2" t="s">
        <v>3</v>
      </c>
      <c r="DH231" s="2" t="s">
        <v>3</v>
      </c>
      <c r="DI231" s="2" t="s">
        <v>3</v>
      </c>
      <c r="DJ231" s="2" t="s">
        <v>3</v>
      </c>
      <c r="DK231" s="2" t="s">
        <v>3</v>
      </c>
      <c r="DL231" s="2" t="s">
        <v>3</v>
      </c>
      <c r="DM231" s="2" t="s">
        <v>3</v>
      </c>
      <c r="DN231" s="2">
        <v>0</v>
      </c>
      <c r="DO231" s="2">
        <v>0</v>
      </c>
      <c r="DP231" s="2">
        <v>1</v>
      </c>
      <c r="DQ231" s="2">
        <v>1</v>
      </c>
      <c r="DR231" s="2"/>
      <c r="DS231" s="2"/>
      <c r="DT231" s="2"/>
      <c r="DU231" s="2">
        <v>1010</v>
      </c>
      <c r="DV231" s="2" t="s">
        <v>124</v>
      </c>
      <c r="DW231" s="2" t="s">
        <v>124</v>
      </c>
      <c r="DX231" s="2">
        <v>1</v>
      </c>
      <c r="DY231" s="2"/>
      <c r="DZ231" s="2" t="s">
        <v>3</v>
      </c>
      <c r="EA231" s="2" t="s">
        <v>3</v>
      </c>
      <c r="EB231" s="2" t="s">
        <v>3</v>
      </c>
      <c r="EC231" s="2" t="s">
        <v>3</v>
      </c>
      <c r="ED231" s="2"/>
      <c r="EE231" s="2">
        <v>59298982</v>
      </c>
      <c r="EF231" s="2">
        <v>30</v>
      </c>
      <c r="EG231" s="2" t="s">
        <v>26</v>
      </c>
      <c r="EH231" s="2">
        <v>0</v>
      </c>
      <c r="EI231" s="2" t="s">
        <v>3</v>
      </c>
      <c r="EJ231" s="2">
        <v>1</v>
      </c>
      <c r="EK231" s="2">
        <v>55</v>
      </c>
      <c r="EL231" s="2" t="s">
        <v>152</v>
      </c>
      <c r="EM231" s="2" t="s">
        <v>153</v>
      </c>
      <c r="EN231" s="2"/>
      <c r="EO231" s="2" t="s">
        <v>3</v>
      </c>
      <c r="EP231" s="2"/>
      <c r="EQ231" s="2">
        <v>0</v>
      </c>
      <c r="ER231" s="2">
        <v>0</v>
      </c>
      <c r="ES231" s="2">
        <v>518.04999999999995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>
        <v>0</v>
      </c>
      <c r="FR231" s="2">
        <v>0</v>
      </c>
      <c r="FS231" s="2">
        <v>0</v>
      </c>
      <c r="FT231" s="2"/>
      <c r="FU231" s="2"/>
      <c r="FV231" s="2"/>
      <c r="FW231" s="2"/>
      <c r="FX231" s="2">
        <v>84</v>
      </c>
      <c r="FY231" s="2">
        <v>53</v>
      </c>
      <c r="FZ231" s="2"/>
      <c r="GA231" s="2" t="s">
        <v>225</v>
      </c>
      <c r="GB231" s="2"/>
      <c r="GC231" s="2"/>
      <c r="GD231" s="2">
        <v>1</v>
      </c>
      <c r="GE231" s="2"/>
      <c r="GF231" s="2">
        <v>1460206605</v>
      </c>
      <c r="GG231" s="2">
        <v>2</v>
      </c>
      <c r="GH231" s="2">
        <v>4</v>
      </c>
      <c r="GI231" s="2">
        <v>-2</v>
      </c>
      <c r="GJ231" s="2">
        <v>0</v>
      </c>
      <c r="GK231" s="2">
        <v>0</v>
      </c>
      <c r="GL231" s="2">
        <f t="shared" si="229"/>
        <v>0</v>
      </c>
      <c r="GM231" s="2">
        <f t="shared" si="230"/>
        <v>1554.15</v>
      </c>
      <c r="GN231" s="2">
        <f t="shared" si="231"/>
        <v>1554.15</v>
      </c>
      <c r="GO231" s="2">
        <f t="shared" si="232"/>
        <v>0</v>
      </c>
      <c r="GP231" s="2">
        <f t="shared" si="233"/>
        <v>0</v>
      </c>
      <c r="GQ231" s="2"/>
      <c r="GR231" s="2">
        <v>0</v>
      </c>
      <c r="GS231" s="2">
        <v>2</v>
      </c>
      <c r="GT231" s="2">
        <v>0</v>
      </c>
      <c r="GU231" s="2" t="s">
        <v>3</v>
      </c>
      <c r="GV231" s="2">
        <f t="shared" si="234"/>
        <v>0</v>
      </c>
      <c r="GW231" s="2">
        <v>1</v>
      </c>
      <c r="GX231" s="2">
        <f t="shared" si="235"/>
        <v>0</v>
      </c>
      <c r="GY231" s="2"/>
      <c r="GZ231" s="2"/>
      <c r="HA231" s="2">
        <v>0</v>
      </c>
      <c r="HB231" s="2">
        <v>0</v>
      </c>
      <c r="HC231" s="2">
        <f t="shared" si="236"/>
        <v>0</v>
      </c>
      <c r="HD231" s="2"/>
      <c r="HE231" s="2" t="s">
        <v>173</v>
      </c>
      <c r="HF231" s="2" t="s">
        <v>30</v>
      </c>
      <c r="HG231" s="2"/>
      <c r="HH231" s="2"/>
      <c r="HI231" s="2"/>
      <c r="HJ231" s="2"/>
      <c r="HK231" s="2"/>
      <c r="HL231" s="2"/>
      <c r="HM231" s="2" t="s">
        <v>3</v>
      </c>
      <c r="HN231" s="2" t="s">
        <v>3</v>
      </c>
      <c r="HO231" s="2" t="s">
        <v>3</v>
      </c>
      <c r="HP231" s="2" t="s">
        <v>3</v>
      </c>
      <c r="HQ231" s="2" t="s">
        <v>3</v>
      </c>
      <c r="HR231" s="2"/>
      <c r="HS231" s="2">
        <v>0</v>
      </c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>
        <v>0</v>
      </c>
      <c r="IL231" s="2"/>
      <c r="IM231" s="2"/>
      <c r="IN231" s="2"/>
      <c r="IO231" s="2"/>
      <c r="IP231" s="2"/>
      <c r="IQ231" s="2"/>
      <c r="IR231" s="2"/>
      <c r="IS231" s="2"/>
      <c r="IT231" s="2"/>
      <c r="IU231" s="2"/>
    </row>
    <row r="232" spans="1:255" x14ac:dyDescent="0.2">
      <c r="A232">
        <v>18</v>
      </c>
      <c r="B232">
        <v>1</v>
      </c>
      <c r="C232">
        <v>102</v>
      </c>
      <c r="E232" t="s">
        <v>222</v>
      </c>
      <c r="F232" t="s">
        <v>223</v>
      </c>
      <c r="G232" t="s">
        <v>224</v>
      </c>
      <c r="H232" t="s">
        <v>124</v>
      </c>
      <c r="I232">
        <f>I230*J232</f>
        <v>3</v>
      </c>
      <c r="J232">
        <v>1</v>
      </c>
      <c r="K232">
        <v>1</v>
      </c>
      <c r="O232">
        <f t="shared" si="211"/>
        <v>15355</v>
      </c>
      <c r="P232">
        <f t="shared" si="212"/>
        <v>15355</v>
      </c>
      <c r="Q232">
        <f>(ROUND((ROUND(((ET232)*AV232*I232),2)*BB232),2)+ROUND((ROUND(((AE232-(EU232))*AV232*I232),2)*BS232),2))</f>
        <v>0</v>
      </c>
      <c r="R232">
        <f>(ROUND((ROUND(((EU232)*AV232*I232),2)*BS232),2)+ROUND((ROUND(((AE232-(EU232))*AV232*I232),2)*BS232),2))</f>
        <v>0</v>
      </c>
      <c r="S232">
        <f t="shared" si="213"/>
        <v>0</v>
      </c>
      <c r="T232">
        <f t="shared" si="214"/>
        <v>0</v>
      </c>
      <c r="U232">
        <f t="shared" si="215"/>
        <v>0</v>
      </c>
      <c r="V232">
        <f t="shared" si="216"/>
        <v>0</v>
      </c>
      <c r="W232">
        <f t="shared" si="217"/>
        <v>0</v>
      </c>
      <c r="X232">
        <f>(ROUND((((S232+ROUND((ROUND(((EU232)*AV232*I232),2)*BS232),2))*AT232)/100),2)+ROUND(((ROUND((ROUND(((AE232-(EU232))*AV232*I232),2)*BS232),2)*AT232)/100),2))</f>
        <v>0</v>
      </c>
      <c r="Y232">
        <f>(ROUND((((S232+ROUND((ROUND(((EU232)*AV232*I232),2)*BS232),2))*AU232)/100),2)+ROUND(((ROUND((ROUND(((AE232-(EU232))*AV232*I232),2)*BS232),2)*AU232)/100),2))</f>
        <v>0</v>
      </c>
      <c r="AA232">
        <v>59499215</v>
      </c>
      <c r="AB232">
        <f t="shared" si="218"/>
        <v>518.04999999999995</v>
      </c>
      <c r="AC232">
        <f t="shared" si="219"/>
        <v>518.04999999999995</v>
      </c>
      <c r="AD232">
        <f>ROUND((((ET232)-(EU232))+AE232),6)</f>
        <v>0</v>
      </c>
      <c r="AE232">
        <f>ROUND((EU232),6)</f>
        <v>0</v>
      </c>
      <c r="AF232">
        <f>ROUND((EV232),6)</f>
        <v>0</v>
      </c>
      <c r="AG232">
        <f t="shared" si="220"/>
        <v>0</v>
      </c>
      <c r="AH232">
        <f>(EW232)</f>
        <v>0</v>
      </c>
      <c r="AI232">
        <f>(EX232)</f>
        <v>0</v>
      </c>
      <c r="AJ232">
        <f t="shared" si="221"/>
        <v>0</v>
      </c>
      <c r="AK232">
        <v>518.04999999999995</v>
      </c>
      <c r="AL232">
        <v>518.04999999999995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84</v>
      </c>
      <c r="AU232">
        <v>53</v>
      </c>
      <c r="AV232">
        <v>1</v>
      </c>
      <c r="AW232">
        <v>1</v>
      </c>
      <c r="AZ232">
        <v>1</v>
      </c>
      <c r="BA232">
        <v>1</v>
      </c>
      <c r="BB232">
        <v>1</v>
      </c>
      <c r="BC232">
        <v>9.8800000000000008</v>
      </c>
      <c r="BD232" t="s">
        <v>3</v>
      </c>
      <c r="BE232" t="s">
        <v>3</v>
      </c>
      <c r="BF232" t="s">
        <v>3</v>
      </c>
      <c r="BG232" t="s">
        <v>3</v>
      </c>
      <c r="BH232">
        <v>3</v>
      </c>
      <c r="BI232">
        <v>1</v>
      </c>
      <c r="BJ232" t="s">
        <v>3</v>
      </c>
      <c r="BM232">
        <v>55</v>
      </c>
      <c r="BN232">
        <v>0</v>
      </c>
      <c r="BO232" t="s">
        <v>3</v>
      </c>
      <c r="BP232">
        <v>0</v>
      </c>
      <c r="BQ232">
        <v>30</v>
      </c>
      <c r="BR232">
        <v>0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 t="s">
        <v>3</v>
      </c>
      <c r="BZ232">
        <v>84</v>
      </c>
      <c r="CA232">
        <v>53</v>
      </c>
      <c r="CB232" t="s">
        <v>3</v>
      </c>
      <c r="CE232">
        <v>1566</v>
      </c>
      <c r="CF232">
        <v>0</v>
      </c>
      <c r="CG232">
        <v>0</v>
      </c>
      <c r="CM232">
        <v>0</v>
      </c>
      <c r="CN232" t="s">
        <v>3</v>
      </c>
      <c r="CO232">
        <v>0</v>
      </c>
      <c r="CP232">
        <f t="shared" si="222"/>
        <v>15355</v>
      </c>
      <c r="CQ232">
        <f t="shared" si="223"/>
        <v>5118.33</v>
      </c>
      <c r="CR232">
        <f>(ROUND((ROUND(((ET232)*AV232*1),2)*BB232),2)+ROUND((ROUND(((AE232-(EU232))*AV232*1),2)*BS232),2))</f>
        <v>0</v>
      </c>
      <c r="CS232">
        <f>(ROUND((ROUND(((EU232)*AV232*1),2)*BS232),2)+ROUND((ROUND(((AE232-(EU232))*AV232*1),2)*BS232),2))</f>
        <v>0</v>
      </c>
      <c r="CT232">
        <f t="shared" si="224"/>
        <v>0</v>
      </c>
      <c r="CU232">
        <f t="shared" si="225"/>
        <v>0</v>
      </c>
      <c r="CV232">
        <f t="shared" si="226"/>
        <v>0</v>
      </c>
      <c r="CW232">
        <f t="shared" si="227"/>
        <v>0</v>
      </c>
      <c r="CX232">
        <f t="shared" si="228"/>
        <v>0</v>
      </c>
      <c r="CY232">
        <f>(ROUND((((S232+ROUND((ROUND(((EU232)*AV232*1),2)*BS232),2))*AT232)/100),2)+ROUND(((ROUND((ROUND(((AE232-(EU232))*AV232*1),2)*BS232),2)*AT232)/100),2))</f>
        <v>0</v>
      </c>
      <c r="CZ232">
        <f>(ROUND((((S232+ROUND((ROUND(((EU232)*AV232*1),2)*BS232),2))*AU232)/100),2)+ROUND(((ROUND((ROUND(((AE232-(EU232))*AV232*1),2)*BS232),2)*AU232)/100),2))</f>
        <v>0</v>
      </c>
      <c r="DC232" t="s">
        <v>3</v>
      </c>
      <c r="DD232" t="s">
        <v>3</v>
      </c>
      <c r="DE232" t="s">
        <v>3</v>
      </c>
      <c r="DF232" t="s">
        <v>3</v>
      </c>
      <c r="DG232" t="s">
        <v>3</v>
      </c>
      <c r="DH232" t="s">
        <v>3</v>
      </c>
      <c r="DI232" t="s">
        <v>3</v>
      </c>
      <c r="DJ232" t="s">
        <v>3</v>
      </c>
      <c r="DK232" t="s">
        <v>3</v>
      </c>
      <c r="DL232" t="s">
        <v>3</v>
      </c>
      <c r="DM232" t="s">
        <v>3</v>
      </c>
      <c r="DN232">
        <v>0</v>
      </c>
      <c r="DO232">
        <v>0</v>
      </c>
      <c r="DP232">
        <v>1</v>
      </c>
      <c r="DQ232">
        <v>1</v>
      </c>
      <c r="DU232">
        <v>1010</v>
      </c>
      <c r="DV232" t="s">
        <v>124</v>
      </c>
      <c r="DW232" t="s">
        <v>124</v>
      </c>
      <c r="DX232">
        <v>1</v>
      </c>
      <c r="DZ232" t="s">
        <v>3</v>
      </c>
      <c r="EA232" t="s">
        <v>3</v>
      </c>
      <c r="EB232" t="s">
        <v>3</v>
      </c>
      <c r="EC232" t="s">
        <v>3</v>
      </c>
      <c r="EE232">
        <v>59298982</v>
      </c>
      <c r="EF232">
        <v>30</v>
      </c>
      <c r="EG232" t="s">
        <v>26</v>
      </c>
      <c r="EH232">
        <v>0</v>
      </c>
      <c r="EI232" t="s">
        <v>3</v>
      </c>
      <c r="EJ232">
        <v>1</v>
      </c>
      <c r="EK232">
        <v>55</v>
      </c>
      <c r="EL232" t="s">
        <v>152</v>
      </c>
      <c r="EM232" t="s">
        <v>153</v>
      </c>
      <c r="EO232" t="s">
        <v>3</v>
      </c>
      <c r="EQ232">
        <v>0</v>
      </c>
      <c r="ER232">
        <v>518.04999999999995</v>
      </c>
      <c r="ES232">
        <v>518.04999999999995</v>
      </c>
      <c r="ET232">
        <v>0</v>
      </c>
      <c r="EU232">
        <v>0</v>
      </c>
      <c r="EV232">
        <v>0</v>
      </c>
      <c r="EW232">
        <v>0</v>
      </c>
      <c r="EX232">
        <v>0</v>
      </c>
      <c r="EZ232">
        <v>5</v>
      </c>
      <c r="FC232">
        <v>1</v>
      </c>
      <c r="FD232">
        <v>18</v>
      </c>
      <c r="FF232">
        <v>6021.6</v>
      </c>
      <c r="FQ232">
        <v>0</v>
      </c>
      <c r="FR232">
        <v>0</v>
      </c>
      <c r="FS232">
        <v>0</v>
      </c>
      <c r="FX232">
        <v>84</v>
      </c>
      <c r="FY232">
        <v>53</v>
      </c>
      <c r="GA232" t="s">
        <v>225</v>
      </c>
      <c r="GD232">
        <v>1</v>
      </c>
      <c r="GF232">
        <v>1460206605</v>
      </c>
      <c r="GG232">
        <v>2</v>
      </c>
      <c r="GH232">
        <v>3</v>
      </c>
      <c r="GI232">
        <v>3</v>
      </c>
      <c r="GJ232">
        <v>0</v>
      </c>
      <c r="GK232">
        <v>0</v>
      </c>
      <c r="GL232">
        <f t="shared" si="229"/>
        <v>0</v>
      </c>
      <c r="GM232">
        <f t="shared" si="230"/>
        <v>15355</v>
      </c>
      <c r="GN232">
        <f t="shared" si="231"/>
        <v>15355</v>
      </c>
      <c r="GO232">
        <f t="shared" si="232"/>
        <v>0</v>
      </c>
      <c r="GP232">
        <f t="shared" si="233"/>
        <v>0</v>
      </c>
      <c r="GR232">
        <v>1</v>
      </c>
      <c r="GS232">
        <v>1</v>
      </c>
      <c r="GT232">
        <v>0</v>
      </c>
      <c r="GU232" t="s">
        <v>3</v>
      </c>
      <c r="GV232">
        <f t="shared" si="234"/>
        <v>0</v>
      </c>
      <c r="GW232">
        <v>1</v>
      </c>
      <c r="GX232">
        <f t="shared" si="235"/>
        <v>0</v>
      </c>
      <c r="HA232">
        <v>0</v>
      </c>
      <c r="HB232">
        <v>0</v>
      </c>
      <c r="HC232">
        <f t="shared" si="236"/>
        <v>0</v>
      </c>
      <c r="HE232" t="s">
        <v>173</v>
      </c>
      <c r="HF232" t="s">
        <v>30</v>
      </c>
      <c r="HM232" t="s">
        <v>3</v>
      </c>
      <c r="HN232" t="s">
        <v>3</v>
      </c>
      <c r="HO232" t="s">
        <v>3</v>
      </c>
      <c r="HP232" t="s">
        <v>3</v>
      </c>
      <c r="HQ232" t="s">
        <v>3</v>
      </c>
      <c r="HS232">
        <v>0</v>
      </c>
      <c r="IK232">
        <v>0</v>
      </c>
    </row>
    <row r="233" spans="1:255" x14ac:dyDescent="0.2">
      <c r="A233" s="2">
        <v>17</v>
      </c>
      <c r="B233" s="2">
        <v>1</v>
      </c>
      <c r="C233" s="2">
        <f>ROW(SmtRes!A105)</f>
        <v>105</v>
      </c>
      <c r="D233" s="2">
        <f>ROW(EtalonRes!A113)</f>
        <v>113</v>
      </c>
      <c r="E233" s="2" t="s">
        <v>226</v>
      </c>
      <c r="F233" s="2" t="s">
        <v>149</v>
      </c>
      <c r="G233" s="2" t="s">
        <v>168</v>
      </c>
      <c r="H233" s="2" t="s">
        <v>37</v>
      </c>
      <c r="I233" s="2">
        <v>1</v>
      </c>
      <c r="J233" s="2">
        <v>0</v>
      </c>
      <c r="K233" s="2">
        <v>1</v>
      </c>
      <c r="L233" s="2"/>
      <c r="M233" s="2"/>
      <c r="N233" s="2"/>
      <c r="O233" s="2">
        <f t="shared" si="211"/>
        <v>11.21</v>
      </c>
      <c r="P233" s="2">
        <f t="shared" si="212"/>
        <v>0.5</v>
      </c>
      <c r="Q233" s="2">
        <f>(ROUND((ROUND(((((ET233*1.25)*1.1))*AV233*I233),2)*BB233),2)+ROUND((ROUND(((AE233-(((EU233*1.25)*1.1)))*AV233*I233),2)*BS233),2))</f>
        <v>0</v>
      </c>
      <c r="R233" s="2">
        <f>(ROUND((ROUND(((((EU233*1.25)*1.1))*AV233*I233),2)*BS233),2)+ROUND((ROUND(((AE233-(((EU233*1.25)*1.1)))*AV233*I233),2)*BS233),2))</f>
        <v>0</v>
      </c>
      <c r="S233" s="2">
        <f t="shared" si="213"/>
        <v>10.71</v>
      </c>
      <c r="T233" s="2">
        <f t="shared" si="214"/>
        <v>0</v>
      </c>
      <c r="U233" s="2">
        <f t="shared" si="215"/>
        <v>0.71502860000000001</v>
      </c>
      <c r="V233" s="2">
        <f t="shared" si="216"/>
        <v>0</v>
      </c>
      <c r="W233" s="2">
        <f t="shared" si="217"/>
        <v>0</v>
      </c>
      <c r="X233" s="2">
        <f>(ROUND((((S233+ROUND((ROUND(((((EU233*1.25)*1.1))*AV233*I233),2)*BS233),2))*AT233)/100),2)+ROUND(((ROUND((ROUND(((AE233-(((EU233*1.25)*1.1)))*AV233*I233),2)*BS233),2)*AT233)/100),2))</f>
        <v>9</v>
      </c>
      <c r="Y233" s="2">
        <f>(ROUND((((S233+ROUND((ROUND(((((EU233*1.25)*1.1))*AV233*I233),2)*BS233),2))*AU233)/100),2)+ROUND(((ROUND((ROUND(((AE233-(((EU233*1.25)*1.1)))*AV233*I233),2)*BS233),2)*AU233)/100),2))</f>
        <v>5.68</v>
      </c>
      <c r="Z233" s="2"/>
      <c r="AA233" s="2">
        <v>59499218</v>
      </c>
      <c r="AB233" s="2">
        <f t="shared" si="218"/>
        <v>10.35435</v>
      </c>
      <c r="AC233" s="2">
        <f t="shared" si="219"/>
        <v>0.5</v>
      </c>
      <c r="AD233" s="2">
        <f>ROUND((((((ET233*1.25)*1.1))-(((EU233*1.25)*1.1)))+AE233),6)</f>
        <v>0</v>
      </c>
      <c r="AE233" s="2">
        <f>ROUND((((EU233*1.25)*1.1)),6)</f>
        <v>0</v>
      </c>
      <c r="AF233" s="2">
        <f>ROUND((((EV233*1.15)*1.1)),6)</f>
        <v>9.8543500000000002</v>
      </c>
      <c r="AG233" s="2">
        <f t="shared" si="220"/>
        <v>0</v>
      </c>
      <c r="AH233" s="2">
        <f>(((EW233*1.15)*1.1))</f>
        <v>0.65780000000000005</v>
      </c>
      <c r="AI233" s="2">
        <f>(((EX233*1.25)*1.1))</f>
        <v>0</v>
      </c>
      <c r="AJ233" s="2">
        <f t="shared" si="221"/>
        <v>0</v>
      </c>
      <c r="AK233" s="2">
        <v>8.2899999999999991</v>
      </c>
      <c r="AL233" s="2">
        <v>0.5</v>
      </c>
      <c r="AM233" s="2">
        <v>0</v>
      </c>
      <c r="AN233" s="2">
        <v>0</v>
      </c>
      <c r="AO233" s="2">
        <v>7.79</v>
      </c>
      <c r="AP233" s="2">
        <v>0</v>
      </c>
      <c r="AQ233" s="2">
        <v>0.52</v>
      </c>
      <c r="AR233" s="2">
        <v>0</v>
      </c>
      <c r="AS233" s="2">
        <v>0</v>
      </c>
      <c r="AT233" s="2">
        <v>84</v>
      </c>
      <c r="AU233" s="2">
        <v>53</v>
      </c>
      <c r="AV233" s="2">
        <v>1.087</v>
      </c>
      <c r="AW233" s="2">
        <v>1</v>
      </c>
      <c r="AX233" s="2"/>
      <c r="AY233" s="2"/>
      <c r="AZ233" s="2">
        <v>1</v>
      </c>
      <c r="BA233" s="2">
        <v>1</v>
      </c>
      <c r="BB233" s="2">
        <v>1</v>
      </c>
      <c r="BC233" s="2">
        <v>1</v>
      </c>
      <c r="BD233" s="2" t="s">
        <v>3</v>
      </c>
      <c r="BE233" s="2" t="s">
        <v>3</v>
      </c>
      <c r="BF233" s="2" t="s">
        <v>3</v>
      </c>
      <c r="BG233" s="2" t="s">
        <v>3</v>
      </c>
      <c r="BH233" s="2">
        <v>0</v>
      </c>
      <c r="BI233" s="2">
        <v>1</v>
      </c>
      <c r="BJ233" s="2" t="s">
        <v>151</v>
      </c>
      <c r="BK233" s="2"/>
      <c r="BL233" s="2"/>
      <c r="BM233" s="2">
        <v>55</v>
      </c>
      <c r="BN233" s="2">
        <v>59298886</v>
      </c>
      <c r="BO233" s="2" t="s">
        <v>149</v>
      </c>
      <c r="BP233" s="2">
        <v>1</v>
      </c>
      <c r="BQ233" s="2">
        <v>30</v>
      </c>
      <c r="BR233" s="2">
        <v>0</v>
      </c>
      <c r="BS233" s="2">
        <v>1</v>
      </c>
      <c r="BT233" s="2">
        <v>1</v>
      </c>
      <c r="BU233" s="2">
        <v>1</v>
      </c>
      <c r="BV233" s="2">
        <v>1</v>
      </c>
      <c r="BW233" s="2">
        <v>1</v>
      </c>
      <c r="BX233" s="2">
        <v>1</v>
      </c>
      <c r="BY233" s="2" t="s">
        <v>3</v>
      </c>
      <c r="BZ233" s="2">
        <v>84</v>
      </c>
      <c r="CA233" s="2">
        <v>53</v>
      </c>
      <c r="CB233" s="2" t="s">
        <v>3</v>
      </c>
      <c r="CC233" s="2"/>
      <c r="CD233" s="2"/>
      <c r="CE233" s="2">
        <v>1566</v>
      </c>
      <c r="CF233" s="2">
        <v>0</v>
      </c>
      <c r="CG233" s="2">
        <v>0</v>
      </c>
      <c r="CH233" s="2"/>
      <c r="CI233" s="2"/>
      <c r="CJ233" s="2"/>
      <c r="CK233" s="2"/>
      <c r="CL233" s="2"/>
      <c r="CM233" s="2">
        <v>0</v>
      </c>
      <c r="CN233" s="2" t="s">
        <v>375</v>
      </c>
      <c r="CO233" s="2">
        <v>0</v>
      </c>
      <c r="CP233" s="2">
        <f t="shared" si="222"/>
        <v>11.21</v>
      </c>
      <c r="CQ233" s="2">
        <f t="shared" si="223"/>
        <v>0.5</v>
      </c>
      <c r="CR233" s="2">
        <f>(ROUND((ROUND(((((ET233*1.25)*1.1))*AV233*1),2)*BB233),2)+ROUND((ROUND(((AE233-(((EU233*1.25)*1.1)))*AV233*1),2)*BS233),2))</f>
        <v>0</v>
      </c>
      <c r="CS233" s="2">
        <f>(ROUND((ROUND(((((EU233*1.25)*1.1))*AV233*1),2)*BS233),2)+ROUND((ROUND(((AE233-(((EU233*1.25)*1.1)))*AV233*1),2)*BS233),2))</f>
        <v>0</v>
      </c>
      <c r="CT233" s="2">
        <f t="shared" si="224"/>
        <v>10.71</v>
      </c>
      <c r="CU233" s="2">
        <f t="shared" si="225"/>
        <v>0</v>
      </c>
      <c r="CV233" s="2">
        <f t="shared" si="226"/>
        <v>0.71502860000000001</v>
      </c>
      <c r="CW233" s="2">
        <f t="shared" si="227"/>
        <v>0</v>
      </c>
      <c r="CX233" s="2">
        <f t="shared" si="228"/>
        <v>0</v>
      </c>
      <c r="CY233" s="2">
        <f>(ROUND((((S233+ROUND((ROUND(((((EU233*1.25)*1.1))*AV233*1),2)*BS233),2))*AT233)/100),2)+ROUND(((ROUND((ROUND(((AE233-(((EU233*1.25)*1.1)))*AV233*1),2)*BS233),2)*AT233)/100),2))</f>
        <v>9</v>
      </c>
      <c r="CZ233" s="2">
        <f>(ROUND((((S233+ROUND((ROUND(((((EU233*1.25)*1.1))*AV233*1),2)*BS233),2))*AU233)/100),2)+ROUND(((ROUND((ROUND(((AE233-(((EU233*1.25)*1.1)))*AV233*1),2)*BS233),2)*AU233)/100),2))</f>
        <v>5.68</v>
      </c>
      <c r="DA233" s="2"/>
      <c r="DB233" s="2">
        <v>89</v>
      </c>
      <c r="DC233" s="2" t="s">
        <v>3</v>
      </c>
      <c r="DD233" s="2" t="s">
        <v>3</v>
      </c>
      <c r="DE233" s="2" t="s">
        <v>39</v>
      </c>
      <c r="DF233" s="2" t="s">
        <v>39</v>
      </c>
      <c r="DG233" s="2" t="s">
        <v>40</v>
      </c>
      <c r="DH233" s="2" t="s">
        <v>3</v>
      </c>
      <c r="DI233" s="2" t="s">
        <v>40</v>
      </c>
      <c r="DJ233" s="2" t="s">
        <v>39</v>
      </c>
      <c r="DK233" s="2" t="s">
        <v>3</v>
      </c>
      <c r="DL233" s="2" t="s">
        <v>3</v>
      </c>
      <c r="DM233" s="2" t="s">
        <v>3</v>
      </c>
      <c r="DN233" s="2">
        <v>0</v>
      </c>
      <c r="DO233" s="2">
        <v>0</v>
      </c>
      <c r="DP233" s="2">
        <v>1</v>
      </c>
      <c r="DQ233" s="2">
        <v>1</v>
      </c>
      <c r="DR233" s="2"/>
      <c r="DS233" s="2"/>
      <c r="DT233" s="2"/>
      <c r="DU233" s="2">
        <v>1013</v>
      </c>
      <c r="DV233" s="2" t="s">
        <v>37</v>
      </c>
      <c r="DW233" s="2" t="s">
        <v>37</v>
      </c>
      <c r="DX233" s="2">
        <v>1</v>
      </c>
      <c r="DY233" s="2"/>
      <c r="DZ233" s="2" t="s">
        <v>3</v>
      </c>
      <c r="EA233" s="2" t="s">
        <v>3</v>
      </c>
      <c r="EB233" s="2" t="s">
        <v>3</v>
      </c>
      <c r="EC233" s="2" t="s">
        <v>3</v>
      </c>
      <c r="ED233" s="2"/>
      <c r="EE233" s="2">
        <v>59298982</v>
      </c>
      <c r="EF233" s="2">
        <v>30</v>
      </c>
      <c r="EG233" s="2" t="s">
        <v>26</v>
      </c>
      <c r="EH233" s="2">
        <v>0</v>
      </c>
      <c r="EI233" s="2" t="s">
        <v>3</v>
      </c>
      <c r="EJ233" s="2">
        <v>1</v>
      </c>
      <c r="EK233" s="2">
        <v>55</v>
      </c>
      <c r="EL233" s="2" t="s">
        <v>152</v>
      </c>
      <c r="EM233" s="2" t="s">
        <v>153</v>
      </c>
      <c r="EN233" s="2"/>
      <c r="EO233" s="2" t="s">
        <v>41</v>
      </c>
      <c r="EP233" s="2"/>
      <c r="EQ233" s="2">
        <v>0</v>
      </c>
      <c r="ER233" s="2">
        <v>8.2899999999999991</v>
      </c>
      <c r="ES233" s="2">
        <v>0.5</v>
      </c>
      <c r="ET233" s="2">
        <v>0</v>
      </c>
      <c r="EU233" s="2">
        <v>0</v>
      </c>
      <c r="EV233" s="2">
        <v>7.79</v>
      </c>
      <c r="EW233" s="2">
        <v>0.52</v>
      </c>
      <c r="EX233" s="2">
        <v>0</v>
      </c>
      <c r="EY233" s="2">
        <v>0</v>
      </c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>
        <v>0</v>
      </c>
      <c r="FR233" s="2">
        <v>0</v>
      </c>
      <c r="FS233" s="2">
        <v>0</v>
      </c>
      <c r="FT233" s="2"/>
      <c r="FU233" s="2"/>
      <c r="FV233" s="2"/>
      <c r="FW233" s="2"/>
      <c r="FX233" s="2">
        <v>84</v>
      </c>
      <c r="FY233" s="2">
        <v>53</v>
      </c>
      <c r="FZ233" s="2"/>
      <c r="GA233" s="2" t="s">
        <v>3</v>
      </c>
      <c r="GB233" s="2"/>
      <c r="GC233" s="2"/>
      <c r="GD233" s="2">
        <v>1</v>
      </c>
      <c r="GE233" s="2"/>
      <c r="GF233" s="2">
        <v>1745385659</v>
      </c>
      <c r="GG233" s="2">
        <v>2</v>
      </c>
      <c r="GH233" s="2">
        <v>1</v>
      </c>
      <c r="GI233" s="2">
        <v>2</v>
      </c>
      <c r="GJ233" s="2">
        <v>0</v>
      </c>
      <c r="GK233" s="2">
        <v>0</v>
      </c>
      <c r="GL233" s="2">
        <f t="shared" si="229"/>
        <v>0</v>
      </c>
      <c r="GM233" s="2">
        <f t="shared" si="230"/>
        <v>25.89</v>
      </c>
      <c r="GN233" s="2">
        <f t="shared" si="231"/>
        <v>25.89</v>
      </c>
      <c r="GO233" s="2">
        <f t="shared" si="232"/>
        <v>0</v>
      </c>
      <c r="GP233" s="2">
        <f t="shared" si="233"/>
        <v>0</v>
      </c>
      <c r="GQ233" s="2"/>
      <c r="GR233" s="2">
        <v>0</v>
      </c>
      <c r="GS233" s="2">
        <v>3</v>
      </c>
      <c r="GT233" s="2">
        <v>0</v>
      </c>
      <c r="GU233" s="2" t="s">
        <v>3</v>
      </c>
      <c r="GV233" s="2">
        <f t="shared" si="234"/>
        <v>0</v>
      </c>
      <c r="GW233" s="2">
        <v>1</v>
      </c>
      <c r="GX233" s="2">
        <f t="shared" si="235"/>
        <v>0</v>
      </c>
      <c r="GY233" s="2"/>
      <c r="GZ233" s="2"/>
      <c r="HA233" s="2">
        <v>0</v>
      </c>
      <c r="HB233" s="2">
        <v>0</v>
      </c>
      <c r="HC233" s="2">
        <f t="shared" si="236"/>
        <v>0</v>
      </c>
      <c r="HD233" s="2"/>
      <c r="HE233" s="2" t="s">
        <v>3</v>
      </c>
      <c r="HF233" s="2" t="s">
        <v>3</v>
      </c>
      <c r="HG233" s="2"/>
      <c r="HH233" s="2"/>
      <c r="HI233" s="2"/>
      <c r="HJ233" s="2"/>
      <c r="HK233" s="2"/>
      <c r="HL233" s="2"/>
      <c r="HM233" s="2" t="s">
        <v>3</v>
      </c>
      <c r="HN233" s="2" t="s">
        <v>3</v>
      </c>
      <c r="HO233" s="2" t="s">
        <v>3</v>
      </c>
      <c r="HP233" s="2" t="s">
        <v>3</v>
      </c>
      <c r="HQ233" s="2" t="s">
        <v>3</v>
      </c>
      <c r="HR233" s="2"/>
      <c r="HS233" s="2">
        <v>0</v>
      </c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>
        <v>0</v>
      </c>
      <c r="IL233" s="2"/>
      <c r="IM233" s="2"/>
      <c r="IN233" s="2"/>
      <c r="IO233" s="2"/>
      <c r="IP233" s="2"/>
      <c r="IQ233" s="2"/>
      <c r="IR233" s="2"/>
      <c r="IS233" s="2"/>
      <c r="IT233" s="2"/>
      <c r="IU233" s="2"/>
    </row>
    <row r="234" spans="1:255" x14ac:dyDescent="0.2">
      <c r="A234">
        <v>17</v>
      </c>
      <c r="B234">
        <v>1</v>
      </c>
      <c r="C234">
        <f>ROW(SmtRes!A108)</f>
        <v>108</v>
      </c>
      <c r="D234">
        <f>ROW(EtalonRes!A116)</f>
        <v>116</v>
      </c>
      <c r="E234" t="s">
        <v>226</v>
      </c>
      <c r="F234" t="s">
        <v>149</v>
      </c>
      <c r="G234" t="s">
        <v>168</v>
      </c>
      <c r="H234" t="s">
        <v>37</v>
      </c>
      <c r="I234">
        <v>1</v>
      </c>
      <c r="J234">
        <v>0</v>
      </c>
      <c r="K234">
        <v>1</v>
      </c>
      <c r="O234">
        <f t="shared" si="211"/>
        <v>596.89</v>
      </c>
      <c r="P234">
        <f t="shared" si="212"/>
        <v>7.95</v>
      </c>
      <c r="Q234">
        <f>(ROUND((ROUND(((((ET234*1.25)*1.1))*AV234*I234),2)*BB234),2)+ROUND((ROUND(((AE234-(((EU234*1.25)*1.1)))*AV234*I234),2)*BS234),2))</f>
        <v>0</v>
      </c>
      <c r="R234">
        <f>(ROUND((ROUND(((((EU234*1.25)*1.1))*AV234*I234),2)*BS234),2)+ROUND((ROUND(((AE234-(((EU234*1.25)*1.1)))*AV234*I234),2)*BS234),2))</f>
        <v>0</v>
      </c>
      <c r="S234">
        <f t="shared" si="213"/>
        <v>588.94000000000005</v>
      </c>
      <c r="T234">
        <f t="shared" si="214"/>
        <v>0</v>
      </c>
      <c r="U234">
        <f t="shared" si="215"/>
        <v>0.71502860000000001</v>
      </c>
      <c r="V234">
        <f t="shared" si="216"/>
        <v>0</v>
      </c>
      <c r="W234">
        <f t="shared" si="217"/>
        <v>0</v>
      </c>
      <c r="X234">
        <f>(ROUND((((S234+ROUND((ROUND(((((EU234*1.25)*1.1))*AV234*I234),2)*BS234),2))*AT234)/100),2)+ROUND(((ROUND((ROUND(((AE234-(((EU234*1.25)*1.1)))*AV234*I234),2)*BS234),2)*AT234)/100),2))</f>
        <v>494.71</v>
      </c>
      <c r="Y234">
        <f>(ROUND((((S234+ROUND((ROUND(((((EU234*1.25)*1.1))*AV234*I234),2)*BS234),2))*AU234)/100),2)+ROUND(((ROUND((ROUND(((AE234-(((EU234*1.25)*1.1)))*AV234*I234),2)*BS234),2)*AU234)/100),2))</f>
        <v>312.14</v>
      </c>
      <c r="AA234">
        <v>59499215</v>
      </c>
      <c r="AB234">
        <f t="shared" si="218"/>
        <v>10.35435</v>
      </c>
      <c r="AC234">
        <f t="shared" si="219"/>
        <v>0.5</v>
      </c>
      <c r="AD234">
        <f>ROUND((((((ET234*1.25)*1.1))-(((EU234*1.25)*1.1)))+AE234),6)</f>
        <v>0</v>
      </c>
      <c r="AE234">
        <f>ROUND((((EU234*1.25)*1.1)),6)</f>
        <v>0</v>
      </c>
      <c r="AF234">
        <f>ROUND((((EV234*1.15)*1.1)),6)</f>
        <v>9.8543500000000002</v>
      </c>
      <c r="AG234">
        <f t="shared" si="220"/>
        <v>0</v>
      </c>
      <c r="AH234">
        <f>(((EW234*1.15)*1.1))</f>
        <v>0.65780000000000005</v>
      </c>
      <c r="AI234">
        <f>(((EX234*1.25)*1.1))</f>
        <v>0</v>
      </c>
      <c r="AJ234">
        <f t="shared" si="221"/>
        <v>0</v>
      </c>
      <c r="AK234">
        <v>8.2899999999999991</v>
      </c>
      <c r="AL234">
        <v>0.5</v>
      </c>
      <c r="AM234">
        <v>0</v>
      </c>
      <c r="AN234">
        <v>0</v>
      </c>
      <c r="AO234">
        <v>7.79</v>
      </c>
      <c r="AP234">
        <v>0</v>
      </c>
      <c r="AQ234">
        <v>0.52</v>
      </c>
      <c r="AR234">
        <v>0</v>
      </c>
      <c r="AS234">
        <v>0</v>
      </c>
      <c r="AT234">
        <v>84</v>
      </c>
      <c r="AU234">
        <v>53</v>
      </c>
      <c r="AV234">
        <v>1.087</v>
      </c>
      <c r="AW234">
        <v>1</v>
      </c>
      <c r="AZ234">
        <v>1</v>
      </c>
      <c r="BA234">
        <v>54.99</v>
      </c>
      <c r="BB234">
        <v>1</v>
      </c>
      <c r="BC234">
        <v>15.9</v>
      </c>
      <c r="BD234" t="s">
        <v>3</v>
      </c>
      <c r="BE234" t="s">
        <v>3</v>
      </c>
      <c r="BF234" t="s">
        <v>3</v>
      </c>
      <c r="BG234" t="s">
        <v>3</v>
      </c>
      <c r="BH234">
        <v>0</v>
      </c>
      <c r="BI234">
        <v>1</v>
      </c>
      <c r="BJ234" t="s">
        <v>151</v>
      </c>
      <c r="BM234">
        <v>55</v>
      </c>
      <c r="BN234">
        <v>59298886</v>
      </c>
      <c r="BO234" t="s">
        <v>149</v>
      </c>
      <c r="BP234">
        <v>1</v>
      </c>
      <c r="BQ234">
        <v>30</v>
      </c>
      <c r="BR234">
        <v>0</v>
      </c>
      <c r="BS234">
        <v>54.99</v>
      </c>
      <c r="BT234">
        <v>1</v>
      </c>
      <c r="BU234">
        <v>1</v>
      </c>
      <c r="BV234">
        <v>1</v>
      </c>
      <c r="BW234">
        <v>1</v>
      </c>
      <c r="BX234">
        <v>1</v>
      </c>
      <c r="BY234" t="s">
        <v>3</v>
      </c>
      <c r="BZ234">
        <v>84</v>
      </c>
      <c r="CA234">
        <v>53</v>
      </c>
      <c r="CB234" t="s">
        <v>3</v>
      </c>
      <c r="CE234">
        <v>1566</v>
      </c>
      <c r="CF234">
        <v>0</v>
      </c>
      <c r="CG234">
        <v>0</v>
      </c>
      <c r="CM234">
        <v>0</v>
      </c>
      <c r="CN234" t="s">
        <v>375</v>
      </c>
      <c r="CO234">
        <v>0</v>
      </c>
      <c r="CP234">
        <f t="shared" si="222"/>
        <v>596.8900000000001</v>
      </c>
      <c r="CQ234">
        <f t="shared" si="223"/>
        <v>7.95</v>
      </c>
      <c r="CR234">
        <f>(ROUND((ROUND(((((ET234*1.25)*1.1))*AV234*1),2)*BB234),2)+ROUND((ROUND(((AE234-(((EU234*1.25)*1.1)))*AV234*1),2)*BS234),2))</f>
        <v>0</v>
      </c>
      <c r="CS234">
        <f>(ROUND((ROUND(((((EU234*1.25)*1.1))*AV234*1),2)*BS234),2)+ROUND((ROUND(((AE234-(((EU234*1.25)*1.1)))*AV234*1),2)*BS234),2))</f>
        <v>0</v>
      </c>
      <c r="CT234">
        <f t="shared" si="224"/>
        <v>588.94000000000005</v>
      </c>
      <c r="CU234">
        <f t="shared" si="225"/>
        <v>0</v>
      </c>
      <c r="CV234">
        <f t="shared" si="226"/>
        <v>0.71502860000000001</v>
      </c>
      <c r="CW234">
        <f t="shared" si="227"/>
        <v>0</v>
      </c>
      <c r="CX234">
        <f t="shared" si="228"/>
        <v>0</v>
      </c>
      <c r="CY234">
        <f>(ROUND((((S234+ROUND((ROUND(((((EU234*1.25)*1.1))*AV234*1),2)*BS234),2))*AT234)/100),2)+ROUND(((ROUND((ROUND(((AE234-(((EU234*1.25)*1.1)))*AV234*1),2)*BS234),2)*AT234)/100),2))</f>
        <v>494.71</v>
      </c>
      <c r="CZ234">
        <f>(ROUND((((S234+ROUND((ROUND(((((EU234*1.25)*1.1))*AV234*1),2)*BS234),2))*AU234)/100),2)+ROUND(((ROUND((ROUND(((AE234-(((EU234*1.25)*1.1)))*AV234*1),2)*BS234),2)*AU234)/100),2))</f>
        <v>312.14</v>
      </c>
      <c r="DB234">
        <v>91</v>
      </c>
      <c r="DC234" t="s">
        <v>3</v>
      </c>
      <c r="DD234" t="s">
        <v>3</v>
      </c>
      <c r="DE234" t="s">
        <v>39</v>
      </c>
      <c r="DF234" t="s">
        <v>39</v>
      </c>
      <c r="DG234" t="s">
        <v>40</v>
      </c>
      <c r="DH234" t="s">
        <v>3</v>
      </c>
      <c r="DI234" t="s">
        <v>40</v>
      </c>
      <c r="DJ234" t="s">
        <v>39</v>
      </c>
      <c r="DK234" t="s">
        <v>3</v>
      </c>
      <c r="DL234" t="s">
        <v>3</v>
      </c>
      <c r="DM234" t="s">
        <v>3</v>
      </c>
      <c r="DN234">
        <v>0</v>
      </c>
      <c r="DO234">
        <v>0</v>
      </c>
      <c r="DP234">
        <v>1</v>
      </c>
      <c r="DQ234">
        <v>1</v>
      </c>
      <c r="DU234">
        <v>1013</v>
      </c>
      <c r="DV234" t="s">
        <v>37</v>
      </c>
      <c r="DW234" t="s">
        <v>37</v>
      </c>
      <c r="DX234">
        <v>1</v>
      </c>
      <c r="DZ234" t="s">
        <v>3</v>
      </c>
      <c r="EA234" t="s">
        <v>3</v>
      </c>
      <c r="EB234" t="s">
        <v>3</v>
      </c>
      <c r="EC234" t="s">
        <v>3</v>
      </c>
      <c r="EE234">
        <v>59298982</v>
      </c>
      <c r="EF234">
        <v>30</v>
      </c>
      <c r="EG234" t="s">
        <v>26</v>
      </c>
      <c r="EH234">
        <v>0</v>
      </c>
      <c r="EI234" t="s">
        <v>3</v>
      </c>
      <c r="EJ234">
        <v>1</v>
      </c>
      <c r="EK234">
        <v>55</v>
      </c>
      <c r="EL234" t="s">
        <v>152</v>
      </c>
      <c r="EM234" t="s">
        <v>153</v>
      </c>
      <c r="EO234" t="s">
        <v>41</v>
      </c>
      <c r="EQ234">
        <v>0</v>
      </c>
      <c r="ER234">
        <v>8.2899999999999991</v>
      </c>
      <c r="ES234">
        <v>0.5</v>
      </c>
      <c r="ET234">
        <v>0</v>
      </c>
      <c r="EU234">
        <v>0</v>
      </c>
      <c r="EV234">
        <v>7.79</v>
      </c>
      <c r="EW234">
        <v>0.52</v>
      </c>
      <c r="EX234">
        <v>0</v>
      </c>
      <c r="EY234">
        <v>0</v>
      </c>
      <c r="FQ234">
        <v>0</v>
      </c>
      <c r="FR234">
        <v>0</v>
      </c>
      <c r="FS234">
        <v>0</v>
      </c>
      <c r="FX234">
        <v>84</v>
      </c>
      <c r="FY234">
        <v>53</v>
      </c>
      <c r="GA234" t="s">
        <v>3</v>
      </c>
      <c r="GD234">
        <v>1</v>
      </c>
      <c r="GF234">
        <v>1745385659</v>
      </c>
      <c r="GG234">
        <v>2</v>
      </c>
      <c r="GH234">
        <v>1</v>
      </c>
      <c r="GI234">
        <v>2</v>
      </c>
      <c r="GJ234">
        <v>0</v>
      </c>
      <c r="GK234">
        <v>0</v>
      </c>
      <c r="GL234">
        <f t="shared" si="229"/>
        <v>0</v>
      </c>
      <c r="GM234">
        <f t="shared" si="230"/>
        <v>1403.74</v>
      </c>
      <c r="GN234">
        <f t="shared" si="231"/>
        <v>1403.74</v>
      </c>
      <c r="GO234">
        <f t="shared" si="232"/>
        <v>0</v>
      </c>
      <c r="GP234">
        <f t="shared" si="233"/>
        <v>0</v>
      </c>
      <c r="GR234">
        <v>0</v>
      </c>
      <c r="GS234">
        <v>3</v>
      </c>
      <c r="GT234">
        <v>0</v>
      </c>
      <c r="GU234" t="s">
        <v>3</v>
      </c>
      <c r="GV234">
        <f t="shared" si="234"/>
        <v>0</v>
      </c>
      <c r="GW234">
        <v>1</v>
      </c>
      <c r="GX234">
        <f t="shared" si="235"/>
        <v>0</v>
      </c>
      <c r="HA234">
        <v>0</v>
      </c>
      <c r="HB234">
        <v>0</v>
      </c>
      <c r="HC234">
        <f t="shared" si="236"/>
        <v>0</v>
      </c>
      <c r="HE234" t="s">
        <v>3</v>
      </c>
      <c r="HF234" t="s">
        <v>3</v>
      </c>
      <c r="HM234" t="s">
        <v>3</v>
      </c>
      <c r="HN234" t="s">
        <v>3</v>
      </c>
      <c r="HO234" t="s">
        <v>3</v>
      </c>
      <c r="HP234" t="s">
        <v>3</v>
      </c>
      <c r="HQ234" t="s">
        <v>3</v>
      </c>
      <c r="HS234">
        <v>0</v>
      </c>
      <c r="IK234">
        <v>0</v>
      </c>
    </row>
    <row r="235" spans="1:255" x14ac:dyDescent="0.2">
      <c r="A235" s="2">
        <v>18</v>
      </c>
      <c r="B235" s="2">
        <v>1</v>
      </c>
      <c r="C235" s="2">
        <v>105</v>
      </c>
      <c r="D235" s="2"/>
      <c r="E235" s="2" t="s">
        <v>227</v>
      </c>
      <c r="F235" s="2" t="s">
        <v>228</v>
      </c>
      <c r="G235" s="2" t="s">
        <v>229</v>
      </c>
      <c r="H235" s="2" t="s">
        <v>124</v>
      </c>
      <c r="I235" s="2">
        <f>I233*J235</f>
        <v>1</v>
      </c>
      <c r="J235" s="2">
        <v>1</v>
      </c>
      <c r="K235" s="2">
        <v>1</v>
      </c>
      <c r="L235" s="2"/>
      <c r="M235" s="2"/>
      <c r="N235" s="2"/>
      <c r="O235" s="2">
        <f t="shared" si="211"/>
        <v>2584.89</v>
      </c>
      <c r="P235" s="2">
        <f t="shared" si="212"/>
        <v>2584.89</v>
      </c>
      <c r="Q235" s="2">
        <f>(ROUND((ROUND(((ET235)*AV235*I235),2)*BB235),2)+ROUND((ROUND(((AE235-(EU235))*AV235*I235),2)*BS235),2))</f>
        <v>0</v>
      </c>
      <c r="R235" s="2">
        <f>(ROUND((ROUND(((EU235)*AV235*I235),2)*BS235),2)+ROUND((ROUND(((AE235-(EU235))*AV235*I235),2)*BS235),2))</f>
        <v>0</v>
      </c>
      <c r="S235" s="2">
        <f t="shared" si="213"/>
        <v>0</v>
      </c>
      <c r="T235" s="2">
        <f t="shared" si="214"/>
        <v>0</v>
      </c>
      <c r="U235" s="2">
        <f t="shared" si="215"/>
        <v>0</v>
      </c>
      <c r="V235" s="2">
        <f t="shared" si="216"/>
        <v>0</v>
      </c>
      <c r="W235" s="2">
        <f t="shared" si="217"/>
        <v>0</v>
      </c>
      <c r="X235" s="2">
        <f>(ROUND((((S235+ROUND((ROUND(((EU235)*AV235*I235),2)*BS235),2))*AT235)/100),2)+ROUND(((ROUND((ROUND(((AE235-(EU235))*AV235*I235),2)*BS235),2)*AT235)/100),2))</f>
        <v>0</v>
      </c>
      <c r="Y235" s="2">
        <f>(ROUND((((S235+ROUND((ROUND(((EU235)*AV235*I235),2)*BS235),2))*AU235)/100),2)+ROUND(((ROUND((ROUND(((AE235-(EU235))*AV235*I235),2)*BS235),2)*AU235)/100),2))</f>
        <v>0</v>
      </c>
      <c r="Z235" s="2"/>
      <c r="AA235" s="2">
        <v>59499218</v>
      </c>
      <c r="AB235" s="2">
        <f t="shared" si="218"/>
        <v>2584.89</v>
      </c>
      <c r="AC235" s="2">
        <f t="shared" si="219"/>
        <v>2584.89</v>
      </c>
      <c r="AD235" s="2">
        <f>ROUND((((ET235)-(EU235))+AE235),6)</f>
        <v>0</v>
      </c>
      <c r="AE235" s="2">
        <f>ROUND((EU235),6)</f>
        <v>0</v>
      </c>
      <c r="AF235" s="2">
        <f>ROUND((EV235),6)</f>
        <v>0</v>
      </c>
      <c r="AG235" s="2">
        <f t="shared" si="220"/>
        <v>0</v>
      </c>
      <c r="AH235" s="2">
        <f>(EW235)</f>
        <v>0</v>
      </c>
      <c r="AI235" s="2">
        <f>(EX235)</f>
        <v>0</v>
      </c>
      <c r="AJ235" s="2">
        <f t="shared" si="221"/>
        <v>0</v>
      </c>
      <c r="AK235" s="2">
        <v>2584.89</v>
      </c>
      <c r="AL235" s="2">
        <v>2584.89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84</v>
      </c>
      <c r="AU235" s="2">
        <v>53</v>
      </c>
      <c r="AV235" s="2">
        <v>1</v>
      </c>
      <c r="AW235" s="2">
        <v>1</v>
      </c>
      <c r="AX235" s="2"/>
      <c r="AY235" s="2"/>
      <c r="AZ235" s="2">
        <v>1</v>
      </c>
      <c r="BA235" s="2">
        <v>1</v>
      </c>
      <c r="BB235" s="2">
        <v>1</v>
      </c>
      <c r="BC235" s="2">
        <v>1</v>
      </c>
      <c r="BD235" s="2" t="s">
        <v>3</v>
      </c>
      <c r="BE235" s="2" t="s">
        <v>3</v>
      </c>
      <c r="BF235" s="2" t="s">
        <v>3</v>
      </c>
      <c r="BG235" s="2" t="s">
        <v>3</v>
      </c>
      <c r="BH235" s="2">
        <v>3</v>
      </c>
      <c r="BI235" s="2">
        <v>1</v>
      </c>
      <c r="BJ235" s="2" t="s">
        <v>3</v>
      </c>
      <c r="BK235" s="2"/>
      <c r="BL235" s="2"/>
      <c r="BM235" s="2">
        <v>55</v>
      </c>
      <c r="BN235" s="2">
        <v>0</v>
      </c>
      <c r="BO235" s="2" t="s">
        <v>3</v>
      </c>
      <c r="BP235" s="2">
        <v>0</v>
      </c>
      <c r="BQ235" s="2">
        <v>30</v>
      </c>
      <c r="BR235" s="2">
        <v>0</v>
      </c>
      <c r="BS235" s="2">
        <v>1</v>
      </c>
      <c r="BT235" s="2">
        <v>1</v>
      </c>
      <c r="BU235" s="2">
        <v>1</v>
      </c>
      <c r="BV235" s="2">
        <v>1</v>
      </c>
      <c r="BW235" s="2">
        <v>1</v>
      </c>
      <c r="BX235" s="2">
        <v>1</v>
      </c>
      <c r="BY235" s="2" t="s">
        <v>3</v>
      </c>
      <c r="BZ235" s="2">
        <v>84</v>
      </c>
      <c r="CA235" s="2">
        <v>53</v>
      </c>
      <c r="CB235" s="2" t="s">
        <v>3</v>
      </c>
      <c r="CC235" s="2"/>
      <c r="CD235" s="2"/>
      <c r="CE235" s="2">
        <v>1566</v>
      </c>
      <c r="CF235" s="2">
        <v>0</v>
      </c>
      <c r="CG235" s="2">
        <v>0</v>
      </c>
      <c r="CH235" s="2"/>
      <c r="CI235" s="2"/>
      <c r="CJ235" s="2"/>
      <c r="CK235" s="2"/>
      <c r="CL235" s="2"/>
      <c r="CM235" s="2">
        <v>0</v>
      </c>
      <c r="CN235" s="2" t="s">
        <v>3</v>
      </c>
      <c r="CO235" s="2">
        <v>0</v>
      </c>
      <c r="CP235" s="2">
        <f t="shared" si="222"/>
        <v>2584.89</v>
      </c>
      <c r="CQ235" s="2">
        <f t="shared" si="223"/>
        <v>2584.89</v>
      </c>
      <c r="CR235" s="2">
        <f>(ROUND((ROUND(((ET235)*AV235*1),2)*BB235),2)+ROUND((ROUND(((AE235-(EU235))*AV235*1),2)*BS235),2))</f>
        <v>0</v>
      </c>
      <c r="CS235" s="2">
        <f>(ROUND((ROUND(((EU235)*AV235*1),2)*BS235),2)+ROUND((ROUND(((AE235-(EU235))*AV235*1),2)*BS235),2))</f>
        <v>0</v>
      </c>
      <c r="CT235" s="2">
        <f t="shared" si="224"/>
        <v>0</v>
      </c>
      <c r="CU235" s="2">
        <f t="shared" si="225"/>
        <v>0</v>
      </c>
      <c r="CV235" s="2">
        <f t="shared" si="226"/>
        <v>0</v>
      </c>
      <c r="CW235" s="2">
        <f t="shared" si="227"/>
        <v>0</v>
      </c>
      <c r="CX235" s="2">
        <f t="shared" si="228"/>
        <v>0</v>
      </c>
      <c r="CY235" s="2">
        <f>(ROUND((((S235+ROUND((ROUND(((EU235)*AV235*1),2)*BS235),2))*AT235)/100),2)+ROUND(((ROUND((ROUND(((AE235-(EU235))*AV235*1),2)*BS235),2)*AT235)/100),2))</f>
        <v>0</v>
      </c>
      <c r="CZ235" s="2">
        <f>(ROUND((((S235+ROUND((ROUND(((EU235)*AV235*1),2)*BS235),2))*AU235)/100),2)+ROUND(((ROUND((ROUND(((AE235-(EU235))*AV235*1),2)*BS235),2)*AU235)/100),2))</f>
        <v>0</v>
      </c>
      <c r="DA235" s="2"/>
      <c r="DB235" s="2"/>
      <c r="DC235" s="2" t="s">
        <v>3</v>
      </c>
      <c r="DD235" s="2" t="s">
        <v>3</v>
      </c>
      <c r="DE235" s="2" t="s">
        <v>3</v>
      </c>
      <c r="DF235" s="2" t="s">
        <v>3</v>
      </c>
      <c r="DG235" s="2" t="s">
        <v>3</v>
      </c>
      <c r="DH235" s="2" t="s">
        <v>3</v>
      </c>
      <c r="DI235" s="2" t="s">
        <v>3</v>
      </c>
      <c r="DJ235" s="2" t="s">
        <v>3</v>
      </c>
      <c r="DK235" s="2" t="s">
        <v>3</v>
      </c>
      <c r="DL235" s="2" t="s">
        <v>3</v>
      </c>
      <c r="DM235" s="2" t="s">
        <v>3</v>
      </c>
      <c r="DN235" s="2">
        <v>0</v>
      </c>
      <c r="DO235" s="2">
        <v>0</v>
      </c>
      <c r="DP235" s="2">
        <v>1</v>
      </c>
      <c r="DQ235" s="2">
        <v>1</v>
      </c>
      <c r="DR235" s="2"/>
      <c r="DS235" s="2"/>
      <c r="DT235" s="2"/>
      <c r="DU235" s="2">
        <v>1010</v>
      </c>
      <c r="DV235" s="2" t="s">
        <v>124</v>
      </c>
      <c r="DW235" s="2" t="s">
        <v>124</v>
      </c>
      <c r="DX235" s="2">
        <v>1</v>
      </c>
      <c r="DY235" s="2"/>
      <c r="DZ235" s="2" t="s">
        <v>3</v>
      </c>
      <c r="EA235" s="2" t="s">
        <v>3</v>
      </c>
      <c r="EB235" s="2" t="s">
        <v>3</v>
      </c>
      <c r="EC235" s="2" t="s">
        <v>3</v>
      </c>
      <c r="ED235" s="2"/>
      <c r="EE235" s="2">
        <v>59298982</v>
      </c>
      <c r="EF235" s="2">
        <v>30</v>
      </c>
      <c r="EG235" s="2" t="s">
        <v>26</v>
      </c>
      <c r="EH235" s="2">
        <v>0</v>
      </c>
      <c r="EI235" s="2" t="s">
        <v>3</v>
      </c>
      <c r="EJ235" s="2">
        <v>1</v>
      </c>
      <c r="EK235" s="2">
        <v>55</v>
      </c>
      <c r="EL235" s="2" t="s">
        <v>152</v>
      </c>
      <c r="EM235" s="2" t="s">
        <v>153</v>
      </c>
      <c r="EN235" s="2"/>
      <c r="EO235" s="2" t="s">
        <v>3</v>
      </c>
      <c r="EP235" s="2"/>
      <c r="EQ235" s="2">
        <v>0</v>
      </c>
      <c r="ER235" s="2">
        <v>0</v>
      </c>
      <c r="ES235" s="2">
        <v>2584.89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>
        <v>0</v>
      </c>
      <c r="FR235" s="2">
        <v>0</v>
      </c>
      <c r="FS235" s="2">
        <v>0</v>
      </c>
      <c r="FT235" s="2"/>
      <c r="FU235" s="2"/>
      <c r="FV235" s="2"/>
      <c r="FW235" s="2"/>
      <c r="FX235" s="2">
        <v>84</v>
      </c>
      <c r="FY235" s="2">
        <v>53</v>
      </c>
      <c r="FZ235" s="2"/>
      <c r="GA235" s="2" t="s">
        <v>230</v>
      </c>
      <c r="GB235" s="2"/>
      <c r="GC235" s="2"/>
      <c r="GD235" s="2">
        <v>1</v>
      </c>
      <c r="GE235" s="2"/>
      <c r="GF235" s="2">
        <v>1111919097</v>
      </c>
      <c r="GG235" s="2">
        <v>2</v>
      </c>
      <c r="GH235" s="2">
        <v>4</v>
      </c>
      <c r="GI235" s="2">
        <v>-2</v>
      </c>
      <c r="GJ235" s="2">
        <v>0</v>
      </c>
      <c r="GK235" s="2">
        <v>0</v>
      </c>
      <c r="GL235" s="2">
        <f t="shared" si="229"/>
        <v>0</v>
      </c>
      <c r="GM235" s="2">
        <f t="shared" si="230"/>
        <v>2584.89</v>
      </c>
      <c r="GN235" s="2">
        <f t="shared" si="231"/>
        <v>2584.89</v>
      </c>
      <c r="GO235" s="2">
        <f t="shared" si="232"/>
        <v>0</v>
      </c>
      <c r="GP235" s="2">
        <f t="shared" si="233"/>
        <v>0</v>
      </c>
      <c r="GQ235" s="2"/>
      <c r="GR235" s="2">
        <v>0</v>
      </c>
      <c r="GS235" s="2">
        <v>2</v>
      </c>
      <c r="GT235" s="2">
        <v>0</v>
      </c>
      <c r="GU235" s="2" t="s">
        <v>3</v>
      </c>
      <c r="GV235" s="2">
        <f t="shared" si="234"/>
        <v>0</v>
      </c>
      <c r="GW235" s="2">
        <v>1</v>
      </c>
      <c r="GX235" s="2">
        <f t="shared" si="235"/>
        <v>0</v>
      </c>
      <c r="GY235" s="2"/>
      <c r="GZ235" s="2"/>
      <c r="HA235" s="2">
        <v>0</v>
      </c>
      <c r="HB235" s="2">
        <v>0</v>
      </c>
      <c r="HC235" s="2">
        <f t="shared" si="236"/>
        <v>0</v>
      </c>
      <c r="HD235" s="2"/>
      <c r="HE235" s="2" t="s">
        <v>173</v>
      </c>
      <c r="HF235" s="2" t="s">
        <v>30</v>
      </c>
      <c r="HG235" s="2"/>
      <c r="HH235" s="2"/>
      <c r="HI235" s="2"/>
      <c r="HJ235" s="2"/>
      <c r="HK235" s="2"/>
      <c r="HL235" s="2"/>
      <c r="HM235" s="2" t="s">
        <v>3</v>
      </c>
      <c r="HN235" s="2" t="s">
        <v>3</v>
      </c>
      <c r="HO235" s="2" t="s">
        <v>3</v>
      </c>
      <c r="HP235" s="2" t="s">
        <v>3</v>
      </c>
      <c r="HQ235" s="2" t="s">
        <v>3</v>
      </c>
      <c r="HR235" s="2"/>
      <c r="HS235" s="2">
        <v>0</v>
      </c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>
        <v>0</v>
      </c>
      <c r="IL235" s="2"/>
      <c r="IM235" s="2"/>
      <c r="IN235" s="2"/>
      <c r="IO235" s="2"/>
      <c r="IP235" s="2"/>
      <c r="IQ235" s="2"/>
      <c r="IR235" s="2"/>
      <c r="IS235" s="2"/>
      <c r="IT235" s="2"/>
      <c r="IU235" s="2"/>
    </row>
    <row r="236" spans="1:255" x14ac:dyDescent="0.2">
      <c r="A236">
        <v>18</v>
      </c>
      <c r="B236">
        <v>1</v>
      </c>
      <c r="C236">
        <v>108</v>
      </c>
      <c r="E236" t="s">
        <v>227</v>
      </c>
      <c r="F236" t="s">
        <v>228</v>
      </c>
      <c r="G236" t="s">
        <v>229</v>
      </c>
      <c r="H236" t="s">
        <v>124</v>
      </c>
      <c r="I236">
        <f>I234*J236</f>
        <v>1</v>
      </c>
      <c r="J236">
        <v>1</v>
      </c>
      <c r="K236">
        <v>1</v>
      </c>
      <c r="O236">
        <f t="shared" si="211"/>
        <v>25538.71</v>
      </c>
      <c r="P236">
        <f t="shared" si="212"/>
        <v>25538.71</v>
      </c>
      <c r="Q236">
        <f>(ROUND((ROUND(((ET236)*AV236*I236),2)*BB236),2)+ROUND((ROUND(((AE236-(EU236))*AV236*I236),2)*BS236),2))</f>
        <v>0</v>
      </c>
      <c r="R236">
        <f>(ROUND((ROUND(((EU236)*AV236*I236),2)*BS236),2)+ROUND((ROUND(((AE236-(EU236))*AV236*I236),2)*BS236),2))</f>
        <v>0</v>
      </c>
      <c r="S236">
        <f t="shared" si="213"/>
        <v>0</v>
      </c>
      <c r="T236">
        <f t="shared" si="214"/>
        <v>0</v>
      </c>
      <c r="U236">
        <f t="shared" si="215"/>
        <v>0</v>
      </c>
      <c r="V236">
        <f t="shared" si="216"/>
        <v>0</v>
      </c>
      <c r="W236">
        <f t="shared" si="217"/>
        <v>0</v>
      </c>
      <c r="X236">
        <f>(ROUND((((S236+ROUND((ROUND(((EU236)*AV236*I236),2)*BS236),2))*AT236)/100),2)+ROUND(((ROUND((ROUND(((AE236-(EU236))*AV236*I236),2)*BS236),2)*AT236)/100),2))</f>
        <v>0</v>
      </c>
      <c r="Y236">
        <f>(ROUND((((S236+ROUND((ROUND(((EU236)*AV236*I236),2)*BS236),2))*AU236)/100),2)+ROUND(((ROUND((ROUND(((AE236-(EU236))*AV236*I236),2)*BS236),2)*AU236)/100),2))</f>
        <v>0</v>
      </c>
      <c r="AA236">
        <v>59499215</v>
      </c>
      <c r="AB236">
        <f t="shared" si="218"/>
        <v>2584.89</v>
      </c>
      <c r="AC236">
        <f t="shared" si="219"/>
        <v>2584.89</v>
      </c>
      <c r="AD236">
        <f>ROUND((((ET236)-(EU236))+AE236),6)</f>
        <v>0</v>
      </c>
      <c r="AE236">
        <f>ROUND((EU236),6)</f>
        <v>0</v>
      </c>
      <c r="AF236">
        <f>ROUND((EV236),6)</f>
        <v>0</v>
      </c>
      <c r="AG236">
        <f t="shared" si="220"/>
        <v>0</v>
      </c>
      <c r="AH236">
        <f>(EW236)</f>
        <v>0</v>
      </c>
      <c r="AI236">
        <f>(EX236)</f>
        <v>0</v>
      </c>
      <c r="AJ236">
        <f t="shared" si="221"/>
        <v>0</v>
      </c>
      <c r="AK236">
        <v>2584.89</v>
      </c>
      <c r="AL236">
        <v>2584.89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84</v>
      </c>
      <c r="AU236">
        <v>53</v>
      </c>
      <c r="AV236">
        <v>1</v>
      </c>
      <c r="AW236">
        <v>1</v>
      </c>
      <c r="AZ236">
        <v>1</v>
      </c>
      <c r="BA236">
        <v>1</v>
      </c>
      <c r="BB236">
        <v>1</v>
      </c>
      <c r="BC236">
        <v>9.8800000000000008</v>
      </c>
      <c r="BD236" t="s">
        <v>3</v>
      </c>
      <c r="BE236" t="s">
        <v>3</v>
      </c>
      <c r="BF236" t="s">
        <v>3</v>
      </c>
      <c r="BG236" t="s">
        <v>3</v>
      </c>
      <c r="BH236">
        <v>3</v>
      </c>
      <c r="BI236">
        <v>1</v>
      </c>
      <c r="BJ236" t="s">
        <v>3</v>
      </c>
      <c r="BM236">
        <v>55</v>
      </c>
      <c r="BN236">
        <v>0</v>
      </c>
      <c r="BO236" t="s">
        <v>3</v>
      </c>
      <c r="BP236">
        <v>0</v>
      </c>
      <c r="BQ236">
        <v>30</v>
      </c>
      <c r="BR236">
        <v>0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 t="s">
        <v>3</v>
      </c>
      <c r="BZ236">
        <v>84</v>
      </c>
      <c r="CA236">
        <v>53</v>
      </c>
      <c r="CB236" t="s">
        <v>3</v>
      </c>
      <c r="CE236">
        <v>1566</v>
      </c>
      <c r="CF236">
        <v>0</v>
      </c>
      <c r="CG236">
        <v>0</v>
      </c>
      <c r="CM236">
        <v>0</v>
      </c>
      <c r="CN236" t="s">
        <v>3</v>
      </c>
      <c r="CO236">
        <v>0</v>
      </c>
      <c r="CP236">
        <f t="shared" si="222"/>
        <v>25538.71</v>
      </c>
      <c r="CQ236">
        <f t="shared" si="223"/>
        <v>25538.71</v>
      </c>
      <c r="CR236">
        <f>(ROUND((ROUND(((ET236)*AV236*1),2)*BB236),2)+ROUND((ROUND(((AE236-(EU236))*AV236*1),2)*BS236),2))</f>
        <v>0</v>
      </c>
      <c r="CS236">
        <f>(ROUND((ROUND(((EU236)*AV236*1),2)*BS236),2)+ROUND((ROUND(((AE236-(EU236))*AV236*1),2)*BS236),2))</f>
        <v>0</v>
      </c>
      <c r="CT236">
        <f t="shared" si="224"/>
        <v>0</v>
      </c>
      <c r="CU236">
        <f t="shared" si="225"/>
        <v>0</v>
      </c>
      <c r="CV236">
        <f t="shared" si="226"/>
        <v>0</v>
      </c>
      <c r="CW236">
        <f t="shared" si="227"/>
        <v>0</v>
      </c>
      <c r="CX236">
        <f t="shared" si="228"/>
        <v>0</v>
      </c>
      <c r="CY236">
        <f>(ROUND((((S236+ROUND((ROUND(((EU236)*AV236*1),2)*BS236),2))*AT236)/100),2)+ROUND(((ROUND((ROUND(((AE236-(EU236))*AV236*1),2)*BS236),2)*AT236)/100),2))</f>
        <v>0</v>
      </c>
      <c r="CZ236">
        <f>(ROUND((((S236+ROUND((ROUND(((EU236)*AV236*1),2)*BS236),2))*AU236)/100),2)+ROUND(((ROUND((ROUND(((AE236-(EU236))*AV236*1),2)*BS236),2)*AU236)/100),2))</f>
        <v>0</v>
      </c>
      <c r="DC236" t="s">
        <v>3</v>
      </c>
      <c r="DD236" t="s">
        <v>3</v>
      </c>
      <c r="DE236" t="s">
        <v>3</v>
      </c>
      <c r="DF236" t="s">
        <v>3</v>
      </c>
      <c r="DG236" t="s">
        <v>3</v>
      </c>
      <c r="DH236" t="s">
        <v>3</v>
      </c>
      <c r="DI236" t="s">
        <v>3</v>
      </c>
      <c r="DJ236" t="s">
        <v>3</v>
      </c>
      <c r="DK236" t="s">
        <v>3</v>
      </c>
      <c r="DL236" t="s">
        <v>3</v>
      </c>
      <c r="DM236" t="s">
        <v>3</v>
      </c>
      <c r="DN236">
        <v>0</v>
      </c>
      <c r="DO236">
        <v>0</v>
      </c>
      <c r="DP236">
        <v>1</v>
      </c>
      <c r="DQ236">
        <v>1</v>
      </c>
      <c r="DU236">
        <v>1010</v>
      </c>
      <c r="DV236" t="s">
        <v>124</v>
      </c>
      <c r="DW236" t="s">
        <v>124</v>
      </c>
      <c r="DX236">
        <v>1</v>
      </c>
      <c r="DZ236" t="s">
        <v>3</v>
      </c>
      <c r="EA236" t="s">
        <v>3</v>
      </c>
      <c r="EB236" t="s">
        <v>3</v>
      </c>
      <c r="EC236" t="s">
        <v>3</v>
      </c>
      <c r="EE236">
        <v>59298982</v>
      </c>
      <c r="EF236">
        <v>30</v>
      </c>
      <c r="EG236" t="s">
        <v>26</v>
      </c>
      <c r="EH236">
        <v>0</v>
      </c>
      <c r="EI236" t="s">
        <v>3</v>
      </c>
      <c r="EJ236">
        <v>1</v>
      </c>
      <c r="EK236">
        <v>55</v>
      </c>
      <c r="EL236" t="s">
        <v>152</v>
      </c>
      <c r="EM236" t="s">
        <v>153</v>
      </c>
      <c r="EO236" t="s">
        <v>3</v>
      </c>
      <c r="EQ236">
        <v>0</v>
      </c>
      <c r="ER236">
        <v>2584.89</v>
      </c>
      <c r="ES236">
        <v>2584.89</v>
      </c>
      <c r="ET236">
        <v>0</v>
      </c>
      <c r="EU236">
        <v>0</v>
      </c>
      <c r="EV236">
        <v>0</v>
      </c>
      <c r="EW236">
        <v>0</v>
      </c>
      <c r="EX236">
        <v>0</v>
      </c>
      <c r="EZ236">
        <v>5</v>
      </c>
      <c r="FC236">
        <v>1</v>
      </c>
      <c r="FD236">
        <v>18</v>
      </c>
      <c r="FF236">
        <v>30045.599999999999</v>
      </c>
      <c r="FQ236">
        <v>0</v>
      </c>
      <c r="FR236">
        <v>0</v>
      </c>
      <c r="FS236">
        <v>0</v>
      </c>
      <c r="FX236">
        <v>84</v>
      </c>
      <c r="FY236">
        <v>53</v>
      </c>
      <c r="GA236" t="s">
        <v>230</v>
      </c>
      <c r="GD236">
        <v>1</v>
      </c>
      <c r="GF236">
        <v>1111919097</v>
      </c>
      <c r="GG236">
        <v>2</v>
      </c>
      <c r="GH236">
        <v>3</v>
      </c>
      <c r="GI236">
        <v>3</v>
      </c>
      <c r="GJ236">
        <v>0</v>
      </c>
      <c r="GK236">
        <v>0</v>
      </c>
      <c r="GL236">
        <f t="shared" si="229"/>
        <v>0</v>
      </c>
      <c r="GM236">
        <f t="shared" si="230"/>
        <v>25538.71</v>
      </c>
      <c r="GN236">
        <f t="shared" si="231"/>
        <v>25538.71</v>
      </c>
      <c r="GO236">
        <f t="shared" si="232"/>
        <v>0</v>
      </c>
      <c r="GP236">
        <f t="shared" si="233"/>
        <v>0</v>
      </c>
      <c r="GR236">
        <v>1</v>
      </c>
      <c r="GS236">
        <v>1</v>
      </c>
      <c r="GT236">
        <v>0</v>
      </c>
      <c r="GU236" t="s">
        <v>3</v>
      </c>
      <c r="GV236">
        <f t="shared" si="234"/>
        <v>0</v>
      </c>
      <c r="GW236">
        <v>1</v>
      </c>
      <c r="GX236">
        <f t="shared" si="235"/>
        <v>0</v>
      </c>
      <c r="HA236">
        <v>0</v>
      </c>
      <c r="HB236">
        <v>0</v>
      </c>
      <c r="HC236">
        <f t="shared" si="236"/>
        <v>0</v>
      </c>
      <c r="HE236" t="s">
        <v>173</v>
      </c>
      <c r="HF236" t="s">
        <v>30</v>
      </c>
      <c r="HM236" t="s">
        <v>3</v>
      </c>
      <c r="HN236" t="s">
        <v>3</v>
      </c>
      <c r="HO236" t="s">
        <v>3</v>
      </c>
      <c r="HP236" t="s">
        <v>3</v>
      </c>
      <c r="HQ236" t="s">
        <v>3</v>
      </c>
      <c r="HS236">
        <v>0</v>
      </c>
      <c r="IK236">
        <v>0</v>
      </c>
    </row>
    <row r="238" spans="1:255" x14ac:dyDescent="0.2">
      <c r="A238" s="3">
        <v>51</v>
      </c>
      <c r="B238" s="3">
        <f>B161</f>
        <v>1</v>
      </c>
      <c r="C238" s="3">
        <f>A161</f>
        <v>4</v>
      </c>
      <c r="D238" s="3">
        <f>ROW(A161)</f>
        <v>161</v>
      </c>
      <c r="E238" s="3"/>
      <c r="F238" s="3" t="str">
        <f>IF(F161&lt;&gt;"",F161,"")</f>
        <v/>
      </c>
      <c r="G238" s="3" t="str">
        <f>IF(G161&lt;&gt;"",G161,"")</f>
        <v>Информационно-тактильные знаки</v>
      </c>
      <c r="H238" s="3">
        <v>0</v>
      </c>
      <c r="I238" s="3"/>
      <c r="J238" s="3"/>
      <c r="K238" s="3"/>
      <c r="L238" s="3"/>
      <c r="M238" s="3"/>
      <c r="N238" s="3"/>
      <c r="O238" s="3">
        <f t="shared" ref="O238:T238" si="237">ROUND(AB238,2)</f>
        <v>14931.16</v>
      </c>
      <c r="P238" s="3">
        <f t="shared" si="237"/>
        <v>14074.2</v>
      </c>
      <c r="Q238" s="3">
        <f t="shared" si="237"/>
        <v>0</v>
      </c>
      <c r="R238" s="3">
        <f t="shared" si="237"/>
        <v>0</v>
      </c>
      <c r="S238" s="3">
        <f t="shared" si="237"/>
        <v>856.96</v>
      </c>
      <c r="T238" s="3">
        <f t="shared" si="237"/>
        <v>0</v>
      </c>
      <c r="U238" s="3">
        <f>AH238</f>
        <v>57.202287999999974</v>
      </c>
      <c r="V238" s="3">
        <f>AI238</f>
        <v>0</v>
      </c>
      <c r="W238" s="3">
        <f>ROUND(AJ238,2)</f>
        <v>0</v>
      </c>
      <c r="X238" s="3">
        <f>ROUND(AK238,2)</f>
        <v>719.86</v>
      </c>
      <c r="Y238" s="3">
        <f>ROUND(AL238,2)</f>
        <v>454.18</v>
      </c>
      <c r="Z238" s="3"/>
      <c r="AA238" s="3"/>
      <c r="AB238" s="3">
        <f>ROUND(SUMIF(AA165:AA236,"=59499218",O165:O236),2)</f>
        <v>14931.16</v>
      </c>
      <c r="AC238" s="3">
        <f>ROUND(SUMIF(AA165:AA236,"=59499218",P165:P236),2)</f>
        <v>14074.2</v>
      </c>
      <c r="AD238" s="3">
        <f>ROUND(SUMIF(AA165:AA236,"=59499218",Q165:Q236),2)</f>
        <v>0</v>
      </c>
      <c r="AE238" s="3">
        <f>ROUND(SUMIF(AA165:AA236,"=59499218",R165:R236),2)</f>
        <v>0</v>
      </c>
      <c r="AF238" s="3">
        <f>ROUND(SUMIF(AA165:AA236,"=59499218",S165:S236),2)</f>
        <v>856.96</v>
      </c>
      <c r="AG238" s="3">
        <f>ROUND(SUMIF(AA165:AA236,"=59499218",T165:T236),2)</f>
        <v>0</v>
      </c>
      <c r="AH238" s="3">
        <f>SUMIF(AA165:AA236,"=59499218",U165:U236)</f>
        <v>57.202287999999974</v>
      </c>
      <c r="AI238" s="3">
        <f>SUMIF(AA165:AA236,"=59499218",V165:V236)</f>
        <v>0</v>
      </c>
      <c r="AJ238" s="3">
        <f>ROUND(SUMIF(AA165:AA236,"=59499218",W165:W236),2)</f>
        <v>0</v>
      </c>
      <c r="AK238" s="3">
        <f>ROUND(SUMIF(AA165:AA236,"=59499218",X165:X236),2)</f>
        <v>719.86</v>
      </c>
      <c r="AL238" s="3">
        <f>ROUND(SUMIF(AA165:AA236,"=59499218",Y165:Y236),2)</f>
        <v>454.18</v>
      </c>
      <c r="AM238" s="3"/>
      <c r="AN238" s="3"/>
      <c r="AO238" s="3">
        <f t="shared" ref="AO238:BD238" si="238">ROUND(BX238,2)</f>
        <v>0</v>
      </c>
      <c r="AP238" s="3">
        <f t="shared" si="238"/>
        <v>0</v>
      </c>
      <c r="AQ238" s="3">
        <f t="shared" si="238"/>
        <v>0</v>
      </c>
      <c r="AR238" s="3">
        <f t="shared" si="238"/>
        <v>16105.2</v>
      </c>
      <c r="AS238" s="3">
        <f t="shared" si="238"/>
        <v>16105.2</v>
      </c>
      <c r="AT238" s="3">
        <f t="shared" si="238"/>
        <v>0</v>
      </c>
      <c r="AU238" s="3">
        <f t="shared" si="238"/>
        <v>0</v>
      </c>
      <c r="AV238" s="3">
        <f t="shared" si="238"/>
        <v>14074.2</v>
      </c>
      <c r="AW238" s="3">
        <f t="shared" si="238"/>
        <v>14074.2</v>
      </c>
      <c r="AX238" s="3">
        <f t="shared" si="238"/>
        <v>0</v>
      </c>
      <c r="AY238" s="3">
        <f t="shared" si="238"/>
        <v>14074.2</v>
      </c>
      <c r="AZ238" s="3">
        <f t="shared" si="238"/>
        <v>0</v>
      </c>
      <c r="BA238" s="3">
        <f t="shared" si="238"/>
        <v>0</v>
      </c>
      <c r="BB238" s="3">
        <f t="shared" si="238"/>
        <v>0</v>
      </c>
      <c r="BC238" s="3">
        <f t="shared" si="238"/>
        <v>0</v>
      </c>
      <c r="BD238" s="3">
        <f t="shared" si="238"/>
        <v>0</v>
      </c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>
        <f>ROUND(SUMIF(AA165:AA236,"=59499218",FQ165:FQ236),2)</f>
        <v>0</v>
      </c>
      <c r="BY238" s="3">
        <f>ROUND(SUMIF(AA165:AA236,"=59499218",FR165:FR236),2)</f>
        <v>0</v>
      </c>
      <c r="BZ238" s="3">
        <f>ROUND(SUMIF(AA165:AA236,"=59499218",GL165:GL236),2)</f>
        <v>0</v>
      </c>
      <c r="CA238" s="3">
        <f>ROUND(SUMIF(AA165:AA236,"=59499218",GM165:GM236),2)</f>
        <v>16105.2</v>
      </c>
      <c r="CB238" s="3">
        <f>ROUND(SUMIF(AA165:AA236,"=59499218",GN165:GN236),2)</f>
        <v>16105.2</v>
      </c>
      <c r="CC238" s="3">
        <f>ROUND(SUMIF(AA165:AA236,"=59499218",GO165:GO236),2)</f>
        <v>0</v>
      </c>
      <c r="CD238" s="3">
        <f>ROUND(SUMIF(AA165:AA236,"=59499218",GP165:GP236),2)</f>
        <v>0</v>
      </c>
      <c r="CE238" s="3">
        <f>AC238-BX238</f>
        <v>14074.2</v>
      </c>
      <c r="CF238" s="3">
        <f>AC238-BY238</f>
        <v>14074.2</v>
      </c>
      <c r="CG238" s="3">
        <f>BX238-BZ238</f>
        <v>0</v>
      </c>
      <c r="CH238" s="3">
        <f>AC238-BX238-BY238+BZ238</f>
        <v>14074.2</v>
      </c>
      <c r="CI238" s="3">
        <f>BY238-BZ238</f>
        <v>0</v>
      </c>
      <c r="CJ238" s="3">
        <f>ROUND(SUMIF(AA165:AA236,"=59499218",GX165:GX236),2)</f>
        <v>0</v>
      </c>
      <c r="CK238" s="3">
        <f>ROUND(SUMIF(AA165:AA236,"=59499218",GY165:GY236),2)</f>
        <v>0</v>
      </c>
      <c r="CL238" s="3">
        <f>ROUND(SUMIF(AA165:AA236,"=59499218",GZ165:GZ236),2)</f>
        <v>0</v>
      </c>
      <c r="CM238" s="3">
        <f>ROUND(SUMIF(AA165:AA236,"=59499218",HD165:HD236),2)</f>
        <v>0</v>
      </c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4">
        <f t="shared" ref="DG238:DL238" si="239">ROUND(DT238,2)</f>
        <v>134266.59</v>
      </c>
      <c r="DH238" s="4">
        <f t="shared" si="239"/>
        <v>87142.37</v>
      </c>
      <c r="DI238" s="4">
        <f t="shared" si="239"/>
        <v>0</v>
      </c>
      <c r="DJ238" s="4">
        <f t="shared" si="239"/>
        <v>0</v>
      </c>
      <c r="DK238" s="4">
        <f t="shared" si="239"/>
        <v>47124.22</v>
      </c>
      <c r="DL238" s="4">
        <f t="shared" si="239"/>
        <v>0</v>
      </c>
      <c r="DM238" s="4">
        <f>DZ238</f>
        <v>57.202287999999974</v>
      </c>
      <c r="DN238" s="4">
        <f>EA238</f>
        <v>0</v>
      </c>
      <c r="DO238" s="4">
        <f>ROUND(EB238,2)</f>
        <v>0</v>
      </c>
      <c r="DP238" s="4">
        <f>ROUND(EC238,2)</f>
        <v>39584.36</v>
      </c>
      <c r="DQ238" s="4">
        <f>ROUND(ED238,2)</f>
        <v>24975.84</v>
      </c>
      <c r="DR238" s="4"/>
      <c r="DS238" s="4"/>
      <c r="DT238" s="4">
        <f>ROUND(SUMIF(AA165:AA236,"=59499215",O165:O236),2)</f>
        <v>134266.59</v>
      </c>
      <c r="DU238" s="4">
        <f>ROUND(SUMIF(AA165:AA236,"=59499215",P165:P236),2)</f>
        <v>87142.37</v>
      </c>
      <c r="DV238" s="4">
        <f>ROUND(SUMIF(AA165:AA236,"=59499215",Q165:Q236),2)</f>
        <v>0</v>
      </c>
      <c r="DW238" s="4">
        <f>ROUND(SUMIF(AA165:AA236,"=59499215",R165:R236),2)</f>
        <v>0</v>
      </c>
      <c r="DX238" s="4">
        <f>ROUND(SUMIF(AA165:AA236,"=59499215",S165:S236),2)</f>
        <v>47124.22</v>
      </c>
      <c r="DY238" s="4">
        <f>ROUND(SUMIF(AA165:AA236,"=59499215",T165:T236),2)</f>
        <v>0</v>
      </c>
      <c r="DZ238" s="4">
        <f>SUMIF(AA165:AA236,"=59499215",U165:U236)</f>
        <v>57.202287999999974</v>
      </c>
      <c r="EA238" s="4">
        <f>SUMIF(AA165:AA236,"=59499215",V165:V236)</f>
        <v>0</v>
      </c>
      <c r="EB238" s="4">
        <f>ROUND(SUMIF(AA165:AA236,"=59499215",W165:W236),2)</f>
        <v>0</v>
      </c>
      <c r="EC238" s="4">
        <f>ROUND(SUMIF(AA165:AA236,"=59499215",X165:X236),2)</f>
        <v>39584.36</v>
      </c>
      <c r="ED238" s="4">
        <f>ROUND(SUMIF(AA165:AA236,"=59499215",Y165:Y236),2)</f>
        <v>24975.84</v>
      </c>
      <c r="EE238" s="4"/>
      <c r="EF238" s="4"/>
      <c r="EG238" s="4">
        <f t="shared" ref="EG238:EV238" si="240">ROUND(FP238,2)</f>
        <v>0</v>
      </c>
      <c r="EH238" s="4">
        <f t="shared" si="240"/>
        <v>0</v>
      </c>
      <c r="EI238" s="4">
        <f t="shared" si="240"/>
        <v>0</v>
      </c>
      <c r="EJ238" s="4">
        <f t="shared" si="240"/>
        <v>198826.79</v>
      </c>
      <c r="EK238" s="4">
        <f t="shared" si="240"/>
        <v>198826.79</v>
      </c>
      <c r="EL238" s="4">
        <f t="shared" si="240"/>
        <v>0</v>
      </c>
      <c r="EM238" s="4">
        <f t="shared" si="240"/>
        <v>0</v>
      </c>
      <c r="EN238" s="4">
        <f t="shared" si="240"/>
        <v>87142.37</v>
      </c>
      <c r="EO238" s="4">
        <f t="shared" si="240"/>
        <v>87142.37</v>
      </c>
      <c r="EP238" s="4">
        <f t="shared" si="240"/>
        <v>0</v>
      </c>
      <c r="EQ238" s="4">
        <f t="shared" si="240"/>
        <v>87142.37</v>
      </c>
      <c r="ER238" s="4">
        <f t="shared" si="240"/>
        <v>0</v>
      </c>
      <c r="ES238" s="4">
        <f t="shared" si="240"/>
        <v>0</v>
      </c>
      <c r="ET238" s="4">
        <f t="shared" si="240"/>
        <v>0</v>
      </c>
      <c r="EU238" s="4">
        <f t="shared" si="240"/>
        <v>0</v>
      </c>
      <c r="EV238" s="4">
        <f t="shared" si="240"/>
        <v>0</v>
      </c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>
        <f>ROUND(SUMIF(AA165:AA236,"=59499215",FQ165:FQ236),2)</f>
        <v>0</v>
      </c>
      <c r="FQ238" s="4">
        <f>ROUND(SUMIF(AA165:AA236,"=59499215",FR165:FR236),2)</f>
        <v>0</v>
      </c>
      <c r="FR238" s="4">
        <f>ROUND(SUMIF(AA165:AA236,"=59499215",GL165:GL236),2)</f>
        <v>0</v>
      </c>
      <c r="FS238" s="4">
        <f>ROUND(SUMIF(AA165:AA236,"=59499215",GM165:GM236),2)</f>
        <v>198826.79</v>
      </c>
      <c r="FT238" s="4">
        <f>ROUND(SUMIF(AA165:AA236,"=59499215",GN165:GN236),2)</f>
        <v>198826.79</v>
      </c>
      <c r="FU238" s="4">
        <f>ROUND(SUMIF(AA165:AA236,"=59499215",GO165:GO236),2)</f>
        <v>0</v>
      </c>
      <c r="FV238" s="4">
        <f>ROUND(SUMIF(AA165:AA236,"=59499215",GP165:GP236),2)</f>
        <v>0</v>
      </c>
      <c r="FW238" s="4">
        <f>DU238-FP238</f>
        <v>87142.37</v>
      </c>
      <c r="FX238" s="4">
        <f>DU238-FQ238</f>
        <v>87142.37</v>
      </c>
      <c r="FY238" s="4">
        <f>FP238-FR238</f>
        <v>0</v>
      </c>
      <c r="FZ238" s="4">
        <f>DU238-FP238-FQ238+FR238</f>
        <v>87142.37</v>
      </c>
      <c r="GA238" s="4">
        <f>FQ238-FR238</f>
        <v>0</v>
      </c>
      <c r="GB238" s="4">
        <f>ROUND(SUMIF(AA165:AA236,"=59499215",GX165:GX236),2)</f>
        <v>0</v>
      </c>
      <c r="GC238" s="4">
        <f>ROUND(SUMIF(AA165:AA236,"=59499215",GY165:GY236),2)</f>
        <v>0</v>
      </c>
      <c r="GD238" s="4">
        <f>ROUND(SUMIF(AA165:AA236,"=59499215",GZ165:GZ236),2)</f>
        <v>0</v>
      </c>
      <c r="GE238" s="4">
        <f>ROUND(SUMIF(AA165:AA236,"=59499215",HD165:HD236),2)</f>
        <v>0</v>
      </c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>
        <v>0</v>
      </c>
    </row>
    <row r="240" spans="1:255" x14ac:dyDescent="0.2">
      <c r="A240" s="5">
        <v>50</v>
      </c>
      <c r="B240" s="5">
        <v>0</v>
      </c>
      <c r="C240" s="5">
        <v>0</v>
      </c>
      <c r="D240" s="5">
        <v>1</v>
      </c>
      <c r="E240" s="5">
        <v>201</v>
      </c>
      <c r="F240" s="5">
        <f>ROUND(Source!O238,O240)</f>
        <v>14931.16</v>
      </c>
      <c r="G240" s="5" t="s">
        <v>46</v>
      </c>
      <c r="H240" s="5" t="s">
        <v>47</v>
      </c>
      <c r="I240" s="5"/>
      <c r="J240" s="5"/>
      <c r="K240" s="5">
        <v>201</v>
      </c>
      <c r="L240" s="5">
        <v>1</v>
      </c>
      <c r="M240" s="5">
        <v>3</v>
      </c>
      <c r="N240" s="5" t="s">
        <v>3</v>
      </c>
      <c r="O240" s="5">
        <v>2</v>
      </c>
      <c r="P240" s="5">
        <f>ROUND(Source!DG238,O240)</f>
        <v>134266.59</v>
      </c>
      <c r="Q240" s="5"/>
      <c r="R240" s="5"/>
      <c r="S240" s="5"/>
      <c r="T240" s="5"/>
      <c r="U240" s="5"/>
      <c r="V240" s="5"/>
      <c r="W240" s="5">
        <v>14931.16</v>
      </c>
      <c r="X240" s="5">
        <v>1</v>
      </c>
      <c r="Y240" s="5">
        <v>14931.16</v>
      </c>
      <c r="Z240" s="5">
        <v>134266.59</v>
      </c>
      <c r="AA240" s="5">
        <v>1</v>
      </c>
      <c r="AB240" s="5">
        <v>134266.59</v>
      </c>
    </row>
    <row r="241" spans="1:28" x14ac:dyDescent="0.2">
      <c r="A241" s="5">
        <v>50</v>
      </c>
      <c r="B241" s="5">
        <v>0</v>
      </c>
      <c r="C241" s="5">
        <v>0</v>
      </c>
      <c r="D241" s="5">
        <v>1</v>
      </c>
      <c r="E241" s="5">
        <v>202</v>
      </c>
      <c r="F241" s="5">
        <f>ROUND(Source!P238,O241)</f>
        <v>14074.2</v>
      </c>
      <c r="G241" s="5" t="s">
        <v>48</v>
      </c>
      <c r="H241" s="5" t="s">
        <v>49</v>
      </c>
      <c r="I241" s="5"/>
      <c r="J241" s="5"/>
      <c r="K241" s="5">
        <v>202</v>
      </c>
      <c r="L241" s="5">
        <v>2</v>
      </c>
      <c r="M241" s="5">
        <v>3</v>
      </c>
      <c r="N241" s="5" t="s">
        <v>3</v>
      </c>
      <c r="O241" s="5">
        <v>2</v>
      </c>
      <c r="P241" s="5">
        <f>ROUND(Source!DH238,O241)</f>
        <v>87142.37</v>
      </c>
      <c r="Q241" s="5"/>
      <c r="R241" s="5"/>
      <c r="S241" s="5"/>
      <c r="T241" s="5"/>
      <c r="U241" s="5"/>
      <c r="V241" s="5"/>
      <c r="W241" s="5">
        <v>14074.2</v>
      </c>
      <c r="X241" s="5">
        <v>1</v>
      </c>
      <c r="Y241" s="5">
        <v>14074.2</v>
      </c>
      <c r="Z241" s="5">
        <v>87142.37</v>
      </c>
      <c r="AA241" s="5">
        <v>1</v>
      </c>
      <c r="AB241" s="5">
        <v>87142.37</v>
      </c>
    </row>
    <row r="242" spans="1:28" x14ac:dyDescent="0.2">
      <c r="A242" s="5">
        <v>50</v>
      </c>
      <c r="B242" s="5">
        <v>0</v>
      </c>
      <c r="C242" s="5">
        <v>0</v>
      </c>
      <c r="D242" s="5">
        <v>1</v>
      </c>
      <c r="E242" s="5">
        <v>222</v>
      </c>
      <c r="F242" s="5">
        <f>ROUND(Source!AO238,O242)</f>
        <v>0</v>
      </c>
      <c r="G242" s="5" t="s">
        <v>50</v>
      </c>
      <c r="H242" s="5" t="s">
        <v>51</v>
      </c>
      <c r="I242" s="5"/>
      <c r="J242" s="5"/>
      <c r="K242" s="5">
        <v>222</v>
      </c>
      <c r="L242" s="5">
        <v>3</v>
      </c>
      <c r="M242" s="5">
        <v>3</v>
      </c>
      <c r="N242" s="5" t="s">
        <v>3</v>
      </c>
      <c r="O242" s="5">
        <v>2</v>
      </c>
      <c r="P242" s="5">
        <f>ROUND(Source!EG238,O242)</f>
        <v>0</v>
      </c>
      <c r="Q242" s="5"/>
      <c r="R242" s="5"/>
      <c r="S242" s="5"/>
      <c r="T242" s="5"/>
      <c r="U242" s="5"/>
      <c r="V242" s="5"/>
      <c r="W242" s="5">
        <v>0</v>
      </c>
      <c r="X242" s="5">
        <v>1</v>
      </c>
      <c r="Y242" s="5">
        <v>0</v>
      </c>
      <c r="Z242" s="5">
        <v>0</v>
      </c>
      <c r="AA242" s="5">
        <v>1</v>
      </c>
      <c r="AB242" s="5">
        <v>0</v>
      </c>
    </row>
    <row r="243" spans="1:28" x14ac:dyDescent="0.2">
      <c r="A243" s="5">
        <v>50</v>
      </c>
      <c r="B243" s="5">
        <v>0</v>
      </c>
      <c r="C243" s="5">
        <v>0</v>
      </c>
      <c r="D243" s="5">
        <v>1</v>
      </c>
      <c r="E243" s="5">
        <v>225</v>
      </c>
      <c r="F243" s="5">
        <f>ROUND(Source!AV238,O243)</f>
        <v>14074.2</v>
      </c>
      <c r="G243" s="5" t="s">
        <v>52</v>
      </c>
      <c r="H243" s="5" t="s">
        <v>53</v>
      </c>
      <c r="I243" s="5"/>
      <c r="J243" s="5"/>
      <c r="K243" s="5">
        <v>225</v>
      </c>
      <c r="L243" s="5">
        <v>4</v>
      </c>
      <c r="M243" s="5">
        <v>3</v>
      </c>
      <c r="N243" s="5" t="s">
        <v>3</v>
      </c>
      <c r="O243" s="5">
        <v>2</v>
      </c>
      <c r="P243" s="5">
        <f>ROUND(Source!EN238,O243)</f>
        <v>87142.37</v>
      </c>
      <c r="Q243" s="5"/>
      <c r="R243" s="5"/>
      <c r="S243" s="5"/>
      <c r="T243" s="5"/>
      <c r="U243" s="5"/>
      <c r="V243" s="5"/>
      <c r="W243" s="5">
        <v>14074.2</v>
      </c>
      <c r="X243" s="5">
        <v>1</v>
      </c>
      <c r="Y243" s="5">
        <v>14074.2</v>
      </c>
      <c r="Z243" s="5">
        <v>87142.37</v>
      </c>
      <c r="AA243" s="5">
        <v>1</v>
      </c>
      <c r="AB243" s="5">
        <v>87142.37</v>
      </c>
    </row>
    <row r="244" spans="1:28" x14ac:dyDescent="0.2">
      <c r="A244" s="5">
        <v>50</v>
      </c>
      <c r="B244" s="5">
        <v>0</v>
      </c>
      <c r="C244" s="5">
        <v>0</v>
      </c>
      <c r="D244" s="5">
        <v>1</v>
      </c>
      <c r="E244" s="5">
        <v>226</v>
      </c>
      <c r="F244" s="5">
        <f>ROUND(Source!AW238,O244)</f>
        <v>14074.2</v>
      </c>
      <c r="G244" s="5" t="s">
        <v>54</v>
      </c>
      <c r="H244" s="5" t="s">
        <v>55</v>
      </c>
      <c r="I244" s="5"/>
      <c r="J244" s="5"/>
      <c r="K244" s="5">
        <v>226</v>
      </c>
      <c r="L244" s="5">
        <v>5</v>
      </c>
      <c r="M244" s="5">
        <v>3</v>
      </c>
      <c r="N244" s="5" t="s">
        <v>3</v>
      </c>
      <c r="O244" s="5">
        <v>2</v>
      </c>
      <c r="P244" s="5">
        <f>ROUND(Source!EO238,O244)</f>
        <v>87142.37</v>
      </c>
      <c r="Q244" s="5"/>
      <c r="R244" s="5"/>
      <c r="S244" s="5"/>
      <c r="T244" s="5"/>
      <c r="U244" s="5"/>
      <c r="V244" s="5"/>
      <c r="W244" s="5">
        <v>14074.2</v>
      </c>
      <c r="X244" s="5">
        <v>1</v>
      </c>
      <c r="Y244" s="5">
        <v>14074.2</v>
      </c>
      <c r="Z244" s="5">
        <v>87142.37</v>
      </c>
      <c r="AA244" s="5">
        <v>1</v>
      </c>
      <c r="AB244" s="5">
        <v>87142.37</v>
      </c>
    </row>
    <row r="245" spans="1:28" x14ac:dyDescent="0.2">
      <c r="A245" s="5">
        <v>50</v>
      </c>
      <c r="B245" s="5">
        <v>0</v>
      </c>
      <c r="C245" s="5">
        <v>0</v>
      </c>
      <c r="D245" s="5">
        <v>1</v>
      </c>
      <c r="E245" s="5">
        <v>227</v>
      </c>
      <c r="F245" s="5">
        <f>ROUND(Source!AX238,O245)</f>
        <v>0</v>
      </c>
      <c r="G245" s="5" t="s">
        <v>56</v>
      </c>
      <c r="H245" s="5" t="s">
        <v>57</v>
      </c>
      <c r="I245" s="5"/>
      <c r="J245" s="5"/>
      <c r="K245" s="5">
        <v>227</v>
      </c>
      <c r="L245" s="5">
        <v>6</v>
      </c>
      <c r="M245" s="5">
        <v>3</v>
      </c>
      <c r="N245" s="5" t="s">
        <v>3</v>
      </c>
      <c r="O245" s="5">
        <v>2</v>
      </c>
      <c r="P245" s="5">
        <f>ROUND(Source!EP238,O245)</f>
        <v>0</v>
      </c>
      <c r="Q245" s="5"/>
      <c r="R245" s="5"/>
      <c r="S245" s="5"/>
      <c r="T245" s="5"/>
      <c r="U245" s="5"/>
      <c r="V245" s="5"/>
      <c r="W245" s="5">
        <v>0</v>
      </c>
      <c r="X245" s="5">
        <v>1</v>
      </c>
      <c r="Y245" s="5">
        <v>0</v>
      </c>
      <c r="Z245" s="5">
        <v>0</v>
      </c>
      <c r="AA245" s="5">
        <v>1</v>
      </c>
      <c r="AB245" s="5">
        <v>0</v>
      </c>
    </row>
    <row r="246" spans="1:28" x14ac:dyDescent="0.2">
      <c r="A246" s="5">
        <v>50</v>
      </c>
      <c r="B246" s="5">
        <v>0</v>
      </c>
      <c r="C246" s="5">
        <v>0</v>
      </c>
      <c r="D246" s="5">
        <v>1</v>
      </c>
      <c r="E246" s="5">
        <v>228</v>
      </c>
      <c r="F246" s="5">
        <f>ROUND(Source!AY238,O246)</f>
        <v>14074.2</v>
      </c>
      <c r="G246" s="5" t="s">
        <v>58</v>
      </c>
      <c r="H246" s="5" t="s">
        <v>59</v>
      </c>
      <c r="I246" s="5"/>
      <c r="J246" s="5"/>
      <c r="K246" s="5">
        <v>228</v>
      </c>
      <c r="L246" s="5">
        <v>7</v>
      </c>
      <c r="M246" s="5">
        <v>3</v>
      </c>
      <c r="N246" s="5" t="s">
        <v>3</v>
      </c>
      <c r="O246" s="5">
        <v>2</v>
      </c>
      <c r="P246" s="5">
        <f>ROUND(Source!EQ238,O246)</f>
        <v>87142.37</v>
      </c>
      <c r="Q246" s="5"/>
      <c r="R246" s="5"/>
      <c r="S246" s="5"/>
      <c r="T246" s="5"/>
      <c r="U246" s="5"/>
      <c r="V246" s="5"/>
      <c r="W246" s="5">
        <v>14074.2</v>
      </c>
      <c r="X246" s="5">
        <v>1</v>
      </c>
      <c r="Y246" s="5">
        <v>14074.2</v>
      </c>
      <c r="Z246" s="5">
        <v>87142.37</v>
      </c>
      <c r="AA246" s="5">
        <v>1</v>
      </c>
      <c r="AB246" s="5">
        <v>87142.37</v>
      </c>
    </row>
    <row r="247" spans="1:28" x14ac:dyDescent="0.2">
      <c r="A247" s="5">
        <v>50</v>
      </c>
      <c r="B247" s="5">
        <v>0</v>
      </c>
      <c r="C247" s="5">
        <v>0</v>
      </c>
      <c r="D247" s="5">
        <v>1</v>
      </c>
      <c r="E247" s="5">
        <v>216</v>
      </c>
      <c r="F247" s="5">
        <f>ROUND(Source!AP238,O247)</f>
        <v>0</v>
      </c>
      <c r="G247" s="5" t="s">
        <v>60</v>
      </c>
      <c r="H247" s="5" t="s">
        <v>61</v>
      </c>
      <c r="I247" s="5"/>
      <c r="J247" s="5"/>
      <c r="K247" s="5">
        <v>216</v>
      </c>
      <c r="L247" s="5">
        <v>8</v>
      </c>
      <c r="M247" s="5">
        <v>3</v>
      </c>
      <c r="N247" s="5" t="s">
        <v>3</v>
      </c>
      <c r="O247" s="5">
        <v>2</v>
      </c>
      <c r="P247" s="5">
        <f>ROUND(Source!EH238,O247)</f>
        <v>0</v>
      </c>
      <c r="Q247" s="5"/>
      <c r="R247" s="5"/>
      <c r="S247" s="5"/>
      <c r="T247" s="5"/>
      <c r="U247" s="5"/>
      <c r="V247" s="5"/>
      <c r="W247" s="5">
        <v>0</v>
      </c>
      <c r="X247" s="5">
        <v>1</v>
      </c>
      <c r="Y247" s="5">
        <v>0</v>
      </c>
      <c r="Z247" s="5">
        <v>0</v>
      </c>
      <c r="AA247" s="5">
        <v>1</v>
      </c>
      <c r="AB247" s="5">
        <v>0</v>
      </c>
    </row>
    <row r="248" spans="1:28" x14ac:dyDescent="0.2">
      <c r="A248" s="5">
        <v>50</v>
      </c>
      <c r="B248" s="5">
        <v>0</v>
      </c>
      <c r="C248" s="5">
        <v>0</v>
      </c>
      <c r="D248" s="5">
        <v>1</v>
      </c>
      <c r="E248" s="5">
        <v>223</v>
      </c>
      <c r="F248" s="5">
        <f>ROUND(Source!AQ238,O248)</f>
        <v>0</v>
      </c>
      <c r="G248" s="5" t="s">
        <v>62</v>
      </c>
      <c r="H248" s="5" t="s">
        <v>63</v>
      </c>
      <c r="I248" s="5"/>
      <c r="J248" s="5"/>
      <c r="K248" s="5">
        <v>223</v>
      </c>
      <c r="L248" s="5">
        <v>9</v>
      </c>
      <c r="M248" s="5">
        <v>3</v>
      </c>
      <c r="N248" s="5" t="s">
        <v>3</v>
      </c>
      <c r="O248" s="5">
        <v>2</v>
      </c>
      <c r="P248" s="5">
        <f>ROUND(Source!EI238,O248)</f>
        <v>0</v>
      </c>
      <c r="Q248" s="5"/>
      <c r="R248" s="5"/>
      <c r="S248" s="5"/>
      <c r="T248" s="5"/>
      <c r="U248" s="5"/>
      <c r="V248" s="5"/>
      <c r="W248" s="5">
        <v>0</v>
      </c>
      <c r="X248" s="5">
        <v>1</v>
      </c>
      <c r="Y248" s="5">
        <v>0</v>
      </c>
      <c r="Z248" s="5">
        <v>0</v>
      </c>
      <c r="AA248" s="5">
        <v>1</v>
      </c>
      <c r="AB248" s="5">
        <v>0</v>
      </c>
    </row>
    <row r="249" spans="1:28" x14ac:dyDescent="0.2">
      <c r="A249" s="5">
        <v>50</v>
      </c>
      <c r="B249" s="5">
        <v>0</v>
      </c>
      <c r="C249" s="5">
        <v>0</v>
      </c>
      <c r="D249" s="5">
        <v>1</v>
      </c>
      <c r="E249" s="5">
        <v>229</v>
      </c>
      <c r="F249" s="5">
        <f>ROUND(Source!AZ238,O249)</f>
        <v>0</v>
      </c>
      <c r="G249" s="5" t="s">
        <v>64</v>
      </c>
      <c r="H249" s="5" t="s">
        <v>65</v>
      </c>
      <c r="I249" s="5"/>
      <c r="J249" s="5"/>
      <c r="K249" s="5">
        <v>229</v>
      </c>
      <c r="L249" s="5">
        <v>10</v>
      </c>
      <c r="M249" s="5">
        <v>3</v>
      </c>
      <c r="N249" s="5" t="s">
        <v>3</v>
      </c>
      <c r="O249" s="5">
        <v>2</v>
      </c>
      <c r="P249" s="5">
        <f>ROUND(Source!ER238,O249)</f>
        <v>0</v>
      </c>
      <c r="Q249" s="5"/>
      <c r="R249" s="5"/>
      <c r="S249" s="5"/>
      <c r="T249" s="5"/>
      <c r="U249" s="5"/>
      <c r="V249" s="5"/>
      <c r="W249" s="5">
        <v>0</v>
      </c>
      <c r="X249" s="5">
        <v>1</v>
      </c>
      <c r="Y249" s="5">
        <v>0</v>
      </c>
      <c r="Z249" s="5">
        <v>0</v>
      </c>
      <c r="AA249" s="5">
        <v>1</v>
      </c>
      <c r="AB249" s="5">
        <v>0</v>
      </c>
    </row>
    <row r="250" spans="1:28" x14ac:dyDescent="0.2">
      <c r="A250" s="5">
        <v>50</v>
      </c>
      <c r="B250" s="5">
        <v>0</v>
      </c>
      <c r="C250" s="5">
        <v>0</v>
      </c>
      <c r="D250" s="5">
        <v>1</v>
      </c>
      <c r="E250" s="5">
        <v>203</v>
      </c>
      <c r="F250" s="5">
        <f>ROUND(Source!Q238,O250)</f>
        <v>0</v>
      </c>
      <c r="G250" s="5" t="s">
        <v>66</v>
      </c>
      <c r="H250" s="5" t="s">
        <v>67</v>
      </c>
      <c r="I250" s="5"/>
      <c r="J250" s="5"/>
      <c r="K250" s="5">
        <v>203</v>
      </c>
      <c r="L250" s="5">
        <v>11</v>
      </c>
      <c r="M250" s="5">
        <v>3</v>
      </c>
      <c r="N250" s="5" t="s">
        <v>3</v>
      </c>
      <c r="O250" s="5">
        <v>2</v>
      </c>
      <c r="P250" s="5">
        <f>ROUND(Source!DI238,O250)</f>
        <v>0</v>
      </c>
      <c r="Q250" s="5"/>
      <c r="R250" s="5"/>
      <c r="S250" s="5"/>
      <c r="T250" s="5"/>
      <c r="U250" s="5"/>
      <c r="V250" s="5"/>
      <c r="W250" s="5">
        <v>0</v>
      </c>
      <c r="X250" s="5">
        <v>1</v>
      </c>
      <c r="Y250" s="5">
        <v>0</v>
      </c>
      <c r="Z250" s="5">
        <v>0</v>
      </c>
      <c r="AA250" s="5">
        <v>1</v>
      </c>
      <c r="AB250" s="5">
        <v>0</v>
      </c>
    </row>
    <row r="251" spans="1:28" x14ac:dyDescent="0.2">
      <c r="A251" s="5">
        <v>50</v>
      </c>
      <c r="B251" s="5">
        <v>0</v>
      </c>
      <c r="C251" s="5">
        <v>0</v>
      </c>
      <c r="D251" s="5">
        <v>1</v>
      </c>
      <c r="E251" s="5">
        <v>231</v>
      </c>
      <c r="F251" s="5">
        <f>ROUND(Source!BB238,O251)</f>
        <v>0</v>
      </c>
      <c r="G251" s="5" t="s">
        <v>68</v>
      </c>
      <c r="H251" s="5" t="s">
        <v>69</v>
      </c>
      <c r="I251" s="5"/>
      <c r="J251" s="5"/>
      <c r="K251" s="5">
        <v>231</v>
      </c>
      <c r="L251" s="5">
        <v>12</v>
      </c>
      <c r="M251" s="5">
        <v>3</v>
      </c>
      <c r="N251" s="5" t="s">
        <v>3</v>
      </c>
      <c r="O251" s="5">
        <v>2</v>
      </c>
      <c r="P251" s="5">
        <f>ROUND(Source!ET238,O251)</f>
        <v>0</v>
      </c>
      <c r="Q251" s="5"/>
      <c r="R251" s="5"/>
      <c r="S251" s="5"/>
      <c r="T251" s="5"/>
      <c r="U251" s="5"/>
      <c r="V251" s="5"/>
      <c r="W251" s="5">
        <v>0</v>
      </c>
      <c r="X251" s="5">
        <v>1</v>
      </c>
      <c r="Y251" s="5">
        <v>0</v>
      </c>
      <c r="Z251" s="5">
        <v>0</v>
      </c>
      <c r="AA251" s="5">
        <v>1</v>
      </c>
      <c r="AB251" s="5">
        <v>0</v>
      </c>
    </row>
    <row r="252" spans="1:28" x14ac:dyDescent="0.2">
      <c r="A252" s="5">
        <v>50</v>
      </c>
      <c r="B252" s="5">
        <v>0</v>
      </c>
      <c r="C252" s="5">
        <v>0</v>
      </c>
      <c r="D252" s="5">
        <v>1</v>
      </c>
      <c r="E252" s="5">
        <v>204</v>
      </c>
      <c r="F252" s="5">
        <f>ROUND(Source!R238,O252)</f>
        <v>0</v>
      </c>
      <c r="G252" s="5" t="s">
        <v>70</v>
      </c>
      <c r="H252" s="5" t="s">
        <v>71</v>
      </c>
      <c r="I252" s="5"/>
      <c r="J252" s="5"/>
      <c r="K252" s="5">
        <v>204</v>
      </c>
      <c r="L252" s="5">
        <v>13</v>
      </c>
      <c r="M252" s="5">
        <v>3</v>
      </c>
      <c r="N252" s="5" t="s">
        <v>3</v>
      </c>
      <c r="O252" s="5">
        <v>2</v>
      </c>
      <c r="P252" s="5">
        <f>ROUND(Source!DJ238,O252)</f>
        <v>0</v>
      </c>
      <c r="Q252" s="5"/>
      <c r="R252" s="5"/>
      <c r="S252" s="5"/>
      <c r="T252" s="5"/>
      <c r="U252" s="5"/>
      <c r="V252" s="5"/>
      <c r="W252" s="5">
        <v>0</v>
      </c>
      <c r="X252" s="5">
        <v>1</v>
      </c>
      <c r="Y252" s="5">
        <v>0</v>
      </c>
      <c r="Z252" s="5">
        <v>0</v>
      </c>
      <c r="AA252" s="5">
        <v>1</v>
      </c>
      <c r="AB252" s="5">
        <v>0</v>
      </c>
    </row>
    <row r="253" spans="1:28" x14ac:dyDescent="0.2">
      <c r="A253" s="5">
        <v>50</v>
      </c>
      <c r="B253" s="5">
        <v>0</v>
      </c>
      <c r="C253" s="5">
        <v>0</v>
      </c>
      <c r="D253" s="5">
        <v>1</v>
      </c>
      <c r="E253" s="5">
        <v>205</v>
      </c>
      <c r="F253" s="5">
        <f>ROUND(Source!S238,O253)</f>
        <v>856.96</v>
      </c>
      <c r="G253" s="5" t="s">
        <v>72</v>
      </c>
      <c r="H253" s="5" t="s">
        <v>73</v>
      </c>
      <c r="I253" s="5"/>
      <c r="J253" s="5"/>
      <c r="K253" s="5">
        <v>205</v>
      </c>
      <c r="L253" s="5">
        <v>14</v>
      </c>
      <c r="M253" s="5">
        <v>3</v>
      </c>
      <c r="N253" s="5" t="s">
        <v>3</v>
      </c>
      <c r="O253" s="5">
        <v>2</v>
      </c>
      <c r="P253" s="5">
        <f>ROUND(Source!DK238,O253)</f>
        <v>47124.22</v>
      </c>
      <c r="Q253" s="5"/>
      <c r="R253" s="5"/>
      <c r="S253" s="5"/>
      <c r="T253" s="5"/>
      <c r="U253" s="5"/>
      <c r="V253" s="5"/>
      <c r="W253" s="5">
        <v>856.96</v>
      </c>
      <c r="X253" s="5">
        <v>1</v>
      </c>
      <c r="Y253" s="5">
        <v>856.96</v>
      </c>
      <c r="Z253" s="5">
        <v>47124.22</v>
      </c>
      <c r="AA253" s="5">
        <v>1</v>
      </c>
      <c r="AB253" s="5">
        <v>47124.22</v>
      </c>
    </row>
    <row r="254" spans="1:28" x14ac:dyDescent="0.2">
      <c r="A254" s="5">
        <v>50</v>
      </c>
      <c r="B254" s="5">
        <v>0</v>
      </c>
      <c r="C254" s="5">
        <v>0</v>
      </c>
      <c r="D254" s="5">
        <v>1</v>
      </c>
      <c r="E254" s="5">
        <v>232</v>
      </c>
      <c r="F254" s="5">
        <f>ROUND(Source!BC238,O254)</f>
        <v>0</v>
      </c>
      <c r="G254" s="5" t="s">
        <v>74</v>
      </c>
      <c r="H254" s="5" t="s">
        <v>75</v>
      </c>
      <c r="I254" s="5"/>
      <c r="J254" s="5"/>
      <c r="K254" s="5">
        <v>232</v>
      </c>
      <c r="L254" s="5">
        <v>15</v>
      </c>
      <c r="M254" s="5">
        <v>3</v>
      </c>
      <c r="N254" s="5" t="s">
        <v>3</v>
      </c>
      <c r="O254" s="5">
        <v>2</v>
      </c>
      <c r="P254" s="5">
        <f>ROUND(Source!EU238,O254)</f>
        <v>0</v>
      </c>
      <c r="Q254" s="5"/>
      <c r="R254" s="5"/>
      <c r="S254" s="5"/>
      <c r="T254" s="5"/>
      <c r="U254" s="5"/>
      <c r="V254" s="5"/>
      <c r="W254" s="5">
        <v>0</v>
      </c>
      <c r="X254" s="5">
        <v>1</v>
      </c>
      <c r="Y254" s="5">
        <v>0</v>
      </c>
      <c r="Z254" s="5">
        <v>0</v>
      </c>
      <c r="AA254" s="5">
        <v>1</v>
      </c>
      <c r="AB254" s="5">
        <v>0</v>
      </c>
    </row>
    <row r="255" spans="1:28" x14ac:dyDescent="0.2">
      <c r="A255" s="5">
        <v>50</v>
      </c>
      <c r="B255" s="5">
        <v>0</v>
      </c>
      <c r="C255" s="5">
        <v>0</v>
      </c>
      <c r="D255" s="5">
        <v>1</v>
      </c>
      <c r="E255" s="5">
        <v>214</v>
      </c>
      <c r="F255" s="5">
        <f>ROUND(Source!AS238,O255)</f>
        <v>16105.2</v>
      </c>
      <c r="G255" s="5" t="s">
        <v>76</v>
      </c>
      <c r="H255" s="5" t="s">
        <v>77</v>
      </c>
      <c r="I255" s="5"/>
      <c r="J255" s="5"/>
      <c r="K255" s="5">
        <v>214</v>
      </c>
      <c r="L255" s="5">
        <v>16</v>
      </c>
      <c r="M255" s="5">
        <v>3</v>
      </c>
      <c r="N255" s="5" t="s">
        <v>3</v>
      </c>
      <c r="O255" s="5">
        <v>2</v>
      </c>
      <c r="P255" s="5">
        <f>ROUND(Source!EK238,O255)</f>
        <v>198826.79</v>
      </c>
      <c r="Q255" s="5"/>
      <c r="R255" s="5"/>
      <c r="S255" s="5"/>
      <c r="T255" s="5"/>
      <c r="U255" s="5"/>
      <c r="V255" s="5"/>
      <c r="W255" s="5">
        <v>16105.2</v>
      </c>
      <c r="X255" s="5">
        <v>1</v>
      </c>
      <c r="Y255" s="5">
        <v>16105.2</v>
      </c>
      <c r="Z255" s="5">
        <v>198826.79</v>
      </c>
      <c r="AA255" s="5">
        <v>1</v>
      </c>
      <c r="AB255" s="5">
        <v>198826.79</v>
      </c>
    </row>
    <row r="256" spans="1:28" x14ac:dyDescent="0.2">
      <c r="A256" s="5">
        <v>50</v>
      </c>
      <c r="B256" s="5">
        <v>0</v>
      </c>
      <c r="C256" s="5">
        <v>0</v>
      </c>
      <c r="D256" s="5">
        <v>1</v>
      </c>
      <c r="E256" s="5">
        <v>215</v>
      </c>
      <c r="F256" s="5">
        <f>ROUND(Source!AT238,O256)</f>
        <v>0</v>
      </c>
      <c r="G256" s="5" t="s">
        <v>78</v>
      </c>
      <c r="H256" s="5" t="s">
        <v>79</v>
      </c>
      <c r="I256" s="5"/>
      <c r="J256" s="5"/>
      <c r="K256" s="5">
        <v>215</v>
      </c>
      <c r="L256" s="5">
        <v>17</v>
      </c>
      <c r="M256" s="5">
        <v>3</v>
      </c>
      <c r="N256" s="5" t="s">
        <v>3</v>
      </c>
      <c r="O256" s="5">
        <v>2</v>
      </c>
      <c r="P256" s="5">
        <f>ROUND(Source!EL238,O256)</f>
        <v>0</v>
      </c>
      <c r="Q256" s="5"/>
      <c r="R256" s="5"/>
      <c r="S256" s="5"/>
      <c r="T256" s="5"/>
      <c r="U256" s="5"/>
      <c r="V256" s="5"/>
      <c r="W256" s="5">
        <v>0</v>
      </c>
      <c r="X256" s="5">
        <v>1</v>
      </c>
      <c r="Y256" s="5">
        <v>0</v>
      </c>
      <c r="Z256" s="5">
        <v>0</v>
      </c>
      <c r="AA256" s="5">
        <v>1</v>
      </c>
      <c r="AB256" s="5">
        <v>0</v>
      </c>
    </row>
    <row r="257" spans="1:255" x14ac:dyDescent="0.2">
      <c r="A257" s="5">
        <v>50</v>
      </c>
      <c r="B257" s="5">
        <v>0</v>
      </c>
      <c r="C257" s="5">
        <v>0</v>
      </c>
      <c r="D257" s="5">
        <v>1</v>
      </c>
      <c r="E257" s="5">
        <v>217</v>
      </c>
      <c r="F257" s="5">
        <f>ROUND(Source!AU238,O257)</f>
        <v>0</v>
      </c>
      <c r="G257" s="5" t="s">
        <v>80</v>
      </c>
      <c r="H257" s="5" t="s">
        <v>81</v>
      </c>
      <c r="I257" s="5"/>
      <c r="J257" s="5"/>
      <c r="K257" s="5">
        <v>217</v>
      </c>
      <c r="L257" s="5">
        <v>18</v>
      </c>
      <c r="M257" s="5">
        <v>3</v>
      </c>
      <c r="N257" s="5" t="s">
        <v>3</v>
      </c>
      <c r="O257" s="5">
        <v>2</v>
      </c>
      <c r="P257" s="5">
        <f>ROUND(Source!EM238,O257)</f>
        <v>0</v>
      </c>
      <c r="Q257" s="5"/>
      <c r="R257" s="5"/>
      <c r="S257" s="5"/>
      <c r="T257" s="5"/>
      <c r="U257" s="5"/>
      <c r="V257" s="5"/>
      <c r="W257" s="5">
        <v>0</v>
      </c>
      <c r="X257" s="5">
        <v>1</v>
      </c>
      <c r="Y257" s="5">
        <v>0</v>
      </c>
      <c r="Z257" s="5">
        <v>0</v>
      </c>
      <c r="AA257" s="5">
        <v>1</v>
      </c>
      <c r="AB257" s="5">
        <v>0</v>
      </c>
    </row>
    <row r="258" spans="1:255" x14ac:dyDescent="0.2">
      <c r="A258" s="5">
        <v>50</v>
      </c>
      <c r="B258" s="5">
        <v>0</v>
      </c>
      <c r="C258" s="5">
        <v>0</v>
      </c>
      <c r="D258" s="5">
        <v>1</v>
      </c>
      <c r="E258" s="5">
        <v>230</v>
      </c>
      <c r="F258" s="5">
        <f>ROUND(Source!BA238,O258)</f>
        <v>0</v>
      </c>
      <c r="G258" s="5" t="s">
        <v>82</v>
      </c>
      <c r="H258" s="5" t="s">
        <v>83</v>
      </c>
      <c r="I258" s="5"/>
      <c r="J258" s="5"/>
      <c r="K258" s="5">
        <v>230</v>
      </c>
      <c r="L258" s="5">
        <v>19</v>
      </c>
      <c r="M258" s="5">
        <v>3</v>
      </c>
      <c r="N258" s="5" t="s">
        <v>3</v>
      </c>
      <c r="O258" s="5">
        <v>2</v>
      </c>
      <c r="P258" s="5">
        <f>ROUND(Source!ES238,O258)</f>
        <v>0</v>
      </c>
      <c r="Q258" s="5"/>
      <c r="R258" s="5"/>
      <c r="S258" s="5"/>
      <c r="T258" s="5"/>
      <c r="U258" s="5"/>
      <c r="V258" s="5"/>
      <c r="W258" s="5">
        <v>0</v>
      </c>
      <c r="X258" s="5">
        <v>1</v>
      </c>
      <c r="Y258" s="5">
        <v>0</v>
      </c>
      <c r="Z258" s="5">
        <v>0</v>
      </c>
      <c r="AA258" s="5">
        <v>1</v>
      </c>
      <c r="AB258" s="5">
        <v>0</v>
      </c>
    </row>
    <row r="259" spans="1:255" x14ac:dyDescent="0.2">
      <c r="A259" s="5">
        <v>50</v>
      </c>
      <c r="B259" s="5">
        <v>0</v>
      </c>
      <c r="C259" s="5">
        <v>0</v>
      </c>
      <c r="D259" s="5">
        <v>1</v>
      </c>
      <c r="E259" s="5">
        <v>206</v>
      </c>
      <c r="F259" s="5">
        <f>ROUND(Source!T238,O259)</f>
        <v>0</v>
      </c>
      <c r="G259" s="5" t="s">
        <v>84</v>
      </c>
      <c r="H259" s="5" t="s">
        <v>85</v>
      </c>
      <c r="I259" s="5"/>
      <c r="J259" s="5"/>
      <c r="K259" s="5">
        <v>206</v>
      </c>
      <c r="L259" s="5">
        <v>20</v>
      </c>
      <c r="M259" s="5">
        <v>3</v>
      </c>
      <c r="N259" s="5" t="s">
        <v>3</v>
      </c>
      <c r="O259" s="5">
        <v>2</v>
      </c>
      <c r="P259" s="5">
        <f>ROUND(Source!DL238,O259)</f>
        <v>0</v>
      </c>
      <c r="Q259" s="5"/>
      <c r="R259" s="5"/>
      <c r="S259" s="5"/>
      <c r="T259" s="5"/>
      <c r="U259" s="5"/>
      <c r="V259" s="5"/>
      <c r="W259" s="5">
        <v>0</v>
      </c>
      <c r="X259" s="5">
        <v>1</v>
      </c>
      <c r="Y259" s="5">
        <v>0</v>
      </c>
      <c r="Z259" s="5">
        <v>0</v>
      </c>
      <c r="AA259" s="5">
        <v>1</v>
      </c>
      <c r="AB259" s="5">
        <v>0</v>
      </c>
    </row>
    <row r="260" spans="1:255" x14ac:dyDescent="0.2">
      <c r="A260" s="5">
        <v>50</v>
      </c>
      <c r="B260" s="5">
        <v>0</v>
      </c>
      <c r="C260" s="5">
        <v>0</v>
      </c>
      <c r="D260" s="5">
        <v>1</v>
      </c>
      <c r="E260" s="5">
        <v>207</v>
      </c>
      <c r="F260" s="5">
        <f>Source!U238</f>
        <v>57.202287999999974</v>
      </c>
      <c r="G260" s="5" t="s">
        <v>86</v>
      </c>
      <c r="H260" s="5" t="s">
        <v>87</v>
      </c>
      <c r="I260" s="5"/>
      <c r="J260" s="5"/>
      <c r="K260" s="5">
        <v>207</v>
      </c>
      <c r="L260" s="5">
        <v>21</v>
      </c>
      <c r="M260" s="5">
        <v>3</v>
      </c>
      <c r="N260" s="5" t="s">
        <v>3</v>
      </c>
      <c r="O260" s="5">
        <v>-1</v>
      </c>
      <c r="P260" s="5">
        <f>Source!DM238</f>
        <v>57.202287999999974</v>
      </c>
      <c r="Q260" s="5"/>
      <c r="R260" s="5"/>
      <c r="S260" s="5"/>
      <c r="T260" s="5"/>
      <c r="U260" s="5"/>
      <c r="V260" s="5"/>
      <c r="W260" s="5">
        <v>57.202287999999974</v>
      </c>
      <c r="X260" s="5">
        <v>1</v>
      </c>
      <c r="Y260" s="5">
        <v>57.202287999999974</v>
      </c>
      <c r="Z260" s="5">
        <v>57.202287999999974</v>
      </c>
      <c r="AA260" s="5">
        <v>1</v>
      </c>
      <c r="AB260" s="5">
        <v>57.202287999999974</v>
      </c>
    </row>
    <row r="261" spans="1:255" x14ac:dyDescent="0.2">
      <c r="A261" s="5">
        <v>50</v>
      </c>
      <c r="B261" s="5">
        <v>0</v>
      </c>
      <c r="C261" s="5">
        <v>0</v>
      </c>
      <c r="D261" s="5">
        <v>1</v>
      </c>
      <c r="E261" s="5">
        <v>208</v>
      </c>
      <c r="F261" s="5">
        <f>Source!V238</f>
        <v>0</v>
      </c>
      <c r="G261" s="5" t="s">
        <v>88</v>
      </c>
      <c r="H261" s="5" t="s">
        <v>89</v>
      </c>
      <c r="I261" s="5"/>
      <c r="J261" s="5"/>
      <c r="K261" s="5">
        <v>208</v>
      </c>
      <c r="L261" s="5">
        <v>22</v>
      </c>
      <c r="M261" s="5">
        <v>3</v>
      </c>
      <c r="N261" s="5" t="s">
        <v>3</v>
      </c>
      <c r="O261" s="5">
        <v>-1</v>
      </c>
      <c r="P261" s="5">
        <f>Source!DN238</f>
        <v>0</v>
      </c>
      <c r="Q261" s="5"/>
      <c r="R261" s="5"/>
      <c r="S261" s="5"/>
      <c r="T261" s="5"/>
      <c r="U261" s="5"/>
      <c r="V261" s="5"/>
      <c r="W261" s="5">
        <v>0</v>
      </c>
      <c r="X261" s="5">
        <v>1</v>
      </c>
      <c r="Y261" s="5">
        <v>0</v>
      </c>
      <c r="Z261" s="5">
        <v>0</v>
      </c>
      <c r="AA261" s="5">
        <v>1</v>
      </c>
      <c r="AB261" s="5">
        <v>0</v>
      </c>
    </row>
    <row r="262" spans="1:255" x14ac:dyDescent="0.2">
      <c r="A262" s="5">
        <v>50</v>
      </c>
      <c r="B262" s="5">
        <v>0</v>
      </c>
      <c r="C262" s="5">
        <v>0</v>
      </c>
      <c r="D262" s="5">
        <v>1</v>
      </c>
      <c r="E262" s="5">
        <v>209</v>
      </c>
      <c r="F262" s="5">
        <f>ROUND(Source!W238,O262)</f>
        <v>0</v>
      </c>
      <c r="G262" s="5" t="s">
        <v>90</v>
      </c>
      <c r="H262" s="5" t="s">
        <v>91</v>
      </c>
      <c r="I262" s="5"/>
      <c r="J262" s="5"/>
      <c r="K262" s="5">
        <v>209</v>
      </c>
      <c r="L262" s="5">
        <v>23</v>
      </c>
      <c r="M262" s="5">
        <v>3</v>
      </c>
      <c r="N262" s="5" t="s">
        <v>3</v>
      </c>
      <c r="O262" s="5">
        <v>2</v>
      </c>
      <c r="P262" s="5">
        <f>ROUND(Source!DO238,O262)</f>
        <v>0</v>
      </c>
      <c r="Q262" s="5"/>
      <c r="R262" s="5"/>
      <c r="S262" s="5"/>
      <c r="T262" s="5"/>
      <c r="U262" s="5"/>
      <c r="V262" s="5"/>
      <c r="W262" s="5">
        <v>0</v>
      </c>
      <c r="X262" s="5">
        <v>1</v>
      </c>
      <c r="Y262" s="5">
        <v>0</v>
      </c>
      <c r="Z262" s="5">
        <v>0</v>
      </c>
      <c r="AA262" s="5">
        <v>1</v>
      </c>
      <c r="AB262" s="5">
        <v>0</v>
      </c>
    </row>
    <row r="263" spans="1:255" x14ac:dyDescent="0.2">
      <c r="A263" s="5">
        <v>50</v>
      </c>
      <c r="B263" s="5">
        <v>0</v>
      </c>
      <c r="C263" s="5">
        <v>0</v>
      </c>
      <c r="D263" s="5">
        <v>1</v>
      </c>
      <c r="E263" s="5">
        <v>233</v>
      </c>
      <c r="F263" s="5">
        <f>ROUND(Source!BD238,O263)</f>
        <v>0</v>
      </c>
      <c r="G263" s="5" t="s">
        <v>92</v>
      </c>
      <c r="H263" s="5" t="s">
        <v>93</v>
      </c>
      <c r="I263" s="5"/>
      <c r="J263" s="5"/>
      <c r="K263" s="5">
        <v>233</v>
      </c>
      <c r="L263" s="5">
        <v>24</v>
      </c>
      <c r="M263" s="5">
        <v>3</v>
      </c>
      <c r="N263" s="5" t="s">
        <v>3</v>
      </c>
      <c r="O263" s="5">
        <v>2</v>
      </c>
      <c r="P263" s="5">
        <f>ROUND(Source!EV238,O263)</f>
        <v>0</v>
      </c>
      <c r="Q263" s="5"/>
      <c r="R263" s="5"/>
      <c r="S263" s="5"/>
      <c r="T263" s="5"/>
      <c r="U263" s="5"/>
      <c r="V263" s="5"/>
      <c r="W263" s="5">
        <v>0</v>
      </c>
      <c r="X263" s="5">
        <v>1</v>
      </c>
      <c r="Y263" s="5">
        <v>0</v>
      </c>
      <c r="Z263" s="5">
        <v>0</v>
      </c>
      <c r="AA263" s="5">
        <v>1</v>
      </c>
      <c r="AB263" s="5">
        <v>0</v>
      </c>
    </row>
    <row r="264" spans="1:255" x14ac:dyDescent="0.2">
      <c r="A264" s="5">
        <v>50</v>
      </c>
      <c r="B264" s="5">
        <v>0</v>
      </c>
      <c r="C264" s="5">
        <v>0</v>
      </c>
      <c r="D264" s="5">
        <v>1</v>
      </c>
      <c r="E264" s="5">
        <v>210</v>
      </c>
      <c r="F264" s="5">
        <f>ROUND(Source!X238,O264)</f>
        <v>719.86</v>
      </c>
      <c r="G264" s="5" t="s">
        <v>94</v>
      </c>
      <c r="H264" s="5" t="s">
        <v>95</v>
      </c>
      <c r="I264" s="5"/>
      <c r="J264" s="5"/>
      <c r="K264" s="5">
        <v>210</v>
      </c>
      <c r="L264" s="5">
        <v>25</v>
      </c>
      <c r="M264" s="5">
        <v>3</v>
      </c>
      <c r="N264" s="5" t="s">
        <v>3</v>
      </c>
      <c r="O264" s="5">
        <v>2</v>
      </c>
      <c r="P264" s="5">
        <f>ROUND(Source!DP238,O264)</f>
        <v>39584.36</v>
      </c>
      <c r="Q264" s="5"/>
      <c r="R264" s="5"/>
      <c r="S264" s="5"/>
      <c r="T264" s="5"/>
      <c r="U264" s="5"/>
      <c r="V264" s="5"/>
      <c r="W264" s="5">
        <v>719.86</v>
      </c>
      <c r="X264" s="5">
        <v>1</v>
      </c>
      <c r="Y264" s="5">
        <v>719.86</v>
      </c>
      <c r="Z264" s="5">
        <v>39584.36</v>
      </c>
      <c r="AA264" s="5">
        <v>1</v>
      </c>
      <c r="AB264" s="5">
        <v>39584.36</v>
      </c>
    </row>
    <row r="265" spans="1:255" x14ac:dyDescent="0.2">
      <c r="A265" s="5">
        <v>50</v>
      </c>
      <c r="B265" s="5">
        <v>0</v>
      </c>
      <c r="C265" s="5">
        <v>0</v>
      </c>
      <c r="D265" s="5">
        <v>1</v>
      </c>
      <c r="E265" s="5">
        <v>211</v>
      </c>
      <c r="F265" s="5">
        <f>ROUND(Source!Y238,O265)</f>
        <v>454.18</v>
      </c>
      <c r="G265" s="5" t="s">
        <v>96</v>
      </c>
      <c r="H265" s="5" t="s">
        <v>97</v>
      </c>
      <c r="I265" s="5"/>
      <c r="J265" s="5"/>
      <c r="K265" s="5">
        <v>211</v>
      </c>
      <c r="L265" s="5">
        <v>26</v>
      </c>
      <c r="M265" s="5">
        <v>3</v>
      </c>
      <c r="N265" s="5" t="s">
        <v>3</v>
      </c>
      <c r="O265" s="5">
        <v>2</v>
      </c>
      <c r="P265" s="5">
        <f>ROUND(Source!DQ238,O265)</f>
        <v>24975.84</v>
      </c>
      <c r="Q265" s="5"/>
      <c r="R265" s="5"/>
      <c r="S265" s="5"/>
      <c r="T265" s="5"/>
      <c r="U265" s="5"/>
      <c r="V265" s="5"/>
      <c r="W265" s="5">
        <v>454.18</v>
      </c>
      <c r="X265" s="5">
        <v>1</v>
      </c>
      <c r="Y265" s="5">
        <v>454.18</v>
      </c>
      <c r="Z265" s="5">
        <v>24975.84</v>
      </c>
      <c r="AA265" s="5">
        <v>1</v>
      </c>
      <c r="AB265" s="5">
        <v>24975.84</v>
      </c>
    </row>
    <row r="266" spans="1:255" x14ac:dyDescent="0.2">
      <c r="A266" s="5">
        <v>50</v>
      </c>
      <c r="B266" s="5">
        <v>0</v>
      </c>
      <c r="C266" s="5">
        <v>0</v>
      </c>
      <c r="D266" s="5">
        <v>1</v>
      </c>
      <c r="E266" s="5">
        <v>224</v>
      </c>
      <c r="F266" s="5">
        <f>ROUND(Source!AR238,O266)</f>
        <v>16105.2</v>
      </c>
      <c r="G266" s="5" t="s">
        <v>98</v>
      </c>
      <c r="H266" s="5" t="s">
        <v>99</v>
      </c>
      <c r="I266" s="5"/>
      <c r="J266" s="5"/>
      <c r="K266" s="5">
        <v>224</v>
      </c>
      <c r="L266" s="5">
        <v>27</v>
      </c>
      <c r="M266" s="5">
        <v>3</v>
      </c>
      <c r="N266" s="5" t="s">
        <v>3</v>
      </c>
      <c r="O266" s="5">
        <v>2</v>
      </c>
      <c r="P266" s="5">
        <f>ROUND(Source!EJ238,O266)</f>
        <v>198826.79</v>
      </c>
      <c r="Q266" s="5"/>
      <c r="R266" s="5"/>
      <c r="S266" s="5"/>
      <c r="T266" s="5"/>
      <c r="U266" s="5"/>
      <c r="V266" s="5"/>
      <c r="W266" s="5">
        <v>16105.2</v>
      </c>
      <c r="X266" s="5">
        <v>1</v>
      </c>
      <c r="Y266" s="5">
        <v>16105.2</v>
      </c>
      <c r="Z266" s="5">
        <v>198826.79</v>
      </c>
      <c r="AA266" s="5">
        <v>1</v>
      </c>
      <c r="AB266" s="5">
        <v>198826.79</v>
      </c>
    </row>
    <row r="268" spans="1:255" x14ac:dyDescent="0.2">
      <c r="A268" s="1">
        <v>4</v>
      </c>
      <c r="B268" s="1">
        <v>1</v>
      </c>
      <c r="C268" s="1"/>
      <c r="D268" s="1">
        <f>ROW(A277)</f>
        <v>277</v>
      </c>
      <c r="E268" s="1"/>
      <c r="F268" s="1" t="s">
        <v>3</v>
      </c>
      <c r="G268" s="1" t="s">
        <v>231</v>
      </c>
      <c r="H268" s="1" t="s">
        <v>3</v>
      </c>
      <c r="I268" s="1">
        <v>0</v>
      </c>
      <c r="J268" s="1"/>
      <c r="K268" s="1">
        <v>-1</v>
      </c>
      <c r="L268" s="1"/>
      <c r="M268" s="1" t="s">
        <v>3</v>
      </c>
      <c r="N268" s="1"/>
      <c r="O268" s="1"/>
      <c r="P268" s="1"/>
      <c r="Q268" s="1"/>
      <c r="R268" s="1"/>
      <c r="S268" s="1">
        <v>0</v>
      </c>
      <c r="T268" s="1">
        <v>0</v>
      </c>
      <c r="U268" s="1" t="s">
        <v>3</v>
      </c>
      <c r="V268" s="1">
        <v>2</v>
      </c>
      <c r="W268" s="1"/>
      <c r="X268" s="1"/>
      <c r="Y268" s="1"/>
      <c r="Z268" s="1"/>
      <c r="AA268" s="1"/>
      <c r="AB268" s="1" t="s">
        <v>3</v>
      </c>
      <c r="AC268" s="1" t="s">
        <v>3</v>
      </c>
      <c r="AD268" s="1" t="s">
        <v>3</v>
      </c>
      <c r="AE268" s="1" t="s">
        <v>3</v>
      </c>
      <c r="AF268" s="1" t="s">
        <v>3</v>
      </c>
      <c r="AG268" s="1" t="s">
        <v>3</v>
      </c>
      <c r="AH268" s="1"/>
      <c r="AI268" s="1"/>
      <c r="AJ268" s="1"/>
      <c r="AK268" s="1"/>
      <c r="AL268" s="1"/>
      <c r="AM268" s="1"/>
      <c r="AN268" s="1"/>
      <c r="AO268" s="1"/>
      <c r="AP268" s="1" t="s">
        <v>3</v>
      </c>
      <c r="AQ268" s="1" t="s">
        <v>3</v>
      </c>
      <c r="AR268" s="1" t="s">
        <v>3</v>
      </c>
      <c r="AS268" s="1"/>
      <c r="AT268" s="1"/>
      <c r="AU268" s="1"/>
      <c r="AV268" s="1"/>
      <c r="AW268" s="1"/>
      <c r="AX268" s="1"/>
      <c r="AY268" s="1"/>
      <c r="AZ268" s="1" t="s">
        <v>3</v>
      </c>
      <c r="BA268" s="1"/>
      <c r="BB268" s="1" t="s">
        <v>3</v>
      </c>
      <c r="BC268" s="1" t="s">
        <v>3</v>
      </c>
      <c r="BD268" s="1" t="s">
        <v>3</v>
      </c>
      <c r="BE268" s="1" t="s">
        <v>3</v>
      </c>
      <c r="BF268" s="1" t="s">
        <v>3</v>
      </c>
      <c r="BG268" s="1" t="s">
        <v>3</v>
      </c>
      <c r="BH268" s="1" t="s">
        <v>3</v>
      </c>
      <c r="BI268" s="1" t="s">
        <v>3</v>
      </c>
      <c r="BJ268" s="1" t="s">
        <v>3</v>
      </c>
      <c r="BK268" s="1" t="s">
        <v>3</v>
      </c>
      <c r="BL268" s="1" t="s">
        <v>3</v>
      </c>
      <c r="BM268" s="1" t="s">
        <v>3</v>
      </c>
      <c r="BN268" s="1" t="s">
        <v>3</v>
      </c>
      <c r="BO268" s="1" t="s">
        <v>3</v>
      </c>
      <c r="BP268" s="1" t="s">
        <v>3</v>
      </c>
      <c r="BQ268" s="1"/>
      <c r="BR268" s="1"/>
      <c r="BS268" s="1"/>
      <c r="BT268" s="1"/>
      <c r="BU268" s="1"/>
      <c r="BV268" s="1"/>
      <c r="BW268" s="1"/>
      <c r="BX268" s="1">
        <v>0</v>
      </c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>
        <v>0</v>
      </c>
    </row>
    <row r="270" spans="1:255" x14ac:dyDescent="0.2">
      <c r="A270" s="3">
        <v>52</v>
      </c>
      <c r="B270" s="3">
        <f t="shared" ref="B270:G270" si="241">B277</f>
        <v>1</v>
      </c>
      <c r="C270" s="3">
        <f t="shared" si="241"/>
        <v>4</v>
      </c>
      <c r="D270" s="3">
        <f t="shared" si="241"/>
        <v>268</v>
      </c>
      <c r="E270" s="3">
        <f t="shared" si="241"/>
        <v>0</v>
      </c>
      <c r="F270" s="3" t="str">
        <f t="shared" si="241"/>
        <v/>
      </c>
      <c r="G270" s="3" t="str">
        <f t="shared" si="241"/>
        <v>Полимерная краска, цвет желтый</v>
      </c>
      <c r="H270" s="3"/>
      <c r="I270" s="3"/>
      <c r="J270" s="3"/>
      <c r="K270" s="3"/>
      <c r="L270" s="3"/>
      <c r="M270" s="3"/>
      <c r="N270" s="3"/>
      <c r="O270" s="3">
        <f t="shared" ref="O270:AT270" si="242">O277</f>
        <v>1907.44</v>
      </c>
      <c r="P270" s="3">
        <f t="shared" si="242"/>
        <v>1728.03</v>
      </c>
      <c r="Q270" s="3">
        <f t="shared" si="242"/>
        <v>7.32</v>
      </c>
      <c r="R270" s="3">
        <f t="shared" si="242"/>
        <v>1.05</v>
      </c>
      <c r="S270" s="3">
        <f t="shared" si="242"/>
        <v>172.09</v>
      </c>
      <c r="T270" s="3">
        <f t="shared" si="242"/>
        <v>0</v>
      </c>
      <c r="U270" s="3">
        <f t="shared" si="242"/>
        <v>10.468492320000001</v>
      </c>
      <c r="V270" s="3">
        <f t="shared" si="242"/>
        <v>0</v>
      </c>
      <c r="W270" s="3">
        <f t="shared" si="242"/>
        <v>0</v>
      </c>
      <c r="X270" s="3">
        <f t="shared" si="242"/>
        <v>147.16999999999999</v>
      </c>
      <c r="Y270" s="3">
        <f t="shared" si="242"/>
        <v>74.45</v>
      </c>
      <c r="Z270" s="3">
        <f t="shared" si="242"/>
        <v>0</v>
      </c>
      <c r="AA270" s="3">
        <f t="shared" si="242"/>
        <v>0</v>
      </c>
      <c r="AB270" s="3">
        <f t="shared" si="242"/>
        <v>1907.44</v>
      </c>
      <c r="AC270" s="3">
        <f t="shared" si="242"/>
        <v>1728.03</v>
      </c>
      <c r="AD270" s="3">
        <f t="shared" si="242"/>
        <v>7.32</v>
      </c>
      <c r="AE270" s="3">
        <f t="shared" si="242"/>
        <v>1.05</v>
      </c>
      <c r="AF270" s="3">
        <f t="shared" si="242"/>
        <v>172.09</v>
      </c>
      <c r="AG270" s="3">
        <f t="shared" si="242"/>
        <v>0</v>
      </c>
      <c r="AH270" s="3">
        <f t="shared" si="242"/>
        <v>10.468492320000001</v>
      </c>
      <c r="AI270" s="3">
        <f t="shared" si="242"/>
        <v>0</v>
      </c>
      <c r="AJ270" s="3">
        <f t="shared" si="242"/>
        <v>0</v>
      </c>
      <c r="AK270" s="3">
        <f t="shared" si="242"/>
        <v>147.16999999999999</v>
      </c>
      <c r="AL270" s="3">
        <f t="shared" si="242"/>
        <v>74.45</v>
      </c>
      <c r="AM270" s="3">
        <f t="shared" si="242"/>
        <v>0</v>
      </c>
      <c r="AN270" s="3">
        <f t="shared" si="242"/>
        <v>0</v>
      </c>
      <c r="AO270" s="3">
        <f t="shared" si="242"/>
        <v>0</v>
      </c>
      <c r="AP270" s="3">
        <f t="shared" si="242"/>
        <v>0</v>
      </c>
      <c r="AQ270" s="3">
        <f t="shared" si="242"/>
        <v>0</v>
      </c>
      <c r="AR270" s="3">
        <f t="shared" si="242"/>
        <v>2129.06</v>
      </c>
      <c r="AS270" s="3">
        <f t="shared" si="242"/>
        <v>2129.06</v>
      </c>
      <c r="AT270" s="3">
        <f t="shared" si="242"/>
        <v>0</v>
      </c>
      <c r="AU270" s="3">
        <f t="shared" ref="AU270:BZ270" si="243">AU277</f>
        <v>0</v>
      </c>
      <c r="AV270" s="3">
        <f t="shared" si="243"/>
        <v>1728.03</v>
      </c>
      <c r="AW270" s="3">
        <f t="shared" si="243"/>
        <v>1728.03</v>
      </c>
      <c r="AX270" s="3">
        <f t="shared" si="243"/>
        <v>0</v>
      </c>
      <c r="AY270" s="3">
        <f t="shared" si="243"/>
        <v>1728.03</v>
      </c>
      <c r="AZ270" s="3">
        <f t="shared" si="243"/>
        <v>0</v>
      </c>
      <c r="BA270" s="3">
        <f t="shared" si="243"/>
        <v>0</v>
      </c>
      <c r="BB270" s="3">
        <f t="shared" si="243"/>
        <v>0</v>
      </c>
      <c r="BC270" s="3">
        <f t="shared" si="243"/>
        <v>0</v>
      </c>
      <c r="BD270" s="3">
        <f t="shared" si="243"/>
        <v>0</v>
      </c>
      <c r="BE270" s="3">
        <f t="shared" si="243"/>
        <v>0</v>
      </c>
      <c r="BF270" s="3">
        <f t="shared" si="243"/>
        <v>0</v>
      </c>
      <c r="BG270" s="3">
        <f t="shared" si="243"/>
        <v>0</v>
      </c>
      <c r="BH270" s="3">
        <f t="shared" si="243"/>
        <v>0</v>
      </c>
      <c r="BI270" s="3">
        <f t="shared" si="243"/>
        <v>0</v>
      </c>
      <c r="BJ270" s="3">
        <f t="shared" si="243"/>
        <v>0</v>
      </c>
      <c r="BK270" s="3">
        <f t="shared" si="243"/>
        <v>0</v>
      </c>
      <c r="BL270" s="3">
        <f t="shared" si="243"/>
        <v>0</v>
      </c>
      <c r="BM270" s="3">
        <f t="shared" si="243"/>
        <v>0</v>
      </c>
      <c r="BN270" s="3">
        <f t="shared" si="243"/>
        <v>0</v>
      </c>
      <c r="BO270" s="3">
        <f t="shared" si="243"/>
        <v>0</v>
      </c>
      <c r="BP270" s="3">
        <f t="shared" si="243"/>
        <v>0</v>
      </c>
      <c r="BQ270" s="3">
        <f t="shared" si="243"/>
        <v>0</v>
      </c>
      <c r="BR270" s="3">
        <f t="shared" si="243"/>
        <v>0</v>
      </c>
      <c r="BS270" s="3">
        <f t="shared" si="243"/>
        <v>0</v>
      </c>
      <c r="BT270" s="3">
        <f t="shared" si="243"/>
        <v>0</v>
      </c>
      <c r="BU270" s="3">
        <f t="shared" si="243"/>
        <v>0</v>
      </c>
      <c r="BV270" s="3">
        <f t="shared" si="243"/>
        <v>0</v>
      </c>
      <c r="BW270" s="3">
        <f t="shared" si="243"/>
        <v>0</v>
      </c>
      <c r="BX270" s="3">
        <f t="shared" si="243"/>
        <v>0</v>
      </c>
      <c r="BY270" s="3">
        <f t="shared" si="243"/>
        <v>0</v>
      </c>
      <c r="BZ270" s="3">
        <f t="shared" si="243"/>
        <v>0</v>
      </c>
      <c r="CA270" s="3">
        <f t="shared" ref="CA270:DF270" si="244">CA277</f>
        <v>2129.06</v>
      </c>
      <c r="CB270" s="3">
        <f t="shared" si="244"/>
        <v>2129.06</v>
      </c>
      <c r="CC270" s="3">
        <f t="shared" si="244"/>
        <v>0</v>
      </c>
      <c r="CD270" s="3">
        <f t="shared" si="244"/>
        <v>0</v>
      </c>
      <c r="CE270" s="3">
        <f t="shared" si="244"/>
        <v>1728.03</v>
      </c>
      <c r="CF270" s="3">
        <f t="shared" si="244"/>
        <v>1728.03</v>
      </c>
      <c r="CG270" s="3">
        <f t="shared" si="244"/>
        <v>0</v>
      </c>
      <c r="CH270" s="3">
        <f t="shared" si="244"/>
        <v>1728.03</v>
      </c>
      <c r="CI270" s="3">
        <f t="shared" si="244"/>
        <v>0</v>
      </c>
      <c r="CJ270" s="3">
        <f t="shared" si="244"/>
        <v>0</v>
      </c>
      <c r="CK270" s="3">
        <f t="shared" si="244"/>
        <v>0</v>
      </c>
      <c r="CL270" s="3">
        <f t="shared" si="244"/>
        <v>0</v>
      </c>
      <c r="CM270" s="3">
        <f t="shared" si="244"/>
        <v>0</v>
      </c>
      <c r="CN270" s="3">
        <f t="shared" si="244"/>
        <v>0</v>
      </c>
      <c r="CO270" s="3">
        <f t="shared" si="244"/>
        <v>0</v>
      </c>
      <c r="CP270" s="3">
        <f t="shared" si="244"/>
        <v>0</v>
      </c>
      <c r="CQ270" s="3">
        <f t="shared" si="244"/>
        <v>0</v>
      </c>
      <c r="CR270" s="3">
        <f t="shared" si="244"/>
        <v>0</v>
      </c>
      <c r="CS270" s="3">
        <f t="shared" si="244"/>
        <v>0</v>
      </c>
      <c r="CT270" s="3">
        <f t="shared" si="244"/>
        <v>0</v>
      </c>
      <c r="CU270" s="3">
        <f t="shared" si="244"/>
        <v>0</v>
      </c>
      <c r="CV270" s="3">
        <f t="shared" si="244"/>
        <v>0</v>
      </c>
      <c r="CW270" s="3">
        <f t="shared" si="244"/>
        <v>0</v>
      </c>
      <c r="CX270" s="3">
        <f t="shared" si="244"/>
        <v>0</v>
      </c>
      <c r="CY270" s="3">
        <f t="shared" si="244"/>
        <v>0</v>
      </c>
      <c r="CZ270" s="3">
        <f t="shared" si="244"/>
        <v>0</v>
      </c>
      <c r="DA270" s="3">
        <f t="shared" si="244"/>
        <v>0</v>
      </c>
      <c r="DB270" s="3">
        <f t="shared" si="244"/>
        <v>0</v>
      </c>
      <c r="DC270" s="3">
        <f t="shared" si="244"/>
        <v>0</v>
      </c>
      <c r="DD270" s="3">
        <f t="shared" si="244"/>
        <v>0</v>
      </c>
      <c r="DE270" s="3">
        <f t="shared" si="244"/>
        <v>0</v>
      </c>
      <c r="DF270" s="3">
        <f t="shared" si="244"/>
        <v>0</v>
      </c>
      <c r="DG270" s="4">
        <f t="shared" ref="DG270:EL270" si="245">DG277</f>
        <v>14860.17</v>
      </c>
      <c r="DH270" s="4">
        <f t="shared" si="245"/>
        <v>5280.84</v>
      </c>
      <c r="DI270" s="4">
        <f t="shared" si="245"/>
        <v>116.1</v>
      </c>
      <c r="DJ270" s="4">
        <f t="shared" si="245"/>
        <v>57.74</v>
      </c>
      <c r="DK270" s="4">
        <f t="shared" si="245"/>
        <v>9463.23</v>
      </c>
      <c r="DL270" s="4">
        <f t="shared" si="245"/>
        <v>0</v>
      </c>
      <c r="DM270" s="4">
        <f t="shared" si="245"/>
        <v>10.468492320000001</v>
      </c>
      <c r="DN270" s="4">
        <f t="shared" si="245"/>
        <v>0</v>
      </c>
      <c r="DO270" s="4">
        <f t="shared" si="245"/>
        <v>0</v>
      </c>
      <c r="DP270" s="4">
        <f t="shared" si="245"/>
        <v>8092.82</v>
      </c>
      <c r="DQ270" s="4">
        <f t="shared" si="245"/>
        <v>4094.02</v>
      </c>
      <c r="DR270" s="4">
        <f t="shared" si="245"/>
        <v>0</v>
      </c>
      <c r="DS270" s="4">
        <f t="shared" si="245"/>
        <v>0</v>
      </c>
      <c r="DT270" s="4">
        <f t="shared" si="245"/>
        <v>14860.17</v>
      </c>
      <c r="DU270" s="4">
        <f t="shared" si="245"/>
        <v>5280.84</v>
      </c>
      <c r="DV270" s="4">
        <f t="shared" si="245"/>
        <v>116.1</v>
      </c>
      <c r="DW270" s="4">
        <f t="shared" si="245"/>
        <v>57.74</v>
      </c>
      <c r="DX270" s="4">
        <f t="shared" si="245"/>
        <v>9463.23</v>
      </c>
      <c r="DY270" s="4">
        <f t="shared" si="245"/>
        <v>0</v>
      </c>
      <c r="DZ270" s="4">
        <f t="shared" si="245"/>
        <v>10.468492320000001</v>
      </c>
      <c r="EA270" s="4">
        <f t="shared" si="245"/>
        <v>0</v>
      </c>
      <c r="EB270" s="4">
        <f t="shared" si="245"/>
        <v>0</v>
      </c>
      <c r="EC270" s="4">
        <f t="shared" si="245"/>
        <v>8092.82</v>
      </c>
      <c r="ED270" s="4">
        <f t="shared" si="245"/>
        <v>4094.02</v>
      </c>
      <c r="EE270" s="4">
        <f t="shared" si="245"/>
        <v>0</v>
      </c>
      <c r="EF270" s="4">
        <f t="shared" si="245"/>
        <v>0</v>
      </c>
      <c r="EG270" s="4">
        <f t="shared" si="245"/>
        <v>0</v>
      </c>
      <c r="EH270" s="4">
        <f t="shared" si="245"/>
        <v>0</v>
      </c>
      <c r="EI270" s="4">
        <f t="shared" si="245"/>
        <v>0</v>
      </c>
      <c r="EJ270" s="4">
        <f t="shared" si="245"/>
        <v>27047.01</v>
      </c>
      <c r="EK270" s="4">
        <f t="shared" si="245"/>
        <v>27047.01</v>
      </c>
      <c r="EL270" s="4">
        <f t="shared" si="245"/>
        <v>0</v>
      </c>
      <c r="EM270" s="4">
        <f t="shared" ref="EM270:FR270" si="246">EM277</f>
        <v>0</v>
      </c>
      <c r="EN270" s="4">
        <f t="shared" si="246"/>
        <v>5280.84</v>
      </c>
      <c r="EO270" s="4">
        <f t="shared" si="246"/>
        <v>5280.84</v>
      </c>
      <c r="EP270" s="4">
        <f t="shared" si="246"/>
        <v>0</v>
      </c>
      <c r="EQ270" s="4">
        <f t="shared" si="246"/>
        <v>5280.84</v>
      </c>
      <c r="ER270" s="4">
        <f t="shared" si="246"/>
        <v>0</v>
      </c>
      <c r="ES270" s="4">
        <f t="shared" si="246"/>
        <v>0</v>
      </c>
      <c r="ET270" s="4">
        <f t="shared" si="246"/>
        <v>0</v>
      </c>
      <c r="EU270" s="4">
        <f t="shared" si="246"/>
        <v>0</v>
      </c>
      <c r="EV270" s="4">
        <f t="shared" si="246"/>
        <v>0</v>
      </c>
      <c r="EW270" s="4">
        <f t="shared" si="246"/>
        <v>0</v>
      </c>
      <c r="EX270" s="4">
        <f t="shared" si="246"/>
        <v>0</v>
      </c>
      <c r="EY270" s="4">
        <f t="shared" si="246"/>
        <v>0</v>
      </c>
      <c r="EZ270" s="4">
        <f t="shared" si="246"/>
        <v>0</v>
      </c>
      <c r="FA270" s="4">
        <f t="shared" si="246"/>
        <v>0</v>
      </c>
      <c r="FB270" s="4">
        <f t="shared" si="246"/>
        <v>0</v>
      </c>
      <c r="FC270" s="4">
        <f t="shared" si="246"/>
        <v>0</v>
      </c>
      <c r="FD270" s="4">
        <f t="shared" si="246"/>
        <v>0</v>
      </c>
      <c r="FE270" s="4">
        <f t="shared" si="246"/>
        <v>0</v>
      </c>
      <c r="FF270" s="4">
        <f t="shared" si="246"/>
        <v>0</v>
      </c>
      <c r="FG270" s="4">
        <f t="shared" si="246"/>
        <v>0</v>
      </c>
      <c r="FH270" s="4">
        <f t="shared" si="246"/>
        <v>0</v>
      </c>
      <c r="FI270" s="4">
        <f t="shared" si="246"/>
        <v>0</v>
      </c>
      <c r="FJ270" s="4">
        <f t="shared" si="246"/>
        <v>0</v>
      </c>
      <c r="FK270" s="4">
        <f t="shared" si="246"/>
        <v>0</v>
      </c>
      <c r="FL270" s="4">
        <f t="shared" si="246"/>
        <v>0</v>
      </c>
      <c r="FM270" s="4">
        <f t="shared" si="246"/>
        <v>0</v>
      </c>
      <c r="FN270" s="4">
        <f t="shared" si="246"/>
        <v>0</v>
      </c>
      <c r="FO270" s="4">
        <f t="shared" si="246"/>
        <v>0</v>
      </c>
      <c r="FP270" s="4">
        <f t="shared" si="246"/>
        <v>0</v>
      </c>
      <c r="FQ270" s="4">
        <f t="shared" si="246"/>
        <v>0</v>
      </c>
      <c r="FR270" s="4">
        <f t="shared" si="246"/>
        <v>0</v>
      </c>
      <c r="FS270" s="4">
        <f t="shared" ref="FS270:GX270" si="247">FS277</f>
        <v>27047.01</v>
      </c>
      <c r="FT270" s="4">
        <f t="shared" si="247"/>
        <v>27047.01</v>
      </c>
      <c r="FU270" s="4">
        <f t="shared" si="247"/>
        <v>0</v>
      </c>
      <c r="FV270" s="4">
        <f t="shared" si="247"/>
        <v>0</v>
      </c>
      <c r="FW270" s="4">
        <f t="shared" si="247"/>
        <v>5280.84</v>
      </c>
      <c r="FX270" s="4">
        <f t="shared" si="247"/>
        <v>5280.84</v>
      </c>
      <c r="FY270" s="4">
        <f t="shared" si="247"/>
        <v>0</v>
      </c>
      <c r="FZ270" s="4">
        <f t="shared" si="247"/>
        <v>5280.84</v>
      </c>
      <c r="GA270" s="4">
        <f t="shared" si="247"/>
        <v>0</v>
      </c>
      <c r="GB270" s="4">
        <f t="shared" si="247"/>
        <v>0</v>
      </c>
      <c r="GC270" s="4">
        <f t="shared" si="247"/>
        <v>0</v>
      </c>
      <c r="GD270" s="4">
        <f t="shared" si="247"/>
        <v>0</v>
      </c>
      <c r="GE270" s="4">
        <f t="shared" si="247"/>
        <v>0</v>
      </c>
      <c r="GF270" s="4">
        <f t="shared" si="247"/>
        <v>0</v>
      </c>
      <c r="GG270" s="4">
        <f t="shared" si="247"/>
        <v>0</v>
      </c>
      <c r="GH270" s="4">
        <f t="shared" si="247"/>
        <v>0</v>
      </c>
      <c r="GI270" s="4">
        <f t="shared" si="247"/>
        <v>0</v>
      </c>
      <c r="GJ270" s="4">
        <f t="shared" si="247"/>
        <v>0</v>
      </c>
      <c r="GK270" s="4">
        <f t="shared" si="247"/>
        <v>0</v>
      </c>
      <c r="GL270" s="4">
        <f t="shared" si="247"/>
        <v>0</v>
      </c>
      <c r="GM270" s="4">
        <f t="shared" si="247"/>
        <v>0</v>
      </c>
      <c r="GN270" s="4">
        <f t="shared" si="247"/>
        <v>0</v>
      </c>
      <c r="GO270" s="4">
        <f t="shared" si="247"/>
        <v>0</v>
      </c>
      <c r="GP270" s="4">
        <f t="shared" si="247"/>
        <v>0</v>
      </c>
      <c r="GQ270" s="4">
        <f t="shared" si="247"/>
        <v>0</v>
      </c>
      <c r="GR270" s="4">
        <f t="shared" si="247"/>
        <v>0</v>
      </c>
      <c r="GS270" s="4">
        <f t="shared" si="247"/>
        <v>0</v>
      </c>
      <c r="GT270" s="4">
        <f t="shared" si="247"/>
        <v>0</v>
      </c>
      <c r="GU270" s="4">
        <f t="shared" si="247"/>
        <v>0</v>
      </c>
      <c r="GV270" s="4">
        <f t="shared" si="247"/>
        <v>0</v>
      </c>
      <c r="GW270" s="4">
        <f t="shared" si="247"/>
        <v>0</v>
      </c>
      <c r="GX270" s="4">
        <f t="shared" si="247"/>
        <v>0</v>
      </c>
    </row>
    <row r="272" spans="1:255" x14ac:dyDescent="0.2">
      <c r="A272" s="2">
        <v>17</v>
      </c>
      <c r="B272" s="2">
        <v>1</v>
      </c>
      <c r="C272" s="2">
        <f>ROW(SmtRes!A114)</f>
        <v>114</v>
      </c>
      <c r="D272" s="2">
        <f>ROW(EtalonRes!A123)</f>
        <v>123</v>
      </c>
      <c r="E272" s="2" t="s">
        <v>232</v>
      </c>
      <c r="F272" s="2" t="s">
        <v>233</v>
      </c>
      <c r="G272" s="2" t="s">
        <v>234</v>
      </c>
      <c r="H272" s="2" t="s">
        <v>235</v>
      </c>
      <c r="I272" s="2">
        <f>ROUND(64/100,9)</f>
        <v>0.64</v>
      </c>
      <c r="J272" s="2">
        <v>0</v>
      </c>
      <c r="K272" s="2">
        <f>ROUND(64/100,9)</f>
        <v>0.64</v>
      </c>
      <c r="L272" s="2"/>
      <c r="M272" s="2"/>
      <c r="N272" s="2"/>
      <c r="O272" s="2">
        <f>ROUND(CP272,2)</f>
        <v>182.14</v>
      </c>
      <c r="P272" s="2">
        <f>ROUND((ROUND((AC272*AW272*I272),2)*BC272),2)</f>
        <v>2.73</v>
      </c>
      <c r="Q272" s="2">
        <f>(ROUND((ROUND(((((ET272*1.25)*1.1))*AV272*I272),2)*BB272),2)+ROUND((ROUND(((AE272-(((EU272*1.25)*1.1)))*AV272*I272),2)*BS272),2))</f>
        <v>7.32</v>
      </c>
      <c r="R272" s="2">
        <f>(ROUND((ROUND(((((EU272*1.25)*1.1))*AV272*I272),2)*BS272),2)+ROUND((ROUND(((AE272-(((EU272*1.25)*1.1)))*AV272*I272),2)*BS272),2))</f>
        <v>1.05</v>
      </c>
      <c r="S272" s="2">
        <f>ROUND((ROUND((AF272*AV272*I272),2)*BA272),2)</f>
        <v>172.09</v>
      </c>
      <c r="T272" s="2">
        <f>ROUND(CU272*I272,2)</f>
        <v>0</v>
      </c>
      <c r="U272" s="2">
        <f>CV272*I272</f>
        <v>10.468492320000001</v>
      </c>
      <c r="V272" s="2">
        <f>CW272*I272</f>
        <v>0</v>
      </c>
      <c r="W272" s="2">
        <f>ROUND(CX272*I272,2)</f>
        <v>0</v>
      </c>
      <c r="X272" s="2">
        <f>(ROUND((((S272+ROUND((ROUND(((((EU272*1.25)*1.1))*AV272*I272),2)*BS272),2))*AT272)/100),2)+ROUND(((ROUND((ROUND(((AE272-(((EU272*1.25)*1.1)))*AV272*I272),2)*BS272),2)*AT272)/100),2))</f>
        <v>147.16999999999999</v>
      </c>
      <c r="Y272" s="2">
        <f>(ROUND((((S272+ROUND((ROUND(((((EU272*1.25)*1.1))*AV272*I272),2)*BS272),2))*AU272)/100),2)+ROUND(((ROUND((ROUND(((AE272-(((EU272*1.25)*1.1)))*AV272*I272),2)*BS272),2)*AU272)/100),2))</f>
        <v>74.45</v>
      </c>
      <c r="Z272" s="2"/>
      <c r="AA272" s="2">
        <v>59499218</v>
      </c>
      <c r="AB272" s="2">
        <f>ROUND((AC272+AD272+AF272),6)</f>
        <v>271.98779999999999</v>
      </c>
      <c r="AC272" s="2">
        <f>ROUND((ES272),6)</f>
        <v>4.25</v>
      </c>
      <c r="AD272" s="2">
        <f>ROUND((((((ET272*1.25)*1.1))-(((EU272*1.25)*1.1)))+AE272),6)</f>
        <v>10.9175</v>
      </c>
      <c r="AE272" s="2">
        <f>ROUND((((EU272*1.25)*1.1)),6)</f>
        <v>1.5674999999999999</v>
      </c>
      <c r="AF272" s="2">
        <f>ROUND((((EV272*1.15)*1.1)),6)</f>
        <v>256.82029999999997</v>
      </c>
      <c r="AG272" s="2">
        <f>ROUND((AP272),6)</f>
        <v>0</v>
      </c>
      <c r="AH272" s="2">
        <f>(((EW272*1.15)*1.1))</f>
        <v>15.62275</v>
      </c>
      <c r="AI272" s="2">
        <f>(((EX272*1.25)*1.1))</f>
        <v>0</v>
      </c>
      <c r="AJ272" s="2">
        <f>(AS272)</f>
        <v>0</v>
      </c>
      <c r="AK272" s="2">
        <v>215.21</v>
      </c>
      <c r="AL272" s="2">
        <v>4.25</v>
      </c>
      <c r="AM272" s="2">
        <v>7.94</v>
      </c>
      <c r="AN272" s="2">
        <v>1.1399999999999999</v>
      </c>
      <c r="AO272" s="2">
        <v>203.02</v>
      </c>
      <c r="AP272" s="2">
        <v>0</v>
      </c>
      <c r="AQ272" s="2">
        <v>12.35</v>
      </c>
      <c r="AR272" s="2">
        <v>0</v>
      </c>
      <c r="AS272" s="2">
        <v>0</v>
      </c>
      <c r="AT272" s="2">
        <v>85</v>
      </c>
      <c r="AU272" s="2">
        <v>43</v>
      </c>
      <c r="AV272" s="2">
        <v>1.0469999999999999</v>
      </c>
      <c r="AW272" s="2">
        <v>1.002</v>
      </c>
      <c r="AX272" s="2"/>
      <c r="AY272" s="2"/>
      <c r="AZ272" s="2">
        <v>1</v>
      </c>
      <c r="BA272" s="2">
        <v>1</v>
      </c>
      <c r="BB272" s="2">
        <v>1</v>
      </c>
      <c r="BC272" s="2">
        <v>1</v>
      </c>
      <c r="BD272" s="2" t="s">
        <v>3</v>
      </c>
      <c r="BE272" s="2" t="s">
        <v>3</v>
      </c>
      <c r="BF272" s="2" t="s">
        <v>3</v>
      </c>
      <c r="BG272" s="2" t="s">
        <v>3</v>
      </c>
      <c r="BH272" s="2">
        <v>0</v>
      </c>
      <c r="BI272" s="2">
        <v>1</v>
      </c>
      <c r="BJ272" s="2" t="s">
        <v>236</v>
      </c>
      <c r="BK272" s="2"/>
      <c r="BL272" s="2"/>
      <c r="BM272" s="2">
        <v>59</v>
      </c>
      <c r="BN272" s="2">
        <v>59298886</v>
      </c>
      <c r="BO272" s="2" t="s">
        <v>233</v>
      </c>
      <c r="BP272" s="2">
        <v>1</v>
      </c>
      <c r="BQ272" s="2">
        <v>30</v>
      </c>
      <c r="BR272" s="2">
        <v>0</v>
      </c>
      <c r="BS272" s="2">
        <v>1</v>
      </c>
      <c r="BT272" s="2">
        <v>1</v>
      </c>
      <c r="BU272" s="2">
        <v>1</v>
      </c>
      <c r="BV272" s="2">
        <v>1</v>
      </c>
      <c r="BW272" s="2">
        <v>1</v>
      </c>
      <c r="BX272" s="2">
        <v>1</v>
      </c>
      <c r="BY272" s="2" t="s">
        <v>3</v>
      </c>
      <c r="BZ272" s="2">
        <v>85</v>
      </c>
      <c r="CA272" s="2">
        <v>43</v>
      </c>
      <c r="CB272" s="2" t="s">
        <v>3</v>
      </c>
      <c r="CC272" s="2"/>
      <c r="CD272" s="2"/>
      <c r="CE272" s="2">
        <v>1566</v>
      </c>
      <c r="CF272" s="2">
        <v>0</v>
      </c>
      <c r="CG272" s="2">
        <v>0</v>
      </c>
      <c r="CH272" s="2"/>
      <c r="CI272" s="2"/>
      <c r="CJ272" s="2"/>
      <c r="CK272" s="2"/>
      <c r="CL272" s="2"/>
      <c r="CM272" s="2">
        <v>0</v>
      </c>
      <c r="CN272" s="2" t="s">
        <v>375</v>
      </c>
      <c r="CO272" s="2">
        <v>0</v>
      </c>
      <c r="CP272" s="2">
        <f>(P272+Q272+S272)</f>
        <v>182.14000000000001</v>
      </c>
      <c r="CQ272" s="2">
        <f>ROUND((ROUND((AC272*AW272*1),2)*BC272),2)</f>
        <v>4.26</v>
      </c>
      <c r="CR272" s="2">
        <f>(ROUND((ROUND(((((ET272*1.25)*1.1))*AV272*1),2)*BB272),2)+ROUND((ROUND(((AE272-(((EU272*1.25)*1.1)))*AV272*1),2)*BS272),2))</f>
        <v>11.43</v>
      </c>
      <c r="CS272" s="2">
        <f>(ROUND((ROUND(((((EU272*1.25)*1.1))*AV272*1),2)*BS272),2)+ROUND((ROUND(((AE272-(((EU272*1.25)*1.1)))*AV272*1),2)*BS272),2))</f>
        <v>1.64</v>
      </c>
      <c r="CT272" s="2">
        <f>ROUND((ROUND((AF272*AV272*1),2)*BA272),2)</f>
        <v>268.89</v>
      </c>
      <c r="CU272" s="2">
        <f>AG272</f>
        <v>0</v>
      </c>
      <c r="CV272" s="2">
        <f>(AH272*AV272)</f>
        <v>16.35701925</v>
      </c>
      <c r="CW272" s="2">
        <f t="shared" ref="CW272:CX275" si="248">AI272</f>
        <v>0</v>
      </c>
      <c r="CX272" s="2">
        <f t="shared" si="248"/>
        <v>0</v>
      </c>
      <c r="CY272" s="2">
        <f>(ROUND((((S272+ROUND((ROUND(((((EU272*1.25)*1.1))*AV272*1),2)*BS272),2))*AT272)/100),2)+ROUND(((ROUND((ROUND(((AE272-(((EU272*1.25)*1.1)))*AV272*1),2)*BS272),2)*AT272)/100),2))</f>
        <v>147.66999999999999</v>
      </c>
      <c r="CZ272" s="2">
        <f>(ROUND((((S272+ROUND((ROUND(((((EU272*1.25)*1.1))*AV272*1),2)*BS272),2))*AU272)/100),2)+ROUND(((ROUND((ROUND(((AE272-(((EU272*1.25)*1.1)))*AV272*1),2)*BS272),2)*AU272)/100),2))</f>
        <v>74.7</v>
      </c>
      <c r="DA272" s="2"/>
      <c r="DB272" s="2">
        <v>93</v>
      </c>
      <c r="DC272" s="2" t="s">
        <v>3</v>
      </c>
      <c r="DD272" s="2" t="s">
        <v>3</v>
      </c>
      <c r="DE272" s="2" t="s">
        <v>39</v>
      </c>
      <c r="DF272" s="2" t="s">
        <v>39</v>
      </c>
      <c r="DG272" s="2" t="s">
        <v>40</v>
      </c>
      <c r="DH272" s="2" t="s">
        <v>3</v>
      </c>
      <c r="DI272" s="2" t="s">
        <v>40</v>
      </c>
      <c r="DJ272" s="2" t="s">
        <v>39</v>
      </c>
      <c r="DK272" s="2" t="s">
        <v>3</v>
      </c>
      <c r="DL272" s="2" t="s">
        <v>3</v>
      </c>
      <c r="DM272" s="2" t="s">
        <v>3</v>
      </c>
      <c r="DN272" s="2">
        <v>0</v>
      </c>
      <c r="DO272" s="2">
        <v>0</v>
      </c>
      <c r="DP272" s="2">
        <v>1</v>
      </c>
      <c r="DQ272" s="2">
        <v>1</v>
      </c>
      <c r="DR272" s="2"/>
      <c r="DS272" s="2"/>
      <c r="DT272" s="2"/>
      <c r="DU272" s="2">
        <v>1005</v>
      </c>
      <c r="DV272" s="2" t="s">
        <v>235</v>
      </c>
      <c r="DW272" s="2" t="s">
        <v>235</v>
      </c>
      <c r="DX272" s="2">
        <v>100</v>
      </c>
      <c r="DY272" s="2"/>
      <c r="DZ272" s="2" t="s">
        <v>3</v>
      </c>
      <c r="EA272" s="2" t="s">
        <v>3</v>
      </c>
      <c r="EB272" s="2" t="s">
        <v>3</v>
      </c>
      <c r="EC272" s="2" t="s">
        <v>3</v>
      </c>
      <c r="ED272" s="2"/>
      <c r="EE272" s="2">
        <v>59298986</v>
      </c>
      <c r="EF272" s="2">
        <v>30</v>
      </c>
      <c r="EG272" s="2" t="s">
        <v>26</v>
      </c>
      <c r="EH272" s="2">
        <v>0</v>
      </c>
      <c r="EI272" s="2" t="s">
        <v>3</v>
      </c>
      <c r="EJ272" s="2">
        <v>1</v>
      </c>
      <c r="EK272" s="2">
        <v>59</v>
      </c>
      <c r="EL272" s="2" t="s">
        <v>237</v>
      </c>
      <c r="EM272" s="2" t="s">
        <v>238</v>
      </c>
      <c r="EN272" s="2"/>
      <c r="EO272" s="2" t="s">
        <v>41</v>
      </c>
      <c r="EP272" s="2"/>
      <c r="EQ272" s="2">
        <v>0</v>
      </c>
      <c r="ER272" s="2">
        <v>215.21</v>
      </c>
      <c r="ES272" s="2">
        <v>4.25</v>
      </c>
      <c r="ET272" s="2">
        <v>7.94</v>
      </c>
      <c r="EU272" s="2">
        <v>1.1399999999999999</v>
      </c>
      <c r="EV272" s="2">
        <v>203.02</v>
      </c>
      <c r="EW272" s="2">
        <v>12.35</v>
      </c>
      <c r="EX272" s="2">
        <v>0</v>
      </c>
      <c r="EY272" s="2">
        <v>0</v>
      </c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>
        <v>0</v>
      </c>
      <c r="FR272" s="2">
        <v>0</v>
      </c>
      <c r="FS272" s="2">
        <v>0</v>
      </c>
      <c r="FT272" s="2"/>
      <c r="FU272" s="2"/>
      <c r="FV272" s="2"/>
      <c r="FW272" s="2"/>
      <c r="FX272" s="2">
        <v>85</v>
      </c>
      <c r="FY272" s="2">
        <v>43</v>
      </c>
      <c r="FZ272" s="2"/>
      <c r="GA272" s="2" t="s">
        <v>3</v>
      </c>
      <c r="GB272" s="2"/>
      <c r="GC272" s="2"/>
      <c r="GD272" s="2">
        <v>1</v>
      </c>
      <c r="GE272" s="2"/>
      <c r="GF272" s="2">
        <v>1632362984</v>
      </c>
      <c r="GG272" s="2">
        <v>2</v>
      </c>
      <c r="GH272" s="2">
        <v>1</v>
      </c>
      <c r="GI272" s="2">
        <v>2</v>
      </c>
      <c r="GJ272" s="2">
        <v>0</v>
      </c>
      <c r="GK272" s="2">
        <v>0</v>
      </c>
      <c r="GL272" s="2">
        <f>ROUND(IF(AND(BH272=3,BI272=3,FS272&lt;&gt;0),P272,0),2)</f>
        <v>0</v>
      </c>
      <c r="GM272" s="2">
        <f>ROUND(O272+X272+Y272,2)+GX272</f>
        <v>403.76</v>
      </c>
      <c r="GN272" s="2">
        <f>IF(OR(BI272=0,BI272=1),GM272-GX272,0)</f>
        <v>403.76</v>
      </c>
      <c r="GO272" s="2">
        <f>IF(BI272=2,GM272-GX272,0)</f>
        <v>0</v>
      </c>
      <c r="GP272" s="2">
        <f>IF(BI272=4,GM272-GX272,0)</f>
        <v>0</v>
      </c>
      <c r="GQ272" s="2"/>
      <c r="GR272" s="2">
        <v>0</v>
      </c>
      <c r="GS272" s="2">
        <v>3</v>
      </c>
      <c r="GT272" s="2">
        <v>0</v>
      </c>
      <c r="GU272" s="2" t="s">
        <v>3</v>
      </c>
      <c r="GV272" s="2">
        <f>ROUND((GT272),6)</f>
        <v>0</v>
      </c>
      <c r="GW272" s="2">
        <v>1</v>
      </c>
      <c r="GX272" s="2">
        <f>ROUND(HC272*I272,2)</f>
        <v>0</v>
      </c>
      <c r="GY272" s="2"/>
      <c r="GZ272" s="2"/>
      <c r="HA272" s="2">
        <v>0</v>
      </c>
      <c r="HB272" s="2">
        <v>0</v>
      </c>
      <c r="HC272" s="2">
        <f>GV272*GW272</f>
        <v>0</v>
      </c>
      <c r="HD272" s="2"/>
      <c r="HE272" s="2" t="s">
        <v>3</v>
      </c>
      <c r="HF272" s="2" t="s">
        <v>3</v>
      </c>
      <c r="HG272" s="2"/>
      <c r="HH272" s="2"/>
      <c r="HI272" s="2"/>
      <c r="HJ272" s="2"/>
      <c r="HK272" s="2"/>
      <c r="HL272" s="2"/>
      <c r="HM272" s="2" t="s">
        <v>3</v>
      </c>
      <c r="HN272" s="2" t="s">
        <v>3</v>
      </c>
      <c r="HO272" s="2" t="s">
        <v>3</v>
      </c>
      <c r="HP272" s="2" t="s">
        <v>3</v>
      </c>
      <c r="HQ272" s="2" t="s">
        <v>3</v>
      </c>
      <c r="HR272" s="2"/>
      <c r="HS272" s="2">
        <v>0</v>
      </c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>
        <v>0</v>
      </c>
      <c r="IL272" s="2"/>
      <c r="IM272" s="2"/>
      <c r="IN272" s="2"/>
      <c r="IO272" s="2"/>
      <c r="IP272" s="2"/>
      <c r="IQ272" s="2"/>
      <c r="IR272" s="2"/>
      <c r="IS272" s="2"/>
      <c r="IT272" s="2"/>
      <c r="IU272" s="2"/>
    </row>
    <row r="273" spans="1:255" x14ac:dyDescent="0.2">
      <c r="A273">
        <v>17</v>
      </c>
      <c r="B273">
        <v>1</v>
      </c>
      <c r="C273">
        <f>ROW(SmtRes!A120)</f>
        <v>120</v>
      </c>
      <c r="D273">
        <f>ROW(EtalonRes!A130)</f>
        <v>130</v>
      </c>
      <c r="E273" t="s">
        <v>232</v>
      </c>
      <c r="F273" t="s">
        <v>233</v>
      </c>
      <c r="G273" t="s">
        <v>234</v>
      </c>
      <c r="H273" t="s">
        <v>235</v>
      </c>
      <c r="I273">
        <f>ROUND(64/100,9)</f>
        <v>0.64</v>
      </c>
      <c r="J273">
        <v>0</v>
      </c>
      <c r="K273">
        <f>ROUND(64/100,9)</f>
        <v>0.64</v>
      </c>
      <c r="O273">
        <f>ROUND(CP273,2)</f>
        <v>9615.26</v>
      </c>
      <c r="P273">
        <f>ROUND((ROUND((AC273*AW273*I273),2)*BC273),2)</f>
        <v>35.93</v>
      </c>
      <c r="Q273">
        <f>(ROUND((ROUND(((((ET273*1.25)*1.1))*AV273*I273),2)*BB273),2)+ROUND((ROUND(((AE273-(((EU273*1.25)*1.1)))*AV273*I273),2)*BS273),2))</f>
        <v>116.1</v>
      </c>
      <c r="R273">
        <f>(ROUND((ROUND(((((EU273*1.25)*1.1))*AV273*I273),2)*BS273),2)+ROUND((ROUND(((AE273-(((EU273*1.25)*1.1)))*AV273*I273),2)*BS273),2))</f>
        <v>57.74</v>
      </c>
      <c r="S273">
        <f>ROUND((ROUND((AF273*AV273*I273),2)*BA273),2)</f>
        <v>9463.23</v>
      </c>
      <c r="T273">
        <f>ROUND(CU273*I273,2)</f>
        <v>0</v>
      </c>
      <c r="U273">
        <f>CV273*I273</f>
        <v>10.468492320000001</v>
      </c>
      <c r="V273">
        <f>CW273*I273</f>
        <v>0</v>
      </c>
      <c r="W273">
        <f>ROUND(CX273*I273,2)</f>
        <v>0</v>
      </c>
      <c r="X273">
        <f>(ROUND((((S273+ROUND((ROUND(((((EU273*1.25)*1.1))*AV273*I273),2)*BS273),2))*AT273)/100),2)+ROUND(((ROUND((ROUND(((AE273-(((EU273*1.25)*1.1)))*AV273*I273),2)*BS273),2)*AT273)/100),2))</f>
        <v>8092.82</v>
      </c>
      <c r="Y273">
        <f>(ROUND((((S273+ROUND((ROUND(((((EU273*1.25)*1.1))*AV273*I273),2)*BS273),2))*AU273)/100),2)+ROUND(((ROUND((ROUND(((AE273-(((EU273*1.25)*1.1)))*AV273*I273),2)*BS273),2)*AU273)/100),2))</f>
        <v>4094.02</v>
      </c>
      <c r="AA273">
        <v>59499215</v>
      </c>
      <c r="AB273">
        <f>ROUND((AC273+AD273+AF273),6)</f>
        <v>271.98779999999999</v>
      </c>
      <c r="AC273">
        <f>ROUND((ES273),6)</f>
        <v>4.25</v>
      </c>
      <c r="AD273">
        <f>ROUND((((((ET273*1.25)*1.1))-(((EU273*1.25)*1.1)))+AE273),6)</f>
        <v>10.9175</v>
      </c>
      <c r="AE273">
        <f>ROUND((((EU273*1.25)*1.1)),6)</f>
        <v>1.5674999999999999</v>
      </c>
      <c r="AF273">
        <f>ROUND((((EV273*1.15)*1.1)),6)</f>
        <v>256.82029999999997</v>
      </c>
      <c r="AG273">
        <f>ROUND((AP273),6)</f>
        <v>0</v>
      </c>
      <c r="AH273">
        <f>(((EW273*1.15)*1.1))</f>
        <v>15.62275</v>
      </c>
      <c r="AI273">
        <f>(((EX273*1.25)*1.1))</f>
        <v>0</v>
      </c>
      <c r="AJ273">
        <f>(AS273)</f>
        <v>0</v>
      </c>
      <c r="AK273">
        <v>215.21</v>
      </c>
      <c r="AL273">
        <v>4.25</v>
      </c>
      <c r="AM273">
        <v>7.94</v>
      </c>
      <c r="AN273">
        <v>1.1399999999999999</v>
      </c>
      <c r="AO273">
        <v>203.02</v>
      </c>
      <c r="AP273">
        <v>0</v>
      </c>
      <c r="AQ273">
        <v>12.35</v>
      </c>
      <c r="AR273">
        <v>0</v>
      </c>
      <c r="AS273">
        <v>0</v>
      </c>
      <c r="AT273">
        <v>85</v>
      </c>
      <c r="AU273">
        <v>43</v>
      </c>
      <c r="AV273">
        <v>1.0469999999999999</v>
      </c>
      <c r="AW273">
        <v>1.002</v>
      </c>
      <c r="AZ273">
        <v>1</v>
      </c>
      <c r="BA273">
        <v>54.99</v>
      </c>
      <c r="BB273">
        <v>15.86</v>
      </c>
      <c r="BC273">
        <v>13.16</v>
      </c>
      <c r="BD273" t="s">
        <v>3</v>
      </c>
      <c r="BE273" t="s">
        <v>3</v>
      </c>
      <c r="BF273" t="s">
        <v>3</v>
      </c>
      <c r="BG273" t="s">
        <v>3</v>
      </c>
      <c r="BH273">
        <v>0</v>
      </c>
      <c r="BI273">
        <v>1</v>
      </c>
      <c r="BJ273" t="s">
        <v>236</v>
      </c>
      <c r="BM273">
        <v>59</v>
      </c>
      <c r="BN273">
        <v>59298886</v>
      </c>
      <c r="BO273" t="s">
        <v>233</v>
      </c>
      <c r="BP273">
        <v>1</v>
      </c>
      <c r="BQ273">
        <v>30</v>
      </c>
      <c r="BR273">
        <v>0</v>
      </c>
      <c r="BS273">
        <v>54.99</v>
      </c>
      <c r="BT273">
        <v>1</v>
      </c>
      <c r="BU273">
        <v>1</v>
      </c>
      <c r="BV273">
        <v>1</v>
      </c>
      <c r="BW273">
        <v>1</v>
      </c>
      <c r="BX273">
        <v>1</v>
      </c>
      <c r="BY273" t="s">
        <v>3</v>
      </c>
      <c r="BZ273">
        <v>85</v>
      </c>
      <c r="CA273">
        <v>43</v>
      </c>
      <c r="CB273" t="s">
        <v>3</v>
      </c>
      <c r="CE273">
        <v>1566</v>
      </c>
      <c r="CF273">
        <v>0</v>
      </c>
      <c r="CG273">
        <v>0</v>
      </c>
      <c r="CM273">
        <v>0</v>
      </c>
      <c r="CN273" t="s">
        <v>375</v>
      </c>
      <c r="CO273">
        <v>0</v>
      </c>
      <c r="CP273">
        <f>(P273+Q273+S273)</f>
        <v>9615.26</v>
      </c>
      <c r="CQ273">
        <f>ROUND((ROUND((AC273*AW273*1),2)*BC273),2)</f>
        <v>56.06</v>
      </c>
      <c r="CR273">
        <f>(ROUND((ROUND(((((ET273*1.25)*1.1))*AV273*1),2)*BB273),2)+ROUND((ROUND(((AE273-(((EU273*1.25)*1.1)))*AV273*1),2)*BS273),2))</f>
        <v>181.28</v>
      </c>
      <c r="CS273">
        <f>(ROUND((ROUND(((((EU273*1.25)*1.1))*AV273*1),2)*BS273),2)+ROUND((ROUND(((AE273-(((EU273*1.25)*1.1)))*AV273*1),2)*BS273),2))</f>
        <v>90.18</v>
      </c>
      <c r="CT273">
        <f>ROUND((ROUND((AF273*AV273*1),2)*BA273),2)</f>
        <v>14786.26</v>
      </c>
      <c r="CU273">
        <f>AG273</f>
        <v>0</v>
      </c>
      <c r="CV273">
        <f>(AH273*AV273)</f>
        <v>16.35701925</v>
      </c>
      <c r="CW273">
        <f t="shared" si="248"/>
        <v>0</v>
      </c>
      <c r="CX273">
        <f t="shared" si="248"/>
        <v>0</v>
      </c>
      <c r="CY273">
        <f>(ROUND((((S273+ROUND((ROUND(((((EU273*1.25)*1.1))*AV273*1),2)*BS273),2))*AT273)/100),2)+ROUND(((ROUND((ROUND(((AE273-(((EU273*1.25)*1.1)))*AV273*1),2)*BS273),2)*AT273)/100),2))</f>
        <v>8120.4</v>
      </c>
      <c r="CZ273">
        <f>(ROUND((((S273+ROUND((ROUND(((((EU273*1.25)*1.1))*AV273*1),2)*BS273),2))*AU273)/100),2)+ROUND(((ROUND((ROUND(((AE273-(((EU273*1.25)*1.1)))*AV273*1),2)*BS273),2)*AU273)/100),2))</f>
        <v>4107.97</v>
      </c>
      <c r="DB273">
        <v>95</v>
      </c>
      <c r="DC273" t="s">
        <v>3</v>
      </c>
      <c r="DD273" t="s">
        <v>3</v>
      </c>
      <c r="DE273" t="s">
        <v>39</v>
      </c>
      <c r="DF273" t="s">
        <v>39</v>
      </c>
      <c r="DG273" t="s">
        <v>40</v>
      </c>
      <c r="DH273" t="s">
        <v>3</v>
      </c>
      <c r="DI273" t="s">
        <v>40</v>
      </c>
      <c r="DJ273" t="s">
        <v>39</v>
      </c>
      <c r="DK273" t="s">
        <v>3</v>
      </c>
      <c r="DL273" t="s">
        <v>3</v>
      </c>
      <c r="DM273" t="s">
        <v>3</v>
      </c>
      <c r="DN273">
        <v>0</v>
      </c>
      <c r="DO273">
        <v>0</v>
      </c>
      <c r="DP273">
        <v>1</v>
      </c>
      <c r="DQ273">
        <v>1</v>
      </c>
      <c r="DU273">
        <v>1005</v>
      </c>
      <c r="DV273" t="s">
        <v>235</v>
      </c>
      <c r="DW273" t="s">
        <v>235</v>
      </c>
      <c r="DX273">
        <v>100</v>
      </c>
      <c r="DZ273" t="s">
        <v>3</v>
      </c>
      <c r="EA273" t="s">
        <v>3</v>
      </c>
      <c r="EB273" t="s">
        <v>3</v>
      </c>
      <c r="EC273" t="s">
        <v>3</v>
      </c>
      <c r="EE273">
        <v>59298986</v>
      </c>
      <c r="EF273">
        <v>30</v>
      </c>
      <c r="EG273" t="s">
        <v>26</v>
      </c>
      <c r="EH273">
        <v>0</v>
      </c>
      <c r="EI273" t="s">
        <v>3</v>
      </c>
      <c r="EJ273">
        <v>1</v>
      </c>
      <c r="EK273">
        <v>59</v>
      </c>
      <c r="EL273" t="s">
        <v>237</v>
      </c>
      <c r="EM273" t="s">
        <v>238</v>
      </c>
      <c r="EO273" t="s">
        <v>41</v>
      </c>
      <c r="EQ273">
        <v>0</v>
      </c>
      <c r="ER273">
        <v>215.21</v>
      </c>
      <c r="ES273">
        <v>4.25</v>
      </c>
      <c r="ET273">
        <v>7.94</v>
      </c>
      <c r="EU273">
        <v>1.1399999999999999</v>
      </c>
      <c r="EV273">
        <v>203.02</v>
      </c>
      <c r="EW273">
        <v>12.35</v>
      </c>
      <c r="EX273">
        <v>0</v>
      </c>
      <c r="EY273">
        <v>0</v>
      </c>
      <c r="FQ273">
        <v>0</v>
      </c>
      <c r="FR273">
        <v>0</v>
      </c>
      <c r="FS273">
        <v>0</v>
      </c>
      <c r="FX273">
        <v>85</v>
      </c>
      <c r="FY273">
        <v>43</v>
      </c>
      <c r="GA273" t="s">
        <v>3</v>
      </c>
      <c r="GD273">
        <v>1</v>
      </c>
      <c r="GF273">
        <v>1632362984</v>
      </c>
      <c r="GG273">
        <v>2</v>
      </c>
      <c r="GH273">
        <v>1</v>
      </c>
      <c r="GI273">
        <v>2</v>
      </c>
      <c r="GJ273">
        <v>0</v>
      </c>
      <c r="GK273">
        <v>0</v>
      </c>
      <c r="GL273">
        <f>ROUND(IF(AND(BH273=3,BI273=3,FS273&lt;&gt;0),P273,0),2)</f>
        <v>0</v>
      </c>
      <c r="GM273">
        <f>ROUND(O273+X273+Y273,2)+GX273</f>
        <v>21802.1</v>
      </c>
      <c r="GN273">
        <f>IF(OR(BI273=0,BI273=1),GM273-GX273,0)</f>
        <v>21802.1</v>
      </c>
      <c r="GO273">
        <f>IF(BI273=2,GM273-GX273,0)</f>
        <v>0</v>
      </c>
      <c r="GP273">
        <f>IF(BI273=4,GM273-GX273,0)</f>
        <v>0</v>
      </c>
      <c r="GR273">
        <v>0</v>
      </c>
      <c r="GS273">
        <v>3</v>
      </c>
      <c r="GT273">
        <v>0</v>
      </c>
      <c r="GU273" t="s">
        <v>3</v>
      </c>
      <c r="GV273">
        <f>ROUND((GT273),6)</f>
        <v>0</v>
      </c>
      <c r="GW273">
        <v>1</v>
      </c>
      <c r="GX273">
        <f>ROUND(HC273*I273,2)</f>
        <v>0</v>
      </c>
      <c r="HA273">
        <v>0</v>
      </c>
      <c r="HB273">
        <v>0</v>
      </c>
      <c r="HC273">
        <f>GV273*GW273</f>
        <v>0</v>
      </c>
      <c r="HE273" t="s">
        <v>3</v>
      </c>
      <c r="HF273" t="s">
        <v>3</v>
      </c>
      <c r="HM273" t="s">
        <v>3</v>
      </c>
      <c r="HN273" t="s">
        <v>3</v>
      </c>
      <c r="HO273" t="s">
        <v>3</v>
      </c>
      <c r="HP273" t="s">
        <v>3</v>
      </c>
      <c r="HQ273" t="s">
        <v>3</v>
      </c>
      <c r="HS273">
        <v>0</v>
      </c>
      <c r="IK273">
        <v>0</v>
      </c>
    </row>
    <row r="274" spans="1:255" x14ac:dyDescent="0.2">
      <c r="A274" s="2">
        <v>18</v>
      </c>
      <c r="B274" s="2">
        <v>1</v>
      </c>
      <c r="C274" s="2">
        <v>114</v>
      </c>
      <c r="D274" s="2"/>
      <c r="E274" s="2" t="s">
        <v>239</v>
      </c>
      <c r="F274" s="2" t="s">
        <v>240</v>
      </c>
      <c r="G274" s="2" t="s">
        <v>241</v>
      </c>
      <c r="H274" s="2" t="s">
        <v>242</v>
      </c>
      <c r="I274" s="2">
        <f>I272*J274</f>
        <v>3.9551999999999997E-2</v>
      </c>
      <c r="J274" s="2">
        <v>6.1799999999999994E-2</v>
      </c>
      <c r="K274" s="2">
        <v>6.1800000000000001E-2</v>
      </c>
      <c r="L274" s="2"/>
      <c r="M274" s="2"/>
      <c r="N274" s="2"/>
      <c r="O274" s="2">
        <f>ROUND(CP274,2)</f>
        <v>1725.3</v>
      </c>
      <c r="P274" s="2">
        <f>ROUND((ROUND((AC274*AW274*I274),2)*BC274),2)</f>
        <v>1725.3</v>
      </c>
      <c r="Q274" s="2">
        <f>(ROUND((ROUND(((ET274)*AV274*I274),2)*BB274),2)+ROUND((ROUND(((AE274-(EU274))*AV274*I274),2)*BS274),2))</f>
        <v>0</v>
      </c>
      <c r="R274" s="2">
        <f>(ROUND((ROUND(((EU274)*AV274*I274),2)*BS274),2)+ROUND((ROUND(((AE274-(EU274))*AV274*I274),2)*BS274),2))</f>
        <v>0</v>
      </c>
      <c r="S274" s="2">
        <f>ROUND((ROUND((AF274*AV274*I274),2)*BA274),2)</f>
        <v>0</v>
      </c>
      <c r="T274" s="2">
        <f>ROUND(CU274*I274,2)</f>
        <v>0</v>
      </c>
      <c r="U274" s="2">
        <f>CV274*I274</f>
        <v>0</v>
      </c>
      <c r="V274" s="2">
        <f>CW274*I274</f>
        <v>0</v>
      </c>
      <c r="W274" s="2">
        <f>ROUND(CX274*I274,2)</f>
        <v>0</v>
      </c>
      <c r="X274" s="2">
        <f>(ROUND((((S274+ROUND((ROUND(((EU274)*AV274*I274),2)*BS274),2))*AT274)/100),2)+ROUND(((ROUND((ROUND(((AE274-(EU274))*AV274*I274),2)*BS274),2)*AT274)/100),2))</f>
        <v>0</v>
      </c>
      <c r="Y274" s="2">
        <f>(ROUND((((S274+ROUND((ROUND(((EU274)*AV274*I274),2)*BS274),2))*AU274)/100),2)+ROUND(((ROUND((ROUND(((AE274-(EU274))*AV274*I274),2)*BS274),2)*AU274)/100),2))</f>
        <v>0</v>
      </c>
      <c r="Z274" s="2"/>
      <c r="AA274" s="2">
        <v>59499218</v>
      </c>
      <c r="AB274" s="2">
        <f>ROUND((AC274+AD274+AF274),6)</f>
        <v>43534.02</v>
      </c>
      <c r="AC274" s="2">
        <f>ROUND((ES274),6)</f>
        <v>43534.02</v>
      </c>
      <c r="AD274" s="2">
        <f>ROUND((((ET274)-(EU274))+AE274),6)</f>
        <v>0</v>
      </c>
      <c r="AE274" s="2">
        <f>ROUND((EU274),6)</f>
        <v>0</v>
      </c>
      <c r="AF274" s="2">
        <f>ROUND((EV274),6)</f>
        <v>0</v>
      </c>
      <c r="AG274" s="2">
        <f>ROUND((AP274),6)</f>
        <v>0</v>
      </c>
      <c r="AH274" s="2">
        <f>(EW274)</f>
        <v>0</v>
      </c>
      <c r="AI274" s="2">
        <f>(EX274)</f>
        <v>0</v>
      </c>
      <c r="AJ274" s="2">
        <f>(AS274)</f>
        <v>0</v>
      </c>
      <c r="AK274" s="2">
        <v>43534.02</v>
      </c>
      <c r="AL274" s="2">
        <v>43534.02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85</v>
      </c>
      <c r="AU274" s="2">
        <v>43</v>
      </c>
      <c r="AV274" s="2">
        <v>1</v>
      </c>
      <c r="AW274" s="2">
        <v>1.002</v>
      </c>
      <c r="AX274" s="2"/>
      <c r="AY274" s="2"/>
      <c r="AZ274" s="2">
        <v>1</v>
      </c>
      <c r="BA274" s="2">
        <v>1</v>
      </c>
      <c r="BB274" s="2">
        <v>1</v>
      </c>
      <c r="BC274" s="2">
        <v>1</v>
      </c>
      <c r="BD274" s="2" t="s">
        <v>3</v>
      </c>
      <c r="BE274" s="2" t="s">
        <v>3</v>
      </c>
      <c r="BF274" s="2" t="s">
        <v>3</v>
      </c>
      <c r="BG274" s="2" t="s">
        <v>3</v>
      </c>
      <c r="BH274" s="2">
        <v>3</v>
      </c>
      <c r="BI274" s="2">
        <v>1</v>
      </c>
      <c r="BJ274" s="2" t="s">
        <v>243</v>
      </c>
      <c r="BK274" s="2"/>
      <c r="BL274" s="2"/>
      <c r="BM274" s="2">
        <v>59</v>
      </c>
      <c r="BN274" s="2">
        <v>59298886</v>
      </c>
      <c r="BO274" s="2" t="s">
        <v>3</v>
      </c>
      <c r="BP274" s="2">
        <v>0</v>
      </c>
      <c r="BQ274" s="2">
        <v>30</v>
      </c>
      <c r="BR274" s="2">
        <v>0</v>
      </c>
      <c r="BS274" s="2">
        <v>1</v>
      </c>
      <c r="BT274" s="2">
        <v>1</v>
      </c>
      <c r="BU274" s="2">
        <v>1</v>
      </c>
      <c r="BV274" s="2">
        <v>1</v>
      </c>
      <c r="BW274" s="2">
        <v>1</v>
      </c>
      <c r="BX274" s="2">
        <v>1</v>
      </c>
      <c r="BY274" s="2" t="s">
        <v>3</v>
      </c>
      <c r="BZ274" s="2">
        <v>85</v>
      </c>
      <c r="CA274" s="2">
        <v>43</v>
      </c>
      <c r="CB274" s="2" t="s">
        <v>3</v>
      </c>
      <c r="CC274" s="2"/>
      <c r="CD274" s="2"/>
      <c r="CE274" s="2">
        <v>1566</v>
      </c>
      <c r="CF274" s="2">
        <v>0</v>
      </c>
      <c r="CG274" s="2">
        <v>0</v>
      </c>
      <c r="CH274" s="2"/>
      <c r="CI274" s="2"/>
      <c r="CJ274" s="2"/>
      <c r="CK274" s="2"/>
      <c r="CL274" s="2"/>
      <c r="CM274" s="2">
        <v>0</v>
      </c>
      <c r="CN274" s="2" t="s">
        <v>3</v>
      </c>
      <c r="CO274" s="2">
        <v>0</v>
      </c>
      <c r="CP274" s="2">
        <f>(P274+Q274+S274)</f>
        <v>1725.3</v>
      </c>
      <c r="CQ274" s="2">
        <f>ROUND((ROUND((AC274*AW274*1),2)*BC274),2)</f>
        <v>43621.09</v>
      </c>
      <c r="CR274" s="2">
        <f>(ROUND((ROUND(((ET274)*AV274*1),2)*BB274),2)+ROUND((ROUND(((AE274-(EU274))*AV274*1),2)*BS274),2))</f>
        <v>0</v>
      </c>
      <c r="CS274" s="2">
        <f>(ROUND((ROUND(((EU274)*AV274*1),2)*BS274),2)+ROUND((ROUND(((AE274-(EU274))*AV274*1),2)*BS274),2))</f>
        <v>0</v>
      </c>
      <c r="CT274" s="2">
        <f>ROUND((ROUND((AF274*AV274*1),2)*BA274),2)</f>
        <v>0</v>
      </c>
      <c r="CU274" s="2">
        <f>AG274</f>
        <v>0</v>
      </c>
      <c r="CV274" s="2">
        <f>(AH274*AV274)</f>
        <v>0</v>
      </c>
      <c r="CW274" s="2">
        <f t="shared" si="248"/>
        <v>0</v>
      </c>
      <c r="CX274" s="2">
        <f t="shared" si="248"/>
        <v>0</v>
      </c>
      <c r="CY274" s="2">
        <f>(ROUND((((S274+ROUND((ROUND(((EU274)*AV274*1),2)*BS274),2))*AT274)/100),2)+ROUND(((ROUND((ROUND(((AE274-(EU274))*AV274*1),2)*BS274),2)*AT274)/100),2))</f>
        <v>0</v>
      </c>
      <c r="CZ274" s="2">
        <f>(ROUND((((S274+ROUND((ROUND(((EU274)*AV274*1),2)*BS274),2))*AU274)/100),2)+ROUND(((ROUND((ROUND(((AE274-(EU274))*AV274*1),2)*BS274),2)*AU274)/100),2))</f>
        <v>0</v>
      </c>
      <c r="DA274" s="2"/>
      <c r="DB274" s="2"/>
      <c r="DC274" s="2" t="s">
        <v>3</v>
      </c>
      <c r="DD274" s="2" t="s">
        <v>3</v>
      </c>
      <c r="DE274" s="2" t="s">
        <v>3</v>
      </c>
      <c r="DF274" s="2" t="s">
        <v>3</v>
      </c>
      <c r="DG274" s="2" t="s">
        <v>3</v>
      </c>
      <c r="DH274" s="2" t="s">
        <v>3</v>
      </c>
      <c r="DI274" s="2" t="s">
        <v>3</v>
      </c>
      <c r="DJ274" s="2" t="s">
        <v>3</v>
      </c>
      <c r="DK274" s="2" t="s">
        <v>3</v>
      </c>
      <c r="DL274" s="2" t="s">
        <v>3</v>
      </c>
      <c r="DM274" s="2" t="s">
        <v>3</v>
      </c>
      <c r="DN274" s="2">
        <v>0</v>
      </c>
      <c r="DO274" s="2">
        <v>0</v>
      </c>
      <c r="DP274" s="2">
        <v>1</v>
      </c>
      <c r="DQ274" s="2">
        <v>1</v>
      </c>
      <c r="DR274" s="2"/>
      <c r="DS274" s="2"/>
      <c r="DT274" s="2"/>
      <c r="DU274" s="2">
        <v>1009</v>
      </c>
      <c r="DV274" s="2" t="s">
        <v>242</v>
      </c>
      <c r="DW274" s="2" t="s">
        <v>242</v>
      </c>
      <c r="DX274" s="2">
        <v>1000</v>
      </c>
      <c r="DY274" s="2"/>
      <c r="DZ274" s="2" t="s">
        <v>3</v>
      </c>
      <c r="EA274" s="2" t="s">
        <v>3</v>
      </c>
      <c r="EB274" s="2" t="s">
        <v>3</v>
      </c>
      <c r="EC274" s="2" t="s">
        <v>3</v>
      </c>
      <c r="ED274" s="2"/>
      <c r="EE274" s="2">
        <v>59298986</v>
      </c>
      <c r="EF274" s="2">
        <v>30</v>
      </c>
      <c r="EG274" s="2" t="s">
        <v>26</v>
      </c>
      <c r="EH274" s="2">
        <v>0</v>
      </c>
      <c r="EI274" s="2" t="s">
        <v>3</v>
      </c>
      <c r="EJ274" s="2">
        <v>1</v>
      </c>
      <c r="EK274" s="2">
        <v>59</v>
      </c>
      <c r="EL274" s="2" t="s">
        <v>237</v>
      </c>
      <c r="EM274" s="2" t="s">
        <v>238</v>
      </c>
      <c r="EN274" s="2"/>
      <c r="EO274" s="2" t="s">
        <v>3</v>
      </c>
      <c r="EP274" s="2"/>
      <c r="EQ274" s="2">
        <v>0</v>
      </c>
      <c r="ER274" s="2">
        <v>43534.02</v>
      </c>
      <c r="ES274" s="2">
        <v>43534.02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>
        <v>0</v>
      </c>
      <c r="FR274" s="2">
        <v>0</v>
      </c>
      <c r="FS274" s="2">
        <v>0</v>
      </c>
      <c r="FT274" s="2"/>
      <c r="FU274" s="2"/>
      <c r="FV274" s="2"/>
      <c r="FW274" s="2"/>
      <c r="FX274" s="2">
        <v>85</v>
      </c>
      <c r="FY274" s="2">
        <v>43</v>
      </c>
      <c r="FZ274" s="2"/>
      <c r="GA274" s="2" t="s">
        <v>3</v>
      </c>
      <c r="GB274" s="2"/>
      <c r="GC274" s="2"/>
      <c r="GD274" s="2">
        <v>1</v>
      </c>
      <c r="GE274" s="2"/>
      <c r="GF274" s="2">
        <v>-1843855049</v>
      </c>
      <c r="GG274" s="2">
        <v>2</v>
      </c>
      <c r="GH274" s="2">
        <v>1</v>
      </c>
      <c r="GI274" s="2">
        <v>-2</v>
      </c>
      <c r="GJ274" s="2">
        <v>0</v>
      </c>
      <c r="GK274" s="2">
        <v>0</v>
      </c>
      <c r="GL274" s="2">
        <f>ROUND(IF(AND(BH274=3,BI274=3,FS274&lt;&gt;0),P274,0),2)</f>
        <v>0</v>
      </c>
      <c r="GM274" s="2">
        <f>ROUND(O274+X274+Y274,2)+GX274</f>
        <v>1725.3</v>
      </c>
      <c r="GN274" s="2">
        <f>IF(OR(BI274=0,BI274=1),GM274-GX274,0)</f>
        <v>1725.3</v>
      </c>
      <c r="GO274" s="2">
        <f>IF(BI274=2,GM274-GX274,0)</f>
        <v>0</v>
      </c>
      <c r="GP274" s="2">
        <f>IF(BI274=4,GM274-GX274,0)</f>
        <v>0</v>
      </c>
      <c r="GQ274" s="2"/>
      <c r="GR274" s="2">
        <v>0</v>
      </c>
      <c r="GS274" s="2">
        <v>3</v>
      </c>
      <c r="GT274" s="2">
        <v>0</v>
      </c>
      <c r="GU274" s="2" t="s">
        <v>3</v>
      </c>
      <c r="GV274" s="2">
        <f>ROUND((GT274),6)</f>
        <v>0</v>
      </c>
      <c r="GW274" s="2">
        <v>1</v>
      </c>
      <c r="GX274" s="2">
        <f>ROUND(HC274*I274,2)</f>
        <v>0</v>
      </c>
      <c r="GY274" s="2"/>
      <c r="GZ274" s="2"/>
      <c r="HA274" s="2">
        <v>0</v>
      </c>
      <c r="HB274" s="2">
        <v>0</v>
      </c>
      <c r="HC274" s="2">
        <f>GV274*GW274</f>
        <v>0</v>
      </c>
      <c r="HD274" s="2"/>
      <c r="HE274" s="2" t="s">
        <v>3</v>
      </c>
      <c r="HF274" s="2" t="s">
        <v>3</v>
      </c>
      <c r="HG274" s="2"/>
      <c r="HH274" s="2"/>
      <c r="HI274" s="2"/>
      <c r="HJ274" s="2"/>
      <c r="HK274" s="2"/>
      <c r="HL274" s="2"/>
      <c r="HM274" s="2" t="s">
        <v>3</v>
      </c>
      <c r="HN274" s="2" t="s">
        <v>3</v>
      </c>
      <c r="HO274" s="2" t="s">
        <v>3</v>
      </c>
      <c r="HP274" s="2" t="s">
        <v>3</v>
      </c>
      <c r="HQ274" s="2" t="s">
        <v>3</v>
      </c>
      <c r="HR274" s="2"/>
      <c r="HS274" s="2">
        <v>0</v>
      </c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>
        <v>0</v>
      </c>
      <c r="IL274" s="2"/>
      <c r="IM274" s="2"/>
      <c r="IN274" s="2"/>
      <c r="IO274" s="2"/>
      <c r="IP274" s="2"/>
      <c r="IQ274" s="2"/>
      <c r="IR274" s="2"/>
      <c r="IS274" s="2"/>
      <c r="IT274" s="2"/>
      <c r="IU274" s="2"/>
    </row>
    <row r="275" spans="1:255" x14ac:dyDescent="0.2">
      <c r="A275">
        <v>18</v>
      </c>
      <c r="B275">
        <v>1</v>
      </c>
      <c r="C275">
        <v>120</v>
      </c>
      <c r="E275" t="s">
        <v>239</v>
      </c>
      <c r="F275" t="s">
        <v>240</v>
      </c>
      <c r="G275" t="s">
        <v>241</v>
      </c>
      <c r="H275" t="s">
        <v>242</v>
      </c>
      <c r="I275">
        <f>I273*J275</f>
        <v>3.9551999999999997E-2</v>
      </c>
      <c r="J275">
        <v>6.1799999999999994E-2</v>
      </c>
      <c r="K275">
        <v>6.1800000000000001E-2</v>
      </c>
      <c r="O275">
        <f>ROUND(CP275,2)</f>
        <v>5244.91</v>
      </c>
      <c r="P275">
        <f>ROUND((ROUND((AC275*AW275*I275),2)*BC275),2)</f>
        <v>5244.91</v>
      </c>
      <c r="Q275">
        <f>(ROUND((ROUND(((ET275)*AV275*I275),2)*BB275),2)+ROUND((ROUND(((AE275-(EU275))*AV275*I275),2)*BS275),2))</f>
        <v>0</v>
      </c>
      <c r="R275">
        <f>(ROUND((ROUND(((EU275)*AV275*I275),2)*BS275),2)+ROUND((ROUND(((AE275-(EU275))*AV275*I275),2)*BS275),2))</f>
        <v>0</v>
      </c>
      <c r="S275">
        <f>ROUND((ROUND((AF275*AV275*I275),2)*BA275),2)</f>
        <v>0</v>
      </c>
      <c r="T275">
        <f>ROUND(CU275*I275,2)</f>
        <v>0</v>
      </c>
      <c r="U275">
        <f>CV275*I275</f>
        <v>0</v>
      </c>
      <c r="V275">
        <f>CW275*I275</f>
        <v>0</v>
      </c>
      <c r="W275">
        <f>ROUND(CX275*I275,2)</f>
        <v>0</v>
      </c>
      <c r="X275">
        <f>(ROUND((((S275+ROUND((ROUND(((EU275)*AV275*I275),2)*BS275),2))*AT275)/100),2)+ROUND(((ROUND((ROUND(((AE275-(EU275))*AV275*I275),2)*BS275),2)*AT275)/100),2))</f>
        <v>0</v>
      </c>
      <c r="Y275">
        <f>(ROUND((((S275+ROUND((ROUND(((EU275)*AV275*I275),2)*BS275),2))*AU275)/100),2)+ROUND(((ROUND((ROUND(((AE275-(EU275))*AV275*I275),2)*BS275),2)*AU275)/100),2))</f>
        <v>0</v>
      </c>
      <c r="AA275">
        <v>59499215</v>
      </c>
      <c r="AB275">
        <f>ROUND((AC275+AD275+AF275),6)</f>
        <v>43534.02</v>
      </c>
      <c r="AC275">
        <f>ROUND((ES275),6)</f>
        <v>43534.02</v>
      </c>
      <c r="AD275">
        <f>ROUND((((ET275)-(EU275))+AE275),6)</f>
        <v>0</v>
      </c>
      <c r="AE275">
        <f>ROUND((EU275),6)</f>
        <v>0</v>
      </c>
      <c r="AF275">
        <f>ROUND((EV275),6)</f>
        <v>0</v>
      </c>
      <c r="AG275">
        <f>ROUND((AP275),6)</f>
        <v>0</v>
      </c>
      <c r="AH275">
        <f>(EW275)</f>
        <v>0</v>
      </c>
      <c r="AI275">
        <f>(EX275)</f>
        <v>0</v>
      </c>
      <c r="AJ275">
        <f>(AS275)</f>
        <v>0</v>
      </c>
      <c r="AK275">
        <v>43534.02</v>
      </c>
      <c r="AL275">
        <v>43534.02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85</v>
      </c>
      <c r="AU275">
        <v>43</v>
      </c>
      <c r="AV275">
        <v>1</v>
      </c>
      <c r="AW275">
        <v>1.002</v>
      </c>
      <c r="AZ275">
        <v>1</v>
      </c>
      <c r="BA275">
        <v>1</v>
      </c>
      <c r="BB275">
        <v>1</v>
      </c>
      <c r="BC275">
        <v>3.04</v>
      </c>
      <c r="BD275" t="s">
        <v>3</v>
      </c>
      <c r="BE275" t="s">
        <v>3</v>
      </c>
      <c r="BF275" t="s">
        <v>3</v>
      </c>
      <c r="BG275" t="s">
        <v>3</v>
      </c>
      <c r="BH275">
        <v>3</v>
      </c>
      <c r="BI275">
        <v>1</v>
      </c>
      <c r="BJ275" t="s">
        <v>243</v>
      </c>
      <c r="BM275">
        <v>59</v>
      </c>
      <c r="BN275">
        <v>59298886</v>
      </c>
      <c r="BO275" t="s">
        <v>240</v>
      </c>
      <c r="BP275">
        <v>1</v>
      </c>
      <c r="BQ275">
        <v>30</v>
      </c>
      <c r="BR275">
        <v>0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 t="s">
        <v>3</v>
      </c>
      <c r="BZ275">
        <v>85</v>
      </c>
      <c r="CA275">
        <v>43</v>
      </c>
      <c r="CB275" t="s">
        <v>3</v>
      </c>
      <c r="CE275">
        <v>1566</v>
      </c>
      <c r="CF275">
        <v>0</v>
      </c>
      <c r="CG275">
        <v>0</v>
      </c>
      <c r="CM275">
        <v>0</v>
      </c>
      <c r="CN275" t="s">
        <v>3</v>
      </c>
      <c r="CO275">
        <v>0</v>
      </c>
      <c r="CP275">
        <f>(P275+Q275+S275)</f>
        <v>5244.91</v>
      </c>
      <c r="CQ275">
        <f>ROUND((ROUND((AC275*AW275*1),2)*BC275),2)</f>
        <v>132608.10999999999</v>
      </c>
      <c r="CR275">
        <f>(ROUND((ROUND(((ET275)*AV275*1),2)*BB275),2)+ROUND((ROUND(((AE275-(EU275))*AV275*1),2)*BS275),2))</f>
        <v>0</v>
      </c>
      <c r="CS275">
        <f>(ROUND((ROUND(((EU275)*AV275*1),2)*BS275),2)+ROUND((ROUND(((AE275-(EU275))*AV275*1),2)*BS275),2))</f>
        <v>0</v>
      </c>
      <c r="CT275">
        <f>ROUND((ROUND((AF275*AV275*1),2)*BA275),2)</f>
        <v>0</v>
      </c>
      <c r="CU275">
        <f>AG275</f>
        <v>0</v>
      </c>
      <c r="CV275">
        <f>(AH275*AV275)</f>
        <v>0</v>
      </c>
      <c r="CW275">
        <f t="shared" si="248"/>
        <v>0</v>
      </c>
      <c r="CX275">
        <f t="shared" si="248"/>
        <v>0</v>
      </c>
      <c r="CY275">
        <f>(ROUND((((S275+ROUND((ROUND(((EU275)*AV275*1),2)*BS275),2))*AT275)/100),2)+ROUND(((ROUND((ROUND(((AE275-(EU275))*AV275*1),2)*BS275),2)*AT275)/100),2))</f>
        <v>0</v>
      </c>
      <c r="CZ275">
        <f>(ROUND((((S275+ROUND((ROUND(((EU275)*AV275*1),2)*BS275),2))*AU275)/100),2)+ROUND(((ROUND((ROUND(((AE275-(EU275))*AV275*1),2)*BS275),2)*AU275)/100),2))</f>
        <v>0</v>
      </c>
      <c r="DC275" t="s">
        <v>3</v>
      </c>
      <c r="DD275" t="s">
        <v>3</v>
      </c>
      <c r="DE275" t="s">
        <v>3</v>
      </c>
      <c r="DF275" t="s">
        <v>3</v>
      </c>
      <c r="DG275" t="s">
        <v>3</v>
      </c>
      <c r="DH275" t="s">
        <v>3</v>
      </c>
      <c r="DI275" t="s">
        <v>3</v>
      </c>
      <c r="DJ275" t="s">
        <v>3</v>
      </c>
      <c r="DK275" t="s">
        <v>3</v>
      </c>
      <c r="DL275" t="s">
        <v>3</v>
      </c>
      <c r="DM275" t="s">
        <v>3</v>
      </c>
      <c r="DN275">
        <v>0</v>
      </c>
      <c r="DO275">
        <v>0</v>
      </c>
      <c r="DP275">
        <v>1</v>
      </c>
      <c r="DQ275">
        <v>1</v>
      </c>
      <c r="DU275">
        <v>1009</v>
      </c>
      <c r="DV275" t="s">
        <v>242</v>
      </c>
      <c r="DW275" t="s">
        <v>242</v>
      </c>
      <c r="DX275">
        <v>1000</v>
      </c>
      <c r="DZ275" t="s">
        <v>3</v>
      </c>
      <c r="EA275" t="s">
        <v>3</v>
      </c>
      <c r="EB275" t="s">
        <v>3</v>
      </c>
      <c r="EC275" t="s">
        <v>3</v>
      </c>
      <c r="EE275">
        <v>59298986</v>
      </c>
      <c r="EF275">
        <v>30</v>
      </c>
      <c r="EG275" t="s">
        <v>26</v>
      </c>
      <c r="EH275">
        <v>0</v>
      </c>
      <c r="EI275" t="s">
        <v>3</v>
      </c>
      <c r="EJ275">
        <v>1</v>
      </c>
      <c r="EK275">
        <v>59</v>
      </c>
      <c r="EL275" t="s">
        <v>237</v>
      </c>
      <c r="EM275" t="s">
        <v>238</v>
      </c>
      <c r="EO275" t="s">
        <v>3</v>
      </c>
      <c r="EQ275">
        <v>0</v>
      </c>
      <c r="ER275">
        <v>43534.02</v>
      </c>
      <c r="ES275">
        <v>43534.02</v>
      </c>
      <c r="ET275">
        <v>0</v>
      </c>
      <c r="EU275">
        <v>0</v>
      </c>
      <c r="EV275">
        <v>0</v>
      </c>
      <c r="EW275">
        <v>0</v>
      </c>
      <c r="EX275">
        <v>0</v>
      </c>
      <c r="FQ275">
        <v>0</v>
      </c>
      <c r="FR275">
        <v>0</v>
      </c>
      <c r="FS275">
        <v>0</v>
      </c>
      <c r="FX275">
        <v>85</v>
      </c>
      <c r="FY275">
        <v>43</v>
      </c>
      <c r="GA275" t="s">
        <v>3</v>
      </c>
      <c r="GD275">
        <v>1</v>
      </c>
      <c r="GF275">
        <v>-1843855049</v>
      </c>
      <c r="GG275">
        <v>2</v>
      </c>
      <c r="GH275">
        <v>1</v>
      </c>
      <c r="GI275">
        <v>2</v>
      </c>
      <c r="GJ275">
        <v>0</v>
      </c>
      <c r="GK275">
        <v>0</v>
      </c>
      <c r="GL275">
        <f>ROUND(IF(AND(BH275=3,BI275=3,FS275&lt;&gt;0),P275,0),2)</f>
        <v>0</v>
      </c>
      <c r="GM275">
        <f>ROUND(O275+X275+Y275,2)+GX275</f>
        <v>5244.91</v>
      </c>
      <c r="GN275">
        <f>IF(OR(BI275=0,BI275=1),GM275-GX275,0)</f>
        <v>5244.91</v>
      </c>
      <c r="GO275">
        <f>IF(BI275=2,GM275-GX275,0)</f>
        <v>0</v>
      </c>
      <c r="GP275">
        <f>IF(BI275=4,GM275-GX275,0)</f>
        <v>0</v>
      </c>
      <c r="GR275">
        <v>0</v>
      </c>
      <c r="GS275">
        <v>3</v>
      </c>
      <c r="GT275">
        <v>0</v>
      </c>
      <c r="GU275" t="s">
        <v>3</v>
      </c>
      <c r="GV275">
        <f>ROUND((GT275),6)</f>
        <v>0</v>
      </c>
      <c r="GW275">
        <v>1</v>
      </c>
      <c r="GX275">
        <f>ROUND(HC275*I275,2)</f>
        <v>0</v>
      </c>
      <c r="HA275">
        <v>0</v>
      </c>
      <c r="HB275">
        <v>0</v>
      </c>
      <c r="HC275">
        <f>GV275*GW275</f>
        <v>0</v>
      </c>
      <c r="HE275" t="s">
        <v>3</v>
      </c>
      <c r="HF275" t="s">
        <v>3</v>
      </c>
      <c r="HM275" t="s">
        <v>3</v>
      </c>
      <c r="HN275" t="s">
        <v>3</v>
      </c>
      <c r="HO275" t="s">
        <v>3</v>
      </c>
      <c r="HP275" t="s">
        <v>3</v>
      </c>
      <c r="HQ275" t="s">
        <v>3</v>
      </c>
      <c r="HS275">
        <v>0</v>
      </c>
      <c r="IK275">
        <v>0</v>
      </c>
    </row>
    <row r="277" spans="1:255" x14ac:dyDescent="0.2">
      <c r="A277" s="3">
        <v>51</v>
      </c>
      <c r="B277" s="3">
        <f>B268</f>
        <v>1</v>
      </c>
      <c r="C277" s="3">
        <f>A268</f>
        <v>4</v>
      </c>
      <c r="D277" s="3">
        <f>ROW(A268)</f>
        <v>268</v>
      </c>
      <c r="E277" s="3"/>
      <c r="F277" s="3" t="str">
        <f>IF(F268&lt;&gt;"",F268,"")</f>
        <v/>
      </c>
      <c r="G277" s="3" t="str">
        <f>IF(G268&lt;&gt;"",G268,"")</f>
        <v>Полимерная краска, цвет желтый</v>
      </c>
      <c r="H277" s="3">
        <v>0</v>
      </c>
      <c r="I277" s="3"/>
      <c r="J277" s="3"/>
      <c r="K277" s="3"/>
      <c r="L277" s="3"/>
      <c r="M277" s="3"/>
      <c r="N277" s="3"/>
      <c r="O277" s="3">
        <f t="shared" ref="O277:T277" si="249">ROUND(AB277,2)</f>
        <v>1907.44</v>
      </c>
      <c r="P277" s="3">
        <f t="shared" si="249"/>
        <v>1728.03</v>
      </c>
      <c r="Q277" s="3">
        <f t="shared" si="249"/>
        <v>7.32</v>
      </c>
      <c r="R277" s="3">
        <f t="shared" si="249"/>
        <v>1.05</v>
      </c>
      <c r="S277" s="3">
        <f t="shared" si="249"/>
        <v>172.09</v>
      </c>
      <c r="T277" s="3">
        <f t="shared" si="249"/>
        <v>0</v>
      </c>
      <c r="U277" s="3">
        <f>AH277</f>
        <v>10.468492320000001</v>
      </c>
      <c r="V277" s="3">
        <f>AI277</f>
        <v>0</v>
      </c>
      <c r="W277" s="3">
        <f>ROUND(AJ277,2)</f>
        <v>0</v>
      </c>
      <c r="X277" s="3">
        <f>ROUND(AK277,2)</f>
        <v>147.16999999999999</v>
      </c>
      <c r="Y277" s="3">
        <f>ROUND(AL277,2)</f>
        <v>74.45</v>
      </c>
      <c r="Z277" s="3"/>
      <c r="AA277" s="3"/>
      <c r="AB277" s="3">
        <f>ROUND(SUMIF(AA272:AA275,"=59499218",O272:O275),2)</f>
        <v>1907.44</v>
      </c>
      <c r="AC277" s="3">
        <f>ROUND(SUMIF(AA272:AA275,"=59499218",P272:P275),2)</f>
        <v>1728.03</v>
      </c>
      <c r="AD277" s="3">
        <f>ROUND(SUMIF(AA272:AA275,"=59499218",Q272:Q275),2)</f>
        <v>7.32</v>
      </c>
      <c r="AE277" s="3">
        <f>ROUND(SUMIF(AA272:AA275,"=59499218",R272:R275),2)</f>
        <v>1.05</v>
      </c>
      <c r="AF277" s="3">
        <f>ROUND(SUMIF(AA272:AA275,"=59499218",S272:S275),2)</f>
        <v>172.09</v>
      </c>
      <c r="AG277" s="3">
        <f>ROUND(SUMIF(AA272:AA275,"=59499218",T272:T275),2)</f>
        <v>0</v>
      </c>
      <c r="AH277" s="3">
        <f>SUMIF(AA272:AA275,"=59499218",U272:U275)</f>
        <v>10.468492320000001</v>
      </c>
      <c r="AI277" s="3">
        <f>SUMIF(AA272:AA275,"=59499218",V272:V275)</f>
        <v>0</v>
      </c>
      <c r="AJ277" s="3">
        <f>ROUND(SUMIF(AA272:AA275,"=59499218",W272:W275),2)</f>
        <v>0</v>
      </c>
      <c r="AK277" s="3">
        <f>ROUND(SUMIF(AA272:AA275,"=59499218",X272:X275),2)</f>
        <v>147.16999999999999</v>
      </c>
      <c r="AL277" s="3">
        <f>ROUND(SUMIF(AA272:AA275,"=59499218",Y272:Y275),2)</f>
        <v>74.45</v>
      </c>
      <c r="AM277" s="3"/>
      <c r="AN277" s="3"/>
      <c r="AO277" s="3">
        <f t="shared" ref="AO277:BD277" si="250">ROUND(BX277,2)</f>
        <v>0</v>
      </c>
      <c r="AP277" s="3">
        <f t="shared" si="250"/>
        <v>0</v>
      </c>
      <c r="AQ277" s="3">
        <f t="shared" si="250"/>
        <v>0</v>
      </c>
      <c r="AR277" s="3">
        <f t="shared" si="250"/>
        <v>2129.06</v>
      </c>
      <c r="AS277" s="3">
        <f t="shared" si="250"/>
        <v>2129.06</v>
      </c>
      <c r="AT277" s="3">
        <f t="shared" si="250"/>
        <v>0</v>
      </c>
      <c r="AU277" s="3">
        <f t="shared" si="250"/>
        <v>0</v>
      </c>
      <c r="AV277" s="3">
        <f t="shared" si="250"/>
        <v>1728.03</v>
      </c>
      <c r="AW277" s="3">
        <f t="shared" si="250"/>
        <v>1728.03</v>
      </c>
      <c r="AX277" s="3">
        <f t="shared" si="250"/>
        <v>0</v>
      </c>
      <c r="AY277" s="3">
        <f t="shared" si="250"/>
        <v>1728.03</v>
      </c>
      <c r="AZ277" s="3">
        <f t="shared" si="250"/>
        <v>0</v>
      </c>
      <c r="BA277" s="3">
        <f t="shared" si="250"/>
        <v>0</v>
      </c>
      <c r="BB277" s="3">
        <f t="shared" si="250"/>
        <v>0</v>
      </c>
      <c r="BC277" s="3">
        <f t="shared" si="250"/>
        <v>0</v>
      </c>
      <c r="BD277" s="3">
        <f t="shared" si="250"/>
        <v>0</v>
      </c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>
        <f>ROUND(SUMIF(AA272:AA275,"=59499218",FQ272:FQ275),2)</f>
        <v>0</v>
      </c>
      <c r="BY277" s="3">
        <f>ROUND(SUMIF(AA272:AA275,"=59499218",FR272:FR275),2)</f>
        <v>0</v>
      </c>
      <c r="BZ277" s="3">
        <f>ROUND(SUMIF(AA272:AA275,"=59499218",GL272:GL275),2)</f>
        <v>0</v>
      </c>
      <c r="CA277" s="3">
        <f>ROUND(SUMIF(AA272:AA275,"=59499218",GM272:GM275),2)</f>
        <v>2129.06</v>
      </c>
      <c r="CB277" s="3">
        <f>ROUND(SUMIF(AA272:AA275,"=59499218",GN272:GN275),2)</f>
        <v>2129.06</v>
      </c>
      <c r="CC277" s="3">
        <f>ROUND(SUMIF(AA272:AA275,"=59499218",GO272:GO275),2)</f>
        <v>0</v>
      </c>
      <c r="CD277" s="3">
        <f>ROUND(SUMIF(AA272:AA275,"=59499218",GP272:GP275),2)</f>
        <v>0</v>
      </c>
      <c r="CE277" s="3">
        <f>AC277-BX277</f>
        <v>1728.03</v>
      </c>
      <c r="CF277" s="3">
        <f>AC277-BY277</f>
        <v>1728.03</v>
      </c>
      <c r="CG277" s="3">
        <f>BX277-BZ277</f>
        <v>0</v>
      </c>
      <c r="CH277" s="3">
        <f>AC277-BX277-BY277+BZ277</f>
        <v>1728.03</v>
      </c>
      <c r="CI277" s="3">
        <f>BY277-BZ277</f>
        <v>0</v>
      </c>
      <c r="CJ277" s="3">
        <f>ROUND(SUMIF(AA272:AA275,"=59499218",GX272:GX275),2)</f>
        <v>0</v>
      </c>
      <c r="CK277" s="3">
        <f>ROUND(SUMIF(AA272:AA275,"=59499218",GY272:GY275),2)</f>
        <v>0</v>
      </c>
      <c r="CL277" s="3">
        <f>ROUND(SUMIF(AA272:AA275,"=59499218",GZ272:GZ275),2)</f>
        <v>0</v>
      </c>
      <c r="CM277" s="3">
        <f>ROUND(SUMIF(AA272:AA275,"=59499218",HD272:HD275),2)</f>
        <v>0</v>
      </c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4">
        <f t="shared" ref="DG277:DL277" si="251">ROUND(DT277,2)</f>
        <v>14860.17</v>
      </c>
      <c r="DH277" s="4">
        <f t="shared" si="251"/>
        <v>5280.84</v>
      </c>
      <c r="DI277" s="4">
        <f t="shared" si="251"/>
        <v>116.1</v>
      </c>
      <c r="DJ277" s="4">
        <f t="shared" si="251"/>
        <v>57.74</v>
      </c>
      <c r="DK277" s="4">
        <f t="shared" si="251"/>
        <v>9463.23</v>
      </c>
      <c r="DL277" s="4">
        <f t="shared" si="251"/>
        <v>0</v>
      </c>
      <c r="DM277" s="4">
        <f>DZ277</f>
        <v>10.468492320000001</v>
      </c>
      <c r="DN277" s="4">
        <f>EA277</f>
        <v>0</v>
      </c>
      <c r="DO277" s="4">
        <f>ROUND(EB277,2)</f>
        <v>0</v>
      </c>
      <c r="DP277" s="4">
        <f>ROUND(EC277,2)</f>
        <v>8092.82</v>
      </c>
      <c r="DQ277" s="4">
        <f>ROUND(ED277,2)</f>
        <v>4094.02</v>
      </c>
      <c r="DR277" s="4"/>
      <c r="DS277" s="4"/>
      <c r="DT277" s="4">
        <f>ROUND(SUMIF(AA272:AA275,"=59499215",O272:O275),2)</f>
        <v>14860.17</v>
      </c>
      <c r="DU277" s="4">
        <f>ROUND(SUMIF(AA272:AA275,"=59499215",P272:P275),2)</f>
        <v>5280.84</v>
      </c>
      <c r="DV277" s="4">
        <f>ROUND(SUMIF(AA272:AA275,"=59499215",Q272:Q275),2)</f>
        <v>116.1</v>
      </c>
      <c r="DW277" s="4">
        <f>ROUND(SUMIF(AA272:AA275,"=59499215",R272:R275),2)</f>
        <v>57.74</v>
      </c>
      <c r="DX277" s="4">
        <f>ROUND(SUMIF(AA272:AA275,"=59499215",S272:S275),2)</f>
        <v>9463.23</v>
      </c>
      <c r="DY277" s="4">
        <f>ROUND(SUMIF(AA272:AA275,"=59499215",T272:T275),2)</f>
        <v>0</v>
      </c>
      <c r="DZ277" s="4">
        <f>SUMIF(AA272:AA275,"=59499215",U272:U275)</f>
        <v>10.468492320000001</v>
      </c>
      <c r="EA277" s="4">
        <f>SUMIF(AA272:AA275,"=59499215",V272:V275)</f>
        <v>0</v>
      </c>
      <c r="EB277" s="4">
        <f>ROUND(SUMIF(AA272:AA275,"=59499215",W272:W275),2)</f>
        <v>0</v>
      </c>
      <c r="EC277" s="4">
        <f>ROUND(SUMIF(AA272:AA275,"=59499215",X272:X275),2)</f>
        <v>8092.82</v>
      </c>
      <c r="ED277" s="4">
        <f>ROUND(SUMIF(AA272:AA275,"=59499215",Y272:Y275),2)</f>
        <v>4094.02</v>
      </c>
      <c r="EE277" s="4"/>
      <c r="EF277" s="4"/>
      <c r="EG277" s="4">
        <f t="shared" ref="EG277:EV277" si="252">ROUND(FP277,2)</f>
        <v>0</v>
      </c>
      <c r="EH277" s="4">
        <f t="shared" si="252"/>
        <v>0</v>
      </c>
      <c r="EI277" s="4">
        <f t="shared" si="252"/>
        <v>0</v>
      </c>
      <c r="EJ277" s="4">
        <f t="shared" si="252"/>
        <v>27047.01</v>
      </c>
      <c r="EK277" s="4">
        <f t="shared" si="252"/>
        <v>27047.01</v>
      </c>
      <c r="EL277" s="4">
        <f t="shared" si="252"/>
        <v>0</v>
      </c>
      <c r="EM277" s="4">
        <f t="shared" si="252"/>
        <v>0</v>
      </c>
      <c r="EN277" s="4">
        <f t="shared" si="252"/>
        <v>5280.84</v>
      </c>
      <c r="EO277" s="4">
        <f t="shared" si="252"/>
        <v>5280.84</v>
      </c>
      <c r="EP277" s="4">
        <f t="shared" si="252"/>
        <v>0</v>
      </c>
      <c r="EQ277" s="4">
        <f t="shared" si="252"/>
        <v>5280.84</v>
      </c>
      <c r="ER277" s="4">
        <f t="shared" si="252"/>
        <v>0</v>
      </c>
      <c r="ES277" s="4">
        <f t="shared" si="252"/>
        <v>0</v>
      </c>
      <c r="ET277" s="4">
        <f t="shared" si="252"/>
        <v>0</v>
      </c>
      <c r="EU277" s="4">
        <f t="shared" si="252"/>
        <v>0</v>
      </c>
      <c r="EV277" s="4">
        <f t="shared" si="252"/>
        <v>0</v>
      </c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>
        <f>ROUND(SUMIF(AA272:AA275,"=59499215",FQ272:FQ275),2)</f>
        <v>0</v>
      </c>
      <c r="FQ277" s="4">
        <f>ROUND(SUMIF(AA272:AA275,"=59499215",FR272:FR275),2)</f>
        <v>0</v>
      </c>
      <c r="FR277" s="4">
        <f>ROUND(SUMIF(AA272:AA275,"=59499215",GL272:GL275),2)</f>
        <v>0</v>
      </c>
      <c r="FS277" s="4">
        <f>ROUND(SUMIF(AA272:AA275,"=59499215",GM272:GM275),2)</f>
        <v>27047.01</v>
      </c>
      <c r="FT277" s="4">
        <f>ROUND(SUMIF(AA272:AA275,"=59499215",GN272:GN275),2)</f>
        <v>27047.01</v>
      </c>
      <c r="FU277" s="4">
        <f>ROUND(SUMIF(AA272:AA275,"=59499215",GO272:GO275),2)</f>
        <v>0</v>
      </c>
      <c r="FV277" s="4">
        <f>ROUND(SUMIF(AA272:AA275,"=59499215",GP272:GP275),2)</f>
        <v>0</v>
      </c>
      <c r="FW277" s="4">
        <f>DU277-FP277</f>
        <v>5280.84</v>
      </c>
      <c r="FX277" s="4">
        <f>DU277-FQ277</f>
        <v>5280.84</v>
      </c>
      <c r="FY277" s="4">
        <f>FP277-FR277</f>
        <v>0</v>
      </c>
      <c r="FZ277" s="4">
        <f>DU277-FP277-FQ277+FR277</f>
        <v>5280.84</v>
      </c>
      <c r="GA277" s="4">
        <f>FQ277-FR277</f>
        <v>0</v>
      </c>
      <c r="GB277" s="4">
        <f>ROUND(SUMIF(AA272:AA275,"=59499215",GX272:GX275),2)</f>
        <v>0</v>
      </c>
      <c r="GC277" s="4">
        <f>ROUND(SUMIF(AA272:AA275,"=59499215",GY272:GY275),2)</f>
        <v>0</v>
      </c>
      <c r="GD277" s="4">
        <f>ROUND(SUMIF(AA272:AA275,"=59499215",GZ272:GZ275),2)</f>
        <v>0</v>
      </c>
      <c r="GE277" s="4">
        <f>ROUND(SUMIF(AA272:AA275,"=59499215",HD272:HD275),2)</f>
        <v>0</v>
      </c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>
        <v>0</v>
      </c>
    </row>
    <row r="279" spans="1:255" x14ac:dyDescent="0.2">
      <c r="A279" s="5">
        <v>50</v>
      </c>
      <c r="B279" s="5">
        <v>0</v>
      </c>
      <c r="C279" s="5">
        <v>0</v>
      </c>
      <c r="D279" s="5">
        <v>1</v>
      </c>
      <c r="E279" s="5">
        <v>201</v>
      </c>
      <c r="F279" s="5">
        <f>ROUND(Source!O277,O279)</f>
        <v>1907.44</v>
      </c>
      <c r="G279" s="5" t="s">
        <v>46</v>
      </c>
      <c r="H279" s="5" t="s">
        <v>47</v>
      </c>
      <c r="I279" s="5"/>
      <c r="J279" s="5"/>
      <c r="K279" s="5">
        <v>201</v>
      </c>
      <c r="L279" s="5">
        <v>1</v>
      </c>
      <c r="M279" s="5">
        <v>3</v>
      </c>
      <c r="N279" s="5" t="s">
        <v>3</v>
      </c>
      <c r="O279" s="5">
        <v>2</v>
      </c>
      <c r="P279" s="5">
        <f>ROUND(Source!DG277,O279)</f>
        <v>14860.17</v>
      </c>
      <c r="Q279" s="5"/>
      <c r="R279" s="5"/>
      <c r="S279" s="5"/>
      <c r="T279" s="5"/>
      <c r="U279" s="5"/>
      <c r="V279" s="5"/>
      <c r="W279" s="5">
        <v>1907.44</v>
      </c>
      <c r="X279" s="5">
        <v>1</v>
      </c>
      <c r="Y279" s="5">
        <v>1907.44</v>
      </c>
      <c r="Z279" s="5">
        <v>14860.17</v>
      </c>
      <c r="AA279" s="5">
        <v>1</v>
      </c>
      <c r="AB279" s="5">
        <v>14860.17</v>
      </c>
    </row>
    <row r="280" spans="1:255" x14ac:dyDescent="0.2">
      <c r="A280" s="5">
        <v>50</v>
      </c>
      <c r="B280" s="5">
        <v>0</v>
      </c>
      <c r="C280" s="5">
        <v>0</v>
      </c>
      <c r="D280" s="5">
        <v>1</v>
      </c>
      <c r="E280" s="5">
        <v>202</v>
      </c>
      <c r="F280" s="5">
        <f>ROUND(Source!P277,O280)</f>
        <v>1728.03</v>
      </c>
      <c r="G280" s="5" t="s">
        <v>48</v>
      </c>
      <c r="H280" s="5" t="s">
        <v>49</v>
      </c>
      <c r="I280" s="5"/>
      <c r="J280" s="5"/>
      <c r="K280" s="5">
        <v>202</v>
      </c>
      <c r="L280" s="5">
        <v>2</v>
      </c>
      <c r="M280" s="5">
        <v>3</v>
      </c>
      <c r="N280" s="5" t="s">
        <v>3</v>
      </c>
      <c r="O280" s="5">
        <v>2</v>
      </c>
      <c r="P280" s="5">
        <f>ROUND(Source!DH277,O280)</f>
        <v>5280.84</v>
      </c>
      <c r="Q280" s="5"/>
      <c r="R280" s="5"/>
      <c r="S280" s="5"/>
      <c r="T280" s="5"/>
      <c r="U280" s="5"/>
      <c r="V280" s="5"/>
      <c r="W280" s="5">
        <v>1728.03</v>
      </c>
      <c r="X280" s="5">
        <v>1</v>
      </c>
      <c r="Y280" s="5">
        <v>1728.03</v>
      </c>
      <c r="Z280" s="5">
        <v>5280.84</v>
      </c>
      <c r="AA280" s="5">
        <v>1</v>
      </c>
      <c r="AB280" s="5">
        <v>5280.84</v>
      </c>
    </row>
    <row r="281" spans="1:255" x14ac:dyDescent="0.2">
      <c r="A281" s="5">
        <v>50</v>
      </c>
      <c r="B281" s="5">
        <v>0</v>
      </c>
      <c r="C281" s="5">
        <v>0</v>
      </c>
      <c r="D281" s="5">
        <v>1</v>
      </c>
      <c r="E281" s="5">
        <v>222</v>
      </c>
      <c r="F281" s="5">
        <f>ROUND(Source!AO277,O281)</f>
        <v>0</v>
      </c>
      <c r="G281" s="5" t="s">
        <v>50</v>
      </c>
      <c r="H281" s="5" t="s">
        <v>51</v>
      </c>
      <c r="I281" s="5"/>
      <c r="J281" s="5"/>
      <c r="K281" s="5">
        <v>222</v>
      </c>
      <c r="L281" s="5">
        <v>3</v>
      </c>
      <c r="M281" s="5">
        <v>3</v>
      </c>
      <c r="N281" s="5" t="s">
        <v>3</v>
      </c>
      <c r="O281" s="5">
        <v>2</v>
      </c>
      <c r="P281" s="5">
        <f>ROUND(Source!EG277,O281)</f>
        <v>0</v>
      </c>
      <c r="Q281" s="5"/>
      <c r="R281" s="5"/>
      <c r="S281" s="5"/>
      <c r="T281" s="5"/>
      <c r="U281" s="5"/>
      <c r="V281" s="5"/>
      <c r="W281" s="5">
        <v>0</v>
      </c>
      <c r="X281" s="5">
        <v>1</v>
      </c>
      <c r="Y281" s="5">
        <v>0</v>
      </c>
      <c r="Z281" s="5">
        <v>0</v>
      </c>
      <c r="AA281" s="5">
        <v>1</v>
      </c>
      <c r="AB281" s="5">
        <v>0</v>
      </c>
    </row>
    <row r="282" spans="1:255" x14ac:dyDescent="0.2">
      <c r="A282" s="5">
        <v>50</v>
      </c>
      <c r="B282" s="5">
        <v>0</v>
      </c>
      <c r="C282" s="5">
        <v>0</v>
      </c>
      <c r="D282" s="5">
        <v>1</v>
      </c>
      <c r="E282" s="5">
        <v>225</v>
      </c>
      <c r="F282" s="5">
        <f>ROUND(Source!AV277,O282)</f>
        <v>1728.03</v>
      </c>
      <c r="G282" s="5" t="s">
        <v>52</v>
      </c>
      <c r="H282" s="5" t="s">
        <v>53</v>
      </c>
      <c r="I282" s="5"/>
      <c r="J282" s="5"/>
      <c r="K282" s="5">
        <v>225</v>
      </c>
      <c r="L282" s="5">
        <v>4</v>
      </c>
      <c r="M282" s="5">
        <v>3</v>
      </c>
      <c r="N282" s="5" t="s">
        <v>3</v>
      </c>
      <c r="O282" s="5">
        <v>2</v>
      </c>
      <c r="P282" s="5">
        <f>ROUND(Source!EN277,O282)</f>
        <v>5280.84</v>
      </c>
      <c r="Q282" s="5"/>
      <c r="R282" s="5"/>
      <c r="S282" s="5"/>
      <c r="T282" s="5"/>
      <c r="U282" s="5"/>
      <c r="V282" s="5"/>
      <c r="W282" s="5">
        <v>1728.03</v>
      </c>
      <c r="X282" s="5">
        <v>1</v>
      </c>
      <c r="Y282" s="5">
        <v>1728.03</v>
      </c>
      <c r="Z282" s="5">
        <v>5280.84</v>
      </c>
      <c r="AA282" s="5">
        <v>1</v>
      </c>
      <c r="AB282" s="5">
        <v>5280.84</v>
      </c>
    </row>
    <row r="283" spans="1:255" x14ac:dyDescent="0.2">
      <c r="A283" s="5">
        <v>50</v>
      </c>
      <c r="B283" s="5">
        <v>0</v>
      </c>
      <c r="C283" s="5">
        <v>0</v>
      </c>
      <c r="D283" s="5">
        <v>1</v>
      </c>
      <c r="E283" s="5">
        <v>226</v>
      </c>
      <c r="F283" s="5">
        <f>ROUND(Source!AW277,O283)</f>
        <v>1728.03</v>
      </c>
      <c r="G283" s="5" t="s">
        <v>54</v>
      </c>
      <c r="H283" s="5" t="s">
        <v>55</v>
      </c>
      <c r="I283" s="5"/>
      <c r="J283" s="5"/>
      <c r="K283" s="5">
        <v>226</v>
      </c>
      <c r="L283" s="5">
        <v>5</v>
      </c>
      <c r="M283" s="5">
        <v>3</v>
      </c>
      <c r="N283" s="5" t="s">
        <v>3</v>
      </c>
      <c r="O283" s="5">
        <v>2</v>
      </c>
      <c r="P283" s="5">
        <f>ROUND(Source!EO277,O283)</f>
        <v>5280.84</v>
      </c>
      <c r="Q283" s="5"/>
      <c r="R283" s="5"/>
      <c r="S283" s="5"/>
      <c r="T283" s="5"/>
      <c r="U283" s="5"/>
      <c r="V283" s="5"/>
      <c r="W283" s="5">
        <v>1728.03</v>
      </c>
      <c r="X283" s="5">
        <v>1</v>
      </c>
      <c r="Y283" s="5">
        <v>1728.03</v>
      </c>
      <c r="Z283" s="5">
        <v>5280.84</v>
      </c>
      <c r="AA283" s="5">
        <v>1</v>
      </c>
      <c r="AB283" s="5">
        <v>5280.84</v>
      </c>
    </row>
    <row r="284" spans="1:255" x14ac:dyDescent="0.2">
      <c r="A284" s="5">
        <v>50</v>
      </c>
      <c r="B284" s="5">
        <v>0</v>
      </c>
      <c r="C284" s="5">
        <v>0</v>
      </c>
      <c r="D284" s="5">
        <v>1</v>
      </c>
      <c r="E284" s="5">
        <v>227</v>
      </c>
      <c r="F284" s="5">
        <f>ROUND(Source!AX277,O284)</f>
        <v>0</v>
      </c>
      <c r="G284" s="5" t="s">
        <v>56</v>
      </c>
      <c r="H284" s="5" t="s">
        <v>57</v>
      </c>
      <c r="I284" s="5"/>
      <c r="J284" s="5"/>
      <c r="K284" s="5">
        <v>227</v>
      </c>
      <c r="L284" s="5">
        <v>6</v>
      </c>
      <c r="M284" s="5">
        <v>3</v>
      </c>
      <c r="N284" s="5" t="s">
        <v>3</v>
      </c>
      <c r="O284" s="5">
        <v>2</v>
      </c>
      <c r="P284" s="5">
        <f>ROUND(Source!EP277,O284)</f>
        <v>0</v>
      </c>
      <c r="Q284" s="5"/>
      <c r="R284" s="5"/>
      <c r="S284" s="5"/>
      <c r="T284" s="5"/>
      <c r="U284" s="5"/>
      <c r="V284" s="5"/>
      <c r="W284" s="5">
        <v>0</v>
      </c>
      <c r="X284" s="5">
        <v>1</v>
      </c>
      <c r="Y284" s="5">
        <v>0</v>
      </c>
      <c r="Z284" s="5">
        <v>0</v>
      </c>
      <c r="AA284" s="5">
        <v>1</v>
      </c>
      <c r="AB284" s="5">
        <v>0</v>
      </c>
    </row>
    <row r="285" spans="1:255" x14ac:dyDescent="0.2">
      <c r="A285" s="5">
        <v>50</v>
      </c>
      <c r="B285" s="5">
        <v>0</v>
      </c>
      <c r="C285" s="5">
        <v>0</v>
      </c>
      <c r="D285" s="5">
        <v>1</v>
      </c>
      <c r="E285" s="5">
        <v>228</v>
      </c>
      <c r="F285" s="5">
        <f>ROUND(Source!AY277,O285)</f>
        <v>1728.03</v>
      </c>
      <c r="G285" s="5" t="s">
        <v>58</v>
      </c>
      <c r="H285" s="5" t="s">
        <v>59</v>
      </c>
      <c r="I285" s="5"/>
      <c r="J285" s="5"/>
      <c r="K285" s="5">
        <v>228</v>
      </c>
      <c r="L285" s="5">
        <v>7</v>
      </c>
      <c r="M285" s="5">
        <v>3</v>
      </c>
      <c r="N285" s="5" t="s">
        <v>3</v>
      </c>
      <c r="O285" s="5">
        <v>2</v>
      </c>
      <c r="P285" s="5">
        <f>ROUND(Source!EQ277,O285)</f>
        <v>5280.84</v>
      </c>
      <c r="Q285" s="5"/>
      <c r="R285" s="5"/>
      <c r="S285" s="5"/>
      <c r="T285" s="5"/>
      <c r="U285" s="5"/>
      <c r="V285" s="5"/>
      <c r="W285" s="5">
        <v>1728.03</v>
      </c>
      <c r="X285" s="5">
        <v>1</v>
      </c>
      <c r="Y285" s="5">
        <v>1728.03</v>
      </c>
      <c r="Z285" s="5">
        <v>5280.84</v>
      </c>
      <c r="AA285" s="5">
        <v>1</v>
      </c>
      <c r="AB285" s="5">
        <v>5280.84</v>
      </c>
    </row>
    <row r="286" spans="1:255" x14ac:dyDescent="0.2">
      <c r="A286" s="5">
        <v>50</v>
      </c>
      <c r="B286" s="5">
        <v>0</v>
      </c>
      <c r="C286" s="5">
        <v>0</v>
      </c>
      <c r="D286" s="5">
        <v>1</v>
      </c>
      <c r="E286" s="5">
        <v>216</v>
      </c>
      <c r="F286" s="5">
        <f>ROUND(Source!AP277,O286)</f>
        <v>0</v>
      </c>
      <c r="G286" s="5" t="s">
        <v>60</v>
      </c>
      <c r="H286" s="5" t="s">
        <v>61</v>
      </c>
      <c r="I286" s="5"/>
      <c r="J286" s="5"/>
      <c r="K286" s="5">
        <v>216</v>
      </c>
      <c r="L286" s="5">
        <v>8</v>
      </c>
      <c r="M286" s="5">
        <v>3</v>
      </c>
      <c r="N286" s="5" t="s">
        <v>3</v>
      </c>
      <c r="O286" s="5">
        <v>2</v>
      </c>
      <c r="P286" s="5">
        <f>ROUND(Source!EH277,O286)</f>
        <v>0</v>
      </c>
      <c r="Q286" s="5"/>
      <c r="R286" s="5"/>
      <c r="S286" s="5"/>
      <c r="T286" s="5"/>
      <c r="U286" s="5"/>
      <c r="V286" s="5"/>
      <c r="W286" s="5">
        <v>0</v>
      </c>
      <c r="X286" s="5">
        <v>1</v>
      </c>
      <c r="Y286" s="5">
        <v>0</v>
      </c>
      <c r="Z286" s="5">
        <v>0</v>
      </c>
      <c r="AA286" s="5">
        <v>1</v>
      </c>
      <c r="AB286" s="5">
        <v>0</v>
      </c>
    </row>
    <row r="287" spans="1:255" x14ac:dyDescent="0.2">
      <c r="A287" s="5">
        <v>50</v>
      </c>
      <c r="B287" s="5">
        <v>0</v>
      </c>
      <c r="C287" s="5">
        <v>0</v>
      </c>
      <c r="D287" s="5">
        <v>1</v>
      </c>
      <c r="E287" s="5">
        <v>223</v>
      </c>
      <c r="F287" s="5">
        <f>ROUND(Source!AQ277,O287)</f>
        <v>0</v>
      </c>
      <c r="G287" s="5" t="s">
        <v>62</v>
      </c>
      <c r="H287" s="5" t="s">
        <v>63</v>
      </c>
      <c r="I287" s="5"/>
      <c r="J287" s="5"/>
      <c r="K287" s="5">
        <v>223</v>
      </c>
      <c r="L287" s="5">
        <v>9</v>
      </c>
      <c r="M287" s="5">
        <v>3</v>
      </c>
      <c r="N287" s="5" t="s">
        <v>3</v>
      </c>
      <c r="O287" s="5">
        <v>2</v>
      </c>
      <c r="P287" s="5">
        <f>ROUND(Source!EI277,O287)</f>
        <v>0</v>
      </c>
      <c r="Q287" s="5"/>
      <c r="R287" s="5"/>
      <c r="S287" s="5"/>
      <c r="T287" s="5"/>
      <c r="U287" s="5"/>
      <c r="V287" s="5"/>
      <c r="W287" s="5">
        <v>0</v>
      </c>
      <c r="X287" s="5">
        <v>1</v>
      </c>
      <c r="Y287" s="5">
        <v>0</v>
      </c>
      <c r="Z287" s="5">
        <v>0</v>
      </c>
      <c r="AA287" s="5">
        <v>1</v>
      </c>
      <c r="AB287" s="5">
        <v>0</v>
      </c>
    </row>
    <row r="288" spans="1:255" x14ac:dyDescent="0.2">
      <c r="A288" s="5">
        <v>50</v>
      </c>
      <c r="B288" s="5">
        <v>0</v>
      </c>
      <c r="C288" s="5">
        <v>0</v>
      </c>
      <c r="D288" s="5">
        <v>1</v>
      </c>
      <c r="E288" s="5">
        <v>229</v>
      </c>
      <c r="F288" s="5">
        <f>ROUND(Source!AZ277,O288)</f>
        <v>0</v>
      </c>
      <c r="G288" s="5" t="s">
        <v>64</v>
      </c>
      <c r="H288" s="5" t="s">
        <v>65</v>
      </c>
      <c r="I288" s="5"/>
      <c r="J288" s="5"/>
      <c r="K288" s="5">
        <v>229</v>
      </c>
      <c r="L288" s="5">
        <v>10</v>
      </c>
      <c r="M288" s="5">
        <v>3</v>
      </c>
      <c r="N288" s="5" t="s">
        <v>3</v>
      </c>
      <c r="O288" s="5">
        <v>2</v>
      </c>
      <c r="P288" s="5">
        <f>ROUND(Source!ER277,O288)</f>
        <v>0</v>
      </c>
      <c r="Q288" s="5"/>
      <c r="R288" s="5"/>
      <c r="S288" s="5"/>
      <c r="T288" s="5"/>
      <c r="U288" s="5"/>
      <c r="V288" s="5"/>
      <c r="W288" s="5">
        <v>0</v>
      </c>
      <c r="X288" s="5">
        <v>1</v>
      </c>
      <c r="Y288" s="5">
        <v>0</v>
      </c>
      <c r="Z288" s="5">
        <v>0</v>
      </c>
      <c r="AA288" s="5">
        <v>1</v>
      </c>
      <c r="AB288" s="5">
        <v>0</v>
      </c>
    </row>
    <row r="289" spans="1:28" x14ac:dyDescent="0.2">
      <c r="A289" s="5">
        <v>50</v>
      </c>
      <c r="B289" s="5">
        <v>0</v>
      </c>
      <c r="C289" s="5">
        <v>0</v>
      </c>
      <c r="D289" s="5">
        <v>1</v>
      </c>
      <c r="E289" s="5">
        <v>203</v>
      </c>
      <c r="F289" s="5">
        <f>ROUND(Source!Q277,O289)</f>
        <v>7.32</v>
      </c>
      <c r="G289" s="5" t="s">
        <v>66</v>
      </c>
      <c r="H289" s="5" t="s">
        <v>67</v>
      </c>
      <c r="I289" s="5"/>
      <c r="J289" s="5"/>
      <c r="K289" s="5">
        <v>203</v>
      </c>
      <c r="L289" s="5">
        <v>11</v>
      </c>
      <c r="M289" s="5">
        <v>3</v>
      </c>
      <c r="N289" s="5" t="s">
        <v>3</v>
      </c>
      <c r="O289" s="5">
        <v>2</v>
      </c>
      <c r="P289" s="5">
        <f>ROUND(Source!DI277,O289)</f>
        <v>116.1</v>
      </c>
      <c r="Q289" s="5"/>
      <c r="R289" s="5"/>
      <c r="S289" s="5"/>
      <c r="T289" s="5"/>
      <c r="U289" s="5"/>
      <c r="V289" s="5"/>
      <c r="W289" s="5">
        <v>7.32</v>
      </c>
      <c r="X289" s="5">
        <v>1</v>
      </c>
      <c r="Y289" s="5">
        <v>7.32</v>
      </c>
      <c r="Z289" s="5">
        <v>116.1</v>
      </c>
      <c r="AA289" s="5">
        <v>1</v>
      </c>
      <c r="AB289" s="5">
        <v>116.1</v>
      </c>
    </row>
    <row r="290" spans="1:28" x14ac:dyDescent="0.2">
      <c r="A290" s="5">
        <v>50</v>
      </c>
      <c r="B290" s="5">
        <v>0</v>
      </c>
      <c r="C290" s="5">
        <v>0</v>
      </c>
      <c r="D290" s="5">
        <v>1</v>
      </c>
      <c r="E290" s="5">
        <v>231</v>
      </c>
      <c r="F290" s="5">
        <f>ROUND(Source!BB277,O290)</f>
        <v>0</v>
      </c>
      <c r="G290" s="5" t="s">
        <v>68</v>
      </c>
      <c r="H290" s="5" t="s">
        <v>69</v>
      </c>
      <c r="I290" s="5"/>
      <c r="J290" s="5"/>
      <c r="K290" s="5">
        <v>231</v>
      </c>
      <c r="L290" s="5">
        <v>12</v>
      </c>
      <c r="M290" s="5">
        <v>3</v>
      </c>
      <c r="N290" s="5" t="s">
        <v>3</v>
      </c>
      <c r="O290" s="5">
        <v>2</v>
      </c>
      <c r="P290" s="5">
        <f>ROUND(Source!ET277,O290)</f>
        <v>0</v>
      </c>
      <c r="Q290" s="5"/>
      <c r="R290" s="5"/>
      <c r="S290" s="5"/>
      <c r="T290" s="5"/>
      <c r="U290" s="5"/>
      <c r="V290" s="5"/>
      <c r="W290" s="5">
        <v>0</v>
      </c>
      <c r="X290" s="5">
        <v>1</v>
      </c>
      <c r="Y290" s="5">
        <v>0</v>
      </c>
      <c r="Z290" s="5">
        <v>0</v>
      </c>
      <c r="AA290" s="5">
        <v>1</v>
      </c>
      <c r="AB290" s="5">
        <v>0</v>
      </c>
    </row>
    <row r="291" spans="1:28" x14ac:dyDescent="0.2">
      <c r="A291" s="5">
        <v>50</v>
      </c>
      <c r="B291" s="5">
        <v>0</v>
      </c>
      <c r="C291" s="5">
        <v>0</v>
      </c>
      <c r="D291" s="5">
        <v>1</v>
      </c>
      <c r="E291" s="5">
        <v>204</v>
      </c>
      <c r="F291" s="5">
        <f>ROUND(Source!R277,O291)</f>
        <v>1.05</v>
      </c>
      <c r="G291" s="5" t="s">
        <v>70</v>
      </c>
      <c r="H291" s="5" t="s">
        <v>71</v>
      </c>
      <c r="I291" s="5"/>
      <c r="J291" s="5"/>
      <c r="K291" s="5">
        <v>204</v>
      </c>
      <c r="L291" s="5">
        <v>13</v>
      </c>
      <c r="M291" s="5">
        <v>3</v>
      </c>
      <c r="N291" s="5" t="s">
        <v>3</v>
      </c>
      <c r="O291" s="5">
        <v>2</v>
      </c>
      <c r="P291" s="5">
        <f>ROUND(Source!DJ277,O291)</f>
        <v>57.74</v>
      </c>
      <c r="Q291" s="5"/>
      <c r="R291" s="5"/>
      <c r="S291" s="5"/>
      <c r="T291" s="5"/>
      <c r="U291" s="5"/>
      <c r="V291" s="5"/>
      <c r="W291" s="5">
        <v>1.05</v>
      </c>
      <c r="X291" s="5">
        <v>1</v>
      </c>
      <c r="Y291" s="5">
        <v>1.05</v>
      </c>
      <c r="Z291" s="5">
        <v>57.74</v>
      </c>
      <c r="AA291" s="5">
        <v>1</v>
      </c>
      <c r="AB291" s="5">
        <v>57.74</v>
      </c>
    </row>
    <row r="292" spans="1:28" x14ac:dyDescent="0.2">
      <c r="A292" s="5">
        <v>50</v>
      </c>
      <c r="B292" s="5">
        <v>0</v>
      </c>
      <c r="C292" s="5">
        <v>0</v>
      </c>
      <c r="D292" s="5">
        <v>1</v>
      </c>
      <c r="E292" s="5">
        <v>205</v>
      </c>
      <c r="F292" s="5">
        <f>ROUND(Source!S277,O292)</f>
        <v>172.09</v>
      </c>
      <c r="G292" s="5" t="s">
        <v>72</v>
      </c>
      <c r="H292" s="5" t="s">
        <v>73</v>
      </c>
      <c r="I292" s="5"/>
      <c r="J292" s="5"/>
      <c r="K292" s="5">
        <v>205</v>
      </c>
      <c r="L292" s="5">
        <v>14</v>
      </c>
      <c r="M292" s="5">
        <v>3</v>
      </c>
      <c r="N292" s="5" t="s">
        <v>3</v>
      </c>
      <c r="O292" s="5">
        <v>2</v>
      </c>
      <c r="P292" s="5">
        <f>ROUND(Source!DK277,O292)</f>
        <v>9463.23</v>
      </c>
      <c r="Q292" s="5"/>
      <c r="R292" s="5"/>
      <c r="S292" s="5"/>
      <c r="T292" s="5"/>
      <c r="U292" s="5"/>
      <c r="V292" s="5"/>
      <c r="W292" s="5">
        <v>172.09</v>
      </c>
      <c r="X292" s="5">
        <v>1</v>
      </c>
      <c r="Y292" s="5">
        <v>172.09</v>
      </c>
      <c r="Z292" s="5">
        <v>9463.23</v>
      </c>
      <c r="AA292" s="5">
        <v>1</v>
      </c>
      <c r="AB292" s="5">
        <v>9463.23</v>
      </c>
    </row>
    <row r="293" spans="1:28" x14ac:dyDescent="0.2">
      <c r="A293" s="5">
        <v>50</v>
      </c>
      <c r="B293" s="5">
        <v>0</v>
      </c>
      <c r="C293" s="5">
        <v>0</v>
      </c>
      <c r="D293" s="5">
        <v>1</v>
      </c>
      <c r="E293" s="5">
        <v>232</v>
      </c>
      <c r="F293" s="5">
        <f>ROUND(Source!BC277,O293)</f>
        <v>0</v>
      </c>
      <c r="G293" s="5" t="s">
        <v>74</v>
      </c>
      <c r="H293" s="5" t="s">
        <v>75</v>
      </c>
      <c r="I293" s="5"/>
      <c r="J293" s="5"/>
      <c r="K293" s="5">
        <v>232</v>
      </c>
      <c r="L293" s="5">
        <v>15</v>
      </c>
      <c r="M293" s="5">
        <v>3</v>
      </c>
      <c r="N293" s="5" t="s">
        <v>3</v>
      </c>
      <c r="O293" s="5">
        <v>2</v>
      </c>
      <c r="P293" s="5">
        <f>ROUND(Source!EU277,O293)</f>
        <v>0</v>
      </c>
      <c r="Q293" s="5"/>
      <c r="R293" s="5"/>
      <c r="S293" s="5"/>
      <c r="T293" s="5"/>
      <c r="U293" s="5"/>
      <c r="V293" s="5"/>
      <c r="W293" s="5">
        <v>0</v>
      </c>
      <c r="X293" s="5">
        <v>1</v>
      </c>
      <c r="Y293" s="5">
        <v>0</v>
      </c>
      <c r="Z293" s="5">
        <v>0</v>
      </c>
      <c r="AA293" s="5">
        <v>1</v>
      </c>
      <c r="AB293" s="5">
        <v>0</v>
      </c>
    </row>
    <row r="294" spans="1:28" x14ac:dyDescent="0.2">
      <c r="A294" s="5">
        <v>50</v>
      </c>
      <c r="B294" s="5">
        <v>0</v>
      </c>
      <c r="C294" s="5">
        <v>0</v>
      </c>
      <c r="D294" s="5">
        <v>1</v>
      </c>
      <c r="E294" s="5">
        <v>214</v>
      </c>
      <c r="F294" s="5">
        <f>ROUND(Source!AS277,O294)</f>
        <v>2129.06</v>
      </c>
      <c r="G294" s="5" t="s">
        <v>76</v>
      </c>
      <c r="H294" s="5" t="s">
        <v>77</v>
      </c>
      <c r="I294" s="5"/>
      <c r="J294" s="5"/>
      <c r="K294" s="5">
        <v>214</v>
      </c>
      <c r="L294" s="5">
        <v>16</v>
      </c>
      <c r="M294" s="5">
        <v>3</v>
      </c>
      <c r="N294" s="5" t="s">
        <v>3</v>
      </c>
      <c r="O294" s="5">
        <v>2</v>
      </c>
      <c r="P294" s="5">
        <f>ROUND(Source!EK277,O294)</f>
        <v>27047.01</v>
      </c>
      <c r="Q294" s="5"/>
      <c r="R294" s="5"/>
      <c r="S294" s="5"/>
      <c r="T294" s="5"/>
      <c r="U294" s="5"/>
      <c r="V294" s="5"/>
      <c r="W294" s="5">
        <v>2129.06</v>
      </c>
      <c r="X294" s="5">
        <v>1</v>
      </c>
      <c r="Y294" s="5">
        <v>2129.06</v>
      </c>
      <c r="Z294" s="5">
        <v>27047.01</v>
      </c>
      <c r="AA294" s="5">
        <v>1</v>
      </c>
      <c r="AB294" s="5">
        <v>27047.01</v>
      </c>
    </row>
    <row r="295" spans="1:28" x14ac:dyDescent="0.2">
      <c r="A295" s="5">
        <v>50</v>
      </c>
      <c r="B295" s="5">
        <v>0</v>
      </c>
      <c r="C295" s="5">
        <v>0</v>
      </c>
      <c r="D295" s="5">
        <v>1</v>
      </c>
      <c r="E295" s="5">
        <v>215</v>
      </c>
      <c r="F295" s="5">
        <f>ROUND(Source!AT277,O295)</f>
        <v>0</v>
      </c>
      <c r="G295" s="5" t="s">
        <v>78</v>
      </c>
      <c r="H295" s="5" t="s">
        <v>79</v>
      </c>
      <c r="I295" s="5"/>
      <c r="J295" s="5"/>
      <c r="K295" s="5">
        <v>215</v>
      </c>
      <c r="L295" s="5">
        <v>17</v>
      </c>
      <c r="M295" s="5">
        <v>3</v>
      </c>
      <c r="N295" s="5" t="s">
        <v>3</v>
      </c>
      <c r="O295" s="5">
        <v>2</v>
      </c>
      <c r="P295" s="5">
        <f>ROUND(Source!EL277,O295)</f>
        <v>0</v>
      </c>
      <c r="Q295" s="5"/>
      <c r="R295" s="5"/>
      <c r="S295" s="5"/>
      <c r="T295" s="5"/>
      <c r="U295" s="5"/>
      <c r="V295" s="5"/>
      <c r="W295" s="5">
        <v>0</v>
      </c>
      <c r="X295" s="5">
        <v>1</v>
      </c>
      <c r="Y295" s="5">
        <v>0</v>
      </c>
      <c r="Z295" s="5">
        <v>0</v>
      </c>
      <c r="AA295" s="5">
        <v>1</v>
      </c>
      <c r="AB295" s="5">
        <v>0</v>
      </c>
    </row>
    <row r="296" spans="1:28" x14ac:dyDescent="0.2">
      <c r="A296" s="5">
        <v>50</v>
      </c>
      <c r="B296" s="5">
        <v>0</v>
      </c>
      <c r="C296" s="5">
        <v>0</v>
      </c>
      <c r="D296" s="5">
        <v>1</v>
      </c>
      <c r="E296" s="5">
        <v>217</v>
      </c>
      <c r="F296" s="5">
        <f>ROUND(Source!AU277,O296)</f>
        <v>0</v>
      </c>
      <c r="G296" s="5" t="s">
        <v>80</v>
      </c>
      <c r="H296" s="5" t="s">
        <v>81</v>
      </c>
      <c r="I296" s="5"/>
      <c r="J296" s="5"/>
      <c r="K296" s="5">
        <v>217</v>
      </c>
      <c r="L296" s="5">
        <v>18</v>
      </c>
      <c r="M296" s="5">
        <v>3</v>
      </c>
      <c r="N296" s="5" t="s">
        <v>3</v>
      </c>
      <c r="O296" s="5">
        <v>2</v>
      </c>
      <c r="P296" s="5">
        <f>ROUND(Source!EM277,O296)</f>
        <v>0</v>
      </c>
      <c r="Q296" s="5"/>
      <c r="R296" s="5"/>
      <c r="S296" s="5"/>
      <c r="T296" s="5"/>
      <c r="U296" s="5"/>
      <c r="V296" s="5"/>
      <c r="W296" s="5">
        <v>0</v>
      </c>
      <c r="X296" s="5">
        <v>1</v>
      </c>
      <c r="Y296" s="5">
        <v>0</v>
      </c>
      <c r="Z296" s="5">
        <v>0</v>
      </c>
      <c r="AA296" s="5">
        <v>1</v>
      </c>
      <c r="AB296" s="5">
        <v>0</v>
      </c>
    </row>
    <row r="297" spans="1:28" x14ac:dyDescent="0.2">
      <c r="A297" s="5">
        <v>50</v>
      </c>
      <c r="B297" s="5">
        <v>0</v>
      </c>
      <c r="C297" s="5">
        <v>0</v>
      </c>
      <c r="D297" s="5">
        <v>1</v>
      </c>
      <c r="E297" s="5">
        <v>230</v>
      </c>
      <c r="F297" s="5">
        <f>ROUND(Source!BA277,O297)</f>
        <v>0</v>
      </c>
      <c r="G297" s="5" t="s">
        <v>82</v>
      </c>
      <c r="H297" s="5" t="s">
        <v>83</v>
      </c>
      <c r="I297" s="5"/>
      <c r="J297" s="5"/>
      <c r="K297" s="5">
        <v>230</v>
      </c>
      <c r="L297" s="5">
        <v>19</v>
      </c>
      <c r="M297" s="5">
        <v>3</v>
      </c>
      <c r="N297" s="5" t="s">
        <v>3</v>
      </c>
      <c r="O297" s="5">
        <v>2</v>
      </c>
      <c r="P297" s="5">
        <f>ROUND(Source!ES277,O297)</f>
        <v>0</v>
      </c>
      <c r="Q297" s="5"/>
      <c r="R297" s="5"/>
      <c r="S297" s="5"/>
      <c r="T297" s="5"/>
      <c r="U297" s="5"/>
      <c r="V297" s="5"/>
      <c r="W297" s="5">
        <v>0</v>
      </c>
      <c r="X297" s="5">
        <v>1</v>
      </c>
      <c r="Y297" s="5">
        <v>0</v>
      </c>
      <c r="Z297" s="5">
        <v>0</v>
      </c>
      <c r="AA297" s="5">
        <v>1</v>
      </c>
      <c r="AB297" s="5">
        <v>0</v>
      </c>
    </row>
    <row r="298" spans="1:28" x14ac:dyDescent="0.2">
      <c r="A298" s="5">
        <v>50</v>
      </c>
      <c r="B298" s="5">
        <v>0</v>
      </c>
      <c r="C298" s="5">
        <v>0</v>
      </c>
      <c r="D298" s="5">
        <v>1</v>
      </c>
      <c r="E298" s="5">
        <v>206</v>
      </c>
      <c r="F298" s="5">
        <f>ROUND(Source!T277,O298)</f>
        <v>0</v>
      </c>
      <c r="G298" s="5" t="s">
        <v>84</v>
      </c>
      <c r="H298" s="5" t="s">
        <v>85</v>
      </c>
      <c r="I298" s="5"/>
      <c r="J298" s="5"/>
      <c r="K298" s="5">
        <v>206</v>
      </c>
      <c r="L298" s="5">
        <v>20</v>
      </c>
      <c r="M298" s="5">
        <v>3</v>
      </c>
      <c r="N298" s="5" t="s">
        <v>3</v>
      </c>
      <c r="O298" s="5">
        <v>2</v>
      </c>
      <c r="P298" s="5">
        <f>ROUND(Source!DL277,O298)</f>
        <v>0</v>
      </c>
      <c r="Q298" s="5"/>
      <c r="R298" s="5"/>
      <c r="S298" s="5"/>
      <c r="T298" s="5"/>
      <c r="U298" s="5"/>
      <c r="V298" s="5"/>
      <c r="W298" s="5">
        <v>0</v>
      </c>
      <c r="X298" s="5">
        <v>1</v>
      </c>
      <c r="Y298" s="5">
        <v>0</v>
      </c>
      <c r="Z298" s="5">
        <v>0</v>
      </c>
      <c r="AA298" s="5">
        <v>1</v>
      </c>
      <c r="AB298" s="5">
        <v>0</v>
      </c>
    </row>
    <row r="299" spans="1:28" x14ac:dyDescent="0.2">
      <c r="A299" s="5">
        <v>50</v>
      </c>
      <c r="B299" s="5">
        <v>0</v>
      </c>
      <c r="C299" s="5">
        <v>0</v>
      </c>
      <c r="D299" s="5">
        <v>1</v>
      </c>
      <c r="E299" s="5">
        <v>207</v>
      </c>
      <c r="F299" s="5">
        <f>Source!U277</f>
        <v>10.468492320000001</v>
      </c>
      <c r="G299" s="5" t="s">
        <v>86</v>
      </c>
      <c r="H299" s="5" t="s">
        <v>87</v>
      </c>
      <c r="I299" s="5"/>
      <c r="J299" s="5"/>
      <c r="K299" s="5">
        <v>207</v>
      </c>
      <c r="L299" s="5">
        <v>21</v>
      </c>
      <c r="M299" s="5">
        <v>3</v>
      </c>
      <c r="N299" s="5" t="s">
        <v>3</v>
      </c>
      <c r="O299" s="5">
        <v>-1</v>
      </c>
      <c r="P299" s="5">
        <f>Source!DM277</f>
        <v>10.468492320000001</v>
      </c>
      <c r="Q299" s="5"/>
      <c r="R299" s="5"/>
      <c r="S299" s="5"/>
      <c r="T299" s="5"/>
      <c r="U299" s="5"/>
      <c r="V299" s="5"/>
      <c r="W299" s="5">
        <v>10.468492319999999</v>
      </c>
      <c r="X299" s="5">
        <v>1</v>
      </c>
      <c r="Y299" s="5">
        <v>10.468492319999999</v>
      </c>
      <c r="Z299" s="5">
        <v>10.468492319999999</v>
      </c>
      <c r="AA299" s="5">
        <v>1</v>
      </c>
      <c r="AB299" s="5">
        <v>10.468492319999999</v>
      </c>
    </row>
    <row r="300" spans="1:28" x14ac:dyDescent="0.2">
      <c r="A300" s="5">
        <v>50</v>
      </c>
      <c r="B300" s="5">
        <v>0</v>
      </c>
      <c r="C300" s="5">
        <v>0</v>
      </c>
      <c r="D300" s="5">
        <v>1</v>
      </c>
      <c r="E300" s="5">
        <v>208</v>
      </c>
      <c r="F300" s="5">
        <f>Source!V277</f>
        <v>0</v>
      </c>
      <c r="G300" s="5" t="s">
        <v>88</v>
      </c>
      <c r="H300" s="5" t="s">
        <v>89</v>
      </c>
      <c r="I300" s="5"/>
      <c r="J300" s="5"/>
      <c r="K300" s="5">
        <v>208</v>
      </c>
      <c r="L300" s="5">
        <v>22</v>
      </c>
      <c r="M300" s="5">
        <v>3</v>
      </c>
      <c r="N300" s="5" t="s">
        <v>3</v>
      </c>
      <c r="O300" s="5">
        <v>-1</v>
      </c>
      <c r="P300" s="5">
        <f>Source!DN277</f>
        <v>0</v>
      </c>
      <c r="Q300" s="5"/>
      <c r="R300" s="5"/>
      <c r="S300" s="5"/>
      <c r="T300" s="5"/>
      <c r="U300" s="5"/>
      <c r="V300" s="5"/>
      <c r="W300" s="5">
        <v>0</v>
      </c>
      <c r="X300" s="5">
        <v>1</v>
      </c>
      <c r="Y300" s="5">
        <v>0</v>
      </c>
      <c r="Z300" s="5">
        <v>0</v>
      </c>
      <c r="AA300" s="5">
        <v>1</v>
      </c>
      <c r="AB300" s="5">
        <v>0</v>
      </c>
    </row>
    <row r="301" spans="1:28" x14ac:dyDescent="0.2">
      <c r="A301" s="5">
        <v>50</v>
      </c>
      <c r="B301" s="5">
        <v>0</v>
      </c>
      <c r="C301" s="5">
        <v>0</v>
      </c>
      <c r="D301" s="5">
        <v>1</v>
      </c>
      <c r="E301" s="5">
        <v>209</v>
      </c>
      <c r="F301" s="5">
        <f>ROUND(Source!W277,O301)</f>
        <v>0</v>
      </c>
      <c r="G301" s="5" t="s">
        <v>90</v>
      </c>
      <c r="H301" s="5" t="s">
        <v>91</v>
      </c>
      <c r="I301" s="5"/>
      <c r="J301" s="5"/>
      <c r="K301" s="5">
        <v>209</v>
      </c>
      <c r="L301" s="5">
        <v>23</v>
      </c>
      <c r="M301" s="5">
        <v>3</v>
      </c>
      <c r="N301" s="5" t="s">
        <v>3</v>
      </c>
      <c r="O301" s="5">
        <v>2</v>
      </c>
      <c r="P301" s="5">
        <f>ROUND(Source!DO277,O301)</f>
        <v>0</v>
      </c>
      <c r="Q301" s="5"/>
      <c r="R301" s="5"/>
      <c r="S301" s="5"/>
      <c r="T301" s="5"/>
      <c r="U301" s="5"/>
      <c r="V301" s="5"/>
      <c r="W301" s="5">
        <v>0</v>
      </c>
      <c r="X301" s="5">
        <v>1</v>
      </c>
      <c r="Y301" s="5">
        <v>0</v>
      </c>
      <c r="Z301" s="5">
        <v>0</v>
      </c>
      <c r="AA301" s="5">
        <v>1</v>
      </c>
      <c r="AB301" s="5">
        <v>0</v>
      </c>
    </row>
    <row r="302" spans="1:28" x14ac:dyDescent="0.2">
      <c r="A302" s="5">
        <v>50</v>
      </c>
      <c r="B302" s="5">
        <v>0</v>
      </c>
      <c r="C302" s="5">
        <v>0</v>
      </c>
      <c r="D302" s="5">
        <v>1</v>
      </c>
      <c r="E302" s="5">
        <v>233</v>
      </c>
      <c r="F302" s="5">
        <f>ROUND(Source!BD277,O302)</f>
        <v>0</v>
      </c>
      <c r="G302" s="5" t="s">
        <v>92</v>
      </c>
      <c r="H302" s="5" t="s">
        <v>93</v>
      </c>
      <c r="I302" s="5"/>
      <c r="J302" s="5"/>
      <c r="K302" s="5">
        <v>233</v>
      </c>
      <c r="L302" s="5">
        <v>24</v>
      </c>
      <c r="M302" s="5">
        <v>3</v>
      </c>
      <c r="N302" s="5" t="s">
        <v>3</v>
      </c>
      <c r="O302" s="5">
        <v>2</v>
      </c>
      <c r="P302" s="5">
        <f>ROUND(Source!EV277,O302)</f>
        <v>0</v>
      </c>
      <c r="Q302" s="5"/>
      <c r="R302" s="5"/>
      <c r="S302" s="5"/>
      <c r="T302" s="5"/>
      <c r="U302" s="5"/>
      <c r="V302" s="5"/>
      <c r="W302" s="5">
        <v>0</v>
      </c>
      <c r="X302" s="5">
        <v>1</v>
      </c>
      <c r="Y302" s="5">
        <v>0</v>
      </c>
      <c r="Z302" s="5">
        <v>0</v>
      </c>
      <c r="AA302" s="5">
        <v>1</v>
      </c>
      <c r="AB302" s="5">
        <v>0</v>
      </c>
    </row>
    <row r="303" spans="1:28" x14ac:dyDescent="0.2">
      <c r="A303" s="5">
        <v>50</v>
      </c>
      <c r="B303" s="5">
        <v>0</v>
      </c>
      <c r="C303" s="5">
        <v>0</v>
      </c>
      <c r="D303" s="5">
        <v>1</v>
      </c>
      <c r="E303" s="5">
        <v>210</v>
      </c>
      <c r="F303" s="5">
        <f>ROUND(Source!X277,O303)</f>
        <v>147.16999999999999</v>
      </c>
      <c r="G303" s="5" t="s">
        <v>94</v>
      </c>
      <c r="H303" s="5" t="s">
        <v>95</v>
      </c>
      <c r="I303" s="5"/>
      <c r="J303" s="5"/>
      <c r="K303" s="5">
        <v>210</v>
      </c>
      <c r="L303" s="5">
        <v>25</v>
      </c>
      <c r="M303" s="5">
        <v>3</v>
      </c>
      <c r="N303" s="5" t="s">
        <v>3</v>
      </c>
      <c r="O303" s="5">
        <v>2</v>
      </c>
      <c r="P303" s="5">
        <f>ROUND(Source!DP277,O303)</f>
        <v>8092.82</v>
      </c>
      <c r="Q303" s="5"/>
      <c r="R303" s="5"/>
      <c r="S303" s="5"/>
      <c r="T303" s="5"/>
      <c r="U303" s="5"/>
      <c r="V303" s="5"/>
      <c r="W303" s="5">
        <v>147.16999999999999</v>
      </c>
      <c r="X303" s="5">
        <v>1</v>
      </c>
      <c r="Y303" s="5">
        <v>147.16999999999999</v>
      </c>
      <c r="Z303" s="5">
        <v>8092.82</v>
      </c>
      <c r="AA303" s="5">
        <v>1</v>
      </c>
      <c r="AB303" s="5">
        <v>8092.82</v>
      </c>
    </row>
    <row r="304" spans="1:28" x14ac:dyDescent="0.2">
      <c r="A304" s="5">
        <v>50</v>
      </c>
      <c r="B304" s="5">
        <v>0</v>
      </c>
      <c r="C304" s="5">
        <v>0</v>
      </c>
      <c r="D304" s="5">
        <v>1</v>
      </c>
      <c r="E304" s="5">
        <v>211</v>
      </c>
      <c r="F304" s="5">
        <f>ROUND(Source!Y277,O304)</f>
        <v>74.45</v>
      </c>
      <c r="G304" s="5" t="s">
        <v>96</v>
      </c>
      <c r="H304" s="5" t="s">
        <v>97</v>
      </c>
      <c r="I304" s="5"/>
      <c r="J304" s="5"/>
      <c r="K304" s="5">
        <v>211</v>
      </c>
      <c r="L304" s="5">
        <v>26</v>
      </c>
      <c r="M304" s="5">
        <v>3</v>
      </c>
      <c r="N304" s="5" t="s">
        <v>3</v>
      </c>
      <c r="O304" s="5">
        <v>2</v>
      </c>
      <c r="P304" s="5">
        <f>ROUND(Source!DQ277,O304)</f>
        <v>4094.02</v>
      </c>
      <c r="Q304" s="5"/>
      <c r="R304" s="5"/>
      <c r="S304" s="5"/>
      <c r="T304" s="5"/>
      <c r="U304" s="5"/>
      <c r="V304" s="5"/>
      <c r="W304" s="5">
        <v>74.45</v>
      </c>
      <c r="X304" s="5">
        <v>1</v>
      </c>
      <c r="Y304" s="5">
        <v>74.45</v>
      </c>
      <c r="Z304" s="5">
        <v>4094.02</v>
      </c>
      <c r="AA304" s="5">
        <v>1</v>
      </c>
      <c r="AB304" s="5">
        <v>4094.02</v>
      </c>
    </row>
    <row r="305" spans="1:255" x14ac:dyDescent="0.2">
      <c r="A305" s="5">
        <v>50</v>
      </c>
      <c r="B305" s="5">
        <v>0</v>
      </c>
      <c r="C305" s="5">
        <v>0</v>
      </c>
      <c r="D305" s="5">
        <v>1</v>
      </c>
      <c r="E305" s="5">
        <v>224</v>
      </c>
      <c r="F305" s="5">
        <f>ROUND(Source!AR277,O305)</f>
        <v>2129.06</v>
      </c>
      <c r="G305" s="5" t="s">
        <v>98</v>
      </c>
      <c r="H305" s="5" t="s">
        <v>99</v>
      </c>
      <c r="I305" s="5"/>
      <c r="J305" s="5"/>
      <c r="K305" s="5">
        <v>224</v>
      </c>
      <c r="L305" s="5">
        <v>27</v>
      </c>
      <c r="M305" s="5">
        <v>3</v>
      </c>
      <c r="N305" s="5" t="s">
        <v>3</v>
      </c>
      <c r="O305" s="5">
        <v>2</v>
      </c>
      <c r="P305" s="5">
        <f>ROUND(Source!EJ277,O305)</f>
        <v>27047.01</v>
      </c>
      <c r="Q305" s="5"/>
      <c r="R305" s="5"/>
      <c r="S305" s="5"/>
      <c r="T305" s="5"/>
      <c r="U305" s="5"/>
      <c r="V305" s="5"/>
      <c r="W305" s="5">
        <v>2129.06</v>
      </c>
      <c r="X305" s="5">
        <v>1</v>
      </c>
      <c r="Y305" s="5">
        <v>2129.06</v>
      </c>
      <c r="Z305" s="5">
        <v>27047.01</v>
      </c>
      <c r="AA305" s="5">
        <v>1</v>
      </c>
      <c r="AB305" s="5">
        <v>27047.01</v>
      </c>
    </row>
    <row r="307" spans="1:255" x14ac:dyDescent="0.2">
      <c r="A307" s="1">
        <v>4</v>
      </c>
      <c r="B307" s="1">
        <v>1</v>
      </c>
      <c r="C307" s="1"/>
      <c r="D307" s="1">
        <f>ROW(A316)</f>
        <v>316</v>
      </c>
      <c r="E307" s="1"/>
      <c r="F307" s="1" t="s">
        <v>3</v>
      </c>
      <c r="G307" s="1" t="s">
        <v>244</v>
      </c>
      <c r="H307" s="1" t="s">
        <v>3</v>
      </c>
      <c r="I307" s="1">
        <v>0</v>
      </c>
      <c r="J307" s="1"/>
      <c r="K307" s="1">
        <v>-1</v>
      </c>
      <c r="L307" s="1"/>
      <c r="M307" s="1" t="s">
        <v>3</v>
      </c>
      <c r="N307" s="1"/>
      <c r="O307" s="1"/>
      <c r="P307" s="1"/>
      <c r="Q307" s="1"/>
      <c r="R307" s="1"/>
      <c r="S307" s="1">
        <v>0</v>
      </c>
      <c r="T307" s="1">
        <v>0</v>
      </c>
      <c r="U307" s="1" t="s">
        <v>3</v>
      </c>
      <c r="V307" s="1">
        <v>2</v>
      </c>
      <c r="W307" s="1"/>
      <c r="X307" s="1"/>
      <c r="Y307" s="1"/>
      <c r="Z307" s="1"/>
      <c r="AA307" s="1"/>
      <c r="AB307" s="1" t="s">
        <v>3</v>
      </c>
      <c r="AC307" s="1" t="s">
        <v>3</v>
      </c>
      <c r="AD307" s="1" t="s">
        <v>3</v>
      </c>
      <c r="AE307" s="1" t="s">
        <v>3</v>
      </c>
      <c r="AF307" s="1" t="s">
        <v>3</v>
      </c>
      <c r="AG307" s="1" t="s">
        <v>3</v>
      </c>
      <c r="AH307" s="1"/>
      <c r="AI307" s="1"/>
      <c r="AJ307" s="1"/>
      <c r="AK307" s="1"/>
      <c r="AL307" s="1"/>
      <c r="AM307" s="1"/>
      <c r="AN307" s="1"/>
      <c r="AO307" s="1"/>
      <c r="AP307" s="1" t="s">
        <v>3</v>
      </c>
      <c r="AQ307" s="1" t="s">
        <v>3</v>
      </c>
      <c r="AR307" s="1" t="s">
        <v>3</v>
      </c>
      <c r="AS307" s="1"/>
      <c r="AT307" s="1"/>
      <c r="AU307" s="1"/>
      <c r="AV307" s="1"/>
      <c r="AW307" s="1"/>
      <c r="AX307" s="1"/>
      <c r="AY307" s="1"/>
      <c r="AZ307" s="1" t="s">
        <v>3</v>
      </c>
      <c r="BA307" s="1"/>
      <c r="BB307" s="1" t="s">
        <v>3</v>
      </c>
      <c r="BC307" s="1" t="s">
        <v>3</v>
      </c>
      <c r="BD307" s="1" t="s">
        <v>3</v>
      </c>
      <c r="BE307" s="1" t="s">
        <v>3</v>
      </c>
      <c r="BF307" s="1" t="s">
        <v>3</v>
      </c>
      <c r="BG307" s="1" t="s">
        <v>3</v>
      </c>
      <c r="BH307" s="1" t="s">
        <v>3</v>
      </c>
      <c r="BI307" s="1" t="s">
        <v>3</v>
      </c>
      <c r="BJ307" s="1" t="s">
        <v>3</v>
      </c>
      <c r="BK307" s="1" t="s">
        <v>3</v>
      </c>
      <c r="BL307" s="1" t="s">
        <v>3</v>
      </c>
      <c r="BM307" s="1" t="s">
        <v>3</v>
      </c>
      <c r="BN307" s="1" t="s">
        <v>3</v>
      </c>
      <c r="BO307" s="1" t="s">
        <v>3</v>
      </c>
      <c r="BP307" s="1" t="s">
        <v>3</v>
      </c>
      <c r="BQ307" s="1"/>
      <c r="BR307" s="1"/>
      <c r="BS307" s="1"/>
      <c r="BT307" s="1"/>
      <c r="BU307" s="1"/>
      <c r="BV307" s="1"/>
      <c r="BW307" s="1"/>
      <c r="BX307" s="1">
        <v>0</v>
      </c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>
        <v>0</v>
      </c>
    </row>
    <row r="309" spans="1:255" x14ac:dyDescent="0.2">
      <c r="A309" s="3">
        <v>52</v>
      </c>
      <c r="B309" s="3">
        <f t="shared" ref="B309:G309" si="253">B316</f>
        <v>1</v>
      </c>
      <c r="C309" s="3">
        <f t="shared" si="253"/>
        <v>4</v>
      </c>
      <c r="D309" s="3">
        <f t="shared" si="253"/>
        <v>307</v>
      </c>
      <c r="E309" s="3">
        <f t="shared" si="253"/>
        <v>0</v>
      </c>
      <c r="F309" s="3" t="str">
        <f t="shared" si="253"/>
        <v/>
      </c>
      <c r="G309" s="3" t="str">
        <f t="shared" si="253"/>
        <v>Наклейка- круг желтый</v>
      </c>
      <c r="H309" s="3"/>
      <c r="I309" s="3"/>
      <c r="J309" s="3"/>
      <c r="K309" s="3"/>
      <c r="L309" s="3"/>
      <c r="M309" s="3"/>
      <c r="N309" s="3"/>
      <c r="O309" s="3">
        <f t="shared" ref="O309:AT309" si="254">O316</f>
        <v>750.28</v>
      </c>
      <c r="P309" s="3">
        <f t="shared" si="254"/>
        <v>564.89</v>
      </c>
      <c r="Q309" s="3">
        <f t="shared" si="254"/>
        <v>1.03</v>
      </c>
      <c r="R309" s="3">
        <f t="shared" si="254"/>
        <v>0.16</v>
      </c>
      <c r="S309" s="3">
        <f t="shared" si="254"/>
        <v>184.36</v>
      </c>
      <c r="T309" s="3">
        <f t="shared" si="254"/>
        <v>0</v>
      </c>
      <c r="U309" s="3">
        <f t="shared" si="254"/>
        <v>10.422790399999997</v>
      </c>
      <c r="V309" s="3">
        <f t="shared" si="254"/>
        <v>0</v>
      </c>
      <c r="W309" s="3">
        <f t="shared" si="254"/>
        <v>0</v>
      </c>
      <c r="X309" s="3">
        <f t="shared" si="254"/>
        <v>166.07</v>
      </c>
      <c r="Y309" s="3">
        <f t="shared" si="254"/>
        <v>77.5</v>
      </c>
      <c r="Z309" s="3">
        <f t="shared" si="254"/>
        <v>0</v>
      </c>
      <c r="AA309" s="3">
        <f t="shared" si="254"/>
        <v>0</v>
      </c>
      <c r="AB309" s="3">
        <f t="shared" si="254"/>
        <v>750.28</v>
      </c>
      <c r="AC309" s="3">
        <f t="shared" si="254"/>
        <v>564.89</v>
      </c>
      <c r="AD309" s="3">
        <f t="shared" si="254"/>
        <v>1.03</v>
      </c>
      <c r="AE309" s="3">
        <f t="shared" si="254"/>
        <v>0.16</v>
      </c>
      <c r="AF309" s="3">
        <f t="shared" si="254"/>
        <v>184.36</v>
      </c>
      <c r="AG309" s="3">
        <f t="shared" si="254"/>
        <v>0</v>
      </c>
      <c r="AH309" s="3">
        <f t="shared" si="254"/>
        <v>10.422790399999997</v>
      </c>
      <c r="AI309" s="3">
        <f t="shared" si="254"/>
        <v>0</v>
      </c>
      <c r="AJ309" s="3">
        <f t="shared" si="254"/>
        <v>0</v>
      </c>
      <c r="AK309" s="3">
        <f t="shared" si="254"/>
        <v>166.07</v>
      </c>
      <c r="AL309" s="3">
        <f t="shared" si="254"/>
        <v>77.5</v>
      </c>
      <c r="AM309" s="3">
        <f t="shared" si="254"/>
        <v>0</v>
      </c>
      <c r="AN309" s="3">
        <f t="shared" si="254"/>
        <v>0</v>
      </c>
      <c r="AO309" s="3">
        <f t="shared" si="254"/>
        <v>0</v>
      </c>
      <c r="AP309" s="3">
        <f t="shared" si="254"/>
        <v>0</v>
      </c>
      <c r="AQ309" s="3">
        <f t="shared" si="254"/>
        <v>0</v>
      </c>
      <c r="AR309" s="3">
        <f t="shared" si="254"/>
        <v>993.85</v>
      </c>
      <c r="AS309" s="3">
        <f t="shared" si="254"/>
        <v>993.85</v>
      </c>
      <c r="AT309" s="3">
        <f t="shared" si="254"/>
        <v>0</v>
      </c>
      <c r="AU309" s="3">
        <f t="shared" ref="AU309:BZ309" si="255">AU316</f>
        <v>0</v>
      </c>
      <c r="AV309" s="3">
        <f t="shared" si="255"/>
        <v>564.89</v>
      </c>
      <c r="AW309" s="3">
        <f t="shared" si="255"/>
        <v>564.89</v>
      </c>
      <c r="AX309" s="3">
        <f t="shared" si="255"/>
        <v>0</v>
      </c>
      <c r="AY309" s="3">
        <f t="shared" si="255"/>
        <v>564.89</v>
      </c>
      <c r="AZ309" s="3">
        <f t="shared" si="255"/>
        <v>0</v>
      </c>
      <c r="BA309" s="3">
        <f t="shared" si="255"/>
        <v>0</v>
      </c>
      <c r="BB309" s="3">
        <f t="shared" si="255"/>
        <v>0</v>
      </c>
      <c r="BC309" s="3">
        <f t="shared" si="255"/>
        <v>0</v>
      </c>
      <c r="BD309" s="3">
        <f t="shared" si="255"/>
        <v>0</v>
      </c>
      <c r="BE309" s="3">
        <f t="shared" si="255"/>
        <v>0</v>
      </c>
      <c r="BF309" s="3">
        <f t="shared" si="255"/>
        <v>0</v>
      </c>
      <c r="BG309" s="3">
        <f t="shared" si="255"/>
        <v>0</v>
      </c>
      <c r="BH309" s="3">
        <f t="shared" si="255"/>
        <v>0</v>
      </c>
      <c r="BI309" s="3">
        <f t="shared" si="255"/>
        <v>0</v>
      </c>
      <c r="BJ309" s="3">
        <f t="shared" si="255"/>
        <v>0</v>
      </c>
      <c r="BK309" s="3">
        <f t="shared" si="255"/>
        <v>0</v>
      </c>
      <c r="BL309" s="3">
        <f t="shared" si="255"/>
        <v>0</v>
      </c>
      <c r="BM309" s="3">
        <f t="shared" si="255"/>
        <v>0</v>
      </c>
      <c r="BN309" s="3">
        <f t="shared" si="255"/>
        <v>0</v>
      </c>
      <c r="BO309" s="3">
        <f t="shared" si="255"/>
        <v>0</v>
      </c>
      <c r="BP309" s="3">
        <f t="shared" si="255"/>
        <v>0</v>
      </c>
      <c r="BQ309" s="3">
        <f t="shared" si="255"/>
        <v>0</v>
      </c>
      <c r="BR309" s="3">
        <f t="shared" si="255"/>
        <v>0</v>
      </c>
      <c r="BS309" s="3">
        <f t="shared" si="255"/>
        <v>0</v>
      </c>
      <c r="BT309" s="3">
        <f t="shared" si="255"/>
        <v>0</v>
      </c>
      <c r="BU309" s="3">
        <f t="shared" si="255"/>
        <v>0</v>
      </c>
      <c r="BV309" s="3">
        <f t="shared" si="255"/>
        <v>0</v>
      </c>
      <c r="BW309" s="3">
        <f t="shared" si="255"/>
        <v>0</v>
      </c>
      <c r="BX309" s="3">
        <f t="shared" si="255"/>
        <v>0</v>
      </c>
      <c r="BY309" s="3">
        <f t="shared" si="255"/>
        <v>0</v>
      </c>
      <c r="BZ309" s="3">
        <f t="shared" si="255"/>
        <v>0</v>
      </c>
      <c r="CA309" s="3">
        <f t="shared" ref="CA309:DF309" si="256">CA316</f>
        <v>993.85</v>
      </c>
      <c r="CB309" s="3">
        <f t="shared" si="256"/>
        <v>993.85</v>
      </c>
      <c r="CC309" s="3">
        <f t="shared" si="256"/>
        <v>0</v>
      </c>
      <c r="CD309" s="3">
        <f t="shared" si="256"/>
        <v>0</v>
      </c>
      <c r="CE309" s="3">
        <f t="shared" si="256"/>
        <v>564.89</v>
      </c>
      <c r="CF309" s="3">
        <f t="shared" si="256"/>
        <v>564.89</v>
      </c>
      <c r="CG309" s="3">
        <f t="shared" si="256"/>
        <v>0</v>
      </c>
      <c r="CH309" s="3">
        <f t="shared" si="256"/>
        <v>564.89</v>
      </c>
      <c r="CI309" s="3">
        <f t="shared" si="256"/>
        <v>0</v>
      </c>
      <c r="CJ309" s="3">
        <f t="shared" si="256"/>
        <v>0</v>
      </c>
      <c r="CK309" s="3">
        <f t="shared" si="256"/>
        <v>0</v>
      </c>
      <c r="CL309" s="3">
        <f t="shared" si="256"/>
        <v>0</v>
      </c>
      <c r="CM309" s="3">
        <f t="shared" si="256"/>
        <v>0</v>
      </c>
      <c r="CN309" s="3">
        <f t="shared" si="256"/>
        <v>0</v>
      </c>
      <c r="CO309" s="3">
        <f t="shared" si="256"/>
        <v>0</v>
      </c>
      <c r="CP309" s="3">
        <f t="shared" si="256"/>
        <v>0</v>
      </c>
      <c r="CQ309" s="3">
        <f t="shared" si="256"/>
        <v>0</v>
      </c>
      <c r="CR309" s="3">
        <f t="shared" si="256"/>
        <v>0</v>
      </c>
      <c r="CS309" s="3">
        <f t="shared" si="256"/>
        <v>0</v>
      </c>
      <c r="CT309" s="3">
        <f t="shared" si="256"/>
        <v>0</v>
      </c>
      <c r="CU309" s="3">
        <f t="shared" si="256"/>
        <v>0</v>
      </c>
      <c r="CV309" s="3">
        <f t="shared" si="256"/>
        <v>0</v>
      </c>
      <c r="CW309" s="3">
        <f t="shared" si="256"/>
        <v>0</v>
      </c>
      <c r="CX309" s="3">
        <f t="shared" si="256"/>
        <v>0</v>
      </c>
      <c r="CY309" s="3">
        <f t="shared" si="256"/>
        <v>0</v>
      </c>
      <c r="CZ309" s="3">
        <f t="shared" si="256"/>
        <v>0</v>
      </c>
      <c r="DA309" s="3">
        <f t="shared" si="256"/>
        <v>0</v>
      </c>
      <c r="DB309" s="3">
        <f t="shared" si="256"/>
        <v>0</v>
      </c>
      <c r="DC309" s="3">
        <f t="shared" si="256"/>
        <v>0</v>
      </c>
      <c r="DD309" s="3">
        <f t="shared" si="256"/>
        <v>0</v>
      </c>
      <c r="DE309" s="3">
        <f t="shared" si="256"/>
        <v>0</v>
      </c>
      <c r="DF309" s="3">
        <f t="shared" si="256"/>
        <v>0</v>
      </c>
      <c r="DG309" s="4">
        <f t="shared" ref="DG309:EL309" si="257">DG316</f>
        <v>14891.44</v>
      </c>
      <c r="DH309" s="4">
        <f t="shared" si="257"/>
        <v>4736.7</v>
      </c>
      <c r="DI309" s="4">
        <f t="shared" si="257"/>
        <v>16.78</v>
      </c>
      <c r="DJ309" s="4">
        <f t="shared" si="257"/>
        <v>8.8000000000000007</v>
      </c>
      <c r="DK309" s="4">
        <f t="shared" si="257"/>
        <v>10137.959999999999</v>
      </c>
      <c r="DL309" s="4">
        <f t="shared" si="257"/>
        <v>0</v>
      </c>
      <c r="DM309" s="4">
        <f t="shared" si="257"/>
        <v>10.422790399999997</v>
      </c>
      <c r="DN309" s="4">
        <f t="shared" si="257"/>
        <v>0</v>
      </c>
      <c r="DO309" s="4">
        <f t="shared" si="257"/>
        <v>0</v>
      </c>
      <c r="DP309" s="4">
        <f t="shared" si="257"/>
        <v>9132.08</v>
      </c>
      <c r="DQ309" s="4">
        <f t="shared" si="257"/>
        <v>4261.6400000000003</v>
      </c>
      <c r="DR309" s="4">
        <f t="shared" si="257"/>
        <v>0</v>
      </c>
      <c r="DS309" s="4">
        <f t="shared" si="257"/>
        <v>0</v>
      </c>
      <c r="DT309" s="4">
        <f t="shared" si="257"/>
        <v>14891.44</v>
      </c>
      <c r="DU309" s="4">
        <f t="shared" si="257"/>
        <v>4736.7</v>
      </c>
      <c r="DV309" s="4">
        <f t="shared" si="257"/>
        <v>16.78</v>
      </c>
      <c r="DW309" s="4">
        <f t="shared" si="257"/>
        <v>8.8000000000000007</v>
      </c>
      <c r="DX309" s="4">
        <f t="shared" si="257"/>
        <v>10137.959999999999</v>
      </c>
      <c r="DY309" s="4">
        <f t="shared" si="257"/>
        <v>0</v>
      </c>
      <c r="DZ309" s="4">
        <f t="shared" si="257"/>
        <v>10.422790399999997</v>
      </c>
      <c r="EA309" s="4">
        <f t="shared" si="257"/>
        <v>0</v>
      </c>
      <c r="EB309" s="4">
        <f t="shared" si="257"/>
        <v>0</v>
      </c>
      <c r="EC309" s="4">
        <f t="shared" si="257"/>
        <v>9132.08</v>
      </c>
      <c r="ED309" s="4">
        <f t="shared" si="257"/>
        <v>4261.6400000000003</v>
      </c>
      <c r="EE309" s="4">
        <f t="shared" si="257"/>
        <v>0</v>
      </c>
      <c r="EF309" s="4">
        <f t="shared" si="257"/>
        <v>0</v>
      </c>
      <c r="EG309" s="4">
        <f t="shared" si="257"/>
        <v>0</v>
      </c>
      <c r="EH309" s="4">
        <f t="shared" si="257"/>
        <v>0</v>
      </c>
      <c r="EI309" s="4">
        <f t="shared" si="257"/>
        <v>0</v>
      </c>
      <c r="EJ309" s="4">
        <f t="shared" si="257"/>
        <v>28285.16</v>
      </c>
      <c r="EK309" s="4">
        <f t="shared" si="257"/>
        <v>28285.16</v>
      </c>
      <c r="EL309" s="4">
        <f t="shared" si="257"/>
        <v>0</v>
      </c>
      <c r="EM309" s="4">
        <f t="shared" ref="EM309:FR309" si="258">EM316</f>
        <v>0</v>
      </c>
      <c r="EN309" s="4">
        <f t="shared" si="258"/>
        <v>4736.7</v>
      </c>
      <c r="EO309" s="4">
        <f t="shared" si="258"/>
        <v>4736.7</v>
      </c>
      <c r="EP309" s="4">
        <f t="shared" si="258"/>
        <v>0</v>
      </c>
      <c r="EQ309" s="4">
        <f t="shared" si="258"/>
        <v>4736.7</v>
      </c>
      <c r="ER309" s="4">
        <f t="shared" si="258"/>
        <v>0</v>
      </c>
      <c r="ES309" s="4">
        <f t="shared" si="258"/>
        <v>0</v>
      </c>
      <c r="ET309" s="4">
        <f t="shared" si="258"/>
        <v>0</v>
      </c>
      <c r="EU309" s="4">
        <f t="shared" si="258"/>
        <v>0</v>
      </c>
      <c r="EV309" s="4">
        <f t="shared" si="258"/>
        <v>0</v>
      </c>
      <c r="EW309" s="4">
        <f t="shared" si="258"/>
        <v>0</v>
      </c>
      <c r="EX309" s="4">
        <f t="shared" si="258"/>
        <v>0</v>
      </c>
      <c r="EY309" s="4">
        <f t="shared" si="258"/>
        <v>0</v>
      </c>
      <c r="EZ309" s="4">
        <f t="shared" si="258"/>
        <v>0</v>
      </c>
      <c r="FA309" s="4">
        <f t="shared" si="258"/>
        <v>0</v>
      </c>
      <c r="FB309" s="4">
        <f t="shared" si="258"/>
        <v>0</v>
      </c>
      <c r="FC309" s="4">
        <f t="shared" si="258"/>
        <v>0</v>
      </c>
      <c r="FD309" s="4">
        <f t="shared" si="258"/>
        <v>0</v>
      </c>
      <c r="FE309" s="4">
        <f t="shared" si="258"/>
        <v>0</v>
      </c>
      <c r="FF309" s="4">
        <f t="shared" si="258"/>
        <v>0</v>
      </c>
      <c r="FG309" s="4">
        <f t="shared" si="258"/>
        <v>0</v>
      </c>
      <c r="FH309" s="4">
        <f t="shared" si="258"/>
        <v>0</v>
      </c>
      <c r="FI309" s="4">
        <f t="shared" si="258"/>
        <v>0</v>
      </c>
      <c r="FJ309" s="4">
        <f t="shared" si="258"/>
        <v>0</v>
      </c>
      <c r="FK309" s="4">
        <f t="shared" si="258"/>
        <v>0</v>
      </c>
      <c r="FL309" s="4">
        <f t="shared" si="258"/>
        <v>0</v>
      </c>
      <c r="FM309" s="4">
        <f t="shared" si="258"/>
        <v>0</v>
      </c>
      <c r="FN309" s="4">
        <f t="shared" si="258"/>
        <v>0</v>
      </c>
      <c r="FO309" s="4">
        <f t="shared" si="258"/>
        <v>0</v>
      </c>
      <c r="FP309" s="4">
        <f t="shared" si="258"/>
        <v>0</v>
      </c>
      <c r="FQ309" s="4">
        <f t="shared" si="258"/>
        <v>0</v>
      </c>
      <c r="FR309" s="4">
        <f t="shared" si="258"/>
        <v>0</v>
      </c>
      <c r="FS309" s="4">
        <f t="shared" ref="FS309:GX309" si="259">FS316</f>
        <v>28285.16</v>
      </c>
      <c r="FT309" s="4">
        <f t="shared" si="259"/>
        <v>28285.16</v>
      </c>
      <c r="FU309" s="4">
        <f t="shared" si="259"/>
        <v>0</v>
      </c>
      <c r="FV309" s="4">
        <f t="shared" si="259"/>
        <v>0</v>
      </c>
      <c r="FW309" s="4">
        <f t="shared" si="259"/>
        <v>4736.7</v>
      </c>
      <c r="FX309" s="4">
        <f t="shared" si="259"/>
        <v>4736.7</v>
      </c>
      <c r="FY309" s="4">
        <f t="shared" si="259"/>
        <v>0</v>
      </c>
      <c r="FZ309" s="4">
        <f t="shared" si="259"/>
        <v>4736.7</v>
      </c>
      <c r="GA309" s="4">
        <f t="shared" si="259"/>
        <v>0</v>
      </c>
      <c r="GB309" s="4">
        <f t="shared" si="259"/>
        <v>0</v>
      </c>
      <c r="GC309" s="4">
        <f t="shared" si="259"/>
        <v>0</v>
      </c>
      <c r="GD309" s="4">
        <f t="shared" si="259"/>
        <v>0</v>
      </c>
      <c r="GE309" s="4">
        <f t="shared" si="259"/>
        <v>0</v>
      </c>
      <c r="GF309" s="4">
        <f t="shared" si="259"/>
        <v>0</v>
      </c>
      <c r="GG309" s="4">
        <f t="shared" si="259"/>
        <v>0</v>
      </c>
      <c r="GH309" s="4">
        <f t="shared" si="259"/>
        <v>0</v>
      </c>
      <c r="GI309" s="4">
        <f t="shared" si="259"/>
        <v>0</v>
      </c>
      <c r="GJ309" s="4">
        <f t="shared" si="259"/>
        <v>0</v>
      </c>
      <c r="GK309" s="4">
        <f t="shared" si="259"/>
        <v>0</v>
      </c>
      <c r="GL309" s="4">
        <f t="shared" si="259"/>
        <v>0</v>
      </c>
      <c r="GM309" s="4">
        <f t="shared" si="259"/>
        <v>0</v>
      </c>
      <c r="GN309" s="4">
        <f t="shared" si="259"/>
        <v>0</v>
      </c>
      <c r="GO309" s="4">
        <f t="shared" si="259"/>
        <v>0</v>
      </c>
      <c r="GP309" s="4">
        <f t="shared" si="259"/>
        <v>0</v>
      </c>
      <c r="GQ309" s="4">
        <f t="shared" si="259"/>
        <v>0</v>
      </c>
      <c r="GR309" s="4">
        <f t="shared" si="259"/>
        <v>0</v>
      </c>
      <c r="GS309" s="4">
        <f t="shared" si="259"/>
        <v>0</v>
      </c>
      <c r="GT309" s="4">
        <f t="shared" si="259"/>
        <v>0</v>
      </c>
      <c r="GU309" s="4">
        <f t="shared" si="259"/>
        <v>0</v>
      </c>
      <c r="GV309" s="4">
        <f t="shared" si="259"/>
        <v>0</v>
      </c>
      <c r="GW309" s="4">
        <f t="shared" si="259"/>
        <v>0</v>
      </c>
      <c r="GX309" s="4">
        <f t="shared" si="259"/>
        <v>0</v>
      </c>
    </row>
    <row r="311" spans="1:255" x14ac:dyDescent="0.2">
      <c r="A311" s="2">
        <v>17</v>
      </c>
      <c r="B311" s="2">
        <v>1</v>
      </c>
      <c r="C311" s="2">
        <f>ROW(SmtRes!A127)</f>
        <v>127</v>
      </c>
      <c r="D311" s="2">
        <f>ROW(EtalonRes!A137)</f>
        <v>137</v>
      </c>
      <c r="E311" s="2" t="s">
        <v>245</v>
      </c>
      <c r="F311" s="2" t="s">
        <v>246</v>
      </c>
      <c r="G311" s="2" t="s">
        <v>247</v>
      </c>
      <c r="H311" s="2" t="s">
        <v>248</v>
      </c>
      <c r="I311" s="2">
        <f>ROUND((3.14*0.2*0.2*100)/100,9)</f>
        <v>0.12559999999999999</v>
      </c>
      <c r="J311" s="2">
        <v>0</v>
      </c>
      <c r="K311" s="2">
        <f>ROUND((3.14*0.2*0.2*100)/100,9)</f>
        <v>0.12559999999999999</v>
      </c>
      <c r="L311" s="2"/>
      <c r="M311" s="2"/>
      <c r="N311" s="2"/>
      <c r="O311" s="2">
        <f>ROUND(CP311,2)</f>
        <v>320.27999999999997</v>
      </c>
      <c r="P311" s="2">
        <f>ROUND((ROUND((AC311*AW311*I311),2)*BC311),2)</f>
        <v>134.88999999999999</v>
      </c>
      <c r="Q311" s="2">
        <f>(ROUND((ROUND(((((ET311*1.25)*1.1))*AV311*I311),2)*BB311),2)+ROUND((ROUND(((AE311-(((EU311*1.25)*1.1)))*AV311*I311),2)*BS311),2))</f>
        <v>1.03</v>
      </c>
      <c r="R311" s="2">
        <f>(ROUND((ROUND(((((EU311*1.25)*1.1))*AV311*I311),2)*BS311),2)+ROUND((ROUND(((AE311-(((EU311*1.25)*1.1)))*AV311*I311),2)*BS311),2))</f>
        <v>0.16</v>
      </c>
      <c r="S311" s="2">
        <f>ROUND((ROUND((AF311*AV311*I311),2)*BA311),2)</f>
        <v>184.36</v>
      </c>
      <c r="T311" s="2">
        <f>ROUND(CU311*I311,2)</f>
        <v>0</v>
      </c>
      <c r="U311" s="2">
        <f>CV311*I311</f>
        <v>10.422790399999997</v>
      </c>
      <c r="V311" s="2">
        <f>CW311*I311</f>
        <v>0</v>
      </c>
      <c r="W311" s="2">
        <f>ROUND(CX311*I311,2)</f>
        <v>0</v>
      </c>
      <c r="X311" s="2">
        <f>(ROUND((((S311+ROUND((ROUND(((((EU311*1.25)*1.1))*AV311*I311),2)*BS311),2))*AT311)/100),2)+ROUND(((ROUND((ROUND(((AE311-(((EU311*1.25)*1.1)))*AV311*I311),2)*BS311),2)*AT311)/100),2))</f>
        <v>166.07</v>
      </c>
      <c r="Y311" s="2">
        <f>(ROUND((((S311+ROUND((ROUND(((((EU311*1.25)*1.1))*AV311*I311),2)*BS311),2))*AU311)/100),2)+ROUND(((ROUND((ROUND(((AE311-(((EU311*1.25)*1.1)))*AV311*I311),2)*BS311),2)*AU311)/100),2))</f>
        <v>77.5</v>
      </c>
      <c r="Z311" s="2"/>
      <c r="AA311" s="2">
        <v>59499218</v>
      </c>
      <c r="AB311" s="2">
        <f>ROUND((AC311+AD311+AF311),6)</f>
        <v>2513.9904499999998</v>
      </c>
      <c r="AC311" s="2">
        <f>ROUND((ES311),6)</f>
        <v>1073.97</v>
      </c>
      <c r="AD311" s="2">
        <f>ROUND((((((ET311*1.25)*1.1))-(((EU311*1.25)*1.1)))+AE311),6)</f>
        <v>8.0024999999999995</v>
      </c>
      <c r="AE311" s="2">
        <f>ROUND((((EU311*1.25)*1.1)),6)</f>
        <v>1.21</v>
      </c>
      <c r="AF311" s="2">
        <f>ROUND((((EV311*1.15)*1.1)),6)</f>
        <v>1432.0179499999999</v>
      </c>
      <c r="AG311" s="2">
        <f>ROUND((AP311),6)</f>
        <v>0</v>
      </c>
      <c r="AH311" s="2">
        <f>(((EW311*1.15)*1.1))</f>
        <v>80.959999999999994</v>
      </c>
      <c r="AI311" s="2">
        <f>(((EX311*1.25)*1.1))</f>
        <v>0</v>
      </c>
      <c r="AJ311" s="2">
        <f>(AS311)</f>
        <v>0</v>
      </c>
      <c r="AK311" s="2">
        <v>2211.8200000000002</v>
      </c>
      <c r="AL311" s="2">
        <v>1073.97</v>
      </c>
      <c r="AM311" s="2">
        <v>5.82</v>
      </c>
      <c r="AN311" s="2">
        <v>0.88</v>
      </c>
      <c r="AO311" s="2">
        <v>1132.03</v>
      </c>
      <c r="AP311" s="2">
        <v>0</v>
      </c>
      <c r="AQ311" s="2">
        <v>64</v>
      </c>
      <c r="AR311" s="2">
        <v>0</v>
      </c>
      <c r="AS311" s="2">
        <v>0</v>
      </c>
      <c r="AT311" s="2">
        <v>90</v>
      </c>
      <c r="AU311" s="2">
        <v>42</v>
      </c>
      <c r="AV311" s="2">
        <v>1.0249999999999999</v>
      </c>
      <c r="AW311" s="2">
        <v>1</v>
      </c>
      <c r="AX311" s="2"/>
      <c r="AY311" s="2"/>
      <c r="AZ311" s="2">
        <v>1</v>
      </c>
      <c r="BA311" s="2">
        <v>1</v>
      </c>
      <c r="BB311" s="2">
        <v>1</v>
      </c>
      <c r="BC311" s="2">
        <v>1</v>
      </c>
      <c r="BD311" s="2" t="s">
        <v>3</v>
      </c>
      <c r="BE311" s="2" t="s">
        <v>3</v>
      </c>
      <c r="BF311" s="2" t="s">
        <v>3</v>
      </c>
      <c r="BG311" s="2" t="s">
        <v>3</v>
      </c>
      <c r="BH311" s="2">
        <v>0</v>
      </c>
      <c r="BI311" s="2">
        <v>1</v>
      </c>
      <c r="BJ311" s="2" t="s">
        <v>249</v>
      </c>
      <c r="BK311" s="2"/>
      <c r="BL311" s="2"/>
      <c r="BM311" s="2">
        <v>60</v>
      </c>
      <c r="BN311" s="2">
        <v>59298886</v>
      </c>
      <c r="BO311" s="2" t="s">
        <v>246</v>
      </c>
      <c r="BP311" s="2">
        <v>1</v>
      </c>
      <c r="BQ311" s="2">
        <v>30</v>
      </c>
      <c r="BR311" s="2">
        <v>0</v>
      </c>
      <c r="BS311" s="2">
        <v>1</v>
      </c>
      <c r="BT311" s="2">
        <v>1</v>
      </c>
      <c r="BU311" s="2">
        <v>1</v>
      </c>
      <c r="BV311" s="2">
        <v>1</v>
      </c>
      <c r="BW311" s="2">
        <v>1</v>
      </c>
      <c r="BX311" s="2">
        <v>1</v>
      </c>
      <c r="BY311" s="2" t="s">
        <v>3</v>
      </c>
      <c r="BZ311" s="2">
        <v>90</v>
      </c>
      <c r="CA311" s="2">
        <v>42</v>
      </c>
      <c r="CB311" s="2" t="s">
        <v>3</v>
      </c>
      <c r="CC311" s="2"/>
      <c r="CD311" s="2"/>
      <c r="CE311" s="2">
        <v>1566</v>
      </c>
      <c r="CF311" s="2">
        <v>0</v>
      </c>
      <c r="CG311" s="2">
        <v>0</v>
      </c>
      <c r="CH311" s="2"/>
      <c r="CI311" s="2"/>
      <c r="CJ311" s="2"/>
      <c r="CK311" s="2"/>
      <c r="CL311" s="2"/>
      <c r="CM311" s="2">
        <v>0</v>
      </c>
      <c r="CN311" s="2" t="s">
        <v>375</v>
      </c>
      <c r="CO311" s="2">
        <v>0</v>
      </c>
      <c r="CP311" s="2">
        <f>(P311+Q311+S311)</f>
        <v>320.27999999999997</v>
      </c>
      <c r="CQ311" s="2">
        <f>ROUND((ROUND((AC311*AW311*1),2)*BC311),2)</f>
        <v>1073.97</v>
      </c>
      <c r="CR311" s="2">
        <f>(ROUND((ROUND(((((ET311*1.25)*1.1))*AV311*1),2)*BB311),2)+ROUND((ROUND(((AE311-(((EU311*1.25)*1.1)))*AV311*1),2)*BS311),2))</f>
        <v>8.1999999999999993</v>
      </c>
      <c r="CS311" s="2">
        <f>(ROUND((ROUND(((((EU311*1.25)*1.1))*AV311*1),2)*BS311),2)+ROUND((ROUND(((AE311-(((EU311*1.25)*1.1)))*AV311*1),2)*BS311),2))</f>
        <v>1.24</v>
      </c>
      <c r="CT311" s="2">
        <f>ROUND((ROUND((AF311*AV311*1),2)*BA311),2)</f>
        <v>1467.82</v>
      </c>
      <c r="CU311" s="2">
        <f>AG311</f>
        <v>0</v>
      </c>
      <c r="CV311" s="2">
        <f>(AH311*AV311)</f>
        <v>82.98399999999998</v>
      </c>
      <c r="CW311" s="2">
        <f t="shared" ref="CW311:CX314" si="260">AI311</f>
        <v>0</v>
      </c>
      <c r="CX311" s="2">
        <f t="shared" si="260"/>
        <v>0</v>
      </c>
      <c r="CY311" s="2">
        <f>(ROUND((((S311+ROUND((ROUND(((((EU311*1.25)*1.1))*AV311*1),2)*BS311),2))*AT311)/100),2)+ROUND(((ROUND((ROUND(((AE311-(((EU311*1.25)*1.1)))*AV311*1),2)*BS311),2)*AT311)/100),2))</f>
        <v>167.04</v>
      </c>
      <c r="CZ311" s="2">
        <f>(ROUND((((S311+ROUND((ROUND(((((EU311*1.25)*1.1))*AV311*1),2)*BS311),2))*AU311)/100),2)+ROUND(((ROUND((ROUND(((AE311-(((EU311*1.25)*1.1)))*AV311*1),2)*BS311),2)*AU311)/100),2))</f>
        <v>77.95</v>
      </c>
      <c r="DA311" s="2"/>
      <c r="DB311" s="2">
        <v>97</v>
      </c>
      <c r="DC311" s="2" t="s">
        <v>3</v>
      </c>
      <c r="DD311" s="2" t="s">
        <v>3</v>
      </c>
      <c r="DE311" s="2" t="s">
        <v>39</v>
      </c>
      <c r="DF311" s="2" t="s">
        <v>39</v>
      </c>
      <c r="DG311" s="2" t="s">
        <v>40</v>
      </c>
      <c r="DH311" s="2" t="s">
        <v>3</v>
      </c>
      <c r="DI311" s="2" t="s">
        <v>40</v>
      </c>
      <c r="DJ311" s="2" t="s">
        <v>39</v>
      </c>
      <c r="DK311" s="2" t="s">
        <v>3</v>
      </c>
      <c r="DL311" s="2" t="s">
        <v>3</v>
      </c>
      <c r="DM311" s="2" t="s">
        <v>3</v>
      </c>
      <c r="DN311" s="2">
        <v>0</v>
      </c>
      <c r="DO311" s="2">
        <v>0</v>
      </c>
      <c r="DP311" s="2">
        <v>1</v>
      </c>
      <c r="DQ311" s="2">
        <v>1</v>
      </c>
      <c r="DR311" s="2"/>
      <c r="DS311" s="2"/>
      <c r="DT311" s="2"/>
      <c r="DU311" s="2">
        <v>1013</v>
      </c>
      <c r="DV311" s="2" t="s">
        <v>248</v>
      </c>
      <c r="DW311" s="2" t="s">
        <v>248</v>
      </c>
      <c r="DX311" s="2">
        <v>1</v>
      </c>
      <c r="DY311" s="2"/>
      <c r="DZ311" s="2" t="s">
        <v>3</v>
      </c>
      <c r="EA311" s="2" t="s">
        <v>3</v>
      </c>
      <c r="EB311" s="2" t="s">
        <v>3</v>
      </c>
      <c r="EC311" s="2" t="s">
        <v>3</v>
      </c>
      <c r="ED311" s="2"/>
      <c r="EE311" s="2">
        <v>59298987</v>
      </c>
      <c r="EF311" s="2">
        <v>30</v>
      </c>
      <c r="EG311" s="2" t="s">
        <v>26</v>
      </c>
      <c r="EH311" s="2">
        <v>0</v>
      </c>
      <c r="EI311" s="2" t="s">
        <v>3</v>
      </c>
      <c r="EJ311" s="2">
        <v>1</v>
      </c>
      <c r="EK311" s="2">
        <v>60</v>
      </c>
      <c r="EL311" s="2" t="s">
        <v>250</v>
      </c>
      <c r="EM311" s="2" t="s">
        <v>251</v>
      </c>
      <c r="EN311" s="2"/>
      <c r="EO311" s="2" t="s">
        <v>41</v>
      </c>
      <c r="EP311" s="2"/>
      <c r="EQ311" s="2">
        <v>0</v>
      </c>
      <c r="ER311" s="2">
        <v>2211.8200000000002</v>
      </c>
      <c r="ES311" s="2">
        <v>1073.97</v>
      </c>
      <c r="ET311" s="2">
        <v>5.82</v>
      </c>
      <c r="EU311" s="2">
        <v>0.88</v>
      </c>
      <c r="EV311" s="2">
        <v>1132.03</v>
      </c>
      <c r="EW311" s="2">
        <v>64</v>
      </c>
      <c r="EX311" s="2">
        <v>0</v>
      </c>
      <c r="EY311" s="2">
        <v>0</v>
      </c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>
        <v>0</v>
      </c>
      <c r="FR311" s="2">
        <v>0</v>
      </c>
      <c r="FS311" s="2">
        <v>0</v>
      </c>
      <c r="FT311" s="2"/>
      <c r="FU311" s="2"/>
      <c r="FV311" s="2"/>
      <c r="FW311" s="2"/>
      <c r="FX311" s="2">
        <v>90</v>
      </c>
      <c r="FY311" s="2">
        <v>42</v>
      </c>
      <c r="FZ311" s="2"/>
      <c r="GA311" s="2" t="s">
        <v>3</v>
      </c>
      <c r="GB311" s="2"/>
      <c r="GC311" s="2"/>
      <c r="GD311" s="2">
        <v>1</v>
      </c>
      <c r="GE311" s="2"/>
      <c r="GF311" s="2">
        <v>1655566647</v>
      </c>
      <c r="GG311" s="2">
        <v>2</v>
      </c>
      <c r="GH311" s="2">
        <v>1</v>
      </c>
      <c r="GI311" s="2">
        <v>2</v>
      </c>
      <c r="GJ311" s="2">
        <v>0</v>
      </c>
      <c r="GK311" s="2">
        <v>0</v>
      </c>
      <c r="GL311" s="2">
        <f>ROUND(IF(AND(BH311=3,BI311=3,FS311&lt;&gt;0),P311,0),2)</f>
        <v>0</v>
      </c>
      <c r="GM311" s="2">
        <f>ROUND(O311+X311+Y311,2)+GX311</f>
        <v>563.85</v>
      </c>
      <c r="GN311" s="2">
        <f>IF(OR(BI311=0,BI311=1),GM311-GX311,0)</f>
        <v>563.85</v>
      </c>
      <c r="GO311" s="2">
        <f>IF(BI311=2,GM311-GX311,0)</f>
        <v>0</v>
      </c>
      <c r="GP311" s="2">
        <f>IF(BI311=4,GM311-GX311,0)</f>
        <v>0</v>
      </c>
      <c r="GQ311" s="2"/>
      <c r="GR311" s="2">
        <v>0</v>
      </c>
      <c r="GS311" s="2">
        <v>3</v>
      </c>
      <c r="GT311" s="2">
        <v>0</v>
      </c>
      <c r="GU311" s="2" t="s">
        <v>3</v>
      </c>
      <c r="GV311" s="2">
        <f>ROUND((GT311),6)</f>
        <v>0</v>
      </c>
      <c r="GW311" s="2">
        <v>1</v>
      </c>
      <c r="GX311" s="2">
        <f>ROUND(HC311*I311,2)</f>
        <v>0</v>
      </c>
      <c r="GY311" s="2"/>
      <c r="GZ311" s="2"/>
      <c r="HA311" s="2">
        <v>0</v>
      </c>
      <c r="HB311" s="2">
        <v>0</v>
      </c>
      <c r="HC311" s="2">
        <f>GV311*GW311</f>
        <v>0</v>
      </c>
      <c r="HD311" s="2"/>
      <c r="HE311" s="2" t="s">
        <v>3</v>
      </c>
      <c r="HF311" s="2" t="s">
        <v>3</v>
      </c>
      <c r="HG311" s="2"/>
      <c r="HH311" s="2"/>
      <c r="HI311" s="2"/>
      <c r="HJ311" s="2"/>
      <c r="HK311" s="2"/>
      <c r="HL311" s="2"/>
      <c r="HM311" s="2" t="s">
        <v>3</v>
      </c>
      <c r="HN311" s="2" t="s">
        <v>3</v>
      </c>
      <c r="HO311" s="2" t="s">
        <v>3</v>
      </c>
      <c r="HP311" s="2" t="s">
        <v>3</v>
      </c>
      <c r="HQ311" s="2" t="s">
        <v>3</v>
      </c>
      <c r="HR311" s="2"/>
      <c r="HS311" s="2">
        <v>0</v>
      </c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>
        <v>0</v>
      </c>
      <c r="IL311" s="2"/>
      <c r="IM311" s="2"/>
      <c r="IN311" s="2"/>
      <c r="IO311" s="2"/>
      <c r="IP311" s="2"/>
      <c r="IQ311" s="2"/>
      <c r="IR311" s="2"/>
      <c r="IS311" s="2"/>
      <c r="IT311" s="2"/>
      <c r="IU311" s="2"/>
    </row>
    <row r="312" spans="1:255" x14ac:dyDescent="0.2">
      <c r="A312">
        <v>17</v>
      </c>
      <c r="B312">
        <v>1</v>
      </c>
      <c r="C312">
        <f>ROW(SmtRes!A134)</f>
        <v>134</v>
      </c>
      <c r="D312">
        <f>ROW(EtalonRes!A144)</f>
        <v>144</v>
      </c>
      <c r="E312" t="s">
        <v>245</v>
      </c>
      <c r="F312" t="s">
        <v>246</v>
      </c>
      <c r="G312" t="s">
        <v>247</v>
      </c>
      <c r="H312" t="s">
        <v>248</v>
      </c>
      <c r="I312">
        <f>ROUND((3.14*0.2*0.2*100)/100,9)</f>
        <v>0.12559999999999999</v>
      </c>
      <c r="J312">
        <v>0</v>
      </c>
      <c r="K312">
        <f>ROUND((3.14*0.2*0.2*100)/100,9)</f>
        <v>0.12559999999999999</v>
      </c>
      <c r="O312">
        <f>ROUND(CP312,2)</f>
        <v>10643.04</v>
      </c>
      <c r="P312">
        <f>ROUND((ROUND((AC312*AW312*I312),2)*BC312),2)</f>
        <v>488.3</v>
      </c>
      <c r="Q312">
        <f>(ROUND((ROUND(((((ET312*1.25)*1.1))*AV312*I312),2)*BB312),2)+ROUND((ROUND(((AE312-(((EU312*1.25)*1.1)))*AV312*I312),2)*BS312),2))</f>
        <v>16.78</v>
      </c>
      <c r="R312">
        <f>(ROUND((ROUND(((((EU312*1.25)*1.1))*AV312*I312),2)*BS312),2)+ROUND((ROUND(((AE312-(((EU312*1.25)*1.1)))*AV312*I312),2)*BS312),2))</f>
        <v>8.8000000000000007</v>
      </c>
      <c r="S312">
        <f>ROUND((ROUND((AF312*AV312*I312),2)*BA312),2)</f>
        <v>10137.959999999999</v>
      </c>
      <c r="T312">
        <f>ROUND(CU312*I312,2)</f>
        <v>0</v>
      </c>
      <c r="U312">
        <f>CV312*I312</f>
        <v>10.422790399999997</v>
      </c>
      <c r="V312">
        <f>CW312*I312</f>
        <v>0</v>
      </c>
      <c r="W312">
        <f>ROUND(CX312*I312,2)</f>
        <v>0</v>
      </c>
      <c r="X312">
        <f>(ROUND((((S312+ROUND((ROUND(((((EU312*1.25)*1.1))*AV312*I312),2)*BS312),2))*AT312)/100),2)+ROUND(((ROUND((ROUND(((AE312-(((EU312*1.25)*1.1)))*AV312*I312),2)*BS312),2)*AT312)/100),2))</f>
        <v>9132.08</v>
      </c>
      <c r="Y312">
        <f>(ROUND((((S312+ROUND((ROUND(((((EU312*1.25)*1.1))*AV312*I312),2)*BS312),2))*AU312)/100),2)+ROUND(((ROUND((ROUND(((AE312-(((EU312*1.25)*1.1)))*AV312*I312),2)*BS312),2)*AU312)/100),2))</f>
        <v>4261.6400000000003</v>
      </c>
      <c r="AA312">
        <v>59499215</v>
      </c>
      <c r="AB312">
        <f>ROUND((AC312+AD312+AF312),6)</f>
        <v>2513.9904499999998</v>
      </c>
      <c r="AC312">
        <f>ROUND((ES312),6)</f>
        <v>1073.97</v>
      </c>
      <c r="AD312">
        <f>ROUND((((((ET312*1.25)*1.1))-(((EU312*1.25)*1.1)))+AE312),6)</f>
        <v>8.0024999999999995</v>
      </c>
      <c r="AE312">
        <f>ROUND((((EU312*1.25)*1.1)),6)</f>
        <v>1.21</v>
      </c>
      <c r="AF312">
        <f>ROUND((((EV312*1.15)*1.1)),6)</f>
        <v>1432.0179499999999</v>
      </c>
      <c r="AG312">
        <f>ROUND((AP312),6)</f>
        <v>0</v>
      </c>
      <c r="AH312">
        <f>(((EW312*1.15)*1.1))</f>
        <v>80.959999999999994</v>
      </c>
      <c r="AI312">
        <f>(((EX312*1.25)*1.1))</f>
        <v>0</v>
      </c>
      <c r="AJ312">
        <f>(AS312)</f>
        <v>0</v>
      </c>
      <c r="AK312">
        <v>2211.8200000000002</v>
      </c>
      <c r="AL312">
        <v>1073.97</v>
      </c>
      <c r="AM312">
        <v>5.82</v>
      </c>
      <c r="AN312">
        <v>0.88</v>
      </c>
      <c r="AO312">
        <v>1132.03</v>
      </c>
      <c r="AP312">
        <v>0</v>
      </c>
      <c r="AQ312">
        <v>64</v>
      </c>
      <c r="AR312">
        <v>0</v>
      </c>
      <c r="AS312">
        <v>0</v>
      </c>
      <c r="AT312">
        <v>90</v>
      </c>
      <c r="AU312">
        <v>42</v>
      </c>
      <c r="AV312">
        <v>1.0249999999999999</v>
      </c>
      <c r="AW312">
        <v>1</v>
      </c>
      <c r="AZ312">
        <v>1</v>
      </c>
      <c r="BA312">
        <v>54.99</v>
      </c>
      <c r="BB312">
        <v>16.29</v>
      </c>
      <c r="BC312">
        <v>3.62</v>
      </c>
      <c r="BD312" t="s">
        <v>3</v>
      </c>
      <c r="BE312" t="s">
        <v>3</v>
      </c>
      <c r="BF312" t="s">
        <v>3</v>
      </c>
      <c r="BG312" t="s">
        <v>3</v>
      </c>
      <c r="BH312">
        <v>0</v>
      </c>
      <c r="BI312">
        <v>1</v>
      </c>
      <c r="BJ312" t="s">
        <v>249</v>
      </c>
      <c r="BM312">
        <v>60</v>
      </c>
      <c r="BN312">
        <v>59298886</v>
      </c>
      <c r="BO312" t="s">
        <v>246</v>
      </c>
      <c r="BP312">
        <v>1</v>
      </c>
      <c r="BQ312">
        <v>30</v>
      </c>
      <c r="BR312">
        <v>0</v>
      </c>
      <c r="BS312">
        <v>54.99</v>
      </c>
      <c r="BT312">
        <v>1</v>
      </c>
      <c r="BU312">
        <v>1</v>
      </c>
      <c r="BV312">
        <v>1</v>
      </c>
      <c r="BW312">
        <v>1</v>
      </c>
      <c r="BX312">
        <v>1</v>
      </c>
      <c r="BY312" t="s">
        <v>3</v>
      </c>
      <c r="BZ312">
        <v>90</v>
      </c>
      <c r="CA312">
        <v>42</v>
      </c>
      <c r="CB312" t="s">
        <v>3</v>
      </c>
      <c r="CE312">
        <v>1566</v>
      </c>
      <c r="CF312">
        <v>0</v>
      </c>
      <c r="CG312">
        <v>0</v>
      </c>
      <c r="CM312">
        <v>0</v>
      </c>
      <c r="CN312" t="s">
        <v>375</v>
      </c>
      <c r="CO312">
        <v>0</v>
      </c>
      <c r="CP312">
        <f>(P312+Q312+S312)</f>
        <v>10643.039999999999</v>
      </c>
      <c r="CQ312">
        <f>ROUND((ROUND((AC312*AW312*1),2)*BC312),2)</f>
        <v>3887.77</v>
      </c>
      <c r="CR312">
        <f>(ROUND((ROUND(((((ET312*1.25)*1.1))*AV312*1),2)*BB312),2)+ROUND((ROUND(((AE312-(((EU312*1.25)*1.1)))*AV312*1),2)*BS312),2))</f>
        <v>133.58000000000001</v>
      </c>
      <c r="CS312">
        <f>(ROUND((ROUND(((((EU312*1.25)*1.1))*AV312*1),2)*BS312),2)+ROUND((ROUND(((AE312-(((EU312*1.25)*1.1)))*AV312*1),2)*BS312),2))</f>
        <v>68.19</v>
      </c>
      <c r="CT312">
        <f>ROUND((ROUND((AF312*AV312*1),2)*BA312),2)</f>
        <v>80715.42</v>
      </c>
      <c r="CU312">
        <f>AG312</f>
        <v>0</v>
      </c>
      <c r="CV312">
        <f>(AH312*AV312)</f>
        <v>82.98399999999998</v>
      </c>
      <c r="CW312">
        <f t="shared" si="260"/>
        <v>0</v>
      </c>
      <c r="CX312">
        <f t="shared" si="260"/>
        <v>0</v>
      </c>
      <c r="CY312">
        <f>(ROUND((((S312+ROUND((ROUND(((((EU312*1.25)*1.1))*AV312*1),2)*BS312),2))*AT312)/100),2)+ROUND(((ROUND((ROUND(((AE312-(((EU312*1.25)*1.1)))*AV312*1),2)*BS312),2)*AT312)/100),2))</f>
        <v>9185.5400000000009</v>
      </c>
      <c r="CZ312">
        <f>(ROUND((((S312+ROUND((ROUND(((((EU312*1.25)*1.1))*AV312*1),2)*BS312),2))*AU312)/100),2)+ROUND(((ROUND((ROUND(((AE312-(((EU312*1.25)*1.1)))*AV312*1),2)*BS312),2)*AU312)/100),2))</f>
        <v>4286.58</v>
      </c>
      <c r="DB312">
        <v>99</v>
      </c>
      <c r="DC312" t="s">
        <v>3</v>
      </c>
      <c r="DD312" t="s">
        <v>3</v>
      </c>
      <c r="DE312" t="s">
        <v>39</v>
      </c>
      <c r="DF312" t="s">
        <v>39</v>
      </c>
      <c r="DG312" t="s">
        <v>40</v>
      </c>
      <c r="DH312" t="s">
        <v>3</v>
      </c>
      <c r="DI312" t="s">
        <v>40</v>
      </c>
      <c r="DJ312" t="s">
        <v>39</v>
      </c>
      <c r="DK312" t="s">
        <v>3</v>
      </c>
      <c r="DL312" t="s">
        <v>3</v>
      </c>
      <c r="DM312" t="s">
        <v>3</v>
      </c>
      <c r="DN312">
        <v>0</v>
      </c>
      <c r="DO312">
        <v>0</v>
      </c>
      <c r="DP312">
        <v>1</v>
      </c>
      <c r="DQ312">
        <v>1</v>
      </c>
      <c r="DU312">
        <v>1013</v>
      </c>
      <c r="DV312" t="s">
        <v>248</v>
      </c>
      <c r="DW312" t="s">
        <v>248</v>
      </c>
      <c r="DX312">
        <v>1</v>
      </c>
      <c r="DZ312" t="s">
        <v>3</v>
      </c>
      <c r="EA312" t="s">
        <v>3</v>
      </c>
      <c r="EB312" t="s">
        <v>3</v>
      </c>
      <c r="EC312" t="s">
        <v>3</v>
      </c>
      <c r="EE312">
        <v>59298987</v>
      </c>
      <c r="EF312">
        <v>30</v>
      </c>
      <c r="EG312" t="s">
        <v>26</v>
      </c>
      <c r="EH312">
        <v>0</v>
      </c>
      <c r="EI312" t="s">
        <v>3</v>
      </c>
      <c r="EJ312">
        <v>1</v>
      </c>
      <c r="EK312">
        <v>60</v>
      </c>
      <c r="EL312" t="s">
        <v>250</v>
      </c>
      <c r="EM312" t="s">
        <v>251</v>
      </c>
      <c r="EO312" t="s">
        <v>41</v>
      </c>
      <c r="EQ312">
        <v>0</v>
      </c>
      <c r="ER312">
        <v>2211.8200000000002</v>
      </c>
      <c r="ES312">
        <v>1073.97</v>
      </c>
      <c r="ET312">
        <v>5.82</v>
      </c>
      <c r="EU312">
        <v>0.88</v>
      </c>
      <c r="EV312">
        <v>1132.03</v>
      </c>
      <c r="EW312">
        <v>64</v>
      </c>
      <c r="EX312">
        <v>0</v>
      </c>
      <c r="EY312">
        <v>0</v>
      </c>
      <c r="FQ312">
        <v>0</v>
      </c>
      <c r="FR312">
        <v>0</v>
      </c>
      <c r="FS312">
        <v>0</v>
      </c>
      <c r="FX312">
        <v>90</v>
      </c>
      <c r="FY312">
        <v>42</v>
      </c>
      <c r="GA312" t="s">
        <v>3</v>
      </c>
      <c r="GD312">
        <v>1</v>
      </c>
      <c r="GF312">
        <v>1655566647</v>
      </c>
      <c r="GG312">
        <v>2</v>
      </c>
      <c r="GH312">
        <v>1</v>
      </c>
      <c r="GI312">
        <v>2</v>
      </c>
      <c r="GJ312">
        <v>0</v>
      </c>
      <c r="GK312">
        <v>0</v>
      </c>
      <c r="GL312">
        <f>ROUND(IF(AND(BH312=3,BI312=3,FS312&lt;&gt;0),P312,0),2)</f>
        <v>0</v>
      </c>
      <c r="GM312">
        <f>ROUND(O312+X312+Y312,2)+GX312</f>
        <v>24036.76</v>
      </c>
      <c r="GN312">
        <f>IF(OR(BI312=0,BI312=1),GM312-GX312,0)</f>
        <v>24036.76</v>
      </c>
      <c r="GO312">
        <f>IF(BI312=2,GM312-GX312,0)</f>
        <v>0</v>
      </c>
      <c r="GP312">
        <f>IF(BI312=4,GM312-GX312,0)</f>
        <v>0</v>
      </c>
      <c r="GR312">
        <v>0</v>
      </c>
      <c r="GS312">
        <v>3</v>
      </c>
      <c r="GT312">
        <v>0</v>
      </c>
      <c r="GU312" t="s">
        <v>3</v>
      </c>
      <c r="GV312">
        <f>ROUND((GT312),6)</f>
        <v>0</v>
      </c>
      <c r="GW312">
        <v>1</v>
      </c>
      <c r="GX312">
        <f>ROUND(HC312*I312,2)</f>
        <v>0</v>
      </c>
      <c r="HA312">
        <v>0</v>
      </c>
      <c r="HB312">
        <v>0</v>
      </c>
      <c r="HC312">
        <f>GV312*GW312</f>
        <v>0</v>
      </c>
      <c r="HE312" t="s">
        <v>3</v>
      </c>
      <c r="HF312" t="s">
        <v>3</v>
      </c>
      <c r="HM312" t="s">
        <v>3</v>
      </c>
      <c r="HN312" t="s">
        <v>3</v>
      </c>
      <c r="HO312" t="s">
        <v>3</v>
      </c>
      <c r="HP312" t="s">
        <v>3</v>
      </c>
      <c r="HQ312" t="s">
        <v>3</v>
      </c>
      <c r="HS312">
        <v>0</v>
      </c>
      <c r="IK312">
        <v>0</v>
      </c>
    </row>
    <row r="313" spans="1:255" x14ac:dyDescent="0.2">
      <c r="A313" s="2">
        <v>18</v>
      </c>
      <c r="B313" s="2">
        <v>1</v>
      </c>
      <c r="C313" s="2">
        <v>127</v>
      </c>
      <c r="D313" s="2"/>
      <c r="E313" s="2" t="s">
        <v>252</v>
      </c>
      <c r="F313" s="2" t="s">
        <v>253</v>
      </c>
      <c r="G313" s="2" t="s">
        <v>254</v>
      </c>
      <c r="H313" s="2" t="s">
        <v>124</v>
      </c>
      <c r="I313" s="2">
        <f>I311*J313</f>
        <v>100</v>
      </c>
      <c r="J313" s="2">
        <v>796.17834394904469</v>
      </c>
      <c r="K313" s="2">
        <v>796.17834400000004</v>
      </c>
      <c r="L313" s="2"/>
      <c r="M313" s="2"/>
      <c r="N313" s="2"/>
      <c r="O313" s="2">
        <f>ROUND(CP313,2)</f>
        <v>430</v>
      </c>
      <c r="P313" s="2">
        <f>ROUND((ROUND((AC313*AW313*I313),2)*BC313),2)</f>
        <v>430</v>
      </c>
      <c r="Q313" s="2">
        <f>(ROUND((ROUND(((ET313)*AV313*I313),2)*BB313),2)+ROUND((ROUND(((AE313-(EU313))*AV313*I313),2)*BS313),2))</f>
        <v>0</v>
      </c>
      <c r="R313" s="2">
        <f>(ROUND((ROUND(((EU313)*AV313*I313),2)*BS313),2)+ROUND((ROUND(((AE313-(EU313))*AV313*I313),2)*BS313),2))</f>
        <v>0</v>
      </c>
      <c r="S313" s="2">
        <f>ROUND((ROUND((AF313*AV313*I313),2)*BA313),2)</f>
        <v>0</v>
      </c>
      <c r="T313" s="2">
        <f>ROUND(CU313*I313,2)</f>
        <v>0</v>
      </c>
      <c r="U313" s="2">
        <f>CV313*I313</f>
        <v>0</v>
      </c>
      <c r="V313" s="2">
        <f>CW313*I313</f>
        <v>0</v>
      </c>
      <c r="W313" s="2">
        <f>ROUND(CX313*I313,2)</f>
        <v>0</v>
      </c>
      <c r="X313" s="2">
        <f>(ROUND((((S313+ROUND((ROUND(((EU313)*AV313*I313),2)*BS313),2))*AT313)/100),2)+ROUND(((ROUND((ROUND(((AE313-(EU313))*AV313*I313),2)*BS313),2)*AT313)/100),2))</f>
        <v>0</v>
      </c>
      <c r="Y313" s="2">
        <f>(ROUND((((S313+ROUND((ROUND(((EU313)*AV313*I313),2)*BS313),2))*AU313)/100),2)+ROUND(((ROUND((ROUND(((AE313-(EU313))*AV313*I313),2)*BS313),2)*AU313)/100),2))</f>
        <v>0</v>
      </c>
      <c r="Z313" s="2"/>
      <c r="AA313" s="2">
        <v>59499218</v>
      </c>
      <c r="AB313" s="2">
        <f>ROUND((AC313+AD313+AF313),6)</f>
        <v>4.3</v>
      </c>
      <c r="AC313" s="2">
        <f>ROUND((ES313),6)</f>
        <v>4.3</v>
      </c>
      <c r="AD313" s="2">
        <f>ROUND((((ET313)-(EU313))+AE313),6)</f>
        <v>0</v>
      </c>
      <c r="AE313" s="2">
        <f>ROUND((EU313),6)</f>
        <v>0</v>
      </c>
      <c r="AF313" s="2">
        <f>ROUND((EV313),6)</f>
        <v>0</v>
      </c>
      <c r="AG313" s="2">
        <f>ROUND((AP313),6)</f>
        <v>0</v>
      </c>
      <c r="AH313" s="2">
        <f>(EW313)</f>
        <v>0</v>
      </c>
      <c r="AI313" s="2">
        <f>(EX313)</f>
        <v>0</v>
      </c>
      <c r="AJ313" s="2">
        <f>(AS313)</f>
        <v>0</v>
      </c>
      <c r="AK313" s="2">
        <v>4.3</v>
      </c>
      <c r="AL313" s="2">
        <v>4.3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90</v>
      </c>
      <c r="AU313" s="2">
        <v>42</v>
      </c>
      <c r="AV313" s="2">
        <v>1</v>
      </c>
      <c r="AW313" s="2">
        <v>1</v>
      </c>
      <c r="AX313" s="2"/>
      <c r="AY313" s="2"/>
      <c r="AZ313" s="2">
        <v>1</v>
      </c>
      <c r="BA313" s="2">
        <v>1</v>
      </c>
      <c r="BB313" s="2">
        <v>1</v>
      </c>
      <c r="BC313" s="2">
        <v>1</v>
      </c>
      <c r="BD313" s="2" t="s">
        <v>3</v>
      </c>
      <c r="BE313" s="2" t="s">
        <v>3</v>
      </c>
      <c r="BF313" s="2" t="s">
        <v>3</v>
      </c>
      <c r="BG313" s="2" t="s">
        <v>3</v>
      </c>
      <c r="BH313" s="2">
        <v>3</v>
      </c>
      <c r="BI313" s="2">
        <v>1</v>
      </c>
      <c r="BJ313" s="2" t="s">
        <v>3</v>
      </c>
      <c r="BK313" s="2"/>
      <c r="BL313" s="2"/>
      <c r="BM313" s="2">
        <v>60</v>
      </c>
      <c r="BN313" s="2">
        <v>0</v>
      </c>
      <c r="BO313" s="2" t="s">
        <v>3</v>
      </c>
      <c r="BP313" s="2">
        <v>0</v>
      </c>
      <c r="BQ313" s="2">
        <v>30</v>
      </c>
      <c r="BR313" s="2">
        <v>0</v>
      </c>
      <c r="BS313" s="2">
        <v>1</v>
      </c>
      <c r="BT313" s="2">
        <v>1</v>
      </c>
      <c r="BU313" s="2">
        <v>1</v>
      </c>
      <c r="BV313" s="2">
        <v>1</v>
      </c>
      <c r="BW313" s="2">
        <v>1</v>
      </c>
      <c r="BX313" s="2">
        <v>1</v>
      </c>
      <c r="BY313" s="2" t="s">
        <v>3</v>
      </c>
      <c r="BZ313" s="2">
        <v>90</v>
      </c>
      <c r="CA313" s="2">
        <v>42</v>
      </c>
      <c r="CB313" s="2" t="s">
        <v>3</v>
      </c>
      <c r="CC313" s="2"/>
      <c r="CD313" s="2"/>
      <c r="CE313" s="2">
        <v>1566</v>
      </c>
      <c r="CF313" s="2">
        <v>0</v>
      </c>
      <c r="CG313" s="2">
        <v>0</v>
      </c>
      <c r="CH313" s="2"/>
      <c r="CI313" s="2"/>
      <c r="CJ313" s="2"/>
      <c r="CK313" s="2"/>
      <c r="CL313" s="2"/>
      <c r="CM313" s="2">
        <v>0</v>
      </c>
      <c r="CN313" s="2" t="s">
        <v>3</v>
      </c>
      <c r="CO313" s="2">
        <v>0</v>
      </c>
      <c r="CP313" s="2">
        <f>(P313+Q313+S313)</f>
        <v>430</v>
      </c>
      <c r="CQ313" s="2">
        <f>ROUND((ROUND((AC313*AW313*1),2)*BC313),2)</f>
        <v>4.3</v>
      </c>
      <c r="CR313" s="2">
        <f>(ROUND((ROUND(((ET313)*AV313*1),2)*BB313),2)+ROUND((ROUND(((AE313-(EU313))*AV313*1),2)*BS313),2))</f>
        <v>0</v>
      </c>
      <c r="CS313" s="2">
        <f>(ROUND((ROUND(((EU313)*AV313*1),2)*BS313),2)+ROUND((ROUND(((AE313-(EU313))*AV313*1),2)*BS313),2))</f>
        <v>0</v>
      </c>
      <c r="CT313" s="2">
        <f>ROUND((ROUND((AF313*AV313*1),2)*BA313),2)</f>
        <v>0</v>
      </c>
      <c r="CU313" s="2">
        <f>AG313</f>
        <v>0</v>
      </c>
      <c r="CV313" s="2">
        <f>(AH313*AV313)</f>
        <v>0</v>
      </c>
      <c r="CW313" s="2">
        <f t="shared" si="260"/>
        <v>0</v>
      </c>
      <c r="CX313" s="2">
        <f t="shared" si="260"/>
        <v>0</v>
      </c>
      <c r="CY313" s="2">
        <f>(ROUND((((S313+ROUND((ROUND(((EU313)*AV313*1),2)*BS313),2))*AT313)/100),2)+ROUND(((ROUND((ROUND(((AE313-(EU313))*AV313*1),2)*BS313),2)*AT313)/100),2))</f>
        <v>0</v>
      </c>
      <c r="CZ313" s="2">
        <f>(ROUND((((S313+ROUND((ROUND(((EU313)*AV313*1),2)*BS313),2))*AU313)/100),2)+ROUND(((ROUND((ROUND(((AE313-(EU313))*AV313*1),2)*BS313),2)*AU313)/100),2))</f>
        <v>0</v>
      </c>
      <c r="DA313" s="2"/>
      <c r="DB313" s="2"/>
      <c r="DC313" s="2" t="s">
        <v>3</v>
      </c>
      <c r="DD313" s="2" t="s">
        <v>3</v>
      </c>
      <c r="DE313" s="2" t="s">
        <v>3</v>
      </c>
      <c r="DF313" s="2" t="s">
        <v>3</v>
      </c>
      <c r="DG313" s="2" t="s">
        <v>3</v>
      </c>
      <c r="DH313" s="2" t="s">
        <v>3</v>
      </c>
      <c r="DI313" s="2" t="s">
        <v>3</v>
      </c>
      <c r="DJ313" s="2" t="s">
        <v>3</v>
      </c>
      <c r="DK313" s="2" t="s">
        <v>3</v>
      </c>
      <c r="DL313" s="2" t="s">
        <v>3</v>
      </c>
      <c r="DM313" s="2" t="s">
        <v>3</v>
      </c>
      <c r="DN313" s="2">
        <v>0</v>
      </c>
      <c r="DO313" s="2">
        <v>0</v>
      </c>
      <c r="DP313" s="2">
        <v>1</v>
      </c>
      <c r="DQ313" s="2">
        <v>1</v>
      </c>
      <c r="DR313" s="2"/>
      <c r="DS313" s="2"/>
      <c r="DT313" s="2"/>
      <c r="DU313" s="2">
        <v>1010</v>
      </c>
      <c r="DV313" s="2" t="s">
        <v>124</v>
      </c>
      <c r="DW313" s="2" t="s">
        <v>124</v>
      </c>
      <c r="DX313" s="2">
        <v>1</v>
      </c>
      <c r="DY313" s="2"/>
      <c r="DZ313" s="2" t="s">
        <v>3</v>
      </c>
      <c r="EA313" s="2" t="s">
        <v>3</v>
      </c>
      <c r="EB313" s="2" t="s">
        <v>3</v>
      </c>
      <c r="EC313" s="2" t="s">
        <v>3</v>
      </c>
      <c r="ED313" s="2"/>
      <c r="EE313" s="2">
        <v>59298987</v>
      </c>
      <c r="EF313" s="2">
        <v>30</v>
      </c>
      <c r="EG313" s="2" t="s">
        <v>26</v>
      </c>
      <c r="EH313" s="2">
        <v>0</v>
      </c>
      <c r="EI313" s="2" t="s">
        <v>3</v>
      </c>
      <c r="EJ313" s="2">
        <v>1</v>
      </c>
      <c r="EK313" s="2">
        <v>60</v>
      </c>
      <c r="EL313" s="2" t="s">
        <v>250</v>
      </c>
      <c r="EM313" s="2" t="s">
        <v>251</v>
      </c>
      <c r="EN313" s="2"/>
      <c r="EO313" s="2" t="s">
        <v>3</v>
      </c>
      <c r="EP313" s="2"/>
      <c r="EQ313" s="2">
        <v>0</v>
      </c>
      <c r="ER313" s="2">
        <v>0</v>
      </c>
      <c r="ES313" s="2">
        <v>4.3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>
        <v>0</v>
      </c>
      <c r="FR313" s="2">
        <v>0</v>
      </c>
      <c r="FS313" s="2">
        <v>0</v>
      </c>
      <c r="FT313" s="2"/>
      <c r="FU313" s="2"/>
      <c r="FV313" s="2"/>
      <c r="FW313" s="2"/>
      <c r="FX313" s="2">
        <v>90</v>
      </c>
      <c r="FY313" s="2">
        <v>42</v>
      </c>
      <c r="FZ313" s="2"/>
      <c r="GA313" s="2" t="s">
        <v>255</v>
      </c>
      <c r="GB313" s="2"/>
      <c r="GC313" s="2"/>
      <c r="GD313" s="2">
        <v>1</v>
      </c>
      <c r="GE313" s="2"/>
      <c r="GF313" s="2">
        <v>1628453334</v>
      </c>
      <c r="GG313" s="2">
        <v>2</v>
      </c>
      <c r="GH313" s="2">
        <v>4</v>
      </c>
      <c r="GI313" s="2">
        <v>-2</v>
      </c>
      <c r="GJ313" s="2">
        <v>0</v>
      </c>
      <c r="GK313" s="2">
        <v>0</v>
      </c>
      <c r="GL313" s="2">
        <f>ROUND(IF(AND(BH313=3,BI313=3,FS313&lt;&gt;0),P313,0),2)</f>
        <v>0</v>
      </c>
      <c r="GM313" s="2">
        <f>ROUND(O313+X313+Y313,2)+GX313</f>
        <v>430</v>
      </c>
      <c r="GN313" s="2">
        <f>IF(OR(BI313=0,BI313=1),GM313-GX313,0)</f>
        <v>430</v>
      </c>
      <c r="GO313" s="2">
        <f>IF(BI313=2,GM313-GX313,0)</f>
        <v>0</v>
      </c>
      <c r="GP313" s="2">
        <f>IF(BI313=4,GM313-GX313,0)</f>
        <v>0</v>
      </c>
      <c r="GQ313" s="2"/>
      <c r="GR313" s="2">
        <v>0</v>
      </c>
      <c r="GS313" s="2">
        <v>2</v>
      </c>
      <c r="GT313" s="2">
        <v>0</v>
      </c>
      <c r="GU313" s="2" t="s">
        <v>3</v>
      </c>
      <c r="GV313" s="2">
        <f>ROUND((GT313),6)</f>
        <v>0</v>
      </c>
      <c r="GW313" s="2">
        <v>1</v>
      </c>
      <c r="GX313" s="2">
        <f>ROUND(HC313*I313,2)</f>
        <v>0</v>
      </c>
      <c r="GY313" s="2"/>
      <c r="GZ313" s="2"/>
      <c r="HA313" s="2">
        <v>0</v>
      </c>
      <c r="HB313" s="2">
        <v>0</v>
      </c>
      <c r="HC313" s="2">
        <f>GV313*GW313</f>
        <v>0</v>
      </c>
      <c r="HD313" s="2"/>
      <c r="HE313" s="2" t="s">
        <v>173</v>
      </c>
      <c r="HF313" s="2" t="s">
        <v>30</v>
      </c>
      <c r="HG313" s="2"/>
      <c r="HH313" s="2"/>
      <c r="HI313" s="2"/>
      <c r="HJ313" s="2"/>
      <c r="HK313" s="2"/>
      <c r="HL313" s="2"/>
      <c r="HM313" s="2" t="s">
        <v>3</v>
      </c>
      <c r="HN313" s="2" t="s">
        <v>3</v>
      </c>
      <c r="HO313" s="2" t="s">
        <v>3</v>
      </c>
      <c r="HP313" s="2" t="s">
        <v>3</v>
      </c>
      <c r="HQ313" s="2" t="s">
        <v>3</v>
      </c>
      <c r="HR313" s="2"/>
      <c r="HS313" s="2">
        <v>0</v>
      </c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>
        <v>0</v>
      </c>
      <c r="IL313" s="2"/>
      <c r="IM313" s="2"/>
      <c r="IN313" s="2"/>
      <c r="IO313" s="2"/>
      <c r="IP313" s="2"/>
      <c r="IQ313" s="2"/>
      <c r="IR313" s="2"/>
      <c r="IS313" s="2"/>
      <c r="IT313" s="2"/>
      <c r="IU313" s="2"/>
    </row>
    <row r="314" spans="1:255" x14ac:dyDescent="0.2">
      <c r="A314">
        <v>18</v>
      </c>
      <c r="B314">
        <v>1</v>
      </c>
      <c r="C314">
        <v>134</v>
      </c>
      <c r="E314" t="s">
        <v>252</v>
      </c>
      <c r="F314" t="s">
        <v>253</v>
      </c>
      <c r="G314" t="s">
        <v>254</v>
      </c>
      <c r="H314" t="s">
        <v>124</v>
      </c>
      <c r="I314">
        <f>I312*J314</f>
        <v>100</v>
      </c>
      <c r="J314">
        <v>796.17834394904469</v>
      </c>
      <c r="K314">
        <v>796.17834400000004</v>
      </c>
      <c r="O314">
        <f>ROUND(CP314,2)</f>
        <v>4248.3999999999996</v>
      </c>
      <c r="P314">
        <f>ROUND((ROUND((AC314*AW314*I314),2)*BC314),2)</f>
        <v>4248.3999999999996</v>
      </c>
      <c r="Q314">
        <f>(ROUND((ROUND(((ET314)*AV314*I314),2)*BB314),2)+ROUND((ROUND(((AE314-(EU314))*AV314*I314),2)*BS314),2))</f>
        <v>0</v>
      </c>
      <c r="R314">
        <f>(ROUND((ROUND(((EU314)*AV314*I314),2)*BS314),2)+ROUND((ROUND(((AE314-(EU314))*AV314*I314),2)*BS314),2))</f>
        <v>0</v>
      </c>
      <c r="S314">
        <f>ROUND((ROUND((AF314*AV314*I314),2)*BA314),2)</f>
        <v>0</v>
      </c>
      <c r="T314">
        <f>ROUND(CU314*I314,2)</f>
        <v>0</v>
      </c>
      <c r="U314">
        <f>CV314*I314</f>
        <v>0</v>
      </c>
      <c r="V314">
        <f>CW314*I314</f>
        <v>0</v>
      </c>
      <c r="W314">
        <f>ROUND(CX314*I314,2)</f>
        <v>0</v>
      </c>
      <c r="X314">
        <f>(ROUND((((S314+ROUND((ROUND(((EU314)*AV314*I314),2)*BS314),2))*AT314)/100),2)+ROUND(((ROUND((ROUND(((AE314-(EU314))*AV314*I314),2)*BS314),2)*AT314)/100),2))</f>
        <v>0</v>
      </c>
      <c r="Y314">
        <f>(ROUND((((S314+ROUND((ROUND(((EU314)*AV314*I314),2)*BS314),2))*AU314)/100),2)+ROUND(((ROUND((ROUND(((AE314-(EU314))*AV314*I314),2)*BS314),2)*AU314)/100),2))</f>
        <v>0</v>
      </c>
      <c r="AA314">
        <v>59499215</v>
      </c>
      <c r="AB314">
        <f>ROUND((AC314+AD314+AF314),6)</f>
        <v>4.3</v>
      </c>
      <c r="AC314">
        <f>ROUND((ES314),6)</f>
        <v>4.3</v>
      </c>
      <c r="AD314">
        <f>ROUND((((ET314)-(EU314))+AE314),6)</f>
        <v>0</v>
      </c>
      <c r="AE314">
        <f>ROUND((EU314),6)</f>
        <v>0</v>
      </c>
      <c r="AF314">
        <f>ROUND((EV314),6)</f>
        <v>0</v>
      </c>
      <c r="AG314">
        <f>ROUND((AP314),6)</f>
        <v>0</v>
      </c>
      <c r="AH314">
        <f>(EW314)</f>
        <v>0</v>
      </c>
      <c r="AI314">
        <f>(EX314)</f>
        <v>0</v>
      </c>
      <c r="AJ314">
        <f>(AS314)</f>
        <v>0</v>
      </c>
      <c r="AK314">
        <v>4.3</v>
      </c>
      <c r="AL314">
        <v>4.3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90</v>
      </c>
      <c r="AU314">
        <v>42</v>
      </c>
      <c r="AV314">
        <v>1</v>
      </c>
      <c r="AW314">
        <v>1</v>
      </c>
      <c r="AZ314">
        <v>1</v>
      </c>
      <c r="BA314">
        <v>1</v>
      </c>
      <c r="BB314">
        <v>1</v>
      </c>
      <c r="BC314">
        <v>9.8800000000000008</v>
      </c>
      <c r="BD314" t="s">
        <v>3</v>
      </c>
      <c r="BE314" t="s">
        <v>3</v>
      </c>
      <c r="BF314" t="s">
        <v>3</v>
      </c>
      <c r="BG314" t="s">
        <v>3</v>
      </c>
      <c r="BH314">
        <v>3</v>
      </c>
      <c r="BI314">
        <v>1</v>
      </c>
      <c r="BJ314" t="s">
        <v>3</v>
      </c>
      <c r="BM314">
        <v>60</v>
      </c>
      <c r="BN314">
        <v>0</v>
      </c>
      <c r="BO314" t="s">
        <v>3</v>
      </c>
      <c r="BP314">
        <v>0</v>
      </c>
      <c r="BQ314">
        <v>30</v>
      </c>
      <c r="BR314">
        <v>0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 t="s">
        <v>3</v>
      </c>
      <c r="BZ314">
        <v>90</v>
      </c>
      <c r="CA314">
        <v>42</v>
      </c>
      <c r="CB314" t="s">
        <v>3</v>
      </c>
      <c r="CE314">
        <v>1566</v>
      </c>
      <c r="CF314">
        <v>0</v>
      </c>
      <c r="CG314">
        <v>0</v>
      </c>
      <c r="CM314">
        <v>0</v>
      </c>
      <c r="CN314" t="s">
        <v>3</v>
      </c>
      <c r="CO314">
        <v>0</v>
      </c>
      <c r="CP314">
        <f>(P314+Q314+S314)</f>
        <v>4248.3999999999996</v>
      </c>
      <c r="CQ314">
        <f>ROUND((ROUND((AC314*AW314*1),2)*BC314),2)</f>
        <v>42.48</v>
      </c>
      <c r="CR314">
        <f>(ROUND((ROUND(((ET314)*AV314*1),2)*BB314),2)+ROUND((ROUND(((AE314-(EU314))*AV314*1),2)*BS314),2))</f>
        <v>0</v>
      </c>
      <c r="CS314">
        <f>(ROUND((ROUND(((EU314)*AV314*1),2)*BS314),2)+ROUND((ROUND(((AE314-(EU314))*AV314*1),2)*BS314),2))</f>
        <v>0</v>
      </c>
      <c r="CT314">
        <f>ROUND((ROUND((AF314*AV314*1),2)*BA314),2)</f>
        <v>0</v>
      </c>
      <c r="CU314">
        <f>AG314</f>
        <v>0</v>
      </c>
      <c r="CV314">
        <f>(AH314*AV314)</f>
        <v>0</v>
      </c>
      <c r="CW314">
        <f t="shared" si="260"/>
        <v>0</v>
      </c>
      <c r="CX314">
        <f t="shared" si="260"/>
        <v>0</v>
      </c>
      <c r="CY314">
        <f>(ROUND((((S314+ROUND((ROUND(((EU314)*AV314*1),2)*BS314),2))*AT314)/100),2)+ROUND(((ROUND((ROUND(((AE314-(EU314))*AV314*1),2)*BS314),2)*AT314)/100),2))</f>
        <v>0</v>
      </c>
      <c r="CZ314">
        <f>(ROUND((((S314+ROUND((ROUND(((EU314)*AV314*1),2)*BS314),2))*AU314)/100),2)+ROUND(((ROUND((ROUND(((AE314-(EU314))*AV314*1),2)*BS314),2)*AU314)/100),2))</f>
        <v>0</v>
      </c>
      <c r="DC314" t="s">
        <v>3</v>
      </c>
      <c r="DD314" t="s">
        <v>3</v>
      </c>
      <c r="DE314" t="s">
        <v>3</v>
      </c>
      <c r="DF314" t="s">
        <v>3</v>
      </c>
      <c r="DG314" t="s">
        <v>3</v>
      </c>
      <c r="DH314" t="s">
        <v>3</v>
      </c>
      <c r="DI314" t="s">
        <v>3</v>
      </c>
      <c r="DJ314" t="s">
        <v>3</v>
      </c>
      <c r="DK314" t="s">
        <v>3</v>
      </c>
      <c r="DL314" t="s">
        <v>3</v>
      </c>
      <c r="DM314" t="s">
        <v>3</v>
      </c>
      <c r="DN314">
        <v>0</v>
      </c>
      <c r="DO314">
        <v>0</v>
      </c>
      <c r="DP314">
        <v>1</v>
      </c>
      <c r="DQ314">
        <v>1</v>
      </c>
      <c r="DU314">
        <v>1010</v>
      </c>
      <c r="DV314" t="s">
        <v>124</v>
      </c>
      <c r="DW314" t="s">
        <v>124</v>
      </c>
      <c r="DX314">
        <v>1</v>
      </c>
      <c r="DZ314" t="s">
        <v>3</v>
      </c>
      <c r="EA314" t="s">
        <v>3</v>
      </c>
      <c r="EB314" t="s">
        <v>3</v>
      </c>
      <c r="EC314" t="s">
        <v>3</v>
      </c>
      <c r="EE314">
        <v>59298987</v>
      </c>
      <c r="EF314">
        <v>30</v>
      </c>
      <c r="EG314" t="s">
        <v>26</v>
      </c>
      <c r="EH314">
        <v>0</v>
      </c>
      <c r="EI314" t="s">
        <v>3</v>
      </c>
      <c r="EJ314">
        <v>1</v>
      </c>
      <c r="EK314">
        <v>60</v>
      </c>
      <c r="EL314" t="s">
        <v>250</v>
      </c>
      <c r="EM314" t="s">
        <v>251</v>
      </c>
      <c r="EO314" t="s">
        <v>3</v>
      </c>
      <c r="EQ314">
        <v>0</v>
      </c>
      <c r="ER314">
        <v>4.3</v>
      </c>
      <c r="ES314">
        <v>4.3</v>
      </c>
      <c r="ET314">
        <v>0</v>
      </c>
      <c r="EU314">
        <v>0</v>
      </c>
      <c r="EV314">
        <v>0</v>
      </c>
      <c r="EW314">
        <v>0</v>
      </c>
      <c r="EX314">
        <v>0</v>
      </c>
      <c r="EZ314">
        <v>5</v>
      </c>
      <c r="FC314">
        <v>1</v>
      </c>
      <c r="FD314">
        <v>18</v>
      </c>
      <c r="FF314">
        <v>50</v>
      </c>
      <c r="FQ314">
        <v>0</v>
      </c>
      <c r="FR314">
        <v>0</v>
      </c>
      <c r="FS314">
        <v>0</v>
      </c>
      <c r="FX314">
        <v>90</v>
      </c>
      <c r="FY314">
        <v>42</v>
      </c>
      <c r="GA314" t="s">
        <v>255</v>
      </c>
      <c r="GD314">
        <v>1</v>
      </c>
      <c r="GF314">
        <v>1628453334</v>
      </c>
      <c r="GG314">
        <v>2</v>
      </c>
      <c r="GH314">
        <v>3</v>
      </c>
      <c r="GI314">
        <v>3</v>
      </c>
      <c r="GJ314">
        <v>0</v>
      </c>
      <c r="GK314">
        <v>0</v>
      </c>
      <c r="GL314">
        <f>ROUND(IF(AND(BH314=3,BI314=3,FS314&lt;&gt;0),P314,0),2)</f>
        <v>0</v>
      </c>
      <c r="GM314">
        <f>ROUND(O314+X314+Y314,2)+GX314</f>
        <v>4248.3999999999996</v>
      </c>
      <c r="GN314">
        <f>IF(OR(BI314=0,BI314=1),GM314-GX314,0)</f>
        <v>4248.3999999999996</v>
      </c>
      <c r="GO314">
        <f>IF(BI314=2,GM314-GX314,0)</f>
        <v>0</v>
      </c>
      <c r="GP314">
        <f>IF(BI314=4,GM314-GX314,0)</f>
        <v>0</v>
      </c>
      <c r="GR314">
        <v>1</v>
      </c>
      <c r="GS314">
        <v>1</v>
      </c>
      <c r="GT314">
        <v>0</v>
      </c>
      <c r="GU314" t="s">
        <v>3</v>
      </c>
      <c r="GV314">
        <f>ROUND((GT314),6)</f>
        <v>0</v>
      </c>
      <c r="GW314">
        <v>1</v>
      </c>
      <c r="GX314">
        <f>ROUND(HC314*I314,2)</f>
        <v>0</v>
      </c>
      <c r="HA314">
        <v>0</v>
      </c>
      <c r="HB314">
        <v>0</v>
      </c>
      <c r="HC314">
        <f>GV314*GW314</f>
        <v>0</v>
      </c>
      <c r="HE314" t="s">
        <v>173</v>
      </c>
      <c r="HF314" t="s">
        <v>30</v>
      </c>
      <c r="HM314" t="s">
        <v>3</v>
      </c>
      <c r="HN314" t="s">
        <v>3</v>
      </c>
      <c r="HO314" t="s">
        <v>3</v>
      </c>
      <c r="HP314" t="s">
        <v>3</v>
      </c>
      <c r="HQ314" t="s">
        <v>3</v>
      </c>
      <c r="HS314">
        <v>0</v>
      </c>
      <c r="IK314">
        <v>0</v>
      </c>
    </row>
    <row r="316" spans="1:255" x14ac:dyDescent="0.2">
      <c r="A316" s="3">
        <v>51</v>
      </c>
      <c r="B316" s="3">
        <f>B307</f>
        <v>1</v>
      </c>
      <c r="C316" s="3">
        <f>A307</f>
        <v>4</v>
      </c>
      <c r="D316" s="3">
        <f>ROW(A307)</f>
        <v>307</v>
      </c>
      <c r="E316" s="3"/>
      <c r="F316" s="3" t="str">
        <f>IF(F307&lt;&gt;"",F307,"")</f>
        <v/>
      </c>
      <c r="G316" s="3" t="str">
        <f>IF(G307&lt;&gt;"",G307,"")</f>
        <v>Наклейка- круг желтый</v>
      </c>
      <c r="H316" s="3">
        <v>0</v>
      </c>
      <c r="I316" s="3"/>
      <c r="J316" s="3"/>
      <c r="K316" s="3"/>
      <c r="L316" s="3"/>
      <c r="M316" s="3"/>
      <c r="N316" s="3"/>
      <c r="O316" s="3">
        <f t="shared" ref="O316:T316" si="261">ROUND(AB316,2)</f>
        <v>750.28</v>
      </c>
      <c r="P316" s="3">
        <f t="shared" si="261"/>
        <v>564.89</v>
      </c>
      <c r="Q316" s="3">
        <f t="shared" si="261"/>
        <v>1.03</v>
      </c>
      <c r="R316" s="3">
        <f t="shared" si="261"/>
        <v>0.16</v>
      </c>
      <c r="S316" s="3">
        <f t="shared" si="261"/>
        <v>184.36</v>
      </c>
      <c r="T316" s="3">
        <f t="shared" si="261"/>
        <v>0</v>
      </c>
      <c r="U316" s="3">
        <f>AH316</f>
        <v>10.422790399999997</v>
      </c>
      <c r="V316" s="3">
        <f>AI316</f>
        <v>0</v>
      </c>
      <c r="W316" s="3">
        <f>ROUND(AJ316,2)</f>
        <v>0</v>
      </c>
      <c r="X316" s="3">
        <f>ROUND(AK316,2)</f>
        <v>166.07</v>
      </c>
      <c r="Y316" s="3">
        <f>ROUND(AL316,2)</f>
        <v>77.5</v>
      </c>
      <c r="Z316" s="3"/>
      <c r="AA316" s="3"/>
      <c r="AB316" s="3">
        <f>ROUND(SUMIF(AA311:AA314,"=59499218",O311:O314),2)</f>
        <v>750.28</v>
      </c>
      <c r="AC316" s="3">
        <f>ROUND(SUMIF(AA311:AA314,"=59499218",P311:P314),2)</f>
        <v>564.89</v>
      </c>
      <c r="AD316" s="3">
        <f>ROUND(SUMIF(AA311:AA314,"=59499218",Q311:Q314),2)</f>
        <v>1.03</v>
      </c>
      <c r="AE316" s="3">
        <f>ROUND(SUMIF(AA311:AA314,"=59499218",R311:R314),2)</f>
        <v>0.16</v>
      </c>
      <c r="AF316" s="3">
        <f>ROUND(SUMIF(AA311:AA314,"=59499218",S311:S314),2)</f>
        <v>184.36</v>
      </c>
      <c r="AG316" s="3">
        <f>ROUND(SUMIF(AA311:AA314,"=59499218",T311:T314),2)</f>
        <v>0</v>
      </c>
      <c r="AH316" s="3">
        <f>SUMIF(AA311:AA314,"=59499218",U311:U314)</f>
        <v>10.422790399999997</v>
      </c>
      <c r="AI316" s="3">
        <f>SUMIF(AA311:AA314,"=59499218",V311:V314)</f>
        <v>0</v>
      </c>
      <c r="AJ316" s="3">
        <f>ROUND(SUMIF(AA311:AA314,"=59499218",W311:W314),2)</f>
        <v>0</v>
      </c>
      <c r="AK316" s="3">
        <f>ROUND(SUMIF(AA311:AA314,"=59499218",X311:X314),2)</f>
        <v>166.07</v>
      </c>
      <c r="AL316" s="3">
        <f>ROUND(SUMIF(AA311:AA314,"=59499218",Y311:Y314),2)</f>
        <v>77.5</v>
      </c>
      <c r="AM316" s="3"/>
      <c r="AN316" s="3"/>
      <c r="AO316" s="3">
        <f t="shared" ref="AO316:BD316" si="262">ROUND(BX316,2)</f>
        <v>0</v>
      </c>
      <c r="AP316" s="3">
        <f t="shared" si="262"/>
        <v>0</v>
      </c>
      <c r="AQ316" s="3">
        <f t="shared" si="262"/>
        <v>0</v>
      </c>
      <c r="AR316" s="3">
        <f t="shared" si="262"/>
        <v>993.85</v>
      </c>
      <c r="AS316" s="3">
        <f t="shared" si="262"/>
        <v>993.85</v>
      </c>
      <c r="AT316" s="3">
        <f t="shared" si="262"/>
        <v>0</v>
      </c>
      <c r="AU316" s="3">
        <f t="shared" si="262"/>
        <v>0</v>
      </c>
      <c r="AV316" s="3">
        <f t="shared" si="262"/>
        <v>564.89</v>
      </c>
      <c r="AW316" s="3">
        <f t="shared" si="262"/>
        <v>564.89</v>
      </c>
      <c r="AX316" s="3">
        <f t="shared" si="262"/>
        <v>0</v>
      </c>
      <c r="AY316" s="3">
        <f t="shared" si="262"/>
        <v>564.89</v>
      </c>
      <c r="AZ316" s="3">
        <f t="shared" si="262"/>
        <v>0</v>
      </c>
      <c r="BA316" s="3">
        <f t="shared" si="262"/>
        <v>0</v>
      </c>
      <c r="BB316" s="3">
        <f t="shared" si="262"/>
        <v>0</v>
      </c>
      <c r="BC316" s="3">
        <f t="shared" si="262"/>
        <v>0</v>
      </c>
      <c r="BD316" s="3">
        <f t="shared" si="262"/>
        <v>0</v>
      </c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>
        <f>ROUND(SUMIF(AA311:AA314,"=59499218",FQ311:FQ314),2)</f>
        <v>0</v>
      </c>
      <c r="BY316" s="3">
        <f>ROUND(SUMIF(AA311:AA314,"=59499218",FR311:FR314),2)</f>
        <v>0</v>
      </c>
      <c r="BZ316" s="3">
        <f>ROUND(SUMIF(AA311:AA314,"=59499218",GL311:GL314),2)</f>
        <v>0</v>
      </c>
      <c r="CA316" s="3">
        <f>ROUND(SUMIF(AA311:AA314,"=59499218",GM311:GM314),2)</f>
        <v>993.85</v>
      </c>
      <c r="CB316" s="3">
        <f>ROUND(SUMIF(AA311:AA314,"=59499218",GN311:GN314),2)</f>
        <v>993.85</v>
      </c>
      <c r="CC316" s="3">
        <f>ROUND(SUMIF(AA311:AA314,"=59499218",GO311:GO314),2)</f>
        <v>0</v>
      </c>
      <c r="CD316" s="3">
        <f>ROUND(SUMIF(AA311:AA314,"=59499218",GP311:GP314),2)</f>
        <v>0</v>
      </c>
      <c r="CE316" s="3">
        <f>AC316-BX316</f>
        <v>564.89</v>
      </c>
      <c r="CF316" s="3">
        <f>AC316-BY316</f>
        <v>564.89</v>
      </c>
      <c r="CG316" s="3">
        <f>BX316-BZ316</f>
        <v>0</v>
      </c>
      <c r="CH316" s="3">
        <f>AC316-BX316-BY316+BZ316</f>
        <v>564.89</v>
      </c>
      <c r="CI316" s="3">
        <f>BY316-BZ316</f>
        <v>0</v>
      </c>
      <c r="CJ316" s="3">
        <f>ROUND(SUMIF(AA311:AA314,"=59499218",GX311:GX314),2)</f>
        <v>0</v>
      </c>
      <c r="CK316" s="3">
        <f>ROUND(SUMIF(AA311:AA314,"=59499218",GY311:GY314),2)</f>
        <v>0</v>
      </c>
      <c r="CL316" s="3">
        <f>ROUND(SUMIF(AA311:AA314,"=59499218",GZ311:GZ314),2)</f>
        <v>0</v>
      </c>
      <c r="CM316" s="3">
        <f>ROUND(SUMIF(AA311:AA314,"=59499218",HD311:HD314),2)</f>
        <v>0</v>
      </c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4">
        <f t="shared" ref="DG316:DL316" si="263">ROUND(DT316,2)</f>
        <v>14891.44</v>
      </c>
      <c r="DH316" s="4">
        <f t="shared" si="263"/>
        <v>4736.7</v>
      </c>
      <c r="DI316" s="4">
        <f t="shared" si="263"/>
        <v>16.78</v>
      </c>
      <c r="DJ316" s="4">
        <f t="shared" si="263"/>
        <v>8.8000000000000007</v>
      </c>
      <c r="DK316" s="4">
        <f t="shared" si="263"/>
        <v>10137.959999999999</v>
      </c>
      <c r="DL316" s="4">
        <f t="shared" si="263"/>
        <v>0</v>
      </c>
      <c r="DM316" s="4">
        <f>DZ316</f>
        <v>10.422790399999997</v>
      </c>
      <c r="DN316" s="4">
        <f>EA316</f>
        <v>0</v>
      </c>
      <c r="DO316" s="4">
        <f>ROUND(EB316,2)</f>
        <v>0</v>
      </c>
      <c r="DP316" s="4">
        <f>ROUND(EC316,2)</f>
        <v>9132.08</v>
      </c>
      <c r="DQ316" s="4">
        <f>ROUND(ED316,2)</f>
        <v>4261.6400000000003</v>
      </c>
      <c r="DR316" s="4"/>
      <c r="DS316" s="4"/>
      <c r="DT316" s="4">
        <f>ROUND(SUMIF(AA311:AA314,"=59499215",O311:O314),2)</f>
        <v>14891.44</v>
      </c>
      <c r="DU316" s="4">
        <f>ROUND(SUMIF(AA311:AA314,"=59499215",P311:P314),2)</f>
        <v>4736.7</v>
      </c>
      <c r="DV316" s="4">
        <f>ROUND(SUMIF(AA311:AA314,"=59499215",Q311:Q314),2)</f>
        <v>16.78</v>
      </c>
      <c r="DW316" s="4">
        <f>ROUND(SUMIF(AA311:AA314,"=59499215",R311:R314),2)</f>
        <v>8.8000000000000007</v>
      </c>
      <c r="DX316" s="4">
        <f>ROUND(SUMIF(AA311:AA314,"=59499215",S311:S314),2)</f>
        <v>10137.959999999999</v>
      </c>
      <c r="DY316" s="4">
        <f>ROUND(SUMIF(AA311:AA314,"=59499215",T311:T314),2)</f>
        <v>0</v>
      </c>
      <c r="DZ316" s="4">
        <f>SUMIF(AA311:AA314,"=59499215",U311:U314)</f>
        <v>10.422790399999997</v>
      </c>
      <c r="EA316" s="4">
        <f>SUMIF(AA311:AA314,"=59499215",V311:V314)</f>
        <v>0</v>
      </c>
      <c r="EB316" s="4">
        <f>ROUND(SUMIF(AA311:AA314,"=59499215",W311:W314),2)</f>
        <v>0</v>
      </c>
      <c r="EC316" s="4">
        <f>ROUND(SUMIF(AA311:AA314,"=59499215",X311:X314),2)</f>
        <v>9132.08</v>
      </c>
      <c r="ED316" s="4">
        <f>ROUND(SUMIF(AA311:AA314,"=59499215",Y311:Y314),2)</f>
        <v>4261.6400000000003</v>
      </c>
      <c r="EE316" s="4"/>
      <c r="EF316" s="4"/>
      <c r="EG316" s="4">
        <f t="shared" ref="EG316:EV316" si="264">ROUND(FP316,2)</f>
        <v>0</v>
      </c>
      <c r="EH316" s="4">
        <f t="shared" si="264"/>
        <v>0</v>
      </c>
      <c r="EI316" s="4">
        <f t="shared" si="264"/>
        <v>0</v>
      </c>
      <c r="EJ316" s="4">
        <f t="shared" si="264"/>
        <v>28285.16</v>
      </c>
      <c r="EK316" s="4">
        <f t="shared" si="264"/>
        <v>28285.16</v>
      </c>
      <c r="EL316" s="4">
        <f t="shared" si="264"/>
        <v>0</v>
      </c>
      <c r="EM316" s="4">
        <f t="shared" si="264"/>
        <v>0</v>
      </c>
      <c r="EN316" s="4">
        <f t="shared" si="264"/>
        <v>4736.7</v>
      </c>
      <c r="EO316" s="4">
        <f t="shared" si="264"/>
        <v>4736.7</v>
      </c>
      <c r="EP316" s="4">
        <f t="shared" si="264"/>
        <v>0</v>
      </c>
      <c r="EQ316" s="4">
        <f t="shared" si="264"/>
        <v>4736.7</v>
      </c>
      <c r="ER316" s="4">
        <f t="shared" si="264"/>
        <v>0</v>
      </c>
      <c r="ES316" s="4">
        <f t="shared" si="264"/>
        <v>0</v>
      </c>
      <c r="ET316" s="4">
        <f t="shared" si="264"/>
        <v>0</v>
      </c>
      <c r="EU316" s="4">
        <f t="shared" si="264"/>
        <v>0</v>
      </c>
      <c r="EV316" s="4">
        <f t="shared" si="264"/>
        <v>0</v>
      </c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>
        <f>ROUND(SUMIF(AA311:AA314,"=59499215",FQ311:FQ314),2)</f>
        <v>0</v>
      </c>
      <c r="FQ316" s="4">
        <f>ROUND(SUMIF(AA311:AA314,"=59499215",FR311:FR314),2)</f>
        <v>0</v>
      </c>
      <c r="FR316" s="4">
        <f>ROUND(SUMIF(AA311:AA314,"=59499215",GL311:GL314),2)</f>
        <v>0</v>
      </c>
      <c r="FS316" s="4">
        <f>ROUND(SUMIF(AA311:AA314,"=59499215",GM311:GM314),2)</f>
        <v>28285.16</v>
      </c>
      <c r="FT316" s="4">
        <f>ROUND(SUMIF(AA311:AA314,"=59499215",GN311:GN314),2)</f>
        <v>28285.16</v>
      </c>
      <c r="FU316" s="4">
        <f>ROUND(SUMIF(AA311:AA314,"=59499215",GO311:GO314),2)</f>
        <v>0</v>
      </c>
      <c r="FV316" s="4">
        <f>ROUND(SUMIF(AA311:AA314,"=59499215",GP311:GP314),2)</f>
        <v>0</v>
      </c>
      <c r="FW316" s="4">
        <f>DU316-FP316</f>
        <v>4736.7</v>
      </c>
      <c r="FX316" s="4">
        <f>DU316-FQ316</f>
        <v>4736.7</v>
      </c>
      <c r="FY316" s="4">
        <f>FP316-FR316</f>
        <v>0</v>
      </c>
      <c r="FZ316" s="4">
        <f>DU316-FP316-FQ316+FR316</f>
        <v>4736.7</v>
      </c>
      <c r="GA316" s="4">
        <f>FQ316-FR316</f>
        <v>0</v>
      </c>
      <c r="GB316" s="4">
        <f>ROUND(SUMIF(AA311:AA314,"=59499215",GX311:GX314),2)</f>
        <v>0</v>
      </c>
      <c r="GC316" s="4">
        <f>ROUND(SUMIF(AA311:AA314,"=59499215",GY311:GY314),2)</f>
        <v>0</v>
      </c>
      <c r="GD316" s="4">
        <f>ROUND(SUMIF(AA311:AA314,"=59499215",GZ311:GZ314),2)</f>
        <v>0</v>
      </c>
      <c r="GE316" s="4">
        <f>ROUND(SUMIF(AA311:AA314,"=59499215",HD311:HD314),2)</f>
        <v>0</v>
      </c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>
        <v>0</v>
      </c>
    </row>
    <row r="318" spans="1:255" x14ac:dyDescent="0.2">
      <c r="A318" s="5">
        <v>50</v>
      </c>
      <c r="B318" s="5">
        <v>0</v>
      </c>
      <c r="C318" s="5">
        <v>0</v>
      </c>
      <c r="D318" s="5">
        <v>1</v>
      </c>
      <c r="E318" s="5">
        <v>201</v>
      </c>
      <c r="F318" s="5">
        <f>ROUND(Source!O316,O318)</f>
        <v>750.28</v>
      </c>
      <c r="G318" s="5" t="s">
        <v>46</v>
      </c>
      <c r="H318" s="5" t="s">
        <v>47</v>
      </c>
      <c r="I318" s="5"/>
      <c r="J318" s="5"/>
      <c r="K318" s="5">
        <v>201</v>
      </c>
      <c r="L318" s="5">
        <v>1</v>
      </c>
      <c r="M318" s="5">
        <v>3</v>
      </c>
      <c r="N318" s="5" t="s">
        <v>3</v>
      </c>
      <c r="O318" s="5">
        <v>2</v>
      </c>
      <c r="P318" s="5">
        <f>ROUND(Source!DG316,O318)</f>
        <v>14891.44</v>
      </c>
      <c r="Q318" s="5"/>
      <c r="R318" s="5"/>
      <c r="S318" s="5"/>
      <c r="T318" s="5"/>
      <c r="U318" s="5"/>
      <c r="V318" s="5"/>
      <c r="W318" s="5">
        <v>750.28</v>
      </c>
      <c r="X318" s="5">
        <v>1</v>
      </c>
      <c r="Y318" s="5">
        <v>750.28</v>
      </c>
      <c r="Z318" s="5">
        <v>14891.44</v>
      </c>
      <c r="AA318" s="5">
        <v>1</v>
      </c>
      <c r="AB318" s="5">
        <v>14891.44</v>
      </c>
    </row>
    <row r="319" spans="1:255" x14ac:dyDescent="0.2">
      <c r="A319" s="5">
        <v>50</v>
      </c>
      <c r="B319" s="5">
        <v>0</v>
      </c>
      <c r="C319" s="5">
        <v>0</v>
      </c>
      <c r="D319" s="5">
        <v>1</v>
      </c>
      <c r="E319" s="5">
        <v>202</v>
      </c>
      <c r="F319" s="5">
        <f>ROUND(Source!P316,O319)</f>
        <v>564.89</v>
      </c>
      <c r="G319" s="5" t="s">
        <v>48</v>
      </c>
      <c r="H319" s="5" t="s">
        <v>49</v>
      </c>
      <c r="I319" s="5"/>
      <c r="J319" s="5"/>
      <c r="K319" s="5">
        <v>202</v>
      </c>
      <c r="L319" s="5">
        <v>2</v>
      </c>
      <c r="M319" s="5">
        <v>3</v>
      </c>
      <c r="N319" s="5" t="s">
        <v>3</v>
      </c>
      <c r="O319" s="5">
        <v>2</v>
      </c>
      <c r="P319" s="5">
        <f>ROUND(Source!DH316,O319)</f>
        <v>4736.7</v>
      </c>
      <c r="Q319" s="5"/>
      <c r="R319" s="5"/>
      <c r="S319" s="5"/>
      <c r="T319" s="5"/>
      <c r="U319" s="5"/>
      <c r="V319" s="5"/>
      <c r="W319" s="5">
        <v>564.89</v>
      </c>
      <c r="X319" s="5">
        <v>1</v>
      </c>
      <c r="Y319" s="5">
        <v>564.89</v>
      </c>
      <c r="Z319" s="5">
        <v>4736.7</v>
      </c>
      <c r="AA319" s="5">
        <v>1</v>
      </c>
      <c r="AB319" s="5">
        <v>4736.7</v>
      </c>
    </row>
    <row r="320" spans="1:255" x14ac:dyDescent="0.2">
      <c r="A320" s="5">
        <v>50</v>
      </c>
      <c r="B320" s="5">
        <v>0</v>
      </c>
      <c r="C320" s="5">
        <v>0</v>
      </c>
      <c r="D320" s="5">
        <v>1</v>
      </c>
      <c r="E320" s="5">
        <v>222</v>
      </c>
      <c r="F320" s="5">
        <f>ROUND(Source!AO316,O320)</f>
        <v>0</v>
      </c>
      <c r="G320" s="5" t="s">
        <v>50</v>
      </c>
      <c r="H320" s="5" t="s">
        <v>51</v>
      </c>
      <c r="I320" s="5"/>
      <c r="J320" s="5"/>
      <c r="K320" s="5">
        <v>222</v>
      </c>
      <c r="L320" s="5">
        <v>3</v>
      </c>
      <c r="M320" s="5">
        <v>3</v>
      </c>
      <c r="N320" s="5" t="s">
        <v>3</v>
      </c>
      <c r="O320" s="5">
        <v>2</v>
      </c>
      <c r="P320" s="5">
        <f>ROUND(Source!EG316,O320)</f>
        <v>0</v>
      </c>
      <c r="Q320" s="5"/>
      <c r="R320" s="5"/>
      <c r="S320" s="5"/>
      <c r="T320" s="5"/>
      <c r="U320" s="5"/>
      <c r="V320" s="5"/>
      <c r="W320" s="5">
        <v>0</v>
      </c>
      <c r="X320" s="5">
        <v>1</v>
      </c>
      <c r="Y320" s="5">
        <v>0</v>
      </c>
      <c r="Z320" s="5">
        <v>0</v>
      </c>
      <c r="AA320" s="5">
        <v>1</v>
      </c>
      <c r="AB320" s="5">
        <v>0</v>
      </c>
    </row>
    <row r="321" spans="1:28" x14ac:dyDescent="0.2">
      <c r="A321" s="5">
        <v>50</v>
      </c>
      <c r="B321" s="5">
        <v>0</v>
      </c>
      <c r="C321" s="5">
        <v>0</v>
      </c>
      <c r="D321" s="5">
        <v>1</v>
      </c>
      <c r="E321" s="5">
        <v>225</v>
      </c>
      <c r="F321" s="5">
        <f>ROUND(Source!AV316,O321)</f>
        <v>564.89</v>
      </c>
      <c r="G321" s="5" t="s">
        <v>52</v>
      </c>
      <c r="H321" s="5" t="s">
        <v>53</v>
      </c>
      <c r="I321" s="5"/>
      <c r="J321" s="5"/>
      <c r="K321" s="5">
        <v>225</v>
      </c>
      <c r="L321" s="5">
        <v>4</v>
      </c>
      <c r="M321" s="5">
        <v>3</v>
      </c>
      <c r="N321" s="5" t="s">
        <v>3</v>
      </c>
      <c r="O321" s="5">
        <v>2</v>
      </c>
      <c r="P321" s="5">
        <f>ROUND(Source!EN316,O321)</f>
        <v>4736.7</v>
      </c>
      <c r="Q321" s="5"/>
      <c r="R321" s="5"/>
      <c r="S321" s="5"/>
      <c r="T321" s="5"/>
      <c r="U321" s="5"/>
      <c r="V321" s="5"/>
      <c r="W321" s="5">
        <v>564.89</v>
      </c>
      <c r="X321" s="5">
        <v>1</v>
      </c>
      <c r="Y321" s="5">
        <v>564.89</v>
      </c>
      <c r="Z321" s="5">
        <v>4736.7</v>
      </c>
      <c r="AA321" s="5">
        <v>1</v>
      </c>
      <c r="AB321" s="5">
        <v>4736.7</v>
      </c>
    </row>
    <row r="322" spans="1:28" x14ac:dyDescent="0.2">
      <c r="A322" s="5">
        <v>50</v>
      </c>
      <c r="B322" s="5">
        <v>0</v>
      </c>
      <c r="C322" s="5">
        <v>0</v>
      </c>
      <c r="D322" s="5">
        <v>1</v>
      </c>
      <c r="E322" s="5">
        <v>226</v>
      </c>
      <c r="F322" s="5">
        <f>ROUND(Source!AW316,O322)</f>
        <v>564.89</v>
      </c>
      <c r="G322" s="5" t="s">
        <v>54</v>
      </c>
      <c r="H322" s="5" t="s">
        <v>55</v>
      </c>
      <c r="I322" s="5"/>
      <c r="J322" s="5"/>
      <c r="K322" s="5">
        <v>226</v>
      </c>
      <c r="L322" s="5">
        <v>5</v>
      </c>
      <c r="M322" s="5">
        <v>3</v>
      </c>
      <c r="N322" s="5" t="s">
        <v>3</v>
      </c>
      <c r="O322" s="5">
        <v>2</v>
      </c>
      <c r="P322" s="5">
        <f>ROUND(Source!EO316,O322)</f>
        <v>4736.7</v>
      </c>
      <c r="Q322" s="5"/>
      <c r="R322" s="5"/>
      <c r="S322" s="5"/>
      <c r="T322" s="5"/>
      <c r="U322" s="5"/>
      <c r="V322" s="5"/>
      <c r="W322" s="5">
        <v>564.89</v>
      </c>
      <c r="X322" s="5">
        <v>1</v>
      </c>
      <c r="Y322" s="5">
        <v>564.89</v>
      </c>
      <c r="Z322" s="5">
        <v>4736.7</v>
      </c>
      <c r="AA322" s="5">
        <v>1</v>
      </c>
      <c r="AB322" s="5">
        <v>4736.7</v>
      </c>
    </row>
    <row r="323" spans="1:28" x14ac:dyDescent="0.2">
      <c r="A323" s="5">
        <v>50</v>
      </c>
      <c r="B323" s="5">
        <v>0</v>
      </c>
      <c r="C323" s="5">
        <v>0</v>
      </c>
      <c r="D323" s="5">
        <v>1</v>
      </c>
      <c r="E323" s="5">
        <v>227</v>
      </c>
      <c r="F323" s="5">
        <f>ROUND(Source!AX316,O323)</f>
        <v>0</v>
      </c>
      <c r="G323" s="5" t="s">
        <v>56</v>
      </c>
      <c r="H323" s="5" t="s">
        <v>57</v>
      </c>
      <c r="I323" s="5"/>
      <c r="J323" s="5"/>
      <c r="K323" s="5">
        <v>227</v>
      </c>
      <c r="L323" s="5">
        <v>6</v>
      </c>
      <c r="M323" s="5">
        <v>3</v>
      </c>
      <c r="N323" s="5" t="s">
        <v>3</v>
      </c>
      <c r="O323" s="5">
        <v>2</v>
      </c>
      <c r="P323" s="5">
        <f>ROUND(Source!EP316,O323)</f>
        <v>0</v>
      </c>
      <c r="Q323" s="5"/>
      <c r="R323" s="5"/>
      <c r="S323" s="5"/>
      <c r="T323" s="5"/>
      <c r="U323" s="5"/>
      <c r="V323" s="5"/>
      <c r="W323" s="5">
        <v>0</v>
      </c>
      <c r="X323" s="5">
        <v>1</v>
      </c>
      <c r="Y323" s="5">
        <v>0</v>
      </c>
      <c r="Z323" s="5">
        <v>0</v>
      </c>
      <c r="AA323" s="5">
        <v>1</v>
      </c>
      <c r="AB323" s="5">
        <v>0</v>
      </c>
    </row>
    <row r="324" spans="1:28" x14ac:dyDescent="0.2">
      <c r="A324" s="5">
        <v>50</v>
      </c>
      <c r="B324" s="5">
        <v>0</v>
      </c>
      <c r="C324" s="5">
        <v>0</v>
      </c>
      <c r="D324" s="5">
        <v>1</v>
      </c>
      <c r="E324" s="5">
        <v>228</v>
      </c>
      <c r="F324" s="5">
        <f>ROUND(Source!AY316,O324)</f>
        <v>564.89</v>
      </c>
      <c r="G324" s="5" t="s">
        <v>58</v>
      </c>
      <c r="H324" s="5" t="s">
        <v>59</v>
      </c>
      <c r="I324" s="5"/>
      <c r="J324" s="5"/>
      <c r="K324" s="5">
        <v>228</v>
      </c>
      <c r="L324" s="5">
        <v>7</v>
      </c>
      <c r="M324" s="5">
        <v>3</v>
      </c>
      <c r="N324" s="5" t="s">
        <v>3</v>
      </c>
      <c r="O324" s="5">
        <v>2</v>
      </c>
      <c r="P324" s="5">
        <f>ROUND(Source!EQ316,O324)</f>
        <v>4736.7</v>
      </c>
      <c r="Q324" s="5"/>
      <c r="R324" s="5"/>
      <c r="S324" s="5"/>
      <c r="T324" s="5"/>
      <c r="U324" s="5"/>
      <c r="V324" s="5"/>
      <c r="W324" s="5">
        <v>564.89</v>
      </c>
      <c r="X324" s="5">
        <v>1</v>
      </c>
      <c r="Y324" s="5">
        <v>564.89</v>
      </c>
      <c r="Z324" s="5">
        <v>4736.7</v>
      </c>
      <c r="AA324" s="5">
        <v>1</v>
      </c>
      <c r="AB324" s="5">
        <v>4736.7</v>
      </c>
    </row>
    <row r="325" spans="1:28" x14ac:dyDescent="0.2">
      <c r="A325" s="5">
        <v>50</v>
      </c>
      <c r="B325" s="5">
        <v>0</v>
      </c>
      <c r="C325" s="5">
        <v>0</v>
      </c>
      <c r="D325" s="5">
        <v>1</v>
      </c>
      <c r="E325" s="5">
        <v>216</v>
      </c>
      <c r="F325" s="5">
        <f>ROUND(Source!AP316,O325)</f>
        <v>0</v>
      </c>
      <c r="G325" s="5" t="s">
        <v>60</v>
      </c>
      <c r="H325" s="5" t="s">
        <v>61</v>
      </c>
      <c r="I325" s="5"/>
      <c r="J325" s="5"/>
      <c r="K325" s="5">
        <v>216</v>
      </c>
      <c r="L325" s="5">
        <v>8</v>
      </c>
      <c r="M325" s="5">
        <v>3</v>
      </c>
      <c r="N325" s="5" t="s">
        <v>3</v>
      </c>
      <c r="O325" s="5">
        <v>2</v>
      </c>
      <c r="P325" s="5">
        <f>ROUND(Source!EH316,O325)</f>
        <v>0</v>
      </c>
      <c r="Q325" s="5"/>
      <c r="R325" s="5"/>
      <c r="S325" s="5"/>
      <c r="T325" s="5"/>
      <c r="U325" s="5"/>
      <c r="V325" s="5"/>
      <c r="W325" s="5">
        <v>0</v>
      </c>
      <c r="X325" s="5">
        <v>1</v>
      </c>
      <c r="Y325" s="5">
        <v>0</v>
      </c>
      <c r="Z325" s="5">
        <v>0</v>
      </c>
      <c r="AA325" s="5">
        <v>1</v>
      </c>
      <c r="AB325" s="5">
        <v>0</v>
      </c>
    </row>
    <row r="326" spans="1:28" x14ac:dyDescent="0.2">
      <c r="A326" s="5">
        <v>50</v>
      </c>
      <c r="B326" s="5">
        <v>0</v>
      </c>
      <c r="C326" s="5">
        <v>0</v>
      </c>
      <c r="D326" s="5">
        <v>1</v>
      </c>
      <c r="E326" s="5">
        <v>223</v>
      </c>
      <c r="F326" s="5">
        <f>ROUND(Source!AQ316,O326)</f>
        <v>0</v>
      </c>
      <c r="G326" s="5" t="s">
        <v>62</v>
      </c>
      <c r="H326" s="5" t="s">
        <v>63</v>
      </c>
      <c r="I326" s="5"/>
      <c r="J326" s="5"/>
      <c r="K326" s="5">
        <v>223</v>
      </c>
      <c r="L326" s="5">
        <v>9</v>
      </c>
      <c r="M326" s="5">
        <v>3</v>
      </c>
      <c r="N326" s="5" t="s">
        <v>3</v>
      </c>
      <c r="O326" s="5">
        <v>2</v>
      </c>
      <c r="P326" s="5">
        <f>ROUND(Source!EI316,O326)</f>
        <v>0</v>
      </c>
      <c r="Q326" s="5"/>
      <c r="R326" s="5"/>
      <c r="S326" s="5"/>
      <c r="T326" s="5"/>
      <c r="U326" s="5"/>
      <c r="V326" s="5"/>
      <c r="W326" s="5">
        <v>0</v>
      </c>
      <c r="X326" s="5">
        <v>1</v>
      </c>
      <c r="Y326" s="5">
        <v>0</v>
      </c>
      <c r="Z326" s="5">
        <v>0</v>
      </c>
      <c r="AA326" s="5">
        <v>1</v>
      </c>
      <c r="AB326" s="5">
        <v>0</v>
      </c>
    </row>
    <row r="327" spans="1:28" x14ac:dyDescent="0.2">
      <c r="A327" s="5">
        <v>50</v>
      </c>
      <c r="B327" s="5">
        <v>0</v>
      </c>
      <c r="C327" s="5">
        <v>0</v>
      </c>
      <c r="D327" s="5">
        <v>1</v>
      </c>
      <c r="E327" s="5">
        <v>229</v>
      </c>
      <c r="F327" s="5">
        <f>ROUND(Source!AZ316,O327)</f>
        <v>0</v>
      </c>
      <c r="G327" s="5" t="s">
        <v>64</v>
      </c>
      <c r="H327" s="5" t="s">
        <v>65</v>
      </c>
      <c r="I327" s="5"/>
      <c r="J327" s="5"/>
      <c r="K327" s="5">
        <v>229</v>
      </c>
      <c r="L327" s="5">
        <v>10</v>
      </c>
      <c r="M327" s="5">
        <v>3</v>
      </c>
      <c r="N327" s="5" t="s">
        <v>3</v>
      </c>
      <c r="O327" s="5">
        <v>2</v>
      </c>
      <c r="P327" s="5">
        <f>ROUND(Source!ER316,O327)</f>
        <v>0</v>
      </c>
      <c r="Q327" s="5"/>
      <c r="R327" s="5"/>
      <c r="S327" s="5"/>
      <c r="T327" s="5"/>
      <c r="U327" s="5"/>
      <c r="V327" s="5"/>
      <c r="W327" s="5">
        <v>0</v>
      </c>
      <c r="X327" s="5">
        <v>1</v>
      </c>
      <c r="Y327" s="5">
        <v>0</v>
      </c>
      <c r="Z327" s="5">
        <v>0</v>
      </c>
      <c r="AA327" s="5">
        <v>1</v>
      </c>
      <c r="AB327" s="5">
        <v>0</v>
      </c>
    </row>
    <row r="328" spans="1:28" x14ac:dyDescent="0.2">
      <c r="A328" s="5">
        <v>50</v>
      </c>
      <c r="B328" s="5">
        <v>0</v>
      </c>
      <c r="C328" s="5">
        <v>0</v>
      </c>
      <c r="D328" s="5">
        <v>1</v>
      </c>
      <c r="E328" s="5">
        <v>203</v>
      </c>
      <c r="F328" s="5">
        <f>ROUND(Source!Q316,O328)</f>
        <v>1.03</v>
      </c>
      <c r="G328" s="5" t="s">
        <v>66</v>
      </c>
      <c r="H328" s="5" t="s">
        <v>67</v>
      </c>
      <c r="I328" s="5"/>
      <c r="J328" s="5"/>
      <c r="K328" s="5">
        <v>203</v>
      </c>
      <c r="L328" s="5">
        <v>11</v>
      </c>
      <c r="M328" s="5">
        <v>3</v>
      </c>
      <c r="N328" s="5" t="s">
        <v>3</v>
      </c>
      <c r="O328" s="5">
        <v>2</v>
      </c>
      <c r="P328" s="5">
        <f>ROUND(Source!DI316,O328)</f>
        <v>16.78</v>
      </c>
      <c r="Q328" s="5"/>
      <c r="R328" s="5"/>
      <c r="S328" s="5"/>
      <c r="T328" s="5"/>
      <c r="U328" s="5"/>
      <c r="V328" s="5"/>
      <c r="W328" s="5">
        <v>1.03</v>
      </c>
      <c r="X328" s="5">
        <v>1</v>
      </c>
      <c r="Y328" s="5">
        <v>1.03</v>
      </c>
      <c r="Z328" s="5">
        <v>16.78</v>
      </c>
      <c r="AA328" s="5">
        <v>1</v>
      </c>
      <c r="AB328" s="5">
        <v>16.78</v>
      </c>
    </row>
    <row r="329" spans="1:28" x14ac:dyDescent="0.2">
      <c r="A329" s="5">
        <v>50</v>
      </c>
      <c r="B329" s="5">
        <v>0</v>
      </c>
      <c r="C329" s="5">
        <v>0</v>
      </c>
      <c r="D329" s="5">
        <v>1</v>
      </c>
      <c r="E329" s="5">
        <v>231</v>
      </c>
      <c r="F329" s="5">
        <f>ROUND(Source!BB316,O329)</f>
        <v>0</v>
      </c>
      <c r="G329" s="5" t="s">
        <v>68</v>
      </c>
      <c r="H329" s="5" t="s">
        <v>69</v>
      </c>
      <c r="I329" s="5"/>
      <c r="J329" s="5"/>
      <c r="K329" s="5">
        <v>231</v>
      </c>
      <c r="L329" s="5">
        <v>12</v>
      </c>
      <c r="M329" s="5">
        <v>3</v>
      </c>
      <c r="N329" s="5" t="s">
        <v>3</v>
      </c>
      <c r="O329" s="5">
        <v>2</v>
      </c>
      <c r="P329" s="5">
        <f>ROUND(Source!ET316,O329)</f>
        <v>0</v>
      </c>
      <c r="Q329" s="5"/>
      <c r="R329" s="5"/>
      <c r="S329" s="5"/>
      <c r="T329" s="5"/>
      <c r="U329" s="5"/>
      <c r="V329" s="5"/>
      <c r="W329" s="5">
        <v>0</v>
      </c>
      <c r="X329" s="5">
        <v>1</v>
      </c>
      <c r="Y329" s="5">
        <v>0</v>
      </c>
      <c r="Z329" s="5">
        <v>0</v>
      </c>
      <c r="AA329" s="5">
        <v>1</v>
      </c>
      <c r="AB329" s="5">
        <v>0</v>
      </c>
    </row>
    <row r="330" spans="1:28" x14ac:dyDescent="0.2">
      <c r="A330" s="5">
        <v>50</v>
      </c>
      <c r="B330" s="5">
        <v>0</v>
      </c>
      <c r="C330" s="5">
        <v>0</v>
      </c>
      <c r="D330" s="5">
        <v>1</v>
      </c>
      <c r="E330" s="5">
        <v>204</v>
      </c>
      <c r="F330" s="5">
        <f>ROUND(Source!R316,O330)</f>
        <v>0.16</v>
      </c>
      <c r="G330" s="5" t="s">
        <v>70</v>
      </c>
      <c r="H330" s="5" t="s">
        <v>71</v>
      </c>
      <c r="I330" s="5"/>
      <c r="J330" s="5"/>
      <c r="K330" s="5">
        <v>204</v>
      </c>
      <c r="L330" s="5">
        <v>13</v>
      </c>
      <c r="M330" s="5">
        <v>3</v>
      </c>
      <c r="N330" s="5" t="s">
        <v>3</v>
      </c>
      <c r="O330" s="5">
        <v>2</v>
      </c>
      <c r="P330" s="5">
        <f>ROUND(Source!DJ316,O330)</f>
        <v>8.8000000000000007</v>
      </c>
      <c r="Q330" s="5"/>
      <c r="R330" s="5"/>
      <c r="S330" s="5"/>
      <c r="T330" s="5"/>
      <c r="U330" s="5"/>
      <c r="V330" s="5"/>
      <c r="W330" s="5">
        <v>0.16</v>
      </c>
      <c r="X330" s="5">
        <v>1</v>
      </c>
      <c r="Y330" s="5">
        <v>0.16</v>
      </c>
      <c r="Z330" s="5">
        <v>8.8000000000000007</v>
      </c>
      <c r="AA330" s="5">
        <v>1</v>
      </c>
      <c r="AB330" s="5">
        <v>8.8000000000000007</v>
      </c>
    </row>
    <row r="331" spans="1:28" x14ac:dyDescent="0.2">
      <c r="A331" s="5">
        <v>50</v>
      </c>
      <c r="B331" s="5">
        <v>0</v>
      </c>
      <c r="C331" s="5">
        <v>0</v>
      </c>
      <c r="D331" s="5">
        <v>1</v>
      </c>
      <c r="E331" s="5">
        <v>205</v>
      </c>
      <c r="F331" s="5">
        <f>ROUND(Source!S316,O331)</f>
        <v>184.36</v>
      </c>
      <c r="G331" s="5" t="s">
        <v>72</v>
      </c>
      <c r="H331" s="5" t="s">
        <v>73</v>
      </c>
      <c r="I331" s="5"/>
      <c r="J331" s="5"/>
      <c r="K331" s="5">
        <v>205</v>
      </c>
      <c r="L331" s="5">
        <v>14</v>
      </c>
      <c r="M331" s="5">
        <v>3</v>
      </c>
      <c r="N331" s="5" t="s">
        <v>3</v>
      </c>
      <c r="O331" s="5">
        <v>2</v>
      </c>
      <c r="P331" s="5">
        <f>ROUND(Source!DK316,O331)</f>
        <v>10137.959999999999</v>
      </c>
      <c r="Q331" s="5"/>
      <c r="R331" s="5"/>
      <c r="S331" s="5"/>
      <c r="T331" s="5"/>
      <c r="U331" s="5"/>
      <c r="V331" s="5"/>
      <c r="W331" s="5">
        <v>184.36</v>
      </c>
      <c r="X331" s="5">
        <v>1</v>
      </c>
      <c r="Y331" s="5">
        <v>184.36</v>
      </c>
      <c r="Z331" s="5">
        <v>10137.959999999999</v>
      </c>
      <c r="AA331" s="5">
        <v>1</v>
      </c>
      <c r="AB331" s="5">
        <v>10137.959999999999</v>
      </c>
    </row>
    <row r="332" spans="1:28" x14ac:dyDescent="0.2">
      <c r="A332" s="5">
        <v>50</v>
      </c>
      <c r="B332" s="5">
        <v>0</v>
      </c>
      <c r="C332" s="5">
        <v>0</v>
      </c>
      <c r="D332" s="5">
        <v>1</v>
      </c>
      <c r="E332" s="5">
        <v>232</v>
      </c>
      <c r="F332" s="5">
        <f>ROUND(Source!BC316,O332)</f>
        <v>0</v>
      </c>
      <c r="G332" s="5" t="s">
        <v>74</v>
      </c>
      <c r="H332" s="5" t="s">
        <v>75</v>
      </c>
      <c r="I332" s="5"/>
      <c r="J332" s="5"/>
      <c r="K332" s="5">
        <v>232</v>
      </c>
      <c r="L332" s="5">
        <v>15</v>
      </c>
      <c r="M332" s="5">
        <v>3</v>
      </c>
      <c r="N332" s="5" t="s">
        <v>3</v>
      </c>
      <c r="O332" s="5">
        <v>2</v>
      </c>
      <c r="P332" s="5">
        <f>ROUND(Source!EU316,O332)</f>
        <v>0</v>
      </c>
      <c r="Q332" s="5"/>
      <c r="R332" s="5"/>
      <c r="S332" s="5"/>
      <c r="T332" s="5"/>
      <c r="U332" s="5"/>
      <c r="V332" s="5"/>
      <c r="W332" s="5">
        <v>0</v>
      </c>
      <c r="X332" s="5">
        <v>1</v>
      </c>
      <c r="Y332" s="5">
        <v>0</v>
      </c>
      <c r="Z332" s="5">
        <v>0</v>
      </c>
      <c r="AA332" s="5">
        <v>1</v>
      </c>
      <c r="AB332" s="5">
        <v>0</v>
      </c>
    </row>
    <row r="333" spans="1:28" x14ac:dyDescent="0.2">
      <c r="A333" s="5">
        <v>50</v>
      </c>
      <c r="B333" s="5">
        <v>0</v>
      </c>
      <c r="C333" s="5">
        <v>0</v>
      </c>
      <c r="D333" s="5">
        <v>1</v>
      </c>
      <c r="E333" s="5">
        <v>214</v>
      </c>
      <c r="F333" s="5">
        <f>ROUND(Source!AS316,O333)</f>
        <v>993.85</v>
      </c>
      <c r="G333" s="5" t="s">
        <v>76</v>
      </c>
      <c r="H333" s="5" t="s">
        <v>77</v>
      </c>
      <c r="I333" s="5"/>
      <c r="J333" s="5"/>
      <c r="K333" s="5">
        <v>214</v>
      </c>
      <c r="L333" s="5">
        <v>16</v>
      </c>
      <c r="M333" s="5">
        <v>3</v>
      </c>
      <c r="N333" s="5" t="s">
        <v>3</v>
      </c>
      <c r="O333" s="5">
        <v>2</v>
      </c>
      <c r="P333" s="5">
        <f>ROUND(Source!EK316,O333)</f>
        <v>28285.16</v>
      </c>
      <c r="Q333" s="5"/>
      <c r="R333" s="5"/>
      <c r="S333" s="5"/>
      <c r="T333" s="5"/>
      <c r="U333" s="5"/>
      <c r="V333" s="5"/>
      <c r="W333" s="5">
        <v>993.85</v>
      </c>
      <c r="X333" s="5">
        <v>1</v>
      </c>
      <c r="Y333" s="5">
        <v>993.85</v>
      </c>
      <c r="Z333" s="5">
        <v>28285.16</v>
      </c>
      <c r="AA333" s="5">
        <v>1</v>
      </c>
      <c r="AB333" s="5">
        <v>28285.16</v>
      </c>
    </row>
    <row r="334" spans="1:28" x14ac:dyDescent="0.2">
      <c r="A334" s="5">
        <v>50</v>
      </c>
      <c r="B334" s="5">
        <v>0</v>
      </c>
      <c r="C334" s="5">
        <v>0</v>
      </c>
      <c r="D334" s="5">
        <v>1</v>
      </c>
      <c r="E334" s="5">
        <v>215</v>
      </c>
      <c r="F334" s="5">
        <f>ROUND(Source!AT316,O334)</f>
        <v>0</v>
      </c>
      <c r="G334" s="5" t="s">
        <v>78</v>
      </c>
      <c r="H334" s="5" t="s">
        <v>79</v>
      </c>
      <c r="I334" s="5"/>
      <c r="J334" s="5"/>
      <c r="K334" s="5">
        <v>215</v>
      </c>
      <c r="L334" s="5">
        <v>17</v>
      </c>
      <c r="M334" s="5">
        <v>3</v>
      </c>
      <c r="N334" s="5" t="s">
        <v>3</v>
      </c>
      <c r="O334" s="5">
        <v>2</v>
      </c>
      <c r="P334" s="5">
        <f>ROUND(Source!EL316,O334)</f>
        <v>0</v>
      </c>
      <c r="Q334" s="5"/>
      <c r="R334" s="5"/>
      <c r="S334" s="5"/>
      <c r="T334" s="5"/>
      <c r="U334" s="5"/>
      <c r="V334" s="5"/>
      <c r="W334" s="5">
        <v>0</v>
      </c>
      <c r="X334" s="5">
        <v>1</v>
      </c>
      <c r="Y334" s="5">
        <v>0</v>
      </c>
      <c r="Z334" s="5">
        <v>0</v>
      </c>
      <c r="AA334" s="5">
        <v>1</v>
      </c>
      <c r="AB334" s="5">
        <v>0</v>
      </c>
    </row>
    <row r="335" spans="1:28" x14ac:dyDescent="0.2">
      <c r="A335" s="5">
        <v>50</v>
      </c>
      <c r="B335" s="5">
        <v>0</v>
      </c>
      <c r="C335" s="5">
        <v>0</v>
      </c>
      <c r="D335" s="5">
        <v>1</v>
      </c>
      <c r="E335" s="5">
        <v>217</v>
      </c>
      <c r="F335" s="5">
        <f>ROUND(Source!AU316,O335)</f>
        <v>0</v>
      </c>
      <c r="G335" s="5" t="s">
        <v>80</v>
      </c>
      <c r="H335" s="5" t="s">
        <v>81</v>
      </c>
      <c r="I335" s="5"/>
      <c r="J335" s="5"/>
      <c r="K335" s="5">
        <v>217</v>
      </c>
      <c r="L335" s="5">
        <v>18</v>
      </c>
      <c r="M335" s="5">
        <v>3</v>
      </c>
      <c r="N335" s="5" t="s">
        <v>3</v>
      </c>
      <c r="O335" s="5">
        <v>2</v>
      </c>
      <c r="P335" s="5">
        <f>ROUND(Source!EM316,O335)</f>
        <v>0</v>
      </c>
      <c r="Q335" s="5"/>
      <c r="R335" s="5"/>
      <c r="S335" s="5"/>
      <c r="T335" s="5"/>
      <c r="U335" s="5"/>
      <c r="V335" s="5"/>
      <c r="W335" s="5">
        <v>0</v>
      </c>
      <c r="X335" s="5">
        <v>1</v>
      </c>
      <c r="Y335" s="5">
        <v>0</v>
      </c>
      <c r="Z335" s="5">
        <v>0</v>
      </c>
      <c r="AA335" s="5">
        <v>1</v>
      </c>
      <c r="AB335" s="5">
        <v>0</v>
      </c>
    </row>
    <row r="336" spans="1:28" x14ac:dyDescent="0.2">
      <c r="A336" s="5">
        <v>50</v>
      </c>
      <c r="B336" s="5">
        <v>0</v>
      </c>
      <c r="C336" s="5">
        <v>0</v>
      </c>
      <c r="D336" s="5">
        <v>1</v>
      </c>
      <c r="E336" s="5">
        <v>230</v>
      </c>
      <c r="F336" s="5">
        <f>ROUND(Source!BA316,O336)</f>
        <v>0</v>
      </c>
      <c r="G336" s="5" t="s">
        <v>82</v>
      </c>
      <c r="H336" s="5" t="s">
        <v>83</v>
      </c>
      <c r="I336" s="5"/>
      <c r="J336" s="5"/>
      <c r="K336" s="5">
        <v>230</v>
      </c>
      <c r="L336" s="5">
        <v>19</v>
      </c>
      <c r="M336" s="5">
        <v>3</v>
      </c>
      <c r="N336" s="5" t="s">
        <v>3</v>
      </c>
      <c r="O336" s="5">
        <v>2</v>
      </c>
      <c r="P336" s="5">
        <f>ROUND(Source!ES316,O336)</f>
        <v>0</v>
      </c>
      <c r="Q336" s="5"/>
      <c r="R336" s="5"/>
      <c r="S336" s="5"/>
      <c r="T336" s="5"/>
      <c r="U336" s="5"/>
      <c r="V336" s="5"/>
      <c r="W336" s="5">
        <v>0</v>
      </c>
      <c r="X336" s="5">
        <v>1</v>
      </c>
      <c r="Y336" s="5">
        <v>0</v>
      </c>
      <c r="Z336" s="5">
        <v>0</v>
      </c>
      <c r="AA336" s="5">
        <v>1</v>
      </c>
      <c r="AB336" s="5">
        <v>0</v>
      </c>
    </row>
    <row r="337" spans="1:255" x14ac:dyDescent="0.2">
      <c r="A337" s="5">
        <v>50</v>
      </c>
      <c r="B337" s="5">
        <v>0</v>
      </c>
      <c r="C337" s="5">
        <v>0</v>
      </c>
      <c r="D337" s="5">
        <v>1</v>
      </c>
      <c r="E337" s="5">
        <v>206</v>
      </c>
      <c r="F337" s="5">
        <f>ROUND(Source!T316,O337)</f>
        <v>0</v>
      </c>
      <c r="G337" s="5" t="s">
        <v>84</v>
      </c>
      <c r="H337" s="5" t="s">
        <v>85</v>
      </c>
      <c r="I337" s="5"/>
      <c r="J337" s="5"/>
      <c r="K337" s="5">
        <v>206</v>
      </c>
      <c r="L337" s="5">
        <v>20</v>
      </c>
      <c r="M337" s="5">
        <v>3</v>
      </c>
      <c r="N337" s="5" t="s">
        <v>3</v>
      </c>
      <c r="O337" s="5">
        <v>2</v>
      </c>
      <c r="P337" s="5">
        <f>ROUND(Source!DL316,O337)</f>
        <v>0</v>
      </c>
      <c r="Q337" s="5"/>
      <c r="R337" s="5"/>
      <c r="S337" s="5"/>
      <c r="T337" s="5"/>
      <c r="U337" s="5"/>
      <c r="V337" s="5"/>
      <c r="W337" s="5">
        <v>0</v>
      </c>
      <c r="X337" s="5">
        <v>1</v>
      </c>
      <c r="Y337" s="5">
        <v>0</v>
      </c>
      <c r="Z337" s="5">
        <v>0</v>
      </c>
      <c r="AA337" s="5">
        <v>1</v>
      </c>
      <c r="AB337" s="5">
        <v>0</v>
      </c>
    </row>
    <row r="338" spans="1:255" x14ac:dyDescent="0.2">
      <c r="A338" s="5">
        <v>50</v>
      </c>
      <c r="B338" s="5">
        <v>0</v>
      </c>
      <c r="C338" s="5">
        <v>0</v>
      </c>
      <c r="D338" s="5">
        <v>1</v>
      </c>
      <c r="E338" s="5">
        <v>207</v>
      </c>
      <c r="F338" s="5">
        <f>Source!U316</f>
        <v>10.422790399999997</v>
      </c>
      <c r="G338" s="5" t="s">
        <v>86</v>
      </c>
      <c r="H338" s="5" t="s">
        <v>87</v>
      </c>
      <c r="I338" s="5"/>
      <c r="J338" s="5"/>
      <c r="K338" s="5">
        <v>207</v>
      </c>
      <c r="L338" s="5">
        <v>21</v>
      </c>
      <c r="M338" s="5">
        <v>3</v>
      </c>
      <c r="N338" s="5" t="s">
        <v>3</v>
      </c>
      <c r="O338" s="5">
        <v>-1</v>
      </c>
      <c r="P338" s="5">
        <f>Source!DM316</f>
        <v>10.422790399999997</v>
      </c>
      <c r="Q338" s="5"/>
      <c r="R338" s="5"/>
      <c r="S338" s="5"/>
      <c r="T338" s="5"/>
      <c r="U338" s="5"/>
      <c r="V338" s="5"/>
      <c r="W338" s="5">
        <v>10.4227904</v>
      </c>
      <c r="X338" s="5">
        <v>1</v>
      </c>
      <c r="Y338" s="5">
        <v>10.4227904</v>
      </c>
      <c r="Z338" s="5">
        <v>10.4227904</v>
      </c>
      <c r="AA338" s="5">
        <v>1</v>
      </c>
      <c r="AB338" s="5">
        <v>10.4227904</v>
      </c>
    </row>
    <row r="339" spans="1:255" x14ac:dyDescent="0.2">
      <c r="A339" s="5">
        <v>50</v>
      </c>
      <c r="B339" s="5">
        <v>0</v>
      </c>
      <c r="C339" s="5">
        <v>0</v>
      </c>
      <c r="D339" s="5">
        <v>1</v>
      </c>
      <c r="E339" s="5">
        <v>208</v>
      </c>
      <c r="F339" s="5">
        <f>Source!V316</f>
        <v>0</v>
      </c>
      <c r="G339" s="5" t="s">
        <v>88</v>
      </c>
      <c r="H339" s="5" t="s">
        <v>89</v>
      </c>
      <c r="I339" s="5"/>
      <c r="J339" s="5"/>
      <c r="K339" s="5">
        <v>208</v>
      </c>
      <c r="L339" s="5">
        <v>22</v>
      </c>
      <c r="M339" s="5">
        <v>3</v>
      </c>
      <c r="N339" s="5" t="s">
        <v>3</v>
      </c>
      <c r="O339" s="5">
        <v>-1</v>
      </c>
      <c r="P339" s="5">
        <f>Source!DN316</f>
        <v>0</v>
      </c>
      <c r="Q339" s="5"/>
      <c r="R339" s="5"/>
      <c r="S339" s="5"/>
      <c r="T339" s="5"/>
      <c r="U339" s="5"/>
      <c r="V339" s="5"/>
      <c r="W339" s="5">
        <v>0</v>
      </c>
      <c r="X339" s="5">
        <v>1</v>
      </c>
      <c r="Y339" s="5">
        <v>0</v>
      </c>
      <c r="Z339" s="5">
        <v>0</v>
      </c>
      <c r="AA339" s="5">
        <v>1</v>
      </c>
      <c r="AB339" s="5">
        <v>0</v>
      </c>
    </row>
    <row r="340" spans="1:255" x14ac:dyDescent="0.2">
      <c r="A340" s="5">
        <v>50</v>
      </c>
      <c r="B340" s="5">
        <v>0</v>
      </c>
      <c r="C340" s="5">
        <v>0</v>
      </c>
      <c r="D340" s="5">
        <v>1</v>
      </c>
      <c r="E340" s="5">
        <v>209</v>
      </c>
      <c r="F340" s="5">
        <f>ROUND(Source!W316,O340)</f>
        <v>0</v>
      </c>
      <c r="G340" s="5" t="s">
        <v>90</v>
      </c>
      <c r="H340" s="5" t="s">
        <v>91</v>
      </c>
      <c r="I340" s="5"/>
      <c r="J340" s="5"/>
      <c r="K340" s="5">
        <v>209</v>
      </c>
      <c r="L340" s="5">
        <v>23</v>
      </c>
      <c r="M340" s="5">
        <v>3</v>
      </c>
      <c r="N340" s="5" t="s">
        <v>3</v>
      </c>
      <c r="O340" s="5">
        <v>2</v>
      </c>
      <c r="P340" s="5">
        <f>ROUND(Source!DO316,O340)</f>
        <v>0</v>
      </c>
      <c r="Q340" s="5"/>
      <c r="R340" s="5"/>
      <c r="S340" s="5"/>
      <c r="T340" s="5"/>
      <c r="U340" s="5"/>
      <c r="V340" s="5"/>
      <c r="W340" s="5">
        <v>0</v>
      </c>
      <c r="X340" s="5">
        <v>1</v>
      </c>
      <c r="Y340" s="5">
        <v>0</v>
      </c>
      <c r="Z340" s="5">
        <v>0</v>
      </c>
      <c r="AA340" s="5">
        <v>1</v>
      </c>
      <c r="AB340" s="5">
        <v>0</v>
      </c>
    </row>
    <row r="341" spans="1:255" x14ac:dyDescent="0.2">
      <c r="A341" s="5">
        <v>50</v>
      </c>
      <c r="B341" s="5">
        <v>0</v>
      </c>
      <c r="C341" s="5">
        <v>0</v>
      </c>
      <c r="D341" s="5">
        <v>1</v>
      </c>
      <c r="E341" s="5">
        <v>233</v>
      </c>
      <c r="F341" s="5">
        <f>ROUND(Source!BD316,O341)</f>
        <v>0</v>
      </c>
      <c r="G341" s="5" t="s">
        <v>92</v>
      </c>
      <c r="H341" s="5" t="s">
        <v>93</v>
      </c>
      <c r="I341" s="5"/>
      <c r="J341" s="5"/>
      <c r="K341" s="5">
        <v>233</v>
      </c>
      <c r="L341" s="5">
        <v>24</v>
      </c>
      <c r="M341" s="5">
        <v>3</v>
      </c>
      <c r="N341" s="5" t="s">
        <v>3</v>
      </c>
      <c r="O341" s="5">
        <v>2</v>
      </c>
      <c r="P341" s="5">
        <f>ROUND(Source!EV316,O341)</f>
        <v>0</v>
      </c>
      <c r="Q341" s="5"/>
      <c r="R341" s="5"/>
      <c r="S341" s="5"/>
      <c r="T341" s="5"/>
      <c r="U341" s="5"/>
      <c r="V341" s="5"/>
      <c r="W341" s="5">
        <v>0</v>
      </c>
      <c r="X341" s="5">
        <v>1</v>
      </c>
      <c r="Y341" s="5">
        <v>0</v>
      </c>
      <c r="Z341" s="5">
        <v>0</v>
      </c>
      <c r="AA341" s="5">
        <v>1</v>
      </c>
      <c r="AB341" s="5">
        <v>0</v>
      </c>
    </row>
    <row r="342" spans="1:255" x14ac:dyDescent="0.2">
      <c r="A342" s="5">
        <v>50</v>
      </c>
      <c r="B342" s="5">
        <v>0</v>
      </c>
      <c r="C342" s="5">
        <v>0</v>
      </c>
      <c r="D342" s="5">
        <v>1</v>
      </c>
      <c r="E342" s="5">
        <v>210</v>
      </c>
      <c r="F342" s="5">
        <f>ROUND(Source!X316,O342)</f>
        <v>166.07</v>
      </c>
      <c r="G342" s="5" t="s">
        <v>94</v>
      </c>
      <c r="H342" s="5" t="s">
        <v>95</v>
      </c>
      <c r="I342" s="5"/>
      <c r="J342" s="5"/>
      <c r="K342" s="5">
        <v>210</v>
      </c>
      <c r="L342" s="5">
        <v>25</v>
      </c>
      <c r="M342" s="5">
        <v>3</v>
      </c>
      <c r="N342" s="5" t="s">
        <v>3</v>
      </c>
      <c r="O342" s="5">
        <v>2</v>
      </c>
      <c r="P342" s="5">
        <f>ROUND(Source!DP316,O342)</f>
        <v>9132.08</v>
      </c>
      <c r="Q342" s="5"/>
      <c r="R342" s="5"/>
      <c r="S342" s="5"/>
      <c r="T342" s="5"/>
      <c r="U342" s="5"/>
      <c r="V342" s="5"/>
      <c r="W342" s="5">
        <v>166.07</v>
      </c>
      <c r="X342" s="5">
        <v>1</v>
      </c>
      <c r="Y342" s="5">
        <v>166.07</v>
      </c>
      <c r="Z342" s="5">
        <v>9132.08</v>
      </c>
      <c r="AA342" s="5">
        <v>1</v>
      </c>
      <c r="AB342" s="5">
        <v>9132.08</v>
      </c>
    </row>
    <row r="343" spans="1:255" x14ac:dyDescent="0.2">
      <c r="A343" s="5">
        <v>50</v>
      </c>
      <c r="B343" s="5">
        <v>0</v>
      </c>
      <c r="C343" s="5">
        <v>0</v>
      </c>
      <c r="D343" s="5">
        <v>1</v>
      </c>
      <c r="E343" s="5">
        <v>211</v>
      </c>
      <c r="F343" s="5">
        <f>ROUND(Source!Y316,O343)</f>
        <v>77.5</v>
      </c>
      <c r="G343" s="5" t="s">
        <v>96</v>
      </c>
      <c r="H343" s="5" t="s">
        <v>97</v>
      </c>
      <c r="I343" s="5"/>
      <c r="J343" s="5"/>
      <c r="K343" s="5">
        <v>211</v>
      </c>
      <c r="L343" s="5">
        <v>26</v>
      </c>
      <c r="M343" s="5">
        <v>3</v>
      </c>
      <c r="N343" s="5" t="s">
        <v>3</v>
      </c>
      <c r="O343" s="5">
        <v>2</v>
      </c>
      <c r="P343" s="5">
        <f>ROUND(Source!DQ316,O343)</f>
        <v>4261.6400000000003</v>
      </c>
      <c r="Q343" s="5"/>
      <c r="R343" s="5"/>
      <c r="S343" s="5"/>
      <c r="T343" s="5"/>
      <c r="U343" s="5"/>
      <c r="V343" s="5"/>
      <c r="W343" s="5">
        <v>77.5</v>
      </c>
      <c r="X343" s="5">
        <v>1</v>
      </c>
      <c r="Y343" s="5">
        <v>77.5</v>
      </c>
      <c r="Z343" s="5">
        <v>4261.6400000000003</v>
      </c>
      <c r="AA343" s="5">
        <v>1</v>
      </c>
      <c r="AB343" s="5">
        <v>4261.6400000000003</v>
      </c>
    </row>
    <row r="344" spans="1:255" x14ac:dyDescent="0.2">
      <c r="A344" s="5">
        <v>50</v>
      </c>
      <c r="B344" s="5">
        <v>0</v>
      </c>
      <c r="C344" s="5">
        <v>0</v>
      </c>
      <c r="D344" s="5">
        <v>1</v>
      </c>
      <c r="E344" s="5">
        <v>224</v>
      </c>
      <c r="F344" s="5">
        <f>ROUND(Source!AR316,O344)</f>
        <v>993.85</v>
      </c>
      <c r="G344" s="5" t="s">
        <v>98</v>
      </c>
      <c r="H344" s="5" t="s">
        <v>99</v>
      </c>
      <c r="I344" s="5"/>
      <c r="J344" s="5"/>
      <c r="K344" s="5">
        <v>224</v>
      </c>
      <c r="L344" s="5">
        <v>27</v>
      </c>
      <c r="M344" s="5">
        <v>3</v>
      </c>
      <c r="N344" s="5" t="s">
        <v>3</v>
      </c>
      <c r="O344" s="5">
        <v>2</v>
      </c>
      <c r="P344" s="5">
        <f>ROUND(Source!EJ316,O344)</f>
        <v>28285.16</v>
      </c>
      <c r="Q344" s="5"/>
      <c r="R344" s="5"/>
      <c r="S344" s="5"/>
      <c r="T344" s="5"/>
      <c r="U344" s="5"/>
      <c r="V344" s="5"/>
      <c r="W344" s="5">
        <v>993.85</v>
      </c>
      <c r="X344" s="5">
        <v>1</v>
      </c>
      <c r="Y344" s="5">
        <v>993.85</v>
      </c>
      <c r="Z344" s="5">
        <v>28285.16</v>
      </c>
      <c r="AA344" s="5">
        <v>1</v>
      </c>
      <c r="AB344" s="5">
        <v>28285.16</v>
      </c>
    </row>
    <row r="346" spans="1:255" x14ac:dyDescent="0.2">
      <c r="A346" s="1">
        <v>4</v>
      </c>
      <c r="B346" s="1">
        <v>1</v>
      </c>
      <c r="C346" s="1"/>
      <c r="D346" s="1">
        <f>ROW(A355)</f>
        <v>355</v>
      </c>
      <c r="E346" s="1"/>
      <c r="F346" s="1" t="s">
        <v>3</v>
      </c>
      <c r="G346" s="1" t="s">
        <v>256</v>
      </c>
      <c r="H346" s="1" t="s">
        <v>3</v>
      </c>
      <c r="I346" s="1">
        <v>0</v>
      </c>
      <c r="J346" s="1"/>
      <c r="K346" s="1">
        <v>-1</v>
      </c>
      <c r="L346" s="1"/>
      <c r="M346" s="1" t="s">
        <v>3</v>
      </c>
      <c r="N346" s="1"/>
      <c r="O346" s="1"/>
      <c r="P346" s="1"/>
      <c r="Q346" s="1"/>
      <c r="R346" s="1"/>
      <c r="S346" s="1">
        <v>0</v>
      </c>
      <c r="T346" s="1">
        <v>0</v>
      </c>
      <c r="U346" s="1" t="s">
        <v>3</v>
      </c>
      <c r="V346" s="1">
        <v>2</v>
      </c>
      <c r="W346" s="1"/>
      <c r="X346" s="1"/>
      <c r="Y346" s="1"/>
      <c r="Z346" s="1"/>
      <c r="AA346" s="1"/>
      <c r="AB346" s="1" t="s">
        <v>3</v>
      </c>
      <c r="AC346" s="1" t="s">
        <v>3</v>
      </c>
      <c r="AD346" s="1" t="s">
        <v>3</v>
      </c>
      <c r="AE346" s="1" t="s">
        <v>3</v>
      </c>
      <c r="AF346" s="1" t="s">
        <v>3</v>
      </c>
      <c r="AG346" s="1" t="s">
        <v>3</v>
      </c>
      <c r="AH346" s="1"/>
      <c r="AI346" s="1"/>
      <c r="AJ346" s="1"/>
      <c r="AK346" s="1"/>
      <c r="AL346" s="1"/>
      <c r="AM346" s="1"/>
      <c r="AN346" s="1"/>
      <c r="AO346" s="1"/>
      <c r="AP346" s="1" t="s">
        <v>3</v>
      </c>
      <c r="AQ346" s="1" t="s">
        <v>3</v>
      </c>
      <c r="AR346" s="1" t="s">
        <v>3</v>
      </c>
      <c r="AS346" s="1"/>
      <c r="AT346" s="1"/>
      <c r="AU346" s="1"/>
      <c r="AV346" s="1"/>
      <c r="AW346" s="1"/>
      <c r="AX346" s="1"/>
      <c r="AY346" s="1"/>
      <c r="AZ346" s="1" t="s">
        <v>3</v>
      </c>
      <c r="BA346" s="1"/>
      <c r="BB346" s="1" t="s">
        <v>3</v>
      </c>
      <c r="BC346" s="1" t="s">
        <v>3</v>
      </c>
      <c r="BD346" s="1" t="s">
        <v>3</v>
      </c>
      <c r="BE346" s="1" t="s">
        <v>3</v>
      </c>
      <c r="BF346" s="1" t="s">
        <v>3</v>
      </c>
      <c r="BG346" s="1" t="s">
        <v>3</v>
      </c>
      <c r="BH346" s="1" t="s">
        <v>3</v>
      </c>
      <c r="BI346" s="1" t="s">
        <v>3</v>
      </c>
      <c r="BJ346" s="1" t="s">
        <v>3</v>
      </c>
      <c r="BK346" s="1" t="s">
        <v>3</v>
      </c>
      <c r="BL346" s="1" t="s">
        <v>3</v>
      </c>
      <c r="BM346" s="1" t="s">
        <v>3</v>
      </c>
      <c r="BN346" s="1" t="s">
        <v>3</v>
      </c>
      <c r="BO346" s="1" t="s">
        <v>3</v>
      </c>
      <c r="BP346" s="1" t="s">
        <v>3</v>
      </c>
      <c r="BQ346" s="1"/>
      <c r="BR346" s="1"/>
      <c r="BS346" s="1"/>
      <c r="BT346" s="1"/>
      <c r="BU346" s="1"/>
      <c r="BV346" s="1"/>
      <c r="BW346" s="1"/>
      <c r="BX346" s="1">
        <v>0</v>
      </c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>
        <v>0</v>
      </c>
    </row>
    <row r="348" spans="1:255" x14ac:dyDescent="0.2">
      <c r="A348" s="3">
        <v>52</v>
      </c>
      <c r="B348" s="3">
        <f t="shared" ref="B348:G348" si="265">B355</f>
        <v>1</v>
      </c>
      <c r="C348" s="3">
        <f t="shared" si="265"/>
        <v>4</v>
      </c>
      <c r="D348" s="3">
        <f t="shared" si="265"/>
        <v>346</v>
      </c>
      <c r="E348" s="3">
        <f t="shared" si="265"/>
        <v>0</v>
      </c>
      <c r="F348" s="3" t="str">
        <f t="shared" si="265"/>
        <v/>
      </c>
      <c r="G348" s="3" t="str">
        <f t="shared" si="265"/>
        <v>Тактильные предупреждающие наклейки на поручни</v>
      </c>
      <c r="H348" s="3"/>
      <c r="I348" s="3"/>
      <c r="J348" s="3"/>
      <c r="K348" s="3"/>
      <c r="L348" s="3"/>
      <c r="M348" s="3"/>
      <c r="N348" s="3"/>
      <c r="O348" s="3">
        <f t="shared" ref="O348:AT348" si="266">O355</f>
        <v>1795.48</v>
      </c>
      <c r="P348" s="3">
        <f t="shared" si="266"/>
        <v>1757.29</v>
      </c>
      <c r="Q348" s="3">
        <f t="shared" si="266"/>
        <v>0.21</v>
      </c>
      <c r="R348" s="3">
        <f t="shared" si="266"/>
        <v>0.03</v>
      </c>
      <c r="S348" s="3">
        <f t="shared" si="266"/>
        <v>37.979999999999997</v>
      </c>
      <c r="T348" s="3">
        <f t="shared" si="266"/>
        <v>0</v>
      </c>
      <c r="U348" s="3">
        <f t="shared" si="266"/>
        <v>2.1472109999999995</v>
      </c>
      <c r="V348" s="3">
        <f t="shared" si="266"/>
        <v>0</v>
      </c>
      <c r="W348" s="3">
        <f t="shared" si="266"/>
        <v>0</v>
      </c>
      <c r="X348" s="3">
        <f t="shared" si="266"/>
        <v>34.21</v>
      </c>
      <c r="Y348" s="3">
        <f t="shared" si="266"/>
        <v>15.96</v>
      </c>
      <c r="Z348" s="3">
        <f t="shared" si="266"/>
        <v>0</v>
      </c>
      <c r="AA348" s="3">
        <f t="shared" si="266"/>
        <v>0</v>
      </c>
      <c r="AB348" s="3">
        <f t="shared" si="266"/>
        <v>1795.48</v>
      </c>
      <c r="AC348" s="3">
        <f t="shared" si="266"/>
        <v>1757.29</v>
      </c>
      <c r="AD348" s="3">
        <f t="shared" si="266"/>
        <v>0.21</v>
      </c>
      <c r="AE348" s="3">
        <f t="shared" si="266"/>
        <v>0.03</v>
      </c>
      <c r="AF348" s="3">
        <f t="shared" si="266"/>
        <v>37.979999999999997</v>
      </c>
      <c r="AG348" s="3">
        <f t="shared" si="266"/>
        <v>0</v>
      </c>
      <c r="AH348" s="3">
        <f t="shared" si="266"/>
        <v>2.1472109999999995</v>
      </c>
      <c r="AI348" s="3">
        <f t="shared" si="266"/>
        <v>0</v>
      </c>
      <c r="AJ348" s="3">
        <f t="shared" si="266"/>
        <v>0</v>
      </c>
      <c r="AK348" s="3">
        <f t="shared" si="266"/>
        <v>34.21</v>
      </c>
      <c r="AL348" s="3">
        <f t="shared" si="266"/>
        <v>15.96</v>
      </c>
      <c r="AM348" s="3">
        <f t="shared" si="266"/>
        <v>0</v>
      </c>
      <c r="AN348" s="3">
        <f t="shared" si="266"/>
        <v>0</v>
      </c>
      <c r="AO348" s="3">
        <f t="shared" si="266"/>
        <v>0</v>
      </c>
      <c r="AP348" s="3">
        <f t="shared" si="266"/>
        <v>0</v>
      </c>
      <c r="AQ348" s="3">
        <f t="shared" si="266"/>
        <v>0</v>
      </c>
      <c r="AR348" s="3">
        <f t="shared" si="266"/>
        <v>1845.65</v>
      </c>
      <c r="AS348" s="3">
        <f t="shared" si="266"/>
        <v>1845.65</v>
      </c>
      <c r="AT348" s="3">
        <f t="shared" si="266"/>
        <v>0</v>
      </c>
      <c r="AU348" s="3">
        <f t="shared" ref="AU348:BZ348" si="267">AU355</f>
        <v>0</v>
      </c>
      <c r="AV348" s="3">
        <f t="shared" si="267"/>
        <v>1757.29</v>
      </c>
      <c r="AW348" s="3">
        <f t="shared" si="267"/>
        <v>1757.29</v>
      </c>
      <c r="AX348" s="3">
        <f t="shared" si="267"/>
        <v>0</v>
      </c>
      <c r="AY348" s="3">
        <f t="shared" si="267"/>
        <v>1757.29</v>
      </c>
      <c r="AZ348" s="3">
        <f t="shared" si="267"/>
        <v>0</v>
      </c>
      <c r="BA348" s="3">
        <f t="shared" si="267"/>
        <v>0</v>
      </c>
      <c r="BB348" s="3">
        <f t="shared" si="267"/>
        <v>0</v>
      </c>
      <c r="BC348" s="3">
        <f t="shared" si="267"/>
        <v>0</v>
      </c>
      <c r="BD348" s="3">
        <f t="shared" si="267"/>
        <v>0</v>
      </c>
      <c r="BE348" s="3">
        <f t="shared" si="267"/>
        <v>0</v>
      </c>
      <c r="BF348" s="3">
        <f t="shared" si="267"/>
        <v>0</v>
      </c>
      <c r="BG348" s="3">
        <f t="shared" si="267"/>
        <v>0</v>
      </c>
      <c r="BH348" s="3">
        <f t="shared" si="267"/>
        <v>0</v>
      </c>
      <c r="BI348" s="3">
        <f t="shared" si="267"/>
        <v>0</v>
      </c>
      <c r="BJ348" s="3">
        <f t="shared" si="267"/>
        <v>0</v>
      </c>
      <c r="BK348" s="3">
        <f t="shared" si="267"/>
        <v>0</v>
      </c>
      <c r="BL348" s="3">
        <f t="shared" si="267"/>
        <v>0</v>
      </c>
      <c r="BM348" s="3">
        <f t="shared" si="267"/>
        <v>0</v>
      </c>
      <c r="BN348" s="3">
        <f t="shared" si="267"/>
        <v>0</v>
      </c>
      <c r="BO348" s="3">
        <f t="shared" si="267"/>
        <v>0</v>
      </c>
      <c r="BP348" s="3">
        <f t="shared" si="267"/>
        <v>0</v>
      </c>
      <c r="BQ348" s="3">
        <f t="shared" si="267"/>
        <v>0</v>
      </c>
      <c r="BR348" s="3">
        <f t="shared" si="267"/>
        <v>0</v>
      </c>
      <c r="BS348" s="3">
        <f t="shared" si="267"/>
        <v>0</v>
      </c>
      <c r="BT348" s="3">
        <f t="shared" si="267"/>
        <v>0</v>
      </c>
      <c r="BU348" s="3">
        <f t="shared" si="267"/>
        <v>0</v>
      </c>
      <c r="BV348" s="3">
        <f t="shared" si="267"/>
        <v>0</v>
      </c>
      <c r="BW348" s="3">
        <f t="shared" si="267"/>
        <v>0</v>
      </c>
      <c r="BX348" s="3">
        <f t="shared" si="267"/>
        <v>0</v>
      </c>
      <c r="BY348" s="3">
        <f t="shared" si="267"/>
        <v>0</v>
      </c>
      <c r="BZ348" s="3">
        <f t="shared" si="267"/>
        <v>0</v>
      </c>
      <c r="CA348" s="3">
        <f t="shared" ref="CA348:DF348" si="268">CA355</f>
        <v>1845.65</v>
      </c>
      <c r="CB348" s="3">
        <f t="shared" si="268"/>
        <v>1845.65</v>
      </c>
      <c r="CC348" s="3">
        <f t="shared" si="268"/>
        <v>0</v>
      </c>
      <c r="CD348" s="3">
        <f t="shared" si="268"/>
        <v>0</v>
      </c>
      <c r="CE348" s="3">
        <f t="shared" si="268"/>
        <v>1757.29</v>
      </c>
      <c r="CF348" s="3">
        <f t="shared" si="268"/>
        <v>1757.29</v>
      </c>
      <c r="CG348" s="3">
        <f t="shared" si="268"/>
        <v>0</v>
      </c>
      <c r="CH348" s="3">
        <f t="shared" si="268"/>
        <v>1757.29</v>
      </c>
      <c r="CI348" s="3">
        <f t="shared" si="268"/>
        <v>0</v>
      </c>
      <c r="CJ348" s="3">
        <f t="shared" si="268"/>
        <v>0</v>
      </c>
      <c r="CK348" s="3">
        <f t="shared" si="268"/>
        <v>0</v>
      </c>
      <c r="CL348" s="3">
        <f t="shared" si="268"/>
        <v>0</v>
      </c>
      <c r="CM348" s="3">
        <f t="shared" si="268"/>
        <v>0</v>
      </c>
      <c r="CN348" s="3">
        <f t="shared" si="268"/>
        <v>0</v>
      </c>
      <c r="CO348" s="3">
        <f t="shared" si="268"/>
        <v>0</v>
      </c>
      <c r="CP348" s="3">
        <f t="shared" si="268"/>
        <v>0</v>
      </c>
      <c r="CQ348" s="3">
        <f t="shared" si="268"/>
        <v>0</v>
      </c>
      <c r="CR348" s="3">
        <f t="shared" si="268"/>
        <v>0</v>
      </c>
      <c r="CS348" s="3">
        <f t="shared" si="268"/>
        <v>0</v>
      </c>
      <c r="CT348" s="3">
        <f t="shared" si="268"/>
        <v>0</v>
      </c>
      <c r="CU348" s="3">
        <f t="shared" si="268"/>
        <v>0</v>
      </c>
      <c r="CV348" s="3">
        <f t="shared" si="268"/>
        <v>0</v>
      </c>
      <c r="CW348" s="3">
        <f t="shared" si="268"/>
        <v>0</v>
      </c>
      <c r="CX348" s="3">
        <f t="shared" si="268"/>
        <v>0</v>
      </c>
      <c r="CY348" s="3">
        <f t="shared" si="268"/>
        <v>0</v>
      </c>
      <c r="CZ348" s="3">
        <f t="shared" si="268"/>
        <v>0</v>
      </c>
      <c r="DA348" s="3">
        <f t="shared" si="268"/>
        <v>0</v>
      </c>
      <c r="DB348" s="3">
        <f t="shared" si="268"/>
        <v>0</v>
      </c>
      <c r="DC348" s="3">
        <f t="shared" si="268"/>
        <v>0</v>
      </c>
      <c r="DD348" s="3">
        <f t="shared" si="268"/>
        <v>0</v>
      </c>
      <c r="DE348" s="3">
        <f t="shared" si="268"/>
        <v>0</v>
      </c>
      <c r="DF348" s="3">
        <f t="shared" si="268"/>
        <v>0</v>
      </c>
      <c r="DG348" s="4">
        <f t="shared" ref="DG348:EL348" si="269">DG355</f>
        <v>19280</v>
      </c>
      <c r="DH348" s="4">
        <f t="shared" si="269"/>
        <v>17188.060000000001</v>
      </c>
      <c r="DI348" s="4">
        <f t="shared" si="269"/>
        <v>3.42</v>
      </c>
      <c r="DJ348" s="4">
        <f t="shared" si="269"/>
        <v>1.65</v>
      </c>
      <c r="DK348" s="4">
        <f t="shared" si="269"/>
        <v>2088.52</v>
      </c>
      <c r="DL348" s="4">
        <f t="shared" si="269"/>
        <v>0</v>
      </c>
      <c r="DM348" s="4">
        <f t="shared" si="269"/>
        <v>2.1472109999999995</v>
      </c>
      <c r="DN348" s="4">
        <f t="shared" si="269"/>
        <v>0</v>
      </c>
      <c r="DO348" s="4">
        <f t="shared" si="269"/>
        <v>0</v>
      </c>
      <c r="DP348" s="4">
        <f t="shared" si="269"/>
        <v>1881.15</v>
      </c>
      <c r="DQ348" s="4">
        <f t="shared" si="269"/>
        <v>877.87</v>
      </c>
      <c r="DR348" s="4">
        <f t="shared" si="269"/>
        <v>0</v>
      </c>
      <c r="DS348" s="4">
        <f t="shared" si="269"/>
        <v>0</v>
      </c>
      <c r="DT348" s="4">
        <f t="shared" si="269"/>
        <v>19280</v>
      </c>
      <c r="DU348" s="4">
        <f t="shared" si="269"/>
        <v>17188.060000000001</v>
      </c>
      <c r="DV348" s="4">
        <f t="shared" si="269"/>
        <v>3.42</v>
      </c>
      <c r="DW348" s="4">
        <f t="shared" si="269"/>
        <v>1.65</v>
      </c>
      <c r="DX348" s="4">
        <f t="shared" si="269"/>
        <v>2088.52</v>
      </c>
      <c r="DY348" s="4">
        <f t="shared" si="269"/>
        <v>0</v>
      </c>
      <c r="DZ348" s="4">
        <f t="shared" si="269"/>
        <v>2.1472109999999995</v>
      </c>
      <c r="EA348" s="4">
        <f t="shared" si="269"/>
        <v>0</v>
      </c>
      <c r="EB348" s="4">
        <f t="shared" si="269"/>
        <v>0</v>
      </c>
      <c r="EC348" s="4">
        <f t="shared" si="269"/>
        <v>1881.15</v>
      </c>
      <c r="ED348" s="4">
        <f t="shared" si="269"/>
        <v>877.87</v>
      </c>
      <c r="EE348" s="4">
        <f t="shared" si="269"/>
        <v>0</v>
      </c>
      <c r="EF348" s="4">
        <f t="shared" si="269"/>
        <v>0</v>
      </c>
      <c r="EG348" s="4">
        <f t="shared" si="269"/>
        <v>0</v>
      </c>
      <c r="EH348" s="4">
        <f t="shared" si="269"/>
        <v>0</v>
      </c>
      <c r="EI348" s="4">
        <f t="shared" si="269"/>
        <v>0</v>
      </c>
      <c r="EJ348" s="4">
        <f t="shared" si="269"/>
        <v>22039.02</v>
      </c>
      <c r="EK348" s="4">
        <f t="shared" si="269"/>
        <v>22039.02</v>
      </c>
      <c r="EL348" s="4">
        <f t="shared" si="269"/>
        <v>0</v>
      </c>
      <c r="EM348" s="4">
        <f t="shared" ref="EM348:FR348" si="270">EM355</f>
        <v>0</v>
      </c>
      <c r="EN348" s="4">
        <f t="shared" si="270"/>
        <v>17188.060000000001</v>
      </c>
      <c r="EO348" s="4">
        <f t="shared" si="270"/>
        <v>17188.060000000001</v>
      </c>
      <c r="EP348" s="4">
        <f t="shared" si="270"/>
        <v>0</v>
      </c>
      <c r="EQ348" s="4">
        <f t="shared" si="270"/>
        <v>17188.060000000001</v>
      </c>
      <c r="ER348" s="4">
        <f t="shared" si="270"/>
        <v>0</v>
      </c>
      <c r="ES348" s="4">
        <f t="shared" si="270"/>
        <v>0</v>
      </c>
      <c r="ET348" s="4">
        <f t="shared" si="270"/>
        <v>0</v>
      </c>
      <c r="EU348" s="4">
        <f t="shared" si="270"/>
        <v>0</v>
      </c>
      <c r="EV348" s="4">
        <f t="shared" si="270"/>
        <v>0</v>
      </c>
      <c r="EW348" s="4">
        <f t="shared" si="270"/>
        <v>0</v>
      </c>
      <c r="EX348" s="4">
        <f t="shared" si="270"/>
        <v>0</v>
      </c>
      <c r="EY348" s="4">
        <f t="shared" si="270"/>
        <v>0</v>
      </c>
      <c r="EZ348" s="4">
        <f t="shared" si="270"/>
        <v>0</v>
      </c>
      <c r="FA348" s="4">
        <f t="shared" si="270"/>
        <v>0</v>
      </c>
      <c r="FB348" s="4">
        <f t="shared" si="270"/>
        <v>0</v>
      </c>
      <c r="FC348" s="4">
        <f t="shared" si="270"/>
        <v>0</v>
      </c>
      <c r="FD348" s="4">
        <f t="shared" si="270"/>
        <v>0</v>
      </c>
      <c r="FE348" s="4">
        <f t="shared" si="270"/>
        <v>0</v>
      </c>
      <c r="FF348" s="4">
        <f t="shared" si="270"/>
        <v>0</v>
      </c>
      <c r="FG348" s="4">
        <f t="shared" si="270"/>
        <v>0</v>
      </c>
      <c r="FH348" s="4">
        <f t="shared" si="270"/>
        <v>0</v>
      </c>
      <c r="FI348" s="4">
        <f t="shared" si="270"/>
        <v>0</v>
      </c>
      <c r="FJ348" s="4">
        <f t="shared" si="270"/>
        <v>0</v>
      </c>
      <c r="FK348" s="4">
        <f t="shared" si="270"/>
        <v>0</v>
      </c>
      <c r="FL348" s="4">
        <f t="shared" si="270"/>
        <v>0</v>
      </c>
      <c r="FM348" s="4">
        <f t="shared" si="270"/>
        <v>0</v>
      </c>
      <c r="FN348" s="4">
        <f t="shared" si="270"/>
        <v>0</v>
      </c>
      <c r="FO348" s="4">
        <f t="shared" si="270"/>
        <v>0</v>
      </c>
      <c r="FP348" s="4">
        <f t="shared" si="270"/>
        <v>0</v>
      </c>
      <c r="FQ348" s="4">
        <f t="shared" si="270"/>
        <v>0</v>
      </c>
      <c r="FR348" s="4">
        <f t="shared" si="270"/>
        <v>0</v>
      </c>
      <c r="FS348" s="4">
        <f t="shared" ref="FS348:GX348" si="271">FS355</f>
        <v>22039.02</v>
      </c>
      <c r="FT348" s="4">
        <f t="shared" si="271"/>
        <v>22039.02</v>
      </c>
      <c r="FU348" s="4">
        <f t="shared" si="271"/>
        <v>0</v>
      </c>
      <c r="FV348" s="4">
        <f t="shared" si="271"/>
        <v>0</v>
      </c>
      <c r="FW348" s="4">
        <f t="shared" si="271"/>
        <v>17188.060000000001</v>
      </c>
      <c r="FX348" s="4">
        <f t="shared" si="271"/>
        <v>17188.060000000001</v>
      </c>
      <c r="FY348" s="4">
        <f t="shared" si="271"/>
        <v>0</v>
      </c>
      <c r="FZ348" s="4">
        <f t="shared" si="271"/>
        <v>17188.060000000001</v>
      </c>
      <c r="GA348" s="4">
        <f t="shared" si="271"/>
        <v>0</v>
      </c>
      <c r="GB348" s="4">
        <f t="shared" si="271"/>
        <v>0</v>
      </c>
      <c r="GC348" s="4">
        <f t="shared" si="271"/>
        <v>0</v>
      </c>
      <c r="GD348" s="4">
        <f t="shared" si="271"/>
        <v>0</v>
      </c>
      <c r="GE348" s="4">
        <f t="shared" si="271"/>
        <v>0</v>
      </c>
      <c r="GF348" s="4">
        <f t="shared" si="271"/>
        <v>0</v>
      </c>
      <c r="GG348" s="4">
        <f t="shared" si="271"/>
        <v>0</v>
      </c>
      <c r="GH348" s="4">
        <f t="shared" si="271"/>
        <v>0</v>
      </c>
      <c r="GI348" s="4">
        <f t="shared" si="271"/>
        <v>0</v>
      </c>
      <c r="GJ348" s="4">
        <f t="shared" si="271"/>
        <v>0</v>
      </c>
      <c r="GK348" s="4">
        <f t="shared" si="271"/>
        <v>0</v>
      </c>
      <c r="GL348" s="4">
        <f t="shared" si="271"/>
        <v>0</v>
      </c>
      <c r="GM348" s="4">
        <f t="shared" si="271"/>
        <v>0</v>
      </c>
      <c r="GN348" s="4">
        <f t="shared" si="271"/>
        <v>0</v>
      </c>
      <c r="GO348" s="4">
        <f t="shared" si="271"/>
        <v>0</v>
      </c>
      <c r="GP348" s="4">
        <f t="shared" si="271"/>
        <v>0</v>
      </c>
      <c r="GQ348" s="4">
        <f t="shared" si="271"/>
        <v>0</v>
      </c>
      <c r="GR348" s="4">
        <f t="shared" si="271"/>
        <v>0</v>
      </c>
      <c r="GS348" s="4">
        <f t="shared" si="271"/>
        <v>0</v>
      </c>
      <c r="GT348" s="4">
        <f t="shared" si="271"/>
        <v>0</v>
      </c>
      <c r="GU348" s="4">
        <f t="shared" si="271"/>
        <v>0</v>
      </c>
      <c r="GV348" s="4">
        <f t="shared" si="271"/>
        <v>0</v>
      </c>
      <c r="GW348" s="4">
        <f t="shared" si="271"/>
        <v>0</v>
      </c>
      <c r="GX348" s="4">
        <f t="shared" si="271"/>
        <v>0</v>
      </c>
    </row>
    <row r="350" spans="1:255" x14ac:dyDescent="0.2">
      <c r="A350" s="2">
        <v>17</v>
      </c>
      <c r="B350" s="2">
        <v>1</v>
      </c>
      <c r="C350" s="2">
        <f>ROW(SmtRes!A141)</f>
        <v>141</v>
      </c>
      <c r="D350" s="2">
        <f>ROW(EtalonRes!A151)</f>
        <v>151</v>
      </c>
      <c r="E350" s="2" t="s">
        <v>257</v>
      </c>
      <c r="F350" s="2" t="s">
        <v>246</v>
      </c>
      <c r="G350" s="2" t="s">
        <v>247</v>
      </c>
      <c r="H350" s="2" t="s">
        <v>248</v>
      </c>
      <c r="I350" s="2">
        <f>ROUND((0.23*0.075*3*50)/100,9)</f>
        <v>2.5874999999999999E-2</v>
      </c>
      <c r="J350" s="2">
        <v>0</v>
      </c>
      <c r="K350" s="2">
        <f>ROUND((0.23*0.075*3*50)/100,9)</f>
        <v>2.5874999999999999E-2</v>
      </c>
      <c r="L350" s="2"/>
      <c r="M350" s="2"/>
      <c r="N350" s="2"/>
      <c r="O350" s="2">
        <f>ROUND(CP350,2)</f>
        <v>65.98</v>
      </c>
      <c r="P350" s="2">
        <f>ROUND((ROUND((AC350*AW350*I350),2)*BC350),2)</f>
        <v>27.79</v>
      </c>
      <c r="Q350" s="2">
        <f>(ROUND((ROUND(((((ET350*1.25)*1.1))*AV350*I350),2)*BB350),2)+ROUND((ROUND(((AE350-(((EU350*1.25)*1.1)))*AV350*I350),2)*BS350),2))</f>
        <v>0.21</v>
      </c>
      <c r="R350" s="2">
        <f>(ROUND((ROUND(((((EU350*1.25)*1.1))*AV350*I350),2)*BS350),2)+ROUND((ROUND(((AE350-(((EU350*1.25)*1.1)))*AV350*I350),2)*BS350),2))</f>
        <v>0.03</v>
      </c>
      <c r="S350" s="2">
        <f>ROUND((ROUND((AF350*AV350*I350),2)*BA350),2)</f>
        <v>37.979999999999997</v>
      </c>
      <c r="T350" s="2">
        <f>ROUND(CU350*I350,2)</f>
        <v>0</v>
      </c>
      <c r="U350" s="2">
        <f>CV350*I350</f>
        <v>2.1472109999999995</v>
      </c>
      <c r="V350" s="2">
        <f>CW350*I350</f>
        <v>0</v>
      </c>
      <c r="W350" s="2">
        <f>ROUND(CX350*I350,2)</f>
        <v>0</v>
      </c>
      <c r="X350" s="2">
        <f>(ROUND((((S350+ROUND((ROUND(((((EU350*1.25)*1.1))*AV350*I350),2)*BS350),2))*AT350)/100),2)+ROUND(((ROUND((ROUND(((AE350-(((EU350*1.25)*1.1)))*AV350*I350),2)*BS350),2)*AT350)/100),2))</f>
        <v>34.21</v>
      </c>
      <c r="Y350" s="2">
        <f>(ROUND((((S350+ROUND((ROUND(((((EU350*1.25)*1.1))*AV350*I350),2)*BS350),2))*AU350)/100),2)+ROUND(((ROUND((ROUND(((AE350-(((EU350*1.25)*1.1)))*AV350*I350),2)*BS350),2)*AU350)/100),2))</f>
        <v>15.96</v>
      </c>
      <c r="Z350" s="2"/>
      <c r="AA350" s="2">
        <v>59499218</v>
      </c>
      <c r="AB350" s="2">
        <f>ROUND((AC350+AD350+AF350),6)</f>
        <v>2513.9904499999998</v>
      </c>
      <c r="AC350" s="2">
        <f>ROUND((ES350),6)</f>
        <v>1073.97</v>
      </c>
      <c r="AD350" s="2">
        <f>ROUND((((((ET350*1.25)*1.1))-(((EU350*1.25)*1.1)))+AE350),6)</f>
        <v>8.0024999999999995</v>
      </c>
      <c r="AE350" s="2">
        <f>ROUND((((EU350*1.25)*1.1)),6)</f>
        <v>1.21</v>
      </c>
      <c r="AF350" s="2">
        <f>ROUND((((EV350*1.15)*1.1)),6)</f>
        <v>1432.0179499999999</v>
      </c>
      <c r="AG350" s="2">
        <f>ROUND((AP350),6)</f>
        <v>0</v>
      </c>
      <c r="AH350" s="2">
        <f>(((EW350*1.15)*1.1))</f>
        <v>80.959999999999994</v>
      </c>
      <c r="AI350" s="2">
        <f>(((EX350*1.25)*1.1))</f>
        <v>0</v>
      </c>
      <c r="AJ350" s="2">
        <f>(AS350)</f>
        <v>0</v>
      </c>
      <c r="AK350" s="2">
        <v>2211.8200000000002</v>
      </c>
      <c r="AL350" s="2">
        <v>1073.97</v>
      </c>
      <c r="AM350" s="2">
        <v>5.82</v>
      </c>
      <c r="AN350" s="2">
        <v>0.88</v>
      </c>
      <c r="AO350" s="2">
        <v>1132.03</v>
      </c>
      <c r="AP350" s="2">
        <v>0</v>
      </c>
      <c r="AQ350" s="2">
        <v>64</v>
      </c>
      <c r="AR350" s="2">
        <v>0</v>
      </c>
      <c r="AS350" s="2">
        <v>0</v>
      </c>
      <c r="AT350" s="2">
        <v>90</v>
      </c>
      <c r="AU350" s="2">
        <v>42</v>
      </c>
      <c r="AV350" s="2">
        <v>1.0249999999999999</v>
      </c>
      <c r="AW350" s="2">
        <v>1</v>
      </c>
      <c r="AX350" s="2"/>
      <c r="AY350" s="2"/>
      <c r="AZ350" s="2">
        <v>1</v>
      </c>
      <c r="BA350" s="2">
        <v>1</v>
      </c>
      <c r="BB350" s="2">
        <v>1</v>
      </c>
      <c r="BC350" s="2">
        <v>1</v>
      </c>
      <c r="BD350" s="2" t="s">
        <v>3</v>
      </c>
      <c r="BE350" s="2" t="s">
        <v>3</v>
      </c>
      <c r="BF350" s="2" t="s">
        <v>3</v>
      </c>
      <c r="BG350" s="2" t="s">
        <v>3</v>
      </c>
      <c r="BH350" s="2">
        <v>0</v>
      </c>
      <c r="BI350" s="2">
        <v>1</v>
      </c>
      <c r="BJ350" s="2" t="s">
        <v>249</v>
      </c>
      <c r="BK350" s="2"/>
      <c r="BL350" s="2"/>
      <c r="BM350" s="2">
        <v>60</v>
      </c>
      <c r="BN350" s="2">
        <v>59298886</v>
      </c>
      <c r="BO350" s="2" t="s">
        <v>246</v>
      </c>
      <c r="BP350" s="2">
        <v>1</v>
      </c>
      <c r="BQ350" s="2">
        <v>30</v>
      </c>
      <c r="BR350" s="2">
        <v>0</v>
      </c>
      <c r="BS350" s="2">
        <v>1</v>
      </c>
      <c r="BT350" s="2">
        <v>1</v>
      </c>
      <c r="BU350" s="2">
        <v>1</v>
      </c>
      <c r="BV350" s="2">
        <v>1</v>
      </c>
      <c r="BW350" s="2">
        <v>1</v>
      </c>
      <c r="BX350" s="2">
        <v>1</v>
      </c>
      <c r="BY350" s="2" t="s">
        <v>3</v>
      </c>
      <c r="BZ350" s="2">
        <v>90</v>
      </c>
      <c r="CA350" s="2">
        <v>42</v>
      </c>
      <c r="CB350" s="2" t="s">
        <v>3</v>
      </c>
      <c r="CC350" s="2"/>
      <c r="CD350" s="2"/>
      <c r="CE350" s="2">
        <v>1566</v>
      </c>
      <c r="CF350" s="2">
        <v>0</v>
      </c>
      <c r="CG350" s="2">
        <v>0</v>
      </c>
      <c r="CH350" s="2"/>
      <c r="CI350" s="2"/>
      <c r="CJ350" s="2"/>
      <c r="CK350" s="2"/>
      <c r="CL350" s="2"/>
      <c r="CM350" s="2">
        <v>0</v>
      </c>
      <c r="CN350" s="2" t="s">
        <v>375</v>
      </c>
      <c r="CO350" s="2">
        <v>0</v>
      </c>
      <c r="CP350" s="2">
        <f>(P350+Q350+S350)</f>
        <v>65.97999999999999</v>
      </c>
      <c r="CQ350" s="2">
        <f>ROUND((ROUND((AC350*AW350*1),2)*BC350),2)</f>
        <v>1073.97</v>
      </c>
      <c r="CR350" s="2">
        <f>(ROUND((ROUND(((((ET350*1.25)*1.1))*AV350*1),2)*BB350),2)+ROUND((ROUND(((AE350-(((EU350*1.25)*1.1)))*AV350*1),2)*BS350),2))</f>
        <v>8.1999999999999993</v>
      </c>
      <c r="CS350" s="2">
        <f>(ROUND((ROUND(((((EU350*1.25)*1.1))*AV350*1),2)*BS350),2)+ROUND((ROUND(((AE350-(((EU350*1.25)*1.1)))*AV350*1),2)*BS350),2))</f>
        <v>1.24</v>
      </c>
      <c r="CT350" s="2">
        <f>ROUND((ROUND((AF350*AV350*1),2)*BA350),2)</f>
        <v>1467.82</v>
      </c>
      <c r="CU350" s="2">
        <f>AG350</f>
        <v>0</v>
      </c>
      <c r="CV350" s="2">
        <f>(AH350*AV350)</f>
        <v>82.98399999999998</v>
      </c>
      <c r="CW350" s="2">
        <f t="shared" ref="CW350:CX353" si="272">AI350</f>
        <v>0</v>
      </c>
      <c r="CX350" s="2">
        <f t="shared" si="272"/>
        <v>0</v>
      </c>
      <c r="CY350" s="2">
        <f>(ROUND((((S350+ROUND((ROUND(((((EU350*1.25)*1.1))*AV350*1),2)*BS350),2))*AT350)/100),2)+ROUND(((ROUND((ROUND(((AE350-(((EU350*1.25)*1.1)))*AV350*1),2)*BS350),2)*AT350)/100),2))</f>
        <v>35.299999999999997</v>
      </c>
      <c r="CZ350" s="2">
        <f>(ROUND((((S350+ROUND((ROUND(((((EU350*1.25)*1.1))*AV350*1),2)*BS350),2))*AU350)/100),2)+ROUND(((ROUND((ROUND(((AE350-(((EU350*1.25)*1.1)))*AV350*1),2)*BS350),2)*AU350)/100),2))</f>
        <v>16.47</v>
      </c>
      <c r="DA350" s="2"/>
      <c r="DB350" s="2">
        <v>101</v>
      </c>
      <c r="DC350" s="2" t="s">
        <v>3</v>
      </c>
      <c r="DD350" s="2" t="s">
        <v>3</v>
      </c>
      <c r="DE350" s="2" t="s">
        <v>39</v>
      </c>
      <c r="DF350" s="2" t="s">
        <v>39</v>
      </c>
      <c r="DG350" s="2" t="s">
        <v>40</v>
      </c>
      <c r="DH350" s="2" t="s">
        <v>3</v>
      </c>
      <c r="DI350" s="2" t="s">
        <v>40</v>
      </c>
      <c r="DJ350" s="2" t="s">
        <v>39</v>
      </c>
      <c r="DK350" s="2" t="s">
        <v>3</v>
      </c>
      <c r="DL350" s="2" t="s">
        <v>3</v>
      </c>
      <c r="DM350" s="2" t="s">
        <v>3</v>
      </c>
      <c r="DN350" s="2">
        <v>0</v>
      </c>
      <c r="DO350" s="2">
        <v>0</v>
      </c>
      <c r="DP350" s="2">
        <v>1</v>
      </c>
      <c r="DQ350" s="2">
        <v>1</v>
      </c>
      <c r="DR350" s="2"/>
      <c r="DS350" s="2"/>
      <c r="DT350" s="2"/>
      <c r="DU350" s="2">
        <v>1013</v>
      </c>
      <c r="DV350" s="2" t="s">
        <v>248</v>
      </c>
      <c r="DW350" s="2" t="s">
        <v>248</v>
      </c>
      <c r="DX350" s="2">
        <v>1</v>
      </c>
      <c r="DY350" s="2"/>
      <c r="DZ350" s="2" t="s">
        <v>3</v>
      </c>
      <c r="EA350" s="2" t="s">
        <v>3</v>
      </c>
      <c r="EB350" s="2" t="s">
        <v>3</v>
      </c>
      <c r="EC350" s="2" t="s">
        <v>3</v>
      </c>
      <c r="ED350" s="2"/>
      <c r="EE350" s="2">
        <v>59298987</v>
      </c>
      <c r="EF350" s="2">
        <v>30</v>
      </c>
      <c r="EG350" s="2" t="s">
        <v>26</v>
      </c>
      <c r="EH350" s="2">
        <v>0</v>
      </c>
      <c r="EI350" s="2" t="s">
        <v>3</v>
      </c>
      <c r="EJ350" s="2">
        <v>1</v>
      </c>
      <c r="EK350" s="2">
        <v>60</v>
      </c>
      <c r="EL350" s="2" t="s">
        <v>250</v>
      </c>
      <c r="EM350" s="2" t="s">
        <v>251</v>
      </c>
      <c r="EN350" s="2"/>
      <c r="EO350" s="2" t="s">
        <v>41</v>
      </c>
      <c r="EP350" s="2"/>
      <c r="EQ350" s="2">
        <v>0</v>
      </c>
      <c r="ER350" s="2">
        <v>2211.8200000000002</v>
      </c>
      <c r="ES350" s="2">
        <v>1073.97</v>
      </c>
      <c r="ET350" s="2">
        <v>5.82</v>
      </c>
      <c r="EU350" s="2">
        <v>0.88</v>
      </c>
      <c r="EV350" s="2">
        <v>1132.03</v>
      </c>
      <c r="EW350" s="2">
        <v>64</v>
      </c>
      <c r="EX350" s="2">
        <v>0</v>
      </c>
      <c r="EY350" s="2">
        <v>0</v>
      </c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>
        <v>0</v>
      </c>
      <c r="FR350" s="2">
        <v>0</v>
      </c>
      <c r="FS350" s="2">
        <v>0</v>
      </c>
      <c r="FT350" s="2"/>
      <c r="FU350" s="2"/>
      <c r="FV350" s="2"/>
      <c r="FW350" s="2"/>
      <c r="FX350" s="2">
        <v>90</v>
      </c>
      <c r="FY350" s="2">
        <v>42</v>
      </c>
      <c r="FZ350" s="2"/>
      <c r="GA350" s="2" t="s">
        <v>3</v>
      </c>
      <c r="GB350" s="2"/>
      <c r="GC350" s="2"/>
      <c r="GD350" s="2">
        <v>1</v>
      </c>
      <c r="GE350" s="2"/>
      <c r="GF350" s="2">
        <v>1655566647</v>
      </c>
      <c r="GG350" s="2">
        <v>2</v>
      </c>
      <c r="GH350" s="2">
        <v>1</v>
      </c>
      <c r="GI350" s="2">
        <v>2</v>
      </c>
      <c r="GJ350" s="2">
        <v>0</v>
      </c>
      <c r="GK350" s="2">
        <v>0</v>
      </c>
      <c r="GL350" s="2">
        <f>ROUND(IF(AND(BH350=3,BI350=3,FS350&lt;&gt;0),P350,0),2)</f>
        <v>0</v>
      </c>
      <c r="GM350" s="2">
        <f>ROUND(O350+X350+Y350,2)+GX350</f>
        <v>116.15</v>
      </c>
      <c r="GN350" s="2">
        <f>IF(OR(BI350=0,BI350=1),GM350-GX350,0)</f>
        <v>116.15</v>
      </c>
      <c r="GO350" s="2">
        <f>IF(BI350=2,GM350-GX350,0)</f>
        <v>0</v>
      </c>
      <c r="GP350" s="2">
        <f>IF(BI350=4,GM350-GX350,0)</f>
        <v>0</v>
      </c>
      <c r="GQ350" s="2"/>
      <c r="GR350" s="2">
        <v>0</v>
      </c>
      <c r="GS350" s="2">
        <v>3</v>
      </c>
      <c r="GT350" s="2">
        <v>0</v>
      </c>
      <c r="GU350" s="2" t="s">
        <v>3</v>
      </c>
      <c r="GV350" s="2">
        <f>ROUND((GT350),6)</f>
        <v>0</v>
      </c>
      <c r="GW350" s="2">
        <v>1</v>
      </c>
      <c r="GX350" s="2">
        <f>ROUND(HC350*I350,2)</f>
        <v>0</v>
      </c>
      <c r="GY350" s="2"/>
      <c r="GZ350" s="2"/>
      <c r="HA350" s="2">
        <v>0</v>
      </c>
      <c r="HB350" s="2">
        <v>0</v>
      </c>
      <c r="HC350" s="2">
        <f>GV350*GW350</f>
        <v>0</v>
      </c>
      <c r="HD350" s="2"/>
      <c r="HE350" s="2" t="s">
        <v>3</v>
      </c>
      <c r="HF350" s="2" t="s">
        <v>3</v>
      </c>
      <c r="HG350" s="2"/>
      <c r="HH350" s="2"/>
      <c r="HI350" s="2"/>
      <c r="HJ350" s="2"/>
      <c r="HK350" s="2"/>
      <c r="HL350" s="2"/>
      <c r="HM350" s="2" t="s">
        <v>3</v>
      </c>
      <c r="HN350" s="2" t="s">
        <v>3</v>
      </c>
      <c r="HO350" s="2" t="s">
        <v>3</v>
      </c>
      <c r="HP350" s="2" t="s">
        <v>3</v>
      </c>
      <c r="HQ350" s="2" t="s">
        <v>3</v>
      </c>
      <c r="HR350" s="2"/>
      <c r="HS350" s="2">
        <v>0</v>
      </c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>
        <v>0</v>
      </c>
      <c r="IL350" s="2"/>
      <c r="IM350" s="2"/>
      <c r="IN350" s="2"/>
      <c r="IO350" s="2"/>
      <c r="IP350" s="2"/>
      <c r="IQ350" s="2"/>
      <c r="IR350" s="2"/>
      <c r="IS350" s="2"/>
      <c r="IT350" s="2"/>
      <c r="IU350" s="2"/>
    </row>
    <row r="351" spans="1:255" x14ac:dyDescent="0.2">
      <c r="A351">
        <v>17</v>
      </c>
      <c r="B351">
        <v>1</v>
      </c>
      <c r="C351">
        <f>ROW(SmtRes!A148)</f>
        <v>148</v>
      </c>
      <c r="D351">
        <f>ROW(EtalonRes!A158)</f>
        <v>158</v>
      </c>
      <c r="E351" t="s">
        <v>257</v>
      </c>
      <c r="F351" t="s">
        <v>246</v>
      </c>
      <c r="G351" t="s">
        <v>247</v>
      </c>
      <c r="H351" t="s">
        <v>248</v>
      </c>
      <c r="I351">
        <f>ROUND((0.23*0.075*3*50)/100,9)</f>
        <v>2.5874999999999999E-2</v>
      </c>
      <c r="J351">
        <v>0</v>
      </c>
      <c r="K351">
        <f>ROUND((0.23*0.075*3*50)/100,9)</f>
        <v>2.5874999999999999E-2</v>
      </c>
      <c r="O351">
        <f>ROUND(CP351,2)</f>
        <v>2192.54</v>
      </c>
      <c r="P351">
        <f>ROUND((ROUND((AC351*AW351*I351),2)*BC351),2)</f>
        <v>100.6</v>
      </c>
      <c r="Q351">
        <f>(ROUND((ROUND(((((ET351*1.25)*1.1))*AV351*I351),2)*BB351),2)+ROUND((ROUND(((AE351-(((EU351*1.25)*1.1)))*AV351*I351),2)*BS351),2))</f>
        <v>3.42</v>
      </c>
      <c r="R351">
        <f>(ROUND((ROUND(((((EU351*1.25)*1.1))*AV351*I351),2)*BS351),2)+ROUND((ROUND(((AE351-(((EU351*1.25)*1.1)))*AV351*I351),2)*BS351),2))</f>
        <v>1.65</v>
      </c>
      <c r="S351">
        <f>ROUND((ROUND((AF351*AV351*I351),2)*BA351),2)</f>
        <v>2088.52</v>
      </c>
      <c r="T351">
        <f>ROUND(CU351*I351,2)</f>
        <v>0</v>
      </c>
      <c r="U351">
        <f>CV351*I351</f>
        <v>2.1472109999999995</v>
      </c>
      <c r="V351">
        <f>CW351*I351</f>
        <v>0</v>
      </c>
      <c r="W351">
        <f>ROUND(CX351*I351,2)</f>
        <v>0</v>
      </c>
      <c r="X351">
        <f>(ROUND((((S351+ROUND((ROUND(((((EU351*1.25)*1.1))*AV351*I351),2)*BS351),2))*AT351)/100),2)+ROUND(((ROUND((ROUND(((AE351-(((EU351*1.25)*1.1)))*AV351*I351),2)*BS351),2)*AT351)/100),2))</f>
        <v>1881.15</v>
      </c>
      <c r="Y351">
        <f>(ROUND((((S351+ROUND((ROUND(((((EU351*1.25)*1.1))*AV351*I351),2)*BS351),2))*AU351)/100),2)+ROUND(((ROUND((ROUND(((AE351-(((EU351*1.25)*1.1)))*AV351*I351),2)*BS351),2)*AU351)/100),2))</f>
        <v>877.87</v>
      </c>
      <c r="AA351">
        <v>59499215</v>
      </c>
      <c r="AB351">
        <f>ROUND((AC351+AD351+AF351),6)</f>
        <v>2513.9904499999998</v>
      </c>
      <c r="AC351">
        <f>ROUND((ES351),6)</f>
        <v>1073.97</v>
      </c>
      <c r="AD351">
        <f>ROUND((((((ET351*1.25)*1.1))-(((EU351*1.25)*1.1)))+AE351),6)</f>
        <v>8.0024999999999995</v>
      </c>
      <c r="AE351">
        <f>ROUND((((EU351*1.25)*1.1)),6)</f>
        <v>1.21</v>
      </c>
      <c r="AF351">
        <f>ROUND((((EV351*1.15)*1.1)),6)</f>
        <v>1432.0179499999999</v>
      </c>
      <c r="AG351">
        <f>ROUND((AP351),6)</f>
        <v>0</v>
      </c>
      <c r="AH351">
        <f>(((EW351*1.15)*1.1))</f>
        <v>80.959999999999994</v>
      </c>
      <c r="AI351">
        <f>(((EX351*1.25)*1.1))</f>
        <v>0</v>
      </c>
      <c r="AJ351">
        <f>(AS351)</f>
        <v>0</v>
      </c>
      <c r="AK351">
        <v>2211.8200000000002</v>
      </c>
      <c r="AL351">
        <v>1073.97</v>
      </c>
      <c r="AM351">
        <v>5.82</v>
      </c>
      <c r="AN351">
        <v>0.88</v>
      </c>
      <c r="AO351">
        <v>1132.03</v>
      </c>
      <c r="AP351">
        <v>0</v>
      </c>
      <c r="AQ351">
        <v>64</v>
      </c>
      <c r="AR351">
        <v>0</v>
      </c>
      <c r="AS351">
        <v>0</v>
      </c>
      <c r="AT351">
        <v>90</v>
      </c>
      <c r="AU351">
        <v>42</v>
      </c>
      <c r="AV351">
        <v>1.0249999999999999</v>
      </c>
      <c r="AW351">
        <v>1</v>
      </c>
      <c r="AZ351">
        <v>1</v>
      </c>
      <c r="BA351">
        <v>54.99</v>
      </c>
      <c r="BB351">
        <v>16.29</v>
      </c>
      <c r="BC351">
        <v>3.62</v>
      </c>
      <c r="BD351" t="s">
        <v>3</v>
      </c>
      <c r="BE351" t="s">
        <v>3</v>
      </c>
      <c r="BF351" t="s">
        <v>3</v>
      </c>
      <c r="BG351" t="s">
        <v>3</v>
      </c>
      <c r="BH351">
        <v>0</v>
      </c>
      <c r="BI351">
        <v>1</v>
      </c>
      <c r="BJ351" t="s">
        <v>249</v>
      </c>
      <c r="BM351">
        <v>60</v>
      </c>
      <c r="BN351">
        <v>59298886</v>
      </c>
      <c r="BO351" t="s">
        <v>246</v>
      </c>
      <c r="BP351">
        <v>1</v>
      </c>
      <c r="BQ351">
        <v>30</v>
      </c>
      <c r="BR351">
        <v>0</v>
      </c>
      <c r="BS351">
        <v>54.99</v>
      </c>
      <c r="BT351">
        <v>1</v>
      </c>
      <c r="BU351">
        <v>1</v>
      </c>
      <c r="BV351">
        <v>1</v>
      </c>
      <c r="BW351">
        <v>1</v>
      </c>
      <c r="BX351">
        <v>1</v>
      </c>
      <c r="BY351" t="s">
        <v>3</v>
      </c>
      <c r="BZ351">
        <v>90</v>
      </c>
      <c r="CA351">
        <v>42</v>
      </c>
      <c r="CB351" t="s">
        <v>3</v>
      </c>
      <c r="CE351">
        <v>1566</v>
      </c>
      <c r="CF351">
        <v>0</v>
      </c>
      <c r="CG351">
        <v>0</v>
      </c>
      <c r="CM351">
        <v>0</v>
      </c>
      <c r="CN351" t="s">
        <v>375</v>
      </c>
      <c r="CO351">
        <v>0</v>
      </c>
      <c r="CP351">
        <f>(P351+Q351+S351)</f>
        <v>2192.54</v>
      </c>
      <c r="CQ351">
        <f>ROUND((ROUND((AC351*AW351*1),2)*BC351),2)</f>
        <v>3887.77</v>
      </c>
      <c r="CR351">
        <f>(ROUND((ROUND(((((ET351*1.25)*1.1))*AV351*1),2)*BB351),2)+ROUND((ROUND(((AE351-(((EU351*1.25)*1.1)))*AV351*1),2)*BS351),2))</f>
        <v>133.58000000000001</v>
      </c>
      <c r="CS351">
        <f>(ROUND((ROUND(((((EU351*1.25)*1.1))*AV351*1),2)*BS351),2)+ROUND((ROUND(((AE351-(((EU351*1.25)*1.1)))*AV351*1),2)*BS351),2))</f>
        <v>68.19</v>
      </c>
      <c r="CT351">
        <f>ROUND((ROUND((AF351*AV351*1),2)*BA351),2)</f>
        <v>80715.42</v>
      </c>
      <c r="CU351">
        <f>AG351</f>
        <v>0</v>
      </c>
      <c r="CV351">
        <f>(AH351*AV351)</f>
        <v>82.98399999999998</v>
      </c>
      <c r="CW351">
        <f t="shared" si="272"/>
        <v>0</v>
      </c>
      <c r="CX351">
        <f t="shared" si="272"/>
        <v>0</v>
      </c>
      <c r="CY351">
        <f>(ROUND((((S351+ROUND((ROUND(((((EU351*1.25)*1.1))*AV351*1),2)*BS351),2))*AT351)/100),2)+ROUND(((ROUND((ROUND(((AE351-(((EU351*1.25)*1.1)))*AV351*1),2)*BS351),2)*AT351)/100),2))</f>
        <v>1941.04</v>
      </c>
      <c r="CZ351">
        <f>(ROUND((((S351+ROUND((ROUND(((((EU351*1.25)*1.1))*AV351*1),2)*BS351),2))*AU351)/100),2)+ROUND(((ROUND((ROUND(((AE351-(((EU351*1.25)*1.1)))*AV351*1),2)*BS351),2)*AU351)/100),2))</f>
        <v>905.82</v>
      </c>
      <c r="DB351">
        <v>103</v>
      </c>
      <c r="DC351" t="s">
        <v>3</v>
      </c>
      <c r="DD351" t="s">
        <v>3</v>
      </c>
      <c r="DE351" t="s">
        <v>39</v>
      </c>
      <c r="DF351" t="s">
        <v>39</v>
      </c>
      <c r="DG351" t="s">
        <v>40</v>
      </c>
      <c r="DH351" t="s">
        <v>3</v>
      </c>
      <c r="DI351" t="s">
        <v>40</v>
      </c>
      <c r="DJ351" t="s">
        <v>39</v>
      </c>
      <c r="DK351" t="s">
        <v>3</v>
      </c>
      <c r="DL351" t="s">
        <v>3</v>
      </c>
      <c r="DM351" t="s">
        <v>3</v>
      </c>
      <c r="DN351">
        <v>0</v>
      </c>
      <c r="DO351">
        <v>0</v>
      </c>
      <c r="DP351">
        <v>1</v>
      </c>
      <c r="DQ351">
        <v>1</v>
      </c>
      <c r="DU351">
        <v>1013</v>
      </c>
      <c r="DV351" t="s">
        <v>248</v>
      </c>
      <c r="DW351" t="s">
        <v>248</v>
      </c>
      <c r="DX351">
        <v>1</v>
      </c>
      <c r="DZ351" t="s">
        <v>3</v>
      </c>
      <c r="EA351" t="s">
        <v>3</v>
      </c>
      <c r="EB351" t="s">
        <v>3</v>
      </c>
      <c r="EC351" t="s">
        <v>3</v>
      </c>
      <c r="EE351">
        <v>59298987</v>
      </c>
      <c r="EF351">
        <v>30</v>
      </c>
      <c r="EG351" t="s">
        <v>26</v>
      </c>
      <c r="EH351">
        <v>0</v>
      </c>
      <c r="EI351" t="s">
        <v>3</v>
      </c>
      <c r="EJ351">
        <v>1</v>
      </c>
      <c r="EK351">
        <v>60</v>
      </c>
      <c r="EL351" t="s">
        <v>250</v>
      </c>
      <c r="EM351" t="s">
        <v>251</v>
      </c>
      <c r="EO351" t="s">
        <v>41</v>
      </c>
      <c r="EQ351">
        <v>0</v>
      </c>
      <c r="ER351">
        <v>2211.8200000000002</v>
      </c>
      <c r="ES351">
        <v>1073.97</v>
      </c>
      <c r="ET351">
        <v>5.82</v>
      </c>
      <c r="EU351">
        <v>0.88</v>
      </c>
      <c r="EV351">
        <v>1132.03</v>
      </c>
      <c r="EW351">
        <v>64</v>
      </c>
      <c r="EX351">
        <v>0</v>
      </c>
      <c r="EY351">
        <v>0</v>
      </c>
      <c r="FQ351">
        <v>0</v>
      </c>
      <c r="FR351">
        <v>0</v>
      </c>
      <c r="FS351">
        <v>0</v>
      </c>
      <c r="FX351">
        <v>90</v>
      </c>
      <c r="FY351">
        <v>42</v>
      </c>
      <c r="GA351" t="s">
        <v>3</v>
      </c>
      <c r="GD351">
        <v>1</v>
      </c>
      <c r="GF351">
        <v>1655566647</v>
      </c>
      <c r="GG351">
        <v>2</v>
      </c>
      <c r="GH351">
        <v>1</v>
      </c>
      <c r="GI351">
        <v>2</v>
      </c>
      <c r="GJ351">
        <v>0</v>
      </c>
      <c r="GK351">
        <v>0</v>
      </c>
      <c r="GL351">
        <f>ROUND(IF(AND(BH351=3,BI351=3,FS351&lt;&gt;0),P351,0),2)</f>
        <v>0</v>
      </c>
      <c r="GM351">
        <f>ROUND(O351+X351+Y351,2)+GX351</f>
        <v>4951.5600000000004</v>
      </c>
      <c r="GN351">
        <f>IF(OR(BI351=0,BI351=1),GM351-GX351,0)</f>
        <v>4951.5600000000004</v>
      </c>
      <c r="GO351">
        <f>IF(BI351=2,GM351-GX351,0)</f>
        <v>0</v>
      </c>
      <c r="GP351">
        <f>IF(BI351=4,GM351-GX351,0)</f>
        <v>0</v>
      </c>
      <c r="GR351">
        <v>0</v>
      </c>
      <c r="GS351">
        <v>3</v>
      </c>
      <c r="GT351">
        <v>0</v>
      </c>
      <c r="GU351" t="s">
        <v>3</v>
      </c>
      <c r="GV351">
        <f>ROUND((GT351),6)</f>
        <v>0</v>
      </c>
      <c r="GW351">
        <v>1</v>
      </c>
      <c r="GX351">
        <f>ROUND(HC351*I351,2)</f>
        <v>0</v>
      </c>
      <c r="HA351">
        <v>0</v>
      </c>
      <c r="HB351">
        <v>0</v>
      </c>
      <c r="HC351">
        <f>GV351*GW351</f>
        <v>0</v>
      </c>
      <c r="HE351" t="s">
        <v>3</v>
      </c>
      <c r="HF351" t="s">
        <v>3</v>
      </c>
      <c r="HM351" t="s">
        <v>3</v>
      </c>
      <c r="HN351" t="s">
        <v>3</v>
      </c>
      <c r="HO351" t="s">
        <v>3</v>
      </c>
      <c r="HP351" t="s">
        <v>3</v>
      </c>
      <c r="HQ351" t="s">
        <v>3</v>
      </c>
      <c r="HS351">
        <v>0</v>
      </c>
      <c r="IK351">
        <v>0</v>
      </c>
    </row>
    <row r="352" spans="1:255" x14ac:dyDescent="0.2">
      <c r="A352" s="2">
        <v>18</v>
      </c>
      <c r="B352" s="2">
        <v>1</v>
      </c>
      <c r="C352" s="2">
        <v>141</v>
      </c>
      <c r="D352" s="2"/>
      <c r="E352" s="2" t="s">
        <v>258</v>
      </c>
      <c r="F352" s="2" t="s">
        <v>259</v>
      </c>
      <c r="G352" s="2" t="s">
        <v>260</v>
      </c>
      <c r="H352" s="2" t="s">
        <v>124</v>
      </c>
      <c r="I352" s="2">
        <f>I350*J352</f>
        <v>50</v>
      </c>
      <c r="J352" s="2">
        <v>1932.3671497584542</v>
      </c>
      <c r="K352" s="2">
        <v>1932.36715</v>
      </c>
      <c r="L352" s="2"/>
      <c r="M352" s="2"/>
      <c r="N352" s="2"/>
      <c r="O352" s="2">
        <f>ROUND(CP352,2)</f>
        <v>1729.5</v>
      </c>
      <c r="P352" s="2">
        <f>ROUND((ROUND((AC352*AW352*I352),2)*BC352),2)</f>
        <v>1729.5</v>
      </c>
      <c r="Q352" s="2">
        <f>(ROUND((ROUND(((ET352)*AV352*I352),2)*BB352),2)+ROUND((ROUND(((AE352-(EU352))*AV352*I352),2)*BS352),2))</f>
        <v>0</v>
      </c>
      <c r="R352" s="2">
        <f>(ROUND((ROUND(((EU352)*AV352*I352),2)*BS352),2)+ROUND((ROUND(((AE352-(EU352))*AV352*I352),2)*BS352),2))</f>
        <v>0</v>
      </c>
      <c r="S352" s="2">
        <f>ROUND((ROUND((AF352*AV352*I352),2)*BA352),2)</f>
        <v>0</v>
      </c>
      <c r="T352" s="2">
        <f>ROUND(CU352*I352,2)</f>
        <v>0</v>
      </c>
      <c r="U352" s="2">
        <f>CV352*I352</f>
        <v>0</v>
      </c>
      <c r="V352" s="2">
        <f>CW352*I352</f>
        <v>0</v>
      </c>
      <c r="W352" s="2">
        <f>ROUND(CX352*I352,2)</f>
        <v>0</v>
      </c>
      <c r="X352" s="2">
        <f>(ROUND((((S352+ROUND((ROUND(((EU352)*AV352*I352),2)*BS352),2))*AT352)/100),2)+ROUND(((ROUND((ROUND(((AE352-(EU352))*AV352*I352),2)*BS352),2)*AT352)/100),2))</f>
        <v>0</v>
      </c>
      <c r="Y352" s="2">
        <f>(ROUND((((S352+ROUND((ROUND(((EU352)*AV352*I352),2)*BS352),2))*AU352)/100),2)+ROUND(((ROUND((ROUND(((AE352-(EU352))*AV352*I352),2)*BS352),2)*AU352)/100),2))</f>
        <v>0</v>
      </c>
      <c r="Z352" s="2"/>
      <c r="AA352" s="2">
        <v>59499218</v>
      </c>
      <c r="AB352" s="2">
        <f>ROUND((AC352+AD352+AF352),6)</f>
        <v>34.590000000000003</v>
      </c>
      <c r="AC352" s="2">
        <f>ROUND((ES352),6)</f>
        <v>34.590000000000003</v>
      </c>
      <c r="AD352" s="2">
        <f>ROUND((((ET352)-(EU352))+AE352),6)</f>
        <v>0</v>
      </c>
      <c r="AE352" s="2">
        <f>ROUND((EU352),6)</f>
        <v>0</v>
      </c>
      <c r="AF352" s="2">
        <f>ROUND((EV352),6)</f>
        <v>0</v>
      </c>
      <c r="AG352" s="2">
        <f>ROUND((AP352),6)</f>
        <v>0</v>
      </c>
      <c r="AH352" s="2">
        <f>(EW352)</f>
        <v>0</v>
      </c>
      <c r="AI352" s="2">
        <f>(EX352)</f>
        <v>0</v>
      </c>
      <c r="AJ352" s="2">
        <f>(AS352)</f>
        <v>0</v>
      </c>
      <c r="AK352" s="2">
        <v>34.589999999999996</v>
      </c>
      <c r="AL352" s="2">
        <v>34.589999999999996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90</v>
      </c>
      <c r="AU352" s="2">
        <v>42</v>
      </c>
      <c r="AV352" s="2">
        <v>1</v>
      </c>
      <c r="AW352" s="2">
        <v>1</v>
      </c>
      <c r="AX352" s="2"/>
      <c r="AY352" s="2"/>
      <c r="AZ352" s="2">
        <v>1</v>
      </c>
      <c r="BA352" s="2">
        <v>1</v>
      </c>
      <c r="BB352" s="2">
        <v>1</v>
      </c>
      <c r="BC352" s="2">
        <v>1</v>
      </c>
      <c r="BD352" s="2" t="s">
        <v>3</v>
      </c>
      <c r="BE352" s="2" t="s">
        <v>3</v>
      </c>
      <c r="BF352" s="2" t="s">
        <v>3</v>
      </c>
      <c r="BG352" s="2" t="s">
        <v>3</v>
      </c>
      <c r="BH352" s="2">
        <v>3</v>
      </c>
      <c r="BI352" s="2">
        <v>1</v>
      </c>
      <c r="BJ352" s="2" t="s">
        <v>3</v>
      </c>
      <c r="BK352" s="2"/>
      <c r="BL352" s="2"/>
      <c r="BM352" s="2">
        <v>60</v>
      </c>
      <c r="BN352" s="2">
        <v>0</v>
      </c>
      <c r="BO352" s="2" t="s">
        <v>3</v>
      </c>
      <c r="BP352" s="2">
        <v>0</v>
      </c>
      <c r="BQ352" s="2">
        <v>30</v>
      </c>
      <c r="BR352" s="2">
        <v>0</v>
      </c>
      <c r="BS352" s="2">
        <v>1</v>
      </c>
      <c r="BT352" s="2">
        <v>1</v>
      </c>
      <c r="BU352" s="2">
        <v>1</v>
      </c>
      <c r="BV352" s="2">
        <v>1</v>
      </c>
      <c r="BW352" s="2">
        <v>1</v>
      </c>
      <c r="BX352" s="2">
        <v>1</v>
      </c>
      <c r="BY352" s="2" t="s">
        <v>3</v>
      </c>
      <c r="BZ352" s="2">
        <v>90</v>
      </c>
      <c r="CA352" s="2">
        <v>42</v>
      </c>
      <c r="CB352" s="2" t="s">
        <v>3</v>
      </c>
      <c r="CC352" s="2"/>
      <c r="CD352" s="2"/>
      <c r="CE352" s="2">
        <v>1566</v>
      </c>
      <c r="CF352" s="2">
        <v>0</v>
      </c>
      <c r="CG352" s="2">
        <v>0</v>
      </c>
      <c r="CH352" s="2"/>
      <c r="CI352" s="2"/>
      <c r="CJ352" s="2"/>
      <c r="CK352" s="2"/>
      <c r="CL352" s="2"/>
      <c r="CM352" s="2">
        <v>0</v>
      </c>
      <c r="CN352" s="2" t="s">
        <v>3</v>
      </c>
      <c r="CO352" s="2">
        <v>0</v>
      </c>
      <c r="CP352" s="2">
        <f>(P352+Q352+S352)</f>
        <v>1729.5</v>
      </c>
      <c r="CQ352" s="2">
        <f>ROUND((ROUND((AC352*AW352*1),2)*BC352),2)</f>
        <v>34.590000000000003</v>
      </c>
      <c r="CR352" s="2">
        <f>(ROUND((ROUND(((ET352)*AV352*1),2)*BB352),2)+ROUND((ROUND(((AE352-(EU352))*AV352*1),2)*BS352),2))</f>
        <v>0</v>
      </c>
      <c r="CS352" s="2">
        <f>(ROUND((ROUND(((EU352)*AV352*1),2)*BS352),2)+ROUND((ROUND(((AE352-(EU352))*AV352*1),2)*BS352),2))</f>
        <v>0</v>
      </c>
      <c r="CT352" s="2">
        <f>ROUND((ROUND((AF352*AV352*1),2)*BA352),2)</f>
        <v>0</v>
      </c>
      <c r="CU352" s="2">
        <f>AG352</f>
        <v>0</v>
      </c>
      <c r="CV352" s="2">
        <f>(AH352*AV352)</f>
        <v>0</v>
      </c>
      <c r="CW352" s="2">
        <f t="shared" si="272"/>
        <v>0</v>
      </c>
      <c r="CX352" s="2">
        <f t="shared" si="272"/>
        <v>0</v>
      </c>
      <c r="CY352" s="2">
        <f>(ROUND((((S352+ROUND((ROUND(((EU352)*AV352*1),2)*BS352),2))*AT352)/100),2)+ROUND(((ROUND((ROUND(((AE352-(EU352))*AV352*1),2)*BS352),2)*AT352)/100),2))</f>
        <v>0</v>
      </c>
      <c r="CZ352" s="2">
        <f>(ROUND((((S352+ROUND((ROUND(((EU352)*AV352*1),2)*BS352),2))*AU352)/100),2)+ROUND(((ROUND((ROUND(((AE352-(EU352))*AV352*1),2)*BS352),2)*AU352)/100),2))</f>
        <v>0</v>
      </c>
      <c r="DA352" s="2"/>
      <c r="DB352" s="2"/>
      <c r="DC352" s="2" t="s">
        <v>3</v>
      </c>
      <c r="DD352" s="2" t="s">
        <v>3</v>
      </c>
      <c r="DE352" s="2" t="s">
        <v>3</v>
      </c>
      <c r="DF352" s="2" t="s">
        <v>3</v>
      </c>
      <c r="DG352" s="2" t="s">
        <v>3</v>
      </c>
      <c r="DH352" s="2" t="s">
        <v>3</v>
      </c>
      <c r="DI352" s="2" t="s">
        <v>3</v>
      </c>
      <c r="DJ352" s="2" t="s">
        <v>3</v>
      </c>
      <c r="DK352" s="2" t="s">
        <v>3</v>
      </c>
      <c r="DL352" s="2" t="s">
        <v>3</v>
      </c>
      <c r="DM352" s="2" t="s">
        <v>3</v>
      </c>
      <c r="DN352" s="2">
        <v>0</v>
      </c>
      <c r="DO352" s="2">
        <v>0</v>
      </c>
      <c r="DP352" s="2">
        <v>1</v>
      </c>
      <c r="DQ352" s="2">
        <v>1</v>
      </c>
      <c r="DR352" s="2"/>
      <c r="DS352" s="2"/>
      <c r="DT352" s="2"/>
      <c r="DU352" s="2">
        <v>1010</v>
      </c>
      <c r="DV352" s="2" t="s">
        <v>124</v>
      </c>
      <c r="DW352" s="2" t="s">
        <v>124</v>
      </c>
      <c r="DX352" s="2">
        <v>1</v>
      </c>
      <c r="DY352" s="2"/>
      <c r="DZ352" s="2" t="s">
        <v>3</v>
      </c>
      <c r="EA352" s="2" t="s">
        <v>3</v>
      </c>
      <c r="EB352" s="2" t="s">
        <v>3</v>
      </c>
      <c r="EC352" s="2" t="s">
        <v>3</v>
      </c>
      <c r="ED352" s="2"/>
      <c r="EE352" s="2">
        <v>59298987</v>
      </c>
      <c r="EF352" s="2">
        <v>30</v>
      </c>
      <c r="EG352" s="2" t="s">
        <v>26</v>
      </c>
      <c r="EH352" s="2">
        <v>0</v>
      </c>
      <c r="EI352" s="2" t="s">
        <v>3</v>
      </c>
      <c r="EJ352" s="2">
        <v>1</v>
      </c>
      <c r="EK352" s="2">
        <v>60</v>
      </c>
      <c r="EL352" s="2" t="s">
        <v>250</v>
      </c>
      <c r="EM352" s="2" t="s">
        <v>251</v>
      </c>
      <c r="EN352" s="2"/>
      <c r="EO352" s="2" t="s">
        <v>3</v>
      </c>
      <c r="EP352" s="2"/>
      <c r="EQ352" s="2">
        <v>0</v>
      </c>
      <c r="ER352" s="2">
        <v>0</v>
      </c>
      <c r="ES352" s="2">
        <v>34.589999999999996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>
        <v>0</v>
      </c>
      <c r="FR352" s="2">
        <v>0</v>
      </c>
      <c r="FS352" s="2">
        <v>0</v>
      </c>
      <c r="FT352" s="2"/>
      <c r="FU352" s="2"/>
      <c r="FV352" s="2"/>
      <c r="FW352" s="2"/>
      <c r="FX352" s="2">
        <v>90</v>
      </c>
      <c r="FY352" s="2">
        <v>42</v>
      </c>
      <c r="FZ352" s="2"/>
      <c r="GA352" s="2" t="s">
        <v>261</v>
      </c>
      <c r="GB352" s="2"/>
      <c r="GC352" s="2"/>
      <c r="GD352" s="2">
        <v>1</v>
      </c>
      <c r="GE352" s="2"/>
      <c r="GF352" s="2">
        <v>-318600609</v>
      </c>
      <c r="GG352" s="2">
        <v>2</v>
      </c>
      <c r="GH352" s="2">
        <v>4</v>
      </c>
      <c r="GI352" s="2">
        <v>-2</v>
      </c>
      <c r="GJ352" s="2">
        <v>0</v>
      </c>
      <c r="GK352" s="2">
        <v>0</v>
      </c>
      <c r="GL352" s="2">
        <f>ROUND(IF(AND(BH352=3,BI352=3,FS352&lt;&gt;0),P352,0),2)</f>
        <v>0</v>
      </c>
      <c r="GM352" s="2">
        <f>ROUND(O352+X352+Y352,2)+GX352</f>
        <v>1729.5</v>
      </c>
      <c r="GN352" s="2">
        <f>IF(OR(BI352=0,BI352=1),GM352-GX352,0)</f>
        <v>1729.5</v>
      </c>
      <c r="GO352" s="2">
        <f>IF(BI352=2,GM352-GX352,0)</f>
        <v>0</v>
      </c>
      <c r="GP352" s="2">
        <f>IF(BI352=4,GM352-GX352,0)</f>
        <v>0</v>
      </c>
      <c r="GQ352" s="2"/>
      <c r="GR352" s="2">
        <v>0</v>
      </c>
      <c r="GS352" s="2">
        <v>2</v>
      </c>
      <c r="GT352" s="2">
        <v>0</v>
      </c>
      <c r="GU352" s="2" t="s">
        <v>3</v>
      </c>
      <c r="GV352" s="2">
        <f>ROUND((GT352),6)</f>
        <v>0</v>
      </c>
      <c r="GW352" s="2">
        <v>1</v>
      </c>
      <c r="GX352" s="2">
        <f>ROUND(HC352*I352,2)</f>
        <v>0</v>
      </c>
      <c r="GY352" s="2"/>
      <c r="GZ352" s="2"/>
      <c r="HA352" s="2">
        <v>0</v>
      </c>
      <c r="HB352" s="2">
        <v>0</v>
      </c>
      <c r="HC352" s="2">
        <f>GV352*GW352</f>
        <v>0</v>
      </c>
      <c r="HD352" s="2"/>
      <c r="HE352" s="2" t="s">
        <v>173</v>
      </c>
      <c r="HF352" s="2" t="s">
        <v>30</v>
      </c>
      <c r="HG352" s="2"/>
      <c r="HH352" s="2"/>
      <c r="HI352" s="2"/>
      <c r="HJ352" s="2"/>
      <c r="HK352" s="2"/>
      <c r="HL352" s="2"/>
      <c r="HM352" s="2" t="s">
        <v>3</v>
      </c>
      <c r="HN352" s="2" t="s">
        <v>3</v>
      </c>
      <c r="HO352" s="2" t="s">
        <v>3</v>
      </c>
      <c r="HP352" s="2" t="s">
        <v>3</v>
      </c>
      <c r="HQ352" s="2" t="s">
        <v>3</v>
      </c>
      <c r="HR352" s="2"/>
      <c r="HS352" s="2">
        <v>0</v>
      </c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>
        <v>0</v>
      </c>
      <c r="IL352" s="2"/>
      <c r="IM352" s="2"/>
      <c r="IN352" s="2"/>
      <c r="IO352" s="2"/>
      <c r="IP352" s="2"/>
      <c r="IQ352" s="2"/>
      <c r="IR352" s="2"/>
      <c r="IS352" s="2"/>
      <c r="IT352" s="2"/>
      <c r="IU352" s="2"/>
    </row>
    <row r="353" spans="1:245" x14ac:dyDescent="0.2">
      <c r="A353">
        <v>18</v>
      </c>
      <c r="B353">
        <v>1</v>
      </c>
      <c r="C353">
        <v>148</v>
      </c>
      <c r="E353" t="s">
        <v>258</v>
      </c>
      <c r="F353" t="s">
        <v>259</v>
      </c>
      <c r="G353" t="s">
        <v>260</v>
      </c>
      <c r="H353" t="s">
        <v>124</v>
      </c>
      <c r="I353">
        <f>I351*J353</f>
        <v>50</v>
      </c>
      <c r="J353">
        <v>1932.3671497584542</v>
      </c>
      <c r="K353">
        <v>1932.36715</v>
      </c>
      <c r="O353">
        <f>ROUND(CP353,2)</f>
        <v>17087.46</v>
      </c>
      <c r="P353">
        <f>ROUND((ROUND((AC353*AW353*I353),2)*BC353),2)</f>
        <v>17087.46</v>
      </c>
      <c r="Q353">
        <f>(ROUND((ROUND(((ET353)*AV353*I353),2)*BB353),2)+ROUND((ROUND(((AE353-(EU353))*AV353*I353),2)*BS353),2))</f>
        <v>0</v>
      </c>
      <c r="R353">
        <f>(ROUND((ROUND(((EU353)*AV353*I353),2)*BS353),2)+ROUND((ROUND(((AE353-(EU353))*AV353*I353),2)*BS353),2))</f>
        <v>0</v>
      </c>
      <c r="S353">
        <f>ROUND((ROUND((AF353*AV353*I353),2)*BA353),2)</f>
        <v>0</v>
      </c>
      <c r="T353">
        <f>ROUND(CU353*I353,2)</f>
        <v>0</v>
      </c>
      <c r="U353">
        <f>CV353*I353</f>
        <v>0</v>
      </c>
      <c r="V353">
        <f>CW353*I353</f>
        <v>0</v>
      </c>
      <c r="W353">
        <f>ROUND(CX353*I353,2)</f>
        <v>0</v>
      </c>
      <c r="X353">
        <f>(ROUND((((S353+ROUND((ROUND(((EU353)*AV353*I353),2)*BS353),2))*AT353)/100),2)+ROUND(((ROUND((ROUND(((AE353-(EU353))*AV353*I353),2)*BS353),2)*AT353)/100),2))</f>
        <v>0</v>
      </c>
      <c r="Y353">
        <f>(ROUND((((S353+ROUND((ROUND(((EU353)*AV353*I353),2)*BS353),2))*AU353)/100),2)+ROUND(((ROUND((ROUND(((AE353-(EU353))*AV353*I353),2)*BS353),2)*AU353)/100),2))</f>
        <v>0</v>
      </c>
      <c r="AA353">
        <v>59499215</v>
      </c>
      <c r="AB353">
        <f>ROUND((AC353+AD353+AF353),6)</f>
        <v>34.590000000000003</v>
      </c>
      <c r="AC353">
        <f>ROUND((ES353),6)</f>
        <v>34.590000000000003</v>
      </c>
      <c r="AD353">
        <f>ROUND((((ET353)-(EU353))+AE353),6)</f>
        <v>0</v>
      </c>
      <c r="AE353">
        <f>ROUND((EU353),6)</f>
        <v>0</v>
      </c>
      <c r="AF353">
        <f>ROUND((EV353),6)</f>
        <v>0</v>
      </c>
      <c r="AG353">
        <f>ROUND((AP353),6)</f>
        <v>0</v>
      </c>
      <c r="AH353">
        <f>(EW353)</f>
        <v>0</v>
      </c>
      <c r="AI353">
        <f>(EX353)</f>
        <v>0</v>
      </c>
      <c r="AJ353">
        <f>(AS353)</f>
        <v>0</v>
      </c>
      <c r="AK353">
        <v>34.589999999999996</v>
      </c>
      <c r="AL353">
        <v>34.589999999999996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90</v>
      </c>
      <c r="AU353">
        <v>42</v>
      </c>
      <c r="AV353">
        <v>1</v>
      </c>
      <c r="AW353">
        <v>1</v>
      </c>
      <c r="AZ353">
        <v>1</v>
      </c>
      <c r="BA353">
        <v>1</v>
      </c>
      <c r="BB353">
        <v>1</v>
      </c>
      <c r="BC353">
        <v>9.8800000000000008</v>
      </c>
      <c r="BD353" t="s">
        <v>3</v>
      </c>
      <c r="BE353" t="s">
        <v>3</v>
      </c>
      <c r="BF353" t="s">
        <v>3</v>
      </c>
      <c r="BG353" t="s">
        <v>3</v>
      </c>
      <c r="BH353">
        <v>3</v>
      </c>
      <c r="BI353">
        <v>1</v>
      </c>
      <c r="BJ353" t="s">
        <v>3</v>
      </c>
      <c r="BM353">
        <v>60</v>
      </c>
      <c r="BN353">
        <v>0</v>
      </c>
      <c r="BO353" t="s">
        <v>3</v>
      </c>
      <c r="BP353">
        <v>0</v>
      </c>
      <c r="BQ353">
        <v>30</v>
      </c>
      <c r="BR353">
        <v>0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 t="s">
        <v>3</v>
      </c>
      <c r="BZ353">
        <v>90</v>
      </c>
      <c r="CA353">
        <v>42</v>
      </c>
      <c r="CB353" t="s">
        <v>3</v>
      </c>
      <c r="CE353">
        <v>1566</v>
      </c>
      <c r="CF353">
        <v>0</v>
      </c>
      <c r="CG353">
        <v>0</v>
      </c>
      <c r="CM353">
        <v>0</v>
      </c>
      <c r="CN353" t="s">
        <v>3</v>
      </c>
      <c r="CO353">
        <v>0</v>
      </c>
      <c r="CP353">
        <f>(P353+Q353+S353)</f>
        <v>17087.46</v>
      </c>
      <c r="CQ353">
        <f>ROUND((ROUND((AC353*AW353*1),2)*BC353),2)</f>
        <v>341.75</v>
      </c>
      <c r="CR353">
        <f>(ROUND((ROUND(((ET353)*AV353*1),2)*BB353),2)+ROUND((ROUND(((AE353-(EU353))*AV353*1),2)*BS353),2))</f>
        <v>0</v>
      </c>
      <c r="CS353">
        <f>(ROUND((ROUND(((EU353)*AV353*1),2)*BS353),2)+ROUND((ROUND(((AE353-(EU353))*AV353*1),2)*BS353),2))</f>
        <v>0</v>
      </c>
      <c r="CT353">
        <f>ROUND((ROUND((AF353*AV353*1),2)*BA353),2)</f>
        <v>0</v>
      </c>
      <c r="CU353">
        <f>AG353</f>
        <v>0</v>
      </c>
      <c r="CV353">
        <f>(AH353*AV353)</f>
        <v>0</v>
      </c>
      <c r="CW353">
        <f t="shared" si="272"/>
        <v>0</v>
      </c>
      <c r="CX353">
        <f t="shared" si="272"/>
        <v>0</v>
      </c>
      <c r="CY353">
        <f>(ROUND((((S353+ROUND((ROUND(((EU353)*AV353*1),2)*BS353),2))*AT353)/100),2)+ROUND(((ROUND((ROUND(((AE353-(EU353))*AV353*1),2)*BS353),2)*AT353)/100),2))</f>
        <v>0</v>
      </c>
      <c r="CZ353">
        <f>(ROUND((((S353+ROUND((ROUND(((EU353)*AV353*1),2)*BS353),2))*AU353)/100),2)+ROUND(((ROUND((ROUND(((AE353-(EU353))*AV353*1),2)*BS353),2)*AU353)/100),2))</f>
        <v>0</v>
      </c>
      <c r="DC353" t="s">
        <v>3</v>
      </c>
      <c r="DD353" t="s">
        <v>3</v>
      </c>
      <c r="DE353" t="s">
        <v>3</v>
      </c>
      <c r="DF353" t="s">
        <v>3</v>
      </c>
      <c r="DG353" t="s">
        <v>3</v>
      </c>
      <c r="DH353" t="s">
        <v>3</v>
      </c>
      <c r="DI353" t="s">
        <v>3</v>
      </c>
      <c r="DJ353" t="s">
        <v>3</v>
      </c>
      <c r="DK353" t="s">
        <v>3</v>
      </c>
      <c r="DL353" t="s">
        <v>3</v>
      </c>
      <c r="DM353" t="s">
        <v>3</v>
      </c>
      <c r="DN353">
        <v>0</v>
      </c>
      <c r="DO353">
        <v>0</v>
      </c>
      <c r="DP353">
        <v>1</v>
      </c>
      <c r="DQ353">
        <v>1</v>
      </c>
      <c r="DU353">
        <v>1010</v>
      </c>
      <c r="DV353" t="s">
        <v>124</v>
      </c>
      <c r="DW353" t="s">
        <v>124</v>
      </c>
      <c r="DX353">
        <v>1</v>
      </c>
      <c r="DZ353" t="s">
        <v>3</v>
      </c>
      <c r="EA353" t="s">
        <v>3</v>
      </c>
      <c r="EB353" t="s">
        <v>3</v>
      </c>
      <c r="EC353" t="s">
        <v>3</v>
      </c>
      <c r="EE353">
        <v>59298987</v>
      </c>
      <c r="EF353">
        <v>30</v>
      </c>
      <c r="EG353" t="s">
        <v>26</v>
      </c>
      <c r="EH353">
        <v>0</v>
      </c>
      <c r="EI353" t="s">
        <v>3</v>
      </c>
      <c r="EJ353">
        <v>1</v>
      </c>
      <c r="EK353">
        <v>60</v>
      </c>
      <c r="EL353" t="s">
        <v>250</v>
      </c>
      <c r="EM353" t="s">
        <v>251</v>
      </c>
      <c r="EO353" t="s">
        <v>3</v>
      </c>
      <c r="EQ353">
        <v>0</v>
      </c>
      <c r="ER353">
        <v>34.589999999999996</v>
      </c>
      <c r="ES353">
        <v>34.589999999999996</v>
      </c>
      <c r="ET353">
        <v>0</v>
      </c>
      <c r="EU353">
        <v>0</v>
      </c>
      <c r="EV353">
        <v>0</v>
      </c>
      <c r="EW353">
        <v>0</v>
      </c>
      <c r="EX353">
        <v>0</v>
      </c>
      <c r="EZ353">
        <v>5</v>
      </c>
      <c r="FC353">
        <v>1</v>
      </c>
      <c r="FD353">
        <v>18</v>
      </c>
      <c r="FF353">
        <v>402</v>
      </c>
      <c r="FQ353">
        <v>0</v>
      </c>
      <c r="FR353">
        <v>0</v>
      </c>
      <c r="FS353">
        <v>0</v>
      </c>
      <c r="FX353">
        <v>90</v>
      </c>
      <c r="FY353">
        <v>42</v>
      </c>
      <c r="GA353" t="s">
        <v>261</v>
      </c>
      <c r="GD353">
        <v>1</v>
      </c>
      <c r="GF353">
        <v>-318600609</v>
      </c>
      <c r="GG353">
        <v>2</v>
      </c>
      <c r="GH353">
        <v>3</v>
      </c>
      <c r="GI353">
        <v>3</v>
      </c>
      <c r="GJ353">
        <v>0</v>
      </c>
      <c r="GK353">
        <v>0</v>
      </c>
      <c r="GL353">
        <f>ROUND(IF(AND(BH353=3,BI353=3,FS353&lt;&gt;0),P353,0),2)</f>
        <v>0</v>
      </c>
      <c r="GM353">
        <f>ROUND(O353+X353+Y353,2)+GX353</f>
        <v>17087.46</v>
      </c>
      <c r="GN353">
        <f>IF(OR(BI353=0,BI353=1),GM353-GX353,0)</f>
        <v>17087.46</v>
      </c>
      <c r="GO353">
        <f>IF(BI353=2,GM353-GX353,0)</f>
        <v>0</v>
      </c>
      <c r="GP353">
        <f>IF(BI353=4,GM353-GX353,0)</f>
        <v>0</v>
      </c>
      <c r="GR353">
        <v>1</v>
      </c>
      <c r="GS353">
        <v>1</v>
      </c>
      <c r="GT353">
        <v>0</v>
      </c>
      <c r="GU353" t="s">
        <v>3</v>
      </c>
      <c r="GV353">
        <f>ROUND((GT353),6)</f>
        <v>0</v>
      </c>
      <c r="GW353">
        <v>1</v>
      </c>
      <c r="GX353">
        <f>ROUND(HC353*I353,2)</f>
        <v>0</v>
      </c>
      <c r="HA353">
        <v>0</v>
      </c>
      <c r="HB353">
        <v>0</v>
      </c>
      <c r="HC353">
        <f>GV353*GW353</f>
        <v>0</v>
      </c>
      <c r="HE353" t="s">
        <v>173</v>
      </c>
      <c r="HF353" t="s">
        <v>30</v>
      </c>
      <c r="HM353" t="s">
        <v>3</v>
      </c>
      <c r="HN353" t="s">
        <v>3</v>
      </c>
      <c r="HO353" t="s">
        <v>3</v>
      </c>
      <c r="HP353" t="s">
        <v>3</v>
      </c>
      <c r="HQ353" t="s">
        <v>3</v>
      </c>
      <c r="HS353">
        <v>0</v>
      </c>
      <c r="IK353">
        <v>0</v>
      </c>
    </row>
    <row r="355" spans="1:245" x14ac:dyDescent="0.2">
      <c r="A355" s="3">
        <v>51</v>
      </c>
      <c r="B355" s="3">
        <f>B346</f>
        <v>1</v>
      </c>
      <c r="C355" s="3">
        <f>A346</f>
        <v>4</v>
      </c>
      <c r="D355" s="3">
        <f>ROW(A346)</f>
        <v>346</v>
      </c>
      <c r="E355" s="3"/>
      <c r="F355" s="3" t="str">
        <f>IF(F346&lt;&gt;"",F346,"")</f>
        <v/>
      </c>
      <c r="G355" s="3" t="str">
        <f>IF(G346&lt;&gt;"",G346,"")</f>
        <v>Тактильные предупреждающие наклейки на поручни</v>
      </c>
      <c r="H355" s="3">
        <v>0</v>
      </c>
      <c r="I355" s="3"/>
      <c r="J355" s="3"/>
      <c r="K355" s="3"/>
      <c r="L355" s="3"/>
      <c r="M355" s="3"/>
      <c r="N355" s="3"/>
      <c r="O355" s="3">
        <f t="shared" ref="O355:T355" si="273">ROUND(AB355,2)</f>
        <v>1795.48</v>
      </c>
      <c r="P355" s="3">
        <f t="shared" si="273"/>
        <v>1757.29</v>
      </c>
      <c r="Q355" s="3">
        <f t="shared" si="273"/>
        <v>0.21</v>
      </c>
      <c r="R355" s="3">
        <f t="shared" si="273"/>
        <v>0.03</v>
      </c>
      <c r="S355" s="3">
        <f t="shared" si="273"/>
        <v>37.979999999999997</v>
      </c>
      <c r="T355" s="3">
        <f t="shared" si="273"/>
        <v>0</v>
      </c>
      <c r="U355" s="3">
        <f>AH355</f>
        <v>2.1472109999999995</v>
      </c>
      <c r="V355" s="3">
        <f>AI355</f>
        <v>0</v>
      </c>
      <c r="W355" s="3">
        <f>ROUND(AJ355,2)</f>
        <v>0</v>
      </c>
      <c r="X355" s="3">
        <f>ROUND(AK355,2)</f>
        <v>34.21</v>
      </c>
      <c r="Y355" s="3">
        <f>ROUND(AL355,2)</f>
        <v>15.96</v>
      </c>
      <c r="Z355" s="3"/>
      <c r="AA355" s="3"/>
      <c r="AB355" s="3">
        <f>ROUND(SUMIF(AA350:AA353,"=59499218",O350:O353),2)</f>
        <v>1795.48</v>
      </c>
      <c r="AC355" s="3">
        <f>ROUND(SUMIF(AA350:AA353,"=59499218",P350:P353),2)</f>
        <v>1757.29</v>
      </c>
      <c r="AD355" s="3">
        <f>ROUND(SUMIF(AA350:AA353,"=59499218",Q350:Q353),2)</f>
        <v>0.21</v>
      </c>
      <c r="AE355" s="3">
        <f>ROUND(SUMIF(AA350:AA353,"=59499218",R350:R353),2)</f>
        <v>0.03</v>
      </c>
      <c r="AF355" s="3">
        <f>ROUND(SUMIF(AA350:AA353,"=59499218",S350:S353),2)</f>
        <v>37.979999999999997</v>
      </c>
      <c r="AG355" s="3">
        <f>ROUND(SUMIF(AA350:AA353,"=59499218",T350:T353),2)</f>
        <v>0</v>
      </c>
      <c r="AH355" s="3">
        <f>SUMIF(AA350:AA353,"=59499218",U350:U353)</f>
        <v>2.1472109999999995</v>
      </c>
      <c r="AI355" s="3">
        <f>SUMIF(AA350:AA353,"=59499218",V350:V353)</f>
        <v>0</v>
      </c>
      <c r="AJ355" s="3">
        <f>ROUND(SUMIF(AA350:AA353,"=59499218",W350:W353),2)</f>
        <v>0</v>
      </c>
      <c r="AK355" s="3">
        <f>ROUND(SUMIF(AA350:AA353,"=59499218",X350:X353),2)</f>
        <v>34.21</v>
      </c>
      <c r="AL355" s="3">
        <f>ROUND(SUMIF(AA350:AA353,"=59499218",Y350:Y353),2)</f>
        <v>15.96</v>
      </c>
      <c r="AM355" s="3"/>
      <c r="AN355" s="3"/>
      <c r="AO355" s="3">
        <f t="shared" ref="AO355:BD355" si="274">ROUND(BX355,2)</f>
        <v>0</v>
      </c>
      <c r="AP355" s="3">
        <f t="shared" si="274"/>
        <v>0</v>
      </c>
      <c r="AQ355" s="3">
        <f t="shared" si="274"/>
        <v>0</v>
      </c>
      <c r="AR355" s="3">
        <f t="shared" si="274"/>
        <v>1845.65</v>
      </c>
      <c r="AS355" s="3">
        <f t="shared" si="274"/>
        <v>1845.65</v>
      </c>
      <c r="AT355" s="3">
        <f t="shared" si="274"/>
        <v>0</v>
      </c>
      <c r="AU355" s="3">
        <f t="shared" si="274"/>
        <v>0</v>
      </c>
      <c r="AV355" s="3">
        <f t="shared" si="274"/>
        <v>1757.29</v>
      </c>
      <c r="AW355" s="3">
        <f t="shared" si="274"/>
        <v>1757.29</v>
      </c>
      <c r="AX355" s="3">
        <f t="shared" si="274"/>
        <v>0</v>
      </c>
      <c r="AY355" s="3">
        <f t="shared" si="274"/>
        <v>1757.29</v>
      </c>
      <c r="AZ355" s="3">
        <f t="shared" si="274"/>
        <v>0</v>
      </c>
      <c r="BA355" s="3">
        <f t="shared" si="274"/>
        <v>0</v>
      </c>
      <c r="BB355" s="3">
        <f t="shared" si="274"/>
        <v>0</v>
      </c>
      <c r="BC355" s="3">
        <f t="shared" si="274"/>
        <v>0</v>
      </c>
      <c r="BD355" s="3">
        <f t="shared" si="274"/>
        <v>0</v>
      </c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>
        <f>ROUND(SUMIF(AA350:AA353,"=59499218",FQ350:FQ353),2)</f>
        <v>0</v>
      </c>
      <c r="BY355" s="3">
        <f>ROUND(SUMIF(AA350:AA353,"=59499218",FR350:FR353),2)</f>
        <v>0</v>
      </c>
      <c r="BZ355" s="3">
        <f>ROUND(SUMIF(AA350:AA353,"=59499218",GL350:GL353),2)</f>
        <v>0</v>
      </c>
      <c r="CA355" s="3">
        <f>ROUND(SUMIF(AA350:AA353,"=59499218",GM350:GM353),2)</f>
        <v>1845.65</v>
      </c>
      <c r="CB355" s="3">
        <f>ROUND(SUMIF(AA350:AA353,"=59499218",GN350:GN353),2)</f>
        <v>1845.65</v>
      </c>
      <c r="CC355" s="3">
        <f>ROUND(SUMIF(AA350:AA353,"=59499218",GO350:GO353),2)</f>
        <v>0</v>
      </c>
      <c r="CD355" s="3">
        <f>ROUND(SUMIF(AA350:AA353,"=59499218",GP350:GP353),2)</f>
        <v>0</v>
      </c>
      <c r="CE355" s="3">
        <f>AC355-BX355</f>
        <v>1757.29</v>
      </c>
      <c r="CF355" s="3">
        <f>AC355-BY355</f>
        <v>1757.29</v>
      </c>
      <c r="CG355" s="3">
        <f>BX355-BZ355</f>
        <v>0</v>
      </c>
      <c r="CH355" s="3">
        <f>AC355-BX355-BY355+BZ355</f>
        <v>1757.29</v>
      </c>
      <c r="CI355" s="3">
        <f>BY355-BZ355</f>
        <v>0</v>
      </c>
      <c r="CJ355" s="3">
        <f>ROUND(SUMIF(AA350:AA353,"=59499218",GX350:GX353),2)</f>
        <v>0</v>
      </c>
      <c r="CK355" s="3">
        <f>ROUND(SUMIF(AA350:AA353,"=59499218",GY350:GY353),2)</f>
        <v>0</v>
      </c>
      <c r="CL355" s="3">
        <f>ROUND(SUMIF(AA350:AA353,"=59499218",GZ350:GZ353),2)</f>
        <v>0</v>
      </c>
      <c r="CM355" s="3">
        <f>ROUND(SUMIF(AA350:AA353,"=59499218",HD350:HD353),2)</f>
        <v>0</v>
      </c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4">
        <f t="shared" ref="DG355:DL355" si="275">ROUND(DT355,2)</f>
        <v>19280</v>
      </c>
      <c r="DH355" s="4">
        <f t="shared" si="275"/>
        <v>17188.060000000001</v>
      </c>
      <c r="DI355" s="4">
        <f t="shared" si="275"/>
        <v>3.42</v>
      </c>
      <c r="DJ355" s="4">
        <f t="shared" si="275"/>
        <v>1.65</v>
      </c>
      <c r="DK355" s="4">
        <f t="shared" si="275"/>
        <v>2088.52</v>
      </c>
      <c r="DL355" s="4">
        <f t="shared" si="275"/>
        <v>0</v>
      </c>
      <c r="DM355" s="4">
        <f>DZ355</f>
        <v>2.1472109999999995</v>
      </c>
      <c r="DN355" s="4">
        <f>EA355</f>
        <v>0</v>
      </c>
      <c r="DO355" s="4">
        <f>ROUND(EB355,2)</f>
        <v>0</v>
      </c>
      <c r="DP355" s="4">
        <f>ROUND(EC355,2)</f>
        <v>1881.15</v>
      </c>
      <c r="DQ355" s="4">
        <f>ROUND(ED355,2)</f>
        <v>877.87</v>
      </c>
      <c r="DR355" s="4"/>
      <c r="DS355" s="4"/>
      <c r="DT355" s="4">
        <f>ROUND(SUMIF(AA350:AA353,"=59499215",O350:O353),2)</f>
        <v>19280</v>
      </c>
      <c r="DU355" s="4">
        <f>ROUND(SUMIF(AA350:AA353,"=59499215",P350:P353),2)</f>
        <v>17188.060000000001</v>
      </c>
      <c r="DV355" s="4">
        <f>ROUND(SUMIF(AA350:AA353,"=59499215",Q350:Q353),2)</f>
        <v>3.42</v>
      </c>
      <c r="DW355" s="4">
        <f>ROUND(SUMIF(AA350:AA353,"=59499215",R350:R353),2)</f>
        <v>1.65</v>
      </c>
      <c r="DX355" s="4">
        <f>ROUND(SUMIF(AA350:AA353,"=59499215",S350:S353),2)</f>
        <v>2088.52</v>
      </c>
      <c r="DY355" s="4">
        <f>ROUND(SUMIF(AA350:AA353,"=59499215",T350:T353),2)</f>
        <v>0</v>
      </c>
      <c r="DZ355" s="4">
        <f>SUMIF(AA350:AA353,"=59499215",U350:U353)</f>
        <v>2.1472109999999995</v>
      </c>
      <c r="EA355" s="4">
        <f>SUMIF(AA350:AA353,"=59499215",V350:V353)</f>
        <v>0</v>
      </c>
      <c r="EB355" s="4">
        <f>ROUND(SUMIF(AA350:AA353,"=59499215",W350:W353),2)</f>
        <v>0</v>
      </c>
      <c r="EC355" s="4">
        <f>ROUND(SUMIF(AA350:AA353,"=59499215",X350:X353),2)</f>
        <v>1881.15</v>
      </c>
      <c r="ED355" s="4">
        <f>ROUND(SUMIF(AA350:AA353,"=59499215",Y350:Y353),2)</f>
        <v>877.87</v>
      </c>
      <c r="EE355" s="4"/>
      <c r="EF355" s="4"/>
      <c r="EG355" s="4">
        <f t="shared" ref="EG355:EV355" si="276">ROUND(FP355,2)</f>
        <v>0</v>
      </c>
      <c r="EH355" s="4">
        <f t="shared" si="276"/>
        <v>0</v>
      </c>
      <c r="EI355" s="4">
        <f t="shared" si="276"/>
        <v>0</v>
      </c>
      <c r="EJ355" s="4">
        <f t="shared" si="276"/>
        <v>22039.02</v>
      </c>
      <c r="EK355" s="4">
        <f t="shared" si="276"/>
        <v>22039.02</v>
      </c>
      <c r="EL355" s="4">
        <f t="shared" si="276"/>
        <v>0</v>
      </c>
      <c r="EM355" s="4">
        <f t="shared" si="276"/>
        <v>0</v>
      </c>
      <c r="EN355" s="4">
        <f t="shared" si="276"/>
        <v>17188.060000000001</v>
      </c>
      <c r="EO355" s="4">
        <f t="shared" si="276"/>
        <v>17188.060000000001</v>
      </c>
      <c r="EP355" s="4">
        <f t="shared" si="276"/>
        <v>0</v>
      </c>
      <c r="EQ355" s="4">
        <f t="shared" si="276"/>
        <v>17188.060000000001</v>
      </c>
      <c r="ER355" s="4">
        <f t="shared" si="276"/>
        <v>0</v>
      </c>
      <c r="ES355" s="4">
        <f t="shared" si="276"/>
        <v>0</v>
      </c>
      <c r="ET355" s="4">
        <f t="shared" si="276"/>
        <v>0</v>
      </c>
      <c r="EU355" s="4">
        <f t="shared" si="276"/>
        <v>0</v>
      </c>
      <c r="EV355" s="4">
        <f t="shared" si="276"/>
        <v>0</v>
      </c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>
        <f>ROUND(SUMIF(AA350:AA353,"=59499215",FQ350:FQ353),2)</f>
        <v>0</v>
      </c>
      <c r="FQ355" s="4">
        <f>ROUND(SUMIF(AA350:AA353,"=59499215",FR350:FR353),2)</f>
        <v>0</v>
      </c>
      <c r="FR355" s="4">
        <f>ROUND(SUMIF(AA350:AA353,"=59499215",GL350:GL353),2)</f>
        <v>0</v>
      </c>
      <c r="FS355" s="4">
        <f>ROUND(SUMIF(AA350:AA353,"=59499215",GM350:GM353),2)</f>
        <v>22039.02</v>
      </c>
      <c r="FT355" s="4">
        <f>ROUND(SUMIF(AA350:AA353,"=59499215",GN350:GN353),2)</f>
        <v>22039.02</v>
      </c>
      <c r="FU355" s="4">
        <f>ROUND(SUMIF(AA350:AA353,"=59499215",GO350:GO353),2)</f>
        <v>0</v>
      </c>
      <c r="FV355" s="4">
        <f>ROUND(SUMIF(AA350:AA353,"=59499215",GP350:GP353),2)</f>
        <v>0</v>
      </c>
      <c r="FW355" s="4">
        <f>DU355-FP355</f>
        <v>17188.060000000001</v>
      </c>
      <c r="FX355" s="4">
        <f>DU355-FQ355</f>
        <v>17188.060000000001</v>
      </c>
      <c r="FY355" s="4">
        <f>FP355-FR355</f>
        <v>0</v>
      </c>
      <c r="FZ355" s="4">
        <f>DU355-FP355-FQ355+FR355</f>
        <v>17188.060000000001</v>
      </c>
      <c r="GA355" s="4">
        <f>FQ355-FR355</f>
        <v>0</v>
      </c>
      <c r="GB355" s="4">
        <f>ROUND(SUMIF(AA350:AA353,"=59499215",GX350:GX353),2)</f>
        <v>0</v>
      </c>
      <c r="GC355" s="4">
        <f>ROUND(SUMIF(AA350:AA353,"=59499215",GY350:GY353),2)</f>
        <v>0</v>
      </c>
      <c r="GD355" s="4">
        <f>ROUND(SUMIF(AA350:AA353,"=59499215",GZ350:GZ353),2)</f>
        <v>0</v>
      </c>
      <c r="GE355" s="4">
        <f>ROUND(SUMIF(AA350:AA353,"=59499215",HD350:HD353),2)</f>
        <v>0</v>
      </c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>
        <v>0</v>
      </c>
    </row>
    <row r="357" spans="1:245" x14ac:dyDescent="0.2">
      <c r="A357" s="5">
        <v>50</v>
      </c>
      <c r="B357" s="5">
        <v>0</v>
      </c>
      <c r="C357" s="5">
        <v>0</v>
      </c>
      <c r="D357" s="5">
        <v>1</v>
      </c>
      <c r="E357" s="5">
        <v>201</v>
      </c>
      <c r="F357" s="5">
        <f>ROUND(Source!O355,O357)</f>
        <v>1795.48</v>
      </c>
      <c r="G357" s="5" t="s">
        <v>46</v>
      </c>
      <c r="H357" s="5" t="s">
        <v>47</v>
      </c>
      <c r="I357" s="5"/>
      <c r="J357" s="5"/>
      <c r="K357" s="5">
        <v>201</v>
      </c>
      <c r="L357" s="5">
        <v>1</v>
      </c>
      <c r="M357" s="5">
        <v>3</v>
      </c>
      <c r="N357" s="5" t="s">
        <v>3</v>
      </c>
      <c r="O357" s="5">
        <v>2</v>
      </c>
      <c r="P357" s="5">
        <f>ROUND(Source!DG355,O357)</f>
        <v>19280</v>
      </c>
      <c r="Q357" s="5"/>
      <c r="R357" s="5"/>
      <c r="S357" s="5"/>
      <c r="T357" s="5"/>
      <c r="U357" s="5"/>
      <c r="V357" s="5"/>
      <c r="W357" s="5">
        <v>1795.48</v>
      </c>
      <c r="X357" s="5">
        <v>1</v>
      </c>
      <c r="Y357" s="5">
        <v>1795.48</v>
      </c>
      <c r="Z357" s="5">
        <v>19280</v>
      </c>
      <c r="AA357" s="5">
        <v>1</v>
      </c>
      <c r="AB357" s="5">
        <v>19280</v>
      </c>
    </row>
    <row r="358" spans="1:245" x14ac:dyDescent="0.2">
      <c r="A358" s="5">
        <v>50</v>
      </c>
      <c r="B358" s="5">
        <v>0</v>
      </c>
      <c r="C358" s="5">
        <v>0</v>
      </c>
      <c r="D358" s="5">
        <v>1</v>
      </c>
      <c r="E358" s="5">
        <v>202</v>
      </c>
      <c r="F358" s="5">
        <f>ROUND(Source!P355,O358)</f>
        <v>1757.29</v>
      </c>
      <c r="G358" s="5" t="s">
        <v>48</v>
      </c>
      <c r="H358" s="5" t="s">
        <v>49</v>
      </c>
      <c r="I358" s="5"/>
      <c r="J358" s="5"/>
      <c r="K358" s="5">
        <v>202</v>
      </c>
      <c r="L358" s="5">
        <v>2</v>
      </c>
      <c r="M358" s="5">
        <v>3</v>
      </c>
      <c r="N358" s="5" t="s">
        <v>3</v>
      </c>
      <c r="O358" s="5">
        <v>2</v>
      </c>
      <c r="P358" s="5">
        <f>ROUND(Source!DH355,O358)</f>
        <v>17188.060000000001</v>
      </c>
      <c r="Q358" s="5"/>
      <c r="R358" s="5"/>
      <c r="S358" s="5"/>
      <c r="T358" s="5"/>
      <c r="U358" s="5"/>
      <c r="V358" s="5"/>
      <c r="W358" s="5">
        <v>1757.29</v>
      </c>
      <c r="X358" s="5">
        <v>1</v>
      </c>
      <c r="Y358" s="5">
        <v>1757.29</v>
      </c>
      <c r="Z358" s="5">
        <v>17188.060000000001</v>
      </c>
      <c r="AA358" s="5">
        <v>1</v>
      </c>
      <c r="AB358" s="5">
        <v>17188.060000000001</v>
      </c>
    </row>
    <row r="359" spans="1:245" x14ac:dyDescent="0.2">
      <c r="A359" s="5">
        <v>50</v>
      </c>
      <c r="B359" s="5">
        <v>0</v>
      </c>
      <c r="C359" s="5">
        <v>0</v>
      </c>
      <c r="D359" s="5">
        <v>1</v>
      </c>
      <c r="E359" s="5">
        <v>222</v>
      </c>
      <c r="F359" s="5">
        <f>ROUND(Source!AO355,O359)</f>
        <v>0</v>
      </c>
      <c r="G359" s="5" t="s">
        <v>50</v>
      </c>
      <c r="H359" s="5" t="s">
        <v>51</v>
      </c>
      <c r="I359" s="5"/>
      <c r="J359" s="5"/>
      <c r="K359" s="5">
        <v>222</v>
      </c>
      <c r="L359" s="5">
        <v>3</v>
      </c>
      <c r="M359" s="5">
        <v>3</v>
      </c>
      <c r="N359" s="5" t="s">
        <v>3</v>
      </c>
      <c r="O359" s="5">
        <v>2</v>
      </c>
      <c r="P359" s="5">
        <f>ROUND(Source!EG355,O359)</f>
        <v>0</v>
      </c>
      <c r="Q359" s="5"/>
      <c r="R359" s="5"/>
      <c r="S359" s="5"/>
      <c r="T359" s="5"/>
      <c r="U359" s="5"/>
      <c r="V359" s="5"/>
      <c r="W359" s="5">
        <v>0</v>
      </c>
      <c r="X359" s="5">
        <v>1</v>
      </c>
      <c r="Y359" s="5">
        <v>0</v>
      </c>
      <c r="Z359" s="5">
        <v>0</v>
      </c>
      <c r="AA359" s="5">
        <v>1</v>
      </c>
      <c r="AB359" s="5">
        <v>0</v>
      </c>
    </row>
    <row r="360" spans="1:245" x14ac:dyDescent="0.2">
      <c r="A360" s="5">
        <v>50</v>
      </c>
      <c r="B360" s="5">
        <v>0</v>
      </c>
      <c r="C360" s="5">
        <v>0</v>
      </c>
      <c r="D360" s="5">
        <v>1</v>
      </c>
      <c r="E360" s="5">
        <v>225</v>
      </c>
      <c r="F360" s="5">
        <f>ROUND(Source!AV355,O360)</f>
        <v>1757.29</v>
      </c>
      <c r="G360" s="5" t="s">
        <v>52</v>
      </c>
      <c r="H360" s="5" t="s">
        <v>53</v>
      </c>
      <c r="I360" s="5"/>
      <c r="J360" s="5"/>
      <c r="K360" s="5">
        <v>225</v>
      </c>
      <c r="L360" s="5">
        <v>4</v>
      </c>
      <c r="M360" s="5">
        <v>3</v>
      </c>
      <c r="N360" s="5" t="s">
        <v>3</v>
      </c>
      <c r="O360" s="5">
        <v>2</v>
      </c>
      <c r="P360" s="5">
        <f>ROUND(Source!EN355,O360)</f>
        <v>17188.060000000001</v>
      </c>
      <c r="Q360" s="5"/>
      <c r="R360" s="5"/>
      <c r="S360" s="5"/>
      <c r="T360" s="5"/>
      <c r="U360" s="5"/>
      <c r="V360" s="5"/>
      <c r="W360" s="5">
        <v>1757.29</v>
      </c>
      <c r="X360" s="5">
        <v>1</v>
      </c>
      <c r="Y360" s="5">
        <v>1757.29</v>
      </c>
      <c r="Z360" s="5">
        <v>17188.060000000001</v>
      </c>
      <c r="AA360" s="5">
        <v>1</v>
      </c>
      <c r="AB360" s="5">
        <v>17188.060000000001</v>
      </c>
    </row>
    <row r="361" spans="1:245" x14ac:dyDescent="0.2">
      <c r="A361" s="5">
        <v>50</v>
      </c>
      <c r="B361" s="5">
        <v>0</v>
      </c>
      <c r="C361" s="5">
        <v>0</v>
      </c>
      <c r="D361" s="5">
        <v>1</v>
      </c>
      <c r="E361" s="5">
        <v>226</v>
      </c>
      <c r="F361" s="5">
        <f>ROUND(Source!AW355,O361)</f>
        <v>1757.29</v>
      </c>
      <c r="G361" s="5" t="s">
        <v>54</v>
      </c>
      <c r="H361" s="5" t="s">
        <v>55</v>
      </c>
      <c r="I361" s="5"/>
      <c r="J361" s="5"/>
      <c r="K361" s="5">
        <v>226</v>
      </c>
      <c r="L361" s="5">
        <v>5</v>
      </c>
      <c r="M361" s="5">
        <v>3</v>
      </c>
      <c r="N361" s="5" t="s">
        <v>3</v>
      </c>
      <c r="O361" s="5">
        <v>2</v>
      </c>
      <c r="P361" s="5">
        <f>ROUND(Source!EO355,O361)</f>
        <v>17188.060000000001</v>
      </c>
      <c r="Q361" s="5"/>
      <c r="R361" s="5"/>
      <c r="S361" s="5"/>
      <c r="T361" s="5"/>
      <c r="U361" s="5"/>
      <c r="V361" s="5"/>
      <c r="W361" s="5">
        <v>1757.29</v>
      </c>
      <c r="X361" s="5">
        <v>1</v>
      </c>
      <c r="Y361" s="5">
        <v>1757.29</v>
      </c>
      <c r="Z361" s="5">
        <v>17188.060000000001</v>
      </c>
      <c r="AA361" s="5">
        <v>1</v>
      </c>
      <c r="AB361" s="5">
        <v>17188.060000000001</v>
      </c>
    </row>
    <row r="362" spans="1:245" x14ac:dyDescent="0.2">
      <c r="A362" s="5">
        <v>50</v>
      </c>
      <c r="B362" s="5">
        <v>0</v>
      </c>
      <c r="C362" s="5">
        <v>0</v>
      </c>
      <c r="D362" s="5">
        <v>1</v>
      </c>
      <c r="E362" s="5">
        <v>227</v>
      </c>
      <c r="F362" s="5">
        <f>ROUND(Source!AX355,O362)</f>
        <v>0</v>
      </c>
      <c r="G362" s="5" t="s">
        <v>56</v>
      </c>
      <c r="H362" s="5" t="s">
        <v>57</v>
      </c>
      <c r="I362" s="5"/>
      <c r="J362" s="5"/>
      <c r="K362" s="5">
        <v>227</v>
      </c>
      <c r="L362" s="5">
        <v>6</v>
      </c>
      <c r="M362" s="5">
        <v>3</v>
      </c>
      <c r="N362" s="5" t="s">
        <v>3</v>
      </c>
      <c r="O362" s="5">
        <v>2</v>
      </c>
      <c r="P362" s="5">
        <f>ROUND(Source!EP355,O362)</f>
        <v>0</v>
      </c>
      <c r="Q362" s="5"/>
      <c r="R362" s="5"/>
      <c r="S362" s="5"/>
      <c r="T362" s="5"/>
      <c r="U362" s="5"/>
      <c r="V362" s="5"/>
      <c r="W362" s="5">
        <v>0</v>
      </c>
      <c r="X362" s="5">
        <v>1</v>
      </c>
      <c r="Y362" s="5">
        <v>0</v>
      </c>
      <c r="Z362" s="5">
        <v>0</v>
      </c>
      <c r="AA362" s="5">
        <v>1</v>
      </c>
      <c r="AB362" s="5">
        <v>0</v>
      </c>
    </row>
    <row r="363" spans="1:245" x14ac:dyDescent="0.2">
      <c r="A363" s="5">
        <v>50</v>
      </c>
      <c r="B363" s="5">
        <v>0</v>
      </c>
      <c r="C363" s="5">
        <v>0</v>
      </c>
      <c r="D363" s="5">
        <v>1</v>
      </c>
      <c r="E363" s="5">
        <v>228</v>
      </c>
      <c r="F363" s="5">
        <f>ROUND(Source!AY355,O363)</f>
        <v>1757.29</v>
      </c>
      <c r="G363" s="5" t="s">
        <v>58</v>
      </c>
      <c r="H363" s="5" t="s">
        <v>59</v>
      </c>
      <c r="I363" s="5"/>
      <c r="J363" s="5"/>
      <c r="K363" s="5">
        <v>228</v>
      </c>
      <c r="L363" s="5">
        <v>7</v>
      </c>
      <c r="M363" s="5">
        <v>3</v>
      </c>
      <c r="N363" s="5" t="s">
        <v>3</v>
      </c>
      <c r="O363" s="5">
        <v>2</v>
      </c>
      <c r="P363" s="5">
        <f>ROUND(Source!EQ355,O363)</f>
        <v>17188.060000000001</v>
      </c>
      <c r="Q363" s="5"/>
      <c r="R363" s="5"/>
      <c r="S363" s="5"/>
      <c r="T363" s="5"/>
      <c r="U363" s="5"/>
      <c r="V363" s="5"/>
      <c r="W363" s="5">
        <v>1757.29</v>
      </c>
      <c r="X363" s="5">
        <v>1</v>
      </c>
      <c r="Y363" s="5">
        <v>1757.29</v>
      </c>
      <c r="Z363" s="5">
        <v>17188.060000000001</v>
      </c>
      <c r="AA363" s="5">
        <v>1</v>
      </c>
      <c r="AB363" s="5">
        <v>17188.060000000001</v>
      </c>
    </row>
    <row r="364" spans="1:245" x14ac:dyDescent="0.2">
      <c r="A364" s="5">
        <v>50</v>
      </c>
      <c r="B364" s="5">
        <v>0</v>
      </c>
      <c r="C364" s="5">
        <v>0</v>
      </c>
      <c r="D364" s="5">
        <v>1</v>
      </c>
      <c r="E364" s="5">
        <v>216</v>
      </c>
      <c r="F364" s="5">
        <f>ROUND(Source!AP355,O364)</f>
        <v>0</v>
      </c>
      <c r="G364" s="5" t="s">
        <v>60</v>
      </c>
      <c r="H364" s="5" t="s">
        <v>61</v>
      </c>
      <c r="I364" s="5"/>
      <c r="J364" s="5"/>
      <c r="K364" s="5">
        <v>216</v>
      </c>
      <c r="L364" s="5">
        <v>8</v>
      </c>
      <c r="M364" s="5">
        <v>3</v>
      </c>
      <c r="N364" s="5" t="s">
        <v>3</v>
      </c>
      <c r="O364" s="5">
        <v>2</v>
      </c>
      <c r="P364" s="5">
        <f>ROUND(Source!EH355,O364)</f>
        <v>0</v>
      </c>
      <c r="Q364" s="5"/>
      <c r="R364" s="5"/>
      <c r="S364" s="5"/>
      <c r="T364" s="5"/>
      <c r="U364" s="5"/>
      <c r="V364" s="5"/>
      <c r="W364" s="5">
        <v>0</v>
      </c>
      <c r="X364" s="5">
        <v>1</v>
      </c>
      <c r="Y364" s="5">
        <v>0</v>
      </c>
      <c r="Z364" s="5">
        <v>0</v>
      </c>
      <c r="AA364" s="5">
        <v>1</v>
      </c>
      <c r="AB364" s="5">
        <v>0</v>
      </c>
    </row>
    <row r="365" spans="1:245" x14ac:dyDescent="0.2">
      <c r="A365" s="5">
        <v>50</v>
      </c>
      <c r="B365" s="5">
        <v>0</v>
      </c>
      <c r="C365" s="5">
        <v>0</v>
      </c>
      <c r="D365" s="5">
        <v>1</v>
      </c>
      <c r="E365" s="5">
        <v>223</v>
      </c>
      <c r="F365" s="5">
        <f>ROUND(Source!AQ355,O365)</f>
        <v>0</v>
      </c>
      <c r="G365" s="5" t="s">
        <v>62</v>
      </c>
      <c r="H365" s="5" t="s">
        <v>63</v>
      </c>
      <c r="I365" s="5"/>
      <c r="J365" s="5"/>
      <c r="K365" s="5">
        <v>223</v>
      </c>
      <c r="L365" s="5">
        <v>9</v>
      </c>
      <c r="M365" s="5">
        <v>3</v>
      </c>
      <c r="N365" s="5" t="s">
        <v>3</v>
      </c>
      <c r="O365" s="5">
        <v>2</v>
      </c>
      <c r="P365" s="5">
        <f>ROUND(Source!EI355,O365)</f>
        <v>0</v>
      </c>
      <c r="Q365" s="5"/>
      <c r="R365" s="5"/>
      <c r="S365" s="5"/>
      <c r="T365" s="5"/>
      <c r="U365" s="5"/>
      <c r="V365" s="5"/>
      <c r="W365" s="5">
        <v>0</v>
      </c>
      <c r="X365" s="5">
        <v>1</v>
      </c>
      <c r="Y365" s="5">
        <v>0</v>
      </c>
      <c r="Z365" s="5">
        <v>0</v>
      </c>
      <c r="AA365" s="5">
        <v>1</v>
      </c>
      <c r="AB365" s="5">
        <v>0</v>
      </c>
    </row>
    <row r="366" spans="1:245" x14ac:dyDescent="0.2">
      <c r="A366" s="5">
        <v>50</v>
      </c>
      <c r="B366" s="5">
        <v>0</v>
      </c>
      <c r="C366" s="5">
        <v>0</v>
      </c>
      <c r="D366" s="5">
        <v>1</v>
      </c>
      <c r="E366" s="5">
        <v>229</v>
      </c>
      <c r="F366" s="5">
        <f>ROUND(Source!AZ355,O366)</f>
        <v>0</v>
      </c>
      <c r="G366" s="5" t="s">
        <v>64</v>
      </c>
      <c r="H366" s="5" t="s">
        <v>65</v>
      </c>
      <c r="I366" s="5"/>
      <c r="J366" s="5"/>
      <c r="K366" s="5">
        <v>229</v>
      </c>
      <c r="L366" s="5">
        <v>10</v>
      </c>
      <c r="M366" s="5">
        <v>3</v>
      </c>
      <c r="N366" s="5" t="s">
        <v>3</v>
      </c>
      <c r="O366" s="5">
        <v>2</v>
      </c>
      <c r="P366" s="5">
        <f>ROUND(Source!ER355,O366)</f>
        <v>0</v>
      </c>
      <c r="Q366" s="5"/>
      <c r="R366" s="5"/>
      <c r="S366" s="5"/>
      <c r="T366" s="5"/>
      <c r="U366" s="5"/>
      <c r="V366" s="5"/>
      <c r="W366" s="5">
        <v>0</v>
      </c>
      <c r="X366" s="5">
        <v>1</v>
      </c>
      <c r="Y366" s="5">
        <v>0</v>
      </c>
      <c r="Z366" s="5">
        <v>0</v>
      </c>
      <c r="AA366" s="5">
        <v>1</v>
      </c>
      <c r="AB366" s="5">
        <v>0</v>
      </c>
    </row>
    <row r="367" spans="1:245" x14ac:dyDescent="0.2">
      <c r="A367" s="5">
        <v>50</v>
      </c>
      <c r="B367" s="5">
        <v>0</v>
      </c>
      <c r="C367" s="5">
        <v>0</v>
      </c>
      <c r="D367" s="5">
        <v>1</v>
      </c>
      <c r="E367" s="5">
        <v>203</v>
      </c>
      <c r="F367" s="5">
        <f>ROUND(Source!Q355,O367)</f>
        <v>0.21</v>
      </c>
      <c r="G367" s="5" t="s">
        <v>66</v>
      </c>
      <c r="H367" s="5" t="s">
        <v>67</v>
      </c>
      <c r="I367" s="5"/>
      <c r="J367" s="5"/>
      <c r="K367" s="5">
        <v>203</v>
      </c>
      <c r="L367" s="5">
        <v>11</v>
      </c>
      <c r="M367" s="5">
        <v>3</v>
      </c>
      <c r="N367" s="5" t="s">
        <v>3</v>
      </c>
      <c r="O367" s="5">
        <v>2</v>
      </c>
      <c r="P367" s="5">
        <f>ROUND(Source!DI355,O367)</f>
        <v>3.42</v>
      </c>
      <c r="Q367" s="5"/>
      <c r="R367" s="5"/>
      <c r="S367" s="5"/>
      <c r="T367" s="5"/>
      <c r="U367" s="5"/>
      <c r="V367" s="5"/>
      <c r="W367" s="5">
        <v>0.21</v>
      </c>
      <c r="X367" s="5">
        <v>1</v>
      </c>
      <c r="Y367" s="5">
        <v>0.21</v>
      </c>
      <c r="Z367" s="5">
        <v>3.42</v>
      </c>
      <c r="AA367" s="5">
        <v>1</v>
      </c>
      <c r="AB367" s="5">
        <v>3.42</v>
      </c>
    </row>
    <row r="368" spans="1:245" x14ac:dyDescent="0.2">
      <c r="A368" s="5">
        <v>50</v>
      </c>
      <c r="B368" s="5">
        <v>0</v>
      </c>
      <c r="C368" s="5">
        <v>0</v>
      </c>
      <c r="D368" s="5">
        <v>1</v>
      </c>
      <c r="E368" s="5">
        <v>231</v>
      </c>
      <c r="F368" s="5">
        <f>ROUND(Source!BB355,O368)</f>
        <v>0</v>
      </c>
      <c r="G368" s="5" t="s">
        <v>68</v>
      </c>
      <c r="H368" s="5" t="s">
        <v>69</v>
      </c>
      <c r="I368" s="5"/>
      <c r="J368" s="5"/>
      <c r="K368" s="5">
        <v>231</v>
      </c>
      <c r="L368" s="5">
        <v>12</v>
      </c>
      <c r="M368" s="5">
        <v>3</v>
      </c>
      <c r="N368" s="5" t="s">
        <v>3</v>
      </c>
      <c r="O368" s="5">
        <v>2</v>
      </c>
      <c r="P368" s="5">
        <f>ROUND(Source!ET355,O368)</f>
        <v>0</v>
      </c>
      <c r="Q368" s="5"/>
      <c r="R368" s="5"/>
      <c r="S368" s="5"/>
      <c r="T368" s="5"/>
      <c r="U368" s="5"/>
      <c r="V368" s="5"/>
      <c r="W368" s="5">
        <v>0</v>
      </c>
      <c r="X368" s="5">
        <v>1</v>
      </c>
      <c r="Y368" s="5">
        <v>0</v>
      </c>
      <c r="Z368" s="5">
        <v>0</v>
      </c>
      <c r="AA368" s="5">
        <v>1</v>
      </c>
      <c r="AB368" s="5">
        <v>0</v>
      </c>
    </row>
    <row r="369" spans="1:28" x14ac:dyDescent="0.2">
      <c r="A369" s="5">
        <v>50</v>
      </c>
      <c r="B369" s="5">
        <v>0</v>
      </c>
      <c r="C369" s="5">
        <v>0</v>
      </c>
      <c r="D369" s="5">
        <v>1</v>
      </c>
      <c r="E369" s="5">
        <v>204</v>
      </c>
      <c r="F369" s="5">
        <f>ROUND(Source!R355,O369)</f>
        <v>0.03</v>
      </c>
      <c r="G369" s="5" t="s">
        <v>70</v>
      </c>
      <c r="H369" s="5" t="s">
        <v>71</v>
      </c>
      <c r="I369" s="5"/>
      <c r="J369" s="5"/>
      <c r="K369" s="5">
        <v>204</v>
      </c>
      <c r="L369" s="5">
        <v>13</v>
      </c>
      <c r="M369" s="5">
        <v>3</v>
      </c>
      <c r="N369" s="5" t="s">
        <v>3</v>
      </c>
      <c r="O369" s="5">
        <v>2</v>
      </c>
      <c r="P369" s="5">
        <f>ROUND(Source!DJ355,O369)</f>
        <v>1.65</v>
      </c>
      <c r="Q369" s="5"/>
      <c r="R369" s="5"/>
      <c r="S369" s="5"/>
      <c r="T369" s="5"/>
      <c r="U369" s="5"/>
      <c r="V369" s="5"/>
      <c r="W369" s="5">
        <v>0.03</v>
      </c>
      <c r="X369" s="5">
        <v>1</v>
      </c>
      <c r="Y369" s="5">
        <v>0.03</v>
      </c>
      <c r="Z369" s="5">
        <v>1.65</v>
      </c>
      <c r="AA369" s="5">
        <v>1</v>
      </c>
      <c r="AB369" s="5">
        <v>1.65</v>
      </c>
    </row>
    <row r="370" spans="1:28" x14ac:dyDescent="0.2">
      <c r="A370" s="5">
        <v>50</v>
      </c>
      <c r="B370" s="5">
        <v>0</v>
      </c>
      <c r="C370" s="5">
        <v>0</v>
      </c>
      <c r="D370" s="5">
        <v>1</v>
      </c>
      <c r="E370" s="5">
        <v>205</v>
      </c>
      <c r="F370" s="5">
        <f>ROUND(Source!S355,O370)</f>
        <v>37.979999999999997</v>
      </c>
      <c r="G370" s="5" t="s">
        <v>72</v>
      </c>
      <c r="H370" s="5" t="s">
        <v>73</v>
      </c>
      <c r="I370" s="5"/>
      <c r="J370" s="5"/>
      <c r="K370" s="5">
        <v>205</v>
      </c>
      <c r="L370" s="5">
        <v>14</v>
      </c>
      <c r="M370" s="5">
        <v>3</v>
      </c>
      <c r="N370" s="5" t="s">
        <v>3</v>
      </c>
      <c r="O370" s="5">
        <v>2</v>
      </c>
      <c r="P370" s="5">
        <f>ROUND(Source!DK355,O370)</f>
        <v>2088.52</v>
      </c>
      <c r="Q370" s="5"/>
      <c r="R370" s="5"/>
      <c r="S370" s="5"/>
      <c r="T370" s="5"/>
      <c r="U370" s="5"/>
      <c r="V370" s="5"/>
      <c r="W370" s="5">
        <v>37.979999999999997</v>
      </c>
      <c r="X370" s="5">
        <v>1</v>
      </c>
      <c r="Y370" s="5">
        <v>37.979999999999997</v>
      </c>
      <c r="Z370" s="5">
        <v>2088.52</v>
      </c>
      <c r="AA370" s="5">
        <v>1</v>
      </c>
      <c r="AB370" s="5">
        <v>2088.52</v>
      </c>
    </row>
    <row r="371" spans="1:28" x14ac:dyDescent="0.2">
      <c r="A371" s="5">
        <v>50</v>
      </c>
      <c r="B371" s="5">
        <v>0</v>
      </c>
      <c r="C371" s="5">
        <v>0</v>
      </c>
      <c r="D371" s="5">
        <v>1</v>
      </c>
      <c r="E371" s="5">
        <v>232</v>
      </c>
      <c r="F371" s="5">
        <f>ROUND(Source!BC355,O371)</f>
        <v>0</v>
      </c>
      <c r="G371" s="5" t="s">
        <v>74</v>
      </c>
      <c r="H371" s="5" t="s">
        <v>75</v>
      </c>
      <c r="I371" s="5"/>
      <c r="J371" s="5"/>
      <c r="K371" s="5">
        <v>232</v>
      </c>
      <c r="L371" s="5">
        <v>15</v>
      </c>
      <c r="M371" s="5">
        <v>3</v>
      </c>
      <c r="N371" s="5" t="s">
        <v>3</v>
      </c>
      <c r="O371" s="5">
        <v>2</v>
      </c>
      <c r="P371" s="5">
        <f>ROUND(Source!EU355,O371)</f>
        <v>0</v>
      </c>
      <c r="Q371" s="5"/>
      <c r="R371" s="5"/>
      <c r="S371" s="5"/>
      <c r="T371" s="5"/>
      <c r="U371" s="5"/>
      <c r="V371" s="5"/>
      <c r="W371" s="5">
        <v>0</v>
      </c>
      <c r="X371" s="5">
        <v>1</v>
      </c>
      <c r="Y371" s="5">
        <v>0</v>
      </c>
      <c r="Z371" s="5">
        <v>0</v>
      </c>
      <c r="AA371" s="5">
        <v>1</v>
      </c>
      <c r="AB371" s="5">
        <v>0</v>
      </c>
    </row>
    <row r="372" spans="1:28" x14ac:dyDescent="0.2">
      <c r="A372" s="5">
        <v>50</v>
      </c>
      <c r="B372" s="5">
        <v>0</v>
      </c>
      <c r="C372" s="5">
        <v>0</v>
      </c>
      <c r="D372" s="5">
        <v>1</v>
      </c>
      <c r="E372" s="5">
        <v>214</v>
      </c>
      <c r="F372" s="5">
        <f>ROUND(Source!AS355,O372)</f>
        <v>1845.65</v>
      </c>
      <c r="G372" s="5" t="s">
        <v>76</v>
      </c>
      <c r="H372" s="5" t="s">
        <v>77</v>
      </c>
      <c r="I372" s="5"/>
      <c r="J372" s="5"/>
      <c r="K372" s="5">
        <v>214</v>
      </c>
      <c r="L372" s="5">
        <v>16</v>
      </c>
      <c r="M372" s="5">
        <v>3</v>
      </c>
      <c r="N372" s="5" t="s">
        <v>3</v>
      </c>
      <c r="O372" s="5">
        <v>2</v>
      </c>
      <c r="P372" s="5">
        <f>ROUND(Source!EK355,O372)</f>
        <v>22039.02</v>
      </c>
      <c r="Q372" s="5"/>
      <c r="R372" s="5"/>
      <c r="S372" s="5"/>
      <c r="T372" s="5"/>
      <c r="U372" s="5"/>
      <c r="V372" s="5"/>
      <c r="W372" s="5">
        <v>1845.65</v>
      </c>
      <c r="X372" s="5">
        <v>1</v>
      </c>
      <c r="Y372" s="5">
        <v>1845.65</v>
      </c>
      <c r="Z372" s="5">
        <v>22039.02</v>
      </c>
      <c r="AA372" s="5">
        <v>1</v>
      </c>
      <c r="AB372" s="5">
        <v>22039.02</v>
      </c>
    </row>
    <row r="373" spans="1:28" x14ac:dyDescent="0.2">
      <c r="A373" s="5">
        <v>50</v>
      </c>
      <c r="B373" s="5">
        <v>0</v>
      </c>
      <c r="C373" s="5">
        <v>0</v>
      </c>
      <c r="D373" s="5">
        <v>1</v>
      </c>
      <c r="E373" s="5">
        <v>215</v>
      </c>
      <c r="F373" s="5">
        <f>ROUND(Source!AT355,O373)</f>
        <v>0</v>
      </c>
      <c r="G373" s="5" t="s">
        <v>78</v>
      </c>
      <c r="H373" s="5" t="s">
        <v>79</v>
      </c>
      <c r="I373" s="5"/>
      <c r="J373" s="5"/>
      <c r="K373" s="5">
        <v>215</v>
      </c>
      <c r="L373" s="5">
        <v>17</v>
      </c>
      <c r="M373" s="5">
        <v>3</v>
      </c>
      <c r="N373" s="5" t="s">
        <v>3</v>
      </c>
      <c r="O373" s="5">
        <v>2</v>
      </c>
      <c r="P373" s="5">
        <f>ROUND(Source!EL355,O373)</f>
        <v>0</v>
      </c>
      <c r="Q373" s="5"/>
      <c r="R373" s="5"/>
      <c r="S373" s="5"/>
      <c r="T373" s="5"/>
      <c r="U373" s="5"/>
      <c r="V373" s="5"/>
      <c r="W373" s="5">
        <v>0</v>
      </c>
      <c r="X373" s="5">
        <v>1</v>
      </c>
      <c r="Y373" s="5">
        <v>0</v>
      </c>
      <c r="Z373" s="5">
        <v>0</v>
      </c>
      <c r="AA373" s="5">
        <v>1</v>
      </c>
      <c r="AB373" s="5">
        <v>0</v>
      </c>
    </row>
    <row r="374" spans="1:28" x14ac:dyDescent="0.2">
      <c r="A374" s="5">
        <v>50</v>
      </c>
      <c r="B374" s="5">
        <v>0</v>
      </c>
      <c r="C374" s="5">
        <v>0</v>
      </c>
      <c r="D374" s="5">
        <v>1</v>
      </c>
      <c r="E374" s="5">
        <v>217</v>
      </c>
      <c r="F374" s="5">
        <f>ROUND(Source!AU355,O374)</f>
        <v>0</v>
      </c>
      <c r="G374" s="5" t="s">
        <v>80</v>
      </c>
      <c r="H374" s="5" t="s">
        <v>81</v>
      </c>
      <c r="I374" s="5"/>
      <c r="J374" s="5"/>
      <c r="K374" s="5">
        <v>217</v>
      </c>
      <c r="L374" s="5">
        <v>18</v>
      </c>
      <c r="M374" s="5">
        <v>3</v>
      </c>
      <c r="N374" s="5" t="s">
        <v>3</v>
      </c>
      <c r="O374" s="5">
        <v>2</v>
      </c>
      <c r="P374" s="5">
        <f>ROUND(Source!EM355,O374)</f>
        <v>0</v>
      </c>
      <c r="Q374" s="5"/>
      <c r="R374" s="5"/>
      <c r="S374" s="5"/>
      <c r="T374" s="5"/>
      <c r="U374" s="5"/>
      <c r="V374" s="5"/>
      <c r="W374" s="5">
        <v>0</v>
      </c>
      <c r="X374" s="5">
        <v>1</v>
      </c>
      <c r="Y374" s="5">
        <v>0</v>
      </c>
      <c r="Z374" s="5">
        <v>0</v>
      </c>
      <c r="AA374" s="5">
        <v>1</v>
      </c>
      <c r="AB374" s="5">
        <v>0</v>
      </c>
    </row>
    <row r="375" spans="1:28" x14ac:dyDescent="0.2">
      <c r="A375" s="5">
        <v>50</v>
      </c>
      <c r="B375" s="5">
        <v>0</v>
      </c>
      <c r="C375" s="5">
        <v>0</v>
      </c>
      <c r="D375" s="5">
        <v>1</v>
      </c>
      <c r="E375" s="5">
        <v>230</v>
      </c>
      <c r="F375" s="5">
        <f>ROUND(Source!BA355,O375)</f>
        <v>0</v>
      </c>
      <c r="G375" s="5" t="s">
        <v>82</v>
      </c>
      <c r="H375" s="5" t="s">
        <v>83</v>
      </c>
      <c r="I375" s="5"/>
      <c r="J375" s="5"/>
      <c r="K375" s="5">
        <v>230</v>
      </c>
      <c r="L375" s="5">
        <v>19</v>
      </c>
      <c r="M375" s="5">
        <v>3</v>
      </c>
      <c r="N375" s="5" t="s">
        <v>3</v>
      </c>
      <c r="O375" s="5">
        <v>2</v>
      </c>
      <c r="P375" s="5">
        <f>ROUND(Source!ES355,O375)</f>
        <v>0</v>
      </c>
      <c r="Q375" s="5"/>
      <c r="R375" s="5"/>
      <c r="S375" s="5"/>
      <c r="T375" s="5"/>
      <c r="U375" s="5"/>
      <c r="V375" s="5"/>
      <c r="W375" s="5">
        <v>0</v>
      </c>
      <c r="X375" s="5">
        <v>1</v>
      </c>
      <c r="Y375" s="5">
        <v>0</v>
      </c>
      <c r="Z375" s="5">
        <v>0</v>
      </c>
      <c r="AA375" s="5">
        <v>1</v>
      </c>
      <c r="AB375" s="5">
        <v>0</v>
      </c>
    </row>
    <row r="376" spans="1:28" x14ac:dyDescent="0.2">
      <c r="A376" s="5">
        <v>50</v>
      </c>
      <c r="B376" s="5">
        <v>0</v>
      </c>
      <c r="C376" s="5">
        <v>0</v>
      </c>
      <c r="D376" s="5">
        <v>1</v>
      </c>
      <c r="E376" s="5">
        <v>206</v>
      </c>
      <c r="F376" s="5">
        <f>ROUND(Source!T355,O376)</f>
        <v>0</v>
      </c>
      <c r="G376" s="5" t="s">
        <v>84</v>
      </c>
      <c r="H376" s="5" t="s">
        <v>85</v>
      </c>
      <c r="I376" s="5"/>
      <c r="J376" s="5"/>
      <c r="K376" s="5">
        <v>206</v>
      </c>
      <c r="L376" s="5">
        <v>20</v>
      </c>
      <c r="M376" s="5">
        <v>3</v>
      </c>
      <c r="N376" s="5" t="s">
        <v>3</v>
      </c>
      <c r="O376" s="5">
        <v>2</v>
      </c>
      <c r="P376" s="5">
        <f>ROUND(Source!DL355,O376)</f>
        <v>0</v>
      </c>
      <c r="Q376" s="5"/>
      <c r="R376" s="5"/>
      <c r="S376" s="5"/>
      <c r="T376" s="5"/>
      <c r="U376" s="5"/>
      <c r="V376" s="5"/>
      <c r="W376" s="5">
        <v>0</v>
      </c>
      <c r="X376" s="5">
        <v>1</v>
      </c>
      <c r="Y376" s="5">
        <v>0</v>
      </c>
      <c r="Z376" s="5">
        <v>0</v>
      </c>
      <c r="AA376" s="5">
        <v>1</v>
      </c>
      <c r="AB376" s="5">
        <v>0</v>
      </c>
    </row>
    <row r="377" spans="1:28" x14ac:dyDescent="0.2">
      <c r="A377" s="5">
        <v>50</v>
      </c>
      <c r="B377" s="5">
        <v>0</v>
      </c>
      <c r="C377" s="5">
        <v>0</v>
      </c>
      <c r="D377" s="5">
        <v>1</v>
      </c>
      <c r="E377" s="5">
        <v>207</v>
      </c>
      <c r="F377" s="5">
        <f>Source!U355</f>
        <v>2.1472109999999995</v>
      </c>
      <c r="G377" s="5" t="s">
        <v>86</v>
      </c>
      <c r="H377" s="5" t="s">
        <v>87</v>
      </c>
      <c r="I377" s="5"/>
      <c r="J377" s="5"/>
      <c r="K377" s="5">
        <v>207</v>
      </c>
      <c r="L377" s="5">
        <v>21</v>
      </c>
      <c r="M377" s="5">
        <v>3</v>
      </c>
      <c r="N377" s="5" t="s">
        <v>3</v>
      </c>
      <c r="O377" s="5">
        <v>-1</v>
      </c>
      <c r="P377" s="5">
        <f>Source!DM355</f>
        <v>2.1472109999999995</v>
      </c>
      <c r="Q377" s="5"/>
      <c r="R377" s="5"/>
      <c r="S377" s="5"/>
      <c r="T377" s="5"/>
      <c r="U377" s="5"/>
      <c r="V377" s="5"/>
      <c r="W377" s="5">
        <v>2.147211</v>
      </c>
      <c r="X377" s="5">
        <v>1</v>
      </c>
      <c r="Y377" s="5">
        <v>2.147211</v>
      </c>
      <c r="Z377" s="5">
        <v>2.147211</v>
      </c>
      <c r="AA377" s="5">
        <v>1</v>
      </c>
      <c r="AB377" s="5">
        <v>2.147211</v>
      </c>
    </row>
    <row r="378" spans="1:28" x14ac:dyDescent="0.2">
      <c r="A378" s="5">
        <v>50</v>
      </c>
      <c r="B378" s="5">
        <v>0</v>
      </c>
      <c r="C378" s="5">
        <v>0</v>
      </c>
      <c r="D378" s="5">
        <v>1</v>
      </c>
      <c r="E378" s="5">
        <v>208</v>
      </c>
      <c r="F378" s="5">
        <f>Source!V355</f>
        <v>0</v>
      </c>
      <c r="G378" s="5" t="s">
        <v>88</v>
      </c>
      <c r="H378" s="5" t="s">
        <v>89</v>
      </c>
      <c r="I378" s="5"/>
      <c r="J378" s="5"/>
      <c r="K378" s="5">
        <v>208</v>
      </c>
      <c r="L378" s="5">
        <v>22</v>
      </c>
      <c r="M378" s="5">
        <v>3</v>
      </c>
      <c r="N378" s="5" t="s">
        <v>3</v>
      </c>
      <c r="O378" s="5">
        <v>-1</v>
      </c>
      <c r="P378" s="5">
        <f>Source!DN355</f>
        <v>0</v>
      </c>
      <c r="Q378" s="5"/>
      <c r="R378" s="5"/>
      <c r="S378" s="5"/>
      <c r="T378" s="5"/>
      <c r="U378" s="5"/>
      <c r="V378" s="5"/>
      <c r="W378" s="5">
        <v>0</v>
      </c>
      <c r="X378" s="5">
        <v>1</v>
      </c>
      <c r="Y378" s="5">
        <v>0</v>
      </c>
      <c r="Z378" s="5">
        <v>0</v>
      </c>
      <c r="AA378" s="5">
        <v>1</v>
      </c>
      <c r="AB378" s="5">
        <v>0</v>
      </c>
    </row>
    <row r="379" spans="1:28" x14ac:dyDescent="0.2">
      <c r="A379" s="5">
        <v>50</v>
      </c>
      <c r="B379" s="5">
        <v>0</v>
      </c>
      <c r="C379" s="5">
        <v>0</v>
      </c>
      <c r="D379" s="5">
        <v>1</v>
      </c>
      <c r="E379" s="5">
        <v>209</v>
      </c>
      <c r="F379" s="5">
        <f>ROUND(Source!W355,O379)</f>
        <v>0</v>
      </c>
      <c r="G379" s="5" t="s">
        <v>90</v>
      </c>
      <c r="H379" s="5" t="s">
        <v>91</v>
      </c>
      <c r="I379" s="5"/>
      <c r="J379" s="5"/>
      <c r="K379" s="5">
        <v>209</v>
      </c>
      <c r="L379" s="5">
        <v>23</v>
      </c>
      <c r="M379" s="5">
        <v>3</v>
      </c>
      <c r="N379" s="5" t="s">
        <v>3</v>
      </c>
      <c r="O379" s="5">
        <v>2</v>
      </c>
      <c r="P379" s="5">
        <f>ROUND(Source!DO355,O379)</f>
        <v>0</v>
      </c>
      <c r="Q379" s="5"/>
      <c r="R379" s="5"/>
      <c r="S379" s="5"/>
      <c r="T379" s="5"/>
      <c r="U379" s="5"/>
      <c r="V379" s="5"/>
      <c r="W379" s="5">
        <v>0</v>
      </c>
      <c r="X379" s="5">
        <v>1</v>
      </c>
      <c r="Y379" s="5">
        <v>0</v>
      </c>
      <c r="Z379" s="5">
        <v>0</v>
      </c>
      <c r="AA379" s="5">
        <v>1</v>
      </c>
      <c r="AB379" s="5">
        <v>0</v>
      </c>
    </row>
    <row r="380" spans="1:28" x14ac:dyDescent="0.2">
      <c r="A380" s="5">
        <v>50</v>
      </c>
      <c r="B380" s="5">
        <v>0</v>
      </c>
      <c r="C380" s="5">
        <v>0</v>
      </c>
      <c r="D380" s="5">
        <v>1</v>
      </c>
      <c r="E380" s="5">
        <v>233</v>
      </c>
      <c r="F380" s="5">
        <f>ROUND(Source!BD355,O380)</f>
        <v>0</v>
      </c>
      <c r="G380" s="5" t="s">
        <v>92</v>
      </c>
      <c r="H380" s="5" t="s">
        <v>93</v>
      </c>
      <c r="I380" s="5"/>
      <c r="J380" s="5"/>
      <c r="K380" s="5">
        <v>233</v>
      </c>
      <c r="L380" s="5">
        <v>24</v>
      </c>
      <c r="M380" s="5">
        <v>3</v>
      </c>
      <c r="N380" s="5" t="s">
        <v>3</v>
      </c>
      <c r="O380" s="5">
        <v>2</v>
      </c>
      <c r="P380" s="5">
        <f>ROUND(Source!EV355,O380)</f>
        <v>0</v>
      </c>
      <c r="Q380" s="5"/>
      <c r="R380" s="5"/>
      <c r="S380" s="5"/>
      <c r="T380" s="5"/>
      <c r="U380" s="5"/>
      <c r="V380" s="5"/>
      <c r="W380" s="5">
        <v>0</v>
      </c>
      <c r="X380" s="5">
        <v>1</v>
      </c>
      <c r="Y380" s="5">
        <v>0</v>
      </c>
      <c r="Z380" s="5">
        <v>0</v>
      </c>
      <c r="AA380" s="5">
        <v>1</v>
      </c>
      <c r="AB380" s="5">
        <v>0</v>
      </c>
    </row>
    <row r="381" spans="1:28" x14ac:dyDescent="0.2">
      <c r="A381" s="5">
        <v>50</v>
      </c>
      <c r="B381" s="5">
        <v>0</v>
      </c>
      <c r="C381" s="5">
        <v>0</v>
      </c>
      <c r="D381" s="5">
        <v>1</v>
      </c>
      <c r="E381" s="5">
        <v>210</v>
      </c>
      <c r="F381" s="5">
        <f>ROUND(Source!X355,O381)</f>
        <v>34.21</v>
      </c>
      <c r="G381" s="5" t="s">
        <v>94</v>
      </c>
      <c r="H381" s="5" t="s">
        <v>95</v>
      </c>
      <c r="I381" s="5"/>
      <c r="J381" s="5"/>
      <c r="K381" s="5">
        <v>210</v>
      </c>
      <c r="L381" s="5">
        <v>25</v>
      </c>
      <c r="M381" s="5">
        <v>3</v>
      </c>
      <c r="N381" s="5" t="s">
        <v>3</v>
      </c>
      <c r="O381" s="5">
        <v>2</v>
      </c>
      <c r="P381" s="5">
        <f>ROUND(Source!DP355,O381)</f>
        <v>1881.15</v>
      </c>
      <c r="Q381" s="5"/>
      <c r="R381" s="5"/>
      <c r="S381" s="5"/>
      <c r="T381" s="5"/>
      <c r="U381" s="5"/>
      <c r="V381" s="5"/>
      <c r="W381" s="5">
        <v>34.21</v>
      </c>
      <c r="X381" s="5">
        <v>1</v>
      </c>
      <c r="Y381" s="5">
        <v>34.21</v>
      </c>
      <c r="Z381" s="5">
        <v>1881.15</v>
      </c>
      <c r="AA381" s="5">
        <v>1</v>
      </c>
      <c r="AB381" s="5">
        <v>1881.15</v>
      </c>
    </row>
    <row r="382" spans="1:28" x14ac:dyDescent="0.2">
      <c r="A382" s="5">
        <v>50</v>
      </c>
      <c r="B382" s="5">
        <v>0</v>
      </c>
      <c r="C382" s="5">
        <v>0</v>
      </c>
      <c r="D382" s="5">
        <v>1</v>
      </c>
      <c r="E382" s="5">
        <v>211</v>
      </c>
      <c r="F382" s="5">
        <f>ROUND(Source!Y355,O382)</f>
        <v>15.96</v>
      </c>
      <c r="G382" s="5" t="s">
        <v>96</v>
      </c>
      <c r="H382" s="5" t="s">
        <v>97</v>
      </c>
      <c r="I382" s="5"/>
      <c r="J382" s="5"/>
      <c r="K382" s="5">
        <v>211</v>
      </c>
      <c r="L382" s="5">
        <v>26</v>
      </c>
      <c r="M382" s="5">
        <v>3</v>
      </c>
      <c r="N382" s="5" t="s">
        <v>3</v>
      </c>
      <c r="O382" s="5">
        <v>2</v>
      </c>
      <c r="P382" s="5">
        <f>ROUND(Source!DQ355,O382)</f>
        <v>877.87</v>
      </c>
      <c r="Q382" s="5"/>
      <c r="R382" s="5"/>
      <c r="S382" s="5"/>
      <c r="T382" s="5"/>
      <c r="U382" s="5"/>
      <c r="V382" s="5"/>
      <c r="W382" s="5">
        <v>15.96</v>
      </c>
      <c r="X382" s="5">
        <v>1</v>
      </c>
      <c r="Y382" s="5">
        <v>15.96</v>
      </c>
      <c r="Z382" s="5">
        <v>877.87</v>
      </c>
      <c r="AA382" s="5">
        <v>1</v>
      </c>
      <c r="AB382" s="5">
        <v>877.87</v>
      </c>
    </row>
    <row r="383" spans="1:28" x14ac:dyDescent="0.2">
      <c r="A383" s="5">
        <v>50</v>
      </c>
      <c r="B383" s="5">
        <v>0</v>
      </c>
      <c r="C383" s="5">
        <v>0</v>
      </c>
      <c r="D383" s="5">
        <v>1</v>
      </c>
      <c r="E383" s="5">
        <v>224</v>
      </c>
      <c r="F383" s="5">
        <f>ROUND(Source!AR355,O383)</f>
        <v>1845.65</v>
      </c>
      <c r="G383" s="5" t="s">
        <v>98</v>
      </c>
      <c r="H383" s="5" t="s">
        <v>99</v>
      </c>
      <c r="I383" s="5"/>
      <c r="J383" s="5"/>
      <c r="K383" s="5">
        <v>224</v>
      </c>
      <c r="L383" s="5">
        <v>27</v>
      </c>
      <c r="M383" s="5">
        <v>3</v>
      </c>
      <c r="N383" s="5" t="s">
        <v>3</v>
      </c>
      <c r="O383" s="5">
        <v>2</v>
      </c>
      <c r="P383" s="5">
        <f>ROUND(Source!EJ355,O383)</f>
        <v>22039.02</v>
      </c>
      <c r="Q383" s="5"/>
      <c r="R383" s="5"/>
      <c r="S383" s="5"/>
      <c r="T383" s="5"/>
      <c r="U383" s="5"/>
      <c r="V383" s="5"/>
      <c r="W383" s="5">
        <v>1845.65</v>
      </c>
      <c r="X383" s="5">
        <v>1</v>
      </c>
      <c r="Y383" s="5">
        <v>1845.65</v>
      </c>
      <c r="Z383" s="5">
        <v>22039.02</v>
      </c>
      <c r="AA383" s="5">
        <v>1</v>
      </c>
      <c r="AB383" s="5">
        <v>22039.02</v>
      </c>
    </row>
    <row r="385" spans="1:255" x14ac:dyDescent="0.2">
      <c r="A385" s="1">
        <v>4</v>
      </c>
      <c r="B385" s="1">
        <v>1</v>
      </c>
      <c r="C385" s="1"/>
      <c r="D385" s="1">
        <f>ROW(A394)</f>
        <v>394</v>
      </c>
      <c r="E385" s="1"/>
      <c r="F385" s="1" t="s">
        <v>3</v>
      </c>
      <c r="G385" s="1" t="s">
        <v>262</v>
      </c>
      <c r="H385" s="1" t="s">
        <v>3</v>
      </c>
      <c r="I385" s="1">
        <v>0</v>
      </c>
      <c r="J385" s="1"/>
      <c r="K385" s="1">
        <v>-1</v>
      </c>
      <c r="L385" s="1"/>
      <c r="M385" s="1" t="s">
        <v>3</v>
      </c>
      <c r="N385" s="1"/>
      <c r="O385" s="1"/>
      <c r="P385" s="1"/>
      <c r="Q385" s="1"/>
      <c r="R385" s="1"/>
      <c r="S385" s="1">
        <v>0</v>
      </c>
      <c r="T385" s="1">
        <v>0</v>
      </c>
      <c r="U385" s="1" t="s">
        <v>3</v>
      </c>
      <c r="V385" s="1">
        <v>2</v>
      </c>
      <c r="W385" s="1"/>
      <c r="X385" s="1"/>
      <c r="Y385" s="1"/>
      <c r="Z385" s="1"/>
      <c r="AA385" s="1"/>
      <c r="AB385" s="1" t="s">
        <v>3</v>
      </c>
      <c r="AC385" s="1" t="s">
        <v>3</v>
      </c>
      <c r="AD385" s="1" t="s">
        <v>3</v>
      </c>
      <c r="AE385" s="1" t="s">
        <v>3</v>
      </c>
      <c r="AF385" s="1" t="s">
        <v>3</v>
      </c>
      <c r="AG385" s="1" t="s">
        <v>3</v>
      </c>
      <c r="AH385" s="1"/>
      <c r="AI385" s="1"/>
      <c r="AJ385" s="1"/>
      <c r="AK385" s="1"/>
      <c r="AL385" s="1"/>
      <c r="AM385" s="1"/>
      <c r="AN385" s="1"/>
      <c r="AO385" s="1"/>
      <c r="AP385" s="1" t="s">
        <v>3</v>
      </c>
      <c r="AQ385" s="1" t="s">
        <v>3</v>
      </c>
      <c r="AR385" s="1" t="s">
        <v>3</v>
      </c>
      <c r="AS385" s="1"/>
      <c r="AT385" s="1"/>
      <c r="AU385" s="1"/>
      <c r="AV385" s="1"/>
      <c r="AW385" s="1"/>
      <c r="AX385" s="1"/>
      <c r="AY385" s="1"/>
      <c r="AZ385" s="1" t="s">
        <v>3</v>
      </c>
      <c r="BA385" s="1"/>
      <c r="BB385" s="1" t="s">
        <v>3</v>
      </c>
      <c r="BC385" s="1" t="s">
        <v>3</v>
      </c>
      <c r="BD385" s="1" t="s">
        <v>3</v>
      </c>
      <c r="BE385" s="1" t="s">
        <v>3</v>
      </c>
      <c r="BF385" s="1" t="s">
        <v>3</v>
      </c>
      <c r="BG385" s="1" t="s">
        <v>3</v>
      </c>
      <c r="BH385" s="1" t="s">
        <v>3</v>
      </c>
      <c r="BI385" s="1" t="s">
        <v>3</v>
      </c>
      <c r="BJ385" s="1" t="s">
        <v>3</v>
      </c>
      <c r="BK385" s="1" t="s">
        <v>3</v>
      </c>
      <c r="BL385" s="1" t="s">
        <v>3</v>
      </c>
      <c r="BM385" s="1" t="s">
        <v>3</v>
      </c>
      <c r="BN385" s="1" t="s">
        <v>3</v>
      </c>
      <c r="BO385" s="1" t="s">
        <v>3</v>
      </c>
      <c r="BP385" s="1" t="s">
        <v>3</v>
      </c>
      <c r="BQ385" s="1"/>
      <c r="BR385" s="1"/>
      <c r="BS385" s="1"/>
      <c r="BT385" s="1"/>
      <c r="BU385" s="1"/>
      <c r="BV385" s="1"/>
      <c r="BW385" s="1"/>
      <c r="BX385" s="1">
        <v>0</v>
      </c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>
        <v>0</v>
      </c>
    </row>
    <row r="387" spans="1:255" x14ac:dyDescent="0.2">
      <c r="A387" s="3">
        <v>52</v>
      </c>
      <c r="B387" s="3">
        <f t="shared" ref="B387:G387" si="277">B394</f>
        <v>1</v>
      </c>
      <c r="C387" s="3">
        <f t="shared" si="277"/>
        <v>4</v>
      </c>
      <c r="D387" s="3">
        <f t="shared" si="277"/>
        <v>385</v>
      </c>
      <c r="E387" s="3">
        <f t="shared" si="277"/>
        <v>0</v>
      </c>
      <c r="F387" s="3" t="str">
        <f t="shared" si="277"/>
        <v/>
      </c>
      <c r="G387" s="3" t="str">
        <f t="shared" si="277"/>
        <v>Панно из алюминиевых тактильных индикаторов-конусов</v>
      </c>
      <c r="H387" s="3"/>
      <c r="I387" s="3"/>
      <c r="J387" s="3"/>
      <c r="K387" s="3"/>
      <c r="L387" s="3"/>
      <c r="M387" s="3"/>
      <c r="N387" s="3"/>
      <c r="O387" s="3">
        <f t="shared" ref="O387:AT387" si="278">O394</f>
        <v>14973.53</v>
      </c>
      <c r="P387" s="3">
        <f t="shared" si="278"/>
        <v>14788.74</v>
      </c>
      <c r="Q387" s="3">
        <f t="shared" si="278"/>
        <v>6.1</v>
      </c>
      <c r="R387" s="3">
        <f t="shared" si="278"/>
        <v>0.19</v>
      </c>
      <c r="S387" s="3">
        <f t="shared" si="278"/>
        <v>178.69</v>
      </c>
      <c r="T387" s="3">
        <f t="shared" si="278"/>
        <v>0</v>
      </c>
      <c r="U387" s="3">
        <f t="shared" si="278"/>
        <v>11.716997772479999</v>
      </c>
      <c r="V387" s="3">
        <f t="shared" si="278"/>
        <v>0</v>
      </c>
      <c r="W387" s="3">
        <f t="shared" si="278"/>
        <v>0</v>
      </c>
      <c r="X387" s="3">
        <f t="shared" si="278"/>
        <v>180.67</v>
      </c>
      <c r="Y387" s="3">
        <f t="shared" si="278"/>
        <v>98.38</v>
      </c>
      <c r="Z387" s="3">
        <f t="shared" si="278"/>
        <v>0</v>
      </c>
      <c r="AA387" s="3">
        <f t="shared" si="278"/>
        <v>0</v>
      </c>
      <c r="AB387" s="3">
        <f t="shared" si="278"/>
        <v>14973.53</v>
      </c>
      <c r="AC387" s="3">
        <f t="shared" si="278"/>
        <v>14788.74</v>
      </c>
      <c r="AD387" s="3">
        <f t="shared" si="278"/>
        <v>6.1</v>
      </c>
      <c r="AE387" s="3">
        <f t="shared" si="278"/>
        <v>0.19</v>
      </c>
      <c r="AF387" s="3">
        <f t="shared" si="278"/>
        <v>178.69</v>
      </c>
      <c r="AG387" s="3">
        <f t="shared" si="278"/>
        <v>0</v>
      </c>
      <c r="AH387" s="3">
        <f t="shared" si="278"/>
        <v>11.716997772479999</v>
      </c>
      <c r="AI387" s="3">
        <f t="shared" si="278"/>
        <v>0</v>
      </c>
      <c r="AJ387" s="3">
        <f t="shared" si="278"/>
        <v>0</v>
      </c>
      <c r="AK387" s="3">
        <f t="shared" si="278"/>
        <v>180.67</v>
      </c>
      <c r="AL387" s="3">
        <f t="shared" si="278"/>
        <v>98.38</v>
      </c>
      <c r="AM387" s="3">
        <f t="shared" si="278"/>
        <v>0</v>
      </c>
      <c r="AN387" s="3">
        <f t="shared" si="278"/>
        <v>0</v>
      </c>
      <c r="AO387" s="3">
        <f t="shared" si="278"/>
        <v>0</v>
      </c>
      <c r="AP387" s="3">
        <f t="shared" si="278"/>
        <v>0</v>
      </c>
      <c r="AQ387" s="3">
        <f t="shared" si="278"/>
        <v>0</v>
      </c>
      <c r="AR387" s="3">
        <f t="shared" si="278"/>
        <v>15252.58</v>
      </c>
      <c r="AS387" s="3">
        <f t="shared" si="278"/>
        <v>15252.58</v>
      </c>
      <c r="AT387" s="3">
        <f t="shared" si="278"/>
        <v>0</v>
      </c>
      <c r="AU387" s="3">
        <f t="shared" ref="AU387:BZ387" si="279">AU394</f>
        <v>0</v>
      </c>
      <c r="AV387" s="3">
        <f t="shared" si="279"/>
        <v>14788.74</v>
      </c>
      <c r="AW387" s="3">
        <f t="shared" si="279"/>
        <v>14788.74</v>
      </c>
      <c r="AX387" s="3">
        <f t="shared" si="279"/>
        <v>0</v>
      </c>
      <c r="AY387" s="3">
        <f t="shared" si="279"/>
        <v>14788.74</v>
      </c>
      <c r="AZ387" s="3">
        <f t="shared" si="279"/>
        <v>0</v>
      </c>
      <c r="BA387" s="3">
        <f t="shared" si="279"/>
        <v>0</v>
      </c>
      <c r="BB387" s="3">
        <f t="shared" si="279"/>
        <v>0</v>
      </c>
      <c r="BC387" s="3">
        <f t="shared" si="279"/>
        <v>0</v>
      </c>
      <c r="BD387" s="3">
        <f t="shared" si="279"/>
        <v>0</v>
      </c>
      <c r="BE387" s="3">
        <f t="shared" si="279"/>
        <v>0</v>
      </c>
      <c r="BF387" s="3">
        <f t="shared" si="279"/>
        <v>0</v>
      </c>
      <c r="BG387" s="3">
        <f t="shared" si="279"/>
        <v>0</v>
      </c>
      <c r="BH387" s="3">
        <f t="shared" si="279"/>
        <v>0</v>
      </c>
      <c r="BI387" s="3">
        <f t="shared" si="279"/>
        <v>0</v>
      </c>
      <c r="BJ387" s="3">
        <f t="shared" si="279"/>
        <v>0</v>
      </c>
      <c r="BK387" s="3">
        <f t="shared" si="279"/>
        <v>0</v>
      </c>
      <c r="BL387" s="3">
        <f t="shared" si="279"/>
        <v>0</v>
      </c>
      <c r="BM387" s="3">
        <f t="shared" si="279"/>
        <v>0</v>
      </c>
      <c r="BN387" s="3">
        <f t="shared" si="279"/>
        <v>0</v>
      </c>
      <c r="BO387" s="3">
        <f t="shared" si="279"/>
        <v>0</v>
      </c>
      <c r="BP387" s="3">
        <f t="shared" si="279"/>
        <v>0</v>
      </c>
      <c r="BQ387" s="3">
        <f t="shared" si="279"/>
        <v>0</v>
      </c>
      <c r="BR387" s="3">
        <f t="shared" si="279"/>
        <v>0</v>
      </c>
      <c r="BS387" s="3">
        <f t="shared" si="279"/>
        <v>0</v>
      </c>
      <c r="BT387" s="3">
        <f t="shared" si="279"/>
        <v>0</v>
      </c>
      <c r="BU387" s="3">
        <f t="shared" si="279"/>
        <v>0</v>
      </c>
      <c r="BV387" s="3">
        <f t="shared" si="279"/>
        <v>0</v>
      </c>
      <c r="BW387" s="3">
        <f t="shared" si="279"/>
        <v>0</v>
      </c>
      <c r="BX387" s="3">
        <f t="shared" si="279"/>
        <v>0</v>
      </c>
      <c r="BY387" s="3">
        <f t="shared" si="279"/>
        <v>0</v>
      </c>
      <c r="BZ387" s="3">
        <f t="shared" si="279"/>
        <v>0</v>
      </c>
      <c r="CA387" s="3">
        <f t="shared" ref="CA387:DF387" si="280">CA394</f>
        <v>15252.58</v>
      </c>
      <c r="CB387" s="3">
        <f t="shared" si="280"/>
        <v>15252.58</v>
      </c>
      <c r="CC387" s="3">
        <f t="shared" si="280"/>
        <v>0</v>
      </c>
      <c r="CD387" s="3">
        <f t="shared" si="280"/>
        <v>0</v>
      </c>
      <c r="CE387" s="3">
        <f t="shared" si="280"/>
        <v>14788.74</v>
      </c>
      <c r="CF387" s="3">
        <f t="shared" si="280"/>
        <v>14788.74</v>
      </c>
      <c r="CG387" s="3">
        <f t="shared" si="280"/>
        <v>0</v>
      </c>
      <c r="CH387" s="3">
        <f t="shared" si="280"/>
        <v>14788.74</v>
      </c>
      <c r="CI387" s="3">
        <f t="shared" si="280"/>
        <v>0</v>
      </c>
      <c r="CJ387" s="3">
        <f t="shared" si="280"/>
        <v>0</v>
      </c>
      <c r="CK387" s="3">
        <f t="shared" si="280"/>
        <v>0</v>
      </c>
      <c r="CL387" s="3">
        <f t="shared" si="280"/>
        <v>0</v>
      </c>
      <c r="CM387" s="3">
        <f t="shared" si="280"/>
        <v>0</v>
      </c>
      <c r="CN387" s="3">
        <f t="shared" si="280"/>
        <v>0</v>
      </c>
      <c r="CO387" s="3">
        <f t="shared" si="280"/>
        <v>0</v>
      </c>
      <c r="CP387" s="3">
        <f t="shared" si="280"/>
        <v>0</v>
      </c>
      <c r="CQ387" s="3">
        <f t="shared" si="280"/>
        <v>0</v>
      </c>
      <c r="CR387" s="3">
        <f t="shared" si="280"/>
        <v>0</v>
      </c>
      <c r="CS387" s="3">
        <f t="shared" si="280"/>
        <v>0</v>
      </c>
      <c r="CT387" s="3">
        <f t="shared" si="280"/>
        <v>0</v>
      </c>
      <c r="CU387" s="3">
        <f t="shared" si="280"/>
        <v>0</v>
      </c>
      <c r="CV387" s="3">
        <f t="shared" si="280"/>
        <v>0</v>
      </c>
      <c r="CW387" s="3">
        <f t="shared" si="280"/>
        <v>0</v>
      </c>
      <c r="CX387" s="3">
        <f t="shared" si="280"/>
        <v>0</v>
      </c>
      <c r="CY387" s="3">
        <f t="shared" si="280"/>
        <v>0</v>
      </c>
      <c r="CZ387" s="3">
        <f t="shared" si="280"/>
        <v>0</v>
      </c>
      <c r="DA387" s="3">
        <f t="shared" si="280"/>
        <v>0</v>
      </c>
      <c r="DB387" s="3">
        <f t="shared" si="280"/>
        <v>0</v>
      </c>
      <c r="DC387" s="3">
        <f t="shared" si="280"/>
        <v>0</v>
      </c>
      <c r="DD387" s="3">
        <f t="shared" si="280"/>
        <v>0</v>
      </c>
      <c r="DE387" s="3">
        <f t="shared" si="280"/>
        <v>0</v>
      </c>
      <c r="DF387" s="3">
        <f t="shared" si="280"/>
        <v>0</v>
      </c>
      <c r="DG387" s="4">
        <f t="shared" ref="DG387:EL387" si="281">DG394</f>
        <v>155865.07999999999</v>
      </c>
      <c r="DH387" s="4">
        <f t="shared" si="281"/>
        <v>145976.32999999999</v>
      </c>
      <c r="DI387" s="4">
        <f t="shared" si="281"/>
        <v>62.59</v>
      </c>
      <c r="DJ387" s="4">
        <f t="shared" si="281"/>
        <v>10.45</v>
      </c>
      <c r="DK387" s="4">
        <f t="shared" si="281"/>
        <v>9826.16</v>
      </c>
      <c r="DL387" s="4">
        <f t="shared" si="281"/>
        <v>0</v>
      </c>
      <c r="DM387" s="4">
        <f t="shared" si="281"/>
        <v>11.716997772479999</v>
      </c>
      <c r="DN387" s="4">
        <f t="shared" si="281"/>
        <v>0</v>
      </c>
      <c r="DO387" s="4">
        <f t="shared" si="281"/>
        <v>0</v>
      </c>
      <c r="DP387" s="4">
        <f t="shared" si="281"/>
        <v>9934.98</v>
      </c>
      <c r="DQ387" s="4">
        <f t="shared" si="281"/>
        <v>5410.14</v>
      </c>
      <c r="DR387" s="4">
        <f t="shared" si="281"/>
        <v>0</v>
      </c>
      <c r="DS387" s="4">
        <f t="shared" si="281"/>
        <v>0</v>
      </c>
      <c r="DT387" s="4">
        <f t="shared" si="281"/>
        <v>155865.07999999999</v>
      </c>
      <c r="DU387" s="4">
        <f t="shared" si="281"/>
        <v>145976.32999999999</v>
      </c>
      <c r="DV387" s="4">
        <f t="shared" si="281"/>
        <v>62.59</v>
      </c>
      <c r="DW387" s="4">
        <f t="shared" si="281"/>
        <v>10.45</v>
      </c>
      <c r="DX387" s="4">
        <f t="shared" si="281"/>
        <v>9826.16</v>
      </c>
      <c r="DY387" s="4">
        <f t="shared" si="281"/>
        <v>0</v>
      </c>
      <c r="DZ387" s="4">
        <f t="shared" si="281"/>
        <v>11.716997772479999</v>
      </c>
      <c r="EA387" s="4">
        <f t="shared" si="281"/>
        <v>0</v>
      </c>
      <c r="EB387" s="4">
        <f t="shared" si="281"/>
        <v>0</v>
      </c>
      <c r="EC387" s="4">
        <f t="shared" si="281"/>
        <v>9934.98</v>
      </c>
      <c r="ED387" s="4">
        <f t="shared" si="281"/>
        <v>5410.14</v>
      </c>
      <c r="EE387" s="4">
        <f t="shared" si="281"/>
        <v>0</v>
      </c>
      <c r="EF387" s="4">
        <f t="shared" si="281"/>
        <v>0</v>
      </c>
      <c r="EG387" s="4">
        <f t="shared" si="281"/>
        <v>0</v>
      </c>
      <c r="EH387" s="4">
        <f t="shared" si="281"/>
        <v>0</v>
      </c>
      <c r="EI387" s="4">
        <f t="shared" si="281"/>
        <v>0</v>
      </c>
      <c r="EJ387" s="4">
        <f t="shared" si="281"/>
        <v>171210.2</v>
      </c>
      <c r="EK387" s="4">
        <f t="shared" si="281"/>
        <v>171210.2</v>
      </c>
      <c r="EL387" s="4">
        <f t="shared" si="281"/>
        <v>0</v>
      </c>
      <c r="EM387" s="4">
        <f t="shared" ref="EM387:FR387" si="282">EM394</f>
        <v>0</v>
      </c>
      <c r="EN387" s="4">
        <f t="shared" si="282"/>
        <v>145976.32999999999</v>
      </c>
      <c r="EO387" s="4">
        <f t="shared" si="282"/>
        <v>145976.32999999999</v>
      </c>
      <c r="EP387" s="4">
        <f t="shared" si="282"/>
        <v>0</v>
      </c>
      <c r="EQ387" s="4">
        <f t="shared" si="282"/>
        <v>145976.32999999999</v>
      </c>
      <c r="ER387" s="4">
        <f t="shared" si="282"/>
        <v>0</v>
      </c>
      <c r="ES387" s="4">
        <f t="shared" si="282"/>
        <v>0</v>
      </c>
      <c r="ET387" s="4">
        <f t="shared" si="282"/>
        <v>0</v>
      </c>
      <c r="EU387" s="4">
        <f t="shared" si="282"/>
        <v>0</v>
      </c>
      <c r="EV387" s="4">
        <f t="shared" si="282"/>
        <v>0</v>
      </c>
      <c r="EW387" s="4">
        <f t="shared" si="282"/>
        <v>0</v>
      </c>
      <c r="EX387" s="4">
        <f t="shared" si="282"/>
        <v>0</v>
      </c>
      <c r="EY387" s="4">
        <f t="shared" si="282"/>
        <v>0</v>
      </c>
      <c r="EZ387" s="4">
        <f t="shared" si="282"/>
        <v>0</v>
      </c>
      <c r="FA387" s="4">
        <f t="shared" si="282"/>
        <v>0</v>
      </c>
      <c r="FB387" s="4">
        <f t="shared" si="282"/>
        <v>0</v>
      </c>
      <c r="FC387" s="4">
        <f t="shared" si="282"/>
        <v>0</v>
      </c>
      <c r="FD387" s="4">
        <f t="shared" si="282"/>
        <v>0</v>
      </c>
      <c r="FE387" s="4">
        <f t="shared" si="282"/>
        <v>0</v>
      </c>
      <c r="FF387" s="4">
        <f t="shared" si="282"/>
        <v>0</v>
      </c>
      <c r="FG387" s="4">
        <f t="shared" si="282"/>
        <v>0</v>
      </c>
      <c r="FH387" s="4">
        <f t="shared" si="282"/>
        <v>0</v>
      </c>
      <c r="FI387" s="4">
        <f t="shared" si="282"/>
        <v>0</v>
      </c>
      <c r="FJ387" s="4">
        <f t="shared" si="282"/>
        <v>0</v>
      </c>
      <c r="FK387" s="4">
        <f t="shared" si="282"/>
        <v>0</v>
      </c>
      <c r="FL387" s="4">
        <f t="shared" si="282"/>
        <v>0</v>
      </c>
      <c r="FM387" s="4">
        <f t="shared" si="282"/>
        <v>0</v>
      </c>
      <c r="FN387" s="4">
        <f t="shared" si="282"/>
        <v>0</v>
      </c>
      <c r="FO387" s="4">
        <f t="shared" si="282"/>
        <v>0</v>
      </c>
      <c r="FP387" s="4">
        <f t="shared" si="282"/>
        <v>0</v>
      </c>
      <c r="FQ387" s="4">
        <f t="shared" si="282"/>
        <v>0</v>
      </c>
      <c r="FR387" s="4">
        <f t="shared" si="282"/>
        <v>0</v>
      </c>
      <c r="FS387" s="4">
        <f t="shared" ref="FS387:GX387" si="283">FS394</f>
        <v>171210.2</v>
      </c>
      <c r="FT387" s="4">
        <f t="shared" si="283"/>
        <v>171210.2</v>
      </c>
      <c r="FU387" s="4">
        <f t="shared" si="283"/>
        <v>0</v>
      </c>
      <c r="FV387" s="4">
        <f t="shared" si="283"/>
        <v>0</v>
      </c>
      <c r="FW387" s="4">
        <f t="shared" si="283"/>
        <v>145976.32999999999</v>
      </c>
      <c r="FX387" s="4">
        <f t="shared" si="283"/>
        <v>145976.32999999999</v>
      </c>
      <c r="FY387" s="4">
        <f t="shared" si="283"/>
        <v>0</v>
      </c>
      <c r="FZ387" s="4">
        <f t="shared" si="283"/>
        <v>145976.32999999999</v>
      </c>
      <c r="GA387" s="4">
        <f t="shared" si="283"/>
        <v>0</v>
      </c>
      <c r="GB387" s="4">
        <f t="shared" si="283"/>
        <v>0</v>
      </c>
      <c r="GC387" s="4">
        <f t="shared" si="283"/>
        <v>0</v>
      </c>
      <c r="GD387" s="4">
        <f t="shared" si="283"/>
        <v>0</v>
      </c>
      <c r="GE387" s="4">
        <f t="shared" si="283"/>
        <v>0</v>
      </c>
      <c r="GF387" s="4">
        <f t="shared" si="283"/>
        <v>0</v>
      </c>
      <c r="GG387" s="4">
        <f t="shared" si="283"/>
        <v>0</v>
      </c>
      <c r="GH387" s="4">
        <f t="shared" si="283"/>
        <v>0</v>
      </c>
      <c r="GI387" s="4">
        <f t="shared" si="283"/>
        <v>0</v>
      </c>
      <c r="GJ387" s="4">
        <f t="shared" si="283"/>
        <v>0</v>
      </c>
      <c r="GK387" s="4">
        <f t="shared" si="283"/>
        <v>0</v>
      </c>
      <c r="GL387" s="4">
        <f t="shared" si="283"/>
        <v>0</v>
      </c>
      <c r="GM387" s="4">
        <f t="shared" si="283"/>
        <v>0</v>
      </c>
      <c r="GN387" s="4">
        <f t="shared" si="283"/>
        <v>0</v>
      </c>
      <c r="GO387" s="4">
        <f t="shared" si="283"/>
        <v>0</v>
      </c>
      <c r="GP387" s="4">
        <f t="shared" si="283"/>
        <v>0</v>
      </c>
      <c r="GQ387" s="4">
        <f t="shared" si="283"/>
        <v>0</v>
      </c>
      <c r="GR387" s="4">
        <f t="shared" si="283"/>
        <v>0</v>
      </c>
      <c r="GS387" s="4">
        <f t="shared" si="283"/>
        <v>0</v>
      </c>
      <c r="GT387" s="4">
        <f t="shared" si="283"/>
        <v>0</v>
      </c>
      <c r="GU387" s="4">
        <f t="shared" si="283"/>
        <v>0</v>
      </c>
      <c r="GV387" s="4">
        <f t="shared" si="283"/>
        <v>0</v>
      </c>
      <c r="GW387" s="4">
        <f t="shared" si="283"/>
        <v>0</v>
      </c>
      <c r="GX387" s="4">
        <f t="shared" si="283"/>
        <v>0</v>
      </c>
    </row>
    <row r="389" spans="1:255" x14ac:dyDescent="0.2">
      <c r="A389" s="2">
        <v>17</v>
      </c>
      <c r="B389" s="2">
        <v>1</v>
      </c>
      <c r="C389" s="2">
        <f>ROW(SmtRes!A155)</f>
        <v>155</v>
      </c>
      <c r="D389" s="2">
        <f>ROW(EtalonRes!A165)</f>
        <v>165</v>
      </c>
      <c r="E389" s="2" t="s">
        <v>263</v>
      </c>
      <c r="F389" s="2" t="s">
        <v>264</v>
      </c>
      <c r="G389" s="2" t="s">
        <v>265</v>
      </c>
      <c r="H389" s="2" t="s">
        <v>266</v>
      </c>
      <c r="I389" s="2">
        <f>ROUND((0.035*1519)/100,9)</f>
        <v>0.53164999999999996</v>
      </c>
      <c r="J389" s="2">
        <v>0</v>
      </c>
      <c r="K389" s="2">
        <f>ROUND((0.035*1519)/100,9)</f>
        <v>0.53164999999999996</v>
      </c>
      <c r="L389" s="2"/>
      <c r="M389" s="2"/>
      <c r="N389" s="2"/>
      <c r="O389" s="2">
        <f>ROUND(CP389,2)</f>
        <v>208.85</v>
      </c>
      <c r="P389" s="2">
        <f>ROUND((ROUND((AC389*AW389*I389),2)*BC389),2)</f>
        <v>24.06</v>
      </c>
      <c r="Q389" s="2">
        <f>(ROUND((ROUND(((((ET389*1.25)*1.1))*AV389*I389),2)*BB389),2)+ROUND((ROUND(((AE389-(((EU389*1.25)*1.1)))*AV389*I389),2)*BS389),2))</f>
        <v>6.1</v>
      </c>
      <c r="R389" s="2">
        <f>(ROUND((ROUND(((((EU389*1.25)*1.1))*AV389*I389),2)*BS389),2)+ROUND((ROUND(((AE389-(((EU389*1.25)*1.1)))*AV389*I389),2)*BS389),2))</f>
        <v>0.19</v>
      </c>
      <c r="S389" s="2">
        <f>ROUND((ROUND((AF389*AV389*I389),2)*BA389),2)</f>
        <v>178.69</v>
      </c>
      <c r="T389" s="2">
        <f>ROUND(CU389*I389,2)</f>
        <v>0</v>
      </c>
      <c r="U389" s="2">
        <f>CV389*I389</f>
        <v>11.716997772479999</v>
      </c>
      <c r="V389" s="2">
        <f>CW389*I389</f>
        <v>0</v>
      </c>
      <c r="W389" s="2">
        <f>ROUND(CX389*I389,2)</f>
        <v>0</v>
      </c>
      <c r="X389" s="2">
        <f>(ROUND((((S389+ROUND((ROUND(((((EU389*1.25)*1.1))*AV389*I389),2)*BS389),2))*AT389)/100),2)+ROUND(((ROUND((ROUND(((AE389-(((EU389*1.25)*1.1)))*AV389*I389),2)*BS389),2)*AT389)/100),2))</f>
        <v>180.67</v>
      </c>
      <c r="Y389" s="2">
        <f>(ROUND((((S389+ROUND((ROUND(((((EU389*1.25)*1.1))*AV389*I389),2)*BS389),2))*AU389)/100),2)+ROUND(((ROUND((ROUND(((AE389-(((EU389*1.25)*1.1)))*AV389*I389),2)*BS389),2)*AU389)/100),2))</f>
        <v>98.38</v>
      </c>
      <c r="Z389" s="2"/>
      <c r="AA389" s="2">
        <v>59499218</v>
      </c>
      <c r="AB389" s="2">
        <f>ROUND((AC389+AD389+AF389),6)</f>
        <v>377.2278</v>
      </c>
      <c r="AC389" s="2">
        <f>ROUND((ES389),6)</f>
        <v>45.25</v>
      </c>
      <c r="AD389" s="2">
        <f>ROUND((((((ET389*1.25)*1.1))-(((EU389*1.25)*1.1)))+AE389),6)</f>
        <v>10.95875</v>
      </c>
      <c r="AE389" s="2">
        <f>ROUND((((EU389*1.25)*1.1)),6)</f>
        <v>0.34375</v>
      </c>
      <c r="AF389" s="2">
        <f>ROUND((((EV389*1.15)*1.1)),6)</f>
        <v>321.01904999999999</v>
      </c>
      <c r="AG389" s="2">
        <f>ROUND((AP389),6)</f>
        <v>0</v>
      </c>
      <c r="AH389" s="2">
        <f>(((EW389*1.15)*1.1))</f>
        <v>21.049600000000002</v>
      </c>
      <c r="AI389" s="2">
        <f>(((EX389*1.25)*1.1))</f>
        <v>0</v>
      </c>
      <c r="AJ389" s="2">
        <f>(AS389)</f>
        <v>0</v>
      </c>
      <c r="AK389" s="2">
        <v>306.99</v>
      </c>
      <c r="AL389" s="2">
        <v>45.25</v>
      </c>
      <c r="AM389" s="2">
        <v>7.97</v>
      </c>
      <c r="AN389" s="2">
        <v>0.25</v>
      </c>
      <c r="AO389" s="2">
        <v>253.77</v>
      </c>
      <c r="AP389" s="2">
        <v>0</v>
      </c>
      <c r="AQ389" s="2">
        <v>16.64</v>
      </c>
      <c r="AR389" s="2">
        <v>0</v>
      </c>
      <c r="AS389" s="2">
        <v>0</v>
      </c>
      <c r="AT389" s="2">
        <v>101</v>
      </c>
      <c r="AU389" s="2">
        <v>55</v>
      </c>
      <c r="AV389" s="2">
        <v>1.0469999999999999</v>
      </c>
      <c r="AW389" s="2">
        <v>1</v>
      </c>
      <c r="AX389" s="2"/>
      <c r="AY389" s="2"/>
      <c r="AZ389" s="2">
        <v>1</v>
      </c>
      <c r="BA389" s="2">
        <v>1</v>
      </c>
      <c r="BB389" s="2">
        <v>1</v>
      </c>
      <c r="BC389" s="2">
        <v>1</v>
      </c>
      <c r="BD389" s="2" t="s">
        <v>3</v>
      </c>
      <c r="BE389" s="2" t="s">
        <v>3</v>
      </c>
      <c r="BF389" s="2" t="s">
        <v>3</v>
      </c>
      <c r="BG389" s="2" t="s">
        <v>3</v>
      </c>
      <c r="BH389" s="2">
        <v>0</v>
      </c>
      <c r="BI389" s="2">
        <v>1</v>
      </c>
      <c r="BJ389" s="2" t="s">
        <v>267</v>
      </c>
      <c r="BK389" s="2"/>
      <c r="BL389" s="2"/>
      <c r="BM389" s="2">
        <v>57</v>
      </c>
      <c r="BN389" s="2">
        <v>59298886</v>
      </c>
      <c r="BO389" s="2" t="s">
        <v>264</v>
      </c>
      <c r="BP389" s="2">
        <v>1</v>
      </c>
      <c r="BQ389" s="2">
        <v>30</v>
      </c>
      <c r="BR389" s="2">
        <v>0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 t="s">
        <v>3</v>
      </c>
      <c r="BZ389" s="2">
        <v>101</v>
      </c>
      <c r="CA389" s="2">
        <v>55</v>
      </c>
      <c r="CB389" s="2" t="s">
        <v>3</v>
      </c>
      <c r="CC389" s="2"/>
      <c r="CD389" s="2"/>
      <c r="CE389" s="2">
        <v>1566</v>
      </c>
      <c r="CF389" s="2">
        <v>0</v>
      </c>
      <c r="CG389" s="2">
        <v>0</v>
      </c>
      <c r="CH389" s="2"/>
      <c r="CI389" s="2"/>
      <c r="CJ389" s="2"/>
      <c r="CK389" s="2"/>
      <c r="CL389" s="2"/>
      <c r="CM389" s="2">
        <v>0</v>
      </c>
      <c r="CN389" s="2" t="s">
        <v>375</v>
      </c>
      <c r="CO389" s="2">
        <v>0</v>
      </c>
      <c r="CP389" s="2">
        <f>(P389+Q389+S389)</f>
        <v>208.85</v>
      </c>
      <c r="CQ389" s="2">
        <f>ROUND((ROUND((AC389*AW389*1),2)*BC389),2)</f>
        <v>45.25</v>
      </c>
      <c r="CR389" s="2">
        <f>(ROUND((ROUND(((((ET389*1.25)*1.1))*AV389*1),2)*BB389),2)+ROUND((ROUND(((AE389-(((EU389*1.25)*1.1)))*AV389*1),2)*BS389),2))</f>
        <v>11.47</v>
      </c>
      <c r="CS389" s="2">
        <f>(ROUND((ROUND(((((EU389*1.25)*1.1))*AV389*1),2)*BS389),2)+ROUND((ROUND(((AE389-(((EU389*1.25)*1.1)))*AV389*1),2)*BS389),2))</f>
        <v>0.36</v>
      </c>
      <c r="CT389" s="2">
        <f>ROUND((ROUND((AF389*AV389*1),2)*BA389),2)</f>
        <v>336.11</v>
      </c>
      <c r="CU389" s="2">
        <f>AG389</f>
        <v>0</v>
      </c>
      <c r="CV389" s="2">
        <f>(AH389*AV389)</f>
        <v>22.0389312</v>
      </c>
      <c r="CW389" s="2">
        <f t="shared" ref="CW389:CX392" si="284">AI389</f>
        <v>0</v>
      </c>
      <c r="CX389" s="2">
        <f t="shared" si="284"/>
        <v>0</v>
      </c>
      <c r="CY389" s="2">
        <f>(ROUND((((S389+ROUND((ROUND(((((EU389*1.25)*1.1))*AV389*1),2)*BS389),2))*AT389)/100),2)+ROUND(((ROUND((ROUND(((AE389-(((EU389*1.25)*1.1)))*AV389*1),2)*BS389),2)*AT389)/100),2))</f>
        <v>180.84</v>
      </c>
      <c r="CZ389" s="2">
        <f>(ROUND((((S389+ROUND((ROUND(((((EU389*1.25)*1.1))*AV389*1),2)*BS389),2))*AU389)/100),2)+ROUND(((ROUND((ROUND(((AE389-(((EU389*1.25)*1.1)))*AV389*1),2)*BS389),2)*AU389)/100),2))</f>
        <v>98.48</v>
      </c>
      <c r="DA389" s="2"/>
      <c r="DB389" s="2">
        <v>105</v>
      </c>
      <c r="DC389" s="2" t="s">
        <v>3</v>
      </c>
      <c r="DD389" s="2" t="s">
        <v>3</v>
      </c>
      <c r="DE389" s="2" t="s">
        <v>39</v>
      </c>
      <c r="DF389" s="2" t="s">
        <v>39</v>
      </c>
      <c r="DG389" s="2" t="s">
        <v>40</v>
      </c>
      <c r="DH389" s="2" t="s">
        <v>3</v>
      </c>
      <c r="DI389" s="2" t="s">
        <v>40</v>
      </c>
      <c r="DJ389" s="2" t="s">
        <v>39</v>
      </c>
      <c r="DK389" s="2" t="s">
        <v>3</v>
      </c>
      <c r="DL389" s="2" t="s">
        <v>3</v>
      </c>
      <c r="DM389" s="2" t="s">
        <v>3</v>
      </c>
      <c r="DN389" s="2">
        <v>0</v>
      </c>
      <c r="DO389" s="2">
        <v>0</v>
      </c>
      <c r="DP389" s="2">
        <v>1</v>
      </c>
      <c r="DQ389" s="2">
        <v>1</v>
      </c>
      <c r="DR389" s="2"/>
      <c r="DS389" s="2"/>
      <c r="DT389" s="2"/>
      <c r="DU389" s="2">
        <v>1003</v>
      </c>
      <c r="DV389" s="2" t="s">
        <v>266</v>
      </c>
      <c r="DW389" s="2" t="s">
        <v>266</v>
      </c>
      <c r="DX389" s="2">
        <v>100</v>
      </c>
      <c r="DY389" s="2"/>
      <c r="DZ389" s="2" t="s">
        <v>3</v>
      </c>
      <c r="EA389" s="2" t="s">
        <v>3</v>
      </c>
      <c r="EB389" s="2" t="s">
        <v>3</v>
      </c>
      <c r="EC389" s="2" t="s">
        <v>3</v>
      </c>
      <c r="ED389" s="2"/>
      <c r="EE389" s="2">
        <v>59298984</v>
      </c>
      <c r="EF389" s="2">
        <v>30</v>
      </c>
      <c r="EG389" s="2" t="s">
        <v>26</v>
      </c>
      <c r="EH389" s="2">
        <v>0</v>
      </c>
      <c r="EI389" s="2" t="s">
        <v>3</v>
      </c>
      <c r="EJ389" s="2">
        <v>1</v>
      </c>
      <c r="EK389" s="2">
        <v>57</v>
      </c>
      <c r="EL389" s="2" t="s">
        <v>268</v>
      </c>
      <c r="EM389" s="2" t="s">
        <v>269</v>
      </c>
      <c r="EN389" s="2"/>
      <c r="EO389" s="2" t="s">
        <v>41</v>
      </c>
      <c r="EP389" s="2"/>
      <c r="EQ389" s="2">
        <v>0</v>
      </c>
      <c r="ER389" s="2">
        <v>306.99</v>
      </c>
      <c r="ES389" s="2">
        <v>45.25</v>
      </c>
      <c r="ET389" s="2">
        <v>7.97</v>
      </c>
      <c r="EU389" s="2">
        <v>0.25</v>
      </c>
      <c r="EV389" s="2">
        <v>253.77</v>
      </c>
      <c r="EW389" s="2">
        <v>16.64</v>
      </c>
      <c r="EX389" s="2">
        <v>0</v>
      </c>
      <c r="EY389" s="2">
        <v>0</v>
      </c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>
        <v>0</v>
      </c>
      <c r="FR389" s="2">
        <v>0</v>
      </c>
      <c r="FS389" s="2">
        <v>0</v>
      </c>
      <c r="FT389" s="2"/>
      <c r="FU389" s="2"/>
      <c r="FV389" s="2"/>
      <c r="FW389" s="2"/>
      <c r="FX389" s="2">
        <v>101</v>
      </c>
      <c r="FY389" s="2">
        <v>55</v>
      </c>
      <c r="FZ389" s="2"/>
      <c r="GA389" s="2" t="s">
        <v>3</v>
      </c>
      <c r="GB389" s="2"/>
      <c r="GC389" s="2"/>
      <c r="GD389" s="2">
        <v>1</v>
      </c>
      <c r="GE389" s="2"/>
      <c r="GF389" s="2">
        <v>814010574</v>
      </c>
      <c r="GG389" s="2">
        <v>2</v>
      </c>
      <c r="GH389" s="2">
        <v>1</v>
      </c>
      <c r="GI389" s="2">
        <v>2</v>
      </c>
      <c r="GJ389" s="2">
        <v>0</v>
      </c>
      <c r="GK389" s="2">
        <v>0</v>
      </c>
      <c r="GL389" s="2">
        <f>ROUND(IF(AND(BH389=3,BI389=3,FS389&lt;&gt;0),P389,0),2)</f>
        <v>0</v>
      </c>
      <c r="GM389" s="2">
        <f>ROUND(O389+X389+Y389,2)+GX389</f>
        <v>487.9</v>
      </c>
      <c r="GN389" s="2">
        <f>IF(OR(BI389=0,BI389=1),GM389-GX389,0)</f>
        <v>487.9</v>
      </c>
      <c r="GO389" s="2">
        <f>IF(BI389=2,GM389-GX389,0)</f>
        <v>0</v>
      </c>
      <c r="GP389" s="2">
        <f>IF(BI389=4,GM389-GX389,0)</f>
        <v>0</v>
      </c>
      <c r="GQ389" s="2"/>
      <c r="GR389" s="2">
        <v>0</v>
      </c>
      <c r="GS389" s="2">
        <v>3</v>
      </c>
      <c r="GT389" s="2">
        <v>0</v>
      </c>
      <c r="GU389" s="2" t="s">
        <v>3</v>
      </c>
      <c r="GV389" s="2">
        <f>ROUND((GT389),6)</f>
        <v>0</v>
      </c>
      <c r="GW389" s="2">
        <v>1</v>
      </c>
      <c r="GX389" s="2">
        <f>ROUND(HC389*I389,2)</f>
        <v>0</v>
      </c>
      <c r="GY389" s="2"/>
      <c r="GZ389" s="2"/>
      <c r="HA389" s="2">
        <v>0</v>
      </c>
      <c r="HB389" s="2">
        <v>0</v>
      </c>
      <c r="HC389" s="2">
        <f>GV389*GW389</f>
        <v>0</v>
      </c>
      <c r="HD389" s="2"/>
      <c r="HE389" s="2" t="s">
        <v>3</v>
      </c>
      <c r="HF389" s="2" t="s">
        <v>3</v>
      </c>
      <c r="HG389" s="2"/>
      <c r="HH389" s="2"/>
      <c r="HI389" s="2"/>
      <c r="HJ389" s="2"/>
      <c r="HK389" s="2"/>
      <c r="HL389" s="2"/>
      <c r="HM389" s="2" t="s">
        <v>3</v>
      </c>
      <c r="HN389" s="2" t="s">
        <v>3</v>
      </c>
      <c r="HO389" s="2" t="s">
        <v>3</v>
      </c>
      <c r="HP389" s="2" t="s">
        <v>3</v>
      </c>
      <c r="HQ389" s="2" t="s">
        <v>3</v>
      </c>
      <c r="HR389" s="2"/>
      <c r="HS389" s="2">
        <v>0</v>
      </c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>
        <v>0</v>
      </c>
      <c r="IL389" s="2"/>
      <c r="IM389" s="2"/>
      <c r="IN389" s="2"/>
      <c r="IO389" s="2"/>
      <c r="IP389" s="2"/>
      <c r="IQ389" s="2"/>
      <c r="IR389" s="2"/>
      <c r="IS389" s="2"/>
      <c r="IT389" s="2"/>
      <c r="IU389" s="2"/>
    </row>
    <row r="390" spans="1:255" x14ac:dyDescent="0.2">
      <c r="A390">
        <v>17</v>
      </c>
      <c r="B390">
        <v>1</v>
      </c>
      <c r="C390">
        <f>ROW(SmtRes!A162)</f>
        <v>162</v>
      </c>
      <c r="D390">
        <f>ROW(EtalonRes!A172)</f>
        <v>172</v>
      </c>
      <c r="E390" t="s">
        <v>263</v>
      </c>
      <c r="F390" t="s">
        <v>264</v>
      </c>
      <c r="G390" t="s">
        <v>265</v>
      </c>
      <c r="H390" t="s">
        <v>266</v>
      </c>
      <c r="I390">
        <f>ROUND((0.035*1519)/100,9)</f>
        <v>0.53164999999999996</v>
      </c>
      <c r="J390">
        <v>0</v>
      </c>
      <c r="K390">
        <f>ROUND((0.035*1519)/100,9)</f>
        <v>0.53164999999999996</v>
      </c>
      <c r="O390">
        <f>ROUND(CP390,2)</f>
        <v>9990.0400000000009</v>
      </c>
      <c r="P390">
        <f>ROUND((ROUND((AC390*AW390*I390),2)*BC390),2)</f>
        <v>101.29</v>
      </c>
      <c r="Q390">
        <f>(ROUND((ROUND(((((ET390*1.25)*1.1))*AV390*I390),2)*BB390),2)+ROUND((ROUND(((AE390-(((EU390*1.25)*1.1)))*AV390*I390),2)*BS390),2))</f>
        <v>62.59</v>
      </c>
      <c r="R390">
        <f>(ROUND((ROUND(((((EU390*1.25)*1.1))*AV390*I390),2)*BS390),2)+ROUND((ROUND(((AE390-(((EU390*1.25)*1.1)))*AV390*I390),2)*BS390),2))</f>
        <v>10.45</v>
      </c>
      <c r="S390">
        <f>ROUND((ROUND((AF390*AV390*I390),2)*BA390),2)</f>
        <v>9826.16</v>
      </c>
      <c r="T390">
        <f>ROUND(CU390*I390,2)</f>
        <v>0</v>
      </c>
      <c r="U390">
        <f>CV390*I390</f>
        <v>11.716997772479999</v>
      </c>
      <c r="V390">
        <f>CW390*I390</f>
        <v>0</v>
      </c>
      <c r="W390">
        <f>ROUND(CX390*I390,2)</f>
        <v>0</v>
      </c>
      <c r="X390">
        <f>(ROUND((((S390+ROUND((ROUND(((((EU390*1.25)*1.1))*AV390*I390),2)*BS390),2))*AT390)/100),2)+ROUND(((ROUND((ROUND(((AE390-(((EU390*1.25)*1.1)))*AV390*I390),2)*BS390),2)*AT390)/100),2))</f>
        <v>9934.98</v>
      </c>
      <c r="Y390">
        <f>(ROUND((((S390+ROUND((ROUND(((((EU390*1.25)*1.1))*AV390*I390),2)*BS390),2))*AU390)/100),2)+ROUND(((ROUND((ROUND(((AE390-(((EU390*1.25)*1.1)))*AV390*I390),2)*BS390),2)*AU390)/100),2))</f>
        <v>5410.14</v>
      </c>
      <c r="AA390">
        <v>59499215</v>
      </c>
      <c r="AB390">
        <f>ROUND((AC390+AD390+AF390),6)</f>
        <v>377.2278</v>
      </c>
      <c r="AC390">
        <f>ROUND((ES390),6)</f>
        <v>45.25</v>
      </c>
      <c r="AD390">
        <f>ROUND((((((ET390*1.25)*1.1))-(((EU390*1.25)*1.1)))+AE390),6)</f>
        <v>10.95875</v>
      </c>
      <c r="AE390">
        <f>ROUND((((EU390*1.25)*1.1)),6)</f>
        <v>0.34375</v>
      </c>
      <c r="AF390">
        <f>ROUND((((EV390*1.15)*1.1)),6)</f>
        <v>321.01904999999999</v>
      </c>
      <c r="AG390">
        <f>ROUND((AP390),6)</f>
        <v>0</v>
      </c>
      <c r="AH390">
        <f>(((EW390*1.15)*1.1))</f>
        <v>21.049600000000002</v>
      </c>
      <c r="AI390">
        <f>(((EX390*1.25)*1.1))</f>
        <v>0</v>
      </c>
      <c r="AJ390">
        <f>(AS390)</f>
        <v>0</v>
      </c>
      <c r="AK390">
        <v>306.99</v>
      </c>
      <c r="AL390">
        <v>45.25</v>
      </c>
      <c r="AM390">
        <v>7.97</v>
      </c>
      <c r="AN390">
        <v>0.25</v>
      </c>
      <c r="AO390">
        <v>253.77</v>
      </c>
      <c r="AP390">
        <v>0</v>
      </c>
      <c r="AQ390">
        <v>16.64</v>
      </c>
      <c r="AR390">
        <v>0</v>
      </c>
      <c r="AS390">
        <v>0</v>
      </c>
      <c r="AT390">
        <v>101</v>
      </c>
      <c r="AU390">
        <v>55</v>
      </c>
      <c r="AV390">
        <v>1.0469999999999999</v>
      </c>
      <c r="AW390">
        <v>1</v>
      </c>
      <c r="AZ390">
        <v>1</v>
      </c>
      <c r="BA390">
        <v>54.99</v>
      </c>
      <c r="BB390">
        <v>10.26</v>
      </c>
      <c r="BC390">
        <v>4.21</v>
      </c>
      <c r="BD390" t="s">
        <v>3</v>
      </c>
      <c r="BE390" t="s">
        <v>3</v>
      </c>
      <c r="BF390" t="s">
        <v>3</v>
      </c>
      <c r="BG390" t="s">
        <v>3</v>
      </c>
      <c r="BH390">
        <v>0</v>
      </c>
      <c r="BI390">
        <v>1</v>
      </c>
      <c r="BJ390" t="s">
        <v>267</v>
      </c>
      <c r="BM390">
        <v>57</v>
      </c>
      <c r="BN390">
        <v>59298886</v>
      </c>
      <c r="BO390" t="s">
        <v>264</v>
      </c>
      <c r="BP390">
        <v>1</v>
      </c>
      <c r="BQ390">
        <v>30</v>
      </c>
      <c r="BR390">
        <v>0</v>
      </c>
      <c r="BS390">
        <v>54.99</v>
      </c>
      <c r="BT390">
        <v>1</v>
      </c>
      <c r="BU390">
        <v>1</v>
      </c>
      <c r="BV390">
        <v>1</v>
      </c>
      <c r="BW390">
        <v>1</v>
      </c>
      <c r="BX390">
        <v>1</v>
      </c>
      <c r="BY390" t="s">
        <v>3</v>
      </c>
      <c r="BZ390">
        <v>101</v>
      </c>
      <c r="CA390">
        <v>55</v>
      </c>
      <c r="CB390" t="s">
        <v>3</v>
      </c>
      <c r="CE390">
        <v>1566</v>
      </c>
      <c r="CF390">
        <v>0</v>
      </c>
      <c r="CG390">
        <v>0</v>
      </c>
      <c r="CM390">
        <v>0</v>
      </c>
      <c r="CN390" t="s">
        <v>375</v>
      </c>
      <c r="CO390">
        <v>0</v>
      </c>
      <c r="CP390">
        <f>(P390+Q390+S390)</f>
        <v>9990.0399999999991</v>
      </c>
      <c r="CQ390">
        <f>ROUND((ROUND((AC390*AW390*1),2)*BC390),2)</f>
        <v>190.5</v>
      </c>
      <c r="CR390">
        <f>(ROUND((ROUND(((((ET390*1.25)*1.1))*AV390*1),2)*BB390),2)+ROUND((ROUND(((AE390-(((EU390*1.25)*1.1)))*AV390*1),2)*BS390),2))</f>
        <v>117.68</v>
      </c>
      <c r="CS390">
        <f>(ROUND((ROUND(((((EU390*1.25)*1.1))*AV390*1),2)*BS390),2)+ROUND((ROUND(((AE390-(((EU390*1.25)*1.1)))*AV390*1),2)*BS390),2))</f>
        <v>19.8</v>
      </c>
      <c r="CT390">
        <f>ROUND((ROUND((AF390*AV390*1),2)*BA390),2)</f>
        <v>18482.689999999999</v>
      </c>
      <c r="CU390">
        <f>AG390</f>
        <v>0</v>
      </c>
      <c r="CV390">
        <f>(AH390*AV390)</f>
        <v>22.0389312</v>
      </c>
      <c r="CW390">
        <f t="shared" si="284"/>
        <v>0</v>
      </c>
      <c r="CX390">
        <f t="shared" si="284"/>
        <v>0</v>
      </c>
      <c r="CY390">
        <f>(ROUND((((S390+ROUND((ROUND(((((EU390*1.25)*1.1))*AV390*1),2)*BS390),2))*AT390)/100),2)+ROUND(((ROUND((ROUND(((AE390-(((EU390*1.25)*1.1)))*AV390*1),2)*BS390),2)*AT390)/100),2))</f>
        <v>9944.42</v>
      </c>
      <c r="CZ390">
        <f>(ROUND((((S390+ROUND((ROUND(((((EU390*1.25)*1.1))*AV390*1),2)*BS390),2))*AU390)/100),2)+ROUND(((ROUND((ROUND(((AE390-(((EU390*1.25)*1.1)))*AV390*1),2)*BS390),2)*AU390)/100),2))</f>
        <v>5415.28</v>
      </c>
      <c r="DB390">
        <v>107</v>
      </c>
      <c r="DC390" t="s">
        <v>3</v>
      </c>
      <c r="DD390" t="s">
        <v>3</v>
      </c>
      <c r="DE390" t="s">
        <v>39</v>
      </c>
      <c r="DF390" t="s">
        <v>39</v>
      </c>
      <c r="DG390" t="s">
        <v>40</v>
      </c>
      <c r="DH390" t="s">
        <v>3</v>
      </c>
      <c r="DI390" t="s">
        <v>40</v>
      </c>
      <c r="DJ390" t="s">
        <v>39</v>
      </c>
      <c r="DK390" t="s">
        <v>3</v>
      </c>
      <c r="DL390" t="s">
        <v>3</v>
      </c>
      <c r="DM390" t="s">
        <v>3</v>
      </c>
      <c r="DN390">
        <v>0</v>
      </c>
      <c r="DO390">
        <v>0</v>
      </c>
      <c r="DP390">
        <v>1</v>
      </c>
      <c r="DQ390">
        <v>1</v>
      </c>
      <c r="DU390">
        <v>1003</v>
      </c>
      <c r="DV390" t="s">
        <v>266</v>
      </c>
      <c r="DW390" t="s">
        <v>266</v>
      </c>
      <c r="DX390">
        <v>100</v>
      </c>
      <c r="DZ390" t="s">
        <v>3</v>
      </c>
      <c r="EA390" t="s">
        <v>3</v>
      </c>
      <c r="EB390" t="s">
        <v>3</v>
      </c>
      <c r="EC390" t="s">
        <v>3</v>
      </c>
      <c r="EE390">
        <v>59298984</v>
      </c>
      <c r="EF390">
        <v>30</v>
      </c>
      <c r="EG390" t="s">
        <v>26</v>
      </c>
      <c r="EH390">
        <v>0</v>
      </c>
      <c r="EI390" t="s">
        <v>3</v>
      </c>
      <c r="EJ390">
        <v>1</v>
      </c>
      <c r="EK390">
        <v>57</v>
      </c>
      <c r="EL390" t="s">
        <v>268</v>
      </c>
      <c r="EM390" t="s">
        <v>269</v>
      </c>
      <c r="EO390" t="s">
        <v>41</v>
      </c>
      <c r="EQ390">
        <v>0</v>
      </c>
      <c r="ER390">
        <v>306.99</v>
      </c>
      <c r="ES390">
        <v>45.25</v>
      </c>
      <c r="ET390">
        <v>7.97</v>
      </c>
      <c r="EU390">
        <v>0.25</v>
      </c>
      <c r="EV390">
        <v>253.77</v>
      </c>
      <c r="EW390">
        <v>16.64</v>
      </c>
      <c r="EX390">
        <v>0</v>
      </c>
      <c r="EY390">
        <v>0</v>
      </c>
      <c r="FQ390">
        <v>0</v>
      </c>
      <c r="FR390">
        <v>0</v>
      </c>
      <c r="FS390">
        <v>0</v>
      </c>
      <c r="FX390">
        <v>101</v>
      </c>
      <c r="FY390">
        <v>55</v>
      </c>
      <c r="GA390" t="s">
        <v>3</v>
      </c>
      <c r="GD390">
        <v>1</v>
      </c>
      <c r="GF390">
        <v>814010574</v>
      </c>
      <c r="GG390">
        <v>2</v>
      </c>
      <c r="GH390">
        <v>1</v>
      </c>
      <c r="GI390">
        <v>2</v>
      </c>
      <c r="GJ390">
        <v>0</v>
      </c>
      <c r="GK390">
        <v>0</v>
      </c>
      <c r="GL390">
        <f>ROUND(IF(AND(BH390=3,BI390=3,FS390&lt;&gt;0),P390,0),2)</f>
        <v>0</v>
      </c>
      <c r="GM390">
        <f>ROUND(O390+X390+Y390,2)+GX390</f>
        <v>25335.16</v>
      </c>
      <c r="GN390">
        <f>IF(OR(BI390=0,BI390=1),GM390-GX390,0)</f>
        <v>25335.16</v>
      </c>
      <c r="GO390">
        <f>IF(BI390=2,GM390-GX390,0)</f>
        <v>0</v>
      </c>
      <c r="GP390">
        <f>IF(BI390=4,GM390-GX390,0)</f>
        <v>0</v>
      </c>
      <c r="GR390">
        <v>0</v>
      </c>
      <c r="GS390">
        <v>3</v>
      </c>
      <c r="GT390">
        <v>0</v>
      </c>
      <c r="GU390" t="s">
        <v>3</v>
      </c>
      <c r="GV390">
        <f>ROUND((GT390),6)</f>
        <v>0</v>
      </c>
      <c r="GW390">
        <v>1</v>
      </c>
      <c r="GX390">
        <f>ROUND(HC390*I390,2)</f>
        <v>0</v>
      </c>
      <c r="HA390">
        <v>0</v>
      </c>
      <c r="HB390">
        <v>0</v>
      </c>
      <c r="HC390">
        <f>GV390*GW390</f>
        <v>0</v>
      </c>
      <c r="HE390" t="s">
        <v>3</v>
      </c>
      <c r="HF390" t="s">
        <v>3</v>
      </c>
      <c r="HM390" t="s">
        <v>3</v>
      </c>
      <c r="HN390" t="s">
        <v>3</v>
      </c>
      <c r="HO390" t="s">
        <v>3</v>
      </c>
      <c r="HP390" t="s">
        <v>3</v>
      </c>
      <c r="HQ390" t="s">
        <v>3</v>
      </c>
      <c r="HS390">
        <v>0</v>
      </c>
      <c r="IK390">
        <v>0</v>
      </c>
    </row>
    <row r="391" spans="1:255" x14ac:dyDescent="0.2">
      <c r="A391" s="2">
        <v>18</v>
      </c>
      <c r="B391" s="2">
        <v>1</v>
      </c>
      <c r="C391" s="2">
        <v>155</v>
      </c>
      <c r="D391" s="2"/>
      <c r="E391" s="2" t="s">
        <v>270</v>
      </c>
      <c r="F391" s="2" t="s">
        <v>271</v>
      </c>
      <c r="G391" s="2" t="s">
        <v>272</v>
      </c>
      <c r="H391" s="2" t="s">
        <v>124</v>
      </c>
      <c r="I391" s="2">
        <f>I389*J391</f>
        <v>1519</v>
      </c>
      <c r="J391" s="2">
        <v>2857.1428571428573</v>
      </c>
      <c r="K391" s="2">
        <v>2857.1428571400002</v>
      </c>
      <c r="L391" s="2"/>
      <c r="M391" s="2"/>
      <c r="N391" s="2"/>
      <c r="O391" s="2">
        <f>ROUND(CP391,2)</f>
        <v>14764.68</v>
      </c>
      <c r="P391" s="2">
        <f>ROUND((ROUND((AC391*AW391*I391),2)*BC391),2)</f>
        <v>14764.68</v>
      </c>
      <c r="Q391" s="2">
        <f>(ROUND((ROUND(((ET391)*AV391*I391),2)*BB391),2)+ROUND((ROUND(((AE391-(EU391))*AV391*I391),2)*BS391),2))</f>
        <v>0</v>
      </c>
      <c r="R391" s="2">
        <f>(ROUND((ROUND(((EU391)*AV391*I391),2)*BS391),2)+ROUND((ROUND(((AE391-(EU391))*AV391*I391),2)*BS391),2))</f>
        <v>0</v>
      </c>
      <c r="S391" s="2">
        <f>ROUND((ROUND((AF391*AV391*I391),2)*BA391),2)</f>
        <v>0</v>
      </c>
      <c r="T391" s="2">
        <f>ROUND(CU391*I391,2)</f>
        <v>0</v>
      </c>
      <c r="U391" s="2">
        <f>CV391*I391</f>
        <v>0</v>
      </c>
      <c r="V391" s="2">
        <f>CW391*I391</f>
        <v>0</v>
      </c>
      <c r="W391" s="2">
        <f>ROUND(CX391*I391,2)</f>
        <v>0</v>
      </c>
      <c r="X391" s="2">
        <f>(ROUND((((S391+ROUND((ROUND(((EU391)*AV391*I391),2)*BS391),2))*AT391)/100),2)+ROUND(((ROUND((ROUND(((AE391-(EU391))*AV391*I391),2)*BS391),2)*AT391)/100),2))</f>
        <v>0</v>
      </c>
      <c r="Y391" s="2">
        <f>(ROUND((((S391+ROUND((ROUND(((EU391)*AV391*I391),2)*BS391),2))*AU391)/100),2)+ROUND(((ROUND((ROUND(((AE391-(EU391))*AV391*I391),2)*BS391),2)*AU391)/100),2))</f>
        <v>0</v>
      </c>
      <c r="Z391" s="2"/>
      <c r="AA391" s="2">
        <v>59499218</v>
      </c>
      <c r="AB391" s="2">
        <f>ROUND((AC391+AD391+AF391),6)</f>
        <v>9.7200000000000006</v>
      </c>
      <c r="AC391" s="2">
        <f>ROUND((ES391),6)</f>
        <v>9.7200000000000006</v>
      </c>
      <c r="AD391" s="2">
        <f>ROUND((((ET391)-(EU391))+AE391),6)</f>
        <v>0</v>
      </c>
      <c r="AE391" s="2">
        <f>ROUND((EU391),6)</f>
        <v>0</v>
      </c>
      <c r="AF391" s="2">
        <f>ROUND((EV391),6)</f>
        <v>0</v>
      </c>
      <c r="AG391" s="2">
        <f>ROUND((AP391),6)</f>
        <v>0</v>
      </c>
      <c r="AH391" s="2">
        <f>(EW391)</f>
        <v>0</v>
      </c>
      <c r="AI391" s="2">
        <f>(EX391)</f>
        <v>0</v>
      </c>
      <c r="AJ391" s="2">
        <f>(AS391)</f>
        <v>0</v>
      </c>
      <c r="AK391" s="2">
        <v>9.7199999999999989</v>
      </c>
      <c r="AL391" s="2">
        <v>9.7199999999999989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101</v>
      </c>
      <c r="AU391" s="2">
        <v>55</v>
      </c>
      <c r="AV391" s="2">
        <v>1</v>
      </c>
      <c r="AW391" s="2">
        <v>1</v>
      </c>
      <c r="AX391" s="2"/>
      <c r="AY391" s="2"/>
      <c r="AZ391" s="2">
        <v>1</v>
      </c>
      <c r="BA391" s="2">
        <v>1</v>
      </c>
      <c r="BB391" s="2">
        <v>1</v>
      </c>
      <c r="BC391" s="2">
        <v>1</v>
      </c>
      <c r="BD391" s="2" t="s">
        <v>3</v>
      </c>
      <c r="BE391" s="2" t="s">
        <v>3</v>
      </c>
      <c r="BF391" s="2" t="s">
        <v>3</v>
      </c>
      <c r="BG391" s="2" t="s">
        <v>3</v>
      </c>
      <c r="BH391" s="2">
        <v>3</v>
      </c>
      <c r="BI391" s="2">
        <v>1</v>
      </c>
      <c r="BJ391" s="2" t="s">
        <v>3</v>
      </c>
      <c r="BK391" s="2"/>
      <c r="BL391" s="2"/>
      <c r="BM391" s="2">
        <v>57</v>
      </c>
      <c r="BN391" s="2">
        <v>0</v>
      </c>
      <c r="BO391" s="2" t="s">
        <v>3</v>
      </c>
      <c r="BP391" s="2">
        <v>0</v>
      </c>
      <c r="BQ391" s="2">
        <v>30</v>
      </c>
      <c r="BR391" s="2">
        <v>0</v>
      </c>
      <c r="BS391" s="2">
        <v>1</v>
      </c>
      <c r="BT391" s="2">
        <v>1</v>
      </c>
      <c r="BU391" s="2">
        <v>1</v>
      </c>
      <c r="BV391" s="2">
        <v>1</v>
      </c>
      <c r="BW391" s="2">
        <v>1</v>
      </c>
      <c r="BX391" s="2">
        <v>1</v>
      </c>
      <c r="BY391" s="2" t="s">
        <v>3</v>
      </c>
      <c r="BZ391" s="2">
        <v>101</v>
      </c>
      <c r="CA391" s="2">
        <v>55</v>
      </c>
      <c r="CB391" s="2" t="s">
        <v>3</v>
      </c>
      <c r="CC391" s="2"/>
      <c r="CD391" s="2"/>
      <c r="CE391" s="2">
        <v>1566</v>
      </c>
      <c r="CF391" s="2">
        <v>0</v>
      </c>
      <c r="CG391" s="2">
        <v>0</v>
      </c>
      <c r="CH391" s="2"/>
      <c r="CI391" s="2"/>
      <c r="CJ391" s="2"/>
      <c r="CK391" s="2"/>
      <c r="CL391" s="2"/>
      <c r="CM391" s="2">
        <v>0</v>
      </c>
      <c r="CN391" s="2" t="s">
        <v>3</v>
      </c>
      <c r="CO391" s="2">
        <v>0</v>
      </c>
      <c r="CP391" s="2">
        <f>(P391+Q391+S391)</f>
        <v>14764.68</v>
      </c>
      <c r="CQ391" s="2">
        <f>ROUND((ROUND((AC391*AW391*1),2)*BC391),2)</f>
        <v>9.7200000000000006</v>
      </c>
      <c r="CR391" s="2">
        <f>(ROUND((ROUND(((ET391)*AV391*1),2)*BB391),2)+ROUND((ROUND(((AE391-(EU391))*AV391*1),2)*BS391),2))</f>
        <v>0</v>
      </c>
      <c r="CS391" s="2">
        <f>(ROUND((ROUND(((EU391)*AV391*1),2)*BS391),2)+ROUND((ROUND(((AE391-(EU391))*AV391*1),2)*BS391),2))</f>
        <v>0</v>
      </c>
      <c r="CT391" s="2">
        <f>ROUND((ROUND((AF391*AV391*1),2)*BA391),2)</f>
        <v>0</v>
      </c>
      <c r="CU391" s="2">
        <f>AG391</f>
        <v>0</v>
      </c>
      <c r="CV391" s="2">
        <f>(AH391*AV391)</f>
        <v>0</v>
      </c>
      <c r="CW391" s="2">
        <f t="shared" si="284"/>
        <v>0</v>
      </c>
      <c r="CX391" s="2">
        <f t="shared" si="284"/>
        <v>0</v>
      </c>
      <c r="CY391" s="2">
        <f>(ROUND((((S391+ROUND((ROUND(((EU391)*AV391*1),2)*BS391),2))*AT391)/100),2)+ROUND(((ROUND((ROUND(((AE391-(EU391))*AV391*1),2)*BS391),2)*AT391)/100),2))</f>
        <v>0</v>
      </c>
      <c r="CZ391" s="2">
        <f>(ROUND((((S391+ROUND((ROUND(((EU391)*AV391*1),2)*BS391),2))*AU391)/100),2)+ROUND(((ROUND((ROUND(((AE391-(EU391))*AV391*1),2)*BS391),2)*AU391)/100),2))</f>
        <v>0</v>
      </c>
      <c r="DA391" s="2"/>
      <c r="DB391" s="2"/>
      <c r="DC391" s="2" t="s">
        <v>3</v>
      </c>
      <c r="DD391" s="2" t="s">
        <v>3</v>
      </c>
      <c r="DE391" s="2" t="s">
        <v>3</v>
      </c>
      <c r="DF391" s="2" t="s">
        <v>3</v>
      </c>
      <c r="DG391" s="2" t="s">
        <v>3</v>
      </c>
      <c r="DH391" s="2" t="s">
        <v>3</v>
      </c>
      <c r="DI391" s="2" t="s">
        <v>3</v>
      </c>
      <c r="DJ391" s="2" t="s">
        <v>3</v>
      </c>
      <c r="DK391" s="2" t="s">
        <v>3</v>
      </c>
      <c r="DL391" s="2" t="s">
        <v>3</v>
      </c>
      <c r="DM391" s="2" t="s">
        <v>3</v>
      </c>
      <c r="DN391" s="2">
        <v>0</v>
      </c>
      <c r="DO391" s="2">
        <v>0</v>
      </c>
      <c r="DP391" s="2">
        <v>1</v>
      </c>
      <c r="DQ391" s="2">
        <v>1</v>
      </c>
      <c r="DR391" s="2"/>
      <c r="DS391" s="2"/>
      <c r="DT391" s="2"/>
      <c r="DU391" s="2">
        <v>1010</v>
      </c>
      <c r="DV391" s="2" t="s">
        <v>124</v>
      </c>
      <c r="DW391" s="2" t="s">
        <v>124</v>
      </c>
      <c r="DX391" s="2">
        <v>1</v>
      </c>
      <c r="DY391" s="2"/>
      <c r="DZ391" s="2" t="s">
        <v>3</v>
      </c>
      <c r="EA391" s="2" t="s">
        <v>3</v>
      </c>
      <c r="EB391" s="2" t="s">
        <v>3</v>
      </c>
      <c r="EC391" s="2" t="s">
        <v>3</v>
      </c>
      <c r="ED391" s="2"/>
      <c r="EE391" s="2">
        <v>59298984</v>
      </c>
      <c r="EF391" s="2">
        <v>30</v>
      </c>
      <c r="EG391" s="2" t="s">
        <v>26</v>
      </c>
      <c r="EH391" s="2">
        <v>0</v>
      </c>
      <c r="EI391" s="2" t="s">
        <v>3</v>
      </c>
      <c r="EJ391" s="2">
        <v>1</v>
      </c>
      <c r="EK391" s="2">
        <v>57</v>
      </c>
      <c r="EL391" s="2" t="s">
        <v>268</v>
      </c>
      <c r="EM391" s="2" t="s">
        <v>269</v>
      </c>
      <c r="EN391" s="2"/>
      <c r="EO391" s="2" t="s">
        <v>3</v>
      </c>
      <c r="EP391" s="2"/>
      <c r="EQ391" s="2">
        <v>0</v>
      </c>
      <c r="ER391" s="2">
        <v>0</v>
      </c>
      <c r="ES391" s="2">
        <v>9.7199999999999989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>
        <v>0</v>
      </c>
      <c r="FR391" s="2">
        <v>0</v>
      </c>
      <c r="FS391" s="2">
        <v>0</v>
      </c>
      <c r="FT391" s="2"/>
      <c r="FU391" s="2"/>
      <c r="FV391" s="2"/>
      <c r="FW391" s="2"/>
      <c r="FX391" s="2">
        <v>101</v>
      </c>
      <c r="FY391" s="2">
        <v>55</v>
      </c>
      <c r="FZ391" s="2"/>
      <c r="GA391" s="2" t="s">
        <v>273</v>
      </c>
      <c r="GB391" s="2"/>
      <c r="GC391" s="2"/>
      <c r="GD391" s="2">
        <v>1</v>
      </c>
      <c r="GE391" s="2"/>
      <c r="GF391" s="2">
        <v>774737074</v>
      </c>
      <c r="GG391" s="2">
        <v>2</v>
      </c>
      <c r="GH391" s="2">
        <v>4</v>
      </c>
      <c r="GI391" s="2">
        <v>-2</v>
      </c>
      <c r="GJ391" s="2">
        <v>0</v>
      </c>
      <c r="GK391" s="2">
        <v>0</v>
      </c>
      <c r="GL391" s="2">
        <f>ROUND(IF(AND(BH391=3,BI391=3,FS391&lt;&gt;0),P391,0),2)</f>
        <v>0</v>
      </c>
      <c r="GM391" s="2">
        <f>ROUND(O391+X391+Y391,2)+GX391</f>
        <v>14764.68</v>
      </c>
      <c r="GN391" s="2">
        <f>IF(OR(BI391=0,BI391=1),GM391-GX391,0)</f>
        <v>14764.68</v>
      </c>
      <c r="GO391" s="2">
        <f>IF(BI391=2,GM391-GX391,0)</f>
        <v>0</v>
      </c>
      <c r="GP391" s="2">
        <f>IF(BI391=4,GM391-GX391,0)</f>
        <v>0</v>
      </c>
      <c r="GQ391" s="2"/>
      <c r="GR391" s="2">
        <v>0</v>
      </c>
      <c r="GS391" s="2">
        <v>2</v>
      </c>
      <c r="GT391" s="2">
        <v>0</v>
      </c>
      <c r="GU391" s="2" t="s">
        <v>3</v>
      </c>
      <c r="GV391" s="2">
        <f>ROUND((GT391),6)</f>
        <v>0</v>
      </c>
      <c r="GW391" s="2">
        <v>1</v>
      </c>
      <c r="GX391" s="2">
        <f>ROUND(HC391*I391,2)</f>
        <v>0</v>
      </c>
      <c r="GY391" s="2"/>
      <c r="GZ391" s="2"/>
      <c r="HA391" s="2">
        <v>0</v>
      </c>
      <c r="HB391" s="2">
        <v>0</v>
      </c>
      <c r="HC391" s="2">
        <f>GV391*GW391</f>
        <v>0</v>
      </c>
      <c r="HD391" s="2"/>
      <c r="HE391" s="2" t="s">
        <v>173</v>
      </c>
      <c r="HF391" s="2" t="s">
        <v>30</v>
      </c>
      <c r="HG391" s="2"/>
      <c r="HH391" s="2"/>
      <c r="HI391" s="2"/>
      <c r="HJ391" s="2"/>
      <c r="HK391" s="2"/>
      <c r="HL391" s="2"/>
      <c r="HM391" s="2" t="s">
        <v>3</v>
      </c>
      <c r="HN391" s="2" t="s">
        <v>3</v>
      </c>
      <c r="HO391" s="2" t="s">
        <v>3</v>
      </c>
      <c r="HP391" s="2" t="s">
        <v>3</v>
      </c>
      <c r="HQ391" s="2" t="s">
        <v>3</v>
      </c>
      <c r="HR391" s="2"/>
      <c r="HS391" s="2">
        <v>0</v>
      </c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>
        <v>0</v>
      </c>
      <c r="IL391" s="2"/>
      <c r="IM391" s="2"/>
      <c r="IN391" s="2"/>
      <c r="IO391" s="2"/>
      <c r="IP391" s="2"/>
      <c r="IQ391" s="2"/>
      <c r="IR391" s="2"/>
      <c r="IS391" s="2"/>
      <c r="IT391" s="2"/>
      <c r="IU391" s="2"/>
    </row>
    <row r="392" spans="1:255" x14ac:dyDescent="0.2">
      <c r="A392">
        <v>18</v>
      </c>
      <c r="B392">
        <v>1</v>
      </c>
      <c r="C392">
        <v>162</v>
      </c>
      <c r="E392" t="s">
        <v>270</v>
      </c>
      <c r="F392" t="s">
        <v>271</v>
      </c>
      <c r="G392" t="s">
        <v>272</v>
      </c>
      <c r="H392" t="s">
        <v>124</v>
      </c>
      <c r="I392">
        <f>I390*J392</f>
        <v>1519</v>
      </c>
      <c r="J392">
        <v>2857.1428571428573</v>
      </c>
      <c r="K392">
        <v>2857.1428571400002</v>
      </c>
      <c r="O392">
        <f>ROUND(CP392,2)</f>
        <v>145875.04</v>
      </c>
      <c r="P392">
        <f>ROUND((ROUND((AC392*AW392*I392),2)*BC392),2)</f>
        <v>145875.04</v>
      </c>
      <c r="Q392">
        <f>(ROUND((ROUND(((ET392)*AV392*I392),2)*BB392),2)+ROUND((ROUND(((AE392-(EU392))*AV392*I392),2)*BS392),2))</f>
        <v>0</v>
      </c>
      <c r="R392">
        <f>(ROUND((ROUND(((EU392)*AV392*I392),2)*BS392),2)+ROUND((ROUND(((AE392-(EU392))*AV392*I392),2)*BS392),2))</f>
        <v>0</v>
      </c>
      <c r="S392">
        <f>ROUND((ROUND((AF392*AV392*I392),2)*BA392),2)</f>
        <v>0</v>
      </c>
      <c r="T392">
        <f>ROUND(CU392*I392,2)</f>
        <v>0</v>
      </c>
      <c r="U392">
        <f>CV392*I392</f>
        <v>0</v>
      </c>
      <c r="V392">
        <f>CW392*I392</f>
        <v>0</v>
      </c>
      <c r="W392">
        <f>ROUND(CX392*I392,2)</f>
        <v>0</v>
      </c>
      <c r="X392">
        <f>(ROUND((((S392+ROUND((ROUND(((EU392)*AV392*I392),2)*BS392),2))*AT392)/100),2)+ROUND(((ROUND((ROUND(((AE392-(EU392))*AV392*I392),2)*BS392),2)*AT392)/100),2))</f>
        <v>0</v>
      </c>
      <c r="Y392">
        <f>(ROUND((((S392+ROUND((ROUND(((EU392)*AV392*I392),2)*BS392),2))*AU392)/100),2)+ROUND(((ROUND((ROUND(((AE392-(EU392))*AV392*I392),2)*BS392),2)*AU392)/100),2))</f>
        <v>0</v>
      </c>
      <c r="AA392">
        <v>59499215</v>
      </c>
      <c r="AB392">
        <f>ROUND((AC392+AD392+AF392),6)</f>
        <v>9.7200000000000006</v>
      </c>
      <c r="AC392">
        <f>ROUND((ES392),6)</f>
        <v>9.7200000000000006</v>
      </c>
      <c r="AD392">
        <f>ROUND((((ET392)-(EU392))+AE392),6)</f>
        <v>0</v>
      </c>
      <c r="AE392">
        <f>ROUND((EU392),6)</f>
        <v>0</v>
      </c>
      <c r="AF392">
        <f>ROUND((EV392),6)</f>
        <v>0</v>
      </c>
      <c r="AG392">
        <f>ROUND((AP392),6)</f>
        <v>0</v>
      </c>
      <c r="AH392">
        <f>(EW392)</f>
        <v>0</v>
      </c>
      <c r="AI392">
        <f>(EX392)</f>
        <v>0</v>
      </c>
      <c r="AJ392">
        <f>(AS392)</f>
        <v>0</v>
      </c>
      <c r="AK392">
        <v>9.7199999999999989</v>
      </c>
      <c r="AL392">
        <v>9.7199999999999989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101</v>
      </c>
      <c r="AU392">
        <v>55</v>
      </c>
      <c r="AV392">
        <v>1</v>
      </c>
      <c r="AW392">
        <v>1</v>
      </c>
      <c r="AZ392">
        <v>1</v>
      </c>
      <c r="BA392">
        <v>1</v>
      </c>
      <c r="BB392">
        <v>1</v>
      </c>
      <c r="BC392">
        <v>9.8800000000000008</v>
      </c>
      <c r="BD392" t="s">
        <v>3</v>
      </c>
      <c r="BE392" t="s">
        <v>3</v>
      </c>
      <c r="BF392" t="s">
        <v>3</v>
      </c>
      <c r="BG392" t="s">
        <v>3</v>
      </c>
      <c r="BH392">
        <v>3</v>
      </c>
      <c r="BI392">
        <v>1</v>
      </c>
      <c r="BJ392" t="s">
        <v>3</v>
      </c>
      <c r="BM392">
        <v>57</v>
      </c>
      <c r="BN392">
        <v>0</v>
      </c>
      <c r="BO392" t="s">
        <v>3</v>
      </c>
      <c r="BP392">
        <v>0</v>
      </c>
      <c r="BQ392">
        <v>30</v>
      </c>
      <c r="BR392">
        <v>0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 t="s">
        <v>3</v>
      </c>
      <c r="BZ392">
        <v>101</v>
      </c>
      <c r="CA392">
        <v>55</v>
      </c>
      <c r="CB392" t="s">
        <v>3</v>
      </c>
      <c r="CE392">
        <v>1566</v>
      </c>
      <c r="CF392">
        <v>0</v>
      </c>
      <c r="CG392">
        <v>0</v>
      </c>
      <c r="CM392">
        <v>0</v>
      </c>
      <c r="CN392" t="s">
        <v>3</v>
      </c>
      <c r="CO392">
        <v>0</v>
      </c>
      <c r="CP392">
        <f>(P392+Q392+S392)</f>
        <v>145875.04</v>
      </c>
      <c r="CQ392">
        <f>ROUND((ROUND((AC392*AW392*1),2)*BC392),2)</f>
        <v>96.03</v>
      </c>
      <c r="CR392">
        <f>(ROUND((ROUND(((ET392)*AV392*1),2)*BB392),2)+ROUND((ROUND(((AE392-(EU392))*AV392*1),2)*BS392),2))</f>
        <v>0</v>
      </c>
      <c r="CS392">
        <f>(ROUND((ROUND(((EU392)*AV392*1),2)*BS392),2)+ROUND((ROUND(((AE392-(EU392))*AV392*1),2)*BS392),2))</f>
        <v>0</v>
      </c>
      <c r="CT392">
        <f>ROUND((ROUND((AF392*AV392*1),2)*BA392),2)</f>
        <v>0</v>
      </c>
      <c r="CU392">
        <f>AG392</f>
        <v>0</v>
      </c>
      <c r="CV392">
        <f>(AH392*AV392)</f>
        <v>0</v>
      </c>
      <c r="CW392">
        <f t="shared" si="284"/>
        <v>0</v>
      </c>
      <c r="CX392">
        <f t="shared" si="284"/>
        <v>0</v>
      </c>
      <c r="CY392">
        <f>(ROUND((((S392+ROUND((ROUND(((EU392)*AV392*1),2)*BS392),2))*AT392)/100),2)+ROUND(((ROUND((ROUND(((AE392-(EU392))*AV392*1),2)*BS392),2)*AT392)/100),2))</f>
        <v>0</v>
      </c>
      <c r="CZ392">
        <f>(ROUND((((S392+ROUND((ROUND(((EU392)*AV392*1),2)*BS392),2))*AU392)/100),2)+ROUND(((ROUND((ROUND(((AE392-(EU392))*AV392*1),2)*BS392),2)*AU392)/100),2))</f>
        <v>0</v>
      </c>
      <c r="DC392" t="s">
        <v>3</v>
      </c>
      <c r="DD392" t="s">
        <v>3</v>
      </c>
      <c r="DE392" t="s">
        <v>3</v>
      </c>
      <c r="DF392" t="s">
        <v>3</v>
      </c>
      <c r="DG392" t="s">
        <v>3</v>
      </c>
      <c r="DH392" t="s">
        <v>3</v>
      </c>
      <c r="DI392" t="s">
        <v>3</v>
      </c>
      <c r="DJ392" t="s">
        <v>3</v>
      </c>
      <c r="DK392" t="s">
        <v>3</v>
      </c>
      <c r="DL392" t="s">
        <v>3</v>
      </c>
      <c r="DM392" t="s">
        <v>3</v>
      </c>
      <c r="DN392">
        <v>0</v>
      </c>
      <c r="DO392">
        <v>0</v>
      </c>
      <c r="DP392">
        <v>1</v>
      </c>
      <c r="DQ392">
        <v>1</v>
      </c>
      <c r="DU392">
        <v>1010</v>
      </c>
      <c r="DV392" t="s">
        <v>124</v>
      </c>
      <c r="DW392" t="s">
        <v>124</v>
      </c>
      <c r="DX392">
        <v>1</v>
      </c>
      <c r="DZ392" t="s">
        <v>3</v>
      </c>
      <c r="EA392" t="s">
        <v>3</v>
      </c>
      <c r="EB392" t="s">
        <v>3</v>
      </c>
      <c r="EC392" t="s">
        <v>3</v>
      </c>
      <c r="EE392">
        <v>59298984</v>
      </c>
      <c r="EF392">
        <v>30</v>
      </c>
      <c r="EG392" t="s">
        <v>26</v>
      </c>
      <c r="EH392">
        <v>0</v>
      </c>
      <c r="EI392" t="s">
        <v>3</v>
      </c>
      <c r="EJ392">
        <v>1</v>
      </c>
      <c r="EK392">
        <v>57</v>
      </c>
      <c r="EL392" t="s">
        <v>268</v>
      </c>
      <c r="EM392" t="s">
        <v>269</v>
      </c>
      <c r="EO392" t="s">
        <v>3</v>
      </c>
      <c r="EQ392">
        <v>0</v>
      </c>
      <c r="ER392">
        <v>9.7199999999999989</v>
      </c>
      <c r="ES392">
        <v>9.7199999999999989</v>
      </c>
      <c r="ET392">
        <v>0</v>
      </c>
      <c r="EU392">
        <v>0</v>
      </c>
      <c r="EV392">
        <v>0</v>
      </c>
      <c r="EW392">
        <v>0</v>
      </c>
      <c r="EX392">
        <v>0</v>
      </c>
      <c r="EZ392">
        <v>5</v>
      </c>
      <c r="FC392">
        <v>1</v>
      </c>
      <c r="FD392">
        <v>18</v>
      </c>
      <c r="FF392">
        <v>113</v>
      </c>
      <c r="FQ392">
        <v>0</v>
      </c>
      <c r="FR392">
        <v>0</v>
      </c>
      <c r="FS392">
        <v>0</v>
      </c>
      <c r="FX392">
        <v>101</v>
      </c>
      <c r="FY392">
        <v>55</v>
      </c>
      <c r="GA392" t="s">
        <v>273</v>
      </c>
      <c r="GD392">
        <v>1</v>
      </c>
      <c r="GF392">
        <v>774737074</v>
      </c>
      <c r="GG392">
        <v>2</v>
      </c>
      <c r="GH392">
        <v>3</v>
      </c>
      <c r="GI392">
        <v>3</v>
      </c>
      <c r="GJ392">
        <v>0</v>
      </c>
      <c r="GK392">
        <v>0</v>
      </c>
      <c r="GL392">
        <f>ROUND(IF(AND(BH392=3,BI392=3,FS392&lt;&gt;0),P392,0),2)</f>
        <v>0</v>
      </c>
      <c r="GM392">
        <f>ROUND(O392+X392+Y392,2)+GX392</f>
        <v>145875.04</v>
      </c>
      <c r="GN392">
        <f>IF(OR(BI392=0,BI392=1),GM392-GX392,0)</f>
        <v>145875.04</v>
      </c>
      <c r="GO392">
        <f>IF(BI392=2,GM392-GX392,0)</f>
        <v>0</v>
      </c>
      <c r="GP392">
        <f>IF(BI392=4,GM392-GX392,0)</f>
        <v>0</v>
      </c>
      <c r="GR392">
        <v>1</v>
      </c>
      <c r="GS392">
        <v>1</v>
      </c>
      <c r="GT392">
        <v>0</v>
      </c>
      <c r="GU392" t="s">
        <v>3</v>
      </c>
      <c r="GV392">
        <f>ROUND((GT392),6)</f>
        <v>0</v>
      </c>
      <c r="GW392">
        <v>1</v>
      </c>
      <c r="GX392">
        <f>ROUND(HC392*I392,2)</f>
        <v>0</v>
      </c>
      <c r="HA392">
        <v>0</v>
      </c>
      <c r="HB392">
        <v>0</v>
      </c>
      <c r="HC392">
        <f>GV392*GW392</f>
        <v>0</v>
      </c>
      <c r="HE392" t="s">
        <v>173</v>
      </c>
      <c r="HF392" t="s">
        <v>30</v>
      </c>
      <c r="HM392" t="s">
        <v>3</v>
      </c>
      <c r="HN392" t="s">
        <v>3</v>
      </c>
      <c r="HO392" t="s">
        <v>3</v>
      </c>
      <c r="HP392" t="s">
        <v>3</v>
      </c>
      <c r="HQ392" t="s">
        <v>3</v>
      </c>
      <c r="HS392">
        <v>0</v>
      </c>
      <c r="IK392">
        <v>0</v>
      </c>
    </row>
    <row r="394" spans="1:255" x14ac:dyDescent="0.2">
      <c r="A394" s="3">
        <v>51</v>
      </c>
      <c r="B394" s="3">
        <f>B385</f>
        <v>1</v>
      </c>
      <c r="C394" s="3">
        <f>A385</f>
        <v>4</v>
      </c>
      <c r="D394" s="3">
        <f>ROW(A385)</f>
        <v>385</v>
      </c>
      <c r="E394" s="3"/>
      <c r="F394" s="3" t="str">
        <f>IF(F385&lt;&gt;"",F385,"")</f>
        <v/>
      </c>
      <c r="G394" s="3" t="str">
        <f>IF(G385&lt;&gt;"",G385,"")</f>
        <v>Панно из алюминиевых тактильных индикаторов-конусов</v>
      </c>
      <c r="H394" s="3">
        <v>0</v>
      </c>
      <c r="I394" s="3"/>
      <c r="J394" s="3"/>
      <c r="K394" s="3"/>
      <c r="L394" s="3"/>
      <c r="M394" s="3"/>
      <c r="N394" s="3"/>
      <c r="O394" s="3">
        <f t="shared" ref="O394:T394" si="285">ROUND(AB394,2)</f>
        <v>14973.53</v>
      </c>
      <c r="P394" s="3">
        <f t="shared" si="285"/>
        <v>14788.74</v>
      </c>
      <c r="Q394" s="3">
        <f t="shared" si="285"/>
        <v>6.1</v>
      </c>
      <c r="R394" s="3">
        <f t="shared" si="285"/>
        <v>0.19</v>
      </c>
      <c r="S394" s="3">
        <f t="shared" si="285"/>
        <v>178.69</v>
      </c>
      <c r="T394" s="3">
        <f t="shared" si="285"/>
        <v>0</v>
      </c>
      <c r="U394" s="3">
        <f>AH394</f>
        <v>11.716997772479999</v>
      </c>
      <c r="V394" s="3">
        <f>AI394</f>
        <v>0</v>
      </c>
      <c r="W394" s="3">
        <f>ROUND(AJ394,2)</f>
        <v>0</v>
      </c>
      <c r="X394" s="3">
        <f>ROUND(AK394,2)</f>
        <v>180.67</v>
      </c>
      <c r="Y394" s="3">
        <f>ROUND(AL394,2)</f>
        <v>98.38</v>
      </c>
      <c r="Z394" s="3"/>
      <c r="AA394" s="3"/>
      <c r="AB394" s="3">
        <f>ROUND(SUMIF(AA389:AA392,"=59499218",O389:O392),2)</f>
        <v>14973.53</v>
      </c>
      <c r="AC394" s="3">
        <f>ROUND(SUMIF(AA389:AA392,"=59499218",P389:P392),2)</f>
        <v>14788.74</v>
      </c>
      <c r="AD394" s="3">
        <f>ROUND(SUMIF(AA389:AA392,"=59499218",Q389:Q392),2)</f>
        <v>6.1</v>
      </c>
      <c r="AE394" s="3">
        <f>ROUND(SUMIF(AA389:AA392,"=59499218",R389:R392),2)</f>
        <v>0.19</v>
      </c>
      <c r="AF394" s="3">
        <f>ROUND(SUMIF(AA389:AA392,"=59499218",S389:S392),2)</f>
        <v>178.69</v>
      </c>
      <c r="AG394" s="3">
        <f>ROUND(SUMIF(AA389:AA392,"=59499218",T389:T392),2)</f>
        <v>0</v>
      </c>
      <c r="AH394" s="3">
        <f>SUMIF(AA389:AA392,"=59499218",U389:U392)</f>
        <v>11.716997772479999</v>
      </c>
      <c r="AI394" s="3">
        <f>SUMIF(AA389:AA392,"=59499218",V389:V392)</f>
        <v>0</v>
      </c>
      <c r="AJ394" s="3">
        <f>ROUND(SUMIF(AA389:AA392,"=59499218",W389:W392),2)</f>
        <v>0</v>
      </c>
      <c r="AK394" s="3">
        <f>ROUND(SUMIF(AA389:AA392,"=59499218",X389:X392),2)</f>
        <v>180.67</v>
      </c>
      <c r="AL394" s="3">
        <f>ROUND(SUMIF(AA389:AA392,"=59499218",Y389:Y392),2)</f>
        <v>98.38</v>
      </c>
      <c r="AM394" s="3"/>
      <c r="AN394" s="3"/>
      <c r="AO394" s="3">
        <f t="shared" ref="AO394:BD394" si="286">ROUND(BX394,2)</f>
        <v>0</v>
      </c>
      <c r="AP394" s="3">
        <f t="shared" si="286"/>
        <v>0</v>
      </c>
      <c r="AQ394" s="3">
        <f t="shared" si="286"/>
        <v>0</v>
      </c>
      <c r="AR394" s="3">
        <f t="shared" si="286"/>
        <v>15252.58</v>
      </c>
      <c r="AS394" s="3">
        <f t="shared" si="286"/>
        <v>15252.58</v>
      </c>
      <c r="AT394" s="3">
        <f t="shared" si="286"/>
        <v>0</v>
      </c>
      <c r="AU394" s="3">
        <f t="shared" si="286"/>
        <v>0</v>
      </c>
      <c r="AV394" s="3">
        <f t="shared" si="286"/>
        <v>14788.74</v>
      </c>
      <c r="AW394" s="3">
        <f t="shared" si="286"/>
        <v>14788.74</v>
      </c>
      <c r="AX394" s="3">
        <f t="shared" si="286"/>
        <v>0</v>
      </c>
      <c r="AY394" s="3">
        <f t="shared" si="286"/>
        <v>14788.74</v>
      </c>
      <c r="AZ394" s="3">
        <f t="shared" si="286"/>
        <v>0</v>
      </c>
      <c r="BA394" s="3">
        <f t="shared" si="286"/>
        <v>0</v>
      </c>
      <c r="BB394" s="3">
        <f t="shared" si="286"/>
        <v>0</v>
      </c>
      <c r="BC394" s="3">
        <f t="shared" si="286"/>
        <v>0</v>
      </c>
      <c r="BD394" s="3">
        <f t="shared" si="286"/>
        <v>0</v>
      </c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>
        <f>ROUND(SUMIF(AA389:AA392,"=59499218",FQ389:FQ392),2)</f>
        <v>0</v>
      </c>
      <c r="BY394" s="3">
        <f>ROUND(SUMIF(AA389:AA392,"=59499218",FR389:FR392),2)</f>
        <v>0</v>
      </c>
      <c r="BZ394" s="3">
        <f>ROUND(SUMIF(AA389:AA392,"=59499218",GL389:GL392),2)</f>
        <v>0</v>
      </c>
      <c r="CA394" s="3">
        <f>ROUND(SUMIF(AA389:AA392,"=59499218",GM389:GM392),2)</f>
        <v>15252.58</v>
      </c>
      <c r="CB394" s="3">
        <f>ROUND(SUMIF(AA389:AA392,"=59499218",GN389:GN392),2)</f>
        <v>15252.58</v>
      </c>
      <c r="CC394" s="3">
        <f>ROUND(SUMIF(AA389:AA392,"=59499218",GO389:GO392),2)</f>
        <v>0</v>
      </c>
      <c r="CD394" s="3">
        <f>ROUND(SUMIF(AA389:AA392,"=59499218",GP389:GP392),2)</f>
        <v>0</v>
      </c>
      <c r="CE394" s="3">
        <f>AC394-BX394</f>
        <v>14788.74</v>
      </c>
      <c r="CF394" s="3">
        <f>AC394-BY394</f>
        <v>14788.74</v>
      </c>
      <c r="CG394" s="3">
        <f>BX394-BZ394</f>
        <v>0</v>
      </c>
      <c r="CH394" s="3">
        <f>AC394-BX394-BY394+BZ394</f>
        <v>14788.74</v>
      </c>
      <c r="CI394" s="3">
        <f>BY394-BZ394</f>
        <v>0</v>
      </c>
      <c r="CJ394" s="3">
        <f>ROUND(SUMIF(AA389:AA392,"=59499218",GX389:GX392),2)</f>
        <v>0</v>
      </c>
      <c r="CK394" s="3">
        <f>ROUND(SUMIF(AA389:AA392,"=59499218",GY389:GY392),2)</f>
        <v>0</v>
      </c>
      <c r="CL394" s="3">
        <f>ROUND(SUMIF(AA389:AA392,"=59499218",GZ389:GZ392),2)</f>
        <v>0</v>
      </c>
      <c r="CM394" s="3">
        <f>ROUND(SUMIF(AA389:AA392,"=59499218",HD389:HD392),2)</f>
        <v>0</v>
      </c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4">
        <f t="shared" ref="DG394:DL394" si="287">ROUND(DT394,2)</f>
        <v>155865.07999999999</v>
      </c>
      <c r="DH394" s="4">
        <f t="shared" si="287"/>
        <v>145976.32999999999</v>
      </c>
      <c r="DI394" s="4">
        <f t="shared" si="287"/>
        <v>62.59</v>
      </c>
      <c r="DJ394" s="4">
        <f t="shared" si="287"/>
        <v>10.45</v>
      </c>
      <c r="DK394" s="4">
        <f t="shared" si="287"/>
        <v>9826.16</v>
      </c>
      <c r="DL394" s="4">
        <f t="shared" si="287"/>
        <v>0</v>
      </c>
      <c r="DM394" s="4">
        <f>DZ394</f>
        <v>11.716997772479999</v>
      </c>
      <c r="DN394" s="4">
        <f>EA394</f>
        <v>0</v>
      </c>
      <c r="DO394" s="4">
        <f>ROUND(EB394,2)</f>
        <v>0</v>
      </c>
      <c r="DP394" s="4">
        <f>ROUND(EC394,2)</f>
        <v>9934.98</v>
      </c>
      <c r="DQ394" s="4">
        <f>ROUND(ED394,2)</f>
        <v>5410.14</v>
      </c>
      <c r="DR394" s="4"/>
      <c r="DS394" s="4"/>
      <c r="DT394" s="4">
        <f>ROUND(SUMIF(AA389:AA392,"=59499215",O389:O392),2)</f>
        <v>155865.07999999999</v>
      </c>
      <c r="DU394" s="4">
        <f>ROUND(SUMIF(AA389:AA392,"=59499215",P389:P392),2)</f>
        <v>145976.32999999999</v>
      </c>
      <c r="DV394" s="4">
        <f>ROUND(SUMIF(AA389:AA392,"=59499215",Q389:Q392),2)</f>
        <v>62.59</v>
      </c>
      <c r="DW394" s="4">
        <f>ROUND(SUMIF(AA389:AA392,"=59499215",R389:R392),2)</f>
        <v>10.45</v>
      </c>
      <c r="DX394" s="4">
        <f>ROUND(SUMIF(AA389:AA392,"=59499215",S389:S392),2)</f>
        <v>9826.16</v>
      </c>
      <c r="DY394" s="4">
        <f>ROUND(SUMIF(AA389:AA392,"=59499215",T389:T392),2)</f>
        <v>0</v>
      </c>
      <c r="DZ394" s="4">
        <f>SUMIF(AA389:AA392,"=59499215",U389:U392)</f>
        <v>11.716997772479999</v>
      </c>
      <c r="EA394" s="4">
        <f>SUMIF(AA389:AA392,"=59499215",V389:V392)</f>
        <v>0</v>
      </c>
      <c r="EB394" s="4">
        <f>ROUND(SUMIF(AA389:AA392,"=59499215",W389:W392),2)</f>
        <v>0</v>
      </c>
      <c r="EC394" s="4">
        <f>ROUND(SUMIF(AA389:AA392,"=59499215",X389:X392),2)</f>
        <v>9934.98</v>
      </c>
      <c r="ED394" s="4">
        <f>ROUND(SUMIF(AA389:AA392,"=59499215",Y389:Y392),2)</f>
        <v>5410.14</v>
      </c>
      <c r="EE394" s="4"/>
      <c r="EF394" s="4"/>
      <c r="EG394" s="4">
        <f t="shared" ref="EG394:EV394" si="288">ROUND(FP394,2)</f>
        <v>0</v>
      </c>
      <c r="EH394" s="4">
        <f t="shared" si="288"/>
        <v>0</v>
      </c>
      <c r="EI394" s="4">
        <f t="shared" si="288"/>
        <v>0</v>
      </c>
      <c r="EJ394" s="4">
        <f t="shared" si="288"/>
        <v>171210.2</v>
      </c>
      <c r="EK394" s="4">
        <f t="shared" si="288"/>
        <v>171210.2</v>
      </c>
      <c r="EL394" s="4">
        <f t="shared" si="288"/>
        <v>0</v>
      </c>
      <c r="EM394" s="4">
        <f t="shared" si="288"/>
        <v>0</v>
      </c>
      <c r="EN394" s="4">
        <f t="shared" si="288"/>
        <v>145976.32999999999</v>
      </c>
      <c r="EO394" s="4">
        <f t="shared" si="288"/>
        <v>145976.32999999999</v>
      </c>
      <c r="EP394" s="4">
        <f t="shared" si="288"/>
        <v>0</v>
      </c>
      <c r="EQ394" s="4">
        <f t="shared" si="288"/>
        <v>145976.32999999999</v>
      </c>
      <c r="ER394" s="4">
        <f t="shared" si="288"/>
        <v>0</v>
      </c>
      <c r="ES394" s="4">
        <f t="shared" si="288"/>
        <v>0</v>
      </c>
      <c r="ET394" s="4">
        <f t="shared" si="288"/>
        <v>0</v>
      </c>
      <c r="EU394" s="4">
        <f t="shared" si="288"/>
        <v>0</v>
      </c>
      <c r="EV394" s="4">
        <f t="shared" si="288"/>
        <v>0</v>
      </c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>
        <f>ROUND(SUMIF(AA389:AA392,"=59499215",FQ389:FQ392),2)</f>
        <v>0</v>
      </c>
      <c r="FQ394" s="4">
        <f>ROUND(SUMIF(AA389:AA392,"=59499215",FR389:FR392),2)</f>
        <v>0</v>
      </c>
      <c r="FR394" s="4">
        <f>ROUND(SUMIF(AA389:AA392,"=59499215",GL389:GL392),2)</f>
        <v>0</v>
      </c>
      <c r="FS394" s="4">
        <f>ROUND(SUMIF(AA389:AA392,"=59499215",GM389:GM392),2)</f>
        <v>171210.2</v>
      </c>
      <c r="FT394" s="4">
        <f>ROUND(SUMIF(AA389:AA392,"=59499215",GN389:GN392),2)</f>
        <v>171210.2</v>
      </c>
      <c r="FU394" s="4">
        <f>ROUND(SUMIF(AA389:AA392,"=59499215",GO389:GO392),2)</f>
        <v>0</v>
      </c>
      <c r="FV394" s="4">
        <f>ROUND(SUMIF(AA389:AA392,"=59499215",GP389:GP392),2)</f>
        <v>0</v>
      </c>
      <c r="FW394" s="4">
        <f>DU394-FP394</f>
        <v>145976.32999999999</v>
      </c>
      <c r="FX394" s="4">
        <f>DU394-FQ394</f>
        <v>145976.32999999999</v>
      </c>
      <c r="FY394" s="4">
        <f>FP394-FR394</f>
        <v>0</v>
      </c>
      <c r="FZ394" s="4">
        <f>DU394-FP394-FQ394+FR394</f>
        <v>145976.32999999999</v>
      </c>
      <c r="GA394" s="4">
        <f>FQ394-FR394</f>
        <v>0</v>
      </c>
      <c r="GB394" s="4">
        <f>ROUND(SUMIF(AA389:AA392,"=59499215",GX389:GX392),2)</f>
        <v>0</v>
      </c>
      <c r="GC394" s="4">
        <f>ROUND(SUMIF(AA389:AA392,"=59499215",GY389:GY392),2)</f>
        <v>0</v>
      </c>
      <c r="GD394" s="4">
        <f>ROUND(SUMIF(AA389:AA392,"=59499215",GZ389:GZ392),2)</f>
        <v>0</v>
      </c>
      <c r="GE394" s="4">
        <f>ROUND(SUMIF(AA389:AA392,"=59499215",HD389:HD392),2)</f>
        <v>0</v>
      </c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>
        <v>0</v>
      </c>
    </row>
    <row r="396" spans="1:255" x14ac:dyDescent="0.2">
      <c r="A396" s="5">
        <v>50</v>
      </c>
      <c r="B396" s="5">
        <v>0</v>
      </c>
      <c r="C396" s="5">
        <v>0</v>
      </c>
      <c r="D396" s="5">
        <v>1</v>
      </c>
      <c r="E396" s="5">
        <v>201</v>
      </c>
      <c r="F396" s="5">
        <f>ROUND(Source!O394,O396)</f>
        <v>14973.53</v>
      </c>
      <c r="G396" s="5" t="s">
        <v>46</v>
      </c>
      <c r="H396" s="5" t="s">
        <v>47</v>
      </c>
      <c r="I396" s="5"/>
      <c r="J396" s="5"/>
      <c r="K396" s="5">
        <v>201</v>
      </c>
      <c r="L396" s="5">
        <v>1</v>
      </c>
      <c r="M396" s="5">
        <v>3</v>
      </c>
      <c r="N396" s="5" t="s">
        <v>3</v>
      </c>
      <c r="O396" s="5">
        <v>2</v>
      </c>
      <c r="P396" s="5">
        <f>ROUND(Source!DG394,O396)</f>
        <v>155865.07999999999</v>
      </c>
      <c r="Q396" s="5"/>
      <c r="R396" s="5"/>
      <c r="S396" s="5"/>
      <c r="T396" s="5"/>
      <c r="U396" s="5"/>
      <c r="V396" s="5"/>
      <c r="W396" s="5">
        <v>14973.53</v>
      </c>
      <c r="X396" s="5">
        <v>1</v>
      </c>
      <c r="Y396" s="5">
        <v>14973.53</v>
      </c>
      <c r="Z396" s="5">
        <v>155865.07999999999</v>
      </c>
      <c r="AA396" s="5">
        <v>1</v>
      </c>
      <c r="AB396" s="5">
        <v>155865.07999999999</v>
      </c>
    </row>
    <row r="397" spans="1:255" x14ac:dyDescent="0.2">
      <c r="A397" s="5">
        <v>50</v>
      </c>
      <c r="B397" s="5">
        <v>0</v>
      </c>
      <c r="C397" s="5">
        <v>0</v>
      </c>
      <c r="D397" s="5">
        <v>1</v>
      </c>
      <c r="E397" s="5">
        <v>202</v>
      </c>
      <c r="F397" s="5">
        <f>ROUND(Source!P394,O397)</f>
        <v>14788.74</v>
      </c>
      <c r="G397" s="5" t="s">
        <v>48</v>
      </c>
      <c r="H397" s="5" t="s">
        <v>49</v>
      </c>
      <c r="I397" s="5"/>
      <c r="J397" s="5"/>
      <c r="K397" s="5">
        <v>202</v>
      </c>
      <c r="L397" s="5">
        <v>2</v>
      </c>
      <c r="M397" s="5">
        <v>3</v>
      </c>
      <c r="N397" s="5" t="s">
        <v>3</v>
      </c>
      <c r="O397" s="5">
        <v>2</v>
      </c>
      <c r="P397" s="5">
        <f>ROUND(Source!DH394,O397)</f>
        <v>145976.32999999999</v>
      </c>
      <c r="Q397" s="5"/>
      <c r="R397" s="5"/>
      <c r="S397" s="5"/>
      <c r="T397" s="5"/>
      <c r="U397" s="5"/>
      <c r="V397" s="5"/>
      <c r="W397" s="5">
        <v>14788.74</v>
      </c>
      <c r="X397" s="5">
        <v>1</v>
      </c>
      <c r="Y397" s="5">
        <v>14788.74</v>
      </c>
      <c r="Z397" s="5">
        <v>145976.32999999999</v>
      </c>
      <c r="AA397" s="5">
        <v>1</v>
      </c>
      <c r="AB397" s="5">
        <v>145976.32999999999</v>
      </c>
    </row>
    <row r="398" spans="1:255" x14ac:dyDescent="0.2">
      <c r="A398" s="5">
        <v>50</v>
      </c>
      <c r="B398" s="5">
        <v>0</v>
      </c>
      <c r="C398" s="5">
        <v>0</v>
      </c>
      <c r="D398" s="5">
        <v>1</v>
      </c>
      <c r="E398" s="5">
        <v>222</v>
      </c>
      <c r="F398" s="5">
        <f>ROUND(Source!AO394,O398)</f>
        <v>0</v>
      </c>
      <c r="G398" s="5" t="s">
        <v>50</v>
      </c>
      <c r="H398" s="5" t="s">
        <v>51</v>
      </c>
      <c r="I398" s="5"/>
      <c r="J398" s="5"/>
      <c r="K398" s="5">
        <v>222</v>
      </c>
      <c r="L398" s="5">
        <v>3</v>
      </c>
      <c r="M398" s="5">
        <v>3</v>
      </c>
      <c r="N398" s="5" t="s">
        <v>3</v>
      </c>
      <c r="O398" s="5">
        <v>2</v>
      </c>
      <c r="P398" s="5">
        <f>ROUND(Source!EG394,O398)</f>
        <v>0</v>
      </c>
      <c r="Q398" s="5"/>
      <c r="R398" s="5"/>
      <c r="S398" s="5"/>
      <c r="T398" s="5"/>
      <c r="U398" s="5"/>
      <c r="V398" s="5"/>
      <c r="W398" s="5">
        <v>0</v>
      </c>
      <c r="X398" s="5">
        <v>1</v>
      </c>
      <c r="Y398" s="5">
        <v>0</v>
      </c>
      <c r="Z398" s="5">
        <v>0</v>
      </c>
      <c r="AA398" s="5">
        <v>1</v>
      </c>
      <c r="AB398" s="5">
        <v>0</v>
      </c>
    </row>
    <row r="399" spans="1:255" x14ac:dyDescent="0.2">
      <c r="A399" s="5">
        <v>50</v>
      </c>
      <c r="B399" s="5">
        <v>0</v>
      </c>
      <c r="C399" s="5">
        <v>0</v>
      </c>
      <c r="D399" s="5">
        <v>1</v>
      </c>
      <c r="E399" s="5">
        <v>225</v>
      </c>
      <c r="F399" s="5">
        <f>ROUND(Source!AV394,O399)</f>
        <v>14788.74</v>
      </c>
      <c r="G399" s="5" t="s">
        <v>52</v>
      </c>
      <c r="H399" s="5" t="s">
        <v>53</v>
      </c>
      <c r="I399" s="5"/>
      <c r="J399" s="5"/>
      <c r="K399" s="5">
        <v>225</v>
      </c>
      <c r="L399" s="5">
        <v>4</v>
      </c>
      <c r="M399" s="5">
        <v>3</v>
      </c>
      <c r="N399" s="5" t="s">
        <v>3</v>
      </c>
      <c r="O399" s="5">
        <v>2</v>
      </c>
      <c r="P399" s="5">
        <f>ROUND(Source!EN394,O399)</f>
        <v>145976.32999999999</v>
      </c>
      <c r="Q399" s="5"/>
      <c r="R399" s="5"/>
      <c r="S399" s="5"/>
      <c r="T399" s="5"/>
      <c r="U399" s="5"/>
      <c r="V399" s="5"/>
      <c r="W399" s="5">
        <v>14788.74</v>
      </c>
      <c r="X399" s="5">
        <v>1</v>
      </c>
      <c r="Y399" s="5">
        <v>14788.74</v>
      </c>
      <c r="Z399" s="5">
        <v>145976.32999999999</v>
      </c>
      <c r="AA399" s="5">
        <v>1</v>
      </c>
      <c r="AB399" s="5">
        <v>145976.32999999999</v>
      </c>
    </row>
    <row r="400" spans="1:255" x14ac:dyDescent="0.2">
      <c r="A400" s="5">
        <v>50</v>
      </c>
      <c r="B400" s="5">
        <v>0</v>
      </c>
      <c r="C400" s="5">
        <v>0</v>
      </c>
      <c r="D400" s="5">
        <v>1</v>
      </c>
      <c r="E400" s="5">
        <v>226</v>
      </c>
      <c r="F400" s="5">
        <f>ROUND(Source!AW394,O400)</f>
        <v>14788.74</v>
      </c>
      <c r="G400" s="5" t="s">
        <v>54</v>
      </c>
      <c r="H400" s="5" t="s">
        <v>55</v>
      </c>
      <c r="I400" s="5"/>
      <c r="J400" s="5"/>
      <c r="K400" s="5">
        <v>226</v>
      </c>
      <c r="L400" s="5">
        <v>5</v>
      </c>
      <c r="M400" s="5">
        <v>3</v>
      </c>
      <c r="N400" s="5" t="s">
        <v>3</v>
      </c>
      <c r="O400" s="5">
        <v>2</v>
      </c>
      <c r="P400" s="5">
        <f>ROUND(Source!EO394,O400)</f>
        <v>145976.32999999999</v>
      </c>
      <c r="Q400" s="5"/>
      <c r="R400" s="5"/>
      <c r="S400" s="5"/>
      <c r="T400" s="5"/>
      <c r="U400" s="5"/>
      <c r="V400" s="5"/>
      <c r="W400" s="5">
        <v>14788.74</v>
      </c>
      <c r="X400" s="5">
        <v>1</v>
      </c>
      <c r="Y400" s="5">
        <v>14788.74</v>
      </c>
      <c r="Z400" s="5">
        <v>145976.32999999999</v>
      </c>
      <c r="AA400" s="5">
        <v>1</v>
      </c>
      <c r="AB400" s="5">
        <v>145976.32999999999</v>
      </c>
    </row>
    <row r="401" spans="1:28" x14ac:dyDescent="0.2">
      <c r="A401" s="5">
        <v>50</v>
      </c>
      <c r="B401" s="5">
        <v>0</v>
      </c>
      <c r="C401" s="5">
        <v>0</v>
      </c>
      <c r="D401" s="5">
        <v>1</v>
      </c>
      <c r="E401" s="5">
        <v>227</v>
      </c>
      <c r="F401" s="5">
        <f>ROUND(Source!AX394,O401)</f>
        <v>0</v>
      </c>
      <c r="G401" s="5" t="s">
        <v>56</v>
      </c>
      <c r="H401" s="5" t="s">
        <v>57</v>
      </c>
      <c r="I401" s="5"/>
      <c r="J401" s="5"/>
      <c r="K401" s="5">
        <v>227</v>
      </c>
      <c r="L401" s="5">
        <v>6</v>
      </c>
      <c r="M401" s="5">
        <v>3</v>
      </c>
      <c r="N401" s="5" t="s">
        <v>3</v>
      </c>
      <c r="O401" s="5">
        <v>2</v>
      </c>
      <c r="P401" s="5">
        <f>ROUND(Source!EP394,O401)</f>
        <v>0</v>
      </c>
      <c r="Q401" s="5"/>
      <c r="R401" s="5"/>
      <c r="S401" s="5"/>
      <c r="T401" s="5"/>
      <c r="U401" s="5"/>
      <c r="V401" s="5"/>
      <c r="W401" s="5">
        <v>0</v>
      </c>
      <c r="X401" s="5">
        <v>1</v>
      </c>
      <c r="Y401" s="5">
        <v>0</v>
      </c>
      <c r="Z401" s="5">
        <v>0</v>
      </c>
      <c r="AA401" s="5">
        <v>1</v>
      </c>
      <c r="AB401" s="5">
        <v>0</v>
      </c>
    </row>
    <row r="402" spans="1:28" x14ac:dyDescent="0.2">
      <c r="A402" s="5">
        <v>50</v>
      </c>
      <c r="B402" s="5">
        <v>0</v>
      </c>
      <c r="C402" s="5">
        <v>0</v>
      </c>
      <c r="D402" s="5">
        <v>1</v>
      </c>
      <c r="E402" s="5">
        <v>228</v>
      </c>
      <c r="F402" s="5">
        <f>ROUND(Source!AY394,O402)</f>
        <v>14788.74</v>
      </c>
      <c r="G402" s="5" t="s">
        <v>58</v>
      </c>
      <c r="H402" s="5" t="s">
        <v>59</v>
      </c>
      <c r="I402" s="5"/>
      <c r="J402" s="5"/>
      <c r="K402" s="5">
        <v>228</v>
      </c>
      <c r="L402" s="5">
        <v>7</v>
      </c>
      <c r="M402" s="5">
        <v>3</v>
      </c>
      <c r="N402" s="5" t="s">
        <v>3</v>
      </c>
      <c r="O402" s="5">
        <v>2</v>
      </c>
      <c r="P402" s="5">
        <f>ROUND(Source!EQ394,O402)</f>
        <v>145976.32999999999</v>
      </c>
      <c r="Q402" s="5"/>
      <c r="R402" s="5"/>
      <c r="S402" s="5"/>
      <c r="T402" s="5"/>
      <c r="U402" s="5"/>
      <c r="V402" s="5"/>
      <c r="W402" s="5">
        <v>14788.74</v>
      </c>
      <c r="X402" s="5">
        <v>1</v>
      </c>
      <c r="Y402" s="5">
        <v>14788.74</v>
      </c>
      <c r="Z402" s="5">
        <v>145976.32999999999</v>
      </c>
      <c r="AA402" s="5">
        <v>1</v>
      </c>
      <c r="AB402" s="5">
        <v>145976.32999999999</v>
      </c>
    </row>
    <row r="403" spans="1:28" x14ac:dyDescent="0.2">
      <c r="A403" s="5">
        <v>50</v>
      </c>
      <c r="B403" s="5">
        <v>0</v>
      </c>
      <c r="C403" s="5">
        <v>0</v>
      </c>
      <c r="D403" s="5">
        <v>1</v>
      </c>
      <c r="E403" s="5">
        <v>216</v>
      </c>
      <c r="F403" s="5">
        <f>ROUND(Source!AP394,O403)</f>
        <v>0</v>
      </c>
      <c r="G403" s="5" t="s">
        <v>60</v>
      </c>
      <c r="H403" s="5" t="s">
        <v>61</v>
      </c>
      <c r="I403" s="5"/>
      <c r="J403" s="5"/>
      <c r="K403" s="5">
        <v>216</v>
      </c>
      <c r="L403" s="5">
        <v>8</v>
      </c>
      <c r="M403" s="5">
        <v>3</v>
      </c>
      <c r="N403" s="5" t="s">
        <v>3</v>
      </c>
      <c r="O403" s="5">
        <v>2</v>
      </c>
      <c r="P403" s="5">
        <f>ROUND(Source!EH394,O403)</f>
        <v>0</v>
      </c>
      <c r="Q403" s="5"/>
      <c r="R403" s="5"/>
      <c r="S403" s="5"/>
      <c r="T403" s="5"/>
      <c r="U403" s="5"/>
      <c r="V403" s="5"/>
      <c r="W403" s="5">
        <v>0</v>
      </c>
      <c r="X403" s="5">
        <v>1</v>
      </c>
      <c r="Y403" s="5">
        <v>0</v>
      </c>
      <c r="Z403" s="5">
        <v>0</v>
      </c>
      <c r="AA403" s="5">
        <v>1</v>
      </c>
      <c r="AB403" s="5">
        <v>0</v>
      </c>
    </row>
    <row r="404" spans="1:28" x14ac:dyDescent="0.2">
      <c r="A404" s="5">
        <v>50</v>
      </c>
      <c r="B404" s="5">
        <v>0</v>
      </c>
      <c r="C404" s="5">
        <v>0</v>
      </c>
      <c r="D404" s="5">
        <v>1</v>
      </c>
      <c r="E404" s="5">
        <v>223</v>
      </c>
      <c r="F404" s="5">
        <f>ROUND(Source!AQ394,O404)</f>
        <v>0</v>
      </c>
      <c r="G404" s="5" t="s">
        <v>62</v>
      </c>
      <c r="H404" s="5" t="s">
        <v>63</v>
      </c>
      <c r="I404" s="5"/>
      <c r="J404" s="5"/>
      <c r="K404" s="5">
        <v>223</v>
      </c>
      <c r="L404" s="5">
        <v>9</v>
      </c>
      <c r="M404" s="5">
        <v>3</v>
      </c>
      <c r="N404" s="5" t="s">
        <v>3</v>
      </c>
      <c r="O404" s="5">
        <v>2</v>
      </c>
      <c r="P404" s="5">
        <f>ROUND(Source!EI394,O404)</f>
        <v>0</v>
      </c>
      <c r="Q404" s="5"/>
      <c r="R404" s="5"/>
      <c r="S404" s="5"/>
      <c r="T404" s="5"/>
      <c r="U404" s="5"/>
      <c r="V404" s="5"/>
      <c r="W404" s="5">
        <v>0</v>
      </c>
      <c r="X404" s="5">
        <v>1</v>
      </c>
      <c r="Y404" s="5">
        <v>0</v>
      </c>
      <c r="Z404" s="5">
        <v>0</v>
      </c>
      <c r="AA404" s="5">
        <v>1</v>
      </c>
      <c r="AB404" s="5">
        <v>0</v>
      </c>
    </row>
    <row r="405" spans="1:28" x14ac:dyDescent="0.2">
      <c r="A405" s="5">
        <v>50</v>
      </c>
      <c r="B405" s="5">
        <v>0</v>
      </c>
      <c r="C405" s="5">
        <v>0</v>
      </c>
      <c r="D405" s="5">
        <v>1</v>
      </c>
      <c r="E405" s="5">
        <v>229</v>
      </c>
      <c r="F405" s="5">
        <f>ROUND(Source!AZ394,O405)</f>
        <v>0</v>
      </c>
      <c r="G405" s="5" t="s">
        <v>64</v>
      </c>
      <c r="H405" s="5" t="s">
        <v>65</v>
      </c>
      <c r="I405" s="5"/>
      <c r="J405" s="5"/>
      <c r="K405" s="5">
        <v>229</v>
      </c>
      <c r="L405" s="5">
        <v>10</v>
      </c>
      <c r="M405" s="5">
        <v>3</v>
      </c>
      <c r="N405" s="5" t="s">
        <v>3</v>
      </c>
      <c r="O405" s="5">
        <v>2</v>
      </c>
      <c r="P405" s="5">
        <f>ROUND(Source!ER394,O405)</f>
        <v>0</v>
      </c>
      <c r="Q405" s="5"/>
      <c r="R405" s="5"/>
      <c r="S405" s="5"/>
      <c r="T405" s="5"/>
      <c r="U405" s="5"/>
      <c r="V405" s="5"/>
      <c r="W405" s="5">
        <v>0</v>
      </c>
      <c r="X405" s="5">
        <v>1</v>
      </c>
      <c r="Y405" s="5">
        <v>0</v>
      </c>
      <c r="Z405" s="5">
        <v>0</v>
      </c>
      <c r="AA405" s="5">
        <v>1</v>
      </c>
      <c r="AB405" s="5">
        <v>0</v>
      </c>
    </row>
    <row r="406" spans="1:28" x14ac:dyDescent="0.2">
      <c r="A406" s="5">
        <v>50</v>
      </c>
      <c r="B406" s="5">
        <v>0</v>
      </c>
      <c r="C406" s="5">
        <v>0</v>
      </c>
      <c r="D406" s="5">
        <v>1</v>
      </c>
      <c r="E406" s="5">
        <v>203</v>
      </c>
      <c r="F406" s="5">
        <f>ROUND(Source!Q394,O406)</f>
        <v>6.1</v>
      </c>
      <c r="G406" s="5" t="s">
        <v>66</v>
      </c>
      <c r="H406" s="5" t="s">
        <v>67</v>
      </c>
      <c r="I406" s="5"/>
      <c r="J406" s="5"/>
      <c r="K406" s="5">
        <v>203</v>
      </c>
      <c r="L406" s="5">
        <v>11</v>
      </c>
      <c r="M406" s="5">
        <v>3</v>
      </c>
      <c r="N406" s="5" t="s">
        <v>3</v>
      </c>
      <c r="O406" s="5">
        <v>2</v>
      </c>
      <c r="P406" s="5">
        <f>ROUND(Source!DI394,O406)</f>
        <v>62.59</v>
      </c>
      <c r="Q406" s="5"/>
      <c r="R406" s="5"/>
      <c r="S406" s="5"/>
      <c r="T406" s="5"/>
      <c r="U406" s="5"/>
      <c r="V406" s="5"/>
      <c r="W406" s="5">
        <v>6.1</v>
      </c>
      <c r="X406" s="5">
        <v>1</v>
      </c>
      <c r="Y406" s="5">
        <v>6.1</v>
      </c>
      <c r="Z406" s="5">
        <v>62.59</v>
      </c>
      <c r="AA406" s="5">
        <v>1</v>
      </c>
      <c r="AB406" s="5">
        <v>62.59</v>
      </c>
    </row>
    <row r="407" spans="1:28" x14ac:dyDescent="0.2">
      <c r="A407" s="5">
        <v>50</v>
      </c>
      <c r="B407" s="5">
        <v>0</v>
      </c>
      <c r="C407" s="5">
        <v>0</v>
      </c>
      <c r="D407" s="5">
        <v>1</v>
      </c>
      <c r="E407" s="5">
        <v>231</v>
      </c>
      <c r="F407" s="5">
        <f>ROUND(Source!BB394,O407)</f>
        <v>0</v>
      </c>
      <c r="G407" s="5" t="s">
        <v>68</v>
      </c>
      <c r="H407" s="5" t="s">
        <v>69</v>
      </c>
      <c r="I407" s="5"/>
      <c r="J407" s="5"/>
      <c r="K407" s="5">
        <v>231</v>
      </c>
      <c r="L407" s="5">
        <v>12</v>
      </c>
      <c r="M407" s="5">
        <v>3</v>
      </c>
      <c r="N407" s="5" t="s">
        <v>3</v>
      </c>
      <c r="O407" s="5">
        <v>2</v>
      </c>
      <c r="P407" s="5">
        <f>ROUND(Source!ET394,O407)</f>
        <v>0</v>
      </c>
      <c r="Q407" s="5"/>
      <c r="R407" s="5"/>
      <c r="S407" s="5"/>
      <c r="T407" s="5"/>
      <c r="U407" s="5"/>
      <c r="V407" s="5"/>
      <c r="W407" s="5">
        <v>0</v>
      </c>
      <c r="X407" s="5">
        <v>1</v>
      </c>
      <c r="Y407" s="5">
        <v>0</v>
      </c>
      <c r="Z407" s="5">
        <v>0</v>
      </c>
      <c r="AA407" s="5">
        <v>1</v>
      </c>
      <c r="AB407" s="5">
        <v>0</v>
      </c>
    </row>
    <row r="408" spans="1:28" x14ac:dyDescent="0.2">
      <c r="A408" s="5">
        <v>50</v>
      </c>
      <c r="B408" s="5">
        <v>0</v>
      </c>
      <c r="C408" s="5">
        <v>0</v>
      </c>
      <c r="D408" s="5">
        <v>1</v>
      </c>
      <c r="E408" s="5">
        <v>204</v>
      </c>
      <c r="F408" s="5">
        <f>ROUND(Source!R394,O408)</f>
        <v>0.19</v>
      </c>
      <c r="G408" s="5" t="s">
        <v>70</v>
      </c>
      <c r="H408" s="5" t="s">
        <v>71</v>
      </c>
      <c r="I408" s="5"/>
      <c r="J408" s="5"/>
      <c r="K408" s="5">
        <v>204</v>
      </c>
      <c r="L408" s="5">
        <v>13</v>
      </c>
      <c r="M408" s="5">
        <v>3</v>
      </c>
      <c r="N408" s="5" t="s">
        <v>3</v>
      </c>
      <c r="O408" s="5">
        <v>2</v>
      </c>
      <c r="P408" s="5">
        <f>ROUND(Source!DJ394,O408)</f>
        <v>10.45</v>
      </c>
      <c r="Q408" s="5"/>
      <c r="R408" s="5"/>
      <c r="S408" s="5"/>
      <c r="T408" s="5"/>
      <c r="U408" s="5"/>
      <c r="V408" s="5"/>
      <c r="W408" s="5">
        <v>0.19</v>
      </c>
      <c r="X408" s="5">
        <v>1</v>
      </c>
      <c r="Y408" s="5">
        <v>0.19</v>
      </c>
      <c r="Z408" s="5">
        <v>10.45</v>
      </c>
      <c r="AA408" s="5">
        <v>1</v>
      </c>
      <c r="AB408" s="5">
        <v>10.45</v>
      </c>
    </row>
    <row r="409" spans="1:28" x14ac:dyDescent="0.2">
      <c r="A409" s="5">
        <v>50</v>
      </c>
      <c r="B409" s="5">
        <v>0</v>
      </c>
      <c r="C409" s="5">
        <v>0</v>
      </c>
      <c r="D409" s="5">
        <v>1</v>
      </c>
      <c r="E409" s="5">
        <v>205</v>
      </c>
      <c r="F409" s="5">
        <f>ROUND(Source!S394,O409)</f>
        <v>178.69</v>
      </c>
      <c r="G409" s="5" t="s">
        <v>72</v>
      </c>
      <c r="H409" s="5" t="s">
        <v>73</v>
      </c>
      <c r="I409" s="5"/>
      <c r="J409" s="5"/>
      <c r="K409" s="5">
        <v>205</v>
      </c>
      <c r="L409" s="5">
        <v>14</v>
      </c>
      <c r="M409" s="5">
        <v>3</v>
      </c>
      <c r="N409" s="5" t="s">
        <v>3</v>
      </c>
      <c r="O409" s="5">
        <v>2</v>
      </c>
      <c r="P409" s="5">
        <f>ROUND(Source!DK394,O409)</f>
        <v>9826.16</v>
      </c>
      <c r="Q409" s="5"/>
      <c r="R409" s="5"/>
      <c r="S409" s="5"/>
      <c r="T409" s="5"/>
      <c r="U409" s="5"/>
      <c r="V409" s="5"/>
      <c r="W409" s="5">
        <v>178.69</v>
      </c>
      <c r="X409" s="5">
        <v>1</v>
      </c>
      <c r="Y409" s="5">
        <v>178.69</v>
      </c>
      <c r="Z409" s="5">
        <v>9826.16</v>
      </c>
      <c r="AA409" s="5">
        <v>1</v>
      </c>
      <c r="AB409" s="5">
        <v>9826.16</v>
      </c>
    </row>
    <row r="410" spans="1:28" x14ac:dyDescent="0.2">
      <c r="A410" s="5">
        <v>50</v>
      </c>
      <c r="B410" s="5">
        <v>0</v>
      </c>
      <c r="C410" s="5">
        <v>0</v>
      </c>
      <c r="D410" s="5">
        <v>1</v>
      </c>
      <c r="E410" s="5">
        <v>232</v>
      </c>
      <c r="F410" s="5">
        <f>ROUND(Source!BC394,O410)</f>
        <v>0</v>
      </c>
      <c r="G410" s="5" t="s">
        <v>74</v>
      </c>
      <c r="H410" s="5" t="s">
        <v>75</v>
      </c>
      <c r="I410" s="5"/>
      <c r="J410" s="5"/>
      <c r="K410" s="5">
        <v>232</v>
      </c>
      <c r="L410" s="5">
        <v>15</v>
      </c>
      <c r="M410" s="5">
        <v>3</v>
      </c>
      <c r="N410" s="5" t="s">
        <v>3</v>
      </c>
      <c r="O410" s="5">
        <v>2</v>
      </c>
      <c r="P410" s="5">
        <f>ROUND(Source!EU394,O410)</f>
        <v>0</v>
      </c>
      <c r="Q410" s="5"/>
      <c r="R410" s="5"/>
      <c r="S410" s="5"/>
      <c r="T410" s="5"/>
      <c r="U410" s="5"/>
      <c r="V410" s="5"/>
      <c r="W410" s="5">
        <v>0</v>
      </c>
      <c r="X410" s="5">
        <v>1</v>
      </c>
      <c r="Y410" s="5">
        <v>0</v>
      </c>
      <c r="Z410" s="5">
        <v>0</v>
      </c>
      <c r="AA410" s="5">
        <v>1</v>
      </c>
      <c r="AB410" s="5">
        <v>0</v>
      </c>
    </row>
    <row r="411" spans="1:28" x14ac:dyDescent="0.2">
      <c r="A411" s="5">
        <v>50</v>
      </c>
      <c r="B411" s="5">
        <v>0</v>
      </c>
      <c r="C411" s="5">
        <v>0</v>
      </c>
      <c r="D411" s="5">
        <v>1</v>
      </c>
      <c r="E411" s="5">
        <v>214</v>
      </c>
      <c r="F411" s="5">
        <f>ROUND(Source!AS394,O411)</f>
        <v>15252.58</v>
      </c>
      <c r="G411" s="5" t="s">
        <v>76</v>
      </c>
      <c r="H411" s="5" t="s">
        <v>77</v>
      </c>
      <c r="I411" s="5"/>
      <c r="J411" s="5"/>
      <c r="K411" s="5">
        <v>214</v>
      </c>
      <c r="L411" s="5">
        <v>16</v>
      </c>
      <c r="M411" s="5">
        <v>3</v>
      </c>
      <c r="N411" s="5" t="s">
        <v>3</v>
      </c>
      <c r="O411" s="5">
        <v>2</v>
      </c>
      <c r="P411" s="5">
        <f>ROUND(Source!EK394,O411)</f>
        <v>171210.2</v>
      </c>
      <c r="Q411" s="5"/>
      <c r="R411" s="5"/>
      <c r="S411" s="5"/>
      <c r="T411" s="5"/>
      <c r="U411" s="5"/>
      <c r="V411" s="5"/>
      <c r="W411" s="5">
        <v>15252.58</v>
      </c>
      <c r="X411" s="5">
        <v>1</v>
      </c>
      <c r="Y411" s="5">
        <v>15252.58</v>
      </c>
      <c r="Z411" s="5">
        <v>171210.2</v>
      </c>
      <c r="AA411" s="5">
        <v>1</v>
      </c>
      <c r="AB411" s="5">
        <v>171210.2</v>
      </c>
    </row>
    <row r="412" spans="1:28" x14ac:dyDescent="0.2">
      <c r="A412" s="5">
        <v>50</v>
      </c>
      <c r="B412" s="5">
        <v>0</v>
      </c>
      <c r="C412" s="5">
        <v>0</v>
      </c>
      <c r="D412" s="5">
        <v>1</v>
      </c>
      <c r="E412" s="5">
        <v>215</v>
      </c>
      <c r="F412" s="5">
        <f>ROUND(Source!AT394,O412)</f>
        <v>0</v>
      </c>
      <c r="G412" s="5" t="s">
        <v>78</v>
      </c>
      <c r="H412" s="5" t="s">
        <v>79</v>
      </c>
      <c r="I412" s="5"/>
      <c r="J412" s="5"/>
      <c r="K412" s="5">
        <v>215</v>
      </c>
      <c r="L412" s="5">
        <v>17</v>
      </c>
      <c r="M412" s="5">
        <v>3</v>
      </c>
      <c r="N412" s="5" t="s">
        <v>3</v>
      </c>
      <c r="O412" s="5">
        <v>2</v>
      </c>
      <c r="P412" s="5">
        <f>ROUND(Source!EL394,O412)</f>
        <v>0</v>
      </c>
      <c r="Q412" s="5"/>
      <c r="R412" s="5"/>
      <c r="S412" s="5"/>
      <c r="T412" s="5"/>
      <c r="U412" s="5"/>
      <c r="V412" s="5"/>
      <c r="W412" s="5">
        <v>0</v>
      </c>
      <c r="X412" s="5">
        <v>1</v>
      </c>
      <c r="Y412" s="5">
        <v>0</v>
      </c>
      <c r="Z412" s="5">
        <v>0</v>
      </c>
      <c r="AA412" s="5">
        <v>1</v>
      </c>
      <c r="AB412" s="5">
        <v>0</v>
      </c>
    </row>
    <row r="413" spans="1:28" x14ac:dyDescent="0.2">
      <c r="A413" s="5">
        <v>50</v>
      </c>
      <c r="B413" s="5">
        <v>0</v>
      </c>
      <c r="C413" s="5">
        <v>0</v>
      </c>
      <c r="D413" s="5">
        <v>1</v>
      </c>
      <c r="E413" s="5">
        <v>217</v>
      </c>
      <c r="F413" s="5">
        <f>ROUND(Source!AU394,O413)</f>
        <v>0</v>
      </c>
      <c r="G413" s="5" t="s">
        <v>80</v>
      </c>
      <c r="H413" s="5" t="s">
        <v>81</v>
      </c>
      <c r="I413" s="5"/>
      <c r="J413" s="5"/>
      <c r="K413" s="5">
        <v>217</v>
      </c>
      <c r="L413" s="5">
        <v>18</v>
      </c>
      <c r="M413" s="5">
        <v>3</v>
      </c>
      <c r="N413" s="5" t="s">
        <v>3</v>
      </c>
      <c r="O413" s="5">
        <v>2</v>
      </c>
      <c r="P413" s="5">
        <f>ROUND(Source!EM394,O413)</f>
        <v>0</v>
      </c>
      <c r="Q413" s="5"/>
      <c r="R413" s="5"/>
      <c r="S413" s="5"/>
      <c r="T413" s="5"/>
      <c r="U413" s="5"/>
      <c r="V413" s="5"/>
      <c r="W413" s="5">
        <v>0</v>
      </c>
      <c r="X413" s="5">
        <v>1</v>
      </c>
      <c r="Y413" s="5">
        <v>0</v>
      </c>
      <c r="Z413" s="5">
        <v>0</v>
      </c>
      <c r="AA413" s="5">
        <v>1</v>
      </c>
      <c r="AB413" s="5">
        <v>0</v>
      </c>
    </row>
    <row r="414" spans="1:28" x14ac:dyDescent="0.2">
      <c r="A414" s="5">
        <v>50</v>
      </c>
      <c r="B414" s="5">
        <v>0</v>
      </c>
      <c r="C414" s="5">
        <v>0</v>
      </c>
      <c r="D414" s="5">
        <v>1</v>
      </c>
      <c r="E414" s="5">
        <v>230</v>
      </c>
      <c r="F414" s="5">
        <f>ROUND(Source!BA394,O414)</f>
        <v>0</v>
      </c>
      <c r="G414" s="5" t="s">
        <v>82</v>
      </c>
      <c r="H414" s="5" t="s">
        <v>83</v>
      </c>
      <c r="I414" s="5"/>
      <c r="J414" s="5"/>
      <c r="K414" s="5">
        <v>230</v>
      </c>
      <c r="L414" s="5">
        <v>19</v>
      </c>
      <c r="M414" s="5">
        <v>3</v>
      </c>
      <c r="N414" s="5" t="s">
        <v>3</v>
      </c>
      <c r="O414" s="5">
        <v>2</v>
      </c>
      <c r="P414" s="5">
        <f>ROUND(Source!ES394,O414)</f>
        <v>0</v>
      </c>
      <c r="Q414" s="5"/>
      <c r="R414" s="5"/>
      <c r="S414" s="5"/>
      <c r="T414" s="5"/>
      <c r="U414" s="5"/>
      <c r="V414" s="5"/>
      <c r="W414" s="5">
        <v>0</v>
      </c>
      <c r="X414" s="5">
        <v>1</v>
      </c>
      <c r="Y414" s="5">
        <v>0</v>
      </c>
      <c r="Z414" s="5">
        <v>0</v>
      </c>
      <c r="AA414" s="5">
        <v>1</v>
      </c>
      <c r="AB414" s="5">
        <v>0</v>
      </c>
    </row>
    <row r="415" spans="1:28" x14ac:dyDescent="0.2">
      <c r="A415" s="5">
        <v>50</v>
      </c>
      <c r="B415" s="5">
        <v>0</v>
      </c>
      <c r="C415" s="5">
        <v>0</v>
      </c>
      <c r="D415" s="5">
        <v>1</v>
      </c>
      <c r="E415" s="5">
        <v>206</v>
      </c>
      <c r="F415" s="5">
        <f>ROUND(Source!T394,O415)</f>
        <v>0</v>
      </c>
      <c r="G415" s="5" t="s">
        <v>84</v>
      </c>
      <c r="H415" s="5" t="s">
        <v>85</v>
      </c>
      <c r="I415" s="5"/>
      <c r="J415" s="5"/>
      <c r="K415" s="5">
        <v>206</v>
      </c>
      <c r="L415" s="5">
        <v>20</v>
      </c>
      <c r="M415" s="5">
        <v>3</v>
      </c>
      <c r="N415" s="5" t="s">
        <v>3</v>
      </c>
      <c r="O415" s="5">
        <v>2</v>
      </c>
      <c r="P415" s="5">
        <f>ROUND(Source!DL394,O415)</f>
        <v>0</v>
      </c>
      <c r="Q415" s="5"/>
      <c r="R415" s="5"/>
      <c r="S415" s="5"/>
      <c r="T415" s="5"/>
      <c r="U415" s="5"/>
      <c r="V415" s="5"/>
      <c r="W415" s="5">
        <v>0</v>
      </c>
      <c r="X415" s="5">
        <v>1</v>
      </c>
      <c r="Y415" s="5">
        <v>0</v>
      </c>
      <c r="Z415" s="5">
        <v>0</v>
      </c>
      <c r="AA415" s="5">
        <v>1</v>
      </c>
      <c r="AB415" s="5">
        <v>0</v>
      </c>
    </row>
    <row r="416" spans="1:28" x14ac:dyDescent="0.2">
      <c r="A416" s="5">
        <v>50</v>
      </c>
      <c r="B416" s="5">
        <v>0</v>
      </c>
      <c r="C416" s="5">
        <v>0</v>
      </c>
      <c r="D416" s="5">
        <v>1</v>
      </c>
      <c r="E416" s="5">
        <v>207</v>
      </c>
      <c r="F416" s="5">
        <f>Source!U394</f>
        <v>11.716997772479999</v>
      </c>
      <c r="G416" s="5" t="s">
        <v>86</v>
      </c>
      <c r="H416" s="5" t="s">
        <v>87</v>
      </c>
      <c r="I416" s="5"/>
      <c r="J416" s="5"/>
      <c r="K416" s="5">
        <v>207</v>
      </c>
      <c r="L416" s="5">
        <v>21</v>
      </c>
      <c r="M416" s="5">
        <v>3</v>
      </c>
      <c r="N416" s="5" t="s">
        <v>3</v>
      </c>
      <c r="O416" s="5">
        <v>-1</v>
      </c>
      <c r="P416" s="5">
        <f>Source!DM394</f>
        <v>11.716997772479999</v>
      </c>
      <c r="Q416" s="5"/>
      <c r="R416" s="5"/>
      <c r="S416" s="5"/>
      <c r="T416" s="5"/>
      <c r="U416" s="5"/>
      <c r="V416" s="5"/>
      <c r="W416" s="5">
        <v>11.716997772479999</v>
      </c>
      <c r="X416" s="5">
        <v>1</v>
      </c>
      <c r="Y416" s="5">
        <v>11.716997772479999</v>
      </c>
      <c r="Z416" s="5">
        <v>11.716997772479999</v>
      </c>
      <c r="AA416" s="5">
        <v>1</v>
      </c>
      <c r="AB416" s="5">
        <v>11.716997772479999</v>
      </c>
    </row>
    <row r="417" spans="1:255" x14ac:dyDescent="0.2">
      <c r="A417" s="5">
        <v>50</v>
      </c>
      <c r="B417" s="5">
        <v>0</v>
      </c>
      <c r="C417" s="5">
        <v>0</v>
      </c>
      <c r="D417" s="5">
        <v>1</v>
      </c>
      <c r="E417" s="5">
        <v>208</v>
      </c>
      <c r="F417" s="5">
        <f>Source!V394</f>
        <v>0</v>
      </c>
      <c r="G417" s="5" t="s">
        <v>88</v>
      </c>
      <c r="H417" s="5" t="s">
        <v>89</v>
      </c>
      <c r="I417" s="5"/>
      <c r="J417" s="5"/>
      <c r="K417" s="5">
        <v>208</v>
      </c>
      <c r="L417" s="5">
        <v>22</v>
      </c>
      <c r="M417" s="5">
        <v>3</v>
      </c>
      <c r="N417" s="5" t="s">
        <v>3</v>
      </c>
      <c r="O417" s="5">
        <v>-1</v>
      </c>
      <c r="P417" s="5">
        <f>Source!DN394</f>
        <v>0</v>
      </c>
      <c r="Q417" s="5"/>
      <c r="R417" s="5"/>
      <c r="S417" s="5"/>
      <c r="T417" s="5"/>
      <c r="U417" s="5"/>
      <c r="V417" s="5"/>
      <c r="W417" s="5">
        <v>0</v>
      </c>
      <c r="X417" s="5">
        <v>1</v>
      </c>
      <c r="Y417" s="5">
        <v>0</v>
      </c>
      <c r="Z417" s="5">
        <v>0</v>
      </c>
      <c r="AA417" s="5">
        <v>1</v>
      </c>
      <c r="AB417" s="5">
        <v>0</v>
      </c>
    </row>
    <row r="418" spans="1:255" x14ac:dyDescent="0.2">
      <c r="A418" s="5">
        <v>50</v>
      </c>
      <c r="B418" s="5">
        <v>0</v>
      </c>
      <c r="C418" s="5">
        <v>0</v>
      </c>
      <c r="D418" s="5">
        <v>1</v>
      </c>
      <c r="E418" s="5">
        <v>209</v>
      </c>
      <c r="F418" s="5">
        <f>ROUND(Source!W394,O418)</f>
        <v>0</v>
      </c>
      <c r="G418" s="5" t="s">
        <v>90</v>
      </c>
      <c r="H418" s="5" t="s">
        <v>91</v>
      </c>
      <c r="I418" s="5"/>
      <c r="J418" s="5"/>
      <c r="K418" s="5">
        <v>209</v>
      </c>
      <c r="L418" s="5">
        <v>23</v>
      </c>
      <c r="M418" s="5">
        <v>3</v>
      </c>
      <c r="N418" s="5" t="s">
        <v>3</v>
      </c>
      <c r="O418" s="5">
        <v>2</v>
      </c>
      <c r="P418" s="5">
        <f>ROUND(Source!DO394,O418)</f>
        <v>0</v>
      </c>
      <c r="Q418" s="5"/>
      <c r="R418" s="5"/>
      <c r="S418" s="5"/>
      <c r="T418" s="5"/>
      <c r="U418" s="5"/>
      <c r="V418" s="5"/>
      <c r="W418" s="5">
        <v>0</v>
      </c>
      <c r="X418" s="5">
        <v>1</v>
      </c>
      <c r="Y418" s="5">
        <v>0</v>
      </c>
      <c r="Z418" s="5">
        <v>0</v>
      </c>
      <c r="AA418" s="5">
        <v>1</v>
      </c>
      <c r="AB418" s="5">
        <v>0</v>
      </c>
    </row>
    <row r="419" spans="1:255" x14ac:dyDescent="0.2">
      <c r="A419" s="5">
        <v>50</v>
      </c>
      <c r="B419" s="5">
        <v>0</v>
      </c>
      <c r="C419" s="5">
        <v>0</v>
      </c>
      <c r="D419" s="5">
        <v>1</v>
      </c>
      <c r="E419" s="5">
        <v>233</v>
      </c>
      <c r="F419" s="5">
        <f>ROUND(Source!BD394,O419)</f>
        <v>0</v>
      </c>
      <c r="G419" s="5" t="s">
        <v>92</v>
      </c>
      <c r="H419" s="5" t="s">
        <v>93</v>
      </c>
      <c r="I419" s="5"/>
      <c r="J419" s="5"/>
      <c r="K419" s="5">
        <v>233</v>
      </c>
      <c r="L419" s="5">
        <v>24</v>
      </c>
      <c r="M419" s="5">
        <v>3</v>
      </c>
      <c r="N419" s="5" t="s">
        <v>3</v>
      </c>
      <c r="O419" s="5">
        <v>2</v>
      </c>
      <c r="P419" s="5">
        <f>ROUND(Source!EV394,O419)</f>
        <v>0</v>
      </c>
      <c r="Q419" s="5"/>
      <c r="R419" s="5"/>
      <c r="S419" s="5"/>
      <c r="T419" s="5"/>
      <c r="U419" s="5"/>
      <c r="V419" s="5"/>
      <c r="W419" s="5">
        <v>0</v>
      </c>
      <c r="X419" s="5">
        <v>1</v>
      </c>
      <c r="Y419" s="5">
        <v>0</v>
      </c>
      <c r="Z419" s="5">
        <v>0</v>
      </c>
      <c r="AA419" s="5">
        <v>1</v>
      </c>
      <c r="AB419" s="5">
        <v>0</v>
      </c>
    </row>
    <row r="420" spans="1:255" x14ac:dyDescent="0.2">
      <c r="A420" s="5">
        <v>50</v>
      </c>
      <c r="B420" s="5">
        <v>0</v>
      </c>
      <c r="C420" s="5">
        <v>0</v>
      </c>
      <c r="D420" s="5">
        <v>1</v>
      </c>
      <c r="E420" s="5">
        <v>210</v>
      </c>
      <c r="F420" s="5">
        <f>ROUND(Source!X394,O420)</f>
        <v>180.67</v>
      </c>
      <c r="G420" s="5" t="s">
        <v>94</v>
      </c>
      <c r="H420" s="5" t="s">
        <v>95</v>
      </c>
      <c r="I420" s="5"/>
      <c r="J420" s="5"/>
      <c r="K420" s="5">
        <v>210</v>
      </c>
      <c r="L420" s="5">
        <v>25</v>
      </c>
      <c r="M420" s="5">
        <v>3</v>
      </c>
      <c r="N420" s="5" t="s">
        <v>3</v>
      </c>
      <c r="O420" s="5">
        <v>2</v>
      </c>
      <c r="P420" s="5">
        <f>ROUND(Source!DP394,O420)</f>
        <v>9934.98</v>
      </c>
      <c r="Q420" s="5"/>
      <c r="R420" s="5"/>
      <c r="S420" s="5"/>
      <c r="T420" s="5"/>
      <c r="U420" s="5"/>
      <c r="V420" s="5"/>
      <c r="W420" s="5">
        <v>180.67</v>
      </c>
      <c r="X420" s="5">
        <v>1</v>
      </c>
      <c r="Y420" s="5">
        <v>180.67</v>
      </c>
      <c r="Z420" s="5">
        <v>9934.98</v>
      </c>
      <c r="AA420" s="5">
        <v>1</v>
      </c>
      <c r="AB420" s="5">
        <v>9934.98</v>
      </c>
    </row>
    <row r="421" spans="1:255" x14ac:dyDescent="0.2">
      <c r="A421" s="5">
        <v>50</v>
      </c>
      <c r="B421" s="5">
        <v>0</v>
      </c>
      <c r="C421" s="5">
        <v>0</v>
      </c>
      <c r="D421" s="5">
        <v>1</v>
      </c>
      <c r="E421" s="5">
        <v>211</v>
      </c>
      <c r="F421" s="5">
        <f>ROUND(Source!Y394,O421)</f>
        <v>98.38</v>
      </c>
      <c r="G421" s="5" t="s">
        <v>96</v>
      </c>
      <c r="H421" s="5" t="s">
        <v>97</v>
      </c>
      <c r="I421" s="5"/>
      <c r="J421" s="5"/>
      <c r="K421" s="5">
        <v>211</v>
      </c>
      <c r="L421" s="5">
        <v>26</v>
      </c>
      <c r="M421" s="5">
        <v>3</v>
      </c>
      <c r="N421" s="5" t="s">
        <v>3</v>
      </c>
      <c r="O421" s="5">
        <v>2</v>
      </c>
      <c r="P421" s="5">
        <f>ROUND(Source!DQ394,O421)</f>
        <v>5410.14</v>
      </c>
      <c r="Q421" s="5"/>
      <c r="R421" s="5"/>
      <c r="S421" s="5"/>
      <c r="T421" s="5"/>
      <c r="U421" s="5"/>
      <c r="V421" s="5"/>
      <c r="W421" s="5">
        <v>98.38</v>
      </c>
      <c r="X421" s="5">
        <v>1</v>
      </c>
      <c r="Y421" s="5">
        <v>98.38</v>
      </c>
      <c r="Z421" s="5">
        <v>5410.14</v>
      </c>
      <c r="AA421" s="5">
        <v>1</v>
      </c>
      <c r="AB421" s="5">
        <v>5410.14</v>
      </c>
    </row>
    <row r="422" spans="1:255" x14ac:dyDescent="0.2">
      <c r="A422" s="5">
        <v>50</v>
      </c>
      <c r="B422" s="5">
        <v>0</v>
      </c>
      <c r="C422" s="5">
        <v>0</v>
      </c>
      <c r="D422" s="5">
        <v>1</v>
      </c>
      <c r="E422" s="5">
        <v>224</v>
      </c>
      <c r="F422" s="5">
        <f>ROUND(Source!AR394,O422)</f>
        <v>15252.58</v>
      </c>
      <c r="G422" s="5" t="s">
        <v>98</v>
      </c>
      <c r="H422" s="5" t="s">
        <v>99</v>
      </c>
      <c r="I422" s="5"/>
      <c r="J422" s="5"/>
      <c r="K422" s="5">
        <v>224</v>
      </c>
      <c r="L422" s="5">
        <v>27</v>
      </c>
      <c r="M422" s="5">
        <v>3</v>
      </c>
      <c r="N422" s="5" t="s">
        <v>3</v>
      </c>
      <c r="O422" s="5">
        <v>2</v>
      </c>
      <c r="P422" s="5">
        <f>ROUND(Source!EJ394,O422)</f>
        <v>171210.2</v>
      </c>
      <c r="Q422" s="5"/>
      <c r="R422" s="5"/>
      <c r="S422" s="5"/>
      <c r="T422" s="5"/>
      <c r="U422" s="5"/>
      <c r="V422" s="5"/>
      <c r="W422" s="5">
        <v>15252.58</v>
      </c>
      <c r="X422" s="5">
        <v>1</v>
      </c>
      <c r="Y422" s="5">
        <v>15252.58</v>
      </c>
      <c r="Z422" s="5">
        <v>171210.2</v>
      </c>
      <c r="AA422" s="5">
        <v>1</v>
      </c>
      <c r="AB422" s="5">
        <v>171210.2</v>
      </c>
    </row>
    <row r="424" spans="1:255" x14ac:dyDescent="0.2">
      <c r="A424" s="1">
        <v>4</v>
      </c>
      <c r="B424" s="1">
        <v>1</v>
      </c>
      <c r="C424" s="1"/>
      <c r="D424" s="1">
        <f>ROW(A433)</f>
        <v>433</v>
      </c>
      <c r="E424" s="1"/>
      <c r="F424" s="1" t="s">
        <v>3</v>
      </c>
      <c r="G424" s="1" t="s">
        <v>274</v>
      </c>
      <c r="H424" s="1" t="s">
        <v>3</v>
      </c>
      <c r="I424" s="1">
        <v>0</v>
      </c>
      <c r="J424" s="1"/>
      <c r="K424" s="1">
        <v>-1</v>
      </c>
      <c r="L424" s="1"/>
      <c r="M424" s="1" t="s">
        <v>3</v>
      </c>
      <c r="N424" s="1"/>
      <c r="O424" s="1"/>
      <c r="P424" s="1"/>
      <c r="Q424" s="1"/>
      <c r="R424" s="1"/>
      <c r="S424" s="1">
        <v>0</v>
      </c>
      <c r="T424" s="1">
        <v>0</v>
      </c>
      <c r="U424" s="1" t="s">
        <v>3</v>
      </c>
      <c r="V424" s="1">
        <v>2</v>
      </c>
      <c r="W424" s="1"/>
      <c r="X424" s="1"/>
      <c r="Y424" s="1"/>
      <c r="Z424" s="1"/>
      <c r="AA424" s="1"/>
      <c r="AB424" s="1" t="s">
        <v>3</v>
      </c>
      <c r="AC424" s="1" t="s">
        <v>3</v>
      </c>
      <c r="AD424" s="1" t="s">
        <v>3</v>
      </c>
      <c r="AE424" s="1" t="s">
        <v>3</v>
      </c>
      <c r="AF424" s="1" t="s">
        <v>3</v>
      </c>
      <c r="AG424" s="1" t="s">
        <v>3</v>
      </c>
      <c r="AH424" s="1"/>
      <c r="AI424" s="1"/>
      <c r="AJ424" s="1"/>
      <c r="AK424" s="1"/>
      <c r="AL424" s="1"/>
      <c r="AM424" s="1"/>
      <c r="AN424" s="1"/>
      <c r="AO424" s="1"/>
      <c r="AP424" s="1" t="s">
        <v>3</v>
      </c>
      <c r="AQ424" s="1" t="s">
        <v>3</v>
      </c>
      <c r="AR424" s="1" t="s">
        <v>3</v>
      </c>
      <c r="AS424" s="1"/>
      <c r="AT424" s="1"/>
      <c r="AU424" s="1"/>
      <c r="AV424" s="1"/>
      <c r="AW424" s="1"/>
      <c r="AX424" s="1"/>
      <c r="AY424" s="1"/>
      <c r="AZ424" s="1" t="s">
        <v>3</v>
      </c>
      <c r="BA424" s="1"/>
      <c r="BB424" s="1" t="s">
        <v>3</v>
      </c>
      <c r="BC424" s="1" t="s">
        <v>3</v>
      </c>
      <c r="BD424" s="1" t="s">
        <v>3</v>
      </c>
      <c r="BE424" s="1" t="s">
        <v>3</v>
      </c>
      <c r="BF424" s="1" t="s">
        <v>3</v>
      </c>
      <c r="BG424" s="1" t="s">
        <v>3</v>
      </c>
      <c r="BH424" s="1" t="s">
        <v>3</v>
      </c>
      <c r="BI424" s="1" t="s">
        <v>3</v>
      </c>
      <c r="BJ424" s="1" t="s">
        <v>3</v>
      </c>
      <c r="BK424" s="1" t="s">
        <v>3</v>
      </c>
      <c r="BL424" s="1" t="s">
        <v>3</v>
      </c>
      <c r="BM424" s="1" t="s">
        <v>3</v>
      </c>
      <c r="BN424" s="1" t="s">
        <v>3</v>
      </c>
      <c r="BO424" s="1" t="s">
        <v>3</v>
      </c>
      <c r="BP424" s="1" t="s">
        <v>3</v>
      </c>
      <c r="BQ424" s="1"/>
      <c r="BR424" s="1"/>
      <c r="BS424" s="1"/>
      <c r="BT424" s="1"/>
      <c r="BU424" s="1"/>
      <c r="BV424" s="1"/>
      <c r="BW424" s="1"/>
      <c r="BX424" s="1">
        <v>0</v>
      </c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>
        <v>0</v>
      </c>
    </row>
    <row r="426" spans="1:255" x14ac:dyDescent="0.2">
      <c r="A426" s="3">
        <v>52</v>
      </c>
      <c r="B426" s="3">
        <f t="shared" ref="B426:G426" si="289">B433</f>
        <v>1</v>
      </c>
      <c r="C426" s="3">
        <f t="shared" si="289"/>
        <v>4</v>
      </c>
      <c r="D426" s="3">
        <f t="shared" si="289"/>
        <v>424</v>
      </c>
      <c r="E426" s="3">
        <f t="shared" si="289"/>
        <v>0</v>
      </c>
      <c r="F426" s="3" t="str">
        <f t="shared" si="289"/>
        <v/>
      </c>
      <c r="G426" s="3" t="str">
        <f t="shared" si="289"/>
        <v>Алюминиевая тактильная направляющая полоска</v>
      </c>
      <c r="H426" s="3"/>
      <c r="I426" s="3"/>
      <c r="J426" s="3"/>
      <c r="K426" s="3"/>
      <c r="L426" s="3"/>
      <c r="M426" s="3"/>
      <c r="N426" s="3"/>
      <c r="O426" s="3">
        <f t="shared" ref="O426:AT426" si="290">O433</f>
        <v>5840.5</v>
      </c>
      <c r="P426" s="3">
        <f t="shared" si="290"/>
        <v>5791.84</v>
      </c>
      <c r="Q426" s="3">
        <f t="shared" si="290"/>
        <v>1.61</v>
      </c>
      <c r="R426" s="3">
        <f t="shared" si="290"/>
        <v>0.05</v>
      </c>
      <c r="S426" s="3">
        <f t="shared" si="290"/>
        <v>47.05</v>
      </c>
      <c r="T426" s="3">
        <f t="shared" si="290"/>
        <v>0</v>
      </c>
      <c r="U426" s="3">
        <f t="shared" si="290"/>
        <v>3.0854503680000005</v>
      </c>
      <c r="V426" s="3">
        <f t="shared" si="290"/>
        <v>0</v>
      </c>
      <c r="W426" s="3">
        <f t="shared" si="290"/>
        <v>0</v>
      </c>
      <c r="X426" s="3">
        <f t="shared" si="290"/>
        <v>47.57</v>
      </c>
      <c r="Y426" s="3">
        <f t="shared" si="290"/>
        <v>25.91</v>
      </c>
      <c r="Z426" s="3">
        <f t="shared" si="290"/>
        <v>0</v>
      </c>
      <c r="AA426" s="3">
        <f t="shared" si="290"/>
        <v>0</v>
      </c>
      <c r="AB426" s="3">
        <f t="shared" si="290"/>
        <v>5840.5</v>
      </c>
      <c r="AC426" s="3">
        <f t="shared" si="290"/>
        <v>5791.84</v>
      </c>
      <c r="AD426" s="3">
        <f t="shared" si="290"/>
        <v>1.61</v>
      </c>
      <c r="AE426" s="3">
        <f t="shared" si="290"/>
        <v>0.05</v>
      </c>
      <c r="AF426" s="3">
        <f t="shared" si="290"/>
        <v>47.05</v>
      </c>
      <c r="AG426" s="3">
        <f t="shared" si="290"/>
        <v>0</v>
      </c>
      <c r="AH426" s="3">
        <f t="shared" si="290"/>
        <v>3.0854503680000005</v>
      </c>
      <c r="AI426" s="3">
        <f t="shared" si="290"/>
        <v>0</v>
      </c>
      <c r="AJ426" s="3">
        <f t="shared" si="290"/>
        <v>0</v>
      </c>
      <c r="AK426" s="3">
        <f t="shared" si="290"/>
        <v>47.57</v>
      </c>
      <c r="AL426" s="3">
        <f t="shared" si="290"/>
        <v>25.91</v>
      </c>
      <c r="AM426" s="3">
        <f t="shared" si="290"/>
        <v>0</v>
      </c>
      <c r="AN426" s="3">
        <f t="shared" si="290"/>
        <v>0</v>
      </c>
      <c r="AO426" s="3">
        <f t="shared" si="290"/>
        <v>0</v>
      </c>
      <c r="AP426" s="3">
        <f t="shared" si="290"/>
        <v>0</v>
      </c>
      <c r="AQ426" s="3">
        <f t="shared" si="290"/>
        <v>0</v>
      </c>
      <c r="AR426" s="3">
        <f t="shared" si="290"/>
        <v>5913.98</v>
      </c>
      <c r="AS426" s="3">
        <f t="shared" si="290"/>
        <v>5913.98</v>
      </c>
      <c r="AT426" s="3">
        <f t="shared" si="290"/>
        <v>0</v>
      </c>
      <c r="AU426" s="3">
        <f t="shared" ref="AU426:BZ426" si="291">AU433</f>
        <v>0</v>
      </c>
      <c r="AV426" s="3">
        <f t="shared" si="291"/>
        <v>5791.84</v>
      </c>
      <c r="AW426" s="3">
        <f t="shared" si="291"/>
        <v>5791.84</v>
      </c>
      <c r="AX426" s="3">
        <f t="shared" si="291"/>
        <v>0</v>
      </c>
      <c r="AY426" s="3">
        <f t="shared" si="291"/>
        <v>5791.84</v>
      </c>
      <c r="AZ426" s="3">
        <f t="shared" si="291"/>
        <v>0</v>
      </c>
      <c r="BA426" s="3">
        <f t="shared" si="291"/>
        <v>0</v>
      </c>
      <c r="BB426" s="3">
        <f t="shared" si="291"/>
        <v>0</v>
      </c>
      <c r="BC426" s="3">
        <f t="shared" si="291"/>
        <v>0</v>
      </c>
      <c r="BD426" s="3">
        <f t="shared" si="291"/>
        <v>0</v>
      </c>
      <c r="BE426" s="3">
        <f t="shared" si="291"/>
        <v>0</v>
      </c>
      <c r="BF426" s="3">
        <f t="shared" si="291"/>
        <v>0</v>
      </c>
      <c r="BG426" s="3">
        <f t="shared" si="291"/>
        <v>0</v>
      </c>
      <c r="BH426" s="3">
        <f t="shared" si="291"/>
        <v>0</v>
      </c>
      <c r="BI426" s="3">
        <f t="shared" si="291"/>
        <v>0</v>
      </c>
      <c r="BJ426" s="3">
        <f t="shared" si="291"/>
        <v>0</v>
      </c>
      <c r="BK426" s="3">
        <f t="shared" si="291"/>
        <v>0</v>
      </c>
      <c r="BL426" s="3">
        <f t="shared" si="291"/>
        <v>0</v>
      </c>
      <c r="BM426" s="3">
        <f t="shared" si="291"/>
        <v>0</v>
      </c>
      <c r="BN426" s="3">
        <f t="shared" si="291"/>
        <v>0</v>
      </c>
      <c r="BO426" s="3">
        <f t="shared" si="291"/>
        <v>0</v>
      </c>
      <c r="BP426" s="3">
        <f t="shared" si="291"/>
        <v>0</v>
      </c>
      <c r="BQ426" s="3">
        <f t="shared" si="291"/>
        <v>0</v>
      </c>
      <c r="BR426" s="3">
        <f t="shared" si="291"/>
        <v>0</v>
      </c>
      <c r="BS426" s="3">
        <f t="shared" si="291"/>
        <v>0</v>
      </c>
      <c r="BT426" s="3">
        <f t="shared" si="291"/>
        <v>0</v>
      </c>
      <c r="BU426" s="3">
        <f t="shared" si="291"/>
        <v>0</v>
      </c>
      <c r="BV426" s="3">
        <f t="shared" si="291"/>
        <v>0</v>
      </c>
      <c r="BW426" s="3">
        <f t="shared" si="291"/>
        <v>0</v>
      </c>
      <c r="BX426" s="3">
        <f t="shared" si="291"/>
        <v>0</v>
      </c>
      <c r="BY426" s="3">
        <f t="shared" si="291"/>
        <v>0</v>
      </c>
      <c r="BZ426" s="3">
        <f t="shared" si="291"/>
        <v>0</v>
      </c>
      <c r="CA426" s="3">
        <f t="shared" ref="CA426:DF426" si="292">CA433</f>
        <v>5913.98</v>
      </c>
      <c r="CB426" s="3">
        <f t="shared" si="292"/>
        <v>5913.98</v>
      </c>
      <c r="CC426" s="3">
        <f t="shared" si="292"/>
        <v>0</v>
      </c>
      <c r="CD426" s="3">
        <f t="shared" si="292"/>
        <v>0</v>
      </c>
      <c r="CE426" s="3">
        <f t="shared" si="292"/>
        <v>5791.84</v>
      </c>
      <c r="CF426" s="3">
        <f t="shared" si="292"/>
        <v>5791.84</v>
      </c>
      <c r="CG426" s="3">
        <f t="shared" si="292"/>
        <v>0</v>
      </c>
      <c r="CH426" s="3">
        <f t="shared" si="292"/>
        <v>5791.84</v>
      </c>
      <c r="CI426" s="3">
        <f t="shared" si="292"/>
        <v>0</v>
      </c>
      <c r="CJ426" s="3">
        <f t="shared" si="292"/>
        <v>0</v>
      </c>
      <c r="CK426" s="3">
        <f t="shared" si="292"/>
        <v>0</v>
      </c>
      <c r="CL426" s="3">
        <f t="shared" si="292"/>
        <v>0</v>
      </c>
      <c r="CM426" s="3">
        <f t="shared" si="292"/>
        <v>0</v>
      </c>
      <c r="CN426" s="3">
        <f t="shared" si="292"/>
        <v>0</v>
      </c>
      <c r="CO426" s="3">
        <f t="shared" si="292"/>
        <v>0</v>
      </c>
      <c r="CP426" s="3">
        <f t="shared" si="292"/>
        <v>0</v>
      </c>
      <c r="CQ426" s="3">
        <f t="shared" si="292"/>
        <v>0</v>
      </c>
      <c r="CR426" s="3">
        <f t="shared" si="292"/>
        <v>0</v>
      </c>
      <c r="CS426" s="3">
        <f t="shared" si="292"/>
        <v>0</v>
      </c>
      <c r="CT426" s="3">
        <f t="shared" si="292"/>
        <v>0</v>
      </c>
      <c r="CU426" s="3">
        <f t="shared" si="292"/>
        <v>0</v>
      </c>
      <c r="CV426" s="3">
        <f t="shared" si="292"/>
        <v>0</v>
      </c>
      <c r="CW426" s="3">
        <f t="shared" si="292"/>
        <v>0</v>
      </c>
      <c r="CX426" s="3">
        <f t="shared" si="292"/>
        <v>0</v>
      </c>
      <c r="CY426" s="3">
        <f t="shared" si="292"/>
        <v>0</v>
      </c>
      <c r="CZ426" s="3">
        <f t="shared" si="292"/>
        <v>0</v>
      </c>
      <c r="DA426" s="3">
        <f t="shared" si="292"/>
        <v>0</v>
      </c>
      <c r="DB426" s="3">
        <f t="shared" si="292"/>
        <v>0</v>
      </c>
      <c r="DC426" s="3">
        <f t="shared" si="292"/>
        <v>0</v>
      </c>
      <c r="DD426" s="3">
        <f t="shared" si="292"/>
        <v>0</v>
      </c>
      <c r="DE426" s="3">
        <f t="shared" si="292"/>
        <v>0</v>
      </c>
      <c r="DF426" s="3">
        <f t="shared" si="292"/>
        <v>0</v>
      </c>
      <c r="DG426" s="4">
        <f t="shared" ref="DG426:EL426" si="293">DG433</f>
        <v>59791.23</v>
      </c>
      <c r="DH426" s="4">
        <f t="shared" si="293"/>
        <v>57187.43</v>
      </c>
      <c r="DI426" s="4">
        <f t="shared" si="293"/>
        <v>16.52</v>
      </c>
      <c r="DJ426" s="4">
        <f t="shared" si="293"/>
        <v>2.75</v>
      </c>
      <c r="DK426" s="4">
        <f t="shared" si="293"/>
        <v>2587.2800000000002</v>
      </c>
      <c r="DL426" s="4">
        <f t="shared" si="293"/>
        <v>0</v>
      </c>
      <c r="DM426" s="4">
        <f t="shared" si="293"/>
        <v>3.0854503680000005</v>
      </c>
      <c r="DN426" s="4">
        <f t="shared" si="293"/>
        <v>0</v>
      </c>
      <c r="DO426" s="4">
        <f t="shared" si="293"/>
        <v>0</v>
      </c>
      <c r="DP426" s="4">
        <f t="shared" si="293"/>
        <v>2615.9299999999998</v>
      </c>
      <c r="DQ426" s="4">
        <f t="shared" si="293"/>
        <v>1424.52</v>
      </c>
      <c r="DR426" s="4">
        <f t="shared" si="293"/>
        <v>0</v>
      </c>
      <c r="DS426" s="4">
        <f t="shared" si="293"/>
        <v>0</v>
      </c>
      <c r="DT426" s="4">
        <f t="shared" si="293"/>
        <v>59791.23</v>
      </c>
      <c r="DU426" s="4">
        <f t="shared" si="293"/>
        <v>57187.43</v>
      </c>
      <c r="DV426" s="4">
        <f t="shared" si="293"/>
        <v>16.52</v>
      </c>
      <c r="DW426" s="4">
        <f t="shared" si="293"/>
        <v>2.75</v>
      </c>
      <c r="DX426" s="4">
        <f t="shared" si="293"/>
        <v>2587.2800000000002</v>
      </c>
      <c r="DY426" s="4">
        <f t="shared" si="293"/>
        <v>0</v>
      </c>
      <c r="DZ426" s="4">
        <f t="shared" si="293"/>
        <v>3.0854503680000005</v>
      </c>
      <c r="EA426" s="4">
        <f t="shared" si="293"/>
        <v>0</v>
      </c>
      <c r="EB426" s="4">
        <f t="shared" si="293"/>
        <v>0</v>
      </c>
      <c r="EC426" s="4">
        <f t="shared" si="293"/>
        <v>2615.9299999999998</v>
      </c>
      <c r="ED426" s="4">
        <f t="shared" si="293"/>
        <v>1424.52</v>
      </c>
      <c r="EE426" s="4">
        <f t="shared" si="293"/>
        <v>0</v>
      </c>
      <c r="EF426" s="4">
        <f t="shared" si="293"/>
        <v>0</v>
      </c>
      <c r="EG426" s="4">
        <f t="shared" si="293"/>
        <v>0</v>
      </c>
      <c r="EH426" s="4">
        <f t="shared" si="293"/>
        <v>0</v>
      </c>
      <c r="EI426" s="4">
        <f t="shared" si="293"/>
        <v>0</v>
      </c>
      <c r="EJ426" s="4">
        <f t="shared" si="293"/>
        <v>63831.68</v>
      </c>
      <c r="EK426" s="4">
        <f t="shared" si="293"/>
        <v>63831.68</v>
      </c>
      <c r="EL426" s="4">
        <f t="shared" si="293"/>
        <v>0</v>
      </c>
      <c r="EM426" s="4">
        <f t="shared" ref="EM426:FR426" si="294">EM433</f>
        <v>0</v>
      </c>
      <c r="EN426" s="4">
        <f t="shared" si="294"/>
        <v>57187.43</v>
      </c>
      <c r="EO426" s="4">
        <f t="shared" si="294"/>
        <v>57187.43</v>
      </c>
      <c r="EP426" s="4">
        <f t="shared" si="294"/>
        <v>0</v>
      </c>
      <c r="EQ426" s="4">
        <f t="shared" si="294"/>
        <v>57187.43</v>
      </c>
      <c r="ER426" s="4">
        <f t="shared" si="294"/>
        <v>0</v>
      </c>
      <c r="ES426" s="4">
        <f t="shared" si="294"/>
        <v>0</v>
      </c>
      <c r="ET426" s="4">
        <f t="shared" si="294"/>
        <v>0</v>
      </c>
      <c r="EU426" s="4">
        <f t="shared" si="294"/>
        <v>0</v>
      </c>
      <c r="EV426" s="4">
        <f t="shared" si="294"/>
        <v>0</v>
      </c>
      <c r="EW426" s="4">
        <f t="shared" si="294"/>
        <v>0</v>
      </c>
      <c r="EX426" s="4">
        <f t="shared" si="294"/>
        <v>0</v>
      </c>
      <c r="EY426" s="4">
        <f t="shared" si="294"/>
        <v>0</v>
      </c>
      <c r="EZ426" s="4">
        <f t="shared" si="294"/>
        <v>0</v>
      </c>
      <c r="FA426" s="4">
        <f t="shared" si="294"/>
        <v>0</v>
      </c>
      <c r="FB426" s="4">
        <f t="shared" si="294"/>
        <v>0</v>
      </c>
      <c r="FC426" s="4">
        <f t="shared" si="294"/>
        <v>0</v>
      </c>
      <c r="FD426" s="4">
        <f t="shared" si="294"/>
        <v>0</v>
      </c>
      <c r="FE426" s="4">
        <f t="shared" si="294"/>
        <v>0</v>
      </c>
      <c r="FF426" s="4">
        <f t="shared" si="294"/>
        <v>0</v>
      </c>
      <c r="FG426" s="4">
        <f t="shared" si="294"/>
        <v>0</v>
      </c>
      <c r="FH426" s="4">
        <f t="shared" si="294"/>
        <v>0</v>
      </c>
      <c r="FI426" s="4">
        <f t="shared" si="294"/>
        <v>0</v>
      </c>
      <c r="FJ426" s="4">
        <f t="shared" si="294"/>
        <v>0</v>
      </c>
      <c r="FK426" s="4">
        <f t="shared" si="294"/>
        <v>0</v>
      </c>
      <c r="FL426" s="4">
        <f t="shared" si="294"/>
        <v>0</v>
      </c>
      <c r="FM426" s="4">
        <f t="shared" si="294"/>
        <v>0</v>
      </c>
      <c r="FN426" s="4">
        <f t="shared" si="294"/>
        <v>0</v>
      </c>
      <c r="FO426" s="4">
        <f t="shared" si="294"/>
        <v>0</v>
      </c>
      <c r="FP426" s="4">
        <f t="shared" si="294"/>
        <v>0</v>
      </c>
      <c r="FQ426" s="4">
        <f t="shared" si="294"/>
        <v>0</v>
      </c>
      <c r="FR426" s="4">
        <f t="shared" si="294"/>
        <v>0</v>
      </c>
      <c r="FS426" s="4">
        <f t="shared" ref="FS426:GX426" si="295">FS433</f>
        <v>63831.68</v>
      </c>
      <c r="FT426" s="4">
        <f t="shared" si="295"/>
        <v>63831.68</v>
      </c>
      <c r="FU426" s="4">
        <f t="shared" si="295"/>
        <v>0</v>
      </c>
      <c r="FV426" s="4">
        <f t="shared" si="295"/>
        <v>0</v>
      </c>
      <c r="FW426" s="4">
        <f t="shared" si="295"/>
        <v>57187.43</v>
      </c>
      <c r="FX426" s="4">
        <f t="shared" si="295"/>
        <v>57187.43</v>
      </c>
      <c r="FY426" s="4">
        <f t="shared" si="295"/>
        <v>0</v>
      </c>
      <c r="FZ426" s="4">
        <f t="shared" si="295"/>
        <v>57187.43</v>
      </c>
      <c r="GA426" s="4">
        <f t="shared" si="295"/>
        <v>0</v>
      </c>
      <c r="GB426" s="4">
        <f t="shared" si="295"/>
        <v>0</v>
      </c>
      <c r="GC426" s="4">
        <f t="shared" si="295"/>
        <v>0</v>
      </c>
      <c r="GD426" s="4">
        <f t="shared" si="295"/>
        <v>0</v>
      </c>
      <c r="GE426" s="4">
        <f t="shared" si="295"/>
        <v>0</v>
      </c>
      <c r="GF426" s="4">
        <f t="shared" si="295"/>
        <v>0</v>
      </c>
      <c r="GG426" s="4">
        <f t="shared" si="295"/>
        <v>0</v>
      </c>
      <c r="GH426" s="4">
        <f t="shared" si="295"/>
        <v>0</v>
      </c>
      <c r="GI426" s="4">
        <f t="shared" si="295"/>
        <v>0</v>
      </c>
      <c r="GJ426" s="4">
        <f t="shared" si="295"/>
        <v>0</v>
      </c>
      <c r="GK426" s="4">
        <f t="shared" si="295"/>
        <v>0</v>
      </c>
      <c r="GL426" s="4">
        <f t="shared" si="295"/>
        <v>0</v>
      </c>
      <c r="GM426" s="4">
        <f t="shared" si="295"/>
        <v>0</v>
      </c>
      <c r="GN426" s="4">
        <f t="shared" si="295"/>
        <v>0</v>
      </c>
      <c r="GO426" s="4">
        <f t="shared" si="295"/>
        <v>0</v>
      </c>
      <c r="GP426" s="4">
        <f t="shared" si="295"/>
        <v>0</v>
      </c>
      <c r="GQ426" s="4">
        <f t="shared" si="295"/>
        <v>0</v>
      </c>
      <c r="GR426" s="4">
        <f t="shared" si="295"/>
        <v>0</v>
      </c>
      <c r="GS426" s="4">
        <f t="shared" si="295"/>
        <v>0</v>
      </c>
      <c r="GT426" s="4">
        <f t="shared" si="295"/>
        <v>0</v>
      </c>
      <c r="GU426" s="4">
        <f t="shared" si="295"/>
        <v>0</v>
      </c>
      <c r="GV426" s="4">
        <f t="shared" si="295"/>
        <v>0</v>
      </c>
      <c r="GW426" s="4">
        <f t="shared" si="295"/>
        <v>0</v>
      </c>
      <c r="GX426" s="4">
        <f t="shared" si="295"/>
        <v>0</v>
      </c>
    </row>
    <row r="428" spans="1:255" x14ac:dyDescent="0.2">
      <c r="A428" s="2">
        <v>17</v>
      </c>
      <c r="B428" s="2">
        <v>1</v>
      </c>
      <c r="C428" s="2">
        <f>ROW(SmtRes!A169)</f>
        <v>169</v>
      </c>
      <c r="D428" s="2">
        <f>ROW(EtalonRes!A179)</f>
        <v>179</v>
      </c>
      <c r="E428" s="2" t="s">
        <v>275</v>
      </c>
      <c r="F428" s="2" t="s">
        <v>264</v>
      </c>
      <c r="G428" s="2" t="s">
        <v>265</v>
      </c>
      <c r="H428" s="2" t="s">
        <v>266</v>
      </c>
      <c r="I428" s="2">
        <f>ROUND((0.28*50)/100,9)</f>
        <v>0.14000000000000001</v>
      </c>
      <c r="J428" s="2">
        <v>0</v>
      </c>
      <c r="K428" s="2">
        <f>ROUND((0.28*50)/100,9)</f>
        <v>0.14000000000000001</v>
      </c>
      <c r="L428" s="2"/>
      <c r="M428" s="2"/>
      <c r="N428" s="2"/>
      <c r="O428" s="2">
        <f>ROUND(CP428,2)</f>
        <v>55</v>
      </c>
      <c r="P428" s="2">
        <f>ROUND((ROUND((AC428*AW428*I428),2)*BC428),2)</f>
        <v>6.34</v>
      </c>
      <c r="Q428" s="2">
        <f>(ROUND((ROUND(((((ET428*1.25)*1.1))*AV428*I428),2)*BB428),2)+ROUND((ROUND(((AE428-(((EU428*1.25)*1.1)))*AV428*I428),2)*BS428),2))</f>
        <v>1.61</v>
      </c>
      <c r="R428" s="2">
        <f>(ROUND((ROUND(((((EU428*1.25)*1.1))*AV428*I428),2)*BS428),2)+ROUND((ROUND(((AE428-(((EU428*1.25)*1.1)))*AV428*I428),2)*BS428),2))</f>
        <v>0.05</v>
      </c>
      <c r="S428" s="2">
        <f>ROUND((ROUND((AF428*AV428*I428),2)*BA428),2)</f>
        <v>47.05</v>
      </c>
      <c r="T428" s="2">
        <f>ROUND(CU428*I428,2)</f>
        <v>0</v>
      </c>
      <c r="U428" s="2">
        <f>CV428*I428</f>
        <v>3.0854503680000005</v>
      </c>
      <c r="V428" s="2">
        <f>CW428*I428</f>
        <v>0</v>
      </c>
      <c r="W428" s="2">
        <f>ROUND(CX428*I428,2)</f>
        <v>0</v>
      </c>
      <c r="X428" s="2">
        <f>(ROUND((((S428+ROUND((ROUND(((((EU428*1.25)*1.1))*AV428*I428),2)*BS428),2))*AT428)/100),2)+ROUND(((ROUND((ROUND(((AE428-(((EU428*1.25)*1.1)))*AV428*I428),2)*BS428),2)*AT428)/100),2))</f>
        <v>47.57</v>
      </c>
      <c r="Y428" s="2">
        <f>(ROUND((((S428+ROUND((ROUND(((((EU428*1.25)*1.1))*AV428*I428),2)*BS428),2))*AU428)/100),2)+ROUND(((ROUND((ROUND(((AE428-(((EU428*1.25)*1.1)))*AV428*I428),2)*BS428),2)*AU428)/100),2))</f>
        <v>25.91</v>
      </c>
      <c r="Z428" s="2"/>
      <c r="AA428" s="2">
        <v>59499218</v>
      </c>
      <c r="AB428" s="2">
        <f>ROUND((AC428+AD428+AF428),6)</f>
        <v>377.2278</v>
      </c>
      <c r="AC428" s="2">
        <f>ROUND((ES428),6)</f>
        <v>45.25</v>
      </c>
      <c r="AD428" s="2">
        <f>ROUND((((((ET428*1.25)*1.1))-(((EU428*1.25)*1.1)))+AE428),6)</f>
        <v>10.95875</v>
      </c>
      <c r="AE428" s="2">
        <f>ROUND((((EU428*1.25)*1.1)),6)</f>
        <v>0.34375</v>
      </c>
      <c r="AF428" s="2">
        <f>ROUND((((EV428*1.15)*1.1)),6)</f>
        <v>321.01904999999999</v>
      </c>
      <c r="AG428" s="2">
        <f>ROUND((AP428),6)</f>
        <v>0</v>
      </c>
      <c r="AH428" s="2">
        <f>(((EW428*1.15)*1.1))</f>
        <v>21.049600000000002</v>
      </c>
      <c r="AI428" s="2">
        <f>(((EX428*1.25)*1.1))</f>
        <v>0</v>
      </c>
      <c r="AJ428" s="2">
        <f>(AS428)</f>
        <v>0</v>
      </c>
      <c r="AK428" s="2">
        <v>306.99</v>
      </c>
      <c r="AL428" s="2">
        <v>45.25</v>
      </c>
      <c r="AM428" s="2">
        <v>7.97</v>
      </c>
      <c r="AN428" s="2">
        <v>0.25</v>
      </c>
      <c r="AO428" s="2">
        <v>253.77</v>
      </c>
      <c r="AP428" s="2">
        <v>0</v>
      </c>
      <c r="AQ428" s="2">
        <v>16.64</v>
      </c>
      <c r="AR428" s="2">
        <v>0</v>
      </c>
      <c r="AS428" s="2">
        <v>0</v>
      </c>
      <c r="AT428" s="2">
        <v>101</v>
      </c>
      <c r="AU428" s="2">
        <v>55</v>
      </c>
      <c r="AV428" s="2">
        <v>1.0469999999999999</v>
      </c>
      <c r="AW428" s="2">
        <v>1</v>
      </c>
      <c r="AX428" s="2"/>
      <c r="AY428" s="2"/>
      <c r="AZ428" s="2">
        <v>1</v>
      </c>
      <c r="BA428" s="2">
        <v>1</v>
      </c>
      <c r="BB428" s="2">
        <v>1</v>
      </c>
      <c r="BC428" s="2">
        <v>1</v>
      </c>
      <c r="BD428" s="2" t="s">
        <v>3</v>
      </c>
      <c r="BE428" s="2" t="s">
        <v>3</v>
      </c>
      <c r="BF428" s="2" t="s">
        <v>3</v>
      </c>
      <c r="BG428" s="2" t="s">
        <v>3</v>
      </c>
      <c r="BH428" s="2">
        <v>0</v>
      </c>
      <c r="BI428" s="2">
        <v>1</v>
      </c>
      <c r="BJ428" s="2" t="s">
        <v>267</v>
      </c>
      <c r="BK428" s="2"/>
      <c r="BL428" s="2"/>
      <c r="BM428" s="2">
        <v>57</v>
      </c>
      <c r="BN428" s="2">
        <v>59298886</v>
      </c>
      <c r="BO428" s="2" t="s">
        <v>264</v>
      </c>
      <c r="BP428" s="2">
        <v>1</v>
      </c>
      <c r="BQ428" s="2">
        <v>30</v>
      </c>
      <c r="BR428" s="2">
        <v>0</v>
      </c>
      <c r="BS428" s="2">
        <v>1</v>
      </c>
      <c r="BT428" s="2">
        <v>1</v>
      </c>
      <c r="BU428" s="2">
        <v>1</v>
      </c>
      <c r="BV428" s="2">
        <v>1</v>
      </c>
      <c r="BW428" s="2">
        <v>1</v>
      </c>
      <c r="BX428" s="2">
        <v>1</v>
      </c>
      <c r="BY428" s="2" t="s">
        <v>3</v>
      </c>
      <c r="BZ428" s="2">
        <v>101</v>
      </c>
      <c r="CA428" s="2">
        <v>55</v>
      </c>
      <c r="CB428" s="2" t="s">
        <v>3</v>
      </c>
      <c r="CC428" s="2"/>
      <c r="CD428" s="2"/>
      <c r="CE428" s="2">
        <v>1566</v>
      </c>
      <c r="CF428" s="2">
        <v>0</v>
      </c>
      <c r="CG428" s="2">
        <v>0</v>
      </c>
      <c r="CH428" s="2"/>
      <c r="CI428" s="2"/>
      <c r="CJ428" s="2"/>
      <c r="CK428" s="2"/>
      <c r="CL428" s="2"/>
      <c r="CM428" s="2">
        <v>0</v>
      </c>
      <c r="CN428" s="2" t="s">
        <v>375</v>
      </c>
      <c r="CO428" s="2">
        <v>0</v>
      </c>
      <c r="CP428" s="2">
        <f>(P428+Q428+S428)</f>
        <v>55</v>
      </c>
      <c r="CQ428" s="2">
        <f>ROUND((ROUND((AC428*AW428*1),2)*BC428),2)</f>
        <v>45.25</v>
      </c>
      <c r="CR428" s="2">
        <f>(ROUND((ROUND(((((ET428*1.25)*1.1))*AV428*1),2)*BB428),2)+ROUND((ROUND(((AE428-(((EU428*1.25)*1.1)))*AV428*1),2)*BS428),2))</f>
        <v>11.47</v>
      </c>
      <c r="CS428" s="2">
        <f>(ROUND((ROUND(((((EU428*1.25)*1.1))*AV428*1),2)*BS428),2)+ROUND((ROUND(((AE428-(((EU428*1.25)*1.1)))*AV428*1),2)*BS428),2))</f>
        <v>0.36</v>
      </c>
      <c r="CT428" s="2">
        <f>ROUND((ROUND((AF428*AV428*1),2)*BA428),2)</f>
        <v>336.11</v>
      </c>
      <c r="CU428" s="2">
        <f>AG428</f>
        <v>0</v>
      </c>
      <c r="CV428" s="2">
        <f>(AH428*AV428)</f>
        <v>22.0389312</v>
      </c>
      <c r="CW428" s="2">
        <f t="shared" ref="CW428:CX431" si="296">AI428</f>
        <v>0</v>
      </c>
      <c r="CX428" s="2">
        <f t="shared" si="296"/>
        <v>0</v>
      </c>
      <c r="CY428" s="2">
        <f>(ROUND((((S428+ROUND((ROUND(((((EU428*1.25)*1.1))*AV428*1),2)*BS428),2))*AT428)/100),2)+ROUND(((ROUND((ROUND(((AE428-(((EU428*1.25)*1.1)))*AV428*1),2)*BS428),2)*AT428)/100),2))</f>
        <v>47.88</v>
      </c>
      <c r="CZ428" s="2">
        <f>(ROUND((((S428+ROUND((ROUND(((((EU428*1.25)*1.1))*AV428*1),2)*BS428),2))*AU428)/100),2)+ROUND(((ROUND((ROUND(((AE428-(((EU428*1.25)*1.1)))*AV428*1),2)*BS428),2)*AU428)/100),2))</f>
        <v>26.08</v>
      </c>
      <c r="DA428" s="2"/>
      <c r="DB428" s="2">
        <v>109</v>
      </c>
      <c r="DC428" s="2" t="s">
        <v>3</v>
      </c>
      <c r="DD428" s="2" t="s">
        <v>3</v>
      </c>
      <c r="DE428" s="2" t="s">
        <v>39</v>
      </c>
      <c r="DF428" s="2" t="s">
        <v>39</v>
      </c>
      <c r="DG428" s="2" t="s">
        <v>40</v>
      </c>
      <c r="DH428" s="2" t="s">
        <v>3</v>
      </c>
      <c r="DI428" s="2" t="s">
        <v>40</v>
      </c>
      <c r="DJ428" s="2" t="s">
        <v>39</v>
      </c>
      <c r="DK428" s="2" t="s">
        <v>3</v>
      </c>
      <c r="DL428" s="2" t="s">
        <v>3</v>
      </c>
      <c r="DM428" s="2" t="s">
        <v>3</v>
      </c>
      <c r="DN428" s="2">
        <v>0</v>
      </c>
      <c r="DO428" s="2">
        <v>0</v>
      </c>
      <c r="DP428" s="2">
        <v>1</v>
      </c>
      <c r="DQ428" s="2">
        <v>1</v>
      </c>
      <c r="DR428" s="2"/>
      <c r="DS428" s="2"/>
      <c r="DT428" s="2"/>
      <c r="DU428" s="2">
        <v>1003</v>
      </c>
      <c r="DV428" s="2" t="s">
        <v>266</v>
      </c>
      <c r="DW428" s="2" t="s">
        <v>266</v>
      </c>
      <c r="DX428" s="2">
        <v>100</v>
      </c>
      <c r="DY428" s="2"/>
      <c r="DZ428" s="2" t="s">
        <v>3</v>
      </c>
      <c r="EA428" s="2" t="s">
        <v>3</v>
      </c>
      <c r="EB428" s="2" t="s">
        <v>3</v>
      </c>
      <c r="EC428" s="2" t="s">
        <v>3</v>
      </c>
      <c r="ED428" s="2"/>
      <c r="EE428" s="2">
        <v>59298984</v>
      </c>
      <c r="EF428" s="2">
        <v>30</v>
      </c>
      <c r="EG428" s="2" t="s">
        <v>26</v>
      </c>
      <c r="EH428" s="2">
        <v>0</v>
      </c>
      <c r="EI428" s="2" t="s">
        <v>3</v>
      </c>
      <c r="EJ428" s="2">
        <v>1</v>
      </c>
      <c r="EK428" s="2">
        <v>57</v>
      </c>
      <c r="EL428" s="2" t="s">
        <v>268</v>
      </c>
      <c r="EM428" s="2" t="s">
        <v>269</v>
      </c>
      <c r="EN428" s="2"/>
      <c r="EO428" s="2" t="s">
        <v>41</v>
      </c>
      <c r="EP428" s="2"/>
      <c r="EQ428" s="2">
        <v>0</v>
      </c>
      <c r="ER428" s="2">
        <v>306.99</v>
      </c>
      <c r="ES428" s="2">
        <v>45.25</v>
      </c>
      <c r="ET428" s="2">
        <v>7.97</v>
      </c>
      <c r="EU428" s="2">
        <v>0.25</v>
      </c>
      <c r="EV428" s="2">
        <v>253.77</v>
      </c>
      <c r="EW428" s="2">
        <v>16.64</v>
      </c>
      <c r="EX428" s="2">
        <v>0</v>
      </c>
      <c r="EY428" s="2">
        <v>0</v>
      </c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>
        <v>0</v>
      </c>
      <c r="FR428" s="2">
        <v>0</v>
      </c>
      <c r="FS428" s="2">
        <v>0</v>
      </c>
      <c r="FT428" s="2"/>
      <c r="FU428" s="2"/>
      <c r="FV428" s="2"/>
      <c r="FW428" s="2"/>
      <c r="FX428" s="2">
        <v>101</v>
      </c>
      <c r="FY428" s="2">
        <v>55</v>
      </c>
      <c r="FZ428" s="2"/>
      <c r="GA428" s="2" t="s">
        <v>3</v>
      </c>
      <c r="GB428" s="2"/>
      <c r="GC428" s="2"/>
      <c r="GD428" s="2">
        <v>1</v>
      </c>
      <c r="GE428" s="2"/>
      <c r="GF428" s="2">
        <v>814010574</v>
      </c>
      <c r="GG428" s="2">
        <v>2</v>
      </c>
      <c r="GH428" s="2">
        <v>1</v>
      </c>
      <c r="GI428" s="2">
        <v>2</v>
      </c>
      <c r="GJ428" s="2">
        <v>0</v>
      </c>
      <c r="GK428" s="2">
        <v>0</v>
      </c>
      <c r="GL428" s="2">
        <f>ROUND(IF(AND(BH428=3,BI428=3,FS428&lt;&gt;0),P428,0),2)</f>
        <v>0</v>
      </c>
      <c r="GM428" s="2">
        <f>ROUND(O428+X428+Y428,2)+GX428</f>
        <v>128.47999999999999</v>
      </c>
      <c r="GN428" s="2">
        <f>IF(OR(BI428=0,BI428=1),GM428-GX428,0)</f>
        <v>128.47999999999999</v>
      </c>
      <c r="GO428" s="2">
        <f>IF(BI428=2,GM428-GX428,0)</f>
        <v>0</v>
      </c>
      <c r="GP428" s="2">
        <f>IF(BI428=4,GM428-GX428,0)</f>
        <v>0</v>
      </c>
      <c r="GQ428" s="2"/>
      <c r="GR428" s="2">
        <v>0</v>
      </c>
      <c r="GS428" s="2">
        <v>3</v>
      </c>
      <c r="GT428" s="2">
        <v>0</v>
      </c>
      <c r="GU428" s="2" t="s">
        <v>3</v>
      </c>
      <c r="GV428" s="2">
        <f>ROUND((GT428),6)</f>
        <v>0</v>
      </c>
      <c r="GW428" s="2">
        <v>1</v>
      </c>
      <c r="GX428" s="2">
        <f>ROUND(HC428*I428,2)</f>
        <v>0</v>
      </c>
      <c r="GY428" s="2"/>
      <c r="GZ428" s="2"/>
      <c r="HA428" s="2">
        <v>0</v>
      </c>
      <c r="HB428" s="2">
        <v>0</v>
      </c>
      <c r="HC428" s="2">
        <f>GV428*GW428</f>
        <v>0</v>
      </c>
      <c r="HD428" s="2"/>
      <c r="HE428" s="2" t="s">
        <v>3</v>
      </c>
      <c r="HF428" s="2" t="s">
        <v>3</v>
      </c>
      <c r="HG428" s="2"/>
      <c r="HH428" s="2"/>
      <c r="HI428" s="2"/>
      <c r="HJ428" s="2"/>
      <c r="HK428" s="2"/>
      <c r="HL428" s="2"/>
      <c r="HM428" s="2" t="s">
        <v>3</v>
      </c>
      <c r="HN428" s="2" t="s">
        <v>3</v>
      </c>
      <c r="HO428" s="2" t="s">
        <v>3</v>
      </c>
      <c r="HP428" s="2" t="s">
        <v>3</v>
      </c>
      <c r="HQ428" s="2" t="s">
        <v>3</v>
      </c>
      <c r="HR428" s="2"/>
      <c r="HS428" s="2">
        <v>0</v>
      </c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>
        <v>0</v>
      </c>
      <c r="IL428" s="2"/>
      <c r="IM428" s="2"/>
      <c r="IN428" s="2"/>
      <c r="IO428" s="2"/>
      <c r="IP428" s="2"/>
      <c r="IQ428" s="2"/>
      <c r="IR428" s="2"/>
      <c r="IS428" s="2"/>
      <c r="IT428" s="2"/>
      <c r="IU428" s="2"/>
    </row>
    <row r="429" spans="1:255" x14ac:dyDescent="0.2">
      <c r="A429">
        <v>17</v>
      </c>
      <c r="B429">
        <v>1</v>
      </c>
      <c r="C429">
        <f>ROW(SmtRes!A176)</f>
        <v>176</v>
      </c>
      <c r="D429">
        <f>ROW(EtalonRes!A186)</f>
        <v>186</v>
      </c>
      <c r="E429" t="s">
        <v>275</v>
      </c>
      <c r="F429" t="s">
        <v>264</v>
      </c>
      <c r="G429" t="s">
        <v>265</v>
      </c>
      <c r="H429" t="s">
        <v>266</v>
      </c>
      <c r="I429">
        <f>ROUND((0.28*50)/100,9)</f>
        <v>0.14000000000000001</v>
      </c>
      <c r="J429">
        <v>0</v>
      </c>
      <c r="K429">
        <f>ROUND((0.28*50)/100,9)</f>
        <v>0.14000000000000001</v>
      </c>
      <c r="O429">
        <f>ROUND(CP429,2)</f>
        <v>2630.49</v>
      </c>
      <c r="P429">
        <f>ROUND((ROUND((AC429*AW429*I429),2)*BC429),2)</f>
        <v>26.69</v>
      </c>
      <c r="Q429">
        <f>(ROUND((ROUND(((((ET429*1.25)*1.1))*AV429*I429),2)*BB429),2)+ROUND((ROUND(((AE429-(((EU429*1.25)*1.1)))*AV429*I429),2)*BS429),2))</f>
        <v>16.52</v>
      </c>
      <c r="R429">
        <f>(ROUND((ROUND(((((EU429*1.25)*1.1))*AV429*I429),2)*BS429),2)+ROUND((ROUND(((AE429-(((EU429*1.25)*1.1)))*AV429*I429),2)*BS429),2))</f>
        <v>2.75</v>
      </c>
      <c r="S429">
        <f>ROUND((ROUND((AF429*AV429*I429),2)*BA429),2)</f>
        <v>2587.2800000000002</v>
      </c>
      <c r="T429">
        <f>ROUND(CU429*I429,2)</f>
        <v>0</v>
      </c>
      <c r="U429">
        <f>CV429*I429</f>
        <v>3.0854503680000005</v>
      </c>
      <c r="V429">
        <f>CW429*I429</f>
        <v>0</v>
      </c>
      <c r="W429">
        <f>ROUND(CX429*I429,2)</f>
        <v>0</v>
      </c>
      <c r="X429">
        <f>(ROUND((((S429+ROUND((ROUND(((((EU429*1.25)*1.1))*AV429*I429),2)*BS429),2))*AT429)/100),2)+ROUND(((ROUND((ROUND(((AE429-(((EU429*1.25)*1.1)))*AV429*I429),2)*BS429),2)*AT429)/100),2))</f>
        <v>2615.9299999999998</v>
      </c>
      <c r="Y429">
        <f>(ROUND((((S429+ROUND((ROUND(((((EU429*1.25)*1.1))*AV429*I429),2)*BS429),2))*AU429)/100),2)+ROUND(((ROUND((ROUND(((AE429-(((EU429*1.25)*1.1)))*AV429*I429),2)*BS429),2)*AU429)/100),2))</f>
        <v>1424.52</v>
      </c>
      <c r="AA429">
        <v>59499215</v>
      </c>
      <c r="AB429">
        <f>ROUND((AC429+AD429+AF429),6)</f>
        <v>377.2278</v>
      </c>
      <c r="AC429">
        <f>ROUND((ES429),6)</f>
        <v>45.25</v>
      </c>
      <c r="AD429">
        <f>ROUND((((((ET429*1.25)*1.1))-(((EU429*1.25)*1.1)))+AE429),6)</f>
        <v>10.95875</v>
      </c>
      <c r="AE429">
        <f>ROUND((((EU429*1.25)*1.1)),6)</f>
        <v>0.34375</v>
      </c>
      <c r="AF429">
        <f>ROUND((((EV429*1.15)*1.1)),6)</f>
        <v>321.01904999999999</v>
      </c>
      <c r="AG429">
        <f>ROUND((AP429),6)</f>
        <v>0</v>
      </c>
      <c r="AH429">
        <f>(((EW429*1.15)*1.1))</f>
        <v>21.049600000000002</v>
      </c>
      <c r="AI429">
        <f>(((EX429*1.25)*1.1))</f>
        <v>0</v>
      </c>
      <c r="AJ429">
        <f>(AS429)</f>
        <v>0</v>
      </c>
      <c r="AK429">
        <v>306.99</v>
      </c>
      <c r="AL429">
        <v>45.25</v>
      </c>
      <c r="AM429">
        <v>7.97</v>
      </c>
      <c r="AN429">
        <v>0.25</v>
      </c>
      <c r="AO429">
        <v>253.77</v>
      </c>
      <c r="AP429">
        <v>0</v>
      </c>
      <c r="AQ429">
        <v>16.64</v>
      </c>
      <c r="AR429">
        <v>0</v>
      </c>
      <c r="AS429">
        <v>0</v>
      </c>
      <c r="AT429">
        <v>101</v>
      </c>
      <c r="AU429">
        <v>55</v>
      </c>
      <c r="AV429">
        <v>1.0469999999999999</v>
      </c>
      <c r="AW429">
        <v>1</v>
      </c>
      <c r="AZ429">
        <v>1</v>
      </c>
      <c r="BA429">
        <v>54.99</v>
      </c>
      <c r="BB429">
        <v>10.26</v>
      </c>
      <c r="BC429">
        <v>4.21</v>
      </c>
      <c r="BD429" t="s">
        <v>3</v>
      </c>
      <c r="BE429" t="s">
        <v>3</v>
      </c>
      <c r="BF429" t="s">
        <v>3</v>
      </c>
      <c r="BG429" t="s">
        <v>3</v>
      </c>
      <c r="BH429">
        <v>0</v>
      </c>
      <c r="BI429">
        <v>1</v>
      </c>
      <c r="BJ429" t="s">
        <v>267</v>
      </c>
      <c r="BM429">
        <v>57</v>
      </c>
      <c r="BN429">
        <v>59298886</v>
      </c>
      <c r="BO429" t="s">
        <v>264</v>
      </c>
      <c r="BP429">
        <v>1</v>
      </c>
      <c r="BQ429">
        <v>30</v>
      </c>
      <c r="BR429">
        <v>0</v>
      </c>
      <c r="BS429">
        <v>54.99</v>
      </c>
      <c r="BT429">
        <v>1</v>
      </c>
      <c r="BU429">
        <v>1</v>
      </c>
      <c r="BV429">
        <v>1</v>
      </c>
      <c r="BW429">
        <v>1</v>
      </c>
      <c r="BX429">
        <v>1</v>
      </c>
      <c r="BY429" t="s">
        <v>3</v>
      </c>
      <c r="BZ429">
        <v>101</v>
      </c>
      <c r="CA429">
        <v>55</v>
      </c>
      <c r="CB429" t="s">
        <v>3</v>
      </c>
      <c r="CE429">
        <v>1566</v>
      </c>
      <c r="CF429">
        <v>0</v>
      </c>
      <c r="CG429">
        <v>0</v>
      </c>
      <c r="CM429">
        <v>0</v>
      </c>
      <c r="CN429" t="s">
        <v>375</v>
      </c>
      <c r="CO429">
        <v>0</v>
      </c>
      <c r="CP429">
        <f>(P429+Q429+S429)</f>
        <v>2630.4900000000002</v>
      </c>
      <c r="CQ429">
        <f>ROUND((ROUND((AC429*AW429*1),2)*BC429),2)</f>
        <v>190.5</v>
      </c>
      <c r="CR429">
        <f>(ROUND((ROUND(((((ET429*1.25)*1.1))*AV429*1),2)*BB429),2)+ROUND((ROUND(((AE429-(((EU429*1.25)*1.1)))*AV429*1),2)*BS429),2))</f>
        <v>117.68</v>
      </c>
      <c r="CS429">
        <f>(ROUND((ROUND(((((EU429*1.25)*1.1))*AV429*1),2)*BS429),2)+ROUND((ROUND(((AE429-(((EU429*1.25)*1.1)))*AV429*1),2)*BS429),2))</f>
        <v>19.8</v>
      </c>
      <c r="CT429">
        <f>ROUND((ROUND((AF429*AV429*1),2)*BA429),2)</f>
        <v>18482.689999999999</v>
      </c>
      <c r="CU429">
        <f>AG429</f>
        <v>0</v>
      </c>
      <c r="CV429">
        <f>(AH429*AV429)</f>
        <v>22.0389312</v>
      </c>
      <c r="CW429">
        <f t="shared" si="296"/>
        <v>0</v>
      </c>
      <c r="CX429">
        <f t="shared" si="296"/>
        <v>0</v>
      </c>
      <c r="CY429">
        <f>(ROUND((((S429+ROUND((ROUND(((((EU429*1.25)*1.1))*AV429*1),2)*BS429),2))*AT429)/100),2)+ROUND(((ROUND((ROUND(((AE429-(((EU429*1.25)*1.1)))*AV429*1),2)*BS429),2)*AT429)/100),2))</f>
        <v>2633.15</v>
      </c>
      <c r="CZ429">
        <f>(ROUND((((S429+ROUND((ROUND(((((EU429*1.25)*1.1))*AV429*1),2)*BS429),2))*AU429)/100),2)+ROUND(((ROUND((ROUND(((AE429-(((EU429*1.25)*1.1)))*AV429*1),2)*BS429),2)*AU429)/100),2))</f>
        <v>1433.89</v>
      </c>
      <c r="DB429">
        <v>111</v>
      </c>
      <c r="DC429" t="s">
        <v>3</v>
      </c>
      <c r="DD429" t="s">
        <v>3</v>
      </c>
      <c r="DE429" t="s">
        <v>39</v>
      </c>
      <c r="DF429" t="s">
        <v>39</v>
      </c>
      <c r="DG429" t="s">
        <v>40</v>
      </c>
      <c r="DH429" t="s">
        <v>3</v>
      </c>
      <c r="DI429" t="s">
        <v>40</v>
      </c>
      <c r="DJ429" t="s">
        <v>39</v>
      </c>
      <c r="DK429" t="s">
        <v>3</v>
      </c>
      <c r="DL429" t="s">
        <v>3</v>
      </c>
      <c r="DM429" t="s">
        <v>3</v>
      </c>
      <c r="DN429">
        <v>0</v>
      </c>
      <c r="DO429">
        <v>0</v>
      </c>
      <c r="DP429">
        <v>1</v>
      </c>
      <c r="DQ429">
        <v>1</v>
      </c>
      <c r="DU429">
        <v>1003</v>
      </c>
      <c r="DV429" t="s">
        <v>266</v>
      </c>
      <c r="DW429" t="s">
        <v>266</v>
      </c>
      <c r="DX429">
        <v>100</v>
      </c>
      <c r="DZ429" t="s">
        <v>3</v>
      </c>
      <c r="EA429" t="s">
        <v>3</v>
      </c>
      <c r="EB429" t="s">
        <v>3</v>
      </c>
      <c r="EC429" t="s">
        <v>3</v>
      </c>
      <c r="EE429">
        <v>59298984</v>
      </c>
      <c r="EF429">
        <v>30</v>
      </c>
      <c r="EG429" t="s">
        <v>26</v>
      </c>
      <c r="EH429">
        <v>0</v>
      </c>
      <c r="EI429" t="s">
        <v>3</v>
      </c>
      <c r="EJ429">
        <v>1</v>
      </c>
      <c r="EK429">
        <v>57</v>
      </c>
      <c r="EL429" t="s">
        <v>268</v>
      </c>
      <c r="EM429" t="s">
        <v>269</v>
      </c>
      <c r="EO429" t="s">
        <v>41</v>
      </c>
      <c r="EQ429">
        <v>0</v>
      </c>
      <c r="ER429">
        <v>306.99</v>
      </c>
      <c r="ES429">
        <v>45.25</v>
      </c>
      <c r="ET429">
        <v>7.97</v>
      </c>
      <c r="EU429">
        <v>0.25</v>
      </c>
      <c r="EV429">
        <v>253.77</v>
      </c>
      <c r="EW429">
        <v>16.64</v>
      </c>
      <c r="EX429">
        <v>0</v>
      </c>
      <c r="EY429">
        <v>0</v>
      </c>
      <c r="FQ429">
        <v>0</v>
      </c>
      <c r="FR429">
        <v>0</v>
      </c>
      <c r="FS429">
        <v>0</v>
      </c>
      <c r="FX429">
        <v>101</v>
      </c>
      <c r="FY429">
        <v>55</v>
      </c>
      <c r="GA429" t="s">
        <v>3</v>
      </c>
      <c r="GD429">
        <v>1</v>
      </c>
      <c r="GF429">
        <v>814010574</v>
      </c>
      <c r="GG429">
        <v>2</v>
      </c>
      <c r="GH429">
        <v>1</v>
      </c>
      <c r="GI429">
        <v>2</v>
      </c>
      <c r="GJ429">
        <v>0</v>
      </c>
      <c r="GK429">
        <v>0</v>
      </c>
      <c r="GL429">
        <f>ROUND(IF(AND(BH429=3,BI429=3,FS429&lt;&gt;0),P429,0),2)</f>
        <v>0</v>
      </c>
      <c r="GM429">
        <f>ROUND(O429+X429+Y429,2)+GX429</f>
        <v>6670.94</v>
      </c>
      <c r="GN429">
        <f>IF(OR(BI429=0,BI429=1),GM429-GX429,0)</f>
        <v>6670.94</v>
      </c>
      <c r="GO429">
        <f>IF(BI429=2,GM429-GX429,0)</f>
        <v>0</v>
      </c>
      <c r="GP429">
        <f>IF(BI429=4,GM429-GX429,0)</f>
        <v>0</v>
      </c>
      <c r="GR429">
        <v>0</v>
      </c>
      <c r="GS429">
        <v>3</v>
      </c>
      <c r="GT429">
        <v>0</v>
      </c>
      <c r="GU429" t="s">
        <v>3</v>
      </c>
      <c r="GV429">
        <f>ROUND((GT429),6)</f>
        <v>0</v>
      </c>
      <c r="GW429">
        <v>1</v>
      </c>
      <c r="GX429">
        <f>ROUND(HC429*I429,2)</f>
        <v>0</v>
      </c>
      <c r="HA429">
        <v>0</v>
      </c>
      <c r="HB429">
        <v>0</v>
      </c>
      <c r="HC429">
        <f>GV429*GW429</f>
        <v>0</v>
      </c>
      <c r="HE429" t="s">
        <v>3</v>
      </c>
      <c r="HF429" t="s">
        <v>3</v>
      </c>
      <c r="HM429" t="s">
        <v>3</v>
      </c>
      <c r="HN429" t="s">
        <v>3</v>
      </c>
      <c r="HO429" t="s">
        <v>3</v>
      </c>
      <c r="HP429" t="s">
        <v>3</v>
      </c>
      <c r="HQ429" t="s">
        <v>3</v>
      </c>
      <c r="HS429">
        <v>0</v>
      </c>
      <c r="IK429">
        <v>0</v>
      </c>
    </row>
    <row r="430" spans="1:255" x14ac:dyDescent="0.2">
      <c r="A430" s="2">
        <v>18</v>
      </c>
      <c r="B430" s="2">
        <v>1</v>
      </c>
      <c r="C430" s="2">
        <v>169</v>
      </c>
      <c r="D430" s="2"/>
      <c r="E430" s="2" t="s">
        <v>276</v>
      </c>
      <c r="F430" s="2" t="s">
        <v>277</v>
      </c>
      <c r="G430" s="2" t="s">
        <v>278</v>
      </c>
      <c r="H430" s="2" t="s">
        <v>124</v>
      </c>
      <c r="I430" s="2">
        <f>I428*J430</f>
        <v>50</v>
      </c>
      <c r="J430" s="2">
        <v>357.14285714285711</v>
      </c>
      <c r="K430" s="2">
        <v>357.14285699999999</v>
      </c>
      <c r="L430" s="2"/>
      <c r="M430" s="2"/>
      <c r="N430" s="2"/>
      <c r="O430" s="2">
        <f>ROUND(CP430,2)</f>
        <v>5785.5</v>
      </c>
      <c r="P430" s="2">
        <f>ROUND((ROUND((AC430*AW430*I430),2)*BC430),2)</f>
        <v>5785.5</v>
      </c>
      <c r="Q430" s="2">
        <f>(ROUND((ROUND(((ET430)*AV430*I430),2)*BB430),2)+ROUND((ROUND(((AE430-(EU430))*AV430*I430),2)*BS430),2))</f>
        <v>0</v>
      </c>
      <c r="R430" s="2">
        <f>(ROUND((ROUND(((EU430)*AV430*I430),2)*BS430),2)+ROUND((ROUND(((AE430-(EU430))*AV430*I430),2)*BS430),2))</f>
        <v>0</v>
      </c>
      <c r="S430" s="2">
        <f>ROUND((ROUND((AF430*AV430*I430),2)*BA430),2)</f>
        <v>0</v>
      </c>
      <c r="T430" s="2">
        <f>ROUND(CU430*I430,2)</f>
        <v>0</v>
      </c>
      <c r="U430" s="2">
        <f>CV430*I430</f>
        <v>0</v>
      </c>
      <c r="V430" s="2">
        <f>CW430*I430</f>
        <v>0</v>
      </c>
      <c r="W430" s="2">
        <f>ROUND(CX430*I430,2)</f>
        <v>0</v>
      </c>
      <c r="X430" s="2">
        <f>(ROUND((((S430+ROUND((ROUND(((EU430)*AV430*I430),2)*BS430),2))*AT430)/100),2)+ROUND(((ROUND((ROUND(((AE430-(EU430))*AV430*I430),2)*BS430),2)*AT430)/100),2))</f>
        <v>0</v>
      </c>
      <c r="Y430" s="2">
        <f>(ROUND((((S430+ROUND((ROUND(((EU430)*AV430*I430),2)*BS430),2))*AU430)/100),2)+ROUND(((ROUND((ROUND(((AE430-(EU430))*AV430*I430),2)*BS430),2)*AU430)/100),2))</f>
        <v>0</v>
      </c>
      <c r="Z430" s="2"/>
      <c r="AA430" s="2">
        <v>59499218</v>
      </c>
      <c r="AB430" s="2">
        <f>ROUND((AC430+AD430+AF430),6)</f>
        <v>115.71</v>
      </c>
      <c r="AC430" s="2">
        <f>ROUND((ES430),6)</f>
        <v>115.71</v>
      </c>
      <c r="AD430" s="2">
        <f>ROUND((((ET430)-(EU430))+AE430),6)</f>
        <v>0</v>
      </c>
      <c r="AE430" s="2">
        <f>ROUND((EU430),6)</f>
        <v>0</v>
      </c>
      <c r="AF430" s="2">
        <f>ROUND((EV430),6)</f>
        <v>0</v>
      </c>
      <c r="AG430" s="2">
        <f>ROUND((AP430),6)</f>
        <v>0</v>
      </c>
      <c r="AH430" s="2">
        <f>(EW430)</f>
        <v>0</v>
      </c>
      <c r="AI430" s="2">
        <f>(EX430)</f>
        <v>0</v>
      </c>
      <c r="AJ430" s="2">
        <f>(AS430)</f>
        <v>0</v>
      </c>
      <c r="AK430" s="2">
        <v>115.71</v>
      </c>
      <c r="AL430" s="2">
        <v>115.71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101</v>
      </c>
      <c r="AU430" s="2">
        <v>55</v>
      </c>
      <c r="AV430" s="2">
        <v>1</v>
      </c>
      <c r="AW430" s="2">
        <v>1</v>
      </c>
      <c r="AX430" s="2"/>
      <c r="AY430" s="2"/>
      <c r="AZ430" s="2">
        <v>1</v>
      </c>
      <c r="BA430" s="2">
        <v>1</v>
      </c>
      <c r="BB430" s="2">
        <v>1</v>
      </c>
      <c r="BC430" s="2">
        <v>1</v>
      </c>
      <c r="BD430" s="2" t="s">
        <v>3</v>
      </c>
      <c r="BE430" s="2" t="s">
        <v>3</v>
      </c>
      <c r="BF430" s="2" t="s">
        <v>3</v>
      </c>
      <c r="BG430" s="2" t="s">
        <v>3</v>
      </c>
      <c r="BH430" s="2">
        <v>3</v>
      </c>
      <c r="BI430" s="2">
        <v>1</v>
      </c>
      <c r="BJ430" s="2" t="s">
        <v>3</v>
      </c>
      <c r="BK430" s="2"/>
      <c r="BL430" s="2"/>
      <c r="BM430" s="2">
        <v>57</v>
      </c>
      <c r="BN430" s="2">
        <v>0</v>
      </c>
      <c r="BO430" s="2" t="s">
        <v>3</v>
      </c>
      <c r="BP430" s="2">
        <v>0</v>
      </c>
      <c r="BQ430" s="2">
        <v>30</v>
      </c>
      <c r="BR430" s="2">
        <v>0</v>
      </c>
      <c r="BS430" s="2">
        <v>1</v>
      </c>
      <c r="BT430" s="2">
        <v>1</v>
      </c>
      <c r="BU430" s="2">
        <v>1</v>
      </c>
      <c r="BV430" s="2">
        <v>1</v>
      </c>
      <c r="BW430" s="2">
        <v>1</v>
      </c>
      <c r="BX430" s="2">
        <v>1</v>
      </c>
      <c r="BY430" s="2" t="s">
        <v>3</v>
      </c>
      <c r="BZ430" s="2">
        <v>101</v>
      </c>
      <c r="CA430" s="2">
        <v>55</v>
      </c>
      <c r="CB430" s="2" t="s">
        <v>3</v>
      </c>
      <c r="CC430" s="2"/>
      <c r="CD430" s="2"/>
      <c r="CE430" s="2">
        <v>1566</v>
      </c>
      <c r="CF430" s="2">
        <v>0</v>
      </c>
      <c r="CG430" s="2">
        <v>0</v>
      </c>
      <c r="CH430" s="2"/>
      <c r="CI430" s="2"/>
      <c r="CJ430" s="2"/>
      <c r="CK430" s="2"/>
      <c r="CL430" s="2"/>
      <c r="CM430" s="2">
        <v>0</v>
      </c>
      <c r="CN430" s="2" t="s">
        <v>3</v>
      </c>
      <c r="CO430" s="2">
        <v>0</v>
      </c>
      <c r="CP430" s="2">
        <f>(P430+Q430+S430)</f>
        <v>5785.5</v>
      </c>
      <c r="CQ430" s="2">
        <f>ROUND((ROUND((AC430*AW430*1),2)*BC430),2)</f>
        <v>115.71</v>
      </c>
      <c r="CR430" s="2">
        <f>(ROUND((ROUND(((ET430)*AV430*1),2)*BB430),2)+ROUND((ROUND(((AE430-(EU430))*AV430*1),2)*BS430),2))</f>
        <v>0</v>
      </c>
      <c r="CS430" s="2">
        <f>(ROUND((ROUND(((EU430)*AV430*1),2)*BS430),2)+ROUND((ROUND(((AE430-(EU430))*AV430*1),2)*BS430),2))</f>
        <v>0</v>
      </c>
      <c r="CT430" s="2">
        <f>ROUND((ROUND((AF430*AV430*1),2)*BA430),2)</f>
        <v>0</v>
      </c>
      <c r="CU430" s="2">
        <f>AG430</f>
        <v>0</v>
      </c>
      <c r="CV430" s="2">
        <f>(AH430*AV430)</f>
        <v>0</v>
      </c>
      <c r="CW430" s="2">
        <f t="shared" si="296"/>
        <v>0</v>
      </c>
      <c r="CX430" s="2">
        <f t="shared" si="296"/>
        <v>0</v>
      </c>
      <c r="CY430" s="2">
        <f>(ROUND((((S430+ROUND((ROUND(((EU430)*AV430*1),2)*BS430),2))*AT430)/100),2)+ROUND(((ROUND((ROUND(((AE430-(EU430))*AV430*1),2)*BS430),2)*AT430)/100),2))</f>
        <v>0</v>
      </c>
      <c r="CZ430" s="2">
        <f>(ROUND((((S430+ROUND((ROUND(((EU430)*AV430*1),2)*BS430),2))*AU430)/100),2)+ROUND(((ROUND((ROUND(((AE430-(EU430))*AV430*1),2)*BS430),2)*AU430)/100),2))</f>
        <v>0</v>
      </c>
      <c r="DA430" s="2"/>
      <c r="DB430" s="2"/>
      <c r="DC430" s="2" t="s">
        <v>3</v>
      </c>
      <c r="DD430" s="2" t="s">
        <v>3</v>
      </c>
      <c r="DE430" s="2" t="s">
        <v>3</v>
      </c>
      <c r="DF430" s="2" t="s">
        <v>3</v>
      </c>
      <c r="DG430" s="2" t="s">
        <v>3</v>
      </c>
      <c r="DH430" s="2" t="s">
        <v>3</v>
      </c>
      <c r="DI430" s="2" t="s">
        <v>3</v>
      </c>
      <c r="DJ430" s="2" t="s">
        <v>3</v>
      </c>
      <c r="DK430" s="2" t="s">
        <v>3</v>
      </c>
      <c r="DL430" s="2" t="s">
        <v>3</v>
      </c>
      <c r="DM430" s="2" t="s">
        <v>3</v>
      </c>
      <c r="DN430" s="2">
        <v>0</v>
      </c>
      <c r="DO430" s="2">
        <v>0</v>
      </c>
      <c r="DP430" s="2">
        <v>1</v>
      </c>
      <c r="DQ430" s="2">
        <v>1</v>
      </c>
      <c r="DR430" s="2"/>
      <c r="DS430" s="2"/>
      <c r="DT430" s="2"/>
      <c r="DU430" s="2">
        <v>1010</v>
      </c>
      <c r="DV430" s="2" t="s">
        <v>124</v>
      </c>
      <c r="DW430" s="2" t="s">
        <v>124</v>
      </c>
      <c r="DX430" s="2">
        <v>1</v>
      </c>
      <c r="DY430" s="2"/>
      <c r="DZ430" s="2" t="s">
        <v>3</v>
      </c>
      <c r="EA430" s="2" t="s">
        <v>3</v>
      </c>
      <c r="EB430" s="2" t="s">
        <v>3</v>
      </c>
      <c r="EC430" s="2" t="s">
        <v>3</v>
      </c>
      <c r="ED430" s="2"/>
      <c r="EE430" s="2">
        <v>59298984</v>
      </c>
      <c r="EF430" s="2">
        <v>30</v>
      </c>
      <c r="EG430" s="2" t="s">
        <v>26</v>
      </c>
      <c r="EH430" s="2">
        <v>0</v>
      </c>
      <c r="EI430" s="2" t="s">
        <v>3</v>
      </c>
      <c r="EJ430" s="2">
        <v>1</v>
      </c>
      <c r="EK430" s="2">
        <v>57</v>
      </c>
      <c r="EL430" s="2" t="s">
        <v>268</v>
      </c>
      <c r="EM430" s="2" t="s">
        <v>269</v>
      </c>
      <c r="EN430" s="2"/>
      <c r="EO430" s="2" t="s">
        <v>3</v>
      </c>
      <c r="EP430" s="2"/>
      <c r="EQ430" s="2">
        <v>0</v>
      </c>
      <c r="ER430" s="2">
        <v>0</v>
      </c>
      <c r="ES430" s="2">
        <v>115.71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>
        <v>0</v>
      </c>
      <c r="FR430" s="2">
        <v>0</v>
      </c>
      <c r="FS430" s="2">
        <v>0</v>
      </c>
      <c r="FT430" s="2"/>
      <c r="FU430" s="2"/>
      <c r="FV430" s="2"/>
      <c r="FW430" s="2"/>
      <c r="FX430" s="2">
        <v>101</v>
      </c>
      <c r="FY430" s="2">
        <v>55</v>
      </c>
      <c r="FZ430" s="2"/>
      <c r="GA430" s="2" t="s">
        <v>279</v>
      </c>
      <c r="GB430" s="2"/>
      <c r="GC430" s="2"/>
      <c r="GD430" s="2">
        <v>1</v>
      </c>
      <c r="GE430" s="2"/>
      <c r="GF430" s="2">
        <v>-234569777</v>
      </c>
      <c r="GG430" s="2">
        <v>2</v>
      </c>
      <c r="GH430" s="2">
        <v>4</v>
      </c>
      <c r="GI430" s="2">
        <v>-2</v>
      </c>
      <c r="GJ430" s="2">
        <v>0</v>
      </c>
      <c r="GK430" s="2">
        <v>0</v>
      </c>
      <c r="GL430" s="2">
        <f>ROUND(IF(AND(BH430=3,BI430=3,FS430&lt;&gt;0),P430,0),2)</f>
        <v>0</v>
      </c>
      <c r="GM430" s="2">
        <f>ROUND(O430+X430+Y430,2)+GX430</f>
        <v>5785.5</v>
      </c>
      <c r="GN430" s="2">
        <f>IF(OR(BI430=0,BI430=1),GM430-GX430,0)</f>
        <v>5785.5</v>
      </c>
      <c r="GO430" s="2">
        <f>IF(BI430=2,GM430-GX430,0)</f>
        <v>0</v>
      </c>
      <c r="GP430" s="2">
        <f>IF(BI430=4,GM430-GX430,0)</f>
        <v>0</v>
      </c>
      <c r="GQ430" s="2"/>
      <c r="GR430" s="2">
        <v>0</v>
      </c>
      <c r="GS430" s="2">
        <v>2</v>
      </c>
      <c r="GT430" s="2">
        <v>0</v>
      </c>
      <c r="GU430" s="2" t="s">
        <v>3</v>
      </c>
      <c r="GV430" s="2">
        <f>ROUND((GT430),6)</f>
        <v>0</v>
      </c>
      <c r="GW430" s="2">
        <v>1</v>
      </c>
      <c r="GX430" s="2">
        <f>ROUND(HC430*I430,2)</f>
        <v>0</v>
      </c>
      <c r="GY430" s="2"/>
      <c r="GZ430" s="2"/>
      <c r="HA430" s="2">
        <v>0</v>
      </c>
      <c r="HB430" s="2">
        <v>0</v>
      </c>
      <c r="HC430" s="2">
        <f>GV430*GW430</f>
        <v>0</v>
      </c>
      <c r="HD430" s="2"/>
      <c r="HE430" s="2" t="s">
        <v>173</v>
      </c>
      <c r="HF430" s="2" t="s">
        <v>30</v>
      </c>
      <c r="HG430" s="2"/>
      <c r="HH430" s="2"/>
      <c r="HI430" s="2"/>
      <c r="HJ430" s="2"/>
      <c r="HK430" s="2"/>
      <c r="HL430" s="2"/>
      <c r="HM430" s="2" t="s">
        <v>3</v>
      </c>
      <c r="HN430" s="2" t="s">
        <v>3</v>
      </c>
      <c r="HO430" s="2" t="s">
        <v>3</v>
      </c>
      <c r="HP430" s="2" t="s">
        <v>3</v>
      </c>
      <c r="HQ430" s="2" t="s">
        <v>3</v>
      </c>
      <c r="HR430" s="2"/>
      <c r="HS430" s="2">
        <v>0</v>
      </c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>
        <v>0</v>
      </c>
      <c r="IL430" s="2"/>
      <c r="IM430" s="2"/>
      <c r="IN430" s="2"/>
      <c r="IO430" s="2"/>
      <c r="IP430" s="2"/>
      <c r="IQ430" s="2"/>
      <c r="IR430" s="2"/>
      <c r="IS430" s="2"/>
      <c r="IT430" s="2"/>
      <c r="IU430" s="2"/>
    </row>
    <row r="431" spans="1:255" x14ac:dyDescent="0.2">
      <c r="A431">
        <v>18</v>
      </c>
      <c r="B431">
        <v>1</v>
      </c>
      <c r="C431">
        <v>176</v>
      </c>
      <c r="E431" t="s">
        <v>276</v>
      </c>
      <c r="F431" t="s">
        <v>277</v>
      </c>
      <c r="G431" t="s">
        <v>278</v>
      </c>
      <c r="H431" t="s">
        <v>124</v>
      </c>
      <c r="I431">
        <f>I429*J431</f>
        <v>50</v>
      </c>
      <c r="J431">
        <v>357.14285714285711</v>
      </c>
      <c r="K431">
        <v>357.14285699999999</v>
      </c>
      <c r="O431">
        <f>ROUND(CP431,2)</f>
        <v>57160.74</v>
      </c>
      <c r="P431">
        <f>ROUND((ROUND((AC431*AW431*I431),2)*BC431),2)</f>
        <v>57160.74</v>
      </c>
      <c r="Q431">
        <f>(ROUND((ROUND(((ET431)*AV431*I431),2)*BB431),2)+ROUND((ROUND(((AE431-(EU431))*AV431*I431),2)*BS431),2))</f>
        <v>0</v>
      </c>
      <c r="R431">
        <f>(ROUND((ROUND(((EU431)*AV431*I431),2)*BS431),2)+ROUND((ROUND(((AE431-(EU431))*AV431*I431),2)*BS431),2))</f>
        <v>0</v>
      </c>
      <c r="S431">
        <f>ROUND((ROUND((AF431*AV431*I431),2)*BA431),2)</f>
        <v>0</v>
      </c>
      <c r="T431">
        <f>ROUND(CU431*I431,2)</f>
        <v>0</v>
      </c>
      <c r="U431">
        <f>CV431*I431</f>
        <v>0</v>
      </c>
      <c r="V431">
        <f>CW431*I431</f>
        <v>0</v>
      </c>
      <c r="W431">
        <f>ROUND(CX431*I431,2)</f>
        <v>0</v>
      </c>
      <c r="X431">
        <f>(ROUND((((S431+ROUND((ROUND(((EU431)*AV431*I431),2)*BS431),2))*AT431)/100),2)+ROUND(((ROUND((ROUND(((AE431-(EU431))*AV431*I431),2)*BS431),2)*AT431)/100),2))</f>
        <v>0</v>
      </c>
      <c r="Y431">
        <f>(ROUND((((S431+ROUND((ROUND(((EU431)*AV431*I431),2)*BS431),2))*AU431)/100),2)+ROUND(((ROUND((ROUND(((AE431-(EU431))*AV431*I431),2)*BS431),2)*AU431)/100),2))</f>
        <v>0</v>
      </c>
      <c r="AA431">
        <v>59499215</v>
      </c>
      <c r="AB431">
        <f>ROUND((AC431+AD431+AF431),6)</f>
        <v>115.71</v>
      </c>
      <c r="AC431">
        <f>ROUND((ES431),6)</f>
        <v>115.71</v>
      </c>
      <c r="AD431">
        <f>ROUND((((ET431)-(EU431))+AE431),6)</f>
        <v>0</v>
      </c>
      <c r="AE431">
        <f>ROUND((EU431),6)</f>
        <v>0</v>
      </c>
      <c r="AF431">
        <f>ROUND((EV431),6)</f>
        <v>0</v>
      </c>
      <c r="AG431">
        <f>ROUND((AP431),6)</f>
        <v>0</v>
      </c>
      <c r="AH431">
        <f>(EW431)</f>
        <v>0</v>
      </c>
      <c r="AI431">
        <f>(EX431)</f>
        <v>0</v>
      </c>
      <c r="AJ431">
        <f>(AS431)</f>
        <v>0</v>
      </c>
      <c r="AK431">
        <v>115.71</v>
      </c>
      <c r="AL431">
        <v>115.71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101</v>
      </c>
      <c r="AU431">
        <v>55</v>
      </c>
      <c r="AV431">
        <v>1</v>
      </c>
      <c r="AW431">
        <v>1</v>
      </c>
      <c r="AZ431">
        <v>1</v>
      </c>
      <c r="BA431">
        <v>1</v>
      </c>
      <c r="BB431">
        <v>1</v>
      </c>
      <c r="BC431">
        <v>9.8800000000000008</v>
      </c>
      <c r="BD431" t="s">
        <v>3</v>
      </c>
      <c r="BE431" t="s">
        <v>3</v>
      </c>
      <c r="BF431" t="s">
        <v>3</v>
      </c>
      <c r="BG431" t="s">
        <v>3</v>
      </c>
      <c r="BH431">
        <v>3</v>
      </c>
      <c r="BI431">
        <v>1</v>
      </c>
      <c r="BJ431" t="s">
        <v>3</v>
      </c>
      <c r="BM431">
        <v>57</v>
      </c>
      <c r="BN431">
        <v>0</v>
      </c>
      <c r="BO431" t="s">
        <v>3</v>
      </c>
      <c r="BP431">
        <v>0</v>
      </c>
      <c r="BQ431">
        <v>30</v>
      </c>
      <c r="BR431">
        <v>0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 t="s">
        <v>3</v>
      </c>
      <c r="BZ431">
        <v>101</v>
      </c>
      <c r="CA431">
        <v>55</v>
      </c>
      <c r="CB431" t="s">
        <v>3</v>
      </c>
      <c r="CE431">
        <v>1566</v>
      </c>
      <c r="CF431">
        <v>0</v>
      </c>
      <c r="CG431">
        <v>0</v>
      </c>
      <c r="CM431">
        <v>0</v>
      </c>
      <c r="CN431" t="s">
        <v>3</v>
      </c>
      <c r="CO431">
        <v>0</v>
      </c>
      <c r="CP431">
        <f>(P431+Q431+S431)</f>
        <v>57160.74</v>
      </c>
      <c r="CQ431">
        <f>ROUND((ROUND((AC431*AW431*1),2)*BC431),2)</f>
        <v>1143.21</v>
      </c>
      <c r="CR431">
        <f>(ROUND((ROUND(((ET431)*AV431*1),2)*BB431),2)+ROUND((ROUND(((AE431-(EU431))*AV431*1),2)*BS431),2))</f>
        <v>0</v>
      </c>
      <c r="CS431">
        <f>(ROUND((ROUND(((EU431)*AV431*1),2)*BS431),2)+ROUND((ROUND(((AE431-(EU431))*AV431*1),2)*BS431),2))</f>
        <v>0</v>
      </c>
      <c r="CT431">
        <f>ROUND((ROUND((AF431*AV431*1),2)*BA431),2)</f>
        <v>0</v>
      </c>
      <c r="CU431">
        <f>AG431</f>
        <v>0</v>
      </c>
      <c r="CV431">
        <f>(AH431*AV431)</f>
        <v>0</v>
      </c>
      <c r="CW431">
        <f t="shared" si="296"/>
        <v>0</v>
      </c>
      <c r="CX431">
        <f t="shared" si="296"/>
        <v>0</v>
      </c>
      <c r="CY431">
        <f>(ROUND((((S431+ROUND((ROUND(((EU431)*AV431*1),2)*BS431),2))*AT431)/100),2)+ROUND(((ROUND((ROUND(((AE431-(EU431))*AV431*1),2)*BS431),2)*AT431)/100),2))</f>
        <v>0</v>
      </c>
      <c r="CZ431">
        <f>(ROUND((((S431+ROUND((ROUND(((EU431)*AV431*1),2)*BS431),2))*AU431)/100),2)+ROUND(((ROUND((ROUND(((AE431-(EU431))*AV431*1),2)*BS431),2)*AU431)/100),2))</f>
        <v>0</v>
      </c>
      <c r="DC431" t="s">
        <v>3</v>
      </c>
      <c r="DD431" t="s">
        <v>3</v>
      </c>
      <c r="DE431" t="s">
        <v>3</v>
      </c>
      <c r="DF431" t="s">
        <v>3</v>
      </c>
      <c r="DG431" t="s">
        <v>3</v>
      </c>
      <c r="DH431" t="s">
        <v>3</v>
      </c>
      <c r="DI431" t="s">
        <v>3</v>
      </c>
      <c r="DJ431" t="s">
        <v>3</v>
      </c>
      <c r="DK431" t="s">
        <v>3</v>
      </c>
      <c r="DL431" t="s">
        <v>3</v>
      </c>
      <c r="DM431" t="s">
        <v>3</v>
      </c>
      <c r="DN431">
        <v>0</v>
      </c>
      <c r="DO431">
        <v>0</v>
      </c>
      <c r="DP431">
        <v>1</v>
      </c>
      <c r="DQ431">
        <v>1</v>
      </c>
      <c r="DU431">
        <v>1010</v>
      </c>
      <c r="DV431" t="s">
        <v>124</v>
      </c>
      <c r="DW431" t="s">
        <v>124</v>
      </c>
      <c r="DX431">
        <v>1</v>
      </c>
      <c r="DZ431" t="s">
        <v>3</v>
      </c>
      <c r="EA431" t="s">
        <v>3</v>
      </c>
      <c r="EB431" t="s">
        <v>3</v>
      </c>
      <c r="EC431" t="s">
        <v>3</v>
      </c>
      <c r="EE431">
        <v>59298984</v>
      </c>
      <c r="EF431">
        <v>30</v>
      </c>
      <c r="EG431" t="s">
        <v>26</v>
      </c>
      <c r="EH431">
        <v>0</v>
      </c>
      <c r="EI431" t="s">
        <v>3</v>
      </c>
      <c r="EJ431">
        <v>1</v>
      </c>
      <c r="EK431">
        <v>57</v>
      </c>
      <c r="EL431" t="s">
        <v>268</v>
      </c>
      <c r="EM431" t="s">
        <v>269</v>
      </c>
      <c r="EO431" t="s">
        <v>3</v>
      </c>
      <c r="EQ431">
        <v>0</v>
      </c>
      <c r="ER431">
        <v>115.71</v>
      </c>
      <c r="ES431">
        <v>115.71</v>
      </c>
      <c r="ET431">
        <v>0</v>
      </c>
      <c r="EU431">
        <v>0</v>
      </c>
      <c r="EV431">
        <v>0</v>
      </c>
      <c r="EW431">
        <v>0</v>
      </c>
      <c r="EX431">
        <v>0</v>
      </c>
      <c r="EZ431">
        <v>5</v>
      </c>
      <c r="FC431">
        <v>1</v>
      </c>
      <c r="FD431">
        <v>18</v>
      </c>
      <c r="FF431">
        <v>1345</v>
      </c>
      <c r="FQ431">
        <v>0</v>
      </c>
      <c r="FR431">
        <v>0</v>
      </c>
      <c r="FS431">
        <v>0</v>
      </c>
      <c r="FX431">
        <v>101</v>
      </c>
      <c r="FY431">
        <v>55</v>
      </c>
      <c r="GA431" t="s">
        <v>279</v>
      </c>
      <c r="GD431">
        <v>1</v>
      </c>
      <c r="GF431">
        <v>-234569777</v>
      </c>
      <c r="GG431">
        <v>2</v>
      </c>
      <c r="GH431">
        <v>3</v>
      </c>
      <c r="GI431">
        <v>3</v>
      </c>
      <c r="GJ431">
        <v>0</v>
      </c>
      <c r="GK431">
        <v>0</v>
      </c>
      <c r="GL431">
        <f>ROUND(IF(AND(BH431=3,BI431=3,FS431&lt;&gt;0),P431,0),2)</f>
        <v>0</v>
      </c>
      <c r="GM431">
        <f>ROUND(O431+X431+Y431,2)+GX431</f>
        <v>57160.74</v>
      </c>
      <c r="GN431">
        <f>IF(OR(BI431=0,BI431=1),GM431-GX431,0)</f>
        <v>57160.74</v>
      </c>
      <c r="GO431">
        <f>IF(BI431=2,GM431-GX431,0)</f>
        <v>0</v>
      </c>
      <c r="GP431">
        <f>IF(BI431=4,GM431-GX431,0)</f>
        <v>0</v>
      </c>
      <c r="GR431">
        <v>1</v>
      </c>
      <c r="GS431">
        <v>1</v>
      </c>
      <c r="GT431">
        <v>0</v>
      </c>
      <c r="GU431" t="s">
        <v>3</v>
      </c>
      <c r="GV431">
        <f>ROUND((GT431),6)</f>
        <v>0</v>
      </c>
      <c r="GW431">
        <v>1</v>
      </c>
      <c r="GX431">
        <f>ROUND(HC431*I431,2)</f>
        <v>0</v>
      </c>
      <c r="HA431">
        <v>0</v>
      </c>
      <c r="HB431">
        <v>0</v>
      </c>
      <c r="HC431">
        <f>GV431*GW431</f>
        <v>0</v>
      </c>
      <c r="HE431" t="s">
        <v>173</v>
      </c>
      <c r="HF431" t="s">
        <v>30</v>
      </c>
      <c r="HM431" t="s">
        <v>3</v>
      </c>
      <c r="HN431" t="s">
        <v>3</v>
      </c>
      <c r="HO431" t="s">
        <v>3</v>
      </c>
      <c r="HP431" t="s">
        <v>3</v>
      </c>
      <c r="HQ431" t="s">
        <v>3</v>
      </c>
      <c r="HS431">
        <v>0</v>
      </c>
      <c r="IK431">
        <v>0</v>
      </c>
    </row>
    <row r="433" spans="1:206" x14ac:dyDescent="0.2">
      <c r="A433" s="3">
        <v>51</v>
      </c>
      <c r="B433" s="3">
        <f>B424</f>
        <v>1</v>
      </c>
      <c r="C433" s="3">
        <f>A424</f>
        <v>4</v>
      </c>
      <c r="D433" s="3">
        <f>ROW(A424)</f>
        <v>424</v>
      </c>
      <c r="E433" s="3"/>
      <c r="F433" s="3" t="str">
        <f>IF(F424&lt;&gt;"",F424,"")</f>
        <v/>
      </c>
      <c r="G433" s="3" t="str">
        <f>IF(G424&lt;&gt;"",G424,"")</f>
        <v>Алюминиевая тактильная направляющая полоска</v>
      </c>
      <c r="H433" s="3">
        <v>0</v>
      </c>
      <c r="I433" s="3"/>
      <c r="J433" s="3"/>
      <c r="K433" s="3"/>
      <c r="L433" s="3"/>
      <c r="M433" s="3"/>
      <c r="N433" s="3"/>
      <c r="O433" s="3">
        <f t="shared" ref="O433:T433" si="297">ROUND(AB433,2)</f>
        <v>5840.5</v>
      </c>
      <c r="P433" s="3">
        <f t="shared" si="297"/>
        <v>5791.84</v>
      </c>
      <c r="Q433" s="3">
        <f t="shared" si="297"/>
        <v>1.61</v>
      </c>
      <c r="R433" s="3">
        <f t="shared" si="297"/>
        <v>0.05</v>
      </c>
      <c r="S433" s="3">
        <f t="shared" si="297"/>
        <v>47.05</v>
      </c>
      <c r="T433" s="3">
        <f t="shared" si="297"/>
        <v>0</v>
      </c>
      <c r="U433" s="3">
        <f>AH433</f>
        <v>3.0854503680000005</v>
      </c>
      <c r="V433" s="3">
        <f>AI433</f>
        <v>0</v>
      </c>
      <c r="W433" s="3">
        <f>ROUND(AJ433,2)</f>
        <v>0</v>
      </c>
      <c r="X433" s="3">
        <f>ROUND(AK433,2)</f>
        <v>47.57</v>
      </c>
      <c r="Y433" s="3">
        <f>ROUND(AL433,2)</f>
        <v>25.91</v>
      </c>
      <c r="Z433" s="3"/>
      <c r="AA433" s="3"/>
      <c r="AB433" s="3">
        <f>ROUND(SUMIF(AA428:AA431,"=59499218",O428:O431),2)</f>
        <v>5840.5</v>
      </c>
      <c r="AC433" s="3">
        <f>ROUND(SUMIF(AA428:AA431,"=59499218",P428:P431),2)</f>
        <v>5791.84</v>
      </c>
      <c r="AD433" s="3">
        <f>ROUND(SUMIF(AA428:AA431,"=59499218",Q428:Q431),2)</f>
        <v>1.61</v>
      </c>
      <c r="AE433" s="3">
        <f>ROUND(SUMIF(AA428:AA431,"=59499218",R428:R431),2)</f>
        <v>0.05</v>
      </c>
      <c r="AF433" s="3">
        <f>ROUND(SUMIF(AA428:AA431,"=59499218",S428:S431),2)</f>
        <v>47.05</v>
      </c>
      <c r="AG433" s="3">
        <f>ROUND(SUMIF(AA428:AA431,"=59499218",T428:T431),2)</f>
        <v>0</v>
      </c>
      <c r="AH433" s="3">
        <f>SUMIF(AA428:AA431,"=59499218",U428:U431)</f>
        <v>3.0854503680000005</v>
      </c>
      <c r="AI433" s="3">
        <f>SUMIF(AA428:AA431,"=59499218",V428:V431)</f>
        <v>0</v>
      </c>
      <c r="AJ433" s="3">
        <f>ROUND(SUMIF(AA428:AA431,"=59499218",W428:W431),2)</f>
        <v>0</v>
      </c>
      <c r="AK433" s="3">
        <f>ROUND(SUMIF(AA428:AA431,"=59499218",X428:X431),2)</f>
        <v>47.57</v>
      </c>
      <c r="AL433" s="3">
        <f>ROUND(SUMIF(AA428:AA431,"=59499218",Y428:Y431),2)</f>
        <v>25.91</v>
      </c>
      <c r="AM433" s="3"/>
      <c r="AN433" s="3"/>
      <c r="AO433" s="3">
        <f t="shared" ref="AO433:BD433" si="298">ROUND(BX433,2)</f>
        <v>0</v>
      </c>
      <c r="AP433" s="3">
        <f t="shared" si="298"/>
        <v>0</v>
      </c>
      <c r="AQ433" s="3">
        <f t="shared" si="298"/>
        <v>0</v>
      </c>
      <c r="AR433" s="3">
        <f t="shared" si="298"/>
        <v>5913.98</v>
      </c>
      <c r="AS433" s="3">
        <f t="shared" si="298"/>
        <v>5913.98</v>
      </c>
      <c r="AT433" s="3">
        <f t="shared" si="298"/>
        <v>0</v>
      </c>
      <c r="AU433" s="3">
        <f t="shared" si="298"/>
        <v>0</v>
      </c>
      <c r="AV433" s="3">
        <f t="shared" si="298"/>
        <v>5791.84</v>
      </c>
      <c r="AW433" s="3">
        <f t="shared" si="298"/>
        <v>5791.84</v>
      </c>
      <c r="AX433" s="3">
        <f t="shared" si="298"/>
        <v>0</v>
      </c>
      <c r="AY433" s="3">
        <f t="shared" si="298"/>
        <v>5791.84</v>
      </c>
      <c r="AZ433" s="3">
        <f t="shared" si="298"/>
        <v>0</v>
      </c>
      <c r="BA433" s="3">
        <f t="shared" si="298"/>
        <v>0</v>
      </c>
      <c r="BB433" s="3">
        <f t="shared" si="298"/>
        <v>0</v>
      </c>
      <c r="BC433" s="3">
        <f t="shared" si="298"/>
        <v>0</v>
      </c>
      <c r="BD433" s="3">
        <f t="shared" si="298"/>
        <v>0</v>
      </c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>
        <f>ROUND(SUMIF(AA428:AA431,"=59499218",FQ428:FQ431),2)</f>
        <v>0</v>
      </c>
      <c r="BY433" s="3">
        <f>ROUND(SUMIF(AA428:AA431,"=59499218",FR428:FR431),2)</f>
        <v>0</v>
      </c>
      <c r="BZ433" s="3">
        <f>ROUND(SUMIF(AA428:AA431,"=59499218",GL428:GL431),2)</f>
        <v>0</v>
      </c>
      <c r="CA433" s="3">
        <f>ROUND(SUMIF(AA428:AA431,"=59499218",GM428:GM431),2)</f>
        <v>5913.98</v>
      </c>
      <c r="CB433" s="3">
        <f>ROUND(SUMIF(AA428:AA431,"=59499218",GN428:GN431),2)</f>
        <v>5913.98</v>
      </c>
      <c r="CC433" s="3">
        <f>ROUND(SUMIF(AA428:AA431,"=59499218",GO428:GO431),2)</f>
        <v>0</v>
      </c>
      <c r="CD433" s="3">
        <f>ROUND(SUMIF(AA428:AA431,"=59499218",GP428:GP431),2)</f>
        <v>0</v>
      </c>
      <c r="CE433" s="3">
        <f>AC433-BX433</f>
        <v>5791.84</v>
      </c>
      <c r="CF433" s="3">
        <f>AC433-BY433</f>
        <v>5791.84</v>
      </c>
      <c r="CG433" s="3">
        <f>BX433-BZ433</f>
        <v>0</v>
      </c>
      <c r="CH433" s="3">
        <f>AC433-BX433-BY433+BZ433</f>
        <v>5791.84</v>
      </c>
      <c r="CI433" s="3">
        <f>BY433-BZ433</f>
        <v>0</v>
      </c>
      <c r="CJ433" s="3">
        <f>ROUND(SUMIF(AA428:AA431,"=59499218",GX428:GX431),2)</f>
        <v>0</v>
      </c>
      <c r="CK433" s="3">
        <f>ROUND(SUMIF(AA428:AA431,"=59499218",GY428:GY431),2)</f>
        <v>0</v>
      </c>
      <c r="CL433" s="3">
        <f>ROUND(SUMIF(AA428:AA431,"=59499218",GZ428:GZ431),2)</f>
        <v>0</v>
      </c>
      <c r="CM433" s="3">
        <f>ROUND(SUMIF(AA428:AA431,"=59499218",HD428:HD431),2)</f>
        <v>0</v>
      </c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4">
        <f t="shared" ref="DG433:DL433" si="299">ROUND(DT433,2)</f>
        <v>59791.23</v>
      </c>
      <c r="DH433" s="4">
        <f t="shared" si="299"/>
        <v>57187.43</v>
      </c>
      <c r="DI433" s="4">
        <f t="shared" si="299"/>
        <v>16.52</v>
      </c>
      <c r="DJ433" s="4">
        <f t="shared" si="299"/>
        <v>2.75</v>
      </c>
      <c r="DK433" s="4">
        <f t="shared" si="299"/>
        <v>2587.2800000000002</v>
      </c>
      <c r="DL433" s="4">
        <f t="shared" si="299"/>
        <v>0</v>
      </c>
      <c r="DM433" s="4">
        <f>DZ433</f>
        <v>3.0854503680000005</v>
      </c>
      <c r="DN433" s="4">
        <f>EA433</f>
        <v>0</v>
      </c>
      <c r="DO433" s="4">
        <f>ROUND(EB433,2)</f>
        <v>0</v>
      </c>
      <c r="DP433" s="4">
        <f>ROUND(EC433,2)</f>
        <v>2615.9299999999998</v>
      </c>
      <c r="DQ433" s="4">
        <f>ROUND(ED433,2)</f>
        <v>1424.52</v>
      </c>
      <c r="DR433" s="4"/>
      <c r="DS433" s="4"/>
      <c r="DT433" s="4">
        <f>ROUND(SUMIF(AA428:AA431,"=59499215",O428:O431),2)</f>
        <v>59791.23</v>
      </c>
      <c r="DU433" s="4">
        <f>ROUND(SUMIF(AA428:AA431,"=59499215",P428:P431),2)</f>
        <v>57187.43</v>
      </c>
      <c r="DV433" s="4">
        <f>ROUND(SUMIF(AA428:AA431,"=59499215",Q428:Q431),2)</f>
        <v>16.52</v>
      </c>
      <c r="DW433" s="4">
        <f>ROUND(SUMIF(AA428:AA431,"=59499215",R428:R431),2)</f>
        <v>2.75</v>
      </c>
      <c r="DX433" s="4">
        <f>ROUND(SUMIF(AA428:AA431,"=59499215",S428:S431),2)</f>
        <v>2587.2800000000002</v>
      </c>
      <c r="DY433" s="4">
        <f>ROUND(SUMIF(AA428:AA431,"=59499215",T428:T431),2)</f>
        <v>0</v>
      </c>
      <c r="DZ433" s="4">
        <f>SUMIF(AA428:AA431,"=59499215",U428:U431)</f>
        <v>3.0854503680000005</v>
      </c>
      <c r="EA433" s="4">
        <f>SUMIF(AA428:AA431,"=59499215",V428:V431)</f>
        <v>0</v>
      </c>
      <c r="EB433" s="4">
        <f>ROUND(SUMIF(AA428:AA431,"=59499215",W428:W431),2)</f>
        <v>0</v>
      </c>
      <c r="EC433" s="4">
        <f>ROUND(SUMIF(AA428:AA431,"=59499215",X428:X431),2)</f>
        <v>2615.9299999999998</v>
      </c>
      <c r="ED433" s="4">
        <f>ROUND(SUMIF(AA428:AA431,"=59499215",Y428:Y431),2)</f>
        <v>1424.52</v>
      </c>
      <c r="EE433" s="4"/>
      <c r="EF433" s="4"/>
      <c r="EG433" s="4">
        <f t="shared" ref="EG433:EV433" si="300">ROUND(FP433,2)</f>
        <v>0</v>
      </c>
      <c r="EH433" s="4">
        <f t="shared" si="300"/>
        <v>0</v>
      </c>
      <c r="EI433" s="4">
        <f t="shared" si="300"/>
        <v>0</v>
      </c>
      <c r="EJ433" s="4">
        <f t="shared" si="300"/>
        <v>63831.68</v>
      </c>
      <c r="EK433" s="4">
        <f t="shared" si="300"/>
        <v>63831.68</v>
      </c>
      <c r="EL433" s="4">
        <f t="shared" si="300"/>
        <v>0</v>
      </c>
      <c r="EM433" s="4">
        <f t="shared" si="300"/>
        <v>0</v>
      </c>
      <c r="EN433" s="4">
        <f t="shared" si="300"/>
        <v>57187.43</v>
      </c>
      <c r="EO433" s="4">
        <f t="shared" si="300"/>
        <v>57187.43</v>
      </c>
      <c r="EP433" s="4">
        <f t="shared" si="300"/>
        <v>0</v>
      </c>
      <c r="EQ433" s="4">
        <f t="shared" si="300"/>
        <v>57187.43</v>
      </c>
      <c r="ER433" s="4">
        <f t="shared" si="300"/>
        <v>0</v>
      </c>
      <c r="ES433" s="4">
        <f t="shared" si="300"/>
        <v>0</v>
      </c>
      <c r="ET433" s="4">
        <f t="shared" si="300"/>
        <v>0</v>
      </c>
      <c r="EU433" s="4">
        <f t="shared" si="300"/>
        <v>0</v>
      </c>
      <c r="EV433" s="4">
        <f t="shared" si="300"/>
        <v>0</v>
      </c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>
        <f>ROUND(SUMIF(AA428:AA431,"=59499215",FQ428:FQ431),2)</f>
        <v>0</v>
      </c>
      <c r="FQ433" s="4">
        <f>ROUND(SUMIF(AA428:AA431,"=59499215",FR428:FR431),2)</f>
        <v>0</v>
      </c>
      <c r="FR433" s="4">
        <f>ROUND(SUMIF(AA428:AA431,"=59499215",GL428:GL431),2)</f>
        <v>0</v>
      </c>
      <c r="FS433" s="4">
        <f>ROUND(SUMIF(AA428:AA431,"=59499215",GM428:GM431),2)</f>
        <v>63831.68</v>
      </c>
      <c r="FT433" s="4">
        <f>ROUND(SUMIF(AA428:AA431,"=59499215",GN428:GN431),2)</f>
        <v>63831.68</v>
      </c>
      <c r="FU433" s="4">
        <f>ROUND(SUMIF(AA428:AA431,"=59499215",GO428:GO431),2)</f>
        <v>0</v>
      </c>
      <c r="FV433" s="4">
        <f>ROUND(SUMIF(AA428:AA431,"=59499215",GP428:GP431),2)</f>
        <v>0</v>
      </c>
      <c r="FW433" s="4">
        <f>DU433-FP433</f>
        <v>57187.43</v>
      </c>
      <c r="FX433" s="4">
        <f>DU433-FQ433</f>
        <v>57187.43</v>
      </c>
      <c r="FY433" s="4">
        <f>FP433-FR433</f>
        <v>0</v>
      </c>
      <c r="FZ433" s="4">
        <f>DU433-FP433-FQ433+FR433</f>
        <v>57187.43</v>
      </c>
      <c r="GA433" s="4">
        <f>FQ433-FR433</f>
        <v>0</v>
      </c>
      <c r="GB433" s="4">
        <f>ROUND(SUMIF(AA428:AA431,"=59499215",GX428:GX431),2)</f>
        <v>0</v>
      </c>
      <c r="GC433" s="4">
        <f>ROUND(SUMIF(AA428:AA431,"=59499215",GY428:GY431),2)</f>
        <v>0</v>
      </c>
      <c r="GD433" s="4">
        <f>ROUND(SUMIF(AA428:AA431,"=59499215",GZ428:GZ431),2)</f>
        <v>0</v>
      </c>
      <c r="GE433" s="4">
        <f>ROUND(SUMIF(AA428:AA431,"=59499215",HD428:HD431),2)</f>
        <v>0</v>
      </c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>
        <v>0</v>
      </c>
    </row>
    <row r="435" spans="1:206" x14ac:dyDescent="0.2">
      <c r="A435" s="5">
        <v>50</v>
      </c>
      <c r="B435" s="5">
        <v>0</v>
      </c>
      <c r="C435" s="5">
        <v>0</v>
      </c>
      <c r="D435" s="5">
        <v>1</v>
      </c>
      <c r="E435" s="5">
        <v>201</v>
      </c>
      <c r="F435" s="5">
        <f>ROUND(Source!O433,O435)</f>
        <v>5840.5</v>
      </c>
      <c r="G435" s="5" t="s">
        <v>46</v>
      </c>
      <c r="H435" s="5" t="s">
        <v>47</v>
      </c>
      <c r="I435" s="5"/>
      <c r="J435" s="5"/>
      <c r="K435" s="5">
        <v>201</v>
      </c>
      <c r="L435" s="5">
        <v>1</v>
      </c>
      <c r="M435" s="5">
        <v>3</v>
      </c>
      <c r="N435" s="5" t="s">
        <v>3</v>
      </c>
      <c r="O435" s="5">
        <v>2</v>
      </c>
      <c r="P435" s="5">
        <f>ROUND(Source!DG433,O435)</f>
        <v>59791.23</v>
      </c>
      <c r="Q435" s="5"/>
      <c r="R435" s="5"/>
      <c r="S435" s="5"/>
      <c r="T435" s="5"/>
      <c r="U435" s="5"/>
      <c r="V435" s="5"/>
      <c r="W435" s="5">
        <v>5840.5</v>
      </c>
      <c r="X435" s="5">
        <v>1</v>
      </c>
      <c r="Y435" s="5">
        <v>5840.5</v>
      </c>
      <c r="Z435" s="5">
        <v>59791.23</v>
      </c>
      <c r="AA435" s="5">
        <v>1</v>
      </c>
      <c r="AB435" s="5">
        <v>59791.23</v>
      </c>
    </row>
    <row r="436" spans="1:206" x14ac:dyDescent="0.2">
      <c r="A436" s="5">
        <v>50</v>
      </c>
      <c r="B436" s="5">
        <v>0</v>
      </c>
      <c r="C436" s="5">
        <v>0</v>
      </c>
      <c r="D436" s="5">
        <v>1</v>
      </c>
      <c r="E436" s="5">
        <v>202</v>
      </c>
      <c r="F436" s="5">
        <f>ROUND(Source!P433,O436)</f>
        <v>5791.84</v>
      </c>
      <c r="G436" s="5" t="s">
        <v>48</v>
      </c>
      <c r="H436" s="5" t="s">
        <v>49</v>
      </c>
      <c r="I436" s="5"/>
      <c r="J436" s="5"/>
      <c r="K436" s="5">
        <v>202</v>
      </c>
      <c r="L436" s="5">
        <v>2</v>
      </c>
      <c r="M436" s="5">
        <v>3</v>
      </c>
      <c r="N436" s="5" t="s">
        <v>3</v>
      </c>
      <c r="O436" s="5">
        <v>2</v>
      </c>
      <c r="P436" s="5">
        <f>ROUND(Source!DH433,O436)</f>
        <v>57187.43</v>
      </c>
      <c r="Q436" s="5"/>
      <c r="R436" s="5"/>
      <c r="S436" s="5"/>
      <c r="T436" s="5"/>
      <c r="U436" s="5"/>
      <c r="V436" s="5"/>
      <c r="W436" s="5">
        <v>5791.84</v>
      </c>
      <c r="X436" s="5">
        <v>1</v>
      </c>
      <c r="Y436" s="5">
        <v>5791.84</v>
      </c>
      <c r="Z436" s="5">
        <v>57187.43</v>
      </c>
      <c r="AA436" s="5">
        <v>1</v>
      </c>
      <c r="AB436" s="5">
        <v>57187.43</v>
      </c>
    </row>
    <row r="437" spans="1:206" x14ac:dyDescent="0.2">
      <c r="A437" s="5">
        <v>50</v>
      </c>
      <c r="B437" s="5">
        <v>0</v>
      </c>
      <c r="C437" s="5">
        <v>0</v>
      </c>
      <c r="D437" s="5">
        <v>1</v>
      </c>
      <c r="E437" s="5">
        <v>222</v>
      </c>
      <c r="F437" s="5">
        <f>ROUND(Source!AO433,O437)</f>
        <v>0</v>
      </c>
      <c r="G437" s="5" t="s">
        <v>50</v>
      </c>
      <c r="H437" s="5" t="s">
        <v>51</v>
      </c>
      <c r="I437" s="5"/>
      <c r="J437" s="5"/>
      <c r="K437" s="5">
        <v>222</v>
      </c>
      <c r="L437" s="5">
        <v>3</v>
      </c>
      <c r="M437" s="5">
        <v>3</v>
      </c>
      <c r="N437" s="5" t="s">
        <v>3</v>
      </c>
      <c r="O437" s="5">
        <v>2</v>
      </c>
      <c r="P437" s="5">
        <f>ROUND(Source!EG433,O437)</f>
        <v>0</v>
      </c>
      <c r="Q437" s="5"/>
      <c r="R437" s="5"/>
      <c r="S437" s="5"/>
      <c r="T437" s="5"/>
      <c r="U437" s="5"/>
      <c r="V437" s="5"/>
      <c r="W437" s="5">
        <v>0</v>
      </c>
      <c r="X437" s="5">
        <v>1</v>
      </c>
      <c r="Y437" s="5">
        <v>0</v>
      </c>
      <c r="Z437" s="5">
        <v>0</v>
      </c>
      <c r="AA437" s="5">
        <v>1</v>
      </c>
      <c r="AB437" s="5">
        <v>0</v>
      </c>
    </row>
    <row r="438" spans="1:206" x14ac:dyDescent="0.2">
      <c r="A438" s="5">
        <v>50</v>
      </c>
      <c r="B438" s="5">
        <v>0</v>
      </c>
      <c r="C438" s="5">
        <v>0</v>
      </c>
      <c r="D438" s="5">
        <v>1</v>
      </c>
      <c r="E438" s="5">
        <v>225</v>
      </c>
      <c r="F438" s="5">
        <f>ROUND(Source!AV433,O438)</f>
        <v>5791.84</v>
      </c>
      <c r="G438" s="5" t="s">
        <v>52</v>
      </c>
      <c r="H438" s="5" t="s">
        <v>53</v>
      </c>
      <c r="I438" s="5"/>
      <c r="J438" s="5"/>
      <c r="K438" s="5">
        <v>225</v>
      </c>
      <c r="L438" s="5">
        <v>4</v>
      </c>
      <c r="M438" s="5">
        <v>3</v>
      </c>
      <c r="N438" s="5" t="s">
        <v>3</v>
      </c>
      <c r="O438" s="5">
        <v>2</v>
      </c>
      <c r="P438" s="5">
        <f>ROUND(Source!EN433,O438)</f>
        <v>57187.43</v>
      </c>
      <c r="Q438" s="5"/>
      <c r="R438" s="5"/>
      <c r="S438" s="5"/>
      <c r="T438" s="5"/>
      <c r="U438" s="5"/>
      <c r="V438" s="5"/>
      <c r="W438" s="5">
        <v>5791.84</v>
      </c>
      <c r="X438" s="5">
        <v>1</v>
      </c>
      <c r="Y438" s="5">
        <v>5791.84</v>
      </c>
      <c r="Z438" s="5">
        <v>57187.43</v>
      </c>
      <c r="AA438" s="5">
        <v>1</v>
      </c>
      <c r="AB438" s="5">
        <v>57187.43</v>
      </c>
    </row>
    <row r="439" spans="1:206" x14ac:dyDescent="0.2">
      <c r="A439" s="5">
        <v>50</v>
      </c>
      <c r="B439" s="5">
        <v>0</v>
      </c>
      <c r="C439" s="5">
        <v>0</v>
      </c>
      <c r="D439" s="5">
        <v>1</v>
      </c>
      <c r="E439" s="5">
        <v>226</v>
      </c>
      <c r="F439" s="5">
        <f>ROUND(Source!AW433,O439)</f>
        <v>5791.84</v>
      </c>
      <c r="G439" s="5" t="s">
        <v>54</v>
      </c>
      <c r="H439" s="5" t="s">
        <v>55</v>
      </c>
      <c r="I439" s="5"/>
      <c r="J439" s="5"/>
      <c r="K439" s="5">
        <v>226</v>
      </c>
      <c r="L439" s="5">
        <v>5</v>
      </c>
      <c r="M439" s="5">
        <v>3</v>
      </c>
      <c r="N439" s="5" t="s">
        <v>3</v>
      </c>
      <c r="O439" s="5">
        <v>2</v>
      </c>
      <c r="P439" s="5">
        <f>ROUND(Source!EO433,O439)</f>
        <v>57187.43</v>
      </c>
      <c r="Q439" s="5"/>
      <c r="R439" s="5"/>
      <c r="S439" s="5"/>
      <c r="T439" s="5"/>
      <c r="U439" s="5"/>
      <c r="V439" s="5"/>
      <c r="W439" s="5">
        <v>5791.84</v>
      </c>
      <c r="X439" s="5">
        <v>1</v>
      </c>
      <c r="Y439" s="5">
        <v>5791.84</v>
      </c>
      <c r="Z439" s="5">
        <v>57187.43</v>
      </c>
      <c r="AA439" s="5">
        <v>1</v>
      </c>
      <c r="AB439" s="5">
        <v>57187.43</v>
      </c>
    </row>
    <row r="440" spans="1:206" x14ac:dyDescent="0.2">
      <c r="A440" s="5">
        <v>50</v>
      </c>
      <c r="B440" s="5">
        <v>0</v>
      </c>
      <c r="C440" s="5">
        <v>0</v>
      </c>
      <c r="D440" s="5">
        <v>1</v>
      </c>
      <c r="E440" s="5">
        <v>227</v>
      </c>
      <c r="F440" s="5">
        <f>ROUND(Source!AX433,O440)</f>
        <v>0</v>
      </c>
      <c r="G440" s="5" t="s">
        <v>56</v>
      </c>
      <c r="H440" s="5" t="s">
        <v>57</v>
      </c>
      <c r="I440" s="5"/>
      <c r="J440" s="5"/>
      <c r="K440" s="5">
        <v>227</v>
      </c>
      <c r="L440" s="5">
        <v>6</v>
      </c>
      <c r="M440" s="5">
        <v>3</v>
      </c>
      <c r="N440" s="5" t="s">
        <v>3</v>
      </c>
      <c r="O440" s="5">
        <v>2</v>
      </c>
      <c r="P440" s="5">
        <f>ROUND(Source!EP433,O440)</f>
        <v>0</v>
      </c>
      <c r="Q440" s="5"/>
      <c r="R440" s="5"/>
      <c r="S440" s="5"/>
      <c r="T440" s="5"/>
      <c r="U440" s="5"/>
      <c r="V440" s="5"/>
      <c r="W440" s="5">
        <v>0</v>
      </c>
      <c r="X440" s="5">
        <v>1</v>
      </c>
      <c r="Y440" s="5">
        <v>0</v>
      </c>
      <c r="Z440" s="5">
        <v>0</v>
      </c>
      <c r="AA440" s="5">
        <v>1</v>
      </c>
      <c r="AB440" s="5">
        <v>0</v>
      </c>
    </row>
    <row r="441" spans="1:206" x14ac:dyDescent="0.2">
      <c r="A441" s="5">
        <v>50</v>
      </c>
      <c r="B441" s="5">
        <v>0</v>
      </c>
      <c r="C441" s="5">
        <v>0</v>
      </c>
      <c r="D441" s="5">
        <v>1</v>
      </c>
      <c r="E441" s="5">
        <v>228</v>
      </c>
      <c r="F441" s="5">
        <f>ROUND(Source!AY433,O441)</f>
        <v>5791.84</v>
      </c>
      <c r="G441" s="5" t="s">
        <v>58</v>
      </c>
      <c r="H441" s="5" t="s">
        <v>59</v>
      </c>
      <c r="I441" s="5"/>
      <c r="J441" s="5"/>
      <c r="K441" s="5">
        <v>228</v>
      </c>
      <c r="L441" s="5">
        <v>7</v>
      </c>
      <c r="M441" s="5">
        <v>3</v>
      </c>
      <c r="N441" s="5" t="s">
        <v>3</v>
      </c>
      <c r="O441" s="5">
        <v>2</v>
      </c>
      <c r="P441" s="5">
        <f>ROUND(Source!EQ433,O441)</f>
        <v>57187.43</v>
      </c>
      <c r="Q441" s="5"/>
      <c r="R441" s="5"/>
      <c r="S441" s="5"/>
      <c r="T441" s="5"/>
      <c r="U441" s="5"/>
      <c r="V441" s="5"/>
      <c r="W441" s="5">
        <v>5791.84</v>
      </c>
      <c r="X441" s="5">
        <v>1</v>
      </c>
      <c r="Y441" s="5">
        <v>5791.84</v>
      </c>
      <c r="Z441" s="5">
        <v>57187.43</v>
      </c>
      <c r="AA441" s="5">
        <v>1</v>
      </c>
      <c r="AB441" s="5">
        <v>57187.43</v>
      </c>
    </row>
    <row r="442" spans="1:206" x14ac:dyDescent="0.2">
      <c r="A442" s="5">
        <v>50</v>
      </c>
      <c r="B442" s="5">
        <v>0</v>
      </c>
      <c r="C442" s="5">
        <v>0</v>
      </c>
      <c r="D442" s="5">
        <v>1</v>
      </c>
      <c r="E442" s="5">
        <v>216</v>
      </c>
      <c r="F442" s="5">
        <f>ROUND(Source!AP433,O442)</f>
        <v>0</v>
      </c>
      <c r="G442" s="5" t="s">
        <v>60</v>
      </c>
      <c r="H442" s="5" t="s">
        <v>61</v>
      </c>
      <c r="I442" s="5"/>
      <c r="J442" s="5"/>
      <c r="K442" s="5">
        <v>216</v>
      </c>
      <c r="L442" s="5">
        <v>8</v>
      </c>
      <c r="M442" s="5">
        <v>3</v>
      </c>
      <c r="N442" s="5" t="s">
        <v>3</v>
      </c>
      <c r="O442" s="5">
        <v>2</v>
      </c>
      <c r="P442" s="5">
        <f>ROUND(Source!EH433,O442)</f>
        <v>0</v>
      </c>
      <c r="Q442" s="5"/>
      <c r="R442" s="5"/>
      <c r="S442" s="5"/>
      <c r="T442" s="5"/>
      <c r="U442" s="5"/>
      <c r="V442" s="5"/>
      <c r="W442" s="5">
        <v>0</v>
      </c>
      <c r="X442" s="5">
        <v>1</v>
      </c>
      <c r="Y442" s="5">
        <v>0</v>
      </c>
      <c r="Z442" s="5">
        <v>0</v>
      </c>
      <c r="AA442" s="5">
        <v>1</v>
      </c>
      <c r="AB442" s="5">
        <v>0</v>
      </c>
    </row>
    <row r="443" spans="1:206" x14ac:dyDescent="0.2">
      <c r="A443" s="5">
        <v>50</v>
      </c>
      <c r="B443" s="5">
        <v>0</v>
      </c>
      <c r="C443" s="5">
        <v>0</v>
      </c>
      <c r="D443" s="5">
        <v>1</v>
      </c>
      <c r="E443" s="5">
        <v>223</v>
      </c>
      <c r="F443" s="5">
        <f>ROUND(Source!AQ433,O443)</f>
        <v>0</v>
      </c>
      <c r="G443" s="5" t="s">
        <v>62</v>
      </c>
      <c r="H443" s="5" t="s">
        <v>63</v>
      </c>
      <c r="I443" s="5"/>
      <c r="J443" s="5"/>
      <c r="K443" s="5">
        <v>223</v>
      </c>
      <c r="L443" s="5">
        <v>9</v>
      </c>
      <c r="M443" s="5">
        <v>3</v>
      </c>
      <c r="N443" s="5" t="s">
        <v>3</v>
      </c>
      <c r="O443" s="5">
        <v>2</v>
      </c>
      <c r="P443" s="5">
        <f>ROUND(Source!EI433,O443)</f>
        <v>0</v>
      </c>
      <c r="Q443" s="5"/>
      <c r="R443" s="5"/>
      <c r="S443" s="5"/>
      <c r="T443" s="5"/>
      <c r="U443" s="5"/>
      <c r="V443" s="5"/>
      <c r="W443" s="5">
        <v>0</v>
      </c>
      <c r="X443" s="5">
        <v>1</v>
      </c>
      <c r="Y443" s="5">
        <v>0</v>
      </c>
      <c r="Z443" s="5">
        <v>0</v>
      </c>
      <c r="AA443" s="5">
        <v>1</v>
      </c>
      <c r="AB443" s="5">
        <v>0</v>
      </c>
    </row>
    <row r="444" spans="1:206" x14ac:dyDescent="0.2">
      <c r="A444" s="5">
        <v>50</v>
      </c>
      <c r="B444" s="5">
        <v>0</v>
      </c>
      <c r="C444" s="5">
        <v>0</v>
      </c>
      <c r="D444" s="5">
        <v>1</v>
      </c>
      <c r="E444" s="5">
        <v>229</v>
      </c>
      <c r="F444" s="5">
        <f>ROUND(Source!AZ433,O444)</f>
        <v>0</v>
      </c>
      <c r="G444" s="5" t="s">
        <v>64</v>
      </c>
      <c r="H444" s="5" t="s">
        <v>65</v>
      </c>
      <c r="I444" s="5"/>
      <c r="J444" s="5"/>
      <c r="K444" s="5">
        <v>229</v>
      </c>
      <c r="L444" s="5">
        <v>10</v>
      </c>
      <c r="M444" s="5">
        <v>3</v>
      </c>
      <c r="N444" s="5" t="s">
        <v>3</v>
      </c>
      <c r="O444" s="5">
        <v>2</v>
      </c>
      <c r="P444" s="5">
        <f>ROUND(Source!ER433,O444)</f>
        <v>0</v>
      </c>
      <c r="Q444" s="5"/>
      <c r="R444" s="5"/>
      <c r="S444" s="5"/>
      <c r="T444" s="5"/>
      <c r="U444" s="5"/>
      <c r="V444" s="5"/>
      <c r="W444" s="5">
        <v>0</v>
      </c>
      <c r="X444" s="5">
        <v>1</v>
      </c>
      <c r="Y444" s="5">
        <v>0</v>
      </c>
      <c r="Z444" s="5">
        <v>0</v>
      </c>
      <c r="AA444" s="5">
        <v>1</v>
      </c>
      <c r="AB444" s="5">
        <v>0</v>
      </c>
    </row>
    <row r="445" spans="1:206" x14ac:dyDescent="0.2">
      <c r="A445" s="5">
        <v>50</v>
      </c>
      <c r="B445" s="5">
        <v>0</v>
      </c>
      <c r="C445" s="5">
        <v>0</v>
      </c>
      <c r="D445" s="5">
        <v>1</v>
      </c>
      <c r="E445" s="5">
        <v>203</v>
      </c>
      <c r="F445" s="5">
        <f>ROUND(Source!Q433,O445)</f>
        <v>1.61</v>
      </c>
      <c r="G445" s="5" t="s">
        <v>66</v>
      </c>
      <c r="H445" s="5" t="s">
        <v>67</v>
      </c>
      <c r="I445" s="5"/>
      <c r="J445" s="5"/>
      <c r="K445" s="5">
        <v>203</v>
      </c>
      <c r="L445" s="5">
        <v>11</v>
      </c>
      <c r="M445" s="5">
        <v>3</v>
      </c>
      <c r="N445" s="5" t="s">
        <v>3</v>
      </c>
      <c r="O445" s="5">
        <v>2</v>
      </c>
      <c r="P445" s="5">
        <f>ROUND(Source!DI433,O445)</f>
        <v>16.52</v>
      </c>
      <c r="Q445" s="5"/>
      <c r="R445" s="5"/>
      <c r="S445" s="5"/>
      <c r="T445" s="5"/>
      <c r="U445" s="5"/>
      <c r="V445" s="5"/>
      <c r="W445" s="5">
        <v>1.61</v>
      </c>
      <c r="X445" s="5">
        <v>1</v>
      </c>
      <c r="Y445" s="5">
        <v>1.61</v>
      </c>
      <c r="Z445" s="5">
        <v>16.52</v>
      </c>
      <c r="AA445" s="5">
        <v>1</v>
      </c>
      <c r="AB445" s="5">
        <v>16.52</v>
      </c>
    </row>
    <row r="446" spans="1:206" x14ac:dyDescent="0.2">
      <c r="A446" s="5">
        <v>50</v>
      </c>
      <c r="B446" s="5">
        <v>0</v>
      </c>
      <c r="C446" s="5">
        <v>0</v>
      </c>
      <c r="D446" s="5">
        <v>1</v>
      </c>
      <c r="E446" s="5">
        <v>231</v>
      </c>
      <c r="F446" s="5">
        <f>ROUND(Source!BB433,O446)</f>
        <v>0</v>
      </c>
      <c r="G446" s="5" t="s">
        <v>68</v>
      </c>
      <c r="H446" s="5" t="s">
        <v>69</v>
      </c>
      <c r="I446" s="5"/>
      <c r="J446" s="5"/>
      <c r="K446" s="5">
        <v>231</v>
      </c>
      <c r="L446" s="5">
        <v>12</v>
      </c>
      <c r="M446" s="5">
        <v>3</v>
      </c>
      <c r="N446" s="5" t="s">
        <v>3</v>
      </c>
      <c r="O446" s="5">
        <v>2</v>
      </c>
      <c r="P446" s="5">
        <f>ROUND(Source!ET433,O446)</f>
        <v>0</v>
      </c>
      <c r="Q446" s="5"/>
      <c r="R446" s="5"/>
      <c r="S446" s="5"/>
      <c r="T446" s="5"/>
      <c r="U446" s="5"/>
      <c r="V446" s="5"/>
      <c r="W446" s="5">
        <v>0</v>
      </c>
      <c r="X446" s="5">
        <v>1</v>
      </c>
      <c r="Y446" s="5">
        <v>0</v>
      </c>
      <c r="Z446" s="5">
        <v>0</v>
      </c>
      <c r="AA446" s="5">
        <v>1</v>
      </c>
      <c r="AB446" s="5">
        <v>0</v>
      </c>
    </row>
    <row r="447" spans="1:206" x14ac:dyDescent="0.2">
      <c r="A447" s="5">
        <v>50</v>
      </c>
      <c r="B447" s="5">
        <v>0</v>
      </c>
      <c r="C447" s="5">
        <v>0</v>
      </c>
      <c r="D447" s="5">
        <v>1</v>
      </c>
      <c r="E447" s="5">
        <v>204</v>
      </c>
      <c r="F447" s="5">
        <f>ROUND(Source!R433,O447)</f>
        <v>0.05</v>
      </c>
      <c r="G447" s="5" t="s">
        <v>70</v>
      </c>
      <c r="H447" s="5" t="s">
        <v>71</v>
      </c>
      <c r="I447" s="5"/>
      <c r="J447" s="5"/>
      <c r="K447" s="5">
        <v>204</v>
      </c>
      <c r="L447" s="5">
        <v>13</v>
      </c>
      <c r="M447" s="5">
        <v>3</v>
      </c>
      <c r="N447" s="5" t="s">
        <v>3</v>
      </c>
      <c r="O447" s="5">
        <v>2</v>
      </c>
      <c r="P447" s="5">
        <f>ROUND(Source!DJ433,O447)</f>
        <v>2.75</v>
      </c>
      <c r="Q447" s="5"/>
      <c r="R447" s="5"/>
      <c r="S447" s="5"/>
      <c r="T447" s="5"/>
      <c r="U447" s="5"/>
      <c r="V447" s="5"/>
      <c r="W447" s="5">
        <v>0.05</v>
      </c>
      <c r="X447" s="5">
        <v>1</v>
      </c>
      <c r="Y447" s="5">
        <v>0.05</v>
      </c>
      <c r="Z447" s="5">
        <v>2.75</v>
      </c>
      <c r="AA447" s="5">
        <v>1</v>
      </c>
      <c r="AB447" s="5">
        <v>2.75</v>
      </c>
    </row>
    <row r="448" spans="1:206" x14ac:dyDescent="0.2">
      <c r="A448" s="5">
        <v>50</v>
      </c>
      <c r="B448" s="5">
        <v>0</v>
      </c>
      <c r="C448" s="5">
        <v>0</v>
      </c>
      <c r="D448" s="5">
        <v>1</v>
      </c>
      <c r="E448" s="5">
        <v>205</v>
      </c>
      <c r="F448" s="5">
        <f>ROUND(Source!S433,O448)</f>
        <v>47.05</v>
      </c>
      <c r="G448" s="5" t="s">
        <v>72</v>
      </c>
      <c r="H448" s="5" t="s">
        <v>73</v>
      </c>
      <c r="I448" s="5"/>
      <c r="J448" s="5"/>
      <c r="K448" s="5">
        <v>205</v>
      </c>
      <c r="L448" s="5">
        <v>14</v>
      </c>
      <c r="M448" s="5">
        <v>3</v>
      </c>
      <c r="N448" s="5" t="s">
        <v>3</v>
      </c>
      <c r="O448" s="5">
        <v>2</v>
      </c>
      <c r="P448" s="5">
        <f>ROUND(Source!DK433,O448)</f>
        <v>2587.2800000000002</v>
      </c>
      <c r="Q448" s="5"/>
      <c r="R448" s="5"/>
      <c r="S448" s="5"/>
      <c r="T448" s="5"/>
      <c r="U448" s="5"/>
      <c r="V448" s="5"/>
      <c r="W448" s="5">
        <v>47.05</v>
      </c>
      <c r="X448" s="5">
        <v>1</v>
      </c>
      <c r="Y448" s="5">
        <v>47.05</v>
      </c>
      <c r="Z448" s="5">
        <v>2587.2800000000002</v>
      </c>
      <c r="AA448" s="5">
        <v>1</v>
      </c>
      <c r="AB448" s="5">
        <v>2587.2800000000002</v>
      </c>
    </row>
    <row r="449" spans="1:206" x14ac:dyDescent="0.2">
      <c r="A449" s="5">
        <v>50</v>
      </c>
      <c r="B449" s="5">
        <v>0</v>
      </c>
      <c r="C449" s="5">
        <v>0</v>
      </c>
      <c r="D449" s="5">
        <v>1</v>
      </c>
      <c r="E449" s="5">
        <v>232</v>
      </c>
      <c r="F449" s="5">
        <f>ROUND(Source!BC433,O449)</f>
        <v>0</v>
      </c>
      <c r="G449" s="5" t="s">
        <v>74</v>
      </c>
      <c r="H449" s="5" t="s">
        <v>75</v>
      </c>
      <c r="I449" s="5"/>
      <c r="J449" s="5"/>
      <c r="K449" s="5">
        <v>232</v>
      </c>
      <c r="L449" s="5">
        <v>15</v>
      </c>
      <c r="M449" s="5">
        <v>3</v>
      </c>
      <c r="N449" s="5" t="s">
        <v>3</v>
      </c>
      <c r="O449" s="5">
        <v>2</v>
      </c>
      <c r="P449" s="5">
        <f>ROUND(Source!EU433,O449)</f>
        <v>0</v>
      </c>
      <c r="Q449" s="5"/>
      <c r="R449" s="5"/>
      <c r="S449" s="5"/>
      <c r="T449" s="5"/>
      <c r="U449" s="5"/>
      <c r="V449" s="5"/>
      <c r="W449" s="5">
        <v>0</v>
      </c>
      <c r="X449" s="5">
        <v>1</v>
      </c>
      <c r="Y449" s="5">
        <v>0</v>
      </c>
      <c r="Z449" s="5">
        <v>0</v>
      </c>
      <c r="AA449" s="5">
        <v>1</v>
      </c>
      <c r="AB449" s="5">
        <v>0</v>
      </c>
    </row>
    <row r="450" spans="1:206" x14ac:dyDescent="0.2">
      <c r="A450" s="5">
        <v>50</v>
      </c>
      <c r="B450" s="5">
        <v>0</v>
      </c>
      <c r="C450" s="5">
        <v>0</v>
      </c>
      <c r="D450" s="5">
        <v>1</v>
      </c>
      <c r="E450" s="5">
        <v>214</v>
      </c>
      <c r="F450" s="5">
        <f>ROUND(Source!AS433,O450)</f>
        <v>5913.98</v>
      </c>
      <c r="G450" s="5" t="s">
        <v>76</v>
      </c>
      <c r="H450" s="5" t="s">
        <v>77</v>
      </c>
      <c r="I450" s="5"/>
      <c r="J450" s="5"/>
      <c r="K450" s="5">
        <v>214</v>
      </c>
      <c r="L450" s="5">
        <v>16</v>
      </c>
      <c r="M450" s="5">
        <v>3</v>
      </c>
      <c r="N450" s="5" t="s">
        <v>3</v>
      </c>
      <c r="O450" s="5">
        <v>2</v>
      </c>
      <c r="P450" s="5">
        <f>ROUND(Source!EK433,O450)</f>
        <v>63831.68</v>
      </c>
      <c r="Q450" s="5"/>
      <c r="R450" s="5"/>
      <c r="S450" s="5"/>
      <c r="T450" s="5"/>
      <c r="U450" s="5"/>
      <c r="V450" s="5"/>
      <c r="W450" s="5">
        <v>5913.98</v>
      </c>
      <c r="X450" s="5">
        <v>1</v>
      </c>
      <c r="Y450" s="5">
        <v>5913.98</v>
      </c>
      <c r="Z450" s="5">
        <v>63831.68</v>
      </c>
      <c r="AA450" s="5">
        <v>1</v>
      </c>
      <c r="AB450" s="5">
        <v>63831.68</v>
      </c>
    </row>
    <row r="451" spans="1:206" x14ac:dyDescent="0.2">
      <c r="A451" s="5">
        <v>50</v>
      </c>
      <c r="B451" s="5">
        <v>0</v>
      </c>
      <c r="C451" s="5">
        <v>0</v>
      </c>
      <c r="D451" s="5">
        <v>1</v>
      </c>
      <c r="E451" s="5">
        <v>215</v>
      </c>
      <c r="F451" s="5">
        <f>ROUND(Source!AT433,O451)</f>
        <v>0</v>
      </c>
      <c r="G451" s="5" t="s">
        <v>78</v>
      </c>
      <c r="H451" s="5" t="s">
        <v>79</v>
      </c>
      <c r="I451" s="5"/>
      <c r="J451" s="5"/>
      <c r="K451" s="5">
        <v>215</v>
      </c>
      <c r="L451" s="5">
        <v>17</v>
      </c>
      <c r="M451" s="5">
        <v>3</v>
      </c>
      <c r="N451" s="5" t="s">
        <v>3</v>
      </c>
      <c r="O451" s="5">
        <v>2</v>
      </c>
      <c r="P451" s="5">
        <f>ROUND(Source!EL433,O451)</f>
        <v>0</v>
      </c>
      <c r="Q451" s="5"/>
      <c r="R451" s="5"/>
      <c r="S451" s="5"/>
      <c r="T451" s="5"/>
      <c r="U451" s="5"/>
      <c r="V451" s="5"/>
      <c r="W451" s="5">
        <v>0</v>
      </c>
      <c r="X451" s="5">
        <v>1</v>
      </c>
      <c r="Y451" s="5">
        <v>0</v>
      </c>
      <c r="Z451" s="5">
        <v>0</v>
      </c>
      <c r="AA451" s="5">
        <v>1</v>
      </c>
      <c r="AB451" s="5">
        <v>0</v>
      </c>
    </row>
    <row r="452" spans="1:206" x14ac:dyDescent="0.2">
      <c r="A452" s="5">
        <v>50</v>
      </c>
      <c r="B452" s="5">
        <v>0</v>
      </c>
      <c r="C452" s="5">
        <v>0</v>
      </c>
      <c r="D452" s="5">
        <v>1</v>
      </c>
      <c r="E452" s="5">
        <v>217</v>
      </c>
      <c r="F452" s="5">
        <f>ROUND(Source!AU433,O452)</f>
        <v>0</v>
      </c>
      <c r="G452" s="5" t="s">
        <v>80</v>
      </c>
      <c r="H452" s="5" t="s">
        <v>81</v>
      </c>
      <c r="I452" s="5"/>
      <c r="J452" s="5"/>
      <c r="K452" s="5">
        <v>217</v>
      </c>
      <c r="L452" s="5">
        <v>18</v>
      </c>
      <c r="M452" s="5">
        <v>3</v>
      </c>
      <c r="N452" s="5" t="s">
        <v>3</v>
      </c>
      <c r="O452" s="5">
        <v>2</v>
      </c>
      <c r="P452" s="5">
        <f>ROUND(Source!EM433,O452)</f>
        <v>0</v>
      </c>
      <c r="Q452" s="5"/>
      <c r="R452" s="5"/>
      <c r="S452" s="5"/>
      <c r="T452" s="5"/>
      <c r="U452" s="5"/>
      <c r="V452" s="5"/>
      <c r="W452" s="5">
        <v>0</v>
      </c>
      <c r="X452" s="5">
        <v>1</v>
      </c>
      <c r="Y452" s="5">
        <v>0</v>
      </c>
      <c r="Z452" s="5">
        <v>0</v>
      </c>
      <c r="AA452" s="5">
        <v>1</v>
      </c>
      <c r="AB452" s="5">
        <v>0</v>
      </c>
    </row>
    <row r="453" spans="1:206" x14ac:dyDescent="0.2">
      <c r="A453" s="5">
        <v>50</v>
      </c>
      <c r="B453" s="5">
        <v>0</v>
      </c>
      <c r="C453" s="5">
        <v>0</v>
      </c>
      <c r="D453" s="5">
        <v>1</v>
      </c>
      <c r="E453" s="5">
        <v>230</v>
      </c>
      <c r="F453" s="5">
        <f>ROUND(Source!BA433,O453)</f>
        <v>0</v>
      </c>
      <c r="G453" s="5" t="s">
        <v>82</v>
      </c>
      <c r="H453" s="5" t="s">
        <v>83</v>
      </c>
      <c r="I453" s="5"/>
      <c r="J453" s="5"/>
      <c r="K453" s="5">
        <v>230</v>
      </c>
      <c r="L453" s="5">
        <v>19</v>
      </c>
      <c r="M453" s="5">
        <v>3</v>
      </c>
      <c r="N453" s="5" t="s">
        <v>3</v>
      </c>
      <c r="O453" s="5">
        <v>2</v>
      </c>
      <c r="P453" s="5">
        <f>ROUND(Source!ES433,O453)</f>
        <v>0</v>
      </c>
      <c r="Q453" s="5"/>
      <c r="R453" s="5"/>
      <c r="S453" s="5"/>
      <c r="T453" s="5"/>
      <c r="U453" s="5"/>
      <c r="V453" s="5"/>
      <c r="W453" s="5">
        <v>0</v>
      </c>
      <c r="X453" s="5">
        <v>1</v>
      </c>
      <c r="Y453" s="5">
        <v>0</v>
      </c>
      <c r="Z453" s="5">
        <v>0</v>
      </c>
      <c r="AA453" s="5">
        <v>1</v>
      </c>
      <c r="AB453" s="5">
        <v>0</v>
      </c>
    </row>
    <row r="454" spans="1:206" x14ac:dyDescent="0.2">
      <c r="A454" s="5">
        <v>50</v>
      </c>
      <c r="B454" s="5">
        <v>0</v>
      </c>
      <c r="C454" s="5">
        <v>0</v>
      </c>
      <c r="D454" s="5">
        <v>1</v>
      </c>
      <c r="E454" s="5">
        <v>206</v>
      </c>
      <c r="F454" s="5">
        <f>ROUND(Source!T433,O454)</f>
        <v>0</v>
      </c>
      <c r="G454" s="5" t="s">
        <v>84</v>
      </c>
      <c r="H454" s="5" t="s">
        <v>85</v>
      </c>
      <c r="I454" s="5"/>
      <c r="J454" s="5"/>
      <c r="K454" s="5">
        <v>206</v>
      </c>
      <c r="L454" s="5">
        <v>20</v>
      </c>
      <c r="M454" s="5">
        <v>3</v>
      </c>
      <c r="N454" s="5" t="s">
        <v>3</v>
      </c>
      <c r="O454" s="5">
        <v>2</v>
      </c>
      <c r="P454" s="5">
        <f>ROUND(Source!DL433,O454)</f>
        <v>0</v>
      </c>
      <c r="Q454" s="5"/>
      <c r="R454" s="5"/>
      <c r="S454" s="5"/>
      <c r="T454" s="5"/>
      <c r="U454" s="5"/>
      <c r="V454" s="5"/>
      <c r="W454" s="5">
        <v>0</v>
      </c>
      <c r="X454" s="5">
        <v>1</v>
      </c>
      <c r="Y454" s="5">
        <v>0</v>
      </c>
      <c r="Z454" s="5">
        <v>0</v>
      </c>
      <c r="AA454" s="5">
        <v>1</v>
      </c>
      <c r="AB454" s="5">
        <v>0</v>
      </c>
    </row>
    <row r="455" spans="1:206" x14ac:dyDescent="0.2">
      <c r="A455" s="5">
        <v>50</v>
      </c>
      <c r="B455" s="5">
        <v>0</v>
      </c>
      <c r="C455" s="5">
        <v>0</v>
      </c>
      <c r="D455" s="5">
        <v>1</v>
      </c>
      <c r="E455" s="5">
        <v>207</v>
      </c>
      <c r="F455" s="5">
        <f>Source!U433</f>
        <v>3.0854503680000005</v>
      </c>
      <c r="G455" s="5" t="s">
        <v>86</v>
      </c>
      <c r="H455" s="5" t="s">
        <v>87</v>
      </c>
      <c r="I455" s="5"/>
      <c r="J455" s="5"/>
      <c r="K455" s="5">
        <v>207</v>
      </c>
      <c r="L455" s="5">
        <v>21</v>
      </c>
      <c r="M455" s="5">
        <v>3</v>
      </c>
      <c r="N455" s="5" t="s">
        <v>3</v>
      </c>
      <c r="O455" s="5">
        <v>-1</v>
      </c>
      <c r="P455" s="5">
        <f>Source!DM433</f>
        <v>3.0854503680000005</v>
      </c>
      <c r="Q455" s="5"/>
      <c r="R455" s="5"/>
      <c r="S455" s="5"/>
      <c r="T455" s="5"/>
      <c r="U455" s="5"/>
      <c r="V455" s="5"/>
      <c r="W455" s="5">
        <v>3.0854503680000001</v>
      </c>
      <c r="X455" s="5">
        <v>1</v>
      </c>
      <c r="Y455" s="5">
        <v>3.0854503680000001</v>
      </c>
      <c r="Z455" s="5">
        <v>3.0854503680000001</v>
      </c>
      <c r="AA455" s="5">
        <v>1</v>
      </c>
      <c r="AB455" s="5">
        <v>3.0854503680000001</v>
      </c>
    </row>
    <row r="456" spans="1:206" x14ac:dyDescent="0.2">
      <c r="A456" s="5">
        <v>50</v>
      </c>
      <c r="B456" s="5">
        <v>0</v>
      </c>
      <c r="C456" s="5">
        <v>0</v>
      </c>
      <c r="D456" s="5">
        <v>1</v>
      </c>
      <c r="E456" s="5">
        <v>208</v>
      </c>
      <c r="F456" s="5">
        <f>Source!V433</f>
        <v>0</v>
      </c>
      <c r="G456" s="5" t="s">
        <v>88</v>
      </c>
      <c r="H456" s="5" t="s">
        <v>89</v>
      </c>
      <c r="I456" s="5"/>
      <c r="J456" s="5"/>
      <c r="K456" s="5">
        <v>208</v>
      </c>
      <c r="L456" s="5">
        <v>22</v>
      </c>
      <c r="M456" s="5">
        <v>3</v>
      </c>
      <c r="N456" s="5" t="s">
        <v>3</v>
      </c>
      <c r="O456" s="5">
        <v>-1</v>
      </c>
      <c r="P456" s="5">
        <f>Source!DN433</f>
        <v>0</v>
      </c>
      <c r="Q456" s="5"/>
      <c r="R456" s="5"/>
      <c r="S456" s="5"/>
      <c r="T456" s="5"/>
      <c r="U456" s="5"/>
      <c r="V456" s="5"/>
      <c r="W456" s="5">
        <v>0</v>
      </c>
      <c r="X456" s="5">
        <v>1</v>
      </c>
      <c r="Y456" s="5">
        <v>0</v>
      </c>
      <c r="Z456" s="5">
        <v>0</v>
      </c>
      <c r="AA456" s="5">
        <v>1</v>
      </c>
      <c r="AB456" s="5">
        <v>0</v>
      </c>
    </row>
    <row r="457" spans="1:206" x14ac:dyDescent="0.2">
      <c r="A457" s="5">
        <v>50</v>
      </c>
      <c r="B457" s="5">
        <v>0</v>
      </c>
      <c r="C457" s="5">
        <v>0</v>
      </c>
      <c r="D457" s="5">
        <v>1</v>
      </c>
      <c r="E457" s="5">
        <v>209</v>
      </c>
      <c r="F457" s="5">
        <f>ROUND(Source!W433,O457)</f>
        <v>0</v>
      </c>
      <c r="G457" s="5" t="s">
        <v>90</v>
      </c>
      <c r="H457" s="5" t="s">
        <v>91</v>
      </c>
      <c r="I457" s="5"/>
      <c r="J457" s="5"/>
      <c r="K457" s="5">
        <v>209</v>
      </c>
      <c r="L457" s="5">
        <v>23</v>
      </c>
      <c r="M457" s="5">
        <v>3</v>
      </c>
      <c r="N457" s="5" t="s">
        <v>3</v>
      </c>
      <c r="O457" s="5">
        <v>2</v>
      </c>
      <c r="P457" s="5">
        <f>ROUND(Source!DO433,O457)</f>
        <v>0</v>
      </c>
      <c r="Q457" s="5"/>
      <c r="R457" s="5"/>
      <c r="S457" s="5"/>
      <c r="T457" s="5"/>
      <c r="U457" s="5"/>
      <c r="V457" s="5"/>
      <c r="W457" s="5">
        <v>0</v>
      </c>
      <c r="X457" s="5">
        <v>1</v>
      </c>
      <c r="Y457" s="5">
        <v>0</v>
      </c>
      <c r="Z457" s="5">
        <v>0</v>
      </c>
      <c r="AA457" s="5">
        <v>1</v>
      </c>
      <c r="AB457" s="5">
        <v>0</v>
      </c>
    </row>
    <row r="458" spans="1:206" x14ac:dyDescent="0.2">
      <c r="A458" s="5">
        <v>50</v>
      </c>
      <c r="B458" s="5">
        <v>0</v>
      </c>
      <c r="C458" s="5">
        <v>0</v>
      </c>
      <c r="D458" s="5">
        <v>1</v>
      </c>
      <c r="E458" s="5">
        <v>233</v>
      </c>
      <c r="F458" s="5">
        <f>ROUND(Source!BD433,O458)</f>
        <v>0</v>
      </c>
      <c r="G458" s="5" t="s">
        <v>92</v>
      </c>
      <c r="H458" s="5" t="s">
        <v>93</v>
      </c>
      <c r="I458" s="5"/>
      <c r="J458" s="5"/>
      <c r="K458" s="5">
        <v>233</v>
      </c>
      <c r="L458" s="5">
        <v>24</v>
      </c>
      <c r="M458" s="5">
        <v>3</v>
      </c>
      <c r="N458" s="5" t="s">
        <v>3</v>
      </c>
      <c r="O458" s="5">
        <v>2</v>
      </c>
      <c r="P458" s="5">
        <f>ROUND(Source!EV433,O458)</f>
        <v>0</v>
      </c>
      <c r="Q458" s="5"/>
      <c r="R458" s="5"/>
      <c r="S458" s="5"/>
      <c r="T458" s="5"/>
      <c r="U458" s="5"/>
      <c r="V458" s="5"/>
      <c r="W458" s="5">
        <v>0</v>
      </c>
      <c r="X458" s="5">
        <v>1</v>
      </c>
      <c r="Y458" s="5">
        <v>0</v>
      </c>
      <c r="Z458" s="5">
        <v>0</v>
      </c>
      <c r="AA458" s="5">
        <v>1</v>
      </c>
      <c r="AB458" s="5">
        <v>0</v>
      </c>
    </row>
    <row r="459" spans="1:206" x14ac:dyDescent="0.2">
      <c r="A459" s="5">
        <v>50</v>
      </c>
      <c r="B459" s="5">
        <v>0</v>
      </c>
      <c r="C459" s="5">
        <v>0</v>
      </c>
      <c r="D459" s="5">
        <v>1</v>
      </c>
      <c r="E459" s="5">
        <v>210</v>
      </c>
      <c r="F459" s="5">
        <f>ROUND(Source!X433,O459)</f>
        <v>47.57</v>
      </c>
      <c r="G459" s="5" t="s">
        <v>94</v>
      </c>
      <c r="H459" s="5" t="s">
        <v>95</v>
      </c>
      <c r="I459" s="5"/>
      <c r="J459" s="5"/>
      <c r="K459" s="5">
        <v>210</v>
      </c>
      <c r="L459" s="5">
        <v>25</v>
      </c>
      <c r="M459" s="5">
        <v>3</v>
      </c>
      <c r="N459" s="5" t="s">
        <v>3</v>
      </c>
      <c r="O459" s="5">
        <v>2</v>
      </c>
      <c r="P459" s="5">
        <f>ROUND(Source!DP433,O459)</f>
        <v>2615.9299999999998</v>
      </c>
      <c r="Q459" s="5"/>
      <c r="R459" s="5"/>
      <c r="S459" s="5"/>
      <c r="T459" s="5"/>
      <c r="U459" s="5"/>
      <c r="V459" s="5"/>
      <c r="W459" s="5">
        <v>47.57</v>
      </c>
      <c r="X459" s="5">
        <v>1</v>
      </c>
      <c r="Y459" s="5">
        <v>47.57</v>
      </c>
      <c r="Z459" s="5">
        <v>2615.9299999999998</v>
      </c>
      <c r="AA459" s="5">
        <v>1</v>
      </c>
      <c r="AB459" s="5">
        <v>2615.9299999999998</v>
      </c>
    </row>
    <row r="460" spans="1:206" x14ac:dyDescent="0.2">
      <c r="A460" s="5">
        <v>50</v>
      </c>
      <c r="B460" s="5">
        <v>0</v>
      </c>
      <c r="C460" s="5">
        <v>0</v>
      </c>
      <c r="D460" s="5">
        <v>1</v>
      </c>
      <c r="E460" s="5">
        <v>211</v>
      </c>
      <c r="F460" s="5">
        <f>ROUND(Source!Y433,O460)</f>
        <v>25.91</v>
      </c>
      <c r="G460" s="5" t="s">
        <v>96</v>
      </c>
      <c r="H460" s="5" t="s">
        <v>97</v>
      </c>
      <c r="I460" s="5"/>
      <c r="J460" s="5"/>
      <c r="K460" s="5">
        <v>211</v>
      </c>
      <c r="L460" s="5">
        <v>26</v>
      </c>
      <c r="M460" s="5">
        <v>3</v>
      </c>
      <c r="N460" s="5" t="s">
        <v>3</v>
      </c>
      <c r="O460" s="5">
        <v>2</v>
      </c>
      <c r="P460" s="5">
        <f>ROUND(Source!DQ433,O460)</f>
        <v>1424.52</v>
      </c>
      <c r="Q460" s="5"/>
      <c r="R460" s="5"/>
      <c r="S460" s="5"/>
      <c r="T460" s="5"/>
      <c r="U460" s="5"/>
      <c r="V460" s="5"/>
      <c r="W460" s="5">
        <v>25.91</v>
      </c>
      <c r="X460" s="5">
        <v>1</v>
      </c>
      <c r="Y460" s="5">
        <v>25.91</v>
      </c>
      <c r="Z460" s="5">
        <v>1424.52</v>
      </c>
      <c r="AA460" s="5">
        <v>1</v>
      </c>
      <c r="AB460" s="5">
        <v>1424.52</v>
      </c>
    </row>
    <row r="461" spans="1:206" x14ac:dyDescent="0.2">
      <c r="A461" s="5">
        <v>50</v>
      </c>
      <c r="B461" s="5">
        <v>0</v>
      </c>
      <c r="C461" s="5">
        <v>0</v>
      </c>
      <c r="D461" s="5">
        <v>1</v>
      </c>
      <c r="E461" s="5">
        <v>224</v>
      </c>
      <c r="F461" s="5">
        <f>ROUND(Source!AR433,O461)</f>
        <v>5913.98</v>
      </c>
      <c r="G461" s="5" t="s">
        <v>98</v>
      </c>
      <c r="H461" s="5" t="s">
        <v>99</v>
      </c>
      <c r="I461" s="5"/>
      <c r="J461" s="5"/>
      <c r="K461" s="5">
        <v>224</v>
      </c>
      <c r="L461" s="5">
        <v>27</v>
      </c>
      <c r="M461" s="5">
        <v>3</v>
      </c>
      <c r="N461" s="5" t="s">
        <v>3</v>
      </c>
      <c r="O461" s="5">
        <v>2</v>
      </c>
      <c r="P461" s="5">
        <f>ROUND(Source!EJ433,O461)</f>
        <v>63831.68</v>
      </c>
      <c r="Q461" s="5"/>
      <c r="R461" s="5"/>
      <c r="S461" s="5"/>
      <c r="T461" s="5"/>
      <c r="U461" s="5"/>
      <c r="V461" s="5"/>
      <c r="W461" s="5">
        <v>5913.98</v>
      </c>
      <c r="X461" s="5">
        <v>1</v>
      </c>
      <c r="Y461" s="5">
        <v>5913.98</v>
      </c>
      <c r="Z461" s="5">
        <v>63831.68</v>
      </c>
      <c r="AA461" s="5">
        <v>1</v>
      </c>
      <c r="AB461" s="5">
        <v>63831.68</v>
      </c>
    </row>
    <row r="463" spans="1:206" x14ac:dyDescent="0.2">
      <c r="A463" s="3">
        <v>51</v>
      </c>
      <c r="B463" s="3">
        <f>B20</f>
        <v>1</v>
      </c>
      <c r="C463" s="3">
        <f>A20</f>
        <v>3</v>
      </c>
      <c r="D463" s="3">
        <f>ROW(A20)</f>
        <v>20</v>
      </c>
      <c r="E463" s="3"/>
      <c r="F463" s="3" t="str">
        <f>IF(F20&lt;&gt;"",F20,"")</f>
        <v>02-01-22</v>
      </c>
      <c r="G463" s="3" t="str">
        <f>IF(G20&lt;&gt;"",G20,"")</f>
        <v>Мероприятия по обеспечению доступа инвалидов</v>
      </c>
      <c r="H463" s="3">
        <v>0</v>
      </c>
      <c r="I463" s="3"/>
      <c r="J463" s="3"/>
      <c r="K463" s="3"/>
      <c r="L463" s="3"/>
      <c r="M463" s="3"/>
      <c r="N463" s="3"/>
      <c r="O463" s="3">
        <f t="shared" ref="O463:T463" si="301">ROUND(O39+O84+O131+O238+O277+O316+O355+O394+O433+AB463,2)</f>
        <v>75620.22</v>
      </c>
      <c r="P463" s="3">
        <f t="shared" si="301"/>
        <v>74094.28</v>
      </c>
      <c r="Q463" s="3">
        <f t="shared" si="301"/>
        <v>17.600000000000001</v>
      </c>
      <c r="R463" s="3">
        <f t="shared" si="301"/>
        <v>1.6</v>
      </c>
      <c r="S463" s="3">
        <f t="shared" si="301"/>
        <v>1508.34</v>
      </c>
      <c r="T463" s="3">
        <f t="shared" si="301"/>
        <v>0</v>
      </c>
      <c r="U463" s="3">
        <f>U39+U84+U131+U238+U277+U316+U355+U394+U433+AH463</f>
        <v>97.728297481979965</v>
      </c>
      <c r="V463" s="3">
        <f>V39+V84+V131+V238+V277+V316+V355+V394+V433+AI463</f>
        <v>0</v>
      </c>
      <c r="W463" s="3">
        <f>ROUND(W39+W84+W131+W238+W277+W316+W355+W394+W433+AJ463,2)</f>
        <v>0</v>
      </c>
      <c r="X463" s="3">
        <f>ROUND(X39+X84+X131+X238+X277+X316+X355+X394+X433+AK463,2)</f>
        <v>1329.7</v>
      </c>
      <c r="Y463" s="3">
        <f>ROUND(Y39+Y84+Y131+Y238+Y277+Y316+Y355+Y394+Y433+AL463,2)</f>
        <v>765.5</v>
      </c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>
        <f t="shared" ref="AO463:BD463" si="302">ROUND(AO39+AO84+AO131+AO238+AO277+AO316+AO355+AO394+AO433+BX463,2)</f>
        <v>0</v>
      </c>
      <c r="AP463" s="3">
        <f t="shared" si="302"/>
        <v>34995.360000000001</v>
      </c>
      <c r="AQ463" s="3">
        <f t="shared" si="302"/>
        <v>0</v>
      </c>
      <c r="AR463" s="3">
        <f t="shared" si="302"/>
        <v>77715.42</v>
      </c>
      <c r="AS463" s="3">
        <f t="shared" si="302"/>
        <v>42720.06</v>
      </c>
      <c r="AT463" s="3">
        <f t="shared" si="302"/>
        <v>0</v>
      </c>
      <c r="AU463" s="3">
        <f t="shared" si="302"/>
        <v>0</v>
      </c>
      <c r="AV463" s="3">
        <f t="shared" si="302"/>
        <v>74094.28</v>
      </c>
      <c r="AW463" s="3">
        <f t="shared" si="302"/>
        <v>39098.92</v>
      </c>
      <c r="AX463" s="3">
        <f t="shared" si="302"/>
        <v>0</v>
      </c>
      <c r="AY463" s="3">
        <f t="shared" si="302"/>
        <v>39098.92</v>
      </c>
      <c r="AZ463" s="3">
        <f t="shared" si="302"/>
        <v>34995.360000000001</v>
      </c>
      <c r="BA463" s="3">
        <f t="shared" si="302"/>
        <v>0</v>
      </c>
      <c r="BB463" s="3">
        <f t="shared" si="302"/>
        <v>0</v>
      </c>
      <c r="BC463" s="3">
        <f t="shared" si="302"/>
        <v>0</v>
      </c>
      <c r="BD463" s="3">
        <f t="shared" si="302"/>
        <v>0</v>
      </c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4">
        <f t="shared" ref="DG463:DL463" si="303">ROUND(DG39+DG84+DG131+DG238+DG277+DG316+DG355+DG394+DG433+DT463,2)</f>
        <v>580010.74</v>
      </c>
      <c r="DH463" s="4">
        <f t="shared" si="303"/>
        <v>496833.91</v>
      </c>
      <c r="DI463" s="4">
        <f t="shared" si="303"/>
        <v>233.23</v>
      </c>
      <c r="DJ463" s="4">
        <f t="shared" si="303"/>
        <v>87.99</v>
      </c>
      <c r="DK463" s="4">
        <f t="shared" si="303"/>
        <v>82943.600000000006</v>
      </c>
      <c r="DL463" s="4">
        <f t="shared" si="303"/>
        <v>0</v>
      </c>
      <c r="DM463" s="4">
        <f>DM39+DM84+DM131+DM238+DM277+DM316+DM355+DM394+DM433+DZ463</f>
        <v>97.728297481979965</v>
      </c>
      <c r="DN463" s="4">
        <f>DN39+DN84+DN131+DN238+DN277+DN316+DN355+DN394+DN433+EA463</f>
        <v>0</v>
      </c>
      <c r="DO463" s="4">
        <f>ROUND(DO39+DO84+DO131+DO238+DO277+DO316+DO355+DO394+DO433+EB463,2)</f>
        <v>0</v>
      </c>
      <c r="DP463" s="4">
        <f>ROUND(DP39+DP84+DP131+DP238+DP277+DP316+DP355+DP394+DP433+EC463,2)</f>
        <v>73119.199999999997</v>
      </c>
      <c r="DQ463" s="4">
        <f>ROUND(DQ39+DQ84+DQ131+DQ238+DQ277+DQ316+DQ355+DQ394+DQ433+ED463,2)</f>
        <v>42094.96</v>
      </c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>
        <f t="shared" ref="EG463:EV463" si="304">ROUND(EG39+EG84+EG131+EG238+EG277+EG316+EG355+EG394+EG433+FP463,2)</f>
        <v>0</v>
      </c>
      <c r="EH463" s="4">
        <f t="shared" si="304"/>
        <v>179025.07</v>
      </c>
      <c r="EI463" s="4">
        <f t="shared" si="304"/>
        <v>0</v>
      </c>
      <c r="EJ463" s="4">
        <f t="shared" si="304"/>
        <v>695224.9</v>
      </c>
      <c r="EK463" s="4">
        <f t="shared" si="304"/>
        <v>516199.83</v>
      </c>
      <c r="EL463" s="4">
        <f t="shared" si="304"/>
        <v>0</v>
      </c>
      <c r="EM463" s="4">
        <f t="shared" si="304"/>
        <v>0</v>
      </c>
      <c r="EN463" s="4">
        <f t="shared" si="304"/>
        <v>496833.91</v>
      </c>
      <c r="EO463" s="4">
        <f t="shared" si="304"/>
        <v>317808.84000000003</v>
      </c>
      <c r="EP463" s="4">
        <f t="shared" si="304"/>
        <v>0</v>
      </c>
      <c r="EQ463" s="4">
        <f t="shared" si="304"/>
        <v>317808.84000000003</v>
      </c>
      <c r="ER463" s="4">
        <f t="shared" si="304"/>
        <v>179025.07</v>
      </c>
      <c r="ES463" s="4">
        <f t="shared" si="304"/>
        <v>0</v>
      </c>
      <c r="ET463" s="4">
        <f t="shared" si="304"/>
        <v>0</v>
      </c>
      <c r="EU463" s="4">
        <f t="shared" si="304"/>
        <v>0</v>
      </c>
      <c r="EV463" s="4">
        <f t="shared" si="304"/>
        <v>0</v>
      </c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>
        <v>0</v>
      </c>
    </row>
    <row r="465" spans="1:28" x14ac:dyDescent="0.2">
      <c r="A465" s="5">
        <v>50</v>
      </c>
      <c r="B465" s="5">
        <v>0</v>
      </c>
      <c r="C465" s="5">
        <v>0</v>
      </c>
      <c r="D465" s="5">
        <v>1</v>
      </c>
      <c r="E465" s="5">
        <v>201</v>
      </c>
      <c r="F465" s="5">
        <f>ROUND(Source!O463,O465)</f>
        <v>75620.22</v>
      </c>
      <c r="G465" s="5" t="s">
        <v>46</v>
      </c>
      <c r="H465" s="5" t="s">
        <v>47</v>
      </c>
      <c r="I465" s="5"/>
      <c r="J465" s="5"/>
      <c r="K465" s="5">
        <v>201</v>
      </c>
      <c r="L465" s="5">
        <v>1</v>
      </c>
      <c r="M465" s="5">
        <v>3</v>
      </c>
      <c r="N465" s="5" t="s">
        <v>3</v>
      </c>
      <c r="O465" s="5">
        <v>2</v>
      </c>
      <c r="P465" s="5">
        <f>ROUND(Source!DG463,O465)</f>
        <v>580010.74</v>
      </c>
      <c r="Q465" s="5"/>
      <c r="R465" s="5"/>
      <c r="S465" s="5"/>
      <c r="T465" s="5"/>
      <c r="U465" s="5"/>
      <c r="V465" s="5"/>
      <c r="W465" s="5">
        <v>75620.22</v>
      </c>
      <c r="X465" s="5">
        <v>1</v>
      </c>
      <c r="Y465" s="5">
        <v>75620.22</v>
      </c>
      <c r="Z465" s="5">
        <v>580010.74</v>
      </c>
      <c r="AA465" s="5">
        <v>1</v>
      </c>
      <c r="AB465" s="5">
        <v>580010.74</v>
      </c>
    </row>
    <row r="466" spans="1:28" x14ac:dyDescent="0.2">
      <c r="A466" s="5">
        <v>50</v>
      </c>
      <c r="B466" s="5">
        <v>0</v>
      </c>
      <c r="C466" s="5">
        <v>0</v>
      </c>
      <c r="D466" s="5">
        <v>1</v>
      </c>
      <c r="E466" s="5">
        <v>202</v>
      </c>
      <c r="F466" s="5">
        <f>ROUND(Source!P463,O466)</f>
        <v>74094.28</v>
      </c>
      <c r="G466" s="5" t="s">
        <v>48</v>
      </c>
      <c r="H466" s="5" t="s">
        <v>49</v>
      </c>
      <c r="I466" s="5"/>
      <c r="J466" s="5"/>
      <c r="K466" s="5">
        <v>202</v>
      </c>
      <c r="L466" s="5">
        <v>2</v>
      </c>
      <c r="M466" s="5">
        <v>3</v>
      </c>
      <c r="N466" s="5" t="s">
        <v>3</v>
      </c>
      <c r="O466" s="5">
        <v>2</v>
      </c>
      <c r="P466" s="5">
        <f>ROUND(Source!DH463,O466)</f>
        <v>496833.91</v>
      </c>
      <c r="Q466" s="5"/>
      <c r="R466" s="5"/>
      <c r="S466" s="5"/>
      <c r="T466" s="5"/>
      <c r="U466" s="5"/>
      <c r="V466" s="5"/>
      <c r="W466" s="5">
        <v>74094.28</v>
      </c>
      <c r="X466" s="5">
        <v>1</v>
      </c>
      <c r="Y466" s="5">
        <v>74094.28</v>
      </c>
      <c r="Z466" s="5">
        <v>496833.91</v>
      </c>
      <c r="AA466" s="5">
        <v>1</v>
      </c>
      <c r="AB466" s="5">
        <v>496833.91</v>
      </c>
    </row>
    <row r="467" spans="1:28" x14ac:dyDescent="0.2">
      <c r="A467" s="5">
        <v>50</v>
      </c>
      <c r="B467" s="5">
        <v>0</v>
      </c>
      <c r="C467" s="5">
        <v>0</v>
      </c>
      <c r="D467" s="5">
        <v>1</v>
      </c>
      <c r="E467" s="5">
        <v>222</v>
      </c>
      <c r="F467" s="5">
        <f>ROUND(Source!AO463,O467)</f>
        <v>0</v>
      </c>
      <c r="G467" s="5" t="s">
        <v>50</v>
      </c>
      <c r="H467" s="5" t="s">
        <v>51</v>
      </c>
      <c r="I467" s="5"/>
      <c r="J467" s="5"/>
      <c r="K467" s="5">
        <v>222</v>
      </c>
      <c r="L467" s="5">
        <v>3</v>
      </c>
      <c r="M467" s="5">
        <v>3</v>
      </c>
      <c r="N467" s="5" t="s">
        <v>3</v>
      </c>
      <c r="O467" s="5">
        <v>2</v>
      </c>
      <c r="P467" s="5">
        <f>ROUND(Source!EG463,O467)</f>
        <v>0</v>
      </c>
      <c r="Q467" s="5"/>
      <c r="R467" s="5"/>
      <c r="S467" s="5"/>
      <c r="T467" s="5"/>
      <c r="U467" s="5"/>
      <c r="V467" s="5"/>
      <c r="W467" s="5">
        <v>0</v>
      </c>
      <c r="X467" s="5">
        <v>1</v>
      </c>
      <c r="Y467" s="5">
        <v>0</v>
      </c>
      <c r="Z467" s="5">
        <v>0</v>
      </c>
      <c r="AA467" s="5">
        <v>1</v>
      </c>
      <c r="AB467" s="5">
        <v>0</v>
      </c>
    </row>
    <row r="468" spans="1:28" x14ac:dyDescent="0.2">
      <c r="A468" s="5">
        <v>50</v>
      </c>
      <c r="B468" s="5">
        <v>0</v>
      </c>
      <c r="C468" s="5">
        <v>0</v>
      </c>
      <c r="D468" s="5">
        <v>1</v>
      </c>
      <c r="E468" s="5">
        <v>225</v>
      </c>
      <c r="F468" s="5">
        <f>ROUND(Source!AV463,O468)</f>
        <v>74094.28</v>
      </c>
      <c r="G468" s="5" t="s">
        <v>52</v>
      </c>
      <c r="H468" s="5" t="s">
        <v>53</v>
      </c>
      <c r="I468" s="5"/>
      <c r="J468" s="5"/>
      <c r="K468" s="5">
        <v>225</v>
      </c>
      <c r="L468" s="5">
        <v>4</v>
      </c>
      <c r="M468" s="5">
        <v>3</v>
      </c>
      <c r="N468" s="5" t="s">
        <v>3</v>
      </c>
      <c r="O468" s="5">
        <v>2</v>
      </c>
      <c r="P468" s="5">
        <f>ROUND(Source!EN463,O468)</f>
        <v>496833.91</v>
      </c>
      <c r="Q468" s="5"/>
      <c r="R468" s="5"/>
      <c r="S468" s="5"/>
      <c r="T468" s="5"/>
      <c r="U468" s="5"/>
      <c r="V468" s="5"/>
      <c r="W468" s="5">
        <v>74094.28</v>
      </c>
      <c r="X468" s="5">
        <v>1</v>
      </c>
      <c r="Y468" s="5">
        <v>74094.28</v>
      </c>
      <c r="Z468" s="5">
        <v>496833.91</v>
      </c>
      <c r="AA468" s="5">
        <v>1</v>
      </c>
      <c r="AB468" s="5">
        <v>496833.91</v>
      </c>
    </row>
    <row r="469" spans="1:28" x14ac:dyDescent="0.2">
      <c r="A469" s="5">
        <v>50</v>
      </c>
      <c r="B469" s="5">
        <v>0</v>
      </c>
      <c r="C469" s="5">
        <v>0</v>
      </c>
      <c r="D469" s="5">
        <v>1</v>
      </c>
      <c r="E469" s="5">
        <v>226</v>
      </c>
      <c r="F469" s="5">
        <f>ROUND(Source!AW463,O469)</f>
        <v>39098.92</v>
      </c>
      <c r="G469" s="5" t="s">
        <v>54</v>
      </c>
      <c r="H469" s="5" t="s">
        <v>55</v>
      </c>
      <c r="I469" s="5"/>
      <c r="J469" s="5"/>
      <c r="K469" s="5">
        <v>226</v>
      </c>
      <c r="L469" s="5">
        <v>5</v>
      </c>
      <c r="M469" s="5">
        <v>3</v>
      </c>
      <c r="N469" s="5" t="s">
        <v>3</v>
      </c>
      <c r="O469" s="5">
        <v>2</v>
      </c>
      <c r="P469" s="5">
        <f>ROUND(Source!EO463,O469)</f>
        <v>317808.84000000003</v>
      </c>
      <c r="Q469" s="5"/>
      <c r="R469" s="5"/>
      <c r="S469" s="5"/>
      <c r="T469" s="5"/>
      <c r="U469" s="5"/>
      <c r="V469" s="5"/>
      <c r="W469" s="5">
        <v>39098.92</v>
      </c>
      <c r="X469" s="5">
        <v>1</v>
      </c>
      <c r="Y469" s="5">
        <v>39098.92</v>
      </c>
      <c r="Z469" s="5">
        <v>317808.84000000003</v>
      </c>
      <c r="AA469" s="5">
        <v>1</v>
      </c>
      <c r="AB469" s="5">
        <v>317808.84000000003</v>
      </c>
    </row>
    <row r="470" spans="1:28" x14ac:dyDescent="0.2">
      <c r="A470" s="5">
        <v>50</v>
      </c>
      <c r="B470" s="5">
        <v>0</v>
      </c>
      <c r="C470" s="5">
        <v>0</v>
      </c>
      <c r="D470" s="5">
        <v>1</v>
      </c>
      <c r="E470" s="5">
        <v>227</v>
      </c>
      <c r="F470" s="5">
        <f>ROUND(Source!AX463,O470)</f>
        <v>0</v>
      </c>
      <c r="G470" s="5" t="s">
        <v>56</v>
      </c>
      <c r="H470" s="5" t="s">
        <v>57</v>
      </c>
      <c r="I470" s="5"/>
      <c r="J470" s="5"/>
      <c r="K470" s="5">
        <v>227</v>
      </c>
      <c r="L470" s="5">
        <v>6</v>
      </c>
      <c r="M470" s="5">
        <v>3</v>
      </c>
      <c r="N470" s="5" t="s">
        <v>3</v>
      </c>
      <c r="O470" s="5">
        <v>2</v>
      </c>
      <c r="P470" s="5">
        <f>ROUND(Source!EP463,O470)</f>
        <v>0</v>
      </c>
      <c r="Q470" s="5"/>
      <c r="R470" s="5"/>
      <c r="S470" s="5"/>
      <c r="T470" s="5"/>
      <c r="U470" s="5"/>
      <c r="V470" s="5"/>
      <c r="W470" s="5">
        <v>0</v>
      </c>
      <c r="X470" s="5">
        <v>1</v>
      </c>
      <c r="Y470" s="5">
        <v>0</v>
      </c>
      <c r="Z470" s="5">
        <v>0</v>
      </c>
      <c r="AA470" s="5">
        <v>1</v>
      </c>
      <c r="AB470" s="5">
        <v>0</v>
      </c>
    </row>
    <row r="471" spans="1:28" x14ac:dyDescent="0.2">
      <c r="A471" s="5">
        <v>50</v>
      </c>
      <c r="B471" s="5">
        <v>0</v>
      </c>
      <c r="C471" s="5">
        <v>0</v>
      </c>
      <c r="D471" s="5">
        <v>1</v>
      </c>
      <c r="E471" s="5">
        <v>228</v>
      </c>
      <c r="F471" s="5">
        <f>ROUND(Source!AY463,O471)</f>
        <v>39098.92</v>
      </c>
      <c r="G471" s="5" t="s">
        <v>58</v>
      </c>
      <c r="H471" s="5" t="s">
        <v>59</v>
      </c>
      <c r="I471" s="5"/>
      <c r="J471" s="5"/>
      <c r="K471" s="5">
        <v>228</v>
      </c>
      <c r="L471" s="5">
        <v>7</v>
      </c>
      <c r="M471" s="5">
        <v>3</v>
      </c>
      <c r="N471" s="5" t="s">
        <v>3</v>
      </c>
      <c r="O471" s="5">
        <v>2</v>
      </c>
      <c r="P471" s="5">
        <f>ROUND(Source!EQ463,O471)</f>
        <v>317808.84000000003</v>
      </c>
      <c r="Q471" s="5"/>
      <c r="R471" s="5"/>
      <c r="S471" s="5"/>
      <c r="T471" s="5"/>
      <c r="U471" s="5"/>
      <c r="V471" s="5"/>
      <c r="W471" s="5">
        <v>39098.92</v>
      </c>
      <c r="X471" s="5">
        <v>1</v>
      </c>
      <c r="Y471" s="5">
        <v>39098.92</v>
      </c>
      <c r="Z471" s="5">
        <v>317808.84000000003</v>
      </c>
      <c r="AA471" s="5">
        <v>1</v>
      </c>
      <c r="AB471" s="5">
        <v>317808.84000000003</v>
      </c>
    </row>
    <row r="472" spans="1:28" x14ac:dyDescent="0.2">
      <c r="A472" s="5">
        <v>50</v>
      </c>
      <c r="B472" s="5">
        <v>0</v>
      </c>
      <c r="C472" s="5">
        <v>0</v>
      </c>
      <c r="D472" s="5">
        <v>1</v>
      </c>
      <c r="E472" s="5">
        <v>216</v>
      </c>
      <c r="F472" s="5">
        <f>ROUND(Source!AP463,O472)</f>
        <v>34995.360000000001</v>
      </c>
      <c r="G472" s="5" t="s">
        <v>60</v>
      </c>
      <c r="H472" s="5" t="s">
        <v>61</v>
      </c>
      <c r="I472" s="5"/>
      <c r="J472" s="5"/>
      <c r="K472" s="5">
        <v>216</v>
      </c>
      <c r="L472" s="5">
        <v>8</v>
      </c>
      <c r="M472" s="5">
        <v>3</v>
      </c>
      <c r="N472" s="5" t="s">
        <v>3</v>
      </c>
      <c r="O472" s="5">
        <v>2</v>
      </c>
      <c r="P472" s="5">
        <f>ROUND(Source!EH463,O472)</f>
        <v>179025.07</v>
      </c>
      <c r="Q472" s="5"/>
      <c r="R472" s="5"/>
      <c r="S472" s="5"/>
      <c r="T472" s="5"/>
      <c r="U472" s="5"/>
      <c r="V472" s="5"/>
      <c r="W472" s="5">
        <v>34995.360000000001</v>
      </c>
      <c r="X472" s="5">
        <v>1</v>
      </c>
      <c r="Y472" s="5">
        <v>34995.360000000001</v>
      </c>
      <c r="Z472" s="5">
        <v>179025.07</v>
      </c>
      <c r="AA472" s="5">
        <v>1</v>
      </c>
      <c r="AB472" s="5">
        <v>179025.07</v>
      </c>
    </row>
    <row r="473" spans="1:28" x14ac:dyDescent="0.2">
      <c r="A473" s="5">
        <v>50</v>
      </c>
      <c r="B473" s="5">
        <v>0</v>
      </c>
      <c r="C473" s="5">
        <v>0</v>
      </c>
      <c r="D473" s="5">
        <v>1</v>
      </c>
      <c r="E473" s="5">
        <v>223</v>
      </c>
      <c r="F473" s="5">
        <f>ROUND(Source!AQ463,O473)</f>
        <v>0</v>
      </c>
      <c r="G473" s="5" t="s">
        <v>62</v>
      </c>
      <c r="H473" s="5" t="s">
        <v>63</v>
      </c>
      <c r="I473" s="5"/>
      <c r="J473" s="5"/>
      <c r="K473" s="5">
        <v>223</v>
      </c>
      <c r="L473" s="5">
        <v>9</v>
      </c>
      <c r="M473" s="5">
        <v>3</v>
      </c>
      <c r="N473" s="5" t="s">
        <v>3</v>
      </c>
      <c r="O473" s="5">
        <v>2</v>
      </c>
      <c r="P473" s="5">
        <f>ROUND(Source!EI463,O473)</f>
        <v>0</v>
      </c>
      <c r="Q473" s="5"/>
      <c r="R473" s="5"/>
      <c r="S473" s="5"/>
      <c r="T473" s="5"/>
      <c r="U473" s="5"/>
      <c r="V473" s="5"/>
      <c r="W473" s="5">
        <v>0</v>
      </c>
      <c r="X473" s="5">
        <v>1</v>
      </c>
      <c r="Y473" s="5">
        <v>0</v>
      </c>
      <c r="Z473" s="5">
        <v>0</v>
      </c>
      <c r="AA473" s="5">
        <v>1</v>
      </c>
      <c r="AB473" s="5">
        <v>0</v>
      </c>
    </row>
    <row r="474" spans="1:28" x14ac:dyDescent="0.2">
      <c r="A474" s="5">
        <v>50</v>
      </c>
      <c r="B474" s="5">
        <v>0</v>
      </c>
      <c r="C474" s="5">
        <v>0</v>
      </c>
      <c r="D474" s="5">
        <v>1</v>
      </c>
      <c r="E474" s="5">
        <v>229</v>
      </c>
      <c r="F474" s="5">
        <f>ROUND(Source!AZ463,O474)</f>
        <v>34995.360000000001</v>
      </c>
      <c r="G474" s="5" t="s">
        <v>64</v>
      </c>
      <c r="H474" s="5" t="s">
        <v>65</v>
      </c>
      <c r="I474" s="5"/>
      <c r="J474" s="5"/>
      <c r="K474" s="5">
        <v>229</v>
      </c>
      <c r="L474" s="5">
        <v>10</v>
      </c>
      <c r="M474" s="5">
        <v>3</v>
      </c>
      <c r="N474" s="5" t="s">
        <v>3</v>
      </c>
      <c r="O474" s="5">
        <v>2</v>
      </c>
      <c r="P474" s="5">
        <f>ROUND(Source!ER463,O474)</f>
        <v>179025.07</v>
      </c>
      <c r="Q474" s="5"/>
      <c r="R474" s="5"/>
      <c r="S474" s="5"/>
      <c r="T474" s="5"/>
      <c r="U474" s="5"/>
      <c r="V474" s="5"/>
      <c r="W474" s="5">
        <v>34995.360000000001</v>
      </c>
      <c r="X474" s="5">
        <v>1</v>
      </c>
      <c r="Y474" s="5">
        <v>34995.360000000001</v>
      </c>
      <c r="Z474" s="5">
        <v>179025.07</v>
      </c>
      <c r="AA474" s="5">
        <v>1</v>
      </c>
      <c r="AB474" s="5">
        <v>179025.07</v>
      </c>
    </row>
    <row r="475" spans="1:28" x14ac:dyDescent="0.2">
      <c r="A475" s="5">
        <v>50</v>
      </c>
      <c r="B475" s="5">
        <v>0</v>
      </c>
      <c r="C475" s="5">
        <v>0</v>
      </c>
      <c r="D475" s="5">
        <v>1</v>
      </c>
      <c r="E475" s="5">
        <v>203</v>
      </c>
      <c r="F475" s="5">
        <f>ROUND(Source!Q463,O475)</f>
        <v>17.600000000000001</v>
      </c>
      <c r="G475" s="5" t="s">
        <v>66</v>
      </c>
      <c r="H475" s="5" t="s">
        <v>67</v>
      </c>
      <c r="I475" s="5"/>
      <c r="J475" s="5"/>
      <c r="K475" s="5">
        <v>203</v>
      </c>
      <c r="L475" s="5">
        <v>11</v>
      </c>
      <c r="M475" s="5">
        <v>3</v>
      </c>
      <c r="N475" s="5" t="s">
        <v>3</v>
      </c>
      <c r="O475" s="5">
        <v>2</v>
      </c>
      <c r="P475" s="5">
        <f>ROUND(Source!DI463,O475)</f>
        <v>233.23</v>
      </c>
      <c r="Q475" s="5"/>
      <c r="R475" s="5"/>
      <c r="S475" s="5"/>
      <c r="T475" s="5"/>
      <c r="U475" s="5"/>
      <c r="V475" s="5"/>
      <c r="W475" s="5">
        <v>17.600000000000001</v>
      </c>
      <c r="X475" s="5">
        <v>1</v>
      </c>
      <c r="Y475" s="5">
        <v>17.600000000000001</v>
      </c>
      <c r="Z475" s="5">
        <v>233.23</v>
      </c>
      <c r="AA475" s="5">
        <v>1</v>
      </c>
      <c r="AB475" s="5">
        <v>233.23</v>
      </c>
    </row>
    <row r="476" spans="1:28" x14ac:dyDescent="0.2">
      <c r="A476" s="5">
        <v>50</v>
      </c>
      <c r="B476" s="5">
        <v>0</v>
      </c>
      <c r="C476" s="5">
        <v>0</v>
      </c>
      <c r="D476" s="5">
        <v>1</v>
      </c>
      <c r="E476" s="5">
        <v>231</v>
      </c>
      <c r="F476" s="5">
        <f>ROUND(Source!BB463,O476)</f>
        <v>0</v>
      </c>
      <c r="G476" s="5" t="s">
        <v>68</v>
      </c>
      <c r="H476" s="5" t="s">
        <v>69</v>
      </c>
      <c r="I476" s="5"/>
      <c r="J476" s="5"/>
      <c r="K476" s="5">
        <v>231</v>
      </c>
      <c r="L476" s="5">
        <v>12</v>
      </c>
      <c r="M476" s="5">
        <v>3</v>
      </c>
      <c r="N476" s="5" t="s">
        <v>3</v>
      </c>
      <c r="O476" s="5">
        <v>2</v>
      </c>
      <c r="P476" s="5">
        <f>ROUND(Source!ET463,O476)</f>
        <v>0</v>
      </c>
      <c r="Q476" s="5"/>
      <c r="R476" s="5"/>
      <c r="S476" s="5"/>
      <c r="T476" s="5"/>
      <c r="U476" s="5"/>
      <c r="V476" s="5"/>
      <c r="W476" s="5">
        <v>0</v>
      </c>
      <c r="X476" s="5">
        <v>1</v>
      </c>
      <c r="Y476" s="5">
        <v>0</v>
      </c>
      <c r="Z476" s="5">
        <v>0</v>
      </c>
      <c r="AA476" s="5">
        <v>1</v>
      </c>
      <c r="AB476" s="5">
        <v>0</v>
      </c>
    </row>
    <row r="477" spans="1:28" x14ac:dyDescent="0.2">
      <c r="A477" s="5">
        <v>50</v>
      </c>
      <c r="B477" s="5">
        <v>0</v>
      </c>
      <c r="C477" s="5">
        <v>0</v>
      </c>
      <c r="D477" s="5">
        <v>1</v>
      </c>
      <c r="E477" s="5">
        <v>204</v>
      </c>
      <c r="F477" s="5">
        <f>ROUND(Source!R463,O477)</f>
        <v>1.6</v>
      </c>
      <c r="G477" s="5" t="s">
        <v>70</v>
      </c>
      <c r="H477" s="5" t="s">
        <v>71</v>
      </c>
      <c r="I477" s="5"/>
      <c r="J477" s="5"/>
      <c r="K477" s="5">
        <v>204</v>
      </c>
      <c r="L477" s="5">
        <v>13</v>
      </c>
      <c r="M477" s="5">
        <v>3</v>
      </c>
      <c r="N477" s="5" t="s">
        <v>3</v>
      </c>
      <c r="O477" s="5">
        <v>2</v>
      </c>
      <c r="P477" s="5">
        <f>ROUND(Source!DJ463,O477)</f>
        <v>87.99</v>
      </c>
      <c r="Q477" s="5"/>
      <c r="R477" s="5"/>
      <c r="S477" s="5"/>
      <c r="T477" s="5"/>
      <c r="U477" s="5"/>
      <c r="V477" s="5"/>
      <c r="W477" s="5">
        <v>1.6</v>
      </c>
      <c r="X477" s="5">
        <v>1</v>
      </c>
      <c r="Y477" s="5">
        <v>1.6</v>
      </c>
      <c r="Z477" s="5">
        <v>87.99</v>
      </c>
      <c r="AA477" s="5">
        <v>1</v>
      </c>
      <c r="AB477" s="5">
        <v>87.99</v>
      </c>
    </row>
    <row r="478" spans="1:28" x14ac:dyDescent="0.2">
      <c r="A478" s="5">
        <v>50</v>
      </c>
      <c r="B478" s="5">
        <v>0</v>
      </c>
      <c r="C478" s="5">
        <v>0</v>
      </c>
      <c r="D478" s="5">
        <v>1</v>
      </c>
      <c r="E478" s="5">
        <v>205</v>
      </c>
      <c r="F478" s="5">
        <f>ROUND(Source!S463,O478)</f>
        <v>1508.34</v>
      </c>
      <c r="G478" s="5" t="s">
        <v>72</v>
      </c>
      <c r="H478" s="5" t="s">
        <v>73</v>
      </c>
      <c r="I478" s="5"/>
      <c r="J478" s="5"/>
      <c r="K478" s="5">
        <v>205</v>
      </c>
      <c r="L478" s="5">
        <v>14</v>
      </c>
      <c r="M478" s="5">
        <v>3</v>
      </c>
      <c r="N478" s="5" t="s">
        <v>3</v>
      </c>
      <c r="O478" s="5">
        <v>2</v>
      </c>
      <c r="P478" s="5">
        <f>ROUND(Source!DK463,O478)</f>
        <v>82943.600000000006</v>
      </c>
      <c r="Q478" s="5"/>
      <c r="R478" s="5"/>
      <c r="S478" s="5"/>
      <c r="T478" s="5"/>
      <c r="U478" s="5"/>
      <c r="V478" s="5"/>
      <c r="W478" s="5">
        <v>1508.34</v>
      </c>
      <c r="X478" s="5">
        <v>1</v>
      </c>
      <c r="Y478" s="5">
        <v>1508.34</v>
      </c>
      <c r="Z478" s="5">
        <v>82943.600000000006</v>
      </c>
      <c r="AA478" s="5">
        <v>1</v>
      </c>
      <c r="AB478" s="5">
        <v>82943.600000000006</v>
      </c>
    </row>
    <row r="479" spans="1:28" x14ac:dyDescent="0.2">
      <c r="A479" s="5">
        <v>50</v>
      </c>
      <c r="B479" s="5">
        <v>0</v>
      </c>
      <c r="C479" s="5">
        <v>0</v>
      </c>
      <c r="D479" s="5">
        <v>1</v>
      </c>
      <c r="E479" s="5">
        <v>232</v>
      </c>
      <c r="F479" s="5">
        <f>ROUND(Source!BC463,O479)</f>
        <v>0</v>
      </c>
      <c r="G479" s="5" t="s">
        <v>74</v>
      </c>
      <c r="H479" s="5" t="s">
        <v>75</v>
      </c>
      <c r="I479" s="5"/>
      <c r="J479" s="5"/>
      <c r="K479" s="5">
        <v>232</v>
      </c>
      <c r="L479" s="5">
        <v>15</v>
      </c>
      <c r="M479" s="5">
        <v>3</v>
      </c>
      <c r="N479" s="5" t="s">
        <v>3</v>
      </c>
      <c r="O479" s="5">
        <v>2</v>
      </c>
      <c r="P479" s="5">
        <f>ROUND(Source!EU463,O479)</f>
        <v>0</v>
      </c>
      <c r="Q479" s="5"/>
      <c r="R479" s="5"/>
      <c r="S479" s="5"/>
      <c r="T479" s="5"/>
      <c r="U479" s="5"/>
      <c r="V479" s="5"/>
      <c r="W479" s="5">
        <v>0</v>
      </c>
      <c r="X479" s="5">
        <v>1</v>
      </c>
      <c r="Y479" s="5">
        <v>0</v>
      </c>
      <c r="Z479" s="5">
        <v>0</v>
      </c>
      <c r="AA479" s="5">
        <v>1</v>
      </c>
      <c r="AB479" s="5">
        <v>0</v>
      </c>
    </row>
    <row r="480" spans="1:28" x14ac:dyDescent="0.2">
      <c r="A480" s="5">
        <v>50</v>
      </c>
      <c r="B480" s="5">
        <v>0</v>
      </c>
      <c r="C480" s="5">
        <v>0</v>
      </c>
      <c r="D480" s="5">
        <v>1</v>
      </c>
      <c r="E480" s="5">
        <v>214</v>
      </c>
      <c r="F480" s="5">
        <f>ROUND(Source!AS463,O480)</f>
        <v>42720.06</v>
      </c>
      <c r="G480" s="5" t="s">
        <v>76</v>
      </c>
      <c r="H480" s="5" t="s">
        <v>77</v>
      </c>
      <c r="I480" s="5"/>
      <c r="J480" s="5"/>
      <c r="K480" s="5">
        <v>214</v>
      </c>
      <c r="L480" s="5">
        <v>16</v>
      </c>
      <c r="M480" s="5">
        <v>3</v>
      </c>
      <c r="N480" s="5" t="s">
        <v>3</v>
      </c>
      <c r="O480" s="5">
        <v>2</v>
      </c>
      <c r="P480" s="5">
        <f>ROUND(Source!EK463,O480)</f>
        <v>516199.83</v>
      </c>
      <c r="Q480" s="5"/>
      <c r="R480" s="5"/>
      <c r="S480" s="5"/>
      <c r="T480" s="5"/>
      <c r="U480" s="5"/>
      <c r="V480" s="5"/>
      <c r="W480" s="5">
        <v>42720.06</v>
      </c>
      <c r="X480" s="5">
        <v>1</v>
      </c>
      <c r="Y480" s="5">
        <v>42720.06</v>
      </c>
      <c r="Z480" s="5">
        <v>516199.83</v>
      </c>
      <c r="AA480" s="5">
        <v>1</v>
      </c>
      <c r="AB480" s="5">
        <v>516199.83</v>
      </c>
    </row>
    <row r="481" spans="1:206" x14ac:dyDescent="0.2">
      <c r="A481" s="5">
        <v>50</v>
      </c>
      <c r="B481" s="5">
        <v>0</v>
      </c>
      <c r="C481" s="5">
        <v>0</v>
      </c>
      <c r="D481" s="5">
        <v>1</v>
      </c>
      <c r="E481" s="5">
        <v>215</v>
      </c>
      <c r="F481" s="5">
        <f>ROUND(Source!AT463,O481)</f>
        <v>0</v>
      </c>
      <c r="G481" s="5" t="s">
        <v>78</v>
      </c>
      <c r="H481" s="5" t="s">
        <v>79</v>
      </c>
      <c r="I481" s="5"/>
      <c r="J481" s="5"/>
      <c r="K481" s="5">
        <v>215</v>
      </c>
      <c r="L481" s="5">
        <v>17</v>
      </c>
      <c r="M481" s="5">
        <v>3</v>
      </c>
      <c r="N481" s="5" t="s">
        <v>3</v>
      </c>
      <c r="O481" s="5">
        <v>2</v>
      </c>
      <c r="P481" s="5">
        <f>ROUND(Source!EL463,O481)</f>
        <v>0</v>
      </c>
      <c r="Q481" s="5"/>
      <c r="R481" s="5"/>
      <c r="S481" s="5"/>
      <c r="T481" s="5"/>
      <c r="U481" s="5"/>
      <c r="V481" s="5"/>
      <c r="W481" s="5">
        <v>0</v>
      </c>
      <c r="X481" s="5">
        <v>1</v>
      </c>
      <c r="Y481" s="5">
        <v>0</v>
      </c>
      <c r="Z481" s="5">
        <v>0</v>
      </c>
      <c r="AA481" s="5">
        <v>1</v>
      </c>
      <c r="AB481" s="5">
        <v>0</v>
      </c>
    </row>
    <row r="482" spans="1:206" x14ac:dyDescent="0.2">
      <c r="A482" s="5">
        <v>50</v>
      </c>
      <c r="B482" s="5">
        <v>0</v>
      </c>
      <c r="C482" s="5">
        <v>0</v>
      </c>
      <c r="D482" s="5">
        <v>1</v>
      </c>
      <c r="E482" s="5">
        <v>217</v>
      </c>
      <c r="F482" s="5">
        <f>ROUND(Source!AU463,O482)</f>
        <v>0</v>
      </c>
      <c r="G482" s="5" t="s">
        <v>80</v>
      </c>
      <c r="H482" s="5" t="s">
        <v>81</v>
      </c>
      <c r="I482" s="5"/>
      <c r="J482" s="5"/>
      <c r="K482" s="5">
        <v>217</v>
      </c>
      <c r="L482" s="5">
        <v>18</v>
      </c>
      <c r="M482" s="5">
        <v>3</v>
      </c>
      <c r="N482" s="5" t="s">
        <v>3</v>
      </c>
      <c r="O482" s="5">
        <v>2</v>
      </c>
      <c r="P482" s="5">
        <f>ROUND(Source!EM463,O482)</f>
        <v>0</v>
      </c>
      <c r="Q482" s="5"/>
      <c r="R482" s="5"/>
      <c r="S482" s="5"/>
      <c r="T482" s="5"/>
      <c r="U482" s="5"/>
      <c r="V482" s="5"/>
      <c r="W482" s="5">
        <v>0</v>
      </c>
      <c r="X482" s="5">
        <v>1</v>
      </c>
      <c r="Y482" s="5">
        <v>0</v>
      </c>
      <c r="Z482" s="5">
        <v>0</v>
      </c>
      <c r="AA482" s="5">
        <v>1</v>
      </c>
      <c r="AB482" s="5">
        <v>0</v>
      </c>
    </row>
    <row r="483" spans="1:206" x14ac:dyDescent="0.2">
      <c r="A483" s="5">
        <v>50</v>
      </c>
      <c r="B483" s="5">
        <v>0</v>
      </c>
      <c r="C483" s="5">
        <v>0</v>
      </c>
      <c r="D483" s="5">
        <v>1</v>
      </c>
      <c r="E483" s="5">
        <v>230</v>
      </c>
      <c r="F483" s="5">
        <f>ROUND(Source!BA463,O483)</f>
        <v>0</v>
      </c>
      <c r="G483" s="5" t="s">
        <v>82</v>
      </c>
      <c r="H483" s="5" t="s">
        <v>83</v>
      </c>
      <c r="I483" s="5"/>
      <c r="J483" s="5"/>
      <c r="K483" s="5">
        <v>230</v>
      </c>
      <c r="L483" s="5">
        <v>19</v>
      </c>
      <c r="M483" s="5">
        <v>3</v>
      </c>
      <c r="N483" s="5" t="s">
        <v>3</v>
      </c>
      <c r="O483" s="5">
        <v>2</v>
      </c>
      <c r="P483" s="5">
        <f>ROUND(Source!ES463,O483)</f>
        <v>0</v>
      </c>
      <c r="Q483" s="5"/>
      <c r="R483" s="5"/>
      <c r="S483" s="5"/>
      <c r="T483" s="5"/>
      <c r="U483" s="5"/>
      <c r="V483" s="5"/>
      <c r="W483" s="5">
        <v>0</v>
      </c>
      <c r="X483" s="5">
        <v>1</v>
      </c>
      <c r="Y483" s="5">
        <v>0</v>
      </c>
      <c r="Z483" s="5">
        <v>0</v>
      </c>
      <c r="AA483" s="5">
        <v>1</v>
      </c>
      <c r="AB483" s="5">
        <v>0</v>
      </c>
    </row>
    <row r="484" spans="1:206" x14ac:dyDescent="0.2">
      <c r="A484" s="5">
        <v>50</v>
      </c>
      <c r="B484" s="5">
        <v>0</v>
      </c>
      <c r="C484" s="5">
        <v>0</v>
      </c>
      <c r="D484" s="5">
        <v>1</v>
      </c>
      <c r="E484" s="5">
        <v>206</v>
      </c>
      <c r="F484" s="5">
        <f>ROUND(Source!T463,O484)</f>
        <v>0</v>
      </c>
      <c r="G484" s="5" t="s">
        <v>84</v>
      </c>
      <c r="H484" s="5" t="s">
        <v>85</v>
      </c>
      <c r="I484" s="5"/>
      <c r="J484" s="5"/>
      <c r="K484" s="5">
        <v>206</v>
      </c>
      <c r="L484" s="5">
        <v>20</v>
      </c>
      <c r="M484" s="5">
        <v>3</v>
      </c>
      <c r="N484" s="5" t="s">
        <v>3</v>
      </c>
      <c r="O484" s="5">
        <v>2</v>
      </c>
      <c r="P484" s="5">
        <f>ROUND(Source!DL463,O484)</f>
        <v>0</v>
      </c>
      <c r="Q484" s="5"/>
      <c r="R484" s="5"/>
      <c r="S484" s="5"/>
      <c r="T484" s="5"/>
      <c r="U484" s="5"/>
      <c r="V484" s="5"/>
      <c r="W484" s="5">
        <v>0</v>
      </c>
      <c r="X484" s="5">
        <v>1</v>
      </c>
      <c r="Y484" s="5">
        <v>0</v>
      </c>
      <c r="Z484" s="5">
        <v>0</v>
      </c>
      <c r="AA484" s="5">
        <v>1</v>
      </c>
      <c r="AB484" s="5">
        <v>0</v>
      </c>
    </row>
    <row r="485" spans="1:206" x14ac:dyDescent="0.2">
      <c r="A485" s="5">
        <v>50</v>
      </c>
      <c r="B485" s="5">
        <v>0</v>
      </c>
      <c r="C485" s="5">
        <v>0</v>
      </c>
      <c r="D485" s="5">
        <v>1</v>
      </c>
      <c r="E485" s="5">
        <v>207</v>
      </c>
      <c r="F485" s="5">
        <f>Source!U463</f>
        <v>97.728297481979965</v>
      </c>
      <c r="G485" s="5" t="s">
        <v>86</v>
      </c>
      <c r="H485" s="5" t="s">
        <v>87</v>
      </c>
      <c r="I485" s="5"/>
      <c r="J485" s="5"/>
      <c r="K485" s="5">
        <v>207</v>
      </c>
      <c r="L485" s="5">
        <v>21</v>
      </c>
      <c r="M485" s="5">
        <v>3</v>
      </c>
      <c r="N485" s="5" t="s">
        <v>3</v>
      </c>
      <c r="O485" s="5">
        <v>-1</v>
      </c>
      <c r="P485" s="5">
        <f>Source!DM463</f>
        <v>97.728297481979965</v>
      </c>
      <c r="Q485" s="5"/>
      <c r="R485" s="5"/>
      <c r="S485" s="5"/>
      <c r="T485" s="5"/>
      <c r="U485" s="5"/>
      <c r="V485" s="5"/>
      <c r="W485" s="5">
        <v>97.728297481979965</v>
      </c>
      <c r="X485" s="5">
        <v>1</v>
      </c>
      <c r="Y485" s="5">
        <v>97.728297481979965</v>
      </c>
      <c r="Z485" s="5">
        <v>97.728297481979965</v>
      </c>
      <c r="AA485" s="5">
        <v>1</v>
      </c>
      <c r="AB485" s="5">
        <v>97.728297481979965</v>
      </c>
    </row>
    <row r="486" spans="1:206" x14ac:dyDescent="0.2">
      <c r="A486" s="5">
        <v>50</v>
      </c>
      <c r="B486" s="5">
        <v>0</v>
      </c>
      <c r="C486" s="5">
        <v>0</v>
      </c>
      <c r="D486" s="5">
        <v>1</v>
      </c>
      <c r="E486" s="5">
        <v>208</v>
      </c>
      <c r="F486" s="5">
        <f>Source!V463</f>
        <v>0</v>
      </c>
      <c r="G486" s="5" t="s">
        <v>88</v>
      </c>
      <c r="H486" s="5" t="s">
        <v>89</v>
      </c>
      <c r="I486" s="5"/>
      <c r="J486" s="5"/>
      <c r="K486" s="5">
        <v>208</v>
      </c>
      <c r="L486" s="5">
        <v>22</v>
      </c>
      <c r="M486" s="5">
        <v>3</v>
      </c>
      <c r="N486" s="5" t="s">
        <v>3</v>
      </c>
      <c r="O486" s="5">
        <v>-1</v>
      </c>
      <c r="P486" s="5">
        <f>Source!DN463</f>
        <v>0</v>
      </c>
      <c r="Q486" s="5"/>
      <c r="R486" s="5"/>
      <c r="S486" s="5"/>
      <c r="T486" s="5"/>
      <c r="U486" s="5"/>
      <c r="V486" s="5"/>
      <c r="W486" s="5">
        <v>0</v>
      </c>
      <c r="X486" s="5">
        <v>1</v>
      </c>
      <c r="Y486" s="5">
        <v>0</v>
      </c>
      <c r="Z486" s="5">
        <v>0</v>
      </c>
      <c r="AA486" s="5">
        <v>1</v>
      </c>
      <c r="AB486" s="5">
        <v>0</v>
      </c>
    </row>
    <row r="487" spans="1:206" x14ac:dyDescent="0.2">
      <c r="A487" s="5">
        <v>50</v>
      </c>
      <c r="B487" s="5">
        <v>0</v>
      </c>
      <c r="C487" s="5">
        <v>0</v>
      </c>
      <c r="D487" s="5">
        <v>1</v>
      </c>
      <c r="E487" s="5">
        <v>209</v>
      </c>
      <c r="F487" s="5">
        <f>ROUND(Source!W463,O487)</f>
        <v>0</v>
      </c>
      <c r="G487" s="5" t="s">
        <v>90</v>
      </c>
      <c r="H487" s="5" t="s">
        <v>91</v>
      </c>
      <c r="I487" s="5"/>
      <c r="J487" s="5"/>
      <c r="K487" s="5">
        <v>209</v>
      </c>
      <c r="L487" s="5">
        <v>23</v>
      </c>
      <c r="M487" s="5">
        <v>3</v>
      </c>
      <c r="N487" s="5" t="s">
        <v>3</v>
      </c>
      <c r="O487" s="5">
        <v>2</v>
      </c>
      <c r="P487" s="5">
        <f>ROUND(Source!DO463,O487)</f>
        <v>0</v>
      </c>
      <c r="Q487" s="5"/>
      <c r="R487" s="5"/>
      <c r="S487" s="5"/>
      <c r="T487" s="5"/>
      <c r="U487" s="5"/>
      <c r="V487" s="5"/>
      <c r="W487" s="5">
        <v>0</v>
      </c>
      <c r="X487" s="5">
        <v>1</v>
      </c>
      <c r="Y487" s="5">
        <v>0</v>
      </c>
      <c r="Z487" s="5">
        <v>0</v>
      </c>
      <c r="AA487" s="5">
        <v>1</v>
      </c>
      <c r="AB487" s="5">
        <v>0</v>
      </c>
    </row>
    <row r="488" spans="1:206" x14ac:dyDescent="0.2">
      <c r="A488" s="5">
        <v>50</v>
      </c>
      <c r="B488" s="5">
        <v>0</v>
      </c>
      <c r="C488" s="5">
        <v>0</v>
      </c>
      <c r="D488" s="5">
        <v>1</v>
      </c>
      <c r="E488" s="5">
        <v>233</v>
      </c>
      <c r="F488" s="5">
        <f>ROUND(Source!BD463,O488)</f>
        <v>0</v>
      </c>
      <c r="G488" s="5" t="s">
        <v>92</v>
      </c>
      <c r="H488" s="5" t="s">
        <v>93</v>
      </c>
      <c r="I488" s="5"/>
      <c r="J488" s="5"/>
      <c r="K488" s="5">
        <v>233</v>
      </c>
      <c r="L488" s="5">
        <v>24</v>
      </c>
      <c r="M488" s="5">
        <v>3</v>
      </c>
      <c r="N488" s="5" t="s">
        <v>3</v>
      </c>
      <c r="O488" s="5">
        <v>2</v>
      </c>
      <c r="P488" s="5">
        <f>ROUND(Source!EV463,O488)</f>
        <v>0</v>
      </c>
      <c r="Q488" s="5"/>
      <c r="R488" s="5"/>
      <c r="S488" s="5"/>
      <c r="T488" s="5"/>
      <c r="U488" s="5"/>
      <c r="V488" s="5"/>
      <c r="W488" s="5">
        <v>0</v>
      </c>
      <c r="X488" s="5">
        <v>1</v>
      </c>
      <c r="Y488" s="5">
        <v>0</v>
      </c>
      <c r="Z488" s="5">
        <v>0</v>
      </c>
      <c r="AA488" s="5">
        <v>1</v>
      </c>
      <c r="AB488" s="5">
        <v>0</v>
      </c>
    </row>
    <row r="489" spans="1:206" x14ac:dyDescent="0.2">
      <c r="A489" s="5">
        <v>50</v>
      </c>
      <c r="B489" s="5">
        <v>0</v>
      </c>
      <c r="C489" s="5">
        <v>0</v>
      </c>
      <c r="D489" s="5">
        <v>1</v>
      </c>
      <c r="E489" s="5">
        <v>210</v>
      </c>
      <c r="F489" s="5">
        <f>ROUND(Source!X463,O489)</f>
        <v>1329.7</v>
      </c>
      <c r="G489" s="5" t="s">
        <v>94</v>
      </c>
      <c r="H489" s="5" t="s">
        <v>95</v>
      </c>
      <c r="I489" s="5"/>
      <c r="J489" s="5"/>
      <c r="K489" s="5">
        <v>210</v>
      </c>
      <c r="L489" s="5">
        <v>25</v>
      </c>
      <c r="M489" s="5">
        <v>3</v>
      </c>
      <c r="N489" s="5" t="s">
        <v>3</v>
      </c>
      <c r="O489" s="5">
        <v>2</v>
      </c>
      <c r="P489" s="5">
        <f>ROUND(Source!DP463,O489)</f>
        <v>73119.199999999997</v>
      </c>
      <c r="Q489" s="5"/>
      <c r="R489" s="5"/>
      <c r="S489" s="5"/>
      <c r="T489" s="5"/>
      <c r="U489" s="5"/>
      <c r="V489" s="5"/>
      <c r="W489" s="5">
        <v>1329.7</v>
      </c>
      <c r="X489" s="5">
        <v>1</v>
      </c>
      <c r="Y489" s="5">
        <v>1329.7</v>
      </c>
      <c r="Z489" s="5">
        <v>73119.199999999997</v>
      </c>
      <c r="AA489" s="5">
        <v>1</v>
      </c>
      <c r="AB489" s="5">
        <v>73119.199999999997</v>
      </c>
    </row>
    <row r="490" spans="1:206" x14ac:dyDescent="0.2">
      <c r="A490" s="5">
        <v>50</v>
      </c>
      <c r="B490" s="5">
        <v>0</v>
      </c>
      <c r="C490" s="5">
        <v>0</v>
      </c>
      <c r="D490" s="5">
        <v>1</v>
      </c>
      <c r="E490" s="5">
        <v>211</v>
      </c>
      <c r="F490" s="5">
        <f>ROUND(Source!Y463,O490)</f>
        <v>765.5</v>
      </c>
      <c r="G490" s="5" t="s">
        <v>96</v>
      </c>
      <c r="H490" s="5" t="s">
        <v>97</v>
      </c>
      <c r="I490" s="5"/>
      <c r="J490" s="5"/>
      <c r="K490" s="5">
        <v>211</v>
      </c>
      <c r="L490" s="5">
        <v>26</v>
      </c>
      <c r="M490" s="5">
        <v>3</v>
      </c>
      <c r="N490" s="5" t="s">
        <v>3</v>
      </c>
      <c r="O490" s="5">
        <v>2</v>
      </c>
      <c r="P490" s="5">
        <f>ROUND(Source!DQ463,O490)</f>
        <v>42094.96</v>
      </c>
      <c r="Q490" s="5"/>
      <c r="R490" s="5"/>
      <c r="S490" s="5"/>
      <c r="T490" s="5"/>
      <c r="U490" s="5"/>
      <c r="V490" s="5"/>
      <c r="W490" s="5">
        <v>765.5</v>
      </c>
      <c r="X490" s="5">
        <v>1</v>
      </c>
      <c r="Y490" s="5">
        <v>765.5</v>
      </c>
      <c r="Z490" s="5">
        <v>42094.96</v>
      </c>
      <c r="AA490" s="5">
        <v>1</v>
      </c>
      <c r="AB490" s="5">
        <v>42094.96</v>
      </c>
    </row>
    <row r="491" spans="1:206" x14ac:dyDescent="0.2">
      <c r="A491" s="5">
        <v>50</v>
      </c>
      <c r="B491" s="5">
        <v>0</v>
      </c>
      <c r="C491" s="5">
        <v>0</v>
      </c>
      <c r="D491" s="5">
        <v>1</v>
      </c>
      <c r="E491" s="5">
        <v>224</v>
      </c>
      <c r="F491" s="5">
        <f>ROUND(Source!AR463,O491)</f>
        <v>77715.42</v>
      </c>
      <c r="G491" s="5" t="s">
        <v>98</v>
      </c>
      <c r="H491" s="5" t="s">
        <v>99</v>
      </c>
      <c r="I491" s="5"/>
      <c r="J491" s="5"/>
      <c r="K491" s="5">
        <v>224</v>
      </c>
      <c r="L491" s="5">
        <v>27</v>
      </c>
      <c r="M491" s="5">
        <v>3</v>
      </c>
      <c r="N491" s="5" t="s">
        <v>3</v>
      </c>
      <c r="O491" s="5">
        <v>2</v>
      </c>
      <c r="P491" s="5">
        <f>ROUND(Source!EJ463,O491)</f>
        <v>695224.9</v>
      </c>
      <c r="Q491" s="5"/>
      <c r="R491" s="5"/>
      <c r="S491" s="5"/>
      <c r="T491" s="5"/>
      <c r="U491" s="5"/>
      <c r="V491" s="5"/>
      <c r="W491" s="5">
        <v>77715.42</v>
      </c>
      <c r="X491" s="5">
        <v>1</v>
      </c>
      <c r="Y491" s="5">
        <v>77715.42</v>
      </c>
      <c r="Z491" s="5">
        <v>695224.9</v>
      </c>
      <c r="AA491" s="5">
        <v>1</v>
      </c>
      <c r="AB491" s="5">
        <v>695224.9</v>
      </c>
    </row>
    <row r="493" spans="1:206" x14ac:dyDescent="0.2">
      <c r="A493" s="3">
        <v>51</v>
      </c>
      <c r="B493" s="3">
        <f>B12</f>
        <v>534</v>
      </c>
      <c r="C493" s="3">
        <f>A12</f>
        <v>1</v>
      </c>
      <c r="D493" s="3">
        <f>ROW(A12)</f>
        <v>12</v>
      </c>
      <c r="E493" s="3"/>
      <c r="F493" s="3" t="str">
        <f>IF(F12&lt;&gt;"",F12,"")</f>
        <v>02-01-22</v>
      </c>
      <c r="G493" s="3" t="str">
        <f>IF(G12&lt;&gt;"",G12,"")</f>
        <v>02-01-22 Мероприятия по обеспечению доступа инвалидов</v>
      </c>
      <c r="H493" s="3">
        <v>0</v>
      </c>
      <c r="I493" s="3"/>
      <c r="J493" s="3"/>
      <c r="K493" s="3"/>
      <c r="L493" s="3"/>
      <c r="M493" s="3"/>
      <c r="N493" s="3"/>
      <c r="O493" s="3">
        <f t="shared" ref="O493:T493" si="305">ROUND(O463,2)</f>
        <v>75620.22</v>
      </c>
      <c r="P493" s="3">
        <f t="shared" si="305"/>
        <v>74094.28</v>
      </c>
      <c r="Q493" s="3">
        <f t="shared" si="305"/>
        <v>17.600000000000001</v>
      </c>
      <c r="R493" s="3">
        <f t="shared" si="305"/>
        <v>1.6</v>
      </c>
      <c r="S493" s="3">
        <f t="shared" si="305"/>
        <v>1508.34</v>
      </c>
      <c r="T493" s="3">
        <f t="shared" si="305"/>
        <v>0</v>
      </c>
      <c r="U493" s="3">
        <f>U463</f>
        <v>97.728297481979965</v>
      </c>
      <c r="V493" s="3">
        <f>V463</f>
        <v>0</v>
      </c>
      <c r="W493" s="3">
        <f>ROUND(W463,2)</f>
        <v>0</v>
      </c>
      <c r="X493" s="3">
        <f>ROUND(X463,2)</f>
        <v>1329.7</v>
      </c>
      <c r="Y493" s="3">
        <f>ROUND(Y463,2)</f>
        <v>765.5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>
        <f t="shared" ref="AO493:BD493" si="306">ROUND(AO463,2)</f>
        <v>0</v>
      </c>
      <c r="AP493" s="3">
        <f t="shared" si="306"/>
        <v>34995.360000000001</v>
      </c>
      <c r="AQ493" s="3">
        <f t="shared" si="306"/>
        <v>0</v>
      </c>
      <c r="AR493" s="3">
        <f t="shared" si="306"/>
        <v>77715.42</v>
      </c>
      <c r="AS493" s="3">
        <f t="shared" si="306"/>
        <v>42720.06</v>
      </c>
      <c r="AT493" s="3">
        <f t="shared" si="306"/>
        <v>0</v>
      </c>
      <c r="AU493" s="3">
        <f t="shared" si="306"/>
        <v>0</v>
      </c>
      <c r="AV493" s="3">
        <f t="shared" si="306"/>
        <v>74094.28</v>
      </c>
      <c r="AW493" s="3">
        <f t="shared" si="306"/>
        <v>39098.92</v>
      </c>
      <c r="AX493" s="3">
        <f t="shared" si="306"/>
        <v>0</v>
      </c>
      <c r="AY493" s="3">
        <f t="shared" si="306"/>
        <v>39098.92</v>
      </c>
      <c r="AZ493" s="3">
        <f t="shared" si="306"/>
        <v>34995.360000000001</v>
      </c>
      <c r="BA493" s="3">
        <f t="shared" si="306"/>
        <v>0</v>
      </c>
      <c r="BB493" s="3">
        <f t="shared" si="306"/>
        <v>0</v>
      </c>
      <c r="BC493" s="3">
        <f t="shared" si="306"/>
        <v>0</v>
      </c>
      <c r="BD493" s="3">
        <f t="shared" si="306"/>
        <v>0</v>
      </c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4">
        <f t="shared" ref="DG493:DL493" si="307">ROUND(DG463,2)</f>
        <v>580010.74</v>
      </c>
      <c r="DH493" s="4">
        <f t="shared" si="307"/>
        <v>496833.91</v>
      </c>
      <c r="DI493" s="4">
        <f t="shared" si="307"/>
        <v>233.23</v>
      </c>
      <c r="DJ493" s="4">
        <f t="shared" si="307"/>
        <v>87.99</v>
      </c>
      <c r="DK493" s="4">
        <f t="shared" si="307"/>
        <v>82943.600000000006</v>
      </c>
      <c r="DL493" s="4">
        <f t="shared" si="307"/>
        <v>0</v>
      </c>
      <c r="DM493" s="4">
        <f>DM463</f>
        <v>97.728297481979965</v>
      </c>
      <c r="DN493" s="4">
        <f>DN463</f>
        <v>0</v>
      </c>
      <c r="DO493" s="4">
        <f>ROUND(DO463,2)</f>
        <v>0</v>
      </c>
      <c r="DP493" s="4">
        <f>ROUND(DP463,2)</f>
        <v>73119.199999999997</v>
      </c>
      <c r="DQ493" s="4">
        <f>ROUND(DQ463,2)</f>
        <v>42094.96</v>
      </c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>
        <f t="shared" ref="EG493:EV493" si="308">ROUND(EG463,2)</f>
        <v>0</v>
      </c>
      <c r="EH493" s="4">
        <f t="shared" si="308"/>
        <v>179025.07</v>
      </c>
      <c r="EI493" s="4">
        <f t="shared" si="308"/>
        <v>0</v>
      </c>
      <c r="EJ493" s="4">
        <f t="shared" si="308"/>
        <v>695224.9</v>
      </c>
      <c r="EK493" s="4">
        <f t="shared" si="308"/>
        <v>516199.83</v>
      </c>
      <c r="EL493" s="4">
        <f t="shared" si="308"/>
        <v>0</v>
      </c>
      <c r="EM493" s="4">
        <f t="shared" si="308"/>
        <v>0</v>
      </c>
      <c r="EN493" s="4">
        <f t="shared" si="308"/>
        <v>496833.91</v>
      </c>
      <c r="EO493" s="4">
        <f t="shared" si="308"/>
        <v>317808.84000000003</v>
      </c>
      <c r="EP493" s="4">
        <f t="shared" si="308"/>
        <v>0</v>
      </c>
      <c r="EQ493" s="4">
        <f t="shared" si="308"/>
        <v>317808.84000000003</v>
      </c>
      <c r="ER493" s="4">
        <f t="shared" si="308"/>
        <v>179025.07</v>
      </c>
      <c r="ES493" s="4">
        <f t="shared" si="308"/>
        <v>0</v>
      </c>
      <c r="ET493" s="4">
        <f t="shared" si="308"/>
        <v>0</v>
      </c>
      <c r="EU493" s="4">
        <f t="shared" si="308"/>
        <v>0</v>
      </c>
      <c r="EV493" s="4">
        <f t="shared" si="308"/>
        <v>0</v>
      </c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>
        <v>0</v>
      </c>
    </row>
    <row r="495" spans="1:206" x14ac:dyDescent="0.2">
      <c r="A495" s="5">
        <v>50</v>
      </c>
      <c r="B495" s="5">
        <v>0</v>
      </c>
      <c r="C495" s="5">
        <v>0</v>
      </c>
      <c r="D495" s="5">
        <v>1</v>
      </c>
      <c r="E495" s="5">
        <v>201</v>
      </c>
      <c r="F495" s="5">
        <f>ROUND(Source!O493,O495)</f>
        <v>75620.22</v>
      </c>
      <c r="G495" s="5" t="s">
        <v>46</v>
      </c>
      <c r="H495" s="5" t="s">
        <v>47</v>
      </c>
      <c r="I495" s="5"/>
      <c r="J495" s="5"/>
      <c r="K495" s="5">
        <v>201</v>
      </c>
      <c r="L495" s="5">
        <v>1</v>
      </c>
      <c r="M495" s="5">
        <v>3</v>
      </c>
      <c r="N495" s="5" t="s">
        <v>3</v>
      </c>
      <c r="O495" s="5">
        <v>2</v>
      </c>
      <c r="P495" s="5">
        <f>ROUND(Source!DG493,O495)</f>
        <v>580010.74</v>
      </c>
      <c r="Q495" s="5"/>
      <c r="R495" s="5"/>
      <c r="S495" s="5"/>
      <c r="T495" s="5"/>
      <c r="U495" s="5"/>
      <c r="V495" s="5"/>
      <c r="W495" s="5">
        <v>75620.22</v>
      </c>
      <c r="X495" s="5">
        <v>1</v>
      </c>
      <c r="Y495" s="5">
        <v>75620.22</v>
      </c>
      <c r="Z495" s="5">
        <v>580010.74</v>
      </c>
      <c r="AA495" s="5">
        <v>1</v>
      </c>
      <c r="AB495" s="5">
        <v>580010.74</v>
      </c>
    </row>
    <row r="496" spans="1:206" x14ac:dyDescent="0.2">
      <c r="A496" s="5">
        <v>50</v>
      </c>
      <c r="B496" s="5">
        <v>0</v>
      </c>
      <c r="C496" s="5">
        <v>0</v>
      </c>
      <c r="D496" s="5">
        <v>1</v>
      </c>
      <c r="E496" s="5">
        <v>202</v>
      </c>
      <c r="F496" s="5">
        <f>ROUND(Source!P493,O496)</f>
        <v>74094.28</v>
      </c>
      <c r="G496" s="5" t="s">
        <v>48</v>
      </c>
      <c r="H496" s="5" t="s">
        <v>49</v>
      </c>
      <c r="I496" s="5"/>
      <c r="J496" s="5"/>
      <c r="K496" s="5">
        <v>202</v>
      </c>
      <c r="L496" s="5">
        <v>2</v>
      </c>
      <c r="M496" s="5">
        <v>3</v>
      </c>
      <c r="N496" s="5" t="s">
        <v>3</v>
      </c>
      <c r="O496" s="5">
        <v>2</v>
      </c>
      <c r="P496" s="5">
        <f>ROUND(Source!DH493,O496)</f>
        <v>496833.91</v>
      </c>
      <c r="Q496" s="5"/>
      <c r="R496" s="5"/>
      <c r="S496" s="5"/>
      <c r="T496" s="5"/>
      <c r="U496" s="5"/>
      <c r="V496" s="5"/>
      <c r="W496" s="5">
        <v>74094.28</v>
      </c>
      <c r="X496" s="5">
        <v>1</v>
      </c>
      <c r="Y496" s="5">
        <v>74094.28</v>
      </c>
      <c r="Z496" s="5">
        <v>496833.91</v>
      </c>
      <c r="AA496" s="5">
        <v>1</v>
      </c>
      <c r="AB496" s="5">
        <v>496833.91</v>
      </c>
    </row>
    <row r="497" spans="1:28" x14ac:dyDescent="0.2">
      <c r="A497" s="5">
        <v>50</v>
      </c>
      <c r="B497" s="5">
        <v>0</v>
      </c>
      <c r="C497" s="5">
        <v>0</v>
      </c>
      <c r="D497" s="5">
        <v>1</v>
      </c>
      <c r="E497" s="5">
        <v>222</v>
      </c>
      <c r="F497" s="5">
        <f>ROUND(Source!AO493,O497)</f>
        <v>0</v>
      </c>
      <c r="G497" s="5" t="s">
        <v>50</v>
      </c>
      <c r="H497" s="5" t="s">
        <v>51</v>
      </c>
      <c r="I497" s="5"/>
      <c r="J497" s="5"/>
      <c r="K497" s="5">
        <v>222</v>
      </c>
      <c r="L497" s="5">
        <v>3</v>
      </c>
      <c r="M497" s="5">
        <v>3</v>
      </c>
      <c r="N497" s="5" t="s">
        <v>3</v>
      </c>
      <c r="O497" s="5">
        <v>2</v>
      </c>
      <c r="P497" s="5">
        <f>ROUND(Source!EG493,O497)</f>
        <v>0</v>
      </c>
      <c r="Q497" s="5"/>
      <c r="R497" s="5"/>
      <c r="S497" s="5"/>
      <c r="T497" s="5"/>
      <c r="U497" s="5"/>
      <c r="V497" s="5"/>
      <c r="W497" s="5">
        <v>0</v>
      </c>
      <c r="X497" s="5">
        <v>1</v>
      </c>
      <c r="Y497" s="5">
        <v>0</v>
      </c>
      <c r="Z497" s="5">
        <v>0</v>
      </c>
      <c r="AA497" s="5">
        <v>1</v>
      </c>
      <c r="AB497" s="5">
        <v>0</v>
      </c>
    </row>
    <row r="498" spans="1:28" x14ac:dyDescent="0.2">
      <c r="A498" s="5">
        <v>50</v>
      </c>
      <c r="B498" s="5">
        <v>0</v>
      </c>
      <c r="C498" s="5">
        <v>0</v>
      </c>
      <c r="D498" s="5">
        <v>1</v>
      </c>
      <c r="E498" s="5">
        <v>225</v>
      </c>
      <c r="F498" s="5">
        <f>ROUND(Source!AV493,O498)</f>
        <v>74094.28</v>
      </c>
      <c r="G498" s="5" t="s">
        <v>52</v>
      </c>
      <c r="H498" s="5" t="s">
        <v>53</v>
      </c>
      <c r="I498" s="5"/>
      <c r="J498" s="5"/>
      <c r="K498" s="5">
        <v>225</v>
      </c>
      <c r="L498" s="5">
        <v>4</v>
      </c>
      <c r="M498" s="5">
        <v>3</v>
      </c>
      <c r="N498" s="5" t="s">
        <v>3</v>
      </c>
      <c r="O498" s="5">
        <v>2</v>
      </c>
      <c r="P498" s="5">
        <f>ROUND(Source!EN493,O498)</f>
        <v>496833.91</v>
      </c>
      <c r="Q498" s="5"/>
      <c r="R498" s="5"/>
      <c r="S498" s="5"/>
      <c r="T498" s="5"/>
      <c r="U498" s="5"/>
      <c r="V498" s="5"/>
      <c r="W498" s="5">
        <v>74094.28</v>
      </c>
      <c r="X498" s="5">
        <v>1</v>
      </c>
      <c r="Y498" s="5">
        <v>74094.28</v>
      </c>
      <c r="Z498" s="5">
        <v>496833.91</v>
      </c>
      <c r="AA498" s="5">
        <v>1</v>
      </c>
      <c r="AB498" s="5">
        <v>496833.91</v>
      </c>
    </row>
    <row r="499" spans="1:28" x14ac:dyDescent="0.2">
      <c r="A499" s="5">
        <v>50</v>
      </c>
      <c r="B499" s="5">
        <v>0</v>
      </c>
      <c r="C499" s="5">
        <v>0</v>
      </c>
      <c r="D499" s="5">
        <v>1</v>
      </c>
      <c r="E499" s="5">
        <v>226</v>
      </c>
      <c r="F499" s="5">
        <f>ROUND(Source!AW493,O499)</f>
        <v>39098.92</v>
      </c>
      <c r="G499" s="5" t="s">
        <v>54</v>
      </c>
      <c r="H499" s="5" t="s">
        <v>55</v>
      </c>
      <c r="I499" s="5"/>
      <c r="J499" s="5"/>
      <c r="K499" s="5">
        <v>226</v>
      </c>
      <c r="L499" s="5">
        <v>5</v>
      </c>
      <c r="M499" s="5">
        <v>3</v>
      </c>
      <c r="N499" s="5" t="s">
        <v>3</v>
      </c>
      <c r="O499" s="5">
        <v>2</v>
      </c>
      <c r="P499" s="5">
        <f>ROUND(Source!EO493,O499)</f>
        <v>317808.84000000003</v>
      </c>
      <c r="Q499" s="5"/>
      <c r="R499" s="5"/>
      <c r="S499" s="5"/>
      <c r="T499" s="5"/>
      <c r="U499" s="5"/>
      <c r="V499" s="5"/>
      <c r="W499" s="5">
        <v>39098.92</v>
      </c>
      <c r="X499" s="5">
        <v>1</v>
      </c>
      <c r="Y499" s="5">
        <v>39098.92</v>
      </c>
      <c r="Z499" s="5">
        <v>317808.84000000003</v>
      </c>
      <c r="AA499" s="5">
        <v>1</v>
      </c>
      <c r="AB499" s="5">
        <v>317808.84000000003</v>
      </c>
    </row>
    <row r="500" spans="1:28" x14ac:dyDescent="0.2">
      <c r="A500" s="5">
        <v>50</v>
      </c>
      <c r="B500" s="5">
        <v>0</v>
      </c>
      <c r="C500" s="5">
        <v>0</v>
      </c>
      <c r="D500" s="5">
        <v>1</v>
      </c>
      <c r="E500" s="5">
        <v>227</v>
      </c>
      <c r="F500" s="5">
        <f>ROUND(Source!AX493,O500)</f>
        <v>0</v>
      </c>
      <c r="G500" s="5" t="s">
        <v>56</v>
      </c>
      <c r="H500" s="5" t="s">
        <v>57</v>
      </c>
      <c r="I500" s="5"/>
      <c r="J500" s="5"/>
      <c r="K500" s="5">
        <v>227</v>
      </c>
      <c r="L500" s="5">
        <v>6</v>
      </c>
      <c r="M500" s="5">
        <v>3</v>
      </c>
      <c r="N500" s="5" t="s">
        <v>3</v>
      </c>
      <c r="O500" s="5">
        <v>2</v>
      </c>
      <c r="P500" s="5">
        <f>ROUND(Source!EP493,O500)</f>
        <v>0</v>
      </c>
      <c r="Q500" s="5"/>
      <c r="R500" s="5"/>
      <c r="S500" s="5"/>
      <c r="T500" s="5"/>
      <c r="U500" s="5"/>
      <c r="V500" s="5"/>
      <c r="W500" s="5">
        <v>0</v>
      </c>
      <c r="X500" s="5">
        <v>1</v>
      </c>
      <c r="Y500" s="5">
        <v>0</v>
      </c>
      <c r="Z500" s="5">
        <v>0</v>
      </c>
      <c r="AA500" s="5">
        <v>1</v>
      </c>
      <c r="AB500" s="5">
        <v>0</v>
      </c>
    </row>
    <row r="501" spans="1:28" x14ac:dyDescent="0.2">
      <c r="A501" s="5">
        <v>50</v>
      </c>
      <c r="B501" s="5">
        <v>0</v>
      </c>
      <c r="C501" s="5">
        <v>0</v>
      </c>
      <c r="D501" s="5">
        <v>1</v>
      </c>
      <c r="E501" s="5">
        <v>228</v>
      </c>
      <c r="F501" s="5">
        <f>ROUND(Source!AY493,O501)</f>
        <v>39098.92</v>
      </c>
      <c r="G501" s="5" t="s">
        <v>58</v>
      </c>
      <c r="H501" s="5" t="s">
        <v>59</v>
      </c>
      <c r="I501" s="5"/>
      <c r="J501" s="5"/>
      <c r="K501" s="5">
        <v>228</v>
      </c>
      <c r="L501" s="5">
        <v>7</v>
      </c>
      <c r="M501" s="5">
        <v>3</v>
      </c>
      <c r="N501" s="5" t="s">
        <v>3</v>
      </c>
      <c r="O501" s="5">
        <v>2</v>
      </c>
      <c r="P501" s="5">
        <f>ROUND(Source!EQ493,O501)</f>
        <v>317808.84000000003</v>
      </c>
      <c r="Q501" s="5"/>
      <c r="R501" s="5"/>
      <c r="S501" s="5"/>
      <c r="T501" s="5"/>
      <c r="U501" s="5"/>
      <c r="V501" s="5"/>
      <c r="W501" s="5">
        <v>39098.92</v>
      </c>
      <c r="X501" s="5">
        <v>1</v>
      </c>
      <c r="Y501" s="5">
        <v>39098.92</v>
      </c>
      <c r="Z501" s="5">
        <v>317808.84000000003</v>
      </c>
      <c r="AA501" s="5">
        <v>1</v>
      </c>
      <c r="AB501" s="5">
        <v>317808.84000000003</v>
      </c>
    </row>
    <row r="502" spans="1:28" x14ac:dyDescent="0.2">
      <c r="A502" s="5">
        <v>50</v>
      </c>
      <c r="B502" s="5">
        <v>0</v>
      </c>
      <c r="C502" s="5">
        <v>0</v>
      </c>
      <c r="D502" s="5">
        <v>1</v>
      </c>
      <c r="E502" s="5">
        <v>216</v>
      </c>
      <c r="F502" s="5">
        <f>ROUND(Source!AP493,O502)</f>
        <v>34995.360000000001</v>
      </c>
      <c r="G502" s="5" t="s">
        <v>60</v>
      </c>
      <c r="H502" s="5" t="s">
        <v>61</v>
      </c>
      <c r="I502" s="5"/>
      <c r="J502" s="5"/>
      <c r="K502" s="5">
        <v>216</v>
      </c>
      <c r="L502" s="5">
        <v>8</v>
      </c>
      <c r="M502" s="5">
        <v>3</v>
      </c>
      <c r="N502" s="5" t="s">
        <v>3</v>
      </c>
      <c r="O502" s="5">
        <v>2</v>
      </c>
      <c r="P502" s="5">
        <f>ROUND(Source!EH493,O502)</f>
        <v>179025.07</v>
      </c>
      <c r="Q502" s="5"/>
      <c r="R502" s="5"/>
      <c r="S502" s="5"/>
      <c r="T502" s="5"/>
      <c r="U502" s="5"/>
      <c r="V502" s="5"/>
      <c r="W502" s="5">
        <v>34995.360000000001</v>
      </c>
      <c r="X502" s="5">
        <v>1</v>
      </c>
      <c r="Y502" s="5">
        <v>34995.360000000001</v>
      </c>
      <c r="Z502" s="5">
        <v>179025.07</v>
      </c>
      <c r="AA502" s="5">
        <v>1</v>
      </c>
      <c r="AB502" s="5">
        <v>179025.07</v>
      </c>
    </row>
    <row r="503" spans="1:28" x14ac:dyDescent="0.2">
      <c r="A503" s="5">
        <v>50</v>
      </c>
      <c r="B503" s="5">
        <v>0</v>
      </c>
      <c r="C503" s="5">
        <v>0</v>
      </c>
      <c r="D503" s="5">
        <v>1</v>
      </c>
      <c r="E503" s="5">
        <v>223</v>
      </c>
      <c r="F503" s="5">
        <f>ROUND(Source!AQ493,O503)</f>
        <v>0</v>
      </c>
      <c r="G503" s="5" t="s">
        <v>62</v>
      </c>
      <c r="H503" s="5" t="s">
        <v>63</v>
      </c>
      <c r="I503" s="5"/>
      <c r="J503" s="5"/>
      <c r="K503" s="5">
        <v>223</v>
      </c>
      <c r="L503" s="5">
        <v>9</v>
      </c>
      <c r="M503" s="5">
        <v>3</v>
      </c>
      <c r="N503" s="5" t="s">
        <v>3</v>
      </c>
      <c r="O503" s="5">
        <v>2</v>
      </c>
      <c r="P503" s="5">
        <f>ROUND(Source!EI493,O503)</f>
        <v>0</v>
      </c>
      <c r="Q503" s="5"/>
      <c r="R503" s="5"/>
      <c r="S503" s="5"/>
      <c r="T503" s="5"/>
      <c r="U503" s="5"/>
      <c r="V503" s="5"/>
      <c r="W503" s="5">
        <v>0</v>
      </c>
      <c r="X503" s="5">
        <v>1</v>
      </c>
      <c r="Y503" s="5">
        <v>0</v>
      </c>
      <c r="Z503" s="5">
        <v>0</v>
      </c>
      <c r="AA503" s="5">
        <v>1</v>
      </c>
      <c r="AB503" s="5">
        <v>0</v>
      </c>
    </row>
    <row r="504" spans="1:28" x14ac:dyDescent="0.2">
      <c r="A504" s="5">
        <v>50</v>
      </c>
      <c r="B504" s="5">
        <v>0</v>
      </c>
      <c r="C504" s="5">
        <v>0</v>
      </c>
      <c r="D504" s="5">
        <v>1</v>
      </c>
      <c r="E504" s="5">
        <v>229</v>
      </c>
      <c r="F504" s="5">
        <f>ROUND(Source!AZ493,O504)</f>
        <v>34995.360000000001</v>
      </c>
      <c r="G504" s="5" t="s">
        <v>64</v>
      </c>
      <c r="H504" s="5" t="s">
        <v>65</v>
      </c>
      <c r="I504" s="5"/>
      <c r="J504" s="5"/>
      <c r="K504" s="5">
        <v>229</v>
      </c>
      <c r="L504" s="5">
        <v>10</v>
      </c>
      <c r="M504" s="5">
        <v>3</v>
      </c>
      <c r="N504" s="5" t="s">
        <v>3</v>
      </c>
      <c r="O504" s="5">
        <v>2</v>
      </c>
      <c r="P504" s="5">
        <f>ROUND(Source!ER493,O504)</f>
        <v>179025.07</v>
      </c>
      <c r="Q504" s="5"/>
      <c r="R504" s="5"/>
      <c r="S504" s="5"/>
      <c r="T504" s="5"/>
      <c r="U504" s="5"/>
      <c r="V504" s="5"/>
      <c r="W504" s="5">
        <v>34995.360000000001</v>
      </c>
      <c r="X504" s="5">
        <v>1</v>
      </c>
      <c r="Y504" s="5">
        <v>34995.360000000001</v>
      </c>
      <c r="Z504" s="5">
        <v>179025.07</v>
      </c>
      <c r="AA504" s="5">
        <v>1</v>
      </c>
      <c r="AB504" s="5">
        <v>179025.07</v>
      </c>
    </row>
    <row r="505" spans="1:28" x14ac:dyDescent="0.2">
      <c r="A505" s="5">
        <v>50</v>
      </c>
      <c r="B505" s="5">
        <v>0</v>
      </c>
      <c r="C505" s="5">
        <v>0</v>
      </c>
      <c r="D505" s="5">
        <v>1</v>
      </c>
      <c r="E505" s="5">
        <v>203</v>
      </c>
      <c r="F505" s="5">
        <f>ROUND(Source!Q493,O505)</f>
        <v>17.600000000000001</v>
      </c>
      <c r="G505" s="5" t="s">
        <v>66</v>
      </c>
      <c r="H505" s="5" t="s">
        <v>67</v>
      </c>
      <c r="I505" s="5"/>
      <c r="J505" s="5"/>
      <c r="K505" s="5">
        <v>203</v>
      </c>
      <c r="L505" s="5">
        <v>11</v>
      </c>
      <c r="M505" s="5">
        <v>3</v>
      </c>
      <c r="N505" s="5" t="s">
        <v>3</v>
      </c>
      <c r="O505" s="5">
        <v>2</v>
      </c>
      <c r="P505" s="5">
        <f>ROUND(Source!DI493,O505)</f>
        <v>233.23</v>
      </c>
      <c r="Q505" s="5"/>
      <c r="R505" s="5"/>
      <c r="S505" s="5"/>
      <c r="T505" s="5"/>
      <c r="U505" s="5"/>
      <c r="V505" s="5"/>
      <c r="W505" s="5">
        <v>17.600000000000001</v>
      </c>
      <c r="X505" s="5">
        <v>1</v>
      </c>
      <c r="Y505" s="5">
        <v>17.600000000000001</v>
      </c>
      <c r="Z505" s="5">
        <v>233.23</v>
      </c>
      <c r="AA505" s="5">
        <v>1</v>
      </c>
      <c r="AB505" s="5">
        <v>233.23</v>
      </c>
    </row>
    <row r="506" spans="1:28" x14ac:dyDescent="0.2">
      <c r="A506" s="5">
        <v>50</v>
      </c>
      <c r="B506" s="5">
        <v>0</v>
      </c>
      <c r="C506" s="5">
        <v>0</v>
      </c>
      <c r="D506" s="5">
        <v>1</v>
      </c>
      <c r="E506" s="5">
        <v>231</v>
      </c>
      <c r="F506" s="5">
        <f>ROUND(Source!BB493,O506)</f>
        <v>0</v>
      </c>
      <c r="G506" s="5" t="s">
        <v>68</v>
      </c>
      <c r="H506" s="5" t="s">
        <v>69</v>
      </c>
      <c r="I506" s="5"/>
      <c r="J506" s="5"/>
      <c r="K506" s="5">
        <v>231</v>
      </c>
      <c r="L506" s="5">
        <v>12</v>
      </c>
      <c r="M506" s="5">
        <v>3</v>
      </c>
      <c r="N506" s="5" t="s">
        <v>3</v>
      </c>
      <c r="O506" s="5">
        <v>2</v>
      </c>
      <c r="P506" s="5">
        <f>ROUND(Source!ET493,O506)</f>
        <v>0</v>
      </c>
      <c r="Q506" s="5"/>
      <c r="R506" s="5"/>
      <c r="S506" s="5"/>
      <c r="T506" s="5"/>
      <c r="U506" s="5"/>
      <c r="V506" s="5"/>
      <c r="W506" s="5">
        <v>0</v>
      </c>
      <c r="X506" s="5">
        <v>1</v>
      </c>
      <c r="Y506" s="5">
        <v>0</v>
      </c>
      <c r="Z506" s="5">
        <v>0</v>
      </c>
      <c r="AA506" s="5">
        <v>1</v>
      </c>
      <c r="AB506" s="5">
        <v>0</v>
      </c>
    </row>
    <row r="507" spans="1:28" x14ac:dyDescent="0.2">
      <c r="A507" s="5">
        <v>50</v>
      </c>
      <c r="B507" s="5">
        <v>0</v>
      </c>
      <c r="C507" s="5">
        <v>0</v>
      </c>
      <c r="D507" s="5">
        <v>1</v>
      </c>
      <c r="E507" s="5">
        <v>204</v>
      </c>
      <c r="F507" s="5">
        <f>ROUND(Source!R493,O507)</f>
        <v>1.6</v>
      </c>
      <c r="G507" s="5" t="s">
        <v>70</v>
      </c>
      <c r="H507" s="5" t="s">
        <v>71</v>
      </c>
      <c r="I507" s="5"/>
      <c r="J507" s="5"/>
      <c r="K507" s="5">
        <v>204</v>
      </c>
      <c r="L507" s="5">
        <v>13</v>
      </c>
      <c r="M507" s="5">
        <v>3</v>
      </c>
      <c r="N507" s="5" t="s">
        <v>3</v>
      </c>
      <c r="O507" s="5">
        <v>2</v>
      </c>
      <c r="P507" s="5">
        <f>ROUND(Source!DJ493,O507)</f>
        <v>87.99</v>
      </c>
      <c r="Q507" s="5"/>
      <c r="R507" s="5"/>
      <c r="S507" s="5"/>
      <c r="T507" s="5"/>
      <c r="U507" s="5"/>
      <c r="V507" s="5"/>
      <c r="W507" s="5">
        <v>1.6</v>
      </c>
      <c r="X507" s="5">
        <v>1</v>
      </c>
      <c r="Y507" s="5">
        <v>1.6</v>
      </c>
      <c r="Z507" s="5">
        <v>87.99</v>
      </c>
      <c r="AA507" s="5">
        <v>1</v>
      </c>
      <c r="AB507" s="5">
        <v>87.99</v>
      </c>
    </row>
    <row r="508" spans="1:28" x14ac:dyDescent="0.2">
      <c r="A508" s="5">
        <v>50</v>
      </c>
      <c r="B508" s="5">
        <v>0</v>
      </c>
      <c r="C508" s="5">
        <v>0</v>
      </c>
      <c r="D508" s="5">
        <v>1</v>
      </c>
      <c r="E508" s="5">
        <v>205</v>
      </c>
      <c r="F508" s="5">
        <f>ROUND(Source!S493,O508)</f>
        <v>1508.34</v>
      </c>
      <c r="G508" s="5" t="s">
        <v>72</v>
      </c>
      <c r="H508" s="5" t="s">
        <v>73</v>
      </c>
      <c r="I508" s="5"/>
      <c r="J508" s="5"/>
      <c r="K508" s="5">
        <v>205</v>
      </c>
      <c r="L508" s="5">
        <v>14</v>
      </c>
      <c r="M508" s="5">
        <v>3</v>
      </c>
      <c r="N508" s="5" t="s">
        <v>3</v>
      </c>
      <c r="O508" s="5">
        <v>2</v>
      </c>
      <c r="P508" s="5">
        <f>ROUND(Source!DK493,O508)</f>
        <v>82943.600000000006</v>
      </c>
      <c r="Q508" s="5"/>
      <c r="R508" s="5"/>
      <c r="S508" s="5"/>
      <c r="T508" s="5"/>
      <c r="U508" s="5"/>
      <c r="V508" s="5"/>
      <c r="W508" s="5">
        <v>1508.34</v>
      </c>
      <c r="X508" s="5">
        <v>1</v>
      </c>
      <c r="Y508" s="5">
        <v>1508.34</v>
      </c>
      <c r="Z508" s="5">
        <v>82943.600000000006</v>
      </c>
      <c r="AA508" s="5">
        <v>1</v>
      </c>
      <c r="AB508" s="5">
        <v>82943.600000000006</v>
      </c>
    </row>
    <row r="509" spans="1:28" x14ac:dyDescent="0.2">
      <c r="A509" s="5">
        <v>50</v>
      </c>
      <c r="B509" s="5">
        <v>0</v>
      </c>
      <c r="C509" s="5">
        <v>0</v>
      </c>
      <c r="D509" s="5">
        <v>1</v>
      </c>
      <c r="E509" s="5">
        <v>232</v>
      </c>
      <c r="F509" s="5">
        <f>ROUND(Source!BC493,O509)</f>
        <v>0</v>
      </c>
      <c r="G509" s="5" t="s">
        <v>74</v>
      </c>
      <c r="H509" s="5" t="s">
        <v>75</v>
      </c>
      <c r="I509" s="5"/>
      <c r="J509" s="5"/>
      <c r="K509" s="5">
        <v>232</v>
      </c>
      <c r="L509" s="5">
        <v>15</v>
      </c>
      <c r="M509" s="5">
        <v>3</v>
      </c>
      <c r="N509" s="5" t="s">
        <v>3</v>
      </c>
      <c r="O509" s="5">
        <v>2</v>
      </c>
      <c r="P509" s="5">
        <f>ROUND(Source!EU493,O509)</f>
        <v>0</v>
      </c>
      <c r="Q509" s="5"/>
      <c r="R509" s="5"/>
      <c r="S509" s="5"/>
      <c r="T509" s="5"/>
      <c r="U509" s="5"/>
      <c r="V509" s="5"/>
      <c r="W509" s="5">
        <v>0</v>
      </c>
      <c r="X509" s="5">
        <v>1</v>
      </c>
      <c r="Y509" s="5">
        <v>0</v>
      </c>
      <c r="Z509" s="5">
        <v>0</v>
      </c>
      <c r="AA509" s="5">
        <v>1</v>
      </c>
      <c r="AB509" s="5">
        <v>0</v>
      </c>
    </row>
    <row r="510" spans="1:28" x14ac:dyDescent="0.2">
      <c r="A510" s="5">
        <v>50</v>
      </c>
      <c r="B510" s="5">
        <v>0</v>
      </c>
      <c r="C510" s="5">
        <v>0</v>
      </c>
      <c r="D510" s="5">
        <v>1</v>
      </c>
      <c r="E510" s="5">
        <v>214</v>
      </c>
      <c r="F510" s="5">
        <f>ROUND(Source!AS493,O510)</f>
        <v>42720.06</v>
      </c>
      <c r="G510" s="5" t="s">
        <v>76</v>
      </c>
      <c r="H510" s="5" t="s">
        <v>77</v>
      </c>
      <c r="I510" s="5"/>
      <c r="J510" s="5"/>
      <c r="K510" s="5">
        <v>214</v>
      </c>
      <c r="L510" s="5">
        <v>16</v>
      </c>
      <c r="M510" s="5">
        <v>3</v>
      </c>
      <c r="N510" s="5" t="s">
        <v>3</v>
      </c>
      <c r="O510" s="5">
        <v>2</v>
      </c>
      <c r="P510" s="5">
        <f>ROUND(Source!EK493,O510)</f>
        <v>516199.83</v>
      </c>
      <c r="Q510" s="5"/>
      <c r="R510" s="5"/>
      <c r="S510" s="5"/>
      <c r="T510" s="5"/>
      <c r="U510" s="5"/>
      <c r="V510" s="5"/>
      <c r="W510" s="5">
        <v>42720.06</v>
      </c>
      <c r="X510" s="5">
        <v>1</v>
      </c>
      <c r="Y510" s="5">
        <v>42720.06</v>
      </c>
      <c r="Z510" s="5">
        <v>516199.83</v>
      </c>
      <c r="AA510" s="5">
        <v>1</v>
      </c>
      <c r="AB510" s="5">
        <v>516199.83</v>
      </c>
    </row>
    <row r="511" spans="1:28" x14ac:dyDescent="0.2">
      <c r="A511" s="5">
        <v>50</v>
      </c>
      <c r="B511" s="5">
        <v>0</v>
      </c>
      <c r="C511" s="5">
        <v>0</v>
      </c>
      <c r="D511" s="5">
        <v>1</v>
      </c>
      <c r="E511" s="5">
        <v>215</v>
      </c>
      <c r="F511" s="5">
        <f>ROUND(Source!AT493,O511)</f>
        <v>0</v>
      </c>
      <c r="G511" s="5" t="s">
        <v>78</v>
      </c>
      <c r="H511" s="5" t="s">
        <v>79</v>
      </c>
      <c r="I511" s="5"/>
      <c r="J511" s="5"/>
      <c r="K511" s="5">
        <v>215</v>
      </c>
      <c r="L511" s="5">
        <v>17</v>
      </c>
      <c r="M511" s="5">
        <v>3</v>
      </c>
      <c r="N511" s="5" t="s">
        <v>3</v>
      </c>
      <c r="O511" s="5">
        <v>2</v>
      </c>
      <c r="P511" s="5">
        <f>ROUND(Source!EL493,O511)</f>
        <v>0</v>
      </c>
      <c r="Q511" s="5"/>
      <c r="R511" s="5"/>
      <c r="S511" s="5"/>
      <c r="T511" s="5"/>
      <c r="U511" s="5"/>
      <c r="V511" s="5"/>
      <c r="W511" s="5">
        <v>0</v>
      </c>
      <c r="X511" s="5">
        <v>1</v>
      </c>
      <c r="Y511" s="5">
        <v>0</v>
      </c>
      <c r="Z511" s="5">
        <v>0</v>
      </c>
      <c r="AA511" s="5">
        <v>1</v>
      </c>
      <c r="AB511" s="5">
        <v>0</v>
      </c>
    </row>
    <row r="512" spans="1:28" x14ac:dyDescent="0.2">
      <c r="A512" s="5">
        <v>50</v>
      </c>
      <c r="B512" s="5">
        <v>0</v>
      </c>
      <c r="C512" s="5">
        <v>0</v>
      </c>
      <c r="D512" s="5">
        <v>1</v>
      </c>
      <c r="E512" s="5">
        <v>217</v>
      </c>
      <c r="F512" s="5">
        <f>ROUND(Source!AU493,O512)</f>
        <v>0</v>
      </c>
      <c r="G512" s="5" t="s">
        <v>80</v>
      </c>
      <c r="H512" s="5" t="s">
        <v>81</v>
      </c>
      <c r="I512" s="5"/>
      <c r="J512" s="5"/>
      <c r="K512" s="5">
        <v>217</v>
      </c>
      <c r="L512" s="5">
        <v>18</v>
      </c>
      <c r="M512" s="5">
        <v>3</v>
      </c>
      <c r="N512" s="5" t="s">
        <v>3</v>
      </c>
      <c r="O512" s="5">
        <v>2</v>
      </c>
      <c r="P512" s="5">
        <f>ROUND(Source!EM493,O512)</f>
        <v>0</v>
      </c>
      <c r="Q512" s="5"/>
      <c r="R512" s="5"/>
      <c r="S512" s="5"/>
      <c r="T512" s="5"/>
      <c r="U512" s="5"/>
      <c r="V512" s="5"/>
      <c r="W512" s="5">
        <v>0</v>
      </c>
      <c r="X512" s="5">
        <v>1</v>
      </c>
      <c r="Y512" s="5">
        <v>0</v>
      </c>
      <c r="Z512" s="5">
        <v>0</v>
      </c>
      <c r="AA512" s="5">
        <v>1</v>
      </c>
      <c r="AB512" s="5">
        <v>0</v>
      </c>
    </row>
    <row r="513" spans="1:28" x14ac:dyDescent="0.2">
      <c r="A513" s="5">
        <v>50</v>
      </c>
      <c r="B513" s="5">
        <v>0</v>
      </c>
      <c r="C513" s="5">
        <v>0</v>
      </c>
      <c r="D513" s="5">
        <v>1</v>
      </c>
      <c r="E513" s="5">
        <v>230</v>
      </c>
      <c r="F513" s="5">
        <f>ROUND(Source!BA493,O513)</f>
        <v>0</v>
      </c>
      <c r="G513" s="5" t="s">
        <v>82</v>
      </c>
      <c r="H513" s="5" t="s">
        <v>83</v>
      </c>
      <c r="I513" s="5"/>
      <c r="J513" s="5"/>
      <c r="K513" s="5">
        <v>230</v>
      </c>
      <c r="L513" s="5">
        <v>19</v>
      </c>
      <c r="M513" s="5">
        <v>3</v>
      </c>
      <c r="N513" s="5" t="s">
        <v>3</v>
      </c>
      <c r="O513" s="5">
        <v>2</v>
      </c>
      <c r="P513" s="5">
        <f>ROUND(Source!ES493,O513)</f>
        <v>0</v>
      </c>
      <c r="Q513" s="5"/>
      <c r="R513" s="5"/>
      <c r="S513" s="5"/>
      <c r="T513" s="5"/>
      <c r="U513" s="5"/>
      <c r="V513" s="5"/>
      <c r="W513" s="5">
        <v>0</v>
      </c>
      <c r="X513" s="5">
        <v>1</v>
      </c>
      <c r="Y513" s="5">
        <v>0</v>
      </c>
      <c r="Z513" s="5">
        <v>0</v>
      </c>
      <c r="AA513" s="5">
        <v>1</v>
      </c>
      <c r="AB513" s="5">
        <v>0</v>
      </c>
    </row>
    <row r="514" spans="1:28" x14ac:dyDescent="0.2">
      <c r="A514" s="5">
        <v>50</v>
      </c>
      <c r="B514" s="5">
        <v>0</v>
      </c>
      <c r="C514" s="5">
        <v>0</v>
      </c>
      <c r="D514" s="5">
        <v>1</v>
      </c>
      <c r="E514" s="5">
        <v>206</v>
      </c>
      <c r="F514" s="5">
        <f>ROUND(Source!T493,O514)</f>
        <v>0</v>
      </c>
      <c r="G514" s="5" t="s">
        <v>84</v>
      </c>
      <c r="H514" s="5" t="s">
        <v>85</v>
      </c>
      <c r="I514" s="5"/>
      <c r="J514" s="5"/>
      <c r="K514" s="5">
        <v>206</v>
      </c>
      <c r="L514" s="5">
        <v>20</v>
      </c>
      <c r="M514" s="5">
        <v>3</v>
      </c>
      <c r="N514" s="5" t="s">
        <v>3</v>
      </c>
      <c r="O514" s="5">
        <v>2</v>
      </c>
      <c r="P514" s="5">
        <f>ROUND(Source!DL493,O514)</f>
        <v>0</v>
      </c>
      <c r="Q514" s="5"/>
      <c r="R514" s="5"/>
      <c r="S514" s="5"/>
      <c r="T514" s="5"/>
      <c r="U514" s="5"/>
      <c r="V514" s="5"/>
      <c r="W514" s="5">
        <v>0</v>
      </c>
      <c r="X514" s="5">
        <v>1</v>
      </c>
      <c r="Y514" s="5">
        <v>0</v>
      </c>
      <c r="Z514" s="5">
        <v>0</v>
      </c>
      <c r="AA514" s="5">
        <v>1</v>
      </c>
      <c r="AB514" s="5">
        <v>0</v>
      </c>
    </row>
    <row r="515" spans="1:28" x14ac:dyDescent="0.2">
      <c r="A515" s="5">
        <v>50</v>
      </c>
      <c r="B515" s="5">
        <v>0</v>
      </c>
      <c r="C515" s="5">
        <v>0</v>
      </c>
      <c r="D515" s="5">
        <v>1</v>
      </c>
      <c r="E515" s="5">
        <v>207</v>
      </c>
      <c r="F515" s="5">
        <f>Source!U493</f>
        <v>97.728297481979965</v>
      </c>
      <c r="G515" s="5" t="s">
        <v>86</v>
      </c>
      <c r="H515" s="5" t="s">
        <v>87</v>
      </c>
      <c r="I515" s="5"/>
      <c r="J515" s="5"/>
      <c r="K515" s="5">
        <v>207</v>
      </c>
      <c r="L515" s="5">
        <v>21</v>
      </c>
      <c r="M515" s="5">
        <v>3</v>
      </c>
      <c r="N515" s="5" t="s">
        <v>3</v>
      </c>
      <c r="O515" s="5">
        <v>-1</v>
      </c>
      <c r="P515" s="5">
        <f>Source!DM493</f>
        <v>97.728297481979965</v>
      </c>
      <c r="Q515" s="5"/>
      <c r="R515" s="5"/>
      <c r="S515" s="5"/>
      <c r="T515" s="5"/>
      <c r="U515" s="5"/>
      <c r="V515" s="5"/>
      <c r="W515" s="5">
        <v>97.728297481979965</v>
      </c>
      <c r="X515" s="5">
        <v>1</v>
      </c>
      <c r="Y515" s="5">
        <v>97.728297481979965</v>
      </c>
      <c r="Z515" s="5">
        <v>97.728297481979965</v>
      </c>
      <c r="AA515" s="5">
        <v>1</v>
      </c>
      <c r="AB515" s="5">
        <v>97.728297481979965</v>
      </c>
    </row>
    <row r="516" spans="1:28" x14ac:dyDescent="0.2">
      <c r="A516" s="5">
        <v>50</v>
      </c>
      <c r="B516" s="5">
        <v>0</v>
      </c>
      <c r="C516" s="5">
        <v>0</v>
      </c>
      <c r="D516" s="5">
        <v>1</v>
      </c>
      <c r="E516" s="5">
        <v>208</v>
      </c>
      <c r="F516" s="5">
        <f>Source!V493</f>
        <v>0</v>
      </c>
      <c r="G516" s="5" t="s">
        <v>88</v>
      </c>
      <c r="H516" s="5" t="s">
        <v>89</v>
      </c>
      <c r="I516" s="5"/>
      <c r="J516" s="5"/>
      <c r="K516" s="5">
        <v>208</v>
      </c>
      <c r="L516" s="5">
        <v>22</v>
      </c>
      <c r="M516" s="5">
        <v>3</v>
      </c>
      <c r="N516" s="5" t="s">
        <v>3</v>
      </c>
      <c r="O516" s="5">
        <v>-1</v>
      </c>
      <c r="P516" s="5">
        <f>Source!DN493</f>
        <v>0</v>
      </c>
      <c r="Q516" s="5"/>
      <c r="R516" s="5"/>
      <c r="S516" s="5"/>
      <c r="T516" s="5"/>
      <c r="U516" s="5"/>
      <c r="V516" s="5"/>
      <c r="W516" s="5">
        <v>0</v>
      </c>
      <c r="X516" s="5">
        <v>1</v>
      </c>
      <c r="Y516" s="5">
        <v>0</v>
      </c>
      <c r="Z516" s="5">
        <v>0</v>
      </c>
      <c r="AA516" s="5">
        <v>1</v>
      </c>
      <c r="AB516" s="5">
        <v>0</v>
      </c>
    </row>
    <row r="517" spans="1:28" x14ac:dyDescent="0.2">
      <c r="A517" s="5">
        <v>50</v>
      </c>
      <c r="B517" s="5">
        <v>0</v>
      </c>
      <c r="C517" s="5">
        <v>0</v>
      </c>
      <c r="D517" s="5">
        <v>1</v>
      </c>
      <c r="E517" s="5">
        <v>209</v>
      </c>
      <c r="F517" s="5">
        <f>ROUND(Source!W493,O517)</f>
        <v>0</v>
      </c>
      <c r="G517" s="5" t="s">
        <v>90</v>
      </c>
      <c r="H517" s="5" t="s">
        <v>91</v>
      </c>
      <c r="I517" s="5"/>
      <c r="J517" s="5"/>
      <c r="K517" s="5">
        <v>209</v>
      </c>
      <c r="L517" s="5">
        <v>23</v>
      </c>
      <c r="M517" s="5">
        <v>3</v>
      </c>
      <c r="N517" s="5" t="s">
        <v>3</v>
      </c>
      <c r="O517" s="5">
        <v>2</v>
      </c>
      <c r="P517" s="5">
        <f>ROUND(Source!DO493,O517)</f>
        <v>0</v>
      </c>
      <c r="Q517" s="5"/>
      <c r="R517" s="5"/>
      <c r="S517" s="5"/>
      <c r="T517" s="5"/>
      <c r="U517" s="5"/>
      <c r="V517" s="5"/>
      <c r="W517" s="5">
        <v>0</v>
      </c>
      <c r="X517" s="5">
        <v>1</v>
      </c>
      <c r="Y517" s="5">
        <v>0</v>
      </c>
      <c r="Z517" s="5">
        <v>0</v>
      </c>
      <c r="AA517" s="5">
        <v>1</v>
      </c>
      <c r="AB517" s="5">
        <v>0</v>
      </c>
    </row>
    <row r="518" spans="1:28" x14ac:dyDescent="0.2">
      <c r="A518" s="5">
        <v>50</v>
      </c>
      <c r="B518" s="5">
        <v>0</v>
      </c>
      <c r="C518" s="5">
        <v>0</v>
      </c>
      <c r="D518" s="5">
        <v>1</v>
      </c>
      <c r="E518" s="5">
        <v>233</v>
      </c>
      <c r="F518" s="5">
        <f>ROUND(Source!BD493,O518)</f>
        <v>0</v>
      </c>
      <c r="G518" s="5" t="s">
        <v>92</v>
      </c>
      <c r="H518" s="5" t="s">
        <v>93</v>
      </c>
      <c r="I518" s="5"/>
      <c r="J518" s="5"/>
      <c r="K518" s="5">
        <v>233</v>
      </c>
      <c r="L518" s="5">
        <v>24</v>
      </c>
      <c r="M518" s="5">
        <v>3</v>
      </c>
      <c r="N518" s="5" t="s">
        <v>3</v>
      </c>
      <c r="O518" s="5">
        <v>2</v>
      </c>
      <c r="P518" s="5">
        <f>ROUND(Source!EV493,O518)</f>
        <v>0</v>
      </c>
      <c r="Q518" s="5"/>
      <c r="R518" s="5"/>
      <c r="S518" s="5"/>
      <c r="T518" s="5"/>
      <c r="U518" s="5"/>
      <c r="V518" s="5"/>
      <c r="W518" s="5">
        <v>0</v>
      </c>
      <c r="X518" s="5">
        <v>1</v>
      </c>
      <c r="Y518" s="5">
        <v>0</v>
      </c>
      <c r="Z518" s="5">
        <v>0</v>
      </c>
      <c r="AA518" s="5">
        <v>1</v>
      </c>
      <c r="AB518" s="5">
        <v>0</v>
      </c>
    </row>
    <row r="519" spans="1:28" x14ac:dyDescent="0.2">
      <c r="A519" s="5">
        <v>50</v>
      </c>
      <c r="B519" s="5">
        <v>0</v>
      </c>
      <c r="C519" s="5">
        <v>0</v>
      </c>
      <c r="D519" s="5">
        <v>1</v>
      </c>
      <c r="E519" s="5">
        <v>210</v>
      </c>
      <c r="F519" s="5">
        <f>ROUND(Source!X493,O519)</f>
        <v>1329.7</v>
      </c>
      <c r="G519" s="5" t="s">
        <v>94</v>
      </c>
      <c r="H519" s="5" t="s">
        <v>95</v>
      </c>
      <c r="I519" s="5"/>
      <c r="J519" s="5"/>
      <c r="K519" s="5">
        <v>210</v>
      </c>
      <c r="L519" s="5">
        <v>25</v>
      </c>
      <c r="M519" s="5">
        <v>3</v>
      </c>
      <c r="N519" s="5" t="s">
        <v>3</v>
      </c>
      <c r="O519" s="5">
        <v>2</v>
      </c>
      <c r="P519" s="5">
        <f>ROUND(Source!DP493,O519)</f>
        <v>73119.199999999997</v>
      </c>
      <c r="Q519" s="5"/>
      <c r="R519" s="5"/>
      <c r="S519" s="5"/>
      <c r="T519" s="5"/>
      <c r="U519" s="5"/>
      <c r="V519" s="5"/>
      <c r="W519" s="5">
        <v>1329.7</v>
      </c>
      <c r="X519" s="5">
        <v>1</v>
      </c>
      <c r="Y519" s="5">
        <v>1329.7</v>
      </c>
      <c r="Z519" s="5">
        <v>73119.199999999997</v>
      </c>
      <c r="AA519" s="5">
        <v>1</v>
      </c>
      <c r="AB519" s="5">
        <v>73119.199999999997</v>
      </c>
    </row>
    <row r="520" spans="1:28" x14ac:dyDescent="0.2">
      <c r="A520" s="5">
        <v>50</v>
      </c>
      <c r="B520" s="5">
        <v>0</v>
      </c>
      <c r="C520" s="5">
        <v>0</v>
      </c>
      <c r="D520" s="5">
        <v>1</v>
      </c>
      <c r="E520" s="5">
        <v>211</v>
      </c>
      <c r="F520" s="5">
        <f>ROUND(Source!Y493,O520)</f>
        <v>765.5</v>
      </c>
      <c r="G520" s="5" t="s">
        <v>96</v>
      </c>
      <c r="H520" s="5" t="s">
        <v>97</v>
      </c>
      <c r="I520" s="5"/>
      <c r="J520" s="5"/>
      <c r="K520" s="5">
        <v>211</v>
      </c>
      <c r="L520" s="5">
        <v>26</v>
      </c>
      <c r="M520" s="5">
        <v>3</v>
      </c>
      <c r="N520" s="5" t="s">
        <v>3</v>
      </c>
      <c r="O520" s="5">
        <v>2</v>
      </c>
      <c r="P520" s="5">
        <f>ROUND(Source!DQ493,O520)</f>
        <v>42094.96</v>
      </c>
      <c r="Q520" s="5"/>
      <c r="R520" s="5"/>
      <c r="S520" s="5"/>
      <c r="T520" s="5"/>
      <c r="U520" s="5"/>
      <c r="V520" s="5"/>
      <c r="W520" s="5">
        <v>765.5</v>
      </c>
      <c r="X520" s="5">
        <v>1</v>
      </c>
      <c r="Y520" s="5">
        <v>765.5</v>
      </c>
      <c r="Z520" s="5">
        <v>42094.96</v>
      </c>
      <c r="AA520" s="5">
        <v>1</v>
      </c>
      <c r="AB520" s="5">
        <v>42094.96</v>
      </c>
    </row>
    <row r="521" spans="1:28" x14ac:dyDescent="0.2">
      <c r="A521" s="5">
        <v>50</v>
      </c>
      <c r="B521" s="5">
        <v>0</v>
      </c>
      <c r="C521" s="5">
        <v>0</v>
      </c>
      <c r="D521" s="5">
        <v>1</v>
      </c>
      <c r="E521" s="5">
        <v>224</v>
      </c>
      <c r="F521" s="5">
        <f>ROUND(Source!AR493,O521)</f>
        <v>77715.42</v>
      </c>
      <c r="G521" s="5" t="s">
        <v>98</v>
      </c>
      <c r="H521" s="5" t="s">
        <v>99</v>
      </c>
      <c r="I521" s="5"/>
      <c r="J521" s="5"/>
      <c r="K521" s="5">
        <v>224</v>
      </c>
      <c r="L521" s="5">
        <v>27</v>
      </c>
      <c r="M521" s="5">
        <v>3</v>
      </c>
      <c r="N521" s="5" t="s">
        <v>3</v>
      </c>
      <c r="O521" s="5">
        <v>2</v>
      </c>
      <c r="P521" s="5">
        <f>ROUND(Source!EJ493,O521)</f>
        <v>695224.9</v>
      </c>
      <c r="Q521" s="5"/>
      <c r="R521" s="5"/>
      <c r="S521" s="5"/>
      <c r="T521" s="5"/>
      <c r="U521" s="5"/>
      <c r="V521" s="5"/>
      <c r="W521" s="5">
        <v>77715.42</v>
      </c>
      <c r="X521" s="5">
        <v>1</v>
      </c>
      <c r="Y521" s="5">
        <v>77715.42</v>
      </c>
      <c r="Z521" s="5">
        <v>695224.9</v>
      </c>
      <c r="AA521" s="5">
        <v>1</v>
      </c>
      <c r="AB521" s="5">
        <v>695224.9</v>
      </c>
    </row>
    <row r="524" spans="1:28" x14ac:dyDescent="0.2">
      <c r="A524">
        <v>70</v>
      </c>
      <c r="B524">
        <v>1</v>
      </c>
      <c r="D524">
        <v>1</v>
      </c>
      <c r="E524" t="s">
        <v>280</v>
      </c>
      <c r="F524" t="s">
        <v>281</v>
      </c>
      <c r="G524">
        <v>0</v>
      </c>
      <c r="H524">
        <v>0</v>
      </c>
      <c r="I524" t="s">
        <v>3</v>
      </c>
      <c r="J524">
        <v>1</v>
      </c>
      <c r="K524">
        <v>0</v>
      </c>
      <c r="L524" t="s">
        <v>3</v>
      </c>
      <c r="M524" t="s">
        <v>3</v>
      </c>
      <c r="N524">
        <v>0</v>
      </c>
      <c r="O524">
        <v>0</v>
      </c>
      <c r="P524" t="s">
        <v>3</v>
      </c>
    </row>
    <row r="525" spans="1:28" x14ac:dyDescent="0.2">
      <c r="A525">
        <v>70</v>
      </c>
      <c r="B525">
        <v>1</v>
      </c>
      <c r="D525">
        <v>2</v>
      </c>
      <c r="E525" t="s">
        <v>282</v>
      </c>
      <c r="F525" t="s">
        <v>283</v>
      </c>
      <c r="G525">
        <v>1</v>
      </c>
      <c r="H525">
        <v>0</v>
      </c>
      <c r="I525" t="s">
        <v>3</v>
      </c>
      <c r="J525">
        <v>1</v>
      </c>
      <c r="K525">
        <v>0</v>
      </c>
      <c r="L525" t="s">
        <v>3</v>
      </c>
      <c r="M525" t="s">
        <v>3</v>
      </c>
      <c r="N525">
        <v>0</v>
      </c>
      <c r="O525">
        <v>1</v>
      </c>
      <c r="P525" t="s">
        <v>3</v>
      </c>
    </row>
    <row r="526" spans="1:28" x14ac:dyDescent="0.2">
      <c r="A526">
        <v>70</v>
      </c>
      <c r="B526">
        <v>1</v>
      </c>
      <c r="D526">
        <v>3</v>
      </c>
      <c r="E526" t="s">
        <v>284</v>
      </c>
      <c r="F526" t="s">
        <v>285</v>
      </c>
      <c r="G526">
        <v>0</v>
      </c>
      <c r="H526">
        <v>0</v>
      </c>
      <c r="I526" t="s">
        <v>3</v>
      </c>
      <c r="J526">
        <v>0</v>
      </c>
      <c r="K526">
        <v>0</v>
      </c>
      <c r="L526" t="s">
        <v>3</v>
      </c>
      <c r="M526" t="s">
        <v>3</v>
      </c>
      <c r="N526">
        <v>0</v>
      </c>
      <c r="O526">
        <v>0</v>
      </c>
      <c r="P526" t="s">
        <v>3</v>
      </c>
    </row>
    <row r="527" spans="1:28" x14ac:dyDescent="0.2">
      <c r="A527">
        <v>70</v>
      </c>
      <c r="B527">
        <v>1</v>
      </c>
      <c r="D527">
        <v>4</v>
      </c>
      <c r="E527" t="s">
        <v>286</v>
      </c>
      <c r="F527" t="s">
        <v>287</v>
      </c>
      <c r="G527">
        <v>1</v>
      </c>
      <c r="H527">
        <v>0</v>
      </c>
      <c r="I527" t="s">
        <v>3</v>
      </c>
      <c r="J527">
        <v>0</v>
      </c>
      <c r="K527">
        <v>0</v>
      </c>
      <c r="L527" t="s">
        <v>3</v>
      </c>
      <c r="M527" t="s">
        <v>3</v>
      </c>
      <c r="N527">
        <v>0</v>
      </c>
      <c r="O527">
        <v>1</v>
      </c>
      <c r="P527" t="s">
        <v>3</v>
      </c>
    </row>
    <row r="528" spans="1:28" x14ac:dyDescent="0.2">
      <c r="A528">
        <v>70</v>
      </c>
      <c r="B528">
        <v>1</v>
      </c>
      <c r="D528">
        <v>5</v>
      </c>
      <c r="E528" t="s">
        <v>288</v>
      </c>
      <c r="F528" t="s">
        <v>289</v>
      </c>
      <c r="G528">
        <v>1</v>
      </c>
      <c r="H528">
        <v>0</v>
      </c>
      <c r="I528" t="s">
        <v>3</v>
      </c>
      <c r="J528">
        <v>0</v>
      </c>
      <c r="K528">
        <v>0</v>
      </c>
      <c r="L528" t="s">
        <v>3</v>
      </c>
      <c r="M528" t="s">
        <v>3</v>
      </c>
      <c r="N528">
        <v>0</v>
      </c>
      <c r="O528">
        <v>1</v>
      </c>
      <c r="P528" t="s">
        <v>3</v>
      </c>
    </row>
    <row r="529" spans="1:50" x14ac:dyDescent="0.2">
      <c r="A529">
        <v>70</v>
      </c>
      <c r="B529">
        <v>1</v>
      </c>
      <c r="D529">
        <v>6</v>
      </c>
      <c r="E529" t="s">
        <v>290</v>
      </c>
      <c r="F529" t="s">
        <v>291</v>
      </c>
      <c r="G529">
        <v>0</v>
      </c>
      <c r="H529">
        <v>0</v>
      </c>
      <c r="I529" t="s">
        <v>3</v>
      </c>
      <c r="J529">
        <v>0</v>
      </c>
      <c r="K529">
        <v>0</v>
      </c>
      <c r="L529" t="s">
        <v>3</v>
      </c>
      <c r="M529" t="s">
        <v>3</v>
      </c>
      <c r="N529">
        <v>0</v>
      </c>
      <c r="O529">
        <v>0</v>
      </c>
      <c r="P529" t="s">
        <v>3</v>
      </c>
    </row>
    <row r="530" spans="1:50" x14ac:dyDescent="0.2">
      <c r="A530">
        <v>70</v>
      </c>
      <c r="B530">
        <v>1</v>
      </c>
      <c r="D530">
        <v>7</v>
      </c>
      <c r="E530" t="s">
        <v>292</v>
      </c>
      <c r="F530" t="s">
        <v>293</v>
      </c>
      <c r="G530">
        <v>0</v>
      </c>
      <c r="H530">
        <v>0</v>
      </c>
      <c r="I530" t="s">
        <v>3</v>
      </c>
      <c r="J530">
        <v>0</v>
      </c>
      <c r="K530">
        <v>0</v>
      </c>
      <c r="L530" t="s">
        <v>3</v>
      </c>
      <c r="M530" t="s">
        <v>3</v>
      </c>
      <c r="N530">
        <v>0</v>
      </c>
      <c r="O530">
        <v>0</v>
      </c>
      <c r="P530" t="s">
        <v>3</v>
      </c>
    </row>
    <row r="532" spans="1:50" x14ac:dyDescent="0.2">
      <c r="A532">
        <v>-1</v>
      </c>
    </row>
    <row r="534" spans="1:50" x14ac:dyDescent="0.2">
      <c r="A534" s="4">
        <v>75</v>
      </c>
      <c r="B534" s="4" t="s">
        <v>294</v>
      </c>
      <c r="C534" s="4">
        <v>2025</v>
      </c>
      <c r="D534" s="4">
        <v>3</v>
      </c>
      <c r="E534" s="4">
        <v>0</v>
      </c>
      <c r="F534" s="4"/>
      <c r="G534" s="4">
        <v>0</v>
      </c>
      <c r="H534" s="4">
        <v>1</v>
      </c>
      <c r="I534" s="4">
        <v>1</v>
      </c>
      <c r="J534" s="4">
        <v>3</v>
      </c>
      <c r="K534" s="4">
        <v>0</v>
      </c>
      <c r="L534" s="4">
        <v>0</v>
      </c>
      <c r="M534" s="4">
        <v>1</v>
      </c>
      <c r="N534" s="4">
        <v>59499215</v>
      </c>
      <c r="O534" s="4">
        <v>1</v>
      </c>
    </row>
    <row r="535" spans="1:50" x14ac:dyDescent="0.2">
      <c r="A535" s="6">
        <v>1</v>
      </c>
      <c r="B535" s="6" t="s">
        <v>295</v>
      </c>
      <c r="C535" s="6" t="s">
        <v>296</v>
      </c>
      <c r="D535" s="6">
        <v>2025</v>
      </c>
      <c r="E535" s="6">
        <v>9</v>
      </c>
      <c r="F535" s="6">
        <v>1</v>
      </c>
      <c r="G535" s="6">
        <v>1</v>
      </c>
      <c r="H535" s="6">
        <v>0</v>
      </c>
      <c r="I535" s="6">
        <v>2</v>
      </c>
      <c r="J535" s="6">
        <v>1</v>
      </c>
      <c r="K535" s="6">
        <v>9.8800000000000008</v>
      </c>
      <c r="L535" s="6">
        <v>7.66</v>
      </c>
      <c r="M535" s="6">
        <v>1</v>
      </c>
      <c r="N535" s="6">
        <v>1</v>
      </c>
      <c r="O535" s="6">
        <v>9.8800000000000008</v>
      </c>
      <c r="P535" s="6">
        <v>7.66</v>
      </c>
      <c r="Q535" s="6">
        <v>1</v>
      </c>
      <c r="R535" s="6" t="s">
        <v>3</v>
      </c>
      <c r="S535" s="6" t="s">
        <v>3</v>
      </c>
      <c r="T535" s="6" t="s">
        <v>3</v>
      </c>
      <c r="U535" s="6" t="s">
        <v>3</v>
      </c>
      <c r="V535" s="6" t="s">
        <v>3</v>
      </c>
      <c r="W535" s="6" t="s">
        <v>3</v>
      </c>
      <c r="X535" s="6" t="s">
        <v>3</v>
      </c>
      <c r="Y535" s="6" t="s">
        <v>3</v>
      </c>
      <c r="Z535" s="6" t="s">
        <v>3</v>
      </c>
      <c r="AA535" s="6" t="s">
        <v>297</v>
      </c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>
        <v>59499216</v>
      </c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 spans="1:50" x14ac:dyDescent="0.2">
      <c r="A536" s="6">
        <v>1</v>
      </c>
      <c r="B536" s="6" t="s">
        <v>295</v>
      </c>
      <c r="C536" s="6" t="s">
        <v>298</v>
      </c>
      <c r="D536" s="6">
        <v>2025</v>
      </c>
      <c r="E536" s="6">
        <v>7</v>
      </c>
      <c r="F536" s="6">
        <v>1</v>
      </c>
      <c r="G536" s="6">
        <v>1</v>
      </c>
      <c r="H536" s="6">
        <v>0</v>
      </c>
      <c r="I536" s="6">
        <v>2</v>
      </c>
      <c r="J536" s="6">
        <v>1</v>
      </c>
      <c r="K536" s="6">
        <v>1</v>
      </c>
      <c r="L536" s="6">
        <v>1</v>
      </c>
      <c r="M536" s="6">
        <v>1</v>
      </c>
      <c r="N536" s="6">
        <v>1</v>
      </c>
      <c r="O536" s="6">
        <v>1</v>
      </c>
      <c r="P536" s="6">
        <v>1</v>
      </c>
      <c r="Q536" s="6">
        <v>1</v>
      </c>
      <c r="R536" s="6" t="s">
        <v>3</v>
      </c>
      <c r="S536" s="6" t="s">
        <v>3</v>
      </c>
      <c r="T536" s="6" t="s">
        <v>3</v>
      </c>
      <c r="U536" s="6" t="s">
        <v>3</v>
      </c>
      <c r="V536" s="6" t="s">
        <v>3</v>
      </c>
      <c r="W536" s="6" t="s">
        <v>3</v>
      </c>
      <c r="X536" s="6" t="s">
        <v>3</v>
      </c>
      <c r="Y536" s="6" t="s">
        <v>3</v>
      </c>
      <c r="Z536" s="6" t="s">
        <v>3</v>
      </c>
      <c r="AA536" s="6" t="s">
        <v>299</v>
      </c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>
        <v>59499217</v>
      </c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 spans="1:50" x14ac:dyDescent="0.2">
      <c r="A537" s="4">
        <v>75</v>
      </c>
      <c r="B537" s="4" t="s">
        <v>300</v>
      </c>
      <c r="C537" s="4">
        <v>2000</v>
      </c>
      <c r="D537" s="4">
        <v>0</v>
      </c>
      <c r="E537" s="4">
        <v>1</v>
      </c>
      <c r="F537" s="4"/>
      <c r="G537" s="4">
        <v>0</v>
      </c>
      <c r="H537" s="4">
        <v>1</v>
      </c>
      <c r="I537" s="4">
        <v>1</v>
      </c>
      <c r="J537" s="4">
        <v>3</v>
      </c>
      <c r="K537" s="4">
        <v>0</v>
      </c>
      <c r="L537" s="4">
        <v>0</v>
      </c>
      <c r="M537" s="4">
        <v>0</v>
      </c>
      <c r="N537" s="4">
        <v>59499218</v>
      </c>
      <c r="O537" s="4">
        <v>2</v>
      </c>
    </row>
    <row r="538" spans="1:50" x14ac:dyDescent="0.2">
      <c r="A538" s="6">
        <v>1</v>
      </c>
      <c r="B538" s="6" t="s">
        <v>295</v>
      </c>
      <c r="C538" s="6" t="s">
        <v>296</v>
      </c>
      <c r="D538" s="6">
        <v>2000</v>
      </c>
      <c r="E538" s="6">
        <v>1</v>
      </c>
      <c r="F538" s="6">
        <v>1</v>
      </c>
      <c r="G538" s="6">
        <v>1</v>
      </c>
      <c r="H538" s="6">
        <v>0</v>
      </c>
      <c r="I538" s="6">
        <v>2</v>
      </c>
      <c r="J538" s="6">
        <v>1</v>
      </c>
      <c r="K538" s="6">
        <v>1</v>
      </c>
      <c r="L538" s="6">
        <v>1</v>
      </c>
      <c r="M538" s="6">
        <v>1</v>
      </c>
      <c r="N538" s="6">
        <v>1</v>
      </c>
      <c r="O538" s="6">
        <v>1</v>
      </c>
      <c r="P538" s="6">
        <v>1</v>
      </c>
      <c r="Q538" s="6">
        <v>1</v>
      </c>
      <c r="R538" s="6" t="s">
        <v>3</v>
      </c>
      <c r="S538" s="6" t="s">
        <v>3</v>
      </c>
      <c r="T538" s="6" t="s">
        <v>3</v>
      </c>
      <c r="U538" s="6" t="s">
        <v>3</v>
      </c>
      <c r="V538" s="6" t="s">
        <v>3</v>
      </c>
      <c r="W538" s="6" t="s">
        <v>3</v>
      </c>
      <c r="X538" s="6" t="s">
        <v>3</v>
      </c>
      <c r="Y538" s="6" t="s">
        <v>3</v>
      </c>
      <c r="Z538" s="6" t="s">
        <v>3</v>
      </c>
      <c r="AA538" s="6" t="s">
        <v>173</v>
      </c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>
        <v>59499219</v>
      </c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42" spans="1:50" x14ac:dyDescent="0.2">
      <c r="A542">
        <v>65</v>
      </c>
      <c r="C542">
        <v>1</v>
      </c>
      <c r="D542">
        <v>0</v>
      </c>
      <c r="E542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301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74561</v>
      </c>
      <c r="M1">
        <v>10</v>
      </c>
      <c r="N1">
        <v>12</v>
      </c>
      <c r="O1">
        <v>0</v>
      </c>
      <c r="P1">
        <v>0</v>
      </c>
      <c r="Q1">
        <v>3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80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80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59499215</v>
      </c>
      <c r="E14" s="1">
        <v>59499218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5</v>
      </c>
      <c r="D16" s="7" t="s">
        <v>16</v>
      </c>
      <c r="E16" s="8">
        <f>ROUND((Source!P480)/1000,2)</f>
        <v>516.20000000000005</v>
      </c>
      <c r="F16" s="8">
        <f>ROUND((Source!P481)/1000,2)</f>
        <v>0</v>
      </c>
      <c r="G16" s="8">
        <f>ROUND((Source!P472)/1000,2)</f>
        <v>179.03</v>
      </c>
      <c r="H16" s="8">
        <f>ROUND((Source!P482)/1000+(Source!P483)/1000,2)</f>
        <v>0</v>
      </c>
      <c r="I16" s="8">
        <f>E16+F16+G16+H16</f>
        <v>695.23</v>
      </c>
      <c r="J16" s="8">
        <f>ROUND((Source!P478+Source!P477)/1000,2)</f>
        <v>83.03</v>
      </c>
      <c r="K16" s="8">
        <v>1076.8399999999999</v>
      </c>
      <c r="L16" s="8">
        <v>0</v>
      </c>
      <c r="M16" s="8">
        <v>0</v>
      </c>
      <c r="N16" s="8">
        <f>I16+L16+M16</f>
        <v>695.23</v>
      </c>
      <c r="T16" s="9">
        <f>ROUND((Source!F480)/1000,2)</f>
        <v>42.72</v>
      </c>
      <c r="U16" s="9">
        <f>ROUND((Source!F481)/1000,2)</f>
        <v>0</v>
      </c>
      <c r="V16" s="9">
        <f>ROUND((Source!F472)/1000,2)</f>
        <v>35</v>
      </c>
      <c r="W16" s="9">
        <f>ROUND((Source!F482)/1000+(Source!F483)/1000,2)</f>
        <v>0</v>
      </c>
      <c r="X16" s="9">
        <f>T16+U16+V16+W16</f>
        <v>77.72</v>
      </c>
      <c r="Y16" s="9">
        <f>ROUND((Source!F478+Source!F477)/1000,2)</f>
        <v>1.51</v>
      </c>
      <c r="Z16" s="9">
        <v>149.71</v>
      </c>
      <c r="AA16" s="9">
        <v>0</v>
      </c>
      <c r="AB16" s="9">
        <v>0</v>
      </c>
      <c r="AC16" s="9">
        <f>X16+AA16+AB16</f>
        <v>77.72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580010.74</v>
      </c>
      <c r="AU16" s="8">
        <v>496833.91</v>
      </c>
      <c r="AV16" s="8">
        <v>0</v>
      </c>
      <c r="AW16" s="8">
        <v>179025.07</v>
      </c>
      <c r="AX16" s="8">
        <v>0</v>
      </c>
      <c r="AY16" s="8">
        <v>233.23</v>
      </c>
      <c r="AZ16" s="8">
        <v>87.99</v>
      </c>
      <c r="BA16" s="8">
        <v>82943.600000000006</v>
      </c>
      <c r="BB16" s="8">
        <v>516199.83</v>
      </c>
      <c r="BC16" s="8">
        <v>0</v>
      </c>
      <c r="BD16" s="8">
        <v>0</v>
      </c>
      <c r="BE16" s="8">
        <v>0</v>
      </c>
      <c r="BF16" s="8">
        <v>97.728297481979965</v>
      </c>
      <c r="BG16" s="8">
        <v>0</v>
      </c>
      <c r="BH16" s="8">
        <v>0</v>
      </c>
      <c r="BI16" s="8">
        <v>73119.199999999997</v>
      </c>
      <c r="BJ16" s="8">
        <v>42094.96</v>
      </c>
      <c r="BK16" s="8">
        <v>695224.9</v>
      </c>
      <c r="BR16" s="9">
        <v>75620.22</v>
      </c>
      <c r="BS16" s="9">
        <v>74094.28</v>
      </c>
      <c r="BT16" s="9">
        <v>0</v>
      </c>
      <c r="BU16" s="9">
        <v>34995.360000000001</v>
      </c>
      <c r="BV16" s="9">
        <v>0</v>
      </c>
      <c r="BW16" s="9">
        <v>17.600000000000001</v>
      </c>
      <c r="BX16" s="9">
        <v>1.6</v>
      </c>
      <c r="BY16" s="9">
        <v>1508.34</v>
      </c>
      <c r="BZ16" s="9">
        <v>42720.06</v>
      </c>
      <c r="CA16" s="9">
        <v>0</v>
      </c>
      <c r="CB16" s="9">
        <v>0</v>
      </c>
      <c r="CC16" s="9">
        <v>0</v>
      </c>
      <c r="CD16" s="9">
        <v>97.728297481979965</v>
      </c>
      <c r="CE16" s="9">
        <v>0</v>
      </c>
      <c r="CF16" s="9">
        <v>0</v>
      </c>
      <c r="CG16" s="9">
        <v>1329.7</v>
      </c>
      <c r="CH16" s="9">
        <v>765.5</v>
      </c>
      <c r="CI16" s="9">
        <v>77715.42</v>
      </c>
    </row>
    <row r="18" spans="1:29" x14ac:dyDescent="0.2">
      <c r="A18">
        <v>51</v>
      </c>
      <c r="E18">
        <v>516.20000000000005</v>
      </c>
      <c r="F18">
        <v>0</v>
      </c>
      <c r="G18">
        <v>179.03</v>
      </c>
      <c r="H18">
        <v>0</v>
      </c>
      <c r="I18">
        <v>695.23</v>
      </c>
      <c r="J18">
        <v>83.03</v>
      </c>
      <c r="K18">
        <v>1076.8399999999999</v>
      </c>
      <c r="L18">
        <v>0</v>
      </c>
      <c r="M18">
        <v>0</v>
      </c>
      <c r="N18">
        <v>695.23</v>
      </c>
      <c r="T18">
        <v>42.72</v>
      </c>
      <c r="U18">
        <v>0</v>
      </c>
      <c r="V18">
        <v>35</v>
      </c>
      <c r="W18">
        <v>0</v>
      </c>
      <c r="X18">
        <v>77.72</v>
      </c>
      <c r="Y18">
        <v>1.51</v>
      </c>
      <c r="Z18">
        <v>149.71</v>
      </c>
      <c r="AA18">
        <v>0</v>
      </c>
      <c r="AB18">
        <v>0</v>
      </c>
      <c r="AC18">
        <v>77.72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580010.74</v>
      </c>
      <c r="G20" s="5" t="s">
        <v>46</v>
      </c>
      <c r="H20" s="5" t="s">
        <v>47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75620.22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496833.91</v>
      </c>
      <c r="G21" s="5" t="s">
        <v>48</v>
      </c>
      <c r="H21" s="5" t="s">
        <v>49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74094.28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50</v>
      </c>
      <c r="H22" s="5" t="s">
        <v>51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496833.91</v>
      </c>
      <c r="G23" s="5" t="s">
        <v>52</v>
      </c>
      <c r="H23" s="5" t="s">
        <v>53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74094.28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317808.84000000003</v>
      </c>
      <c r="G24" s="5" t="s">
        <v>54</v>
      </c>
      <c r="H24" s="5" t="s">
        <v>55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39098.92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56</v>
      </c>
      <c r="H25" s="5" t="s">
        <v>57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317808.84000000003</v>
      </c>
      <c r="G26" s="5" t="s">
        <v>58</v>
      </c>
      <c r="H26" s="5" t="s">
        <v>59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39098.92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179025.07</v>
      </c>
      <c r="G27" s="5" t="s">
        <v>60</v>
      </c>
      <c r="H27" s="5" t="s">
        <v>61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34995.360000000001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62</v>
      </c>
      <c r="H28" s="5" t="s">
        <v>63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179025.07</v>
      </c>
      <c r="G29" s="5" t="s">
        <v>64</v>
      </c>
      <c r="H29" s="5" t="s">
        <v>65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34995.360000000001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233.23</v>
      </c>
      <c r="G30" s="5" t="s">
        <v>66</v>
      </c>
      <c r="H30" s="5" t="s">
        <v>67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17.600000000000001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68</v>
      </c>
      <c r="H31" s="5" t="s">
        <v>69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87.99</v>
      </c>
      <c r="G32" s="5" t="s">
        <v>70</v>
      </c>
      <c r="H32" s="5" t="s">
        <v>71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1.6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82943.600000000006</v>
      </c>
      <c r="G33" s="5" t="s">
        <v>72</v>
      </c>
      <c r="H33" s="5" t="s">
        <v>73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1508.34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74</v>
      </c>
      <c r="H34" s="5" t="s">
        <v>75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516199.83</v>
      </c>
      <c r="G35" s="5" t="s">
        <v>76</v>
      </c>
      <c r="H35" s="5" t="s">
        <v>77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42720.06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0</v>
      </c>
      <c r="G36" s="5" t="s">
        <v>78</v>
      </c>
      <c r="H36" s="5" t="s">
        <v>79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0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80</v>
      </c>
      <c r="H37" s="5" t="s">
        <v>81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82</v>
      </c>
      <c r="H38" s="5" t="s">
        <v>83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84</v>
      </c>
      <c r="H39" s="5" t="s">
        <v>85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97.728297481979965</v>
      </c>
      <c r="G40" s="5" t="s">
        <v>86</v>
      </c>
      <c r="H40" s="5" t="s">
        <v>87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97.728297481979965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88</v>
      </c>
      <c r="H41" s="5" t="s">
        <v>89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90</v>
      </c>
      <c r="H42" s="5" t="s">
        <v>91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92</v>
      </c>
      <c r="H43" s="5" t="s">
        <v>93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73119.199999999997</v>
      </c>
      <c r="G44" s="5" t="s">
        <v>94</v>
      </c>
      <c r="H44" s="5" t="s">
        <v>95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1329.7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42094.96</v>
      </c>
      <c r="G45" s="5" t="s">
        <v>96</v>
      </c>
      <c r="H45" s="5" t="s">
        <v>97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765.5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695224.9</v>
      </c>
      <c r="G46" s="5" t="s">
        <v>98</v>
      </c>
      <c r="H46" s="5" t="s">
        <v>99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77715.42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294</v>
      </c>
      <c r="C51" s="4">
        <v>2025</v>
      </c>
      <c r="D51" s="4">
        <v>3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59499215</v>
      </c>
      <c r="O51" s="4">
        <v>1</v>
      </c>
    </row>
    <row r="52" spans="1:50" x14ac:dyDescent="0.2">
      <c r="A52" s="6">
        <v>1</v>
      </c>
      <c r="B52" s="6" t="s">
        <v>295</v>
      </c>
      <c r="C52" s="6" t="s">
        <v>296</v>
      </c>
      <c r="D52" s="6">
        <v>2025</v>
      </c>
      <c r="E52" s="6">
        <v>9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9.8800000000000008</v>
      </c>
      <c r="L52" s="6">
        <v>7.66</v>
      </c>
      <c r="M52" s="6">
        <v>1</v>
      </c>
      <c r="N52" s="6">
        <v>1</v>
      </c>
      <c r="O52" s="6">
        <v>9.8800000000000008</v>
      </c>
      <c r="P52" s="6">
        <v>7.66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297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59499216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295</v>
      </c>
      <c r="C53" s="6" t="s">
        <v>298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299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59499217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300</v>
      </c>
      <c r="C54" s="4">
        <v>2000</v>
      </c>
      <c r="D54" s="4">
        <v>0</v>
      </c>
      <c r="E54" s="4">
        <v>1</v>
      </c>
      <c r="F54" s="4"/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59499218</v>
      </c>
      <c r="O54" s="4">
        <v>2</v>
      </c>
    </row>
    <row r="55" spans="1:50" x14ac:dyDescent="0.2">
      <c r="A55" s="6">
        <v>1</v>
      </c>
      <c r="B55" s="6" t="s">
        <v>295</v>
      </c>
      <c r="C55" s="6" t="s">
        <v>296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173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59499219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7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ROW(Source!A165)</f>
        <v>165</v>
      </c>
      <c r="B1">
        <v>59499218</v>
      </c>
      <c r="C1">
        <v>59499536</v>
      </c>
      <c r="D1">
        <v>58532980</v>
      </c>
      <c r="E1">
        <v>1080</v>
      </c>
      <c r="F1">
        <v>1</v>
      </c>
      <c r="G1">
        <v>1080</v>
      </c>
      <c r="H1">
        <v>1</v>
      </c>
      <c r="I1" t="s">
        <v>302</v>
      </c>
      <c r="J1" t="s">
        <v>3</v>
      </c>
      <c r="K1" t="s">
        <v>303</v>
      </c>
      <c r="L1">
        <v>1191</v>
      </c>
      <c r="N1">
        <v>1013</v>
      </c>
      <c r="O1" t="s">
        <v>304</v>
      </c>
      <c r="P1" t="s">
        <v>304</v>
      </c>
      <c r="Q1">
        <v>1</v>
      </c>
      <c r="W1">
        <v>0</v>
      </c>
      <c r="X1">
        <v>476480486</v>
      </c>
      <c r="Y1">
        <f>((AT1*1.15)*1.1)</f>
        <v>0.65780000000000005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0.52</v>
      </c>
      <c r="AU1" t="s">
        <v>40</v>
      </c>
      <c r="AV1">
        <v>1</v>
      </c>
      <c r="AW1">
        <v>2</v>
      </c>
      <c r="AX1">
        <v>59500043</v>
      </c>
      <c r="AY1">
        <v>1</v>
      </c>
      <c r="AZ1">
        <v>0</v>
      </c>
      <c r="BA1">
        <v>9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ROUND(AT1*Source!I165*AH1*AL1,2)</f>
        <v>0</v>
      </c>
      <c r="CV1">
        <f>ROUND(Y1*Source!I165,9)</f>
        <v>3.9468000000000001</v>
      </c>
      <c r="CW1">
        <v>0</v>
      </c>
      <c r="CX1">
        <f>ROUND(Y1*Source!I165,9)</f>
        <v>3.9468000000000001</v>
      </c>
      <c r="CY1">
        <f>AD1</f>
        <v>0</v>
      </c>
      <c r="CZ1">
        <f>AH1</f>
        <v>0</v>
      </c>
      <c r="DA1">
        <f>AL1</f>
        <v>1</v>
      </c>
      <c r="DB1">
        <f>ROUND(((ROUND(AT1*CZ1,2)*1.15)*1.1),6)</f>
        <v>0</v>
      </c>
      <c r="DC1">
        <f>ROUND(((ROUND(AT1*AG1,2)*1.15)*1.1),6)</f>
        <v>0</v>
      </c>
      <c r="DD1" t="s">
        <v>3</v>
      </c>
      <c r="DE1" t="s">
        <v>3</v>
      </c>
      <c r="DF1">
        <f>ROUND(ROUND(AE1,2)*CX1,2)</f>
        <v>0</v>
      </c>
      <c r="DG1">
        <f t="shared" ref="DG1:DG32" si="0">ROUND(ROUND(AF1,2)*CX1,2)</f>
        <v>0</v>
      </c>
      <c r="DH1">
        <f t="shared" ref="DH1:DH32" si="1">ROUND(ROUND(AG1,2)*CX1,2)</f>
        <v>0</v>
      </c>
      <c r="DI1">
        <f t="shared" ref="DI1:DI32" si="2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ROW(Source!A165)</f>
        <v>165</v>
      </c>
      <c r="B2">
        <v>59499218</v>
      </c>
      <c r="C2">
        <v>59499536</v>
      </c>
      <c r="D2">
        <v>58576492</v>
      </c>
      <c r="E2">
        <v>1</v>
      </c>
      <c r="F2">
        <v>1</v>
      </c>
      <c r="G2">
        <v>1080</v>
      </c>
      <c r="H2">
        <v>3</v>
      </c>
      <c r="I2" t="s">
        <v>305</v>
      </c>
      <c r="J2" t="s">
        <v>306</v>
      </c>
      <c r="K2" t="s">
        <v>307</v>
      </c>
      <c r="L2">
        <v>1348</v>
      </c>
      <c r="N2">
        <v>1009</v>
      </c>
      <c r="O2" t="s">
        <v>242</v>
      </c>
      <c r="P2" t="s">
        <v>242</v>
      </c>
      <c r="Q2">
        <v>1000</v>
      </c>
      <c r="W2">
        <v>0</v>
      </c>
      <c r="X2">
        <v>1986080645</v>
      </c>
      <c r="Y2">
        <f>AT2</f>
        <v>3.0000000000000001E-5</v>
      </c>
      <c r="AA2">
        <v>16735.689999999999</v>
      </c>
      <c r="AB2">
        <v>0</v>
      </c>
      <c r="AC2">
        <v>0</v>
      </c>
      <c r="AD2">
        <v>0</v>
      </c>
      <c r="AE2">
        <v>16735.689999999999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3.0000000000000001E-5</v>
      </c>
      <c r="AU2" t="s">
        <v>3</v>
      </c>
      <c r="AV2">
        <v>0</v>
      </c>
      <c r="AW2">
        <v>2</v>
      </c>
      <c r="AX2">
        <v>59500044</v>
      </c>
      <c r="AY2">
        <v>1</v>
      </c>
      <c r="AZ2">
        <v>0</v>
      </c>
      <c r="BA2">
        <v>10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v>0</v>
      </c>
      <c r="CX2">
        <f>ROUND(Y2*Source!I165,9)</f>
        <v>1.8000000000000001E-4</v>
      </c>
      <c r="CY2">
        <f>AA2</f>
        <v>16735.689999999999</v>
      </c>
      <c r="CZ2">
        <f>AE2</f>
        <v>16735.689999999999</v>
      </c>
      <c r="DA2">
        <f>AI2</f>
        <v>1</v>
      </c>
      <c r="DB2">
        <f>ROUND(ROUND(AT2*CZ2,2),6)</f>
        <v>0.5</v>
      </c>
      <c r="DC2">
        <f>ROUND(ROUND(AT2*AG2,2),6)</f>
        <v>0</v>
      </c>
      <c r="DD2" t="s">
        <v>3</v>
      </c>
      <c r="DE2" t="s">
        <v>3</v>
      </c>
      <c r="DF2">
        <f>ROUND(ROUND(AE2,2)*CX2,2)</f>
        <v>3.01</v>
      </c>
      <c r="DG2">
        <f t="shared" si="0"/>
        <v>0</v>
      </c>
      <c r="DH2">
        <f t="shared" si="1"/>
        <v>0</v>
      </c>
      <c r="DI2">
        <f t="shared" si="2"/>
        <v>0</v>
      </c>
      <c r="DJ2">
        <f>DF2</f>
        <v>3.01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ROW(Source!A165)</f>
        <v>165</v>
      </c>
      <c r="B3">
        <v>59499218</v>
      </c>
      <c r="C3">
        <v>59499536</v>
      </c>
      <c r="D3">
        <v>58577238</v>
      </c>
      <c r="E3">
        <v>1</v>
      </c>
      <c r="F3">
        <v>1</v>
      </c>
      <c r="G3">
        <v>1080</v>
      </c>
      <c r="H3">
        <v>3</v>
      </c>
      <c r="I3" t="s">
        <v>155</v>
      </c>
      <c r="J3" t="s">
        <v>157</v>
      </c>
      <c r="K3" t="s">
        <v>156</v>
      </c>
      <c r="L3">
        <v>1354</v>
      </c>
      <c r="N3">
        <v>1010</v>
      </c>
      <c r="O3" t="s">
        <v>124</v>
      </c>
      <c r="P3" t="s">
        <v>124</v>
      </c>
      <c r="Q3">
        <v>1</v>
      </c>
      <c r="W3">
        <v>0</v>
      </c>
      <c r="X3">
        <v>1303734261</v>
      </c>
      <c r="Y3">
        <f>AT3</f>
        <v>1</v>
      </c>
      <c r="AA3">
        <v>156.96</v>
      </c>
      <c r="AB3">
        <v>0</v>
      </c>
      <c r="AC3">
        <v>0</v>
      </c>
      <c r="AD3">
        <v>0</v>
      </c>
      <c r="AE3">
        <v>156.96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 t="s">
        <v>3</v>
      </c>
      <c r="AT3">
        <v>1</v>
      </c>
      <c r="AU3" t="s">
        <v>3</v>
      </c>
      <c r="AV3">
        <v>0</v>
      </c>
      <c r="AW3">
        <v>1</v>
      </c>
      <c r="AX3">
        <v>-1</v>
      </c>
      <c r="AY3">
        <v>0</v>
      </c>
      <c r="AZ3">
        <v>0</v>
      </c>
      <c r="BA3" t="s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ROUND(Y3*Source!I165,9)</f>
        <v>6</v>
      </c>
      <c r="CY3">
        <f>AA3</f>
        <v>156.96</v>
      </c>
      <c r="CZ3">
        <f>AE3</f>
        <v>156.96</v>
      </c>
      <c r="DA3">
        <f>AI3</f>
        <v>1</v>
      </c>
      <c r="DB3">
        <f>ROUND(ROUND(AT3*CZ3,2),6)</f>
        <v>156.96</v>
      </c>
      <c r="DC3">
        <f>ROUND(ROUND(AT3*AG3,2),6)</f>
        <v>0</v>
      </c>
      <c r="DD3" t="s">
        <v>3</v>
      </c>
      <c r="DE3" t="s">
        <v>3</v>
      </c>
      <c r="DF3">
        <f>ROUND(ROUND(AE3,2)*CX3,2)</f>
        <v>941.76</v>
      </c>
      <c r="DG3">
        <f t="shared" si="0"/>
        <v>0</v>
      </c>
      <c r="DH3">
        <f t="shared" si="1"/>
        <v>0</v>
      </c>
      <c r="DI3">
        <f t="shared" si="2"/>
        <v>0</v>
      </c>
      <c r="DJ3">
        <f>DF3</f>
        <v>941.76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ROW(Source!A166)</f>
        <v>166</v>
      </c>
      <c r="B4">
        <v>59499215</v>
      </c>
      <c r="C4">
        <v>59499536</v>
      </c>
      <c r="D4">
        <v>58532980</v>
      </c>
      <c r="E4">
        <v>1080</v>
      </c>
      <c r="F4">
        <v>1</v>
      </c>
      <c r="G4">
        <v>1080</v>
      </c>
      <c r="H4">
        <v>1</v>
      </c>
      <c r="I4" t="s">
        <v>302</v>
      </c>
      <c r="J4" t="s">
        <v>3</v>
      </c>
      <c r="K4" t="s">
        <v>303</v>
      </c>
      <c r="L4">
        <v>1191</v>
      </c>
      <c r="N4">
        <v>1013</v>
      </c>
      <c r="O4" t="s">
        <v>304</v>
      </c>
      <c r="P4" t="s">
        <v>304</v>
      </c>
      <c r="Q4">
        <v>1</v>
      </c>
      <c r="W4">
        <v>0</v>
      </c>
      <c r="X4">
        <v>476480486</v>
      </c>
      <c r="Y4">
        <f>((AT4*1.15)*1.1)</f>
        <v>0.65780000000000005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5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0.52</v>
      </c>
      <c r="AU4" t="s">
        <v>40</v>
      </c>
      <c r="AV4">
        <v>1</v>
      </c>
      <c r="AW4">
        <v>2</v>
      </c>
      <c r="AX4">
        <v>59500043</v>
      </c>
      <c r="AY4">
        <v>1</v>
      </c>
      <c r="AZ4">
        <v>0</v>
      </c>
      <c r="BA4">
        <v>12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U4">
        <f>ROUND(AT4*Source!I166*AH4*AL4,2)</f>
        <v>0</v>
      </c>
      <c r="CV4">
        <f>ROUND(Y4*Source!I166,9)</f>
        <v>3.9468000000000001</v>
      </c>
      <c r="CW4">
        <v>0</v>
      </c>
      <c r="CX4">
        <f>ROUND(Y4*Source!I166,9)</f>
        <v>3.9468000000000001</v>
      </c>
      <c r="CY4">
        <f>AD4</f>
        <v>0</v>
      </c>
      <c r="CZ4">
        <f>AH4</f>
        <v>0</v>
      </c>
      <c r="DA4">
        <f>AL4</f>
        <v>1</v>
      </c>
      <c r="DB4">
        <f>ROUND(((ROUND(AT4*CZ4,2)*1.15)*1.1),6)</f>
        <v>0</v>
      </c>
      <c r="DC4">
        <f>ROUND(((ROUND(AT4*AG4,2)*1.15)*1.1),6)</f>
        <v>0</v>
      </c>
      <c r="DD4" t="s">
        <v>3</v>
      </c>
      <c r="DE4" t="s">
        <v>3</v>
      </c>
      <c r="DF4">
        <f>ROUND(ROUND(AE4,2)*CX4,2)</f>
        <v>0</v>
      </c>
      <c r="DG4">
        <f t="shared" si="0"/>
        <v>0</v>
      </c>
      <c r="DH4">
        <f t="shared" si="1"/>
        <v>0</v>
      </c>
      <c r="DI4">
        <f t="shared" si="2"/>
        <v>0</v>
      </c>
      <c r="DJ4">
        <f>DI4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ROW(Source!A166)</f>
        <v>166</v>
      </c>
      <c r="B5">
        <v>59499215</v>
      </c>
      <c r="C5">
        <v>59499536</v>
      </c>
      <c r="D5">
        <v>58576492</v>
      </c>
      <c r="E5">
        <v>1</v>
      </c>
      <c r="F5">
        <v>1</v>
      </c>
      <c r="G5">
        <v>1080</v>
      </c>
      <c r="H5">
        <v>3</v>
      </c>
      <c r="I5" t="s">
        <v>305</v>
      </c>
      <c r="J5" t="s">
        <v>306</v>
      </c>
      <c r="K5" t="s">
        <v>307</v>
      </c>
      <c r="L5">
        <v>1348</v>
      </c>
      <c r="N5">
        <v>1009</v>
      </c>
      <c r="O5" t="s">
        <v>242</v>
      </c>
      <c r="P5" t="s">
        <v>242</v>
      </c>
      <c r="Q5">
        <v>1000</v>
      </c>
      <c r="W5">
        <v>0</v>
      </c>
      <c r="X5">
        <v>1986080645</v>
      </c>
      <c r="Y5">
        <f>AT5</f>
        <v>3.0000000000000001E-5</v>
      </c>
      <c r="AA5">
        <v>265093.33</v>
      </c>
      <c r="AB5">
        <v>0</v>
      </c>
      <c r="AC5">
        <v>0</v>
      </c>
      <c r="AD5">
        <v>0</v>
      </c>
      <c r="AE5">
        <v>16735.689999999999</v>
      </c>
      <c r="AF5">
        <v>0</v>
      </c>
      <c r="AG5">
        <v>0</v>
      </c>
      <c r="AH5">
        <v>0</v>
      </c>
      <c r="AI5">
        <v>15.84</v>
      </c>
      <c r="AJ5">
        <v>1</v>
      </c>
      <c r="AK5">
        <v>1</v>
      </c>
      <c r="AL5">
        <v>1</v>
      </c>
      <c r="AM5">
        <v>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3.0000000000000001E-5</v>
      </c>
      <c r="AU5" t="s">
        <v>3</v>
      </c>
      <c r="AV5">
        <v>0</v>
      </c>
      <c r="AW5">
        <v>2</v>
      </c>
      <c r="AX5">
        <v>59500044</v>
      </c>
      <c r="AY5">
        <v>1</v>
      </c>
      <c r="AZ5">
        <v>0</v>
      </c>
      <c r="BA5">
        <v>13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ROUND(Y5*Source!I166,9)</f>
        <v>1.8000000000000001E-4</v>
      </c>
      <c r="CY5">
        <f>AA5</f>
        <v>265093.33</v>
      </c>
      <c r="CZ5">
        <f>AE5</f>
        <v>16735.689999999999</v>
      </c>
      <c r="DA5">
        <f>AI5</f>
        <v>15.84</v>
      </c>
      <c r="DB5">
        <f>ROUND(ROUND(AT5*CZ5,2),6)</f>
        <v>0.5</v>
      </c>
      <c r="DC5">
        <f>ROUND(ROUND(AT5*AG5,2),6)</f>
        <v>0</v>
      </c>
      <c r="DD5" t="s">
        <v>3</v>
      </c>
      <c r="DE5" t="s">
        <v>3</v>
      </c>
      <c r="DF5">
        <f>ROUND(ROUND(AE5*AI5,2)*CX5,2)</f>
        <v>47.72</v>
      </c>
      <c r="DG5">
        <f t="shared" si="0"/>
        <v>0</v>
      </c>
      <c r="DH5">
        <f t="shared" si="1"/>
        <v>0</v>
      </c>
      <c r="DI5">
        <f t="shared" si="2"/>
        <v>0</v>
      </c>
      <c r="DJ5">
        <f>DF5</f>
        <v>47.72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ROW(Source!A166)</f>
        <v>166</v>
      </c>
      <c r="B6">
        <v>59499215</v>
      </c>
      <c r="C6">
        <v>59499536</v>
      </c>
      <c r="D6">
        <v>58577238</v>
      </c>
      <c r="E6">
        <v>1</v>
      </c>
      <c r="F6">
        <v>1</v>
      </c>
      <c r="G6">
        <v>1080</v>
      </c>
      <c r="H6">
        <v>3</v>
      </c>
      <c r="I6" t="s">
        <v>155</v>
      </c>
      <c r="J6" t="s">
        <v>157</v>
      </c>
      <c r="K6" t="s">
        <v>156</v>
      </c>
      <c r="L6">
        <v>1354</v>
      </c>
      <c r="N6">
        <v>1010</v>
      </c>
      <c r="O6" t="s">
        <v>124</v>
      </c>
      <c r="P6" t="s">
        <v>124</v>
      </c>
      <c r="Q6">
        <v>1</v>
      </c>
      <c r="W6">
        <v>0</v>
      </c>
      <c r="X6">
        <v>1303734261</v>
      </c>
      <c r="Y6">
        <f>AT6</f>
        <v>1</v>
      </c>
      <c r="AA6">
        <v>141.26</v>
      </c>
      <c r="AB6">
        <v>0</v>
      </c>
      <c r="AC6">
        <v>0</v>
      </c>
      <c r="AD6">
        <v>0</v>
      </c>
      <c r="AE6">
        <v>156.96</v>
      </c>
      <c r="AF6">
        <v>0</v>
      </c>
      <c r="AG6">
        <v>0</v>
      </c>
      <c r="AH6">
        <v>0</v>
      </c>
      <c r="AI6">
        <v>0.9</v>
      </c>
      <c r="AJ6">
        <v>1</v>
      </c>
      <c r="AK6">
        <v>1</v>
      </c>
      <c r="AL6">
        <v>1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 t="s">
        <v>3</v>
      </c>
      <c r="AT6">
        <v>1</v>
      </c>
      <c r="AU6" t="s">
        <v>3</v>
      </c>
      <c r="AV6">
        <v>0</v>
      </c>
      <c r="AW6">
        <v>1</v>
      </c>
      <c r="AX6">
        <v>-1</v>
      </c>
      <c r="AY6">
        <v>0</v>
      </c>
      <c r="AZ6">
        <v>0</v>
      </c>
      <c r="BA6" t="s">
        <v>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ROUND(Y6*Source!I166,9)</f>
        <v>6</v>
      </c>
      <c r="CY6">
        <f>AA6</f>
        <v>141.26</v>
      </c>
      <c r="CZ6">
        <f>AE6</f>
        <v>156.96</v>
      </c>
      <c r="DA6">
        <f>AI6</f>
        <v>0.9</v>
      </c>
      <c r="DB6">
        <f>ROUND(ROUND(AT6*CZ6,2),6)</f>
        <v>156.96</v>
      </c>
      <c r="DC6">
        <f>ROUND(ROUND(AT6*AG6,2),6)</f>
        <v>0</v>
      </c>
      <c r="DD6" t="s">
        <v>3</v>
      </c>
      <c r="DE6" t="s">
        <v>3</v>
      </c>
      <c r="DF6">
        <f>ROUND(ROUND(AE6*AI6,2)*CX6,2)</f>
        <v>847.56</v>
      </c>
      <c r="DG6">
        <f t="shared" si="0"/>
        <v>0</v>
      </c>
      <c r="DH6">
        <f t="shared" si="1"/>
        <v>0</v>
      </c>
      <c r="DI6">
        <f t="shared" si="2"/>
        <v>0</v>
      </c>
      <c r="DJ6">
        <f>DF6</f>
        <v>847.56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ROW(Source!A169)</f>
        <v>169</v>
      </c>
      <c r="B7">
        <v>59499218</v>
      </c>
      <c r="C7">
        <v>59499544</v>
      </c>
      <c r="D7">
        <v>58532980</v>
      </c>
      <c r="E7">
        <v>1080</v>
      </c>
      <c r="F7">
        <v>1</v>
      </c>
      <c r="G7">
        <v>1080</v>
      </c>
      <c r="H7">
        <v>1</v>
      </c>
      <c r="I7" t="s">
        <v>302</v>
      </c>
      <c r="J7" t="s">
        <v>3</v>
      </c>
      <c r="K7" t="s">
        <v>303</v>
      </c>
      <c r="L7">
        <v>1191</v>
      </c>
      <c r="N7">
        <v>1013</v>
      </c>
      <c r="O7" t="s">
        <v>304</v>
      </c>
      <c r="P7" t="s">
        <v>304</v>
      </c>
      <c r="Q7">
        <v>1</v>
      </c>
      <c r="W7">
        <v>0</v>
      </c>
      <c r="X7">
        <v>476480486</v>
      </c>
      <c r="Y7">
        <f>((AT7*1.15)*1.1)</f>
        <v>0.65780000000000005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0.52</v>
      </c>
      <c r="AU7" t="s">
        <v>40</v>
      </c>
      <c r="AV7">
        <v>1</v>
      </c>
      <c r="AW7">
        <v>2</v>
      </c>
      <c r="AX7">
        <v>59500046</v>
      </c>
      <c r="AY7">
        <v>1</v>
      </c>
      <c r="AZ7">
        <v>0</v>
      </c>
      <c r="BA7">
        <v>15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ROUND(AT7*Source!I169*AH7*AL7,2)</f>
        <v>0</v>
      </c>
      <c r="CV7">
        <f>ROUND(Y7*Source!I169,9)</f>
        <v>3.9468000000000001</v>
      </c>
      <c r="CW7">
        <v>0</v>
      </c>
      <c r="CX7">
        <f>ROUND(Y7*Source!I169,9)</f>
        <v>3.9468000000000001</v>
      </c>
      <c r="CY7">
        <f>AD7</f>
        <v>0</v>
      </c>
      <c r="CZ7">
        <f>AH7</f>
        <v>0</v>
      </c>
      <c r="DA7">
        <f>AL7</f>
        <v>1</v>
      </c>
      <c r="DB7">
        <f>ROUND(((ROUND(AT7*CZ7,2)*1.15)*1.1),6)</f>
        <v>0</v>
      </c>
      <c r="DC7">
        <f>ROUND(((ROUND(AT7*AG7,2)*1.15)*1.1),6)</f>
        <v>0</v>
      </c>
      <c r="DD7" t="s">
        <v>3</v>
      </c>
      <c r="DE7" t="s">
        <v>3</v>
      </c>
      <c r="DF7">
        <f>ROUND(ROUND(AE7,2)*CX7,2)</f>
        <v>0</v>
      </c>
      <c r="DG7">
        <f t="shared" si="0"/>
        <v>0</v>
      </c>
      <c r="DH7">
        <f t="shared" si="1"/>
        <v>0</v>
      </c>
      <c r="DI7">
        <f t="shared" si="2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ROW(Source!A169)</f>
        <v>169</v>
      </c>
      <c r="B8">
        <v>59499218</v>
      </c>
      <c r="C8">
        <v>59499544</v>
      </c>
      <c r="D8">
        <v>58576492</v>
      </c>
      <c r="E8">
        <v>1</v>
      </c>
      <c r="F8">
        <v>1</v>
      </c>
      <c r="G8">
        <v>1080</v>
      </c>
      <c r="H8">
        <v>3</v>
      </c>
      <c r="I8" t="s">
        <v>305</v>
      </c>
      <c r="J8" t="s">
        <v>306</v>
      </c>
      <c r="K8" t="s">
        <v>307</v>
      </c>
      <c r="L8">
        <v>1348</v>
      </c>
      <c r="N8">
        <v>1009</v>
      </c>
      <c r="O8" t="s">
        <v>242</v>
      </c>
      <c r="P8" t="s">
        <v>242</v>
      </c>
      <c r="Q8">
        <v>1000</v>
      </c>
      <c r="W8">
        <v>0</v>
      </c>
      <c r="X8">
        <v>1986080645</v>
      </c>
      <c r="Y8">
        <f>AT8</f>
        <v>3.0000000000000001E-5</v>
      </c>
      <c r="AA8">
        <v>16735.689999999999</v>
      </c>
      <c r="AB8">
        <v>0</v>
      </c>
      <c r="AC8">
        <v>0</v>
      </c>
      <c r="AD8">
        <v>0</v>
      </c>
      <c r="AE8">
        <v>16735.689999999999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3.0000000000000001E-5</v>
      </c>
      <c r="AU8" t="s">
        <v>3</v>
      </c>
      <c r="AV8">
        <v>0</v>
      </c>
      <c r="AW8">
        <v>2</v>
      </c>
      <c r="AX8">
        <v>59500047</v>
      </c>
      <c r="AY8">
        <v>1</v>
      </c>
      <c r="AZ8">
        <v>0</v>
      </c>
      <c r="BA8">
        <v>16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ROUND(Y8*Source!I169,9)</f>
        <v>1.8000000000000001E-4</v>
      </c>
      <c r="CY8">
        <f>AA8</f>
        <v>16735.689999999999</v>
      </c>
      <c r="CZ8">
        <f>AE8</f>
        <v>16735.689999999999</v>
      </c>
      <c r="DA8">
        <f>AI8</f>
        <v>1</v>
      </c>
      <c r="DB8">
        <f>ROUND(ROUND(AT8*CZ8,2),6)</f>
        <v>0.5</v>
      </c>
      <c r="DC8">
        <f>ROUND(ROUND(AT8*AG8,2),6)</f>
        <v>0</v>
      </c>
      <c r="DD8" t="s">
        <v>3</v>
      </c>
      <c r="DE8" t="s">
        <v>3</v>
      </c>
      <c r="DF8">
        <f>ROUND(ROUND(AE8,2)*CX8,2)</f>
        <v>3.01</v>
      </c>
      <c r="DG8">
        <f t="shared" si="0"/>
        <v>0</v>
      </c>
      <c r="DH8">
        <f t="shared" si="1"/>
        <v>0</v>
      </c>
      <c r="DI8">
        <f t="shared" si="2"/>
        <v>0</v>
      </c>
      <c r="DJ8">
        <f>DF8</f>
        <v>3.01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ROW(Source!A169)</f>
        <v>169</v>
      </c>
      <c r="B9">
        <v>59499218</v>
      </c>
      <c r="C9">
        <v>59499544</v>
      </c>
      <c r="D9">
        <v>58577238</v>
      </c>
      <c r="E9">
        <v>1</v>
      </c>
      <c r="F9">
        <v>1</v>
      </c>
      <c r="G9">
        <v>1080</v>
      </c>
      <c r="H9">
        <v>3</v>
      </c>
      <c r="I9" t="s">
        <v>155</v>
      </c>
      <c r="J9" t="s">
        <v>157</v>
      </c>
      <c r="K9" t="s">
        <v>156</v>
      </c>
      <c r="L9">
        <v>1354</v>
      </c>
      <c r="N9">
        <v>1010</v>
      </c>
      <c r="O9" t="s">
        <v>124</v>
      </c>
      <c r="P9" t="s">
        <v>124</v>
      </c>
      <c r="Q9">
        <v>1</v>
      </c>
      <c r="W9">
        <v>0</v>
      </c>
      <c r="X9">
        <v>1303734261</v>
      </c>
      <c r="Y9">
        <f>AT9</f>
        <v>1</v>
      </c>
      <c r="AA9">
        <v>156.96</v>
      </c>
      <c r="AB9">
        <v>0</v>
      </c>
      <c r="AC9">
        <v>0</v>
      </c>
      <c r="AD9">
        <v>0</v>
      </c>
      <c r="AE9">
        <v>156.96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t="s">
        <v>3</v>
      </c>
      <c r="AT9">
        <v>1</v>
      </c>
      <c r="AU9" t="s">
        <v>3</v>
      </c>
      <c r="AV9">
        <v>0</v>
      </c>
      <c r="AW9">
        <v>1</v>
      </c>
      <c r="AX9">
        <v>-1</v>
      </c>
      <c r="AY9">
        <v>0</v>
      </c>
      <c r="AZ9">
        <v>0</v>
      </c>
      <c r="BA9" t="s">
        <v>3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ROUND(Y9*Source!I169,9)</f>
        <v>6</v>
      </c>
      <c r="CY9">
        <f>AA9</f>
        <v>156.96</v>
      </c>
      <c r="CZ9">
        <f>AE9</f>
        <v>156.96</v>
      </c>
      <c r="DA9">
        <f>AI9</f>
        <v>1</v>
      </c>
      <c r="DB9">
        <f>ROUND(ROUND(AT9*CZ9,2),6)</f>
        <v>156.96</v>
      </c>
      <c r="DC9">
        <f>ROUND(ROUND(AT9*AG9,2),6)</f>
        <v>0</v>
      </c>
      <c r="DD9" t="s">
        <v>3</v>
      </c>
      <c r="DE9" t="s">
        <v>3</v>
      </c>
      <c r="DF9">
        <f>ROUND(ROUND(AE9,2)*CX9,2)</f>
        <v>941.76</v>
      </c>
      <c r="DG9">
        <f t="shared" si="0"/>
        <v>0</v>
      </c>
      <c r="DH9">
        <f t="shared" si="1"/>
        <v>0</v>
      </c>
      <c r="DI9">
        <f t="shared" si="2"/>
        <v>0</v>
      </c>
      <c r="DJ9">
        <f>DF9</f>
        <v>941.76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ROW(Source!A170)</f>
        <v>170</v>
      </c>
      <c r="B10">
        <v>59499215</v>
      </c>
      <c r="C10">
        <v>59499544</v>
      </c>
      <c r="D10">
        <v>58532980</v>
      </c>
      <c r="E10">
        <v>1080</v>
      </c>
      <c r="F10">
        <v>1</v>
      </c>
      <c r="G10">
        <v>1080</v>
      </c>
      <c r="H10">
        <v>1</v>
      </c>
      <c r="I10" t="s">
        <v>302</v>
      </c>
      <c r="J10" t="s">
        <v>3</v>
      </c>
      <c r="K10" t="s">
        <v>303</v>
      </c>
      <c r="L10">
        <v>1191</v>
      </c>
      <c r="N10">
        <v>1013</v>
      </c>
      <c r="O10" t="s">
        <v>304</v>
      </c>
      <c r="P10" t="s">
        <v>304</v>
      </c>
      <c r="Q10">
        <v>1</v>
      </c>
      <c r="W10">
        <v>0</v>
      </c>
      <c r="X10">
        <v>476480486</v>
      </c>
      <c r="Y10">
        <f>((AT10*1.15)*1.1)</f>
        <v>0.65780000000000005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5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0.52</v>
      </c>
      <c r="AU10" t="s">
        <v>40</v>
      </c>
      <c r="AV10">
        <v>1</v>
      </c>
      <c r="AW10">
        <v>2</v>
      </c>
      <c r="AX10">
        <v>59500046</v>
      </c>
      <c r="AY10">
        <v>1</v>
      </c>
      <c r="AZ10">
        <v>0</v>
      </c>
      <c r="BA10">
        <v>18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U10">
        <f>ROUND(AT10*Source!I170*AH10*AL10,2)</f>
        <v>0</v>
      </c>
      <c r="CV10">
        <f>ROUND(Y10*Source!I170,9)</f>
        <v>3.9468000000000001</v>
      </c>
      <c r="CW10">
        <v>0</v>
      </c>
      <c r="CX10">
        <f>ROUND(Y10*Source!I170,9)</f>
        <v>3.9468000000000001</v>
      </c>
      <c r="CY10">
        <f>AD10</f>
        <v>0</v>
      </c>
      <c r="CZ10">
        <f>AH10</f>
        <v>0</v>
      </c>
      <c r="DA10">
        <f>AL10</f>
        <v>1</v>
      </c>
      <c r="DB10">
        <f>ROUND(((ROUND(AT10*CZ10,2)*1.15)*1.1),6)</f>
        <v>0</v>
      </c>
      <c r="DC10">
        <f>ROUND(((ROUND(AT10*AG10,2)*1.15)*1.1),6)</f>
        <v>0</v>
      </c>
      <c r="DD10" t="s">
        <v>3</v>
      </c>
      <c r="DE10" t="s">
        <v>3</v>
      </c>
      <c r="DF10">
        <f>ROUND(ROUND(AE10,2)*CX10,2)</f>
        <v>0</v>
      </c>
      <c r="DG10">
        <f t="shared" si="0"/>
        <v>0</v>
      </c>
      <c r="DH10">
        <f t="shared" si="1"/>
        <v>0</v>
      </c>
      <c r="DI10">
        <f t="shared" si="2"/>
        <v>0</v>
      </c>
      <c r="DJ10">
        <f>DI10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ROW(Source!A170)</f>
        <v>170</v>
      </c>
      <c r="B11">
        <v>59499215</v>
      </c>
      <c r="C11">
        <v>59499544</v>
      </c>
      <c r="D11">
        <v>58576492</v>
      </c>
      <c r="E11">
        <v>1</v>
      </c>
      <c r="F11">
        <v>1</v>
      </c>
      <c r="G11">
        <v>1080</v>
      </c>
      <c r="H11">
        <v>3</v>
      </c>
      <c r="I11" t="s">
        <v>305</v>
      </c>
      <c r="J11" t="s">
        <v>306</v>
      </c>
      <c r="K11" t="s">
        <v>307</v>
      </c>
      <c r="L11">
        <v>1348</v>
      </c>
      <c r="N11">
        <v>1009</v>
      </c>
      <c r="O11" t="s">
        <v>242</v>
      </c>
      <c r="P11" t="s">
        <v>242</v>
      </c>
      <c r="Q11">
        <v>1000</v>
      </c>
      <c r="W11">
        <v>0</v>
      </c>
      <c r="X11">
        <v>1986080645</v>
      </c>
      <c r="Y11">
        <f>AT11</f>
        <v>3.0000000000000001E-5</v>
      </c>
      <c r="AA11">
        <v>265093.33</v>
      </c>
      <c r="AB11">
        <v>0</v>
      </c>
      <c r="AC11">
        <v>0</v>
      </c>
      <c r="AD11">
        <v>0</v>
      </c>
      <c r="AE11">
        <v>16735.689999999999</v>
      </c>
      <c r="AF11">
        <v>0</v>
      </c>
      <c r="AG11">
        <v>0</v>
      </c>
      <c r="AH11">
        <v>0</v>
      </c>
      <c r="AI11">
        <v>15.84</v>
      </c>
      <c r="AJ11">
        <v>1</v>
      </c>
      <c r="AK11">
        <v>1</v>
      </c>
      <c r="AL11">
        <v>1</v>
      </c>
      <c r="AM11">
        <v>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3.0000000000000001E-5</v>
      </c>
      <c r="AU11" t="s">
        <v>3</v>
      </c>
      <c r="AV11">
        <v>0</v>
      </c>
      <c r="AW11">
        <v>2</v>
      </c>
      <c r="AX11">
        <v>59500047</v>
      </c>
      <c r="AY11">
        <v>1</v>
      </c>
      <c r="AZ11">
        <v>0</v>
      </c>
      <c r="BA11">
        <v>19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ROUND(Y11*Source!I170,9)</f>
        <v>1.8000000000000001E-4</v>
      </c>
      <c r="CY11">
        <f>AA11</f>
        <v>265093.33</v>
      </c>
      <c r="CZ11">
        <f>AE11</f>
        <v>16735.689999999999</v>
      </c>
      <c r="DA11">
        <f>AI11</f>
        <v>15.84</v>
      </c>
      <c r="DB11">
        <f>ROUND(ROUND(AT11*CZ11,2),6)</f>
        <v>0.5</v>
      </c>
      <c r="DC11">
        <f>ROUND(ROUND(AT11*AG11,2),6)</f>
        <v>0</v>
      </c>
      <c r="DD11" t="s">
        <v>3</v>
      </c>
      <c r="DE11" t="s">
        <v>3</v>
      </c>
      <c r="DF11">
        <f>ROUND(ROUND(AE11*AI11,2)*CX11,2)</f>
        <v>47.72</v>
      </c>
      <c r="DG11">
        <f t="shared" si="0"/>
        <v>0</v>
      </c>
      <c r="DH11">
        <f t="shared" si="1"/>
        <v>0</v>
      </c>
      <c r="DI11">
        <f t="shared" si="2"/>
        <v>0</v>
      </c>
      <c r="DJ11">
        <f>DF11</f>
        <v>47.72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ROW(Source!A170)</f>
        <v>170</v>
      </c>
      <c r="B12">
        <v>59499215</v>
      </c>
      <c r="C12">
        <v>59499544</v>
      </c>
      <c r="D12">
        <v>58577238</v>
      </c>
      <c r="E12">
        <v>1</v>
      </c>
      <c r="F12">
        <v>1</v>
      </c>
      <c r="G12">
        <v>1080</v>
      </c>
      <c r="H12">
        <v>3</v>
      </c>
      <c r="I12" t="s">
        <v>155</v>
      </c>
      <c r="J12" t="s">
        <v>157</v>
      </c>
      <c r="K12" t="s">
        <v>156</v>
      </c>
      <c r="L12">
        <v>1354</v>
      </c>
      <c r="N12">
        <v>1010</v>
      </c>
      <c r="O12" t="s">
        <v>124</v>
      </c>
      <c r="P12" t="s">
        <v>124</v>
      </c>
      <c r="Q12">
        <v>1</v>
      </c>
      <c r="W12">
        <v>0</v>
      </c>
      <c r="X12">
        <v>1303734261</v>
      </c>
      <c r="Y12">
        <f>AT12</f>
        <v>1</v>
      </c>
      <c r="AA12">
        <v>141.26</v>
      </c>
      <c r="AB12">
        <v>0</v>
      </c>
      <c r="AC12">
        <v>0</v>
      </c>
      <c r="AD12">
        <v>0</v>
      </c>
      <c r="AE12">
        <v>156.96</v>
      </c>
      <c r="AF12">
        <v>0</v>
      </c>
      <c r="AG12">
        <v>0</v>
      </c>
      <c r="AH12">
        <v>0</v>
      </c>
      <c r="AI12">
        <v>0.9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3</v>
      </c>
      <c r="AT12">
        <v>1</v>
      </c>
      <c r="AU12" t="s">
        <v>3</v>
      </c>
      <c r="AV12">
        <v>0</v>
      </c>
      <c r="AW12">
        <v>1</v>
      </c>
      <c r="AX12">
        <v>-1</v>
      </c>
      <c r="AY12">
        <v>0</v>
      </c>
      <c r="AZ12">
        <v>0</v>
      </c>
      <c r="BA12" t="s">
        <v>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ROUND(Y12*Source!I170,9)</f>
        <v>6</v>
      </c>
      <c r="CY12">
        <f>AA12</f>
        <v>141.26</v>
      </c>
      <c r="CZ12">
        <f>AE12</f>
        <v>156.96</v>
      </c>
      <c r="DA12">
        <f>AI12</f>
        <v>0.9</v>
      </c>
      <c r="DB12">
        <f>ROUND(ROUND(AT12*CZ12,2),6)</f>
        <v>156.96</v>
      </c>
      <c r="DC12">
        <f>ROUND(ROUND(AT12*AG12,2),6)</f>
        <v>0</v>
      </c>
      <c r="DD12" t="s">
        <v>3</v>
      </c>
      <c r="DE12" t="s">
        <v>3</v>
      </c>
      <c r="DF12">
        <f>ROUND(ROUND(AE12*AI12,2)*CX12,2)</f>
        <v>847.56</v>
      </c>
      <c r="DG12">
        <f t="shared" si="0"/>
        <v>0</v>
      </c>
      <c r="DH12">
        <f t="shared" si="1"/>
        <v>0</v>
      </c>
      <c r="DI12">
        <f t="shared" si="2"/>
        <v>0</v>
      </c>
      <c r="DJ12">
        <f>DF12</f>
        <v>847.56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ROW(Source!A173)</f>
        <v>173</v>
      </c>
      <c r="B13">
        <v>59499218</v>
      </c>
      <c r="C13">
        <v>59499552</v>
      </c>
      <c r="D13">
        <v>58532980</v>
      </c>
      <c r="E13">
        <v>1080</v>
      </c>
      <c r="F13">
        <v>1</v>
      </c>
      <c r="G13">
        <v>1080</v>
      </c>
      <c r="H13">
        <v>1</v>
      </c>
      <c r="I13" t="s">
        <v>302</v>
      </c>
      <c r="J13" t="s">
        <v>3</v>
      </c>
      <c r="K13" t="s">
        <v>303</v>
      </c>
      <c r="L13">
        <v>1191</v>
      </c>
      <c r="N13">
        <v>1013</v>
      </c>
      <c r="O13" t="s">
        <v>304</v>
      </c>
      <c r="P13" t="s">
        <v>304</v>
      </c>
      <c r="Q13">
        <v>1</v>
      </c>
      <c r="W13">
        <v>0</v>
      </c>
      <c r="X13">
        <v>476480486</v>
      </c>
      <c r="Y13">
        <f>((AT13*1.15)*1.1)</f>
        <v>0.65780000000000005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0.52</v>
      </c>
      <c r="AU13" t="s">
        <v>40</v>
      </c>
      <c r="AV13">
        <v>1</v>
      </c>
      <c r="AW13">
        <v>2</v>
      </c>
      <c r="AX13">
        <v>59500049</v>
      </c>
      <c r="AY13">
        <v>1</v>
      </c>
      <c r="AZ13">
        <v>0</v>
      </c>
      <c r="BA13">
        <v>21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ROUND(AT13*Source!I173*AH13*AL13,2)</f>
        <v>0</v>
      </c>
      <c r="CV13">
        <f>ROUND(Y13*Source!I173,9)</f>
        <v>2.6312000000000002</v>
      </c>
      <c r="CW13">
        <v>0</v>
      </c>
      <c r="CX13">
        <f>ROUND(Y13*Source!I173,9)</f>
        <v>2.6312000000000002</v>
      </c>
      <c r="CY13">
        <f>AD13</f>
        <v>0</v>
      </c>
      <c r="CZ13">
        <f>AH13</f>
        <v>0</v>
      </c>
      <c r="DA13">
        <f>AL13</f>
        <v>1</v>
      </c>
      <c r="DB13">
        <f>ROUND(((ROUND(AT13*CZ13,2)*1.15)*1.1),6)</f>
        <v>0</v>
      </c>
      <c r="DC13">
        <f>ROUND(((ROUND(AT13*AG13,2)*1.15)*1.1),6)</f>
        <v>0</v>
      </c>
      <c r="DD13" t="s">
        <v>3</v>
      </c>
      <c r="DE13" t="s">
        <v>3</v>
      </c>
      <c r="DF13">
        <f>ROUND(ROUND(AE13,2)*CX13,2)</f>
        <v>0</v>
      </c>
      <c r="DG13">
        <f t="shared" si="0"/>
        <v>0</v>
      </c>
      <c r="DH13">
        <f t="shared" si="1"/>
        <v>0</v>
      </c>
      <c r="DI13">
        <f t="shared" si="2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ROW(Source!A173)</f>
        <v>173</v>
      </c>
      <c r="B14">
        <v>59499218</v>
      </c>
      <c r="C14">
        <v>59499552</v>
      </c>
      <c r="D14">
        <v>58576492</v>
      </c>
      <c r="E14">
        <v>1</v>
      </c>
      <c r="F14">
        <v>1</v>
      </c>
      <c r="G14">
        <v>1080</v>
      </c>
      <c r="H14">
        <v>3</v>
      </c>
      <c r="I14" t="s">
        <v>305</v>
      </c>
      <c r="J14" t="s">
        <v>306</v>
      </c>
      <c r="K14" t="s">
        <v>307</v>
      </c>
      <c r="L14">
        <v>1348</v>
      </c>
      <c r="N14">
        <v>1009</v>
      </c>
      <c r="O14" t="s">
        <v>242</v>
      </c>
      <c r="P14" t="s">
        <v>242</v>
      </c>
      <c r="Q14">
        <v>1000</v>
      </c>
      <c r="W14">
        <v>0</v>
      </c>
      <c r="X14">
        <v>1986080645</v>
      </c>
      <c r="Y14">
        <f>AT14</f>
        <v>3.0000000000000001E-5</v>
      </c>
      <c r="AA14">
        <v>16735.689999999999</v>
      </c>
      <c r="AB14">
        <v>0</v>
      </c>
      <c r="AC14">
        <v>0</v>
      </c>
      <c r="AD14">
        <v>0</v>
      </c>
      <c r="AE14">
        <v>16735.689999999999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3.0000000000000001E-5</v>
      </c>
      <c r="AU14" t="s">
        <v>3</v>
      </c>
      <c r="AV14">
        <v>0</v>
      </c>
      <c r="AW14">
        <v>2</v>
      </c>
      <c r="AX14">
        <v>59500050</v>
      </c>
      <c r="AY14">
        <v>1</v>
      </c>
      <c r="AZ14">
        <v>0</v>
      </c>
      <c r="BA14">
        <v>22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ROUND(Y14*Source!I173,9)</f>
        <v>1.2E-4</v>
      </c>
      <c r="CY14">
        <f>AA14</f>
        <v>16735.689999999999</v>
      </c>
      <c r="CZ14">
        <f>AE14</f>
        <v>16735.689999999999</v>
      </c>
      <c r="DA14">
        <f>AI14</f>
        <v>1</v>
      </c>
      <c r="DB14">
        <f>ROUND(ROUND(AT14*CZ14,2),6)</f>
        <v>0.5</v>
      </c>
      <c r="DC14">
        <f>ROUND(ROUND(AT14*AG14,2),6)</f>
        <v>0</v>
      </c>
      <c r="DD14" t="s">
        <v>3</v>
      </c>
      <c r="DE14" t="s">
        <v>3</v>
      </c>
      <c r="DF14">
        <f>ROUND(ROUND(AE14,2)*CX14,2)</f>
        <v>2.0099999999999998</v>
      </c>
      <c r="DG14">
        <f t="shared" si="0"/>
        <v>0</v>
      </c>
      <c r="DH14">
        <f t="shared" si="1"/>
        <v>0</v>
      </c>
      <c r="DI14">
        <f t="shared" si="2"/>
        <v>0</v>
      </c>
      <c r="DJ14">
        <f>DF14</f>
        <v>2.0099999999999998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ROW(Source!A173)</f>
        <v>173</v>
      </c>
      <c r="B15">
        <v>59499218</v>
      </c>
      <c r="C15">
        <v>59499552</v>
      </c>
      <c r="D15">
        <v>58577238</v>
      </c>
      <c r="E15">
        <v>1</v>
      </c>
      <c r="F15">
        <v>1</v>
      </c>
      <c r="G15">
        <v>1080</v>
      </c>
      <c r="H15">
        <v>3</v>
      </c>
      <c r="I15" t="s">
        <v>155</v>
      </c>
      <c r="J15" t="s">
        <v>157</v>
      </c>
      <c r="K15" t="s">
        <v>156</v>
      </c>
      <c r="L15">
        <v>1354</v>
      </c>
      <c r="N15">
        <v>1010</v>
      </c>
      <c r="O15" t="s">
        <v>124</v>
      </c>
      <c r="P15" t="s">
        <v>124</v>
      </c>
      <c r="Q15">
        <v>1</v>
      </c>
      <c r="W15">
        <v>0</v>
      </c>
      <c r="X15">
        <v>1303734261</v>
      </c>
      <c r="Y15">
        <f>AT15</f>
        <v>1</v>
      </c>
      <c r="AA15">
        <v>156.96</v>
      </c>
      <c r="AB15">
        <v>0</v>
      </c>
      <c r="AC15">
        <v>0</v>
      </c>
      <c r="AD15">
        <v>0</v>
      </c>
      <c r="AE15">
        <v>156.96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t="s">
        <v>3</v>
      </c>
      <c r="AT15">
        <v>1</v>
      </c>
      <c r="AU15" t="s">
        <v>3</v>
      </c>
      <c r="AV15">
        <v>0</v>
      </c>
      <c r="AW15">
        <v>1</v>
      </c>
      <c r="AX15">
        <v>-1</v>
      </c>
      <c r="AY15">
        <v>0</v>
      </c>
      <c r="AZ15">
        <v>0</v>
      </c>
      <c r="BA15" t="s">
        <v>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ROUND(Y15*Source!I173,9)</f>
        <v>4</v>
      </c>
      <c r="CY15">
        <f>AA15</f>
        <v>156.96</v>
      </c>
      <c r="CZ15">
        <f>AE15</f>
        <v>156.96</v>
      </c>
      <c r="DA15">
        <f>AI15</f>
        <v>1</v>
      </c>
      <c r="DB15">
        <f>ROUND(ROUND(AT15*CZ15,2),6)</f>
        <v>156.96</v>
      </c>
      <c r="DC15">
        <f>ROUND(ROUND(AT15*AG15,2),6)</f>
        <v>0</v>
      </c>
      <c r="DD15" t="s">
        <v>3</v>
      </c>
      <c r="DE15" t="s">
        <v>3</v>
      </c>
      <c r="DF15">
        <f>ROUND(ROUND(AE15,2)*CX15,2)</f>
        <v>627.84</v>
      </c>
      <c r="DG15">
        <f t="shared" si="0"/>
        <v>0</v>
      </c>
      <c r="DH15">
        <f t="shared" si="1"/>
        <v>0</v>
      </c>
      <c r="DI15">
        <f t="shared" si="2"/>
        <v>0</v>
      </c>
      <c r="DJ15">
        <f>DF15</f>
        <v>627.84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ROW(Source!A174)</f>
        <v>174</v>
      </c>
      <c r="B16">
        <v>59499215</v>
      </c>
      <c r="C16">
        <v>59499552</v>
      </c>
      <c r="D16">
        <v>58532980</v>
      </c>
      <c r="E16">
        <v>1080</v>
      </c>
      <c r="F16">
        <v>1</v>
      </c>
      <c r="G16">
        <v>1080</v>
      </c>
      <c r="H16">
        <v>1</v>
      </c>
      <c r="I16" t="s">
        <v>302</v>
      </c>
      <c r="J16" t="s">
        <v>3</v>
      </c>
      <c r="K16" t="s">
        <v>303</v>
      </c>
      <c r="L16">
        <v>1191</v>
      </c>
      <c r="N16">
        <v>1013</v>
      </c>
      <c r="O16" t="s">
        <v>304</v>
      </c>
      <c r="P16" t="s">
        <v>304</v>
      </c>
      <c r="Q16">
        <v>1</v>
      </c>
      <c r="W16">
        <v>0</v>
      </c>
      <c r="X16">
        <v>476480486</v>
      </c>
      <c r="Y16">
        <f>((AT16*1.15)*1.1)</f>
        <v>0.65780000000000005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0.52</v>
      </c>
      <c r="AU16" t="s">
        <v>40</v>
      </c>
      <c r="AV16">
        <v>1</v>
      </c>
      <c r="AW16">
        <v>2</v>
      </c>
      <c r="AX16">
        <v>59500049</v>
      </c>
      <c r="AY16">
        <v>1</v>
      </c>
      <c r="AZ16">
        <v>0</v>
      </c>
      <c r="BA16">
        <v>24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ROUND(AT16*Source!I174*AH16*AL16,2)</f>
        <v>0</v>
      </c>
      <c r="CV16">
        <f>ROUND(Y16*Source!I174,9)</f>
        <v>2.6312000000000002</v>
      </c>
      <c r="CW16">
        <v>0</v>
      </c>
      <c r="CX16">
        <f>ROUND(Y16*Source!I174,9)</f>
        <v>2.6312000000000002</v>
      </c>
      <c r="CY16">
        <f>AD16</f>
        <v>0</v>
      </c>
      <c r="CZ16">
        <f>AH16</f>
        <v>0</v>
      </c>
      <c r="DA16">
        <f>AL16</f>
        <v>1</v>
      </c>
      <c r="DB16">
        <f>ROUND(((ROUND(AT16*CZ16,2)*1.15)*1.1),6)</f>
        <v>0</v>
      </c>
      <c r="DC16">
        <f>ROUND(((ROUND(AT16*AG16,2)*1.15)*1.1),6)</f>
        <v>0</v>
      </c>
      <c r="DD16" t="s">
        <v>3</v>
      </c>
      <c r="DE16" t="s">
        <v>3</v>
      </c>
      <c r="DF16">
        <f>ROUND(ROUND(AE16,2)*CX16,2)</f>
        <v>0</v>
      </c>
      <c r="DG16">
        <f t="shared" si="0"/>
        <v>0</v>
      </c>
      <c r="DH16">
        <f t="shared" si="1"/>
        <v>0</v>
      </c>
      <c r="DI16">
        <f t="shared" si="2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ROW(Source!A174)</f>
        <v>174</v>
      </c>
      <c r="B17">
        <v>59499215</v>
      </c>
      <c r="C17">
        <v>59499552</v>
      </c>
      <c r="D17">
        <v>58576492</v>
      </c>
      <c r="E17">
        <v>1</v>
      </c>
      <c r="F17">
        <v>1</v>
      </c>
      <c r="G17">
        <v>1080</v>
      </c>
      <c r="H17">
        <v>3</v>
      </c>
      <c r="I17" t="s">
        <v>305</v>
      </c>
      <c r="J17" t="s">
        <v>306</v>
      </c>
      <c r="K17" t="s">
        <v>307</v>
      </c>
      <c r="L17">
        <v>1348</v>
      </c>
      <c r="N17">
        <v>1009</v>
      </c>
      <c r="O17" t="s">
        <v>242</v>
      </c>
      <c r="P17" t="s">
        <v>242</v>
      </c>
      <c r="Q17">
        <v>1000</v>
      </c>
      <c r="W17">
        <v>0</v>
      </c>
      <c r="X17">
        <v>1986080645</v>
      </c>
      <c r="Y17">
        <f>AT17</f>
        <v>3.0000000000000001E-5</v>
      </c>
      <c r="AA17">
        <v>265093.33</v>
      </c>
      <c r="AB17">
        <v>0</v>
      </c>
      <c r="AC17">
        <v>0</v>
      </c>
      <c r="AD17">
        <v>0</v>
      </c>
      <c r="AE17">
        <v>16735.689999999999</v>
      </c>
      <c r="AF17">
        <v>0</v>
      </c>
      <c r="AG17">
        <v>0</v>
      </c>
      <c r="AH17">
        <v>0</v>
      </c>
      <c r="AI17">
        <v>15.84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3.0000000000000001E-5</v>
      </c>
      <c r="AU17" t="s">
        <v>3</v>
      </c>
      <c r="AV17">
        <v>0</v>
      </c>
      <c r="AW17">
        <v>2</v>
      </c>
      <c r="AX17">
        <v>59500050</v>
      </c>
      <c r="AY17">
        <v>1</v>
      </c>
      <c r="AZ17">
        <v>0</v>
      </c>
      <c r="BA17">
        <v>25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ROUND(Y17*Source!I174,9)</f>
        <v>1.2E-4</v>
      </c>
      <c r="CY17">
        <f>AA17</f>
        <v>265093.33</v>
      </c>
      <c r="CZ17">
        <f>AE17</f>
        <v>16735.689999999999</v>
      </c>
      <c r="DA17">
        <f>AI17</f>
        <v>15.84</v>
      </c>
      <c r="DB17">
        <f>ROUND(ROUND(AT17*CZ17,2),6)</f>
        <v>0.5</v>
      </c>
      <c r="DC17">
        <f>ROUND(ROUND(AT17*AG17,2),6)</f>
        <v>0</v>
      </c>
      <c r="DD17" t="s">
        <v>3</v>
      </c>
      <c r="DE17" t="s">
        <v>3</v>
      </c>
      <c r="DF17">
        <f>ROUND(ROUND(AE17*AI17,2)*CX17,2)</f>
        <v>31.81</v>
      </c>
      <c r="DG17">
        <f t="shared" si="0"/>
        <v>0</v>
      </c>
      <c r="DH17">
        <f t="shared" si="1"/>
        <v>0</v>
      </c>
      <c r="DI17">
        <f t="shared" si="2"/>
        <v>0</v>
      </c>
      <c r="DJ17">
        <f>DF17</f>
        <v>31.81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ROW(Source!A174)</f>
        <v>174</v>
      </c>
      <c r="B18">
        <v>59499215</v>
      </c>
      <c r="C18">
        <v>59499552</v>
      </c>
      <c r="D18">
        <v>58577238</v>
      </c>
      <c r="E18">
        <v>1</v>
      </c>
      <c r="F18">
        <v>1</v>
      </c>
      <c r="G18">
        <v>1080</v>
      </c>
      <c r="H18">
        <v>3</v>
      </c>
      <c r="I18" t="s">
        <v>155</v>
      </c>
      <c r="J18" t="s">
        <v>157</v>
      </c>
      <c r="K18" t="s">
        <v>156</v>
      </c>
      <c r="L18">
        <v>1354</v>
      </c>
      <c r="N18">
        <v>1010</v>
      </c>
      <c r="O18" t="s">
        <v>124</v>
      </c>
      <c r="P18" t="s">
        <v>124</v>
      </c>
      <c r="Q18">
        <v>1</v>
      </c>
      <c r="W18">
        <v>0</v>
      </c>
      <c r="X18">
        <v>1303734261</v>
      </c>
      <c r="Y18">
        <f>AT18</f>
        <v>1</v>
      </c>
      <c r="AA18">
        <v>141.26</v>
      </c>
      <c r="AB18">
        <v>0</v>
      </c>
      <c r="AC18">
        <v>0</v>
      </c>
      <c r="AD18">
        <v>0</v>
      </c>
      <c r="AE18">
        <v>156.96</v>
      </c>
      <c r="AF18">
        <v>0</v>
      </c>
      <c r="AG18">
        <v>0</v>
      </c>
      <c r="AH18">
        <v>0</v>
      </c>
      <c r="AI18">
        <v>0.9</v>
      </c>
      <c r="AJ18">
        <v>1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3</v>
      </c>
      <c r="AT18">
        <v>1</v>
      </c>
      <c r="AU18" t="s">
        <v>3</v>
      </c>
      <c r="AV18">
        <v>0</v>
      </c>
      <c r="AW18">
        <v>1</v>
      </c>
      <c r="AX18">
        <v>-1</v>
      </c>
      <c r="AY18">
        <v>0</v>
      </c>
      <c r="AZ18">
        <v>0</v>
      </c>
      <c r="BA18" t="s">
        <v>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ROUND(Y18*Source!I174,9)</f>
        <v>4</v>
      </c>
      <c r="CY18">
        <f>AA18</f>
        <v>141.26</v>
      </c>
      <c r="CZ18">
        <f>AE18</f>
        <v>156.96</v>
      </c>
      <c r="DA18">
        <f>AI18</f>
        <v>0.9</v>
      </c>
      <c r="DB18">
        <f>ROUND(ROUND(AT18*CZ18,2),6)</f>
        <v>156.96</v>
      </c>
      <c r="DC18">
        <f>ROUND(ROUND(AT18*AG18,2),6)</f>
        <v>0</v>
      </c>
      <c r="DD18" t="s">
        <v>3</v>
      </c>
      <c r="DE18" t="s">
        <v>3</v>
      </c>
      <c r="DF18">
        <f>ROUND(ROUND(AE18*AI18,2)*CX18,2)</f>
        <v>565.04</v>
      </c>
      <c r="DG18">
        <f t="shared" si="0"/>
        <v>0</v>
      </c>
      <c r="DH18">
        <f t="shared" si="1"/>
        <v>0</v>
      </c>
      <c r="DI18">
        <f t="shared" si="2"/>
        <v>0</v>
      </c>
      <c r="DJ18">
        <f>DF18</f>
        <v>565.04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ROW(Source!A177)</f>
        <v>177</v>
      </c>
      <c r="B19">
        <v>59499218</v>
      </c>
      <c r="C19">
        <v>59499560</v>
      </c>
      <c r="D19">
        <v>58532980</v>
      </c>
      <c r="E19">
        <v>1080</v>
      </c>
      <c r="F19">
        <v>1</v>
      </c>
      <c r="G19">
        <v>1080</v>
      </c>
      <c r="H19">
        <v>1</v>
      </c>
      <c r="I19" t="s">
        <v>302</v>
      </c>
      <c r="J19" t="s">
        <v>3</v>
      </c>
      <c r="K19" t="s">
        <v>303</v>
      </c>
      <c r="L19">
        <v>1191</v>
      </c>
      <c r="N19">
        <v>1013</v>
      </c>
      <c r="O19" t="s">
        <v>304</v>
      </c>
      <c r="P19" t="s">
        <v>304</v>
      </c>
      <c r="Q19">
        <v>1</v>
      </c>
      <c r="W19">
        <v>0</v>
      </c>
      <c r="X19">
        <v>476480486</v>
      </c>
      <c r="Y19">
        <f>((AT19*1.15)*1.1)</f>
        <v>0.65780000000000005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0.52</v>
      </c>
      <c r="AU19" t="s">
        <v>40</v>
      </c>
      <c r="AV19">
        <v>1</v>
      </c>
      <c r="AW19">
        <v>2</v>
      </c>
      <c r="AX19">
        <v>59500052</v>
      </c>
      <c r="AY19">
        <v>1</v>
      </c>
      <c r="AZ19">
        <v>0</v>
      </c>
      <c r="BA19">
        <v>27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ROUND(AT19*Source!I177*AH19*AL19,2)</f>
        <v>0</v>
      </c>
      <c r="CV19">
        <f>ROUND(Y19*Source!I177,9)</f>
        <v>13.813800000000001</v>
      </c>
      <c r="CW19">
        <v>0</v>
      </c>
      <c r="CX19">
        <f>ROUND(Y19*Source!I177,9)</f>
        <v>13.813800000000001</v>
      </c>
      <c r="CY19">
        <f>AD19</f>
        <v>0</v>
      </c>
      <c r="CZ19">
        <f>AH19</f>
        <v>0</v>
      </c>
      <c r="DA19">
        <f>AL19</f>
        <v>1</v>
      </c>
      <c r="DB19">
        <f>ROUND(((ROUND(AT19*CZ19,2)*1.15)*1.1),6)</f>
        <v>0</v>
      </c>
      <c r="DC19">
        <f>ROUND(((ROUND(AT19*AG19,2)*1.15)*1.1),6)</f>
        <v>0</v>
      </c>
      <c r="DD19" t="s">
        <v>3</v>
      </c>
      <c r="DE19" t="s">
        <v>3</v>
      </c>
      <c r="DF19">
        <f>ROUND(ROUND(AE19,2)*CX19,2)</f>
        <v>0</v>
      </c>
      <c r="DG19">
        <f t="shared" si="0"/>
        <v>0</v>
      </c>
      <c r="DH19">
        <f t="shared" si="1"/>
        <v>0</v>
      </c>
      <c r="DI19">
        <f t="shared" si="2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ROW(Source!A177)</f>
        <v>177</v>
      </c>
      <c r="B20">
        <v>59499218</v>
      </c>
      <c r="C20">
        <v>59499560</v>
      </c>
      <c r="D20">
        <v>58576492</v>
      </c>
      <c r="E20">
        <v>1</v>
      </c>
      <c r="F20">
        <v>1</v>
      </c>
      <c r="G20">
        <v>1080</v>
      </c>
      <c r="H20">
        <v>3</v>
      </c>
      <c r="I20" t="s">
        <v>305</v>
      </c>
      <c r="J20" t="s">
        <v>306</v>
      </c>
      <c r="K20" t="s">
        <v>307</v>
      </c>
      <c r="L20">
        <v>1348</v>
      </c>
      <c r="N20">
        <v>1009</v>
      </c>
      <c r="O20" t="s">
        <v>242</v>
      </c>
      <c r="P20" t="s">
        <v>242</v>
      </c>
      <c r="Q20">
        <v>1000</v>
      </c>
      <c r="W20">
        <v>0</v>
      </c>
      <c r="X20">
        <v>1986080645</v>
      </c>
      <c r="Y20">
        <f>AT20</f>
        <v>3.0000000000000001E-5</v>
      </c>
      <c r="AA20">
        <v>16735.689999999999</v>
      </c>
      <c r="AB20">
        <v>0</v>
      </c>
      <c r="AC20">
        <v>0</v>
      </c>
      <c r="AD20">
        <v>0</v>
      </c>
      <c r="AE20">
        <v>16735.689999999999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-2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3.0000000000000001E-5</v>
      </c>
      <c r="AU20" t="s">
        <v>3</v>
      </c>
      <c r="AV20">
        <v>0</v>
      </c>
      <c r="AW20">
        <v>2</v>
      </c>
      <c r="AX20">
        <v>59500053</v>
      </c>
      <c r="AY20">
        <v>1</v>
      </c>
      <c r="AZ20">
        <v>0</v>
      </c>
      <c r="BA20">
        <v>28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ROUND(Y20*Source!I177,9)</f>
        <v>6.3000000000000003E-4</v>
      </c>
      <c r="CY20">
        <f>AA20</f>
        <v>16735.689999999999</v>
      </c>
      <c r="CZ20">
        <f>AE20</f>
        <v>16735.689999999999</v>
      </c>
      <c r="DA20">
        <f>AI20</f>
        <v>1</v>
      </c>
      <c r="DB20">
        <f>ROUND(ROUND(AT20*CZ20,2),6)</f>
        <v>0.5</v>
      </c>
      <c r="DC20">
        <f>ROUND(ROUND(AT20*AG20,2),6)</f>
        <v>0</v>
      </c>
      <c r="DD20" t="s">
        <v>3</v>
      </c>
      <c r="DE20" t="s">
        <v>3</v>
      </c>
      <c r="DF20">
        <f>ROUND(ROUND(AE20,2)*CX20,2)</f>
        <v>10.54</v>
      </c>
      <c r="DG20">
        <f t="shared" si="0"/>
        <v>0</v>
      </c>
      <c r="DH20">
        <f t="shared" si="1"/>
        <v>0</v>
      </c>
      <c r="DI20">
        <f t="shared" si="2"/>
        <v>0</v>
      </c>
      <c r="DJ20">
        <f>DF20</f>
        <v>10.54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ROW(Source!A177)</f>
        <v>177</v>
      </c>
      <c r="B21">
        <v>59499218</v>
      </c>
      <c r="C21">
        <v>59499560</v>
      </c>
      <c r="D21">
        <v>58577238</v>
      </c>
      <c r="E21">
        <v>1</v>
      </c>
      <c r="F21">
        <v>1</v>
      </c>
      <c r="G21">
        <v>1080</v>
      </c>
      <c r="H21">
        <v>3</v>
      </c>
      <c r="I21" t="s">
        <v>155</v>
      </c>
      <c r="J21" t="s">
        <v>157</v>
      </c>
      <c r="K21" t="s">
        <v>156</v>
      </c>
      <c r="L21">
        <v>1354</v>
      </c>
      <c r="N21">
        <v>1010</v>
      </c>
      <c r="O21" t="s">
        <v>124</v>
      </c>
      <c r="P21" t="s">
        <v>124</v>
      </c>
      <c r="Q21">
        <v>1</v>
      </c>
      <c r="W21">
        <v>0</v>
      </c>
      <c r="X21">
        <v>1303734261</v>
      </c>
      <c r="Y21">
        <f>AT21</f>
        <v>1</v>
      </c>
      <c r="AA21">
        <v>156.96</v>
      </c>
      <c r="AB21">
        <v>0</v>
      </c>
      <c r="AC21">
        <v>0</v>
      </c>
      <c r="AD21">
        <v>0</v>
      </c>
      <c r="AE21">
        <v>156.96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t="s">
        <v>3</v>
      </c>
      <c r="AT21">
        <v>1</v>
      </c>
      <c r="AU21" t="s">
        <v>3</v>
      </c>
      <c r="AV21">
        <v>0</v>
      </c>
      <c r="AW21">
        <v>1</v>
      </c>
      <c r="AX21">
        <v>-1</v>
      </c>
      <c r="AY21">
        <v>0</v>
      </c>
      <c r="AZ21">
        <v>0</v>
      </c>
      <c r="BA21" t="s">
        <v>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ROUND(Y21*Source!I177,9)</f>
        <v>21</v>
      </c>
      <c r="CY21">
        <f>AA21</f>
        <v>156.96</v>
      </c>
      <c r="CZ21">
        <f>AE21</f>
        <v>156.96</v>
      </c>
      <c r="DA21">
        <f>AI21</f>
        <v>1</v>
      </c>
      <c r="DB21">
        <f>ROUND(ROUND(AT21*CZ21,2),6)</f>
        <v>156.96</v>
      </c>
      <c r="DC21">
        <f>ROUND(ROUND(AT21*AG21,2),6)</f>
        <v>0</v>
      </c>
      <c r="DD21" t="s">
        <v>3</v>
      </c>
      <c r="DE21" t="s">
        <v>3</v>
      </c>
      <c r="DF21">
        <f>ROUND(ROUND(AE21,2)*CX21,2)</f>
        <v>3296.16</v>
      </c>
      <c r="DG21">
        <f t="shared" si="0"/>
        <v>0</v>
      </c>
      <c r="DH21">
        <f t="shared" si="1"/>
        <v>0</v>
      </c>
      <c r="DI21">
        <f t="shared" si="2"/>
        <v>0</v>
      </c>
      <c r="DJ21">
        <f>DF21</f>
        <v>3296.16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ROW(Source!A178)</f>
        <v>178</v>
      </c>
      <c r="B22">
        <v>59499215</v>
      </c>
      <c r="C22">
        <v>59499560</v>
      </c>
      <c r="D22">
        <v>58532980</v>
      </c>
      <c r="E22">
        <v>1080</v>
      </c>
      <c r="F22">
        <v>1</v>
      </c>
      <c r="G22">
        <v>1080</v>
      </c>
      <c r="H22">
        <v>1</v>
      </c>
      <c r="I22" t="s">
        <v>302</v>
      </c>
      <c r="J22" t="s">
        <v>3</v>
      </c>
      <c r="K22" t="s">
        <v>303</v>
      </c>
      <c r="L22">
        <v>1191</v>
      </c>
      <c r="N22">
        <v>1013</v>
      </c>
      <c r="O22" t="s">
        <v>304</v>
      </c>
      <c r="P22" t="s">
        <v>304</v>
      </c>
      <c r="Q22">
        <v>1</v>
      </c>
      <c r="W22">
        <v>0</v>
      </c>
      <c r="X22">
        <v>476480486</v>
      </c>
      <c r="Y22">
        <f>((AT22*1.15)*1.1)</f>
        <v>0.65780000000000005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5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0.52</v>
      </c>
      <c r="AU22" t="s">
        <v>40</v>
      </c>
      <c r="AV22">
        <v>1</v>
      </c>
      <c r="AW22">
        <v>2</v>
      </c>
      <c r="AX22">
        <v>59500052</v>
      </c>
      <c r="AY22">
        <v>1</v>
      </c>
      <c r="AZ22">
        <v>0</v>
      </c>
      <c r="BA22">
        <v>30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U22">
        <f>ROUND(AT22*Source!I178*AH22*AL22,2)</f>
        <v>0</v>
      </c>
      <c r="CV22">
        <f>ROUND(Y22*Source!I178,9)</f>
        <v>13.813800000000001</v>
      </c>
      <c r="CW22">
        <v>0</v>
      </c>
      <c r="CX22">
        <f>ROUND(Y22*Source!I178,9)</f>
        <v>13.813800000000001</v>
      </c>
      <c r="CY22">
        <f>AD22</f>
        <v>0</v>
      </c>
      <c r="CZ22">
        <f>AH22</f>
        <v>0</v>
      </c>
      <c r="DA22">
        <f>AL22</f>
        <v>1</v>
      </c>
      <c r="DB22">
        <f>ROUND(((ROUND(AT22*CZ22,2)*1.15)*1.1),6)</f>
        <v>0</v>
      </c>
      <c r="DC22">
        <f>ROUND(((ROUND(AT22*AG22,2)*1.15)*1.1),6)</f>
        <v>0</v>
      </c>
      <c r="DD22" t="s">
        <v>3</v>
      </c>
      <c r="DE22" t="s">
        <v>3</v>
      </c>
      <c r="DF22">
        <f>ROUND(ROUND(AE22,2)*CX22,2)</f>
        <v>0</v>
      </c>
      <c r="DG22">
        <f t="shared" si="0"/>
        <v>0</v>
      </c>
      <c r="DH22">
        <f t="shared" si="1"/>
        <v>0</v>
      </c>
      <c r="DI22">
        <f t="shared" si="2"/>
        <v>0</v>
      </c>
      <c r="DJ22">
        <f>DI22</f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ROW(Source!A178)</f>
        <v>178</v>
      </c>
      <c r="B23">
        <v>59499215</v>
      </c>
      <c r="C23">
        <v>59499560</v>
      </c>
      <c r="D23">
        <v>58576492</v>
      </c>
      <c r="E23">
        <v>1</v>
      </c>
      <c r="F23">
        <v>1</v>
      </c>
      <c r="G23">
        <v>1080</v>
      </c>
      <c r="H23">
        <v>3</v>
      </c>
      <c r="I23" t="s">
        <v>305</v>
      </c>
      <c r="J23" t="s">
        <v>306</v>
      </c>
      <c r="K23" t="s">
        <v>307</v>
      </c>
      <c r="L23">
        <v>1348</v>
      </c>
      <c r="N23">
        <v>1009</v>
      </c>
      <c r="O23" t="s">
        <v>242</v>
      </c>
      <c r="P23" t="s">
        <v>242</v>
      </c>
      <c r="Q23">
        <v>1000</v>
      </c>
      <c r="W23">
        <v>0</v>
      </c>
      <c r="X23">
        <v>1986080645</v>
      </c>
      <c r="Y23">
        <f>AT23</f>
        <v>3.0000000000000001E-5</v>
      </c>
      <c r="AA23">
        <v>265093.33</v>
      </c>
      <c r="AB23">
        <v>0</v>
      </c>
      <c r="AC23">
        <v>0</v>
      </c>
      <c r="AD23">
        <v>0</v>
      </c>
      <c r="AE23">
        <v>16735.689999999999</v>
      </c>
      <c r="AF23">
        <v>0</v>
      </c>
      <c r="AG23">
        <v>0</v>
      </c>
      <c r="AH23">
        <v>0</v>
      </c>
      <c r="AI23">
        <v>15.84</v>
      </c>
      <c r="AJ23">
        <v>1</v>
      </c>
      <c r="AK23">
        <v>1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3.0000000000000001E-5</v>
      </c>
      <c r="AU23" t="s">
        <v>3</v>
      </c>
      <c r="AV23">
        <v>0</v>
      </c>
      <c r="AW23">
        <v>2</v>
      </c>
      <c r="AX23">
        <v>59500053</v>
      </c>
      <c r="AY23">
        <v>1</v>
      </c>
      <c r="AZ23">
        <v>0</v>
      </c>
      <c r="BA23">
        <v>31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ROUND(Y23*Source!I178,9)</f>
        <v>6.3000000000000003E-4</v>
      </c>
      <c r="CY23">
        <f>AA23</f>
        <v>265093.33</v>
      </c>
      <c r="CZ23">
        <f>AE23</f>
        <v>16735.689999999999</v>
      </c>
      <c r="DA23">
        <f>AI23</f>
        <v>15.84</v>
      </c>
      <c r="DB23">
        <f>ROUND(ROUND(AT23*CZ23,2),6)</f>
        <v>0.5</v>
      </c>
      <c r="DC23">
        <f>ROUND(ROUND(AT23*AG23,2),6)</f>
        <v>0</v>
      </c>
      <c r="DD23" t="s">
        <v>3</v>
      </c>
      <c r="DE23" t="s">
        <v>3</v>
      </c>
      <c r="DF23">
        <f>ROUND(ROUND(AE23*AI23,2)*CX23,2)</f>
        <v>167.01</v>
      </c>
      <c r="DG23">
        <f t="shared" si="0"/>
        <v>0</v>
      </c>
      <c r="DH23">
        <f t="shared" si="1"/>
        <v>0</v>
      </c>
      <c r="DI23">
        <f t="shared" si="2"/>
        <v>0</v>
      </c>
      <c r="DJ23">
        <f>DF23</f>
        <v>167.01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ROW(Source!A178)</f>
        <v>178</v>
      </c>
      <c r="B24">
        <v>59499215</v>
      </c>
      <c r="C24">
        <v>59499560</v>
      </c>
      <c r="D24">
        <v>58577238</v>
      </c>
      <c r="E24">
        <v>1</v>
      </c>
      <c r="F24">
        <v>1</v>
      </c>
      <c r="G24">
        <v>1080</v>
      </c>
      <c r="H24">
        <v>3</v>
      </c>
      <c r="I24" t="s">
        <v>155</v>
      </c>
      <c r="J24" t="s">
        <v>157</v>
      </c>
      <c r="K24" t="s">
        <v>156</v>
      </c>
      <c r="L24">
        <v>1354</v>
      </c>
      <c r="N24">
        <v>1010</v>
      </c>
      <c r="O24" t="s">
        <v>124</v>
      </c>
      <c r="P24" t="s">
        <v>124</v>
      </c>
      <c r="Q24">
        <v>1</v>
      </c>
      <c r="W24">
        <v>0</v>
      </c>
      <c r="X24">
        <v>1303734261</v>
      </c>
      <c r="Y24">
        <f>AT24</f>
        <v>1</v>
      </c>
      <c r="AA24">
        <v>141.26</v>
      </c>
      <c r="AB24">
        <v>0</v>
      </c>
      <c r="AC24">
        <v>0</v>
      </c>
      <c r="AD24">
        <v>0</v>
      </c>
      <c r="AE24">
        <v>156.96</v>
      </c>
      <c r="AF24">
        <v>0</v>
      </c>
      <c r="AG24">
        <v>0</v>
      </c>
      <c r="AH24">
        <v>0</v>
      </c>
      <c r="AI24">
        <v>0.9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t="s">
        <v>3</v>
      </c>
      <c r="AT24">
        <v>1</v>
      </c>
      <c r="AU24" t="s">
        <v>3</v>
      </c>
      <c r="AV24">
        <v>0</v>
      </c>
      <c r="AW24">
        <v>1</v>
      </c>
      <c r="AX24">
        <v>-1</v>
      </c>
      <c r="AY24">
        <v>0</v>
      </c>
      <c r="AZ24">
        <v>0</v>
      </c>
      <c r="BA24" t="s">
        <v>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ROUND(Y24*Source!I178,9)</f>
        <v>21</v>
      </c>
      <c r="CY24">
        <f>AA24</f>
        <v>141.26</v>
      </c>
      <c r="CZ24">
        <f>AE24</f>
        <v>156.96</v>
      </c>
      <c r="DA24">
        <f>AI24</f>
        <v>0.9</v>
      </c>
      <c r="DB24">
        <f>ROUND(ROUND(AT24*CZ24,2),6)</f>
        <v>156.96</v>
      </c>
      <c r="DC24">
        <f>ROUND(ROUND(AT24*AG24,2),6)</f>
        <v>0</v>
      </c>
      <c r="DD24" t="s">
        <v>3</v>
      </c>
      <c r="DE24" t="s">
        <v>3</v>
      </c>
      <c r="DF24">
        <f>ROUND(ROUND(AE24*AI24,2)*CX24,2)</f>
        <v>2966.46</v>
      </c>
      <c r="DG24">
        <f t="shared" si="0"/>
        <v>0</v>
      </c>
      <c r="DH24">
        <f t="shared" si="1"/>
        <v>0</v>
      </c>
      <c r="DI24">
        <f t="shared" si="2"/>
        <v>0</v>
      </c>
      <c r="DJ24">
        <f>DF24</f>
        <v>2966.46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ROW(Source!A181)</f>
        <v>181</v>
      </c>
      <c r="B25">
        <v>59499218</v>
      </c>
      <c r="C25">
        <v>59499568</v>
      </c>
      <c r="D25">
        <v>58532980</v>
      </c>
      <c r="E25">
        <v>1080</v>
      </c>
      <c r="F25">
        <v>1</v>
      </c>
      <c r="G25">
        <v>1080</v>
      </c>
      <c r="H25">
        <v>1</v>
      </c>
      <c r="I25" t="s">
        <v>302</v>
      </c>
      <c r="J25" t="s">
        <v>3</v>
      </c>
      <c r="K25" t="s">
        <v>303</v>
      </c>
      <c r="L25">
        <v>1191</v>
      </c>
      <c r="N25">
        <v>1013</v>
      </c>
      <c r="O25" t="s">
        <v>304</v>
      </c>
      <c r="P25" t="s">
        <v>304</v>
      </c>
      <c r="Q25">
        <v>1</v>
      </c>
      <c r="W25">
        <v>0</v>
      </c>
      <c r="X25">
        <v>476480486</v>
      </c>
      <c r="Y25">
        <f>((AT25*1.15)*1.1)</f>
        <v>0.65780000000000005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0.52</v>
      </c>
      <c r="AU25" t="s">
        <v>40</v>
      </c>
      <c r="AV25">
        <v>1</v>
      </c>
      <c r="AW25">
        <v>2</v>
      </c>
      <c r="AX25">
        <v>59500055</v>
      </c>
      <c r="AY25">
        <v>1</v>
      </c>
      <c r="AZ25">
        <v>0</v>
      </c>
      <c r="BA25">
        <v>33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ROUND(AT25*Source!I181*AH25*AL25,2)</f>
        <v>0</v>
      </c>
      <c r="CV25">
        <f>ROUND(Y25*Source!I181,9)</f>
        <v>2.6312000000000002</v>
      </c>
      <c r="CW25">
        <v>0</v>
      </c>
      <c r="CX25">
        <f>ROUND(Y25*Source!I181,9)</f>
        <v>2.6312000000000002</v>
      </c>
      <c r="CY25">
        <f>AD25</f>
        <v>0</v>
      </c>
      <c r="CZ25">
        <f>AH25</f>
        <v>0</v>
      </c>
      <c r="DA25">
        <f>AL25</f>
        <v>1</v>
      </c>
      <c r="DB25">
        <f>ROUND(((ROUND(AT25*CZ25,2)*1.15)*1.1),6)</f>
        <v>0</v>
      </c>
      <c r="DC25">
        <f>ROUND(((ROUND(AT25*AG25,2)*1.15)*1.1),6)</f>
        <v>0</v>
      </c>
      <c r="DD25" t="s">
        <v>3</v>
      </c>
      <c r="DE25" t="s">
        <v>3</v>
      </c>
      <c r="DF25">
        <f>ROUND(ROUND(AE25,2)*CX25,2)</f>
        <v>0</v>
      </c>
      <c r="DG25">
        <f t="shared" si="0"/>
        <v>0</v>
      </c>
      <c r="DH25">
        <f t="shared" si="1"/>
        <v>0</v>
      </c>
      <c r="DI25">
        <f t="shared" si="2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ROW(Source!A181)</f>
        <v>181</v>
      </c>
      <c r="B26">
        <v>59499218</v>
      </c>
      <c r="C26">
        <v>59499568</v>
      </c>
      <c r="D26">
        <v>58576492</v>
      </c>
      <c r="E26">
        <v>1</v>
      </c>
      <c r="F26">
        <v>1</v>
      </c>
      <c r="G26">
        <v>1080</v>
      </c>
      <c r="H26">
        <v>3</v>
      </c>
      <c r="I26" t="s">
        <v>305</v>
      </c>
      <c r="J26" t="s">
        <v>306</v>
      </c>
      <c r="K26" t="s">
        <v>307</v>
      </c>
      <c r="L26">
        <v>1348</v>
      </c>
      <c r="N26">
        <v>1009</v>
      </c>
      <c r="O26" t="s">
        <v>242</v>
      </c>
      <c r="P26" t="s">
        <v>242</v>
      </c>
      <c r="Q26">
        <v>1000</v>
      </c>
      <c r="W26">
        <v>0</v>
      </c>
      <c r="X26">
        <v>1986080645</v>
      </c>
      <c r="Y26">
        <f>AT26</f>
        <v>3.0000000000000001E-5</v>
      </c>
      <c r="AA26">
        <v>16735.689999999999</v>
      </c>
      <c r="AB26">
        <v>0</v>
      </c>
      <c r="AC26">
        <v>0</v>
      </c>
      <c r="AD26">
        <v>0</v>
      </c>
      <c r="AE26">
        <v>16735.689999999999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3.0000000000000001E-5</v>
      </c>
      <c r="AU26" t="s">
        <v>3</v>
      </c>
      <c r="AV26">
        <v>0</v>
      </c>
      <c r="AW26">
        <v>2</v>
      </c>
      <c r="AX26">
        <v>59500056</v>
      </c>
      <c r="AY26">
        <v>1</v>
      </c>
      <c r="AZ26">
        <v>0</v>
      </c>
      <c r="BA26">
        <v>34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ROUND(Y26*Source!I181,9)</f>
        <v>1.2E-4</v>
      </c>
      <c r="CY26">
        <f>AA26</f>
        <v>16735.689999999999</v>
      </c>
      <c r="CZ26">
        <f>AE26</f>
        <v>16735.689999999999</v>
      </c>
      <c r="DA26">
        <f>AI26</f>
        <v>1</v>
      </c>
      <c r="DB26">
        <f>ROUND(ROUND(AT26*CZ26,2),6)</f>
        <v>0.5</v>
      </c>
      <c r="DC26">
        <f>ROUND(ROUND(AT26*AG26,2),6)</f>
        <v>0</v>
      </c>
      <c r="DD26" t="s">
        <v>3</v>
      </c>
      <c r="DE26" t="s">
        <v>3</v>
      </c>
      <c r="DF26">
        <f>ROUND(ROUND(AE26,2)*CX26,2)</f>
        <v>2.0099999999999998</v>
      </c>
      <c r="DG26">
        <f t="shared" si="0"/>
        <v>0</v>
      </c>
      <c r="DH26">
        <f t="shared" si="1"/>
        <v>0</v>
      </c>
      <c r="DI26">
        <f t="shared" si="2"/>
        <v>0</v>
      </c>
      <c r="DJ26">
        <f>DF26</f>
        <v>2.0099999999999998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ROW(Source!A181)</f>
        <v>181</v>
      </c>
      <c r="B27">
        <v>59499218</v>
      </c>
      <c r="C27">
        <v>59499568</v>
      </c>
      <c r="D27">
        <v>0</v>
      </c>
      <c r="E27">
        <v>1080</v>
      </c>
      <c r="F27">
        <v>1</v>
      </c>
      <c r="G27">
        <v>1080</v>
      </c>
      <c r="H27">
        <v>3</v>
      </c>
      <c r="I27" t="s">
        <v>170</v>
      </c>
      <c r="J27" t="s">
        <v>3</v>
      </c>
      <c r="K27" t="s">
        <v>171</v>
      </c>
      <c r="L27">
        <v>1354</v>
      </c>
      <c r="N27">
        <v>1010</v>
      </c>
      <c r="O27" t="s">
        <v>124</v>
      </c>
      <c r="P27" t="s">
        <v>124</v>
      </c>
      <c r="Q27">
        <v>1</v>
      </c>
      <c r="W27">
        <v>0</v>
      </c>
      <c r="X27">
        <v>888944111</v>
      </c>
      <c r="Y27">
        <f>AT27</f>
        <v>1</v>
      </c>
      <c r="AA27">
        <v>53.86</v>
      </c>
      <c r="AB27">
        <v>0</v>
      </c>
      <c r="AC27">
        <v>0</v>
      </c>
      <c r="AD27">
        <v>0</v>
      </c>
      <c r="AE27">
        <v>53.86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 t="s">
        <v>3</v>
      </c>
      <c r="AT27">
        <v>1</v>
      </c>
      <c r="AU27" t="s">
        <v>3</v>
      </c>
      <c r="AV27">
        <v>0</v>
      </c>
      <c r="AW27">
        <v>1</v>
      </c>
      <c r="AX27">
        <v>-1</v>
      </c>
      <c r="AY27">
        <v>0</v>
      </c>
      <c r="AZ27">
        <v>0</v>
      </c>
      <c r="BA27" t="s">
        <v>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ROUND(Y27*Source!I181,9)</f>
        <v>4</v>
      </c>
      <c r="CY27">
        <f>AA27</f>
        <v>53.86</v>
      </c>
      <c r="CZ27">
        <f>AE27</f>
        <v>53.86</v>
      </c>
      <c r="DA27">
        <f>AI27</f>
        <v>1</v>
      </c>
      <c r="DB27">
        <f>ROUND(ROUND(AT27*CZ27,2),6)</f>
        <v>53.86</v>
      </c>
      <c r="DC27">
        <f>ROUND(ROUND(AT27*AG27,2),6)</f>
        <v>0</v>
      </c>
      <c r="DD27" t="s">
        <v>3</v>
      </c>
      <c r="DE27" t="s">
        <v>3</v>
      </c>
      <c r="DF27">
        <f>ROUND(ROUND(AE27,2)*CX27,2)</f>
        <v>215.44</v>
      </c>
      <c r="DG27">
        <f t="shared" si="0"/>
        <v>0</v>
      </c>
      <c r="DH27">
        <f t="shared" si="1"/>
        <v>0</v>
      </c>
      <c r="DI27">
        <f t="shared" si="2"/>
        <v>0</v>
      </c>
      <c r="DJ27">
        <f>DF27</f>
        <v>215.44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ROW(Source!A182)</f>
        <v>182</v>
      </c>
      <c r="B28">
        <v>59499215</v>
      </c>
      <c r="C28">
        <v>59499568</v>
      </c>
      <c r="D28">
        <v>58532980</v>
      </c>
      <c r="E28">
        <v>1080</v>
      </c>
      <c r="F28">
        <v>1</v>
      </c>
      <c r="G28">
        <v>1080</v>
      </c>
      <c r="H28">
        <v>1</v>
      </c>
      <c r="I28" t="s">
        <v>302</v>
      </c>
      <c r="J28" t="s">
        <v>3</v>
      </c>
      <c r="K28" t="s">
        <v>303</v>
      </c>
      <c r="L28">
        <v>1191</v>
      </c>
      <c r="N28">
        <v>1013</v>
      </c>
      <c r="O28" t="s">
        <v>304</v>
      </c>
      <c r="P28" t="s">
        <v>304</v>
      </c>
      <c r="Q28">
        <v>1</v>
      </c>
      <c r="W28">
        <v>0</v>
      </c>
      <c r="X28">
        <v>476480486</v>
      </c>
      <c r="Y28">
        <f>((AT28*1.15)*1.1)</f>
        <v>0.65780000000000005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5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0.52</v>
      </c>
      <c r="AU28" t="s">
        <v>40</v>
      </c>
      <c r="AV28">
        <v>1</v>
      </c>
      <c r="AW28">
        <v>2</v>
      </c>
      <c r="AX28">
        <v>59500055</v>
      </c>
      <c r="AY28">
        <v>1</v>
      </c>
      <c r="AZ28">
        <v>0</v>
      </c>
      <c r="BA28">
        <v>36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U28">
        <f>ROUND(AT28*Source!I182*AH28*AL28,2)</f>
        <v>0</v>
      </c>
      <c r="CV28">
        <f>ROUND(Y28*Source!I182,9)</f>
        <v>2.6312000000000002</v>
      </c>
      <c r="CW28">
        <v>0</v>
      </c>
      <c r="CX28">
        <f>ROUND(Y28*Source!I182,9)</f>
        <v>2.6312000000000002</v>
      </c>
      <c r="CY28">
        <f>AD28</f>
        <v>0</v>
      </c>
      <c r="CZ28">
        <f>AH28</f>
        <v>0</v>
      </c>
      <c r="DA28">
        <f>AL28</f>
        <v>1</v>
      </c>
      <c r="DB28">
        <f>ROUND(((ROUND(AT28*CZ28,2)*1.15)*1.1),6)</f>
        <v>0</v>
      </c>
      <c r="DC28">
        <f>ROUND(((ROUND(AT28*AG28,2)*1.15)*1.1),6)</f>
        <v>0</v>
      </c>
      <c r="DD28" t="s">
        <v>3</v>
      </c>
      <c r="DE28" t="s">
        <v>3</v>
      </c>
      <c r="DF28">
        <f>ROUND(ROUND(AE28,2)*CX28,2)</f>
        <v>0</v>
      </c>
      <c r="DG28">
        <f t="shared" si="0"/>
        <v>0</v>
      </c>
      <c r="DH28">
        <f t="shared" si="1"/>
        <v>0</v>
      </c>
      <c r="DI28">
        <f t="shared" si="2"/>
        <v>0</v>
      </c>
      <c r="DJ28">
        <f>DI28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ROW(Source!A182)</f>
        <v>182</v>
      </c>
      <c r="B29">
        <v>59499215</v>
      </c>
      <c r="C29">
        <v>59499568</v>
      </c>
      <c r="D29">
        <v>58576492</v>
      </c>
      <c r="E29">
        <v>1</v>
      </c>
      <c r="F29">
        <v>1</v>
      </c>
      <c r="G29">
        <v>1080</v>
      </c>
      <c r="H29">
        <v>3</v>
      </c>
      <c r="I29" t="s">
        <v>305</v>
      </c>
      <c r="J29" t="s">
        <v>306</v>
      </c>
      <c r="K29" t="s">
        <v>307</v>
      </c>
      <c r="L29">
        <v>1348</v>
      </c>
      <c r="N29">
        <v>1009</v>
      </c>
      <c r="O29" t="s">
        <v>242</v>
      </c>
      <c r="P29" t="s">
        <v>242</v>
      </c>
      <c r="Q29">
        <v>1000</v>
      </c>
      <c r="W29">
        <v>0</v>
      </c>
      <c r="X29">
        <v>1986080645</v>
      </c>
      <c r="Y29">
        <f>AT29</f>
        <v>3.0000000000000001E-5</v>
      </c>
      <c r="AA29">
        <v>265093.33</v>
      </c>
      <c r="AB29">
        <v>0</v>
      </c>
      <c r="AC29">
        <v>0</v>
      </c>
      <c r="AD29">
        <v>0</v>
      </c>
      <c r="AE29">
        <v>16735.689999999999</v>
      </c>
      <c r="AF29">
        <v>0</v>
      </c>
      <c r="AG29">
        <v>0</v>
      </c>
      <c r="AH29">
        <v>0</v>
      </c>
      <c r="AI29">
        <v>15.84</v>
      </c>
      <c r="AJ29">
        <v>1</v>
      </c>
      <c r="AK29">
        <v>1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3.0000000000000001E-5</v>
      </c>
      <c r="AU29" t="s">
        <v>3</v>
      </c>
      <c r="AV29">
        <v>0</v>
      </c>
      <c r="AW29">
        <v>2</v>
      </c>
      <c r="AX29">
        <v>59500056</v>
      </c>
      <c r="AY29">
        <v>1</v>
      </c>
      <c r="AZ29">
        <v>0</v>
      </c>
      <c r="BA29">
        <v>37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ROUND(Y29*Source!I182,9)</f>
        <v>1.2E-4</v>
      </c>
      <c r="CY29">
        <f>AA29</f>
        <v>265093.33</v>
      </c>
      <c r="CZ29">
        <f>AE29</f>
        <v>16735.689999999999</v>
      </c>
      <c r="DA29">
        <f>AI29</f>
        <v>15.84</v>
      </c>
      <c r="DB29">
        <f>ROUND(ROUND(AT29*CZ29,2),6)</f>
        <v>0.5</v>
      </c>
      <c r="DC29">
        <f>ROUND(ROUND(AT29*AG29,2),6)</f>
        <v>0</v>
      </c>
      <c r="DD29" t="s">
        <v>3</v>
      </c>
      <c r="DE29" t="s">
        <v>3</v>
      </c>
      <c r="DF29">
        <f>ROUND(ROUND(AE29*AI29,2)*CX29,2)</f>
        <v>31.81</v>
      </c>
      <c r="DG29">
        <f t="shared" si="0"/>
        <v>0</v>
      </c>
      <c r="DH29">
        <f t="shared" si="1"/>
        <v>0</v>
      </c>
      <c r="DI29">
        <f t="shared" si="2"/>
        <v>0</v>
      </c>
      <c r="DJ29">
        <f>DF29</f>
        <v>31.81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ROW(Source!A182)</f>
        <v>182</v>
      </c>
      <c r="B30">
        <v>59499215</v>
      </c>
      <c r="C30">
        <v>59499568</v>
      </c>
      <c r="D30">
        <v>0</v>
      </c>
      <c r="E30">
        <v>1080</v>
      </c>
      <c r="F30">
        <v>1</v>
      </c>
      <c r="G30">
        <v>1080</v>
      </c>
      <c r="H30">
        <v>3</v>
      </c>
      <c r="I30" t="s">
        <v>170</v>
      </c>
      <c r="J30" t="s">
        <v>3</v>
      </c>
      <c r="K30" t="s">
        <v>171</v>
      </c>
      <c r="L30">
        <v>1354</v>
      </c>
      <c r="N30">
        <v>1010</v>
      </c>
      <c r="O30" t="s">
        <v>124</v>
      </c>
      <c r="P30" t="s">
        <v>124</v>
      </c>
      <c r="Q30">
        <v>1</v>
      </c>
      <c r="W30">
        <v>0</v>
      </c>
      <c r="X30">
        <v>888944111</v>
      </c>
      <c r="Y30">
        <f>AT30</f>
        <v>1</v>
      </c>
      <c r="AA30">
        <v>532.14</v>
      </c>
      <c r="AB30">
        <v>0</v>
      </c>
      <c r="AC30">
        <v>0</v>
      </c>
      <c r="AD30">
        <v>0</v>
      </c>
      <c r="AE30">
        <v>53.86</v>
      </c>
      <c r="AF30">
        <v>0</v>
      </c>
      <c r="AG30">
        <v>0</v>
      </c>
      <c r="AH30">
        <v>0</v>
      </c>
      <c r="AI30">
        <v>9.8800000000000008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 t="s">
        <v>3</v>
      </c>
      <c r="AT30">
        <v>1</v>
      </c>
      <c r="AU30" t="s">
        <v>3</v>
      </c>
      <c r="AV30">
        <v>0</v>
      </c>
      <c r="AW30">
        <v>1</v>
      </c>
      <c r="AX30">
        <v>-1</v>
      </c>
      <c r="AY30">
        <v>0</v>
      </c>
      <c r="AZ30">
        <v>0</v>
      </c>
      <c r="BA30" t="s">
        <v>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ROUND(Y30*Source!I182,9)</f>
        <v>4</v>
      </c>
      <c r="CY30">
        <f>AA30</f>
        <v>532.14</v>
      </c>
      <c r="CZ30">
        <f>AE30</f>
        <v>53.86</v>
      </c>
      <c r="DA30">
        <f>AI30</f>
        <v>9.8800000000000008</v>
      </c>
      <c r="DB30">
        <f>ROUND(ROUND(AT30*CZ30,2),6)</f>
        <v>53.86</v>
      </c>
      <c r="DC30">
        <f>ROUND(ROUND(AT30*AG30,2),6)</f>
        <v>0</v>
      </c>
      <c r="DD30" t="s">
        <v>3</v>
      </c>
      <c r="DE30" t="s">
        <v>3</v>
      </c>
      <c r="DF30">
        <f>ROUND(ROUND(AE30*AI30,2)*CX30,2)</f>
        <v>2128.56</v>
      </c>
      <c r="DG30">
        <f t="shared" si="0"/>
        <v>0</v>
      </c>
      <c r="DH30">
        <f t="shared" si="1"/>
        <v>0</v>
      </c>
      <c r="DI30">
        <f t="shared" si="2"/>
        <v>0</v>
      </c>
      <c r="DJ30">
        <f>DF30</f>
        <v>2128.56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ROW(Source!A185)</f>
        <v>185</v>
      </c>
      <c r="B31">
        <v>59499218</v>
      </c>
      <c r="C31">
        <v>59499576</v>
      </c>
      <c r="D31">
        <v>58532980</v>
      </c>
      <c r="E31">
        <v>1080</v>
      </c>
      <c r="F31">
        <v>1</v>
      </c>
      <c r="G31">
        <v>1080</v>
      </c>
      <c r="H31">
        <v>1</v>
      </c>
      <c r="I31" t="s">
        <v>302</v>
      </c>
      <c r="J31" t="s">
        <v>3</v>
      </c>
      <c r="K31" t="s">
        <v>303</v>
      </c>
      <c r="L31">
        <v>1191</v>
      </c>
      <c r="N31">
        <v>1013</v>
      </c>
      <c r="O31" t="s">
        <v>304</v>
      </c>
      <c r="P31" t="s">
        <v>304</v>
      </c>
      <c r="Q31">
        <v>1</v>
      </c>
      <c r="W31">
        <v>0</v>
      </c>
      <c r="X31">
        <v>476480486</v>
      </c>
      <c r="Y31">
        <f>((AT31*1.15)*1.1)</f>
        <v>0.65780000000000005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0.52</v>
      </c>
      <c r="AU31" t="s">
        <v>40</v>
      </c>
      <c r="AV31">
        <v>1</v>
      </c>
      <c r="AW31">
        <v>2</v>
      </c>
      <c r="AX31">
        <v>59500058</v>
      </c>
      <c r="AY31">
        <v>1</v>
      </c>
      <c r="AZ31">
        <v>0</v>
      </c>
      <c r="BA31">
        <v>39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ROUND(AT31*Source!I185*AH31*AL31,2)</f>
        <v>0</v>
      </c>
      <c r="CV31">
        <f>ROUND(Y31*Source!I185,9)</f>
        <v>2.6312000000000002</v>
      </c>
      <c r="CW31">
        <v>0</v>
      </c>
      <c r="CX31">
        <f>ROUND(Y31*Source!I185,9)</f>
        <v>2.6312000000000002</v>
      </c>
      <c r="CY31">
        <f>AD31</f>
        <v>0</v>
      </c>
      <c r="CZ31">
        <f>AH31</f>
        <v>0</v>
      </c>
      <c r="DA31">
        <f>AL31</f>
        <v>1</v>
      </c>
      <c r="DB31">
        <f>ROUND(((ROUND(AT31*CZ31,2)*1.15)*1.1),6)</f>
        <v>0</v>
      </c>
      <c r="DC31">
        <f>ROUND(((ROUND(AT31*AG31,2)*1.15)*1.1),6)</f>
        <v>0</v>
      </c>
      <c r="DD31" t="s">
        <v>3</v>
      </c>
      <c r="DE31" t="s">
        <v>3</v>
      </c>
      <c r="DF31">
        <f>ROUND(ROUND(AE31,2)*CX31,2)</f>
        <v>0</v>
      </c>
      <c r="DG31">
        <f t="shared" si="0"/>
        <v>0</v>
      </c>
      <c r="DH31">
        <f t="shared" si="1"/>
        <v>0</v>
      </c>
      <c r="DI31">
        <f t="shared" si="2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ROW(Source!A185)</f>
        <v>185</v>
      </c>
      <c r="B32">
        <v>59499218</v>
      </c>
      <c r="C32">
        <v>59499576</v>
      </c>
      <c r="D32">
        <v>58576492</v>
      </c>
      <c r="E32">
        <v>1</v>
      </c>
      <c r="F32">
        <v>1</v>
      </c>
      <c r="G32">
        <v>1080</v>
      </c>
      <c r="H32">
        <v>3</v>
      </c>
      <c r="I32" t="s">
        <v>305</v>
      </c>
      <c r="J32" t="s">
        <v>306</v>
      </c>
      <c r="K32" t="s">
        <v>307</v>
      </c>
      <c r="L32">
        <v>1348</v>
      </c>
      <c r="N32">
        <v>1009</v>
      </c>
      <c r="O32" t="s">
        <v>242</v>
      </c>
      <c r="P32" t="s">
        <v>242</v>
      </c>
      <c r="Q32">
        <v>1000</v>
      </c>
      <c r="W32">
        <v>0</v>
      </c>
      <c r="X32">
        <v>1986080645</v>
      </c>
      <c r="Y32">
        <f>AT32</f>
        <v>3.0000000000000001E-5</v>
      </c>
      <c r="AA32">
        <v>16735.689999999999</v>
      </c>
      <c r="AB32">
        <v>0</v>
      </c>
      <c r="AC32">
        <v>0</v>
      </c>
      <c r="AD32">
        <v>0</v>
      </c>
      <c r="AE32">
        <v>16735.689999999999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3.0000000000000001E-5</v>
      </c>
      <c r="AU32" t="s">
        <v>3</v>
      </c>
      <c r="AV32">
        <v>0</v>
      </c>
      <c r="AW32">
        <v>2</v>
      </c>
      <c r="AX32">
        <v>59500059</v>
      </c>
      <c r="AY32">
        <v>1</v>
      </c>
      <c r="AZ32">
        <v>0</v>
      </c>
      <c r="BA32">
        <v>40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ROUND(Y32*Source!I185,9)</f>
        <v>1.2E-4</v>
      </c>
      <c r="CY32">
        <f>AA32</f>
        <v>16735.689999999999</v>
      </c>
      <c r="CZ32">
        <f>AE32</f>
        <v>16735.689999999999</v>
      </c>
      <c r="DA32">
        <f>AI32</f>
        <v>1</v>
      </c>
      <c r="DB32">
        <f>ROUND(ROUND(AT32*CZ32,2),6)</f>
        <v>0.5</v>
      </c>
      <c r="DC32">
        <f>ROUND(ROUND(AT32*AG32,2),6)</f>
        <v>0</v>
      </c>
      <c r="DD32" t="s">
        <v>3</v>
      </c>
      <c r="DE32" t="s">
        <v>3</v>
      </c>
      <c r="DF32">
        <f>ROUND(ROUND(AE32,2)*CX32,2)</f>
        <v>2.0099999999999998</v>
      </c>
      <c r="DG32">
        <f t="shared" si="0"/>
        <v>0</v>
      </c>
      <c r="DH32">
        <f t="shared" si="1"/>
        <v>0</v>
      </c>
      <c r="DI32">
        <f t="shared" si="2"/>
        <v>0</v>
      </c>
      <c r="DJ32">
        <f>DF32</f>
        <v>2.0099999999999998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ROW(Source!A185)</f>
        <v>185</v>
      </c>
      <c r="B33">
        <v>59499218</v>
      </c>
      <c r="C33">
        <v>59499576</v>
      </c>
      <c r="D33">
        <v>0</v>
      </c>
      <c r="E33">
        <v>1080</v>
      </c>
      <c r="F33">
        <v>1</v>
      </c>
      <c r="G33">
        <v>1080</v>
      </c>
      <c r="H33">
        <v>3</v>
      </c>
      <c r="I33" t="s">
        <v>176</v>
      </c>
      <c r="J33" t="s">
        <v>3</v>
      </c>
      <c r="K33" t="s">
        <v>177</v>
      </c>
      <c r="L33">
        <v>1354</v>
      </c>
      <c r="N33">
        <v>1010</v>
      </c>
      <c r="O33" t="s">
        <v>124</v>
      </c>
      <c r="P33" t="s">
        <v>124</v>
      </c>
      <c r="Q33">
        <v>1</v>
      </c>
      <c r="W33">
        <v>0</v>
      </c>
      <c r="X33">
        <v>-230518799</v>
      </c>
      <c r="Y33">
        <f>AT33</f>
        <v>1</v>
      </c>
      <c r="AA33">
        <v>53.86</v>
      </c>
      <c r="AB33">
        <v>0</v>
      </c>
      <c r="AC33">
        <v>0</v>
      </c>
      <c r="AD33">
        <v>0</v>
      </c>
      <c r="AE33">
        <v>53.86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 t="s">
        <v>3</v>
      </c>
      <c r="AT33">
        <v>1</v>
      </c>
      <c r="AU33" t="s">
        <v>3</v>
      </c>
      <c r="AV33">
        <v>0</v>
      </c>
      <c r="AW33">
        <v>1</v>
      </c>
      <c r="AX33">
        <v>-1</v>
      </c>
      <c r="AY33">
        <v>0</v>
      </c>
      <c r="AZ33">
        <v>0</v>
      </c>
      <c r="BA33" t="s">
        <v>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ROUND(Y33*Source!I185,9)</f>
        <v>4</v>
      </c>
      <c r="CY33">
        <f>AA33</f>
        <v>53.86</v>
      </c>
      <c r="CZ33">
        <f>AE33</f>
        <v>53.86</v>
      </c>
      <c r="DA33">
        <f>AI33</f>
        <v>1</v>
      </c>
      <c r="DB33">
        <f>ROUND(ROUND(AT33*CZ33,2),6)</f>
        <v>53.86</v>
      </c>
      <c r="DC33">
        <f>ROUND(ROUND(AT33*AG33,2),6)</f>
        <v>0</v>
      </c>
      <c r="DD33" t="s">
        <v>3</v>
      </c>
      <c r="DE33" t="s">
        <v>3</v>
      </c>
      <c r="DF33">
        <f>ROUND(ROUND(AE33,2)*CX33,2)</f>
        <v>215.44</v>
      </c>
      <c r="DG33">
        <f t="shared" ref="DG33:DG64" si="3">ROUND(ROUND(AF33,2)*CX33,2)</f>
        <v>0</v>
      </c>
      <c r="DH33">
        <f t="shared" ref="DH33:DH64" si="4">ROUND(ROUND(AG33,2)*CX33,2)</f>
        <v>0</v>
      </c>
      <c r="DI33">
        <f t="shared" ref="DI33:DI64" si="5">ROUND(ROUND(AH33,2)*CX33,2)</f>
        <v>0</v>
      </c>
      <c r="DJ33">
        <f>DF33</f>
        <v>215.44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ROW(Source!A186)</f>
        <v>186</v>
      </c>
      <c r="B34">
        <v>59499215</v>
      </c>
      <c r="C34">
        <v>59499576</v>
      </c>
      <c r="D34">
        <v>58532980</v>
      </c>
      <c r="E34">
        <v>1080</v>
      </c>
      <c r="F34">
        <v>1</v>
      </c>
      <c r="G34">
        <v>1080</v>
      </c>
      <c r="H34">
        <v>1</v>
      </c>
      <c r="I34" t="s">
        <v>302</v>
      </c>
      <c r="J34" t="s">
        <v>3</v>
      </c>
      <c r="K34" t="s">
        <v>303</v>
      </c>
      <c r="L34">
        <v>1191</v>
      </c>
      <c r="N34">
        <v>1013</v>
      </c>
      <c r="O34" t="s">
        <v>304</v>
      </c>
      <c r="P34" t="s">
        <v>304</v>
      </c>
      <c r="Q34">
        <v>1</v>
      </c>
      <c r="W34">
        <v>0</v>
      </c>
      <c r="X34">
        <v>476480486</v>
      </c>
      <c r="Y34">
        <f>((AT34*1.15)*1.1)</f>
        <v>0.65780000000000005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5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0.52</v>
      </c>
      <c r="AU34" t="s">
        <v>40</v>
      </c>
      <c r="AV34">
        <v>1</v>
      </c>
      <c r="AW34">
        <v>2</v>
      </c>
      <c r="AX34">
        <v>59500058</v>
      </c>
      <c r="AY34">
        <v>1</v>
      </c>
      <c r="AZ34">
        <v>0</v>
      </c>
      <c r="BA34">
        <v>42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U34">
        <f>ROUND(AT34*Source!I186*AH34*AL34,2)</f>
        <v>0</v>
      </c>
      <c r="CV34">
        <f>ROUND(Y34*Source!I186,9)</f>
        <v>2.6312000000000002</v>
      </c>
      <c r="CW34">
        <v>0</v>
      </c>
      <c r="CX34">
        <f>ROUND(Y34*Source!I186,9)</f>
        <v>2.6312000000000002</v>
      </c>
      <c r="CY34">
        <f>AD34</f>
        <v>0</v>
      </c>
      <c r="CZ34">
        <f>AH34</f>
        <v>0</v>
      </c>
      <c r="DA34">
        <f>AL34</f>
        <v>1</v>
      </c>
      <c r="DB34">
        <f>ROUND(((ROUND(AT34*CZ34,2)*1.15)*1.1),6)</f>
        <v>0</v>
      </c>
      <c r="DC34">
        <f>ROUND(((ROUND(AT34*AG34,2)*1.15)*1.1),6)</f>
        <v>0</v>
      </c>
      <c r="DD34" t="s">
        <v>3</v>
      </c>
      <c r="DE34" t="s">
        <v>3</v>
      </c>
      <c r="DF34">
        <f>ROUND(ROUND(AE34,2)*CX34,2)</f>
        <v>0</v>
      </c>
      <c r="DG34">
        <f t="shared" si="3"/>
        <v>0</v>
      </c>
      <c r="DH34">
        <f t="shared" si="4"/>
        <v>0</v>
      </c>
      <c r="DI34">
        <f t="shared" si="5"/>
        <v>0</v>
      </c>
      <c r="DJ34">
        <f>DI34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ROW(Source!A186)</f>
        <v>186</v>
      </c>
      <c r="B35">
        <v>59499215</v>
      </c>
      <c r="C35">
        <v>59499576</v>
      </c>
      <c r="D35">
        <v>58576492</v>
      </c>
      <c r="E35">
        <v>1</v>
      </c>
      <c r="F35">
        <v>1</v>
      </c>
      <c r="G35">
        <v>1080</v>
      </c>
      <c r="H35">
        <v>3</v>
      </c>
      <c r="I35" t="s">
        <v>305</v>
      </c>
      <c r="J35" t="s">
        <v>306</v>
      </c>
      <c r="K35" t="s">
        <v>307</v>
      </c>
      <c r="L35">
        <v>1348</v>
      </c>
      <c r="N35">
        <v>1009</v>
      </c>
      <c r="O35" t="s">
        <v>242</v>
      </c>
      <c r="P35" t="s">
        <v>242</v>
      </c>
      <c r="Q35">
        <v>1000</v>
      </c>
      <c r="W35">
        <v>0</v>
      </c>
      <c r="X35">
        <v>1986080645</v>
      </c>
      <c r="Y35">
        <f>AT35</f>
        <v>3.0000000000000001E-5</v>
      </c>
      <c r="AA35">
        <v>265093.33</v>
      </c>
      <c r="AB35">
        <v>0</v>
      </c>
      <c r="AC35">
        <v>0</v>
      </c>
      <c r="AD35">
        <v>0</v>
      </c>
      <c r="AE35">
        <v>16735.689999999999</v>
      </c>
      <c r="AF35">
        <v>0</v>
      </c>
      <c r="AG35">
        <v>0</v>
      </c>
      <c r="AH35">
        <v>0</v>
      </c>
      <c r="AI35">
        <v>15.84</v>
      </c>
      <c r="AJ35">
        <v>1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3.0000000000000001E-5</v>
      </c>
      <c r="AU35" t="s">
        <v>3</v>
      </c>
      <c r="AV35">
        <v>0</v>
      </c>
      <c r="AW35">
        <v>2</v>
      </c>
      <c r="AX35">
        <v>59500059</v>
      </c>
      <c r="AY35">
        <v>1</v>
      </c>
      <c r="AZ35">
        <v>0</v>
      </c>
      <c r="BA35">
        <v>43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ROUND(Y35*Source!I186,9)</f>
        <v>1.2E-4</v>
      </c>
      <c r="CY35">
        <f>AA35</f>
        <v>265093.33</v>
      </c>
      <c r="CZ35">
        <f>AE35</f>
        <v>16735.689999999999</v>
      </c>
      <c r="DA35">
        <f>AI35</f>
        <v>15.84</v>
      </c>
      <c r="DB35">
        <f>ROUND(ROUND(AT35*CZ35,2),6)</f>
        <v>0.5</v>
      </c>
      <c r="DC35">
        <f>ROUND(ROUND(AT35*AG35,2),6)</f>
        <v>0</v>
      </c>
      <c r="DD35" t="s">
        <v>3</v>
      </c>
      <c r="DE35" t="s">
        <v>3</v>
      </c>
      <c r="DF35">
        <f>ROUND(ROUND(AE35*AI35,2)*CX35,2)</f>
        <v>31.81</v>
      </c>
      <c r="DG35">
        <f t="shared" si="3"/>
        <v>0</v>
      </c>
      <c r="DH35">
        <f t="shared" si="4"/>
        <v>0</v>
      </c>
      <c r="DI35">
        <f t="shared" si="5"/>
        <v>0</v>
      </c>
      <c r="DJ35">
        <f>DF35</f>
        <v>31.81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ROW(Source!A186)</f>
        <v>186</v>
      </c>
      <c r="B36">
        <v>59499215</v>
      </c>
      <c r="C36">
        <v>59499576</v>
      </c>
      <c r="D36">
        <v>0</v>
      </c>
      <c r="E36">
        <v>1080</v>
      </c>
      <c r="F36">
        <v>1</v>
      </c>
      <c r="G36">
        <v>1080</v>
      </c>
      <c r="H36">
        <v>3</v>
      </c>
      <c r="I36" t="s">
        <v>176</v>
      </c>
      <c r="J36" t="s">
        <v>3</v>
      </c>
      <c r="K36" t="s">
        <v>177</v>
      </c>
      <c r="L36">
        <v>1354</v>
      </c>
      <c r="N36">
        <v>1010</v>
      </c>
      <c r="O36" t="s">
        <v>124</v>
      </c>
      <c r="P36" t="s">
        <v>124</v>
      </c>
      <c r="Q36">
        <v>1</v>
      </c>
      <c r="W36">
        <v>0</v>
      </c>
      <c r="X36">
        <v>-230518799</v>
      </c>
      <c r="Y36">
        <f>AT36</f>
        <v>1</v>
      </c>
      <c r="AA36">
        <v>532.14</v>
      </c>
      <c r="AB36">
        <v>0</v>
      </c>
      <c r="AC36">
        <v>0</v>
      </c>
      <c r="AD36">
        <v>0</v>
      </c>
      <c r="AE36">
        <v>53.86</v>
      </c>
      <c r="AF36">
        <v>0</v>
      </c>
      <c r="AG36">
        <v>0</v>
      </c>
      <c r="AH36">
        <v>0</v>
      </c>
      <c r="AI36">
        <v>9.8800000000000008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 t="s">
        <v>3</v>
      </c>
      <c r="AT36">
        <v>1</v>
      </c>
      <c r="AU36" t="s">
        <v>3</v>
      </c>
      <c r="AV36">
        <v>0</v>
      </c>
      <c r="AW36">
        <v>1</v>
      </c>
      <c r="AX36">
        <v>-1</v>
      </c>
      <c r="AY36">
        <v>0</v>
      </c>
      <c r="AZ36">
        <v>0</v>
      </c>
      <c r="BA36" t="s">
        <v>3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ROUND(Y36*Source!I186,9)</f>
        <v>4</v>
      </c>
      <c r="CY36">
        <f>AA36</f>
        <v>532.14</v>
      </c>
      <c r="CZ36">
        <f>AE36</f>
        <v>53.86</v>
      </c>
      <c r="DA36">
        <f>AI36</f>
        <v>9.8800000000000008</v>
      </c>
      <c r="DB36">
        <f>ROUND(ROUND(AT36*CZ36,2),6)</f>
        <v>53.86</v>
      </c>
      <c r="DC36">
        <f>ROUND(ROUND(AT36*AG36,2),6)</f>
        <v>0</v>
      </c>
      <c r="DD36" t="s">
        <v>3</v>
      </c>
      <c r="DE36" t="s">
        <v>3</v>
      </c>
      <c r="DF36">
        <f>ROUND(ROUND(AE36*AI36,2)*CX36,2)</f>
        <v>2128.56</v>
      </c>
      <c r="DG36">
        <f t="shared" si="3"/>
        <v>0</v>
      </c>
      <c r="DH36">
        <f t="shared" si="4"/>
        <v>0</v>
      </c>
      <c r="DI36">
        <f t="shared" si="5"/>
        <v>0</v>
      </c>
      <c r="DJ36">
        <f>DF36</f>
        <v>2128.56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ROW(Source!A189)</f>
        <v>189</v>
      </c>
      <c r="B37">
        <v>59499218</v>
      </c>
      <c r="C37">
        <v>59499584</v>
      </c>
      <c r="D37">
        <v>58532980</v>
      </c>
      <c r="E37">
        <v>1080</v>
      </c>
      <c r="F37">
        <v>1</v>
      </c>
      <c r="G37">
        <v>1080</v>
      </c>
      <c r="H37">
        <v>1</v>
      </c>
      <c r="I37" t="s">
        <v>302</v>
      </c>
      <c r="J37" t="s">
        <v>3</v>
      </c>
      <c r="K37" t="s">
        <v>303</v>
      </c>
      <c r="L37">
        <v>1191</v>
      </c>
      <c r="N37">
        <v>1013</v>
      </c>
      <c r="O37" t="s">
        <v>304</v>
      </c>
      <c r="P37" t="s">
        <v>304</v>
      </c>
      <c r="Q37">
        <v>1</v>
      </c>
      <c r="W37">
        <v>0</v>
      </c>
      <c r="X37">
        <v>476480486</v>
      </c>
      <c r="Y37">
        <f>((AT37*1.15)*1.1)</f>
        <v>0.65780000000000005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0.52</v>
      </c>
      <c r="AU37" t="s">
        <v>40</v>
      </c>
      <c r="AV37">
        <v>1</v>
      </c>
      <c r="AW37">
        <v>2</v>
      </c>
      <c r="AX37">
        <v>59500061</v>
      </c>
      <c r="AY37">
        <v>1</v>
      </c>
      <c r="AZ37">
        <v>0</v>
      </c>
      <c r="BA37">
        <v>45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ROUND(AT37*Source!I189*AH37*AL37,2)</f>
        <v>0</v>
      </c>
      <c r="CV37">
        <f>ROUND(Y37*Source!I189,9)</f>
        <v>2.6312000000000002</v>
      </c>
      <c r="CW37">
        <v>0</v>
      </c>
      <c r="CX37">
        <f>ROUND(Y37*Source!I189,9)</f>
        <v>2.6312000000000002</v>
      </c>
      <c r="CY37">
        <f>AD37</f>
        <v>0</v>
      </c>
      <c r="CZ37">
        <f>AH37</f>
        <v>0</v>
      </c>
      <c r="DA37">
        <f>AL37</f>
        <v>1</v>
      </c>
      <c r="DB37">
        <f>ROUND(((ROUND(AT37*CZ37,2)*1.15)*1.1),6)</f>
        <v>0</v>
      </c>
      <c r="DC37">
        <f>ROUND(((ROUND(AT37*AG37,2)*1.15)*1.1),6)</f>
        <v>0</v>
      </c>
      <c r="DD37" t="s">
        <v>3</v>
      </c>
      <c r="DE37" t="s">
        <v>3</v>
      </c>
      <c r="DF37">
        <f>ROUND(ROUND(AE37,2)*CX37,2)</f>
        <v>0</v>
      </c>
      <c r="DG37">
        <f t="shared" si="3"/>
        <v>0</v>
      </c>
      <c r="DH37">
        <f t="shared" si="4"/>
        <v>0</v>
      </c>
      <c r="DI37">
        <f t="shared" si="5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ROW(Source!A189)</f>
        <v>189</v>
      </c>
      <c r="B38">
        <v>59499218</v>
      </c>
      <c r="C38">
        <v>59499584</v>
      </c>
      <c r="D38">
        <v>58576492</v>
      </c>
      <c r="E38">
        <v>1</v>
      </c>
      <c r="F38">
        <v>1</v>
      </c>
      <c r="G38">
        <v>1080</v>
      </c>
      <c r="H38">
        <v>3</v>
      </c>
      <c r="I38" t="s">
        <v>305</v>
      </c>
      <c r="J38" t="s">
        <v>306</v>
      </c>
      <c r="K38" t="s">
        <v>307</v>
      </c>
      <c r="L38">
        <v>1348</v>
      </c>
      <c r="N38">
        <v>1009</v>
      </c>
      <c r="O38" t="s">
        <v>242</v>
      </c>
      <c r="P38" t="s">
        <v>242</v>
      </c>
      <c r="Q38">
        <v>1000</v>
      </c>
      <c r="W38">
        <v>0</v>
      </c>
      <c r="X38">
        <v>1986080645</v>
      </c>
      <c r="Y38">
        <f>AT38</f>
        <v>3.0000000000000001E-5</v>
      </c>
      <c r="AA38">
        <v>16735.689999999999</v>
      </c>
      <c r="AB38">
        <v>0</v>
      </c>
      <c r="AC38">
        <v>0</v>
      </c>
      <c r="AD38">
        <v>0</v>
      </c>
      <c r="AE38">
        <v>16735.689999999999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3.0000000000000001E-5</v>
      </c>
      <c r="AU38" t="s">
        <v>3</v>
      </c>
      <c r="AV38">
        <v>0</v>
      </c>
      <c r="AW38">
        <v>2</v>
      </c>
      <c r="AX38">
        <v>59500062</v>
      </c>
      <c r="AY38">
        <v>1</v>
      </c>
      <c r="AZ38">
        <v>0</v>
      </c>
      <c r="BA38">
        <v>46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ROUND(Y38*Source!I189,9)</f>
        <v>1.2E-4</v>
      </c>
      <c r="CY38">
        <f>AA38</f>
        <v>16735.689999999999</v>
      </c>
      <c r="CZ38">
        <f>AE38</f>
        <v>16735.689999999999</v>
      </c>
      <c r="DA38">
        <f>AI38</f>
        <v>1</v>
      </c>
      <c r="DB38">
        <f>ROUND(ROUND(AT38*CZ38,2),6)</f>
        <v>0.5</v>
      </c>
      <c r="DC38">
        <f>ROUND(ROUND(AT38*AG38,2),6)</f>
        <v>0</v>
      </c>
      <c r="DD38" t="s">
        <v>3</v>
      </c>
      <c r="DE38" t="s">
        <v>3</v>
      </c>
      <c r="DF38">
        <f>ROUND(ROUND(AE38,2)*CX38,2)</f>
        <v>2.0099999999999998</v>
      </c>
      <c r="DG38">
        <f t="shared" si="3"/>
        <v>0</v>
      </c>
      <c r="DH38">
        <f t="shared" si="4"/>
        <v>0</v>
      </c>
      <c r="DI38">
        <f t="shared" si="5"/>
        <v>0</v>
      </c>
      <c r="DJ38">
        <f>DF38</f>
        <v>2.0099999999999998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ROW(Source!A189)</f>
        <v>189</v>
      </c>
      <c r="B39">
        <v>59499218</v>
      </c>
      <c r="C39">
        <v>59499584</v>
      </c>
      <c r="D39">
        <v>0</v>
      </c>
      <c r="E39">
        <v>1080</v>
      </c>
      <c r="F39">
        <v>1</v>
      </c>
      <c r="G39">
        <v>1080</v>
      </c>
      <c r="H39">
        <v>3</v>
      </c>
      <c r="I39" t="s">
        <v>180</v>
      </c>
      <c r="J39" t="s">
        <v>3</v>
      </c>
      <c r="K39" t="s">
        <v>181</v>
      </c>
      <c r="L39">
        <v>1354</v>
      </c>
      <c r="N39">
        <v>1010</v>
      </c>
      <c r="O39" t="s">
        <v>124</v>
      </c>
      <c r="P39" t="s">
        <v>124</v>
      </c>
      <c r="Q39">
        <v>1</v>
      </c>
      <c r="W39">
        <v>0</v>
      </c>
      <c r="X39">
        <v>-179061167</v>
      </c>
      <c r="Y39">
        <f>AT39</f>
        <v>1</v>
      </c>
      <c r="AA39">
        <v>53.86</v>
      </c>
      <c r="AB39">
        <v>0</v>
      </c>
      <c r="AC39">
        <v>0</v>
      </c>
      <c r="AD39">
        <v>0</v>
      </c>
      <c r="AE39">
        <v>53.86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 t="s">
        <v>3</v>
      </c>
      <c r="AT39">
        <v>1</v>
      </c>
      <c r="AU39" t="s">
        <v>3</v>
      </c>
      <c r="AV39">
        <v>0</v>
      </c>
      <c r="AW39">
        <v>1</v>
      </c>
      <c r="AX39">
        <v>-1</v>
      </c>
      <c r="AY39">
        <v>0</v>
      </c>
      <c r="AZ39">
        <v>0</v>
      </c>
      <c r="BA39" t="s">
        <v>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ROUND(Y39*Source!I189,9)</f>
        <v>4</v>
      </c>
      <c r="CY39">
        <f>AA39</f>
        <v>53.86</v>
      </c>
      <c r="CZ39">
        <f>AE39</f>
        <v>53.86</v>
      </c>
      <c r="DA39">
        <f>AI39</f>
        <v>1</v>
      </c>
      <c r="DB39">
        <f>ROUND(ROUND(AT39*CZ39,2),6)</f>
        <v>53.86</v>
      </c>
      <c r="DC39">
        <f>ROUND(ROUND(AT39*AG39,2),6)</f>
        <v>0</v>
      </c>
      <c r="DD39" t="s">
        <v>3</v>
      </c>
      <c r="DE39" t="s">
        <v>3</v>
      </c>
      <c r="DF39">
        <f>ROUND(ROUND(AE39,2)*CX39,2)</f>
        <v>215.44</v>
      </c>
      <c r="DG39">
        <f t="shared" si="3"/>
        <v>0</v>
      </c>
      <c r="DH39">
        <f t="shared" si="4"/>
        <v>0</v>
      </c>
      <c r="DI39">
        <f t="shared" si="5"/>
        <v>0</v>
      </c>
      <c r="DJ39">
        <f>DF39</f>
        <v>215.44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ROW(Source!A190)</f>
        <v>190</v>
      </c>
      <c r="B40">
        <v>59499215</v>
      </c>
      <c r="C40">
        <v>59499584</v>
      </c>
      <c r="D40">
        <v>58532980</v>
      </c>
      <c r="E40">
        <v>1080</v>
      </c>
      <c r="F40">
        <v>1</v>
      </c>
      <c r="G40">
        <v>1080</v>
      </c>
      <c r="H40">
        <v>1</v>
      </c>
      <c r="I40" t="s">
        <v>302</v>
      </c>
      <c r="J40" t="s">
        <v>3</v>
      </c>
      <c r="K40" t="s">
        <v>303</v>
      </c>
      <c r="L40">
        <v>1191</v>
      </c>
      <c r="N40">
        <v>1013</v>
      </c>
      <c r="O40" t="s">
        <v>304</v>
      </c>
      <c r="P40" t="s">
        <v>304</v>
      </c>
      <c r="Q40">
        <v>1</v>
      </c>
      <c r="W40">
        <v>0</v>
      </c>
      <c r="X40">
        <v>476480486</v>
      </c>
      <c r="Y40">
        <f>((AT40*1.15)*1.1)</f>
        <v>0.65780000000000005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0.52</v>
      </c>
      <c r="AU40" t="s">
        <v>40</v>
      </c>
      <c r="AV40">
        <v>1</v>
      </c>
      <c r="AW40">
        <v>2</v>
      </c>
      <c r="AX40">
        <v>59500061</v>
      </c>
      <c r="AY40">
        <v>1</v>
      </c>
      <c r="AZ40">
        <v>0</v>
      </c>
      <c r="BA40">
        <v>48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ROUND(AT40*Source!I190*AH40*AL40,2)</f>
        <v>0</v>
      </c>
      <c r="CV40">
        <f>ROUND(Y40*Source!I190,9)</f>
        <v>2.6312000000000002</v>
      </c>
      <c r="CW40">
        <v>0</v>
      </c>
      <c r="CX40">
        <f>ROUND(Y40*Source!I190,9)</f>
        <v>2.6312000000000002</v>
      </c>
      <c r="CY40">
        <f>AD40</f>
        <v>0</v>
      </c>
      <c r="CZ40">
        <f>AH40</f>
        <v>0</v>
      </c>
      <c r="DA40">
        <f>AL40</f>
        <v>1</v>
      </c>
      <c r="DB40">
        <f>ROUND(((ROUND(AT40*CZ40,2)*1.15)*1.1),6)</f>
        <v>0</v>
      </c>
      <c r="DC40">
        <f>ROUND(((ROUND(AT40*AG40,2)*1.15)*1.1),6)</f>
        <v>0</v>
      </c>
      <c r="DD40" t="s">
        <v>3</v>
      </c>
      <c r="DE40" t="s">
        <v>3</v>
      </c>
      <c r="DF40">
        <f>ROUND(ROUND(AE40,2)*CX40,2)</f>
        <v>0</v>
      </c>
      <c r="DG40">
        <f t="shared" si="3"/>
        <v>0</v>
      </c>
      <c r="DH40">
        <f t="shared" si="4"/>
        <v>0</v>
      </c>
      <c r="DI40">
        <f t="shared" si="5"/>
        <v>0</v>
      </c>
      <c r="DJ40">
        <f>DI40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ROW(Source!A190)</f>
        <v>190</v>
      </c>
      <c r="B41">
        <v>59499215</v>
      </c>
      <c r="C41">
        <v>59499584</v>
      </c>
      <c r="D41">
        <v>58576492</v>
      </c>
      <c r="E41">
        <v>1</v>
      </c>
      <c r="F41">
        <v>1</v>
      </c>
      <c r="G41">
        <v>1080</v>
      </c>
      <c r="H41">
        <v>3</v>
      </c>
      <c r="I41" t="s">
        <v>305</v>
      </c>
      <c r="J41" t="s">
        <v>306</v>
      </c>
      <c r="K41" t="s">
        <v>307</v>
      </c>
      <c r="L41">
        <v>1348</v>
      </c>
      <c r="N41">
        <v>1009</v>
      </c>
      <c r="O41" t="s">
        <v>242</v>
      </c>
      <c r="P41" t="s">
        <v>242</v>
      </c>
      <c r="Q41">
        <v>1000</v>
      </c>
      <c r="W41">
        <v>0</v>
      </c>
      <c r="X41">
        <v>1986080645</v>
      </c>
      <c r="Y41">
        <f>AT41</f>
        <v>3.0000000000000001E-5</v>
      </c>
      <c r="AA41">
        <v>265093.33</v>
      </c>
      <c r="AB41">
        <v>0</v>
      </c>
      <c r="AC41">
        <v>0</v>
      </c>
      <c r="AD41">
        <v>0</v>
      </c>
      <c r="AE41">
        <v>16735.689999999999</v>
      </c>
      <c r="AF41">
        <v>0</v>
      </c>
      <c r="AG41">
        <v>0</v>
      </c>
      <c r="AH41">
        <v>0</v>
      </c>
      <c r="AI41">
        <v>15.84</v>
      </c>
      <c r="AJ41">
        <v>1</v>
      </c>
      <c r="AK41">
        <v>1</v>
      </c>
      <c r="AL41">
        <v>1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3.0000000000000001E-5</v>
      </c>
      <c r="AU41" t="s">
        <v>3</v>
      </c>
      <c r="AV41">
        <v>0</v>
      </c>
      <c r="AW41">
        <v>2</v>
      </c>
      <c r="AX41">
        <v>59500062</v>
      </c>
      <c r="AY41">
        <v>1</v>
      </c>
      <c r="AZ41">
        <v>0</v>
      </c>
      <c r="BA41">
        <v>49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ROUND(Y41*Source!I190,9)</f>
        <v>1.2E-4</v>
      </c>
      <c r="CY41">
        <f>AA41</f>
        <v>265093.33</v>
      </c>
      <c r="CZ41">
        <f>AE41</f>
        <v>16735.689999999999</v>
      </c>
      <c r="DA41">
        <f>AI41</f>
        <v>15.84</v>
      </c>
      <c r="DB41">
        <f>ROUND(ROUND(AT41*CZ41,2),6)</f>
        <v>0.5</v>
      </c>
      <c r="DC41">
        <f>ROUND(ROUND(AT41*AG41,2),6)</f>
        <v>0</v>
      </c>
      <c r="DD41" t="s">
        <v>3</v>
      </c>
      <c r="DE41" t="s">
        <v>3</v>
      </c>
      <c r="DF41">
        <f>ROUND(ROUND(AE41*AI41,2)*CX41,2)</f>
        <v>31.81</v>
      </c>
      <c r="DG41">
        <f t="shared" si="3"/>
        <v>0</v>
      </c>
      <c r="DH41">
        <f t="shared" si="4"/>
        <v>0</v>
      </c>
      <c r="DI41">
        <f t="shared" si="5"/>
        <v>0</v>
      </c>
      <c r="DJ41">
        <f>DF41</f>
        <v>31.81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ROW(Source!A190)</f>
        <v>190</v>
      </c>
      <c r="B42">
        <v>59499215</v>
      </c>
      <c r="C42">
        <v>59499584</v>
      </c>
      <c r="D42">
        <v>0</v>
      </c>
      <c r="E42">
        <v>1080</v>
      </c>
      <c r="F42">
        <v>1</v>
      </c>
      <c r="G42">
        <v>1080</v>
      </c>
      <c r="H42">
        <v>3</v>
      </c>
      <c r="I42" t="s">
        <v>180</v>
      </c>
      <c r="J42" t="s">
        <v>3</v>
      </c>
      <c r="K42" t="s">
        <v>181</v>
      </c>
      <c r="L42">
        <v>1354</v>
      </c>
      <c r="N42">
        <v>1010</v>
      </c>
      <c r="O42" t="s">
        <v>124</v>
      </c>
      <c r="P42" t="s">
        <v>124</v>
      </c>
      <c r="Q42">
        <v>1</v>
      </c>
      <c r="W42">
        <v>0</v>
      </c>
      <c r="X42">
        <v>-179061167</v>
      </c>
      <c r="Y42">
        <f>AT42</f>
        <v>1</v>
      </c>
      <c r="AA42">
        <v>532.14</v>
      </c>
      <c r="AB42">
        <v>0</v>
      </c>
      <c r="AC42">
        <v>0</v>
      </c>
      <c r="AD42">
        <v>0</v>
      </c>
      <c r="AE42">
        <v>53.86</v>
      </c>
      <c r="AF42">
        <v>0</v>
      </c>
      <c r="AG42">
        <v>0</v>
      </c>
      <c r="AH42">
        <v>0</v>
      </c>
      <c r="AI42">
        <v>9.8800000000000008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 t="s">
        <v>3</v>
      </c>
      <c r="AT42">
        <v>1</v>
      </c>
      <c r="AU42" t="s">
        <v>3</v>
      </c>
      <c r="AV42">
        <v>0</v>
      </c>
      <c r="AW42">
        <v>1</v>
      </c>
      <c r="AX42">
        <v>-1</v>
      </c>
      <c r="AY42">
        <v>0</v>
      </c>
      <c r="AZ42">
        <v>0</v>
      </c>
      <c r="BA42" t="s">
        <v>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ROUND(Y42*Source!I190,9)</f>
        <v>4</v>
      </c>
      <c r="CY42">
        <f>AA42</f>
        <v>532.14</v>
      </c>
      <c r="CZ42">
        <f>AE42</f>
        <v>53.86</v>
      </c>
      <c r="DA42">
        <f>AI42</f>
        <v>9.8800000000000008</v>
      </c>
      <c r="DB42">
        <f>ROUND(ROUND(AT42*CZ42,2),6)</f>
        <v>53.86</v>
      </c>
      <c r="DC42">
        <f>ROUND(ROUND(AT42*AG42,2),6)</f>
        <v>0</v>
      </c>
      <c r="DD42" t="s">
        <v>3</v>
      </c>
      <c r="DE42" t="s">
        <v>3</v>
      </c>
      <c r="DF42">
        <f>ROUND(ROUND(AE42*AI42,2)*CX42,2)</f>
        <v>2128.56</v>
      </c>
      <c r="DG42">
        <f t="shared" si="3"/>
        <v>0</v>
      </c>
      <c r="DH42">
        <f t="shared" si="4"/>
        <v>0</v>
      </c>
      <c r="DI42">
        <f t="shared" si="5"/>
        <v>0</v>
      </c>
      <c r="DJ42">
        <f>DF42</f>
        <v>2128.56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ROW(Source!A193)</f>
        <v>193</v>
      </c>
      <c r="B43">
        <v>59499218</v>
      </c>
      <c r="C43">
        <v>59499592</v>
      </c>
      <c r="D43">
        <v>58532980</v>
      </c>
      <c r="E43">
        <v>1080</v>
      </c>
      <c r="F43">
        <v>1</v>
      </c>
      <c r="G43">
        <v>1080</v>
      </c>
      <c r="H43">
        <v>1</v>
      </c>
      <c r="I43" t="s">
        <v>302</v>
      </c>
      <c r="J43" t="s">
        <v>3</v>
      </c>
      <c r="K43" t="s">
        <v>303</v>
      </c>
      <c r="L43">
        <v>1191</v>
      </c>
      <c r="N43">
        <v>1013</v>
      </c>
      <c r="O43" t="s">
        <v>304</v>
      </c>
      <c r="P43" t="s">
        <v>304</v>
      </c>
      <c r="Q43">
        <v>1</v>
      </c>
      <c r="W43">
        <v>0</v>
      </c>
      <c r="X43">
        <v>476480486</v>
      </c>
      <c r="Y43">
        <f>((AT43*1.15)*1.1)</f>
        <v>0.65780000000000005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0.52</v>
      </c>
      <c r="AU43" t="s">
        <v>40</v>
      </c>
      <c r="AV43">
        <v>1</v>
      </c>
      <c r="AW43">
        <v>2</v>
      </c>
      <c r="AX43">
        <v>59500064</v>
      </c>
      <c r="AY43">
        <v>1</v>
      </c>
      <c r="AZ43">
        <v>0</v>
      </c>
      <c r="BA43">
        <v>51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ROUND(AT43*Source!I193*AH43*AL43,2)</f>
        <v>0</v>
      </c>
      <c r="CV43">
        <f>ROUND(Y43*Source!I193,9)</f>
        <v>0.65780000000000005</v>
      </c>
      <c r="CW43">
        <v>0</v>
      </c>
      <c r="CX43">
        <f>ROUND(Y43*Source!I193,9)</f>
        <v>0.65780000000000005</v>
      </c>
      <c r="CY43">
        <f>AD43</f>
        <v>0</v>
      </c>
      <c r="CZ43">
        <f>AH43</f>
        <v>0</v>
      </c>
      <c r="DA43">
        <f>AL43</f>
        <v>1</v>
      </c>
      <c r="DB43">
        <f>ROUND(((ROUND(AT43*CZ43,2)*1.15)*1.1),6)</f>
        <v>0</v>
      </c>
      <c r="DC43">
        <f>ROUND(((ROUND(AT43*AG43,2)*1.15)*1.1),6)</f>
        <v>0</v>
      </c>
      <c r="DD43" t="s">
        <v>3</v>
      </c>
      <c r="DE43" t="s">
        <v>3</v>
      </c>
      <c r="DF43">
        <f>ROUND(ROUND(AE43,2)*CX43,2)</f>
        <v>0</v>
      </c>
      <c r="DG43">
        <f t="shared" si="3"/>
        <v>0</v>
      </c>
      <c r="DH43">
        <f t="shared" si="4"/>
        <v>0</v>
      </c>
      <c r="DI43">
        <f t="shared" si="5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ROW(Source!A193)</f>
        <v>193</v>
      </c>
      <c r="B44">
        <v>59499218</v>
      </c>
      <c r="C44">
        <v>59499592</v>
      </c>
      <c r="D44">
        <v>58576492</v>
      </c>
      <c r="E44">
        <v>1</v>
      </c>
      <c r="F44">
        <v>1</v>
      </c>
      <c r="G44">
        <v>1080</v>
      </c>
      <c r="H44">
        <v>3</v>
      </c>
      <c r="I44" t="s">
        <v>305</v>
      </c>
      <c r="J44" t="s">
        <v>306</v>
      </c>
      <c r="K44" t="s">
        <v>307</v>
      </c>
      <c r="L44">
        <v>1348</v>
      </c>
      <c r="N44">
        <v>1009</v>
      </c>
      <c r="O44" t="s">
        <v>242</v>
      </c>
      <c r="P44" t="s">
        <v>242</v>
      </c>
      <c r="Q44">
        <v>1000</v>
      </c>
      <c r="W44">
        <v>0</v>
      </c>
      <c r="X44">
        <v>1986080645</v>
      </c>
      <c r="Y44">
        <f>AT44</f>
        <v>3.0000000000000001E-5</v>
      </c>
      <c r="AA44">
        <v>16735.689999999999</v>
      </c>
      <c r="AB44">
        <v>0</v>
      </c>
      <c r="AC44">
        <v>0</v>
      </c>
      <c r="AD44">
        <v>0</v>
      </c>
      <c r="AE44">
        <v>16735.689999999999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3.0000000000000001E-5</v>
      </c>
      <c r="AU44" t="s">
        <v>3</v>
      </c>
      <c r="AV44">
        <v>0</v>
      </c>
      <c r="AW44">
        <v>2</v>
      </c>
      <c r="AX44">
        <v>59500065</v>
      </c>
      <c r="AY44">
        <v>1</v>
      </c>
      <c r="AZ44">
        <v>0</v>
      </c>
      <c r="BA44">
        <v>52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ROUND(Y44*Source!I193,9)</f>
        <v>3.0000000000000001E-5</v>
      </c>
      <c r="CY44">
        <f>AA44</f>
        <v>16735.689999999999</v>
      </c>
      <c r="CZ44">
        <f>AE44</f>
        <v>16735.689999999999</v>
      </c>
      <c r="DA44">
        <f>AI44</f>
        <v>1</v>
      </c>
      <c r="DB44">
        <f>ROUND(ROUND(AT44*CZ44,2),6)</f>
        <v>0.5</v>
      </c>
      <c r="DC44">
        <f>ROUND(ROUND(AT44*AG44,2),6)</f>
        <v>0</v>
      </c>
      <c r="DD44" t="s">
        <v>3</v>
      </c>
      <c r="DE44" t="s">
        <v>3</v>
      </c>
      <c r="DF44">
        <f>ROUND(ROUND(AE44,2)*CX44,2)</f>
        <v>0.5</v>
      </c>
      <c r="DG44">
        <f t="shared" si="3"/>
        <v>0</v>
      </c>
      <c r="DH44">
        <f t="shared" si="4"/>
        <v>0</v>
      </c>
      <c r="DI44">
        <f t="shared" si="5"/>
        <v>0</v>
      </c>
      <c r="DJ44">
        <f>DF44</f>
        <v>0.5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ROW(Source!A193)</f>
        <v>193</v>
      </c>
      <c r="B45">
        <v>59499218</v>
      </c>
      <c r="C45">
        <v>59499592</v>
      </c>
      <c r="D45">
        <v>0</v>
      </c>
      <c r="E45">
        <v>1080</v>
      </c>
      <c r="F45">
        <v>1</v>
      </c>
      <c r="G45">
        <v>1080</v>
      </c>
      <c r="H45">
        <v>3</v>
      </c>
      <c r="I45" t="s">
        <v>184</v>
      </c>
      <c r="J45" t="s">
        <v>3</v>
      </c>
      <c r="K45" t="s">
        <v>185</v>
      </c>
      <c r="L45">
        <v>1354</v>
      </c>
      <c r="N45">
        <v>1010</v>
      </c>
      <c r="O45" t="s">
        <v>124</v>
      </c>
      <c r="P45" t="s">
        <v>124</v>
      </c>
      <c r="Q45">
        <v>1</v>
      </c>
      <c r="W45">
        <v>0</v>
      </c>
      <c r="X45">
        <v>-221517403</v>
      </c>
      <c r="Y45">
        <f>AT45</f>
        <v>1</v>
      </c>
      <c r="AA45">
        <v>53.86</v>
      </c>
      <c r="AB45">
        <v>0</v>
      </c>
      <c r="AC45">
        <v>0</v>
      </c>
      <c r="AD45">
        <v>0</v>
      </c>
      <c r="AE45">
        <v>53.86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 t="s">
        <v>3</v>
      </c>
      <c r="AT45">
        <v>1</v>
      </c>
      <c r="AU45" t="s">
        <v>3</v>
      </c>
      <c r="AV45">
        <v>0</v>
      </c>
      <c r="AW45">
        <v>1</v>
      </c>
      <c r="AX45">
        <v>-1</v>
      </c>
      <c r="AY45">
        <v>0</v>
      </c>
      <c r="AZ45">
        <v>0</v>
      </c>
      <c r="BA45" t="s">
        <v>3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ROUND(Y45*Source!I193,9)</f>
        <v>1</v>
      </c>
      <c r="CY45">
        <f>AA45</f>
        <v>53.86</v>
      </c>
      <c r="CZ45">
        <f>AE45</f>
        <v>53.86</v>
      </c>
      <c r="DA45">
        <f>AI45</f>
        <v>1</v>
      </c>
      <c r="DB45">
        <f>ROUND(ROUND(AT45*CZ45,2),6)</f>
        <v>53.86</v>
      </c>
      <c r="DC45">
        <f>ROUND(ROUND(AT45*AG45,2),6)</f>
        <v>0</v>
      </c>
      <c r="DD45" t="s">
        <v>3</v>
      </c>
      <c r="DE45" t="s">
        <v>3</v>
      </c>
      <c r="DF45">
        <f>ROUND(ROUND(AE45,2)*CX45,2)</f>
        <v>53.86</v>
      </c>
      <c r="DG45">
        <f t="shared" si="3"/>
        <v>0</v>
      </c>
      <c r="DH45">
        <f t="shared" si="4"/>
        <v>0</v>
      </c>
      <c r="DI45">
        <f t="shared" si="5"/>
        <v>0</v>
      </c>
      <c r="DJ45">
        <f>DF45</f>
        <v>53.86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ROW(Source!A194)</f>
        <v>194</v>
      </c>
      <c r="B46">
        <v>59499215</v>
      </c>
      <c r="C46">
        <v>59499592</v>
      </c>
      <c r="D46">
        <v>58532980</v>
      </c>
      <c r="E46">
        <v>1080</v>
      </c>
      <c r="F46">
        <v>1</v>
      </c>
      <c r="G46">
        <v>1080</v>
      </c>
      <c r="H46">
        <v>1</v>
      </c>
      <c r="I46" t="s">
        <v>302</v>
      </c>
      <c r="J46" t="s">
        <v>3</v>
      </c>
      <c r="K46" t="s">
        <v>303</v>
      </c>
      <c r="L46">
        <v>1191</v>
      </c>
      <c r="N46">
        <v>1013</v>
      </c>
      <c r="O46" t="s">
        <v>304</v>
      </c>
      <c r="P46" t="s">
        <v>304</v>
      </c>
      <c r="Q46">
        <v>1</v>
      </c>
      <c r="W46">
        <v>0</v>
      </c>
      <c r="X46">
        <v>476480486</v>
      </c>
      <c r="Y46">
        <f>((AT46*1.15)*1.1)</f>
        <v>0.65780000000000005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5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0.52</v>
      </c>
      <c r="AU46" t="s">
        <v>40</v>
      </c>
      <c r="AV46">
        <v>1</v>
      </c>
      <c r="AW46">
        <v>2</v>
      </c>
      <c r="AX46">
        <v>59500064</v>
      </c>
      <c r="AY46">
        <v>1</v>
      </c>
      <c r="AZ46">
        <v>0</v>
      </c>
      <c r="BA46">
        <v>54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U46">
        <f>ROUND(AT46*Source!I194*AH46*AL46,2)</f>
        <v>0</v>
      </c>
      <c r="CV46">
        <f>ROUND(Y46*Source!I194,9)</f>
        <v>0.65780000000000005</v>
      </c>
      <c r="CW46">
        <v>0</v>
      </c>
      <c r="CX46">
        <f>ROUND(Y46*Source!I194,9)</f>
        <v>0.65780000000000005</v>
      </c>
      <c r="CY46">
        <f>AD46</f>
        <v>0</v>
      </c>
      <c r="CZ46">
        <f>AH46</f>
        <v>0</v>
      </c>
      <c r="DA46">
        <f>AL46</f>
        <v>1</v>
      </c>
      <c r="DB46">
        <f>ROUND(((ROUND(AT46*CZ46,2)*1.15)*1.1),6)</f>
        <v>0</v>
      </c>
      <c r="DC46">
        <f>ROUND(((ROUND(AT46*AG46,2)*1.15)*1.1),6)</f>
        <v>0</v>
      </c>
      <c r="DD46" t="s">
        <v>3</v>
      </c>
      <c r="DE46" t="s">
        <v>3</v>
      </c>
      <c r="DF46">
        <f>ROUND(ROUND(AE46,2)*CX46,2)</f>
        <v>0</v>
      </c>
      <c r="DG46">
        <f t="shared" si="3"/>
        <v>0</v>
      </c>
      <c r="DH46">
        <f t="shared" si="4"/>
        <v>0</v>
      </c>
      <c r="DI46">
        <f t="shared" si="5"/>
        <v>0</v>
      </c>
      <c r="DJ46">
        <f>DI46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ROW(Source!A194)</f>
        <v>194</v>
      </c>
      <c r="B47">
        <v>59499215</v>
      </c>
      <c r="C47">
        <v>59499592</v>
      </c>
      <c r="D47">
        <v>58576492</v>
      </c>
      <c r="E47">
        <v>1</v>
      </c>
      <c r="F47">
        <v>1</v>
      </c>
      <c r="G47">
        <v>1080</v>
      </c>
      <c r="H47">
        <v>3</v>
      </c>
      <c r="I47" t="s">
        <v>305</v>
      </c>
      <c r="J47" t="s">
        <v>306</v>
      </c>
      <c r="K47" t="s">
        <v>307</v>
      </c>
      <c r="L47">
        <v>1348</v>
      </c>
      <c r="N47">
        <v>1009</v>
      </c>
      <c r="O47" t="s">
        <v>242</v>
      </c>
      <c r="P47" t="s">
        <v>242</v>
      </c>
      <c r="Q47">
        <v>1000</v>
      </c>
      <c r="W47">
        <v>0</v>
      </c>
      <c r="X47">
        <v>1986080645</v>
      </c>
      <c r="Y47">
        <f>AT47</f>
        <v>3.0000000000000001E-5</v>
      </c>
      <c r="AA47">
        <v>265093.33</v>
      </c>
      <c r="AB47">
        <v>0</v>
      </c>
      <c r="AC47">
        <v>0</v>
      </c>
      <c r="AD47">
        <v>0</v>
      </c>
      <c r="AE47">
        <v>16735.689999999999</v>
      </c>
      <c r="AF47">
        <v>0</v>
      </c>
      <c r="AG47">
        <v>0</v>
      </c>
      <c r="AH47">
        <v>0</v>
      </c>
      <c r="AI47">
        <v>15.84</v>
      </c>
      <c r="AJ47">
        <v>1</v>
      </c>
      <c r="AK47">
        <v>1</v>
      </c>
      <c r="AL47">
        <v>1</v>
      </c>
      <c r="AM47">
        <v>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3.0000000000000001E-5</v>
      </c>
      <c r="AU47" t="s">
        <v>3</v>
      </c>
      <c r="AV47">
        <v>0</v>
      </c>
      <c r="AW47">
        <v>2</v>
      </c>
      <c r="AX47">
        <v>59500065</v>
      </c>
      <c r="AY47">
        <v>1</v>
      </c>
      <c r="AZ47">
        <v>0</v>
      </c>
      <c r="BA47">
        <v>55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ROUND(Y47*Source!I194,9)</f>
        <v>3.0000000000000001E-5</v>
      </c>
      <c r="CY47">
        <f>AA47</f>
        <v>265093.33</v>
      </c>
      <c r="CZ47">
        <f>AE47</f>
        <v>16735.689999999999</v>
      </c>
      <c r="DA47">
        <f>AI47</f>
        <v>15.84</v>
      </c>
      <c r="DB47">
        <f>ROUND(ROUND(AT47*CZ47,2),6)</f>
        <v>0.5</v>
      </c>
      <c r="DC47">
        <f>ROUND(ROUND(AT47*AG47,2),6)</f>
        <v>0</v>
      </c>
      <c r="DD47" t="s">
        <v>3</v>
      </c>
      <c r="DE47" t="s">
        <v>3</v>
      </c>
      <c r="DF47">
        <f>ROUND(ROUND(AE47*AI47,2)*CX47,2)</f>
        <v>7.95</v>
      </c>
      <c r="DG47">
        <f t="shared" si="3"/>
        <v>0</v>
      </c>
      <c r="DH47">
        <f t="shared" si="4"/>
        <v>0</v>
      </c>
      <c r="DI47">
        <f t="shared" si="5"/>
        <v>0</v>
      </c>
      <c r="DJ47">
        <f>DF47</f>
        <v>7.95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ROW(Source!A194)</f>
        <v>194</v>
      </c>
      <c r="B48">
        <v>59499215</v>
      </c>
      <c r="C48">
        <v>59499592</v>
      </c>
      <c r="D48">
        <v>0</v>
      </c>
      <c r="E48">
        <v>1080</v>
      </c>
      <c r="F48">
        <v>1</v>
      </c>
      <c r="G48">
        <v>1080</v>
      </c>
      <c r="H48">
        <v>3</v>
      </c>
      <c r="I48" t="s">
        <v>184</v>
      </c>
      <c r="J48" t="s">
        <v>3</v>
      </c>
      <c r="K48" t="s">
        <v>185</v>
      </c>
      <c r="L48">
        <v>1354</v>
      </c>
      <c r="N48">
        <v>1010</v>
      </c>
      <c r="O48" t="s">
        <v>124</v>
      </c>
      <c r="P48" t="s">
        <v>124</v>
      </c>
      <c r="Q48">
        <v>1</v>
      </c>
      <c r="W48">
        <v>0</v>
      </c>
      <c r="X48">
        <v>-221517403</v>
      </c>
      <c r="Y48">
        <f>AT48</f>
        <v>1</v>
      </c>
      <c r="AA48">
        <v>532.14</v>
      </c>
      <c r="AB48">
        <v>0</v>
      </c>
      <c r="AC48">
        <v>0</v>
      </c>
      <c r="AD48">
        <v>0</v>
      </c>
      <c r="AE48">
        <v>53.86</v>
      </c>
      <c r="AF48">
        <v>0</v>
      </c>
      <c r="AG48">
        <v>0</v>
      </c>
      <c r="AH48">
        <v>0</v>
      </c>
      <c r="AI48">
        <v>9.8800000000000008</v>
      </c>
      <c r="AJ48">
        <v>1</v>
      </c>
      <c r="AK48">
        <v>1</v>
      </c>
      <c r="AL48">
        <v>1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 t="s">
        <v>3</v>
      </c>
      <c r="AT48">
        <v>1</v>
      </c>
      <c r="AU48" t="s">
        <v>3</v>
      </c>
      <c r="AV48">
        <v>0</v>
      </c>
      <c r="AW48">
        <v>1</v>
      </c>
      <c r="AX48">
        <v>-1</v>
      </c>
      <c r="AY48">
        <v>0</v>
      </c>
      <c r="AZ48">
        <v>0</v>
      </c>
      <c r="BA48" t="s">
        <v>3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ROUND(Y48*Source!I194,9)</f>
        <v>1</v>
      </c>
      <c r="CY48">
        <f>AA48</f>
        <v>532.14</v>
      </c>
      <c r="CZ48">
        <f>AE48</f>
        <v>53.86</v>
      </c>
      <c r="DA48">
        <f>AI48</f>
        <v>9.8800000000000008</v>
      </c>
      <c r="DB48">
        <f>ROUND(ROUND(AT48*CZ48,2),6)</f>
        <v>53.86</v>
      </c>
      <c r="DC48">
        <f>ROUND(ROUND(AT48*AG48,2),6)</f>
        <v>0</v>
      </c>
      <c r="DD48" t="s">
        <v>3</v>
      </c>
      <c r="DE48" t="s">
        <v>3</v>
      </c>
      <c r="DF48">
        <f>ROUND(ROUND(AE48*AI48,2)*CX48,2)</f>
        <v>532.14</v>
      </c>
      <c r="DG48">
        <f t="shared" si="3"/>
        <v>0</v>
      </c>
      <c r="DH48">
        <f t="shared" si="4"/>
        <v>0</v>
      </c>
      <c r="DI48">
        <f t="shared" si="5"/>
        <v>0</v>
      </c>
      <c r="DJ48">
        <f>DF48</f>
        <v>532.14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ROW(Source!A197)</f>
        <v>197</v>
      </c>
      <c r="B49">
        <v>59499218</v>
      </c>
      <c r="C49">
        <v>59499600</v>
      </c>
      <c r="D49">
        <v>58532980</v>
      </c>
      <c r="E49">
        <v>1080</v>
      </c>
      <c r="F49">
        <v>1</v>
      </c>
      <c r="G49">
        <v>1080</v>
      </c>
      <c r="H49">
        <v>1</v>
      </c>
      <c r="I49" t="s">
        <v>302</v>
      </c>
      <c r="J49" t="s">
        <v>3</v>
      </c>
      <c r="K49" t="s">
        <v>303</v>
      </c>
      <c r="L49">
        <v>1191</v>
      </c>
      <c r="N49">
        <v>1013</v>
      </c>
      <c r="O49" t="s">
        <v>304</v>
      </c>
      <c r="P49" t="s">
        <v>304</v>
      </c>
      <c r="Q49">
        <v>1</v>
      </c>
      <c r="W49">
        <v>0</v>
      </c>
      <c r="X49">
        <v>476480486</v>
      </c>
      <c r="Y49">
        <f>((AT49*1.15)*1.1)</f>
        <v>0.65780000000000005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0.52</v>
      </c>
      <c r="AU49" t="s">
        <v>40</v>
      </c>
      <c r="AV49">
        <v>1</v>
      </c>
      <c r="AW49">
        <v>2</v>
      </c>
      <c r="AX49">
        <v>59500067</v>
      </c>
      <c r="AY49">
        <v>1</v>
      </c>
      <c r="AZ49">
        <v>0</v>
      </c>
      <c r="BA49">
        <v>57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ROUND(AT49*Source!I197*AH49*AL49,2)</f>
        <v>0</v>
      </c>
      <c r="CV49">
        <f>ROUND(Y49*Source!I197,9)</f>
        <v>1.9734</v>
      </c>
      <c r="CW49">
        <v>0</v>
      </c>
      <c r="CX49">
        <f>ROUND(Y49*Source!I197,9)</f>
        <v>1.9734</v>
      </c>
      <c r="CY49">
        <f>AD49</f>
        <v>0</v>
      </c>
      <c r="CZ49">
        <f>AH49</f>
        <v>0</v>
      </c>
      <c r="DA49">
        <f>AL49</f>
        <v>1</v>
      </c>
      <c r="DB49">
        <f>ROUND(((ROUND(AT49*CZ49,2)*1.15)*1.1),6)</f>
        <v>0</v>
      </c>
      <c r="DC49">
        <f>ROUND(((ROUND(AT49*AG49,2)*1.15)*1.1),6)</f>
        <v>0</v>
      </c>
      <c r="DD49" t="s">
        <v>3</v>
      </c>
      <c r="DE49" t="s">
        <v>3</v>
      </c>
      <c r="DF49">
        <f>ROUND(ROUND(AE49,2)*CX49,2)</f>
        <v>0</v>
      </c>
      <c r="DG49">
        <f t="shared" si="3"/>
        <v>0</v>
      </c>
      <c r="DH49">
        <f t="shared" si="4"/>
        <v>0</v>
      </c>
      <c r="DI49">
        <f t="shared" si="5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ROW(Source!A197)</f>
        <v>197</v>
      </c>
      <c r="B50">
        <v>59499218</v>
      </c>
      <c r="C50">
        <v>59499600</v>
      </c>
      <c r="D50">
        <v>58576492</v>
      </c>
      <c r="E50">
        <v>1</v>
      </c>
      <c r="F50">
        <v>1</v>
      </c>
      <c r="G50">
        <v>1080</v>
      </c>
      <c r="H50">
        <v>3</v>
      </c>
      <c r="I50" t="s">
        <v>305</v>
      </c>
      <c r="J50" t="s">
        <v>306</v>
      </c>
      <c r="K50" t="s">
        <v>307</v>
      </c>
      <c r="L50">
        <v>1348</v>
      </c>
      <c r="N50">
        <v>1009</v>
      </c>
      <c r="O50" t="s">
        <v>242</v>
      </c>
      <c r="P50" t="s">
        <v>242</v>
      </c>
      <c r="Q50">
        <v>1000</v>
      </c>
      <c r="W50">
        <v>0</v>
      </c>
      <c r="X50">
        <v>1986080645</v>
      </c>
      <c r="Y50">
        <f>AT50</f>
        <v>3.0000000000000001E-5</v>
      </c>
      <c r="AA50">
        <v>16735.689999999999</v>
      </c>
      <c r="AB50">
        <v>0</v>
      </c>
      <c r="AC50">
        <v>0</v>
      </c>
      <c r="AD50">
        <v>0</v>
      </c>
      <c r="AE50">
        <v>16735.689999999999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3.0000000000000001E-5</v>
      </c>
      <c r="AU50" t="s">
        <v>3</v>
      </c>
      <c r="AV50">
        <v>0</v>
      </c>
      <c r="AW50">
        <v>2</v>
      </c>
      <c r="AX50">
        <v>59500068</v>
      </c>
      <c r="AY50">
        <v>1</v>
      </c>
      <c r="AZ50">
        <v>0</v>
      </c>
      <c r="BA50">
        <v>58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ROUND(Y50*Source!I197,9)</f>
        <v>9.0000000000000006E-5</v>
      </c>
      <c r="CY50">
        <f>AA50</f>
        <v>16735.689999999999</v>
      </c>
      <c r="CZ50">
        <f>AE50</f>
        <v>16735.689999999999</v>
      </c>
      <c r="DA50">
        <f>AI50</f>
        <v>1</v>
      </c>
      <c r="DB50">
        <f>ROUND(ROUND(AT50*CZ50,2),6)</f>
        <v>0.5</v>
      </c>
      <c r="DC50">
        <f>ROUND(ROUND(AT50*AG50,2),6)</f>
        <v>0</v>
      </c>
      <c r="DD50" t="s">
        <v>3</v>
      </c>
      <c r="DE50" t="s">
        <v>3</v>
      </c>
      <c r="DF50">
        <f>ROUND(ROUND(AE50,2)*CX50,2)</f>
        <v>1.51</v>
      </c>
      <c r="DG50">
        <f t="shared" si="3"/>
        <v>0</v>
      </c>
      <c r="DH50">
        <f t="shared" si="4"/>
        <v>0</v>
      </c>
      <c r="DI50">
        <f t="shared" si="5"/>
        <v>0</v>
      </c>
      <c r="DJ50">
        <f>DF50</f>
        <v>1.51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ROW(Source!A197)</f>
        <v>197</v>
      </c>
      <c r="B51">
        <v>59499218</v>
      </c>
      <c r="C51">
        <v>59499600</v>
      </c>
      <c r="D51">
        <v>0</v>
      </c>
      <c r="E51">
        <v>1080</v>
      </c>
      <c r="F51">
        <v>1</v>
      </c>
      <c r="G51">
        <v>1080</v>
      </c>
      <c r="H51">
        <v>3</v>
      </c>
      <c r="I51" t="s">
        <v>188</v>
      </c>
      <c r="J51" t="s">
        <v>3</v>
      </c>
      <c r="K51" t="s">
        <v>189</v>
      </c>
      <c r="L51">
        <v>1354</v>
      </c>
      <c r="N51">
        <v>1010</v>
      </c>
      <c r="O51" t="s">
        <v>124</v>
      </c>
      <c r="P51" t="s">
        <v>124</v>
      </c>
      <c r="Q51">
        <v>1</v>
      </c>
      <c r="W51">
        <v>0</v>
      </c>
      <c r="X51">
        <v>934536702</v>
      </c>
      <c r="Y51">
        <f>AT51</f>
        <v>1</v>
      </c>
      <c r="AA51">
        <v>53.86</v>
      </c>
      <c r="AB51">
        <v>0</v>
      </c>
      <c r="AC51">
        <v>0</v>
      </c>
      <c r="AD51">
        <v>0</v>
      </c>
      <c r="AE51">
        <v>53.86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 t="s">
        <v>3</v>
      </c>
      <c r="AT51">
        <v>1</v>
      </c>
      <c r="AU51" t="s">
        <v>3</v>
      </c>
      <c r="AV51">
        <v>0</v>
      </c>
      <c r="AW51">
        <v>1</v>
      </c>
      <c r="AX51">
        <v>-1</v>
      </c>
      <c r="AY51">
        <v>0</v>
      </c>
      <c r="AZ51">
        <v>0</v>
      </c>
      <c r="BA51" t="s">
        <v>3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v>0</v>
      </c>
      <c r="CX51">
        <f>ROUND(Y51*Source!I197,9)</f>
        <v>3</v>
      </c>
      <c r="CY51">
        <f>AA51</f>
        <v>53.86</v>
      </c>
      <c r="CZ51">
        <f>AE51</f>
        <v>53.86</v>
      </c>
      <c r="DA51">
        <f>AI51</f>
        <v>1</v>
      </c>
      <c r="DB51">
        <f>ROUND(ROUND(AT51*CZ51,2),6)</f>
        <v>53.86</v>
      </c>
      <c r="DC51">
        <f>ROUND(ROUND(AT51*AG51,2),6)</f>
        <v>0</v>
      </c>
      <c r="DD51" t="s">
        <v>3</v>
      </c>
      <c r="DE51" t="s">
        <v>3</v>
      </c>
      <c r="DF51">
        <f>ROUND(ROUND(AE51,2)*CX51,2)</f>
        <v>161.58000000000001</v>
      </c>
      <c r="DG51">
        <f t="shared" si="3"/>
        <v>0</v>
      </c>
      <c r="DH51">
        <f t="shared" si="4"/>
        <v>0</v>
      </c>
      <c r="DI51">
        <f t="shared" si="5"/>
        <v>0</v>
      </c>
      <c r="DJ51">
        <f>DF51</f>
        <v>161.58000000000001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ROW(Source!A198)</f>
        <v>198</v>
      </c>
      <c r="B52">
        <v>59499215</v>
      </c>
      <c r="C52">
        <v>59499600</v>
      </c>
      <c r="D52">
        <v>58532980</v>
      </c>
      <c r="E52">
        <v>1080</v>
      </c>
      <c r="F52">
        <v>1</v>
      </c>
      <c r="G52">
        <v>1080</v>
      </c>
      <c r="H52">
        <v>1</v>
      </c>
      <c r="I52" t="s">
        <v>302</v>
      </c>
      <c r="J52" t="s">
        <v>3</v>
      </c>
      <c r="K52" t="s">
        <v>303</v>
      </c>
      <c r="L52">
        <v>1191</v>
      </c>
      <c r="N52">
        <v>1013</v>
      </c>
      <c r="O52" t="s">
        <v>304</v>
      </c>
      <c r="P52" t="s">
        <v>304</v>
      </c>
      <c r="Q52">
        <v>1</v>
      </c>
      <c r="W52">
        <v>0</v>
      </c>
      <c r="X52">
        <v>476480486</v>
      </c>
      <c r="Y52">
        <f>((AT52*1.15)*1.1)</f>
        <v>0.65780000000000005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5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0.52</v>
      </c>
      <c r="AU52" t="s">
        <v>40</v>
      </c>
      <c r="AV52">
        <v>1</v>
      </c>
      <c r="AW52">
        <v>2</v>
      </c>
      <c r="AX52">
        <v>59500067</v>
      </c>
      <c r="AY52">
        <v>1</v>
      </c>
      <c r="AZ52">
        <v>0</v>
      </c>
      <c r="BA52">
        <v>60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U52">
        <f>ROUND(AT52*Source!I198*AH52*AL52,2)</f>
        <v>0</v>
      </c>
      <c r="CV52">
        <f>ROUND(Y52*Source!I198,9)</f>
        <v>1.9734</v>
      </c>
      <c r="CW52">
        <v>0</v>
      </c>
      <c r="CX52">
        <f>ROUND(Y52*Source!I198,9)</f>
        <v>1.9734</v>
      </c>
      <c r="CY52">
        <f>AD52</f>
        <v>0</v>
      </c>
      <c r="CZ52">
        <f>AH52</f>
        <v>0</v>
      </c>
      <c r="DA52">
        <f>AL52</f>
        <v>1</v>
      </c>
      <c r="DB52">
        <f>ROUND(((ROUND(AT52*CZ52,2)*1.15)*1.1),6)</f>
        <v>0</v>
      </c>
      <c r="DC52">
        <f>ROUND(((ROUND(AT52*AG52,2)*1.15)*1.1),6)</f>
        <v>0</v>
      </c>
      <c r="DD52" t="s">
        <v>3</v>
      </c>
      <c r="DE52" t="s">
        <v>3</v>
      </c>
      <c r="DF52">
        <f>ROUND(ROUND(AE52,2)*CX52,2)</f>
        <v>0</v>
      </c>
      <c r="DG52">
        <f t="shared" si="3"/>
        <v>0</v>
      </c>
      <c r="DH52">
        <f t="shared" si="4"/>
        <v>0</v>
      </c>
      <c r="DI52">
        <f t="shared" si="5"/>
        <v>0</v>
      </c>
      <c r="DJ52">
        <f>DI52</f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ROW(Source!A198)</f>
        <v>198</v>
      </c>
      <c r="B53">
        <v>59499215</v>
      </c>
      <c r="C53">
        <v>59499600</v>
      </c>
      <c r="D53">
        <v>58576492</v>
      </c>
      <c r="E53">
        <v>1</v>
      </c>
      <c r="F53">
        <v>1</v>
      </c>
      <c r="G53">
        <v>1080</v>
      </c>
      <c r="H53">
        <v>3</v>
      </c>
      <c r="I53" t="s">
        <v>305</v>
      </c>
      <c r="J53" t="s">
        <v>306</v>
      </c>
      <c r="K53" t="s">
        <v>307</v>
      </c>
      <c r="L53">
        <v>1348</v>
      </c>
      <c r="N53">
        <v>1009</v>
      </c>
      <c r="O53" t="s">
        <v>242</v>
      </c>
      <c r="P53" t="s">
        <v>242</v>
      </c>
      <c r="Q53">
        <v>1000</v>
      </c>
      <c r="W53">
        <v>0</v>
      </c>
      <c r="X53">
        <v>1986080645</v>
      </c>
      <c r="Y53">
        <f>AT53</f>
        <v>3.0000000000000001E-5</v>
      </c>
      <c r="AA53">
        <v>265093.33</v>
      </c>
      <c r="AB53">
        <v>0</v>
      </c>
      <c r="AC53">
        <v>0</v>
      </c>
      <c r="AD53">
        <v>0</v>
      </c>
      <c r="AE53">
        <v>16735.689999999999</v>
      </c>
      <c r="AF53">
        <v>0</v>
      </c>
      <c r="AG53">
        <v>0</v>
      </c>
      <c r="AH53">
        <v>0</v>
      </c>
      <c r="AI53">
        <v>15.84</v>
      </c>
      <c r="AJ53">
        <v>1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3.0000000000000001E-5</v>
      </c>
      <c r="AU53" t="s">
        <v>3</v>
      </c>
      <c r="AV53">
        <v>0</v>
      </c>
      <c r="AW53">
        <v>2</v>
      </c>
      <c r="AX53">
        <v>59500068</v>
      </c>
      <c r="AY53">
        <v>1</v>
      </c>
      <c r="AZ53">
        <v>0</v>
      </c>
      <c r="BA53">
        <v>61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v>0</v>
      </c>
      <c r="CX53">
        <f>ROUND(Y53*Source!I198,9)</f>
        <v>9.0000000000000006E-5</v>
      </c>
      <c r="CY53">
        <f>AA53</f>
        <v>265093.33</v>
      </c>
      <c r="CZ53">
        <f>AE53</f>
        <v>16735.689999999999</v>
      </c>
      <c r="DA53">
        <f>AI53</f>
        <v>15.84</v>
      </c>
      <c r="DB53">
        <f>ROUND(ROUND(AT53*CZ53,2),6)</f>
        <v>0.5</v>
      </c>
      <c r="DC53">
        <f>ROUND(ROUND(AT53*AG53,2),6)</f>
        <v>0</v>
      </c>
      <c r="DD53" t="s">
        <v>3</v>
      </c>
      <c r="DE53" t="s">
        <v>3</v>
      </c>
      <c r="DF53">
        <f>ROUND(ROUND(AE53*AI53,2)*CX53,2)</f>
        <v>23.86</v>
      </c>
      <c r="DG53">
        <f t="shared" si="3"/>
        <v>0</v>
      </c>
      <c r="DH53">
        <f t="shared" si="4"/>
        <v>0</v>
      </c>
      <c r="DI53">
        <f t="shared" si="5"/>
        <v>0</v>
      </c>
      <c r="DJ53">
        <f>DF53</f>
        <v>23.86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ROW(Source!A198)</f>
        <v>198</v>
      </c>
      <c r="B54">
        <v>59499215</v>
      </c>
      <c r="C54">
        <v>59499600</v>
      </c>
      <c r="D54">
        <v>0</v>
      </c>
      <c r="E54">
        <v>1080</v>
      </c>
      <c r="F54">
        <v>1</v>
      </c>
      <c r="G54">
        <v>1080</v>
      </c>
      <c r="H54">
        <v>3</v>
      </c>
      <c r="I54" t="s">
        <v>188</v>
      </c>
      <c r="J54" t="s">
        <v>3</v>
      </c>
      <c r="K54" t="s">
        <v>189</v>
      </c>
      <c r="L54">
        <v>1354</v>
      </c>
      <c r="N54">
        <v>1010</v>
      </c>
      <c r="O54" t="s">
        <v>124</v>
      </c>
      <c r="P54" t="s">
        <v>124</v>
      </c>
      <c r="Q54">
        <v>1</v>
      </c>
      <c r="W54">
        <v>0</v>
      </c>
      <c r="X54">
        <v>934536702</v>
      </c>
      <c r="Y54">
        <f>AT54</f>
        <v>1</v>
      </c>
      <c r="AA54">
        <v>532.14</v>
      </c>
      <c r="AB54">
        <v>0</v>
      </c>
      <c r="AC54">
        <v>0</v>
      </c>
      <c r="AD54">
        <v>0</v>
      </c>
      <c r="AE54">
        <v>53.86</v>
      </c>
      <c r="AF54">
        <v>0</v>
      </c>
      <c r="AG54">
        <v>0</v>
      </c>
      <c r="AH54">
        <v>0</v>
      </c>
      <c r="AI54">
        <v>9.8800000000000008</v>
      </c>
      <c r="AJ54">
        <v>1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 t="s">
        <v>3</v>
      </c>
      <c r="AT54">
        <v>1</v>
      </c>
      <c r="AU54" t="s">
        <v>3</v>
      </c>
      <c r="AV54">
        <v>0</v>
      </c>
      <c r="AW54">
        <v>1</v>
      </c>
      <c r="AX54">
        <v>-1</v>
      </c>
      <c r="AY54">
        <v>0</v>
      </c>
      <c r="AZ54">
        <v>0</v>
      </c>
      <c r="BA54" t="s">
        <v>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ROUND(Y54*Source!I198,9)</f>
        <v>3</v>
      </c>
      <c r="CY54">
        <f>AA54</f>
        <v>532.14</v>
      </c>
      <c r="CZ54">
        <f>AE54</f>
        <v>53.86</v>
      </c>
      <c r="DA54">
        <f>AI54</f>
        <v>9.8800000000000008</v>
      </c>
      <c r="DB54">
        <f>ROUND(ROUND(AT54*CZ54,2),6)</f>
        <v>53.86</v>
      </c>
      <c r="DC54">
        <f>ROUND(ROUND(AT54*AG54,2),6)</f>
        <v>0</v>
      </c>
      <c r="DD54" t="s">
        <v>3</v>
      </c>
      <c r="DE54" t="s">
        <v>3</v>
      </c>
      <c r="DF54">
        <f>ROUND(ROUND(AE54*AI54,2)*CX54,2)</f>
        <v>1596.42</v>
      </c>
      <c r="DG54">
        <f t="shared" si="3"/>
        <v>0</v>
      </c>
      <c r="DH54">
        <f t="shared" si="4"/>
        <v>0</v>
      </c>
      <c r="DI54">
        <f t="shared" si="5"/>
        <v>0</v>
      </c>
      <c r="DJ54">
        <f>DF54</f>
        <v>1596.42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ROW(Source!A201)</f>
        <v>201</v>
      </c>
      <c r="B55">
        <v>59499218</v>
      </c>
      <c r="C55">
        <v>59499608</v>
      </c>
      <c r="D55">
        <v>58532980</v>
      </c>
      <c r="E55">
        <v>1080</v>
      </c>
      <c r="F55">
        <v>1</v>
      </c>
      <c r="G55">
        <v>1080</v>
      </c>
      <c r="H55">
        <v>1</v>
      </c>
      <c r="I55" t="s">
        <v>302</v>
      </c>
      <c r="J55" t="s">
        <v>3</v>
      </c>
      <c r="K55" t="s">
        <v>303</v>
      </c>
      <c r="L55">
        <v>1191</v>
      </c>
      <c r="N55">
        <v>1013</v>
      </c>
      <c r="O55" t="s">
        <v>304</v>
      </c>
      <c r="P55" t="s">
        <v>304</v>
      </c>
      <c r="Q55">
        <v>1</v>
      </c>
      <c r="W55">
        <v>0</v>
      </c>
      <c r="X55">
        <v>476480486</v>
      </c>
      <c r="Y55">
        <f>((AT55*1.15)*1.1)</f>
        <v>0.65780000000000005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0.52</v>
      </c>
      <c r="AU55" t="s">
        <v>40</v>
      </c>
      <c r="AV55">
        <v>1</v>
      </c>
      <c r="AW55">
        <v>2</v>
      </c>
      <c r="AX55">
        <v>59500070</v>
      </c>
      <c r="AY55">
        <v>1</v>
      </c>
      <c r="AZ55">
        <v>0</v>
      </c>
      <c r="BA55">
        <v>63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U55">
        <f>ROUND(AT55*Source!I201*AH55*AL55,2)</f>
        <v>0</v>
      </c>
      <c r="CV55">
        <f>ROUND(Y55*Source!I201,9)</f>
        <v>1.3156000000000001</v>
      </c>
      <c r="CW55">
        <v>0</v>
      </c>
      <c r="CX55">
        <f>ROUND(Y55*Source!I201,9)</f>
        <v>1.3156000000000001</v>
      </c>
      <c r="CY55">
        <f>AD55</f>
        <v>0</v>
      </c>
      <c r="CZ55">
        <f>AH55</f>
        <v>0</v>
      </c>
      <c r="DA55">
        <f>AL55</f>
        <v>1</v>
      </c>
      <c r="DB55">
        <f>ROUND(((ROUND(AT55*CZ55,2)*1.15)*1.1),6)</f>
        <v>0</v>
      </c>
      <c r="DC55">
        <f>ROUND(((ROUND(AT55*AG55,2)*1.15)*1.1),6)</f>
        <v>0</v>
      </c>
      <c r="DD55" t="s">
        <v>3</v>
      </c>
      <c r="DE55" t="s">
        <v>3</v>
      </c>
      <c r="DF55">
        <f>ROUND(ROUND(AE55,2)*CX55,2)</f>
        <v>0</v>
      </c>
      <c r="DG55">
        <f t="shared" si="3"/>
        <v>0</v>
      </c>
      <c r="DH55">
        <f t="shared" si="4"/>
        <v>0</v>
      </c>
      <c r="DI55">
        <f t="shared" si="5"/>
        <v>0</v>
      </c>
      <c r="DJ55">
        <f>DI55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ROW(Source!A201)</f>
        <v>201</v>
      </c>
      <c r="B56">
        <v>59499218</v>
      </c>
      <c r="C56">
        <v>59499608</v>
      </c>
      <c r="D56">
        <v>58576492</v>
      </c>
      <c r="E56">
        <v>1</v>
      </c>
      <c r="F56">
        <v>1</v>
      </c>
      <c r="G56">
        <v>1080</v>
      </c>
      <c r="H56">
        <v>3</v>
      </c>
      <c r="I56" t="s">
        <v>305</v>
      </c>
      <c r="J56" t="s">
        <v>306</v>
      </c>
      <c r="K56" t="s">
        <v>307</v>
      </c>
      <c r="L56">
        <v>1348</v>
      </c>
      <c r="N56">
        <v>1009</v>
      </c>
      <c r="O56" t="s">
        <v>242</v>
      </c>
      <c r="P56" t="s">
        <v>242</v>
      </c>
      <c r="Q56">
        <v>1000</v>
      </c>
      <c r="W56">
        <v>0</v>
      </c>
      <c r="X56">
        <v>1986080645</v>
      </c>
      <c r="Y56">
        <f>AT56</f>
        <v>3.0000000000000001E-5</v>
      </c>
      <c r="AA56">
        <v>16735.689999999999</v>
      </c>
      <c r="AB56">
        <v>0</v>
      </c>
      <c r="AC56">
        <v>0</v>
      </c>
      <c r="AD56">
        <v>0</v>
      </c>
      <c r="AE56">
        <v>16735.689999999999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3.0000000000000001E-5</v>
      </c>
      <c r="AU56" t="s">
        <v>3</v>
      </c>
      <c r="AV56">
        <v>0</v>
      </c>
      <c r="AW56">
        <v>2</v>
      </c>
      <c r="AX56">
        <v>59500071</v>
      </c>
      <c r="AY56">
        <v>1</v>
      </c>
      <c r="AZ56">
        <v>0</v>
      </c>
      <c r="BA56">
        <v>64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ROUND(Y56*Source!I201,9)</f>
        <v>6.0000000000000002E-5</v>
      </c>
      <c r="CY56">
        <f>AA56</f>
        <v>16735.689999999999</v>
      </c>
      <c r="CZ56">
        <f>AE56</f>
        <v>16735.689999999999</v>
      </c>
      <c r="DA56">
        <f>AI56</f>
        <v>1</v>
      </c>
      <c r="DB56">
        <f>ROUND(ROUND(AT56*CZ56,2),6)</f>
        <v>0.5</v>
      </c>
      <c r="DC56">
        <f>ROUND(ROUND(AT56*AG56,2),6)</f>
        <v>0</v>
      </c>
      <c r="DD56" t="s">
        <v>3</v>
      </c>
      <c r="DE56" t="s">
        <v>3</v>
      </c>
      <c r="DF56">
        <f>ROUND(ROUND(AE56,2)*CX56,2)</f>
        <v>1</v>
      </c>
      <c r="DG56">
        <f t="shared" si="3"/>
        <v>0</v>
      </c>
      <c r="DH56">
        <f t="shared" si="4"/>
        <v>0</v>
      </c>
      <c r="DI56">
        <f t="shared" si="5"/>
        <v>0</v>
      </c>
      <c r="DJ56">
        <f>DF56</f>
        <v>1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ROW(Source!A201)</f>
        <v>201</v>
      </c>
      <c r="B57">
        <v>59499218</v>
      </c>
      <c r="C57">
        <v>59499608</v>
      </c>
      <c r="D57">
        <v>0</v>
      </c>
      <c r="E57">
        <v>1080</v>
      </c>
      <c r="F57">
        <v>1</v>
      </c>
      <c r="G57">
        <v>1080</v>
      </c>
      <c r="H57">
        <v>3</v>
      </c>
      <c r="I57" t="s">
        <v>192</v>
      </c>
      <c r="J57" t="s">
        <v>3</v>
      </c>
      <c r="K57" t="s">
        <v>193</v>
      </c>
      <c r="L57">
        <v>1354</v>
      </c>
      <c r="N57">
        <v>1010</v>
      </c>
      <c r="O57" t="s">
        <v>124</v>
      </c>
      <c r="P57" t="s">
        <v>124</v>
      </c>
      <c r="Q57">
        <v>1</v>
      </c>
      <c r="W57">
        <v>0</v>
      </c>
      <c r="X57">
        <v>78082530</v>
      </c>
      <c r="Y57">
        <f>AT57</f>
        <v>1</v>
      </c>
      <c r="AA57">
        <v>38.82</v>
      </c>
      <c r="AB57">
        <v>0</v>
      </c>
      <c r="AC57">
        <v>0</v>
      </c>
      <c r="AD57">
        <v>0</v>
      </c>
      <c r="AE57">
        <v>38.82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 t="s">
        <v>3</v>
      </c>
      <c r="AT57">
        <v>1</v>
      </c>
      <c r="AU57" t="s">
        <v>3</v>
      </c>
      <c r="AV57">
        <v>0</v>
      </c>
      <c r="AW57">
        <v>1</v>
      </c>
      <c r="AX57">
        <v>-1</v>
      </c>
      <c r="AY57">
        <v>0</v>
      </c>
      <c r="AZ57">
        <v>0</v>
      </c>
      <c r="BA57" t="s">
        <v>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ROUND(Y57*Source!I201,9)</f>
        <v>2</v>
      </c>
      <c r="CY57">
        <f>AA57</f>
        <v>38.82</v>
      </c>
      <c r="CZ57">
        <f>AE57</f>
        <v>38.82</v>
      </c>
      <c r="DA57">
        <f>AI57</f>
        <v>1</v>
      </c>
      <c r="DB57">
        <f>ROUND(ROUND(AT57*CZ57,2),6)</f>
        <v>38.82</v>
      </c>
      <c r="DC57">
        <f>ROUND(ROUND(AT57*AG57,2),6)</f>
        <v>0</v>
      </c>
      <c r="DD57" t="s">
        <v>3</v>
      </c>
      <c r="DE57" t="s">
        <v>3</v>
      </c>
      <c r="DF57">
        <f>ROUND(ROUND(AE57,2)*CX57,2)</f>
        <v>77.64</v>
      </c>
      <c r="DG57">
        <f t="shared" si="3"/>
        <v>0</v>
      </c>
      <c r="DH57">
        <f t="shared" si="4"/>
        <v>0</v>
      </c>
      <c r="DI57">
        <f t="shared" si="5"/>
        <v>0</v>
      </c>
      <c r="DJ57">
        <f>DF57</f>
        <v>77.64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ROW(Source!A202)</f>
        <v>202</v>
      </c>
      <c r="B58">
        <v>59499215</v>
      </c>
      <c r="C58">
        <v>59499608</v>
      </c>
      <c r="D58">
        <v>58532980</v>
      </c>
      <c r="E58">
        <v>1080</v>
      </c>
      <c r="F58">
        <v>1</v>
      </c>
      <c r="G58">
        <v>1080</v>
      </c>
      <c r="H58">
        <v>1</v>
      </c>
      <c r="I58" t="s">
        <v>302</v>
      </c>
      <c r="J58" t="s">
        <v>3</v>
      </c>
      <c r="K58" t="s">
        <v>303</v>
      </c>
      <c r="L58">
        <v>1191</v>
      </c>
      <c r="N58">
        <v>1013</v>
      </c>
      <c r="O58" t="s">
        <v>304</v>
      </c>
      <c r="P58" t="s">
        <v>304</v>
      </c>
      <c r="Q58">
        <v>1</v>
      </c>
      <c r="W58">
        <v>0</v>
      </c>
      <c r="X58">
        <v>476480486</v>
      </c>
      <c r="Y58">
        <f>((AT58*1.15)*1.1)</f>
        <v>0.65780000000000005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5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0.52</v>
      </c>
      <c r="AU58" t="s">
        <v>40</v>
      </c>
      <c r="AV58">
        <v>1</v>
      </c>
      <c r="AW58">
        <v>2</v>
      </c>
      <c r="AX58">
        <v>59500070</v>
      </c>
      <c r="AY58">
        <v>1</v>
      </c>
      <c r="AZ58">
        <v>0</v>
      </c>
      <c r="BA58">
        <v>66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U58">
        <f>ROUND(AT58*Source!I202*AH58*AL58,2)</f>
        <v>0</v>
      </c>
      <c r="CV58">
        <f>ROUND(Y58*Source!I202,9)</f>
        <v>1.3156000000000001</v>
      </c>
      <c r="CW58">
        <v>0</v>
      </c>
      <c r="CX58">
        <f>ROUND(Y58*Source!I202,9)</f>
        <v>1.3156000000000001</v>
      </c>
      <c r="CY58">
        <f>AD58</f>
        <v>0</v>
      </c>
      <c r="CZ58">
        <f>AH58</f>
        <v>0</v>
      </c>
      <c r="DA58">
        <f>AL58</f>
        <v>1</v>
      </c>
      <c r="DB58">
        <f>ROUND(((ROUND(AT58*CZ58,2)*1.15)*1.1),6)</f>
        <v>0</v>
      </c>
      <c r="DC58">
        <f>ROUND(((ROUND(AT58*AG58,2)*1.15)*1.1),6)</f>
        <v>0</v>
      </c>
      <c r="DD58" t="s">
        <v>3</v>
      </c>
      <c r="DE58" t="s">
        <v>3</v>
      </c>
      <c r="DF58">
        <f>ROUND(ROUND(AE58,2)*CX58,2)</f>
        <v>0</v>
      </c>
      <c r="DG58">
        <f t="shared" si="3"/>
        <v>0</v>
      </c>
      <c r="DH58">
        <f t="shared" si="4"/>
        <v>0</v>
      </c>
      <c r="DI58">
        <f t="shared" si="5"/>
        <v>0</v>
      </c>
      <c r="DJ58">
        <f>DI58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ROW(Source!A202)</f>
        <v>202</v>
      </c>
      <c r="B59">
        <v>59499215</v>
      </c>
      <c r="C59">
        <v>59499608</v>
      </c>
      <c r="D59">
        <v>58576492</v>
      </c>
      <c r="E59">
        <v>1</v>
      </c>
      <c r="F59">
        <v>1</v>
      </c>
      <c r="G59">
        <v>1080</v>
      </c>
      <c r="H59">
        <v>3</v>
      </c>
      <c r="I59" t="s">
        <v>305</v>
      </c>
      <c r="J59" t="s">
        <v>306</v>
      </c>
      <c r="K59" t="s">
        <v>307</v>
      </c>
      <c r="L59">
        <v>1348</v>
      </c>
      <c r="N59">
        <v>1009</v>
      </c>
      <c r="O59" t="s">
        <v>242</v>
      </c>
      <c r="P59" t="s">
        <v>242</v>
      </c>
      <c r="Q59">
        <v>1000</v>
      </c>
      <c r="W59">
        <v>0</v>
      </c>
      <c r="X59">
        <v>1986080645</v>
      </c>
      <c r="Y59">
        <f>AT59</f>
        <v>3.0000000000000001E-5</v>
      </c>
      <c r="AA59">
        <v>265093.33</v>
      </c>
      <c r="AB59">
        <v>0</v>
      </c>
      <c r="AC59">
        <v>0</v>
      </c>
      <c r="AD59">
        <v>0</v>
      </c>
      <c r="AE59">
        <v>16735.689999999999</v>
      </c>
      <c r="AF59">
        <v>0</v>
      </c>
      <c r="AG59">
        <v>0</v>
      </c>
      <c r="AH59">
        <v>0</v>
      </c>
      <c r="AI59">
        <v>15.84</v>
      </c>
      <c r="AJ59">
        <v>1</v>
      </c>
      <c r="AK59">
        <v>1</v>
      </c>
      <c r="AL59">
        <v>1</v>
      </c>
      <c r="AM59">
        <v>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3.0000000000000001E-5</v>
      </c>
      <c r="AU59" t="s">
        <v>3</v>
      </c>
      <c r="AV59">
        <v>0</v>
      </c>
      <c r="AW59">
        <v>2</v>
      </c>
      <c r="AX59">
        <v>59500071</v>
      </c>
      <c r="AY59">
        <v>1</v>
      </c>
      <c r="AZ59">
        <v>0</v>
      </c>
      <c r="BA59">
        <v>67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ROUND(Y59*Source!I202,9)</f>
        <v>6.0000000000000002E-5</v>
      </c>
      <c r="CY59">
        <f>AA59</f>
        <v>265093.33</v>
      </c>
      <c r="CZ59">
        <f>AE59</f>
        <v>16735.689999999999</v>
      </c>
      <c r="DA59">
        <f>AI59</f>
        <v>15.84</v>
      </c>
      <c r="DB59">
        <f>ROUND(ROUND(AT59*CZ59,2),6)</f>
        <v>0.5</v>
      </c>
      <c r="DC59">
        <f>ROUND(ROUND(AT59*AG59,2),6)</f>
        <v>0</v>
      </c>
      <c r="DD59" t="s">
        <v>3</v>
      </c>
      <c r="DE59" t="s">
        <v>3</v>
      </c>
      <c r="DF59">
        <f>ROUND(ROUND(AE59*AI59,2)*CX59,2)</f>
        <v>15.91</v>
      </c>
      <c r="DG59">
        <f t="shared" si="3"/>
        <v>0</v>
      </c>
      <c r="DH59">
        <f t="shared" si="4"/>
        <v>0</v>
      </c>
      <c r="DI59">
        <f t="shared" si="5"/>
        <v>0</v>
      </c>
      <c r="DJ59">
        <f>DF59</f>
        <v>15.91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ROW(Source!A202)</f>
        <v>202</v>
      </c>
      <c r="B60">
        <v>59499215</v>
      </c>
      <c r="C60">
        <v>59499608</v>
      </c>
      <c r="D60">
        <v>0</v>
      </c>
      <c r="E60">
        <v>1080</v>
      </c>
      <c r="F60">
        <v>1</v>
      </c>
      <c r="G60">
        <v>1080</v>
      </c>
      <c r="H60">
        <v>3</v>
      </c>
      <c r="I60" t="s">
        <v>192</v>
      </c>
      <c r="J60" t="s">
        <v>3</v>
      </c>
      <c r="K60" t="s">
        <v>193</v>
      </c>
      <c r="L60">
        <v>1354</v>
      </c>
      <c r="N60">
        <v>1010</v>
      </c>
      <c r="O60" t="s">
        <v>124</v>
      </c>
      <c r="P60" t="s">
        <v>124</v>
      </c>
      <c r="Q60">
        <v>1</v>
      </c>
      <c r="W60">
        <v>0</v>
      </c>
      <c r="X60">
        <v>78082530</v>
      </c>
      <c r="Y60">
        <f>AT60</f>
        <v>1</v>
      </c>
      <c r="AA60">
        <v>383.54</v>
      </c>
      <c r="AB60">
        <v>0</v>
      </c>
      <c r="AC60">
        <v>0</v>
      </c>
      <c r="AD60">
        <v>0</v>
      </c>
      <c r="AE60">
        <v>38.82</v>
      </c>
      <c r="AF60">
        <v>0</v>
      </c>
      <c r="AG60">
        <v>0</v>
      </c>
      <c r="AH60">
        <v>0</v>
      </c>
      <c r="AI60">
        <v>9.8800000000000008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 t="s">
        <v>3</v>
      </c>
      <c r="AT60">
        <v>1</v>
      </c>
      <c r="AU60" t="s">
        <v>3</v>
      </c>
      <c r="AV60">
        <v>0</v>
      </c>
      <c r="AW60">
        <v>1</v>
      </c>
      <c r="AX60">
        <v>-1</v>
      </c>
      <c r="AY60">
        <v>0</v>
      </c>
      <c r="AZ60">
        <v>0</v>
      </c>
      <c r="BA60" t="s">
        <v>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v>0</v>
      </c>
      <c r="CX60">
        <f>ROUND(Y60*Source!I202,9)</f>
        <v>2</v>
      </c>
      <c r="CY60">
        <f>AA60</f>
        <v>383.54</v>
      </c>
      <c r="CZ60">
        <f>AE60</f>
        <v>38.82</v>
      </c>
      <c r="DA60">
        <f>AI60</f>
        <v>9.8800000000000008</v>
      </c>
      <c r="DB60">
        <f>ROUND(ROUND(AT60*CZ60,2),6)</f>
        <v>38.82</v>
      </c>
      <c r="DC60">
        <f>ROUND(ROUND(AT60*AG60,2),6)</f>
        <v>0</v>
      </c>
      <c r="DD60" t="s">
        <v>3</v>
      </c>
      <c r="DE60" t="s">
        <v>3</v>
      </c>
      <c r="DF60">
        <f>ROUND(ROUND(AE60*AI60,2)*CX60,2)</f>
        <v>767.08</v>
      </c>
      <c r="DG60">
        <f t="shared" si="3"/>
        <v>0</v>
      </c>
      <c r="DH60">
        <f t="shared" si="4"/>
        <v>0</v>
      </c>
      <c r="DI60">
        <f t="shared" si="5"/>
        <v>0</v>
      </c>
      <c r="DJ60">
        <f>DF60</f>
        <v>767.08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ROW(Source!A205)</f>
        <v>205</v>
      </c>
      <c r="B61">
        <v>59499218</v>
      </c>
      <c r="C61">
        <v>59499616</v>
      </c>
      <c r="D61">
        <v>58532980</v>
      </c>
      <c r="E61">
        <v>1080</v>
      </c>
      <c r="F61">
        <v>1</v>
      </c>
      <c r="G61">
        <v>1080</v>
      </c>
      <c r="H61">
        <v>1</v>
      </c>
      <c r="I61" t="s">
        <v>302</v>
      </c>
      <c r="J61" t="s">
        <v>3</v>
      </c>
      <c r="K61" t="s">
        <v>303</v>
      </c>
      <c r="L61">
        <v>1191</v>
      </c>
      <c r="N61">
        <v>1013</v>
      </c>
      <c r="O61" t="s">
        <v>304</v>
      </c>
      <c r="P61" t="s">
        <v>304</v>
      </c>
      <c r="Q61">
        <v>1</v>
      </c>
      <c r="W61">
        <v>0</v>
      </c>
      <c r="X61">
        <v>476480486</v>
      </c>
      <c r="Y61">
        <f>((AT61*1.15)*1.1)</f>
        <v>0.65780000000000005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0.52</v>
      </c>
      <c r="AU61" t="s">
        <v>40</v>
      </c>
      <c r="AV61">
        <v>1</v>
      </c>
      <c r="AW61">
        <v>2</v>
      </c>
      <c r="AX61">
        <v>59500073</v>
      </c>
      <c r="AY61">
        <v>1</v>
      </c>
      <c r="AZ61">
        <v>0</v>
      </c>
      <c r="BA61">
        <v>69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ROUND(AT61*Source!I205*AH61*AL61,2)</f>
        <v>0</v>
      </c>
      <c r="CV61">
        <f>ROUND(Y61*Source!I205,9)</f>
        <v>0.65780000000000005</v>
      </c>
      <c r="CW61">
        <v>0</v>
      </c>
      <c r="CX61">
        <f>ROUND(Y61*Source!I205,9)</f>
        <v>0.65780000000000005</v>
      </c>
      <c r="CY61">
        <f>AD61</f>
        <v>0</v>
      </c>
      <c r="CZ61">
        <f>AH61</f>
        <v>0</v>
      </c>
      <c r="DA61">
        <f>AL61</f>
        <v>1</v>
      </c>
      <c r="DB61">
        <f>ROUND(((ROUND(AT61*CZ61,2)*1.15)*1.1),6)</f>
        <v>0</v>
      </c>
      <c r="DC61">
        <f>ROUND(((ROUND(AT61*AG61,2)*1.15)*1.1),6)</f>
        <v>0</v>
      </c>
      <c r="DD61" t="s">
        <v>3</v>
      </c>
      <c r="DE61" t="s">
        <v>3</v>
      </c>
      <c r="DF61">
        <f>ROUND(ROUND(AE61,2)*CX61,2)</f>
        <v>0</v>
      </c>
      <c r="DG61">
        <f t="shared" si="3"/>
        <v>0</v>
      </c>
      <c r="DH61">
        <f t="shared" si="4"/>
        <v>0</v>
      </c>
      <c r="DI61">
        <f t="shared" si="5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ROW(Source!A205)</f>
        <v>205</v>
      </c>
      <c r="B62">
        <v>59499218</v>
      </c>
      <c r="C62">
        <v>59499616</v>
      </c>
      <c r="D62">
        <v>58576492</v>
      </c>
      <c r="E62">
        <v>1</v>
      </c>
      <c r="F62">
        <v>1</v>
      </c>
      <c r="G62">
        <v>1080</v>
      </c>
      <c r="H62">
        <v>3</v>
      </c>
      <c r="I62" t="s">
        <v>305</v>
      </c>
      <c r="J62" t="s">
        <v>306</v>
      </c>
      <c r="K62" t="s">
        <v>307</v>
      </c>
      <c r="L62">
        <v>1348</v>
      </c>
      <c r="N62">
        <v>1009</v>
      </c>
      <c r="O62" t="s">
        <v>242</v>
      </c>
      <c r="P62" t="s">
        <v>242</v>
      </c>
      <c r="Q62">
        <v>1000</v>
      </c>
      <c r="W62">
        <v>0</v>
      </c>
      <c r="X62">
        <v>1986080645</v>
      </c>
      <c r="Y62">
        <f>AT62</f>
        <v>3.0000000000000001E-5</v>
      </c>
      <c r="AA62">
        <v>16735.689999999999</v>
      </c>
      <c r="AB62">
        <v>0</v>
      </c>
      <c r="AC62">
        <v>0</v>
      </c>
      <c r="AD62">
        <v>0</v>
      </c>
      <c r="AE62">
        <v>16735.689999999999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3.0000000000000001E-5</v>
      </c>
      <c r="AU62" t="s">
        <v>3</v>
      </c>
      <c r="AV62">
        <v>0</v>
      </c>
      <c r="AW62">
        <v>2</v>
      </c>
      <c r="AX62">
        <v>59500074</v>
      </c>
      <c r="AY62">
        <v>1</v>
      </c>
      <c r="AZ62">
        <v>0</v>
      </c>
      <c r="BA62">
        <v>70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ROUND(Y62*Source!I205,9)</f>
        <v>3.0000000000000001E-5</v>
      </c>
      <c r="CY62">
        <f>AA62</f>
        <v>16735.689999999999</v>
      </c>
      <c r="CZ62">
        <f>AE62</f>
        <v>16735.689999999999</v>
      </c>
      <c r="DA62">
        <f>AI62</f>
        <v>1</v>
      </c>
      <c r="DB62">
        <f>ROUND(ROUND(AT62*CZ62,2),6)</f>
        <v>0.5</v>
      </c>
      <c r="DC62">
        <f>ROUND(ROUND(AT62*AG62,2),6)</f>
        <v>0</v>
      </c>
      <c r="DD62" t="s">
        <v>3</v>
      </c>
      <c r="DE62" t="s">
        <v>3</v>
      </c>
      <c r="DF62">
        <f>ROUND(ROUND(AE62,2)*CX62,2)</f>
        <v>0.5</v>
      </c>
      <c r="DG62">
        <f t="shared" si="3"/>
        <v>0</v>
      </c>
      <c r="DH62">
        <f t="shared" si="4"/>
        <v>0</v>
      </c>
      <c r="DI62">
        <f t="shared" si="5"/>
        <v>0</v>
      </c>
      <c r="DJ62">
        <f>DF62</f>
        <v>0.5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ROW(Source!A205)</f>
        <v>205</v>
      </c>
      <c r="B63">
        <v>59499218</v>
      </c>
      <c r="C63">
        <v>59499616</v>
      </c>
      <c r="D63">
        <v>0</v>
      </c>
      <c r="E63">
        <v>1080</v>
      </c>
      <c r="F63">
        <v>1</v>
      </c>
      <c r="G63">
        <v>1080</v>
      </c>
      <c r="H63">
        <v>3</v>
      </c>
      <c r="I63" t="s">
        <v>197</v>
      </c>
      <c r="J63" t="s">
        <v>3</v>
      </c>
      <c r="K63" t="s">
        <v>198</v>
      </c>
      <c r="L63">
        <v>1354</v>
      </c>
      <c r="N63">
        <v>1010</v>
      </c>
      <c r="O63" t="s">
        <v>124</v>
      </c>
      <c r="P63" t="s">
        <v>124</v>
      </c>
      <c r="Q63">
        <v>1</v>
      </c>
      <c r="W63">
        <v>0</v>
      </c>
      <c r="X63">
        <v>-501629636</v>
      </c>
      <c r="Y63">
        <f>AT63</f>
        <v>1</v>
      </c>
      <c r="AA63">
        <v>53.86</v>
      </c>
      <c r="AB63">
        <v>0</v>
      </c>
      <c r="AC63">
        <v>0</v>
      </c>
      <c r="AD63">
        <v>0</v>
      </c>
      <c r="AE63">
        <v>53.86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 t="s">
        <v>3</v>
      </c>
      <c r="AT63">
        <v>1</v>
      </c>
      <c r="AU63" t="s">
        <v>3</v>
      </c>
      <c r="AV63">
        <v>0</v>
      </c>
      <c r="AW63">
        <v>1</v>
      </c>
      <c r="AX63">
        <v>-1</v>
      </c>
      <c r="AY63">
        <v>0</v>
      </c>
      <c r="AZ63">
        <v>0</v>
      </c>
      <c r="BA63" t="s">
        <v>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ROUND(Y63*Source!I205,9)</f>
        <v>1</v>
      </c>
      <c r="CY63">
        <f>AA63</f>
        <v>53.86</v>
      </c>
      <c r="CZ63">
        <f>AE63</f>
        <v>53.86</v>
      </c>
      <c r="DA63">
        <f>AI63</f>
        <v>1</v>
      </c>
      <c r="DB63">
        <f>ROUND(ROUND(AT63*CZ63,2),6)</f>
        <v>53.86</v>
      </c>
      <c r="DC63">
        <f>ROUND(ROUND(AT63*AG63,2),6)</f>
        <v>0</v>
      </c>
      <c r="DD63" t="s">
        <v>3</v>
      </c>
      <c r="DE63" t="s">
        <v>3</v>
      </c>
      <c r="DF63">
        <f>ROUND(ROUND(AE63,2)*CX63,2)</f>
        <v>53.86</v>
      </c>
      <c r="DG63">
        <f t="shared" si="3"/>
        <v>0</v>
      </c>
      <c r="DH63">
        <f t="shared" si="4"/>
        <v>0</v>
      </c>
      <c r="DI63">
        <f t="shared" si="5"/>
        <v>0</v>
      </c>
      <c r="DJ63">
        <f>DF63</f>
        <v>53.86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ROW(Source!A206)</f>
        <v>206</v>
      </c>
      <c r="B64">
        <v>59499215</v>
      </c>
      <c r="C64">
        <v>59499616</v>
      </c>
      <c r="D64">
        <v>58532980</v>
      </c>
      <c r="E64">
        <v>1080</v>
      </c>
      <c r="F64">
        <v>1</v>
      </c>
      <c r="G64">
        <v>1080</v>
      </c>
      <c r="H64">
        <v>1</v>
      </c>
      <c r="I64" t="s">
        <v>302</v>
      </c>
      <c r="J64" t="s">
        <v>3</v>
      </c>
      <c r="K64" t="s">
        <v>303</v>
      </c>
      <c r="L64">
        <v>1191</v>
      </c>
      <c r="N64">
        <v>1013</v>
      </c>
      <c r="O64" t="s">
        <v>304</v>
      </c>
      <c r="P64" t="s">
        <v>304</v>
      </c>
      <c r="Q64">
        <v>1</v>
      </c>
      <c r="W64">
        <v>0</v>
      </c>
      <c r="X64">
        <v>476480486</v>
      </c>
      <c r="Y64">
        <f>((AT64*1.15)*1.1)</f>
        <v>0.65780000000000005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5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0.52</v>
      </c>
      <c r="AU64" t="s">
        <v>40</v>
      </c>
      <c r="AV64">
        <v>1</v>
      </c>
      <c r="AW64">
        <v>2</v>
      </c>
      <c r="AX64">
        <v>59500073</v>
      </c>
      <c r="AY64">
        <v>1</v>
      </c>
      <c r="AZ64">
        <v>0</v>
      </c>
      <c r="BA64">
        <v>72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U64">
        <f>ROUND(AT64*Source!I206*AH64*AL64,2)</f>
        <v>0</v>
      </c>
      <c r="CV64">
        <f>ROUND(Y64*Source!I206,9)</f>
        <v>0.65780000000000005</v>
      </c>
      <c r="CW64">
        <v>0</v>
      </c>
      <c r="CX64">
        <f>ROUND(Y64*Source!I206,9)</f>
        <v>0.65780000000000005</v>
      </c>
      <c r="CY64">
        <f>AD64</f>
        <v>0</v>
      </c>
      <c r="CZ64">
        <f>AH64</f>
        <v>0</v>
      </c>
      <c r="DA64">
        <f>AL64</f>
        <v>1</v>
      </c>
      <c r="DB64">
        <f>ROUND(((ROUND(AT64*CZ64,2)*1.15)*1.1),6)</f>
        <v>0</v>
      </c>
      <c r="DC64">
        <f>ROUND(((ROUND(AT64*AG64,2)*1.15)*1.1),6)</f>
        <v>0</v>
      </c>
      <c r="DD64" t="s">
        <v>3</v>
      </c>
      <c r="DE64" t="s">
        <v>3</v>
      </c>
      <c r="DF64">
        <f>ROUND(ROUND(AE64,2)*CX64,2)</f>
        <v>0</v>
      </c>
      <c r="DG64">
        <f t="shared" si="3"/>
        <v>0</v>
      </c>
      <c r="DH64">
        <f t="shared" si="4"/>
        <v>0</v>
      </c>
      <c r="DI64">
        <f t="shared" si="5"/>
        <v>0</v>
      </c>
      <c r="DJ64">
        <f>DI64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ROW(Source!A206)</f>
        <v>206</v>
      </c>
      <c r="B65">
        <v>59499215</v>
      </c>
      <c r="C65">
        <v>59499616</v>
      </c>
      <c r="D65">
        <v>58576492</v>
      </c>
      <c r="E65">
        <v>1</v>
      </c>
      <c r="F65">
        <v>1</v>
      </c>
      <c r="G65">
        <v>1080</v>
      </c>
      <c r="H65">
        <v>3</v>
      </c>
      <c r="I65" t="s">
        <v>305</v>
      </c>
      <c r="J65" t="s">
        <v>306</v>
      </c>
      <c r="K65" t="s">
        <v>307</v>
      </c>
      <c r="L65">
        <v>1348</v>
      </c>
      <c r="N65">
        <v>1009</v>
      </c>
      <c r="O65" t="s">
        <v>242</v>
      </c>
      <c r="P65" t="s">
        <v>242</v>
      </c>
      <c r="Q65">
        <v>1000</v>
      </c>
      <c r="W65">
        <v>0</v>
      </c>
      <c r="X65">
        <v>1986080645</v>
      </c>
      <c r="Y65">
        <f>AT65</f>
        <v>3.0000000000000001E-5</v>
      </c>
      <c r="AA65">
        <v>265093.33</v>
      </c>
      <c r="AB65">
        <v>0</v>
      </c>
      <c r="AC65">
        <v>0</v>
      </c>
      <c r="AD65">
        <v>0</v>
      </c>
      <c r="AE65">
        <v>16735.689999999999</v>
      </c>
      <c r="AF65">
        <v>0</v>
      </c>
      <c r="AG65">
        <v>0</v>
      </c>
      <c r="AH65">
        <v>0</v>
      </c>
      <c r="AI65">
        <v>15.84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3.0000000000000001E-5</v>
      </c>
      <c r="AU65" t="s">
        <v>3</v>
      </c>
      <c r="AV65">
        <v>0</v>
      </c>
      <c r="AW65">
        <v>2</v>
      </c>
      <c r="AX65">
        <v>59500074</v>
      </c>
      <c r="AY65">
        <v>1</v>
      </c>
      <c r="AZ65">
        <v>0</v>
      </c>
      <c r="BA65">
        <v>73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ROUND(Y65*Source!I206,9)</f>
        <v>3.0000000000000001E-5</v>
      </c>
      <c r="CY65">
        <f>AA65</f>
        <v>265093.33</v>
      </c>
      <c r="CZ65">
        <f>AE65</f>
        <v>16735.689999999999</v>
      </c>
      <c r="DA65">
        <f>AI65</f>
        <v>15.84</v>
      </c>
      <c r="DB65">
        <f>ROUND(ROUND(AT65*CZ65,2),6)</f>
        <v>0.5</v>
      </c>
      <c r="DC65">
        <f>ROUND(ROUND(AT65*AG65,2),6)</f>
        <v>0</v>
      </c>
      <c r="DD65" t="s">
        <v>3</v>
      </c>
      <c r="DE65" t="s">
        <v>3</v>
      </c>
      <c r="DF65">
        <f>ROUND(ROUND(AE65*AI65,2)*CX65,2)</f>
        <v>7.95</v>
      </c>
      <c r="DG65">
        <f t="shared" ref="DG65:DG96" si="6">ROUND(ROUND(AF65,2)*CX65,2)</f>
        <v>0</v>
      </c>
      <c r="DH65">
        <f t="shared" ref="DH65:DH96" si="7">ROUND(ROUND(AG65,2)*CX65,2)</f>
        <v>0</v>
      </c>
      <c r="DI65">
        <f t="shared" ref="DI65:DI96" si="8">ROUND(ROUND(AH65,2)*CX65,2)</f>
        <v>0</v>
      </c>
      <c r="DJ65">
        <f>DF65</f>
        <v>7.95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ROW(Source!A206)</f>
        <v>206</v>
      </c>
      <c r="B66">
        <v>59499215</v>
      </c>
      <c r="C66">
        <v>59499616</v>
      </c>
      <c r="D66">
        <v>0</v>
      </c>
      <c r="E66">
        <v>1080</v>
      </c>
      <c r="F66">
        <v>1</v>
      </c>
      <c r="G66">
        <v>1080</v>
      </c>
      <c r="H66">
        <v>3</v>
      </c>
      <c r="I66" t="s">
        <v>197</v>
      </c>
      <c r="J66" t="s">
        <v>3</v>
      </c>
      <c r="K66" t="s">
        <v>198</v>
      </c>
      <c r="L66">
        <v>1354</v>
      </c>
      <c r="N66">
        <v>1010</v>
      </c>
      <c r="O66" t="s">
        <v>124</v>
      </c>
      <c r="P66" t="s">
        <v>124</v>
      </c>
      <c r="Q66">
        <v>1</v>
      </c>
      <c r="W66">
        <v>0</v>
      </c>
      <c r="X66">
        <v>-501629636</v>
      </c>
      <c r="Y66">
        <f>AT66</f>
        <v>1</v>
      </c>
      <c r="AA66">
        <v>532.14</v>
      </c>
      <c r="AB66">
        <v>0</v>
      </c>
      <c r="AC66">
        <v>0</v>
      </c>
      <c r="AD66">
        <v>0</v>
      </c>
      <c r="AE66">
        <v>53.86</v>
      </c>
      <c r="AF66">
        <v>0</v>
      </c>
      <c r="AG66">
        <v>0</v>
      </c>
      <c r="AH66">
        <v>0</v>
      </c>
      <c r="AI66">
        <v>9.8800000000000008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 t="s">
        <v>3</v>
      </c>
      <c r="AT66">
        <v>1</v>
      </c>
      <c r="AU66" t="s">
        <v>3</v>
      </c>
      <c r="AV66">
        <v>0</v>
      </c>
      <c r="AW66">
        <v>1</v>
      </c>
      <c r="AX66">
        <v>-1</v>
      </c>
      <c r="AY66">
        <v>0</v>
      </c>
      <c r="AZ66">
        <v>0</v>
      </c>
      <c r="BA66" t="s">
        <v>3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ROUND(Y66*Source!I206,9)</f>
        <v>1</v>
      </c>
      <c r="CY66">
        <f>AA66</f>
        <v>532.14</v>
      </c>
      <c r="CZ66">
        <f>AE66</f>
        <v>53.86</v>
      </c>
      <c r="DA66">
        <f>AI66</f>
        <v>9.8800000000000008</v>
      </c>
      <c r="DB66">
        <f>ROUND(ROUND(AT66*CZ66,2),6)</f>
        <v>53.86</v>
      </c>
      <c r="DC66">
        <f>ROUND(ROUND(AT66*AG66,2),6)</f>
        <v>0</v>
      </c>
      <c r="DD66" t="s">
        <v>3</v>
      </c>
      <c r="DE66" t="s">
        <v>3</v>
      </c>
      <c r="DF66">
        <f>ROUND(ROUND(AE66*AI66,2)*CX66,2)</f>
        <v>532.14</v>
      </c>
      <c r="DG66">
        <f t="shared" si="6"/>
        <v>0</v>
      </c>
      <c r="DH66">
        <f t="shared" si="7"/>
        <v>0</v>
      </c>
      <c r="DI66">
        <f t="shared" si="8"/>
        <v>0</v>
      </c>
      <c r="DJ66">
        <f>DF66</f>
        <v>532.14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ROW(Source!A209)</f>
        <v>209</v>
      </c>
      <c r="B67">
        <v>59499218</v>
      </c>
      <c r="C67">
        <v>59499624</v>
      </c>
      <c r="D67">
        <v>58532980</v>
      </c>
      <c r="E67">
        <v>1080</v>
      </c>
      <c r="F67">
        <v>1</v>
      </c>
      <c r="G67">
        <v>1080</v>
      </c>
      <c r="H67">
        <v>1</v>
      </c>
      <c r="I67" t="s">
        <v>302</v>
      </c>
      <c r="J67" t="s">
        <v>3</v>
      </c>
      <c r="K67" t="s">
        <v>303</v>
      </c>
      <c r="L67">
        <v>1191</v>
      </c>
      <c r="N67">
        <v>1013</v>
      </c>
      <c r="O67" t="s">
        <v>304</v>
      </c>
      <c r="P67" t="s">
        <v>304</v>
      </c>
      <c r="Q67">
        <v>1</v>
      </c>
      <c r="W67">
        <v>0</v>
      </c>
      <c r="X67">
        <v>476480486</v>
      </c>
      <c r="Y67">
        <f>((AT67*1.15)*1.1)</f>
        <v>0.65780000000000005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0.52</v>
      </c>
      <c r="AU67" t="s">
        <v>40</v>
      </c>
      <c r="AV67">
        <v>1</v>
      </c>
      <c r="AW67">
        <v>2</v>
      </c>
      <c r="AX67">
        <v>59500076</v>
      </c>
      <c r="AY67">
        <v>1</v>
      </c>
      <c r="AZ67">
        <v>0</v>
      </c>
      <c r="BA67">
        <v>75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ROUND(AT67*Source!I209*AH67*AL67,2)</f>
        <v>0</v>
      </c>
      <c r="CV67">
        <f>ROUND(Y67*Source!I209,9)</f>
        <v>1.9734</v>
      </c>
      <c r="CW67">
        <v>0</v>
      </c>
      <c r="CX67">
        <f>ROUND(Y67*Source!I209,9)</f>
        <v>1.9734</v>
      </c>
      <c r="CY67">
        <f>AD67</f>
        <v>0</v>
      </c>
      <c r="CZ67">
        <f>AH67</f>
        <v>0</v>
      </c>
      <c r="DA67">
        <f>AL67</f>
        <v>1</v>
      </c>
      <c r="DB67">
        <f>ROUND(((ROUND(AT67*CZ67,2)*1.15)*1.1),6)</f>
        <v>0</v>
      </c>
      <c r="DC67">
        <f>ROUND(((ROUND(AT67*AG67,2)*1.15)*1.1),6)</f>
        <v>0</v>
      </c>
      <c r="DD67" t="s">
        <v>3</v>
      </c>
      <c r="DE67" t="s">
        <v>3</v>
      </c>
      <c r="DF67">
        <f>ROUND(ROUND(AE67,2)*CX67,2)</f>
        <v>0</v>
      </c>
      <c r="DG67">
        <f t="shared" si="6"/>
        <v>0</v>
      </c>
      <c r="DH67">
        <f t="shared" si="7"/>
        <v>0</v>
      </c>
      <c r="DI67">
        <f t="shared" si="8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ROW(Source!A209)</f>
        <v>209</v>
      </c>
      <c r="B68">
        <v>59499218</v>
      </c>
      <c r="C68">
        <v>59499624</v>
      </c>
      <c r="D68">
        <v>58576492</v>
      </c>
      <c r="E68">
        <v>1</v>
      </c>
      <c r="F68">
        <v>1</v>
      </c>
      <c r="G68">
        <v>1080</v>
      </c>
      <c r="H68">
        <v>3</v>
      </c>
      <c r="I68" t="s">
        <v>305</v>
      </c>
      <c r="J68" t="s">
        <v>306</v>
      </c>
      <c r="K68" t="s">
        <v>307</v>
      </c>
      <c r="L68">
        <v>1348</v>
      </c>
      <c r="N68">
        <v>1009</v>
      </c>
      <c r="O68" t="s">
        <v>242</v>
      </c>
      <c r="P68" t="s">
        <v>242</v>
      </c>
      <c r="Q68">
        <v>1000</v>
      </c>
      <c r="W68">
        <v>0</v>
      </c>
      <c r="X68">
        <v>1986080645</v>
      </c>
      <c r="Y68">
        <f>AT68</f>
        <v>3.0000000000000001E-5</v>
      </c>
      <c r="AA68">
        <v>16735.689999999999</v>
      </c>
      <c r="AB68">
        <v>0</v>
      </c>
      <c r="AC68">
        <v>0</v>
      </c>
      <c r="AD68">
        <v>0</v>
      </c>
      <c r="AE68">
        <v>16735.689999999999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3.0000000000000001E-5</v>
      </c>
      <c r="AU68" t="s">
        <v>3</v>
      </c>
      <c r="AV68">
        <v>0</v>
      </c>
      <c r="AW68">
        <v>2</v>
      </c>
      <c r="AX68">
        <v>59500077</v>
      </c>
      <c r="AY68">
        <v>1</v>
      </c>
      <c r="AZ68">
        <v>0</v>
      </c>
      <c r="BA68">
        <v>76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ROUND(Y68*Source!I209,9)</f>
        <v>9.0000000000000006E-5</v>
      </c>
      <c r="CY68">
        <f>AA68</f>
        <v>16735.689999999999</v>
      </c>
      <c r="CZ68">
        <f>AE68</f>
        <v>16735.689999999999</v>
      </c>
      <c r="DA68">
        <f>AI68</f>
        <v>1</v>
      </c>
      <c r="DB68">
        <f>ROUND(ROUND(AT68*CZ68,2),6)</f>
        <v>0.5</v>
      </c>
      <c r="DC68">
        <f>ROUND(ROUND(AT68*AG68,2),6)</f>
        <v>0</v>
      </c>
      <c r="DD68" t="s">
        <v>3</v>
      </c>
      <c r="DE68" t="s">
        <v>3</v>
      </c>
      <c r="DF68">
        <f>ROUND(ROUND(AE68,2)*CX68,2)</f>
        <v>1.51</v>
      </c>
      <c r="DG68">
        <f t="shared" si="6"/>
        <v>0</v>
      </c>
      <c r="DH68">
        <f t="shared" si="7"/>
        <v>0</v>
      </c>
      <c r="DI68">
        <f t="shared" si="8"/>
        <v>0</v>
      </c>
      <c r="DJ68">
        <f>DF68</f>
        <v>1.51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ROW(Source!A209)</f>
        <v>209</v>
      </c>
      <c r="B69">
        <v>59499218</v>
      </c>
      <c r="C69">
        <v>59499624</v>
      </c>
      <c r="D69">
        <v>0</v>
      </c>
      <c r="E69">
        <v>1080</v>
      </c>
      <c r="F69">
        <v>1</v>
      </c>
      <c r="G69">
        <v>1080</v>
      </c>
      <c r="H69">
        <v>3</v>
      </c>
      <c r="I69" t="s">
        <v>201</v>
      </c>
      <c r="J69" t="s">
        <v>3</v>
      </c>
      <c r="K69" t="s">
        <v>202</v>
      </c>
      <c r="L69">
        <v>1354</v>
      </c>
      <c r="N69">
        <v>1010</v>
      </c>
      <c r="O69" t="s">
        <v>124</v>
      </c>
      <c r="P69" t="s">
        <v>124</v>
      </c>
      <c r="Q69">
        <v>1</v>
      </c>
      <c r="W69">
        <v>0</v>
      </c>
      <c r="X69">
        <v>-2007388342</v>
      </c>
      <c r="Y69">
        <f>AT69</f>
        <v>1</v>
      </c>
      <c r="AA69">
        <v>53.86</v>
      </c>
      <c r="AB69">
        <v>0</v>
      </c>
      <c r="AC69">
        <v>0</v>
      </c>
      <c r="AD69">
        <v>0</v>
      </c>
      <c r="AE69">
        <v>53.86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 t="s">
        <v>3</v>
      </c>
      <c r="AT69">
        <v>1</v>
      </c>
      <c r="AU69" t="s">
        <v>3</v>
      </c>
      <c r="AV69">
        <v>0</v>
      </c>
      <c r="AW69">
        <v>1</v>
      </c>
      <c r="AX69">
        <v>-1</v>
      </c>
      <c r="AY69">
        <v>0</v>
      </c>
      <c r="AZ69">
        <v>0</v>
      </c>
      <c r="BA69" t="s">
        <v>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v>0</v>
      </c>
      <c r="CX69">
        <f>ROUND(Y69*Source!I209,9)</f>
        <v>3</v>
      </c>
      <c r="CY69">
        <f>AA69</f>
        <v>53.86</v>
      </c>
      <c r="CZ69">
        <f>AE69</f>
        <v>53.86</v>
      </c>
      <c r="DA69">
        <f>AI69</f>
        <v>1</v>
      </c>
      <c r="DB69">
        <f>ROUND(ROUND(AT69*CZ69,2),6)</f>
        <v>53.86</v>
      </c>
      <c r="DC69">
        <f>ROUND(ROUND(AT69*AG69,2),6)</f>
        <v>0</v>
      </c>
      <c r="DD69" t="s">
        <v>3</v>
      </c>
      <c r="DE69" t="s">
        <v>3</v>
      </c>
      <c r="DF69">
        <f>ROUND(ROUND(AE69,2)*CX69,2)</f>
        <v>161.58000000000001</v>
      </c>
      <c r="DG69">
        <f t="shared" si="6"/>
        <v>0</v>
      </c>
      <c r="DH69">
        <f t="shared" si="7"/>
        <v>0</v>
      </c>
      <c r="DI69">
        <f t="shared" si="8"/>
        <v>0</v>
      </c>
      <c r="DJ69">
        <f>DF69</f>
        <v>161.58000000000001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ROW(Source!A210)</f>
        <v>210</v>
      </c>
      <c r="B70">
        <v>59499215</v>
      </c>
      <c r="C70">
        <v>59499624</v>
      </c>
      <c r="D70">
        <v>58532980</v>
      </c>
      <c r="E70">
        <v>1080</v>
      </c>
      <c r="F70">
        <v>1</v>
      </c>
      <c r="G70">
        <v>1080</v>
      </c>
      <c r="H70">
        <v>1</v>
      </c>
      <c r="I70" t="s">
        <v>302</v>
      </c>
      <c r="J70" t="s">
        <v>3</v>
      </c>
      <c r="K70" t="s">
        <v>303</v>
      </c>
      <c r="L70">
        <v>1191</v>
      </c>
      <c r="N70">
        <v>1013</v>
      </c>
      <c r="O70" t="s">
        <v>304</v>
      </c>
      <c r="P70" t="s">
        <v>304</v>
      </c>
      <c r="Q70">
        <v>1</v>
      </c>
      <c r="W70">
        <v>0</v>
      </c>
      <c r="X70">
        <v>476480486</v>
      </c>
      <c r="Y70">
        <f>((AT70*1.15)*1.1)</f>
        <v>0.65780000000000005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5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0.52</v>
      </c>
      <c r="AU70" t="s">
        <v>40</v>
      </c>
      <c r="AV70">
        <v>1</v>
      </c>
      <c r="AW70">
        <v>2</v>
      </c>
      <c r="AX70">
        <v>59500076</v>
      </c>
      <c r="AY70">
        <v>1</v>
      </c>
      <c r="AZ70">
        <v>0</v>
      </c>
      <c r="BA70">
        <v>78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U70">
        <f>ROUND(AT70*Source!I210*AH70*AL70,2)</f>
        <v>0</v>
      </c>
      <c r="CV70">
        <f>ROUND(Y70*Source!I210,9)</f>
        <v>1.9734</v>
      </c>
      <c r="CW70">
        <v>0</v>
      </c>
      <c r="CX70">
        <f>ROUND(Y70*Source!I210,9)</f>
        <v>1.9734</v>
      </c>
      <c r="CY70">
        <f>AD70</f>
        <v>0</v>
      </c>
      <c r="CZ70">
        <f>AH70</f>
        <v>0</v>
      </c>
      <c r="DA70">
        <f>AL70</f>
        <v>1</v>
      </c>
      <c r="DB70">
        <f>ROUND(((ROUND(AT70*CZ70,2)*1.15)*1.1),6)</f>
        <v>0</v>
      </c>
      <c r="DC70">
        <f>ROUND(((ROUND(AT70*AG70,2)*1.15)*1.1),6)</f>
        <v>0</v>
      </c>
      <c r="DD70" t="s">
        <v>3</v>
      </c>
      <c r="DE70" t="s">
        <v>3</v>
      </c>
      <c r="DF70">
        <f>ROUND(ROUND(AE70,2)*CX70,2)</f>
        <v>0</v>
      </c>
      <c r="DG70">
        <f t="shared" si="6"/>
        <v>0</v>
      </c>
      <c r="DH70">
        <f t="shared" si="7"/>
        <v>0</v>
      </c>
      <c r="DI70">
        <f t="shared" si="8"/>
        <v>0</v>
      </c>
      <c r="DJ70">
        <f>DI70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ROW(Source!A210)</f>
        <v>210</v>
      </c>
      <c r="B71">
        <v>59499215</v>
      </c>
      <c r="C71">
        <v>59499624</v>
      </c>
      <c r="D71">
        <v>58576492</v>
      </c>
      <c r="E71">
        <v>1</v>
      </c>
      <c r="F71">
        <v>1</v>
      </c>
      <c r="G71">
        <v>1080</v>
      </c>
      <c r="H71">
        <v>3</v>
      </c>
      <c r="I71" t="s">
        <v>305</v>
      </c>
      <c r="J71" t="s">
        <v>306</v>
      </c>
      <c r="K71" t="s">
        <v>307</v>
      </c>
      <c r="L71">
        <v>1348</v>
      </c>
      <c r="N71">
        <v>1009</v>
      </c>
      <c r="O71" t="s">
        <v>242</v>
      </c>
      <c r="P71" t="s">
        <v>242</v>
      </c>
      <c r="Q71">
        <v>1000</v>
      </c>
      <c r="W71">
        <v>0</v>
      </c>
      <c r="X71">
        <v>1986080645</v>
      </c>
      <c r="Y71">
        <f>AT71</f>
        <v>3.0000000000000001E-5</v>
      </c>
      <c r="AA71">
        <v>265093.33</v>
      </c>
      <c r="AB71">
        <v>0</v>
      </c>
      <c r="AC71">
        <v>0</v>
      </c>
      <c r="AD71">
        <v>0</v>
      </c>
      <c r="AE71">
        <v>16735.689999999999</v>
      </c>
      <c r="AF71">
        <v>0</v>
      </c>
      <c r="AG71">
        <v>0</v>
      </c>
      <c r="AH71">
        <v>0</v>
      </c>
      <c r="AI71">
        <v>15.84</v>
      </c>
      <c r="AJ71">
        <v>1</v>
      </c>
      <c r="AK71">
        <v>1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3.0000000000000001E-5</v>
      </c>
      <c r="AU71" t="s">
        <v>3</v>
      </c>
      <c r="AV71">
        <v>0</v>
      </c>
      <c r="AW71">
        <v>2</v>
      </c>
      <c r="AX71">
        <v>59500077</v>
      </c>
      <c r="AY71">
        <v>1</v>
      </c>
      <c r="AZ71">
        <v>0</v>
      </c>
      <c r="BA71">
        <v>79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ROUND(Y71*Source!I210,9)</f>
        <v>9.0000000000000006E-5</v>
      </c>
      <c r="CY71">
        <f>AA71</f>
        <v>265093.33</v>
      </c>
      <c r="CZ71">
        <f>AE71</f>
        <v>16735.689999999999</v>
      </c>
      <c r="DA71">
        <f>AI71</f>
        <v>15.84</v>
      </c>
      <c r="DB71">
        <f>ROUND(ROUND(AT71*CZ71,2),6)</f>
        <v>0.5</v>
      </c>
      <c r="DC71">
        <f>ROUND(ROUND(AT71*AG71,2),6)</f>
        <v>0</v>
      </c>
      <c r="DD71" t="s">
        <v>3</v>
      </c>
      <c r="DE71" t="s">
        <v>3</v>
      </c>
      <c r="DF71">
        <f>ROUND(ROUND(AE71*AI71,2)*CX71,2)</f>
        <v>23.86</v>
      </c>
      <c r="DG71">
        <f t="shared" si="6"/>
        <v>0</v>
      </c>
      <c r="DH71">
        <f t="shared" si="7"/>
        <v>0</v>
      </c>
      <c r="DI71">
        <f t="shared" si="8"/>
        <v>0</v>
      </c>
      <c r="DJ71">
        <f>DF71</f>
        <v>23.86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ROW(Source!A210)</f>
        <v>210</v>
      </c>
      <c r="B72">
        <v>59499215</v>
      </c>
      <c r="C72">
        <v>59499624</v>
      </c>
      <c r="D72">
        <v>0</v>
      </c>
      <c r="E72">
        <v>1080</v>
      </c>
      <c r="F72">
        <v>1</v>
      </c>
      <c r="G72">
        <v>1080</v>
      </c>
      <c r="H72">
        <v>3</v>
      </c>
      <c r="I72" t="s">
        <v>201</v>
      </c>
      <c r="J72" t="s">
        <v>3</v>
      </c>
      <c r="K72" t="s">
        <v>202</v>
      </c>
      <c r="L72">
        <v>1354</v>
      </c>
      <c r="N72">
        <v>1010</v>
      </c>
      <c r="O72" t="s">
        <v>124</v>
      </c>
      <c r="P72" t="s">
        <v>124</v>
      </c>
      <c r="Q72">
        <v>1</v>
      </c>
      <c r="W72">
        <v>0</v>
      </c>
      <c r="X72">
        <v>-2007388342</v>
      </c>
      <c r="Y72">
        <f>AT72</f>
        <v>1</v>
      </c>
      <c r="AA72">
        <v>532.14</v>
      </c>
      <c r="AB72">
        <v>0</v>
      </c>
      <c r="AC72">
        <v>0</v>
      </c>
      <c r="AD72">
        <v>0</v>
      </c>
      <c r="AE72">
        <v>53.86</v>
      </c>
      <c r="AF72">
        <v>0</v>
      </c>
      <c r="AG72">
        <v>0</v>
      </c>
      <c r="AH72">
        <v>0</v>
      </c>
      <c r="AI72">
        <v>9.8800000000000008</v>
      </c>
      <c r="AJ72">
        <v>1</v>
      </c>
      <c r="AK72">
        <v>1</v>
      </c>
      <c r="AL72">
        <v>1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 t="s">
        <v>3</v>
      </c>
      <c r="AT72">
        <v>1</v>
      </c>
      <c r="AU72" t="s">
        <v>3</v>
      </c>
      <c r="AV72">
        <v>0</v>
      </c>
      <c r="AW72">
        <v>1</v>
      </c>
      <c r="AX72">
        <v>-1</v>
      </c>
      <c r="AY72">
        <v>0</v>
      </c>
      <c r="AZ72">
        <v>0</v>
      </c>
      <c r="BA72" t="s">
        <v>3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ROUND(Y72*Source!I210,9)</f>
        <v>3</v>
      </c>
      <c r="CY72">
        <f>AA72</f>
        <v>532.14</v>
      </c>
      <c r="CZ72">
        <f>AE72</f>
        <v>53.86</v>
      </c>
      <c r="DA72">
        <f>AI72</f>
        <v>9.8800000000000008</v>
      </c>
      <c r="DB72">
        <f>ROUND(ROUND(AT72*CZ72,2),6)</f>
        <v>53.86</v>
      </c>
      <c r="DC72">
        <f>ROUND(ROUND(AT72*AG72,2),6)</f>
        <v>0</v>
      </c>
      <c r="DD72" t="s">
        <v>3</v>
      </c>
      <c r="DE72" t="s">
        <v>3</v>
      </c>
      <c r="DF72">
        <f>ROUND(ROUND(AE72*AI72,2)*CX72,2)</f>
        <v>1596.42</v>
      </c>
      <c r="DG72">
        <f t="shared" si="6"/>
        <v>0</v>
      </c>
      <c r="DH72">
        <f t="shared" si="7"/>
        <v>0</v>
      </c>
      <c r="DI72">
        <f t="shared" si="8"/>
        <v>0</v>
      </c>
      <c r="DJ72">
        <f>DF72</f>
        <v>1596.42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ROW(Source!A213)</f>
        <v>213</v>
      </c>
      <c r="B73">
        <v>59499218</v>
      </c>
      <c r="C73">
        <v>59499632</v>
      </c>
      <c r="D73">
        <v>58532980</v>
      </c>
      <c r="E73">
        <v>1080</v>
      </c>
      <c r="F73">
        <v>1</v>
      </c>
      <c r="G73">
        <v>1080</v>
      </c>
      <c r="H73">
        <v>1</v>
      </c>
      <c r="I73" t="s">
        <v>302</v>
      </c>
      <c r="J73" t="s">
        <v>3</v>
      </c>
      <c r="K73" t="s">
        <v>303</v>
      </c>
      <c r="L73">
        <v>1191</v>
      </c>
      <c r="N73">
        <v>1013</v>
      </c>
      <c r="O73" t="s">
        <v>304</v>
      </c>
      <c r="P73" t="s">
        <v>304</v>
      </c>
      <c r="Q73">
        <v>1</v>
      </c>
      <c r="W73">
        <v>0</v>
      </c>
      <c r="X73">
        <v>476480486</v>
      </c>
      <c r="Y73">
        <f>((AT73*1.15)*1.1)</f>
        <v>0.65780000000000005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0.52</v>
      </c>
      <c r="AU73" t="s">
        <v>40</v>
      </c>
      <c r="AV73">
        <v>1</v>
      </c>
      <c r="AW73">
        <v>2</v>
      </c>
      <c r="AX73">
        <v>59500079</v>
      </c>
      <c r="AY73">
        <v>1</v>
      </c>
      <c r="AZ73">
        <v>0</v>
      </c>
      <c r="BA73">
        <v>81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ROUND(AT73*Source!I213*AH73*AL73,2)</f>
        <v>0</v>
      </c>
      <c r="CV73">
        <f>ROUND(Y73*Source!I213,9)</f>
        <v>1.9734</v>
      </c>
      <c r="CW73">
        <v>0</v>
      </c>
      <c r="CX73">
        <f>ROUND(Y73*Source!I213,9)</f>
        <v>1.9734</v>
      </c>
      <c r="CY73">
        <f>AD73</f>
        <v>0</v>
      </c>
      <c r="CZ73">
        <f>AH73</f>
        <v>0</v>
      </c>
      <c r="DA73">
        <f>AL73</f>
        <v>1</v>
      </c>
      <c r="DB73">
        <f>ROUND(((ROUND(AT73*CZ73,2)*1.15)*1.1),6)</f>
        <v>0</v>
      </c>
      <c r="DC73">
        <f>ROUND(((ROUND(AT73*AG73,2)*1.15)*1.1),6)</f>
        <v>0</v>
      </c>
      <c r="DD73" t="s">
        <v>3</v>
      </c>
      <c r="DE73" t="s">
        <v>3</v>
      </c>
      <c r="DF73">
        <f>ROUND(ROUND(AE73,2)*CX73,2)</f>
        <v>0</v>
      </c>
      <c r="DG73">
        <f t="shared" si="6"/>
        <v>0</v>
      </c>
      <c r="DH73">
        <f t="shared" si="7"/>
        <v>0</v>
      </c>
      <c r="DI73">
        <f t="shared" si="8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ROW(Source!A213)</f>
        <v>213</v>
      </c>
      <c r="B74">
        <v>59499218</v>
      </c>
      <c r="C74">
        <v>59499632</v>
      </c>
      <c r="D74">
        <v>58576492</v>
      </c>
      <c r="E74">
        <v>1</v>
      </c>
      <c r="F74">
        <v>1</v>
      </c>
      <c r="G74">
        <v>1080</v>
      </c>
      <c r="H74">
        <v>3</v>
      </c>
      <c r="I74" t="s">
        <v>305</v>
      </c>
      <c r="J74" t="s">
        <v>306</v>
      </c>
      <c r="K74" t="s">
        <v>307</v>
      </c>
      <c r="L74">
        <v>1348</v>
      </c>
      <c r="N74">
        <v>1009</v>
      </c>
      <c r="O74" t="s">
        <v>242</v>
      </c>
      <c r="P74" t="s">
        <v>242</v>
      </c>
      <c r="Q74">
        <v>1000</v>
      </c>
      <c r="W74">
        <v>0</v>
      </c>
      <c r="X74">
        <v>1986080645</v>
      </c>
      <c r="Y74">
        <f>AT74</f>
        <v>3.0000000000000001E-5</v>
      </c>
      <c r="AA74">
        <v>16735.689999999999</v>
      </c>
      <c r="AB74">
        <v>0</v>
      </c>
      <c r="AC74">
        <v>0</v>
      </c>
      <c r="AD74">
        <v>0</v>
      </c>
      <c r="AE74">
        <v>16735.689999999999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3.0000000000000001E-5</v>
      </c>
      <c r="AU74" t="s">
        <v>3</v>
      </c>
      <c r="AV74">
        <v>0</v>
      </c>
      <c r="AW74">
        <v>2</v>
      </c>
      <c r="AX74">
        <v>59500080</v>
      </c>
      <c r="AY74">
        <v>1</v>
      </c>
      <c r="AZ74">
        <v>0</v>
      </c>
      <c r="BA74">
        <v>82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ROUND(Y74*Source!I213,9)</f>
        <v>9.0000000000000006E-5</v>
      </c>
      <c r="CY74">
        <f>AA74</f>
        <v>16735.689999999999</v>
      </c>
      <c r="CZ74">
        <f>AE74</f>
        <v>16735.689999999999</v>
      </c>
      <c r="DA74">
        <f>AI74</f>
        <v>1</v>
      </c>
      <c r="DB74">
        <f>ROUND(ROUND(AT74*CZ74,2),6)</f>
        <v>0.5</v>
      </c>
      <c r="DC74">
        <f>ROUND(ROUND(AT74*AG74,2),6)</f>
        <v>0</v>
      </c>
      <c r="DD74" t="s">
        <v>3</v>
      </c>
      <c r="DE74" t="s">
        <v>3</v>
      </c>
      <c r="DF74">
        <f>ROUND(ROUND(AE74,2)*CX74,2)</f>
        <v>1.51</v>
      </c>
      <c r="DG74">
        <f t="shared" si="6"/>
        <v>0</v>
      </c>
      <c r="DH74">
        <f t="shared" si="7"/>
        <v>0</v>
      </c>
      <c r="DI74">
        <f t="shared" si="8"/>
        <v>0</v>
      </c>
      <c r="DJ74">
        <f>DF74</f>
        <v>1.51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ROW(Source!A213)</f>
        <v>213</v>
      </c>
      <c r="B75">
        <v>59499218</v>
      </c>
      <c r="C75">
        <v>59499632</v>
      </c>
      <c r="D75">
        <v>0</v>
      </c>
      <c r="E75">
        <v>1080</v>
      </c>
      <c r="F75">
        <v>1</v>
      </c>
      <c r="G75">
        <v>1080</v>
      </c>
      <c r="H75">
        <v>3</v>
      </c>
      <c r="I75" t="s">
        <v>205</v>
      </c>
      <c r="J75" t="s">
        <v>3</v>
      </c>
      <c r="K75" t="s">
        <v>206</v>
      </c>
      <c r="L75">
        <v>1354</v>
      </c>
      <c r="N75">
        <v>1010</v>
      </c>
      <c r="O75" t="s">
        <v>124</v>
      </c>
      <c r="P75" t="s">
        <v>124</v>
      </c>
      <c r="Q75">
        <v>1</v>
      </c>
      <c r="W75">
        <v>0</v>
      </c>
      <c r="X75">
        <v>199806789</v>
      </c>
      <c r="Y75">
        <f>AT75</f>
        <v>1</v>
      </c>
      <c r="AA75">
        <v>53.86</v>
      </c>
      <c r="AB75">
        <v>0</v>
      </c>
      <c r="AC75">
        <v>0</v>
      </c>
      <c r="AD75">
        <v>0</v>
      </c>
      <c r="AE75">
        <v>53.86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 t="s">
        <v>3</v>
      </c>
      <c r="AT75">
        <v>1</v>
      </c>
      <c r="AU75" t="s">
        <v>3</v>
      </c>
      <c r="AV75">
        <v>0</v>
      </c>
      <c r="AW75">
        <v>1</v>
      </c>
      <c r="AX75">
        <v>-1</v>
      </c>
      <c r="AY75">
        <v>0</v>
      </c>
      <c r="AZ75">
        <v>0</v>
      </c>
      <c r="BA75" t="s">
        <v>3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ROUND(Y75*Source!I213,9)</f>
        <v>3</v>
      </c>
      <c r="CY75">
        <f>AA75</f>
        <v>53.86</v>
      </c>
      <c r="CZ75">
        <f>AE75</f>
        <v>53.86</v>
      </c>
      <c r="DA75">
        <f>AI75</f>
        <v>1</v>
      </c>
      <c r="DB75">
        <f>ROUND(ROUND(AT75*CZ75,2),6)</f>
        <v>53.86</v>
      </c>
      <c r="DC75">
        <f>ROUND(ROUND(AT75*AG75,2),6)</f>
        <v>0</v>
      </c>
      <c r="DD75" t="s">
        <v>3</v>
      </c>
      <c r="DE75" t="s">
        <v>3</v>
      </c>
      <c r="DF75">
        <f>ROUND(ROUND(AE75,2)*CX75,2)</f>
        <v>161.58000000000001</v>
      </c>
      <c r="DG75">
        <f t="shared" si="6"/>
        <v>0</v>
      </c>
      <c r="DH75">
        <f t="shared" si="7"/>
        <v>0</v>
      </c>
      <c r="DI75">
        <f t="shared" si="8"/>
        <v>0</v>
      </c>
      <c r="DJ75">
        <f>DF75</f>
        <v>161.58000000000001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ROW(Source!A214)</f>
        <v>214</v>
      </c>
      <c r="B76">
        <v>59499215</v>
      </c>
      <c r="C76">
        <v>59499632</v>
      </c>
      <c r="D76">
        <v>58532980</v>
      </c>
      <c r="E76">
        <v>1080</v>
      </c>
      <c r="F76">
        <v>1</v>
      </c>
      <c r="G76">
        <v>1080</v>
      </c>
      <c r="H76">
        <v>1</v>
      </c>
      <c r="I76" t="s">
        <v>302</v>
      </c>
      <c r="J76" t="s">
        <v>3</v>
      </c>
      <c r="K76" t="s">
        <v>303</v>
      </c>
      <c r="L76">
        <v>1191</v>
      </c>
      <c r="N76">
        <v>1013</v>
      </c>
      <c r="O76" t="s">
        <v>304</v>
      </c>
      <c r="P76" t="s">
        <v>304</v>
      </c>
      <c r="Q76">
        <v>1</v>
      </c>
      <c r="W76">
        <v>0</v>
      </c>
      <c r="X76">
        <v>476480486</v>
      </c>
      <c r="Y76">
        <f>((AT76*1.15)*1.1)</f>
        <v>0.65780000000000005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5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0.52</v>
      </c>
      <c r="AU76" t="s">
        <v>40</v>
      </c>
      <c r="AV76">
        <v>1</v>
      </c>
      <c r="AW76">
        <v>2</v>
      </c>
      <c r="AX76">
        <v>59500079</v>
      </c>
      <c r="AY76">
        <v>1</v>
      </c>
      <c r="AZ76">
        <v>0</v>
      </c>
      <c r="BA76">
        <v>84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U76">
        <f>ROUND(AT76*Source!I214*AH76*AL76,2)</f>
        <v>0</v>
      </c>
      <c r="CV76">
        <f>ROUND(Y76*Source!I214,9)</f>
        <v>1.9734</v>
      </c>
      <c r="CW76">
        <v>0</v>
      </c>
      <c r="CX76">
        <f>ROUND(Y76*Source!I214,9)</f>
        <v>1.9734</v>
      </c>
      <c r="CY76">
        <f>AD76</f>
        <v>0</v>
      </c>
      <c r="CZ76">
        <f>AH76</f>
        <v>0</v>
      </c>
      <c r="DA76">
        <f>AL76</f>
        <v>1</v>
      </c>
      <c r="DB76">
        <f>ROUND(((ROUND(AT76*CZ76,2)*1.15)*1.1),6)</f>
        <v>0</v>
      </c>
      <c r="DC76">
        <f>ROUND(((ROUND(AT76*AG76,2)*1.15)*1.1),6)</f>
        <v>0</v>
      </c>
      <c r="DD76" t="s">
        <v>3</v>
      </c>
      <c r="DE76" t="s">
        <v>3</v>
      </c>
      <c r="DF76">
        <f>ROUND(ROUND(AE76,2)*CX76,2)</f>
        <v>0</v>
      </c>
      <c r="DG76">
        <f t="shared" si="6"/>
        <v>0</v>
      </c>
      <c r="DH76">
        <f t="shared" si="7"/>
        <v>0</v>
      </c>
      <c r="DI76">
        <f t="shared" si="8"/>
        <v>0</v>
      </c>
      <c r="DJ76">
        <f>DI76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ROW(Source!A214)</f>
        <v>214</v>
      </c>
      <c r="B77">
        <v>59499215</v>
      </c>
      <c r="C77">
        <v>59499632</v>
      </c>
      <c r="D77">
        <v>58576492</v>
      </c>
      <c r="E77">
        <v>1</v>
      </c>
      <c r="F77">
        <v>1</v>
      </c>
      <c r="G77">
        <v>1080</v>
      </c>
      <c r="H77">
        <v>3</v>
      </c>
      <c r="I77" t="s">
        <v>305</v>
      </c>
      <c r="J77" t="s">
        <v>306</v>
      </c>
      <c r="K77" t="s">
        <v>307</v>
      </c>
      <c r="L77">
        <v>1348</v>
      </c>
      <c r="N77">
        <v>1009</v>
      </c>
      <c r="O77" t="s">
        <v>242</v>
      </c>
      <c r="P77" t="s">
        <v>242</v>
      </c>
      <c r="Q77">
        <v>1000</v>
      </c>
      <c r="W77">
        <v>0</v>
      </c>
      <c r="X77">
        <v>1986080645</v>
      </c>
      <c r="Y77">
        <f>AT77</f>
        <v>3.0000000000000001E-5</v>
      </c>
      <c r="AA77">
        <v>265093.33</v>
      </c>
      <c r="AB77">
        <v>0</v>
      </c>
      <c r="AC77">
        <v>0</v>
      </c>
      <c r="AD77">
        <v>0</v>
      </c>
      <c r="AE77">
        <v>16735.689999999999</v>
      </c>
      <c r="AF77">
        <v>0</v>
      </c>
      <c r="AG77">
        <v>0</v>
      </c>
      <c r="AH77">
        <v>0</v>
      </c>
      <c r="AI77">
        <v>15.84</v>
      </c>
      <c r="AJ77">
        <v>1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3.0000000000000001E-5</v>
      </c>
      <c r="AU77" t="s">
        <v>3</v>
      </c>
      <c r="AV77">
        <v>0</v>
      </c>
      <c r="AW77">
        <v>2</v>
      </c>
      <c r="AX77">
        <v>59500080</v>
      </c>
      <c r="AY77">
        <v>1</v>
      </c>
      <c r="AZ77">
        <v>0</v>
      </c>
      <c r="BA77">
        <v>85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ROUND(Y77*Source!I214,9)</f>
        <v>9.0000000000000006E-5</v>
      </c>
      <c r="CY77">
        <f>AA77</f>
        <v>265093.33</v>
      </c>
      <c r="CZ77">
        <f>AE77</f>
        <v>16735.689999999999</v>
      </c>
      <c r="DA77">
        <f>AI77</f>
        <v>15.84</v>
      </c>
      <c r="DB77">
        <f>ROUND(ROUND(AT77*CZ77,2),6)</f>
        <v>0.5</v>
      </c>
      <c r="DC77">
        <f>ROUND(ROUND(AT77*AG77,2),6)</f>
        <v>0</v>
      </c>
      <c r="DD77" t="s">
        <v>3</v>
      </c>
      <c r="DE77" t="s">
        <v>3</v>
      </c>
      <c r="DF77">
        <f>ROUND(ROUND(AE77*AI77,2)*CX77,2)</f>
        <v>23.86</v>
      </c>
      <c r="DG77">
        <f t="shared" si="6"/>
        <v>0</v>
      </c>
      <c r="DH77">
        <f t="shared" si="7"/>
        <v>0</v>
      </c>
      <c r="DI77">
        <f t="shared" si="8"/>
        <v>0</v>
      </c>
      <c r="DJ77">
        <f>DF77</f>
        <v>23.86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ROW(Source!A214)</f>
        <v>214</v>
      </c>
      <c r="B78">
        <v>59499215</v>
      </c>
      <c r="C78">
        <v>59499632</v>
      </c>
      <c r="D78">
        <v>0</v>
      </c>
      <c r="E78">
        <v>1080</v>
      </c>
      <c r="F78">
        <v>1</v>
      </c>
      <c r="G78">
        <v>1080</v>
      </c>
      <c r="H78">
        <v>3</v>
      </c>
      <c r="I78" t="s">
        <v>205</v>
      </c>
      <c r="J78" t="s">
        <v>3</v>
      </c>
      <c r="K78" t="s">
        <v>206</v>
      </c>
      <c r="L78">
        <v>1354</v>
      </c>
      <c r="N78">
        <v>1010</v>
      </c>
      <c r="O78" t="s">
        <v>124</v>
      </c>
      <c r="P78" t="s">
        <v>124</v>
      </c>
      <c r="Q78">
        <v>1</v>
      </c>
      <c r="W78">
        <v>0</v>
      </c>
      <c r="X78">
        <v>199806789</v>
      </c>
      <c r="Y78">
        <f>AT78</f>
        <v>1</v>
      </c>
      <c r="AA78">
        <v>532.14</v>
      </c>
      <c r="AB78">
        <v>0</v>
      </c>
      <c r="AC78">
        <v>0</v>
      </c>
      <c r="AD78">
        <v>0</v>
      </c>
      <c r="AE78">
        <v>53.86</v>
      </c>
      <c r="AF78">
        <v>0</v>
      </c>
      <c r="AG78">
        <v>0</v>
      </c>
      <c r="AH78">
        <v>0</v>
      </c>
      <c r="AI78">
        <v>9.8800000000000008</v>
      </c>
      <c r="AJ78">
        <v>1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 t="s">
        <v>3</v>
      </c>
      <c r="AT78">
        <v>1</v>
      </c>
      <c r="AU78" t="s">
        <v>3</v>
      </c>
      <c r="AV78">
        <v>0</v>
      </c>
      <c r="AW78">
        <v>1</v>
      </c>
      <c r="AX78">
        <v>-1</v>
      </c>
      <c r="AY78">
        <v>0</v>
      </c>
      <c r="AZ78">
        <v>0</v>
      </c>
      <c r="BA78" t="s">
        <v>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ROUND(Y78*Source!I214,9)</f>
        <v>3</v>
      </c>
      <c r="CY78">
        <f>AA78</f>
        <v>532.14</v>
      </c>
      <c r="CZ78">
        <f>AE78</f>
        <v>53.86</v>
      </c>
      <c r="DA78">
        <f>AI78</f>
        <v>9.8800000000000008</v>
      </c>
      <c r="DB78">
        <f>ROUND(ROUND(AT78*CZ78,2),6)</f>
        <v>53.86</v>
      </c>
      <c r="DC78">
        <f>ROUND(ROUND(AT78*AG78,2),6)</f>
        <v>0</v>
      </c>
      <c r="DD78" t="s">
        <v>3</v>
      </c>
      <c r="DE78" t="s">
        <v>3</v>
      </c>
      <c r="DF78">
        <f>ROUND(ROUND(AE78*AI78,2)*CX78,2)</f>
        <v>1596.42</v>
      </c>
      <c r="DG78">
        <f t="shared" si="6"/>
        <v>0</v>
      </c>
      <c r="DH78">
        <f t="shared" si="7"/>
        <v>0</v>
      </c>
      <c r="DI78">
        <f t="shared" si="8"/>
        <v>0</v>
      </c>
      <c r="DJ78">
        <f>DF78</f>
        <v>1596.42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ROW(Source!A217)</f>
        <v>217</v>
      </c>
      <c r="B79">
        <v>59499218</v>
      </c>
      <c r="C79">
        <v>59499640</v>
      </c>
      <c r="D79">
        <v>58532980</v>
      </c>
      <c r="E79">
        <v>1080</v>
      </c>
      <c r="F79">
        <v>1</v>
      </c>
      <c r="G79">
        <v>1080</v>
      </c>
      <c r="H79">
        <v>1</v>
      </c>
      <c r="I79" t="s">
        <v>302</v>
      </c>
      <c r="J79" t="s">
        <v>3</v>
      </c>
      <c r="K79" t="s">
        <v>303</v>
      </c>
      <c r="L79">
        <v>1191</v>
      </c>
      <c r="N79">
        <v>1013</v>
      </c>
      <c r="O79" t="s">
        <v>304</v>
      </c>
      <c r="P79" t="s">
        <v>304</v>
      </c>
      <c r="Q79">
        <v>1</v>
      </c>
      <c r="W79">
        <v>0</v>
      </c>
      <c r="X79">
        <v>476480486</v>
      </c>
      <c r="Y79">
        <f>((AT79*1.15)*1.1)</f>
        <v>0.65780000000000005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0.52</v>
      </c>
      <c r="AU79" t="s">
        <v>40</v>
      </c>
      <c r="AV79">
        <v>1</v>
      </c>
      <c r="AW79">
        <v>2</v>
      </c>
      <c r="AX79">
        <v>59500082</v>
      </c>
      <c r="AY79">
        <v>1</v>
      </c>
      <c r="AZ79">
        <v>0</v>
      </c>
      <c r="BA79">
        <v>87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ROUND(AT79*Source!I217*AH79*AL79,2)</f>
        <v>0</v>
      </c>
      <c r="CV79">
        <f>ROUND(Y79*Source!I217,9)</f>
        <v>7.8936000000000002</v>
      </c>
      <c r="CW79">
        <v>0</v>
      </c>
      <c r="CX79">
        <f>ROUND(Y79*Source!I217,9)</f>
        <v>7.8936000000000002</v>
      </c>
      <c r="CY79">
        <f>AD79</f>
        <v>0</v>
      </c>
      <c r="CZ79">
        <f>AH79</f>
        <v>0</v>
      </c>
      <c r="DA79">
        <f>AL79</f>
        <v>1</v>
      </c>
      <c r="DB79">
        <f>ROUND(((ROUND(AT79*CZ79,2)*1.15)*1.1),6)</f>
        <v>0</v>
      </c>
      <c r="DC79">
        <f>ROUND(((ROUND(AT79*AG79,2)*1.15)*1.1),6)</f>
        <v>0</v>
      </c>
      <c r="DD79" t="s">
        <v>3</v>
      </c>
      <c r="DE79" t="s">
        <v>3</v>
      </c>
      <c r="DF79">
        <f>ROUND(ROUND(AE79,2)*CX79,2)</f>
        <v>0</v>
      </c>
      <c r="DG79">
        <f t="shared" si="6"/>
        <v>0</v>
      </c>
      <c r="DH79">
        <f t="shared" si="7"/>
        <v>0</v>
      </c>
      <c r="DI79">
        <f t="shared" si="8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ROW(Source!A217)</f>
        <v>217</v>
      </c>
      <c r="B80">
        <v>59499218</v>
      </c>
      <c r="C80">
        <v>59499640</v>
      </c>
      <c r="D80">
        <v>58576492</v>
      </c>
      <c r="E80">
        <v>1</v>
      </c>
      <c r="F80">
        <v>1</v>
      </c>
      <c r="G80">
        <v>1080</v>
      </c>
      <c r="H80">
        <v>3</v>
      </c>
      <c r="I80" t="s">
        <v>305</v>
      </c>
      <c r="J80" t="s">
        <v>306</v>
      </c>
      <c r="K80" t="s">
        <v>307</v>
      </c>
      <c r="L80">
        <v>1348</v>
      </c>
      <c r="N80">
        <v>1009</v>
      </c>
      <c r="O80" t="s">
        <v>242</v>
      </c>
      <c r="P80" t="s">
        <v>242</v>
      </c>
      <c r="Q80">
        <v>1000</v>
      </c>
      <c r="W80">
        <v>0</v>
      </c>
      <c r="X80">
        <v>1986080645</v>
      </c>
      <c r="Y80">
        <f>AT80</f>
        <v>3.0000000000000001E-5</v>
      </c>
      <c r="AA80">
        <v>16735.689999999999</v>
      </c>
      <c r="AB80">
        <v>0</v>
      </c>
      <c r="AC80">
        <v>0</v>
      </c>
      <c r="AD80">
        <v>0</v>
      </c>
      <c r="AE80">
        <v>16735.689999999999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3.0000000000000001E-5</v>
      </c>
      <c r="AU80" t="s">
        <v>3</v>
      </c>
      <c r="AV80">
        <v>0</v>
      </c>
      <c r="AW80">
        <v>2</v>
      </c>
      <c r="AX80">
        <v>59500083</v>
      </c>
      <c r="AY80">
        <v>1</v>
      </c>
      <c r="AZ80">
        <v>0</v>
      </c>
      <c r="BA80">
        <v>88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ROUND(Y80*Source!I217,9)</f>
        <v>3.6000000000000002E-4</v>
      </c>
      <c r="CY80">
        <f>AA80</f>
        <v>16735.689999999999</v>
      </c>
      <c r="CZ80">
        <f>AE80</f>
        <v>16735.689999999999</v>
      </c>
      <c r="DA80">
        <f>AI80</f>
        <v>1</v>
      </c>
      <c r="DB80">
        <f>ROUND(ROUND(AT80*CZ80,2),6)</f>
        <v>0.5</v>
      </c>
      <c r="DC80">
        <f>ROUND(ROUND(AT80*AG80,2),6)</f>
        <v>0</v>
      </c>
      <c r="DD80" t="s">
        <v>3</v>
      </c>
      <c r="DE80" t="s">
        <v>3</v>
      </c>
      <c r="DF80">
        <f>ROUND(ROUND(AE80,2)*CX80,2)</f>
        <v>6.02</v>
      </c>
      <c r="DG80">
        <f t="shared" si="6"/>
        <v>0</v>
      </c>
      <c r="DH80">
        <f t="shared" si="7"/>
        <v>0</v>
      </c>
      <c r="DI80">
        <f t="shared" si="8"/>
        <v>0</v>
      </c>
      <c r="DJ80">
        <f>DF80</f>
        <v>6.02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ROW(Source!A217)</f>
        <v>217</v>
      </c>
      <c r="B81">
        <v>59499218</v>
      </c>
      <c r="C81">
        <v>59499640</v>
      </c>
      <c r="D81">
        <v>0</v>
      </c>
      <c r="E81">
        <v>1080</v>
      </c>
      <c r="F81">
        <v>1</v>
      </c>
      <c r="G81">
        <v>1080</v>
      </c>
      <c r="H81">
        <v>3</v>
      </c>
      <c r="I81" t="s">
        <v>209</v>
      </c>
      <c r="J81" t="s">
        <v>3</v>
      </c>
      <c r="K81" t="s">
        <v>210</v>
      </c>
      <c r="L81">
        <v>1354</v>
      </c>
      <c r="N81">
        <v>1010</v>
      </c>
      <c r="O81" t="s">
        <v>124</v>
      </c>
      <c r="P81" t="s">
        <v>124</v>
      </c>
      <c r="Q81">
        <v>1</v>
      </c>
      <c r="W81">
        <v>0</v>
      </c>
      <c r="X81">
        <v>1057203401</v>
      </c>
      <c r="Y81">
        <f>AT81</f>
        <v>1</v>
      </c>
      <c r="AA81">
        <v>225.79</v>
      </c>
      <c r="AB81">
        <v>0</v>
      </c>
      <c r="AC81">
        <v>0</v>
      </c>
      <c r="AD81">
        <v>0</v>
      </c>
      <c r="AE81">
        <v>225.79000000000002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 t="s">
        <v>3</v>
      </c>
      <c r="AT81">
        <v>1</v>
      </c>
      <c r="AU81" t="s">
        <v>3</v>
      </c>
      <c r="AV81">
        <v>0</v>
      </c>
      <c r="AW81">
        <v>1</v>
      </c>
      <c r="AX81">
        <v>-1</v>
      </c>
      <c r="AY81">
        <v>0</v>
      </c>
      <c r="AZ81">
        <v>0</v>
      </c>
      <c r="BA81" t="s">
        <v>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ROUND(Y81*Source!I217,9)</f>
        <v>12</v>
      </c>
      <c r="CY81">
        <f>AA81</f>
        <v>225.79</v>
      </c>
      <c r="CZ81">
        <f>AE81</f>
        <v>225.79000000000002</v>
      </c>
      <c r="DA81">
        <f>AI81</f>
        <v>1</v>
      </c>
      <c r="DB81">
        <f>ROUND(ROUND(AT81*CZ81,2),6)</f>
        <v>225.79</v>
      </c>
      <c r="DC81">
        <f>ROUND(ROUND(AT81*AG81,2),6)</f>
        <v>0</v>
      </c>
      <c r="DD81" t="s">
        <v>3</v>
      </c>
      <c r="DE81" t="s">
        <v>3</v>
      </c>
      <c r="DF81">
        <f>ROUND(ROUND(AE81,2)*CX81,2)</f>
        <v>2709.48</v>
      </c>
      <c r="DG81">
        <f t="shared" si="6"/>
        <v>0</v>
      </c>
      <c r="DH81">
        <f t="shared" si="7"/>
        <v>0</v>
      </c>
      <c r="DI81">
        <f t="shared" si="8"/>
        <v>0</v>
      </c>
      <c r="DJ81">
        <f>DF81</f>
        <v>2709.48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ROW(Source!A218)</f>
        <v>218</v>
      </c>
      <c r="B82">
        <v>59499215</v>
      </c>
      <c r="C82">
        <v>59499640</v>
      </c>
      <c r="D82">
        <v>58532980</v>
      </c>
      <c r="E82">
        <v>1080</v>
      </c>
      <c r="F82">
        <v>1</v>
      </c>
      <c r="G82">
        <v>1080</v>
      </c>
      <c r="H82">
        <v>1</v>
      </c>
      <c r="I82" t="s">
        <v>302</v>
      </c>
      <c r="J82" t="s">
        <v>3</v>
      </c>
      <c r="K82" t="s">
        <v>303</v>
      </c>
      <c r="L82">
        <v>1191</v>
      </c>
      <c r="N82">
        <v>1013</v>
      </c>
      <c r="O82" t="s">
        <v>304</v>
      </c>
      <c r="P82" t="s">
        <v>304</v>
      </c>
      <c r="Q82">
        <v>1</v>
      </c>
      <c r="W82">
        <v>0</v>
      </c>
      <c r="X82">
        <v>476480486</v>
      </c>
      <c r="Y82">
        <f>((AT82*1.15)*1.1)</f>
        <v>0.65780000000000005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0.52</v>
      </c>
      <c r="AU82" t="s">
        <v>40</v>
      </c>
      <c r="AV82">
        <v>1</v>
      </c>
      <c r="AW82">
        <v>2</v>
      </c>
      <c r="AX82">
        <v>59500082</v>
      </c>
      <c r="AY82">
        <v>1</v>
      </c>
      <c r="AZ82">
        <v>0</v>
      </c>
      <c r="BA82">
        <v>90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U82">
        <f>ROUND(AT82*Source!I218*AH82*AL82,2)</f>
        <v>0</v>
      </c>
      <c r="CV82">
        <f>ROUND(Y82*Source!I218,9)</f>
        <v>7.8936000000000002</v>
      </c>
      <c r="CW82">
        <v>0</v>
      </c>
      <c r="CX82">
        <f>ROUND(Y82*Source!I218,9)</f>
        <v>7.8936000000000002</v>
      </c>
      <c r="CY82">
        <f>AD82</f>
        <v>0</v>
      </c>
      <c r="CZ82">
        <f>AH82</f>
        <v>0</v>
      </c>
      <c r="DA82">
        <f>AL82</f>
        <v>1</v>
      </c>
      <c r="DB82">
        <f>ROUND(((ROUND(AT82*CZ82,2)*1.15)*1.1),6)</f>
        <v>0</v>
      </c>
      <c r="DC82">
        <f>ROUND(((ROUND(AT82*AG82,2)*1.15)*1.1),6)</f>
        <v>0</v>
      </c>
      <c r="DD82" t="s">
        <v>3</v>
      </c>
      <c r="DE82" t="s">
        <v>3</v>
      </c>
      <c r="DF82">
        <f>ROUND(ROUND(AE82,2)*CX82,2)</f>
        <v>0</v>
      </c>
      <c r="DG82">
        <f t="shared" si="6"/>
        <v>0</v>
      </c>
      <c r="DH82">
        <f t="shared" si="7"/>
        <v>0</v>
      </c>
      <c r="DI82">
        <f t="shared" si="8"/>
        <v>0</v>
      </c>
      <c r="DJ82">
        <f>DI82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ROW(Source!A218)</f>
        <v>218</v>
      </c>
      <c r="B83">
        <v>59499215</v>
      </c>
      <c r="C83">
        <v>59499640</v>
      </c>
      <c r="D83">
        <v>58576492</v>
      </c>
      <c r="E83">
        <v>1</v>
      </c>
      <c r="F83">
        <v>1</v>
      </c>
      <c r="G83">
        <v>1080</v>
      </c>
      <c r="H83">
        <v>3</v>
      </c>
      <c r="I83" t="s">
        <v>305</v>
      </c>
      <c r="J83" t="s">
        <v>306</v>
      </c>
      <c r="K83" t="s">
        <v>307</v>
      </c>
      <c r="L83">
        <v>1348</v>
      </c>
      <c r="N83">
        <v>1009</v>
      </c>
      <c r="O83" t="s">
        <v>242</v>
      </c>
      <c r="P83" t="s">
        <v>242</v>
      </c>
      <c r="Q83">
        <v>1000</v>
      </c>
      <c r="W83">
        <v>0</v>
      </c>
      <c r="X83">
        <v>1986080645</v>
      </c>
      <c r="Y83">
        <f>AT83</f>
        <v>3.0000000000000001E-5</v>
      </c>
      <c r="AA83">
        <v>265093.33</v>
      </c>
      <c r="AB83">
        <v>0</v>
      </c>
      <c r="AC83">
        <v>0</v>
      </c>
      <c r="AD83">
        <v>0</v>
      </c>
      <c r="AE83">
        <v>16735.689999999999</v>
      </c>
      <c r="AF83">
        <v>0</v>
      </c>
      <c r="AG83">
        <v>0</v>
      </c>
      <c r="AH83">
        <v>0</v>
      </c>
      <c r="AI83">
        <v>15.84</v>
      </c>
      <c r="AJ83">
        <v>1</v>
      </c>
      <c r="AK83">
        <v>1</v>
      </c>
      <c r="AL83">
        <v>1</v>
      </c>
      <c r="AM83">
        <v>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3.0000000000000001E-5</v>
      </c>
      <c r="AU83" t="s">
        <v>3</v>
      </c>
      <c r="AV83">
        <v>0</v>
      </c>
      <c r="AW83">
        <v>2</v>
      </c>
      <c r="AX83">
        <v>59500083</v>
      </c>
      <c r="AY83">
        <v>1</v>
      </c>
      <c r="AZ83">
        <v>0</v>
      </c>
      <c r="BA83">
        <v>91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ROUND(Y83*Source!I218,9)</f>
        <v>3.6000000000000002E-4</v>
      </c>
      <c r="CY83">
        <f>AA83</f>
        <v>265093.33</v>
      </c>
      <c r="CZ83">
        <f>AE83</f>
        <v>16735.689999999999</v>
      </c>
      <c r="DA83">
        <f>AI83</f>
        <v>15.84</v>
      </c>
      <c r="DB83">
        <f>ROUND(ROUND(AT83*CZ83,2),6)</f>
        <v>0.5</v>
      </c>
      <c r="DC83">
        <f>ROUND(ROUND(AT83*AG83,2),6)</f>
        <v>0</v>
      </c>
      <c r="DD83" t="s">
        <v>3</v>
      </c>
      <c r="DE83" t="s">
        <v>3</v>
      </c>
      <c r="DF83">
        <f>ROUND(ROUND(AE83*AI83,2)*CX83,2)</f>
        <v>95.43</v>
      </c>
      <c r="DG83">
        <f t="shared" si="6"/>
        <v>0</v>
      </c>
      <c r="DH83">
        <f t="shared" si="7"/>
        <v>0</v>
      </c>
      <c r="DI83">
        <f t="shared" si="8"/>
        <v>0</v>
      </c>
      <c r="DJ83">
        <f>DF83</f>
        <v>95.43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ROW(Source!A218)</f>
        <v>218</v>
      </c>
      <c r="B84">
        <v>59499215</v>
      </c>
      <c r="C84">
        <v>59499640</v>
      </c>
      <c r="D84">
        <v>0</v>
      </c>
      <c r="E84">
        <v>1080</v>
      </c>
      <c r="F84">
        <v>1</v>
      </c>
      <c r="G84">
        <v>1080</v>
      </c>
      <c r="H84">
        <v>3</v>
      </c>
      <c r="I84" t="s">
        <v>209</v>
      </c>
      <c r="J84" t="s">
        <v>3</v>
      </c>
      <c r="K84" t="s">
        <v>210</v>
      </c>
      <c r="L84">
        <v>1354</v>
      </c>
      <c r="N84">
        <v>1010</v>
      </c>
      <c r="O84" t="s">
        <v>124</v>
      </c>
      <c r="P84" t="s">
        <v>124</v>
      </c>
      <c r="Q84">
        <v>1</v>
      </c>
      <c r="W84">
        <v>0</v>
      </c>
      <c r="X84">
        <v>1057203401</v>
      </c>
      <c r="Y84">
        <f>AT84</f>
        <v>1</v>
      </c>
      <c r="AA84">
        <v>2230.81</v>
      </c>
      <c r="AB84">
        <v>0</v>
      </c>
      <c r="AC84">
        <v>0</v>
      </c>
      <c r="AD84">
        <v>0</v>
      </c>
      <c r="AE84">
        <v>225.79000000000002</v>
      </c>
      <c r="AF84">
        <v>0</v>
      </c>
      <c r="AG84">
        <v>0</v>
      </c>
      <c r="AH84">
        <v>0</v>
      </c>
      <c r="AI84">
        <v>9.8800000000000008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 t="s">
        <v>3</v>
      </c>
      <c r="AT84">
        <v>1</v>
      </c>
      <c r="AU84" t="s">
        <v>3</v>
      </c>
      <c r="AV84">
        <v>0</v>
      </c>
      <c r="AW84">
        <v>1</v>
      </c>
      <c r="AX84">
        <v>-1</v>
      </c>
      <c r="AY84">
        <v>0</v>
      </c>
      <c r="AZ84">
        <v>0</v>
      </c>
      <c r="BA84" t="s">
        <v>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ROUND(Y84*Source!I218,9)</f>
        <v>12</v>
      </c>
      <c r="CY84">
        <f>AA84</f>
        <v>2230.81</v>
      </c>
      <c r="CZ84">
        <f>AE84</f>
        <v>225.79000000000002</v>
      </c>
      <c r="DA84">
        <f>AI84</f>
        <v>9.8800000000000008</v>
      </c>
      <c r="DB84">
        <f>ROUND(ROUND(AT84*CZ84,2),6)</f>
        <v>225.79</v>
      </c>
      <c r="DC84">
        <f>ROUND(ROUND(AT84*AG84,2),6)</f>
        <v>0</v>
      </c>
      <c r="DD84" t="s">
        <v>3</v>
      </c>
      <c r="DE84" t="s">
        <v>3</v>
      </c>
      <c r="DF84">
        <f>ROUND(ROUND(AE84*AI84,2)*CX84,2)</f>
        <v>26769.72</v>
      </c>
      <c r="DG84">
        <f t="shared" si="6"/>
        <v>0</v>
      </c>
      <c r="DH84">
        <f t="shared" si="7"/>
        <v>0</v>
      </c>
      <c r="DI84">
        <f t="shared" si="8"/>
        <v>0</v>
      </c>
      <c r="DJ84">
        <f>DF84</f>
        <v>26769.72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ROW(Source!A221)</f>
        <v>221</v>
      </c>
      <c r="B85">
        <v>59499218</v>
      </c>
      <c r="C85">
        <v>59499648</v>
      </c>
      <c r="D85">
        <v>58532980</v>
      </c>
      <c r="E85">
        <v>1080</v>
      </c>
      <c r="F85">
        <v>1</v>
      </c>
      <c r="G85">
        <v>1080</v>
      </c>
      <c r="H85">
        <v>1</v>
      </c>
      <c r="I85" t="s">
        <v>302</v>
      </c>
      <c r="J85" t="s">
        <v>3</v>
      </c>
      <c r="K85" t="s">
        <v>303</v>
      </c>
      <c r="L85">
        <v>1191</v>
      </c>
      <c r="N85">
        <v>1013</v>
      </c>
      <c r="O85" t="s">
        <v>304</v>
      </c>
      <c r="P85" t="s">
        <v>304</v>
      </c>
      <c r="Q85">
        <v>1</v>
      </c>
      <c r="W85">
        <v>0</v>
      </c>
      <c r="X85">
        <v>476480486</v>
      </c>
      <c r="Y85">
        <f>((AT85*1.15)*1.1)</f>
        <v>0.65780000000000005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0.52</v>
      </c>
      <c r="AU85" t="s">
        <v>40</v>
      </c>
      <c r="AV85">
        <v>1</v>
      </c>
      <c r="AW85">
        <v>2</v>
      </c>
      <c r="AX85">
        <v>59500085</v>
      </c>
      <c r="AY85">
        <v>1</v>
      </c>
      <c r="AZ85">
        <v>0</v>
      </c>
      <c r="BA85">
        <v>93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U85">
        <f>ROUND(AT85*Source!I221*AH85*AL85,2)</f>
        <v>0</v>
      </c>
      <c r="CV85">
        <f>ROUND(Y85*Source!I221,9)</f>
        <v>0.65780000000000005</v>
      </c>
      <c r="CW85">
        <v>0</v>
      </c>
      <c r="CX85">
        <f>ROUND(Y85*Source!I221,9)</f>
        <v>0.65780000000000005</v>
      </c>
      <c r="CY85">
        <f>AD85</f>
        <v>0</v>
      </c>
      <c r="CZ85">
        <f>AH85</f>
        <v>0</v>
      </c>
      <c r="DA85">
        <f>AL85</f>
        <v>1</v>
      </c>
      <c r="DB85">
        <f>ROUND(((ROUND(AT85*CZ85,2)*1.15)*1.1),6)</f>
        <v>0</v>
      </c>
      <c r="DC85">
        <f>ROUND(((ROUND(AT85*AG85,2)*1.15)*1.1),6)</f>
        <v>0</v>
      </c>
      <c r="DD85" t="s">
        <v>3</v>
      </c>
      <c r="DE85" t="s">
        <v>3</v>
      </c>
      <c r="DF85">
        <f>ROUND(ROUND(AE85,2)*CX85,2)</f>
        <v>0</v>
      </c>
      <c r="DG85">
        <f t="shared" si="6"/>
        <v>0</v>
      </c>
      <c r="DH85">
        <f t="shared" si="7"/>
        <v>0</v>
      </c>
      <c r="DI85">
        <f t="shared" si="8"/>
        <v>0</v>
      </c>
      <c r="DJ85">
        <f>DI85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ROW(Source!A221)</f>
        <v>221</v>
      </c>
      <c r="B86">
        <v>59499218</v>
      </c>
      <c r="C86">
        <v>59499648</v>
      </c>
      <c r="D86">
        <v>58576492</v>
      </c>
      <c r="E86">
        <v>1</v>
      </c>
      <c r="F86">
        <v>1</v>
      </c>
      <c r="G86">
        <v>1080</v>
      </c>
      <c r="H86">
        <v>3</v>
      </c>
      <c r="I86" t="s">
        <v>305</v>
      </c>
      <c r="J86" t="s">
        <v>306</v>
      </c>
      <c r="K86" t="s">
        <v>307</v>
      </c>
      <c r="L86">
        <v>1348</v>
      </c>
      <c r="N86">
        <v>1009</v>
      </c>
      <c r="O86" t="s">
        <v>242</v>
      </c>
      <c r="P86" t="s">
        <v>242</v>
      </c>
      <c r="Q86">
        <v>1000</v>
      </c>
      <c r="W86">
        <v>0</v>
      </c>
      <c r="X86">
        <v>1986080645</v>
      </c>
      <c r="Y86">
        <f>AT86</f>
        <v>3.0000000000000001E-5</v>
      </c>
      <c r="AA86">
        <v>16735.689999999999</v>
      </c>
      <c r="AB86">
        <v>0</v>
      </c>
      <c r="AC86">
        <v>0</v>
      </c>
      <c r="AD86">
        <v>0</v>
      </c>
      <c r="AE86">
        <v>16735.689999999999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3.0000000000000001E-5</v>
      </c>
      <c r="AU86" t="s">
        <v>3</v>
      </c>
      <c r="AV86">
        <v>0</v>
      </c>
      <c r="AW86">
        <v>2</v>
      </c>
      <c r="AX86">
        <v>59500086</v>
      </c>
      <c r="AY86">
        <v>1</v>
      </c>
      <c r="AZ86">
        <v>0</v>
      </c>
      <c r="BA86">
        <v>94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ROUND(Y86*Source!I221,9)</f>
        <v>3.0000000000000001E-5</v>
      </c>
      <c r="CY86">
        <f>AA86</f>
        <v>16735.689999999999</v>
      </c>
      <c r="CZ86">
        <f>AE86</f>
        <v>16735.689999999999</v>
      </c>
      <c r="DA86">
        <f>AI86</f>
        <v>1</v>
      </c>
      <c r="DB86">
        <f>ROUND(ROUND(AT86*CZ86,2),6)</f>
        <v>0.5</v>
      </c>
      <c r="DC86">
        <f>ROUND(ROUND(AT86*AG86,2),6)</f>
        <v>0</v>
      </c>
      <c r="DD86" t="s">
        <v>3</v>
      </c>
      <c r="DE86" t="s">
        <v>3</v>
      </c>
      <c r="DF86">
        <f>ROUND(ROUND(AE86,2)*CX86,2)</f>
        <v>0.5</v>
      </c>
      <c r="DG86">
        <f t="shared" si="6"/>
        <v>0</v>
      </c>
      <c r="DH86">
        <f t="shared" si="7"/>
        <v>0</v>
      </c>
      <c r="DI86">
        <f t="shared" si="8"/>
        <v>0</v>
      </c>
      <c r="DJ86">
        <f>DF86</f>
        <v>0.5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ROW(Source!A221)</f>
        <v>221</v>
      </c>
      <c r="B87">
        <v>59499218</v>
      </c>
      <c r="C87">
        <v>59499648</v>
      </c>
      <c r="D87">
        <v>0</v>
      </c>
      <c r="E87">
        <v>1080</v>
      </c>
      <c r="F87">
        <v>1</v>
      </c>
      <c r="G87">
        <v>1080</v>
      </c>
      <c r="H87">
        <v>3</v>
      </c>
      <c r="I87" t="s">
        <v>214</v>
      </c>
      <c r="J87" t="s">
        <v>3</v>
      </c>
      <c r="K87" t="s">
        <v>215</v>
      </c>
      <c r="L87">
        <v>1354</v>
      </c>
      <c r="N87">
        <v>1010</v>
      </c>
      <c r="O87" t="s">
        <v>124</v>
      </c>
      <c r="P87" t="s">
        <v>124</v>
      </c>
      <c r="Q87">
        <v>1</v>
      </c>
      <c r="W87">
        <v>0</v>
      </c>
      <c r="X87">
        <v>-1839897682</v>
      </c>
      <c r="Y87">
        <f>AT87</f>
        <v>1</v>
      </c>
      <c r="AA87">
        <v>30.87</v>
      </c>
      <c r="AB87">
        <v>0</v>
      </c>
      <c r="AC87">
        <v>0</v>
      </c>
      <c r="AD87">
        <v>0</v>
      </c>
      <c r="AE87">
        <v>30.87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 t="s">
        <v>3</v>
      </c>
      <c r="AT87">
        <v>1</v>
      </c>
      <c r="AU87" t="s">
        <v>3</v>
      </c>
      <c r="AV87">
        <v>0</v>
      </c>
      <c r="AW87">
        <v>1</v>
      </c>
      <c r="AX87">
        <v>-1</v>
      </c>
      <c r="AY87">
        <v>0</v>
      </c>
      <c r="AZ87">
        <v>0</v>
      </c>
      <c r="BA87" t="s">
        <v>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ROUND(Y87*Source!I221,9)</f>
        <v>1</v>
      </c>
      <c r="CY87">
        <f>AA87</f>
        <v>30.87</v>
      </c>
      <c r="CZ87">
        <f>AE87</f>
        <v>30.87</v>
      </c>
      <c r="DA87">
        <f>AI87</f>
        <v>1</v>
      </c>
      <c r="DB87">
        <f>ROUND(ROUND(AT87*CZ87,2),6)</f>
        <v>30.87</v>
      </c>
      <c r="DC87">
        <f>ROUND(ROUND(AT87*AG87,2),6)</f>
        <v>0</v>
      </c>
      <c r="DD87" t="s">
        <v>3</v>
      </c>
      <c r="DE87" t="s">
        <v>3</v>
      </c>
      <c r="DF87">
        <f>ROUND(ROUND(AE87,2)*CX87,2)</f>
        <v>30.87</v>
      </c>
      <c r="DG87">
        <f t="shared" si="6"/>
        <v>0</v>
      </c>
      <c r="DH87">
        <f t="shared" si="7"/>
        <v>0</v>
      </c>
      <c r="DI87">
        <f t="shared" si="8"/>
        <v>0</v>
      </c>
      <c r="DJ87">
        <f>DF87</f>
        <v>30.87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ROW(Source!A222)</f>
        <v>222</v>
      </c>
      <c r="B88">
        <v>59499215</v>
      </c>
      <c r="C88">
        <v>59499648</v>
      </c>
      <c r="D88">
        <v>58532980</v>
      </c>
      <c r="E88">
        <v>1080</v>
      </c>
      <c r="F88">
        <v>1</v>
      </c>
      <c r="G88">
        <v>1080</v>
      </c>
      <c r="H88">
        <v>1</v>
      </c>
      <c r="I88" t="s">
        <v>302</v>
      </c>
      <c r="J88" t="s">
        <v>3</v>
      </c>
      <c r="K88" t="s">
        <v>303</v>
      </c>
      <c r="L88">
        <v>1191</v>
      </c>
      <c r="N88">
        <v>1013</v>
      </c>
      <c r="O88" t="s">
        <v>304</v>
      </c>
      <c r="P88" t="s">
        <v>304</v>
      </c>
      <c r="Q88">
        <v>1</v>
      </c>
      <c r="W88">
        <v>0</v>
      </c>
      <c r="X88">
        <v>476480486</v>
      </c>
      <c r="Y88">
        <f>((AT88*1.15)*1.1)</f>
        <v>0.65780000000000005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5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0.52</v>
      </c>
      <c r="AU88" t="s">
        <v>40</v>
      </c>
      <c r="AV88">
        <v>1</v>
      </c>
      <c r="AW88">
        <v>2</v>
      </c>
      <c r="AX88">
        <v>59500085</v>
      </c>
      <c r="AY88">
        <v>1</v>
      </c>
      <c r="AZ88">
        <v>0</v>
      </c>
      <c r="BA88">
        <v>96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U88">
        <f>ROUND(AT88*Source!I222*AH88*AL88,2)</f>
        <v>0</v>
      </c>
      <c r="CV88">
        <f>ROUND(Y88*Source!I222,9)</f>
        <v>0.65780000000000005</v>
      </c>
      <c r="CW88">
        <v>0</v>
      </c>
      <c r="CX88">
        <f>ROUND(Y88*Source!I222,9)</f>
        <v>0.65780000000000005</v>
      </c>
      <c r="CY88">
        <f>AD88</f>
        <v>0</v>
      </c>
      <c r="CZ88">
        <f>AH88</f>
        <v>0</v>
      </c>
      <c r="DA88">
        <f>AL88</f>
        <v>1</v>
      </c>
      <c r="DB88">
        <f>ROUND(((ROUND(AT88*CZ88,2)*1.15)*1.1),6)</f>
        <v>0</v>
      </c>
      <c r="DC88">
        <f>ROUND(((ROUND(AT88*AG88,2)*1.15)*1.1),6)</f>
        <v>0</v>
      </c>
      <c r="DD88" t="s">
        <v>3</v>
      </c>
      <c r="DE88" t="s">
        <v>3</v>
      </c>
      <c r="DF88">
        <f>ROUND(ROUND(AE88,2)*CX88,2)</f>
        <v>0</v>
      </c>
      <c r="DG88">
        <f t="shared" si="6"/>
        <v>0</v>
      </c>
      <c r="DH88">
        <f t="shared" si="7"/>
        <v>0</v>
      </c>
      <c r="DI88">
        <f t="shared" si="8"/>
        <v>0</v>
      </c>
      <c r="DJ88">
        <f>DI88</f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ROW(Source!A222)</f>
        <v>222</v>
      </c>
      <c r="B89">
        <v>59499215</v>
      </c>
      <c r="C89">
        <v>59499648</v>
      </c>
      <c r="D89">
        <v>58576492</v>
      </c>
      <c r="E89">
        <v>1</v>
      </c>
      <c r="F89">
        <v>1</v>
      </c>
      <c r="G89">
        <v>1080</v>
      </c>
      <c r="H89">
        <v>3</v>
      </c>
      <c r="I89" t="s">
        <v>305</v>
      </c>
      <c r="J89" t="s">
        <v>306</v>
      </c>
      <c r="K89" t="s">
        <v>307</v>
      </c>
      <c r="L89">
        <v>1348</v>
      </c>
      <c r="N89">
        <v>1009</v>
      </c>
      <c r="O89" t="s">
        <v>242</v>
      </c>
      <c r="P89" t="s">
        <v>242</v>
      </c>
      <c r="Q89">
        <v>1000</v>
      </c>
      <c r="W89">
        <v>0</v>
      </c>
      <c r="X89">
        <v>1986080645</v>
      </c>
      <c r="Y89">
        <f>AT89</f>
        <v>3.0000000000000001E-5</v>
      </c>
      <c r="AA89">
        <v>265093.33</v>
      </c>
      <c r="AB89">
        <v>0</v>
      </c>
      <c r="AC89">
        <v>0</v>
      </c>
      <c r="AD89">
        <v>0</v>
      </c>
      <c r="AE89">
        <v>16735.689999999999</v>
      </c>
      <c r="AF89">
        <v>0</v>
      </c>
      <c r="AG89">
        <v>0</v>
      </c>
      <c r="AH89">
        <v>0</v>
      </c>
      <c r="AI89">
        <v>15.84</v>
      </c>
      <c r="AJ89">
        <v>1</v>
      </c>
      <c r="AK89">
        <v>1</v>
      </c>
      <c r="AL89">
        <v>1</v>
      </c>
      <c r="AM89">
        <v>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3.0000000000000001E-5</v>
      </c>
      <c r="AU89" t="s">
        <v>3</v>
      </c>
      <c r="AV89">
        <v>0</v>
      </c>
      <c r="AW89">
        <v>2</v>
      </c>
      <c r="AX89">
        <v>59500086</v>
      </c>
      <c r="AY89">
        <v>1</v>
      </c>
      <c r="AZ89">
        <v>0</v>
      </c>
      <c r="BA89">
        <v>97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ROUND(Y89*Source!I222,9)</f>
        <v>3.0000000000000001E-5</v>
      </c>
      <c r="CY89">
        <f>AA89</f>
        <v>265093.33</v>
      </c>
      <c r="CZ89">
        <f>AE89</f>
        <v>16735.689999999999</v>
      </c>
      <c r="DA89">
        <f>AI89</f>
        <v>15.84</v>
      </c>
      <c r="DB89">
        <f>ROUND(ROUND(AT89*CZ89,2),6)</f>
        <v>0.5</v>
      </c>
      <c r="DC89">
        <f>ROUND(ROUND(AT89*AG89,2),6)</f>
        <v>0</v>
      </c>
      <c r="DD89" t="s">
        <v>3</v>
      </c>
      <c r="DE89" t="s">
        <v>3</v>
      </c>
      <c r="DF89">
        <f>ROUND(ROUND(AE89*AI89,2)*CX89,2)</f>
        <v>7.95</v>
      </c>
      <c r="DG89">
        <f t="shared" si="6"/>
        <v>0</v>
      </c>
      <c r="DH89">
        <f t="shared" si="7"/>
        <v>0</v>
      </c>
      <c r="DI89">
        <f t="shared" si="8"/>
        <v>0</v>
      </c>
      <c r="DJ89">
        <f>DF89</f>
        <v>7.95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ROW(Source!A222)</f>
        <v>222</v>
      </c>
      <c r="B90">
        <v>59499215</v>
      </c>
      <c r="C90">
        <v>59499648</v>
      </c>
      <c r="D90">
        <v>0</v>
      </c>
      <c r="E90">
        <v>1080</v>
      </c>
      <c r="F90">
        <v>1</v>
      </c>
      <c r="G90">
        <v>1080</v>
      </c>
      <c r="H90">
        <v>3</v>
      </c>
      <c r="I90" t="s">
        <v>214</v>
      </c>
      <c r="J90" t="s">
        <v>3</v>
      </c>
      <c r="K90" t="s">
        <v>215</v>
      </c>
      <c r="L90">
        <v>1354</v>
      </c>
      <c r="N90">
        <v>1010</v>
      </c>
      <c r="O90" t="s">
        <v>124</v>
      </c>
      <c r="P90" t="s">
        <v>124</v>
      </c>
      <c r="Q90">
        <v>1</v>
      </c>
      <c r="W90">
        <v>0</v>
      </c>
      <c r="X90">
        <v>-1839897682</v>
      </c>
      <c r="Y90">
        <f>AT90</f>
        <v>1</v>
      </c>
      <c r="AA90">
        <v>305</v>
      </c>
      <c r="AB90">
        <v>0</v>
      </c>
      <c r="AC90">
        <v>0</v>
      </c>
      <c r="AD90">
        <v>0</v>
      </c>
      <c r="AE90">
        <v>30.87</v>
      </c>
      <c r="AF90">
        <v>0</v>
      </c>
      <c r="AG90">
        <v>0</v>
      </c>
      <c r="AH90">
        <v>0</v>
      </c>
      <c r="AI90">
        <v>9.8800000000000008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 t="s">
        <v>3</v>
      </c>
      <c r="AT90">
        <v>1</v>
      </c>
      <c r="AU90" t="s">
        <v>3</v>
      </c>
      <c r="AV90">
        <v>0</v>
      </c>
      <c r="AW90">
        <v>1</v>
      </c>
      <c r="AX90">
        <v>-1</v>
      </c>
      <c r="AY90">
        <v>0</v>
      </c>
      <c r="AZ90">
        <v>0</v>
      </c>
      <c r="BA90" t="s">
        <v>3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ROUND(Y90*Source!I222,9)</f>
        <v>1</v>
      </c>
      <c r="CY90">
        <f>AA90</f>
        <v>305</v>
      </c>
      <c r="CZ90">
        <f>AE90</f>
        <v>30.87</v>
      </c>
      <c r="DA90">
        <f>AI90</f>
        <v>9.8800000000000008</v>
      </c>
      <c r="DB90">
        <f>ROUND(ROUND(AT90*CZ90,2),6)</f>
        <v>30.87</v>
      </c>
      <c r="DC90">
        <f>ROUND(ROUND(AT90*AG90,2),6)</f>
        <v>0</v>
      </c>
      <c r="DD90" t="s">
        <v>3</v>
      </c>
      <c r="DE90" t="s">
        <v>3</v>
      </c>
      <c r="DF90">
        <f>ROUND(ROUND(AE90*AI90,2)*CX90,2)</f>
        <v>305</v>
      </c>
      <c r="DG90">
        <f t="shared" si="6"/>
        <v>0</v>
      </c>
      <c r="DH90">
        <f t="shared" si="7"/>
        <v>0</v>
      </c>
      <c r="DI90">
        <f t="shared" si="8"/>
        <v>0</v>
      </c>
      <c r="DJ90">
        <f>DF90</f>
        <v>305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ROW(Source!A225)</f>
        <v>225</v>
      </c>
      <c r="B91">
        <v>59499218</v>
      </c>
      <c r="C91">
        <v>59499656</v>
      </c>
      <c r="D91">
        <v>58532980</v>
      </c>
      <c r="E91">
        <v>1080</v>
      </c>
      <c r="F91">
        <v>1</v>
      </c>
      <c r="G91">
        <v>1080</v>
      </c>
      <c r="H91">
        <v>1</v>
      </c>
      <c r="I91" t="s">
        <v>302</v>
      </c>
      <c r="J91" t="s">
        <v>3</v>
      </c>
      <c r="K91" t="s">
        <v>303</v>
      </c>
      <c r="L91">
        <v>1191</v>
      </c>
      <c r="N91">
        <v>1013</v>
      </c>
      <c r="O91" t="s">
        <v>304</v>
      </c>
      <c r="P91" t="s">
        <v>304</v>
      </c>
      <c r="Q91">
        <v>1</v>
      </c>
      <c r="W91">
        <v>0</v>
      </c>
      <c r="X91">
        <v>476480486</v>
      </c>
      <c r="Y91">
        <f>((AT91*1.15)*1.1)</f>
        <v>0.65780000000000005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0.52</v>
      </c>
      <c r="AU91" t="s">
        <v>40</v>
      </c>
      <c r="AV91">
        <v>1</v>
      </c>
      <c r="AW91">
        <v>2</v>
      </c>
      <c r="AX91">
        <v>59500088</v>
      </c>
      <c r="AY91">
        <v>1</v>
      </c>
      <c r="AZ91">
        <v>0</v>
      </c>
      <c r="BA91">
        <v>99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ROUND(AT91*Source!I225*AH91*AL91,2)</f>
        <v>0</v>
      </c>
      <c r="CV91">
        <f>ROUND(Y91*Source!I225,9)</f>
        <v>0.65780000000000005</v>
      </c>
      <c r="CW91">
        <v>0</v>
      </c>
      <c r="CX91">
        <f>ROUND(Y91*Source!I225,9)</f>
        <v>0.65780000000000005</v>
      </c>
      <c r="CY91">
        <f>AD91</f>
        <v>0</v>
      </c>
      <c r="CZ91">
        <f>AH91</f>
        <v>0</v>
      </c>
      <c r="DA91">
        <f>AL91</f>
        <v>1</v>
      </c>
      <c r="DB91">
        <f>ROUND(((ROUND(AT91*CZ91,2)*1.15)*1.1),6)</f>
        <v>0</v>
      </c>
      <c r="DC91">
        <f>ROUND(((ROUND(AT91*AG91,2)*1.15)*1.1),6)</f>
        <v>0</v>
      </c>
      <c r="DD91" t="s">
        <v>3</v>
      </c>
      <c r="DE91" t="s">
        <v>3</v>
      </c>
      <c r="DF91">
        <f>ROUND(ROUND(AE91,2)*CX91,2)</f>
        <v>0</v>
      </c>
      <c r="DG91">
        <f t="shared" si="6"/>
        <v>0</v>
      </c>
      <c r="DH91">
        <f t="shared" si="7"/>
        <v>0</v>
      </c>
      <c r="DI91">
        <f t="shared" si="8"/>
        <v>0</v>
      </c>
      <c r="DJ91">
        <f>DI91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ROW(Source!A225)</f>
        <v>225</v>
      </c>
      <c r="B92">
        <v>59499218</v>
      </c>
      <c r="C92">
        <v>59499656</v>
      </c>
      <c r="D92">
        <v>58576492</v>
      </c>
      <c r="E92">
        <v>1</v>
      </c>
      <c r="F92">
        <v>1</v>
      </c>
      <c r="G92">
        <v>1080</v>
      </c>
      <c r="H92">
        <v>3</v>
      </c>
      <c r="I92" t="s">
        <v>305</v>
      </c>
      <c r="J92" t="s">
        <v>306</v>
      </c>
      <c r="K92" t="s">
        <v>307</v>
      </c>
      <c r="L92">
        <v>1348</v>
      </c>
      <c r="N92">
        <v>1009</v>
      </c>
      <c r="O92" t="s">
        <v>242</v>
      </c>
      <c r="P92" t="s">
        <v>242</v>
      </c>
      <c r="Q92">
        <v>1000</v>
      </c>
      <c r="W92">
        <v>0</v>
      </c>
      <c r="X92">
        <v>1986080645</v>
      </c>
      <c r="Y92">
        <f>AT92</f>
        <v>3.0000000000000001E-5</v>
      </c>
      <c r="AA92">
        <v>16735.689999999999</v>
      </c>
      <c r="AB92">
        <v>0</v>
      </c>
      <c r="AC92">
        <v>0</v>
      </c>
      <c r="AD92">
        <v>0</v>
      </c>
      <c r="AE92">
        <v>16735.689999999999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3.0000000000000001E-5</v>
      </c>
      <c r="AU92" t="s">
        <v>3</v>
      </c>
      <c r="AV92">
        <v>0</v>
      </c>
      <c r="AW92">
        <v>2</v>
      </c>
      <c r="AX92">
        <v>59500089</v>
      </c>
      <c r="AY92">
        <v>1</v>
      </c>
      <c r="AZ92">
        <v>0</v>
      </c>
      <c r="BA92">
        <v>100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ROUND(Y92*Source!I225,9)</f>
        <v>3.0000000000000001E-5</v>
      </c>
      <c r="CY92">
        <f>AA92</f>
        <v>16735.689999999999</v>
      </c>
      <c r="CZ92">
        <f>AE92</f>
        <v>16735.689999999999</v>
      </c>
      <c r="DA92">
        <f>AI92</f>
        <v>1</v>
      </c>
      <c r="DB92">
        <f>ROUND(ROUND(AT92*CZ92,2),6)</f>
        <v>0.5</v>
      </c>
      <c r="DC92">
        <f>ROUND(ROUND(AT92*AG92,2),6)</f>
        <v>0</v>
      </c>
      <c r="DD92" t="s">
        <v>3</v>
      </c>
      <c r="DE92" t="s">
        <v>3</v>
      </c>
      <c r="DF92">
        <f>ROUND(ROUND(AE92,2)*CX92,2)</f>
        <v>0.5</v>
      </c>
      <c r="DG92">
        <f t="shared" si="6"/>
        <v>0</v>
      </c>
      <c r="DH92">
        <f t="shared" si="7"/>
        <v>0</v>
      </c>
      <c r="DI92">
        <f t="shared" si="8"/>
        <v>0</v>
      </c>
      <c r="DJ92">
        <f>DF92</f>
        <v>0.5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ROW(Source!A225)</f>
        <v>225</v>
      </c>
      <c r="B93">
        <v>59499218</v>
      </c>
      <c r="C93">
        <v>59499656</v>
      </c>
      <c r="D93">
        <v>0</v>
      </c>
      <c r="E93">
        <v>1080</v>
      </c>
      <c r="F93">
        <v>1</v>
      </c>
      <c r="G93">
        <v>1080</v>
      </c>
      <c r="H93">
        <v>3</v>
      </c>
      <c r="I93" t="s">
        <v>219</v>
      </c>
      <c r="J93" t="s">
        <v>3</v>
      </c>
      <c r="K93" t="s">
        <v>220</v>
      </c>
      <c r="L93">
        <v>1354</v>
      </c>
      <c r="N93">
        <v>1010</v>
      </c>
      <c r="O93" t="s">
        <v>124</v>
      </c>
      <c r="P93" t="s">
        <v>124</v>
      </c>
      <c r="Q93">
        <v>1</v>
      </c>
      <c r="W93">
        <v>0</v>
      </c>
      <c r="X93">
        <v>-268844085</v>
      </c>
      <c r="Y93">
        <f>AT93</f>
        <v>1</v>
      </c>
      <c r="AA93">
        <v>30.87</v>
      </c>
      <c r="AB93">
        <v>0</v>
      </c>
      <c r="AC93">
        <v>0</v>
      </c>
      <c r="AD93">
        <v>0</v>
      </c>
      <c r="AE93">
        <v>30.87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 t="s">
        <v>3</v>
      </c>
      <c r="AT93">
        <v>1</v>
      </c>
      <c r="AU93" t="s">
        <v>3</v>
      </c>
      <c r="AV93">
        <v>0</v>
      </c>
      <c r="AW93">
        <v>1</v>
      </c>
      <c r="AX93">
        <v>-1</v>
      </c>
      <c r="AY93">
        <v>0</v>
      </c>
      <c r="AZ93">
        <v>0</v>
      </c>
      <c r="BA93" t="s">
        <v>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ROUND(Y93*Source!I225,9)</f>
        <v>1</v>
      </c>
      <c r="CY93">
        <f>AA93</f>
        <v>30.87</v>
      </c>
      <c r="CZ93">
        <f>AE93</f>
        <v>30.87</v>
      </c>
      <c r="DA93">
        <f>AI93</f>
        <v>1</v>
      </c>
      <c r="DB93">
        <f>ROUND(ROUND(AT93*CZ93,2),6)</f>
        <v>30.87</v>
      </c>
      <c r="DC93">
        <f>ROUND(ROUND(AT93*AG93,2),6)</f>
        <v>0</v>
      </c>
      <c r="DD93" t="s">
        <v>3</v>
      </c>
      <c r="DE93" t="s">
        <v>3</v>
      </c>
      <c r="DF93">
        <f>ROUND(ROUND(AE93,2)*CX93,2)</f>
        <v>30.87</v>
      </c>
      <c r="DG93">
        <f t="shared" si="6"/>
        <v>0</v>
      </c>
      <c r="DH93">
        <f t="shared" si="7"/>
        <v>0</v>
      </c>
      <c r="DI93">
        <f t="shared" si="8"/>
        <v>0</v>
      </c>
      <c r="DJ93">
        <f>DF93</f>
        <v>30.87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ROW(Source!A226)</f>
        <v>226</v>
      </c>
      <c r="B94">
        <v>59499215</v>
      </c>
      <c r="C94">
        <v>59499656</v>
      </c>
      <c r="D94">
        <v>58532980</v>
      </c>
      <c r="E94">
        <v>1080</v>
      </c>
      <c r="F94">
        <v>1</v>
      </c>
      <c r="G94">
        <v>1080</v>
      </c>
      <c r="H94">
        <v>1</v>
      </c>
      <c r="I94" t="s">
        <v>302</v>
      </c>
      <c r="J94" t="s">
        <v>3</v>
      </c>
      <c r="K94" t="s">
        <v>303</v>
      </c>
      <c r="L94">
        <v>1191</v>
      </c>
      <c r="N94">
        <v>1013</v>
      </c>
      <c r="O94" t="s">
        <v>304</v>
      </c>
      <c r="P94" t="s">
        <v>304</v>
      </c>
      <c r="Q94">
        <v>1</v>
      </c>
      <c r="W94">
        <v>0</v>
      </c>
      <c r="X94">
        <v>476480486</v>
      </c>
      <c r="Y94">
        <f>((AT94*1.15)*1.1)</f>
        <v>0.65780000000000005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5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0.52</v>
      </c>
      <c r="AU94" t="s">
        <v>40</v>
      </c>
      <c r="AV94">
        <v>1</v>
      </c>
      <c r="AW94">
        <v>2</v>
      </c>
      <c r="AX94">
        <v>59500088</v>
      </c>
      <c r="AY94">
        <v>1</v>
      </c>
      <c r="AZ94">
        <v>0</v>
      </c>
      <c r="BA94">
        <v>102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U94">
        <f>ROUND(AT94*Source!I226*AH94*AL94,2)</f>
        <v>0</v>
      </c>
      <c r="CV94">
        <f>ROUND(Y94*Source!I226,9)</f>
        <v>0.65780000000000005</v>
      </c>
      <c r="CW94">
        <v>0</v>
      </c>
      <c r="CX94">
        <f>ROUND(Y94*Source!I226,9)</f>
        <v>0.65780000000000005</v>
      </c>
      <c r="CY94">
        <f>AD94</f>
        <v>0</v>
      </c>
      <c r="CZ94">
        <f>AH94</f>
        <v>0</v>
      </c>
      <c r="DA94">
        <f>AL94</f>
        <v>1</v>
      </c>
      <c r="DB94">
        <f>ROUND(((ROUND(AT94*CZ94,2)*1.15)*1.1),6)</f>
        <v>0</v>
      </c>
      <c r="DC94">
        <f>ROUND(((ROUND(AT94*AG94,2)*1.15)*1.1),6)</f>
        <v>0</v>
      </c>
      <c r="DD94" t="s">
        <v>3</v>
      </c>
      <c r="DE94" t="s">
        <v>3</v>
      </c>
      <c r="DF94">
        <f>ROUND(ROUND(AE94,2)*CX94,2)</f>
        <v>0</v>
      </c>
      <c r="DG94">
        <f t="shared" si="6"/>
        <v>0</v>
      </c>
      <c r="DH94">
        <f t="shared" si="7"/>
        <v>0</v>
      </c>
      <c r="DI94">
        <f t="shared" si="8"/>
        <v>0</v>
      </c>
      <c r="DJ94">
        <f>DI94</f>
        <v>0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ROW(Source!A226)</f>
        <v>226</v>
      </c>
      <c r="B95">
        <v>59499215</v>
      </c>
      <c r="C95">
        <v>59499656</v>
      </c>
      <c r="D95">
        <v>58576492</v>
      </c>
      <c r="E95">
        <v>1</v>
      </c>
      <c r="F95">
        <v>1</v>
      </c>
      <c r="G95">
        <v>1080</v>
      </c>
      <c r="H95">
        <v>3</v>
      </c>
      <c r="I95" t="s">
        <v>305</v>
      </c>
      <c r="J95" t="s">
        <v>306</v>
      </c>
      <c r="K95" t="s">
        <v>307</v>
      </c>
      <c r="L95">
        <v>1348</v>
      </c>
      <c r="N95">
        <v>1009</v>
      </c>
      <c r="O95" t="s">
        <v>242</v>
      </c>
      <c r="P95" t="s">
        <v>242</v>
      </c>
      <c r="Q95">
        <v>1000</v>
      </c>
      <c r="W95">
        <v>0</v>
      </c>
      <c r="X95">
        <v>1986080645</v>
      </c>
      <c r="Y95">
        <f>AT95</f>
        <v>3.0000000000000001E-5</v>
      </c>
      <c r="AA95">
        <v>265093.33</v>
      </c>
      <c r="AB95">
        <v>0</v>
      </c>
      <c r="AC95">
        <v>0</v>
      </c>
      <c r="AD95">
        <v>0</v>
      </c>
      <c r="AE95">
        <v>16735.689999999999</v>
      </c>
      <c r="AF95">
        <v>0</v>
      </c>
      <c r="AG95">
        <v>0</v>
      </c>
      <c r="AH95">
        <v>0</v>
      </c>
      <c r="AI95">
        <v>15.84</v>
      </c>
      <c r="AJ95">
        <v>1</v>
      </c>
      <c r="AK95">
        <v>1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3.0000000000000001E-5</v>
      </c>
      <c r="AU95" t="s">
        <v>3</v>
      </c>
      <c r="AV95">
        <v>0</v>
      </c>
      <c r="AW95">
        <v>2</v>
      </c>
      <c r="AX95">
        <v>59500089</v>
      </c>
      <c r="AY95">
        <v>1</v>
      </c>
      <c r="AZ95">
        <v>0</v>
      </c>
      <c r="BA95">
        <v>103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ROUND(Y95*Source!I226,9)</f>
        <v>3.0000000000000001E-5</v>
      </c>
      <c r="CY95">
        <f>AA95</f>
        <v>265093.33</v>
      </c>
      <c r="CZ95">
        <f>AE95</f>
        <v>16735.689999999999</v>
      </c>
      <c r="DA95">
        <f>AI95</f>
        <v>15.84</v>
      </c>
      <c r="DB95">
        <f>ROUND(ROUND(AT95*CZ95,2),6)</f>
        <v>0.5</v>
      </c>
      <c r="DC95">
        <f>ROUND(ROUND(AT95*AG95,2),6)</f>
        <v>0</v>
      </c>
      <c r="DD95" t="s">
        <v>3</v>
      </c>
      <c r="DE95" t="s">
        <v>3</v>
      </c>
      <c r="DF95">
        <f>ROUND(ROUND(AE95*AI95,2)*CX95,2)</f>
        <v>7.95</v>
      </c>
      <c r="DG95">
        <f t="shared" si="6"/>
        <v>0</v>
      </c>
      <c r="DH95">
        <f t="shared" si="7"/>
        <v>0</v>
      </c>
      <c r="DI95">
        <f t="shared" si="8"/>
        <v>0</v>
      </c>
      <c r="DJ95">
        <f>DF95</f>
        <v>7.95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ROW(Source!A226)</f>
        <v>226</v>
      </c>
      <c r="B96">
        <v>59499215</v>
      </c>
      <c r="C96">
        <v>59499656</v>
      </c>
      <c r="D96">
        <v>0</v>
      </c>
      <c r="E96">
        <v>1080</v>
      </c>
      <c r="F96">
        <v>1</v>
      </c>
      <c r="G96">
        <v>1080</v>
      </c>
      <c r="H96">
        <v>3</v>
      </c>
      <c r="I96" t="s">
        <v>219</v>
      </c>
      <c r="J96" t="s">
        <v>3</v>
      </c>
      <c r="K96" t="s">
        <v>220</v>
      </c>
      <c r="L96">
        <v>1354</v>
      </c>
      <c r="N96">
        <v>1010</v>
      </c>
      <c r="O96" t="s">
        <v>124</v>
      </c>
      <c r="P96" t="s">
        <v>124</v>
      </c>
      <c r="Q96">
        <v>1</v>
      </c>
      <c r="W96">
        <v>0</v>
      </c>
      <c r="X96">
        <v>-268844085</v>
      </c>
      <c r="Y96">
        <f>AT96</f>
        <v>1</v>
      </c>
      <c r="AA96">
        <v>305</v>
      </c>
      <c r="AB96">
        <v>0</v>
      </c>
      <c r="AC96">
        <v>0</v>
      </c>
      <c r="AD96">
        <v>0</v>
      </c>
      <c r="AE96">
        <v>30.87</v>
      </c>
      <c r="AF96">
        <v>0</v>
      </c>
      <c r="AG96">
        <v>0</v>
      </c>
      <c r="AH96">
        <v>0</v>
      </c>
      <c r="AI96">
        <v>9.8800000000000008</v>
      </c>
      <c r="AJ96">
        <v>1</v>
      </c>
      <c r="AK96">
        <v>1</v>
      </c>
      <c r="AL96">
        <v>1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 t="s">
        <v>3</v>
      </c>
      <c r="AT96">
        <v>1</v>
      </c>
      <c r="AU96" t="s">
        <v>3</v>
      </c>
      <c r="AV96">
        <v>0</v>
      </c>
      <c r="AW96">
        <v>1</v>
      </c>
      <c r="AX96">
        <v>-1</v>
      </c>
      <c r="AY96">
        <v>0</v>
      </c>
      <c r="AZ96">
        <v>0</v>
      </c>
      <c r="BA96" t="s">
        <v>3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ROUND(Y96*Source!I226,9)</f>
        <v>1</v>
      </c>
      <c r="CY96">
        <f>AA96</f>
        <v>305</v>
      </c>
      <c r="CZ96">
        <f>AE96</f>
        <v>30.87</v>
      </c>
      <c r="DA96">
        <f>AI96</f>
        <v>9.8800000000000008</v>
      </c>
      <c r="DB96">
        <f>ROUND(ROUND(AT96*CZ96,2),6)</f>
        <v>30.87</v>
      </c>
      <c r="DC96">
        <f>ROUND(ROUND(AT96*AG96,2),6)</f>
        <v>0</v>
      </c>
      <c r="DD96" t="s">
        <v>3</v>
      </c>
      <c r="DE96" t="s">
        <v>3</v>
      </c>
      <c r="DF96">
        <f>ROUND(ROUND(AE96*AI96,2)*CX96,2)</f>
        <v>305</v>
      </c>
      <c r="DG96">
        <f t="shared" si="6"/>
        <v>0</v>
      </c>
      <c r="DH96">
        <f t="shared" si="7"/>
        <v>0</v>
      </c>
      <c r="DI96">
        <f t="shared" si="8"/>
        <v>0</v>
      </c>
      <c r="DJ96">
        <f>DF96</f>
        <v>305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ROW(Source!A229)</f>
        <v>229</v>
      </c>
      <c r="B97">
        <v>59499218</v>
      </c>
      <c r="C97">
        <v>59499664</v>
      </c>
      <c r="D97">
        <v>58532980</v>
      </c>
      <c r="E97">
        <v>1080</v>
      </c>
      <c r="F97">
        <v>1</v>
      </c>
      <c r="G97">
        <v>1080</v>
      </c>
      <c r="H97">
        <v>1</v>
      </c>
      <c r="I97" t="s">
        <v>302</v>
      </c>
      <c r="J97" t="s">
        <v>3</v>
      </c>
      <c r="K97" t="s">
        <v>303</v>
      </c>
      <c r="L97">
        <v>1191</v>
      </c>
      <c r="N97">
        <v>1013</v>
      </c>
      <c r="O97" t="s">
        <v>304</v>
      </c>
      <c r="P97" t="s">
        <v>304</v>
      </c>
      <c r="Q97">
        <v>1</v>
      </c>
      <c r="W97">
        <v>0</v>
      </c>
      <c r="X97">
        <v>476480486</v>
      </c>
      <c r="Y97">
        <f>((AT97*1.15)*1.1)</f>
        <v>0.65780000000000005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0.52</v>
      </c>
      <c r="AU97" t="s">
        <v>40</v>
      </c>
      <c r="AV97">
        <v>1</v>
      </c>
      <c r="AW97">
        <v>2</v>
      </c>
      <c r="AX97">
        <v>59500091</v>
      </c>
      <c r="AY97">
        <v>1</v>
      </c>
      <c r="AZ97">
        <v>0</v>
      </c>
      <c r="BA97">
        <v>105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ROUND(AT97*Source!I229*AH97*AL97,2)</f>
        <v>0</v>
      </c>
      <c r="CV97">
        <f>ROUND(Y97*Source!I229,9)</f>
        <v>1.9734</v>
      </c>
      <c r="CW97">
        <v>0</v>
      </c>
      <c r="CX97">
        <f>ROUND(Y97*Source!I229,9)</f>
        <v>1.9734</v>
      </c>
      <c r="CY97">
        <f>AD97</f>
        <v>0</v>
      </c>
      <c r="CZ97">
        <f>AH97</f>
        <v>0</v>
      </c>
      <c r="DA97">
        <f>AL97</f>
        <v>1</v>
      </c>
      <c r="DB97">
        <f>ROUND(((ROUND(AT97*CZ97,2)*1.15)*1.1),6)</f>
        <v>0</v>
      </c>
      <c r="DC97">
        <f>ROUND(((ROUND(AT97*AG97,2)*1.15)*1.1),6)</f>
        <v>0</v>
      </c>
      <c r="DD97" t="s">
        <v>3</v>
      </c>
      <c r="DE97" t="s">
        <v>3</v>
      </c>
      <c r="DF97">
        <f>ROUND(ROUND(AE97,2)*CX97,2)</f>
        <v>0</v>
      </c>
      <c r="DG97">
        <f t="shared" ref="DG97:DG115" si="9">ROUND(ROUND(AF97,2)*CX97,2)</f>
        <v>0</v>
      </c>
      <c r="DH97">
        <f t="shared" ref="DH97:DH115" si="10">ROUND(ROUND(AG97,2)*CX97,2)</f>
        <v>0</v>
      </c>
      <c r="DI97">
        <f t="shared" ref="DI97:DI128" si="11">ROUND(ROUND(AH97,2)*CX97,2)</f>
        <v>0</v>
      </c>
      <c r="DJ97">
        <f>DI97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ROW(Source!A229)</f>
        <v>229</v>
      </c>
      <c r="B98">
        <v>59499218</v>
      </c>
      <c r="C98">
        <v>59499664</v>
      </c>
      <c r="D98">
        <v>58576492</v>
      </c>
      <c r="E98">
        <v>1</v>
      </c>
      <c r="F98">
        <v>1</v>
      </c>
      <c r="G98">
        <v>1080</v>
      </c>
      <c r="H98">
        <v>3</v>
      </c>
      <c r="I98" t="s">
        <v>305</v>
      </c>
      <c r="J98" t="s">
        <v>306</v>
      </c>
      <c r="K98" t="s">
        <v>307</v>
      </c>
      <c r="L98">
        <v>1348</v>
      </c>
      <c r="N98">
        <v>1009</v>
      </c>
      <c r="O98" t="s">
        <v>242</v>
      </c>
      <c r="P98" t="s">
        <v>242</v>
      </c>
      <c r="Q98">
        <v>1000</v>
      </c>
      <c r="W98">
        <v>0</v>
      </c>
      <c r="X98">
        <v>1986080645</v>
      </c>
      <c r="Y98">
        <f>AT98</f>
        <v>3.0000000000000001E-5</v>
      </c>
      <c r="AA98">
        <v>16735.689999999999</v>
      </c>
      <c r="AB98">
        <v>0</v>
      </c>
      <c r="AC98">
        <v>0</v>
      </c>
      <c r="AD98">
        <v>0</v>
      </c>
      <c r="AE98">
        <v>16735.689999999999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3.0000000000000001E-5</v>
      </c>
      <c r="AU98" t="s">
        <v>3</v>
      </c>
      <c r="AV98">
        <v>0</v>
      </c>
      <c r="AW98">
        <v>2</v>
      </c>
      <c r="AX98">
        <v>59500092</v>
      </c>
      <c r="AY98">
        <v>1</v>
      </c>
      <c r="AZ98">
        <v>0</v>
      </c>
      <c r="BA98">
        <v>106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ROUND(Y98*Source!I229,9)</f>
        <v>9.0000000000000006E-5</v>
      </c>
      <c r="CY98">
        <f>AA98</f>
        <v>16735.689999999999</v>
      </c>
      <c r="CZ98">
        <f>AE98</f>
        <v>16735.689999999999</v>
      </c>
      <c r="DA98">
        <f>AI98</f>
        <v>1</v>
      </c>
      <c r="DB98">
        <f>ROUND(ROUND(AT98*CZ98,2),6)</f>
        <v>0.5</v>
      </c>
      <c r="DC98">
        <f>ROUND(ROUND(AT98*AG98,2),6)</f>
        <v>0</v>
      </c>
      <c r="DD98" t="s">
        <v>3</v>
      </c>
      <c r="DE98" t="s">
        <v>3</v>
      </c>
      <c r="DF98">
        <f>ROUND(ROUND(AE98,2)*CX98,2)</f>
        <v>1.51</v>
      </c>
      <c r="DG98">
        <f t="shared" si="9"/>
        <v>0</v>
      </c>
      <c r="DH98">
        <f t="shared" si="10"/>
        <v>0</v>
      </c>
      <c r="DI98">
        <f t="shared" si="11"/>
        <v>0</v>
      </c>
      <c r="DJ98">
        <f>DF98</f>
        <v>1.51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ROW(Source!A229)</f>
        <v>229</v>
      </c>
      <c r="B99">
        <v>59499218</v>
      </c>
      <c r="C99">
        <v>59499664</v>
      </c>
      <c r="D99">
        <v>0</v>
      </c>
      <c r="E99">
        <v>1080</v>
      </c>
      <c r="F99">
        <v>1</v>
      </c>
      <c r="G99">
        <v>1080</v>
      </c>
      <c r="H99">
        <v>3</v>
      </c>
      <c r="I99" t="s">
        <v>223</v>
      </c>
      <c r="J99" t="s">
        <v>3</v>
      </c>
      <c r="K99" t="s">
        <v>224</v>
      </c>
      <c r="L99">
        <v>1354</v>
      </c>
      <c r="N99">
        <v>1010</v>
      </c>
      <c r="O99" t="s">
        <v>124</v>
      </c>
      <c r="P99" t="s">
        <v>124</v>
      </c>
      <c r="Q99">
        <v>1</v>
      </c>
      <c r="W99">
        <v>0</v>
      </c>
      <c r="X99">
        <v>1460206605</v>
      </c>
      <c r="Y99">
        <f>AT99</f>
        <v>1</v>
      </c>
      <c r="AA99">
        <v>518.04999999999995</v>
      </c>
      <c r="AB99">
        <v>0</v>
      </c>
      <c r="AC99">
        <v>0</v>
      </c>
      <c r="AD99">
        <v>0</v>
      </c>
      <c r="AE99">
        <v>518.04999999999995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 t="s">
        <v>3</v>
      </c>
      <c r="AT99">
        <v>1</v>
      </c>
      <c r="AU99" t="s">
        <v>3</v>
      </c>
      <c r="AV99">
        <v>0</v>
      </c>
      <c r="AW99">
        <v>1</v>
      </c>
      <c r="AX99">
        <v>-1</v>
      </c>
      <c r="AY99">
        <v>0</v>
      </c>
      <c r="AZ99">
        <v>0</v>
      </c>
      <c r="BA99" t="s">
        <v>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ROUND(Y99*Source!I229,9)</f>
        <v>3</v>
      </c>
      <c r="CY99">
        <f>AA99</f>
        <v>518.04999999999995</v>
      </c>
      <c r="CZ99">
        <f>AE99</f>
        <v>518.04999999999995</v>
      </c>
      <c r="DA99">
        <f>AI99</f>
        <v>1</v>
      </c>
      <c r="DB99">
        <f>ROUND(ROUND(AT99*CZ99,2),6)</f>
        <v>518.04999999999995</v>
      </c>
      <c r="DC99">
        <f>ROUND(ROUND(AT99*AG99,2),6)</f>
        <v>0</v>
      </c>
      <c r="DD99" t="s">
        <v>3</v>
      </c>
      <c r="DE99" t="s">
        <v>3</v>
      </c>
      <c r="DF99">
        <f>ROUND(ROUND(AE99,2)*CX99,2)</f>
        <v>1554.15</v>
      </c>
      <c r="DG99">
        <f t="shared" si="9"/>
        <v>0</v>
      </c>
      <c r="DH99">
        <f t="shared" si="10"/>
        <v>0</v>
      </c>
      <c r="DI99">
        <f t="shared" si="11"/>
        <v>0</v>
      </c>
      <c r="DJ99">
        <f>DF99</f>
        <v>1554.15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ROW(Source!A230)</f>
        <v>230</v>
      </c>
      <c r="B100">
        <v>59499215</v>
      </c>
      <c r="C100">
        <v>59499664</v>
      </c>
      <c r="D100">
        <v>58532980</v>
      </c>
      <c r="E100">
        <v>1080</v>
      </c>
      <c r="F100">
        <v>1</v>
      </c>
      <c r="G100">
        <v>1080</v>
      </c>
      <c r="H100">
        <v>1</v>
      </c>
      <c r="I100" t="s">
        <v>302</v>
      </c>
      <c r="J100" t="s">
        <v>3</v>
      </c>
      <c r="K100" t="s">
        <v>303</v>
      </c>
      <c r="L100">
        <v>1191</v>
      </c>
      <c r="N100">
        <v>1013</v>
      </c>
      <c r="O100" t="s">
        <v>304</v>
      </c>
      <c r="P100" t="s">
        <v>304</v>
      </c>
      <c r="Q100">
        <v>1</v>
      </c>
      <c r="W100">
        <v>0</v>
      </c>
      <c r="X100">
        <v>476480486</v>
      </c>
      <c r="Y100">
        <f>((AT100*1.15)*1.1)</f>
        <v>0.65780000000000005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5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0.52</v>
      </c>
      <c r="AU100" t="s">
        <v>40</v>
      </c>
      <c r="AV100">
        <v>1</v>
      </c>
      <c r="AW100">
        <v>2</v>
      </c>
      <c r="AX100">
        <v>59500091</v>
      </c>
      <c r="AY100">
        <v>1</v>
      </c>
      <c r="AZ100">
        <v>0</v>
      </c>
      <c r="BA100">
        <v>108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U100">
        <f>ROUND(AT100*Source!I230*AH100*AL100,2)</f>
        <v>0</v>
      </c>
      <c r="CV100">
        <f>ROUND(Y100*Source!I230,9)</f>
        <v>1.9734</v>
      </c>
      <c r="CW100">
        <v>0</v>
      </c>
      <c r="CX100">
        <f>ROUND(Y100*Source!I230,9)</f>
        <v>1.9734</v>
      </c>
      <c r="CY100">
        <f>AD100</f>
        <v>0</v>
      </c>
      <c r="CZ100">
        <f>AH100</f>
        <v>0</v>
      </c>
      <c r="DA100">
        <f>AL100</f>
        <v>1</v>
      </c>
      <c r="DB100">
        <f>ROUND(((ROUND(AT100*CZ100,2)*1.15)*1.1),6)</f>
        <v>0</v>
      </c>
      <c r="DC100">
        <f>ROUND(((ROUND(AT100*AG100,2)*1.15)*1.1),6)</f>
        <v>0</v>
      </c>
      <c r="DD100" t="s">
        <v>3</v>
      </c>
      <c r="DE100" t="s">
        <v>3</v>
      </c>
      <c r="DF100">
        <f>ROUND(ROUND(AE100,2)*CX100,2)</f>
        <v>0</v>
      </c>
      <c r="DG100">
        <f t="shared" si="9"/>
        <v>0</v>
      </c>
      <c r="DH100">
        <f t="shared" si="10"/>
        <v>0</v>
      </c>
      <c r="DI100">
        <f t="shared" si="11"/>
        <v>0</v>
      </c>
      <c r="DJ100">
        <f>DI100</f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ROW(Source!A230)</f>
        <v>230</v>
      </c>
      <c r="B101">
        <v>59499215</v>
      </c>
      <c r="C101">
        <v>59499664</v>
      </c>
      <c r="D101">
        <v>58576492</v>
      </c>
      <c r="E101">
        <v>1</v>
      </c>
      <c r="F101">
        <v>1</v>
      </c>
      <c r="G101">
        <v>1080</v>
      </c>
      <c r="H101">
        <v>3</v>
      </c>
      <c r="I101" t="s">
        <v>305</v>
      </c>
      <c r="J101" t="s">
        <v>306</v>
      </c>
      <c r="K101" t="s">
        <v>307</v>
      </c>
      <c r="L101">
        <v>1348</v>
      </c>
      <c r="N101">
        <v>1009</v>
      </c>
      <c r="O101" t="s">
        <v>242</v>
      </c>
      <c r="P101" t="s">
        <v>242</v>
      </c>
      <c r="Q101">
        <v>1000</v>
      </c>
      <c r="W101">
        <v>0</v>
      </c>
      <c r="X101">
        <v>1986080645</v>
      </c>
      <c r="Y101">
        <f>AT101</f>
        <v>3.0000000000000001E-5</v>
      </c>
      <c r="AA101">
        <v>265093.33</v>
      </c>
      <c r="AB101">
        <v>0</v>
      </c>
      <c r="AC101">
        <v>0</v>
      </c>
      <c r="AD101">
        <v>0</v>
      </c>
      <c r="AE101">
        <v>16735.689999999999</v>
      </c>
      <c r="AF101">
        <v>0</v>
      </c>
      <c r="AG101">
        <v>0</v>
      </c>
      <c r="AH101">
        <v>0</v>
      </c>
      <c r="AI101">
        <v>15.84</v>
      </c>
      <c r="AJ101">
        <v>1</v>
      </c>
      <c r="AK101">
        <v>1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3.0000000000000001E-5</v>
      </c>
      <c r="AU101" t="s">
        <v>3</v>
      </c>
      <c r="AV101">
        <v>0</v>
      </c>
      <c r="AW101">
        <v>2</v>
      </c>
      <c r="AX101">
        <v>59500092</v>
      </c>
      <c r="AY101">
        <v>1</v>
      </c>
      <c r="AZ101">
        <v>0</v>
      </c>
      <c r="BA101">
        <v>109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ROUND(Y101*Source!I230,9)</f>
        <v>9.0000000000000006E-5</v>
      </c>
      <c r="CY101">
        <f>AA101</f>
        <v>265093.33</v>
      </c>
      <c r="CZ101">
        <f>AE101</f>
        <v>16735.689999999999</v>
      </c>
      <c r="DA101">
        <f>AI101</f>
        <v>15.84</v>
      </c>
      <c r="DB101">
        <f>ROUND(ROUND(AT101*CZ101,2),6)</f>
        <v>0.5</v>
      </c>
      <c r="DC101">
        <f>ROUND(ROUND(AT101*AG101,2),6)</f>
        <v>0</v>
      </c>
      <c r="DD101" t="s">
        <v>3</v>
      </c>
      <c r="DE101" t="s">
        <v>3</v>
      </c>
      <c r="DF101">
        <f>ROUND(ROUND(AE101*AI101,2)*CX101,2)</f>
        <v>23.86</v>
      </c>
      <c r="DG101">
        <f t="shared" si="9"/>
        <v>0</v>
      </c>
      <c r="DH101">
        <f t="shared" si="10"/>
        <v>0</v>
      </c>
      <c r="DI101">
        <f t="shared" si="11"/>
        <v>0</v>
      </c>
      <c r="DJ101">
        <f>DF101</f>
        <v>23.86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ROW(Source!A230)</f>
        <v>230</v>
      </c>
      <c r="B102">
        <v>59499215</v>
      </c>
      <c r="C102">
        <v>59499664</v>
      </c>
      <c r="D102">
        <v>0</v>
      </c>
      <c r="E102">
        <v>1080</v>
      </c>
      <c r="F102">
        <v>1</v>
      </c>
      <c r="G102">
        <v>1080</v>
      </c>
      <c r="H102">
        <v>3</v>
      </c>
      <c r="I102" t="s">
        <v>223</v>
      </c>
      <c r="J102" t="s">
        <v>3</v>
      </c>
      <c r="K102" t="s">
        <v>224</v>
      </c>
      <c r="L102">
        <v>1354</v>
      </c>
      <c r="N102">
        <v>1010</v>
      </c>
      <c r="O102" t="s">
        <v>124</v>
      </c>
      <c r="P102" t="s">
        <v>124</v>
      </c>
      <c r="Q102">
        <v>1</v>
      </c>
      <c r="W102">
        <v>0</v>
      </c>
      <c r="X102">
        <v>1460206605</v>
      </c>
      <c r="Y102">
        <f>AT102</f>
        <v>1</v>
      </c>
      <c r="AA102">
        <v>5118.33</v>
      </c>
      <c r="AB102">
        <v>0</v>
      </c>
      <c r="AC102">
        <v>0</v>
      </c>
      <c r="AD102">
        <v>0</v>
      </c>
      <c r="AE102">
        <v>518.04999999999995</v>
      </c>
      <c r="AF102">
        <v>0</v>
      </c>
      <c r="AG102">
        <v>0</v>
      </c>
      <c r="AH102">
        <v>0</v>
      </c>
      <c r="AI102">
        <v>9.8800000000000008</v>
      </c>
      <c r="AJ102">
        <v>1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 t="s">
        <v>3</v>
      </c>
      <c r="AT102">
        <v>1</v>
      </c>
      <c r="AU102" t="s">
        <v>3</v>
      </c>
      <c r="AV102">
        <v>0</v>
      </c>
      <c r="AW102">
        <v>1</v>
      </c>
      <c r="AX102">
        <v>-1</v>
      </c>
      <c r="AY102">
        <v>0</v>
      </c>
      <c r="AZ102">
        <v>0</v>
      </c>
      <c r="BA102" t="s">
        <v>3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ROUND(Y102*Source!I230,9)</f>
        <v>3</v>
      </c>
      <c r="CY102">
        <f>AA102</f>
        <v>5118.33</v>
      </c>
      <c r="CZ102">
        <f>AE102</f>
        <v>518.04999999999995</v>
      </c>
      <c r="DA102">
        <f>AI102</f>
        <v>9.8800000000000008</v>
      </c>
      <c r="DB102">
        <f>ROUND(ROUND(AT102*CZ102,2),6)</f>
        <v>518.04999999999995</v>
      </c>
      <c r="DC102">
        <f>ROUND(ROUND(AT102*AG102,2),6)</f>
        <v>0</v>
      </c>
      <c r="DD102" t="s">
        <v>3</v>
      </c>
      <c r="DE102" t="s">
        <v>3</v>
      </c>
      <c r="DF102">
        <f>ROUND(ROUND(AE102*AI102,2)*CX102,2)</f>
        <v>15354.99</v>
      </c>
      <c r="DG102">
        <f t="shared" si="9"/>
        <v>0</v>
      </c>
      <c r="DH102">
        <f t="shared" si="10"/>
        <v>0</v>
      </c>
      <c r="DI102">
        <f t="shared" si="11"/>
        <v>0</v>
      </c>
      <c r="DJ102">
        <f>DF102</f>
        <v>15354.99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ROW(Source!A233)</f>
        <v>233</v>
      </c>
      <c r="B103">
        <v>59499218</v>
      </c>
      <c r="C103">
        <v>59499672</v>
      </c>
      <c r="D103">
        <v>58532980</v>
      </c>
      <c r="E103">
        <v>1080</v>
      </c>
      <c r="F103">
        <v>1</v>
      </c>
      <c r="G103">
        <v>1080</v>
      </c>
      <c r="H103">
        <v>1</v>
      </c>
      <c r="I103" t="s">
        <v>302</v>
      </c>
      <c r="J103" t="s">
        <v>3</v>
      </c>
      <c r="K103" t="s">
        <v>303</v>
      </c>
      <c r="L103">
        <v>1191</v>
      </c>
      <c r="N103">
        <v>1013</v>
      </c>
      <c r="O103" t="s">
        <v>304</v>
      </c>
      <c r="P103" t="s">
        <v>304</v>
      </c>
      <c r="Q103">
        <v>1</v>
      </c>
      <c r="W103">
        <v>0</v>
      </c>
      <c r="X103">
        <v>476480486</v>
      </c>
      <c r="Y103">
        <f>((AT103*1.15)*1.1)</f>
        <v>0.65780000000000005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0.52</v>
      </c>
      <c r="AU103" t="s">
        <v>40</v>
      </c>
      <c r="AV103">
        <v>1</v>
      </c>
      <c r="AW103">
        <v>2</v>
      </c>
      <c r="AX103">
        <v>59500094</v>
      </c>
      <c r="AY103">
        <v>1</v>
      </c>
      <c r="AZ103">
        <v>0</v>
      </c>
      <c r="BA103">
        <v>111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ROUND(AT103*Source!I233*AH103*AL103,2)</f>
        <v>0</v>
      </c>
      <c r="CV103">
        <f>ROUND(Y103*Source!I233,9)</f>
        <v>0.65780000000000005</v>
      </c>
      <c r="CW103">
        <v>0</v>
      </c>
      <c r="CX103">
        <f>ROUND(Y103*Source!I233,9)</f>
        <v>0.65780000000000005</v>
      </c>
      <c r="CY103">
        <f>AD103</f>
        <v>0</v>
      </c>
      <c r="CZ103">
        <f>AH103</f>
        <v>0</v>
      </c>
      <c r="DA103">
        <f>AL103</f>
        <v>1</v>
      </c>
      <c r="DB103">
        <f>ROUND(((ROUND(AT103*CZ103,2)*1.15)*1.1),6)</f>
        <v>0</v>
      </c>
      <c r="DC103">
        <f>ROUND(((ROUND(AT103*AG103,2)*1.15)*1.1),6)</f>
        <v>0</v>
      </c>
      <c r="DD103" t="s">
        <v>3</v>
      </c>
      <c r="DE103" t="s">
        <v>3</v>
      </c>
      <c r="DF103">
        <f>ROUND(ROUND(AE103,2)*CX103,2)</f>
        <v>0</v>
      </c>
      <c r="DG103">
        <f t="shared" si="9"/>
        <v>0</v>
      </c>
      <c r="DH103">
        <f t="shared" si="10"/>
        <v>0</v>
      </c>
      <c r="DI103">
        <f t="shared" si="11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ROW(Source!A233)</f>
        <v>233</v>
      </c>
      <c r="B104">
        <v>59499218</v>
      </c>
      <c r="C104">
        <v>59499672</v>
      </c>
      <c r="D104">
        <v>58576492</v>
      </c>
      <c r="E104">
        <v>1</v>
      </c>
      <c r="F104">
        <v>1</v>
      </c>
      <c r="G104">
        <v>1080</v>
      </c>
      <c r="H104">
        <v>3</v>
      </c>
      <c r="I104" t="s">
        <v>305</v>
      </c>
      <c r="J104" t="s">
        <v>306</v>
      </c>
      <c r="K104" t="s">
        <v>307</v>
      </c>
      <c r="L104">
        <v>1348</v>
      </c>
      <c r="N104">
        <v>1009</v>
      </c>
      <c r="O104" t="s">
        <v>242</v>
      </c>
      <c r="P104" t="s">
        <v>242</v>
      </c>
      <c r="Q104">
        <v>1000</v>
      </c>
      <c r="W104">
        <v>0</v>
      </c>
      <c r="X104">
        <v>1986080645</v>
      </c>
      <c r="Y104">
        <f>AT104</f>
        <v>3.0000000000000001E-5</v>
      </c>
      <c r="AA104">
        <v>16735.689999999999</v>
      </c>
      <c r="AB104">
        <v>0</v>
      </c>
      <c r="AC104">
        <v>0</v>
      </c>
      <c r="AD104">
        <v>0</v>
      </c>
      <c r="AE104">
        <v>16735.689999999999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3.0000000000000001E-5</v>
      </c>
      <c r="AU104" t="s">
        <v>3</v>
      </c>
      <c r="AV104">
        <v>0</v>
      </c>
      <c r="AW104">
        <v>2</v>
      </c>
      <c r="AX104">
        <v>59500095</v>
      </c>
      <c r="AY104">
        <v>1</v>
      </c>
      <c r="AZ104">
        <v>0</v>
      </c>
      <c r="BA104">
        <v>112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ROUND(Y104*Source!I233,9)</f>
        <v>3.0000000000000001E-5</v>
      </c>
      <c r="CY104">
        <f>AA104</f>
        <v>16735.689999999999</v>
      </c>
      <c r="CZ104">
        <f>AE104</f>
        <v>16735.689999999999</v>
      </c>
      <c r="DA104">
        <f>AI104</f>
        <v>1</v>
      </c>
      <c r="DB104">
        <f>ROUND(ROUND(AT104*CZ104,2),6)</f>
        <v>0.5</v>
      </c>
      <c r="DC104">
        <f>ROUND(ROUND(AT104*AG104,2),6)</f>
        <v>0</v>
      </c>
      <c r="DD104" t="s">
        <v>3</v>
      </c>
      <c r="DE104" t="s">
        <v>3</v>
      </c>
      <c r="DF104">
        <f>ROUND(ROUND(AE104,2)*CX104,2)</f>
        <v>0.5</v>
      </c>
      <c r="DG104">
        <f t="shared" si="9"/>
        <v>0</v>
      </c>
      <c r="DH104">
        <f t="shared" si="10"/>
        <v>0</v>
      </c>
      <c r="DI104">
        <f t="shared" si="11"/>
        <v>0</v>
      </c>
      <c r="DJ104">
        <f>DF104</f>
        <v>0.5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ROW(Source!A233)</f>
        <v>233</v>
      </c>
      <c r="B105">
        <v>59499218</v>
      </c>
      <c r="C105">
        <v>59499672</v>
      </c>
      <c r="D105">
        <v>0</v>
      </c>
      <c r="E105">
        <v>1080</v>
      </c>
      <c r="F105">
        <v>1</v>
      </c>
      <c r="G105">
        <v>1080</v>
      </c>
      <c r="H105">
        <v>3</v>
      </c>
      <c r="I105" t="s">
        <v>228</v>
      </c>
      <c r="J105" t="s">
        <v>3</v>
      </c>
      <c r="K105" t="s">
        <v>229</v>
      </c>
      <c r="L105">
        <v>1354</v>
      </c>
      <c r="N105">
        <v>1010</v>
      </c>
      <c r="O105" t="s">
        <v>124</v>
      </c>
      <c r="P105" t="s">
        <v>124</v>
      </c>
      <c r="Q105">
        <v>1</v>
      </c>
      <c r="W105">
        <v>0</v>
      </c>
      <c r="X105">
        <v>1111919097</v>
      </c>
      <c r="Y105">
        <f>AT105</f>
        <v>1</v>
      </c>
      <c r="AA105">
        <v>2584.89</v>
      </c>
      <c r="AB105">
        <v>0</v>
      </c>
      <c r="AC105">
        <v>0</v>
      </c>
      <c r="AD105">
        <v>0</v>
      </c>
      <c r="AE105">
        <v>2584.89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 t="s">
        <v>3</v>
      </c>
      <c r="AT105">
        <v>1</v>
      </c>
      <c r="AU105" t="s">
        <v>3</v>
      </c>
      <c r="AV105">
        <v>0</v>
      </c>
      <c r="AW105">
        <v>1</v>
      </c>
      <c r="AX105">
        <v>-1</v>
      </c>
      <c r="AY105">
        <v>0</v>
      </c>
      <c r="AZ105">
        <v>0</v>
      </c>
      <c r="BA105" t="s">
        <v>3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ROUND(Y105*Source!I233,9)</f>
        <v>1</v>
      </c>
      <c r="CY105">
        <f>AA105</f>
        <v>2584.89</v>
      </c>
      <c r="CZ105">
        <f>AE105</f>
        <v>2584.89</v>
      </c>
      <c r="DA105">
        <f>AI105</f>
        <v>1</v>
      </c>
      <c r="DB105">
        <f>ROUND(ROUND(AT105*CZ105,2),6)</f>
        <v>2584.89</v>
      </c>
      <c r="DC105">
        <f>ROUND(ROUND(AT105*AG105,2),6)</f>
        <v>0</v>
      </c>
      <c r="DD105" t="s">
        <v>3</v>
      </c>
      <c r="DE105" t="s">
        <v>3</v>
      </c>
      <c r="DF105">
        <f>ROUND(ROUND(AE105,2)*CX105,2)</f>
        <v>2584.89</v>
      </c>
      <c r="DG105">
        <f t="shared" si="9"/>
        <v>0</v>
      </c>
      <c r="DH105">
        <f t="shared" si="10"/>
        <v>0</v>
      </c>
      <c r="DI105">
        <f t="shared" si="11"/>
        <v>0</v>
      </c>
      <c r="DJ105">
        <f>DF105</f>
        <v>2584.89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ROW(Source!A234)</f>
        <v>234</v>
      </c>
      <c r="B106">
        <v>59499215</v>
      </c>
      <c r="C106">
        <v>59499672</v>
      </c>
      <c r="D106">
        <v>58532980</v>
      </c>
      <c r="E106">
        <v>1080</v>
      </c>
      <c r="F106">
        <v>1</v>
      </c>
      <c r="G106">
        <v>1080</v>
      </c>
      <c r="H106">
        <v>1</v>
      </c>
      <c r="I106" t="s">
        <v>302</v>
      </c>
      <c r="J106" t="s">
        <v>3</v>
      </c>
      <c r="K106" t="s">
        <v>303</v>
      </c>
      <c r="L106">
        <v>1191</v>
      </c>
      <c r="N106">
        <v>1013</v>
      </c>
      <c r="O106" t="s">
        <v>304</v>
      </c>
      <c r="P106" t="s">
        <v>304</v>
      </c>
      <c r="Q106">
        <v>1</v>
      </c>
      <c r="W106">
        <v>0</v>
      </c>
      <c r="X106">
        <v>476480486</v>
      </c>
      <c r="Y106">
        <f>((AT106*1.15)*1.1)</f>
        <v>0.65780000000000005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5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0.52</v>
      </c>
      <c r="AU106" t="s">
        <v>40</v>
      </c>
      <c r="AV106">
        <v>1</v>
      </c>
      <c r="AW106">
        <v>2</v>
      </c>
      <c r="AX106">
        <v>59500094</v>
      </c>
      <c r="AY106">
        <v>1</v>
      </c>
      <c r="AZ106">
        <v>0</v>
      </c>
      <c r="BA106">
        <v>114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U106">
        <f>ROUND(AT106*Source!I234*AH106*AL106,2)</f>
        <v>0</v>
      </c>
      <c r="CV106">
        <f>ROUND(Y106*Source!I234,9)</f>
        <v>0.65780000000000005</v>
      </c>
      <c r="CW106">
        <v>0</v>
      </c>
      <c r="CX106">
        <f>ROUND(Y106*Source!I234,9)</f>
        <v>0.65780000000000005</v>
      </c>
      <c r="CY106">
        <f>AD106</f>
        <v>0</v>
      </c>
      <c r="CZ106">
        <f>AH106</f>
        <v>0</v>
      </c>
      <c r="DA106">
        <f>AL106</f>
        <v>1</v>
      </c>
      <c r="DB106">
        <f>ROUND(((ROUND(AT106*CZ106,2)*1.15)*1.1),6)</f>
        <v>0</v>
      </c>
      <c r="DC106">
        <f>ROUND(((ROUND(AT106*AG106,2)*1.15)*1.1),6)</f>
        <v>0</v>
      </c>
      <c r="DD106" t="s">
        <v>3</v>
      </c>
      <c r="DE106" t="s">
        <v>3</v>
      </c>
      <c r="DF106">
        <f>ROUND(ROUND(AE106,2)*CX106,2)</f>
        <v>0</v>
      </c>
      <c r="DG106">
        <f t="shared" si="9"/>
        <v>0</v>
      </c>
      <c r="DH106">
        <f t="shared" si="10"/>
        <v>0</v>
      </c>
      <c r="DI106">
        <f t="shared" si="11"/>
        <v>0</v>
      </c>
      <c r="DJ106">
        <f>DI106</f>
        <v>0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ROW(Source!A234)</f>
        <v>234</v>
      </c>
      <c r="B107">
        <v>59499215</v>
      </c>
      <c r="C107">
        <v>59499672</v>
      </c>
      <c r="D107">
        <v>58576492</v>
      </c>
      <c r="E107">
        <v>1</v>
      </c>
      <c r="F107">
        <v>1</v>
      </c>
      <c r="G107">
        <v>1080</v>
      </c>
      <c r="H107">
        <v>3</v>
      </c>
      <c r="I107" t="s">
        <v>305</v>
      </c>
      <c r="J107" t="s">
        <v>306</v>
      </c>
      <c r="K107" t="s">
        <v>307</v>
      </c>
      <c r="L107">
        <v>1348</v>
      </c>
      <c r="N107">
        <v>1009</v>
      </c>
      <c r="O107" t="s">
        <v>242</v>
      </c>
      <c r="P107" t="s">
        <v>242</v>
      </c>
      <c r="Q107">
        <v>1000</v>
      </c>
      <c r="W107">
        <v>0</v>
      </c>
      <c r="X107">
        <v>1986080645</v>
      </c>
      <c r="Y107">
        <f>AT107</f>
        <v>3.0000000000000001E-5</v>
      </c>
      <c r="AA107">
        <v>265093.33</v>
      </c>
      <c r="AB107">
        <v>0</v>
      </c>
      <c r="AC107">
        <v>0</v>
      </c>
      <c r="AD107">
        <v>0</v>
      </c>
      <c r="AE107">
        <v>16735.689999999999</v>
      </c>
      <c r="AF107">
        <v>0</v>
      </c>
      <c r="AG107">
        <v>0</v>
      </c>
      <c r="AH107">
        <v>0</v>
      </c>
      <c r="AI107">
        <v>15.84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3.0000000000000001E-5</v>
      </c>
      <c r="AU107" t="s">
        <v>3</v>
      </c>
      <c r="AV107">
        <v>0</v>
      </c>
      <c r="AW107">
        <v>2</v>
      </c>
      <c r="AX107">
        <v>59500095</v>
      </c>
      <c r="AY107">
        <v>1</v>
      </c>
      <c r="AZ107">
        <v>0</v>
      </c>
      <c r="BA107">
        <v>115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ROUND(Y107*Source!I234,9)</f>
        <v>3.0000000000000001E-5</v>
      </c>
      <c r="CY107">
        <f>AA107</f>
        <v>265093.33</v>
      </c>
      <c r="CZ107">
        <f>AE107</f>
        <v>16735.689999999999</v>
      </c>
      <c r="DA107">
        <f>AI107</f>
        <v>15.84</v>
      </c>
      <c r="DB107">
        <f>ROUND(ROUND(AT107*CZ107,2),6)</f>
        <v>0.5</v>
      </c>
      <c r="DC107">
        <f>ROUND(ROUND(AT107*AG107,2),6)</f>
        <v>0</v>
      </c>
      <c r="DD107" t="s">
        <v>3</v>
      </c>
      <c r="DE107" t="s">
        <v>3</v>
      </c>
      <c r="DF107">
        <f>ROUND(ROUND(AE107*AI107,2)*CX107,2)</f>
        <v>7.95</v>
      </c>
      <c r="DG107">
        <f t="shared" si="9"/>
        <v>0</v>
      </c>
      <c r="DH107">
        <f t="shared" si="10"/>
        <v>0</v>
      </c>
      <c r="DI107">
        <f t="shared" si="11"/>
        <v>0</v>
      </c>
      <c r="DJ107">
        <f>DF107</f>
        <v>7.95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ROW(Source!A234)</f>
        <v>234</v>
      </c>
      <c r="B108">
        <v>59499215</v>
      </c>
      <c r="C108">
        <v>59499672</v>
      </c>
      <c r="D108">
        <v>0</v>
      </c>
      <c r="E108">
        <v>1080</v>
      </c>
      <c r="F108">
        <v>1</v>
      </c>
      <c r="G108">
        <v>1080</v>
      </c>
      <c r="H108">
        <v>3</v>
      </c>
      <c r="I108" t="s">
        <v>228</v>
      </c>
      <c r="J108" t="s">
        <v>3</v>
      </c>
      <c r="K108" t="s">
        <v>229</v>
      </c>
      <c r="L108">
        <v>1354</v>
      </c>
      <c r="N108">
        <v>1010</v>
      </c>
      <c r="O108" t="s">
        <v>124</v>
      </c>
      <c r="P108" t="s">
        <v>124</v>
      </c>
      <c r="Q108">
        <v>1</v>
      </c>
      <c r="W108">
        <v>0</v>
      </c>
      <c r="X108">
        <v>1111919097</v>
      </c>
      <c r="Y108">
        <f>AT108</f>
        <v>1</v>
      </c>
      <c r="AA108">
        <v>25538.71</v>
      </c>
      <c r="AB108">
        <v>0</v>
      </c>
      <c r="AC108">
        <v>0</v>
      </c>
      <c r="AD108">
        <v>0</v>
      </c>
      <c r="AE108">
        <v>2584.89</v>
      </c>
      <c r="AF108">
        <v>0</v>
      </c>
      <c r="AG108">
        <v>0</v>
      </c>
      <c r="AH108">
        <v>0</v>
      </c>
      <c r="AI108">
        <v>9.8800000000000008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 t="s">
        <v>3</v>
      </c>
      <c r="AT108">
        <v>1</v>
      </c>
      <c r="AU108" t="s">
        <v>3</v>
      </c>
      <c r="AV108">
        <v>0</v>
      </c>
      <c r="AW108">
        <v>1</v>
      </c>
      <c r="AX108">
        <v>-1</v>
      </c>
      <c r="AY108">
        <v>0</v>
      </c>
      <c r="AZ108">
        <v>0</v>
      </c>
      <c r="BA108" t="s">
        <v>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ROUND(Y108*Source!I234,9)</f>
        <v>1</v>
      </c>
      <c r="CY108">
        <f>AA108</f>
        <v>25538.71</v>
      </c>
      <c r="CZ108">
        <f>AE108</f>
        <v>2584.89</v>
      </c>
      <c r="DA108">
        <f>AI108</f>
        <v>9.8800000000000008</v>
      </c>
      <c r="DB108">
        <f>ROUND(ROUND(AT108*CZ108,2),6)</f>
        <v>2584.89</v>
      </c>
      <c r="DC108">
        <f>ROUND(ROUND(AT108*AG108,2),6)</f>
        <v>0</v>
      </c>
      <c r="DD108" t="s">
        <v>3</v>
      </c>
      <c r="DE108" t="s">
        <v>3</v>
      </c>
      <c r="DF108">
        <f>ROUND(ROUND(AE108*AI108,2)*CX108,2)</f>
        <v>25538.71</v>
      </c>
      <c r="DG108">
        <f t="shared" si="9"/>
        <v>0</v>
      </c>
      <c r="DH108">
        <f t="shared" si="10"/>
        <v>0</v>
      </c>
      <c r="DI108">
        <f t="shared" si="11"/>
        <v>0</v>
      </c>
      <c r="DJ108">
        <f>DF108</f>
        <v>25538.71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ROW(Source!A272)</f>
        <v>272</v>
      </c>
      <c r="B109">
        <v>59499218</v>
      </c>
      <c r="C109">
        <v>59499736</v>
      </c>
      <c r="D109">
        <v>58532980</v>
      </c>
      <c r="E109">
        <v>1080</v>
      </c>
      <c r="F109">
        <v>1</v>
      </c>
      <c r="G109">
        <v>1080</v>
      </c>
      <c r="H109">
        <v>1</v>
      </c>
      <c r="I109" t="s">
        <v>302</v>
      </c>
      <c r="J109" t="s">
        <v>3</v>
      </c>
      <c r="K109" t="s">
        <v>303</v>
      </c>
      <c r="L109">
        <v>1191</v>
      </c>
      <c r="N109">
        <v>1013</v>
      </c>
      <c r="O109" t="s">
        <v>304</v>
      </c>
      <c r="P109" t="s">
        <v>304</v>
      </c>
      <c r="Q109">
        <v>1</v>
      </c>
      <c r="W109">
        <v>0</v>
      </c>
      <c r="X109">
        <v>476480486</v>
      </c>
      <c r="Y109">
        <f>((AT109*1.15)*1.1)</f>
        <v>15.62275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12.35</v>
      </c>
      <c r="AU109" t="s">
        <v>40</v>
      </c>
      <c r="AV109">
        <v>1</v>
      </c>
      <c r="AW109">
        <v>2</v>
      </c>
      <c r="AX109">
        <v>59500097</v>
      </c>
      <c r="AY109">
        <v>1</v>
      </c>
      <c r="AZ109">
        <v>0</v>
      </c>
      <c r="BA109">
        <v>117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ROUND(AT109*Source!I272*AH109*AL109,2)</f>
        <v>0</v>
      </c>
      <c r="CV109">
        <f>ROUND(Y109*Source!I272,9)</f>
        <v>9.9985599999999994</v>
      </c>
      <c r="CW109">
        <v>0</v>
      </c>
      <c r="CX109">
        <f>ROUND(Y109*Source!I272,9)</f>
        <v>9.9985599999999994</v>
      </c>
      <c r="CY109">
        <f>AD109</f>
        <v>0</v>
      </c>
      <c r="CZ109">
        <f>AH109</f>
        <v>0</v>
      </c>
      <c r="DA109">
        <f>AL109</f>
        <v>1</v>
      </c>
      <c r="DB109">
        <f>ROUND(((ROUND(AT109*CZ109,2)*1.15)*1.1),6)</f>
        <v>0</v>
      </c>
      <c r="DC109">
        <f>ROUND(((ROUND(AT109*AG109,2)*1.15)*1.1),6)</f>
        <v>0</v>
      </c>
      <c r="DD109" t="s">
        <v>3</v>
      </c>
      <c r="DE109" t="s">
        <v>3</v>
      </c>
      <c r="DF109">
        <f t="shared" ref="DF109:DF117" si="12">ROUND(ROUND(AE109,2)*CX109,2)</f>
        <v>0</v>
      </c>
      <c r="DG109">
        <f t="shared" si="9"/>
        <v>0</v>
      </c>
      <c r="DH109">
        <f t="shared" si="10"/>
        <v>0</v>
      </c>
      <c r="DI109">
        <f t="shared" si="11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ROW(Source!A272)</f>
        <v>272</v>
      </c>
      <c r="B110">
        <v>59499218</v>
      </c>
      <c r="C110">
        <v>59499736</v>
      </c>
      <c r="D110">
        <v>58607154</v>
      </c>
      <c r="E110">
        <v>1</v>
      </c>
      <c r="F110">
        <v>1</v>
      </c>
      <c r="G110">
        <v>1080</v>
      </c>
      <c r="H110">
        <v>2</v>
      </c>
      <c r="I110" t="s">
        <v>308</v>
      </c>
      <c r="J110" t="s">
        <v>309</v>
      </c>
      <c r="K110" t="s">
        <v>310</v>
      </c>
      <c r="L110">
        <v>1368</v>
      </c>
      <c r="N110">
        <v>1011</v>
      </c>
      <c r="O110" t="s">
        <v>311</v>
      </c>
      <c r="P110" t="s">
        <v>311</v>
      </c>
      <c r="Q110">
        <v>1</v>
      </c>
      <c r="W110">
        <v>0</v>
      </c>
      <c r="X110">
        <v>-1985943078</v>
      </c>
      <c r="Y110">
        <f>((AT110*1.25)*1.1)</f>
        <v>0.12375</v>
      </c>
      <c r="AA110">
        <v>0</v>
      </c>
      <c r="AB110">
        <v>87.01</v>
      </c>
      <c r="AC110">
        <v>13.21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0.09</v>
      </c>
      <c r="AU110" t="s">
        <v>39</v>
      </c>
      <c r="AV110">
        <v>0</v>
      </c>
      <c r="AW110">
        <v>2</v>
      </c>
      <c r="AX110">
        <v>59500098</v>
      </c>
      <c r="AY110">
        <v>1</v>
      </c>
      <c r="AZ110">
        <v>0</v>
      </c>
      <c r="BA110">
        <v>118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ROUND(Y110*Source!I272*DO110,9)</f>
        <v>0.99950399999999995</v>
      </c>
      <c r="CX110">
        <f>ROUND(Y110*Source!I272,9)</f>
        <v>7.9200000000000007E-2</v>
      </c>
      <c r="CY110">
        <f>AB110</f>
        <v>87.01</v>
      </c>
      <c r="CZ110">
        <f>AF110</f>
        <v>83.1</v>
      </c>
      <c r="DA110">
        <f>AJ110</f>
        <v>1</v>
      </c>
      <c r="DB110">
        <f>ROUND(((ROUND(AT110*CZ110,2)*1.25)*1.1),6)</f>
        <v>10.285</v>
      </c>
      <c r="DC110">
        <f>ROUND(((ROUND(AT110*AG110,2)*1.25)*1.1),6)</f>
        <v>1.5674999999999999</v>
      </c>
      <c r="DD110" t="s">
        <v>3</v>
      </c>
      <c r="DE110" t="s">
        <v>3</v>
      </c>
      <c r="DF110">
        <f t="shared" si="12"/>
        <v>0</v>
      </c>
      <c r="DG110">
        <f t="shared" si="9"/>
        <v>6.58</v>
      </c>
      <c r="DH110">
        <f t="shared" si="10"/>
        <v>1</v>
      </c>
      <c r="DI110">
        <f t="shared" si="11"/>
        <v>0</v>
      </c>
      <c r="DJ110">
        <f>DG110</f>
        <v>6.58</v>
      </c>
      <c r="DK110">
        <v>0</v>
      </c>
      <c r="DL110" t="s">
        <v>312</v>
      </c>
      <c r="DM110">
        <v>0</v>
      </c>
      <c r="DN110" t="s">
        <v>304</v>
      </c>
      <c r="DO110">
        <v>12.62</v>
      </c>
    </row>
    <row r="111" spans="1:119" x14ac:dyDescent="0.2">
      <c r="A111">
        <f>ROW(Source!A272)</f>
        <v>272</v>
      </c>
      <c r="B111">
        <v>59499218</v>
      </c>
      <c r="C111">
        <v>59499736</v>
      </c>
      <c r="D111">
        <v>58607273</v>
      </c>
      <c r="E111">
        <v>1</v>
      </c>
      <c r="F111">
        <v>1</v>
      </c>
      <c r="G111">
        <v>1080</v>
      </c>
      <c r="H111">
        <v>2</v>
      </c>
      <c r="I111" t="s">
        <v>313</v>
      </c>
      <c r="J111" t="s">
        <v>314</v>
      </c>
      <c r="K111" t="s">
        <v>315</v>
      </c>
      <c r="L111">
        <v>1368</v>
      </c>
      <c r="N111">
        <v>1011</v>
      </c>
      <c r="O111" t="s">
        <v>311</v>
      </c>
      <c r="P111" t="s">
        <v>311</v>
      </c>
      <c r="Q111">
        <v>1</v>
      </c>
      <c r="W111">
        <v>0</v>
      </c>
      <c r="X111">
        <v>2147454900</v>
      </c>
      <c r="Y111">
        <f>((AT111*1.25)*1.1)</f>
        <v>0.79749999999999999</v>
      </c>
      <c r="AA111">
        <v>0</v>
      </c>
      <c r="AB111">
        <v>0.84</v>
      </c>
      <c r="AC111">
        <v>0</v>
      </c>
      <c r="AD111">
        <v>0</v>
      </c>
      <c r="AE111">
        <v>0</v>
      </c>
      <c r="AF111">
        <v>0.8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0.57999999999999996</v>
      </c>
      <c r="AU111" t="s">
        <v>39</v>
      </c>
      <c r="AV111">
        <v>0</v>
      </c>
      <c r="AW111">
        <v>2</v>
      </c>
      <c r="AX111">
        <v>59500099</v>
      </c>
      <c r="AY111">
        <v>1</v>
      </c>
      <c r="AZ111">
        <v>0</v>
      </c>
      <c r="BA111">
        <v>119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f>ROUND(Y111*Source!I272*DO111,9)</f>
        <v>0</v>
      </c>
      <c r="CX111">
        <f>ROUND(Y111*Source!I272,9)</f>
        <v>0.51039999999999996</v>
      </c>
      <c r="CY111">
        <f>AB111</f>
        <v>0.84</v>
      </c>
      <c r="CZ111">
        <f>AF111</f>
        <v>0.8</v>
      </c>
      <c r="DA111">
        <f>AJ111</f>
        <v>1</v>
      </c>
      <c r="DB111">
        <f>ROUND(((ROUND(AT111*CZ111,2)*1.25)*1.1),6)</f>
        <v>0.63249999999999995</v>
      </c>
      <c r="DC111">
        <f>ROUND(((ROUND(AT111*AG111,2)*1.25)*1.1),6)</f>
        <v>0</v>
      </c>
      <c r="DD111" t="s">
        <v>3</v>
      </c>
      <c r="DE111" t="s">
        <v>3</v>
      </c>
      <c r="DF111">
        <f t="shared" si="12"/>
        <v>0</v>
      </c>
      <c r="DG111">
        <f t="shared" si="9"/>
        <v>0.41</v>
      </c>
      <c r="DH111">
        <f t="shared" si="10"/>
        <v>0</v>
      </c>
      <c r="DI111">
        <f t="shared" si="11"/>
        <v>0</v>
      </c>
      <c r="DJ111">
        <f>DG111</f>
        <v>0.41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ROW(Source!A272)</f>
        <v>272</v>
      </c>
      <c r="B112">
        <v>59499218</v>
      </c>
      <c r="C112">
        <v>59499736</v>
      </c>
      <c r="D112">
        <v>58575387</v>
      </c>
      <c r="E112">
        <v>1</v>
      </c>
      <c r="F112">
        <v>1</v>
      </c>
      <c r="G112">
        <v>1080</v>
      </c>
      <c r="H112">
        <v>3</v>
      </c>
      <c r="I112" t="s">
        <v>316</v>
      </c>
      <c r="J112" t="s">
        <v>317</v>
      </c>
      <c r="K112" t="s">
        <v>318</v>
      </c>
      <c r="L112">
        <v>1346</v>
      </c>
      <c r="N112">
        <v>1009</v>
      </c>
      <c r="O112" t="s">
        <v>319</v>
      </c>
      <c r="P112" t="s">
        <v>319</v>
      </c>
      <c r="Q112">
        <v>1</v>
      </c>
      <c r="W112">
        <v>0</v>
      </c>
      <c r="X112">
        <v>-709773495</v>
      </c>
      <c r="Y112">
        <f>AT112</f>
        <v>2</v>
      </c>
      <c r="AA112">
        <v>1.61</v>
      </c>
      <c r="AB112">
        <v>0</v>
      </c>
      <c r="AC112">
        <v>0</v>
      </c>
      <c r="AD112">
        <v>0</v>
      </c>
      <c r="AE112">
        <v>1.61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2</v>
      </c>
      <c r="AU112" t="s">
        <v>3</v>
      </c>
      <c r="AV112">
        <v>0</v>
      </c>
      <c r="AW112">
        <v>2</v>
      </c>
      <c r="AX112">
        <v>59500100</v>
      </c>
      <c r="AY112">
        <v>1</v>
      </c>
      <c r="AZ112">
        <v>0</v>
      </c>
      <c r="BA112">
        <v>120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ROUND(Y112*Source!I272,9)</f>
        <v>1.28</v>
      </c>
      <c r="CY112">
        <f>AA112</f>
        <v>1.61</v>
      </c>
      <c r="CZ112">
        <f>AE112</f>
        <v>1.61</v>
      </c>
      <c r="DA112">
        <f>AI112</f>
        <v>1</v>
      </c>
      <c r="DB112">
        <f>ROUND(ROUND(AT112*CZ112,2),6)</f>
        <v>3.22</v>
      </c>
      <c r="DC112">
        <f>ROUND(ROUND(AT112*AG112,2),6)</f>
        <v>0</v>
      </c>
      <c r="DD112" t="s">
        <v>3</v>
      </c>
      <c r="DE112" t="s">
        <v>3</v>
      </c>
      <c r="DF112">
        <f t="shared" si="12"/>
        <v>2.06</v>
      </c>
      <c r="DG112">
        <f t="shared" si="9"/>
        <v>0</v>
      </c>
      <c r="DH112">
        <f t="shared" si="10"/>
        <v>0</v>
      </c>
      <c r="DI112">
        <f t="shared" si="11"/>
        <v>0</v>
      </c>
      <c r="DJ112">
        <f>DF112</f>
        <v>2.06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ROW(Source!A272)</f>
        <v>272</v>
      </c>
      <c r="B113">
        <v>59499218</v>
      </c>
      <c r="C113">
        <v>59499736</v>
      </c>
      <c r="D113">
        <v>58575390</v>
      </c>
      <c r="E113">
        <v>1</v>
      </c>
      <c r="F113">
        <v>1</v>
      </c>
      <c r="G113">
        <v>1080</v>
      </c>
      <c r="H113">
        <v>3</v>
      </c>
      <c r="I113" t="s">
        <v>320</v>
      </c>
      <c r="J113" t="s">
        <v>321</v>
      </c>
      <c r="K113" t="s">
        <v>322</v>
      </c>
      <c r="L113">
        <v>1339</v>
      </c>
      <c r="N113">
        <v>1007</v>
      </c>
      <c r="O113" t="s">
        <v>323</v>
      </c>
      <c r="P113" t="s">
        <v>323</v>
      </c>
      <c r="Q113">
        <v>1</v>
      </c>
      <c r="W113">
        <v>0</v>
      </c>
      <c r="X113">
        <v>-744103292</v>
      </c>
      <c r="Y113">
        <f>AT113</f>
        <v>0.14599999999999999</v>
      </c>
      <c r="AA113">
        <v>7.08</v>
      </c>
      <c r="AB113">
        <v>0</v>
      </c>
      <c r="AC113">
        <v>0</v>
      </c>
      <c r="AD113">
        <v>0</v>
      </c>
      <c r="AE113">
        <v>7.07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0.14599999999999999</v>
      </c>
      <c r="AU113" t="s">
        <v>3</v>
      </c>
      <c r="AV113">
        <v>0</v>
      </c>
      <c r="AW113">
        <v>2</v>
      </c>
      <c r="AX113">
        <v>59500101</v>
      </c>
      <c r="AY113">
        <v>1</v>
      </c>
      <c r="AZ113">
        <v>0</v>
      </c>
      <c r="BA113">
        <v>121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ROUND(Y113*Source!I272,9)</f>
        <v>9.3439999999999995E-2</v>
      </c>
      <c r="CY113">
        <f>AA113</f>
        <v>7.08</v>
      </c>
      <c r="CZ113">
        <f>AE113</f>
        <v>7.07</v>
      </c>
      <c r="DA113">
        <f>AI113</f>
        <v>1</v>
      </c>
      <c r="DB113">
        <f>ROUND(ROUND(AT113*CZ113,2),6)</f>
        <v>1.03</v>
      </c>
      <c r="DC113">
        <f>ROUND(ROUND(AT113*AG113,2),6)</f>
        <v>0</v>
      </c>
      <c r="DD113" t="s">
        <v>3</v>
      </c>
      <c r="DE113" t="s">
        <v>3</v>
      </c>
      <c r="DF113">
        <f t="shared" si="12"/>
        <v>0.66</v>
      </c>
      <c r="DG113">
        <f t="shared" si="9"/>
        <v>0</v>
      </c>
      <c r="DH113">
        <f t="shared" si="10"/>
        <v>0</v>
      </c>
      <c r="DI113">
        <f t="shared" si="11"/>
        <v>0</v>
      </c>
      <c r="DJ113">
        <f>DF113</f>
        <v>0.66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ROW(Source!A272)</f>
        <v>272</v>
      </c>
      <c r="B114">
        <v>59499218</v>
      </c>
      <c r="C114">
        <v>59499736</v>
      </c>
      <c r="D114">
        <v>58576922</v>
      </c>
      <c r="E114">
        <v>1</v>
      </c>
      <c r="F114">
        <v>1</v>
      </c>
      <c r="G114">
        <v>1080</v>
      </c>
      <c r="H114">
        <v>3</v>
      </c>
      <c r="I114" t="s">
        <v>240</v>
      </c>
      <c r="J114" t="s">
        <v>243</v>
      </c>
      <c r="K114" t="s">
        <v>241</v>
      </c>
      <c r="L114">
        <v>1348</v>
      </c>
      <c r="N114">
        <v>1009</v>
      </c>
      <c r="O114" t="s">
        <v>242</v>
      </c>
      <c r="P114" t="s">
        <v>242</v>
      </c>
      <c r="Q114">
        <v>1000</v>
      </c>
      <c r="W114">
        <v>0</v>
      </c>
      <c r="X114">
        <v>-1843855049</v>
      </c>
      <c r="Y114">
        <f>AT114</f>
        <v>6.1800000000000001E-2</v>
      </c>
      <c r="AA114">
        <v>43621.09</v>
      </c>
      <c r="AB114">
        <v>0</v>
      </c>
      <c r="AC114">
        <v>0</v>
      </c>
      <c r="AD114">
        <v>0</v>
      </c>
      <c r="AE114">
        <v>43534.02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 t="s">
        <v>3</v>
      </c>
      <c r="AT114">
        <v>6.1800000000000001E-2</v>
      </c>
      <c r="AU114" t="s">
        <v>3</v>
      </c>
      <c r="AV114">
        <v>0</v>
      </c>
      <c r="AW114">
        <v>1</v>
      </c>
      <c r="AX114">
        <v>-1</v>
      </c>
      <c r="AY114">
        <v>0</v>
      </c>
      <c r="AZ114">
        <v>0</v>
      </c>
      <c r="BA114" t="s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ROUND(Y114*Source!I272,9)</f>
        <v>3.9551999999999997E-2</v>
      </c>
      <c r="CY114">
        <f>AA114</f>
        <v>43621.09</v>
      </c>
      <c r="CZ114">
        <f>AE114</f>
        <v>43534.02</v>
      </c>
      <c r="DA114">
        <f>AI114</f>
        <v>1</v>
      </c>
      <c r="DB114">
        <f>ROUND(ROUND(AT114*CZ114,2),6)</f>
        <v>2690.4</v>
      </c>
      <c r="DC114">
        <f>ROUND(ROUND(AT114*AG114,2),6)</f>
        <v>0</v>
      </c>
      <c r="DD114" t="s">
        <v>3</v>
      </c>
      <c r="DE114" t="s">
        <v>3</v>
      </c>
      <c r="DF114">
        <f t="shared" si="12"/>
        <v>1721.86</v>
      </c>
      <c r="DG114">
        <f t="shared" si="9"/>
        <v>0</v>
      </c>
      <c r="DH114">
        <f t="shared" si="10"/>
        <v>0</v>
      </c>
      <c r="DI114">
        <f t="shared" si="11"/>
        <v>0</v>
      </c>
      <c r="DJ114">
        <f>DF114</f>
        <v>1721.86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ROW(Source!A273)</f>
        <v>273</v>
      </c>
      <c r="B115">
        <v>59499215</v>
      </c>
      <c r="C115">
        <v>59499736</v>
      </c>
      <c r="D115">
        <v>58532980</v>
      </c>
      <c r="E115">
        <v>1080</v>
      </c>
      <c r="F115">
        <v>1</v>
      </c>
      <c r="G115">
        <v>1080</v>
      </c>
      <c r="H115">
        <v>1</v>
      </c>
      <c r="I115" t="s">
        <v>302</v>
      </c>
      <c r="J115" t="s">
        <v>3</v>
      </c>
      <c r="K115" t="s">
        <v>303</v>
      </c>
      <c r="L115">
        <v>1191</v>
      </c>
      <c r="N115">
        <v>1013</v>
      </c>
      <c r="O115" t="s">
        <v>304</v>
      </c>
      <c r="P115" t="s">
        <v>304</v>
      </c>
      <c r="Q115">
        <v>1</v>
      </c>
      <c r="W115">
        <v>0</v>
      </c>
      <c r="X115">
        <v>476480486</v>
      </c>
      <c r="Y115">
        <f>((AT115*1.15)*1.1)</f>
        <v>15.62275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5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12.35</v>
      </c>
      <c r="AU115" t="s">
        <v>40</v>
      </c>
      <c r="AV115">
        <v>1</v>
      </c>
      <c r="AW115">
        <v>2</v>
      </c>
      <c r="AX115">
        <v>59500097</v>
      </c>
      <c r="AY115">
        <v>1</v>
      </c>
      <c r="AZ115">
        <v>0</v>
      </c>
      <c r="BA115">
        <v>124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ROUND(AT115*Source!I273*AH115*AL115,2)</f>
        <v>0</v>
      </c>
      <c r="CV115">
        <f>ROUND(Y115*Source!I273,9)</f>
        <v>9.9985599999999994</v>
      </c>
      <c r="CW115">
        <v>0</v>
      </c>
      <c r="CX115">
        <f>ROUND(Y115*Source!I273,9)</f>
        <v>9.9985599999999994</v>
      </c>
      <c r="CY115">
        <f>AD115</f>
        <v>0</v>
      </c>
      <c r="CZ115">
        <f>AH115</f>
        <v>0</v>
      </c>
      <c r="DA115">
        <f>AL115</f>
        <v>1</v>
      </c>
      <c r="DB115">
        <f>ROUND(((ROUND(AT115*CZ115,2)*1.15)*1.1),6)</f>
        <v>0</v>
      </c>
      <c r="DC115">
        <f>ROUND(((ROUND(AT115*AG115,2)*1.15)*1.1),6)</f>
        <v>0</v>
      </c>
      <c r="DD115" t="s">
        <v>3</v>
      </c>
      <c r="DE115" t="s">
        <v>3</v>
      </c>
      <c r="DF115">
        <f t="shared" si="12"/>
        <v>0</v>
      </c>
      <c r="DG115">
        <f t="shared" si="9"/>
        <v>0</v>
      </c>
      <c r="DH115">
        <f t="shared" si="10"/>
        <v>0</v>
      </c>
      <c r="DI115">
        <f t="shared" si="11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ROW(Source!A273)</f>
        <v>273</v>
      </c>
      <c r="B116">
        <v>59499215</v>
      </c>
      <c r="C116">
        <v>59499736</v>
      </c>
      <c r="D116">
        <v>58607154</v>
      </c>
      <c r="E116">
        <v>1</v>
      </c>
      <c r="F116">
        <v>1</v>
      </c>
      <c r="G116">
        <v>1080</v>
      </c>
      <c r="H116">
        <v>2</v>
      </c>
      <c r="I116" t="s">
        <v>308</v>
      </c>
      <c r="J116" t="s">
        <v>309</v>
      </c>
      <c r="K116" t="s">
        <v>310</v>
      </c>
      <c r="L116">
        <v>1368</v>
      </c>
      <c r="N116">
        <v>1011</v>
      </c>
      <c r="O116" t="s">
        <v>311</v>
      </c>
      <c r="P116" t="s">
        <v>311</v>
      </c>
      <c r="Q116">
        <v>1</v>
      </c>
      <c r="W116">
        <v>0</v>
      </c>
      <c r="X116">
        <v>-1985943078</v>
      </c>
      <c r="Y116">
        <f>((AT116*1.25)*1.1)</f>
        <v>0.12375</v>
      </c>
      <c r="AA116">
        <v>0</v>
      </c>
      <c r="AB116">
        <v>1418.19</v>
      </c>
      <c r="AC116">
        <v>726.59</v>
      </c>
      <c r="AD116">
        <v>0</v>
      </c>
      <c r="AE116">
        <v>0</v>
      </c>
      <c r="AF116">
        <v>83.1</v>
      </c>
      <c r="AG116">
        <v>12.62</v>
      </c>
      <c r="AH116">
        <v>0</v>
      </c>
      <c r="AI116">
        <v>1</v>
      </c>
      <c r="AJ116">
        <v>16.3</v>
      </c>
      <c r="AK116">
        <v>54.99</v>
      </c>
      <c r="AL116">
        <v>1</v>
      </c>
      <c r="AM116">
        <v>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0.09</v>
      </c>
      <c r="AU116" t="s">
        <v>39</v>
      </c>
      <c r="AV116">
        <v>0</v>
      </c>
      <c r="AW116">
        <v>2</v>
      </c>
      <c r="AX116">
        <v>59500098</v>
      </c>
      <c r="AY116">
        <v>1</v>
      </c>
      <c r="AZ116">
        <v>0</v>
      </c>
      <c r="BA116">
        <v>125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f>ROUND(Y116*Source!I273*DO116,9)</f>
        <v>0.99950399999999995</v>
      </c>
      <c r="CX116">
        <f>ROUND(Y116*Source!I273,9)</f>
        <v>7.9200000000000007E-2</v>
      </c>
      <c r="CY116">
        <f>AB116</f>
        <v>1418.19</v>
      </c>
      <c r="CZ116">
        <f>AF116</f>
        <v>83.1</v>
      </c>
      <c r="DA116">
        <f>AJ116</f>
        <v>16.3</v>
      </c>
      <c r="DB116">
        <f>ROUND(((ROUND(AT116*CZ116,2)*1.25)*1.1),6)</f>
        <v>10.285</v>
      </c>
      <c r="DC116">
        <f>ROUND(((ROUND(AT116*AG116,2)*1.25)*1.1),6)</f>
        <v>1.5674999999999999</v>
      </c>
      <c r="DD116" t="s">
        <v>3</v>
      </c>
      <c r="DE116" t="s">
        <v>3</v>
      </c>
      <c r="DF116">
        <f t="shared" si="12"/>
        <v>0</v>
      </c>
      <c r="DG116">
        <f>ROUND(ROUND(AF116*AJ116,2)*CX116,2)</f>
        <v>107.28</v>
      </c>
      <c r="DH116">
        <f>ROUND(ROUND(AG116*AK116,2)*CX116,2)</f>
        <v>54.96</v>
      </c>
      <c r="DI116">
        <f t="shared" si="11"/>
        <v>0</v>
      </c>
      <c r="DJ116">
        <f>DG116</f>
        <v>107.28</v>
      </c>
      <c r="DK116">
        <v>0</v>
      </c>
      <c r="DL116" t="s">
        <v>312</v>
      </c>
      <c r="DM116">
        <v>0</v>
      </c>
      <c r="DN116" t="s">
        <v>304</v>
      </c>
      <c r="DO116">
        <v>12.62</v>
      </c>
    </row>
    <row r="117" spans="1:119" x14ac:dyDescent="0.2">
      <c r="A117">
        <f>ROW(Source!A273)</f>
        <v>273</v>
      </c>
      <c r="B117">
        <v>59499215</v>
      </c>
      <c r="C117">
        <v>59499736</v>
      </c>
      <c r="D117">
        <v>58607273</v>
      </c>
      <c r="E117">
        <v>1</v>
      </c>
      <c r="F117">
        <v>1</v>
      </c>
      <c r="G117">
        <v>1080</v>
      </c>
      <c r="H117">
        <v>2</v>
      </c>
      <c r="I117" t="s">
        <v>313</v>
      </c>
      <c r="J117" t="s">
        <v>314</v>
      </c>
      <c r="K117" t="s">
        <v>315</v>
      </c>
      <c r="L117">
        <v>1368</v>
      </c>
      <c r="N117">
        <v>1011</v>
      </c>
      <c r="O117" t="s">
        <v>311</v>
      </c>
      <c r="P117" t="s">
        <v>311</v>
      </c>
      <c r="Q117">
        <v>1</v>
      </c>
      <c r="W117">
        <v>0</v>
      </c>
      <c r="X117">
        <v>2147454900</v>
      </c>
      <c r="Y117">
        <f>((AT117*1.25)*1.1)</f>
        <v>0.79749999999999999</v>
      </c>
      <c r="AA117">
        <v>0</v>
      </c>
      <c r="AB117">
        <v>7.19</v>
      </c>
      <c r="AC117">
        <v>0</v>
      </c>
      <c r="AD117">
        <v>0</v>
      </c>
      <c r="AE117">
        <v>0</v>
      </c>
      <c r="AF117">
        <v>0.8</v>
      </c>
      <c r="AG117">
        <v>0</v>
      </c>
      <c r="AH117">
        <v>0</v>
      </c>
      <c r="AI117">
        <v>1</v>
      </c>
      <c r="AJ117">
        <v>8.59</v>
      </c>
      <c r="AK117">
        <v>54.99</v>
      </c>
      <c r="AL117">
        <v>1</v>
      </c>
      <c r="AM117">
        <v>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0.57999999999999996</v>
      </c>
      <c r="AU117" t="s">
        <v>39</v>
      </c>
      <c r="AV117">
        <v>0</v>
      </c>
      <c r="AW117">
        <v>2</v>
      </c>
      <c r="AX117">
        <v>59500099</v>
      </c>
      <c r="AY117">
        <v>1</v>
      </c>
      <c r="AZ117">
        <v>0</v>
      </c>
      <c r="BA117">
        <v>126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f>ROUND(Y117*Source!I273*DO117,9)</f>
        <v>0</v>
      </c>
      <c r="CX117">
        <f>ROUND(Y117*Source!I273,9)</f>
        <v>0.51039999999999996</v>
      </c>
      <c r="CY117">
        <f>AB117</f>
        <v>7.19</v>
      </c>
      <c r="CZ117">
        <f>AF117</f>
        <v>0.8</v>
      </c>
      <c r="DA117">
        <f>AJ117</f>
        <v>8.59</v>
      </c>
      <c r="DB117">
        <f>ROUND(((ROUND(AT117*CZ117,2)*1.25)*1.1),6)</f>
        <v>0.63249999999999995</v>
      </c>
      <c r="DC117">
        <f>ROUND(((ROUND(AT117*AG117,2)*1.25)*1.1),6)</f>
        <v>0</v>
      </c>
      <c r="DD117" t="s">
        <v>3</v>
      </c>
      <c r="DE117" t="s">
        <v>3</v>
      </c>
      <c r="DF117">
        <f t="shared" si="12"/>
        <v>0</v>
      </c>
      <c r="DG117">
        <f>ROUND(ROUND(AF117*AJ117,2)*CX117,2)</f>
        <v>3.51</v>
      </c>
      <c r="DH117">
        <f>ROUND(ROUND(AG117*AK117,2)*CX117,2)</f>
        <v>0</v>
      </c>
      <c r="DI117">
        <f t="shared" si="11"/>
        <v>0</v>
      </c>
      <c r="DJ117">
        <f>DG117</f>
        <v>3.51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ROW(Source!A273)</f>
        <v>273</v>
      </c>
      <c r="B118">
        <v>59499215</v>
      </c>
      <c r="C118">
        <v>59499736</v>
      </c>
      <c r="D118">
        <v>58575387</v>
      </c>
      <c r="E118">
        <v>1</v>
      </c>
      <c r="F118">
        <v>1</v>
      </c>
      <c r="G118">
        <v>1080</v>
      </c>
      <c r="H118">
        <v>3</v>
      </c>
      <c r="I118" t="s">
        <v>316</v>
      </c>
      <c r="J118" t="s">
        <v>317</v>
      </c>
      <c r="K118" t="s">
        <v>318</v>
      </c>
      <c r="L118">
        <v>1346</v>
      </c>
      <c r="N118">
        <v>1009</v>
      </c>
      <c r="O118" t="s">
        <v>319</v>
      </c>
      <c r="P118" t="s">
        <v>319</v>
      </c>
      <c r="Q118">
        <v>1</v>
      </c>
      <c r="W118">
        <v>0</v>
      </c>
      <c r="X118">
        <v>-709773495</v>
      </c>
      <c r="Y118">
        <f>AT118</f>
        <v>2</v>
      </c>
      <c r="AA118">
        <v>24.02</v>
      </c>
      <c r="AB118">
        <v>0</v>
      </c>
      <c r="AC118">
        <v>0</v>
      </c>
      <c r="AD118">
        <v>0</v>
      </c>
      <c r="AE118">
        <v>1.61</v>
      </c>
      <c r="AF118">
        <v>0</v>
      </c>
      <c r="AG118">
        <v>0</v>
      </c>
      <c r="AH118">
        <v>0</v>
      </c>
      <c r="AI118">
        <v>14.89</v>
      </c>
      <c r="AJ118">
        <v>1</v>
      </c>
      <c r="AK118">
        <v>1</v>
      </c>
      <c r="AL118">
        <v>1</v>
      </c>
      <c r="AM118">
        <v>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2</v>
      </c>
      <c r="AU118" t="s">
        <v>3</v>
      </c>
      <c r="AV118">
        <v>0</v>
      </c>
      <c r="AW118">
        <v>2</v>
      </c>
      <c r="AX118">
        <v>59500100</v>
      </c>
      <c r="AY118">
        <v>1</v>
      </c>
      <c r="AZ118">
        <v>0</v>
      </c>
      <c r="BA118">
        <v>127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ROUND(Y118*Source!I273,9)</f>
        <v>1.28</v>
      </c>
      <c r="CY118">
        <f>AA118</f>
        <v>24.02</v>
      </c>
      <c r="CZ118">
        <f>AE118</f>
        <v>1.61</v>
      </c>
      <c r="DA118">
        <f>AI118</f>
        <v>14.89</v>
      </c>
      <c r="DB118">
        <f>ROUND(ROUND(AT118*CZ118,2),6)</f>
        <v>3.22</v>
      </c>
      <c r="DC118">
        <f>ROUND(ROUND(AT118*AG118,2),6)</f>
        <v>0</v>
      </c>
      <c r="DD118" t="s">
        <v>3</v>
      </c>
      <c r="DE118" t="s">
        <v>3</v>
      </c>
      <c r="DF118">
        <f>ROUND(ROUND(AE118*AI118,2)*CX118,2)</f>
        <v>30.68</v>
      </c>
      <c r="DG118">
        <f t="shared" ref="DG118:DG128" si="13">ROUND(ROUND(AF118,2)*CX118,2)</f>
        <v>0</v>
      </c>
      <c r="DH118">
        <f t="shared" ref="DH118:DH128" si="14">ROUND(ROUND(AG118,2)*CX118,2)</f>
        <v>0</v>
      </c>
      <c r="DI118">
        <f t="shared" si="11"/>
        <v>0</v>
      </c>
      <c r="DJ118">
        <f>DF118</f>
        <v>30.68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ROW(Source!A273)</f>
        <v>273</v>
      </c>
      <c r="B119">
        <v>59499215</v>
      </c>
      <c r="C119">
        <v>59499736</v>
      </c>
      <c r="D119">
        <v>58575390</v>
      </c>
      <c r="E119">
        <v>1</v>
      </c>
      <c r="F119">
        <v>1</v>
      </c>
      <c r="G119">
        <v>1080</v>
      </c>
      <c r="H119">
        <v>3</v>
      </c>
      <c r="I119" t="s">
        <v>320</v>
      </c>
      <c r="J119" t="s">
        <v>321</v>
      </c>
      <c r="K119" t="s">
        <v>322</v>
      </c>
      <c r="L119">
        <v>1339</v>
      </c>
      <c r="N119">
        <v>1007</v>
      </c>
      <c r="O119" t="s">
        <v>323</v>
      </c>
      <c r="P119" t="s">
        <v>323</v>
      </c>
      <c r="Q119">
        <v>1</v>
      </c>
      <c r="W119">
        <v>0</v>
      </c>
      <c r="X119">
        <v>-744103292</v>
      </c>
      <c r="Y119">
        <f>AT119</f>
        <v>0.14599999999999999</v>
      </c>
      <c r="AA119">
        <v>54.9</v>
      </c>
      <c r="AB119">
        <v>0</v>
      </c>
      <c r="AC119">
        <v>0</v>
      </c>
      <c r="AD119">
        <v>0</v>
      </c>
      <c r="AE119">
        <v>7.07</v>
      </c>
      <c r="AF119">
        <v>0</v>
      </c>
      <c r="AG119">
        <v>0</v>
      </c>
      <c r="AH119">
        <v>0</v>
      </c>
      <c r="AI119">
        <v>7.75</v>
      </c>
      <c r="AJ119">
        <v>1</v>
      </c>
      <c r="AK119">
        <v>1</v>
      </c>
      <c r="AL119">
        <v>1</v>
      </c>
      <c r="AM119">
        <v>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0.14599999999999999</v>
      </c>
      <c r="AU119" t="s">
        <v>3</v>
      </c>
      <c r="AV119">
        <v>0</v>
      </c>
      <c r="AW119">
        <v>2</v>
      </c>
      <c r="AX119">
        <v>59500101</v>
      </c>
      <c r="AY119">
        <v>1</v>
      </c>
      <c r="AZ119">
        <v>0</v>
      </c>
      <c r="BA119">
        <v>128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ROUND(Y119*Source!I273,9)</f>
        <v>9.3439999999999995E-2</v>
      </c>
      <c r="CY119">
        <f>AA119</f>
        <v>54.9</v>
      </c>
      <c r="CZ119">
        <f>AE119</f>
        <v>7.07</v>
      </c>
      <c r="DA119">
        <f>AI119</f>
        <v>7.75</v>
      </c>
      <c r="DB119">
        <f>ROUND(ROUND(AT119*CZ119,2),6)</f>
        <v>1.03</v>
      </c>
      <c r="DC119">
        <f>ROUND(ROUND(AT119*AG119,2),6)</f>
        <v>0</v>
      </c>
      <c r="DD119" t="s">
        <v>3</v>
      </c>
      <c r="DE119" t="s">
        <v>3</v>
      </c>
      <c r="DF119">
        <f>ROUND(ROUND(AE119*AI119,2)*CX119,2)</f>
        <v>5.12</v>
      </c>
      <c r="DG119">
        <f t="shared" si="13"/>
        <v>0</v>
      </c>
      <c r="DH119">
        <f t="shared" si="14"/>
        <v>0</v>
      </c>
      <c r="DI119">
        <f t="shared" si="11"/>
        <v>0</v>
      </c>
      <c r="DJ119">
        <f>DF119</f>
        <v>5.12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ROW(Source!A273)</f>
        <v>273</v>
      </c>
      <c r="B120">
        <v>59499215</v>
      </c>
      <c r="C120">
        <v>59499736</v>
      </c>
      <c r="D120">
        <v>58576922</v>
      </c>
      <c r="E120">
        <v>1</v>
      </c>
      <c r="F120">
        <v>1</v>
      </c>
      <c r="G120">
        <v>1080</v>
      </c>
      <c r="H120">
        <v>3</v>
      </c>
      <c r="I120" t="s">
        <v>240</v>
      </c>
      <c r="J120" t="s">
        <v>243</v>
      </c>
      <c r="K120" t="s">
        <v>241</v>
      </c>
      <c r="L120">
        <v>1348</v>
      </c>
      <c r="N120">
        <v>1009</v>
      </c>
      <c r="O120" t="s">
        <v>242</v>
      </c>
      <c r="P120" t="s">
        <v>242</v>
      </c>
      <c r="Q120">
        <v>1000</v>
      </c>
      <c r="W120">
        <v>0</v>
      </c>
      <c r="X120">
        <v>-1843855049</v>
      </c>
      <c r="Y120">
        <f>AT120</f>
        <v>6.1800000000000001E-2</v>
      </c>
      <c r="AA120">
        <v>132608.10999999999</v>
      </c>
      <c r="AB120">
        <v>0</v>
      </c>
      <c r="AC120">
        <v>0</v>
      </c>
      <c r="AD120">
        <v>0</v>
      </c>
      <c r="AE120">
        <v>43534.02</v>
      </c>
      <c r="AF120">
        <v>0</v>
      </c>
      <c r="AG120">
        <v>0</v>
      </c>
      <c r="AH120">
        <v>0</v>
      </c>
      <c r="AI120">
        <v>3.04</v>
      </c>
      <c r="AJ120">
        <v>1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 t="s">
        <v>3</v>
      </c>
      <c r="AT120">
        <v>6.1800000000000001E-2</v>
      </c>
      <c r="AU120" t="s">
        <v>3</v>
      </c>
      <c r="AV120">
        <v>0</v>
      </c>
      <c r="AW120">
        <v>1</v>
      </c>
      <c r="AX120">
        <v>-1</v>
      </c>
      <c r="AY120">
        <v>0</v>
      </c>
      <c r="AZ120">
        <v>0</v>
      </c>
      <c r="BA120" t="s">
        <v>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ROUND(Y120*Source!I273,9)</f>
        <v>3.9551999999999997E-2</v>
      </c>
      <c r="CY120">
        <f>AA120</f>
        <v>132608.10999999999</v>
      </c>
      <c r="CZ120">
        <f>AE120</f>
        <v>43534.02</v>
      </c>
      <c r="DA120">
        <f>AI120</f>
        <v>3.04</v>
      </c>
      <c r="DB120">
        <f>ROUND(ROUND(AT120*CZ120,2),6)</f>
        <v>2690.4</v>
      </c>
      <c r="DC120">
        <f>ROUND(ROUND(AT120*AG120,2),6)</f>
        <v>0</v>
      </c>
      <c r="DD120" t="s">
        <v>3</v>
      </c>
      <c r="DE120" t="s">
        <v>3</v>
      </c>
      <c r="DF120">
        <f>ROUND(ROUND(AE120*AI120,2)*CX120,2)</f>
        <v>5234.45</v>
      </c>
      <c r="DG120">
        <f t="shared" si="13"/>
        <v>0</v>
      </c>
      <c r="DH120">
        <f t="shared" si="14"/>
        <v>0</v>
      </c>
      <c r="DI120">
        <f t="shared" si="11"/>
        <v>0</v>
      </c>
      <c r="DJ120">
        <f>DF120</f>
        <v>5234.45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ROW(Source!A311)</f>
        <v>311</v>
      </c>
      <c r="B121">
        <v>59499218</v>
      </c>
      <c r="C121">
        <v>59499807</v>
      </c>
      <c r="D121">
        <v>58532980</v>
      </c>
      <c r="E121">
        <v>1080</v>
      </c>
      <c r="F121">
        <v>1</v>
      </c>
      <c r="G121">
        <v>1080</v>
      </c>
      <c r="H121">
        <v>1</v>
      </c>
      <c r="I121" t="s">
        <v>302</v>
      </c>
      <c r="J121" t="s">
        <v>3</v>
      </c>
      <c r="K121" t="s">
        <v>303</v>
      </c>
      <c r="L121">
        <v>1191</v>
      </c>
      <c r="N121">
        <v>1013</v>
      </c>
      <c r="O121" t="s">
        <v>304</v>
      </c>
      <c r="P121" t="s">
        <v>304</v>
      </c>
      <c r="Q121">
        <v>1</v>
      </c>
      <c r="W121">
        <v>0</v>
      </c>
      <c r="X121">
        <v>476480486</v>
      </c>
      <c r="Y121">
        <f>((AT121*1.15)*1.1)</f>
        <v>80.959999999999994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64</v>
      </c>
      <c r="AU121" t="s">
        <v>40</v>
      </c>
      <c r="AV121">
        <v>1</v>
      </c>
      <c r="AW121">
        <v>2</v>
      </c>
      <c r="AX121">
        <v>59500104</v>
      </c>
      <c r="AY121">
        <v>1</v>
      </c>
      <c r="AZ121">
        <v>0</v>
      </c>
      <c r="BA121">
        <v>131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U121">
        <f>ROUND(AT121*Source!I311*AH121*AL121,2)</f>
        <v>0</v>
      </c>
      <c r="CV121">
        <f>ROUND(Y121*Source!I311,9)</f>
        <v>10.168576</v>
      </c>
      <c r="CW121">
        <v>0</v>
      </c>
      <c r="CX121">
        <f>ROUND(Y121*Source!I311,9)</f>
        <v>10.168576</v>
      </c>
      <c r="CY121">
        <f>AD121</f>
        <v>0</v>
      </c>
      <c r="CZ121">
        <f>AH121</f>
        <v>0</v>
      </c>
      <c r="DA121">
        <f>AL121</f>
        <v>1</v>
      </c>
      <c r="DB121">
        <f>ROUND(((ROUND(AT121*CZ121,2)*1.15)*1.1),6)</f>
        <v>0</v>
      </c>
      <c r="DC121">
        <f>ROUND(((ROUND(AT121*AG121,2)*1.15)*1.1),6)</f>
        <v>0</v>
      </c>
      <c r="DD121" t="s">
        <v>3</v>
      </c>
      <c r="DE121" t="s">
        <v>3</v>
      </c>
      <c r="DF121">
        <f t="shared" ref="DF121:DF129" si="15">ROUND(ROUND(AE121,2)*CX121,2)</f>
        <v>0</v>
      </c>
      <c r="DG121">
        <f t="shared" si="13"/>
        <v>0</v>
      </c>
      <c r="DH121">
        <f t="shared" si="14"/>
        <v>0</v>
      </c>
      <c r="DI121">
        <f t="shared" si="11"/>
        <v>0</v>
      </c>
      <c r="DJ121">
        <f>DI121</f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ROW(Source!A311)</f>
        <v>311</v>
      </c>
      <c r="B122">
        <v>59499218</v>
      </c>
      <c r="C122">
        <v>59499807</v>
      </c>
      <c r="D122">
        <v>58607154</v>
      </c>
      <c r="E122">
        <v>1</v>
      </c>
      <c r="F122">
        <v>1</v>
      </c>
      <c r="G122">
        <v>1080</v>
      </c>
      <c r="H122">
        <v>2</v>
      </c>
      <c r="I122" t="s">
        <v>308</v>
      </c>
      <c r="J122" t="s">
        <v>309</v>
      </c>
      <c r="K122" t="s">
        <v>310</v>
      </c>
      <c r="L122">
        <v>1368</v>
      </c>
      <c r="N122">
        <v>1011</v>
      </c>
      <c r="O122" t="s">
        <v>311</v>
      </c>
      <c r="P122" t="s">
        <v>311</v>
      </c>
      <c r="Q122">
        <v>1</v>
      </c>
      <c r="W122">
        <v>0</v>
      </c>
      <c r="X122">
        <v>-1985943078</v>
      </c>
      <c r="Y122">
        <f>((AT122*1.25)*1.1)</f>
        <v>9.6250000000000016E-2</v>
      </c>
      <c r="AA122">
        <v>0</v>
      </c>
      <c r="AB122">
        <v>85.18</v>
      </c>
      <c r="AC122">
        <v>12.94</v>
      </c>
      <c r="AD122">
        <v>0</v>
      </c>
      <c r="AE122">
        <v>0</v>
      </c>
      <c r="AF122">
        <v>83.1</v>
      </c>
      <c r="AG122">
        <v>12.62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7.0000000000000007E-2</v>
      </c>
      <c r="AU122" t="s">
        <v>39</v>
      </c>
      <c r="AV122">
        <v>0</v>
      </c>
      <c r="AW122">
        <v>2</v>
      </c>
      <c r="AX122">
        <v>59500105</v>
      </c>
      <c r="AY122">
        <v>1</v>
      </c>
      <c r="AZ122">
        <v>0</v>
      </c>
      <c r="BA122">
        <v>132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f>ROUND(Y122*Source!I311*DO122,9)</f>
        <v>0.15256317999999999</v>
      </c>
      <c r="CX122">
        <f>ROUND(Y122*Source!I311,9)</f>
        <v>1.2089000000000001E-2</v>
      </c>
      <c r="CY122">
        <f>AB122</f>
        <v>85.18</v>
      </c>
      <c r="CZ122">
        <f>AF122</f>
        <v>83.1</v>
      </c>
      <c r="DA122">
        <f>AJ122</f>
        <v>1</v>
      </c>
      <c r="DB122">
        <f>ROUND(((ROUND(AT122*CZ122,2)*1.25)*1.1),6)</f>
        <v>8.0024999999999995</v>
      </c>
      <c r="DC122">
        <f>ROUND(((ROUND(AT122*AG122,2)*1.25)*1.1),6)</f>
        <v>1.21</v>
      </c>
      <c r="DD122" t="s">
        <v>3</v>
      </c>
      <c r="DE122" t="s">
        <v>3</v>
      </c>
      <c r="DF122">
        <f t="shared" si="15"/>
        <v>0</v>
      </c>
      <c r="DG122">
        <f t="shared" si="13"/>
        <v>1</v>
      </c>
      <c r="DH122">
        <f t="shared" si="14"/>
        <v>0.15</v>
      </c>
      <c r="DI122">
        <f t="shared" si="11"/>
        <v>0</v>
      </c>
      <c r="DJ122">
        <f>DG122</f>
        <v>1</v>
      </c>
      <c r="DK122">
        <v>0</v>
      </c>
      <c r="DL122" t="s">
        <v>312</v>
      </c>
      <c r="DM122">
        <v>0</v>
      </c>
      <c r="DN122" t="s">
        <v>304</v>
      </c>
      <c r="DO122">
        <v>12.62</v>
      </c>
    </row>
    <row r="123" spans="1:119" x14ac:dyDescent="0.2">
      <c r="A123">
        <f>ROW(Source!A311)</f>
        <v>311</v>
      </c>
      <c r="B123">
        <v>59499218</v>
      </c>
      <c r="C123">
        <v>59499807</v>
      </c>
      <c r="D123">
        <v>58575387</v>
      </c>
      <c r="E123">
        <v>1</v>
      </c>
      <c r="F123">
        <v>1</v>
      </c>
      <c r="G123">
        <v>1080</v>
      </c>
      <c r="H123">
        <v>3</v>
      </c>
      <c r="I123" t="s">
        <v>316</v>
      </c>
      <c r="J123" t="s">
        <v>317</v>
      </c>
      <c r="K123" t="s">
        <v>318</v>
      </c>
      <c r="L123">
        <v>1346</v>
      </c>
      <c r="N123">
        <v>1009</v>
      </c>
      <c r="O123" t="s">
        <v>319</v>
      </c>
      <c r="P123" t="s">
        <v>319</v>
      </c>
      <c r="Q123">
        <v>1</v>
      </c>
      <c r="W123">
        <v>0</v>
      </c>
      <c r="X123">
        <v>-709773495</v>
      </c>
      <c r="Y123">
        <f>AT123</f>
        <v>0.15</v>
      </c>
      <c r="AA123">
        <v>1.61</v>
      </c>
      <c r="AB123">
        <v>0</v>
      </c>
      <c r="AC123">
        <v>0</v>
      </c>
      <c r="AD123">
        <v>0</v>
      </c>
      <c r="AE123">
        <v>1.61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0.15</v>
      </c>
      <c r="AU123" t="s">
        <v>3</v>
      </c>
      <c r="AV123">
        <v>0</v>
      </c>
      <c r="AW123">
        <v>2</v>
      </c>
      <c r="AX123">
        <v>59500106</v>
      </c>
      <c r="AY123">
        <v>1</v>
      </c>
      <c r="AZ123">
        <v>0</v>
      </c>
      <c r="BA123">
        <v>133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ROUND(Y123*Source!I311,9)</f>
        <v>1.8839999999999999E-2</v>
      </c>
      <c r="CY123">
        <f>AA123</f>
        <v>1.61</v>
      </c>
      <c r="CZ123">
        <f>AE123</f>
        <v>1.61</v>
      </c>
      <c r="DA123">
        <f>AI123</f>
        <v>1</v>
      </c>
      <c r="DB123">
        <f>ROUND(ROUND(AT123*CZ123,2),6)</f>
        <v>0.24</v>
      </c>
      <c r="DC123">
        <f>ROUND(ROUND(AT123*AG123,2),6)</f>
        <v>0</v>
      </c>
      <c r="DD123" t="s">
        <v>3</v>
      </c>
      <c r="DE123" t="s">
        <v>3</v>
      </c>
      <c r="DF123">
        <f t="shared" si="15"/>
        <v>0.03</v>
      </c>
      <c r="DG123">
        <f t="shared" si="13"/>
        <v>0</v>
      </c>
      <c r="DH123">
        <f t="shared" si="14"/>
        <v>0</v>
      </c>
      <c r="DI123">
        <f t="shared" si="11"/>
        <v>0</v>
      </c>
      <c r="DJ123">
        <f>DF123</f>
        <v>0.03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ROW(Source!A311)</f>
        <v>311</v>
      </c>
      <c r="B124">
        <v>59499218</v>
      </c>
      <c r="C124">
        <v>59499807</v>
      </c>
      <c r="D124">
        <v>58576383</v>
      </c>
      <c r="E124">
        <v>1</v>
      </c>
      <c r="F124">
        <v>1</v>
      </c>
      <c r="G124">
        <v>1080</v>
      </c>
      <c r="H124">
        <v>3</v>
      </c>
      <c r="I124" t="s">
        <v>324</v>
      </c>
      <c r="J124" t="s">
        <v>325</v>
      </c>
      <c r="K124" t="s">
        <v>326</v>
      </c>
      <c r="L124">
        <v>1348</v>
      </c>
      <c r="N124">
        <v>1009</v>
      </c>
      <c r="O124" t="s">
        <v>242</v>
      </c>
      <c r="P124" t="s">
        <v>242</v>
      </c>
      <c r="Q124">
        <v>1000</v>
      </c>
      <c r="W124">
        <v>0</v>
      </c>
      <c r="X124">
        <v>-356009045</v>
      </c>
      <c r="Y124">
        <f>AT124</f>
        <v>5.0000000000000001E-3</v>
      </c>
      <c r="AA124">
        <v>2271.09</v>
      </c>
      <c r="AB124">
        <v>0</v>
      </c>
      <c r="AC124">
        <v>0</v>
      </c>
      <c r="AD124">
        <v>0</v>
      </c>
      <c r="AE124">
        <v>2271.09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5.0000000000000001E-3</v>
      </c>
      <c r="AU124" t="s">
        <v>3</v>
      </c>
      <c r="AV124">
        <v>0</v>
      </c>
      <c r="AW124">
        <v>2</v>
      </c>
      <c r="AX124">
        <v>59500107</v>
      </c>
      <c r="AY124">
        <v>1</v>
      </c>
      <c r="AZ124">
        <v>0</v>
      </c>
      <c r="BA124">
        <v>134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ROUND(Y124*Source!I311,9)</f>
        <v>6.2799999999999998E-4</v>
      </c>
      <c r="CY124">
        <f>AA124</f>
        <v>2271.09</v>
      </c>
      <c r="CZ124">
        <f>AE124</f>
        <v>2271.09</v>
      </c>
      <c r="DA124">
        <f>AI124</f>
        <v>1</v>
      </c>
      <c r="DB124">
        <f>ROUND(ROUND(AT124*CZ124,2),6)</f>
        <v>11.36</v>
      </c>
      <c r="DC124">
        <f>ROUND(ROUND(AT124*AG124,2),6)</f>
        <v>0</v>
      </c>
      <c r="DD124" t="s">
        <v>3</v>
      </c>
      <c r="DE124" t="s">
        <v>3</v>
      </c>
      <c r="DF124">
        <f t="shared" si="15"/>
        <v>1.43</v>
      </c>
      <c r="DG124">
        <f t="shared" si="13"/>
        <v>0</v>
      </c>
      <c r="DH124">
        <f t="shared" si="14"/>
        <v>0</v>
      </c>
      <c r="DI124">
        <f t="shared" si="11"/>
        <v>0</v>
      </c>
      <c r="DJ124">
        <f>DF124</f>
        <v>1.43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ROW(Source!A311)</f>
        <v>311</v>
      </c>
      <c r="B125">
        <v>59499218</v>
      </c>
      <c r="C125">
        <v>59499807</v>
      </c>
      <c r="D125">
        <v>58575656</v>
      </c>
      <c r="E125">
        <v>1</v>
      </c>
      <c r="F125">
        <v>1</v>
      </c>
      <c r="G125">
        <v>1080</v>
      </c>
      <c r="H125">
        <v>3</v>
      </c>
      <c r="I125" t="s">
        <v>327</v>
      </c>
      <c r="J125" t="s">
        <v>328</v>
      </c>
      <c r="K125" t="s">
        <v>329</v>
      </c>
      <c r="L125">
        <v>1348</v>
      </c>
      <c r="N125">
        <v>1009</v>
      </c>
      <c r="O125" t="s">
        <v>242</v>
      </c>
      <c r="P125" t="s">
        <v>242</v>
      </c>
      <c r="Q125">
        <v>1000</v>
      </c>
      <c r="W125">
        <v>0</v>
      </c>
      <c r="X125">
        <v>1181594054</v>
      </c>
      <c r="Y125">
        <f>AT125</f>
        <v>2.6700000000000002E-2</v>
      </c>
      <c r="AA125">
        <v>32000.73</v>
      </c>
      <c r="AB125">
        <v>0</v>
      </c>
      <c r="AC125">
        <v>0</v>
      </c>
      <c r="AD125">
        <v>0</v>
      </c>
      <c r="AE125">
        <v>32000.73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2.6700000000000002E-2</v>
      </c>
      <c r="AU125" t="s">
        <v>3</v>
      </c>
      <c r="AV125">
        <v>0</v>
      </c>
      <c r="AW125">
        <v>2</v>
      </c>
      <c r="AX125">
        <v>59500108</v>
      </c>
      <c r="AY125">
        <v>1</v>
      </c>
      <c r="AZ125">
        <v>0</v>
      </c>
      <c r="BA125">
        <v>135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ROUND(Y125*Source!I311,9)</f>
        <v>3.35352E-3</v>
      </c>
      <c r="CY125">
        <f>AA125</f>
        <v>32000.73</v>
      </c>
      <c r="CZ125">
        <f>AE125</f>
        <v>32000.73</v>
      </c>
      <c r="DA125">
        <f>AI125</f>
        <v>1</v>
      </c>
      <c r="DB125">
        <f>ROUND(ROUND(AT125*CZ125,2),6)</f>
        <v>854.42</v>
      </c>
      <c r="DC125">
        <f>ROUND(ROUND(AT125*AG125,2),6)</f>
        <v>0</v>
      </c>
      <c r="DD125" t="s">
        <v>3</v>
      </c>
      <c r="DE125" t="s">
        <v>3</v>
      </c>
      <c r="DF125">
        <f t="shared" si="15"/>
        <v>107.32</v>
      </c>
      <c r="DG125">
        <f t="shared" si="13"/>
        <v>0</v>
      </c>
      <c r="DH125">
        <f t="shared" si="14"/>
        <v>0</v>
      </c>
      <c r="DI125">
        <f t="shared" si="11"/>
        <v>0</v>
      </c>
      <c r="DJ125">
        <f>DF125</f>
        <v>107.32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ROW(Source!A311)</f>
        <v>311</v>
      </c>
      <c r="B126">
        <v>59499218</v>
      </c>
      <c r="C126">
        <v>59499807</v>
      </c>
      <c r="D126">
        <v>58575830</v>
      </c>
      <c r="E126">
        <v>1</v>
      </c>
      <c r="F126">
        <v>1</v>
      </c>
      <c r="G126">
        <v>1080</v>
      </c>
      <c r="H126">
        <v>3</v>
      </c>
      <c r="I126" t="s">
        <v>330</v>
      </c>
      <c r="J126" t="s">
        <v>331</v>
      </c>
      <c r="K126" t="s">
        <v>332</v>
      </c>
      <c r="L126">
        <v>1346</v>
      </c>
      <c r="N126">
        <v>1009</v>
      </c>
      <c r="O126" t="s">
        <v>319</v>
      </c>
      <c r="P126" t="s">
        <v>319</v>
      </c>
      <c r="Q126">
        <v>1</v>
      </c>
      <c r="W126">
        <v>0</v>
      </c>
      <c r="X126">
        <v>-162217847</v>
      </c>
      <c r="Y126">
        <f>AT126</f>
        <v>10.3</v>
      </c>
      <c r="AA126">
        <v>20.190000000000001</v>
      </c>
      <c r="AB126">
        <v>0</v>
      </c>
      <c r="AC126">
        <v>0</v>
      </c>
      <c r="AD126">
        <v>0</v>
      </c>
      <c r="AE126">
        <v>20.190000000000001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10.3</v>
      </c>
      <c r="AU126" t="s">
        <v>3</v>
      </c>
      <c r="AV126">
        <v>0</v>
      </c>
      <c r="AW126">
        <v>2</v>
      </c>
      <c r="AX126">
        <v>59500109</v>
      </c>
      <c r="AY126">
        <v>1</v>
      </c>
      <c r="AZ126">
        <v>0</v>
      </c>
      <c r="BA126">
        <v>136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ROUND(Y126*Source!I311,9)</f>
        <v>1.2936799999999999</v>
      </c>
      <c r="CY126">
        <f>AA126</f>
        <v>20.190000000000001</v>
      </c>
      <c r="CZ126">
        <f>AE126</f>
        <v>20.190000000000001</v>
      </c>
      <c r="DA126">
        <f>AI126</f>
        <v>1</v>
      </c>
      <c r="DB126">
        <f>ROUND(ROUND(AT126*CZ126,2),6)</f>
        <v>207.96</v>
      </c>
      <c r="DC126">
        <f>ROUND(ROUND(AT126*AG126,2),6)</f>
        <v>0</v>
      </c>
      <c r="DD126" t="s">
        <v>3</v>
      </c>
      <c r="DE126" t="s">
        <v>3</v>
      </c>
      <c r="DF126">
        <f t="shared" si="15"/>
        <v>26.12</v>
      </c>
      <c r="DG126">
        <f t="shared" si="13"/>
        <v>0</v>
      </c>
      <c r="DH126">
        <f t="shared" si="14"/>
        <v>0</v>
      </c>
      <c r="DI126">
        <f t="shared" si="11"/>
        <v>0</v>
      </c>
      <c r="DJ126">
        <f>DF126</f>
        <v>26.12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ROW(Source!A311)</f>
        <v>311</v>
      </c>
      <c r="B127">
        <v>59499218</v>
      </c>
      <c r="C127">
        <v>59499807</v>
      </c>
      <c r="D127">
        <v>0</v>
      </c>
      <c r="E127">
        <v>1080</v>
      </c>
      <c r="F127">
        <v>1</v>
      </c>
      <c r="G127">
        <v>1080</v>
      </c>
      <c r="H127">
        <v>3</v>
      </c>
      <c r="I127" t="s">
        <v>253</v>
      </c>
      <c r="J127" t="s">
        <v>3</v>
      </c>
      <c r="K127" t="s">
        <v>254</v>
      </c>
      <c r="L127">
        <v>1354</v>
      </c>
      <c r="N127">
        <v>1010</v>
      </c>
      <c r="O127" t="s">
        <v>124</v>
      </c>
      <c r="P127" t="s">
        <v>124</v>
      </c>
      <c r="Q127">
        <v>1</v>
      </c>
      <c r="W127">
        <v>0</v>
      </c>
      <c r="X127">
        <v>1628453334</v>
      </c>
      <c r="Y127">
        <f>AT127</f>
        <v>796.17834400000004</v>
      </c>
      <c r="AA127">
        <v>4.3</v>
      </c>
      <c r="AB127">
        <v>0</v>
      </c>
      <c r="AC127">
        <v>0</v>
      </c>
      <c r="AD127">
        <v>0</v>
      </c>
      <c r="AE127">
        <v>4.3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 t="s">
        <v>3</v>
      </c>
      <c r="AT127">
        <v>796.17834400000004</v>
      </c>
      <c r="AU127" t="s">
        <v>3</v>
      </c>
      <c r="AV127">
        <v>0</v>
      </c>
      <c r="AW127">
        <v>1</v>
      </c>
      <c r="AX127">
        <v>-1</v>
      </c>
      <c r="AY127">
        <v>0</v>
      </c>
      <c r="AZ127">
        <v>0</v>
      </c>
      <c r="BA127" t="s">
        <v>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ROUND(Y127*Source!I311,9)</f>
        <v>100.00000000599999</v>
      </c>
      <c r="CY127">
        <f>AA127</f>
        <v>4.3</v>
      </c>
      <c r="CZ127">
        <f>AE127</f>
        <v>4.3</v>
      </c>
      <c r="DA127">
        <f>AI127</f>
        <v>1</v>
      </c>
      <c r="DB127">
        <f>ROUND(ROUND(AT127*CZ127,2),6)</f>
        <v>3423.57</v>
      </c>
      <c r="DC127">
        <f>ROUND(ROUND(AT127*AG127,2),6)</f>
        <v>0</v>
      </c>
      <c r="DD127" t="s">
        <v>3</v>
      </c>
      <c r="DE127" t="s">
        <v>3</v>
      </c>
      <c r="DF127">
        <f t="shared" si="15"/>
        <v>430</v>
      </c>
      <c r="DG127">
        <f t="shared" si="13"/>
        <v>0</v>
      </c>
      <c r="DH127">
        <f t="shared" si="14"/>
        <v>0</v>
      </c>
      <c r="DI127">
        <f t="shared" si="11"/>
        <v>0</v>
      </c>
      <c r="DJ127">
        <f>DF127</f>
        <v>430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ROW(Source!A312)</f>
        <v>312</v>
      </c>
      <c r="B128">
        <v>59499215</v>
      </c>
      <c r="C128">
        <v>59499807</v>
      </c>
      <c r="D128">
        <v>58532980</v>
      </c>
      <c r="E128">
        <v>1080</v>
      </c>
      <c r="F128">
        <v>1</v>
      </c>
      <c r="G128">
        <v>1080</v>
      </c>
      <c r="H128">
        <v>1</v>
      </c>
      <c r="I128" t="s">
        <v>302</v>
      </c>
      <c r="J128" t="s">
        <v>3</v>
      </c>
      <c r="K128" t="s">
        <v>303</v>
      </c>
      <c r="L128">
        <v>1191</v>
      </c>
      <c r="N128">
        <v>1013</v>
      </c>
      <c r="O128" t="s">
        <v>304</v>
      </c>
      <c r="P128" t="s">
        <v>304</v>
      </c>
      <c r="Q128">
        <v>1</v>
      </c>
      <c r="W128">
        <v>0</v>
      </c>
      <c r="X128">
        <v>476480486</v>
      </c>
      <c r="Y128">
        <f>((AT128*1.15)*1.1)</f>
        <v>80.959999999999994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5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64</v>
      </c>
      <c r="AU128" t="s">
        <v>40</v>
      </c>
      <c r="AV128">
        <v>1</v>
      </c>
      <c r="AW128">
        <v>2</v>
      </c>
      <c r="AX128">
        <v>59500104</v>
      </c>
      <c r="AY128">
        <v>1</v>
      </c>
      <c r="AZ128">
        <v>0</v>
      </c>
      <c r="BA128">
        <v>138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U128">
        <f>ROUND(AT128*Source!I312*AH128*AL128,2)</f>
        <v>0</v>
      </c>
      <c r="CV128">
        <f>ROUND(Y128*Source!I312,9)</f>
        <v>10.168576</v>
      </c>
      <c r="CW128">
        <v>0</v>
      </c>
      <c r="CX128">
        <f>ROUND(Y128*Source!I312,9)</f>
        <v>10.168576</v>
      </c>
      <c r="CY128">
        <f>AD128</f>
        <v>0</v>
      </c>
      <c r="CZ128">
        <f>AH128</f>
        <v>0</v>
      </c>
      <c r="DA128">
        <f>AL128</f>
        <v>1</v>
      </c>
      <c r="DB128">
        <f>ROUND(((ROUND(AT128*CZ128,2)*1.15)*1.1),6)</f>
        <v>0</v>
      </c>
      <c r="DC128">
        <f>ROUND(((ROUND(AT128*AG128,2)*1.15)*1.1),6)</f>
        <v>0</v>
      </c>
      <c r="DD128" t="s">
        <v>3</v>
      </c>
      <c r="DE128" t="s">
        <v>3</v>
      </c>
      <c r="DF128">
        <f t="shared" si="15"/>
        <v>0</v>
      </c>
      <c r="DG128">
        <f t="shared" si="13"/>
        <v>0</v>
      </c>
      <c r="DH128">
        <f t="shared" si="14"/>
        <v>0</v>
      </c>
      <c r="DI128">
        <f t="shared" si="11"/>
        <v>0</v>
      </c>
      <c r="DJ128">
        <f>DI128</f>
        <v>0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ROW(Source!A312)</f>
        <v>312</v>
      </c>
      <c r="B129">
        <v>59499215</v>
      </c>
      <c r="C129">
        <v>59499807</v>
      </c>
      <c r="D129">
        <v>58607154</v>
      </c>
      <c r="E129">
        <v>1</v>
      </c>
      <c r="F129">
        <v>1</v>
      </c>
      <c r="G129">
        <v>1080</v>
      </c>
      <c r="H129">
        <v>2</v>
      </c>
      <c r="I129" t="s">
        <v>308</v>
      </c>
      <c r="J129" t="s">
        <v>309</v>
      </c>
      <c r="K129" t="s">
        <v>310</v>
      </c>
      <c r="L129">
        <v>1368</v>
      </c>
      <c r="N129">
        <v>1011</v>
      </c>
      <c r="O129" t="s">
        <v>311</v>
      </c>
      <c r="P129" t="s">
        <v>311</v>
      </c>
      <c r="Q129">
        <v>1</v>
      </c>
      <c r="W129">
        <v>0</v>
      </c>
      <c r="X129">
        <v>-1985943078</v>
      </c>
      <c r="Y129">
        <f>((AT129*1.25)*1.1)</f>
        <v>9.6250000000000016E-2</v>
      </c>
      <c r="AA129">
        <v>0</v>
      </c>
      <c r="AB129">
        <v>1388.39</v>
      </c>
      <c r="AC129">
        <v>711.32</v>
      </c>
      <c r="AD129">
        <v>0</v>
      </c>
      <c r="AE129">
        <v>0</v>
      </c>
      <c r="AF129">
        <v>83.1</v>
      </c>
      <c r="AG129">
        <v>12.62</v>
      </c>
      <c r="AH129">
        <v>0</v>
      </c>
      <c r="AI129">
        <v>1</v>
      </c>
      <c r="AJ129">
        <v>16.3</v>
      </c>
      <c r="AK129">
        <v>54.99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7.0000000000000007E-2</v>
      </c>
      <c r="AU129" t="s">
        <v>39</v>
      </c>
      <c r="AV129">
        <v>0</v>
      </c>
      <c r="AW129">
        <v>2</v>
      </c>
      <c r="AX129">
        <v>59500105</v>
      </c>
      <c r="AY129">
        <v>1</v>
      </c>
      <c r="AZ129">
        <v>0</v>
      </c>
      <c r="BA129">
        <v>139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f>ROUND(Y129*Source!I312*DO129,9)</f>
        <v>0.15256317999999999</v>
      </c>
      <c r="CX129">
        <f>ROUND(Y129*Source!I312,9)</f>
        <v>1.2089000000000001E-2</v>
      </c>
      <c r="CY129">
        <f>AB129</f>
        <v>1388.39</v>
      </c>
      <c r="CZ129">
        <f>AF129</f>
        <v>83.1</v>
      </c>
      <c r="DA129">
        <f>AJ129</f>
        <v>16.3</v>
      </c>
      <c r="DB129">
        <f>ROUND(((ROUND(AT129*CZ129,2)*1.25)*1.1),6)</f>
        <v>8.0024999999999995</v>
      </c>
      <c r="DC129">
        <f>ROUND(((ROUND(AT129*AG129,2)*1.25)*1.1),6)</f>
        <v>1.21</v>
      </c>
      <c r="DD129" t="s">
        <v>3</v>
      </c>
      <c r="DE129" t="s">
        <v>3</v>
      </c>
      <c r="DF129">
        <f t="shared" si="15"/>
        <v>0</v>
      </c>
      <c r="DG129">
        <f>ROUND(ROUND(AF129*AJ129,2)*CX129,2)</f>
        <v>16.37</v>
      </c>
      <c r="DH129">
        <f>ROUND(ROUND(AG129*AK129,2)*CX129,2)</f>
        <v>8.39</v>
      </c>
      <c r="DI129">
        <f t="shared" ref="DI129:DI160" si="16">ROUND(ROUND(AH129,2)*CX129,2)</f>
        <v>0</v>
      </c>
      <c r="DJ129">
        <f>DG129</f>
        <v>16.37</v>
      </c>
      <c r="DK129">
        <v>0</v>
      </c>
      <c r="DL129" t="s">
        <v>312</v>
      </c>
      <c r="DM129">
        <v>0</v>
      </c>
      <c r="DN129" t="s">
        <v>304</v>
      </c>
      <c r="DO129">
        <v>12.62</v>
      </c>
    </row>
    <row r="130" spans="1:119" x14ac:dyDescent="0.2">
      <c r="A130">
        <f>ROW(Source!A312)</f>
        <v>312</v>
      </c>
      <c r="B130">
        <v>59499215</v>
      </c>
      <c r="C130">
        <v>59499807</v>
      </c>
      <c r="D130">
        <v>58575387</v>
      </c>
      <c r="E130">
        <v>1</v>
      </c>
      <c r="F130">
        <v>1</v>
      </c>
      <c r="G130">
        <v>1080</v>
      </c>
      <c r="H130">
        <v>3</v>
      </c>
      <c r="I130" t="s">
        <v>316</v>
      </c>
      <c r="J130" t="s">
        <v>317</v>
      </c>
      <c r="K130" t="s">
        <v>318</v>
      </c>
      <c r="L130">
        <v>1346</v>
      </c>
      <c r="N130">
        <v>1009</v>
      </c>
      <c r="O130" t="s">
        <v>319</v>
      </c>
      <c r="P130" t="s">
        <v>319</v>
      </c>
      <c r="Q130">
        <v>1</v>
      </c>
      <c r="W130">
        <v>0</v>
      </c>
      <c r="X130">
        <v>-709773495</v>
      </c>
      <c r="Y130">
        <f>AT130</f>
        <v>0.15</v>
      </c>
      <c r="AA130">
        <v>23.97</v>
      </c>
      <c r="AB130">
        <v>0</v>
      </c>
      <c r="AC130">
        <v>0</v>
      </c>
      <c r="AD130">
        <v>0</v>
      </c>
      <c r="AE130">
        <v>1.61</v>
      </c>
      <c r="AF130">
        <v>0</v>
      </c>
      <c r="AG130">
        <v>0</v>
      </c>
      <c r="AH130">
        <v>0</v>
      </c>
      <c r="AI130">
        <v>14.89</v>
      </c>
      <c r="AJ130">
        <v>1</v>
      </c>
      <c r="AK130">
        <v>1</v>
      </c>
      <c r="AL130">
        <v>1</v>
      </c>
      <c r="AM130">
        <v>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0.15</v>
      </c>
      <c r="AU130" t="s">
        <v>3</v>
      </c>
      <c r="AV130">
        <v>0</v>
      </c>
      <c r="AW130">
        <v>2</v>
      </c>
      <c r="AX130">
        <v>59500106</v>
      </c>
      <c r="AY130">
        <v>1</v>
      </c>
      <c r="AZ130">
        <v>0</v>
      </c>
      <c r="BA130">
        <v>140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ROUND(Y130*Source!I312,9)</f>
        <v>1.8839999999999999E-2</v>
      </c>
      <c r="CY130">
        <f>AA130</f>
        <v>23.97</v>
      </c>
      <c r="CZ130">
        <f>AE130</f>
        <v>1.61</v>
      </c>
      <c r="DA130">
        <f>AI130</f>
        <v>14.89</v>
      </c>
      <c r="DB130">
        <f>ROUND(ROUND(AT130*CZ130,2),6)</f>
        <v>0.24</v>
      </c>
      <c r="DC130">
        <f>ROUND(ROUND(AT130*AG130,2),6)</f>
        <v>0</v>
      </c>
      <c r="DD130" t="s">
        <v>3</v>
      </c>
      <c r="DE130" t="s">
        <v>3</v>
      </c>
      <c r="DF130">
        <f>ROUND(ROUND(AE130*AI130,2)*CX130,2)</f>
        <v>0.45</v>
      </c>
      <c r="DG130">
        <f t="shared" ref="DG130:DG142" si="17">ROUND(ROUND(AF130,2)*CX130,2)</f>
        <v>0</v>
      </c>
      <c r="DH130">
        <f t="shared" ref="DH130:DH142" si="18">ROUND(ROUND(AG130,2)*CX130,2)</f>
        <v>0</v>
      </c>
      <c r="DI130">
        <f t="shared" si="16"/>
        <v>0</v>
      </c>
      <c r="DJ130">
        <f>DF130</f>
        <v>0.45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ROW(Source!A312)</f>
        <v>312</v>
      </c>
      <c r="B131">
        <v>59499215</v>
      </c>
      <c r="C131">
        <v>59499807</v>
      </c>
      <c r="D131">
        <v>58576383</v>
      </c>
      <c r="E131">
        <v>1</v>
      </c>
      <c r="F131">
        <v>1</v>
      </c>
      <c r="G131">
        <v>1080</v>
      </c>
      <c r="H131">
        <v>3</v>
      </c>
      <c r="I131" t="s">
        <v>324</v>
      </c>
      <c r="J131" t="s">
        <v>325</v>
      </c>
      <c r="K131" t="s">
        <v>326</v>
      </c>
      <c r="L131">
        <v>1348</v>
      </c>
      <c r="N131">
        <v>1009</v>
      </c>
      <c r="O131" t="s">
        <v>242</v>
      </c>
      <c r="P131" t="s">
        <v>242</v>
      </c>
      <c r="Q131">
        <v>1000</v>
      </c>
      <c r="W131">
        <v>0</v>
      </c>
      <c r="X131">
        <v>-356009045</v>
      </c>
      <c r="Y131">
        <f>AT131</f>
        <v>5.0000000000000001E-3</v>
      </c>
      <c r="AA131">
        <v>23051.56</v>
      </c>
      <c r="AB131">
        <v>0</v>
      </c>
      <c r="AC131">
        <v>0</v>
      </c>
      <c r="AD131">
        <v>0</v>
      </c>
      <c r="AE131">
        <v>2271.09</v>
      </c>
      <c r="AF131">
        <v>0</v>
      </c>
      <c r="AG131">
        <v>0</v>
      </c>
      <c r="AH131">
        <v>0</v>
      </c>
      <c r="AI131">
        <v>10.15</v>
      </c>
      <c r="AJ131">
        <v>1</v>
      </c>
      <c r="AK131">
        <v>1</v>
      </c>
      <c r="AL131">
        <v>1</v>
      </c>
      <c r="AM131">
        <v>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5.0000000000000001E-3</v>
      </c>
      <c r="AU131" t="s">
        <v>3</v>
      </c>
      <c r="AV131">
        <v>0</v>
      </c>
      <c r="AW131">
        <v>2</v>
      </c>
      <c r="AX131">
        <v>59500107</v>
      </c>
      <c r="AY131">
        <v>1</v>
      </c>
      <c r="AZ131">
        <v>0</v>
      </c>
      <c r="BA131">
        <v>141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ROUND(Y131*Source!I312,9)</f>
        <v>6.2799999999999998E-4</v>
      </c>
      <c r="CY131">
        <f>AA131</f>
        <v>23051.56</v>
      </c>
      <c r="CZ131">
        <f>AE131</f>
        <v>2271.09</v>
      </c>
      <c r="DA131">
        <f>AI131</f>
        <v>10.15</v>
      </c>
      <c r="DB131">
        <f>ROUND(ROUND(AT131*CZ131,2),6)</f>
        <v>11.36</v>
      </c>
      <c r="DC131">
        <f>ROUND(ROUND(AT131*AG131,2),6)</f>
        <v>0</v>
      </c>
      <c r="DD131" t="s">
        <v>3</v>
      </c>
      <c r="DE131" t="s">
        <v>3</v>
      </c>
      <c r="DF131">
        <f>ROUND(ROUND(AE131*AI131,2)*CX131,2)</f>
        <v>14.48</v>
      </c>
      <c r="DG131">
        <f t="shared" si="17"/>
        <v>0</v>
      </c>
      <c r="DH131">
        <f t="shared" si="18"/>
        <v>0</v>
      </c>
      <c r="DI131">
        <f t="shared" si="16"/>
        <v>0</v>
      </c>
      <c r="DJ131">
        <f>DF131</f>
        <v>14.48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ROW(Source!A312)</f>
        <v>312</v>
      </c>
      <c r="B132">
        <v>59499215</v>
      </c>
      <c r="C132">
        <v>59499807</v>
      </c>
      <c r="D132">
        <v>58575656</v>
      </c>
      <c r="E132">
        <v>1</v>
      </c>
      <c r="F132">
        <v>1</v>
      </c>
      <c r="G132">
        <v>1080</v>
      </c>
      <c r="H132">
        <v>3</v>
      </c>
      <c r="I132" t="s">
        <v>327</v>
      </c>
      <c r="J132" t="s">
        <v>328</v>
      </c>
      <c r="K132" t="s">
        <v>329</v>
      </c>
      <c r="L132">
        <v>1348</v>
      </c>
      <c r="N132">
        <v>1009</v>
      </c>
      <c r="O132" t="s">
        <v>242</v>
      </c>
      <c r="P132" t="s">
        <v>242</v>
      </c>
      <c r="Q132">
        <v>1000</v>
      </c>
      <c r="W132">
        <v>0</v>
      </c>
      <c r="X132">
        <v>1181594054</v>
      </c>
      <c r="Y132">
        <f>AT132</f>
        <v>2.6700000000000002E-2</v>
      </c>
      <c r="AA132">
        <v>83201.899999999994</v>
      </c>
      <c r="AB132">
        <v>0</v>
      </c>
      <c r="AC132">
        <v>0</v>
      </c>
      <c r="AD132">
        <v>0</v>
      </c>
      <c r="AE132">
        <v>32000.73</v>
      </c>
      <c r="AF132">
        <v>0</v>
      </c>
      <c r="AG132">
        <v>0</v>
      </c>
      <c r="AH132">
        <v>0</v>
      </c>
      <c r="AI132">
        <v>2.6</v>
      </c>
      <c r="AJ132">
        <v>1</v>
      </c>
      <c r="AK132">
        <v>1</v>
      </c>
      <c r="AL132">
        <v>1</v>
      </c>
      <c r="AM132">
        <v>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2.6700000000000002E-2</v>
      </c>
      <c r="AU132" t="s">
        <v>3</v>
      </c>
      <c r="AV132">
        <v>0</v>
      </c>
      <c r="AW132">
        <v>2</v>
      </c>
      <c r="AX132">
        <v>59500108</v>
      </c>
      <c r="AY132">
        <v>1</v>
      </c>
      <c r="AZ132">
        <v>0</v>
      </c>
      <c r="BA132">
        <v>142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ROUND(Y132*Source!I312,9)</f>
        <v>3.35352E-3</v>
      </c>
      <c r="CY132">
        <f>AA132</f>
        <v>83201.899999999994</v>
      </c>
      <c r="CZ132">
        <f>AE132</f>
        <v>32000.73</v>
      </c>
      <c r="DA132">
        <f>AI132</f>
        <v>2.6</v>
      </c>
      <c r="DB132">
        <f>ROUND(ROUND(AT132*CZ132,2),6)</f>
        <v>854.42</v>
      </c>
      <c r="DC132">
        <f>ROUND(ROUND(AT132*AG132,2),6)</f>
        <v>0</v>
      </c>
      <c r="DD132" t="s">
        <v>3</v>
      </c>
      <c r="DE132" t="s">
        <v>3</v>
      </c>
      <c r="DF132">
        <f>ROUND(ROUND(AE132*AI132,2)*CX132,2)</f>
        <v>279.02</v>
      </c>
      <c r="DG132">
        <f t="shared" si="17"/>
        <v>0</v>
      </c>
      <c r="DH132">
        <f t="shared" si="18"/>
        <v>0</v>
      </c>
      <c r="DI132">
        <f t="shared" si="16"/>
        <v>0</v>
      </c>
      <c r="DJ132">
        <f>DF132</f>
        <v>279.02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ROW(Source!A312)</f>
        <v>312</v>
      </c>
      <c r="B133">
        <v>59499215</v>
      </c>
      <c r="C133">
        <v>59499807</v>
      </c>
      <c r="D133">
        <v>58575830</v>
      </c>
      <c r="E133">
        <v>1</v>
      </c>
      <c r="F133">
        <v>1</v>
      </c>
      <c r="G133">
        <v>1080</v>
      </c>
      <c r="H133">
        <v>3</v>
      </c>
      <c r="I133" t="s">
        <v>330</v>
      </c>
      <c r="J133" t="s">
        <v>331</v>
      </c>
      <c r="K133" t="s">
        <v>332</v>
      </c>
      <c r="L133">
        <v>1346</v>
      </c>
      <c r="N133">
        <v>1009</v>
      </c>
      <c r="O133" t="s">
        <v>319</v>
      </c>
      <c r="P133" t="s">
        <v>319</v>
      </c>
      <c r="Q133">
        <v>1</v>
      </c>
      <c r="W133">
        <v>0</v>
      </c>
      <c r="X133">
        <v>-162217847</v>
      </c>
      <c r="Y133">
        <f>AT133</f>
        <v>10.3</v>
      </c>
      <c r="AA133">
        <v>150.41999999999999</v>
      </c>
      <c r="AB133">
        <v>0</v>
      </c>
      <c r="AC133">
        <v>0</v>
      </c>
      <c r="AD133">
        <v>0</v>
      </c>
      <c r="AE133">
        <v>20.190000000000001</v>
      </c>
      <c r="AF133">
        <v>0</v>
      </c>
      <c r="AG133">
        <v>0</v>
      </c>
      <c r="AH133">
        <v>0</v>
      </c>
      <c r="AI133">
        <v>7.45</v>
      </c>
      <c r="AJ133">
        <v>1</v>
      </c>
      <c r="AK133">
        <v>1</v>
      </c>
      <c r="AL133">
        <v>1</v>
      </c>
      <c r="AM133">
        <v>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10.3</v>
      </c>
      <c r="AU133" t="s">
        <v>3</v>
      </c>
      <c r="AV133">
        <v>0</v>
      </c>
      <c r="AW133">
        <v>2</v>
      </c>
      <c r="AX133">
        <v>59500109</v>
      </c>
      <c r="AY133">
        <v>1</v>
      </c>
      <c r="AZ133">
        <v>0</v>
      </c>
      <c r="BA133">
        <v>143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ROUND(Y133*Source!I312,9)</f>
        <v>1.2936799999999999</v>
      </c>
      <c r="CY133">
        <f>AA133</f>
        <v>150.41999999999999</v>
      </c>
      <c r="CZ133">
        <f>AE133</f>
        <v>20.190000000000001</v>
      </c>
      <c r="DA133">
        <f>AI133</f>
        <v>7.45</v>
      </c>
      <c r="DB133">
        <f>ROUND(ROUND(AT133*CZ133,2),6)</f>
        <v>207.96</v>
      </c>
      <c r="DC133">
        <f>ROUND(ROUND(AT133*AG133,2),6)</f>
        <v>0</v>
      </c>
      <c r="DD133" t="s">
        <v>3</v>
      </c>
      <c r="DE133" t="s">
        <v>3</v>
      </c>
      <c r="DF133">
        <f>ROUND(ROUND(AE133*AI133,2)*CX133,2)</f>
        <v>194.6</v>
      </c>
      <c r="DG133">
        <f t="shared" si="17"/>
        <v>0</v>
      </c>
      <c r="DH133">
        <f t="shared" si="18"/>
        <v>0</v>
      </c>
      <c r="DI133">
        <f t="shared" si="16"/>
        <v>0</v>
      </c>
      <c r="DJ133">
        <f>DF133</f>
        <v>194.6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ROW(Source!A312)</f>
        <v>312</v>
      </c>
      <c r="B134">
        <v>59499215</v>
      </c>
      <c r="C134">
        <v>59499807</v>
      </c>
      <c r="D134">
        <v>0</v>
      </c>
      <c r="E134">
        <v>1080</v>
      </c>
      <c r="F134">
        <v>1</v>
      </c>
      <c r="G134">
        <v>1080</v>
      </c>
      <c r="H134">
        <v>3</v>
      </c>
      <c r="I134" t="s">
        <v>253</v>
      </c>
      <c r="J134" t="s">
        <v>3</v>
      </c>
      <c r="K134" t="s">
        <v>254</v>
      </c>
      <c r="L134">
        <v>1354</v>
      </c>
      <c r="N134">
        <v>1010</v>
      </c>
      <c r="O134" t="s">
        <v>124</v>
      </c>
      <c r="P134" t="s">
        <v>124</v>
      </c>
      <c r="Q134">
        <v>1</v>
      </c>
      <c r="W134">
        <v>0</v>
      </c>
      <c r="X134">
        <v>1628453334</v>
      </c>
      <c r="Y134">
        <f>AT134</f>
        <v>796.17834400000004</v>
      </c>
      <c r="AA134">
        <v>42.48</v>
      </c>
      <c r="AB134">
        <v>0</v>
      </c>
      <c r="AC134">
        <v>0</v>
      </c>
      <c r="AD134">
        <v>0</v>
      </c>
      <c r="AE134">
        <v>4.3</v>
      </c>
      <c r="AF134">
        <v>0</v>
      </c>
      <c r="AG134">
        <v>0</v>
      </c>
      <c r="AH134">
        <v>0</v>
      </c>
      <c r="AI134">
        <v>9.8800000000000008</v>
      </c>
      <c r="AJ134">
        <v>1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 t="s">
        <v>3</v>
      </c>
      <c r="AT134">
        <v>796.17834400000004</v>
      </c>
      <c r="AU134" t="s">
        <v>3</v>
      </c>
      <c r="AV134">
        <v>0</v>
      </c>
      <c r="AW134">
        <v>1</v>
      </c>
      <c r="AX134">
        <v>-1</v>
      </c>
      <c r="AY134">
        <v>0</v>
      </c>
      <c r="AZ134">
        <v>0</v>
      </c>
      <c r="BA134" t="s">
        <v>3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ROUND(Y134*Source!I312,9)</f>
        <v>100.00000000599999</v>
      </c>
      <c r="CY134">
        <f>AA134</f>
        <v>42.48</v>
      </c>
      <c r="CZ134">
        <f>AE134</f>
        <v>4.3</v>
      </c>
      <c r="DA134">
        <f>AI134</f>
        <v>9.8800000000000008</v>
      </c>
      <c r="DB134">
        <f>ROUND(ROUND(AT134*CZ134,2),6)</f>
        <v>3423.57</v>
      </c>
      <c r="DC134">
        <f>ROUND(ROUND(AT134*AG134,2),6)</f>
        <v>0</v>
      </c>
      <c r="DD134" t="s">
        <v>3</v>
      </c>
      <c r="DE134" t="s">
        <v>3</v>
      </c>
      <c r="DF134">
        <f>ROUND(ROUND(AE134*AI134,2)*CX134,2)</f>
        <v>4248</v>
      </c>
      <c r="DG134">
        <f t="shared" si="17"/>
        <v>0</v>
      </c>
      <c r="DH134">
        <f t="shared" si="18"/>
        <v>0</v>
      </c>
      <c r="DI134">
        <f t="shared" si="16"/>
        <v>0</v>
      </c>
      <c r="DJ134">
        <f>DF134</f>
        <v>4248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ROW(Source!A350)</f>
        <v>350</v>
      </c>
      <c r="B135">
        <v>59499218</v>
      </c>
      <c r="C135">
        <v>59499879</v>
      </c>
      <c r="D135">
        <v>58532980</v>
      </c>
      <c r="E135">
        <v>1080</v>
      </c>
      <c r="F135">
        <v>1</v>
      </c>
      <c r="G135">
        <v>1080</v>
      </c>
      <c r="H135">
        <v>1</v>
      </c>
      <c r="I135" t="s">
        <v>302</v>
      </c>
      <c r="J135" t="s">
        <v>3</v>
      </c>
      <c r="K135" t="s">
        <v>303</v>
      </c>
      <c r="L135">
        <v>1191</v>
      </c>
      <c r="N135">
        <v>1013</v>
      </c>
      <c r="O135" t="s">
        <v>304</v>
      </c>
      <c r="P135" t="s">
        <v>304</v>
      </c>
      <c r="Q135">
        <v>1</v>
      </c>
      <c r="W135">
        <v>0</v>
      </c>
      <c r="X135">
        <v>476480486</v>
      </c>
      <c r="Y135">
        <f>((AT135*1.15)*1.1)</f>
        <v>80.959999999999994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64</v>
      </c>
      <c r="AU135" t="s">
        <v>40</v>
      </c>
      <c r="AV135">
        <v>1</v>
      </c>
      <c r="AW135">
        <v>2</v>
      </c>
      <c r="AX135">
        <v>59500111</v>
      </c>
      <c r="AY135">
        <v>1</v>
      </c>
      <c r="AZ135">
        <v>0</v>
      </c>
      <c r="BA135">
        <v>145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U135">
        <f>ROUND(AT135*Source!I350*AH135*AL135,2)</f>
        <v>0</v>
      </c>
      <c r="CV135">
        <f>ROUND(Y135*Source!I350,9)</f>
        <v>2.09484</v>
      </c>
      <c r="CW135">
        <v>0</v>
      </c>
      <c r="CX135">
        <f>ROUND(Y135*Source!I350,9)</f>
        <v>2.09484</v>
      </c>
      <c r="CY135">
        <f>AD135</f>
        <v>0</v>
      </c>
      <c r="CZ135">
        <f>AH135</f>
        <v>0</v>
      </c>
      <c r="DA135">
        <f>AL135</f>
        <v>1</v>
      </c>
      <c r="DB135">
        <f>ROUND(((ROUND(AT135*CZ135,2)*1.15)*1.1),6)</f>
        <v>0</v>
      </c>
      <c r="DC135">
        <f>ROUND(((ROUND(AT135*AG135,2)*1.15)*1.1),6)</f>
        <v>0</v>
      </c>
      <c r="DD135" t="s">
        <v>3</v>
      </c>
      <c r="DE135" t="s">
        <v>3</v>
      </c>
      <c r="DF135">
        <f t="shared" ref="DF135:DF143" si="19">ROUND(ROUND(AE135,2)*CX135,2)</f>
        <v>0</v>
      </c>
      <c r="DG135">
        <f t="shared" si="17"/>
        <v>0</v>
      </c>
      <c r="DH135">
        <f t="shared" si="18"/>
        <v>0</v>
      </c>
      <c r="DI135">
        <f t="shared" si="16"/>
        <v>0</v>
      </c>
      <c r="DJ135">
        <f>DI135</f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ROW(Source!A350)</f>
        <v>350</v>
      </c>
      <c r="B136">
        <v>59499218</v>
      </c>
      <c r="C136">
        <v>59499879</v>
      </c>
      <c r="D136">
        <v>58607154</v>
      </c>
      <c r="E136">
        <v>1</v>
      </c>
      <c r="F136">
        <v>1</v>
      </c>
      <c r="G136">
        <v>1080</v>
      </c>
      <c r="H136">
        <v>2</v>
      </c>
      <c r="I136" t="s">
        <v>308</v>
      </c>
      <c r="J136" t="s">
        <v>309</v>
      </c>
      <c r="K136" t="s">
        <v>310</v>
      </c>
      <c r="L136">
        <v>1368</v>
      </c>
      <c r="N136">
        <v>1011</v>
      </c>
      <c r="O136" t="s">
        <v>311</v>
      </c>
      <c r="P136" t="s">
        <v>311</v>
      </c>
      <c r="Q136">
        <v>1</v>
      </c>
      <c r="W136">
        <v>0</v>
      </c>
      <c r="X136">
        <v>-1985943078</v>
      </c>
      <c r="Y136">
        <f>((AT136*1.25)*1.1)</f>
        <v>9.6250000000000016E-2</v>
      </c>
      <c r="AA136">
        <v>0</v>
      </c>
      <c r="AB136">
        <v>85.18</v>
      </c>
      <c r="AC136">
        <v>12.94</v>
      </c>
      <c r="AD136">
        <v>0</v>
      </c>
      <c r="AE136">
        <v>0</v>
      </c>
      <c r="AF136">
        <v>83.1</v>
      </c>
      <c r="AG136">
        <v>12.62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7.0000000000000007E-2</v>
      </c>
      <c r="AU136" t="s">
        <v>39</v>
      </c>
      <c r="AV136">
        <v>0</v>
      </c>
      <c r="AW136">
        <v>2</v>
      </c>
      <c r="AX136">
        <v>59500112</v>
      </c>
      <c r="AY136">
        <v>1</v>
      </c>
      <c r="AZ136">
        <v>0</v>
      </c>
      <c r="BA136">
        <v>146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ROUND(Y136*Source!I350*DO136,9)</f>
        <v>3.1429716000000003E-2</v>
      </c>
      <c r="CX136">
        <f>ROUND(Y136*Source!I350,9)</f>
        <v>2.4904689999999999E-3</v>
      </c>
      <c r="CY136">
        <f>AB136</f>
        <v>85.18</v>
      </c>
      <c r="CZ136">
        <f>AF136</f>
        <v>83.1</v>
      </c>
      <c r="DA136">
        <f>AJ136</f>
        <v>1</v>
      </c>
      <c r="DB136">
        <f>ROUND(((ROUND(AT136*CZ136,2)*1.25)*1.1),6)</f>
        <v>8.0024999999999995</v>
      </c>
      <c r="DC136">
        <f>ROUND(((ROUND(AT136*AG136,2)*1.25)*1.1),6)</f>
        <v>1.21</v>
      </c>
      <c r="DD136" t="s">
        <v>3</v>
      </c>
      <c r="DE136" t="s">
        <v>3</v>
      </c>
      <c r="DF136">
        <f t="shared" si="19"/>
        <v>0</v>
      </c>
      <c r="DG136">
        <f t="shared" si="17"/>
        <v>0.21</v>
      </c>
      <c r="DH136">
        <f t="shared" si="18"/>
        <v>0.03</v>
      </c>
      <c r="DI136">
        <f t="shared" si="16"/>
        <v>0</v>
      </c>
      <c r="DJ136">
        <f>DG136</f>
        <v>0.21</v>
      </c>
      <c r="DK136">
        <v>0</v>
      </c>
      <c r="DL136" t="s">
        <v>312</v>
      </c>
      <c r="DM136">
        <v>0</v>
      </c>
      <c r="DN136" t="s">
        <v>304</v>
      </c>
      <c r="DO136">
        <v>12.62</v>
      </c>
    </row>
    <row r="137" spans="1:119" x14ac:dyDescent="0.2">
      <c r="A137">
        <f>ROW(Source!A350)</f>
        <v>350</v>
      </c>
      <c r="B137">
        <v>59499218</v>
      </c>
      <c r="C137">
        <v>59499879</v>
      </c>
      <c r="D137">
        <v>58575387</v>
      </c>
      <c r="E137">
        <v>1</v>
      </c>
      <c r="F137">
        <v>1</v>
      </c>
      <c r="G137">
        <v>1080</v>
      </c>
      <c r="H137">
        <v>3</v>
      </c>
      <c r="I137" t="s">
        <v>316</v>
      </c>
      <c r="J137" t="s">
        <v>317</v>
      </c>
      <c r="K137" t="s">
        <v>318</v>
      </c>
      <c r="L137">
        <v>1346</v>
      </c>
      <c r="N137">
        <v>1009</v>
      </c>
      <c r="O137" t="s">
        <v>319</v>
      </c>
      <c r="P137" t="s">
        <v>319</v>
      </c>
      <c r="Q137">
        <v>1</v>
      </c>
      <c r="W137">
        <v>0</v>
      </c>
      <c r="X137">
        <v>-709773495</v>
      </c>
      <c r="Y137">
        <f>AT137</f>
        <v>0.15</v>
      </c>
      <c r="AA137">
        <v>1.61</v>
      </c>
      <c r="AB137">
        <v>0</v>
      </c>
      <c r="AC137">
        <v>0</v>
      </c>
      <c r="AD137">
        <v>0</v>
      </c>
      <c r="AE137">
        <v>1.61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0.15</v>
      </c>
      <c r="AU137" t="s">
        <v>3</v>
      </c>
      <c r="AV137">
        <v>0</v>
      </c>
      <c r="AW137">
        <v>2</v>
      </c>
      <c r="AX137">
        <v>59500113</v>
      </c>
      <c r="AY137">
        <v>1</v>
      </c>
      <c r="AZ137">
        <v>0</v>
      </c>
      <c r="BA137">
        <v>147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ROUND(Y137*Source!I350,9)</f>
        <v>3.8812500000000002E-3</v>
      </c>
      <c r="CY137">
        <f>AA137</f>
        <v>1.61</v>
      </c>
      <c r="CZ137">
        <f>AE137</f>
        <v>1.61</v>
      </c>
      <c r="DA137">
        <f>AI137</f>
        <v>1</v>
      </c>
      <c r="DB137">
        <f>ROUND(ROUND(AT137*CZ137,2),6)</f>
        <v>0.24</v>
      </c>
      <c r="DC137">
        <f>ROUND(ROUND(AT137*AG137,2),6)</f>
        <v>0</v>
      </c>
      <c r="DD137" t="s">
        <v>3</v>
      </c>
      <c r="DE137" t="s">
        <v>3</v>
      </c>
      <c r="DF137">
        <f t="shared" si="19"/>
        <v>0.01</v>
      </c>
      <c r="DG137">
        <f t="shared" si="17"/>
        <v>0</v>
      </c>
      <c r="DH137">
        <f t="shared" si="18"/>
        <v>0</v>
      </c>
      <c r="DI137">
        <f t="shared" si="16"/>
        <v>0</v>
      </c>
      <c r="DJ137">
        <f>DF137</f>
        <v>0.01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ROW(Source!A350)</f>
        <v>350</v>
      </c>
      <c r="B138">
        <v>59499218</v>
      </c>
      <c r="C138">
        <v>59499879</v>
      </c>
      <c r="D138">
        <v>58576383</v>
      </c>
      <c r="E138">
        <v>1</v>
      </c>
      <c r="F138">
        <v>1</v>
      </c>
      <c r="G138">
        <v>1080</v>
      </c>
      <c r="H138">
        <v>3</v>
      </c>
      <c r="I138" t="s">
        <v>324</v>
      </c>
      <c r="J138" t="s">
        <v>325</v>
      </c>
      <c r="K138" t="s">
        <v>326</v>
      </c>
      <c r="L138">
        <v>1348</v>
      </c>
      <c r="N138">
        <v>1009</v>
      </c>
      <c r="O138" t="s">
        <v>242</v>
      </c>
      <c r="P138" t="s">
        <v>242</v>
      </c>
      <c r="Q138">
        <v>1000</v>
      </c>
      <c r="W138">
        <v>0</v>
      </c>
      <c r="X138">
        <v>-356009045</v>
      </c>
      <c r="Y138">
        <f>AT138</f>
        <v>5.0000000000000001E-3</v>
      </c>
      <c r="AA138">
        <v>2271.09</v>
      </c>
      <c r="AB138">
        <v>0</v>
      </c>
      <c r="AC138">
        <v>0</v>
      </c>
      <c r="AD138">
        <v>0</v>
      </c>
      <c r="AE138">
        <v>2271.09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5.0000000000000001E-3</v>
      </c>
      <c r="AU138" t="s">
        <v>3</v>
      </c>
      <c r="AV138">
        <v>0</v>
      </c>
      <c r="AW138">
        <v>2</v>
      </c>
      <c r="AX138">
        <v>59500114</v>
      </c>
      <c r="AY138">
        <v>1</v>
      </c>
      <c r="AZ138">
        <v>0</v>
      </c>
      <c r="BA138">
        <v>148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ROUND(Y138*Source!I350,9)</f>
        <v>1.2937499999999999E-4</v>
      </c>
      <c r="CY138">
        <f>AA138</f>
        <v>2271.09</v>
      </c>
      <c r="CZ138">
        <f>AE138</f>
        <v>2271.09</v>
      </c>
      <c r="DA138">
        <f>AI138</f>
        <v>1</v>
      </c>
      <c r="DB138">
        <f>ROUND(ROUND(AT138*CZ138,2),6)</f>
        <v>11.36</v>
      </c>
      <c r="DC138">
        <f>ROUND(ROUND(AT138*AG138,2),6)</f>
        <v>0</v>
      </c>
      <c r="DD138" t="s">
        <v>3</v>
      </c>
      <c r="DE138" t="s">
        <v>3</v>
      </c>
      <c r="DF138">
        <f t="shared" si="19"/>
        <v>0.28999999999999998</v>
      </c>
      <c r="DG138">
        <f t="shared" si="17"/>
        <v>0</v>
      </c>
      <c r="DH138">
        <f t="shared" si="18"/>
        <v>0</v>
      </c>
      <c r="DI138">
        <f t="shared" si="16"/>
        <v>0</v>
      </c>
      <c r="DJ138">
        <f>DF138</f>
        <v>0.28999999999999998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ROW(Source!A350)</f>
        <v>350</v>
      </c>
      <c r="B139">
        <v>59499218</v>
      </c>
      <c r="C139">
        <v>59499879</v>
      </c>
      <c r="D139">
        <v>58575656</v>
      </c>
      <c r="E139">
        <v>1</v>
      </c>
      <c r="F139">
        <v>1</v>
      </c>
      <c r="G139">
        <v>1080</v>
      </c>
      <c r="H139">
        <v>3</v>
      </c>
      <c r="I139" t="s">
        <v>327</v>
      </c>
      <c r="J139" t="s">
        <v>328</v>
      </c>
      <c r="K139" t="s">
        <v>329</v>
      </c>
      <c r="L139">
        <v>1348</v>
      </c>
      <c r="N139">
        <v>1009</v>
      </c>
      <c r="O139" t="s">
        <v>242</v>
      </c>
      <c r="P139" t="s">
        <v>242</v>
      </c>
      <c r="Q139">
        <v>1000</v>
      </c>
      <c r="W139">
        <v>0</v>
      </c>
      <c r="X139">
        <v>1181594054</v>
      </c>
      <c r="Y139">
        <f>AT139</f>
        <v>2.6700000000000002E-2</v>
      </c>
      <c r="AA139">
        <v>32000.73</v>
      </c>
      <c r="AB139">
        <v>0</v>
      </c>
      <c r="AC139">
        <v>0</v>
      </c>
      <c r="AD139">
        <v>0</v>
      </c>
      <c r="AE139">
        <v>32000.73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2.6700000000000002E-2</v>
      </c>
      <c r="AU139" t="s">
        <v>3</v>
      </c>
      <c r="AV139">
        <v>0</v>
      </c>
      <c r="AW139">
        <v>2</v>
      </c>
      <c r="AX139">
        <v>59500115</v>
      </c>
      <c r="AY139">
        <v>1</v>
      </c>
      <c r="AZ139">
        <v>0</v>
      </c>
      <c r="BA139">
        <v>149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ROUND(Y139*Source!I350,9)</f>
        <v>6.90863E-4</v>
      </c>
      <c r="CY139">
        <f>AA139</f>
        <v>32000.73</v>
      </c>
      <c r="CZ139">
        <f>AE139</f>
        <v>32000.73</v>
      </c>
      <c r="DA139">
        <f>AI139</f>
        <v>1</v>
      </c>
      <c r="DB139">
        <f>ROUND(ROUND(AT139*CZ139,2),6)</f>
        <v>854.42</v>
      </c>
      <c r="DC139">
        <f>ROUND(ROUND(AT139*AG139,2),6)</f>
        <v>0</v>
      </c>
      <c r="DD139" t="s">
        <v>3</v>
      </c>
      <c r="DE139" t="s">
        <v>3</v>
      </c>
      <c r="DF139">
        <f t="shared" si="19"/>
        <v>22.11</v>
      </c>
      <c r="DG139">
        <f t="shared" si="17"/>
        <v>0</v>
      </c>
      <c r="DH139">
        <f t="shared" si="18"/>
        <v>0</v>
      </c>
      <c r="DI139">
        <f t="shared" si="16"/>
        <v>0</v>
      </c>
      <c r="DJ139">
        <f>DF139</f>
        <v>22.11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ROW(Source!A350)</f>
        <v>350</v>
      </c>
      <c r="B140">
        <v>59499218</v>
      </c>
      <c r="C140">
        <v>59499879</v>
      </c>
      <c r="D140">
        <v>58575830</v>
      </c>
      <c r="E140">
        <v>1</v>
      </c>
      <c r="F140">
        <v>1</v>
      </c>
      <c r="G140">
        <v>1080</v>
      </c>
      <c r="H140">
        <v>3</v>
      </c>
      <c r="I140" t="s">
        <v>330</v>
      </c>
      <c r="J140" t="s">
        <v>331</v>
      </c>
      <c r="K140" t="s">
        <v>332</v>
      </c>
      <c r="L140">
        <v>1346</v>
      </c>
      <c r="N140">
        <v>1009</v>
      </c>
      <c r="O140" t="s">
        <v>319</v>
      </c>
      <c r="P140" t="s">
        <v>319</v>
      </c>
      <c r="Q140">
        <v>1</v>
      </c>
      <c r="W140">
        <v>0</v>
      </c>
      <c r="X140">
        <v>-162217847</v>
      </c>
      <c r="Y140">
        <f>AT140</f>
        <v>10.3</v>
      </c>
      <c r="AA140">
        <v>20.190000000000001</v>
      </c>
      <c r="AB140">
        <v>0</v>
      </c>
      <c r="AC140">
        <v>0</v>
      </c>
      <c r="AD140">
        <v>0</v>
      </c>
      <c r="AE140">
        <v>20.190000000000001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10.3</v>
      </c>
      <c r="AU140" t="s">
        <v>3</v>
      </c>
      <c r="AV140">
        <v>0</v>
      </c>
      <c r="AW140">
        <v>2</v>
      </c>
      <c r="AX140">
        <v>59500116</v>
      </c>
      <c r="AY140">
        <v>1</v>
      </c>
      <c r="AZ140">
        <v>0</v>
      </c>
      <c r="BA140">
        <v>150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ROUND(Y140*Source!I350,9)</f>
        <v>0.26651249999999999</v>
      </c>
      <c r="CY140">
        <f>AA140</f>
        <v>20.190000000000001</v>
      </c>
      <c r="CZ140">
        <f>AE140</f>
        <v>20.190000000000001</v>
      </c>
      <c r="DA140">
        <f>AI140</f>
        <v>1</v>
      </c>
      <c r="DB140">
        <f>ROUND(ROUND(AT140*CZ140,2),6)</f>
        <v>207.96</v>
      </c>
      <c r="DC140">
        <f>ROUND(ROUND(AT140*AG140,2),6)</f>
        <v>0</v>
      </c>
      <c r="DD140" t="s">
        <v>3</v>
      </c>
      <c r="DE140" t="s">
        <v>3</v>
      </c>
      <c r="DF140">
        <f t="shared" si="19"/>
        <v>5.38</v>
      </c>
      <c r="DG140">
        <f t="shared" si="17"/>
        <v>0</v>
      </c>
      <c r="DH140">
        <f t="shared" si="18"/>
        <v>0</v>
      </c>
      <c r="DI140">
        <f t="shared" si="16"/>
        <v>0</v>
      </c>
      <c r="DJ140">
        <f>DF140</f>
        <v>5.38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ROW(Source!A350)</f>
        <v>350</v>
      </c>
      <c r="B141">
        <v>59499218</v>
      </c>
      <c r="C141">
        <v>59499879</v>
      </c>
      <c r="D141">
        <v>0</v>
      </c>
      <c r="E141">
        <v>1080</v>
      </c>
      <c r="F141">
        <v>1</v>
      </c>
      <c r="G141">
        <v>1080</v>
      </c>
      <c r="H141">
        <v>3</v>
      </c>
      <c r="I141" t="s">
        <v>259</v>
      </c>
      <c r="J141" t="s">
        <v>3</v>
      </c>
      <c r="K141" t="s">
        <v>260</v>
      </c>
      <c r="L141">
        <v>1354</v>
      </c>
      <c r="N141">
        <v>1010</v>
      </c>
      <c r="O141" t="s">
        <v>124</v>
      </c>
      <c r="P141" t="s">
        <v>124</v>
      </c>
      <c r="Q141">
        <v>1</v>
      </c>
      <c r="W141">
        <v>0</v>
      </c>
      <c r="X141">
        <v>-318600609</v>
      </c>
      <c r="Y141">
        <f>AT141</f>
        <v>1932.36715</v>
      </c>
      <c r="AA141">
        <v>34.590000000000003</v>
      </c>
      <c r="AB141">
        <v>0</v>
      </c>
      <c r="AC141">
        <v>0</v>
      </c>
      <c r="AD141">
        <v>0</v>
      </c>
      <c r="AE141">
        <v>34.589999999999996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 t="s">
        <v>3</v>
      </c>
      <c r="AT141">
        <v>1932.36715</v>
      </c>
      <c r="AU141" t="s">
        <v>3</v>
      </c>
      <c r="AV141">
        <v>0</v>
      </c>
      <c r="AW141">
        <v>1</v>
      </c>
      <c r="AX141">
        <v>-1</v>
      </c>
      <c r="AY141">
        <v>0</v>
      </c>
      <c r="AZ141">
        <v>0</v>
      </c>
      <c r="BA141" t="s">
        <v>3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ROUND(Y141*Source!I350,9)</f>
        <v>50.000000006</v>
      </c>
      <c r="CY141">
        <f>AA141</f>
        <v>34.590000000000003</v>
      </c>
      <c r="CZ141">
        <f>AE141</f>
        <v>34.589999999999996</v>
      </c>
      <c r="DA141">
        <f>AI141</f>
        <v>1</v>
      </c>
      <c r="DB141">
        <f>ROUND(ROUND(AT141*CZ141,2),6)</f>
        <v>66840.58</v>
      </c>
      <c r="DC141">
        <f>ROUND(ROUND(AT141*AG141,2),6)</f>
        <v>0</v>
      </c>
      <c r="DD141" t="s">
        <v>3</v>
      </c>
      <c r="DE141" t="s">
        <v>3</v>
      </c>
      <c r="DF141">
        <f t="shared" si="19"/>
        <v>1729.5</v>
      </c>
      <c r="DG141">
        <f t="shared" si="17"/>
        <v>0</v>
      </c>
      <c r="DH141">
        <f t="shared" si="18"/>
        <v>0</v>
      </c>
      <c r="DI141">
        <f t="shared" si="16"/>
        <v>0</v>
      </c>
      <c r="DJ141">
        <f>DF141</f>
        <v>1729.5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ROW(Source!A351)</f>
        <v>351</v>
      </c>
      <c r="B142">
        <v>59499215</v>
      </c>
      <c r="C142">
        <v>59499879</v>
      </c>
      <c r="D142">
        <v>58532980</v>
      </c>
      <c r="E142">
        <v>1080</v>
      </c>
      <c r="F142">
        <v>1</v>
      </c>
      <c r="G142">
        <v>1080</v>
      </c>
      <c r="H142">
        <v>1</v>
      </c>
      <c r="I142" t="s">
        <v>302</v>
      </c>
      <c r="J142" t="s">
        <v>3</v>
      </c>
      <c r="K142" t="s">
        <v>303</v>
      </c>
      <c r="L142">
        <v>1191</v>
      </c>
      <c r="N142">
        <v>1013</v>
      </c>
      <c r="O142" t="s">
        <v>304</v>
      </c>
      <c r="P142" t="s">
        <v>304</v>
      </c>
      <c r="Q142">
        <v>1</v>
      </c>
      <c r="W142">
        <v>0</v>
      </c>
      <c r="X142">
        <v>476480486</v>
      </c>
      <c r="Y142">
        <f>((AT142*1.15)*1.1)</f>
        <v>80.959999999999994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5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64</v>
      </c>
      <c r="AU142" t="s">
        <v>40</v>
      </c>
      <c r="AV142">
        <v>1</v>
      </c>
      <c r="AW142">
        <v>2</v>
      </c>
      <c r="AX142">
        <v>59500111</v>
      </c>
      <c r="AY142">
        <v>1</v>
      </c>
      <c r="AZ142">
        <v>0</v>
      </c>
      <c r="BA142">
        <v>152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U142">
        <f>ROUND(AT142*Source!I351*AH142*AL142,2)</f>
        <v>0</v>
      </c>
      <c r="CV142">
        <f>ROUND(Y142*Source!I351,9)</f>
        <v>2.09484</v>
      </c>
      <c r="CW142">
        <v>0</v>
      </c>
      <c r="CX142">
        <f>ROUND(Y142*Source!I351,9)</f>
        <v>2.09484</v>
      </c>
      <c r="CY142">
        <f>AD142</f>
        <v>0</v>
      </c>
      <c r="CZ142">
        <f>AH142</f>
        <v>0</v>
      </c>
      <c r="DA142">
        <f>AL142</f>
        <v>1</v>
      </c>
      <c r="DB142">
        <f>ROUND(((ROUND(AT142*CZ142,2)*1.15)*1.1),6)</f>
        <v>0</v>
      </c>
      <c r="DC142">
        <f>ROUND(((ROUND(AT142*AG142,2)*1.15)*1.1),6)</f>
        <v>0</v>
      </c>
      <c r="DD142" t="s">
        <v>3</v>
      </c>
      <c r="DE142" t="s">
        <v>3</v>
      </c>
      <c r="DF142">
        <f t="shared" si="19"/>
        <v>0</v>
      </c>
      <c r="DG142">
        <f t="shared" si="17"/>
        <v>0</v>
      </c>
      <c r="DH142">
        <f t="shared" si="18"/>
        <v>0</v>
      </c>
      <c r="DI142">
        <f t="shared" si="16"/>
        <v>0</v>
      </c>
      <c r="DJ142">
        <f>DI142</f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ROW(Source!A351)</f>
        <v>351</v>
      </c>
      <c r="B143">
        <v>59499215</v>
      </c>
      <c r="C143">
        <v>59499879</v>
      </c>
      <c r="D143">
        <v>58607154</v>
      </c>
      <c r="E143">
        <v>1</v>
      </c>
      <c r="F143">
        <v>1</v>
      </c>
      <c r="G143">
        <v>1080</v>
      </c>
      <c r="H143">
        <v>2</v>
      </c>
      <c r="I143" t="s">
        <v>308</v>
      </c>
      <c r="J143" t="s">
        <v>309</v>
      </c>
      <c r="K143" t="s">
        <v>310</v>
      </c>
      <c r="L143">
        <v>1368</v>
      </c>
      <c r="N143">
        <v>1011</v>
      </c>
      <c r="O143" t="s">
        <v>311</v>
      </c>
      <c r="P143" t="s">
        <v>311</v>
      </c>
      <c r="Q143">
        <v>1</v>
      </c>
      <c r="W143">
        <v>0</v>
      </c>
      <c r="X143">
        <v>-1985943078</v>
      </c>
      <c r="Y143">
        <f>((AT143*1.25)*1.1)</f>
        <v>9.6250000000000016E-2</v>
      </c>
      <c r="AA143">
        <v>0</v>
      </c>
      <c r="AB143">
        <v>1388.39</v>
      </c>
      <c r="AC143">
        <v>711.32</v>
      </c>
      <c r="AD143">
        <v>0</v>
      </c>
      <c r="AE143">
        <v>0</v>
      </c>
      <c r="AF143">
        <v>83.1</v>
      </c>
      <c r="AG143">
        <v>12.62</v>
      </c>
      <c r="AH143">
        <v>0</v>
      </c>
      <c r="AI143">
        <v>1</v>
      </c>
      <c r="AJ143">
        <v>16.3</v>
      </c>
      <c r="AK143">
        <v>54.99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7.0000000000000007E-2</v>
      </c>
      <c r="AU143" t="s">
        <v>39</v>
      </c>
      <c r="AV143">
        <v>0</v>
      </c>
      <c r="AW143">
        <v>2</v>
      </c>
      <c r="AX143">
        <v>59500112</v>
      </c>
      <c r="AY143">
        <v>1</v>
      </c>
      <c r="AZ143">
        <v>0</v>
      </c>
      <c r="BA143">
        <v>153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f>ROUND(Y143*Source!I351*DO143,9)</f>
        <v>3.1429716000000003E-2</v>
      </c>
      <c r="CX143">
        <f>ROUND(Y143*Source!I351,9)</f>
        <v>2.4904689999999999E-3</v>
      </c>
      <c r="CY143">
        <f>AB143</f>
        <v>1388.39</v>
      </c>
      <c r="CZ143">
        <f>AF143</f>
        <v>83.1</v>
      </c>
      <c r="DA143">
        <f>AJ143</f>
        <v>16.3</v>
      </c>
      <c r="DB143">
        <f>ROUND(((ROUND(AT143*CZ143,2)*1.25)*1.1),6)</f>
        <v>8.0024999999999995</v>
      </c>
      <c r="DC143">
        <f>ROUND(((ROUND(AT143*AG143,2)*1.25)*1.1),6)</f>
        <v>1.21</v>
      </c>
      <c r="DD143" t="s">
        <v>3</v>
      </c>
      <c r="DE143" t="s">
        <v>3</v>
      </c>
      <c r="DF143">
        <f t="shared" si="19"/>
        <v>0</v>
      </c>
      <c r="DG143">
        <f>ROUND(ROUND(AF143*AJ143,2)*CX143,2)</f>
        <v>3.37</v>
      </c>
      <c r="DH143">
        <f>ROUND(ROUND(AG143*AK143,2)*CX143,2)</f>
        <v>1.73</v>
      </c>
      <c r="DI143">
        <f t="shared" si="16"/>
        <v>0</v>
      </c>
      <c r="DJ143">
        <f>DG143</f>
        <v>3.37</v>
      </c>
      <c r="DK143">
        <v>0</v>
      </c>
      <c r="DL143" t="s">
        <v>312</v>
      </c>
      <c r="DM143">
        <v>0</v>
      </c>
      <c r="DN143" t="s">
        <v>304</v>
      </c>
      <c r="DO143">
        <v>12.62</v>
      </c>
    </row>
    <row r="144" spans="1:119" x14ac:dyDescent="0.2">
      <c r="A144">
        <f>ROW(Source!A351)</f>
        <v>351</v>
      </c>
      <c r="B144">
        <v>59499215</v>
      </c>
      <c r="C144">
        <v>59499879</v>
      </c>
      <c r="D144">
        <v>58575387</v>
      </c>
      <c r="E144">
        <v>1</v>
      </c>
      <c r="F144">
        <v>1</v>
      </c>
      <c r="G144">
        <v>1080</v>
      </c>
      <c r="H144">
        <v>3</v>
      </c>
      <c r="I144" t="s">
        <v>316</v>
      </c>
      <c r="J144" t="s">
        <v>317</v>
      </c>
      <c r="K144" t="s">
        <v>318</v>
      </c>
      <c r="L144">
        <v>1346</v>
      </c>
      <c r="N144">
        <v>1009</v>
      </c>
      <c r="O144" t="s">
        <v>319</v>
      </c>
      <c r="P144" t="s">
        <v>319</v>
      </c>
      <c r="Q144">
        <v>1</v>
      </c>
      <c r="W144">
        <v>0</v>
      </c>
      <c r="X144">
        <v>-709773495</v>
      </c>
      <c r="Y144">
        <f>AT144</f>
        <v>0.15</v>
      </c>
      <c r="AA144">
        <v>23.97</v>
      </c>
      <c r="AB144">
        <v>0</v>
      </c>
      <c r="AC144">
        <v>0</v>
      </c>
      <c r="AD144">
        <v>0</v>
      </c>
      <c r="AE144">
        <v>1.61</v>
      </c>
      <c r="AF144">
        <v>0</v>
      </c>
      <c r="AG144">
        <v>0</v>
      </c>
      <c r="AH144">
        <v>0</v>
      </c>
      <c r="AI144">
        <v>14.89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0.15</v>
      </c>
      <c r="AU144" t="s">
        <v>3</v>
      </c>
      <c r="AV144">
        <v>0</v>
      </c>
      <c r="AW144">
        <v>2</v>
      </c>
      <c r="AX144">
        <v>59500113</v>
      </c>
      <c r="AY144">
        <v>1</v>
      </c>
      <c r="AZ144">
        <v>0</v>
      </c>
      <c r="BA144">
        <v>154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ROUND(Y144*Source!I351,9)</f>
        <v>3.8812500000000002E-3</v>
      </c>
      <c r="CY144">
        <f>AA144</f>
        <v>23.97</v>
      </c>
      <c r="CZ144">
        <f>AE144</f>
        <v>1.61</v>
      </c>
      <c r="DA144">
        <f>AI144</f>
        <v>14.89</v>
      </c>
      <c r="DB144">
        <f>ROUND(ROUND(AT144*CZ144,2),6)</f>
        <v>0.24</v>
      </c>
      <c r="DC144">
        <f>ROUND(ROUND(AT144*AG144,2),6)</f>
        <v>0</v>
      </c>
      <c r="DD144" t="s">
        <v>3</v>
      </c>
      <c r="DE144" t="s">
        <v>3</v>
      </c>
      <c r="DF144">
        <f>ROUND(ROUND(AE144*AI144,2)*CX144,2)</f>
        <v>0.09</v>
      </c>
      <c r="DG144">
        <f t="shared" ref="DG144:DG156" si="20">ROUND(ROUND(AF144,2)*CX144,2)</f>
        <v>0</v>
      </c>
      <c r="DH144">
        <f t="shared" ref="DH144:DH156" si="21">ROUND(ROUND(AG144,2)*CX144,2)</f>
        <v>0</v>
      </c>
      <c r="DI144">
        <f t="shared" si="16"/>
        <v>0</v>
      </c>
      <c r="DJ144">
        <f>DF144</f>
        <v>0.09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ROW(Source!A351)</f>
        <v>351</v>
      </c>
      <c r="B145">
        <v>59499215</v>
      </c>
      <c r="C145">
        <v>59499879</v>
      </c>
      <c r="D145">
        <v>58576383</v>
      </c>
      <c r="E145">
        <v>1</v>
      </c>
      <c r="F145">
        <v>1</v>
      </c>
      <c r="G145">
        <v>1080</v>
      </c>
      <c r="H145">
        <v>3</v>
      </c>
      <c r="I145" t="s">
        <v>324</v>
      </c>
      <c r="J145" t="s">
        <v>325</v>
      </c>
      <c r="K145" t="s">
        <v>326</v>
      </c>
      <c r="L145">
        <v>1348</v>
      </c>
      <c r="N145">
        <v>1009</v>
      </c>
      <c r="O145" t="s">
        <v>242</v>
      </c>
      <c r="P145" t="s">
        <v>242</v>
      </c>
      <c r="Q145">
        <v>1000</v>
      </c>
      <c r="W145">
        <v>0</v>
      </c>
      <c r="X145">
        <v>-356009045</v>
      </c>
      <c r="Y145">
        <f>AT145</f>
        <v>5.0000000000000001E-3</v>
      </c>
      <c r="AA145">
        <v>23051.56</v>
      </c>
      <c r="AB145">
        <v>0</v>
      </c>
      <c r="AC145">
        <v>0</v>
      </c>
      <c r="AD145">
        <v>0</v>
      </c>
      <c r="AE145">
        <v>2271.09</v>
      </c>
      <c r="AF145">
        <v>0</v>
      </c>
      <c r="AG145">
        <v>0</v>
      </c>
      <c r="AH145">
        <v>0</v>
      </c>
      <c r="AI145">
        <v>10.15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5.0000000000000001E-3</v>
      </c>
      <c r="AU145" t="s">
        <v>3</v>
      </c>
      <c r="AV145">
        <v>0</v>
      </c>
      <c r="AW145">
        <v>2</v>
      </c>
      <c r="AX145">
        <v>59500114</v>
      </c>
      <c r="AY145">
        <v>1</v>
      </c>
      <c r="AZ145">
        <v>0</v>
      </c>
      <c r="BA145">
        <v>155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ROUND(Y145*Source!I351,9)</f>
        <v>1.2937499999999999E-4</v>
      </c>
      <c r="CY145">
        <f>AA145</f>
        <v>23051.56</v>
      </c>
      <c r="CZ145">
        <f>AE145</f>
        <v>2271.09</v>
      </c>
      <c r="DA145">
        <f>AI145</f>
        <v>10.15</v>
      </c>
      <c r="DB145">
        <f>ROUND(ROUND(AT145*CZ145,2),6)</f>
        <v>11.36</v>
      </c>
      <c r="DC145">
        <f>ROUND(ROUND(AT145*AG145,2),6)</f>
        <v>0</v>
      </c>
      <c r="DD145" t="s">
        <v>3</v>
      </c>
      <c r="DE145" t="s">
        <v>3</v>
      </c>
      <c r="DF145">
        <f>ROUND(ROUND(AE145*AI145,2)*CX145,2)</f>
        <v>2.98</v>
      </c>
      <c r="DG145">
        <f t="shared" si="20"/>
        <v>0</v>
      </c>
      <c r="DH145">
        <f t="shared" si="21"/>
        <v>0</v>
      </c>
      <c r="DI145">
        <f t="shared" si="16"/>
        <v>0</v>
      </c>
      <c r="DJ145">
        <f>DF145</f>
        <v>2.98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ROW(Source!A351)</f>
        <v>351</v>
      </c>
      <c r="B146">
        <v>59499215</v>
      </c>
      <c r="C146">
        <v>59499879</v>
      </c>
      <c r="D146">
        <v>58575656</v>
      </c>
      <c r="E146">
        <v>1</v>
      </c>
      <c r="F146">
        <v>1</v>
      </c>
      <c r="G146">
        <v>1080</v>
      </c>
      <c r="H146">
        <v>3</v>
      </c>
      <c r="I146" t="s">
        <v>327</v>
      </c>
      <c r="J146" t="s">
        <v>328</v>
      </c>
      <c r="K146" t="s">
        <v>329</v>
      </c>
      <c r="L146">
        <v>1348</v>
      </c>
      <c r="N146">
        <v>1009</v>
      </c>
      <c r="O146" t="s">
        <v>242</v>
      </c>
      <c r="P146" t="s">
        <v>242</v>
      </c>
      <c r="Q146">
        <v>1000</v>
      </c>
      <c r="W146">
        <v>0</v>
      </c>
      <c r="X146">
        <v>1181594054</v>
      </c>
      <c r="Y146">
        <f>AT146</f>
        <v>2.6700000000000002E-2</v>
      </c>
      <c r="AA146">
        <v>83201.899999999994</v>
      </c>
      <c r="AB146">
        <v>0</v>
      </c>
      <c r="AC146">
        <v>0</v>
      </c>
      <c r="AD146">
        <v>0</v>
      </c>
      <c r="AE146">
        <v>32000.73</v>
      </c>
      <c r="AF146">
        <v>0</v>
      </c>
      <c r="AG146">
        <v>0</v>
      </c>
      <c r="AH146">
        <v>0</v>
      </c>
      <c r="AI146">
        <v>2.6</v>
      </c>
      <c r="AJ146">
        <v>1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2.6700000000000002E-2</v>
      </c>
      <c r="AU146" t="s">
        <v>3</v>
      </c>
      <c r="AV146">
        <v>0</v>
      </c>
      <c r="AW146">
        <v>2</v>
      </c>
      <c r="AX146">
        <v>59500115</v>
      </c>
      <c r="AY146">
        <v>1</v>
      </c>
      <c r="AZ146">
        <v>0</v>
      </c>
      <c r="BA146">
        <v>156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ROUND(Y146*Source!I351,9)</f>
        <v>6.90863E-4</v>
      </c>
      <c r="CY146">
        <f>AA146</f>
        <v>83201.899999999994</v>
      </c>
      <c r="CZ146">
        <f>AE146</f>
        <v>32000.73</v>
      </c>
      <c r="DA146">
        <f>AI146</f>
        <v>2.6</v>
      </c>
      <c r="DB146">
        <f>ROUND(ROUND(AT146*CZ146,2),6)</f>
        <v>854.42</v>
      </c>
      <c r="DC146">
        <f>ROUND(ROUND(AT146*AG146,2),6)</f>
        <v>0</v>
      </c>
      <c r="DD146" t="s">
        <v>3</v>
      </c>
      <c r="DE146" t="s">
        <v>3</v>
      </c>
      <c r="DF146">
        <f>ROUND(ROUND(AE146*AI146,2)*CX146,2)</f>
        <v>57.48</v>
      </c>
      <c r="DG146">
        <f t="shared" si="20"/>
        <v>0</v>
      </c>
      <c r="DH146">
        <f t="shared" si="21"/>
        <v>0</v>
      </c>
      <c r="DI146">
        <f t="shared" si="16"/>
        <v>0</v>
      </c>
      <c r="DJ146">
        <f>DF146</f>
        <v>57.48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ROW(Source!A351)</f>
        <v>351</v>
      </c>
      <c r="B147">
        <v>59499215</v>
      </c>
      <c r="C147">
        <v>59499879</v>
      </c>
      <c r="D147">
        <v>58575830</v>
      </c>
      <c r="E147">
        <v>1</v>
      </c>
      <c r="F147">
        <v>1</v>
      </c>
      <c r="G147">
        <v>1080</v>
      </c>
      <c r="H147">
        <v>3</v>
      </c>
      <c r="I147" t="s">
        <v>330</v>
      </c>
      <c r="J147" t="s">
        <v>331</v>
      </c>
      <c r="K147" t="s">
        <v>332</v>
      </c>
      <c r="L147">
        <v>1346</v>
      </c>
      <c r="N147">
        <v>1009</v>
      </c>
      <c r="O147" t="s">
        <v>319</v>
      </c>
      <c r="P147" t="s">
        <v>319</v>
      </c>
      <c r="Q147">
        <v>1</v>
      </c>
      <c r="W147">
        <v>0</v>
      </c>
      <c r="X147">
        <v>-162217847</v>
      </c>
      <c r="Y147">
        <f>AT147</f>
        <v>10.3</v>
      </c>
      <c r="AA147">
        <v>150.41999999999999</v>
      </c>
      <c r="AB147">
        <v>0</v>
      </c>
      <c r="AC147">
        <v>0</v>
      </c>
      <c r="AD147">
        <v>0</v>
      </c>
      <c r="AE147">
        <v>20.190000000000001</v>
      </c>
      <c r="AF147">
        <v>0</v>
      </c>
      <c r="AG147">
        <v>0</v>
      </c>
      <c r="AH147">
        <v>0</v>
      </c>
      <c r="AI147">
        <v>7.45</v>
      </c>
      <c r="AJ147">
        <v>1</v>
      </c>
      <c r="AK147">
        <v>1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10.3</v>
      </c>
      <c r="AU147" t="s">
        <v>3</v>
      </c>
      <c r="AV147">
        <v>0</v>
      </c>
      <c r="AW147">
        <v>2</v>
      </c>
      <c r="AX147">
        <v>59500116</v>
      </c>
      <c r="AY147">
        <v>1</v>
      </c>
      <c r="AZ147">
        <v>0</v>
      </c>
      <c r="BA147">
        <v>157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ROUND(Y147*Source!I351,9)</f>
        <v>0.26651249999999999</v>
      </c>
      <c r="CY147">
        <f>AA147</f>
        <v>150.41999999999999</v>
      </c>
      <c r="CZ147">
        <f>AE147</f>
        <v>20.190000000000001</v>
      </c>
      <c r="DA147">
        <f>AI147</f>
        <v>7.45</v>
      </c>
      <c r="DB147">
        <f>ROUND(ROUND(AT147*CZ147,2),6)</f>
        <v>207.96</v>
      </c>
      <c r="DC147">
        <f>ROUND(ROUND(AT147*AG147,2),6)</f>
        <v>0</v>
      </c>
      <c r="DD147" t="s">
        <v>3</v>
      </c>
      <c r="DE147" t="s">
        <v>3</v>
      </c>
      <c r="DF147">
        <f>ROUND(ROUND(AE147*AI147,2)*CX147,2)</f>
        <v>40.090000000000003</v>
      </c>
      <c r="DG147">
        <f t="shared" si="20"/>
        <v>0</v>
      </c>
      <c r="DH147">
        <f t="shared" si="21"/>
        <v>0</v>
      </c>
      <c r="DI147">
        <f t="shared" si="16"/>
        <v>0</v>
      </c>
      <c r="DJ147">
        <f>DF147</f>
        <v>40.090000000000003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ROW(Source!A351)</f>
        <v>351</v>
      </c>
      <c r="B148">
        <v>59499215</v>
      </c>
      <c r="C148">
        <v>59499879</v>
      </c>
      <c r="D148">
        <v>0</v>
      </c>
      <c r="E148">
        <v>1080</v>
      </c>
      <c r="F148">
        <v>1</v>
      </c>
      <c r="G148">
        <v>1080</v>
      </c>
      <c r="H148">
        <v>3</v>
      </c>
      <c r="I148" t="s">
        <v>259</v>
      </c>
      <c r="J148" t="s">
        <v>3</v>
      </c>
      <c r="K148" t="s">
        <v>260</v>
      </c>
      <c r="L148">
        <v>1354</v>
      </c>
      <c r="N148">
        <v>1010</v>
      </c>
      <c r="O148" t="s">
        <v>124</v>
      </c>
      <c r="P148" t="s">
        <v>124</v>
      </c>
      <c r="Q148">
        <v>1</v>
      </c>
      <c r="W148">
        <v>0</v>
      </c>
      <c r="X148">
        <v>-318600609</v>
      </c>
      <c r="Y148">
        <f>AT148</f>
        <v>1932.36715</v>
      </c>
      <c r="AA148">
        <v>341.75</v>
      </c>
      <c r="AB148">
        <v>0</v>
      </c>
      <c r="AC148">
        <v>0</v>
      </c>
      <c r="AD148">
        <v>0</v>
      </c>
      <c r="AE148">
        <v>34.589999999999996</v>
      </c>
      <c r="AF148">
        <v>0</v>
      </c>
      <c r="AG148">
        <v>0</v>
      </c>
      <c r="AH148">
        <v>0</v>
      </c>
      <c r="AI148">
        <v>9.8800000000000008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 t="s">
        <v>3</v>
      </c>
      <c r="AT148">
        <v>1932.36715</v>
      </c>
      <c r="AU148" t="s">
        <v>3</v>
      </c>
      <c r="AV148">
        <v>0</v>
      </c>
      <c r="AW148">
        <v>1</v>
      </c>
      <c r="AX148">
        <v>-1</v>
      </c>
      <c r="AY148">
        <v>0</v>
      </c>
      <c r="AZ148">
        <v>0</v>
      </c>
      <c r="BA148" t="s">
        <v>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ROUND(Y148*Source!I351,9)</f>
        <v>50.000000006</v>
      </c>
      <c r="CY148">
        <f>AA148</f>
        <v>341.75</v>
      </c>
      <c r="CZ148">
        <f>AE148</f>
        <v>34.589999999999996</v>
      </c>
      <c r="DA148">
        <f>AI148</f>
        <v>9.8800000000000008</v>
      </c>
      <c r="DB148">
        <f>ROUND(ROUND(AT148*CZ148,2),6)</f>
        <v>66840.58</v>
      </c>
      <c r="DC148">
        <f>ROUND(ROUND(AT148*AG148,2),6)</f>
        <v>0</v>
      </c>
      <c r="DD148" t="s">
        <v>3</v>
      </c>
      <c r="DE148" t="s">
        <v>3</v>
      </c>
      <c r="DF148">
        <f>ROUND(ROUND(AE148*AI148,2)*CX148,2)</f>
        <v>17087.5</v>
      </c>
      <c r="DG148">
        <f t="shared" si="20"/>
        <v>0</v>
      </c>
      <c r="DH148">
        <f t="shared" si="21"/>
        <v>0</v>
      </c>
      <c r="DI148">
        <f t="shared" si="16"/>
        <v>0</v>
      </c>
      <c r="DJ148">
        <f>DF148</f>
        <v>17087.5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ROW(Source!A389)</f>
        <v>389</v>
      </c>
      <c r="B149">
        <v>59499218</v>
      </c>
      <c r="C149">
        <v>59499951</v>
      </c>
      <c r="D149">
        <v>58532980</v>
      </c>
      <c r="E149">
        <v>1080</v>
      </c>
      <c r="F149">
        <v>1</v>
      </c>
      <c r="G149">
        <v>1080</v>
      </c>
      <c r="H149">
        <v>1</v>
      </c>
      <c r="I149" t="s">
        <v>302</v>
      </c>
      <c r="J149" t="s">
        <v>3</v>
      </c>
      <c r="K149" t="s">
        <v>303</v>
      </c>
      <c r="L149">
        <v>1191</v>
      </c>
      <c r="N149">
        <v>1013</v>
      </c>
      <c r="O149" t="s">
        <v>304</v>
      </c>
      <c r="P149" t="s">
        <v>304</v>
      </c>
      <c r="Q149">
        <v>1</v>
      </c>
      <c r="W149">
        <v>0</v>
      </c>
      <c r="X149">
        <v>476480486</v>
      </c>
      <c r="Y149">
        <f>((AT149*1.15)*1.1)</f>
        <v>21.049600000000002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16.64</v>
      </c>
      <c r="AU149" t="s">
        <v>40</v>
      </c>
      <c r="AV149">
        <v>1</v>
      </c>
      <c r="AW149">
        <v>2</v>
      </c>
      <c r="AX149">
        <v>59500118</v>
      </c>
      <c r="AY149">
        <v>1</v>
      </c>
      <c r="AZ149">
        <v>0</v>
      </c>
      <c r="BA149">
        <v>159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U149">
        <f>ROUND(AT149*Source!I389*AH149*AL149,2)</f>
        <v>0</v>
      </c>
      <c r="CV149">
        <f>ROUND(Y149*Source!I389,9)</f>
        <v>11.191019839999999</v>
      </c>
      <c r="CW149">
        <v>0</v>
      </c>
      <c r="CX149">
        <f>ROUND(Y149*Source!I389,9)</f>
        <v>11.191019839999999</v>
      </c>
      <c r="CY149">
        <f>AD149</f>
        <v>0</v>
      </c>
      <c r="CZ149">
        <f>AH149</f>
        <v>0</v>
      </c>
      <c r="DA149">
        <f>AL149</f>
        <v>1</v>
      </c>
      <c r="DB149">
        <f>ROUND(((ROUND(AT149*CZ149,2)*1.15)*1.1),6)</f>
        <v>0</v>
      </c>
      <c r="DC149">
        <f>ROUND(((ROUND(AT149*AG149,2)*1.15)*1.1),6)</f>
        <v>0</v>
      </c>
      <c r="DD149" t="s">
        <v>3</v>
      </c>
      <c r="DE149" t="s">
        <v>3</v>
      </c>
      <c r="DF149">
        <f t="shared" ref="DF149:DF160" si="22">ROUND(ROUND(AE149,2)*CX149,2)</f>
        <v>0</v>
      </c>
      <c r="DG149">
        <f t="shared" si="20"/>
        <v>0</v>
      </c>
      <c r="DH149">
        <f t="shared" si="21"/>
        <v>0</v>
      </c>
      <c r="DI149">
        <f t="shared" si="16"/>
        <v>0</v>
      </c>
      <c r="DJ149">
        <f>DI149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ROW(Source!A389)</f>
        <v>389</v>
      </c>
      <c r="B150">
        <v>59499218</v>
      </c>
      <c r="C150">
        <v>59499951</v>
      </c>
      <c r="D150">
        <v>58607154</v>
      </c>
      <c r="E150">
        <v>1</v>
      </c>
      <c r="F150">
        <v>1</v>
      </c>
      <c r="G150">
        <v>1080</v>
      </c>
      <c r="H150">
        <v>2</v>
      </c>
      <c r="I150" t="s">
        <v>308</v>
      </c>
      <c r="J150" t="s">
        <v>309</v>
      </c>
      <c r="K150" t="s">
        <v>310</v>
      </c>
      <c r="L150">
        <v>1368</v>
      </c>
      <c r="N150">
        <v>1011</v>
      </c>
      <c r="O150" t="s">
        <v>311</v>
      </c>
      <c r="P150" t="s">
        <v>311</v>
      </c>
      <c r="Q150">
        <v>1</v>
      </c>
      <c r="W150">
        <v>0</v>
      </c>
      <c r="X150">
        <v>-1985943078</v>
      </c>
      <c r="Y150">
        <f>((AT150*1.25)*1.1)</f>
        <v>2.7500000000000004E-2</v>
      </c>
      <c r="AA150">
        <v>0</v>
      </c>
      <c r="AB150">
        <v>87.01</v>
      </c>
      <c r="AC150">
        <v>13.21</v>
      </c>
      <c r="AD150">
        <v>0</v>
      </c>
      <c r="AE150">
        <v>0</v>
      </c>
      <c r="AF150">
        <v>83.1</v>
      </c>
      <c r="AG150">
        <v>12.62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0.02</v>
      </c>
      <c r="AU150" t="s">
        <v>39</v>
      </c>
      <c r="AV150">
        <v>0</v>
      </c>
      <c r="AW150">
        <v>2</v>
      </c>
      <c r="AX150">
        <v>59500119</v>
      </c>
      <c r="AY150">
        <v>1</v>
      </c>
      <c r="AZ150">
        <v>0</v>
      </c>
      <c r="BA150">
        <v>160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f>ROUND(Y150*Source!I389*DO150,9)</f>
        <v>0.18450913299999999</v>
      </c>
      <c r="CX150">
        <f>ROUND(Y150*Source!I389,9)</f>
        <v>1.4620375E-2</v>
      </c>
      <c r="CY150">
        <f>AB150</f>
        <v>87.01</v>
      </c>
      <c r="CZ150">
        <f>AF150</f>
        <v>83.1</v>
      </c>
      <c r="DA150">
        <f>AJ150</f>
        <v>1</v>
      </c>
      <c r="DB150">
        <f>ROUND(((ROUND(AT150*CZ150,2)*1.25)*1.1),6)</f>
        <v>2.2825000000000002</v>
      </c>
      <c r="DC150">
        <f>ROUND(((ROUND(AT150*AG150,2)*1.25)*1.1),6)</f>
        <v>0.34375</v>
      </c>
      <c r="DD150" t="s">
        <v>3</v>
      </c>
      <c r="DE150" t="s">
        <v>3</v>
      </c>
      <c r="DF150">
        <f t="shared" si="22"/>
        <v>0</v>
      </c>
      <c r="DG150">
        <f t="shared" si="20"/>
        <v>1.21</v>
      </c>
      <c r="DH150">
        <f t="shared" si="21"/>
        <v>0.18</v>
      </c>
      <c r="DI150">
        <f t="shared" si="16"/>
        <v>0</v>
      </c>
      <c r="DJ150">
        <f>DG150</f>
        <v>1.21</v>
      </c>
      <c r="DK150">
        <v>0</v>
      </c>
      <c r="DL150" t="s">
        <v>312</v>
      </c>
      <c r="DM150">
        <v>0</v>
      </c>
      <c r="DN150" t="s">
        <v>304</v>
      </c>
      <c r="DO150">
        <v>12.62</v>
      </c>
    </row>
    <row r="151" spans="1:119" x14ac:dyDescent="0.2">
      <c r="A151">
        <f>ROW(Source!A389)</f>
        <v>389</v>
      </c>
      <c r="B151">
        <v>59499218</v>
      </c>
      <c r="C151">
        <v>59499951</v>
      </c>
      <c r="D151">
        <v>58607273</v>
      </c>
      <c r="E151">
        <v>1</v>
      </c>
      <c r="F151">
        <v>1</v>
      </c>
      <c r="G151">
        <v>1080</v>
      </c>
      <c r="H151">
        <v>2</v>
      </c>
      <c r="I151" t="s">
        <v>313</v>
      </c>
      <c r="J151" t="s">
        <v>314</v>
      </c>
      <c r="K151" t="s">
        <v>315</v>
      </c>
      <c r="L151">
        <v>1368</v>
      </c>
      <c r="N151">
        <v>1011</v>
      </c>
      <c r="O151" t="s">
        <v>311</v>
      </c>
      <c r="P151" t="s">
        <v>311</v>
      </c>
      <c r="Q151">
        <v>1</v>
      </c>
      <c r="W151">
        <v>0</v>
      </c>
      <c r="X151">
        <v>2147454900</v>
      </c>
      <c r="Y151">
        <f>((AT151*1.25)*1.1)</f>
        <v>5.8987500000000006</v>
      </c>
      <c r="AA151">
        <v>0</v>
      </c>
      <c r="AB151">
        <v>0.84</v>
      </c>
      <c r="AC151">
        <v>0</v>
      </c>
      <c r="AD151">
        <v>0</v>
      </c>
      <c r="AE151">
        <v>0</v>
      </c>
      <c r="AF151">
        <v>0.8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4.29</v>
      </c>
      <c r="AU151" t="s">
        <v>39</v>
      </c>
      <c r="AV151">
        <v>0</v>
      </c>
      <c r="AW151">
        <v>2</v>
      </c>
      <c r="AX151">
        <v>59500120</v>
      </c>
      <c r="AY151">
        <v>1</v>
      </c>
      <c r="AZ151">
        <v>0</v>
      </c>
      <c r="BA151">
        <v>161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f>ROUND(Y151*Source!I389*DO151,9)</f>
        <v>0</v>
      </c>
      <c r="CX151">
        <f>ROUND(Y151*Source!I389,9)</f>
        <v>3.136070438</v>
      </c>
      <c r="CY151">
        <f>AB151</f>
        <v>0.84</v>
      </c>
      <c r="CZ151">
        <f>AF151</f>
        <v>0.8</v>
      </c>
      <c r="DA151">
        <f>AJ151</f>
        <v>1</v>
      </c>
      <c r="DB151">
        <f>ROUND(((ROUND(AT151*CZ151,2)*1.25)*1.1),6)</f>
        <v>4.7162499999999996</v>
      </c>
      <c r="DC151">
        <f>ROUND(((ROUND(AT151*AG151,2)*1.25)*1.1),6)</f>
        <v>0</v>
      </c>
      <c r="DD151" t="s">
        <v>3</v>
      </c>
      <c r="DE151" t="s">
        <v>3</v>
      </c>
      <c r="DF151">
        <f t="shared" si="22"/>
        <v>0</v>
      </c>
      <c r="DG151">
        <f t="shared" si="20"/>
        <v>2.5099999999999998</v>
      </c>
      <c r="DH151">
        <f t="shared" si="21"/>
        <v>0</v>
      </c>
      <c r="DI151">
        <f t="shared" si="16"/>
        <v>0</v>
      </c>
      <c r="DJ151">
        <f>DG151</f>
        <v>2.5099999999999998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ROW(Source!A389)</f>
        <v>389</v>
      </c>
      <c r="B152">
        <v>59499218</v>
      </c>
      <c r="C152">
        <v>59499951</v>
      </c>
      <c r="D152">
        <v>58607220</v>
      </c>
      <c r="E152">
        <v>1</v>
      </c>
      <c r="F152">
        <v>1</v>
      </c>
      <c r="G152">
        <v>1080</v>
      </c>
      <c r="H152">
        <v>2</v>
      </c>
      <c r="I152" t="s">
        <v>333</v>
      </c>
      <c r="J152" t="s">
        <v>334</v>
      </c>
      <c r="K152" t="s">
        <v>335</v>
      </c>
      <c r="L152">
        <v>1368</v>
      </c>
      <c r="N152">
        <v>1011</v>
      </c>
      <c r="O152" t="s">
        <v>311</v>
      </c>
      <c r="P152" t="s">
        <v>311</v>
      </c>
      <c r="Q152">
        <v>1</v>
      </c>
      <c r="W152">
        <v>0</v>
      </c>
      <c r="X152">
        <v>-1745985500</v>
      </c>
      <c r="Y152">
        <f>((AT152*1.25)*1.1)</f>
        <v>0.495</v>
      </c>
      <c r="AA152">
        <v>0</v>
      </c>
      <c r="AB152">
        <v>0.38</v>
      </c>
      <c r="AC152">
        <v>0</v>
      </c>
      <c r="AD152">
        <v>0</v>
      </c>
      <c r="AE152">
        <v>0</v>
      </c>
      <c r="AF152">
        <v>0.36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0.36</v>
      </c>
      <c r="AU152" t="s">
        <v>39</v>
      </c>
      <c r="AV152">
        <v>0</v>
      </c>
      <c r="AW152">
        <v>2</v>
      </c>
      <c r="AX152">
        <v>59500121</v>
      </c>
      <c r="AY152">
        <v>1</v>
      </c>
      <c r="AZ152">
        <v>0</v>
      </c>
      <c r="BA152">
        <v>162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ROUND(Y152*Source!I389*DO152,9)</f>
        <v>0</v>
      </c>
      <c r="CX152">
        <f>ROUND(Y152*Source!I389,9)</f>
        <v>0.26316675</v>
      </c>
      <c r="CY152">
        <f>AB152</f>
        <v>0.38</v>
      </c>
      <c r="CZ152">
        <f>AF152</f>
        <v>0.36</v>
      </c>
      <c r="DA152">
        <f>AJ152</f>
        <v>1</v>
      </c>
      <c r="DB152">
        <f>ROUND(((ROUND(AT152*CZ152,2)*1.25)*1.1),6)</f>
        <v>0.17874999999999999</v>
      </c>
      <c r="DC152">
        <f>ROUND(((ROUND(AT152*AG152,2)*1.25)*1.1),6)</f>
        <v>0</v>
      </c>
      <c r="DD152" t="s">
        <v>3</v>
      </c>
      <c r="DE152" t="s">
        <v>3</v>
      </c>
      <c r="DF152">
        <f t="shared" si="22"/>
        <v>0</v>
      </c>
      <c r="DG152">
        <f t="shared" si="20"/>
        <v>0.09</v>
      </c>
      <c r="DH152">
        <f t="shared" si="21"/>
        <v>0</v>
      </c>
      <c r="DI152">
        <f t="shared" si="16"/>
        <v>0</v>
      </c>
      <c r="DJ152">
        <f>DG152</f>
        <v>0.09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ROW(Source!A389)</f>
        <v>389</v>
      </c>
      <c r="B153">
        <v>59499218</v>
      </c>
      <c r="C153">
        <v>59499951</v>
      </c>
      <c r="D153">
        <v>58607239</v>
      </c>
      <c r="E153">
        <v>1</v>
      </c>
      <c r="F153">
        <v>1</v>
      </c>
      <c r="G153">
        <v>1080</v>
      </c>
      <c r="H153">
        <v>2</v>
      </c>
      <c r="I153" t="s">
        <v>336</v>
      </c>
      <c r="J153" t="s">
        <v>337</v>
      </c>
      <c r="K153" t="s">
        <v>338</v>
      </c>
      <c r="L153">
        <v>1368</v>
      </c>
      <c r="N153">
        <v>1011</v>
      </c>
      <c r="O153" t="s">
        <v>311</v>
      </c>
      <c r="P153" t="s">
        <v>311</v>
      </c>
      <c r="Q153">
        <v>1</v>
      </c>
      <c r="W153">
        <v>0</v>
      </c>
      <c r="X153">
        <v>1645565003</v>
      </c>
      <c r="Y153">
        <f>((AT153*1.25)*1.1)</f>
        <v>8.0300000000000011</v>
      </c>
      <c r="AA153">
        <v>0</v>
      </c>
      <c r="AB153">
        <v>0.49</v>
      </c>
      <c r="AC153">
        <v>0</v>
      </c>
      <c r="AD153">
        <v>0</v>
      </c>
      <c r="AE153">
        <v>0</v>
      </c>
      <c r="AF153">
        <v>0.47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5.84</v>
      </c>
      <c r="AU153" t="s">
        <v>39</v>
      </c>
      <c r="AV153">
        <v>0</v>
      </c>
      <c r="AW153">
        <v>2</v>
      </c>
      <c r="AX153">
        <v>59500122</v>
      </c>
      <c r="AY153">
        <v>1</v>
      </c>
      <c r="AZ153">
        <v>0</v>
      </c>
      <c r="BA153">
        <v>163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f>ROUND(Y153*Source!I389*DO153,9)</f>
        <v>0</v>
      </c>
      <c r="CX153">
        <f>ROUND(Y153*Source!I389,9)</f>
        <v>4.2691495000000002</v>
      </c>
      <c r="CY153">
        <f>AB153</f>
        <v>0.49</v>
      </c>
      <c r="CZ153">
        <f>AF153</f>
        <v>0.47</v>
      </c>
      <c r="DA153">
        <f>AJ153</f>
        <v>1</v>
      </c>
      <c r="DB153">
        <f>ROUND(((ROUND(AT153*CZ153,2)*1.25)*1.1),6)</f>
        <v>3.7675000000000001</v>
      </c>
      <c r="DC153">
        <f>ROUND(((ROUND(AT153*AG153,2)*1.25)*1.1),6)</f>
        <v>0</v>
      </c>
      <c r="DD153" t="s">
        <v>3</v>
      </c>
      <c r="DE153" t="s">
        <v>3</v>
      </c>
      <c r="DF153">
        <f t="shared" si="22"/>
        <v>0</v>
      </c>
      <c r="DG153">
        <f t="shared" si="20"/>
        <v>2.0099999999999998</v>
      </c>
      <c r="DH153">
        <f t="shared" si="21"/>
        <v>0</v>
      </c>
      <c r="DI153">
        <f t="shared" si="16"/>
        <v>0</v>
      </c>
      <c r="DJ153">
        <f>DG153</f>
        <v>2.0099999999999998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ROW(Source!A389)</f>
        <v>389</v>
      </c>
      <c r="B154">
        <v>59499218</v>
      </c>
      <c r="C154">
        <v>59499951</v>
      </c>
      <c r="D154">
        <v>58575388</v>
      </c>
      <c r="E154">
        <v>1</v>
      </c>
      <c r="F154">
        <v>1</v>
      </c>
      <c r="G154">
        <v>1080</v>
      </c>
      <c r="H154">
        <v>3</v>
      </c>
      <c r="I154" t="s">
        <v>339</v>
      </c>
      <c r="J154" t="s">
        <v>340</v>
      </c>
      <c r="K154" t="s">
        <v>341</v>
      </c>
      <c r="L154">
        <v>1346</v>
      </c>
      <c r="N154">
        <v>1009</v>
      </c>
      <c r="O154" t="s">
        <v>319</v>
      </c>
      <c r="P154" t="s">
        <v>319</v>
      </c>
      <c r="Q154">
        <v>1</v>
      </c>
      <c r="W154">
        <v>0</v>
      </c>
      <c r="X154">
        <v>1706448463</v>
      </c>
      <c r="Y154">
        <f>AT154</f>
        <v>0.94</v>
      </c>
      <c r="AA154">
        <v>48.14</v>
      </c>
      <c r="AB154">
        <v>0</v>
      </c>
      <c r="AC154">
        <v>0</v>
      </c>
      <c r="AD154">
        <v>0</v>
      </c>
      <c r="AE154">
        <v>48.14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0.94</v>
      </c>
      <c r="AU154" t="s">
        <v>3</v>
      </c>
      <c r="AV154">
        <v>0</v>
      </c>
      <c r="AW154">
        <v>2</v>
      </c>
      <c r="AX154">
        <v>59500123</v>
      </c>
      <c r="AY154">
        <v>1</v>
      </c>
      <c r="AZ154">
        <v>0</v>
      </c>
      <c r="BA154">
        <v>164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ROUND(Y154*Source!I389,9)</f>
        <v>0.499751</v>
      </c>
      <c r="CY154">
        <f>AA154</f>
        <v>48.14</v>
      </c>
      <c r="CZ154">
        <f>AE154</f>
        <v>48.14</v>
      </c>
      <c r="DA154">
        <f>AI154</f>
        <v>1</v>
      </c>
      <c r="DB154">
        <f>ROUND(ROUND(AT154*CZ154,2),6)</f>
        <v>45.25</v>
      </c>
      <c r="DC154">
        <f>ROUND(ROUND(AT154*AG154,2),6)</f>
        <v>0</v>
      </c>
      <c r="DD154" t="s">
        <v>3</v>
      </c>
      <c r="DE154" t="s">
        <v>3</v>
      </c>
      <c r="DF154">
        <f t="shared" si="22"/>
        <v>24.06</v>
      </c>
      <c r="DG154">
        <f t="shared" si="20"/>
        <v>0</v>
      </c>
      <c r="DH154">
        <f t="shared" si="21"/>
        <v>0</v>
      </c>
      <c r="DI154">
        <f t="shared" si="16"/>
        <v>0</v>
      </c>
      <c r="DJ154">
        <f>DF154</f>
        <v>24.06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ROW(Source!A389)</f>
        <v>389</v>
      </c>
      <c r="B155">
        <v>59499218</v>
      </c>
      <c r="C155">
        <v>59499951</v>
      </c>
      <c r="D155">
        <v>0</v>
      </c>
      <c r="E155">
        <v>1080</v>
      </c>
      <c r="F155">
        <v>1</v>
      </c>
      <c r="G155">
        <v>1080</v>
      </c>
      <c r="H155">
        <v>3</v>
      </c>
      <c r="I155" t="s">
        <v>271</v>
      </c>
      <c r="J155" t="s">
        <v>3</v>
      </c>
      <c r="K155" t="s">
        <v>272</v>
      </c>
      <c r="L155">
        <v>1354</v>
      </c>
      <c r="N155">
        <v>1010</v>
      </c>
      <c r="O155" t="s">
        <v>124</v>
      </c>
      <c r="P155" t="s">
        <v>124</v>
      </c>
      <c r="Q155">
        <v>1</v>
      </c>
      <c r="W155">
        <v>0</v>
      </c>
      <c r="X155">
        <v>774737074</v>
      </c>
      <c r="Y155">
        <f>AT155</f>
        <v>2857.1428571400002</v>
      </c>
      <c r="AA155">
        <v>9.7200000000000006</v>
      </c>
      <c r="AB155">
        <v>0</v>
      </c>
      <c r="AC155">
        <v>0</v>
      </c>
      <c r="AD155">
        <v>0</v>
      </c>
      <c r="AE155">
        <v>9.7199999999999989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 t="s">
        <v>3</v>
      </c>
      <c r="AT155">
        <v>2857.1428571400002</v>
      </c>
      <c r="AU155" t="s">
        <v>3</v>
      </c>
      <c r="AV155">
        <v>0</v>
      </c>
      <c r="AW155">
        <v>1</v>
      </c>
      <c r="AX155">
        <v>-1</v>
      </c>
      <c r="AY155">
        <v>0</v>
      </c>
      <c r="AZ155">
        <v>0</v>
      </c>
      <c r="BA155" t="s">
        <v>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ROUND(Y155*Source!I389,9)</f>
        <v>1518.999999998</v>
      </c>
      <c r="CY155">
        <f>AA155</f>
        <v>9.7200000000000006</v>
      </c>
      <c r="CZ155">
        <f>AE155</f>
        <v>9.7199999999999989</v>
      </c>
      <c r="DA155">
        <f>AI155</f>
        <v>1</v>
      </c>
      <c r="DB155">
        <f>ROUND(ROUND(AT155*CZ155,2),6)</f>
        <v>27771.43</v>
      </c>
      <c r="DC155">
        <f>ROUND(ROUND(AT155*AG155,2),6)</f>
        <v>0</v>
      </c>
      <c r="DD155" t="s">
        <v>3</v>
      </c>
      <c r="DE155" t="s">
        <v>3</v>
      </c>
      <c r="DF155">
        <f t="shared" si="22"/>
        <v>14764.68</v>
      </c>
      <c r="DG155">
        <f t="shared" si="20"/>
        <v>0</v>
      </c>
      <c r="DH155">
        <f t="shared" si="21"/>
        <v>0</v>
      </c>
      <c r="DI155">
        <f t="shared" si="16"/>
        <v>0</v>
      </c>
      <c r="DJ155">
        <f>DF155</f>
        <v>14764.68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ROW(Source!A390)</f>
        <v>390</v>
      </c>
      <c r="B156">
        <v>59499215</v>
      </c>
      <c r="C156">
        <v>59499951</v>
      </c>
      <c r="D156">
        <v>58532980</v>
      </c>
      <c r="E156">
        <v>1080</v>
      </c>
      <c r="F156">
        <v>1</v>
      </c>
      <c r="G156">
        <v>1080</v>
      </c>
      <c r="H156">
        <v>1</v>
      </c>
      <c r="I156" t="s">
        <v>302</v>
      </c>
      <c r="J156" t="s">
        <v>3</v>
      </c>
      <c r="K156" t="s">
        <v>303</v>
      </c>
      <c r="L156">
        <v>1191</v>
      </c>
      <c r="N156">
        <v>1013</v>
      </c>
      <c r="O156" t="s">
        <v>304</v>
      </c>
      <c r="P156" t="s">
        <v>304</v>
      </c>
      <c r="Q156">
        <v>1</v>
      </c>
      <c r="W156">
        <v>0</v>
      </c>
      <c r="X156">
        <v>476480486</v>
      </c>
      <c r="Y156">
        <f>((AT156*1.15)*1.1)</f>
        <v>21.049600000000002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5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16.64</v>
      </c>
      <c r="AU156" t="s">
        <v>40</v>
      </c>
      <c r="AV156">
        <v>1</v>
      </c>
      <c r="AW156">
        <v>2</v>
      </c>
      <c r="AX156">
        <v>59500118</v>
      </c>
      <c r="AY156">
        <v>1</v>
      </c>
      <c r="AZ156">
        <v>0</v>
      </c>
      <c r="BA156">
        <v>166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U156">
        <f>ROUND(AT156*Source!I390*AH156*AL156,2)</f>
        <v>0</v>
      </c>
      <c r="CV156">
        <f>ROUND(Y156*Source!I390,9)</f>
        <v>11.191019839999999</v>
      </c>
      <c r="CW156">
        <v>0</v>
      </c>
      <c r="CX156">
        <f>ROUND(Y156*Source!I390,9)</f>
        <v>11.191019839999999</v>
      </c>
      <c r="CY156">
        <f>AD156</f>
        <v>0</v>
      </c>
      <c r="CZ156">
        <f>AH156</f>
        <v>0</v>
      </c>
      <c r="DA156">
        <f>AL156</f>
        <v>1</v>
      </c>
      <c r="DB156">
        <f>ROUND(((ROUND(AT156*CZ156,2)*1.15)*1.1),6)</f>
        <v>0</v>
      </c>
      <c r="DC156">
        <f>ROUND(((ROUND(AT156*AG156,2)*1.15)*1.1),6)</f>
        <v>0</v>
      </c>
      <c r="DD156" t="s">
        <v>3</v>
      </c>
      <c r="DE156" t="s">
        <v>3</v>
      </c>
      <c r="DF156">
        <f t="shared" si="22"/>
        <v>0</v>
      </c>
      <c r="DG156">
        <f t="shared" si="20"/>
        <v>0</v>
      </c>
      <c r="DH156">
        <f t="shared" si="21"/>
        <v>0</v>
      </c>
      <c r="DI156">
        <f t="shared" si="16"/>
        <v>0</v>
      </c>
      <c r="DJ156">
        <f>DI156</f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ROW(Source!A390)</f>
        <v>390</v>
      </c>
      <c r="B157">
        <v>59499215</v>
      </c>
      <c r="C157">
        <v>59499951</v>
      </c>
      <c r="D157">
        <v>58607154</v>
      </c>
      <c r="E157">
        <v>1</v>
      </c>
      <c r="F157">
        <v>1</v>
      </c>
      <c r="G157">
        <v>1080</v>
      </c>
      <c r="H157">
        <v>2</v>
      </c>
      <c r="I157" t="s">
        <v>308</v>
      </c>
      <c r="J157" t="s">
        <v>309</v>
      </c>
      <c r="K157" t="s">
        <v>310</v>
      </c>
      <c r="L157">
        <v>1368</v>
      </c>
      <c r="N157">
        <v>1011</v>
      </c>
      <c r="O157" t="s">
        <v>311</v>
      </c>
      <c r="P157" t="s">
        <v>311</v>
      </c>
      <c r="Q157">
        <v>1</v>
      </c>
      <c r="W157">
        <v>0</v>
      </c>
      <c r="X157">
        <v>-1985943078</v>
      </c>
      <c r="Y157">
        <f>((AT157*1.25)*1.1)</f>
        <v>2.7500000000000004E-2</v>
      </c>
      <c r="AA157">
        <v>0</v>
      </c>
      <c r="AB157">
        <v>1418.19</v>
      </c>
      <c r="AC157">
        <v>726.59</v>
      </c>
      <c r="AD157">
        <v>0</v>
      </c>
      <c r="AE157">
        <v>0</v>
      </c>
      <c r="AF157">
        <v>83.1</v>
      </c>
      <c r="AG157">
        <v>12.62</v>
      </c>
      <c r="AH157">
        <v>0</v>
      </c>
      <c r="AI157">
        <v>1</v>
      </c>
      <c r="AJ157">
        <v>16.3</v>
      </c>
      <c r="AK157">
        <v>54.99</v>
      </c>
      <c r="AL157">
        <v>1</v>
      </c>
      <c r="AM157">
        <v>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0.02</v>
      </c>
      <c r="AU157" t="s">
        <v>39</v>
      </c>
      <c r="AV157">
        <v>0</v>
      </c>
      <c r="AW157">
        <v>2</v>
      </c>
      <c r="AX157">
        <v>59500119</v>
      </c>
      <c r="AY157">
        <v>1</v>
      </c>
      <c r="AZ157">
        <v>0</v>
      </c>
      <c r="BA157">
        <v>167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f>ROUND(Y157*Source!I390*DO157,9)</f>
        <v>0.18450913299999999</v>
      </c>
      <c r="CX157">
        <f>ROUND(Y157*Source!I390,9)</f>
        <v>1.4620375E-2</v>
      </c>
      <c r="CY157">
        <f>AB157</f>
        <v>1418.19</v>
      </c>
      <c r="CZ157">
        <f>AF157</f>
        <v>83.1</v>
      </c>
      <c r="DA157">
        <f>AJ157</f>
        <v>16.3</v>
      </c>
      <c r="DB157">
        <f>ROUND(((ROUND(AT157*CZ157,2)*1.25)*1.1),6)</f>
        <v>2.2825000000000002</v>
      </c>
      <c r="DC157">
        <f>ROUND(((ROUND(AT157*AG157,2)*1.25)*1.1),6)</f>
        <v>0.34375</v>
      </c>
      <c r="DD157" t="s">
        <v>3</v>
      </c>
      <c r="DE157" t="s">
        <v>3</v>
      </c>
      <c r="DF157">
        <f t="shared" si="22"/>
        <v>0</v>
      </c>
      <c r="DG157">
        <f>ROUND(ROUND(AF157*AJ157,2)*CX157,2)</f>
        <v>19.8</v>
      </c>
      <c r="DH157">
        <f>ROUND(ROUND(AG157*AK157,2)*CX157,2)</f>
        <v>10.15</v>
      </c>
      <c r="DI157">
        <f t="shared" si="16"/>
        <v>0</v>
      </c>
      <c r="DJ157">
        <f>DG157</f>
        <v>19.8</v>
      </c>
      <c r="DK157">
        <v>0</v>
      </c>
      <c r="DL157" t="s">
        <v>312</v>
      </c>
      <c r="DM157">
        <v>0</v>
      </c>
      <c r="DN157" t="s">
        <v>304</v>
      </c>
      <c r="DO157">
        <v>12.62</v>
      </c>
    </row>
    <row r="158" spans="1:119" x14ac:dyDescent="0.2">
      <c r="A158">
        <f>ROW(Source!A390)</f>
        <v>390</v>
      </c>
      <c r="B158">
        <v>59499215</v>
      </c>
      <c r="C158">
        <v>59499951</v>
      </c>
      <c r="D158">
        <v>58607273</v>
      </c>
      <c r="E158">
        <v>1</v>
      </c>
      <c r="F158">
        <v>1</v>
      </c>
      <c r="G158">
        <v>1080</v>
      </c>
      <c r="H158">
        <v>2</v>
      </c>
      <c r="I158" t="s">
        <v>313</v>
      </c>
      <c r="J158" t="s">
        <v>314</v>
      </c>
      <c r="K158" t="s">
        <v>315</v>
      </c>
      <c r="L158">
        <v>1368</v>
      </c>
      <c r="N158">
        <v>1011</v>
      </c>
      <c r="O158" t="s">
        <v>311</v>
      </c>
      <c r="P158" t="s">
        <v>311</v>
      </c>
      <c r="Q158">
        <v>1</v>
      </c>
      <c r="W158">
        <v>0</v>
      </c>
      <c r="X158">
        <v>2147454900</v>
      </c>
      <c r="Y158">
        <f>((AT158*1.25)*1.1)</f>
        <v>5.8987500000000006</v>
      </c>
      <c r="AA158">
        <v>0</v>
      </c>
      <c r="AB158">
        <v>7.19</v>
      </c>
      <c r="AC158">
        <v>0</v>
      </c>
      <c r="AD158">
        <v>0</v>
      </c>
      <c r="AE158">
        <v>0</v>
      </c>
      <c r="AF158">
        <v>0.8</v>
      </c>
      <c r="AG158">
        <v>0</v>
      </c>
      <c r="AH158">
        <v>0</v>
      </c>
      <c r="AI158">
        <v>1</v>
      </c>
      <c r="AJ158">
        <v>8.59</v>
      </c>
      <c r="AK158">
        <v>54.99</v>
      </c>
      <c r="AL158">
        <v>1</v>
      </c>
      <c r="AM158">
        <v>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4.29</v>
      </c>
      <c r="AU158" t="s">
        <v>39</v>
      </c>
      <c r="AV158">
        <v>0</v>
      </c>
      <c r="AW158">
        <v>2</v>
      </c>
      <c r="AX158">
        <v>59500120</v>
      </c>
      <c r="AY158">
        <v>1</v>
      </c>
      <c r="AZ158">
        <v>0</v>
      </c>
      <c r="BA158">
        <v>168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f>ROUND(Y158*Source!I390*DO158,9)</f>
        <v>0</v>
      </c>
      <c r="CX158">
        <f>ROUND(Y158*Source!I390,9)</f>
        <v>3.136070438</v>
      </c>
      <c r="CY158">
        <f>AB158</f>
        <v>7.19</v>
      </c>
      <c r="CZ158">
        <f>AF158</f>
        <v>0.8</v>
      </c>
      <c r="DA158">
        <f>AJ158</f>
        <v>8.59</v>
      </c>
      <c r="DB158">
        <f>ROUND(((ROUND(AT158*CZ158,2)*1.25)*1.1),6)</f>
        <v>4.7162499999999996</v>
      </c>
      <c r="DC158">
        <f>ROUND(((ROUND(AT158*AG158,2)*1.25)*1.1),6)</f>
        <v>0</v>
      </c>
      <c r="DD158" t="s">
        <v>3</v>
      </c>
      <c r="DE158" t="s">
        <v>3</v>
      </c>
      <c r="DF158">
        <f t="shared" si="22"/>
        <v>0</v>
      </c>
      <c r="DG158">
        <f>ROUND(ROUND(AF158*AJ158,2)*CX158,2)</f>
        <v>21.54</v>
      </c>
      <c r="DH158">
        <f>ROUND(ROUND(AG158*AK158,2)*CX158,2)</f>
        <v>0</v>
      </c>
      <c r="DI158">
        <f t="shared" si="16"/>
        <v>0</v>
      </c>
      <c r="DJ158">
        <f>DG158</f>
        <v>21.54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ROW(Source!A390)</f>
        <v>390</v>
      </c>
      <c r="B159">
        <v>59499215</v>
      </c>
      <c r="C159">
        <v>59499951</v>
      </c>
      <c r="D159">
        <v>58607220</v>
      </c>
      <c r="E159">
        <v>1</v>
      </c>
      <c r="F159">
        <v>1</v>
      </c>
      <c r="G159">
        <v>1080</v>
      </c>
      <c r="H159">
        <v>2</v>
      </c>
      <c r="I159" t="s">
        <v>333</v>
      </c>
      <c r="J159" t="s">
        <v>334</v>
      </c>
      <c r="K159" t="s">
        <v>335</v>
      </c>
      <c r="L159">
        <v>1368</v>
      </c>
      <c r="N159">
        <v>1011</v>
      </c>
      <c r="O159" t="s">
        <v>311</v>
      </c>
      <c r="P159" t="s">
        <v>311</v>
      </c>
      <c r="Q159">
        <v>1</v>
      </c>
      <c r="W159">
        <v>0</v>
      </c>
      <c r="X159">
        <v>-1745985500</v>
      </c>
      <c r="Y159">
        <f>((AT159*1.25)*1.1)</f>
        <v>0.495</v>
      </c>
      <c r="AA159">
        <v>0</v>
      </c>
      <c r="AB159">
        <v>3.46</v>
      </c>
      <c r="AC159">
        <v>0</v>
      </c>
      <c r="AD159">
        <v>0</v>
      </c>
      <c r="AE159">
        <v>0</v>
      </c>
      <c r="AF159">
        <v>0.36</v>
      </c>
      <c r="AG159">
        <v>0</v>
      </c>
      <c r="AH159">
        <v>0</v>
      </c>
      <c r="AI159">
        <v>1</v>
      </c>
      <c r="AJ159">
        <v>9.17</v>
      </c>
      <c r="AK159">
        <v>54.99</v>
      </c>
      <c r="AL159">
        <v>1</v>
      </c>
      <c r="AM159">
        <v>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0.36</v>
      </c>
      <c r="AU159" t="s">
        <v>39</v>
      </c>
      <c r="AV159">
        <v>0</v>
      </c>
      <c r="AW159">
        <v>2</v>
      </c>
      <c r="AX159">
        <v>59500121</v>
      </c>
      <c r="AY159">
        <v>1</v>
      </c>
      <c r="AZ159">
        <v>0</v>
      </c>
      <c r="BA159">
        <v>169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f>ROUND(Y159*Source!I390*DO159,9)</f>
        <v>0</v>
      </c>
      <c r="CX159">
        <f>ROUND(Y159*Source!I390,9)</f>
        <v>0.26316675</v>
      </c>
      <c r="CY159">
        <f>AB159</f>
        <v>3.46</v>
      </c>
      <c r="CZ159">
        <f>AF159</f>
        <v>0.36</v>
      </c>
      <c r="DA159">
        <f>AJ159</f>
        <v>9.17</v>
      </c>
      <c r="DB159">
        <f>ROUND(((ROUND(AT159*CZ159,2)*1.25)*1.1),6)</f>
        <v>0.17874999999999999</v>
      </c>
      <c r="DC159">
        <f>ROUND(((ROUND(AT159*AG159,2)*1.25)*1.1),6)</f>
        <v>0</v>
      </c>
      <c r="DD159" t="s">
        <v>3</v>
      </c>
      <c r="DE159" t="s">
        <v>3</v>
      </c>
      <c r="DF159">
        <f t="shared" si="22"/>
        <v>0</v>
      </c>
      <c r="DG159">
        <f>ROUND(ROUND(AF159*AJ159,2)*CX159,2)</f>
        <v>0.87</v>
      </c>
      <c r="DH159">
        <f>ROUND(ROUND(AG159*AK159,2)*CX159,2)</f>
        <v>0</v>
      </c>
      <c r="DI159">
        <f t="shared" si="16"/>
        <v>0</v>
      </c>
      <c r="DJ159">
        <f>DG159</f>
        <v>0.87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ROW(Source!A390)</f>
        <v>390</v>
      </c>
      <c r="B160">
        <v>59499215</v>
      </c>
      <c r="C160">
        <v>59499951</v>
      </c>
      <c r="D160">
        <v>58607239</v>
      </c>
      <c r="E160">
        <v>1</v>
      </c>
      <c r="F160">
        <v>1</v>
      </c>
      <c r="G160">
        <v>1080</v>
      </c>
      <c r="H160">
        <v>2</v>
      </c>
      <c r="I160" t="s">
        <v>336</v>
      </c>
      <c r="J160" t="s">
        <v>337</v>
      </c>
      <c r="K160" t="s">
        <v>338</v>
      </c>
      <c r="L160">
        <v>1368</v>
      </c>
      <c r="N160">
        <v>1011</v>
      </c>
      <c r="O160" t="s">
        <v>311</v>
      </c>
      <c r="P160" t="s">
        <v>311</v>
      </c>
      <c r="Q160">
        <v>1</v>
      </c>
      <c r="W160">
        <v>0</v>
      </c>
      <c r="X160">
        <v>1645565003</v>
      </c>
      <c r="Y160">
        <f>((AT160*1.25)*1.1)</f>
        <v>8.0300000000000011</v>
      </c>
      <c r="AA160">
        <v>0</v>
      </c>
      <c r="AB160">
        <v>4.3</v>
      </c>
      <c r="AC160">
        <v>0</v>
      </c>
      <c r="AD160">
        <v>0</v>
      </c>
      <c r="AE160">
        <v>0</v>
      </c>
      <c r="AF160">
        <v>0.47</v>
      </c>
      <c r="AG160">
        <v>0</v>
      </c>
      <c r="AH160">
        <v>0</v>
      </c>
      <c r="AI160">
        <v>1</v>
      </c>
      <c r="AJ160">
        <v>8.74</v>
      </c>
      <c r="AK160">
        <v>54.99</v>
      </c>
      <c r="AL160">
        <v>1</v>
      </c>
      <c r="AM160">
        <v>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5.84</v>
      </c>
      <c r="AU160" t="s">
        <v>39</v>
      </c>
      <c r="AV160">
        <v>0</v>
      </c>
      <c r="AW160">
        <v>2</v>
      </c>
      <c r="AX160">
        <v>59500122</v>
      </c>
      <c r="AY160">
        <v>1</v>
      </c>
      <c r="AZ160">
        <v>0</v>
      </c>
      <c r="BA160">
        <v>170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ROUND(Y160*Source!I390*DO160,9)</f>
        <v>0</v>
      </c>
      <c r="CX160">
        <f>ROUND(Y160*Source!I390,9)</f>
        <v>4.2691495000000002</v>
      </c>
      <c r="CY160">
        <f>AB160</f>
        <v>4.3</v>
      </c>
      <c r="CZ160">
        <f>AF160</f>
        <v>0.47</v>
      </c>
      <c r="DA160">
        <f>AJ160</f>
        <v>8.74</v>
      </c>
      <c r="DB160">
        <f>ROUND(((ROUND(AT160*CZ160,2)*1.25)*1.1),6)</f>
        <v>3.7675000000000001</v>
      </c>
      <c r="DC160">
        <f>ROUND(((ROUND(AT160*AG160,2)*1.25)*1.1),6)</f>
        <v>0</v>
      </c>
      <c r="DD160" t="s">
        <v>3</v>
      </c>
      <c r="DE160" t="s">
        <v>3</v>
      </c>
      <c r="DF160">
        <f t="shared" si="22"/>
        <v>0</v>
      </c>
      <c r="DG160">
        <f>ROUND(ROUND(AF160*AJ160,2)*CX160,2)</f>
        <v>17.55</v>
      </c>
      <c r="DH160">
        <f>ROUND(ROUND(AG160*AK160,2)*CX160,2)</f>
        <v>0</v>
      </c>
      <c r="DI160">
        <f t="shared" si="16"/>
        <v>0</v>
      </c>
      <c r="DJ160">
        <f>DG160</f>
        <v>17.55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ROW(Source!A390)</f>
        <v>390</v>
      </c>
      <c r="B161">
        <v>59499215</v>
      </c>
      <c r="C161">
        <v>59499951</v>
      </c>
      <c r="D161">
        <v>58575388</v>
      </c>
      <c r="E161">
        <v>1</v>
      </c>
      <c r="F161">
        <v>1</v>
      </c>
      <c r="G161">
        <v>1080</v>
      </c>
      <c r="H161">
        <v>3</v>
      </c>
      <c r="I161" t="s">
        <v>339</v>
      </c>
      <c r="J161" t="s">
        <v>340</v>
      </c>
      <c r="K161" t="s">
        <v>341</v>
      </c>
      <c r="L161">
        <v>1346</v>
      </c>
      <c r="N161">
        <v>1009</v>
      </c>
      <c r="O161" t="s">
        <v>319</v>
      </c>
      <c r="P161" t="s">
        <v>319</v>
      </c>
      <c r="Q161">
        <v>1</v>
      </c>
      <c r="W161">
        <v>0</v>
      </c>
      <c r="X161">
        <v>1706448463</v>
      </c>
      <c r="Y161">
        <f>AT161</f>
        <v>0.94</v>
      </c>
      <c r="AA161">
        <v>202.67</v>
      </c>
      <c r="AB161">
        <v>0</v>
      </c>
      <c r="AC161">
        <v>0</v>
      </c>
      <c r="AD161">
        <v>0</v>
      </c>
      <c r="AE161">
        <v>48.14</v>
      </c>
      <c r="AF161">
        <v>0</v>
      </c>
      <c r="AG161">
        <v>0</v>
      </c>
      <c r="AH161">
        <v>0</v>
      </c>
      <c r="AI161">
        <v>4.21</v>
      </c>
      <c r="AJ161">
        <v>1</v>
      </c>
      <c r="AK161">
        <v>1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0.94</v>
      </c>
      <c r="AU161" t="s">
        <v>3</v>
      </c>
      <c r="AV161">
        <v>0</v>
      </c>
      <c r="AW161">
        <v>2</v>
      </c>
      <c r="AX161">
        <v>59500123</v>
      </c>
      <c r="AY161">
        <v>1</v>
      </c>
      <c r="AZ161">
        <v>0</v>
      </c>
      <c r="BA161">
        <v>171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ROUND(Y161*Source!I390,9)</f>
        <v>0.499751</v>
      </c>
      <c r="CY161">
        <f>AA161</f>
        <v>202.67</v>
      </c>
      <c r="CZ161">
        <f>AE161</f>
        <v>48.14</v>
      </c>
      <c r="DA161">
        <f>AI161</f>
        <v>4.21</v>
      </c>
      <c r="DB161">
        <f>ROUND(ROUND(AT161*CZ161,2),6)</f>
        <v>45.25</v>
      </c>
      <c r="DC161">
        <f>ROUND(ROUND(AT161*AG161,2),6)</f>
        <v>0</v>
      </c>
      <c r="DD161" t="s">
        <v>3</v>
      </c>
      <c r="DE161" t="s">
        <v>3</v>
      </c>
      <c r="DF161">
        <f>ROUND(ROUND(AE161*AI161,2)*CX161,2)</f>
        <v>101.28</v>
      </c>
      <c r="DG161">
        <f t="shared" ref="DG161:DG170" si="23">ROUND(ROUND(AF161,2)*CX161,2)</f>
        <v>0</v>
      </c>
      <c r="DH161">
        <f t="shared" ref="DH161:DH170" si="24">ROUND(ROUND(AG161,2)*CX161,2)</f>
        <v>0</v>
      </c>
      <c r="DI161">
        <f t="shared" ref="DI161:DI176" si="25">ROUND(ROUND(AH161,2)*CX161,2)</f>
        <v>0</v>
      </c>
      <c r="DJ161">
        <f>DF161</f>
        <v>101.28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ROW(Source!A390)</f>
        <v>390</v>
      </c>
      <c r="B162">
        <v>59499215</v>
      </c>
      <c r="C162">
        <v>59499951</v>
      </c>
      <c r="D162">
        <v>0</v>
      </c>
      <c r="E162">
        <v>1080</v>
      </c>
      <c r="F162">
        <v>1</v>
      </c>
      <c r="G162">
        <v>1080</v>
      </c>
      <c r="H162">
        <v>3</v>
      </c>
      <c r="I162" t="s">
        <v>271</v>
      </c>
      <c r="J162" t="s">
        <v>3</v>
      </c>
      <c r="K162" t="s">
        <v>272</v>
      </c>
      <c r="L162">
        <v>1354</v>
      </c>
      <c r="N162">
        <v>1010</v>
      </c>
      <c r="O162" t="s">
        <v>124</v>
      </c>
      <c r="P162" t="s">
        <v>124</v>
      </c>
      <c r="Q162">
        <v>1</v>
      </c>
      <c r="W162">
        <v>0</v>
      </c>
      <c r="X162">
        <v>774737074</v>
      </c>
      <c r="Y162">
        <f>AT162</f>
        <v>2857.1428571400002</v>
      </c>
      <c r="AA162">
        <v>96.03</v>
      </c>
      <c r="AB162">
        <v>0</v>
      </c>
      <c r="AC162">
        <v>0</v>
      </c>
      <c r="AD162">
        <v>0</v>
      </c>
      <c r="AE162">
        <v>9.7199999999999989</v>
      </c>
      <c r="AF162">
        <v>0</v>
      </c>
      <c r="AG162">
        <v>0</v>
      </c>
      <c r="AH162">
        <v>0</v>
      </c>
      <c r="AI162">
        <v>9.8800000000000008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 t="s">
        <v>3</v>
      </c>
      <c r="AT162">
        <v>2857.1428571400002</v>
      </c>
      <c r="AU162" t="s">
        <v>3</v>
      </c>
      <c r="AV162">
        <v>0</v>
      </c>
      <c r="AW162">
        <v>1</v>
      </c>
      <c r="AX162">
        <v>-1</v>
      </c>
      <c r="AY162">
        <v>0</v>
      </c>
      <c r="AZ162">
        <v>0</v>
      </c>
      <c r="BA162" t="s">
        <v>3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ROUND(Y162*Source!I390,9)</f>
        <v>1518.999999998</v>
      </c>
      <c r="CY162">
        <f>AA162</f>
        <v>96.03</v>
      </c>
      <c r="CZ162">
        <f>AE162</f>
        <v>9.7199999999999989</v>
      </c>
      <c r="DA162">
        <f>AI162</f>
        <v>9.8800000000000008</v>
      </c>
      <c r="DB162">
        <f>ROUND(ROUND(AT162*CZ162,2),6)</f>
        <v>27771.43</v>
      </c>
      <c r="DC162">
        <f>ROUND(ROUND(AT162*AG162,2),6)</f>
        <v>0</v>
      </c>
      <c r="DD162" t="s">
        <v>3</v>
      </c>
      <c r="DE162" t="s">
        <v>3</v>
      </c>
      <c r="DF162">
        <f>ROUND(ROUND(AE162*AI162,2)*CX162,2)</f>
        <v>145869.57</v>
      </c>
      <c r="DG162">
        <f t="shared" si="23"/>
        <v>0</v>
      </c>
      <c r="DH162">
        <f t="shared" si="24"/>
        <v>0</v>
      </c>
      <c r="DI162">
        <f t="shared" si="25"/>
        <v>0</v>
      </c>
      <c r="DJ162">
        <f>DF162</f>
        <v>145869.57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ROW(Source!A428)</f>
        <v>428</v>
      </c>
      <c r="B163">
        <v>59499218</v>
      </c>
      <c r="C163">
        <v>59500023</v>
      </c>
      <c r="D163">
        <v>58532980</v>
      </c>
      <c r="E163">
        <v>1080</v>
      </c>
      <c r="F163">
        <v>1</v>
      </c>
      <c r="G163">
        <v>1080</v>
      </c>
      <c r="H163">
        <v>1</v>
      </c>
      <c r="I163" t="s">
        <v>302</v>
      </c>
      <c r="J163" t="s">
        <v>3</v>
      </c>
      <c r="K163" t="s">
        <v>303</v>
      </c>
      <c r="L163">
        <v>1191</v>
      </c>
      <c r="N163">
        <v>1013</v>
      </c>
      <c r="O163" t="s">
        <v>304</v>
      </c>
      <c r="P163" t="s">
        <v>304</v>
      </c>
      <c r="Q163">
        <v>1</v>
      </c>
      <c r="W163">
        <v>0</v>
      </c>
      <c r="X163">
        <v>476480486</v>
      </c>
      <c r="Y163">
        <f>((AT163*1.15)*1.1)</f>
        <v>21.049600000000002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16.64</v>
      </c>
      <c r="AU163" t="s">
        <v>40</v>
      </c>
      <c r="AV163">
        <v>1</v>
      </c>
      <c r="AW163">
        <v>2</v>
      </c>
      <c r="AX163">
        <v>59500125</v>
      </c>
      <c r="AY163">
        <v>1</v>
      </c>
      <c r="AZ163">
        <v>0</v>
      </c>
      <c r="BA163">
        <v>173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ROUND(AT163*Source!I428*AH163*AL163,2)</f>
        <v>0</v>
      </c>
      <c r="CV163">
        <f>ROUND(Y163*Source!I428,9)</f>
        <v>2.9469439999999998</v>
      </c>
      <c r="CW163">
        <v>0</v>
      </c>
      <c r="CX163">
        <f>ROUND(Y163*Source!I428,9)</f>
        <v>2.9469439999999998</v>
      </c>
      <c r="CY163">
        <f>AD163</f>
        <v>0</v>
      </c>
      <c r="CZ163">
        <f>AH163</f>
        <v>0</v>
      </c>
      <c r="DA163">
        <f>AL163</f>
        <v>1</v>
      </c>
      <c r="DB163">
        <f>ROUND(((ROUND(AT163*CZ163,2)*1.15)*1.1),6)</f>
        <v>0</v>
      </c>
      <c r="DC163">
        <f>ROUND(((ROUND(AT163*AG163,2)*1.15)*1.1),6)</f>
        <v>0</v>
      </c>
      <c r="DD163" t="s">
        <v>3</v>
      </c>
      <c r="DE163" t="s">
        <v>3</v>
      </c>
      <c r="DF163">
        <f t="shared" ref="DF163:DF174" si="26">ROUND(ROUND(AE163,2)*CX163,2)</f>
        <v>0</v>
      </c>
      <c r="DG163">
        <f t="shared" si="23"/>
        <v>0</v>
      </c>
      <c r="DH163">
        <f t="shared" si="24"/>
        <v>0</v>
      </c>
      <c r="DI163">
        <f t="shared" si="25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ROW(Source!A428)</f>
        <v>428</v>
      </c>
      <c r="B164">
        <v>59499218</v>
      </c>
      <c r="C164">
        <v>59500023</v>
      </c>
      <c r="D164">
        <v>58607154</v>
      </c>
      <c r="E164">
        <v>1</v>
      </c>
      <c r="F164">
        <v>1</v>
      </c>
      <c r="G164">
        <v>1080</v>
      </c>
      <c r="H164">
        <v>2</v>
      </c>
      <c r="I164" t="s">
        <v>308</v>
      </c>
      <c r="J164" t="s">
        <v>309</v>
      </c>
      <c r="K164" t="s">
        <v>310</v>
      </c>
      <c r="L164">
        <v>1368</v>
      </c>
      <c r="N164">
        <v>1011</v>
      </c>
      <c r="O164" t="s">
        <v>311</v>
      </c>
      <c r="P164" t="s">
        <v>311</v>
      </c>
      <c r="Q164">
        <v>1</v>
      </c>
      <c r="W164">
        <v>0</v>
      </c>
      <c r="X164">
        <v>-1985943078</v>
      </c>
      <c r="Y164">
        <f>((AT164*1.25)*1.1)</f>
        <v>2.7500000000000004E-2</v>
      </c>
      <c r="AA164">
        <v>0</v>
      </c>
      <c r="AB164">
        <v>87.01</v>
      </c>
      <c r="AC164">
        <v>13.21</v>
      </c>
      <c r="AD164">
        <v>0</v>
      </c>
      <c r="AE164">
        <v>0</v>
      </c>
      <c r="AF164">
        <v>83.1</v>
      </c>
      <c r="AG164">
        <v>12.62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0.02</v>
      </c>
      <c r="AU164" t="s">
        <v>39</v>
      </c>
      <c r="AV164">
        <v>0</v>
      </c>
      <c r="AW164">
        <v>2</v>
      </c>
      <c r="AX164">
        <v>59500126</v>
      </c>
      <c r="AY164">
        <v>1</v>
      </c>
      <c r="AZ164">
        <v>0</v>
      </c>
      <c r="BA164">
        <v>174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f>ROUND(Y164*Source!I428*DO164,9)</f>
        <v>4.8586999999999998E-2</v>
      </c>
      <c r="CX164">
        <f>ROUND(Y164*Source!I428,9)</f>
        <v>3.8500000000000001E-3</v>
      </c>
      <c r="CY164">
        <f>AB164</f>
        <v>87.01</v>
      </c>
      <c r="CZ164">
        <f>AF164</f>
        <v>83.1</v>
      </c>
      <c r="DA164">
        <f>AJ164</f>
        <v>1</v>
      </c>
      <c r="DB164">
        <f>ROUND(((ROUND(AT164*CZ164,2)*1.25)*1.1),6)</f>
        <v>2.2825000000000002</v>
      </c>
      <c r="DC164">
        <f>ROUND(((ROUND(AT164*AG164,2)*1.25)*1.1),6)</f>
        <v>0.34375</v>
      </c>
      <c r="DD164" t="s">
        <v>3</v>
      </c>
      <c r="DE164" t="s">
        <v>3</v>
      </c>
      <c r="DF164">
        <f t="shared" si="26"/>
        <v>0</v>
      </c>
      <c r="DG164">
        <f t="shared" si="23"/>
        <v>0.32</v>
      </c>
      <c r="DH164">
        <f t="shared" si="24"/>
        <v>0.05</v>
      </c>
      <c r="DI164">
        <f t="shared" si="25"/>
        <v>0</v>
      </c>
      <c r="DJ164">
        <f>DG164</f>
        <v>0.32</v>
      </c>
      <c r="DK164">
        <v>0</v>
      </c>
      <c r="DL164" t="s">
        <v>312</v>
      </c>
      <c r="DM164">
        <v>0</v>
      </c>
      <c r="DN164" t="s">
        <v>304</v>
      </c>
      <c r="DO164">
        <v>12.62</v>
      </c>
    </row>
    <row r="165" spans="1:119" x14ac:dyDescent="0.2">
      <c r="A165">
        <f>ROW(Source!A428)</f>
        <v>428</v>
      </c>
      <c r="B165">
        <v>59499218</v>
      </c>
      <c r="C165">
        <v>59500023</v>
      </c>
      <c r="D165">
        <v>58607273</v>
      </c>
      <c r="E165">
        <v>1</v>
      </c>
      <c r="F165">
        <v>1</v>
      </c>
      <c r="G165">
        <v>1080</v>
      </c>
      <c r="H165">
        <v>2</v>
      </c>
      <c r="I165" t="s">
        <v>313</v>
      </c>
      <c r="J165" t="s">
        <v>314</v>
      </c>
      <c r="K165" t="s">
        <v>315</v>
      </c>
      <c r="L165">
        <v>1368</v>
      </c>
      <c r="N165">
        <v>1011</v>
      </c>
      <c r="O165" t="s">
        <v>311</v>
      </c>
      <c r="P165" t="s">
        <v>311</v>
      </c>
      <c r="Q165">
        <v>1</v>
      </c>
      <c r="W165">
        <v>0</v>
      </c>
      <c r="X165">
        <v>2147454900</v>
      </c>
      <c r="Y165">
        <f>((AT165*1.25)*1.1)</f>
        <v>5.8987500000000006</v>
      </c>
      <c r="AA165">
        <v>0</v>
      </c>
      <c r="AB165">
        <v>0.84</v>
      </c>
      <c r="AC165">
        <v>0</v>
      </c>
      <c r="AD165">
        <v>0</v>
      </c>
      <c r="AE165">
        <v>0</v>
      </c>
      <c r="AF165">
        <v>0.8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4.29</v>
      </c>
      <c r="AU165" t="s">
        <v>39</v>
      </c>
      <c r="AV165">
        <v>0</v>
      </c>
      <c r="AW165">
        <v>2</v>
      </c>
      <c r="AX165">
        <v>59500127</v>
      </c>
      <c r="AY165">
        <v>1</v>
      </c>
      <c r="AZ165">
        <v>0</v>
      </c>
      <c r="BA165">
        <v>175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f>ROUND(Y165*Source!I428*DO165,9)</f>
        <v>0</v>
      </c>
      <c r="CX165">
        <f>ROUND(Y165*Source!I428,9)</f>
        <v>0.82582500000000003</v>
      </c>
      <c r="CY165">
        <f>AB165</f>
        <v>0.84</v>
      </c>
      <c r="CZ165">
        <f>AF165</f>
        <v>0.8</v>
      </c>
      <c r="DA165">
        <f>AJ165</f>
        <v>1</v>
      </c>
      <c r="DB165">
        <f>ROUND(((ROUND(AT165*CZ165,2)*1.25)*1.1),6)</f>
        <v>4.7162499999999996</v>
      </c>
      <c r="DC165">
        <f>ROUND(((ROUND(AT165*AG165,2)*1.25)*1.1),6)</f>
        <v>0</v>
      </c>
      <c r="DD165" t="s">
        <v>3</v>
      </c>
      <c r="DE165" t="s">
        <v>3</v>
      </c>
      <c r="DF165">
        <f t="shared" si="26"/>
        <v>0</v>
      </c>
      <c r="DG165">
        <f t="shared" si="23"/>
        <v>0.66</v>
      </c>
      <c r="DH165">
        <f t="shared" si="24"/>
        <v>0</v>
      </c>
      <c r="DI165">
        <f t="shared" si="25"/>
        <v>0</v>
      </c>
      <c r="DJ165">
        <f>DG165</f>
        <v>0.66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ROW(Source!A428)</f>
        <v>428</v>
      </c>
      <c r="B166">
        <v>59499218</v>
      </c>
      <c r="C166">
        <v>59500023</v>
      </c>
      <c r="D166">
        <v>58607220</v>
      </c>
      <c r="E166">
        <v>1</v>
      </c>
      <c r="F166">
        <v>1</v>
      </c>
      <c r="G166">
        <v>1080</v>
      </c>
      <c r="H166">
        <v>2</v>
      </c>
      <c r="I166" t="s">
        <v>333</v>
      </c>
      <c r="J166" t="s">
        <v>334</v>
      </c>
      <c r="K166" t="s">
        <v>335</v>
      </c>
      <c r="L166">
        <v>1368</v>
      </c>
      <c r="N166">
        <v>1011</v>
      </c>
      <c r="O166" t="s">
        <v>311</v>
      </c>
      <c r="P166" t="s">
        <v>311</v>
      </c>
      <c r="Q166">
        <v>1</v>
      </c>
      <c r="W166">
        <v>0</v>
      </c>
      <c r="X166">
        <v>-1745985500</v>
      </c>
      <c r="Y166">
        <f>((AT166*1.25)*1.1)</f>
        <v>0.495</v>
      </c>
      <c r="AA166">
        <v>0</v>
      </c>
      <c r="AB166">
        <v>0.38</v>
      </c>
      <c r="AC166">
        <v>0</v>
      </c>
      <c r="AD166">
        <v>0</v>
      </c>
      <c r="AE166">
        <v>0</v>
      </c>
      <c r="AF166">
        <v>0.36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0.36</v>
      </c>
      <c r="AU166" t="s">
        <v>39</v>
      </c>
      <c r="AV166">
        <v>0</v>
      </c>
      <c r="AW166">
        <v>2</v>
      </c>
      <c r="AX166">
        <v>59500128</v>
      </c>
      <c r="AY166">
        <v>1</v>
      </c>
      <c r="AZ166">
        <v>0</v>
      </c>
      <c r="BA166">
        <v>176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f>ROUND(Y166*Source!I428*DO166,9)</f>
        <v>0</v>
      </c>
      <c r="CX166">
        <f>ROUND(Y166*Source!I428,9)</f>
        <v>6.93E-2</v>
      </c>
      <c r="CY166">
        <f>AB166</f>
        <v>0.38</v>
      </c>
      <c r="CZ166">
        <f>AF166</f>
        <v>0.36</v>
      </c>
      <c r="DA166">
        <f>AJ166</f>
        <v>1</v>
      </c>
      <c r="DB166">
        <f>ROUND(((ROUND(AT166*CZ166,2)*1.25)*1.1),6)</f>
        <v>0.17874999999999999</v>
      </c>
      <c r="DC166">
        <f>ROUND(((ROUND(AT166*AG166,2)*1.25)*1.1),6)</f>
        <v>0</v>
      </c>
      <c r="DD166" t="s">
        <v>3</v>
      </c>
      <c r="DE166" t="s">
        <v>3</v>
      </c>
      <c r="DF166">
        <f t="shared" si="26"/>
        <v>0</v>
      </c>
      <c r="DG166">
        <f t="shared" si="23"/>
        <v>0.02</v>
      </c>
      <c r="DH166">
        <f t="shared" si="24"/>
        <v>0</v>
      </c>
      <c r="DI166">
        <f t="shared" si="25"/>
        <v>0</v>
      </c>
      <c r="DJ166">
        <f>DG166</f>
        <v>0.02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ROW(Source!A428)</f>
        <v>428</v>
      </c>
      <c r="B167">
        <v>59499218</v>
      </c>
      <c r="C167">
        <v>59500023</v>
      </c>
      <c r="D167">
        <v>58607239</v>
      </c>
      <c r="E167">
        <v>1</v>
      </c>
      <c r="F167">
        <v>1</v>
      </c>
      <c r="G167">
        <v>1080</v>
      </c>
      <c r="H167">
        <v>2</v>
      </c>
      <c r="I167" t="s">
        <v>336</v>
      </c>
      <c r="J167" t="s">
        <v>337</v>
      </c>
      <c r="K167" t="s">
        <v>338</v>
      </c>
      <c r="L167">
        <v>1368</v>
      </c>
      <c r="N167">
        <v>1011</v>
      </c>
      <c r="O167" t="s">
        <v>311</v>
      </c>
      <c r="P167" t="s">
        <v>311</v>
      </c>
      <c r="Q167">
        <v>1</v>
      </c>
      <c r="W167">
        <v>0</v>
      </c>
      <c r="X167">
        <v>1645565003</v>
      </c>
      <c r="Y167">
        <f>((AT167*1.25)*1.1)</f>
        <v>8.0300000000000011</v>
      </c>
      <c r="AA167">
        <v>0</v>
      </c>
      <c r="AB167">
        <v>0.49</v>
      </c>
      <c r="AC167">
        <v>0</v>
      </c>
      <c r="AD167">
        <v>0</v>
      </c>
      <c r="AE167">
        <v>0</v>
      </c>
      <c r="AF167">
        <v>0.47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5.84</v>
      </c>
      <c r="AU167" t="s">
        <v>39</v>
      </c>
      <c r="AV167">
        <v>0</v>
      </c>
      <c r="AW167">
        <v>2</v>
      </c>
      <c r="AX167">
        <v>59500129</v>
      </c>
      <c r="AY167">
        <v>1</v>
      </c>
      <c r="AZ167">
        <v>0</v>
      </c>
      <c r="BA167">
        <v>177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f>ROUND(Y167*Source!I428*DO167,9)</f>
        <v>0</v>
      </c>
      <c r="CX167">
        <f>ROUND(Y167*Source!I428,9)</f>
        <v>1.1242000000000001</v>
      </c>
      <c r="CY167">
        <f>AB167</f>
        <v>0.49</v>
      </c>
      <c r="CZ167">
        <f>AF167</f>
        <v>0.47</v>
      </c>
      <c r="DA167">
        <f>AJ167</f>
        <v>1</v>
      </c>
      <c r="DB167">
        <f>ROUND(((ROUND(AT167*CZ167,2)*1.25)*1.1),6)</f>
        <v>3.7675000000000001</v>
      </c>
      <c r="DC167">
        <f>ROUND(((ROUND(AT167*AG167,2)*1.25)*1.1),6)</f>
        <v>0</v>
      </c>
      <c r="DD167" t="s">
        <v>3</v>
      </c>
      <c r="DE167" t="s">
        <v>3</v>
      </c>
      <c r="DF167">
        <f t="shared" si="26"/>
        <v>0</v>
      </c>
      <c r="DG167">
        <f t="shared" si="23"/>
        <v>0.53</v>
      </c>
      <c r="DH167">
        <f t="shared" si="24"/>
        <v>0</v>
      </c>
      <c r="DI167">
        <f t="shared" si="25"/>
        <v>0</v>
      </c>
      <c r="DJ167">
        <f>DG167</f>
        <v>0.53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ROW(Source!A428)</f>
        <v>428</v>
      </c>
      <c r="B168">
        <v>59499218</v>
      </c>
      <c r="C168">
        <v>59500023</v>
      </c>
      <c r="D168">
        <v>58575388</v>
      </c>
      <c r="E168">
        <v>1</v>
      </c>
      <c r="F168">
        <v>1</v>
      </c>
      <c r="G168">
        <v>1080</v>
      </c>
      <c r="H168">
        <v>3</v>
      </c>
      <c r="I168" t="s">
        <v>339</v>
      </c>
      <c r="J168" t="s">
        <v>340</v>
      </c>
      <c r="K168" t="s">
        <v>341</v>
      </c>
      <c r="L168">
        <v>1346</v>
      </c>
      <c r="N168">
        <v>1009</v>
      </c>
      <c r="O168" t="s">
        <v>319</v>
      </c>
      <c r="P168" t="s">
        <v>319</v>
      </c>
      <c r="Q168">
        <v>1</v>
      </c>
      <c r="W168">
        <v>0</v>
      </c>
      <c r="X168">
        <v>1706448463</v>
      </c>
      <c r="Y168">
        <f>AT168</f>
        <v>0.94</v>
      </c>
      <c r="AA168">
        <v>48.14</v>
      </c>
      <c r="AB168">
        <v>0</v>
      </c>
      <c r="AC168">
        <v>0</v>
      </c>
      <c r="AD168">
        <v>0</v>
      </c>
      <c r="AE168">
        <v>48.14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-2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0.94</v>
      </c>
      <c r="AU168" t="s">
        <v>3</v>
      </c>
      <c r="AV168">
        <v>0</v>
      </c>
      <c r="AW168">
        <v>2</v>
      </c>
      <c r="AX168">
        <v>59500130</v>
      </c>
      <c r="AY168">
        <v>1</v>
      </c>
      <c r="AZ168">
        <v>0</v>
      </c>
      <c r="BA168">
        <v>178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ROUND(Y168*Source!I428,9)</f>
        <v>0.13159999999999999</v>
      </c>
      <c r="CY168">
        <f>AA168</f>
        <v>48.14</v>
      </c>
      <c r="CZ168">
        <f>AE168</f>
        <v>48.14</v>
      </c>
      <c r="DA168">
        <f>AI168</f>
        <v>1</v>
      </c>
      <c r="DB168">
        <f>ROUND(ROUND(AT168*CZ168,2),6)</f>
        <v>45.25</v>
      </c>
      <c r="DC168">
        <f>ROUND(ROUND(AT168*AG168,2),6)</f>
        <v>0</v>
      </c>
      <c r="DD168" t="s">
        <v>3</v>
      </c>
      <c r="DE168" t="s">
        <v>3</v>
      </c>
      <c r="DF168">
        <f t="shared" si="26"/>
        <v>6.34</v>
      </c>
      <c r="DG168">
        <f t="shared" si="23"/>
        <v>0</v>
      </c>
      <c r="DH168">
        <f t="shared" si="24"/>
        <v>0</v>
      </c>
      <c r="DI168">
        <f t="shared" si="25"/>
        <v>0</v>
      </c>
      <c r="DJ168">
        <f>DF168</f>
        <v>6.34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ROW(Source!A428)</f>
        <v>428</v>
      </c>
      <c r="B169">
        <v>59499218</v>
      </c>
      <c r="C169">
        <v>59500023</v>
      </c>
      <c r="D169">
        <v>0</v>
      </c>
      <c r="E169">
        <v>1080</v>
      </c>
      <c r="F169">
        <v>1</v>
      </c>
      <c r="G169">
        <v>1080</v>
      </c>
      <c r="H169">
        <v>3</v>
      </c>
      <c r="I169" t="s">
        <v>277</v>
      </c>
      <c r="J169" t="s">
        <v>3</v>
      </c>
      <c r="K169" t="s">
        <v>278</v>
      </c>
      <c r="L169">
        <v>1354</v>
      </c>
      <c r="N169">
        <v>1010</v>
      </c>
      <c r="O169" t="s">
        <v>124</v>
      </c>
      <c r="P169" t="s">
        <v>124</v>
      </c>
      <c r="Q169">
        <v>1</v>
      </c>
      <c r="W169">
        <v>0</v>
      </c>
      <c r="X169">
        <v>-234569777</v>
      </c>
      <c r="Y169">
        <f>AT169</f>
        <v>357.14285699999999</v>
      </c>
      <c r="AA169">
        <v>115.71</v>
      </c>
      <c r="AB169">
        <v>0</v>
      </c>
      <c r="AC169">
        <v>0</v>
      </c>
      <c r="AD169">
        <v>0</v>
      </c>
      <c r="AE169">
        <v>115.71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 t="s">
        <v>3</v>
      </c>
      <c r="AT169">
        <v>357.14285699999999</v>
      </c>
      <c r="AU169" t="s">
        <v>3</v>
      </c>
      <c r="AV169">
        <v>0</v>
      </c>
      <c r="AW169">
        <v>1</v>
      </c>
      <c r="AX169">
        <v>-1</v>
      </c>
      <c r="AY169">
        <v>0</v>
      </c>
      <c r="AZ169">
        <v>0</v>
      </c>
      <c r="BA169" t="s">
        <v>3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ROUND(Y169*Source!I428,9)</f>
        <v>49.999999979999998</v>
      </c>
      <c r="CY169">
        <f>AA169</f>
        <v>115.71</v>
      </c>
      <c r="CZ169">
        <f>AE169</f>
        <v>115.71</v>
      </c>
      <c r="DA169">
        <f>AI169</f>
        <v>1</v>
      </c>
      <c r="DB169">
        <f>ROUND(ROUND(AT169*CZ169,2),6)</f>
        <v>41325</v>
      </c>
      <c r="DC169">
        <f>ROUND(ROUND(AT169*AG169,2),6)</f>
        <v>0</v>
      </c>
      <c r="DD169" t="s">
        <v>3</v>
      </c>
      <c r="DE169" t="s">
        <v>3</v>
      </c>
      <c r="DF169">
        <f t="shared" si="26"/>
        <v>5785.5</v>
      </c>
      <c r="DG169">
        <f t="shared" si="23"/>
        <v>0</v>
      </c>
      <c r="DH169">
        <f t="shared" si="24"/>
        <v>0</v>
      </c>
      <c r="DI169">
        <f t="shared" si="25"/>
        <v>0</v>
      </c>
      <c r="DJ169">
        <f>DF169</f>
        <v>5785.5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ROW(Source!A429)</f>
        <v>429</v>
      </c>
      <c r="B170">
        <v>59499215</v>
      </c>
      <c r="C170">
        <v>59500023</v>
      </c>
      <c r="D170">
        <v>58532980</v>
      </c>
      <c r="E170">
        <v>1080</v>
      </c>
      <c r="F170">
        <v>1</v>
      </c>
      <c r="G170">
        <v>1080</v>
      </c>
      <c r="H170">
        <v>1</v>
      </c>
      <c r="I170" t="s">
        <v>302</v>
      </c>
      <c r="J170" t="s">
        <v>3</v>
      </c>
      <c r="K170" t="s">
        <v>303</v>
      </c>
      <c r="L170">
        <v>1191</v>
      </c>
      <c r="N170">
        <v>1013</v>
      </c>
      <c r="O170" t="s">
        <v>304</v>
      </c>
      <c r="P170" t="s">
        <v>304</v>
      </c>
      <c r="Q170">
        <v>1</v>
      </c>
      <c r="W170">
        <v>0</v>
      </c>
      <c r="X170">
        <v>476480486</v>
      </c>
      <c r="Y170">
        <f>((AT170*1.15)*1.1)</f>
        <v>21.049600000000002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5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16.64</v>
      </c>
      <c r="AU170" t="s">
        <v>40</v>
      </c>
      <c r="AV170">
        <v>1</v>
      </c>
      <c r="AW170">
        <v>2</v>
      </c>
      <c r="AX170">
        <v>59500125</v>
      </c>
      <c r="AY170">
        <v>1</v>
      </c>
      <c r="AZ170">
        <v>0</v>
      </c>
      <c r="BA170">
        <v>180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U170">
        <f>ROUND(AT170*Source!I429*AH170*AL170,2)</f>
        <v>0</v>
      </c>
      <c r="CV170">
        <f>ROUND(Y170*Source!I429,9)</f>
        <v>2.9469439999999998</v>
      </c>
      <c r="CW170">
        <v>0</v>
      </c>
      <c r="CX170">
        <f>ROUND(Y170*Source!I429,9)</f>
        <v>2.9469439999999998</v>
      </c>
      <c r="CY170">
        <f>AD170</f>
        <v>0</v>
      </c>
      <c r="CZ170">
        <f>AH170</f>
        <v>0</v>
      </c>
      <c r="DA170">
        <f>AL170</f>
        <v>1</v>
      </c>
      <c r="DB170">
        <f>ROUND(((ROUND(AT170*CZ170,2)*1.15)*1.1),6)</f>
        <v>0</v>
      </c>
      <c r="DC170">
        <f>ROUND(((ROUND(AT170*AG170,2)*1.15)*1.1),6)</f>
        <v>0</v>
      </c>
      <c r="DD170" t="s">
        <v>3</v>
      </c>
      <c r="DE170" t="s">
        <v>3</v>
      </c>
      <c r="DF170">
        <f t="shared" si="26"/>
        <v>0</v>
      </c>
      <c r="DG170">
        <f t="shared" si="23"/>
        <v>0</v>
      </c>
      <c r="DH170">
        <f t="shared" si="24"/>
        <v>0</v>
      </c>
      <c r="DI170">
        <f t="shared" si="25"/>
        <v>0</v>
      </c>
      <c r="DJ170">
        <f>DI170</f>
        <v>0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ROW(Source!A429)</f>
        <v>429</v>
      </c>
      <c r="B171">
        <v>59499215</v>
      </c>
      <c r="C171">
        <v>59500023</v>
      </c>
      <c r="D171">
        <v>58607154</v>
      </c>
      <c r="E171">
        <v>1</v>
      </c>
      <c r="F171">
        <v>1</v>
      </c>
      <c r="G171">
        <v>1080</v>
      </c>
      <c r="H171">
        <v>2</v>
      </c>
      <c r="I171" t="s">
        <v>308</v>
      </c>
      <c r="J171" t="s">
        <v>309</v>
      </c>
      <c r="K171" t="s">
        <v>310</v>
      </c>
      <c r="L171">
        <v>1368</v>
      </c>
      <c r="N171">
        <v>1011</v>
      </c>
      <c r="O171" t="s">
        <v>311</v>
      </c>
      <c r="P171" t="s">
        <v>311</v>
      </c>
      <c r="Q171">
        <v>1</v>
      </c>
      <c r="W171">
        <v>0</v>
      </c>
      <c r="X171">
        <v>-1985943078</v>
      </c>
      <c r="Y171">
        <f>((AT171*1.25)*1.1)</f>
        <v>2.7500000000000004E-2</v>
      </c>
      <c r="AA171">
        <v>0</v>
      </c>
      <c r="AB171">
        <v>1418.19</v>
      </c>
      <c r="AC171">
        <v>726.59</v>
      </c>
      <c r="AD171">
        <v>0</v>
      </c>
      <c r="AE171">
        <v>0</v>
      </c>
      <c r="AF171">
        <v>83.1</v>
      </c>
      <c r="AG171">
        <v>12.62</v>
      </c>
      <c r="AH171">
        <v>0</v>
      </c>
      <c r="AI171">
        <v>1</v>
      </c>
      <c r="AJ171">
        <v>16.3</v>
      </c>
      <c r="AK171">
        <v>54.99</v>
      </c>
      <c r="AL171">
        <v>1</v>
      </c>
      <c r="AM171">
        <v>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0.02</v>
      </c>
      <c r="AU171" t="s">
        <v>39</v>
      </c>
      <c r="AV171">
        <v>0</v>
      </c>
      <c r="AW171">
        <v>2</v>
      </c>
      <c r="AX171">
        <v>59500126</v>
      </c>
      <c r="AY171">
        <v>1</v>
      </c>
      <c r="AZ171">
        <v>0</v>
      </c>
      <c r="BA171">
        <v>181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f>ROUND(Y171*Source!I429*DO171,9)</f>
        <v>4.8586999999999998E-2</v>
      </c>
      <c r="CX171">
        <f>ROUND(Y171*Source!I429,9)</f>
        <v>3.8500000000000001E-3</v>
      </c>
      <c r="CY171">
        <f>AB171</f>
        <v>1418.19</v>
      </c>
      <c r="CZ171">
        <f>AF171</f>
        <v>83.1</v>
      </c>
      <c r="DA171">
        <f>AJ171</f>
        <v>16.3</v>
      </c>
      <c r="DB171">
        <f>ROUND(((ROUND(AT171*CZ171,2)*1.25)*1.1),6)</f>
        <v>2.2825000000000002</v>
      </c>
      <c r="DC171">
        <f>ROUND(((ROUND(AT171*AG171,2)*1.25)*1.1),6)</f>
        <v>0.34375</v>
      </c>
      <c r="DD171" t="s">
        <v>3</v>
      </c>
      <c r="DE171" t="s">
        <v>3</v>
      </c>
      <c r="DF171">
        <f t="shared" si="26"/>
        <v>0</v>
      </c>
      <c r="DG171">
        <f>ROUND(ROUND(AF171*AJ171,2)*CX171,2)</f>
        <v>5.21</v>
      </c>
      <c r="DH171">
        <f>ROUND(ROUND(AG171*AK171,2)*CX171,2)</f>
        <v>2.67</v>
      </c>
      <c r="DI171">
        <f t="shared" si="25"/>
        <v>0</v>
      </c>
      <c r="DJ171">
        <f>DG171</f>
        <v>5.21</v>
      </c>
      <c r="DK171">
        <v>0</v>
      </c>
      <c r="DL171" t="s">
        <v>312</v>
      </c>
      <c r="DM171">
        <v>0</v>
      </c>
      <c r="DN171" t="s">
        <v>304</v>
      </c>
      <c r="DO171">
        <v>12.62</v>
      </c>
    </row>
    <row r="172" spans="1:119" x14ac:dyDescent="0.2">
      <c r="A172">
        <f>ROW(Source!A429)</f>
        <v>429</v>
      </c>
      <c r="B172">
        <v>59499215</v>
      </c>
      <c r="C172">
        <v>59500023</v>
      </c>
      <c r="D172">
        <v>58607273</v>
      </c>
      <c r="E172">
        <v>1</v>
      </c>
      <c r="F172">
        <v>1</v>
      </c>
      <c r="G172">
        <v>1080</v>
      </c>
      <c r="H172">
        <v>2</v>
      </c>
      <c r="I172" t="s">
        <v>313</v>
      </c>
      <c r="J172" t="s">
        <v>314</v>
      </c>
      <c r="K172" t="s">
        <v>315</v>
      </c>
      <c r="L172">
        <v>1368</v>
      </c>
      <c r="N172">
        <v>1011</v>
      </c>
      <c r="O172" t="s">
        <v>311</v>
      </c>
      <c r="P172" t="s">
        <v>311</v>
      </c>
      <c r="Q172">
        <v>1</v>
      </c>
      <c r="W172">
        <v>0</v>
      </c>
      <c r="X172">
        <v>2147454900</v>
      </c>
      <c r="Y172">
        <f>((AT172*1.25)*1.1)</f>
        <v>5.8987500000000006</v>
      </c>
      <c r="AA172">
        <v>0</v>
      </c>
      <c r="AB172">
        <v>7.19</v>
      </c>
      <c r="AC172">
        <v>0</v>
      </c>
      <c r="AD172">
        <v>0</v>
      </c>
      <c r="AE172">
        <v>0</v>
      </c>
      <c r="AF172">
        <v>0.8</v>
      </c>
      <c r="AG172">
        <v>0</v>
      </c>
      <c r="AH172">
        <v>0</v>
      </c>
      <c r="AI172">
        <v>1</v>
      </c>
      <c r="AJ172">
        <v>8.59</v>
      </c>
      <c r="AK172">
        <v>54.99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4.29</v>
      </c>
      <c r="AU172" t="s">
        <v>39</v>
      </c>
      <c r="AV172">
        <v>0</v>
      </c>
      <c r="AW172">
        <v>2</v>
      </c>
      <c r="AX172">
        <v>59500127</v>
      </c>
      <c r="AY172">
        <v>1</v>
      </c>
      <c r="AZ172">
        <v>0</v>
      </c>
      <c r="BA172">
        <v>182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f>ROUND(Y172*Source!I429*DO172,9)</f>
        <v>0</v>
      </c>
      <c r="CX172">
        <f>ROUND(Y172*Source!I429,9)</f>
        <v>0.82582500000000003</v>
      </c>
      <c r="CY172">
        <f>AB172</f>
        <v>7.19</v>
      </c>
      <c r="CZ172">
        <f>AF172</f>
        <v>0.8</v>
      </c>
      <c r="DA172">
        <f>AJ172</f>
        <v>8.59</v>
      </c>
      <c r="DB172">
        <f>ROUND(((ROUND(AT172*CZ172,2)*1.25)*1.1),6)</f>
        <v>4.7162499999999996</v>
      </c>
      <c r="DC172">
        <f>ROUND(((ROUND(AT172*AG172,2)*1.25)*1.1),6)</f>
        <v>0</v>
      </c>
      <c r="DD172" t="s">
        <v>3</v>
      </c>
      <c r="DE172" t="s">
        <v>3</v>
      </c>
      <c r="DF172">
        <f t="shared" si="26"/>
        <v>0</v>
      </c>
      <c r="DG172">
        <f>ROUND(ROUND(AF172*AJ172,2)*CX172,2)</f>
        <v>5.67</v>
      </c>
      <c r="DH172">
        <f>ROUND(ROUND(AG172*AK172,2)*CX172,2)</f>
        <v>0</v>
      </c>
      <c r="DI172">
        <f t="shared" si="25"/>
        <v>0</v>
      </c>
      <c r="DJ172">
        <f>DG172</f>
        <v>5.67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ROW(Source!A429)</f>
        <v>429</v>
      </c>
      <c r="B173">
        <v>59499215</v>
      </c>
      <c r="C173">
        <v>59500023</v>
      </c>
      <c r="D173">
        <v>58607220</v>
      </c>
      <c r="E173">
        <v>1</v>
      </c>
      <c r="F173">
        <v>1</v>
      </c>
      <c r="G173">
        <v>1080</v>
      </c>
      <c r="H173">
        <v>2</v>
      </c>
      <c r="I173" t="s">
        <v>333</v>
      </c>
      <c r="J173" t="s">
        <v>334</v>
      </c>
      <c r="K173" t="s">
        <v>335</v>
      </c>
      <c r="L173">
        <v>1368</v>
      </c>
      <c r="N173">
        <v>1011</v>
      </c>
      <c r="O173" t="s">
        <v>311</v>
      </c>
      <c r="P173" t="s">
        <v>311</v>
      </c>
      <c r="Q173">
        <v>1</v>
      </c>
      <c r="W173">
        <v>0</v>
      </c>
      <c r="X173">
        <v>-1745985500</v>
      </c>
      <c r="Y173">
        <f>((AT173*1.25)*1.1)</f>
        <v>0.495</v>
      </c>
      <c r="AA173">
        <v>0</v>
      </c>
      <c r="AB173">
        <v>3.46</v>
      </c>
      <c r="AC173">
        <v>0</v>
      </c>
      <c r="AD173">
        <v>0</v>
      </c>
      <c r="AE173">
        <v>0</v>
      </c>
      <c r="AF173">
        <v>0.36</v>
      </c>
      <c r="AG173">
        <v>0</v>
      </c>
      <c r="AH173">
        <v>0</v>
      </c>
      <c r="AI173">
        <v>1</v>
      </c>
      <c r="AJ173">
        <v>9.17</v>
      </c>
      <c r="AK173">
        <v>54.99</v>
      </c>
      <c r="AL173">
        <v>1</v>
      </c>
      <c r="AM173">
        <v>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0.36</v>
      </c>
      <c r="AU173" t="s">
        <v>39</v>
      </c>
      <c r="AV173">
        <v>0</v>
      </c>
      <c r="AW173">
        <v>2</v>
      </c>
      <c r="AX173">
        <v>59500128</v>
      </c>
      <c r="AY173">
        <v>1</v>
      </c>
      <c r="AZ173">
        <v>0</v>
      </c>
      <c r="BA173">
        <v>183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f>ROUND(Y173*Source!I429*DO173,9)</f>
        <v>0</v>
      </c>
      <c r="CX173">
        <f>ROUND(Y173*Source!I429,9)</f>
        <v>6.93E-2</v>
      </c>
      <c r="CY173">
        <f>AB173</f>
        <v>3.46</v>
      </c>
      <c r="CZ173">
        <f>AF173</f>
        <v>0.36</v>
      </c>
      <c r="DA173">
        <f>AJ173</f>
        <v>9.17</v>
      </c>
      <c r="DB173">
        <f>ROUND(((ROUND(AT173*CZ173,2)*1.25)*1.1),6)</f>
        <v>0.17874999999999999</v>
      </c>
      <c r="DC173">
        <f>ROUND(((ROUND(AT173*AG173,2)*1.25)*1.1),6)</f>
        <v>0</v>
      </c>
      <c r="DD173" t="s">
        <v>3</v>
      </c>
      <c r="DE173" t="s">
        <v>3</v>
      </c>
      <c r="DF173">
        <f t="shared" si="26"/>
        <v>0</v>
      </c>
      <c r="DG173">
        <f>ROUND(ROUND(AF173*AJ173,2)*CX173,2)</f>
        <v>0.23</v>
      </c>
      <c r="DH173">
        <f>ROUND(ROUND(AG173*AK173,2)*CX173,2)</f>
        <v>0</v>
      </c>
      <c r="DI173">
        <f t="shared" si="25"/>
        <v>0</v>
      </c>
      <c r="DJ173">
        <f>DG173</f>
        <v>0.23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ROW(Source!A429)</f>
        <v>429</v>
      </c>
      <c r="B174">
        <v>59499215</v>
      </c>
      <c r="C174">
        <v>59500023</v>
      </c>
      <c r="D174">
        <v>58607239</v>
      </c>
      <c r="E174">
        <v>1</v>
      </c>
      <c r="F174">
        <v>1</v>
      </c>
      <c r="G174">
        <v>1080</v>
      </c>
      <c r="H174">
        <v>2</v>
      </c>
      <c r="I174" t="s">
        <v>336</v>
      </c>
      <c r="J174" t="s">
        <v>337</v>
      </c>
      <c r="K174" t="s">
        <v>338</v>
      </c>
      <c r="L174">
        <v>1368</v>
      </c>
      <c r="N174">
        <v>1011</v>
      </c>
      <c r="O174" t="s">
        <v>311</v>
      </c>
      <c r="P174" t="s">
        <v>311</v>
      </c>
      <c r="Q174">
        <v>1</v>
      </c>
      <c r="W174">
        <v>0</v>
      </c>
      <c r="X174">
        <v>1645565003</v>
      </c>
      <c r="Y174">
        <f>((AT174*1.25)*1.1)</f>
        <v>8.0300000000000011</v>
      </c>
      <c r="AA174">
        <v>0</v>
      </c>
      <c r="AB174">
        <v>4.3</v>
      </c>
      <c r="AC174">
        <v>0</v>
      </c>
      <c r="AD174">
        <v>0</v>
      </c>
      <c r="AE174">
        <v>0</v>
      </c>
      <c r="AF174">
        <v>0.47</v>
      </c>
      <c r="AG174">
        <v>0</v>
      </c>
      <c r="AH174">
        <v>0</v>
      </c>
      <c r="AI174">
        <v>1</v>
      </c>
      <c r="AJ174">
        <v>8.74</v>
      </c>
      <c r="AK174">
        <v>54.99</v>
      </c>
      <c r="AL174">
        <v>1</v>
      </c>
      <c r="AM174">
        <v>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5.84</v>
      </c>
      <c r="AU174" t="s">
        <v>39</v>
      </c>
      <c r="AV174">
        <v>0</v>
      </c>
      <c r="AW174">
        <v>2</v>
      </c>
      <c r="AX174">
        <v>59500129</v>
      </c>
      <c r="AY174">
        <v>1</v>
      </c>
      <c r="AZ174">
        <v>0</v>
      </c>
      <c r="BA174">
        <v>184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ROUND(Y174*Source!I429*DO174,9)</f>
        <v>0</v>
      </c>
      <c r="CX174">
        <f>ROUND(Y174*Source!I429,9)</f>
        <v>1.1242000000000001</v>
      </c>
      <c r="CY174">
        <f>AB174</f>
        <v>4.3</v>
      </c>
      <c r="CZ174">
        <f>AF174</f>
        <v>0.47</v>
      </c>
      <c r="DA174">
        <f>AJ174</f>
        <v>8.74</v>
      </c>
      <c r="DB174">
        <f>ROUND(((ROUND(AT174*CZ174,2)*1.25)*1.1),6)</f>
        <v>3.7675000000000001</v>
      </c>
      <c r="DC174">
        <f>ROUND(((ROUND(AT174*AG174,2)*1.25)*1.1),6)</f>
        <v>0</v>
      </c>
      <c r="DD174" t="s">
        <v>3</v>
      </c>
      <c r="DE174" t="s">
        <v>3</v>
      </c>
      <c r="DF174">
        <f t="shared" si="26"/>
        <v>0</v>
      </c>
      <c r="DG174">
        <f>ROUND(ROUND(AF174*AJ174,2)*CX174,2)</f>
        <v>4.62</v>
      </c>
      <c r="DH174">
        <f>ROUND(ROUND(AG174*AK174,2)*CX174,2)</f>
        <v>0</v>
      </c>
      <c r="DI174">
        <f t="shared" si="25"/>
        <v>0</v>
      </c>
      <c r="DJ174">
        <f>DG174</f>
        <v>4.62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ROW(Source!A429)</f>
        <v>429</v>
      </c>
      <c r="B175">
        <v>59499215</v>
      </c>
      <c r="C175">
        <v>59500023</v>
      </c>
      <c r="D175">
        <v>58575388</v>
      </c>
      <c r="E175">
        <v>1</v>
      </c>
      <c r="F175">
        <v>1</v>
      </c>
      <c r="G175">
        <v>1080</v>
      </c>
      <c r="H175">
        <v>3</v>
      </c>
      <c r="I175" t="s">
        <v>339</v>
      </c>
      <c r="J175" t="s">
        <v>340</v>
      </c>
      <c r="K175" t="s">
        <v>341</v>
      </c>
      <c r="L175">
        <v>1346</v>
      </c>
      <c r="N175">
        <v>1009</v>
      </c>
      <c r="O175" t="s">
        <v>319</v>
      </c>
      <c r="P175" t="s">
        <v>319</v>
      </c>
      <c r="Q175">
        <v>1</v>
      </c>
      <c r="W175">
        <v>0</v>
      </c>
      <c r="X175">
        <v>1706448463</v>
      </c>
      <c r="Y175">
        <f>AT175</f>
        <v>0.94</v>
      </c>
      <c r="AA175">
        <v>202.67</v>
      </c>
      <c r="AB175">
        <v>0</v>
      </c>
      <c r="AC175">
        <v>0</v>
      </c>
      <c r="AD175">
        <v>0</v>
      </c>
      <c r="AE175">
        <v>48.14</v>
      </c>
      <c r="AF175">
        <v>0</v>
      </c>
      <c r="AG175">
        <v>0</v>
      </c>
      <c r="AH175">
        <v>0</v>
      </c>
      <c r="AI175">
        <v>4.21</v>
      </c>
      <c r="AJ175">
        <v>1</v>
      </c>
      <c r="AK175">
        <v>1</v>
      </c>
      <c r="AL175">
        <v>1</v>
      </c>
      <c r="AM175">
        <v>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0.94</v>
      </c>
      <c r="AU175" t="s">
        <v>3</v>
      </c>
      <c r="AV175">
        <v>0</v>
      </c>
      <c r="AW175">
        <v>2</v>
      </c>
      <c r="AX175">
        <v>59500130</v>
      </c>
      <c r="AY175">
        <v>1</v>
      </c>
      <c r="AZ175">
        <v>0</v>
      </c>
      <c r="BA175">
        <v>185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ROUND(Y175*Source!I429,9)</f>
        <v>0.13159999999999999</v>
      </c>
      <c r="CY175">
        <f>AA175</f>
        <v>202.67</v>
      </c>
      <c r="CZ175">
        <f>AE175</f>
        <v>48.14</v>
      </c>
      <c r="DA175">
        <f>AI175</f>
        <v>4.21</v>
      </c>
      <c r="DB175">
        <f>ROUND(ROUND(AT175*CZ175,2),6)</f>
        <v>45.25</v>
      </c>
      <c r="DC175">
        <f>ROUND(ROUND(AT175*AG175,2),6)</f>
        <v>0</v>
      </c>
      <c r="DD175" t="s">
        <v>3</v>
      </c>
      <c r="DE175" t="s">
        <v>3</v>
      </c>
      <c r="DF175">
        <f>ROUND(ROUND(AE175*AI175,2)*CX175,2)</f>
        <v>26.67</v>
      </c>
      <c r="DG175">
        <f>ROUND(ROUND(AF175,2)*CX175,2)</f>
        <v>0</v>
      </c>
      <c r="DH175">
        <f>ROUND(ROUND(AG175,2)*CX175,2)</f>
        <v>0</v>
      </c>
      <c r="DI175">
        <f t="shared" si="25"/>
        <v>0</v>
      </c>
      <c r="DJ175">
        <f>DF175</f>
        <v>26.67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ROW(Source!A429)</f>
        <v>429</v>
      </c>
      <c r="B176">
        <v>59499215</v>
      </c>
      <c r="C176">
        <v>59500023</v>
      </c>
      <c r="D176">
        <v>0</v>
      </c>
      <c r="E176">
        <v>1080</v>
      </c>
      <c r="F176">
        <v>1</v>
      </c>
      <c r="G176">
        <v>1080</v>
      </c>
      <c r="H176">
        <v>3</v>
      </c>
      <c r="I176" t="s">
        <v>277</v>
      </c>
      <c r="J176" t="s">
        <v>3</v>
      </c>
      <c r="K176" t="s">
        <v>278</v>
      </c>
      <c r="L176">
        <v>1354</v>
      </c>
      <c r="N176">
        <v>1010</v>
      </c>
      <c r="O176" t="s">
        <v>124</v>
      </c>
      <c r="P176" t="s">
        <v>124</v>
      </c>
      <c r="Q176">
        <v>1</v>
      </c>
      <c r="W176">
        <v>0</v>
      </c>
      <c r="X176">
        <v>-234569777</v>
      </c>
      <c r="Y176">
        <f>AT176</f>
        <v>357.14285699999999</v>
      </c>
      <c r="AA176">
        <v>1143.21</v>
      </c>
      <c r="AB176">
        <v>0</v>
      </c>
      <c r="AC176">
        <v>0</v>
      </c>
      <c r="AD176">
        <v>0</v>
      </c>
      <c r="AE176">
        <v>115.71</v>
      </c>
      <c r="AF176">
        <v>0</v>
      </c>
      <c r="AG176">
        <v>0</v>
      </c>
      <c r="AH176">
        <v>0</v>
      </c>
      <c r="AI176">
        <v>9.8800000000000008</v>
      </c>
      <c r="AJ176">
        <v>1</v>
      </c>
      <c r="AK176">
        <v>1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 t="s">
        <v>3</v>
      </c>
      <c r="AT176">
        <v>357.14285699999999</v>
      </c>
      <c r="AU176" t="s">
        <v>3</v>
      </c>
      <c r="AV176">
        <v>0</v>
      </c>
      <c r="AW176">
        <v>1</v>
      </c>
      <c r="AX176">
        <v>-1</v>
      </c>
      <c r="AY176">
        <v>0</v>
      </c>
      <c r="AZ176">
        <v>0</v>
      </c>
      <c r="BA176" t="s">
        <v>3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ROUND(Y176*Source!I429,9)</f>
        <v>49.999999979999998</v>
      </c>
      <c r="CY176">
        <f>AA176</f>
        <v>1143.21</v>
      </c>
      <c r="CZ176">
        <f>AE176</f>
        <v>115.71</v>
      </c>
      <c r="DA176">
        <f>AI176</f>
        <v>9.8800000000000008</v>
      </c>
      <c r="DB176">
        <f>ROUND(ROUND(AT176*CZ176,2),6)</f>
        <v>41325</v>
      </c>
      <c r="DC176">
        <f>ROUND(ROUND(AT176*AG176,2),6)</f>
        <v>0</v>
      </c>
      <c r="DD176" t="s">
        <v>3</v>
      </c>
      <c r="DE176" t="s">
        <v>3</v>
      </c>
      <c r="DF176">
        <f>ROUND(ROUND(AE176*AI176,2)*CX176,2)</f>
        <v>57160.5</v>
      </c>
      <c r="DG176">
        <f>ROUND(ROUND(AF176,2)*CX176,2)</f>
        <v>0</v>
      </c>
      <c r="DH176">
        <f>ROUND(ROUND(AG176,2)*CX176,2)</f>
        <v>0</v>
      </c>
      <c r="DI176">
        <f t="shared" si="25"/>
        <v>0</v>
      </c>
      <c r="DJ176">
        <f>DF176</f>
        <v>57160.5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8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ROW(Source!A32)</f>
        <v>32</v>
      </c>
      <c r="B1">
        <v>59500039</v>
      </c>
      <c r="C1">
        <v>59499342</v>
      </c>
      <c r="D1">
        <v>58532980</v>
      </c>
      <c r="E1">
        <v>1080</v>
      </c>
      <c r="F1">
        <v>1</v>
      </c>
      <c r="G1">
        <v>1080</v>
      </c>
      <c r="H1">
        <v>1</v>
      </c>
      <c r="I1" t="s">
        <v>302</v>
      </c>
      <c r="J1" t="s">
        <v>3</v>
      </c>
      <c r="K1" t="s">
        <v>303</v>
      </c>
      <c r="L1">
        <v>1191</v>
      </c>
      <c r="N1">
        <v>1013</v>
      </c>
      <c r="O1" t="s">
        <v>304</v>
      </c>
      <c r="P1" t="s">
        <v>304</v>
      </c>
      <c r="Q1">
        <v>1</v>
      </c>
      <c r="X1">
        <v>0.63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40</v>
      </c>
      <c r="AG1">
        <v>0.79694999999999994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ROW(Source!A32)</f>
        <v>32</v>
      </c>
      <c r="B2">
        <v>59500040</v>
      </c>
      <c r="C2">
        <v>59499342</v>
      </c>
      <c r="D2">
        <v>58577874</v>
      </c>
      <c r="E2">
        <v>1</v>
      </c>
      <c r="F2">
        <v>1</v>
      </c>
      <c r="G2">
        <v>1080</v>
      </c>
      <c r="H2">
        <v>3</v>
      </c>
      <c r="I2" t="s">
        <v>342</v>
      </c>
      <c r="J2" t="s">
        <v>343</v>
      </c>
      <c r="K2" t="s">
        <v>344</v>
      </c>
      <c r="L2">
        <v>1348</v>
      </c>
      <c r="N2">
        <v>1009</v>
      </c>
      <c r="O2" t="s">
        <v>242</v>
      </c>
      <c r="P2" t="s">
        <v>242</v>
      </c>
      <c r="Q2">
        <v>1000</v>
      </c>
      <c r="X2">
        <v>1.0000000000000001E-5</v>
      </c>
      <c r="Y2">
        <v>10643.18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3</v>
      </c>
      <c r="AG2">
        <v>1.0000000000000001E-5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ROW(Source!A32)</f>
        <v>32</v>
      </c>
      <c r="B3">
        <v>59500041</v>
      </c>
      <c r="C3">
        <v>59499342</v>
      </c>
      <c r="D3">
        <v>58577946</v>
      </c>
      <c r="E3">
        <v>1</v>
      </c>
      <c r="F3">
        <v>1</v>
      </c>
      <c r="G3">
        <v>1080</v>
      </c>
      <c r="H3">
        <v>3</v>
      </c>
      <c r="I3" t="s">
        <v>345</v>
      </c>
      <c r="J3" t="s">
        <v>346</v>
      </c>
      <c r="K3" t="s">
        <v>347</v>
      </c>
      <c r="L3">
        <v>1355</v>
      </c>
      <c r="N3">
        <v>1010</v>
      </c>
      <c r="O3" t="s">
        <v>21</v>
      </c>
      <c r="P3" t="s">
        <v>21</v>
      </c>
      <c r="Q3">
        <v>100</v>
      </c>
      <c r="X3">
        <v>0.02</v>
      </c>
      <c r="Y3">
        <v>10.6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3</v>
      </c>
      <c r="AG3">
        <v>0.02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ROW(Source!A32)</f>
        <v>32</v>
      </c>
      <c r="B4">
        <v>59500042</v>
      </c>
      <c r="C4">
        <v>59499342</v>
      </c>
      <c r="D4">
        <v>58559260</v>
      </c>
      <c r="E4">
        <v>1080</v>
      </c>
      <c r="F4">
        <v>1</v>
      </c>
      <c r="G4">
        <v>1080</v>
      </c>
      <c r="H4">
        <v>3</v>
      </c>
      <c r="I4" t="s">
        <v>348</v>
      </c>
      <c r="J4" t="s">
        <v>3</v>
      </c>
      <c r="K4" t="s">
        <v>349</v>
      </c>
      <c r="L4">
        <v>1354</v>
      </c>
      <c r="N4">
        <v>1010</v>
      </c>
      <c r="O4" t="s">
        <v>124</v>
      </c>
      <c r="P4" t="s">
        <v>124</v>
      </c>
      <c r="Q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3</v>
      </c>
      <c r="AG4">
        <v>1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ROW(Source!A33)</f>
        <v>33</v>
      </c>
      <c r="B5">
        <v>59500039</v>
      </c>
      <c r="C5">
        <v>59499342</v>
      </c>
      <c r="D5">
        <v>58532980</v>
      </c>
      <c r="E5">
        <v>1080</v>
      </c>
      <c r="F5">
        <v>1</v>
      </c>
      <c r="G5">
        <v>1080</v>
      </c>
      <c r="H5">
        <v>1</v>
      </c>
      <c r="I5" t="s">
        <v>302</v>
      </c>
      <c r="J5" t="s">
        <v>3</v>
      </c>
      <c r="K5" t="s">
        <v>303</v>
      </c>
      <c r="L5">
        <v>1191</v>
      </c>
      <c r="N5">
        <v>1013</v>
      </c>
      <c r="O5" t="s">
        <v>304</v>
      </c>
      <c r="P5" t="s">
        <v>304</v>
      </c>
      <c r="Q5">
        <v>1</v>
      </c>
      <c r="X5">
        <v>0.63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40</v>
      </c>
      <c r="AG5">
        <v>0.79694999999999994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ROW(Source!A33)</f>
        <v>33</v>
      </c>
      <c r="B6">
        <v>59500040</v>
      </c>
      <c r="C6">
        <v>59499342</v>
      </c>
      <c r="D6">
        <v>58577874</v>
      </c>
      <c r="E6">
        <v>1</v>
      </c>
      <c r="F6">
        <v>1</v>
      </c>
      <c r="G6">
        <v>1080</v>
      </c>
      <c r="H6">
        <v>3</v>
      </c>
      <c r="I6" t="s">
        <v>342</v>
      </c>
      <c r="J6" t="s">
        <v>343</v>
      </c>
      <c r="K6" t="s">
        <v>344</v>
      </c>
      <c r="L6">
        <v>1348</v>
      </c>
      <c r="N6">
        <v>1009</v>
      </c>
      <c r="O6" t="s">
        <v>242</v>
      </c>
      <c r="P6" t="s">
        <v>242</v>
      </c>
      <c r="Q6">
        <v>1000</v>
      </c>
      <c r="X6">
        <v>1.0000000000000001E-5</v>
      </c>
      <c r="Y6">
        <v>10643.18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</v>
      </c>
      <c r="AG6">
        <v>1.0000000000000001E-5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ROW(Source!A33)</f>
        <v>33</v>
      </c>
      <c r="B7">
        <v>59500041</v>
      </c>
      <c r="C7">
        <v>59499342</v>
      </c>
      <c r="D7">
        <v>58577946</v>
      </c>
      <c r="E7">
        <v>1</v>
      </c>
      <c r="F7">
        <v>1</v>
      </c>
      <c r="G7">
        <v>1080</v>
      </c>
      <c r="H7">
        <v>3</v>
      </c>
      <c r="I7" t="s">
        <v>345</v>
      </c>
      <c r="J7" t="s">
        <v>346</v>
      </c>
      <c r="K7" t="s">
        <v>347</v>
      </c>
      <c r="L7">
        <v>1355</v>
      </c>
      <c r="N7">
        <v>1010</v>
      </c>
      <c r="O7" t="s">
        <v>21</v>
      </c>
      <c r="P7" t="s">
        <v>21</v>
      </c>
      <c r="Q7">
        <v>100</v>
      </c>
      <c r="X7">
        <v>0.02</v>
      </c>
      <c r="Y7">
        <v>10.6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3</v>
      </c>
      <c r="AG7">
        <v>0.02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ROW(Source!A33)</f>
        <v>33</v>
      </c>
      <c r="B8">
        <v>59500042</v>
      </c>
      <c r="C8">
        <v>59499342</v>
      </c>
      <c r="D8">
        <v>58559260</v>
      </c>
      <c r="E8">
        <v>1080</v>
      </c>
      <c r="F8">
        <v>1</v>
      </c>
      <c r="G8">
        <v>1080</v>
      </c>
      <c r="H8">
        <v>3</v>
      </c>
      <c r="I8" t="s">
        <v>348</v>
      </c>
      <c r="J8" t="s">
        <v>3</v>
      </c>
      <c r="K8" t="s">
        <v>349</v>
      </c>
      <c r="L8">
        <v>1354</v>
      </c>
      <c r="N8">
        <v>1010</v>
      </c>
      <c r="O8" t="s">
        <v>124</v>
      </c>
      <c r="P8" t="s">
        <v>124</v>
      </c>
      <c r="Q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3</v>
      </c>
      <c r="AG8">
        <v>1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ROW(Source!A165)</f>
        <v>165</v>
      </c>
      <c r="B9">
        <v>59500043</v>
      </c>
      <c r="C9">
        <v>59499536</v>
      </c>
      <c r="D9">
        <v>58532980</v>
      </c>
      <c r="E9">
        <v>1080</v>
      </c>
      <c r="F9">
        <v>1</v>
      </c>
      <c r="G9">
        <v>1080</v>
      </c>
      <c r="H9">
        <v>1</v>
      </c>
      <c r="I9" t="s">
        <v>302</v>
      </c>
      <c r="J9" t="s">
        <v>3</v>
      </c>
      <c r="K9" t="s">
        <v>303</v>
      </c>
      <c r="L9">
        <v>1191</v>
      </c>
      <c r="N9">
        <v>1013</v>
      </c>
      <c r="O9" t="s">
        <v>304</v>
      </c>
      <c r="P9" t="s">
        <v>304</v>
      </c>
      <c r="Q9">
        <v>1</v>
      </c>
      <c r="X9">
        <v>0.52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40</v>
      </c>
      <c r="AG9">
        <v>0.65780000000000005</v>
      </c>
      <c r="AH9">
        <v>2</v>
      </c>
      <c r="AI9">
        <v>59499537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ROW(Source!A165)</f>
        <v>165</v>
      </c>
      <c r="B10">
        <v>59500044</v>
      </c>
      <c r="C10">
        <v>59499536</v>
      </c>
      <c r="D10">
        <v>58576492</v>
      </c>
      <c r="E10">
        <v>1</v>
      </c>
      <c r="F10">
        <v>1</v>
      </c>
      <c r="G10">
        <v>1080</v>
      </c>
      <c r="H10">
        <v>3</v>
      </c>
      <c r="I10" t="s">
        <v>305</v>
      </c>
      <c r="J10" t="s">
        <v>306</v>
      </c>
      <c r="K10" t="s">
        <v>307</v>
      </c>
      <c r="L10">
        <v>1348</v>
      </c>
      <c r="N10">
        <v>1009</v>
      </c>
      <c r="O10" t="s">
        <v>242</v>
      </c>
      <c r="P10" t="s">
        <v>242</v>
      </c>
      <c r="Q10">
        <v>1000</v>
      </c>
      <c r="X10">
        <v>3.0000000000000001E-5</v>
      </c>
      <c r="Y10">
        <v>16735.689999999999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</v>
      </c>
      <c r="AG10">
        <v>3.0000000000000001E-5</v>
      </c>
      <c r="AH10">
        <v>2</v>
      </c>
      <c r="AI10">
        <v>59499538</v>
      </c>
      <c r="AJ10">
        <v>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ROW(Source!A165)</f>
        <v>165</v>
      </c>
      <c r="B11">
        <v>59500045</v>
      </c>
      <c r="C11">
        <v>59499536</v>
      </c>
      <c r="D11">
        <v>58559696</v>
      </c>
      <c r="E11">
        <v>1080</v>
      </c>
      <c r="F11">
        <v>1</v>
      </c>
      <c r="G11">
        <v>1080</v>
      </c>
      <c r="H11">
        <v>3</v>
      </c>
      <c r="I11" t="s">
        <v>350</v>
      </c>
      <c r="J11" t="s">
        <v>3</v>
      </c>
      <c r="K11" t="s">
        <v>351</v>
      </c>
      <c r="L11">
        <v>1354</v>
      </c>
      <c r="N11">
        <v>1010</v>
      </c>
      <c r="O11" t="s">
        <v>124</v>
      </c>
      <c r="P11" t="s">
        <v>124</v>
      </c>
      <c r="Q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3</v>
      </c>
      <c r="AG11">
        <v>1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ROW(Source!A166)</f>
        <v>166</v>
      </c>
      <c r="B12">
        <v>59500043</v>
      </c>
      <c r="C12">
        <v>59499536</v>
      </c>
      <c r="D12">
        <v>58532980</v>
      </c>
      <c r="E12">
        <v>1080</v>
      </c>
      <c r="F12">
        <v>1</v>
      </c>
      <c r="G12">
        <v>1080</v>
      </c>
      <c r="H12">
        <v>1</v>
      </c>
      <c r="I12" t="s">
        <v>302</v>
      </c>
      <c r="J12" t="s">
        <v>3</v>
      </c>
      <c r="K12" t="s">
        <v>303</v>
      </c>
      <c r="L12">
        <v>1191</v>
      </c>
      <c r="N12">
        <v>1013</v>
      </c>
      <c r="O12" t="s">
        <v>304</v>
      </c>
      <c r="P12" t="s">
        <v>304</v>
      </c>
      <c r="Q12">
        <v>1</v>
      </c>
      <c r="X12">
        <v>0.52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 t="s">
        <v>40</v>
      </c>
      <c r="AG12">
        <v>0.65780000000000005</v>
      </c>
      <c r="AH12">
        <v>2</v>
      </c>
      <c r="AI12">
        <v>59499537</v>
      </c>
      <c r="AJ12">
        <v>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ROW(Source!A166)</f>
        <v>166</v>
      </c>
      <c r="B13">
        <v>59500044</v>
      </c>
      <c r="C13">
        <v>59499536</v>
      </c>
      <c r="D13">
        <v>58576492</v>
      </c>
      <c r="E13">
        <v>1</v>
      </c>
      <c r="F13">
        <v>1</v>
      </c>
      <c r="G13">
        <v>1080</v>
      </c>
      <c r="H13">
        <v>3</v>
      </c>
      <c r="I13" t="s">
        <v>305</v>
      </c>
      <c r="J13" t="s">
        <v>306</v>
      </c>
      <c r="K13" t="s">
        <v>307</v>
      </c>
      <c r="L13">
        <v>1348</v>
      </c>
      <c r="N13">
        <v>1009</v>
      </c>
      <c r="O13" t="s">
        <v>242</v>
      </c>
      <c r="P13" t="s">
        <v>242</v>
      </c>
      <c r="Q13">
        <v>1000</v>
      </c>
      <c r="X13">
        <v>3.0000000000000001E-5</v>
      </c>
      <c r="Y13">
        <v>16735.689999999999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</v>
      </c>
      <c r="AG13">
        <v>3.0000000000000001E-5</v>
      </c>
      <c r="AH13">
        <v>2</v>
      </c>
      <c r="AI13">
        <v>59499538</v>
      </c>
      <c r="AJ13">
        <v>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ROW(Source!A166)</f>
        <v>166</v>
      </c>
      <c r="B14">
        <v>59500045</v>
      </c>
      <c r="C14">
        <v>59499536</v>
      </c>
      <c r="D14">
        <v>58559696</v>
      </c>
      <c r="E14">
        <v>1080</v>
      </c>
      <c r="F14">
        <v>1</v>
      </c>
      <c r="G14">
        <v>1080</v>
      </c>
      <c r="H14">
        <v>3</v>
      </c>
      <c r="I14" t="s">
        <v>350</v>
      </c>
      <c r="J14" t="s">
        <v>3</v>
      </c>
      <c r="K14" t="s">
        <v>351</v>
      </c>
      <c r="L14">
        <v>1354</v>
      </c>
      <c r="N14">
        <v>1010</v>
      </c>
      <c r="O14" t="s">
        <v>124</v>
      </c>
      <c r="P14" t="s">
        <v>124</v>
      </c>
      <c r="Q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3</v>
      </c>
      <c r="AG14">
        <v>1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ROW(Source!A169)</f>
        <v>169</v>
      </c>
      <c r="B15">
        <v>59500046</v>
      </c>
      <c r="C15">
        <v>59499544</v>
      </c>
      <c r="D15">
        <v>58532980</v>
      </c>
      <c r="E15">
        <v>1080</v>
      </c>
      <c r="F15">
        <v>1</v>
      </c>
      <c r="G15">
        <v>1080</v>
      </c>
      <c r="H15">
        <v>1</v>
      </c>
      <c r="I15" t="s">
        <v>302</v>
      </c>
      <c r="J15" t="s">
        <v>3</v>
      </c>
      <c r="K15" t="s">
        <v>303</v>
      </c>
      <c r="L15">
        <v>1191</v>
      </c>
      <c r="N15">
        <v>1013</v>
      </c>
      <c r="O15" t="s">
        <v>304</v>
      </c>
      <c r="P15" t="s">
        <v>304</v>
      </c>
      <c r="Q15">
        <v>1</v>
      </c>
      <c r="X15">
        <v>0.52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40</v>
      </c>
      <c r="AG15">
        <v>0.65780000000000005</v>
      </c>
      <c r="AH15">
        <v>2</v>
      </c>
      <c r="AI15">
        <v>59499545</v>
      </c>
      <c r="AJ15">
        <v>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ROW(Source!A169)</f>
        <v>169</v>
      </c>
      <c r="B16">
        <v>59500047</v>
      </c>
      <c r="C16">
        <v>59499544</v>
      </c>
      <c r="D16">
        <v>58576492</v>
      </c>
      <c r="E16">
        <v>1</v>
      </c>
      <c r="F16">
        <v>1</v>
      </c>
      <c r="G16">
        <v>1080</v>
      </c>
      <c r="H16">
        <v>3</v>
      </c>
      <c r="I16" t="s">
        <v>305</v>
      </c>
      <c r="J16" t="s">
        <v>306</v>
      </c>
      <c r="K16" t="s">
        <v>307</v>
      </c>
      <c r="L16">
        <v>1348</v>
      </c>
      <c r="N16">
        <v>1009</v>
      </c>
      <c r="O16" t="s">
        <v>242</v>
      </c>
      <c r="P16" t="s">
        <v>242</v>
      </c>
      <c r="Q16">
        <v>1000</v>
      </c>
      <c r="X16">
        <v>3.0000000000000001E-5</v>
      </c>
      <c r="Y16">
        <v>16735.689999999999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3</v>
      </c>
      <c r="AG16">
        <v>3.0000000000000001E-5</v>
      </c>
      <c r="AH16">
        <v>2</v>
      </c>
      <c r="AI16">
        <v>59499546</v>
      </c>
      <c r="AJ16">
        <v>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ROW(Source!A169)</f>
        <v>169</v>
      </c>
      <c r="B17">
        <v>59500048</v>
      </c>
      <c r="C17">
        <v>59499544</v>
      </c>
      <c r="D17">
        <v>58559696</v>
      </c>
      <c r="E17">
        <v>1080</v>
      </c>
      <c r="F17">
        <v>1</v>
      </c>
      <c r="G17">
        <v>1080</v>
      </c>
      <c r="H17">
        <v>3</v>
      </c>
      <c r="I17" t="s">
        <v>350</v>
      </c>
      <c r="J17" t="s">
        <v>3</v>
      </c>
      <c r="K17" t="s">
        <v>351</v>
      </c>
      <c r="L17">
        <v>1354</v>
      </c>
      <c r="N17">
        <v>1010</v>
      </c>
      <c r="O17" t="s">
        <v>124</v>
      </c>
      <c r="P17" t="s">
        <v>124</v>
      </c>
      <c r="Q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3</v>
      </c>
      <c r="AG17">
        <v>1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ROW(Source!A170)</f>
        <v>170</v>
      </c>
      <c r="B18">
        <v>59500046</v>
      </c>
      <c r="C18">
        <v>59499544</v>
      </c>
      <c r="D18">
        <v>58532980</v>
      </c>
      <c r="E18">
        <v>1080</v>
      </c>
      <c r="F18">
        <v>1</v>
      </c>
      <c r="G18">
        <v>1080</v>
      </c>
      <c r="H18">
        <v>1</v>
      </c>
      <c r="I18" t="s">
        <v>302</v>
      </c>
      <c r="J18" t="s">
        <v>3</v>
      </c>
      <c r="K18" t="s">
        <v>303</v>
      </c>
      <c r="L18">
        <v>1191</v>
      </c>
      <c r="N18">
        <v>1013</v>
      </c>
      <c r="O18" t="s">
        <v>304</v>
      </c>
      <c r="P18" t="s">
        <v>304</v>
      </c>
      <c r="Q18">
        <v>1</v>
      </c>
      <c r="X18">
        <v>0.52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 t="s">
        <v>40</v>
      </c>
      <c r="AG18">
        <v>0.65780000000000005</v>
      </c>
      <c r="AH18">
        <v>2</v>
      </c>
      <c r="AI18">
        <v>59499545</v>
      </c>
      <c r="AJ18">
        <v>10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ROW(Source!A170)</f>
        <v>170</v>
      </c>
      <c r="B19">
        <v>59500047</v>
      </c>
      <c r="C19">
        <v>59499544</v>
      </c>
      <c r="D19">
        <v>58576492</v>
      </c>
      <c r="E19">
        <v>1</v>
      </c>
      <c r="F19">
        <v>1</v>
      </c>
      <c r="G19">
        <v>1080</v>
      </c>
      <c r="H19">
        <v>3</v>
      </c>
      <c r="I19" t="s">
        <v>305</v>
      </c>
      <c r="J19" t="s">
        <v>306</v>
      </c>
      <c r="K19" t="s">
        <v>307</v>
      </c>
      <c r="L19">
        <v>1348</v>
      </c>
      <c r="N19">
        <v>1009</v>
      </c>
      <c r="O19" t="s">
        <v>242</v>
      </c>
      <c r="P19" t="s">
        <v>242</v>
      </c>
      <c r="Q19">
        <v>1000</v>
      </c>
      <c r="X19">
        <v>3.0000000000000001E-5</v>
      </c>
      <c r="Y19">
        <v>16735.689999999999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</v>
      </c>
      <c r="AG19">
        <v>3.0000000000000001E-5</v>
      </c>
      <c r="AH19">
        <v>2</v>
      </c>
      <c r="AI19">
        <v>59499546</v>
      </c>
      <c r="AJ19">
        <v>11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ROW(Source!A170)</f>
        <v>170</v>
      </c>
      <c r="B20">
        <v>59500048</v>
      </c>
      <c r="C20">
        <v>59499544</v>
      </c>
      <c r="D20">
        <v>58559696</v>
      </c>
      <c r="E20">
        <v>1080</v>
      </c>
      <c r="F20">
        <v>1</v>
      </c>
      <c r="G20">
        <v>1080</v>
      </c>
      <c r="H20">
        <v>3</v>
      </c>
      <c r="I20" t="s">
        <v>350</v>
      </c>
      <c r="J20" t="s">
        <v>3</v>
      </c>
      <c r="K20" t="s">
        <v>351</v>
      </c>
      <c r="L20">
        <v>1354</v>
      </c>
      <c r="N20">
        <v>1010</v>
      </c>
      <c r="O20" t="s">
        <v>124</v>
      </c>
      <c r="P20" t="s">
        <v>124</v>
      </c>
      <c r="Q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3</v>
      </c>
      <c r="AG20">
        <v>1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ROW(Source!A173)</f>
        <v>173</v>
      </c>
      <c r="B21">
        <v>59500049</v>
      </c>
      <c r="C21">
        <v>59499552</v>
      </c>
      <c r="D21">
        <v>58532980</v>
      </c>
      <c r="E21">
        <v>1080</v>
      </c>
      <c r="F21">
        <v>1</v>
      </c>
      <c r="G21">
        <v>1080</v>
      </c>
      <c r="H21">
        <v>1</v>
      </c>
      <c r="I21" t="s">
        <v>302</v>
      </c>
      <c r="J21" t="s">
        <v>3</v>
      </c>
      <c r="K21" t="s">
        <v>303</v>
      </c>
      <c r="L21">
        <v>1191</v>
      </c>
      <c r="N21">
        <v>1013</v>
      </c>
      <c r="O21" t="s">
        <v>304</v>
      </c>
      <c r="P21" t="s">
        <v>304</v>
      </c>
      <c r="Q21">
        <v>1</v>
      </c>
      <c r="X21">
        <v>0.52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40</v>
      </c>
      <c r="AG21">
        <v>0.65780000000000005</v>
      </c>
      <c r="AH21">
        <v>2</v>
      </c>
      <c r="AI21">
        <v>59499553</v>
      </c>
      <c r="AJ21">
        <v>13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ROW(Source!A173)</f>
        <v>173</v>
      </c>
      <c r="B22">
        <v>59500050</v>
      </c>
      <c r="C22">
        <v>59499552</v>
      </c>
      <c r="D22">
        <v>58576492</v>
      </c>
      <c r="E22">
        <v>1</v>
      </c>
      <c r="F22">
        <v>1</v>
      </c>
      <c r="G22">
        <v>1080</v>
      </c>
      <c r="H22">
        <v>3</v>
      </c>
      <c r="I22" t="s">
        <v>305</v>
      </c>
      <c r="J22" t="s">
        <v>306</v>
      </c>
      <c r="K22" t="s">
        <v>307</v>
      </c>
      <c r="L22">
        <v>1348</v>
      </c>
      <c r="N22">
        <v>1009</v>
      </c>
      <c r="O22" t="s">
        <v>242</v>
      </c>
      <c r="P22" t="s">
        <v>242</v>
      </c>
      <c r="Q22">
        <v>1000</v>
      </c>
      <c r="X22">
        <v>3.0000000000000001E-5</v>
      </c>
      <c r="Y22">
        <v>16735.689999999999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</v>
      </c>
      <c r="AG22">
        <v>3.0000000000000001E-5</v>
      </c>
      <c r="AH22">
        <v>2</v>
      </c>
      <c r="AI22">
        <v>59499554</v>
      </c>
      <c r="AJ22">
        <v>14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ROW(Source!A173)</f>
        <v>173</v>
      </c>
      <c r="B23">
        <v>59500051</v>
      </c>
      <c r="C23">
        <v>59499552</v>
      </c>
      <c r="D23">
        <v>58559696</v>
      </c>
      <c r="E23">
        <v>1080</v>
      </c>
      <c r="F23">
        <v>1</v>
      </c>
      <c r="G23">
        <v>1080</v>
      </c>
      <c r="H23">
        <v>3</v>
      </c>
      <c r="I23" t="s">
        <v>350</v>
      </c>
      <c r="J23" t="s">
        <v>3</v>
      </c>
      <c r="K23" t="s">
        <v>351</v>
      </c>
      <c r="L23">
        <v>1354</v>
      </c>
      <c r="N23">
        <v>1010</v>
      </c>
      <c r="O23" t="s">
        <v>124</v>
      </c>
      <c r="P23" t="s">
        <v>124</v>
      </c>
      <c r="Q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3</v>
      </c>
      <c r="AG23">
        <v>1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ROW(Source!A174)</f>
        <v>174</v>
      </c>
      <c r="B24">
        <v>59500049</v>
      </c>
      <c r="C24">
        <v>59499552</v>
      </c>
      <c r="D24">
        <v>58532980</v>
      </c>
      <c r="E24">
        <v>1080</v>
      </c>
      <c r="F24">
        <v>1</v>
      </c>
      <c r="G24">
        <v>1080</v>
      </c>
      <c r="H24">
        <v>1</v>
      </c>
      <c r="I24" t="s">
        <v>302</v>
      </c>
      <c r="J24" t="s">
        <v>3</v>
      </c>
      <c r="K24" t="s">
        <v>303</v>
      </c>
      <c r="L24">
        <v>1191</v>
      </c>
      <c r="N24">
        <v>1013</v>
      </c>
      <c r="O24" t="s">
        <v>304</v>
      </c>
      <c r="P24" t="s">
        <v>304</v>
      </c>
      <c r="Q24">
        <v>1</v>
      </c>
      <c r="X24">
        <v>0.52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 t="s">
        <v>40</v>
      </c>
      <c r="AG24">
        <v>0.65780000000000005</v>
      </c>
      <c r="AH24">
        <v>2</v>
      </c>
      <c r="AI24">
        <v>59499553</v>
      </c>
      <c r="AJ24">
        <v>16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ROW(Source!A174)</f>
        <v>174</v>
      </c>
      <c r="B25">
        <v>59500050</v>
      </c>
      <c r="C25">
        <v>59499552</v>
      </c>
      <c r="D25">
        <v>58576492</v>
      </c>
      <c r="E25">
        <v>1</v>
      </c>
      <c r="F25">
        <v>1</v>
      </c>
      <c r="G25">
        <v>1080</v>
      </c>
      <c r="H25">
        <v>3</v>
      </c>
      <c r="I25" t="s">
        <v>305</v>
      </c>
      <c r="J25" t="s">
        <v>306</v>
      </c>
      <c r="K25" t="s">
        <v>307</v>
      </c>
      <c r="L25">
        <v>1348</v>
      </c>
      <c r="N25">
        <v>1009</v>
      </c>
      <c r="O25" t="s">
        <v>242</v>
      </c>
      <c r="P25" t="s">
        <v>242</v>
      </c>
      <c r="Q25">
        <v>1000</v>
      </c>
      <c r="X25">
        <v>3.0000000000000001E-5</v>
      </c>
      <c r="Y25">
        <v>16735.689999999999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</v>
      </c>
      <c r="AG25">
        <v>3.0000000000000001E-5</v>
      </c>
      <c r="AH25">
        <v>2</v>
      </c>
      <c r="AI25">
        <v>59499554</v>
      </c>
      <c r="AJ25">
        <v>17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ROW(Source!A174)</f>
        <v>174</v>
      </c>
      <c r="B26">
        <v>59500051</v>
      </c>
      <c r="C26">
        <v>59499552</v>
      </c>
      <c r="D26">
        <v>58559696</v>
      </c>
      <c r="E26">
        <v>1080</v>
      </c>
      <c r="F26">
        <v>1</v>
      </c>
      <c r="G26">
        <v>1080</v>
      </c>
      <c r="H26">
        <v>3</v>
      </c>
      <c r="I26" t="s">
        <v>350</v>
      </c>
      <c r="J26" t="s">
        <v>3</v>
      </c>
      <c r="K26" t="s">
        <v>351</v>
      </c>
      <c r="L26">
        <v>1354</v>
      </c>
      <c r="N26">
        <v>1010</v>
      </c>
      <c r="O26" t="s">
        <v>124</v>
      </c>
      <c r="P26" t="s">
        <v>124</v>
      </c>
      <c r="Q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</v>
      </c>
      <c r="AG26">
        <v>1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ROW(Source!A177)</f>
        <v>177</v>
      </c>
      <c r="B27">
        <v>59500052</v>
      </c>
      <c r="C27">
        <v>59499560</v>
      </c>
      <c r="D27">
        <v>58532980</v>
      </c>
      <c r="E27">
        <v>1080</v>
      </c>
      <c r="F27">
        <v>1</v>
      </c>
      <c r="G27">
        <v>1080</v>
      </c>
      <c r="H27">
        <v>1</v>
      </c>
      <c r="I27" t="s">
        <v>302</v>
      </c>
      <c r="J27" t="s">
        <v>3</v>
      </c>
      <c r="K27" t="s">
        <v>303</v>
      </c>
      <c r="L27">
        <v>1191</v>
      </c>
      <c r="N27">
        <v>1013</v>
      </c>
      <c r="O27" t="s">
        <v>304</v>
      </c>
      <c r="P27" t="s">
        <v>304</v>
      </c>
      <c r="Q27">
        <v>1</v>
      </c>
      <c r="X27">
        <v>0.52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40</v>
      </c>
      <c r="AG27">
        <v>0.65780000000000005</v>
      </c>
      <c r="AH27">
        <v>2</v>
      </c>
      <c r="AI27">
        <v>59499561</v>
      </c>
      <c r="AJ27">
        <v>19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ROW(Source!A177)</f>
        <v>177</v>
      </c>
      <c r="B28">
        <v>59500053</v>
      </c>
      <c r="C28">
        <v>59499560</v>
      </c>
      <c r="D28">
        <v>58576492</v>
      </c>
      <c r="E28">
        <v>1</v>
      </c>
      <c r="F28">
        <v>1</v>
      </c>
      <c r="G28">
        <v>1080</v>
      </c>
      <c r="H28">
        <v>3</v>
      </c>
      <c r="I28" t="s">
        <v>305</v>
      </c>
      <c r="J28" t="s">
        <v>306</v>
      </c>
      <c r="K28" t="s">
        <v>307</v>
      </c>
      <c r="L28">
        <v>1348</v>
      </c>
      <c r="N28">
        <v>1009</v>
      </c>
      <c r="O28" t="s">
        <v>242</v>
      </c>
      <c r="P28" t="s">
        <v>242</v>
      </c>
      <c r="Q28">
        <v>1000</v>
      </c>
      <c r="X28">
        <v>3.0000000000000001E-5</v>
      </c>
      <c r="Y28">
        <v>16735.689999999999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</v>
      </c>
      <c r="AG28">
        <v>3.0000000000000001E-5</v>
      </c>
      <c r="AH28">
        <v>2</v>
      </c>
      <c r="AI28">
        <v>59499562</v>
      </c>
      <c r="AJ28">
        <v>20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ROW(Source!A177)</f>
        <v>177</v>
      </c>
      <c r="B29">
        <v>59500054</v>
      </c>
      <c r="C29">
        <v>59499560</v>
      </c>
      <c r="D29">
        <v>58559696</v>
      </c>
      <c r="E29">
        <v>1080</v>
      </c>
      <c r="F29">
        <v>1</v>
      </c>
      <c r="G29">
        <v>1080</v>
      </c>
      <c r="H29">
        <v>3</v>
      </c>
      <c r="I29" t="s">
        <v>350</v>
      </c>
      <c r="J29" t="s">
        <v>3</v>
      </c>
      <c r="K29" t="s">
        <v>351</v>
      </c>
      <c r="L29">
        <v>1354</v>
      </c>
      <c r="N29">
        <v>1010</v>
      </c>
      <c r="O29" t="s">
        <v>124</v>
      </c>
      <c r="P29" t="s">
        <v>124</v>
      </c>
      <c r="Q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3</v>
      </c>
      <c r="AG29">
        <v>1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ROW(Source!A178)</f>
        <v>178</v>
      </c>
      <c r="B30">
        <v>59500052</v>
      </c>
      <c r="C30">
        <v>59499560</v>
      </c>
      <c r="D30">
        <v>58532980</v>
      </c>
      <c r="E30">
        <v>1080</v>
      </c>
      <c r="F30">
        <v>1</v>
      </c>
      <c r="G30">
        <v>1080</v>
      </c>
      <c r="H30">
        <v>1</v>
      </c>
      <c r="I30" t="s">
        <v>302</v>
      </c>
      <c r="J30" t="s">
        <v>3</v>
      </c>
      <c r="K30" t="s">
        <v>303</v>
      </c>
      <c r="L30">
        <v>1191</v>
      </c>
      <c r="N30">
        <v>1013</v>
      </c>
      <c r="O30" t="s">
        <v>304</v>
      </c>
      <c r="P30" t="s">
        <v>304</v>
      </c>
      <c r="Q30">
        <v>1</v>
      </c>
      <c r="X30">
        <v>0.52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 t="s">
        <v>40</v>
      </c>
      <c r="AG30">
        <v>0.65780000000000005</v>
      </c>
      <c r="AH30">
        <v>2</v>
      </c>
      <c r="AI30">
        <v>59499561</v>
      </c>
      <c r="AJ30">
        <v>22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ROW(Source!A178)</f>
        <v>178</v>
      </c>
      <c r="B31">
        <v>59500053</v>
      </c>
      <c r="C31">
        <v>59499560</v>
      </c>
      <c r="D31">
        <v>58576492</v>
      </c>
      <c r="E31">
        <v>1</v>
      </c>
      <c r="F31">
        <v>1</v>
      </c>
      <c r="G31">
        <v>1080</v>
      </c>
      <c r="H31">
        <v>3</v>
      </c>
      <c r="I31" t="s">
        <v>305</v>
      </c>
      <c r="J31" t="s">
        <v>306</v>
      </c>
      <c r="K31" t="s">
        <v>307</v>
      </c>
      <c r="L31">
        <v>1348</v>
      </c>
      <c r="N31">
        <v>1009</v>
      </c>
      <c r="O31" t="s">
        <v>242</v>
      </c>
      <c r="P31" t="s">
        <v>242</v>
      </c>
      <c r="Q31">
        <v>1000</v>
      </c>
      <c r="X31">
        <v>3.0000000000000001E-5</v>
      </c>
      <c r="Y31">
        <v>16735.689999999999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3</v>
      </c>
      <c r="AG31">
        <v>3.0000000000000001E-5</v>
      </c>
      <c r="AH31">
        <v>2</v>
      </c>
      <c r="AI31">
        <v>59499562</v>
      </c>
      <c r="AJ31">
        <v>23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ROW(Source!A178)</f>
        <v>178</v>
      </c>
      <c r="B32">
        <v>59500054</v>
      </c>
      <c r="C32">
        <v>59499560</v>
      </c>
      <c r="D32">
        <v>58559696</v>
      </c>
      <c r="E32">
        <v>1080</v>
      </c>
      <c r="F32">
        <v>1</v>
      </c>
      <c r="G32">
        <v>1080</v>
      </c>
      <c r="H32">
        <v>3</v>
      </c>
      <c r="I32" t="s">
        <v>350</v>
      </c>
      <c r="J32" t="s">
        <v>3</v>
      </c>
      <c r="K32" t="s">
        <v>351</v>
      </c>
      <c r="L32">
        <v>1354</v>
      </c>
      <c r="N32">
        <v>1010</v>
      </c>
      <c r="O32" t="s">
        <v>124</v>
      </c>
      <c r="P32" t="s">
        <v>124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3</v>
      </c>
      <c r="AG32">
        <v>1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ROW(Source!A181)</f>
        <v>181</v>
      </c>
      <c r="B33">
        <v>59500055</v>
      </c>
      <c r="C33">
        <v>59499568</v>
      </c>
      <c r="D33">
        <v>58532980</v>
      </c>
      <c r="E33">
        <v>1080</v>
      </c>
      <c r="F33">
        <v>1</v>
      </c>
      <c r="G33">
        <v>1080</v>
      </c>
      <c r="H33">
        <v>1</v>
      </c>
      <c r="I33" t="s">
        <v>302</v>
      </c>
      <c r="J33" t="s">
        <v>3</v>
      </c>
      <c r="K33" t="s">
        <v>303</v>
      </c>
      <c r="L33">
        <v>1191</v>
      </c>
      <c r="N33">
        <v>1013</v>
      </c>
      <c r="O33" t="s">
        <v>304</v>
      </c>
      <c r="P33" t="s">
        <v>304</v>
      </c>
      <c r="Q33">
        <v>1</v>
      </c>
      <c r="X33">
        <v>0.52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40</v>
      </c>
      <c r="AG33">
        <v>0.65780000000000005</v>
      </c>
      <c r="AH33">
        <v>2</v>
      </c>
      <c r="AI33">
        <v>59499569</v>
      </c>
      <c r="AJ33">
        <v>25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ROW(Source!A181)</f>
        <v>181</v>
      </c>
      <c r="B34">
        <v>59500056</v>
      </c>
      <c r="C34">
        <v>59499568</v>
      </c>
      <c r="D34">
        <v>58576492</v>
      </c>
      <c r="E34">
        <v>1</v>
      </c>
      <c r="F34">
        <v>1</v>
      </c>
      <c r="G34">
        <v>1080</v>
      </c>
      <c r="H34">
        <v>3</v>
      </c>
      <c r="I34" t="s">
        <v>305</v>
      </c>
      <c r="J34" t="s">
        <v>306</v>
      </c>
      <c r="K34" t="s">
        <v>307</v>
      </c>
      <c r="L34">
        <v>1348</v>
      </c>
      <c r="N34">
        <v>1009</v>
      </c>
      <c r="O34" t="s">
        <v>242</v>
      </c>
      <c r="P34" t="s">
        <v>242</v>
      </c>
      <c r="Q34">
        <v>1000</v>
      </c>
      <c r="X34">
        <v>3.0000000000000001E-5</v>
      </c>
      <c r="Y34">
        <v>16735.689999999999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3</v>
      </c>
      <c r="AG34">
        <v>3.0000000000000001E-5</v>
      </c>
      <c r="AH34">
        <v>2</v>
      </c>
      <c r="AI34">
        <v>59499570</v>
      </c>
      <c r="AJ34">
        <v>26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ROW(Source!A181)</f>
        <v>181</v>
      </c>
      <c r="B35">
        <v>59500057</v>
      </c>
      <c r="C35">
        <v>59499568</v>
      </c>
      <c r="D35">
        <v>58559696</v>
      </c>
      <c r="E35">
        <v>1080</v>
      </c>
      <c r="F35">
        <v>1</v>
      </c>
      <c r="G35">
        <v>1080</v>
      </c>
      <c r="H35">
        <v>3</v>
      </c>
      <c r="I35" t="s">
        <v>350</v>
      </c>
      <c r="J35" t="s">
        <v>3</v>
      </c>
      <c r="K35" t="s">
        <v>351</v>
      </c>
      <c r="L35">
        <v>1354</v>
      </c>
      <c r="N35">
        <v>1010</v>
      </c>
      <c r="O35" t="s">
        <v>124</v>
      </c>
      <c r="P35" t="s">
        <v>124</v>
      </c>
      <c r="Q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3</v>
      </c>
      <c r="AG35">
        <v>1</v>
      </c>
      <c r="AH35">
        <v>3</v>
      </c>
      <c r="AI35">
        <v>-1</v>
      </c>
      <c r="AJ35" t="s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ROW(Source!A182)</f>
        <v>182</v>
      </c>
      <c r="B36">
        <v>59500055</v>
      </c>
      <c r="C36">
        <v>59499568</v>
      </c>
      <c r="D36">
        <v>58532980</v>
      </c>
      <c r="E36">
        <v>1080</v>
      </c>
      <c r="F36">
        <v>1</v>
      </c>
      <c r="G36">
        <v>1080</v>
      </c>
      <c r="H36">
        <v>1</v>
      </c>
      <c r="I36" t="s">
        <v>302</v>
      </c>
      <c r="J36" t="s">
        <v>3</v>
      </c>
      <c r="K36" t="s">
        <v>303</v>
      </c>
      <c r="L36">
        <v>1191</v>
      </c>
      <c r="N36">
        <v>1013</v>
      </c>
      <c r="O36" t="s">
        <v>304</v>
      </c>
      <c r="P36" t="s">
        <v>304</v>
      </c>
      <c r="Q36">
        <v>1</v>
      </c>
      <c r="X36">
        <v>0.52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 t="s">
        <v>40</v>
      </c>
      <c r="AG36">
        <v>0.65780000000000005</v>
      </c>
      <c r="AH36">
        <v>2</v>
      </c>
      <c r="AI36">
        <v>59499569</v>
      </c>
      <c r="AJ36">
        <v>28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ROW(Source!A182)</f>
        <v>182</v>
      </c>
      <c r="B37">
        <v>59500056</v>
      </c>
      <c r="C37">
        <v>59499568</v>
      </c>
      <c r="D37">
        <v>58576492</v>
      </c>
      <c r="E37">
        <v>1</v>
      </c>
      <c r="F37">
        <v>1</v>
      </c>
      <c r="G37">
        <v>1080</v>
      </c>
      <c r="H37">
        <v>3</v>
      </c>
      <c r="I37" t="s">
        <v>305</v>
      </c>
      <c r="J37" t="s">
        <v>306</v>
      </c>
      <c r="K37" t="s">
        <v>307</v>
      </c>
      <c r="L37">
        <v>1348</v>
      </c>
      <c r="N37">
        <v>1009</v>
      </c>
      <c r="O37" t="s">
        <v>242</v>
      </c>
      <c r="P37" t="s">
        <v>242</v>
      </c>
      <c r="Q37">
        <v>1000</v>
      </c>
      <c r="X37">
        <v>3.0000000000000001E-5</v>
      </c>
      <c r="Y37">
        <v>16735.689999999999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3</v>
      </c>
      <c r="AG37">
        <v>3.0000000000000001E-5</v>
      </c>
      <c r="AH37">
        <v>2</v>
      </c>
      <c r="AI37">
        <v>59499570</v>
      </c>
      <c r="AJ37">
        <v>29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ROW(Source!A182)</f>
        <v>182</v>
      </c>
      <c r="B38">
        <v>59500057</v>
      </c>
      <c r="C38">
        <v>59499568</v>
      </c>
      <c r="D38">
        <v>58559696</v>
      </c>
      <c r="E38">
        <v>1080</v>
      </c>
      <c r="F38">
        <v>1</v>
      </c>
      <c r="G38">
        <v>1080</v>
      </c>
      <c r="H38">
        <v>3</v>
      </c>
      <c r="I38" t="s">
        <v>350</v>
      </c>
      <c r="J38" t="s">
        <v>3</v>
      </c>
      <c r="K38" t="s">
        <v>351</v>
      </c>
      <c r="L38">
        <v>1354</v>
      </c>
      <c r="N38">
        <v>1010</v>
      </c>
      <c r="O38" t="s">
        <v>124</v>
      </c>
      <c r="P38" t="s">
        <v>124</v>
      </c>
      <c r="Q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3</v>
      </c>
      <c r="AG38">
        <v>1</v>
      </c>
      <c r="AH38">
        <v>3</v>
      </c>
      <c r="AI38">
        <v>-1</v>
      </c>
      <c r="AJ38" t="s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ROW(Source!A185)</f>
        <v>185</v>
      </c>
      <c r="B39">
        <v>59500058</v>
      </c>
      <c r="C39">
        <v>59499576</v>
      </c>
      <c r="D39">
        <v>58532980</v>
      </c>
      <c r="E39">
        <v>1080</v>
      </c>
      <c r="F39">
        <v>1</v>
      </c>
      <c r="G39">
        <v>1080</v>
      </c>
      <c r="H39">
        <v>1</v>
      </c>
      <c r="I39" t="s">
        <v>302</v>
      </c>
      <c r="J39" t="s">
        <v>3</v>
      </c>
      <c r="K39" t="s">
        <v>303</v>
      </c>
      <c r="L39">
        <v>1191</v>
      </c>
      <c r="N39">
        <v>1013</v>
      </c>
      <c r="O39" t="s">
        <v>304</v>
      </c>
      <c r="P39" t="s">
        <v>304</v>
      </c>
      <c r="Q39">
        <v>1</v>
      </c>
      <c r="X39">
        <v>0.52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 t="s">
        <v>40</v>
      </c>
      <c r="AG39">
        <v>0.65780000000000005</v>
      </c>
      <c r="AH39">
        <v>2</v>
      </c>
      <c r="AI39">
        <v>59499577</v>
      </c>
      <c r="AJ39">
        <v>31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ROW(Source!A185)</f>
        <v>185</v>
      </c>
      <c r="B40">
        <v>59500059</v>
      </c>
      <c r="C40">
        <v>59499576</v>
      </c>
      <c r="D40">
        <v>58576492</v>
      </c>
      <c r="E40">
        <v>1</v>
      </c>
      <c r="F40">
        <v>1</v>
      </c>
      <c r="G40">
        <v>1080</v>
      </c>
      <c r="H40">
        <v>3</v>
      </c>
      <c r="I40" t="s">
        <v>305</v>
      </c>
      <c r="J40" t="s">
        <v>306</v>
      </c>
      <c r="K40" t="s">
        <v>307</v>
      </c>
      <c r="L40">
        <v>1348</v>
      </c>
      <c r="N40">
        <v>1009</v>
      </c>
      <c r="O40" t="s">
        <v>242</v>
      </c>
      <c r="P40" t="s">
        <v>242</v>
      </c>
      <c r="Q40">
        <v>1000</v>
      </c>
      <c r="X40">
        <v>3.0000000000000001E-5</v>
      </c>
      <c r="Y40">
        <v>16735.689999999999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</v>
      </c>
      <c r="AG40">
        <v>3.0000000000000001E-5</v>
      </c>
      <c r="AH40">
        <v>2</v>
      </c>
      <c r="AI40">
        <v>59499578</v>
      </c>
      <c r="AJ40">
        <v>32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ROW(Source!A185)</f>
        <v>185</v>
      </c>
      <c r="B41">
        <v>59500060</v>
      </c>
      <c r="C41">
        <v>59499576</v>
      </c>
      <c r="D41">
        <v>58559696</v>
      </c>
      <c r="E41">
        <v>1080</v>
      </c>
      <c r="F41">
        <v>1</v>
      </c>
      <c r="G41">
        <v>1080</v>
      </c>
      <c r="H41">
        <v>3</v>
      </c>
      <c r="I41" t="s">
        <v>350</v>
      </c>
      <c r="J41" t="s">
        <v>3</v>
      </c>
      <c r="K41" t="s">
        <v>351</v>
      </c>
      <c r="L41">
        <v>1354</v>
      </c>
      <c r="N41">
        <v>1010</v>
      </c>
      <c r="O41" t="s">
        <v>124</v>
      </c>
      <c r="P41" t="s">
        <v>124</v>
      </c>
      <c r="Q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3</v>
      </c>
      <c r="AG41">
        <v>1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ROW(Source!A186)</f>
        <v>186</v>
      </c>
      <c r="B42">
        <v>59500058</v>
      </c>
      <c r="C42">
        <v>59499576</v>
      </c>
      <c r="D42">
        <v>58532980</v>
      </c>
      <c r="E42">
        <v>1080</v>
      </c>
      <c r="F42">
        <v>1</v>
      </c>
      <c r="G42">
        <v>1080</v>
      </c>
      <c r="H42">
        <v>1</v>
      </c>
      <c r="I42" t="s">
        <v>302</v>
      </c>
      <c r="J42" t="s">
        <v>3</v>
      </c>
      <c r="K42" t="s">
        <v>303</v>
      </c>
      <c r="L42">
        <v>1191</v>
      </c>
      <c r="N42">
        <v>1013</v>
      </c>
      <c r="O42" t="s">
        <v>304</v>
      </c>
      <c r="P42" t="s">
        <v>304</v>
      </c>
      <c r="Q42">
        <v>1</v>
      </c>
      <c r="X42">
        <v>0.52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 t="s">
        <v>40</v>
      </c>
      <c r="AG42">
        <v>0.65780000000000005</v>
      </c>
      <c r="AH42">
        <v>2</v>
      </c>
      <c r="AI42">
        <v>59499577</v>
      </c>
      <c r="AJ42">
        <v>34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ROW(Source!A186)</f>
        <v>186</v>
      </c>
      <c r="B43">
        <v>59500059</v>
      </c>
      <c r="C43">
        <v>59499576</v>
      </c>
      <c r="D43">
        <v>58576492</v>
      </c>
      <c r="E43">
        <v>1</v>
      </c>
      <c r="F43">
        <v>1</v>
      </c>
      <c r="G43">
        <v>1080</v>
      </c>
      <c r="H43">
        <v>3</v>
      </c>
      <c r="I43" t="s">
        <v>305</v>
      </c>
      <c r="J43" t="s">
        <v>306</v>
      </c>
      <c r="K43" t="s">
        <v>307</v>
      </c>
      <c r="L43">
        <v>1348</v>
      </c>
      <c r="N43">
        <v>1009</v>
      </c>
      <c r="O43" t="s">
        <v>242</v>
      </c>
      <c r="P43" t="s">
        <v>242</v>
      </c>
      <c r="Q43">
        <v>1000</v>
      </c>
      <c r="X43">
        <v>3.0000000000000001E-5</v>
      </c>
      <c r="Y43">
        <v>16735.689999999999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3</v>
      </c>
      <c r="AG43">
        <v>3.0000000000000001E-5</v>
      </c>
      <c r="AH43">
        <v>2</v>
      </c>
      <c r="AI43">
        <v>59499578</v>
      </c>
      <c r="AJ43">
        <v>35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ROW(Source!A186)</f>
        <v>186</v>
      </c>
      <c r="B44">
        <v>59500060</v>
      </c>
      <c r="C44">
        <v>59499576</v>
      </c>
      <c r="D44">
        <v>58559696</v>
      </c>
      <c r="E44">
        <v>1080</v>
      </c>
      <c r="F44">
        <v>1</v>
      </c>
      <c r="G44">
        <v>1080</v>
      </c>
      <c r="H44">
        <v>3</v>
      </c>
      <c r="I44" t="s">
        <v>350</v>
      </c>
      <c r="J44" t="s">
        <v>3</v>
      </c>
      <c r="K44" t="s">
        <v>351</v>
      </c>
      <c r="L44">
        <v>1354</v>
      </c>
      <c r="N44">
        <v>1010</v>
      </c>
      <c r="O44" t="s">
        <v>124</v>
      </c>
      <c r="P44" t="s">
        <v>124</v>
      </c>
      <c r="Q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3</v>
      </c>
      <c r="AG44">
        <v>1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ROW(Source!A189)</f>
        <v>189</v>
      </c>
      <c r="B45">
        <v>59500061</v>
      </c>
      <c r="C45">
        <v>59499584</v>
      </c>
      <c r="D45">
        <v>58532980</v>
      </c>
      <c r="E45">
        <v>1080</v>
      </c>
      <c r="F45">
        <v>1</v>
      </c>
      <c r="G45">
        <v>1080</v>
      </c>
      <c r="H45">
        <v>1</v>
      </c>
      <c r="I45" t="s">
        <v>302</v>
      </c>
      <c r="J45" t="s">
        <v>3</v>
      </c>
      <c r="K45" t="s">
        <v>303</v>
      </c>
      <c r="L45">
        <v>1191</v>
      </c>
      <c r="N45">
        <v>1013</v>
      </c>
      <c r="O45" t="s">
        <v>304</v>
      </c>
      <c r="P45" t="s">
        <v>304</v>
      </c>
      <c r="Q45">
        <v>1</v>
      </c>
      <c r="X45">
        <v>0.52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40</v>
      </c>
      <c r="AG45">
        <v>0.65780000000000005</v>
      </c>
      <c r="AH45">
        <v>2</v>
      </c>
      <c r="AI45">
        <v>59499585</v>
      </c>
      <c r="AJ45">
        <v>37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ROW(Source!A189)</f>
        <v>189</v>
      </c>
      <c r="B46">
        <v>59500062</v>
      </c>
      <c r="C46">
        <v>59499584</v>
      </c>
      <c r="D46">
        <v>58576492</v>
      </c>
      <c r="E46">
        <v>1</v>
      </c>
      <c r="F46">
        <v>1</v>
      </c>
      <c r="G46">
        <v>1080</v>
      </c>
      <c r="H46">
        <v>3</v>
      </c>
      <c r="I46" t="s">
        <v>305</v>
      </c>
      <c r="J46" t="s">
        <v>306</v>
      </c>
      <c r="K46" t="s">
        <v>307</v>
      </c>
      <c r="L46">
        <v>1348</v>
      </c>
      <c r="N46">
        <v>1009</v>
      </c>
      <c r="O46" t="s">
        <v>242</v>
      </c>
      <c r="P46" t="s">
        <v>242</v>
      </c>
      <c r="Q46">
        <v>1000</v>
      </c>
      <c r="X46">
        <v>3.0000000000000001E-5</v>
      </c>
      <c r="Y46">
        <v>16735.689999999999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3</v>
      </c>
      <c r="AG46">
        <v>3.0000000000000001E-5</v>
      </c>
      <c r="AH46">
        <v>2</v>
      </c>
      <c r="AI46">
        <v>59499586</v>
      </c>
      <c r="AJ46">
        <v>38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ROW(Source!A189)</f>
        <v>189</v>
      </c>
      <c r="B47">
        <v>59500063</v>
      </c>
      <c r="C47">
        <v>59499584</v>
      </c>
      <c r="D47">
        <v>58559696</v>
      </c>
      <c r="E47">
        <v>1080</v>
      </c>
      <c r="F47">
        <v>1</v>
      </c>
      <c r="G47">
        <v>1080</v>
      </c>
      <c r="H47">
        <v>3</v>
      </c>
      <c r="I47" t="s">
        <v>350</v>
      </c>
      <c r="J47" t="s">
        <v>3</v>
      </c>
      <c r="K47" t="s">
        <v>351</v>
      </c>
      <c r="L47">
        <v>1354</v>
      </c>
      <c r="N47">
        <v>1010</v>
      </c>
      <c r="O47" t="s">
        <v>124</v>
      </c>
      <c r="P47" t="s">
        <v>124</v>
      </c>
      <c r="Q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3</v>
      </c>
      <c r="AG47">
        <v>1</v>
      </c>
      <c r="AH47">
        <v>3</v>
      </c>
      <c r="AI47">
        <v>-1</v>
      </c>
      <c r="AJ47" t="s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ROW(Source!A190)</f>
        <v>190</v>
      </c>
      <c r="B48">
        <v>59500061</v>
      </c>
      <c r="C48">
        <v>59499584</v>
      </c>
      <c r="D48">
        <v>58532980</v>
      </c>
      <c r="E48">
        <v>1080</v>
      </c>
      <c r="F48">
        <v>1</v>
      </c>
      <c r="G48">
        <v>1080</v>
      </c>
      <c r="H48">
        <v>1</v>
      </c>
      <c r="I48" t="s">
        <v>302</v>
      </c>
      <c r="J48" t="s">
        <v>3</v>
      </c>
      <c r="K48" t="s">
        <v>303</v>
      </c>
      <c r="L48">
        <v>1191</v>
      </c>
      <c r="N48">
        <v>1013</v>
      </c>
      <c r="O48" t="s">
        <v>304</v>
      </c>
      <c r="P48" t="s">
        <v>304</v>
      </c>
      <c r="Q48">
        <v>1</v>
      </c>
      <c r="X48">
        <v>0.52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 t="s">
        <v>40</v>
      </c>
      <c r="AG48">
        <v>0.65780000000000005</v>
      </c>
      <c r="AH48">
        <v>2</v>
      </c>
      <c r="AI48">
        <v>59499585</v>
      </c>
      <c r="AJ48">
        <v>40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ROW(Source!A190)</f>
        <v>190</v>
      </c>
      <c r="B49">
        <v>59500062</v>
      </c>
      <c r="C49">
        <v>59499584</v>
      </c>
      <c r="D49">
        <v>58576492</v>
      </c>
      <c r="E49">
        <v>1</v>
      </c>
      <c r="F49">
        <v>1</v>
      </c>
      <c r="G49">
        <v>1080</v>
      </c>
      <c r="H49">
        <v>3</v>
      </c>
      <c r="I49" t="s">
        <v>305</v>
      </c>
      <c r="J49" t="s">
        <v>306</v>
      </c>
      <c r="K49" t="s">
        <v>307</v>
      </c>
      <c r="L49">
        <v>1348</v>
      </c>
      <c r="N49">
        <v>1009</v>
      </c>
      <c r="O49" t="s">
        <v>242</v>
      </c>
      <c r="P49" t="s">
        <v>242</v>
      </c>
      <c r="Q49">
        <v>1000</v>
      </c>
      <c r="X49">
        <v>3.0000000000000001E-5</v>
      </c>
      <c r="Y49">
        <v>16735.689999999999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 t="s">
        <v>3</v>
      </c>
      <c r="AG49">
        <v>3.0000000000000001E-5</v>
      </c>
      <c r="AH49">
        <v>2</v>
      </c>
      <c r="AI49">
        <v>59499586</v>
      </c>
      <c r="AJ49">
        <v>41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ROW(Source!A190)</f>
        <v>190</v>
      </c>
      <c r="B50">
        <v>59500063</v>
      </c>
      <c r="C50">
        <v>59499584</v>
      </c>
      <c r="D50">
        <v>58559696</v>
      </c>
      <c r="E50">
        <v>1080</v>
      </c>
      <c r="F50">
        <v>1</v>
      </c>
      <c r="G50">
        <v>1080</v>
      </c>
      <c r="H50">
        <v>3</v>
      </c>
      <c r="I50" t="s">
        <v>350</v>
      </c>
      <c r="J50" t="s">
        <v>3</v>
      </c>
      <c r="K50" t="s">
        <v>351</v>
      </c>
      <c r="L50">
        <v>1354</v>
      </c>
      <c r="N50">
        <v>1010</v>
      </c>
      <c r="O50" t="s">
        <v>124</v>
      </c>
      <c r="P50" t="s">
        <v>124</v>
      </c>
      <c r="Q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3</v>
      </c>
      <c r="AG50">
        <v>1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ROW(Source!A193)</f>
        <v>193</v>
      </c>
      <c r="B51">
        <v>59500064</v>
      </c>
      <c r="C51">
        <v>59499592</v>
      </c>
      <c r="D51">
        <v>58532980</v>
      </c>
      <c r="E51">
        <v>1080</v>
      </c>
      <c r="F51">
        <v>1</v>
      </c>
      <c r="G51">
        <v>1080</v>
      </c>
      <c r="H51">
        <v>1</v>
      </c>
      <c r="I51" t="s">
        <v>302</v>
      </c>
      <c r="J51" t="s">
        <v>3</v>
      </c>
      <c r="K51" t="s">
        <v>303</v>
      </c>
      <c r="L51">
        <v>1191</v>
      </c>
      <c r="N51">
        <v>1013</v>
      </c>
      <c r="O51" t="s">
        <v>304</v>
      </c>
      <c r="P51" t="s">
        <v>304</v>
      </c>
      <c r="Q51">
        <v>1</v>
      </c>
      <c r="X51">
        <v>0.52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 t="s">
        <v>40</v>
      </c>
      <c r="AG51">
        <v>0.65780000000000005</v>
      </c>
      <c r="AH51">
        <v>2</v>
      </c>
      <c r="AI51">
        <v>59499593</v>
      </c>
      <c r="AJ51">
        <v>43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ROW(Source!A193)</f>
        <v>193</v>
      </c>
      <c r="B52">
        <v>59500065</v>
      </c>
      <c r="C52">
        <v>59499592</v>
      </c>
      <c r="D52">
        <v>58576492</v>
      </c>
      <c r="E52">
        <v>1</v>
      </c>
      <c r="F52">
        <v>1</v>
      </c>
      <c r="G52">
        <v>1080</v>
      </c>
      <c r="H52">
        <v>3</v>
      </c>
      <c r="I52" t="s">
        <v>305</v>
      </c>
      <c r="J52" t="s">
        <v>306</v>
      </c>
      <c r="K52" t="s">
        <v>307</v>
      </c>
      <c r="L52">
        <v>1348</v>
      </c>
      <c r="N52">
        <v>1009</v>
      </c>
      <c r="O52" t="s">
        <v>242</v>
      </c>
      <c r="P52" t="s">
        <v>242</v>
      </c>
      <c r="Q52">
        <v>1000</v>
      </c>
      <c r="X52">
        <v>3.0000000000000001E-5</v>
      </c>
      <c r="Y52">
        <v>16735.689999999999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3</v>
      </c>
      <c r="AG52">
        <v>3.0000000000000001E-5</v>
      </c>
      <c r="AH52">
        <v>2</v>
      </c>
      <c r="AI52">
        <v>59499594</v>
      </c>
      <c r="AJ52">
        <v>44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ROW(Source!A193)</f>
        <v>193</v>
      </c>
      <c r="B53">
        <v>59500066</v>
      </c>
      <c r="C53">
        <v>59499592</v>
      </c>
      <c r="D53">
        <v>58559696</v>
      </c>
      <c r="E53">
        <v>1080</v>
      </c>
      <c r="F53">
        <v>1</v>
      </c>
      <c r="G53">
        <v>1080</v>
      </c>
      <c r="H53">
        <v>3</v>
      </c>
      <c r="I53" t="s">
        <v>350</v>
      </c>
      <c r="J53" t="s">
        <v>3</v>
      </c>
      <c r="K53" t="s">
        <v>351</v>
      </c>
      <c r="L53">
        <v>1354</v>
      </c>
      <c r="N53">
        <v>1010</v>
      </c>
      <c r="O53" t="s">
        <v>124</v>
      </c>
      <c r="P53" t="s">
        <v>124</v>
      </c>
      <c r="Q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3</v>
      </c>
      <c r="AG53">
        <v>1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ROW(Source!A194)</f>
        <v>194</v>
      </c>
      <c r="B54">
        <v>59500064</v>
      </c>
      <c r="C54">
        <v>59499592</v>
      </c>
      <c r="D54">
        <v>58532980</v>
      </c>
      <c r="E54">
        <v>1080</v>
      </c>
      <c r="F54">
        <v>1</v>
      </c>
      <c r="G54">
        <v>1080</v>
      </c>
      <c r="H54">
        <v>1</v>
      </c>
      <c r="I54" t="s">
        <v>302</v>
      </c>
      <c r="J54" t="s">
        <v>3</v>
      </c>
      <c r="K54" t="s">
        <v>303</v>
      </c>
      <c r="L54">
        <v>1191</v>
      </c>
      <c r="N54">
        <v>1013</v>
      </c>
      <c r="O54" t="s">
        <v>304</v>
      </c>
      <c r="P54" t="s">
        <v>304</v>
      </c>
      <c r="Q54">
        <v>1</v>
      </c>
      <c r="X54">
        <v>0.52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 t="s">
        <v>40</v>
      </c>
      <c r="AG54">
        <v>0.65780000000000005</v>
      </c>
      <c r="AH54">
        <v>2</v>
      </c>
      <c r="AI54">
        <v>59499593</v>
      </c>
      <c r="AJ54">
        <v>46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ROW(Source!A194)</f>
        <v>194</v>
      </c>
      <c r="B55">
        <v>59500065</v>
      </c>
      <c r="C55">
        <v>59499592</v>
      </c>
      <c r="D55">
        <v>58576492</v>
      </c>
      <c r="E55">
        <v>1</v>
      </c>
      <c r="F55">
        <v>1</v>
      </c>
      <c r="G55">
        <v>1080</v>
      </c>
      <c r="H55">
        <v>3</v>
      </c>
      <c r="I55" t="s">
        <v>305</v>
      </c>
      <c r="J55" t="s">
        <v>306</v>
      </c>
      <c r="K55" t="s">
        <v>307</v>
      </c>
      <c r="L55">
        <v>1348</v>
      </c>
      <c r="N55">
        <v>1009</v>
      </c>
      <c r="O55" t="s">
        <v>242</v>
      </c>
      <c r="P55" t="s">
        <v>242</v>
      </c>
      <c r="Q55">
        <v>1000</v>
      </c>
      <c r="X55">
        <v>3.0000000000000001E-5</v>
      </c>
      <c r="Y55">
        <v>16735.689999999999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3</v>
      </c>
      <c r="AG55">
        <v>3.0000000000000001E-5</v>
      </c>
      <c r="AH55">
        <v>2</v>
      </c>
      <c r="AI55">
        <v>59499594</v>
      </c>
      <c r="AJ55">
        <v>47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ROW(Source!A194)</f>
        <v>194</v>
      </c>
      <c r="B56">
        <v>59500066</v>
      </c>
      <c r="C56">
        <v>59499592</v>
      </c>
      <c r="D56">
        <v>58559696</v>
      </c>
      <c r="E56">
        <v>1080</v>
      </c>
      <c r="F56">
        <v>1</v>
      </c>
      <c r="G56">
        <v>1080</v>
      </c>
      <c r="H56">
        <v>3</v>
      </c>
      <c r="I56" t="s">
        <v>350</v>
      </c>
      <c r="J56" t="s">
        <v>3</v>
      </c>
      <c r="K56" t="s">
        <v>351</v>
      </c>
      <c r="L56">
        <v>1354</v>
      </c>
      <c r="N56">
        <v>1010</v>
      </c>
      <c r="O56" t="s">
        <v>124</v>
      </c>
      <c r="P56" t="s">
        <v>124</v>
      </c>
      <c r="Q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3</v>
      </c>
      <c r="AG56">
        <v>1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ROW(Source!A197)</f>
        <v>197</v>
      </c>
      <c r="B57">
        <v>59500067</v>
      </c>
      <c r="C57">
        <v>59499600</v>
      </c>
      <c r="D57">
        <v>58532980</v>
      </c>
      <c r="E57">
        <v>1080</v>
      </c>
      <c r="F57">
        <v>1</v>
      </c>
      <c r="G57">
        <v>1080</v>
      </c>
      <c r="H57">
        <v>1</v>
      </c>
      <c r="I57" t="s">
        <v>302</v>
      </c>
      <c r="J57" t="s">
        <v>3</v>
      </c>
      <c r="K57" t="s">
        <v>303</v>
      </c>
      <c r="L57">
        <v>1191</v>
      </c>
      <c r="N57">
        <v>1013</v>
      </c>
      <c r="O57" t="s">
        <v>304</v>
      </c>
      <c r="P57" t="s">
        <v>304</v>
      </c>
      <c r="Q57">
        <v>1</v>
      </c>
      <c r="X57">
        <v>0.52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 t="s">
        <v>40</v>
      </c>
      <c r="AG57">
        <v>0.65780000000000005</v>
      </c>
      <c r="AH57">
        <v>2</v>
      </c>
      <c r="AI57">
        <v>59499601</v>
      </c>
      <c r="AJ57">
        <v>49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ROW(Source!A197)</f>
        <v>197</v>
      </c>
      <c r="B58">
        <v>59500068</v>
      </c>
      <c r="C58">
        <v>59499600</v>
      </c>
      <c r="D58">
        <v>58576492</v>
      </c>
      <c r="E58">
        <v>1</v>
      </c>
      <c r="F58">
        <v>1</v>
      </c>
      <c r="G58">
        <v>1080</v>
      </c>
      <c r="H58">
        <v>3</v>
      </c>
      <c r="I58" t="s">
        <v>305</v>
      </c>
      <c r="J58" t="s">
        <v>306</v>
      </c>
      <c r="K58" t="s">
        <v>307</v>
      </c>
      <c r="L58">
        <v>1348</v>
      </c>
      <c r="N58">
        <v>1009</v>
      </c>
      <c r="O58" t="s">
        <v>242</v>
      </c>
      <c r="P58" t="s">
        <v>242</v>
      </c>
      <c r="Q58">
        <v>1000</v>
      </c>
      <c r="X58">
        <v>3.0000000000000001E-5</v>
      </c>
      <c r="Y58">
        <v>16735.689999999999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3</v>
      </c>
      <c r="AG58">
        <v>3.0000000000000001E-5</v>
      </c>
      <c r="AH58">
        <v>2</v>
      </c>
      <c r="AI58">
        <v>59499602</v>
      </c>
      <c r="AJ58">
        <v>50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ROW(Source!A197)</f>
        <v>197</v>
      </c>
      <c r="B59">
        <v>59500069</v>
      </c>
      <c r="C59">
        <v>59499600</v>
      </c>
      <c r="D59">
        <v>58559696</v>
      </c>
      <c r="E59">
        <v>1080</v>
      </c>
      <c r="F59">
        <v>1</v>
      </c>
      <c r="G59">
        <v>1080</v>
      </c>
      <c r="H59">
        <v>3</v>
      </c>
      <c r="I59" t="s">
        <v>350</v>
      </c>
      <c r="J59" t="s">
        <v>3</v>
      </c>
      <c r="K59" t="s">
        <v>351</v>
      </c>
      <c r="L59">
        <v>1354</v>
      </c>
      <c r="N59">
        <v>1010</v>
      </c>
      <c r="O59" t="s">
        <v>124</v>
      </c>
      <c r="P59" t="s">
        <v>124</v>
      </c>
      <c r="Q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3</v>
      </c>
      <c r="AG59">
        <v>1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ROW(Source!A198)</f>
        <v>198</v>
      </c>
      <c r="B60">
        <v>59500067</v>
      </c>
      <c r="C60">
        <v>59499600</v>
      </c>
      <c r="D60">
        <v>58532980</v>
      </c>
      <c r="E60">
        <v>1080</v>
      </c>
      <c r="F60">
        <v>1</v>
      </c>
      <c r="G60">
        <v>1080</v>
      </c>
      <c r="H60">
        <v>1</v>
      </c>
      <c r="I60" t="s">
        <v>302</v>
      </c>
      <c r="J60" t="s">
        <v>3</v>
      </c>
      <c r="K60" t="s">
        <v>303</v>
      </c>
      <c r="L60">
        <v>1191</v>
      </c>
      <c r="N60">
        <v>1013</v>
      </c>
      <c r="O60" t="s">
        <v>304</v>
      </c>
      <c r="P60" t="s">
        <v>304</v>
      </c>
      <c r="Q60">
        <v>1</v>
      </c>
      <c r="X60">
        <v>0.52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 t="s">
        <v>40</v>
      </c>
      <c r="AG60">
        <v>0.65780000000000005</v>
      </c>
      <c r="AH60">
        <v>2</v>
      </c>
      <c r="AI60">
        <v>59499601</v>
      </c>
      <c r="AJ60">
        <v>52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ROW(Source!A198)</f>
        <v>198</v>
      </c>
      <c r="B61">
        <v>59500068</v>
      </c>
      <c r="C61">
        <v>59499600</v>
      </c>
      <c r="D61">
        <v>58576492</v>
      </c>
      <c r="E61">
        <v>1</v>
      </c>
      <c r="F61">
        <v>1</v>
      </c>
      <c r="G61">
        <v>1080</v>
      </c>
      <c r="H61">
        <v>3</v>
      </c>
      <c r="I61" t="s">
        <v>305</v>
      </c>
      <c r="J61" t="s">
        <v>306</v>
      </c>
      <c r="K61" t="s">
        <v>307</v>
      </c>
      <c r="L61">
        <v>1348</v>
      </c>
      <c r="N61">
        <v>1009</v>
      </c>
      <c r="O61" t="s">
        <v>242</v>
      </c>
      <c r="P61" t="s">
        <v>242</v>
      </c>
      <c r="Q61">
        <v>1000</v>
      </c>
      <c r="X61">
        <v>3.0000000000000001E-5</v>
      </c>
      <c r="Y61">
        <v>16735.689999999999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3</v>
      </c>
      <c r="AG61">
        <v>3.0000000000000001E-5</v>
      </c>
      <c r="AH61">
        <v>2</v>
      </c>
      <c r="AI61">
        <v>59499602</v>
      </c>
      <c r="AJ61">
        <v>53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ROW(Source!A198)</f>
        <v>198</v>
      </c>
      <c r="B62">
        <v>59500069</v>
      </c>
      <c r="C62">
        <v>59499600</v>
      </c>
      <c r="D62">
        <v>58559696</v>
      </c>
      <c r="E62">
        <v>1080</v>
      </c>
      <c r="F62">
        <v>1</v>
      </c>
      <c r="G62">
        <v>1080</v>
      </c>
      <c r="H62">
        <v>3</v>
      </c>
      <c r="I62" t="s">
        <v>350</v>
      </c>
      <c r="J62" t="s">
        <v>3</v>
      </c>
      <c r="K62" t="s">
        <v>351</v>
      </c>
      <c r="L62">
        <v>1354</v>
      </c>
      <c r="N62">
        <v>1010</v>
      </c>
      <c r="O62" t="s">
        <v>124</v>
      </c>
      <c r="P62" t="s">
        <v>124</v>
      </c>
      <c r="Q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3</v>
      </c>
      <c r="AG62">
        <v>1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ROW(Source!A201)</f>
        <v>201</v>
      </c>
      <c r="B63">
        <v>59500070</v>
      </c>
      <c r="C63">
        <v>59499608</v>
      </c>
      <c r="D63">
        <v>58532980</v>
      </c>
      <c r="E63">
        <v>1080</v>
      </c>
      <c r="F63">
        <v>1</v>
      </c>
      <c r="G63">
        <v>1080</v>
      </c>
      <c r="H63">
        <v>1</v>
      </c>
      <c r="I63" t="s">
        <v>302</v>
      </c>
      <c r="J63" t="s">
        <v>3</v>
      </c>
      <c r="K63" t="s">
        <v>303</v>
      </c>
      <c r="L63">
        <v>1191</v>
      </c>
      <c r="N63">
        <v>1013</v>
      </c>
      <c r="O63" t="s">
        <v>304</v>
      </c>
      <c r="P63" t="s">
        <v>304</v>
      </c>
      <c r="Q63">
        <v>1</v>
      </c>
      <c r="X63">
        <v>0.52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1</v>
      </c>
      <c r="AF63" t="s">
        <v>40</v>
      </c>
      <c r="AG63">
        <v>0.65780000000000005</v>
      </c>
      <c r="AH63">
        <v>2</v>
      </c>
      <c r="AI63">
        <v>59499609</v>
      </c>
      <c r="AJ63">
        <v>55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ROW(Source!A201)</f>
        <v>201</v>
      </c>
      <c r="B64">
        <v>59500071</v>
      </c>
      <c r="C64">
        <v>59499608</v>
      </c>
      <c r="D64">
        <v>58576492</v>
      </c>
      <c r="E64">
        <v>1</v>
      </c>
      <c r="F64">
        <v>1</v>
      </c>
      <c r="G64">
        <v>1080</v>
      </c>
      <c r="H64">
        <v>3</v>
      </c>
      <c r="I64" t="s">
        <v>305</v>
      </c>
      <c r="J64" t="s">
        <v>306</v>
      </c>
      <c r="K64" t="s">
        <v>307</v>
      </c>
      <c r="L64">
        <v>1348</v>
      </c>
      <c r="N64">
        <v>1009</v>
      </c>
      <c r="O64" t="s">
        <v>242</v>
      </c>
      <c r="P64" t="s">
        <v>242</v>
      </c>
      <c r="Q64">
        <v>1000</v>
      </c>
      <c r="X64">
        <v>3.0000000000000001E-5</v>
      </c>
      <c r="Y64">
        <v>16735.689999999999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3</v>
      </c>
      <c r="AG64">
        <v>3.0000000000000001E-5</v>
      </c>
      <c r="AH64">
        <v>2</v>
      </c>
      <c r="AI64">
        <v>59499610</v>
      </c>
      <c r="AJ64">
        <v>56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ROW(Source!A201)</f>
        <v>201</v>
      </c>
      <c r="B65">
        <v>59500072</v>
      </c>
      <c r="C65">
        <v>59499608</v>
      </c>
      <c r="D65">
        <v>58559696</v>
      </c>
      <c r="E65">
        <v>1080</v>
      </c>
      <c r="F65">
        <v>1</v>
      </c>
      <c r="G65">
        <v>1080</v>
      </c>
      <c r="H65">
        <v>3</v>
      </c>
      <c r="I65" t="s">
        <v>350</v>
      </c>
      <c r="J65" t="s">
        <v>3</v>
      </c>
      <c r="K65" t="s">
        <v>351</v>
      </c>
      <c r="L65">
        <v>1354</v>
      </c>
      <c r="N65">
        <v>1010</v>
      </c>
      <c r="O65" t="s">
        <v>124</v>
      </c>
      <c r="P65" t="s">
        <v>124</v>
      </c>
      <c r="Q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3</v>
      </c>
      <c r="AG65">
        <v>1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ROW(Source!A202)</f>
        <v>202</v>
      </c>
      <c r="B66">
        <v>59500070</v>
      </c>
      <c r="C66">
        <v>59499608</v>
      </c>
      <c r="D66">
        <v>58532980</v>
      </c>
      <c r="E66">
        <v>1080</v>
      </c>
      <c r="F66">
        <v>1</v>
      </c>
      <c r="G66">
        <v>1080</v>
      </c>
      <c r="H66">
        <v>1</v>
      </c>
      <c r="I66" t="s">
        <v>302</v>
      </c>
      <c r="J66" t="s">
        <v>3</v>
      </c>
      <c r="K66" t="s">
        <v>303</v>
      </c>
      <c r="L66">
        <v>1191</v>
      </c>
      <c r="N66">
        <v>1013</v>
      </c>
      <c r="O66" t="s">
        <v>304</v>
      </c>
      <c r="P66" t="s">
        <v>304</v>
      </c>
      <c r="Q66">
        <v>1</v>
      </c>
      <c r="X66">
        <v>0.52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 t="s">
        <v>40</v>
      </c>
      <c r="AG66">
        <v>0.65780000000000005</v>
      </c>
      <c r="AH66">
        <v>2</v>
      </c>
      <c r="AI66">
        <v>59499609</v>
      </c>
      <c r="AJ66">
        <v>58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ROW(Source!A202)</f>
        <v>202</v>
      </c>
      <c r="B67">
        <v>59500071</v>
      </c>
      <c r="C67">
        <v>59499608</v>
      </c>
      <c r="D67">
        <v>58576492</v>
      </c>
      <c r="E67">
        <v>1</v>
      </c>
      <c r="F67">
        <v>1</v>
      </c>
      <c r="G67">
        <v>1080</v>
      </c>
      <c r="H67">
        <v>3</v>
      </c>
      <c r="I67" t="s">
        <v>305</v>
      </c>
      <c r="J67" t="s">
        <v>306</v>
      </c>
      <c r="K67" t="s">
        <v>307</v>
      </c>
      <c r="L67">
        <v>1348</v>
      </c>
      <c r="N67">
        <v>1009</v>
      </c>
      <c r="O67" t="s">
        <v>242</v>
      </c>
      <c r="P67" t="s">
        <v>242</v>
      </c>
      <c r="Q67">
        <v>1000</v>
      </c>
      <c r="X67">
        <v>3.0000000000000001E-5</v>
      </c>
      <c r="Y67">
        <v>16735.689999999999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3</v>
      </c>
      <c r="AG67">
        <v>3.0000000000000001E-5</v>
      </c>
      <c r="AH67">
        <v>2</v>
      </c>
      <c r="AI67">
        <v>59499610</v>
      </c>
      <c r="AJ67">
        <v>59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ROW(Source!A202)</f>
        <v>202</v>
      </c>
      <c r="B68">
        <v>59500072</v>
      </c>
      <c r="C68">
        <v>59499608</v>
      </c>
      <c r="D68">
        <v>58559696</v>
      </c>
      <c r="E68">
        <v>1080</v>
      </c>
      <c r="F68">
        <v>1</v>
      </c>
      <c r="G68">
        <v>1080</v>
      </c>
      <c r="H68">
        <v>3</v>
      </c>
      <c r="I68" t="s">
        <v>350</v>
      </c>
      <c r="J68" t="s">
        <v>3</v>
      </c>
      <c r="K68" t="s">
        <v>351</v>
      </c>
      <c r="L68">
        <v>1354</v>
      </c>
      <c r="N68">
        <v>1010</v>
      </c>
      <c r="O68" t="s">
        <v>124</v>
      </c>
      <c r="P68" t="s">
        <v>124</v>
      </c>
      <c r="Q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3</v>
      </c>
      <c r="AG68">
        <v>1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ROW(Source!A205)</f>
        <v>205</v>
      </c>
      <c r="B69">
        <v>59500073</v>
      </c>
      <c r="C69">
        <v>59499616</v>
      </c>
      <c r="D69">
        <v>58532980</v>
      </c>
      <c r="E69">
        <v>1080</v>
      </c>
      <c r="F69">
        <v>1</v>
      </c>
      <c r="G69">
        <v>1080</v>
      </c>
      <c r="H69">
        <v>1</v>
      </c>
      <c r="I69" t="s">
        <v>302</v>
      </c>
      <c r="J69" t="s">
        <v>3</v>
      </c>
      <c r="K69" t="s">
        <v>303</v>
      </c>
      <c r="L69">
        <v>1191</v>
      </c>
      <c r="N69">
        <v>1013</v>
      </c>
      <c r="O69" t="s">
        <v>304</v>
      </c>
      <c r="P69" t="s">
        <v>304</v>
      </c>
      <c r="Q69">
        <v>1</v>
      </c>
      <c r="X69">
        <v>0.52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 t="s">
        <v>40</v>
      </c>
      <c r="AG69">
        <v>0.65780000000000005</v>
      </c>
      <c r="AH69">
        <v>2</v>
      </c>
      <c r="AI69">
        <v>59499617</v>
      </c>
      <c r="AJ69">
        <v>61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ROW(Source!A205)</f>
        <v>205</v>
      </c>
      <c r="B70">
        <v>59500074</v>
      </c>
      <c r="C70">
        <v>59499616</v>
      </c>
      <c r="D70">
        <v>58576492</v>
      </c>
      <c r="E70">
        <v>1</v>
      </c>
      <c r="F70">
        <v>1</v>
      </c>
      <c r="G70">
        <v>1080</v>
      </c>
      <c r="H70">
        <v>3</v>
      </c>
      <c r="I70" t="s">
        <v>305</v>
      </c>
      <c r="J70" t="s">
        <v>306</v>
      </c>
      <c r="K70" t="s">
        <v>307</v>
      </c>
      <c r="L70">
        <v>1348</v>
      </c>
      <c r="N70">
        <v>1009</v>
      </c>
      <c r="O70" t="s">
        <v>242</v>
      </c>
      <c r="P70" t="s">
        <v>242</v>
      </c>
      <c r="Q70">
        <v>1000</v>
      </c>
      <c r="X70">
        <v>3.0000000000000001E-5</v>
      </c>
      <c r="Y70">
        <v>16735.689999999999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3</v>
      </c>
      <c r="AG70">
        <v>3.0000000000000001E-5</v>
      </c>
      <c r="AH70">
        <v>2</v>
      </c>
      <c r="AI70">
        <v>59499618</v>
      </c>
      <c r="AJ70">
        <v>62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ROW(Source!A205)</f>
        <v>205</v>
      </c>
      <c r="B71">
        <v>59500075</v>
      </c>
      <c r="C71">
        <v>59499616</v>
      </c>
      <c r="D71">
        <v>58559696</v>
      </c>
      <c r="E71">
        <v>1080</v>
      </c>
      <c r="F71">
        <v>1</v>
      </c>
      <c r="G71">
        <v>1080</v>
      </c>
      <c r="H71">
        <v>3</v>
      </c>
      <c r="I71" t="s">
        <v>350</v>
      </c>
      <c r="J71" t="s">
        <v>3</v>
      </c>
      <c r="K71" t="s">
        <v>351</v>
      </c>
      <c r="L71">
        <v>1354</v>
      </c>
      <c r="N71">
        <v>1010</v>
      </c>
      <c r="O71" t="s">
        <v>124</v>
      </c>
      <c r="P71" t="s">
        <v>124</v>
      </c>
      <c r="Q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3</v>
      </c>
      <c r="AG71">
        <v>1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ROW(Source!A206)</f>
        <v>206</v>
      </c>
      <c r="B72">
        <v>59500073</v>
      </c>
      <c r="C72">
        <v>59499616</v>
      </c>
      <c r="D72">
        <v>58532980</v>
      </c>
      <c r="E72">
        <v>1080</v>
      </c>
      <c r="F72">
        <v>1</v>
      </c>
      <c r="G72">
        <v>1080</v>
      </c>
      <c r="H72">
        <v>1</v>
      </c>
      <c r="I72" t="s">
        <v>302</v>
      </c>
      <c r="J72" t="s">
        <v>3</v>
      </c>
      <c r="K72" t="s">
        <v>303</v>
      </c>
      <c r="L72">
        <v>1191</v>
      </c>
      <c r="N72">
        <v>1013</v>
      </c>
      <c r="O72" t="s">
        <v>304</v>
      </c>
      <c r="P72" t="s">
        <v>304</v>
      </c>
      <c r="Q72">
        <v>1</v>
      </c>
      <c r="X72">
        <v>0.52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 t="s">
        <v>40</v>
      </c>
      <c r="AG72">
        <v>0.65780000000000005</v>
      </c>
      <c r="AH72">
        <v>2</v>
      </c>
      <c r="AI72">
        <v>59499617</v>
      </c>
      <c r="AJ72">
        <v>64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ROW(Source!A206)</f>
        <v>206</v>
      </c>
      <c r="B73">
        <v>59500074</v>
      </c>
      <c r="C73">
        <v>59499616</v>
      </c>
      <c r="D73">
        <v>58576492</v>
      </c>
      <c r="E73">
        <v>1</v>
      </c>
      <c r="F73">
        <v>1</v>
      </c>
      <c r="G73">
        <v>1080</v>
      </c>
      <c r="H73">
        <v>3</v>
      </c>
      <c r="I73" t="s">
        <v>305</v>
      </c>
      <c r="J73" t="s">
        <v>306</v>
      </c>
      <c r="K73" t="s">
        <v>307</v>
      </c>
      <c r="L73">
        <v>1348</v>
      </c>
      <c r="N73">
        <v>1009</v>
      </c>
      <c r="O73" t="s">
        <v>242</v>
      </c>
      <c r="P73" t="s">
        <v>242</v>
      </c>
      <c r="Q73">
        <v>1000</v>
      </c>
      <c r="X73">
        <v>3.0000000000000001E-5</v>
      </c>
      <c r="Y73">
        <v>16735.689999999999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3</v>
      </c>
      <c r="AG73">
        <v>3.0000000000000001E-5</v>
      </c>
      <c r="AH73">
        <v>2</v>
      </c>
      <c r="AI73">
        <v>59499618</v>
      </c>
      <c r="AJ73">
        <v>65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ROW(Source!A206)</f>
        <v>206</v>
      </c>
      <c r="B74">
        <v>59500075</v>
      </c>
      <c r="C74">
        <v>59499616</v>
      </c>
      <c r="D74">
        <v>58559696</v>
      </c>
      <c r="E74">
        <v>1080</v>
      </c>
      <c r="F74">
        <v>1</v>
      </c>
      <c r="G74">
        <v>1080</v>
      </c>
      <c r="H74">
        <v>3</v>
      </c>
      <c r="I74" t="s">
        <v>350</v>
      </c>
      <c r="J74" t="s">
        <v>3</v>
      </c>
      <c r="K74" t="s">
        <v>351</v>
      </c>
      <c r="L74">
        <v>1354</v>
      </c>
      <c r="N74">
        <v>1010</v>
      </c>
      <c r="O74" t="s">
        <v>124</v>
      </c>
      <c r="P74" t="s">
        <v>124</v>
      </c>
      <c r="Q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3</v>
      </c>
      <c r="AG74">
        <v>1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ROW(Source!A209)</f>
        <v>209</v>
      </c>
      <c r="B75">
        <v>59500076</v>
      </c>
      <c r="C75">
        <v>59499624</v>
      </c>
      <c r="D75">
        <v>58532980</v>
      </c>
      <c r="E75">
        <v>1080</v>
      </c>
      <c r="F75">
        <v>1</v>
      </c>
      <c r="G75">
        <v>1080</v>
      </c>
      <c r="H75">
        <v>1</v>
      </c>
      <c r="I75" t="s">
        <v>302</v>
      </c>
      <c r="J75" t="s">
        <v>3</v>
      </c>
      <c r="K75" t="s">
        <v>303</v>
      </c>
      <c r="L75">
        <v>1191</v>
      </c>
      <c r="N75">
        <v>1013</v>
      </c>
      <c r="O75" t="s">
        <v>304</v>
      </c>
      <c r="P75" t="s">
        <v>304</v>
      </c>
      <c r="Q75">
        <v>1</v>
      </c>
      <c r="X75">
        <v>0.52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40</v>
      </c>
      <c r="AG75">
        <v>0.65780000000000005</v>
      </c>
      <c r="AH75">
        <v>2</v>
      </c>
      <c r="AI75">
        <v>59499625</v>
      </c>
      <c r="AJ75">
        <v>67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ROW(Source!A209)</f>
        <v>209</v>
      </c>
      <c r="B76">
        <v>59500077</v>
      </c>
      <c r="C76">
        <v>59499624</v>
      </c>
      <c r="D76">
        <v>58576492</v>
      </c>
      <c r="E76">
        <v>1</v>
      </c>
      <c r="F76">
        <v>1</v>
      </c>
      <c r="G76">
        <v>1080</v>
      </c>
      <c r="H76">
        <v>3</v>
      </c>
      <c r="I76" t="s">
        <v>305</v>
      </c>
      <c r="J76" t="s">
        <v>306</v>
      </c>
      <c r="K76" t="s">
        <v>307</v>
      </c>
      <c r="L76">
        <v>1348</v>
      </c>
      <c r="N76">
        <v>1009</v>
      </c>
      <c r="O76" t="s">
        <v>242</v>
      </c>
      <c r="P76" t="s">
        <v>242</v>
      </c>
      <c r="Q76">
        <v>1000</v>
      </c>
      <c r="X76">
        <v>3.0000000000000001E-5</v>
      </c>
      <c r="Y76">
        <v>16735.689999999999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3</v>
      </c>
      <c r="AG76">
        <v>3.0000000000000001E-5</v>
      </c>
      <c r="AH76">
        <v>2</v>
      </c>
      <c r="AI76">
        <v>59499626</v>
      </c>
      <c r="AJ76">
        <v>68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ROW(Source!A209)</f>
        <v>209</v>
      </c>
      <c r="B77">
        <v>59500078</v>
      </c>
      <c r="C77">
        <v>59499624</v>
      </c>
      <c r="D77">
        <v>58559696</v>
      </c>
      <c r="E77">
        <v>1080</v>
      </c>
      <c r="F77">
        <v>1</v>
      </c>
      <c r="G77">
        <v>1080</v>
      </c>
      <c r="H77">
        <v>3</v>
      </c>
      <c r="I77" t="s">
        <v>350</v>
      </c>
      <c r="J77" t="s">
        <v>3</v>
      </c>
      <c r="K77" t="s">
        <v>351</v>
      </c>
      <c r="L77">
        <v>1354</v>
      </c>
      <c r="N77">
        <v>1010</v>
      </c>
      <c r="O77" t="s">
        <v>124</v>
      </c>
      <c r="P77" t="s">
        <v>124</v>
      </c>
      <c r="Q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3</v>
      </c>
      <c r="AG77">
        <v>1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ROW(Source!A210)</f>
        <v>210</v>
      </c>
      <c r="B78">
        <v>59500076</v>
      </c>
      <c r="C78">
        <v>59499624</v>
      </c>
      <c r="D78">
        <v>58532980</v>
      </c>
      <c r="E78">
        <v>1080</v>
      </c>
      <c r="F78">
        <v>1</v>
      </c>
      <c r="G78">
        <v>1080</v>
      </c>
      <c r="H78">
        <v>1</v>
      </c>
      <c r="I78" t="s">
        <v>302</v>
      </c>
      <c r="J78" t="s">
        <v>3</v>
      </c>
      <c r="K78" t="s">
        <v>303</v>
      </c>
      <c r="L78">
        <v>1191</v>
      </c>
      <c r="N78">
        <v>1013</v>
      </c>
      <c r="O78" t="s">
        <v>304</v>
      </c>
      <c r="P78" t="s">
        <v>304</v>
      </c>
      <c r="Q78">
        <v>1</v>
      </c>
      <c r="X78">
        <v>0.52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 t="s">
        <v>40</v>
      </c>
      <c r="AG78">
        <v>0.65780000000000005</v>
      </c>
      <c r="AH78">
        <v>2</v>
      </c>
      <c r="AI78">
        <v>59499625</v>
      </c>
      <c r="AJ78">
        <v>70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ROW(Source!A210)</f>
        <v>210</v>
      </c>
      <c r="B79">
        <v>59500077</v>
      </c>
      <c r="C79">
        <v>59499624</v>
      </c>
      <c r="D79">
        <v>58576492</v>
      </c>
      <c r="E79">
        <v>1</v>
      </c>
      <c r="F79">
        <v>1</v>
      </c>
      <c r="G79">
        <v>1080</v>
      </c>
      <c r="H79">
        <v>3</v>
      </c>
      <c r="I79" t="s">
        <v>305</v>
      </c>
      <c r="J79" t="s">
        <v>306</v>
      </c>
      <c r="K79" t="s">
        <v>307</v>
      </c>
      <c r="L79">
        <v>1348</v>
      </c>
      <c r="N79">
        <v>1009</v>
      </c>
      <c r="O79" t="s">
        <v>242</v>
      </c>
      <c r="P79" t="s">
        <v>242</v>
      </c>
      <c r="Q79">
        <v>1000</v>
      </c>
      <c r="X79">
        <v>3.0000000000000001E-5</v>
      </c>
      <c r="Y79">
        <v>16735.689999999999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</v>
      </c>
      <c r="AG79">
        <v>3.0000000000000001E-5</v>
      </c>
      <c r="AH79">
        <v>2</v>
      </c>
      <c r="AI79">
        <v>59499626</v>
      </c>
      <c r="AJ79">
        <v>71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ROW(Source!A210)</f>
        <v>210</v>
      </c>
      <c r="B80">
        <v>59500078</v>
      </c>
      <c r="C80">
        <v>59499624</v>
      </c>
      <c r="D80">
        <v>58559696</v>
      </c>
      <c r="E80">
        <v>1080</v>
      </c>
      <c r="F80">
        <v>1</v>
      </c>
      <c r="G80">
        <v>1080</v>
      </c>
      <c r="H80">
        <v>3</v>
      </c>
      <c r="I80" t="s">
        <v>350</v>
      </c>
      <c r="J80" t="s">
        <v>3</v>
      </c>
      <c r="K80" t="s">
        <v>351</v>
      </c>
      <c r="L80">
        <v>1354</v>
      </c>
      <c r="N80">
        <v>1010</v>
      </c>
      <c r="O80" t="s">
        <v>124</v>
      </c>
      <c r="P80" t="s">
        <v>124</v>
      </c>
      <c r="Q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3</v>
      </c>
      <c r="AG80">
        <v>1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ROW(Source!A213)</f>
        <v>213</v>
      </c>
      <c r="B81">
        <v>59500079</v>
      </c>
      <c r="C81">
        <v>59499632</v>
      </c>
      <c r="D81">
        <v>58532980</v>
      </c>
      <c r="E81">
        <v>1080</v>
      </c>
      <c r="F81">
        <v>1</v>
      </c>
      <c r="G81">
        <v>1080</v>
      </c>
      <c r="H81">
        <v>1</v>
      </c>
      <c r="I81" t="s">
        <v>302</v>
      </c>
      <c r="J81" t="s">
        <v>3</v>
      </c>
      <c r="K81" t="s">
        <v>303</v>
      </c>
      <c r="L81">
        <v>1191</v>
      </c>
      <c r="N81">
        <v>1013</v>
      </c>
      <c r="O81" t="s">
        <v>304</v>
      </c>
      <c r="P81" t="s">
        <v>304</v>
      </c>
      <c r="Q81">
        <v>1</v>
      </c>
      <c r="X81">
        <v>0.52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40</v>
      </c>
      <c r="AG81">
        <v>0.65780000000000005</v>
      </c>
      <c r="AH81">
        <v>2</v>
      </c>
      <c r="AI81">
        <v>59499633</v>
      </c>
      <c r="AJ81">
        <v>73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ROW(Source!A213)</f>
        <v>213</v>
      </c>
      <c r="B82">
        <v>59500080</v>
      </c>
      <c r="C82">
        <v>59499632</v>
      </c>
      <c r="D82">
        <v>58576492</v>
      </c>
      <c r="E82">
        <v>1</v>
      </c>
      <c r="F82">
        <v>1</v>
      </c>
      <c r="G82">
        <v>1080</v>
      </c>
      <c r="H82">
        <v>3</v>
      </c>
      <c r="I82" t="s">
        <v>305</v>
      </c>
      <c r="J82" t="s">
        <v>306</v>
      </c>
      <c r="K82" t="s">
        <v>307</v>
      </c>
      <c r="L82">
        <v>1348</v>
      </c>
      <c r="N82">
        <v>1009</v>
      </c>
      <c r="O82" t="s">
        <v>242</v>
      </c>
      <c r="P82" t="s">
        <v>242</v>
      </c>
      <c r="Q82">
        <v>1000</v>
      </c>
      <c r="X82">
        <v>3.0000000000000001E-5</v>
      </c>
      <c r="Y82">
        <v>16735.689999999999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3</v>
      </c>
      <c r="AG82">
        <v>3.0000000000000001E-5</v>
      </c>
      <c r="AH82">
        <v>2</v>
      </c>
      <c r="AI82">
        <v>59499634</v>
      </c>
      <c r="AJ82">
        <v>74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ROW(Source!A213)</f>
        <v>213</v>
      </c>
      <c r="B83">
        <v>59500081</v>
      </c>
      <c r="C83">
        <v>59499632</v>
      </c>
      <c r="D83">
        <v>58559696</v>
      </c>
      <c r="E83">
        <v>1080</v>
      </c>
      <c r="F83">
        <v>1</v>
      </c>
      <c r="G83">
        <v>1080</v>
      </c>
      <c r="H83">
        <v>3</v>
      </c>
      <c r="I83" t="s">
        <v>350</v>
      </c>
      <c r="J83" t="s">
        <v>3</v>
      </c>
      <c r="K83" t="s">
        <v>351</v>
      </c>
      <c r="L83">
        <v>1354</v>
      </c>
      <c r="N83">
        <v>1010</v>
      </c>
      <c r="O83" t="s">
        <v>124</v>
      </c>
      <c r="P83" t="s">
        <v>124</v>
      </c>
      <c r="Q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3</v>
      </c>
      <c r="AG83">
        <v>1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ROW(Source!A214)</f>
        <v>214</v>
      </c>
      <c r="B84">
        <v>59500079</v>
      </c>
      <c r="C84">
        <v>59499632</v>
      </c>
      <c r="D84">
        <v>58532980</v>
      </c>
      <c r="E84">
        <v>1080</v>
      </c>
      <c r="F84">
        <v>1</v>
      </c>
      <c r="G84">
        <v>1080</v>
      </c>
      <c r="H84">
        <v>1</v>
      </c>
      <c r="I84" t="s">
        <v>302</v>
      </c>
      <c r="J84" t="s">
        <v>3</v>
      </c>
      <c r="K84" t="s">
        <v>303</v>
      </c>
      <c r="L84">
        <v>1191</v>
      </c>
      <c r="N84">
        <v>1013</v>
      </c>
      <c r="O84" t="s">
        <v>304</v>
      </c>
      <c r="P84" t="s">
        <v>304</v>
      </c>
      <c r="Q84">
        <v>1</v>
      </c>
      <c r="X84">
        <v>0.52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 t="s">
        <v>40</v>
      </c>
      <c r="AG84">
        <v>0.65780000000000005</v>
      </c>
      <c r="AH84">
        <v>2</v>
      </c>
      <c r="AI84">
        <v>59499633</v>
      </c>
      <c r="AJ84">
        <v>76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ROW(Source!A214)</f>
        <v>214</v>
      </c>
      <c r="B85">
        <v>59500080</v>
      </c>
      <c r="C85">
        <v>59499632</v>
      </c>
      <c r="D85">
        <v>58576492</v>
      </c>
      <c r="E85">
        <v>1</v>
      </c>
      <c r="F85">
        <v>1</v>
      </c>
      <c r="G85">
        <v>1080</v>
      </c>
      <c r="H85">
        <v>3</v>
      </c>
      <c r="I85" t="s">
        <v>305</v>
      </c>
      <c r="J85" t="s">
        <v>306</v>
      </c>
      <c r="K85" t="s">
        <v>307</v>
      </c>
      <c r="L85">
        <v>1348</v>
      </c>
      <c r="N85">
        <v>1009</v>
      </c>
      <c r="O85" t="s">
        <v>242</v>
      </c>
      <c r="P85" t="s">
        <v>242</v>
      </c>
      <c r="Q85">
        <v>1000</v>
      </c>
      <c r="X85">
        <v>3.0000000000000001E-5</v>
      </c>
      <c r="Y85">
        <v>16735.689999999999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3</v>
      </c>
      <c r="AG85">
        <v>3.0000000000000001E-5</v>
      </c>
      <c r="AH85">
        <v>2</v>
      </c>
      <c r="AI85">
        <v>59499634</v>
      </c>
      <c r="AJ85">
        <v>77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ROW(Source!A214)</f>
        <v>214</v>
      </c>
      <c r="B86">
        <v>59500081</v>
      </c>
      <c r="C86">
        <v>59499632</v>
      </c>
      <c r="D86">
        <v>58559696</v>
      </c>
      <c r="E86">
        <v>1080</v>
      </c>
      <c r="F86">
        <v>1</v>
      </c>
      <c r="G86">
        <v>1080</v>
      </c>
      <c r="H86">
        <v>3</v>
      </c>
      <c r="I86" t="s">
        <v>350</v>
      </c>
      <c r="J86" t="s">
        <v>3</v>
      </c>
      <c r="K86" t="s">
        <v>351</v>
      </c>
      <c r="L86">
        <v>1354</v>
      </c>
      <c r="N86">
        <v>1010</v>
      </c>
      <c r="O86" t="s">
        <v>124</v>
      </c>
      <c r="P86" t="s">
        <v>124</v>
      </c>
      <c r="Q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3</v>
      </c>
      <c r="AG86">
        <v>1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ROW(Source!A217)</f>
        <v>217</v>
      </c>
      <c r="B87">
        <v>59500082</v>
      </c>
      <c r="C87">
        <v>59499640</v>
      </c>
      <c r="D87">
        <v>58532980</v>
      </c>
      <c r="E87">
        <v>1080</v>
      </c>
      <c r="F87">
        <v>1</v>
      </c>
      <c r="G87">
        <v>1080</v>
      </c>
      <c r="H87">
        <v>1</v>
      </c>
      <c r="I87" t="s">
        <v>302</v>
      </c>
      <c r="J87" t="s">
        <v>3</v>
      </c>
      <c r="K87" t="s">
        <v>303</v>
      </c>
      <c r="L87">
        <v>1191</v>
      </c>
      <c r="N87">
        <v>1013</v>
      </c>
      <c r="O87" t="s">
        <v>304</v>
      </c>
      <c r="P87" t="s">
        <v>304</v>
      </c>
      <c r="Q87">
        <v>1</v>
      </c>
      <c r="X87">
        <v>0.52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40</v>
      </c>
      <c r="AG87">
        <v>0.65780000000000005</v>
      </c>
      <c r="AH87">
        <v>2</v>
      </c>
      <c r="AI87">
        <v>59499641</v>
      </c>
      <c r="AJ87">
        <v>79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ROW(Source!A217)</f>
        <v>217</v>
      </c>
      <c r="B88">
        <v>59500083</v>
      </c>
      <c r="C88">
        <v>59499640</v>
      </c>
      <c r="D88">
        <v>58576492</v>
      </c>
      <c r="E88">
        <v>1</v>
      </c>
      <c r="F88">
        <v>1</v>
      </c>
      <c r="G88">
        <v>1080</v>
      </c>
      <c r="H88">
        <v>3</v>
      </c>
      <c r="I88" t="s">
        <v>305</v>
      </c>
      <c r="J88" t="s">
        <v>306</v>
      </c>
      <c r="K88" t="s">
        <v>307</v>
      </c>
      <c r="L88">
        <v>1348</v>
      </c>
      <c r="N88">
        <v>1009</v>
      </c>
      <c r="O88" t="s">
        <v>242</v>
      </c>
      <c r="P88" t="s">
        <v>242</v>
      </c>
      <c r="Q88">
        <v>1000</v>
      </c>
      <c r="X88">
        <v>3.0000000000000001E-5</v>
      </c>
      <c r="Y88">
        <v>16735.689999999999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 t="s">
        <v>3</v>
      </c>
      <c r="AG88">
        <v>3.0000000000000001E-5</v>
      </c>
      <c r="AH88">
        <v>2</v>
      </c>
      <c r="AI88">
        <v>59499642</v>
      </c>
      <c r="AJ88">
        <v>80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ROW(Source!A217)</f>
        <v>217</v>
      </c>
      <c r="B89">
        <v>59500084</v>
      </c>
      <c r="C89">
        <v>59499640</v>
      </c>
      <c r="D89">
        <v>58559696</v>
      </c>
      <c r="E89">
        <v>1080</v>
      </c>
      <c r="F89">
        <v>1</v>
      </c>
      <c r="G89">
        <v>1080</v>
      </c>
      <c r="H89">
        <v>3</v>
      </c>
      <c r="I89" t="s">
        <v>350</v>
      </c>
      <c r="J89" t="s">
        <v>3</v>
      </c>
      <c r="K89" t="s">
        <v>351</v>
      </c>
      <c r="L89">
        <v>1354</v>
      </c>
      <c r="N89">
        <v>1010</v>
      </c>
      <c r="O89" t="s">
        <v>124</v>
      </c>
      <c r="P89" t="s">
        <v>124</v>
      </c>
      <c r="Q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3</v>
      </c>
      <c r="AG89">
        <v>1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ROW(Source!A218)</f>
        <v>218</v>
      </c>
      <c r="B90">
        <v>59500082</v>
      </c>
      <c r="C90">
        <v>59499640</v>
      </c>
      <c r="D90">
        <v>58532980</v>
      </c>
      <c r="E90">
        <v>1080</v>
      </c>
      <c r="F90">
        <v>1</v>
      </c>
      <c r="G90">
        <v>1080</v>
      </c>
      <c r="H90">
        <v>1</v>
      </c>
      <c r="I90" t="s">
        <v>302</v>
      </c>
      <c r="J90" t="s">
        <v>3</v>
      </c>
      <c r="K90" t="s">
        <v>303</v>
      </c>
      <c r="L90">
        <v>1191</v>
      </c>
      <c r="N90">
        <v>1013</v>
      </c>
      <c r="O90" t="s">
        <v>304</v>
      </c>
      <c r="P90" t="s">
        <v>304</v>
      </c>
      <c r="Q90">
        <v>1</v>
      </c>
      <c r="X90">
        <v>0.52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 t="s">
        <v>40</v>
      </c>
      <c r="AG90">
        <v>0.65780000000000005</v>
      </c>
      <c r="AH90">
        <v>2</v>
      </c>
      <c r="AI90">
        <v>59499641</v>
      </c>
      <c r="AJ90">
        <v>82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ROW(Source!A218)</f>
        <v>218</v>
      </c>
      <c r="B91">
        <v>59500083</v>
      </c>
      <c r="C91">
        <v>59499640</v>
      </c>
      <c r="D91">
        <v>58576492</v>
      </c>
      <c r="E91">
        <v>1</v>
      </c>
      <c r="F91">
        <v>1</v>
      </c>
      <c r="G91">
        <v>1080</v>
      </c>
      <c r="H91">
        <v>3</v>
      </c>
      <c r="I91" t="s">
        <v>305</v>
      </c>
      <c r="J91" t="s">
        <v>306</v>
      </c>
      <c r="K91" t="s">
        <v>307</v>
      </c>
      <c r="L91">
        <v>1348</v>
      </c>
      <c r="N91">
        <v>1009</v>
      </c>
      <c r="O91" t="s">
        <v>242</v>
      </c>
      <c r="P91" t="s">
        <v>242</v>
      </c>
      <c r="Q91">
        <v>1000</v>
      </c>
      <c r="X91">
        <v>3.0000000000000001E-5</v>
      </c>
      <c r="Y91">
        <v>16735.689999999999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3.0000000000000001E-5</v>
      </c>
      <c r="AH91">
        <v>2</v>
      </c>
      <c r="AI91">
        <v>59499642</v>
      </c>
      <c r="AJ91">
        <v>83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ROW(Source!A218)</f>
        <v>218</v>
      </c>
      <c r="B92">
        <v>59500084</v>
      </c>
      <c r="C92">
        <v>59499640</v>
      </c>
      <c r="D92">
        <v>58559696</v>
      </c>
      <c r="E92">
        <v>1080</v>
      </c>
      <c r="F92">
        <v>1</v>
      </c>
      <c r="G92">
        <v>1080</v>
      </c>
      <c r="H92">
        <v>3</v>
      </c>
      <c r="I92" t="s">
        <v>350</v>
      </c>
      <c r="J92" t="s">
        <v>3</v>
      </c>
      <c r="K92" t="s">
        <v>351</v>
      </c>
      <c r="L92">
        <v>1354</v>
      </c>
      <c r="N92">
        <v>1010</v>
      </c>
      <c r="O92" t="s">
        <v>124</v>
      </c>
      <c r="P92" t="s">
        <v>124</v>
      </c>
      <c r="Q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3</v>
      </c>
      <c r="AG92">
        <v>1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ROW(Source!A221)</f>
        <v>221</v>
      </c>
      <c r="B93">
        <v>59500085</v>
      </c>
      <c r="C93">
        <v>59499648</v>
      </c>
      <c r="D93">
        <v>58532980</v>
      </c>
      <c r="E93">
        <v>1080</v>
      </c>
      <c r="F93">
        <v>1</v>
      </c>
      <c r="G93">
        <v>1080</v>
      </c>
      <c r="H93">
        <v>1</v>
      </c>
      <c r="I93" t="s">
        <v>302</v>
      </c>
      <c r="J93" t="s">
        <v>3</v>
      </c>
      <c r="K93" t="s">
        <v>303</v>
      </c>
      <c r="L93">
        <v>1191</v>
      </c>
      <c r="N93">
        <v>1013</v>
      </c>
      <c r="O93" t="s">
        <v>304</v>
      </c>
      <c r="P93" t="s">
        <v>304</v>
      </c>
      <c r="Q93">
        <v>1</v>
      </c>
      <c r="X93">
        <v>0.52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40</v>
      </c>
      <c r="AG93">
        <v>0.65780000000000005</v>
      </c>
      <c r="AH93">
        <v>2</v>
      </c>
      <c r="AI93">
        <v>59499649</v>
      </c>
      <c r="AJ93">
        <v>85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ROW(Source!A221)</f>
        <v>221</v>
      </c>
      <c r="B94">
        <v>59500086</v>
      </c>
      <c r="C94">
        <v>59499648</v>
      </c>
      <c r="D94">
        <v>58576492</v>
      </c>
      <c r="E94">
        <v>1</v>
      </c>
      <c r="F94">
        <v>1</v>
      </c>
      <c r="G94">
        <v>1080</v>
      </c>
      <c r="H94">
        <v>3</v>
      </c>
      <c r="I94" t="s">
        <v>305</v>
      </c>
      <c r="J94" t="s">
        <v>306</v>
      </c>
      <c r="K94" t="s">
        <v>307</v>
      </c>
      <c r="L94">
        <v>1348</v>
      </c>
      <c r="N94">
        <v>1009</v>
      </c>
      <c r="O94" t="s">
        <v>242</v>
      </c>
      <c r="P94" t="s">
        <v>242</v>
      </c>
      <c r="Q94">
        <v>1000</v>
      </c>
      <c r="X94">
        <v>3.0000000000000001E-5</v>
      </c>
      <c r="Y94">
        <v>16735.689999999999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3</v>
      </c>
      <c r="AG94">
        <v>3.0000000000000001E-5</v>
      </c>
      <c r="AH94">
        <v>2</v>
      </c>
      <c r="AI94">
        <v>59499650</v>
      </c>
      <c r="AJ94">
        <v>86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ROW(Source!A221)</f>
        <v>221</v>
      </c>
      <c r="B95">
        <v>59500087</v>
      </c>
      <c r="C95">
        <v>59499648</v>
      </c>
      <c r="D95">
        <v>58559696</v>
      </c>
      <c r="E95">
        <v>1080</v>
      </c>
      <c r="F95">
        <v>1</v>
      </c>
      <c r="G95">
        <v>1080</v>
      </c>
      <c r="H95">
        <v>3</v>
      </c>
      <c r="I95" t="s">
        <v>350</v>
      </c>
      <c r="J95" t="s">
        <v>3</v>
      </c>
      <c r="K95" t="s">
        <v>351</v>
      </c>
      <c r="L95">
        <v>1354</v>
      </c>
      <c r="N95">
        <v>1010</v>
      </c>
      <c r="O95" t="s">
        <v>124</v>
      </c>
      <c r="P95" t="s">
        <v>124</v>
      </c>
      <c r="Q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3</v>
      </c>
      <c r="AG95">
        <v>1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ROW(Source!A222)</f>
        <v>222</v>
      </c>
      <c r="B96">
        <v>59500085</v>
      </c>
      <c r="C96">
        <v>59499648</v>
      </c>
      <c r="D96">
        <v>58532980</v>
      </c>
      <c r="E96">
        <v>1080</v>
      </c>
      <c r="F96">
        <v>1</v>
      </c>
      <c r="G96">
        <v>1080</v>
      </c>
      <c r="H96">
        <v>1</v>
      </c>
      <c r="I96" t="s">
        <v>302</v>
      </c>
      <c r="J96" t="s">
        <v>3</v>
      </c>
      <c r="K96" t="s">
        <v>303</v>
      </c>
      <c r="L96">
        <v>1191</v>
      </c>
      <c r="N96">
        <v>1013</v>
      </c>
      <c r="O96" t="s">
        <v>304</v>
      </c>
      <c r="P96" t="s">
        <v>304</v>
      </c>
      <c r="Q96">
        <v>1</v>
      </c>
      <c r="X96">
        <v>0.52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 t="s">
        <v>40</v>
      </c>
      <c r="AG96">
        <v>0.65780000000000005</v>
      </c>
      <c r="AH96">
        <v>2</v>
      </c>
      <c r="AI96">
        <v>59499649</v>
      </c>
      <c r="AJ96">
        <v>88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ROW(Source!A222)</f>
        <v>222</v>
      </c>
      <c r="B97">
        <v>59500086</v>
      </c>
      <c r="C97">
        <v>59499648</v>
      </c>
      <c r="D97">
        <v>58576492</v>
      </c>
      <c r="E97">
        <v>1</v>
      </c>
      <c r="F97">
        <v>1</v>
      </c>
      <c r="G97">
        <v>1080</v>
      </c>
      <c r="H97">
        <v>3</v>
      </c>
      <c r="I97" t="s">
        <v>305</v>
      </c>
      <c r="J97" t="s">
        <v>306</v>
      </c>
      <c r="K97" t="s">
        <v>307</v>
      </c>
      <c r="L97">
        <v>1348</v>
      </c>
      <c r="N97">
        <v>1009</v>
      </c>
      <c r="O97" t="s">
        <v>242</v>
      </c>
      <c r="P97" t="s">
        <v>242</v>
      </c>
      <c r="Q97">
        <v>1000</v>
      </c>
      <c r="X97">
        <v>3.0000000000000001E-5</v>
      </c>
      <c r="Y97">
        <v>16735.689999999999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3</v>
      </c>
      <c r="AG97">
        <v>3.0000000000000001E-5</v>
      </c>
      <c r="AH97">
        <v>2</v>
      </c>
      <c r="AI97">
        <v>59499650</v>
      </c>
      <c r="AJ97">
        <v>89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ROW(Source!A222)</f>
        <v>222</v>
      </c>
      <c r="B98">
        <v>59500087</v>
      </c>
      <c r="C98">
        <v>59499648</v>
      </c>
      <c r="D98">
        <v>58559696</v>
      </c>
      <c r="E98">
        <v>1080</v>
      </c>
      <c r="F98">
        <v>1</v>
      </c>
      <c r="G98">
        <v>1080</v>
      </c>
      <c r="H98">
        <v>3</v>
      </c>
      <c r="I98" t="s">
        <v>350</v>
      </c>
      <c r="J98" t="s">
        <v>3</v>
      </c>
      <c r="K98" t="s">
        <v>351</v>
      </c>
      <c r="L98">
        <v>1354</v>
      </c>
      <c r="N98">
        <v>1010</v>
      </c>
      <c r="O98" t="s">
        <v>124</v>
      </c>
      <c r="P98" t="s">
        <v>124</v>
      </c>
      <c r="Q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3</v>
      </c>
      <c r="AG98">
        <v>1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ROW(Source!A225)</f>
        <v>225</v>
      </c>
      <c r="B99">
        <v>59500088</v>
      </c>
      <c r="C99">
        <v>59499656</v>
      </c>
      <c r="D99">
        <v>58532980</v>
      </c>
      <c r="E99">
        <v>1080</v>
      </c>
      <c r="F99">
        <v>1</v>
      </c>
      <c r="G99">
        <v>1080</v>
      </c>
      <c r="H99">
        <v>1</v>
      </c>
      <c r="I99" t="s">
        <v>302</v>
      </c>
      <c r="J99" t="s">
        <v>3</v>
      </c>
      <c r="K99" t="s">
        <v>303</v>
      </c>
      <c r="L99">
        <v>1191</v>
      </c>
      <c r="N99">
        <v>1013</v>
      </c>
      <c r="O99" t="s">
        <v>304</v>
      </c>
      <c r="P99" t="s">
        <v>304</v>
      </c>
      <c r="Q99">
        <v>1</v>
      </c>
      <c r="X99">
        <v>0.52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40</v>
      </c>
      <c r="AG99">
        <v>0.65780000000000005</v>
      </c>
      <c r="AH99">
        <v>2</v>
      </c>
      <c r="AI99">
        <v>59499657</v>
      </c>
      <c r="AJ99">
        <v>91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ROW(Source!A225)</f>
        <v>225</v>
      </c>
      <c r="B100">
        <v>59500089</v>
      </c>
      <c r="C100">
        <v>59499656</v>
      </c>
      <c r="D100">
        <v>58576492</v>
      </c>
      <c r="E100">
        <v>1</v>
      </c>
      <c r="F100">
        <v>1</v>
      </c>
      <c r="G100">
        <v>1080</v>
      </c>
      <c r="H100">
        <v>3</v>
      </c>
      <c r="I100" t="s">
        <v>305</v>
      </c>
      <c r="J100" t="s">
        <v>306</v>
      </c>
      <c r="K100" t="s">
        <v>307</v>
      </c>
      <c r="L100">
        <v>1348</v>
      </c>
      <c r="N100">
        <v>1009</v>
      </c>
      <c r="O100" t="s">
        <v>242</v>
      </c>
      <c r="P100" t="s">
        <v>242</v>
      </c>
      <c r="Q100">
        <v>1000</v>
      </c>
      <c r="X100">
        <v>3.0000000000000001E-5</v>
      </c>
      <c r="Y100">
        <v>16735.689999999999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3</v>
      </c>
      <c r="AG100">
        <v>3.0000000000000001E-5</v>
      </c>
      <c r="AH100">
        <v>2</v>
      </c>
      <c r="AI100">
        <v>59499658</v>
      </c>
      <c r="AJ100">
        <v>92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ROW(Source!A225)</f>
        <v>225</v>
      </c>
      <c r="B101">
        <v>59500090</v>
      </c>
      <c r="C101">
        <v>59499656</v>
      </c>
      <c r="D101">
        <v>58559696</v>
      </c>
      <c r="E101">
        <v>1080</v>
      </c>
      <c r="F101">
        <v>1</v>
      </c>
      <c r="G101">
        <v>1080</v>
      </c>
      <c r="H101">
        <v>3</v>
      </c>
      <c r="I101" t="s">
        <v>350</v>
      </c>
      <c r="J101" t="s">
        <v>3</v>
      </c>
      <c r="K101" t="s">
        <v>351</v>
      </c>
      <c r="L101">
        <v>1354</v>
      </c>
      <c r="N101">
        <v>1010</v>
      </c>
      <c r="O101" t="s">
        <v>124</v>
      </c>
      <c r="P101" t="s">
        <v>124</v>
      </c>
      <c r="Q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3</v>
      </c>
      <c r="AG101">
        <v>1</v>
      </c>
      <c r="AH101">
        <v>3</v>
      </c>
      <c r="AI101">
        <v>-1</v>
      </c>
      <c r="AJ101" t="s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ROW(Source!A226)</f>
        <v>226</v>
      </c>
      <c r="B102">
        <v>59500088</v>
      </c>
      <c r="C102">
        <v>59499656</v>
      </c>
      <c r="D102">
        <v>58532980</v>
      </c>
      <c r="E102">
        <v>1080</v>
      </c>
      <c r="F102">
        <v>1</v>
      </c>
      <c r="G102">
        <v>1080</v>
      </c>
      <c r="H102">
        <v>1</v>
      </c>
      <c r="I102" t="s">
        <v>302</v>
      </c>
      <c r="J102" t="s">
        <v>3</v>
      </c>
      <c r="K102" t="s">
        <v>303</v>
      </c>
      <c r="L102">
        <v>1191</v>
      </c>
      <c r="N102">
        <v>1013</v>
      </c>
      <c r="O102" t="s">
        <v>304</v>
      </c>
      <c r="P102" t="s">
        <v>304</v>
      </c>
      <c r="Q102">
        <v>1</v>
      </c>
      <c r="X102">
        <v>0.52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 t="s">
        <v>40</v>
      </c>
      <c r="AG102">
        <v>0.65780000000000005</v>
      </c>
      <c r="AH102">
        <v>2</v>
      </c>
      <c r="AI102">
        <v>59499657</v>
      </c>
      <c r="AJ102">
        <v>94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ROW(Source!A226)</f>
        <v>226</v>
      </c>
      <c r="B103">
        <v>59500089</v>
      </c>
      <c r="C103">
        <v>59499656</v>
      </c>
      <c r="D103">
        <v>58576492</v>
      </c>
      <c r="E103">
        <v>1</v>
      </c>
      <c r="F103">
        <v>1</v>
      </c>
      <c r="G103">
        <v>1080</v>
      </c>
      <c r="H103">
        <v>3</v>
      </c>
      <c r="I103" t="s">
        <v>305</v>
      </c>
      <c r="J103" t="s">
        <v>306</v>
      </c>
      <c r="K103" t="s">
        <v>307</v>
      </c>
      <c r="L103">
        <v>1348</v>
      </c>
      <c r="N103">
        <v>1009</v>
      </c>
      <c r="O103" t="s">
        <v>242</v>
      </c>
      <c r="P103" t="s">
        <v>242</v>
      </c>
      <c r="Q103">
        <v>1000</v>
      </c>
      <c r="X103">
        <v>3.0000000000000001E-5</v>
      </c>
      <c r="Y103">
        <v>16735.689999999999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3</v>
      </c>
      <c r="AG103">
        <v>3.0000000000000001E-5</v>
      </c>
      <c r="AH103">
        <v>2</v>
      </c>
      <c r="AI103">
        <v>59499658</v>
      </c>
      <c r="AJ103">
        <v>95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ROW(Source!A226)</f>
        <v>226</v>
      </c>
      <c r="B104">
        <v>59500090</v>
      </c>
      <c r="C104">
        <v>59499656</v>
      </c>
      <c r="D104">
        <v>58559696</v>
      </c>
      <c r="E104">
        <v>1080</v>
      </c>
      <c r="F104">
        <v>1</v>
      </c>
      <c r="G104">
        <v>1080</v>
      </c>
      <c r="H104">
        <v>3</v>
      </c>
      <c r="I104" t="s">
        <v>350</v>
      </c>
      <c r="J104" t="s">
        <v>3</v>
      </c>
      <c r="K104" t="s">
        <v>351</v>
      </c>
      <c r="L104">
        <v>1354</v>
      </c>
      <c r="N104">
        <v>1010</v>
      </c>
      <c r="O104" t="s">
        <v>124</v>
      </c>
      <c r="P104" t="s">
        <v>124</v>
      </c>
      <c r="Q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3</v>
      </c>
      <c r="AG104">
        <v>1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ROW(Source!A229)</f>
        <v>229</v>
      </c>
      <c r="B105">
        <v>59500091</v>
      </c>
      <c r="C105">
        <v>59499664</v>
      </c>
      <c r="D105">
        <v>58532980</v>
      </c>
      <c r="E105">
        <v>1080</v>
      </c>
      <c r="F105">
        <v>1</v>
      </c>
      <c r="G105">
        <v>1080</v>
      </c>
      <c r="H105">
        <v>1</v>
      </c>
      <c r="I105" t="s">
        <v>302</v>
      </c>
      <c r="J105" t="s">
        <v>3</v>
      </c>
      <c r="K105" t="s">
        <v>303</v>
      </c>
      <c r="L105">
        <v>1191</v>
      </c>
      <c r="N105">
        <v>1013</v>
      </c>
      <c r="O105" t="s">
        <v>304</v>
      </c>
      <c r="P105" t="s">
        <v>304</v>
      </c>
      <c r="Q105">
        <v>1</v>
      </c>
      <c r="X105">
        <v>0.52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40</v>
      </c>
      <c r="AG105">
        <v>0.65780000000000005</v>
      </c>
      <c r="AH105">
        <v>2</v>
      </c>
      <c r="AI105">
        <v>59499665</v>
      </c>
      <c r="AJ105">
        <v>97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ROW(Source!A229)</f>
        <v>229</v>
      </c>
      <c r="B106">
        <v>59500092</v>
      </c>
      <c r="C106">
        <v>59499664</v>
      </c>
      <c r="D106">
        <v>58576492</v>
      </c>
      <c r="E106">
        <v>1</v>
      </c>
      <c r="F106">
        <v>1</v>
      </c>
      <c r="G106">
        <v>1080</v>
      </c>
      <c r="H106">
        <v>3</v>
      </c>
      <c r="I106" t="s">
        <v>305</v>
      </c>
      <c r="J106" t="s">
        <v>306</v>
      </c>
      <c r="K106" t="s">
        <v>307</v>
      </c>
      <c r="L106">
        <v>1348</v>
      </c>
      <c r="N106">
        <v>1009</v>
      </c>
      <c r="O106" t="s">
        <v>242</v>
      </c>
      <c r="P106" t="s">
        <v>242</v>
      </c>
      <c r="Q106">
        <v>1000</v>
      </c>
      <c r="X106">
        <v>3.0000000000000001E-5</v>
      </c>
      <c r="Y106">
        <v>16735.689999999999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</v>
      </c>
      <c r="AG106">
        <v>3.0000000000000001E-5</v>
      </c>
      <c r="AH106">
        <v>2</v>
      </c>
      <c r="AI106">
        <v>59499666</v>
      </c>
      <c r="AJ106">
        <v>98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ROW(Source!A229)</f>
        <v>229</v>
      </c>
      <c r="B107">
        <v>59500093</v>
      </c>
      <c r="C107">
        <v>59499664</v>
      </c>
      <c r="D107">
        <v>58559696</v>
      </c>
      <c r="E107">
        <v>1080</v>
      </c>
      <c r="F107">
        <v>1</v>
      </c>
      <c r="G107">
        <v>1080</v>
      </c>
      <c r="H107">
        <v>3</v>
      </c>
      <c r="I107" t="s">
        <v>350</v>
      </c>
      <c r="J107" t="s">
        <v>3</v>
      </c>
      <c r="K107" t="s">
        <v>351</v>
      </c>
      <c r="L107">
        <v>1354</v>
      </c>
      <c r="N107">
        <v>1010</v>
      </c>
      <c r="O107" t="s">
        <v>124</v>
      </c>
      <c r="P107" t="s">
        <v>124</v>
      </c>
      <c r="Q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3</v>
      </c>
      <c r="AG107">
        <v>1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ROW(Source!A230)</f>
        <v>230</v>
      </c>
      <c r="B108">
        <v>59500091</v>
      </c>
      <c r="C108">
        <v>59499664</v>
      </c>
      <c r="D108">
        <v>58532980</v>
      </c>
      <c r="E108">
        <v>1080</v>
      </c>
      <c r="F108">
        <v>1</v>
      </c>
      <c r="G108">
        <v>1080</v>
      </c>
      <c r="H108">
        <v>1</v>
      </c>
      <c r="I108" t="s">
        <v>302</v>
      </c>
      <c r="J108" t="s">
        <v>3</v>
      </c>
      <c r="K108" t="s">
        <v>303</v>
      </c>
      <c r="L108">
        <v>1191</v>
      </c>
      <c r="N108">
        <v>1013</v>
      </c>
      <c r="O108" t="s">
        <v>304</v>
      </c>
      <c r="P108" t="s">
        <v>304</v>
      </c>
      <c r="Q108">
        <v>1</v>
      </c>
      <c r="X108">
        <v>0.52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 t="s">
        <v>40</v>
      </c>
      <c r="AG108">
        <v>0.65780000000000005</v>
      </c>
      <c r="AH108">
        <v>2</v>
      </c>
      <c r="AI108">
        <v>59499665</v>
      </c>
      <c r="AJ108">
        <v>100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ROW(Source!A230)</f>
        <v>230</v>
      </c>
      <c r="B109">
        <v>59500092</v>
      </c>
      <c r="C109">
        <v>59499664</v>
      </c>
      <c r="D109">
        <v>58576492</v>
      </c>
      <c r="E109">
        <v>1</v>
      </c>
      <c r="F109">
        <v>1</v>
      </c>
      <c r="G109">
        <v>1080</v>
      </c>
      <c r="H109">
        <v>3</v>
      </c>
      <c r="I109" t="s">
        <v>305</v>
      </c>
      <c r="J109" t="s">
        <v>306</v>
      </c>
      <c r="K109" t="s">
        <v>307</v>
      </c>
      <c r="L109">
        <v>1348</v>
      </c>
      <c r="N109">
        <v>1009</v>
      </c>
      <c r="O109" t="s">
        <v>242</v>
      </c>
      <c r="P109" t="s">
        <v>242</v>
      </c>
      <c r="Q109">
        <v>1000</v>
      </c>
      <c r="X109">
        <v>3.0000000000000001E-5</v>
      </c>
      <c r="Y109">
        <v>16735.689999999999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3</v>
      </c>
      <c r="AG109">
        <v>3.0000000000000001E-5</v>
      </c>
      <c r="AH109">
        <v>2</v>
      </c>
      <c r="AI109">
        <v>59499666</v>
      </c>
      <c r="AJ109">
        <v>101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ROW(Source!A230)</f>
        <v>230</v>
      </c>
      <c r="B110">
        <v>59500093</v>
      </c>
      <c r="C110">
        <v>59499664</v>
      </c>
      <c r="D110">
        <v>58559696</v>
      </c>
      <c r="E110">
        <v>1080</v>
      </c>
      <c r="F110">
        <v>1</v>
      </c>
      <c r="G110">
        <v>1080</v>
      </c>
      <c r="H110">
        <v>3</v>
      </c>
      <c r="I110" t="s">
        <v>350</v>
      </c>
      <c r="J110" t="s">
        <v>3</v>
      </c>
      <c r="K110" t="s">
        <v>351</v>
      </c>
      <c r="L110">
        <v>1354</v>
      </c>
      <c r="N110">
        <v>1010</v>
      </c>
      <c r="O110" t="s">
        <v>124</v>
      </c>
      <c r="P110" t="s">
        <v>124</v>
      </c>
      <c r="Q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3</v>
      </c>
      <c r="AG110">
        <v>1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ROW(Source!A233)</f>
        <v>233</v>
      </c>
      <c r="B111">
        <v>59500094</v>
      </c>
      <c r="C111">
        <v>59499672</v>
      </c>
      <c r="D111">
        <v>58532980</v>
      </c>
      <c r="E111">
        <v>1080</v>
      </c>
      <c r="F111">
        <v>1</v>
      </c>
      <c r="G111">
        <v>1080</v>
      </c>
      <c r="H111">
        <v>1</v>
      </c>
      <c r="I111" t="s">
        <v>302</v>
      </c>
      <c r="J111" t="s">
        <v>3</v>
      </c>
      <c r="K111" t="s">
        <v>303</v>
      </c>
      <c r="L111">
        <v>1191</v>
      </c>
      <c r="N111">
        <v>1013</v>
      </c>
      <c r="O111" t="s">
        <v>304</v>
      </c>
      <c r="P111" t="s">
        <v>304</v>
      </c>
      <c r="Q111">
        <v>1</v>
      </c>
      <c r="X111">
        <v>0.52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40</v>
      </c>
      <c r="AG111">
        <v>0.65780000000000005</v>
      </c>
      <c r="AH111">
        <v>2</v>
      </c>
      <c r="AI111">
        <v>59499673</v>
      </c>
      <c r="AJ111">
        <v>103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ROW(Source!A233)</f>
        <v>233</v>
      </c>
      <c r="B112">
        <v>59500095</v>
      </c>
      <c r="C112">
        <v>59499672</v>
      </c>
      <c r="D112">
        <v>58576492</v>
      </c>
      <c r="E112">
        <v>1</v>
      </c>
      <c r="F112">
        <v>1</v>
      </c>
      <c r="G112">
        <v>1080</v>
      </c>
      <c r="H112">
        <v>3</v>
      </c>
      <c r="I112" t="s">
        <v>305</v>
      </c>
      <c r="J112" t="s">
        <v>306</v>
      </c>
      <c r="K112" t="s">
        <v>307</v>
      </c>
      <c r="L112">
        <v>1348</v>
      </c>
      <c r="N112">
        <v>1009</v>
      </c>
      <c r="O112" t="s">
        <v>242</v>
      </c>
      <c r="P112" t="s">
        <v>242</v>
      </c>
      <c r="Q112">
        <v>1000</v>
      </c>
      <c r="X112">
        <v>3.0000000000000001E-5</v>
      </c>
      <c r="Y112">
        <v>16735.689999999999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3</v>
      </c>
      <c r="AG112">
        <v>3.0000000000000001E-5</v>
      </c>
      <c r="AH112">
        <v>2</v>
      </c>
      <c r="AI112">
        <v>59499674</v>
      </c>
      <c r="AJ112">
        <v>104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ROW(Source!A233)</f>
        <v>233</v>
      </c>
      <c r="B113">
        <v>59500096</v>
      </c>
      <c r="C113">
        <v>59499672</v>
      </c>
      <c r="D113">
        <v>58559696</v>
      </c>
      <c r="E113">
        <v>1080</v>
      </c>
      <c r="F113">
        <v>1</v>
      </c>
      <c r="G113">
        <v>1080</v>
      </c>
      <c r="H113">
        <v>3</v>
      </c>
      <c r="I113" t="s">
        <v>350</v>
      </c>
      <c r="J113" t="s">
        <v>3</v>
      </c>
      <c r="K113" t="s">
        <v>351</v>
      </c>
      <c r="L113">
        <v>1354</v>
      </c>
      <c r="N113">
        <v>1010</v>
      </c>
      <c r="O113" t="s">
        <v>124</v>
      </c>
      <c r="P113" t="s">
        <v>124</v>
      </c>
      <c r="Q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t="s">
        <v>3</v>
      </c>
      <c r="AG113">
        <v>1</v>
      </c>
      <c r="AH113">
        <v>3</v>
      </c>
      <c r="AI113">
        <v>-1</v>
      </c>
      <c r="AJ113" t="s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ROW(Source!A234)</f>
        <v>234</v>
      </c>
      <c r="B114">
        <v>59500094</v>
      </c>
      <c r="C114">
        <v>59499672</v>
      </c>
      <c r="D114">
        <v>58532980</v>
      </c>
      <c r="E114">
        <v>1080</v>
      </c>
      <c r="F114">
        <v>1</v>
      </c>
      <c r="G114">
        <v>1080</v>
      </c>
      <c r="H114">
        <v>1</v>
      </c>
      <c r="I114" t="s">
        <v>302</v>
      </c>
      <c r="J114" t="s">
        <v>3</v>
      </c>
      <c r="K114" t="s">
        <v>303</v>
      </c>
      <c r="L114">
        <v>1191</v>
      </c>
      <c r="N114">
        <v>1013</v>
      </c>
      <c r="O114" t="s">
        <v>304</v>
      </c>
      <c r="P114" t="s">
        <v>304</v>
      </c>
      <c r="Q114">
        <v>1</v>
      </c>
      <c r="X114">
        <v>0.52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40</v>
      </c>
      <c r="AG114">
        <v>0.65780000000000005</v>
      </c>
      <c r="AH114">
        <v>2</v>
      </c>
      <c r="AI114">
        <v>59499673</v>
      </c>
      <c r="AJ114">
        <v>106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ROW(Source!A234)</f>
        <v>234</v>
      </c>
      <c r="B115">
        <v>59500095</v>
      </c>
      <c r="C115">
        <v>59499672</v>
      </c>
      <c r="D115">
        <v>58576492</v>
      </c>
      <c r="E115">
        <v>1</v>
      </c>
      <c r="F115">
        <v>1</v>
      </c>
      <c r="G115">
        <v>1080</v>
      </c>
      <c r="H115">
        <v>3</v>
      </c>
      <c r="I115" t="s">
        <v>305</v>
      </c>
      <c r="J115" t="s">
        <v>306</v>
      </c>
      <c r="K115" t="s">
        <v>307</v>
      </c>
      <c r="L115">
        <v>1348</v>
      </c>
      <c r="N115">
        <v>1009</v>
      </c>
      <c r="O115" t="s">
        <v>242</v>
      </c>
      <c r="P115" t="s">
        <v>242</v>
      </c>
      <c r="Q115">
        <v>1000</v>
      </c>
      <c r="X115">
        <v>3.0000000000000001E-5</v>
      </c>
      <c r="Y115">
        <v>16735.689999999999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3</v>
      </c>
      <c r="AG115">
        <v>3.0000000000000001E-5</v>
      </c>
      <c r="AH115">
        <v>2</v>
      </c>
      <c r="AI115">
        <v>59499674</v>
      </c>
      <c r="AJ115">
        <v>107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ROW(Source!A234)</f>
        <v>234</v>
      </c>
      <c r="B116">
        <v>59500096</v>
      </c>
      <c r="C116">
        <v>59499672</v>
      </c>
      <c r="D116">
        <v>58559696</v>
      </c>
      <c r="E116">
        <v>1080</v>
      </c>
      <c r="F116">
        <v>1</v>
      </c>
      <c r="G116">
        <v>1080</v>
      </c>
      <c r="H116">
        <v>3</v>
      </c>
      <c r="I116" t="s">
        <v>350</v>
      </c>
      <c r="J116" t="s">
        <v>3</v>
      </c>
      <c r="K116" t="s">
        <v>351</v>
      </c>
      <c r="L116">
        <v>1354</v>
      </c>
      <c r="N116">
        <v>1010</v>
      </c>
      <c r="O116" t="s">
        <v>124</v>
      </c>
      <c r="P116" t="s">
        <v>124</v>
      </c>
      <c r="Q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3</v>
      </c>
      <c r="AG116">
        <v>1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ROW(Source!A272)</f>
        <v>272</v>
      </c>
      <c r="B117">
        <v>59500097</v>
      </c>
      <c r="C117">
        <v>59499736</v>
      </c>
      <c r="D117">
        <v>58532980</v>
      </c>
      <c r="E117">
        <v>1080</v>
      </c>
      <c r="F117">
        <v>1</v>
      </c>
      <c r="G117">
        <v>1080</v>
      </c>
      <c r="H117">
        <v>1</v>
      </c>
      <c r="I117" t="s">
        <v>302</v>
      </c>
      <c r="J117" t="s">
        <v>3</v>
      </c>
      <c r="K117" t="s">
        <v>303</v>
      </c>
      <c r="L117">
        <v>1191</v>
      </c>
      <c r="N117">
        <v>1013</v>
      </c>
      <c r="O117" t="s">
        <v>304</v>
      </c>
      <c r="P117" t="s">
        <v>304</v>
      </c>
      <c r="Q117">
        <v>1</v>
      </c>
      <c r="X117">
        <v>12.35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40</v>
      </c>
      <c r="AG117">
        <v>15.62275</v>
      </c>
      <c r="AH117">
        <v>2</v>
      </c>
      <c r="AI117">
        <v>59499737</v>
      </c>
      <c r="AJ117">
        <v>109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ROW(Source!A272)</f>
        <v>272</v>
      </c>
      <c r="B118">
        <v>59500098</v>
      </c>
      <c r="C118">
        <v>59499736</v>
      </c>
      <c r="D118">
        <v>58607154</v>
      </c>
      <c r="E118">
        <v>1</v>
      </c>
      <c r="F118">
        <v>1</v>
      </c>
      <c r="G118">
        <v>1080</v>
      </c>
      <c r="H118">
        <v>2</v>
      </c>
      <c r="I118" t="s">
        <v>308</v>
      </c>
      <c r="J118" t="s">
        <v>309</v>
      </c>
      <c r="K118" t="s">
        <v>310</v>
      </c>
      <c r="L118">
        <v>1368</v>
      </c>
      <c r="N118">
        <v>1011</v>
      </c>
      <c r="O118" t="s">
        <v>311</v>
      </c>
      <c r="P118" t="s">
        <v>311</v>
      </c>
      <c r="Q118">
        <v>1</v>
      </c>
      <c r="X118">
        <v>0.09</v>
      </c>
      <c r="Y118">
        <v>0</v>
      </c>
      <c r="Z118">
        <v>83.1</v>
      </c>
      <c r="AA118">
        <v>12.62</v>
      </c>
      <c r="AB118">
        <v>0</v>
      </c>
      <c r="AC118">
        <v>0</v>
      </c>
      <c r="AD118">
        <v>1</v>
      </c>
      <c r="AE118">
        <v>0</v>
      </c>
      <c r="AF118" t="s">
        <v>39</v>
      </c>
      <c r="AG118">
        <v>0.12375</v>
      </c>
      <c r="AH118">
        <v>2</v>
      </c>
      <c r="AI118">
        <v>59499738</v>
      </c>
      <c r="AJ118">
        <v>110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ROW(Source!A272)</f>
        <v>272</v>
      </c>
      <c r="B119">
        <v>59500099</v>
      </c>
      <c r="C119">
        <v>59499736</v>
      </c>
      <c r="D119">
        <v>58607273</v>
      </c>
      <c r="E119">
        <v>1</v>
      </c>
      <c r="F119">
        <v>1</v>
      </c>
      <c r="G119">
        <v>1080</v>
      </c>
      <c r="H119">
        <v>2</v>
      </c>
      <c r="I119" t="s">
        <v>313</v>
      </c>
      <c r="J119" t="s">
        <v>314</v>
      </c>
      <c r="K119" t="s">
        <v>315</v>
      </c>
      <c r="L119">
        <v>1368</v>
      </c>
      <c r="N119">
        <v>1011</v>
      </c>
      <c r="O119" t="s">
        <v>311</v>
      </c>
      <c r="P119" t="s">
        <v>311</v>
      </c>
      <c r="Q119">
        <v>1</v>
      </c>
      <c r="X119">
        <v>0.57999999999999996</v>
      </c>
      <c r="Y119">
        <v>0</v>
      </c>
      <c r="Z119">
        <v>0.8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39</v>
      </c>
      <c r="AG119">
        <v>0.79749999999999999</v>
      </c>
      <c r="AH119">
        <v>2</v>
      </c>
      <c r="AI119">
        <v>59499739</v>
      </c>
      <c r="AJ119">
        <v>111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ROW(Source!A272)</f>
        <v>272</v>
      </c>
      <c r="B120">
        <v>59500100</v>
      </c>
      <c r="C120">
        <v>59499736</v>
      </c>
      <c r="D120">
        <v>58575387</v>
      </c>
      <c r="E120">
        <v>1</v>
      </c>
      <c r="F120">
        <v>1</v>
      </c>
      <c r="G120">
        <v>1080</v>
      </c>
      <c r="H120">
        <v>3</v>
      </c>
      <c r="I120" t="s">
        <v>316</v>
      </c>
      <c r="J120" t="s">
        <v>317</v>
      </c>
      <c r="K120" t="s">
        <v>318</v>
      </c>
      <c r="L120">
        <v>1346</v>
      </c>
      <c r="N120">
        <v>1009</v>
      </c>
      <c r="O120" t="s">
        <v>319</v>
      </c>
      <c r="P120" t="s">
        <v>319</v>
      </c>
      <c r="Q120">
        <v>1</v>
      </c>
      <c r="X120">
        <v>2</v>
      </c>
      <c r="Y120">
        <v>1.61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3</v>
      </c>
      <c r="AG120">
        <v>2</v>
      </c>
      <c r="AH120">
        <v>2</v>
      </c>
      <c r="AI120">
        <v>59499740</v>
      </c>
      <c r="AJ120">
        <v>112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ROW(Source!A272)</f>
        <v>272</v>
      </c>
      <c r="B121">
        <v>59500101</v>
      </c>
      <c r="C121">
        <v>59499736</v>
      </c>
      <c r="D121">
        <v>58575390</v>
      </c>
      <c r="E121">
        <v>1</v>
      </c>
      <c r="F121">
        <v>1</v>
      </c>
      <c r="G121">
        <v>1080</v>
      </c>
      <c r="H121">
        <v>3</v>
      </c>
      <c r="I121" t="s">
        <v>320</v>
      </c>
      <c r="J121" t="s">
        <v>321</v>
      </c>
      <c r="K121" t="s">
        <v>322</v>
      </c>
      <c r="L121">
        <v>1339</v>
      </c>
      <c r="N121">
        <v>1007</v>
      </c>
      <c r="O121" t="s">
        <v>323</v>
      </c>
      <c r="P121" t="s">
        <v>323</v>
      </c>
      <c r="Q121">
        <v>1</v>
      </c>
      <c r="X121">
        <v>0.14599999999999999</v>
      </c>
      <c r="Y121">
        <v>7.07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3</v>
      </c>
      <c r="AG121">
        <v>0.14599999999999999</v>
      </c>
      <c r="AH121">
        <v>2</v>
      </c>
      <c r="AI121">
        <v>59499741</v>
      </c>
      <c r="AJ121">
        <v>113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ROW(Source!A272)</f>
        <v>272</v>
      </c>
      <c r="B122">
        <v>59500102</v>
      </c>
      <c r="C122">
        <v>59499736</v>
      </c>
      <c r="D122">
        <v>58538524</v>
      </c>
      <c r="E122">
        <v>1080</v>
      </c>
      <c r="F122">
        <v>1</v>
      </c>
      <c r="G122">
        <v>1080</v>
      </c>
      <c r="H122">
        <v>3</v>
      </c>
      <c r="I122" t="s">
        <v>352</v>
      </c>
      <c r="J122" t="s">
        <v>3</v>
      </c>
      <c r="K122" t="s">
        <v>353</v>
      </c>
      <c r="L122">
        <v>1346</v>
      </c>
      <c r="N122">
        <v>1009</v>
      </c>
      <c r="O122" t="s">
        <v>319</v>
      </c>
      <c r="P122" t="s">
        <v>319</v>
      </c>
      <c r="Q122">
        <v>1</v>
      </c>
      <c r="X122">
        <v>61.8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3</v>
      </c>
      <c r="AG122">
        <v>61.8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ROW(Source!A272)</f>
        <v>272</v>
      </c>
      <c r="B123">
        <v>59500103</v>
      </c>
      <c r="C123">
        <v>59499736</v>
      </c>
      <c r="D123">
        <v>58565866</v>
      </c>
      <c r="E123">
        <v>1080</v>
      </c>
      <c r="F123">
        <v>1</v>
      </c>
      <c r="G123">
        <v>1080</v>
      </c>
      <c r="H123">
        <v>3</v>
      </c>
      <c r="I123" t="s">
        <v>354</v>
      </c>
      <c r="J123" t="s">
        <v>3</v>
      </c>
      <c r="K123" t="s">
        <v>355</v>
      </c>
      <c r="L123">
        <v>1346</v>
      </c>
      <c r="N123">
        <v>1009</v>
      </c>
      <c r="O123" t="s">
        <v>319</v>
      </c>
      <c r="P123" t="s">
        <v>319</v>
      </c>
      <c r="Q123">
        <v>1</v>
      </c>
      <c r="X123">
        <v>24.48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3</v>
      </c>
      <c r="AG123">
        <v>24.48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ROW(Source!A273)</f>
        <v>273</v>
      </c>
      <c r="B124">
        <v>59500097</v>
      </c>
      <c r="C124">
        <v>59499736</v>
      </c>
      <c r="D124">
        <v>58532980</v>
      </c>
      <c r="E124">
        <v>1080</v>
      </c>
      <c r="F124">
        <v>1</v>
      </c>
      <c r="G124">
        <v>1080</v>
      </c>
      <c r="H124">
        <v>1</v>
      </c>
      <c r="I124" t="s">
        <v>302</v>
      </c>
      <c r="J124" t="s">
        <v>3</v>
      </c>
      <c r="K124" t="s">
        <v>303</v>
      </c>
      <c r="L124">
        <v>1191</v>
      </c>
      <c r="N124">
        <v>1013</v>
      </c>
      <c r="O124" t="s">
        <v>304</v>
      </c>
      <c r="P124" t="s">
        <v>304</v>
      </c>
      <c r="Q124">
        <v>1</v>
      </c>
      <c r="X124">
        <v>12.35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 t="s">
        <v>40</v>
      </c>
      <c r="AG124">
        <v>15.62275</v>
      </c>
      <c r="AH124">
        <v>2</v>
      </c>
      <c r="AI124">
        <v>59499737</v>
      </c>
      <c r="AJ124">
        <v>115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ROW(Source!A273)</f>
        <v>273</v>
      </c>
      <c r="B125">
        <v>59500098</v>
      </c>
      <c r="C125">
        <v>59499736</v>
      </c>
      <c r="D125">
        <v>58607154</v>
      </c>
      <c r="E125">
        <v>1</v>
      </c>
      <c r="F125">
        <v>1</v>
      </c>
      <c r="G125">
        <v>1080</v>
      </c>
      <c r="H125">
        <v>2</v>
      </c>
      <c r="I125" t="s">
        <v>308</v>
      </c>
      <c r="J125" t="s">
        <v>309</v>
      </c>
      <c r="K125" t="s">
        <v>310</v>
      </c>
      <c r="L125">
        <v>1368</v>
      </c>
      <c r="N125">
        <v>1011</v>
      </c>
      <c r="O125" t="s">
        <v>311</v>
      </c>
      <c r="P125" t="s">
        <v>311</v>
      </c>
      <c r="Q125">
        <v>1</v>
      </c>
      <c r="X125">
        <v>0.09</v>
      </c>
      <c r="Y125">
        <v>0</v>
      </c>
      <c r="Z125">
        <v>83.1</v>
      </c>
      <c r="AA125">
        <v>12.62</v>
      </c>
      <c r="AB125">
        <v>0</v>
      </c>
      <c r="AC125">
        <v>0</v>
      </c>
      <c r="AD125">
        <v>1</v>
      </c>
      <c r="AE125">
        <v>0</v>
      </c>
      <c r="AF125" t="s">
        <v>39</v>
      </c>
      <c r="AG125">
        <v>0.12375</v>
      </c>
      <c r="AH125">
        <v>2</v>
      </c>
      <c r="AI125">
        <v>59499738</v>
      </c>
      <c r="AJ125">
        <v>116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ROW(Source!A273)</f>
        <v>273</v>
      </c>
      <c r="B126">
        <v>59500099</v>
      </c>
      <c r="C126">
        <v>59499736</v>
      </c>
      <c r="D126">
        <v>58607273</v>
      </c>
      <c r="E126">
        <v>1</v>
      </c>
      <c r="F126">
        <v>1</v>
      </c>
      <c r="G126">
        <v>1080</v>
      </c>
      <c r="H126">
        <v>2</v>
      </c>
      <c r="I126" t="s">
        <v>313</v>
      </c>
      <c r="J126" t="s">
        <v>314</v>
      </c>
      <c r="K126" t="s">
        <v>315</v>
      </c>
      <c r="L126">
        <v>1368</v>
      </c>
      <c r="N126">
        <v>1011</v>
      </c>
      <c r="O126" t="s">
        <v>311</v>
      </c>
      <c r="P126" t="s">
        <v>311</v>
      </c>
      <c r="Q126">
        <v>1</v>
      </c>
      <c r="X126">
        <v>0.57999999999999996</v>
      </c>
      <c r="Y126">
        <v>0</v>
      </c>
      <c r="Z126">
        <v>0.8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39</v>
      </c>
      <c r="AG126">
        <v>0.79749999999999999</v>
      </c>
      <c r="AH126">
        <v>2</v>
      </c>
      <c r="AI126">
        <v>59499739</v>
      </c>
      <c r="AJ126">
        <v>117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ROW(Source!A273)</f>
        <v>273</v>
      </c>
      <c r="B127">
        <v>59500100</v>
      </c>
      <c r="C127">
        <v>59499736</v>
      </c>
      <c r="D127">
        <v>58575387</v>
      </c>
      <c r="E127">
        <v>1</v>
      </c>
      <c r="F127">
        <v>1</v>
      </c>
      <c r="G127">
        <v>1080</v>
      </c>
      <c r="H127">
        <v>3</v>
      </c>
      <c r="I127" t="s">
        <v>316</v>
      </c>
      <c r="J127" t="s">
        <v>317</v>
      </c>
      <c r="K127" t="s">
        <v>318</v>
      </c>
      <c r="L127">
        <v>1346</v>
      </c>
      <c r="N127">
        <v>1009</v>
      </c>
      <c r="O127" t="s">
        <v>319</v>
      </c>
      <c r="P127" t="s">
        <v>319</v>
      </c>
      <c r="Q127">
        <v>1</v>
      </c>
      <c r="X127">
        <v>2</v>
      </c>
      <c r="Y127">
        <v>1.61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3</v>
      </c>
      <c r="AG127">
        <v>2</v>
      </c>
      <c r="AH127">
        <v>2</v>
      </c>
      <c r="AI127">
        <v>59499740</v>
      </c>
      <c r="AJ127">
        <v>118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ROW(Source!A273)</f>
        <v>273</v>
      </c>
      <c r="B128">
        <v>59500101</v>
      </c>
      <c r="C128">
        <v>59499736</v>
      </c>
      <c r="D128">
        <v>58575390</v>
      </c>
      <c r="E128">
        <v>1</v>
      </c>
      <c r="F128">
        <v>1</v>
      </c>
      <c r="G128">
        <v>1080</v>
      </c>
      <c r="H128">
        <v>3</v>
      </c>
      <c r="I128" t="s">
        <v>320</v>
      </c>
      <c r="J128" t="s">
        <v>321</v>
      </c>
      <c r="K128" t="s">
        <v>322</v>
      </c>
      <c r="L128">
        <v>1339</v>
      </c>
      <c r="N128">
        <v>1007</v>
      </c>
      <c r="O128" t="s">
        <v>323</v>
      </c>
      <c r="P128" t="s">
        <v>323</v>
      </c>
      <c r="Q128">
        <v>1</v>
      </c>
      <c r="X128">
        <v>0.14599999999999999</v>
      </c>
      <c r="Y128">
        <v>7.07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3</v>
      </c>
      <c r="AG128">
        <v>0.14599999999999999</v>
      </c>
      <c r="AH128">
        <v>2</v>
      </c>
      <c r="AI128">
        <v>59499741</v>
      </c>
      <c r="AJ128">
        <v>119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ROW(Source!A273)</f>
        <v>273</v>
      </c>
      <c r="B129">
        <v>59500102</v>
      </c>
      <c r="C129">
        <v>59499736</v>
      </c>
      <c r="D129">
        <v>58538524</v>
      </c>
      <c r="E129">
        <v>1080</v>
      </c>
      <c r="F129">
        <v>1</v>
      </c>
      <c r="G129">
        <v>1080</v>
      </c>
      <c r="H129">
        <v>3</v>
      </c>
      <c r="I129" t="s">
        <v>352</v>
      </c>
      <c r="J129" t="s">
        <v>3</v>
      </c>
      <c r="K129" t="s">
        <v>353</v>
      </c>
      <c r="L129">
        <v>1346</v>
      </c>
      <c r="N129">
        <v>1009</v>
      </c>
      <c r="O129" t="s">
        <v>319</v>
      </c>
      <c r="P129" t="s">
        <v>319</v>
      </c>
      <c r="Q129">
        <v>1</v>
      </c>
      <c r="X129">
        <v>61.8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3</v>
      </c>
      <c r="AG129">
        <v>61.8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ROW(Source!A273)</f>
        <v>273</v>
      </c>
      <c r="B130">
        <v>59500103</v>
      </c>
      <c r="C130">
        <v>59499736</v>
      </c>
      <c r="D130">
        <v>58565866</v>
      </c>
      <c r="E130">
        <v>1080</v>
      </c>
      <c r="F130">
        <v>1</v>
      </c>
      <c r="G130">
        <v>1080</v>
      </c>
      <c r="H130">
        <v>3</v>
      </c>
      <c r="I130" t="s">
        <v>354</v>
      </c>
      <c r="J130" t="s">
        <v>3</v>
      </c>
      <c r="K130" t="s">
        <v>355</v>
      </c>
      <c r="L130">
        <v>1346</v>
      </c>
      <c r="N130">
        <v>1009</v>
      </c>
      <c r="O130" t="s">
        <v>319</v>
      </c>
      <c r="P130" t="s">
        <v>319</v>
      </c>
      <c r="Q130">
        <v>1</v>
      </c>
      <c r="X130">
        <v>24.48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3</v>
      </c>
      <c r="AG130">
        <v>24.48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ROW(Source!A311)</f>
        <v>311</v>
      </c>
      <c r="B131">
        <v>59500104</v>
      </c>
      <c r="C131">
        <v>59499807</v>
      </c>
      <c r="D131">
        <v>58532980</v>
      </c>
      <c r="E131">
        <v>1080</v>
      </c>
      <c r="F131">
        <v>1</v>
      </c>
      <c r="G131">
        <v>1080</v>
      </c>
      <c r="H131">
        <v>1</v>
      </c>
      <c r="I131" t="s">
        <v>302</v>
      </c>
      <c r="J131" t="s">
        <v>3</v>
      </c>
      <c r="K131" t="s">
        <v>303</v>
      </c>
      <c r="L131">
        <v>1191</v>
      </c>
      <c r="N131">
        <v>1013</v>
      </c>
      <c r="O131" t="s">
        <v>304</v>
      </c>
      <c r="P131" t="s">
        <v>304</v>
      </c>
      <c r="Q131">
        <v>1</v>
      </c>
      <c r="X131">
        <v>64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40</v>
      </c>
      <c r="AG131">
        <v>80.959999999999994</v>
      </c>
      <c r="AH131">
        <v>2</v>
      </c>
      <c r="AI131">
        <v>59499808</v>
      </c>
      <c r="AJ131">
        <v>121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ROW(Source!A311)</f>
        <v>311</v>
      </c>
      <c r="B132">
        <v>59500105</v>
      </c>
      <c r="C132">
        <v>59499807</v>
      </c>
      <c r="D132">
        <v>58607154</v>
      </c>
      <c r="E132">
        <v>1</v>
      </c>
      <c r="F132">
        <v>1</v>
      </c>
      <c r="G132">
        <v>1080</v>
      </c>
      <c r="H132">
        <v>2</v>
      </c>
      <c r="I132" t="s">
        <v>308</v>
      </c>
      <c r="J132" t="s">
        <v>309</v>
      </c>
      <c r="K132" t="s">
        <v>310</v>
      </c>
      <c r="L132">
        <v>1368</v>
      </c>
      <c r="N132">
        <v>1011</v>
      </c>
      <c r="O132" t="s">
        <v>311</v>
      </c>
      <c r="P132" t="s">
        <v>311</v>
      </c>
      <c r="Q132">
        <v>1</v>
      </c>
      <c r="X132">
        <v>7.0000000000000007E-2</v>
      </c>
      <c r="Y132">
        <v>0</v>
      </c>
      <c r="Z132">
        <v>83.1</v>
      </c>
      <c r="AA132">
        <v>12.62</v>
      </c>
      <c r="AB132">
        <v>0</v>
      </c>
      <c r="AC132">
        <v>0</v>
      </c>
      <c r="AD132">
        <v>1</v>
      </c>
      <c r="AE132">
        <v>0</v>
      </c>
      <c r="AF132" t="s">
        <v>39</v>
      </c>
      <c r="AG132">
        <v>9.6250000000000016E-2</v>
      </c>
      <c r="AH132">
        <v>2</v>
      </c>
      <c r="AI132">
        <v>59499809</v>
      </c>
      <c r="AJ132">
        <v>122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ROW(Source!A311)</f>
        <v>311</v>
      </c>
      <c r="B133">
        <v>59500106</v>
      </c>
      <c r="C133">
        <v>59499807</v>
      </c>
      <c r="D133">
        <v>58575387</v>
      </c>
      <c r="E133">
        <v>1</v>
      </c>
      <c r="F133">
        <v>1</v>
      </c>
      <c r="G133">
        <v>1080</v>
      </c>
      <c r="H133">
        <v>3</v>
      </c>
      <c r="I133" t="s">
        <v>316</v>
      </c>
      <c r="J133" t="s">
        <v>317</v>
      </c>
      <c r="K133" t="s">
        <v>318</v>
      </c>
      <c r="L133">
        <v>1346</v>
      </c>
      <c r="N133">
        <v>1009</v>
      </c>
      <c r="O133" t="s">
        <v>319</v>
      </c>
      <c r="P133" t="s">
        <v>319</v>
      </c>
      <c r="Q133">
        <v>1</v>
      </c>
      <c r="X133">
        <v>0.15</v>
      </c>
      <c r="Y133">
        <v>1.61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3</v>
      </c>
      <c r="AG133">
        <v>0.15</v>
      </c>
      <c r="AH133">
        <v>2</v>
      </c>
      <c r="AI133">
        <v>59499810</v>
      </c>
      <c r="AJ133">
        <v>123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ROW(Source!A311)</f>
        <v>311</v>
      </c>
      <c r="B134">
        <v>59500107</v>
      </c>
      <c r="C134">
        <v>59499807</v>
      </c>
      <c r="D134">
        <v>58576383</v>
      </c>
      <c r="E134">
        <v>1</v>
      </c>
      <c r="F134">
        <v>1</v>
      </c>
      <c r="G134">
        <v>1080</v>
      </c>
      <c r="H134">
        <v>3</v>
      </c>
      <c r="I134" t="s">
        <v>324</v>
      </c>
      <c r="J134" t="s">
        <v>325</v>
      </c>
      <c r="K134" t="s">
        <v>326</v>
      </c>
      <c r="L134">
        <v>1348</v>
      </c>
      <c r="N134">
        <v>1009</v>
      </c>
      <c r="O134" t="s">
        <v>242</v>
      </c>
      <c r="P134" t="s">
        <v>242</v>
      </c>
      <c r="Q134">
        <v>1000</v>
      </c>
      <c r="X134">
        <v>5.0000000000000001E-3</v>
      </c>
      <c r="Y134">
        <v>2271.09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3</v>
      </c>
      <c r="AG134">
        <v>5.0000000000000001E-3</v>
      </c>
      <c r="AH134">
        <v>2</v>
      </c>
      <c r="AI134">
        <v>59499811</v>
      </c>
      <c r="AJ134">
        <v>124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ROW(Source!A311)</f>
        <v>311</v>
      </c>
      <c r="B135">
        <v>59500108</v>
      </c>
      <c r="C135">
        <v>59499807</v>
      </c>
      <c r="D135">
        <v>58575656</v>
      </c>
      <c r="E135">
        <v>1</v>
      </c>
      <c r="F135">
        <v>1</v>
      </c>
      <c r="G135">
        <v>1080</v>
      </c>
      <c r="H135">
        <v>3</v>
      </c>
      <c r="I135" t="s">
        <v>327</v>
      </c>
      <c r="J135" t="s">
        <v>328</v>
      </c>
      <c r="K135" t="s">
        <v>329</v>
      </c>
      <c r="L135">
        <v>1348</v>
      </c>
      <c r="N135">
        <v>1009</v>
      </c>
      <c r="O135" t="s">
        <v>242</v>
      </c>
      <c r="P135" t="s">
        <v>242</v>
      </c>
      <c r="Q135">
        <v>1000</v>
      </c>
      <c r="X135">
        <v>2.6700000000000002E-2</v>
      </c>
      <c r="Y135">
        <v>32000.73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</v>
      </c>
      <c r="AG135">
        <v>2.6700000000000002E-2</v>
      </c>
      <c r="AH135">
        <v>2</v>
      </c>
      <c r="AI135">
        <v>59499812</v>
      </c>
      <c r="AJ135">
        <v>125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ROW(Source!A311)</f>
        <v>311</v>
      </c>
      <c r="B136">
        <v>59500109</v>
      </c>
      <c r="C136">
        <v>59499807</v>
      </c>
      <c r="D136">
        <v>58575830</v>
      </c>
      <c r="E136">
        <v>1</v>
      </c>
      <c r="F136">
        <v>1</v>
      </c>
      <c r="G136">
        <v>1080</v>
      </c>
      <c r="H136">
        <v>3</v>
      </c>
      <c r="I136" t="s">
        <v>330</v>
      </c>
      <c r="J136" t="s">
        <v>331</v>
      </c>
      <c r="K136" t="s">
        <v>332</v>
      </c>
      <c r="L136">
        <v>1346</v>
      </c>
      <c r="N136">
        <v>1009</v>
      </c>
      <c r="O136" t="s">
        <v>319</v>
      </c>
      <c r="P136" t="s">
        <v>319</v>
      </c>
      <c r="Q136">
        <v>1</v>
      </c>
      <c r="X136">
        <v>10.3</v>
      </c>
      <c r="Y136">
        <v>20.190000000000001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3</v>
      </c>
      <c r="AG136">
        <v>10.3</v>
      </c>
      <c r="AH136">
        <v>2</v>
      </c>
      <c r="AI136">
        <v>59499813</v>
      </c>
      <c r="AJ136">
        <v>126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ROW(Source!A311)</f>
        <v>311</v>
      </c>
      <c r="B137">
        <v>59500110</v>
      </c>
      <c r="C137">
        <v>59499807</v>
      </c>
      <c r="D137">
        <v>58538649</v>
      </c>
      <c r="E137">
        <v>1080</v>
      </c>
      <c r="F137">
        <v>1</v>
      </c>
      <c r="G137">
        <v>1080</v>
      </c>
      <c r="H137">
        <v>3</v>
      </c>
      <c r="I137" t="s">
        <v>356</v>
      </c>
      <c r="J137" t="s">
        <v>3</v>
      </c>
      <c r="K137" t="s">
        <v>357</v>
      </c>
      <c r="L137">
        <v>1327</v>
      </c>
      <c r="N137">
        <v>1005</v>
      </c>
      <c r="O137" t="s">
        <v>358</v>
      </c>
      <c r="P137" t="s">
        <v>358</v>
      </c>
      <c r="Q137">
        <v>1</v>
      </c>
      <c r="X137">
        <v>112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3</v>
      </c>
      <c r="AG137">
        <v>112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ROW(Source!A312)</f>
        <v>312</v>
      </c>
      <c r="B138">
        <v>59500104</v>
      </c>
      <c r="C138">
        <v>59499807</v>
      </c>
      <c r="D138">
        <v>58532980</v>
      </c>
      <c r="E138">
        <v>1080</v>
      </c>
      <c r="F138">
        <v>1</v>
      </c>
      <c r="G138">
        <v>1080</v>
      </c>
      <c r="H138">
        <v>1</v>
      </c>
      <c r="I138" t="s">
        <v>302</v>
      </c>
      <c r="J138" t="s">
        <v>3</v>
      </c>
      <c r="K138" t="s">
        <v>303</v>
      </c>
      <c r="L138">
        <v>1191</v>
      </c>
      <c r="N138">
        <v>1013</v>
      </c>
      <c r="O138" t="s">
        <v>304</v>
      </c>
      <c r="P138" t="s">
        <v>304</v>
      </c>
      <c r="Q138">
        <v>1</v>
      </c>
      <c r="X138">
        <v>64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</v>
      </c>
      <c r="AF138" t="s">
        <v>40</v>
      </c>
      <c r="AG138">
        <v>80.959999999999994</v>
      </c>
      <c r="AH138">
        <v>2</v>
      </c>
      <c r="AI138">
        <v>59499808</v>
      </c>
      <c r="AJ138">
        <v>128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ROW(Source!A312)</f>
        <v>312</v>
      </c>
      <c r="B139">
        <v>59500105</v>
      </c>
      <c r="C139">
        <v>59499807</v>
      </c>
      <c r="D139">
        <v>58607154</v>
      </c>
      <c r="E139">
        <v>1</v>
      </c>
      <c r="F139">
        <v>1</v>
      </c>
      <c r="G139">
        <v>1080</v>
      </c>
      <c r="H139">
        <v>2</v>
      </c>
      <c r="I139" t="s">
        <v>308</v>
      </c>
      <c r="J139" t="s">
        <v>309</v>
      </c>
      <c r="K139" t="s">
        <v>310</v>
      </c>
      <c r="L139">
        <v>1368</v>
      </c>
      <c r="N139">
        <v>1011</v>
      </c>
      <c r="O139" t="s">
        <v>311</v>
      </c>
      <c r="P139" t="s">
        <v>311</v>
      </c>
      <c r="Q139">
        <v>1</v>
      </c>
      <c r="X139">
        <v>7.0000000000000007E-2</v>
      </c>
      <c r="Y139">
        <v>0</v>
      </c>
      <c r="Z139">
        <v>83.1</v>
      </c>
      <c r="AA139">
        <v>12.62</v>
      </c>
      <c r="AB139">
        <v>0</v>
      </c>
      <c r="AC139">
        <v>0</v>
      </c>
      <c r="AD139">
        <v>1</v>
      </c>
      <c r="AE139">
        <v>0</v>
      </c>
      <c r="AF139" t="s">
        <v>39</v>
      </c>
      <c r="AG139">
        <v>9.6250000000000016E-2</v>
      </c>
      <c r="AH139">
        <v>2</v>
      </c>
      <c r="AI139">
        <v>59499809</v>
      </c>
      <c r="AJ139">
        <v>129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ROW(Source!A312)</f>
        <v>312</v>
      </c>
      <c r="B140">
        <v>59500106</v>
      </c>
      <c r="C140">
        <v>59499807</v>
      </c>
      <c r="D140">
        <v>58575387</v>
      </c>
      <c r="E140">
        <v>1</v>
      </c>
      <c r="F140">
        <v>1</v>
      </c>
      <c r="G140">
        <v>1080</v>
      </c>
      <c r="H140">
        <v>3</v>
      </c>
      <c r="I140" t="s">
        <v>316</v>
      </c>
      <c r="J140" t="s">
        <v>317</v>
      </c>
      <c r="K140" t="s">
        <v>318</v>
      </c>
      <c r="L140">
        <v>1346</v>
      </c>
      <c r="N140">
        <v>1009</v>
      </c>
      <c r="O140" t="s">
        <v>319</v>
      </c>
      <c r="P140" t="s">
        <v>319</v>
      </c>
      <c r="Q140">
        <v>1</v>
      </c>
      <c r="X140">
        <v>0.15</v>
      </c>
      <c r="Y140">
        <v>1.61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</v>
      </c>
      <c r="AG140">
        <v>0.15</v>
      </c>
      <c r="AH140">
        <v>2</v>
      </c>
      <c r="AI140">
        <v>59499810</v>
      </c>
      <c r="AJ140">
        <v>130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ROW(Source!A312)</f>
        <v>312</v>
      </c>
      <c r="B141">
        <v>59500107</v>
      </c>
      <c r="C141">
        <v>59499807</v>
      </c>
      <c r="D141">
        <v>58576383</v>
      </c>
      <c r="E141">
        <v>1</v>
      </c>
      <c r="F141">
        <v>1</v>
      </c>
      <c r="G141">
        <v>1080</v>
      </c>
      <c r="H141">
        <v>3</v>
      </c>
      <c r="I141" t="s">
        <v>324</v>
      </c>
      <c r="J141" t="s">
        <v>325</v>
      </c>
      <c r="K141" t="s">
        <v>326</v>
      </c>
      <c r="L141">
        <v>1348</v>
      </c>
      <c r="N141">
        <v>1009</v>
      </c>
      <c r="O141" t="s">
        <v>242</v>
      </c>
      <c r="P141" t="s">
        <v>242</v>
      </c>
      <c r="Q141">
        <v>1000</v>
      </c>
      <c r="X141">
        <v>5.0000000000000001E-3</v>
      </c>
      <c r="Y141">
        <v>2271.09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5.0000000000000001E-3</v>
      </c>
      <c r="AH141">
        <v>2</v>
      </c>
      <c r="AI141">
        <v>59499811</v>
      </c>
      <c r="AJ141">
        <v>131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ROW(Source!A312)</f>
        <v>312</v>
      </c>
      <c r="B142">
        <v>59500108</v>
      </c>
      <c r="C142">
        <v>59499807</v>
      </c>
      <c r="D142">
        <v>58575656</v>
      </c>
      <c r="E142">
        <v>1</v>
      </c>
      <c r="F142">
        <v>1</v>
      </c>
      <c r="G142">
        <v>1080</v>
      </c>
      <c r="H142">
        <v>3</v>
      </c>
      <c r="I142" t="s">
        <v>327</v>
      </c>
      <c r="J142" t="s">
        <v>328</v>
      </c>
      <c r="K142" t="s">
        <v>329</v>
      </c>
      <c r="L142">
        <v>1348</v>
      </c>
      <c r="N142">
        <v>1009</v>
      </c>
      <c r="O142" t="s">
        <v>242</v>
      </c>
      <c r="P142" t="s">
        <v>242</v>
      </c>
      <c r="Q142">
        <v>1000</v>
      </c>
      <c r="X142">
        <v>2.6700000000000002E-2</v>
      </c>
      <c r="Y142">
        <v>32000.73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2.6700000000000002E-2</v>
      </c>
      <c r="AH142">
        <v>2</v>
      </c>
      <c r="AI142">
        <v>59499812</v>
      </c>
      <c r="AJ142">
        <v>132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ROW(Source!A312)</f>
        <v>312</v>
      </c>
      <c r="B143">
        <v>59500109</v>
      </c>
      <c r="C143">
        <v>59499807</v>
      </c>
      <c r="D143">
        <v>58575830</v>
      </c>
      <c r="E143">
        <v>1</v>
      </c>
      <c r="F143">
        <v>1</v>
      </c>
      <c r="G143">
        <v>1080</v>
      </c>
      <c r="H143">
        <v>3</v>
      </c>
      <c r="I143" t="s">
        <v>330</v>
      </c>
      <c r="J143" t="s">
        <v>331</v>
      </c>
      <c r="K143" t="s">
        <v>332</v>
      </c>
      <c r="L143">
        <v>1346</v>
      </c>
      <c r="N143">
        <v>1009</v>
      </c>
      <c r="O143" t="s">
        <v>319</v>
      </c>
      <c r="P143" t="s">
        <v>319</v>
      </c>
      <c r="Q143">
        <v>1</v>
      </c>
      <c r="X143">
        <v>10.3</v>
      </c>
      <c r="Y143">
        <v>20.190000000000001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</v>
      </c>
      <c r="AG143">
        <v>10.3</v>
      </c>
      <c r="AH143">
        <v>2</v>
      </c>
      <c r="AI143">
        <v>59499813</v>
      </c>
      <c r="AJ143">
        <v>133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ROW(Source!A312)</f>
        <v>312</v>
      </c>
      <c r="B144">
        <v>59500110</v>
      </c>
      <c r="C144">
        <v>59499807</v>
      </c>
      <c r="D144">
        <v>58538649</v>
      </c>
      <c r="E144">
        <v>1080</v>
      </c>
      <c r="F144">
        <v>1</v>
      </c>
      <c r="G144">
        <v>1080</v>
      </c>
      <c r="H144">
        <v>3</v>
      </c>
      <c r="I144" t="s">
        <v>356</v>
      </c>
      <c r="J144" t="s">
        <v>3</v>
      </c>
      <c r="K144" t="s">
        <v>357</v>
      </c>
      <c r="L144">
        <v>1327</v>
      </c>
      <c r="N144">
        <v>1005</v>
      </c>
      <c r="O144" t="s">
        <v>358</v>
      </c>
      <c r="P144" t="s">
        <v>358</v>
      </c>
      <c r="Q144">
        <v>1</v>
      </c>
      <c r="X144">
        <v>112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3</v>
      </c>
      <c r="AG144">
        <v>112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ROW(Source!A350)</f>
        <v>350</v>
      </c>
      <c r="B145">
        <v>59500111</v>
      </c>
      <c r="C145">
        <v>59499879</v>
      </c>
      <c r="D145">
        <v>58532980</v>
      </c>
      <c r="E145">
        <v>1080</v>
      </c>
      <c r="F145">
        <v>1</v>
      </c>
      <c r="G145">
        <v>1080</v>
      </c>
      <c r="H145">
        <v>1</v>
      </c>
      <c r="I145" t="s">
        <v>302</v>
      </c>
      <c r="J145" t="s">
        <v>3</v>
      </c>
      <c r="K145" t="s">
        <v>303</v>
      </c>
      <c r="L145">
        <v>1191</v>
      </c>
      <c r="N145">
        <v>1013</v>
      </c>
      <c r="O145" t="s">
        <v>304</v>
      </c>
      <c r="P145" t="s">
        <v>304</v>
      </c>
      <c r="Q145">
        <v>1</v>
      </c>
      <c r="X145">
        <v>64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40</v>
      </c>
      <c r="AG145">
        <v>80.959999999999994</v>
      </c>
      <c r="AH145">
        <v>2</v>
      </c>
      <c r="AI145">
        <v>59499880</v>
      </c>
      <c r="AJ145">
        <v>135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ROW(Source!A350)</f>
        <v>350</v>
      </c>
      <c r="B146">
        <v>59500112</v>
      </c>
      <c r="C146">
        <v>59499879</v>
      </c>
      <c r="D146">
        <v>58607154</v>
      </c>
      <c r="E146">
        <v>1</v>
      </c>
      <c r="F146">
        <v>1</v>
      </c>
      <c r="G146">
        <v>1080</v>
      </c>
      <c r="H146">
        <v>2</v>
      </c>
      <c r="I146" t="s">
        <v>308</v>
      </c>
      <c r="J146" t="s">
        <v>309</v>
      </c>
      <c r="K146" t="s">
        <v>310</v>
      </c>
      <c r="L146">
        <v>1368</v>
      </c>
      <c r="N146">
        <v>1011</v>
      </c>
      <c r="O146" t="s">
        <v>311</v>
      </c>
      <c r="P146" t="s">
        <v>311</v>
      </c>
      <c r="Q146">
        <v>1</v>
      </c>
      <c r="X146">
        <v>7.0000000000000007E-2</v>
      </c>
      <c r="Y146">
        <v>0</v>
      </c>
      <c r="Z146">
        <v>83.1</v>
      </c>
      <c r="AA146">
        <v>12.62</v>
      </c>
      <c r="AB146">
        <v>0</v>
      </c>
      <c r="AC146">
        <v>0</v>
      </c>
      <c r="AD146">
        <v>1</v>
      </c>
      <c r="AE146">
        <v>0</v>
      </c>
      <c r="AF146" t="s">
        <v>39</v>
      </c>
      <c r="AG146">
        <v>9.6250000000000016E-2</v>
      </c>
      <c r="AH146">
        <v>2</v>
      </c>
      <c r="AI146">
        <v>59499881</v>
      </c>
      <c r="AJ146">
        <v>136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ROW(Source!A350)</f>
        <v>350</v>
      </c>
      <c r="B147">
        <v>59500113</v>
      </c>
      <c r="C147">
        <v>59499879</v>
      </c>
      <c r="D147">
        <v>58575387</v>
      </c>
      <c r="E147">
        <v>1</v>
      </c>
      <c r="F147">
        <v>1</v>
      </c>
      <c r="G147">
        <v>1080</v>
      </c>
      <c r="H147">
        <v>3</v>
      </c>
      <c r="I147" t="s">
        <v>316</v>
      </c>
      <c r="J147" t="s">
        <v>317</v>
      </c>
      <c r="K147" t="s">
        <v>318</v>
      </c>
      <c r="L147">
        <v>1346</v>
      </c>
      <c r="N147">
        <v>1009</v>
      </c>
      <c r="O147" t="s">
        <v>319</v>
      </c>
      <c r="P147" t="s">
        <v>319</v>
      </c>
      <c r="Q147">
        <v>1</v>
      </c>
      <c r="X147">
        <v>0.15</v>
      </c>
      <c r="Y147">
        <v>1.61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3</v>
      </c>
      <c r="AG147">
        <v>0.15</v>
      </c>
      <c r="AH147">
        <v>2</v>
      </c>
      <c r="AI147">
        <v>59499882</v>
      </c>
      <c r="AJ147">
        <v>137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ROW(Source!A350)</f>
        <v>350</v>
      </c>
      <c r="B148">
        <v>59500114</v>
      </c>
      <c r="C148">
        <v>59499879</v>
      </c>
      <c r="D148">
        <v>58576383</v>
      </c>
      <c r="E148">
        <v>1</v>
      </c>
      <c r="F148">
        <v>1</v>
      </c>
      <c r="G148">
        <v>1080</v>
      </c>
      <c r="H148">
        <v>3</v>
      </c>
      <c r="I148" t="s">
        <v>324</v>
      </c>
      <c r="J148" t="s">
        <v>325</v>
      </c>
      <c r="K148" t="s">
        <v>326</v>
      </c>
      <c r="L148">
        <v>1348</v>
      </c>
      <c r="N148">
        <v>1009</v>
      </c>
      <c r="O148" t="s">
        <v>242</v>
      </c>
      <c r="P148" t="s">
        <v>242</v>
      </c>
      <c r="Q148">
        <v>1000</v>
      </c>
      <c r="X148">
        <v>5.0000000000000001E-3</v>
      </c>
      <c r="Y148">
        <v>2271.09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3</v>
      </c>
      <c r="AG148">
        <v>5.0000000000000001E-3</v>
      </c>
      <c r="AH148">
        <v>2</v>
      </c>
      <c r="AI148">
        <v>59499883</v>
      </c>
      <c r="AJ148">
        <v>138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ROW(Source!A350)</f>
        <v>350</v>
      </c>
      <c r="B149">
        <v>59500115</v>
      </c>
      <c r="C149">
        <v>59499879</v>
      </c>
      <c r="D149">
        <v>58575656</v>
      </c>
      <c r="E149">
        <v>1</v>
      </c>
      <c r="F149">
        <v>1</v>
      </c>
      <c r="G149">
        <v>1080</v>
      </c>
      <c r="H149">
        <v>3</v>
      </c>
      <c r="I149" t="s">
        <v>327</v>
      </c>
      <c r="J149" t="s">
        <v>328</v>
      </c>
      <c r="K149" t="s">
        <v>329</v>
      </c>
      <c r="L149">
        <v>1348</v>
      </c>
      <c r="N149">
        <v>1009</v>
      </c>
      <c r="O149" t="s">
        <v>242</v>
      </c>
      <c r="P149" t="s">
        <v>242</v>
      </c>
      <c r="Q149">
        <v>1000</v>
      </c>
      <c r="X149">
        <v>2.6700000000000002E-2</v>
      </c>
      <c r="Y149">
        <v>32000.73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3</v>
      </c>
      <c r="AG149">
        <v>2.6700000000000002E-2</v>
      </c>
      <c r="AH149">
        <v>2</v>
      </c>
      <c r="AI149">
        <v>59499884</v>
      </c>
      <c r="AJ149">
        <v>139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ROW(Source!A350)</f>
        <v>350</v>
      </c>
      <c r="B150">
        <v>59500116</v>
      </c>
      <c r="C150">
        <v>59499879</v>
      </c>
      <c r="D150">
        <v>58575830</v>
      </c>
      <c r="E150">
        <v>1</v>
      </c>
      <c r="F150">
        <v>1</v>
      </c>
      <c r="G150">
        <v>1080</v>
      </c>
      <c r="H150">
        <v>3</v>
      </c>
      <c r="I150" t="s">
        <v>330</v>
      </c>
      <c r="J150" t="s">
        <v>331</v>
      </c>
      <c r="K150" t="s">
        <v>332</v>
      </c>
      <c r="L150">
        <v>1346</v>
      </c>
      <c r="N150">
        <v>1009</v>
      </c>
      <c r="O150" t="s">
        <v>319</v>
      </c>
      <c r="P150" t="s">
        <v>319</v>
      </c>
      <c r="Q150">
        <v>1</v>
      </c>
      <c r="X150">
        <v>10.3</v>
      </c>
      <c r="Y150">
        <v>20.190000000000001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</v>
      </c>
      <c r="AG150">
        <v>10.3</v>
      </c>
      <c r="AH150">
        <v>2</v>
      </c>
      <c r="AI150">
        <v>59499885</v>
      </c>
      <c r="AJ150">
        <v>140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ROW(Source!A350)</f>
        <v>350</v>
      </c>
      <c r="B151">
        <v>59500117</v>
      </c>
      <c r="C151">
        <v>59499879</v>
      </c>
      <c r="D151">
        <v>58538649</v>
      </c>
      <c r="E151">
        <v>1080</v>
      </c>
      <c r="F151">
        <v>1</v>
      </c>
      <c r="G151">
        <v>1080</v>
      </c>
      <c r="H151">
        <v>3</v>
      </c>
      <c r="I151" t="s">
        <v>356</v>
      </c>
      <c r="J151" t="s">
        <v>3</v>
      </c>
      <c r="K151" t="s">
        <v>357</v>
      </c>
      <c r="L151">
        <v>1327</v>
      </c>
      <c r="N151">
        <v>1005</v>
      </c>
      <c r="O151" t="s">
        <v>358</v>
      </c>
      <c r="P151" t="s">
        <v>358</v>
      </c>
      <c r="Q151">
        <v>1</v>
      </c>
      <c r="X151">
        <v>112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3</v>
      </c>
      <c r="AG151">
        <v>112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ROW(Source!A351)</f>
        <v>351</v>
      </c>
      <c r="B152">
        <v>59500111</v>
      </c>
      <c r="C152">
        <v>59499879</v>
      </c>
      <c r="D152">
        <v>58532980</v>
      </c>
      <c r="E152">
        <v>1080</v>
      </c>
      <c r="F152">
        <v>1</v>
      </c>
      <c r="G152">
        <v>1080</v>
      </c>
      <c r="H152">
        <v>1</v>
      </c>
      <c r="I152" t="s">
        <v>302</v>
      </c>
      <c r="J152" t="s">
        <v>3</v>
      </c>
      <c r="K152" t="s">
        <v>303</v>
      </c>
      <c r="L152">
        <v>1191</v>
      </c>
      <c r="N152">
        <v>1013</v>
      </c>
      <c r="O152" t="s">
        <v>304</v>
      </c>
      <c r="P152" t="s">
        <v>304</v>
      </c>
      <c r="Q152">
        <v>1</v>
      </c>
      <c r="X152">
        <v>64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1</v>
      </c>
      <c r="AF152" t="s">
        <v>40</v>
      </c>
      <c r="AG152">
        <v>80.959999999999994</v>
      </c>
      <c r="AH152">
        <v>2</v>
      </c>
      <c r="AI152">
        <v>59499880</v>
      </c>
      <c r="AJ152">
        <v>142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ROW(Source!A351)</f>
        <v>351</v>
      </c>
      <c r="B153">
        <v>59500112</v>
      </c>
      <c r="C153">
        <v>59499879</v>
      </c>
      <c r="D153">
        <v>58607154</v>
      </c>
      <c r="E153">
        <v>1</v>
      </c>
      <c r="F153">
        <v>1</v>
      </c>
      <c r="G153">
        <v>1080</v>
      </c>
      <c r="H153">
        <v>2</v>
      </c>
      <c r="I153" t="s">
        <v>308</v>
      </c>
      <c r="J153" t="s">
        <v>309</v>
      </c>
      <c r="K153" t="s">
        <v>310</v>
      </c>
      <c r="L153">
        <v>1368</v>
      </c>
      <c r="N153">
        <v>1011</v>
      </c>
      <c r="O153" t="s">
        <v>311</v>
      </c>
      <c r="P153" t="s">
        <v>311</v>
      </c>
      <c r="Q153">
        <v>1</v>
      </c>
      <c r="X153">
        <v>7.0000000000000007E-2</v>
      </c>
      <c r="Y153">
        <v>0</v>
      </c>
      <c r="Z153">
        <v>83.1</v>
      </c>
      <c r="AA153">
        <v>12.62</v>
      </c>
      <c r="AB153">
        <v>0</v>
      </c>
      <c r="AC153">
        <v>0</v>
      </c>
      <c r="AD153">
        <v>1</v>
      </c>
      <c r="AE153">
        <v>0</v>
      </c>
      <c r="AF153" t="s">
        <v>39</v>
      </c>
      <c r="AG153">
        <v>9.6250000000000016E-2</v>
      </c>
      <c r="AH153">
        <v>2</v>
      </c>
      <c r="AI153">
        <v>59499881</v>
      </c>
      <c r="AJ153">
        <v>143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ROW(Source!A351)</f>
        <v>351</v>
      </c>
      <c r="B154">
        <v>59500113</v>
      </c>
      <c r="C154">
        <v>59499879</v>
      </c>
      <c r="D154">
        <v>58575387</v>
      </c>
      <c r="E154">
        <v>1</v>
      </c>
      <c r="F154">
        <v>1</v>
      </c>
      <c r="G154">
        <v>1080</v>
      </c>
      <c r="H154">
        <v>3</v>
      </c>
      <c r="I154" t="s">
        <v>316</v>
      </c>
      <c r="J154" t="s">
        <v>317</v>
      </c>
      <c r="K154" t="s">
        <v>318</v>
      </c>
      <c r="L154">
        <v>1346</v>
      </c>
      <c r="N154">
        <v>1009</v>
      </c>
      <c r="O154" t="s">
        <v>319</v>
      </c>
      <c r="P154" t="s">
        <v>319</v>
      </c>
      <c r="Q154">
        <v>1</v>
      </c>
      <c r="X154">
        <v>0.15</v>
      </c>
      <c r="Y154">
        <v>1.61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3</v>
      </c>
      <c r="AG154">
        <v>0.15</v>
      </c>
      <c r="AH154">
        <v>2</v>
      </c>
      <c r="AI154">
        <v>59499882</v>
      </c>
      <c r="AJ154">
        <v>144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ROW(Source!A351)</f>
        <v>351</v>
      </c>
      <c r="B155">
        <v>59500114</v>
      </c>
      <c r="C155">
        <v>59499879</v>
      </c>
      <c r="D155">
        <v>58576383</v>
      </c>
      <c r="E155">
        <v>1</v>
      </c>
      <c r="F155">
        <v>1</v>
      </c>
      <c r="G155">
        <v>1080</v>
      </c>
      <c r="H155">
        <v>3</v>
      </c>
      <c r="I155" t="s">
        <v>324</v>
      </c>
      <c r="J155" t="s">
        <v>325</v>
      </c>
      <c r="K155" t="s">
        <v>326</v>
      </c>
      <c r="L155">
        <v>1348</v>
      </c>
      <c r="N155">
        <v>1009</v>
      </c>
      <c r="O155" t="s">
        <v>242</v>
      </c>
      <c r="P155" t="s">
        <v>242</v>
      </c>
      <c r="Q155">
        <v>1000</v>
      </c>
      <c r="X155">
        <v>5.0000000000000001E-3</v>
      </c>
      <c r="Y155">
        <v>2271.09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3</v>
      </c>
      <c r="AG155">
        <v>5.0000000000000001E-3</v>
      </c>
      <c r="AH155">
        <v>2</v>
      </c>
      <c r="AI155">
        <v>59499883</v>
      </c>
      <c r="AJ155">
        <v>145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ROW(Source!A351)</f>
        <v>351</v>
      </c>
      <c r="B156">
        <v>59500115</v>
      </c>
      <c r="C156">
        <v>59499879</v>
      </c>
      <c r="D156">
        <v>58575656</v>
      </c>
      <c r="E156">
        <v>1</v>
      </c>
      <c r="F156">
        <v>1</v>
      </c>
      <c r="G156">
        <v>1080</v>
      </c>
      <c r="H156">
        <v>3</v>
      </c>
      <c r="I156" t="s">
        <v>327</v>
      </c>
      <c r="J156" t="s">
        <v>328</v>
      </c>
      <c r="K156" t="s">
        <v>329</v>
      </c>
      <c r="L156">
        <v>1348</v>
      </c>
      <c r="N156">
        <v>1009</v>
      </c>
      <c r="O156" t="s">
        <v>242</v>
      </c>
      <c r="P156" t="s">
        <v>242</v>
      </c>
      <c r="Q156">
        <v>1000</v>
      </c>
      <c r="X156">
        <v>2.6700000000000002E-2</v>
      </c>
      <c r="Y156">
        <v>32000.73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</v>
      </c>
      <c r="AG156">
        <v>2.6700000000000002E-2</v>
      </c>
      <c r="AH156">
        <v>2</v>
      </c>
      <c r="AI156">
        <v>59499884</v>
      </c>
      <c r="AJ156">
        <v>146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ROW(Source!A351)</f>
        <v>351</v>
      </c>
      <c r="B157">
        <v>59500116</v>
      </c>
      <c r="C157">
        <v>59499879</v>
      </c>
      <c r="D157">
        <v>58575830</v>
      </c>
      <c r="E157">
        <v>1</v>
      </c>
      <c r="F157">
        <v>1</v>
      </c>
      <c r="G157">
        <v>1080</v>
      </c>
      <c r="H157">
        <v>3</v>
      </c>
      <c r="I157" t="s">
        <v>330</v>
      </c>
      <c r="J157" t="s">
        <v>331</v>
      </c>
      <c r="K157" t="s">
        <v>332</v>
      </c>
      <c r="L157">
        <v>1346</v>
      </c>
      <c r="N157">
        <v>1009</v>
      </c>
      <c r="O157" t="s">
        <v>319</v>
      </c>
      <c r="P157" t="s">
        <v>319</v>
      </c>
      <c r="Q157">
        <v>1</v>
      </c>
      <c r="X157">
        <v>10.3</v>
      </c>
      <c r="Y157">
        <v>20.190000000000001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3</v>
      </c>
      <c r="AG157">
        <v>10.3</v>
      </c>
      <c r="AH157">
        <v>2</v>
      </c>
      <c r="AI157">
        <v>59499885</v>
      </c>
      <c r="AJ157">
        <v>147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ROW(Source!A351)</f>
        <v>351</v>
      </c>
      <c r="B158">
        <v>59500117</v>
      </c>
      <c r="C158">
        <v>59499879</v>
      </c>
      <c r="D158">
        <v>58538649</v>
      </c>
      <c r="E158">
        <v>1080</v>
      </c>
      <c r="F158">
        <v>1</v>
      </c>
      <c r="G158">
        <v>1080</v>
      </c>
      <c r="H158">
        <v>3</v>
      </c>
      <c r="I158" t="s">
        <v>356</v>
      </c>
      <c r="J158" t="s">
        <v>3</v>
      </c>
      <c r="K158" t="s">
        <v>357</v>
      </c>
      <c r="L158">
        <v>1327</v>
      </c>
      <c r="N158">
        <v>1005</v>
      </c>
      <c r="O158" t="s">
        <v>358</v>
      </c>
      <c r="P158" t="s">
        <v>358</v>
      </c>
      <c r="Q158">
        <v>1</v>
      </c>
      <c r="X158">
        <v>112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3</v>
      </c>
      <c r="AG158">
        <v>112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ROW(Source!A389)</f>
        <v>389</v>
      </c>
      <c r="B159">
        <v>59500118</v>
      </c>
      <c r="C159">
        <v>59499951</v>
      </c>
      <c r="D159">
        <v>58532980</v>
      </c>
      <c r="E159">
        <v>1080</v>
      </c>
      <c r="F159">
        <v>1</v>
      </c>
      <c r="G159">
        <v>1080</v>
      </c>
      <c r="H159">
        <v>1</v>
      </c>
      <c r="I159" t="s">
        <v>302</v>
      </c>
      <c r="J159" t="s">
        <v>3</v>
      </c>
      <c r="K159" t="s">
        <v>303</v>
      </c>
      <c r="L159">
        <v>1191</v>
      </c>
      <c r="N159">
        <v>1013</v>
      </c>
      <c r="O159" t="s">
        <v>304</v>
      </c>
      <c r="P159" t="s">
        <v>304</v>
      </c>
      <c r="Q159">
        <v>1</v>
      </c>
      <c r="X159">
        <v>16.64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 t="s">
        <v>40</v>
      </c>
      <c r="AG159">
        <v>21.049600000000002</v>
      </c>
      <c r="AH159">
        <v>2</v>
      </c>
      <c r="AI159">
        <v>59499952</v>
      </c>
      <c r="AJ159">
        <v>149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ROW(Source!A389)</f>
        <v>389</v>
      </c>
      <c r="B160">
        <v>59500119</v>
      </c>
      <c r="C160">
        <v>59499951</v>
      </c>
      <c r="D160">
        <v>58607154</v>
      </c>
      <c r="E160">
        <v>1</v>
      </c>
      <c r="F160">
        <v>1</v>
      </c>
      <c r="G160">
        <v>1080</v>
      </c>
      <c r="H160">
        <v>2</v>
      </c>
      <c r="I160" t="s">
        <v>308</v>
      </c>
      <c r="J160" t="s">
        <v>309</v>
      </c>
      <c r="K160" t="s">
        <v>310</v>
      </c>
      <c r="L160">
        <v>1368</v>
      </c>
      <c r="N160">
        <v>1011</v>
      </c>
      <c r="O160" t="s">
        <v>311</v>
      </c>
      <c r="P160" t="s">
        <v>311</v>
      </c>
      <c r="Q160">
        <v>1</v>
      </c>
      <c r="X160">
        <v>0.02</v>
      </c>
      <c r="Y160">
        <v>0</v>
      </c>
      <c r="Z160">
        <v>83.1</v>
      </c>
      <c r="AA160">
        <v>12.62</v>
      </c>
      <c r="AB160">
        <v>0</v>
      </c>
      <c r="AC160">
        <v>0</v>
      </c>
      <c r="AD160">
        <v>1</v>
      </c>
      <c r="AE160">
        <v>0</v>
      </c>
      <c r="AF160" t="s">
        <v>39</v>
      </c>
      <c r="AG160">
        <v>2.7500000000000004E-2</v>
      </c>
      <c r="AH160">
        <v>2</v>
      </c>
      <c r="AI160">
        <v>59499953</v>
      </c>
      <c r="AJ160">
        <v>150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ROW(Source!A389)</f>
        <v>389</v>
      </c>
      <c r="B161">
        <v>59500120</v>
      </c>
      <c r="C161">
        <v>59499951</v>
      </c>
      <c r="D161">
        <v>58607273</v>
      </c>
      <c r="E161">
        <v>1</v>
      </c>
      <c r="F161">
        <v>1</v>
      </c>
      <c r="G161">
        <v>1080</v>
      </c>
      <c r="H161">
        <v>2</v>
      </c>
      <c r="I161" t="s">
        <v>313</v>
      </c>
      <c r="J161" t="s">
        <v>314</v>
      </c>
      <c r="K161" t="s">
        <v>315</v>
      </c>
      <c r="L161">
        <v>1368</v>
      </c>
      <c r="N161">
        <v>1011</v>
      </c>
      <c r="O161" t="s">
        <v>311</v>
      </c>
      <c r="P161" t="s">
        <v>311</v>
      </c>
      <c r="Q161">
        <v>1</v>
      </c>
      <c r="X161">
        <v>4.29</v>
      </c>
      <c r="Y161">
        <v>0</v>
      </c>
      <c r="Z161">
        <v>0.8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39</v>
      </c>
      <c r="AG161">
        <v>5.8987500000000006</v>
      </c>
      <c r="AH161">
        <v>2</v>
      </c>
      <c r="AI161">
        <v>59499954</v>
      </c>
      <c r="AJ161">
        <v>151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ROW(Source!A389)</f>
        <v>389</v>
      </c>
      <c r="B162">
        <v>59500121</v>
      </c>
      <c r="C162">
        <v>59499951</v>
      </c>
      <c r="D162">
        <v>58607220</v>
      </c>
      <c r="E162">
        <v>1</v>
      </c>
      <c r="F162">
        <v>1</v>
      </c>
      <c r="G162">
        <v>1080</v>
      </c>
      <c r="H162">
        <v>2</v>
      </c>
      <c r="I162" t="s">
        <v>333</v>
      </c>
      <c r="J162" t="s">
        <v>334</v>
      </c>
      <c r="K162" t="s">
        <v>335</v>
      </c>
      <c r="L162">
        <v>1368</v>
      </c>
      <c r="N162">
        <v>1011</v>
      </c>
      <c r="O162" t="s">
        <v>311</v>
      </c>
      <c r="P162" t="s">
        <v>311</v>
      </c>
      <c r="Q162">
        <v>1</v>
      </c>
      <c r="X162">
        <v>0.36</v>
      </c>
      <c r="Y162">
        <v>0</v>
      </c>
      <c r="Z162">
        <v>0.36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39</v>
      </c>
      <c r="AG162">
        <v>0.495</v>
      </c>
      <c r="AH162">
        <v>2</v>
      </c>
      <c r="AI162">
        <v>59499955</v>
      </c>
      <c r="AJ162">
        <v>152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ROW(Source!A389)</f>
        <v>389</v>
      </c>
      <c r="B163">
        <v>59500122</v>
      </c>
      <c r="C163">
        <v>59499951</v>
      </c>
      <c r="D163">
        <v>58607239</v>
      </c>
      <c r="E163">
        <v>1</v>
      </c>
      <c r="F163">
        <v>1</v>
      </c>
      <c r="G163">
        <v>1080</v>
      </c>
      <c r="H163">
        <v>2</v>
      </c>
      <c r="I163" t="s">
        <v>336</v>
      </c>
      <c r="J163" t="s">
        <v>337</v>
      </c>
      <c r="K163" t="s">
        <v>338</v>
      </c>
      <c r="L163">
        <v>1368</v>
      </c>
      <c r="N163">
        <v>1011</v>
      </c>
      <c r="O163" t="s">
        <v>311</v>
      </c>
      <c r="P163" t="s">
        <v>311</v>
      </c>
      <c r="Q163">
        <v>1</v>
      </c>
      <c r="X163">
        <v>5.84</v>
      </c>
      <c r="Y163">
        <v>0</v>
      </c>
      <c r="Z163">
        <v>0.47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39</v>
      </c>
      <c r="AG163">
        <v>8.0300000000000011</v>
      </c>
      <c r="AH163">
        <v>2</v>
      </c>
      <c r="AI163">
        <v>59499956</v>
      </c>
      <c r="AJ163">
        <v>153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ROW(Source!A389)</f>
        <v>389</v>
      </c>
      <c r="B164">
        <v>59500123</v>
      </c>
      <c r="C164">
        <v>59499951</v>
      </c>
      <c r="D164">
        <v>58575388</v>
      </c>
      <c r="E164">
        <v>1</v>
      </c>
      <c r="F164">
        <v>1</v>
      </c>
      <c r="G164">
        <v>1080</v>
      </c>
      <c r="H164">
        <v>3</v>
      </c>
      <c r="I164" t="s">
        <v>339</v>
      </c>
      <c r="J164" t="s">
        <v>340</v>
      </c>
      <c r="K164" t="s">
        <v>341</v>
      </c>
      <c r="L164">
        <v>1346</v>
      </c>
      <c r="N164">
        <v>1009</v>
      </c>
      <c r="O164" t="s">
        <v>319</v>
      </c>
      <c r="P164" t="s">
        <v>319</v>
      </c>
      <c r="Q164">
        <v>1</v>
      </c>
      <c r="X164">
        <v>0.94</v>
      </c>
      <c r="Y164">
        <v>48.14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3</v>
      </c>
      <c r="AG164">
        <v>0.94</v>
      </c>
      <c r="AH164">
        <v>2</v>
      </c>
      <c r="AI164">
        <v>59499957</v>
      </c>
      <c r="AJ164">
        <v>154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ROW(Source!A389)</f>
        <v>389</v>
      </c>
      <c r="B165">
        <v>59500124</v>
      </c>
      <c r="C165">
        <v>59499951</v>
      </c>
      <c r="D165">
        <v>58561585</v>
      </c>
      <c r="E165">
        <v>1080</v>
      </c>
      <c r="F165">
        <v>1</v>
      </c>
      <c r="G165">
        <v>1080</v>
      </c>
      <c r="H165">
        <v>3</v>
      </c>
      <c r="I165" t="s">
        <v>359</v>
      </c>
      <c r="J165" t="s">
        <v>3</v>
      </c>
      <c r="K165" t="s">
        <v>360</v>
      </c>
      <c r="L165">
        <v>1301</v>
      </c>
      <c r="N165">
        <v>1003</v>
      </c>
      <c r="O165" t="s">
        <v>361</v>
      </c>
      <c r="P165" t="s">
        <v>361</v>
      </c>
      <c r="Q165">
        <v>1</v>
      </c>
      <c r="X165">
        <v>105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3</v>
      </c>
      <c r="AG165">
        <v>105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ROW(Source!A390)</f>
        <v>390</v>
      </c>
      <c r="B166">
        <v>59500118</v>
      </c>
      <c r="C166">
        <v>59499951</v>
      </c>
      <c r="D166">
        <v>58532980</v>
      </c>
      <c r="E166">
        <v>1080</v>
      </c>
      <c r="F166">
        <v>1</v>
      </c>
      <c r="G166">
        <v>1080</v>
      </c>
      <c r="H166">
        <v>1</v>
      </c>
      <c r="I166" t="s">
        <v>302</v>
      </c>
      <c r="J166" t="s">
        <v>3</v>
      </c>
      <c r="K166" t="s">
        <v>303</v>
      </c>
      <c r="L166">
        <v>1191</v>
      </c>
      <c r="N166">
        <v>1013</v>
      </c>
      <c r="O166" t="s">
        <v>304</v>
      </c>
      <c r="P166" t="s">
        <v>304</v>
      </c>
      <c r="Q166">
        <v>1</v>
      </c>
      <c r="X166">
        <v>16.64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40</v>
      </c>
      <c r="AG166">
        <v>21.049600000000002</v>
      </c>
      <c r="AH166">
        <v>2</v>
      </c>
      <c r="AI166">
        <v>59499952</v>
      </c>
      <c r="AJ166">
        <v>156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ROW(Source!A390)</f>
        <v>390</v>
      </c>
      <c r="B167">
        <v>59500119</v>
      </c>
      <c r="C167">
        <v>59499951</v>
      </c>
      <c r="D167">
        <v>58607154</v>
      </c>
      <c r="E167">
        <v>1</v>
      </c>
      <c r="F167">
        <v>1</v>
      </c>
      <c r="G167">
        <v>1080</v>
      </c>
      <c r="H167">
        <v>2</v>
      </c>
      <c r="I167" t="s">
        <v>308</v>
      </c>
      <c r="J167" t="s">
        <v>309</v>
      </c>
      <c r="K167" t="s">
        <v>310</v>
      </c>
      <c r="L167">
        <v>1368</v>
      </c>
      <c r="N167">
        <v>1011</v>
      </c>
      <c r="O167" t="s">
        <v>311</v>
      </c>
      <c r="P167" t="s">
        <v>311</v>
      </c>
      <c r="Q167">
        <v>1</v>
      </c>
      <c r="X167">
        <v>0.02</v>
      </c>
      <c r="Y167">
        <v>0</v>
      </c>
      <c r="Z167">
        <v>83.1</v>
      </c>
      <c r="AA167">
        <v>12.62</v>
      </c>
      <c r="AB167">
        <v>0</v>
      </c>
      <c r="AC167">
        <v>0</v>
      </c>
      <c r="AD167">
        <v>1</v>
      </c>
      <c r="AE167">
        <v>0</v>
      </c>
      <c r="AF167" t="s">
        <v>39</v>
      </c>
      <c r="AG167">
        <v>2.7500000000000004E-2</v>
      </c>
      <c r="AH167">
        <v>2</v>
      </c>
      <c r="AI167">
        <v>59499953</v>
      </c>
      <c r="AJ167">
        <v>157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ROW(Source!A390)</f>
        <v>390</v>
      </c>
      <c r="B168">
        <v>59500120</v>
      </c>
      <c r="C168">
        <v>59499951</v>
      </c>
      <c r="D168">
        <v>58607273</v>
      </c>
      <c r="E168">
        <v>1</v>
      </c>
      <c r="F168">
        <v>1</v>
      </c>
      <c r="G168">
        <v>1080</v>
      </c>
      <c r="H168">
        <v>2</v>
      </c>
      <c r="I168" t="s">
        <v>313</v>
      </c>
      <c r="J168" t="s">
        <v>314</v>
      </c>
      <c r="K168" t="s">
        <v>315</v>
      </c>
      <c r="L168">
        <v>1368</v>
      </c>
      <c r="N168">
        <v>1011</v>
      </c>
      <c r="O168" t="s">
        <v>311</v>
      </c>
      <c r="P168" t="s">
        <v>311</v>
      </c>
      <c r="Q168">
        <v>1</v>
      </c>
      <c r="X168">
        <v>4.29</v>
      </c>
      <c r="Y168">
        <v>0</v>
      </c>
      <c r="Z168">
        <v>0.8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39</v>
      </c>
      <c r="AG168">
        <v>5.8987500000000006</v>
      </c>
      <c r="AH168">
        <v>2</v>
      </c>
      <c r="AI168">
        <v>59499954</v>
      </c>
      <c r="AJ168">
        <v>158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ROW(Source!A390)</f>
        <v>390</v>
      </c>
      <c r="B169">
        <v>59500121</v>
      </c>
      <c r="C169">
        <v>59499951</v>
      </c>
      <c r="D169">
        <v>58607220</v>
      </c>
      <c r="E169">
        <v>1</v>
      </c>
      <c r="F169">
        <v>1</v>
      </c>
      <c r="G169">
        <v>1080</v>
      </c>
      <c r="H169">
        <v>2</v>
      </c>
      <c r="I169" t="s">
        <v>333</v>
      </c>
      <c r="J169" t="s">
        <v>334</v>
      </c>
      <c r="K169" t="s">
        <v>335</v>
      </c>
      <c r="L169">
        <v>1368</v>
      </c>
      <c r="N169">
        <v>1011</v>
      </c>
      <c r="O169" t="s">
        <v>311</v>
      </c>
      <c r="P169" t="s">
        <v>311</v>
      </c>
      <c r="Q169">
        <v>1</v>
      </c>
      <c r="X169">
        <v>0.36</v>
      </c>
      <c r="Y169">
        <v>0</v>
      </c>
      <c r="Z169">
        <v>0.36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39</v>
      </c>
      <c r="AG169">
        <v>0.495</v>
      </c>
      <c r="AH169">
        <v>2</v>
      </c>
      <c r="AI169">
        <v>59499955</v>
      </c>
      <c r="AJ169">
        <v>159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ROW(Source!A390)</f>
        <v>390</v>
      </c>
      <c r="B170">
        <v>59500122</v>
      </c>
      <c r="C170">
        <v>59499951</v>
      </c>
      <c r="D170">
        <v>58607239</v>
      </c>
      <c r="E170">
        <v>1</v>
      </c>
      <c r="F170">
        <v>1</v>
      </c>
      <c r="G170">
        <v>1080</v>
      </c>
      <c r="H170">
        <v>2</v>
      </c>
      <c r="I170" t="s">
        <v>336</v>
      </c>
      <c r="J170" t="s">
        <v>337</v>
      </c>
      <c r="K170" t="s">
        <v>338</v>
      </c>
      <c r="L170">
        <v>1368</v>
      </c>
      <c r="N170">
        <v>1011</v>
      </c>
      <c r="O170" t="s">
        <v>311</v>
      </c>
      <c r="P170" t="s">
        <v>311</v>
      </c>
      <c r="Q170">
        <v>1</v>
      </c>
      <c r="X170">
        <v>5.84</v>
      </c>
      <c r="Y170">
        <v>0</v>
      </c>
      <c r="Z170">
        <v>0.47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39</v>
      </c>
      <c r="AG170">
        <v>8.0300000000000011</v>
      </c>
      <c r="AH170">
        <v>2</v>
      </c>
      <c r="AI170">
        <v>59499956</v>
      </c>
      <c r="AJ170">
        <v>160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ROW(Source!A390)</f>
        <v>390</v>
      </c>
      <c r="B171">
        <v>59500123</v>
      </c>
      <c r="C171">
        <v>59499951</v>
      </c>
      <c r="D171">
        <v>58575388</v>
      </c>
      <c r="E171">
        <v>1</v>
      </c>
      <c r="F171">
        <v>1</v>
      </c>
      <c r="G171">
        <v>1080</v>
      </c>
      <c r="H171">
        <v>3</v>
      </c>
      <c r="I171" t="s">
        <v>339</v>
      </c>
      <c r="J171" t="s">
        <v>340</v>
      </c>
      <c r="K171" t="s">
        <v>341</v>
      </c>
      <c r="L171">
        <v>1346</v>
      </c>
      <c r="N171">
        <v>1009</v>
      </c>
      <c r="O171" t="s">
        <v>319</v>
      </c>
      <c r="P171" t="s">
        <v>319</v>
      </c>
      <c r="Q171">
        <v>1</v>
      </c>
      <c r="X171">
        <v>0.94</v>
      </c>
      <c r="Y171">
        <v>48.14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3</v>
      </c>
      <c r="AG171">
        <v>0.94</v>
      </c>
      <c r="AH171">
        <v>2</v>
      </c>
      <c r="AI171">
        <v>59499957</v>
      </c>
      <c r="AJ171">
        <v>161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ROW(Source!A390)</f>
        <v>390</v>
      </c>
      <c r="B172">
        <v>59500124</v>
      </c>
      <c r="C172">
        <v>59499951</v>
      </c>
      <c r="D172">
        <v>58561585</v>
      </c>
      <c r="E172">
        <v>1080</v>
      </c>
      <c r="F172">
        <v>1</v>
      </c>
      <c r="G172">
        <v>1080</v>
      </c>
      <c r="H172">
        <v>3</v>
      </c>
      <c r="I172" t="s">
        <v>359</v>
      </c>
      <c r="J172" t="s">
        <v>3</v>
      </c>
      <c r="K172" t="s">
        <v>360</v>
      </c>
      <c r="L172">
        <v>1301</v>
      </c>
      <c r="N172">
        <v>1003</v>
      </c>
      <c r="O172" t="s">
        <v>361</v>
      </c>
      <c r="P172" t="s">
        <v>361</v>
      </c>
      <c r="Q172">
        <v>1</v>
      </c>
      <c r="X172">
        <v>105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3</v>
      </c>
      <c r="AG172">
        <v>105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ROW(Source!A428)</f>
        <v>428</v>
      </c>
      <c r="B173">
        <v>59500125</v>
      </c>
      <c r="C173">
        <v>59500023</v>
      </c>
      <c r="D173">
        <v>58532980</v>
      </c>
      <c r="E173">
        <v>1080</v>
      </c>
      <c r="F173">
        <v>1</v>
      </c>
      <c r="G173">
        <v>1080</v>
      </c>
      <c r="H173">
        <v>1</v>
      </c>
      <c r="I173" t="s">
        <v>302</v>
      </c>
      <c r="J173" t="s">
        <v>3</v>
      </c>
      <c r="K173" t="s">
        <v>303</v>
      </c>
      <c r="L173">
        <v>1191</v>
      </c>
      <c r="N173">
        <v>1013</v>
      </c>
      <c r="O173" t="s">
        <v>304</v>
      </c>
      <c r="P173" t="s">
        <v>304</v>
      </c>
      <c r="Q173">
        <v>1</v>
      </c>
      <c r="X173">
        <v>16.64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 t="s">
        <v>40</v>
      </c>
      <c r="AG173">
        <v>21.049600000000002</v>
      </c>
      <c r="AH173">
        <v>2</v>
      </c>
      <c r="AI173">
        <v>59500024</v>
      </c>
      <c r="AJ173">
        <v>163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ROW(Source!A428)</f>
        <v>428</v>
      </c>
      <c r="B174">
        <v>59500126</v>
      </c>
      <c r="C174">
        <v>59500023</v>
      </c>
      <c r="D174">
        <v>58607154</v>
      </c>
      <c r="E174">
        <v>1</v>
      </c>
      <c r="F174">
        <v>1</v>
      </c>
      <c r="G174">
        <v>1080</v>
      </c>
      <c r="H174">
        <v>2</v>
      </c>
      <c r="I174" t="s">
        <v>308</v>
      </c>
      <c r="J174" t="s">
        <v>309</v>
      </c>
      <c r="K174" t="s">
        <v>310</v>
      </c>
      <c r="L174">
        <v>1368</v>
      </c>
      <c r="N174">
        <v>1011</v>
      </c>
      <c r="O174" t="s">
        <v>311</v>
      </c>
      <c r="P174" t="s">
        <v>311</v>
      </c>
      <c r="Q174">
        <v>1</v>
      </c>
      <c r="X174">
        <v>0.02</v>
      </c>
      <c r="Y174">
        <v>0</v>
      </c>
      <c r="Z174">
        <v>83.1</v>
      </c>
      <c r="AA174">
        <v>12.62</v>
      </c>
      <c r="AB174">
        <v>0</v>
      </c>
      <c r="AC174">
        <v>0</v>
      </c>
      <c r="AD174">
        <v>1</v>
      </c>
      <c r="AE174">
        <v>0</v>
      </c>
      <c r="AF174" t="s">
        <v>39</v>
      </c>
      <c r="AG174">
        <v>2.7500000000000004E-2</v>
      </c>
      <c r="AH174">
        <v>2</v>
      </c>
      <c r="AI174">
        <v>59500025</v>
      </c>
      <c r="AJ174">
        <v>164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ROW(Source!A428)</f>
        <v>428</v>
      </c>
      <c r="B175">
        <v>59500127</v>
      </c>
      <c r="C175">
        <v>59500023</v>
      </c>
      <c r="D175">
        <v>58607273</v>
      </c>
      <c r="E175">
        <v>1</v>
      </c>
      <c r="F175">
        <v>1</v>
      </c>
      <c r="G175">
        <v>1080</v>
      </c>
      <c r="H175">
        <v>2</v>
      </c>
      <c r="I175" t="s">
        <v>313</v>
      </c>
      <c r="J175" t="s">
        <v>314</v>
      </c>
      <c r="K175" t="s">
        <v>315</v>
      </c>
      <c r="L175">
        <v>1368</v>
      </c>
      <c r="N175">
        <v>1011</v>
      </c>
      <c r="O175" t="s">
        <v>311</v>
      </c>
      <c r="P175" t="s">
        <v>311</v>
      </c>
      <c r="Q175">
        <v>1</v>
      </c>
      <c r="X175">
        <v>4.29</v>
      </c>
      <c r="Y175">
        <v>0</v>
      </c>
      <c r="Z175">
        <v>0.8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39</v>
      </c>
      <c r="AG175">
        <v>5.8987500000000006</v>
      </c>
      <c r="AH175">
        <v>2</v>
      </c>
      <c r="AI175">
        <v>59500026</v>
      </c>
      <c r="AJ175">
        <v>165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ROW(Source!A428)</f>
        <v>428</v>
      </c>
      <c r="B176">
        <v>59500128</v>
      </c>
      <c r="C176">
        <v>59500023</v>
      </c>
      <c r="D176">
        <v>58607220</v>
      </c>
      <c r="E176">
        <v>1</v>
      </c>
      <c r="F176">
        <v>1</v>
      </c>
      <c r="G176">
        <v>1080</v>
      </c>
      <c r="H176">
        <v>2</v>
      </c>
      <c r="I176" t="s">
        <v>333</v>
      </c>
      <c r="J176" t="s">
        <v>334</v>
      </c>
      <c r="K176" t="s">
        <v>335</v>
      </c>
      <c r="L176">
        <v>1368</v>
      </c>
      <c r="N176">
        <v>1011</v>
      </c>
      <c r="O176" t="s">
        <v>311</v>
      </c>
      <c r="P176" t="s">
        <v>311</v>
      </c>
      <c r="Q176">
        <v>1</v>
      </c>
      <c r="X176">
        <v>0.36</v>
      </c>
      <c r="Y176">
        <v>0</v>
      </c>
      <c r="Z176">
        <v>0.36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39</v>
      </c>
      <c r="AG176">
        <v>0.495</v>
      </c>
      <c r="AH176">
        <v>2</v>
      </c>
      <c r="AI176">
        <v>59500027</v>
      </c>
      <c r="AJ176">
        <v>166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ROW(Source!A428)</f>
        <v>428</v>
      </c>
      <c r="B177">
        <v>59500129</v>
      </c>
      <c r="C177">
        <v>59500023</v>
      </c>
      <c r="D177">
        <v>58607239</v>
      </c>
      <c r="E177">
        <v>1</v>
      </c>
      <c r="F177">
        <v>1</v>
      </c>
      <c r="G177">
        <v>1080</v>
      </c>
      <c r="H177">
        <v>2</v>
      </c>
      <c r="I177" t="s">
        <v>336</v>
      </c>
      <c r="J177" t="s">
        <v>337</v>
      </c>
      <c r="K177" t="s">
        <v>338</v>
      </c>
      <c r="L177">
        <v>1368</v>
      </c>
      <c r="N177">
        <v>1011</v>
      </c>
      <c r="O177" t="s">
        <v>311</v>
      </c>
      <c r="P177" t="s">
        <v>311</v>
      </c>
      <c r="Q177">
        <v>1</v>
      </c>
      <c r="X177">
        <v>5.84</v>
      </c>
      <c r="Y177">
        <v>0</v>
      </c>
      <c r="Z177">
        <v>0.47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39</v>
      </c>
      <c r="AG177">
        <v>8.0300000000000011</v>
      </c>
      <c r="AH177">
        <v>2</v>
      </c>
      <c r="AI177">
        <v>59500028</v>
      </c>
      <c r="AJ177">
        <v>167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ROW(Source!A428)</f>
        <v>428</v>
      </c>
      <c r="B178">
        <v>59500130</v>
      </c>
      <c r="C178">
        <v>59500023</v>
      </c>
      <c r="D178">
        <v>58575388</v>
      </c>
      <c r="E178">
        <v>1</v>
      </c>
      <c r="F178">
        <v>1</v>
      </c>
      <c r="G178">
        <v>1080</v>
      </c>
      <c r="H178">
        <v>3</v>
      </c>
      <c r="I178" t="s">
        <v>339</v>
      </c>
      <c r="J178" t="s">
        <v>340</v>
      </c>
      <c r="K178" t="s">
        <v>341</v>
      </c>
      <c r="L178">
        <v>1346</v>
      </c>
      <c r="N178">
        <v>1009</v>
      </c>
      <c r="O178" t="s">
        <v>319</v>
      </c>
      <c r="P178" t="s">
        <v>319</v>
      </c>
      <c r="Q178">
        <v>1</v>
      </c>
      <c r="X178">
        <v>0.94</v>
      </c>
      <c r="Y178">
        <v>48.14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3</v>
      </c>
      <c r="AG178">
        <v>0.94</v>
      </c>
      <c r="AH178">
        <v>2</v>
      </c>
      <c r="AI178">
        <v>59500029</v>
      </c>
      <c r="AJ178">
        <v>168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ROW(Source!A428)</f>
        <v>428</v>
      </c>
      <c r="B179">
        <v>59500131</v>
      </c>
      <c r="C179">
        <v>59500023</v>
      </c>
      <c r="D179">
        <v>58561585</v>
      </c>
      <c r="E179">
        <v>1080</v>
      </c>
      <c r="F179">
        <v>1</v>
      </c>
      <c r="G179">
        <v>1080</v>
      </c>
      <c r="H179">
        <v>3</v>
      </c>
      <c r="I179" t="s">
        <v>359</v>
      </c>
      <c r="J179" t="s">
        <v>3</v>
      </c>
      <c r="K179" t="s">
        <v>360</v>
      </c>
      <c r="L179">
        <v>1301</v>
      </c>
      <c r="N179">
        <v>1003</v>
      </c>
      <c r="O179" t="s">
        <v>361</v>
      </c>
      <c r="P179" t="s">
        <v>361</v>
      </c>
      <c r="Q179">
        <v>1</v>
      </c>
      <c r="X179">
        <v>105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3</v>
      </c>
      <c r="AG179">
        <v>105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ROW(Source!A429)</f>
        <v>429</v>
      </c>
      <c r="B180">
        <v>59500125</v>
      </c>
      <c r="C180">
        <v>59500023</v>
      </c>
      <c r="D180">
        <v>58532980</v>
      </c>
      <c r="E180">
        <v>1080</v>
      </c>
      <c r="F180">
        <v>1</v>
      </c>
      <c r="G180">
        <v>1080</v>
      </c>
      <c r="H180">
        <v>1</v>
      </c>
      <c r="I180" t="s">
        <v>302</v>
      </c>
      <c r="J180" t="s">
        <v>3</v>
      </c>
      <c r="K180" t="s">
        <v>303</v>
      </c>
      <c r="L180">
        <v>1191</v>
      </c>
      <c r="N180">
        <v>1013</v>
      </c>
      <c r="O180" t="s">
        <v>304</v>
      </c>
      <c r="P180" t="s">
        <v>304</v>
      </c>
      <c r="Q180">
        <v>1</v>
      </c>
      <c r="X180">
        <v>16.64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40</v>
      </c>
      <c r="AG180">
        <v>21.049600000000002</v>
      </c>
      <c r="AH180">
        <v>2</v>
      </c>
      <c r="AI180">
        <v>59500024</v>
      </c>
      <c r="AJ180">
        <v>170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ROW(Source!A429)</f>
        <v>429</v>
      </c>
      <c r="B181">
        <v>59500126</v>
      </c>
      <c r="C181">
        <v>59500023</v>
      </c>
      <c r="D181">
        <v>58607154</v>
      </c>
      <c r="E181">
        <v>1</v>
      </c>
      <c r="F181">
        <v>1</v>
      </c>
      <c r="G181">
        <v>1080</v>
      </c>
      <c r="H181">
        <v>2</v>
      </c>
      <c r="I181" t="s">
        <v>308</v>
      </c>
      <c r="J181" t="s">
        <v>309</v>
      </c>
      <c r="K181" t="s">
        <v>310</v>
      </c>
      <c r="L181">
        <v>1368</v>
      </c>
      <c r="N181">
        <v>1011</v>
      </c>
      <c r="O181" t="s">
        <v>311</v>
      </c>
      <c r="P181" t="s">
        <v>311</v>
      </c>
      <c r="Q181">
        <v>1</v>
      </c>
      <c r="X181">
        <v>0.02</v>
      </c>
      <c r="Y181">
        <v>0</v>
      </c>
      <c r="Z181">
        <v>83.1</v>
      </c>
      <c r="AA181">
        <v>12.62</v>
      </c>
      <c r="AB181">
        <v>0</v>
      </c>
      <c r="AC181">
        <v>0</v>
      </c>
      <c r="AD181">
        <v>1</v>
      </c>
      <c r="AE181">
        <v>0</v>
      </c>
      <c r="AF181" t="s">
        <v>39</v>
      </c>
      <c r="AG181">
        <v>2.7500000000000004E-2</v>
      </c>
      <c r="AH181">
        <v>2</v>
      </c>
      <c r="AI181">
        <v>59500025</v>
      </c>
      <c r="AJ181">
        <v>171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ROW(Source!A429)</f>
        <v>429</v>
      </c>
      <c r="B182">
        <v>59500127</v>
      </c>
      <c r="C182">
        <v>59500023</v>
      </c>
      <c r="D182">
        <v>58607273</v>
      </c>
      <c r="E182">
        <v>1</v>
      </c>
      <c r="F182">
        <v>1</v>
      </c>
      <c r="G182">
        <v>1080</v>
      </c>
      <c r="H182">
        <v>2</v>
      </c>
      <c r="I182" t="s">
        <v>313</v>
      </c>
      <c r="J182" t="s">
        <v>314</v>
      </c>
      <c r="K182" t="s">
        <v>315</v>
      </c>
      <c r="L182">
        <v>1368</v>
      </c>
      <c r="N182">
        <v>1011</v>
      </c>
      <c r="O182" t="s">
        <v>311</v>
      </c>
      <c r="P182" t="s">
        <v>311</v>
      </c>
      <c r="Q182">
        <v>1</v>
      </c>
      <c r="X182">
        <v>4.29</v>
      </c>
      <c r="Y182">
        <v>0</v>
      </c>
      <c r="Z182">
        <v>0.8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39</v>
      </c>
      <c r="AG182">
        <v>5.8987500000000006</v>
      </c>
      <c r="AH182">
        <v>2</v>
      </c>
      <c r="AI182">
        <v>59500026</v>
      </c>
      <c r="AJ182">
        <v>172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ROW(Source!A429)</f>
        <v>429</v>
      </c>
      <c r="B183">
        <v>59500128</v>
      </c>
      <c r="C183">
        <v>59500023</v>
      </c>
      <c r="D183">
        <v>58607220</v>
      </c>
      <c r="E183">
        <v>1</v>
      </c>
      <c r="F183">
        <v>1</v>
      </c>
      <c r="G183">
        <v>1080</v>
      </c>
      <c r="H183">
        <v>2</v>
      </c>
      <c r="I183" t="s">
        <v>333</v>
      </c>
      <c r="J183" t="s">
        <v>334</v>
      </c>
      <c r="K183" t="s">
        <v>335</v>
      </c>
      <c r="L183">
        <v>1368</v>
      </c>
      <c r="N183">
        <v>1011</v>
      </c>
      <c r="O183" t="s">
        <v>311</v>
      </c>
      <c r="P183" t="s">
        <v>311</v>
      </c>
      <c r="Q183">
        <v>1</v>
      </c>
      <c r="X183">
        <v>0.36</v>
      </c>
      <c r="Y183">
        <v>0</v>
      </c>
      <c r="Z183">
        <v>0.36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39</v>
      </c>
      <c r="AG183">
        <v>0.495</v>
      </c>
      <c r="AH183">
        <v>2</v>
      </c>
      <c r="AI183">
        <v>59500027</v>
      </c>
      <c r="AJ183">
        <v>173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ROW(Source!A429)</f>
        <v>429</v>
      </c>
      <c r="B184">
        <v>59500129</v>
      </c>
      <c r="C184">
        <v>59500023</v>
      </c>
      <c r="D184">
        <v>58607239</v>
      </c>
      <c r="E184">
        <v>1</v>
      </c>
      <c r="F184">
        <v>1</v>
      </c>
      <c r="G184">
        <v>1080</v>
      </c>
      <c r="H184">
        <v>2</v>
      </c>
      <c r="I184" t="s">
        <v>336</v>
      </c>
      <c r="J184" t="s">
        <v>337</v>
      </c>
      <c r="K184" t="s">
        <v>338</v>
      </c>
      <c r="L184">
        <v>1368</v>
      </c>
      <c r="N184">
        <v>1011</v>
      </c>
      <c r="O184" t="s">
        <v>311</v>
      </c>
      <c r="P184" t="s">
        <v>311</v>
      </c>
      <c r="Q184">
        <v>1</v>
      </c>
      <c r="X184">
        <v>5.84</v>
      </c>
      <c r="Y184">
        <v>0</v>
      </c>
      <c r="Z184">
        <v>0.47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39</v>
      </c>
      <c r="AG184">
        <v>8.0300000000000011</v>
      </c>
      <c r="AH184">
        <v>2</v>
      </c>
      <c r="AI184">
        <v>59500028</v>
      </c>
      <c r="AJ184">
        <v>174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ROW(Source!A429)</f>
        <v>429</v>
      </c>
      <c r="B185">
        <v>59500130</v>
      </c>
      <c r="C185">
        <v>59500023</v>
      </c>
      <c r="D185">
        <v>58575388</v>
      </c>
      <c r="E185">
        <v>1</v>
      </c>
      <c r="F185">
        <v>1</v>
      </c>
      <c r="G185">
        <v>1080</v>
      </c>
      <c r="H185">
        <v>3</v>
      </c>
      <c r="I185" t="s">
        <v>339</v>
      </c>
      <c r="J185" t="s">
        <v>340</v>
      </c>
      <c r="K185" t="s">
        <v>341</v>
      </c>
      <c r="L185">
        <v>1346</v>
      </c>
      <c r="N185">
        <v>1009</v>
      </c>
      <c r="O185" t="s">
        <v>319</v>
      </c>
      <c r="P185" t="s">
        <v>319</v>
      </c>
      <c r="Q185">
        <v>1</v>
      </c>
      <c r="X185">
        <v>0.94</v>
      </c>
      <c r="Y185">
        <v>48.14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</v>
      </c>
      <c r="AG185">
        <v>0.94</v>
      </c>
      <c r="AH185">
        <v>2</v>
      </c>
      <c r="AI185">
        <v>59500029</v>
      </c>
      <c r="AJ185">
        <v>175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ROW(Source!A429)</f>
        <v>429</v>
      </c>
      <c r="B186">
        <v>59500131</v>
      </c>
      <c r="C186">
        <v>59500023</v>
      </c>
      <c r="D186">
        <v>58561585</v>
      </c>
      <c r="E186">
        <v>1080</v>
      </c>
      <c r="F186">
        <v>1</v>
      </c>
      <c r="G186">
        <v>1080</v>
      </c>
      <c r="H186">
        <v>3</v>
      </c>
      <c r="I186" t="s">
        <v>359</v>
      </c>
      <c r="J186" t="s">
        <v>3</v>
      </c>
      <c r="K186" t="s">
        <v>360</v>
      </c>
      <c r="L186">
        <v>1301</v>
      </c>
      <c r="N186">
        <v>1003</v>
      </c>
      <c r="O186" t="s">
        <v>361</v>
      </c>
      <c r="P186" t="s">
        <v>361</v>
      </c>
      <c r="Q186">
        <v>1</v>
      </c>
      <c r="X186">
        <v>105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3</v>
      </c>
      <c r="AG186">
        <v>105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362</v>
      </c>
      <c r="E1" t="s">
        <v>363</v>
      </c>
      <c r="F1" t="s">
        <v>363</v>
      </c>
      <c r="G1" t="s">
        <v>363</v>
      </c>
      <c r="H1" t="s">
        <v>3</v>
      </c>
      <c r="I1" t="s">
        <v>363</v>
      </c>
      <c r="J1" t="s">
        <v>363</v>
      </c>
      <c r="K1" t="s">
        <v>3</v>
      </c>
      <c r="L1" t="s">
        <v>3</v>
      </c>
      <c r="M1" t="s">
        <v>3</v>
      </c>
      <c r="N1" t="s">
        <v>362</v>
      </c>
      <c r="O1" t="s">
        <v>363</v>
      </c>
      <c r="P1" t="s">
        <v>3</v>
      </c>
      <c r="Q1" t="s">
        <v>3</v>
      </c>
      <c r="R1" t="s">
        <v>3</v>
      </c>
      <c r="S1" t="s">
        <v>364</v>
      </c>
      <c r="T1" t="s">
        <v>372</v>
      </c>
      <c r="U1" t="s">
        <v>365</v>
      </c>
    </row>
    <row r="2" spans="1:21" x14ac:dyDescent="0.2">
      <c r="A2">
        <v>28</v>
      </c>
      <c r="B2">
        <v>1</v>
      </c>
      <c r="C2" t="s">
        <v>3</v>
      </c>
      <c r="D2" t="s">
        <v>362</v>
      </c>
      <c r="E2" t="s">
        <v>366</v>
      </c>
      <c r="F2" t="s">
        <v>366</v>
      </c>
      <c r="G2" t="s">
        <v>367</v>
      </c>
      <c r="H2" t="s">
        <v>3</v>
      </c>
      <c r="I2" t="s">
        <v>367</v>
      </c>
      <c r="J2" t="s">
        <v>366</v>
      </c>
      <c r="K2" t="s">
        <v>3</v>
      </c>
      <c r="L2" t="s">
        <v>3</v>
      </c>
      <c r="M2" t="s">
        <v>3</v>
      </c>
      <c r="N2" t="s">
        <v>362</v>
      </c>
      <c r="O2" t="s">
        <v>366</v>
      </c>
      <c r="P2" t="s">
        <v>3</v>
      </c>
      <c r="Q2" t="s">
        <v>3</v>
      </c>
      <c r="R2" t="s">
        <v>3</v>
      </c>
      <c r="S2" t="s">
        <v>368</v>
      </c>
      <c r="T2" t="s">
        <v>369</v>
      </c>
      <c r="U2" t="s">
        <v>370</v>
      </c>
    </row>
    <row r="3" spans="1:21" x14ac:dyDescent="0.2">
      <c r="A3">
        <v>29</v>
      </c>
      <c r="B3">
        <v>1</v>
      </c>
      <c r="C3" t="s">
        <v>3</v>
      </c>
      <c r="D3" t="s">
        <v>362</v>
      </c>
      <c r="E3" t="s">
        <v>363</v>
      </c>
      <c r="F3" t="s">
        <v>363</v>
      </c>
      <c r="G3" t="s">
        <v>363</v>
      </c>
      <c r="H3" t="s">
        <v>3</v>
      </c>
      <c r="I3" t="s">
        <v>363</v>
      </c>
      <c r="J3" t="s">
        <v>363</v>
      </c>
      <c r="K3" t="s">
        <v>3</v>
      </c>
      <c r="L3" t="s">
        <v>3</v>
      </c>
      <c r="M3" t="s">
        <v>3</v>
      </c>
      <c r="N3" t="s">
        <v>362</v>
      </c>
      <c r="O3" t="s">
        <v>363</v>
      </c>
      <c r="P3" t="s">
        <v>3</v>
      </c>
      <c r="Q3" t="s">
        <v>3</v>
      </c>
      <c r="R3" t="s">
        <v>3</v>
      </c>
      <c r="S3" t="s">
        <v>364</v>
      </c>
      <c r="T3" t="s">
        <v>372</v>
      </c>
      <c r="U3" t="s">
        <v>365</v>
      </c>
    </row>
    <row r="4" spans="1:21" x14ac:dyDescent="0.2">
      <c r="A4">
        <v>29</v>
      </c>
      <c r="B4">
        <v>1</v>
      </c>
      <c r="C4" t="s">
        <v>3</v>
      </c>
      <c r="D4" t="s">
        <v>362</v>
      </c>
      <c r="E4" t="s">
        <v>366</v>
      </c>
      <c r="F4" t="s">
        <v>366</v>
      </c>
      <c r="G4" t="s">
        <v>367</v>
      </c>
      <c r="H4" t="s">
        <v>3</v>
      </c>
      <c r="I4" t="s">
        <v>367</v>
      </c>
      <c r="J4" t="s">
        <v>366</v>
      </c>
      <c r="K4" t="s">
        <v>3</v>
      </c>
      <c r="L4" t="s">
        <v>3</v>
      </c>
      <c r="M4" t="s">
        <v>3</v>
      </c>
      <c r="N4" t="s">
        <v>362</v>
      </c>
      <c r="O4" t="s">
        <v>366</v>
      </c>
      <c r="P4" t="s">
        <v>3</v>
      </c>
      <c r="Q4" t="s">
        <v>3</v>
      </c>
      <c r="R4" t="s">
        <v>3</v>
      </c>
      <c r="S4" t="s">
        <v>368</v>
      </c>
      <c r="T4" t="s">
        <v>369</v>
      </c>
      <c r="U4" t="s">
        <v>370</v>
      </c>
    </row>
    <row r="5" spans="1:21" x14ac:dyDescent="0.2">
      <c r="A5">
        <v>30</v>
      </c>
      <c r="B5">
        <v>1</v>
      </c>
      <c r="C5" t="s">
        <v>3</v>
      </c>
      <c r="D5" t="s">
        <v>362</v>
      </c>
      <c r="E5" t="s">
        <v>363</v>
      </c>
      <c r="F5" t="s">
        <v>363</v>
      </c>
      <c r="G5" t="s">
        <v>363</v>
      </c>
      <c r="H5" t="s">
        <v>3</v>
      </c>
      <c r="I5" t="s">
        <v>363</v>
      </c>
      <c r="J5" t="s">
        <v>363</v>
      </c>
      <c r="K5" t="s">
        <v>3</v>
      </c>
      <c r="L5" t="s">
        <v>3</v>
      </c>
      <c r="M5" t="s">
        <v>3</v>
      </c>
      <c r="N5" t="s">
        <v>362</v>
      </c>
      <c r="O5" t="s">
        <v>363</v>
      </c>
      <c r="P5" t="s">
        <v>3</v>
      </c>
      <c r="Q5" t="s">
        <v>3</v>
      </c>
      <c r="R5" t="s">
        <v>3</v>
      </c>
      <c r="S5" t="s">
        <v>364</v>
      </c>
      <c r="T5" t="s">
        <v>372</v>
      </c>
      <c r="U5" t="s">
        <v>365</v>
      </c>
    </row>
    <row r="6" spans="1:21" x14ac:dyDescent="0.2">
      <c r="A6">
        <v>30</v>
      </c>
      <c r="B6">
        <v>1</v>
      </c>
      <c r="C6" t="s">
        <v>3</v>
      </c>
      <c r="D6" t="s">
        <v>362</v>
      </c>
      <c r="E6" t="s">
        <v>366</v>
      </c>
      <c r="F6" t="s">
        <v>366</v>
      </c>
      <c r="G6" t="s">
        <v>367</v>
      </c>
      <c r="H6" t="s">
        <v>3</v>
      </c>
      <c r="I6" t="s">
        <v>367</v>
      </c>
      <c r="J6" t="s">
        <v>366</v>
      </c>
      <c r="K6" t="s">
        <v>3</v>
      </c>
      <c r="L6" t="s">
        <v>3</v>
      </c>
      <c r="M6" t="s">
        <v>3</v>
      </c>
      <c r="N6" t="s">
        <v>362</v>
      </c>
      <c r="O6" t="s">
        <v>366</v>
      </c>
      <c r="P6" t="s">
        <v>3</v>
      </c>
      <c r="Q6" t="s">
        <v>3</v>
      </c>
      <c r="R6" t="s">
        <v>3</v>
      </c>
      <c r="S6" t="s">
        <v>368</v>
      </c>
      <c r="T6" t="s">
        <v>369</v>
      </c>
      <c r="U6" t="s">
        <v>370</v>
      </c>
    </row>
    <row r="7" spans="1:21" x14ac:dyDescent="0.2">
      <c r="A7">
        <v>31</v>
      </c>
      <c r="B7">
        <v>1</v>
      </c>
      <c r="C7" t="s">
        <v>3</v>
      </c>
      <c r="D7" t="s">
        <v>362</v>
      </c>
      <c r="E7" t="s">
        <v>363</v>
      </c>
      <c r="F7" t="s">
        <v>363</v>
      </c>
      <c r="G7" t="s">
        <v>363</v>
      </c>
      <c r="H7" t="s">
        <v>3</v>
      </c>
      <c r="I7" t="s">
        <v>363</v>
      </c>
      <c r="J7" t="s">
        <v>363</v>
      </c>
      <c r="K7" t="s">
        <v>3</v>
      </c>
      <c r="L7" t="s">
        <v>3</v>
      </c>
      <c r="M7" t="s">
        <v>3</v>
      </c>
      <c r="N7" t="s">
        <v>362</v>
      </c>
      <c r="O7" t="s">
        <v>363</v>
      </c>
      <c r="P7" t="s">
        <v>3</v>
      </c>
      <c r="Q7" t="s">
        <v>3</v>
      </c>
      <c r="R7" t="s">
        <v>3</v>
      </c>
      <c r="S7" t="s">
        <v>364</v>
      </c>
      <c r="T7" t="s">
        <v>372</v>
      </c>
      <c r="U7" t="s">
        <v>365</v>
      </c>
    </row>
    <row r="8" spans="1:21" x14ac:dyDescent="0.2">
      <c r="A8">
        <v>31</v>
      </c>
      <c r="B8">
        <v>1</v>
      </c>
      <c r="C8" t="s">
        <v>3</v>
      </c>
      <c r="D8" t="s">
        <v>362</v>
      </c>
      <c r="E8" t="s">
        <v>366</v>
      </c>
      <c r="F8" t="s">
        <v>366</v>
      </c>
      <c r="G8" t="s">
        <v>367</v>
      </c>
      <c r="H8" t="s">
        <v>3</v>
      </c>
      <c r="I8" t="s">
        <v>367</v>
      </c>
      <c r="J8" t="s">
        <v>366</v>
      </c>
      <c r="K8" t="s">
        <v>3</v>
      </c>
      <c r="L8" t="s">
        <v>3</v>
      </c>
      <c r="M8" t="s">
        <v>3</v>
      </c>
      <c r="N8" t="s">
        <v>362</v>
      </c>
      <c r="O8" t="s">
        <v>366</v>
      </c>
      <c r="P8" t="s">
        <v>3</v>
      </c>
      <c r="Q8" t="s">
        <v>3</v>
      </c>
      <c r="R8" t="s">
        <v>3</v>
      </c>
      <c r="S8" t="s">
        <v>368</v>
      </c>
      <c r="T8" t="s">
        <v>369</v>
      </c>
      <c r="U8" t="s">
        <v>370</v>
      </c>
    </row>
    <row r="9" spans="1:21" x14ac:dyDescent="0.2">
      <c r="A9">
        <v>32</v>
      </c>
      <c r="B9">
        <v>1</v>
      </c>
      <c r="C9" t="s">
        <v>3</v>
      </c>
      <c r="D9" t="s">
        <v>3</v>
      </c>
      <c r="E9" t="s">
        <v>366</v>
      </c>
      <c r="F9" t="s">
        <v>366</v>
      </c>
      <c r="G9" t="s">
        <v>367</v>
      </c>
      <c r="H9" t="s">
        <v>3</v>
      </c>
      <c r="I9" t="s">
        <v>367</v>
      </c>
      <c r="J9" t="s">
        <v>366</v>
      </c>
      <c r="K9" t="s">
        <v>3</v>
      </c>
      <c r="L9" t="s">
        <v>3</v>
      </c>
      <c r="M9" t="s">
        <v>3</v>
      </c>
      <c r="N9" t="s">
        <v>3</v>
      </c>
      <c r="O9" t="s">
        <v>366</v>
      </c>
      <c r="P9" t="s">
        <v>3</v>
      </c>
      <c r="Q9" t="s">
        <v>3</v>
      </c>
      <c r="R9" t="s">
        <v>3</v>
      </c>
      <c r="S9" t="s">
        <v>3</v>
      </c>
      <c r="T9" t="s">
        <v>3</v>
      </c>
    </row>
    <row r="10" spans="1:21" x14ac:dyDescent="0.2">
      <c r="A10">
        <v>32</v>
      </c>
      <c r="B10">
        <v>1</v>
      </c>
      <c r="C10" t="s">
        <v>3</v>
      </c>
      <c r="D10" t="s">
        <v>3</v>
      </c>
      <c r="E10" t="s">
        <v>363</v>
      </c>
      <c r="F10" t="s">
        <v>363</v>
      </c>
      <c r="G10" t="s">
        <v>363</v>
      </c>
      <c r="H10" t="s">
        <v>3</v>
      </c>
      <c r="I10" t="s">
        <v>363</v>
      </c>
      <c r="J10" t="s">
        <v>363</v>
      </c>
      <c r="K10" t="s">
        <v>3</v>
      </c>
      <c r="L10" t="s">
        <v>3</v>
      </c>
      <c r="M10" t="s">
        <v>3</v>
      </c>
      <c r="N10" t="s">
        <v>3</v>
      </c>
      <c r="O10" t="s">
        <v>363</v>
      </c>
      <c r="P10" t="s">
        <v>3</v>
      </c>
      <c r="Q10" t="s">
        <v>3</v>
      </c>
      <c r="R10" t="s">
        <v>3</v>
      </c>
      <c r="S10" t="s">
        <v>371</v>
      </c>
      <c r="T10" t="s">
        <v>374</v>
      </c>
      <c r="U10" t="s">
        <v>365</v>
      </c>
    </row>
    <row r="11" spans="1:21" x14ac:dyDescent="0.2">
      <c r="A11">
        <v>33</v>
      </c>
      <c r="B11">
        <v>1</v>
      </c>
      <c r="C11" t="s">
        <v>3</v>
      </c>
      <c r="D11" t="s">
        <v>3</v>
      </c>
      <c r="E11" t="s">
        <v>366</v>
      </c>
      <c r="F11" t="s">
        <v>366</v>
      </c>
      <c r="G11" t="s">
        <v>367</v>
      </c>
      <c r="H11" t="s">
        <v>3</v>
      </c>
      <c r="I11" t="s">
        <v>367</v>
      </c>
      <c r="J11" t="s">
        <v>366</v>
      </c>
      <c r="K11" t="s">
        <v>3</v>
      </c>
      <c r="L11" t="s">
        <v>3</v>
      </c>
      <c r="M11" t="s">
        <v>3</v>
      </c>
      <c r="N11" t="s">
        <v>3</v>
      </c>
      <c r="O11" t="s">
        <v>366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</row>
    <row r="12" spans="1:21" x14ac:dyDescent="0.2">
      <c r="A12">
        <v>33</v>
      </c>
      <c r="B12">
        <v>1</v>
      </c>
      <c r="C12" t="s">
        <v>3</v>
      </c>
      <c r="D12" t="s">
        <v>3</v>
      </c>
      <c r="E12" t="s">
        <v>363</v>
      </c>
      <c r="F12" t="s">
        <v>363</v>
      </c>
      <c r="G12" t="s">
        <v>363</v>
      </c>
      <c r="H12" t="s">
        <v>3</v>
      </c>
      <c r="I12" t="s">
        <v>363</v>
      </c>
      <c r="J12" t="s">
        <v>363</v>
      </c>
      <c r="K12" t="s">
        <v>3</v>
      </c>
      <c r="L12" t="s">
        <v>3</v>
      </c>
      <c r="M12" t="s">
        <v>3</v>
      </c>
      <c r="N12" t="s">
        <v>3</v>
      </c>
      <c r="O12" t="s">
        <v>363</v>
      </c>
      <c r="P12" t="s">
        <v>3</v>
      </c>
      <c r="Q12" t="s">
        <v>3</v>
      </c>
      <c r="R12" t="s">
        <v>3</v>
      </c>
      <c r="S12" t="s">
        <v>371</v>
      </c>
      <c r="T12" t="s">
        <v>374</v>
      </c>
      <c r="U12" t="s">
        <v>365</v>
      </c>
    </row>
    <row r="13" spans="1:21" x14ac:dyDescent="0.2">
      <c r="A13">
        <v>34</v>
      </c>
      <c r="B13">
        <v>1</v>
      </c>
      <c r="C13" t="s">
        <v>3</v>
      </c>
      <c r="D13" t="s">
        <v>362</v>
      </c>
      <c r="E13" t="s">
        <v>363</v>
      </c>
      <c r="F13" t="s">
        <v>363</v>
      </c>
      <c r="G13" t="s">
        <v>363</v>
      </c>
      <c r="H13" t="s">
        <v>3</v>
      </c>
      <c r="I13" t="s">
        <v>363</v>
      </c>
      <c r="J13" t="s">
        <v>363</v>
      </c>
      <c r="K13" t="s">
        <v>3</v>
      </c>
      <c r="L13" t="s">
        <v>3</v>
      </c>
      <c r="M13" t="s">
        <v>3</v>
      </c>
      <c r="N13" t="s">
        <v>362</v>
      </c>
      <c r="O13" t="s">
        <v>363</v>
      </c>
      <c r="P13" t="s">
        <v>3</v>
      </c>
      <c r="Q13" t="s">
        <v>3</v>
      </c>
      <c r="R13" t="s">
        <v>3</v>
      </c>
      <c r="S13" t="s">
        <v>364</v>
      </c>
      <c r="T13" t="s">
        <v>372</v>
      </c>
      <c r="U13" t="s">
        <v>365</v>
      </c>
    </row>
    <row r="14" spans="1:21" x14ac:dyDescent="0.2">
      <c r="A14">
        <v>34</v>
      </c>
      <c r="B14">
        <v>1</v>
      </c>
      <c r="C14" t="s">
        <v>3</v>
      </c>
      <c r="D14" t="s">
        <v>362</v>
      </c>
      <c r="E14" t="s">
        <v>366</v>
      </c>
      <c r="F14" t="s">
        <v>366</v>
      </c>
      <c r="G14" t="s">
        <v>367</v>
      </c>
      <c r="H14" t="s">
        <v>3</v>
      </c>
      <c r="I14" t="s">
        <v>367</v>
      </c>
      <c r="J14" t="s">
        <v>366</v>
      </c>
      <c r="K14" t="s">
        <v>3</v>
      </c>
      <c r="L14" t="s">
        <v>3</v>
      </c>
      <c r="M14" t="s">
        <v>3</v>
      </c>
      <c r="N14" t="s">
        <v>362</v>
      </c>
      <c r="O14" t="s">
        <v>366</v>
      </c>
      <c r="P14" t="s">
        <v>3</v>
      </c>
      <c r="Q14" t="s">
        <v>3</v>
      </c>
      <c r="R14" t="s">
        <v>3</v>
      </c>
      <c r="S14" t="s">
        <v>368</v>
      </c>
      <c r="T14" t="s">
        <v>369</v>
      </c>
      <c r="U14" t="s">
        <v>370</v>
      </c>
    </row>
    <row r="15" spans="1:21" x14ac:dyDescent="0.2">
      <c r="A15">
        <v>35</v>
      </c>
      <c r="B15">
        <v>1</v>
      </c>
      <c r="C15" t="s">
        <v>3</v>
      </c>
      <c r="D15" t="s">
        <v>362</v>
      </c>
      <c r="E15" t="s">
        <v>363</v>
      </c>
      <c r="F15" t="s">
        <v>363</v>
      </c>
      <c r="G15" t="s">
        <v>363</v>
      </c>
      <c r="H15" t="s">
        <v>3</v>
      </c>
      <c r="I15" t="s">
        <v>363</v>
      </c>
      <c r="J15" t="s">
        <v>363</v>
      </c>
      <c r="K15" t="s">
        <v>3</v>
      </c>
      <c r="L15" t="s">
        <v>3</v>
      </c>
      <c r="M15" t="s">
        <v>3</v>
      </c>
      <c r="N15" t="s">
        <v>362</v>
      </c>
      <c r="O15" t="s">
        <v>363</v>
      </c>
      <c r="P15" t="s">
        <v>3</v>
      </c>
      <c r="Q15" t="s">
        <v>3</v>
      </c>
      <c r="R15" t="s">
        <v>3</v>
      </c>
      <c r="S15" t="s">
        <v>364</v>
      </c>
      <c r="T15" t="s">
        <v>372</v>
      </c>
      <c r="U15" t="s">
        <v>365</v>
      </c>
    </row>
    <row r="16" spans="1:21" x14ac:dyDescent="0.2">
      <c r="A16">
        <v>35</v>
      </c>
      <c r="B16">
        <v>1</v>
      </c>
      <c r="C16" t="s">
        <v>3</v>
      </c>
      <c r="D16" t="s">
        <v>362</v>
      </c>
      <c r="E16" t="s">
        <v>366</v>
      </c>
      <c r="F16" t="s">
        <v>366</v>
      </c>
      <c r="G16" t="s">
        <v>367</v>
      </c>
      <c r="H16" t="s">
        <v>3</v>
      </c>
      <c r="I16" t="s">
        <v>367</v>
      </c>
      <c r="J16" t="s">
        <v>366</v>
      </c>
      <c r="K16" t="s">
        <v>3</v>
      </c>
      <c r="L16" t="s">
        <v>3</v>
      </c>
      <c r="M16" t="s">
        <v>3</v>
      </c>
      <c r="N16" t="s">
        <v>362</v>
      </c>
      <c r="O16" t="s">
        <v>366</v>
      </c>
      <c r="P16" t="s">
        <v>3</v>
      </c>
      <c r="Q16" t="s">
        <v>3</v>
      </c>
      <c r="R16" t="s">
        <v>3</v>
      </c>
      <c r="S16" t="s">
        <v>368</v>
      </c>
      <c r="T16" t="s">
        <v>369</v>
      </c>
      <c r="U16" t="s">
        <v>370</v>
      </c>
    </row>
    <row r="17" spans="1:21" x14ac:dyDescent="0.2">
      <c r="A17">
        <v>36</v>
      </c>
      <c r="B17">
        <v>1</v>
      </c>
      <c r="C17" t="s">
        <v>3</v>
      </c>
      <c r="D17" t="s">
        <v>362</v>
      </c>
      <c r="E17" t="s">
        <v>363</v>
      </c>
      <c r="F17" t="s">
        <v>363</v>
      </c>
      <c r="G17" t="s">
        <v>363</v>
      </c>
      <c r="H17" t="s">
        <v>3</v>
      </c>
      <c r="I17" t="s">
        <v>363</v>
      </c>
      <c r="J17" t="s">
        <v>363</v>
      </c>
      <c r="K17" t="s">
        <v>3</v>
      </c>
      <c r="L17" t="s">
        <v>3</v>
      </c>
      <c r="M17" t="s">
        <v>3</v>
      </c>
      <c r="N17" t="s">
        <v>362</v>
      </c>
      <c r="O17" t="s">
        <v>363</v>
      </c>
      <c r="P17" t="s">
        <v>3</v>
      </c>
      <c r="Q17" t="s">
        <v>3</v>
      </c>
      <c r="R17" t="s">
        <v>3</v>
      </c>
      <c r="S17" t="s">
        <v>364</v>
      </c>
      <c r="T17" t="s">
        <v>372</v>
      </c>
      <c r="U17" t="s">
        <v>365</v>
      </c>
    </row>
    <row r="18" spans="1:21" x14ac:dyDescent="0.2">
      <c r="A18">
        <v>36</v>
      </c>
      <c r="B18">
        <v>1</v>
      </c>
      <c r="C18" t="s">
        <v>3</v>
      </c>
      <c r="D18" t="s">
        <v>362</v>
      </c>
      <c r="E18" t="s">
        <v>366</v>
      </c>
      <c r="F18" t="s">
        <v>366</v>
      </c>
      <c r="G18" t="s">
        <v>367</v>
      </c>
      <c r="H18" t="s">
        <v>3</v>
      </c>
      <c r="I18" t="s">
        <v>367</v>
      </c>
      <c r="J18" t="s">
        <v>366</v>
      </c>
      <c r="K18" t="s">
        <v>3</v>
      </c>
      <c r="L18" t="s">
        <v>3</v>
      </c>
      <c r="M18" t="s">
        <v>3</v>
      </c>
      <c r="N18" t="s">
        <v>362</v>
      </c>
      <c r="O18" t="s">
        <v>366</v>
      </c>
      <c r="P18" t="s">
        <v>3</v>
      </c>
      <c r="Q18" t="s">
        <v>3</v>
      </c>
      <c r="R18" t="s">
        <v>3</v>
      </c>
      <c r="S18" t="s">
        <v>368</v>
      </c>
      <c r="T18" t="s">
        <v>369</v>
      </c>
      <c r="U18" t="s">
        <v>370</v>
      </c>
    </row>
    <row r="19" spans="1:21" x14ac:dyDescent="0.2">
      <c r="A19">
        <v>37</v>
      </c>
      <c r="B19">
        <v>1</v>
      </c>
      <c r="C19" t="s">
        <v>3</v>
      </c>
      <c r="D19" t="s">
        <v>362</v>
      </c>
      <c r="E19" t="s">
        <v>363</v>
      </c>
      <c r="F19" t="s">
        <v>363</v>
      </c>
      <c r="G19" t="s">
        <v>363</v>
      </c>
      <c r="H19" t="s">
        <v>3</v>
      </c>
      <c r="I19" t="s">
        <v>363</v>
      </c>
      <c r="J19" t="s">
        <v>363</v>
      </c>
      <c r="K19" t="s">
        <v>3</v>
      </c>
      <c r="L19" t="s">
        <v>3</v>
      </c>
      <c r="M19" t="s">
        <v>3</v>
      </c>
      <c r="N19" t="s">
        <v>362</v>
      </c>
      <c r="O19" t="s">
        <v>363</v>
      </c>
      <c r="P19" t="s">
        <v>3</v>
      </c>
      <c r="Q19" t="s">
        <v>3</v>
      </c>
      <c r="R19" t="s">
        <v>3</v>
      </c>
      <c r="S19" t="s">
        <v>364</v>
      </c>
      <c r="T19" t="s">
        <v>372</v>
      </c>
      <c r="U19" t="s">
        <v>365</v>
      </c>
    </row>
    <row r="20" spans="1:21" x14ac:dyDescent="0.2">
      <c r="A20">
        <v>37</v>
      </c>
      <c r="B20">
        <v>1</v>
      </c>
      <c r="C20" t="s">
        <v>3</v>
      </c>
      <c r="D20" t="s">
        <v>362</v>
      </c>
      <c r="E20" t="s">
        <v>366</v>
      </c>
      <c r="F20" t="s">
        <v>366</v>
      </c>
      <c r="G20" t="s">
        <v>367</v>
      </c>
      <c r="H20" t="s">
        <v>3</v>
      </c>
      <c r="I20" t="s">
        <v>367</v>
      </c>
      <c r="J20" t="s">
        <v>366</v>
      </c>
      <c r="K20" t="s">
        <v>3</v>
      </c>
      <c r="L20" t="s">
        <v>3</v>
      </c>
      <c r="M20" t="s">
        <v>3</v>
      </c>
      <c r="N20" t="s">
        <v>362</v>
      </c>
      <c r="O20" t="s">
        <v>366</v>
      </c>
      <c r="P20" t="s">
        <v>3</v>
      </c>
      <c r="Q20" t="s">
        <v>3</v>
      </c>
      <c r="R20" t="s">
        <v>3</v>
      </c>
      <c r="S20" t="s">
        <v>368</v>
      </c>
      <c r="T20" t="s">
        <v>369</v>
      </c>
      <c r="U20" t="s">
        <v>370</v>
      </c>
    </row>
    <row r="21" spans="1:21" x14ac:dyDescent="0.2">
      <c r="A21">
        <v>165</v>
      </c>
      <c r="B21">
        <v>1</v>
      </c>
      <c r="C21" t="s">
        <v>3</v>
      </c>
      <c r="D21" t="s">
        <v>3</v>
      </c>
      <c r="E21" t="s">
        <v>366</v>
      </c>
      <c r="F21" t="s">
        <v>366</v>
      </c>
      <c r="G21" t="s">
        <v>367</v>
      </c>
      <c r="H21" t="s">
        <v>3</v>
      </c>
      <c r="I21" t="s">
        <v>367</v>
      </c>
      <c r="J21" t="s">
        <v>366</v>
      </c>
      <c r="K21" t="s">
        <v>3</v>
      </c>
      <c r="L21" t="s">
        <v>3</v>
      </c>
      <c r="M21" t="s">
        <v>3</v>
      </c>
      <c r="N21" t="s">
        <v>3</v>
      </c>
      <c r="O21" t="s">
        <v>366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</row>
    <row r="22" spans="1:21" x14ac:dyDescent="0.2">
      <c r="A22">
        <v>165</v>
      </c>
      <c r="B22">
        <v>1</v>
      </c>
      <c r="C22" t="s">
        <v>3</v>
      </c>
      <c r="D22" t="s">
        <v>3</v>
      </c>
      <c r="E22" t="s">
        <v>363</v>
      </c>
      <c r="F22" t="s">
        <v>363</v>
      </c>
      <c r="G22" t="s">
        <v>363</v>
      </c>
      <c r="H22" t="s">
        <v>3</v>
      </c>
      <c r="I22" t="s">
        <v>363</v>
      </c>
      <c r="J22" t="s">
        <v>363</v>
      </c>
      <c r="K22" t="s">
        <v>3</v>
      </c>
      <c r="L22" t="s">
        <v>3</v>
      </c>
      <c r="M22" t="s">
        <v>3</v>
      </c>
      <c r="N22" t="s">
        <v>3</v>
      </c>
      <c r="O22" t="s">
        <v>363</v>
      </c>
      <c r="P22" t="s">
        <v>3</v>
      </c>
      <c r="Q22" t="s">
        <v>3</v>
      </c>
      <c r="R22" t="s">
        <v>3</v>
      </c>
      <c r="S22" t="s">
        <v>371</v>
      </c>
      <c r="T22" t="s">
        <v>374</v>
      </c>
      <c r="U22" t="s">
        <v>365</v>
      </c>
    </row>
    <row r="23" spans="1:21" x14ac:dyDescent="0.2">
      <c r="A23">
        <v>166</v>
      </c>
      <c r="B23">
        <v>1</v>
      </c>
      <c r="C23" t="s">
        <v>3</v>
      </c>
      <c r="D23" t="s">
        <v>3</v>
      </c>
      <c r="E23" t="s">
        <v>366</v>
      </c>
      <c r="F23" t="s">
        <v>366</v>
      </c>
      <c r="G23" t="s">
        <v>367</v>
      </c>
      <c r="H23" t="s">
        <v>3</v>
      </c>
      <c r="I23" t="s">
        <v>367</v>
      </c>
      <c r="J23" t="s">
        <v>366</v>
      </c>
      <c r="K23" t="s">
        <v>3</v>
      </c>
      <c r="L23" t="s">
        <v>3</v>
      </c>
      <c r="M23" t="s">
        <v>3</v>
      </c>
      <c r="N23" t="s">
        <v>3</v>
      </c>
      <c r="O23" t="s">
        <v>366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</row>
    <row r="24" spans="1:21" x14ac:dyDescent="0.2">
      <c r="A24">
        <v>166</v>
      </c>
      <c r="B24">
        <v>1</v>
      </c>
      <c r="C24" t="s">
        <v>3</v>
      </c>
      <c r="D24" t="s">
        <v>3</v>
      </c>
      <c r="E24" t="s">
        <v>363</v>
      </c>
      <c r="F24" t="s">
        <v>363</v>
      </c>
      <c r="G24" t="s">
        <v>363</v>
      </c>
      <c r="H24" t="s">
        <v>3</v>
      </c>
      <c r="I24" t="s">
        <v>363</v>
      </c>
      <c r="J24" t="s">
        <v>363</v>
      </c>
      <c r="K24" t="s">
        <v>3</v>
      </c>
      <c r="L24" t="s">
        <v>3</v>
      </c>
      <c r="M24" t="s">
        <v>3</v>
      </c>
      <c r="N24" t="s">
        <v>3</v>
      </c>
      <c r="O24" t="s">
        <v>363</v>
      </c>
      <c r="P24" t="s">
        <v>3</v>
      </c>
      <c r="Q24" t="s">
        <v>3</v>
      </c>
      <c r="R24" t="s">
        <v>3</v>
      </c>
      <c r="S24" t="s">
        <v>371</v>
      </c>
      <c r="T24" t="s">
        <v>374</v>
      </c>
      <c r="U24" t="s">
        <v>365</v>
      </c>
    </row>
    <row r="25" spans="1:21" x14ac:dyDescent="0.2">
      <c r="A25">
        <v>169</v>
      </c>
      <c r="B25">
        <v>1</v>
      </c>
      <c r="C25" t="s">
        <v>3</v>
      </c>
      <c r="D25" t="s">
        <v>3</v>
      </c>
      <c r="E25" t="s">
        <v>366</v>
      </c>
      <c r="F25" t="s">
        <v>366</v>
      </c>
      <c r="G25" t="s">
        <v>367</v>
      </c>
      <c r="H25" t="s">
        <v>3</v>
      </c>
      <c r="I25" t="s">
        <v>367</v>
      </c>
      <c r="J25" t="s">
        <v>366</v>
      </c>
      <c r="K25" t="s">
        <v>3</v>
      </c>
      <c r="L25" t="s">
        <v>3</v>
      </c>
      <c r="M25" t="s">
        <v>3</v>
      </c>
      <c r="N25" t="s">
        <v>3</v>
      </c>
      <c r="O25" t="s">
        <v>366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</row>
    <row r="26" spans="1:21" x14ac:dyDescent="0.2">
      <c r="A26">
        <v>169</v>
      </c>
      <c r="B26">
        <v>1</v>
      </c>
      <c r="C26" t="s">
        <v>3</v>
      </c>
      <c r="D26" t="s">
        <v>3</v>
      </c>
      <c r="E26" t="s">
        <v>363</v>
      </c>
      <c r="F26" t="s">
        <v>363</v>
      </c>
      <c r="G26" t="s">
        <v>363</v>
      </c>
      <c r="H26" t="s">
        <v>3</v>
      </c>
      <c r="I26" t="s">
        <v>363</v>
      </c>
      <c r="J26" t="s">
        <v>363</v>
      </c>
      <c r="K26" t="s">
        <v>3</v>
      </c>
      <c r="L26" t="s">
        <v>3</v>
      </c>
      <c r="M26" t="s">
        <v>3</v>
      </c>
      <c r="N26" t="s">
        <v>3</v>
      </c>
      <c r="O26" t="s">
        <v>363</v>
      </c>
      <c r="P26" t="s">
        <v>3</v>
      </c>
      <c r="Q26" t="s">
        <v>3</v>
      </c>
      <c r="R26" t="s">
        <v>3</v>
      </c>
      <c r="S26" t="s">
        <v>371</v>
      </c>
      <c r="T26" t="s">
        <v>374</v>
      </c>
      <c r="U26" t="s">
        <v>365</v>
      </c>
    </row>
    <row r="27" spans="1:21" x14ac:dyDescent="0.2">
      <c r="A27">
        <v>170</v>
      </c>
      <c r="B27">
        <v>1</v>
      </c>
      <c r="C27" t="s">
        <v>3</v>
      </c>
      <c r="D27" t="s">
        <v>3</v>
      </c>
      <c r="E27" t="s">
        <v>366</v>
      </c>
      <c r="F27" t="s">
        <v>366</v>
      </c>
      <c r="G27" t="s">
        <v>367</v>
      </c>
      <c r="H27" t="s">
        <v>3</v>
      </c>
      <c r="I27" t="s">
        <v>367</v>
      </c>
      <c r="J27" t="s">
        <v>366</v>
      </c>
      <c r="K27" t="s">
        <v>3</v>
      </c>
      <c r="L27" t="s">
        <v>3</v>
      </c>
      <c r="M27" t="s">
        <v>3</v>
      </c>
      <c r="N27" t="s">
        <v>3</v>
      </c>
      <c r="O27" t="s">
        <v>366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</row>
    <row r="28" spans="1:21" x14ac:dyDescent="0.2">
      <c r="A28">
        <v>170</v>
      </c>
      <c r="B28">
        <v>1</v>
      </c>
      <c r="C28" t="s">
        <v>3</v>
      </c>
      <c r="D28" t="s">
        <v>3</v>
      </c>
      <c r="E28" t="s">
        <v>363</v>
      </c>
      <c r="F28" t="s">
        <v>363</v>
      </c>
      <c r="G28" t="s">
        <v>363</v>
      </c>
      <c r="H28" t="s">
        <v>3</v>
      </c>
      <c r="I28" t="s">
        <v>363</v>
      </c>
      <c r="J28" t="s">
        <v>363</v>
      </c>
      <c r="K28" t="s">
        <v>3</v>
      </c>
      <c r="L28" t="s">
        <v>3</v>
      </c>
      <c r="M28" t="s">
        <v>3</v>
      </c>
      <c r="N28" t="s">
        <v>3</v>
      </c>
      <c r="O28" t="s">
        <v>363</v>
      </c>
      <c r="P28" t="s">
        <v>3</v>
      </c>
      <c r="Q28" t="s">
        <v>3</v>
      </c>
      <c r="R28" t="s">
        <v>3</v>
      </c>
      <c r="S28" t="s">
        <v>371</v>
      </c>
      <c r="T28" t="s">
        <v>374</v>
      </c>
      <c r="U28" t="s">
        <v>365</v>
      </c>
    </row>
    <row r="29" spans="1:21" x14ac:dyDescent="0.2">
      <c r="A29">
        <v>173</v>
      </c>
      <c r="B29">
        <v>1</v>
      </c>
      <c r="C29" t="s">
        <v>3</v>
      </c>
      <c r="D29" t="s">
        <v>3</v>
      </c>
      <c r="E29" t="s">
        <v>366</v>
      </c>
      <c r="F29" t="s">
        <v>366</v>
      </c>
      <c r="G29" t="s">
        <v>367</v>
      </c>
      <c r="H29" t="s">
        <v>3</v>
      </c>
      <c r="I29" t="s">
        <v>367</v>
      </c>
      <c r="J29" t="s">
        <v>366</v>
      </c>
      <c r="K29" t="s">
        <v>3</v>
      </c>
      <c r="L29" t="s">
        <v>3</v>
      </c>
      <c r="M29" t="s">
        <v>3</v>
      </c>
      <c r="N29" t="s">
        <v>3</v>
      </c>
      <c r="O29" t="s">
        <v>366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</row>
    <row r="30" spans="1:21" x14ac:dyDescent="0.2">
      <c r="A30">
        <v>173</v>
      </c>
      <c r="B30">
        <v>1</v>
      </c>
      <c r="C30" t="s">
        <v>3</v>
      </c>
      <c r="D30" t="s">
        <v>3</v>
      </c>
      <c r="E30" t="s">
        <v>363</v>
      </c>
      <c r="F30" t="s">
        <v>363</v>
      </c>
      <c r="G30" t="s">
        <v>363</v>
      </c>
      <c r="H30" t="s">
        <v>3</v>
      </c>
      <c r="I30" t="s">
        <v>363</v>
      </c>
      <c r="J30" t="s">
        <v>363</v>
      </c>
      <c r="K30" t="s">
        <v>3</v>
      </c>
      <c r="L30" t="s">
        <v>3</v>
      </c>
      <c r="M30" t="s">
        <v>3</v>
      </c>
      <c r="N30" t="s">
        <v>3</v>
      </c>
      <c r="O30" t="s">
        <v>363</v>
      </c>
      <c r="P30" t="s">
        <v>3</v>
      </c>
      <c r="Q30" t="s">
        <v>3</v>
      </c>
      <c r="R30" t="s">
        <v>3</v>
      </c>
      <c r="S30" t="s">
        <v>371</v>
      </c>
      <c r="T30" t="s">
        <v>374</v>
      </c>
      <c r="U30" t="s">
        <v>365</v>
      </c>
    </row>
    <row r="31" spans="1:21" x14ac:dyDescent="0.2">
      <c r="A31">
        <v>174</v>
      </c>
      <c r="B31">
        <v>1</v>
      </c>
      <c r="C31" t="s">
        <v>3</v>
      </c>
      <c r="D31" t="s">
        <v>3</v>
      </c>
      <c r="E31" t="s">
        <v>366</v>
      </c>
      <c r="F31" t="s">
        <v>366</v>
      </c>
      <c r="G31" t="s">
        <v>367</v>
      </c>
      <c r="H31" t="s">
        <v>3</v>
      </c>
      <c r="I31" t="s">
        <v>367</v>
      </c>
      <c r="J31" t="s">
        <v>366</v>
      </c>
      <c r="K31" t="s">
        <v>3</v>
      </c>
      <c r="L31" t="s">
        <v>3</v>
      </c>
      <c r="M31" t="s">
        <v>3</v>
      </c>
      <c r="N31" t="s">
        <v>3</v>
      </c>
      <c r="O31" t="s">
        <v>366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</row>
    <row r="32" spans="1:21" x14ac:dyDescent="0.2">
      <c r="A32">
        <v>174</v>
      </c>
      <c r="B32">
        <v>1</v>
      </c>
      <c r="C32" t="s">
        <v>3</v>
      </c>
      <c r="D32" t="s">
        <v>3</v>
      </c>
      <c r="E32" t="s">
        <v>363</v>
      </c>
      <c r="F32" t="s">
        <v>363</v>
      </c>
      <c r="G32" t="s">
        <v>363</v>
      </c>
      <c r="H32" t="s">
        <v>3</v>
      </c>
      <c r="I32" t="s">
        <v>363</v>
      </c>
      <c r="J32" t="s">
        <v>363</v>
      </c>
      <c r="K32" t="s">
        <v>3</v>
      </c>
      <c r="L32" t="s">
        <v>3</v>
      </c>
      <c r="M32" t="s">
        <v>3</v>
      </c>
      <c r="N32" t="s">
        <v>3</v>
      </c>
      <c r="O32" t="s">
        <v>363</v>
      </c>
      <c r="P32" t="s">
        <v>3</v>
      </c>
      <c r="Q32" t="s">
        <v>3</v>
      </c>
      <c r="R32" t="s">
        <v>3</v>
      </c>
      <c r="S32" t="s">
        <v>371</v>
      </c>
      <c r="T32" t="s">
        <v>374</v>
      </c>
      <c r="U32" t="s">
        <v>365</v>
      </c>
    </row>
    <row r="33" spans="1:21" x14ac:dyDescent="0.2">
      <c r="A33">
        <v>177</v>
      </c>
      <c r="B33">
        <v>1</v>
      </c>
      <c r="C33" t="s">
        <v>3</v>
      </c>
      <c r="D33" t="s">
        <v>3</v>
      </c>
      <c r="E33" t="s">
        <v>366</v>
      </c>
      <c r="F33" t="s">
        <v>366</v>
      </c>
      <c r="G33" t="s">
        <v>367</v>
      </c>
      <c r="H33" t="s">
        <v>3</v>
      </c>
      <c r="I33" t="s">
        <v>367</v>
      </c>
      <c r="J33" t="s">
        <v>366</v>
      </c>
      <c r="K33" t="s">
        <v>3</v>
      </c>
      <c r="L33" t="s">
        <v>3</v>
      </c>
      <c r="M33" t="s">
        <v>3</v>
      </c>
      <c r="N33" t="s">
        <v>3</v>
      </c>
      <c r="O33" t="s">
        <v>366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</row>
    <row r="34" spans="1:21" x14ac:dyDescent="0.2">
      <c r="A34">
        <v>177</v>
      </c>
      <c r="B34">
        <v>1</v>
      </c>
      <c r="C34" t="s">
        <v>3</v>
      </c>
      <c r="D34" t="s">
        <v>3</v>
      </c>
      <c r="E34" t="s">
        <v>363</v>
      </c>
      <c r="F34" t="s">
        <v>363</v>
      </c>
      <c r="G34" t="s">
        <v>363</v>
      </c>
      <c r="H34" t="s">
        <v>3</v>
      </c>
      <c r="I34" t="s">
        <v>363</v>
      </c>
      <c r="J34" t="s">
        <v>363</v>
      </c>
      <c r="K34" t="s">
        <v>3</v>
      </c>
      <c r="L34" t="s">
        <v>3</v>
      </c>
      <c r="M34" t="s">
        <v>3</v>
      </c>
      <c r="N34" t="s">
        <v>3</v>
      </c>
      <c r="O34" t="s">
        <v>363</v>
      </c>
      <c r="P34" t="s">
        <v>3</v>
      </c>
      <c r="Q34" t="s">
        <v>3</v>
      </c>
      <c r="R34" t="s">
        <v>3</v>
      </c>
      <c r="S34" t="s">
        <v>371</v>
      </c>
      <c r="T34" t="s">
        <v>374</v>
      </c>
      <c r="U34" t="s">
        <v>365</v>
      </c>
    </row>
    <row r="35" spans="1:21" x14ac:dyDescent="0.2">
      <c r="A35">
        <v>178</v>
      </c>
      <c r="B35">
        <v>1</v>
      </c>
      <c r="C35" t="s">
        <v>3</v>
      </c>
      <c r="D35" t="s">
        <v>3</v>
      </c>
      <c r="E35" t="s">
        <v>366</v>
      </c>
      <c r="F35" t="s">
        <v>366</v>
      </c>
      <c r="G35" t="s">
        <v>367</v>
      </c>
      <c r="H35" t="s">
        <v>3</v>
      </c>
      <c r="I35" t="s">
        <v>367</v>
      </c>
      <c r="J35" t="s">
        <v>366</v>
      </c>
      <c r="K35" t="s">
        <v>3</v>
      </c>
      <c r="L35" t="s">
        <v>3</v>
      </c>
      <c r="M35" t="s">
        <v>3</v>
      </c>
      <c r="N35" t="s">
        <v>3</v>
      </c>
      <c r="O35" t="s">
        <v>366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</row>
    <row r="36" spans="1:21" x14ac:dyDescent="0.2">
      <c r="A36">
        <v>178</v>
      </c>
      <c r="B36">
        <v>1</v>
      </c>
      <c r="C36" t="s">
        <v>3</v>
      </c>
      <c r="D36" t="s">
        <v>3</v>
      </c>
      <c r="E36" t="s">
        <v>363</v>
      </c>
      <c r="F36" t="s">
        <v>363</v>
      </c>
      <c r="G36" t="s">
        <v>363</v>
      </c>
      <c r="H36" t="s">
        <v>3</v>
      </c>
      <c r="I36" t="s">
        <v>363</v>
      </c>
      <c r="J36" t="s">
        <v>363</v>
      </c>
      <c r="K36" t="s">
        <v>3</v>
      </c>
      <c r="L36" t="s">
        <v>3</v>
      </c>
      <c r="M36" t="s">
        <v>3</v>
      </c>
      <c r="N36" t="s">
        <v>3</v>
      </c>
      <c r="O36" t="s">
        <v>363</v>
      </c>
      <c r="P36" t="s">
        <v>3</v>
      </c>
      <c r="Q36" t="s">
        <v>3</v>
      </c>
      <c r="R36" t="s">
        <v>3</v>
      </c>
      <c r="S36" t="s">
        <v>371</v>
      </c>
      <c r="T36" t="s">
        <v>374</v>
      </c>
      <c r="U36" t="s">
        <v>365</v>
      </c>
    </row>
    <row r="37" spans="1:21" x14ac:dyDescent="0.2">
      <c r="A37">
        <v>181</v>
      </c>
      <c r="B37">
        <v>1</v>
      </c>
      <c r="C37" t="s">
        <v>3</v>
      </c>
      <c r="D37" t="s">
        <v>3</v>
      </c>
      <c r="E37" t="s">
        <v>366</v>
      </c>
      <c r="F37" t="s">
        <v>366</v>
      </c>
      <c r="G37" t="s">
        <v>367</v>
      </c>
      <c r="H37" t="s">
        <v>3</v>
      </c>
      <c r="I37" t="s">
        <v>367</v>
      </c>
      <c r="J37" t="s">
        <v>366</v>
      </c>
      <c r="K37" t="s">
        <v>3</v>
      </c>
      <c r="L37" t="s">
        <v>3</v>
      </c>
      <c r="M37" t="s">
        <v>3</v>
      </c>
      <c r="N37" t="s">
        <v>3</v>
      </c>
      <c r="O37" t="s">
        <v>366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</row>
    <row r="38" spans="1:21" x14ac:dyDescent="0.2">
      <c r="A38">
        <v>181</v>
      </c>
      <c r="B38">
        <v>1</v>
      </c>
      <c r="C38" t="s">
        <v>3</v>
      </c>
      <c r="D38" t="s">
        <v>3</v>
      </c>
      <c r="E38" t="s">
        <v>363</v>
      </c>
      <c r="F38" t="s">
        <v>363</v>
      </c>
      <c r="G38" t="s">
        <v>363</v>
      </c>
      <c r="H38" t="s">
        <v>3</v>
      </c>
      <c r="I38" t="s">
        <v>363</v>
      </c>
      <c r="J38" t="s">
        <v>363</v>
      </c>
      <c r="K38" t="s">
        <v>3</v>
      </c>
      <c r="L38" t="s">
        <v>3</v>
      </c>
      <c r="M38" t="s">
        <v>3</v>
      </c>
      <c r="N38" t="s">
        <v>3</v>
      </c>
      <c r="O38" t="s">
        <v>363</v>
      </c>
      <c r="P38" t="s">
        <v>3</v>
      </c>
      <c r="Q38" t="s">
        <v>3</v>
      </c>
      <c r="R38" t="s">
        <v>3</v>
      </c>
      <c r="S38" t="s">
        <v>371</v>
      </c>
      <c r="T38" t="s">
        <v>374</v>
      </c>
      <c r="U38" t="s">
        <v>365</v>
      </c>
    </row>
    <row r="39" spans="1:21" x14ac:dyDescent="0.2">
      <c r="A39">
        <v>182</v>
      </c>
      <c r="B39">
        <v>1</v>
      </c>
      <c r="C39" t="s">
        <v>3</v>
      </c>
      <c r="D39" t="s">
        <v>3</v>
      </c>
      <c r="E39" t="s">
        <v>366</v>
      </c>
      <c r="F39" t="s">
        <v>366</v>
      </c>
      <c r="G39" t="s">
        <v>367</v>
      </c>
      <c r="H39" t="s">
        <v>3</v>
      </c>
      <c r="I39" t="s">
        <v>367</v>
      </c>
      <c r="J39" t="s">
        <v>366</v>
      </c>
      <c r="K39" t="s">
        <v>3</v>
      </c>
      <c r="L39" t="s">
        <v>3</v>
      </c>
      <c r="M39" t="s">
        <v>3</v>
      </c>
      <c r="N39" t="s">
        <v>3</v>
      </c>
      <c r="O39" t="s">
        <v>366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</row>
    <row r="40" spans="1:21" x14ac:dyDescent="0.2">
      <c r="A40">
        <v>182</v>
      </c>
      <c r="B40">
        <v>1</v>
      </c>
      <c r="C40" t="s">
        <v>3</v>
      </c>
      <c r="D40" t="s">
        <v>3</v>
      </c>
      <c r="E40" t="s">
        <v>363</v>
      </c>
      <c r="F40" t="s">
        <v>363</v>
      </c>
      <c r="G40" t="s">
        <v>363</v>
      </c>
      <c r="H40" t="s">
        <v>3</v>
      </c>
      <c r="I40" t="s">
        <v>363</v>
      </c>
      <c r="J40" t="s">
        <v>363</v>
      </c>
      <c r="K40" t="s">
        <v>3</v>
      </c>
      <c r="L40" t="s">
        <v>3</v>
      </c>
      <c r="M40" t="s">
        <v>3</v>
      </c>
      <c r="N40" t="s">
        <v>3</v>
      </c>
      <c r="O40" t="s">
        <v>363</v>
      </c>
      <c r="P40" t="s">
        <v>3</v>
      </c>
      <c r="Q40" t="s">
        <v>3</v>
      </c>
      <c r="R40" t="s">
        <v>3</v>
      </c>
      <c r="S40" t="s">
        <v>371</v>
      </c>
      <c r="T40" t="s">
        <v>374</v>
      </c>
      <c r="U40" t="s">
        <v>365</v>
      </c>
    </row>
    <row r="41" spans="1:21" x14ac:dyDescent="0.2">
      <c r="A41">
        <v>185</v>
      </c>
      <c r="B41">
        <v>1</v>
      </c>
      <c r="C41" t="s">
        <v>3</v>
      </c>
      <c r="D41" t="s">
        <v>3</v>
      </c>
      <c r="E41" t="s">
        <v>366</v>
      </c>
      <c r="F41" t="s">
        <v>366</v>
      </c>
      <c r="G41" t="s">
        <v>367</v>
      </c>
      <c r="H41" t="s">
        <v>3</v>
      </c>
      <c r="I41" t="s">
        <v>367</v>
      </c>
      <c r="J41" t="s">
        <v>366</v>
      </c>
      <c r="K41" t="s">
        <v>3</v>
      </c>
      <c r="L41" t="s">
        <v>3</v>
      </c>
      <c r="M41" t="s">
        <v>3</v>
      </c>
      <c r="N41" t="s">
        <v>3</v>
      </c>
      <c r="O41" t="s">
        <v>366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</row>
    <row r="42" spans="1:21" x14ac:dyDescent="0.2">
      <c r="A42">
        <v>185</v>
      </c>
      <c r="B42">
        <v>1</v>
      </c>
      <c r="C42" t="s">
        <v>3</v>
      </c>
      <c r="D42" t="s">
        <v>3</v>
      </c>
      <c r="E42" t="s">
        <v>363</v>
      </c>
      <c r="F42" t="s">
        <v>363</v>
      </c>
      <c r="G42" t="s">
        <v>363</v>
      </c>
      <c r="H42" t="s">
        <v>3</v>
      </c>
      <c r="I42" t="s">
        <v>363</v>
      </c>
      <c r="J42" t="s">
        <v>363</v>
      </c>
      <c r="K42" t="s">
        <v>3</v>
      </c>
      <c r="L42" t="s">
        <v>3</v>
      </c>
      <c r="M42" t="s">
        <v>3</v>
      </c>
      <c r="N42" t="s">
        <v>3</v>
      </c>
      <c r="O42" t="s">
        <v>363</v>
      </c>
      <c r="P42" t="s">
        <v>3</v>
      </c>
      <c r="Q42" t="s">
        <v>3</v>
      </c>
      <c r="R42" t="s">
        <v>3</v>
      </c>
      <c r="S42" t="s">
        <v>371</v>
      </c>
      <c r="T42" t="s">
        <v>374</v>
      </c>
      <c r="U42" t="s">
        <v>365</v>
      </c>
    </row>
    <row r="43" spans="1:21" x14ac:dyDescent="0.2">
      <c r="A43">
        <v>186</v>
      </c>
      <c r="B43">
        <v>1</v>
      </c>
      <c r="C43" t="s">
        <v>3</v>
      </c>
      <c r="D43" t="s">
        <v>3</v>
      </c>
      <c r="E43" t="s">
        <v>366</v>
      </c>
      <c r="F43" t="s">
        <v>366</v>
      </c>
      <c r="G43" t="s">
        <v>367</v>
      </c>
      <c r="H43" t="s">
        <v>3</v>
      </c>
      <c r="I43" t="s">
        <v>367</v>
      </c>
      <c r="J43" t="s">
        <v>366</v>
      </c>
      <c r="K43" t="s">
        <v>3</v>
      </c>
      <c r="L43" t="s">
        <v>3</v>
      </c>
      <c r="M43" t="s">
        <v>3</v>
      </c>
      <c r="N43" t="s">
        <v>3</v>
      </c>
      <c r="O43" t="s">
        <v>366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</row>
    <row r="44" spans="1:21" x14ac:dyDescent="0.2">
      <c r="A44">
        <v>186</v>
      </c>
      <c r="B44">
        <v>1</v>
      </c>
      <c r="C44" t="s">
        <v>3</v>
      </c>
      <c r="D44" t="s">
        <v>3</v>
      </c>
      <c r="E44" t="s">
        <v>363</v>
      </c>
      <c r="F44" t="s">
        <v>363</v>
      </c>
      <c r="G44" t="s">
        <v>363</v>
      </c>
      <c r="H44" t="s">
        <v>3</v>
      </c>
      <c r="I44" t="s">
        <v>363</v>
      </c>
      <c r="J44" t="s">
        <v>363</v>
      </c>
      <c r="K44" t="s">
        <v>3</v>
      </c>
      <c r="L44" t="s">
        <v>3</v>
      </c>
      <c r="M44" t="s">
        <v>3</v>
      </c>
      <c r="N44" t="s">
        <v>3</v>
      </c>
      <c r="O44" t="s">
        <v>363</v>
      </c>
      <c r="P44" t="s">
        <v>3</v>
      </c>
      <c r="Q44" t="s">
        <v>3</v>
      </c>
      <c r="R44" t="s">
        <v>3</v>
      </c>
      <c r="S44" t="s">
        <v>371</v>
      </c>
      <c r="T44" t="s">
        <v>374</v>
      </c>
      <c r="U44" t="s">
        <v>365</v>
      </c>
    </row>
    <row r="45" spans="1:21" x14ac:dyDescent="0.2">
      <c r="A45">
        <v>189</v>
      </c>
      <c r="B45">
        <v>1</v>
      </c>
      <c r="C45" t="s">
        <v>3</v>
      </c>
      <c r="D45" t="s">
        <v>3</v>
      </c>
      <c r="E45" t="s">
        <v>366</v>
      </c>
      <c r="F45" t="s">
        <v>366</v>
      </c>
      <c r="G45" t="s">
        <v>367</v>
      </c>
      <c r="H45" t="s">
        <v>3</v>
      </c>
      <c r="I45" t="s">
        <v>367</v>
      </c>
      <c r="J45" t="s">
        <v>366</v>
      </c>
      <c r="K45" t="s">
        <v>3</v>
      </c>
      <c r="L45" t="s">
        <v>3</v>
      </c>
      <c r="M45" t="s">
        <v>3</v>
      </c>
      <c r="N45" t="s">
        <v>3</v>
      </c>
      <c r="O45" t="s">
        <v>366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</row>
    <row r="46" spans="1:21" x14ac:dyDescent="0.2">
      <c r="A46">
        <v>189</v>
      </c>
      <c r="B46">
        <v>1</v>
      </c>
      <c r="C46" t="s">
        <v>3</v>
      </c>
      <c r="D46" t="s">
        <v>3</v>
      </c>
      <c r="E46" t="s">
        <v>363</v>
      </c>
      <c r="F46" t="s">
        <v>363</v>
      </c>
      <c r="G46" t="s">
        <v>363</v>
      </c>
      <c r="H46" t="s">
        <v>3</v>
      </c>
      <c r="I46" t="s">
        <v>363</v>
      </c>
      <c r="J46" t="s">
        <v>363</v>
      </c>
      <c r="K46" t="s">
        <v>3</v>
      </c>
      <c r="L46" t="s">
        <v>3</v>
      </c>
      <c r="M46" t="s">
        <v>3</v>
      </c>
      <c r="N46" t="s">
        <v>3</v>
      </c>
      <c r="O46" t="s">
        <v>363</v>
      </c>
      <c r="P46" t="s">
        <v>3</v>
      </c>
      <c r="Q46" t="s">
        <v>3</v>
      </c>
      <c r="R46" t="s">
        <v>3</v>
      </c>
      <c r="S46" t="s">
        <v>371</v>
      </c>
      <c r="T46" t="s">
        <v>374</v>
      </c>
      <c r="U46" t="s">
        <v>365</v>
      </c>
    </row>
    <row r="47" spans="1:21" x14ac:dyDescent="0.2">
      <c r="A47">
        <v>190</v>
      </c>
      <c r="B47">
        <v>1</v>
      </c>
      <c r="C47" t="s">
        <v>3</v>
      </c>
      <c r="D47" t="s">
        <v>3</v>
      </c>
      <c r="E47" t="s">
        <v>366</v>
      </c>
      <c r="F47" t="s">
        <v>366</v>
      </c>
      <c r="G47" t="s">
        <v>367</v>
      </c>
      <c r="H47" t="s">
        <v>3</v>
      </c>
      <c r="I47" t="s">
        <v>367</v>
      </c>
      <c r="J47" t="s">
        <v>366</v>
      </c>
      <c r="K47" t="s">
        <v>3</v>
      </c>
      <c r="L47" t="s">
        <v>3</v>
      </c>
      <c r="M47" t="s">
        <v>3</v>
      </c>
      <c r="N47" t="s">
        <v>3</v>
      </c>
      <c r="O47" t="s">
        <v>366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</row>
    <row r="48" spans="1:21" x14ac:dyDescent="0.2">
      <c r="A48">
        <v>190</v>
      </c>
      <c r="B48">
        <v>1</v>
      </c>
      <c r="C48" t="s">
        <v>3</v>
      </c>
      <c r="D48" t="s">
        <v>3</v>
      </c>
      <c r="E48" t="s">
        <v>363</v>
      </c>
      <c r="F48" t="s">
        <v>363</v>
      </c>
      <c r="G48" t="s">
        <v>363</v>
      </c>
      <c r="H48" t="s">
        <v>3</v>
      </c>
      <c r="I48" t="s">
        <v>363</v>
      </c>
      <c r="J48" t="s">
        <v>363</v>
      </c>
      <c r="K48" t="s">
        <v>3</v>
      </c>
      <c r="L48" t="s">
        <v>3</v>
      </c>
      <c r="M48" t="s">
        <v>3</v>
      </c>
      <c r="N48" t="s">
        <v>3</v>
      </c>
      <c r="O48" t="s">
        <v>363</v>
      </c>
      <c r="P48" t="s">
        <v>3</v>
      </c>
      <c r="Q48" t="s">
        <v>3</v>
      </c>
      <c r="R48" t="s">
        <v>3</v>
      </c>
      <c r="S48" t="s">
        <v>371</v>
      </c>
      <c r="T48" t="s">
        <v>374</v>
      </c>
      <c r="U48" t="s">
        <v>365</v>
      </c>
    </row>
    <row r="49" spans="1:21" x14ac:dyDescent="0.2">
      <c r="A49">
        <v>193</v>
      </c>
      <c r="B49">
        <v>1</v>
      </c>
      <c r="C49" t="s">
        <v>3</v>
      </c>
      <c r="D49" t="s">
        <v>3</v>
      </c>
      <c r="E49" t="s">
        <v>366</v>
      </c>
      <c r="F49" t="s">
        <v>366</v>
      </c>
      <c r="G49" t="s">
        <v>367</v>
      </c>
      <c r="H49" t="s">
        <v>3</v>
      </c>
      <c r="I49" t="s">
        <v>367</v>
      </c>
      <c r="J49" t="s">
        <v>366</v>
      </c>
      <c r="K49" t="s">
        <v>3</v>
      </c>
      <c r="L49" t="s">
        <v>3</v>
      </c>
      <c r="M49" t="s">
        <v>3</v>
      </c>
      <c r="N49" t="s">
        <v>3</v>
      </c>
      <c r="O49" t="s">
        <v>366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</row>
    <row r="50" spans="1:21" x14ac:dyDescent="0.2">
      <c r="A50">
        <v>193</v>
      </c>
      <c r="B50">
        <v>1</v>
      </c>
      <c r="C50" t="s">
        <v>3</v>
      </c>
      <c r="D50" t="s">
        <v>3</v>
      </c>
      <c r="E50" t="s">
        <v>363</v>
      </c>
      <c r="F50" t="s">
        <v>363</v>
      </c>
      <c r="G50" t="s">
        <v>363</v>
      </c>
      <c r="H50" t="s">
        <v>3</v>
      </c>
      <c r="I50" t="s">
        <v>363</v>
      </c>
      <c r="J50" t="s">
        <v>363</v>
      </c>
      <c r="K50" t="s">
        <v>3</v>
      </c>
      <c r="L50" t="s">
        <v>3</v>
      </c>
      <c r="M50" t="s">
        <v>3</v>
      </c>
      <c r="N50" t="s">
        <v>3</v>
      </c>
      <c r="O50" t="s">
        <v>363</v>
      </c>
      <c r="P50" t="s">
        <v>3</v>
      </c>
      <c r="Q50" t="s">
        <v>3</v>
      </c>
      <c r="R50" t="s">
        <v>3</v>
      </c>
      <c r="S50" t="s">
        <v>371</v>
      </c>
      <c r="T50" t="s">
        <v>374</v>
      </c>
      <c r="U50" t="s">
        <v>365</v>
      </c>
    </row>
    <row r="51" spans="1:21" x14ac:dyDescent="0.2">
      <c r="A51">
        <v>194</v>
      </c>
      <c r="B51">
        <v>1</v>
      </c>
      <c r="C51" t="s">
        <v>3</v>
      </c>
      <c r="D51" t="s">
        <v>3</v>
      </c>
      <c r="E51" t="s">
        <v>366</v>
      </c>
      <c r="F51" t="s">
        <v>366</v>
      </c>
      <c r="G51" t="s">
        <v>367</v>
      </c>
      <c r="H51" t="s">
        <v>3</v>
      </c>
      <c r="I51" t="s">
        <v>367</v>
      </c>
      <c r="J51" t="s">
        <v>366</v>
      </c>
      <c r="K51" t="s">
        <v>3</v>
      </c>
      <c r="L51" t="s">
        <v>3</v>
      </c>
      <c r="M51" t="s">
        <v>3</v>
      </c>
      <c r="N51" t="s">
        <v>3</v>
      </c>
      <c r="O51" t="s">
        <v>366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</row>
    <row r="52" spans="1:21" x14ac:dyDescent="0.2">
      <c r="A52">
        <v>194</v>
      </c>
      <c r="B52">
        <v>1</v>
      </c>
      <c r="C52" t="s">
        <v>3</v>
      </c>
      <c r="D52" t="s">
        <v>3</v>
      </c>
      <c r="E52" t="s">
        <v>363</v>
      </c>
      <c r="F52" t="s">
        <v>363</v>
      </c>
      <c r="G52" t="s">
        <v>363</v>
      </c>
      <c r="H52" t="s">
        <v>3</v>
      </c>
      <c r="I52" t="s">
        <v>363</v>
      </c>
      <c r="J52" t="s">
        <v>363</v>
      </c>
      <c r="K52" t="s">
        <v>3</v>
      </c>
      <c r="L52" t="s">
        <v>3</v>
      </c>
      <c r="M52" t="s">
        <v>3</v>
      </c>
      <c r="N52" t="s">
        <v>3</v>
      </c>
      <c r="O52" t="s">
        <v>363</v>
      </c>
      <c r="P52" t="s">
        <v>3</v>
      </c>
      <c r="Q52" t="s">
        <v>3</v>
      </c>
      <c r="R52" t="s">
        <v>3</v>
      </c>
      <c r="S52" t="s">
        <v>371</v>
      </c>
      <c r="T52" t="s">
        <v>374</v>
      </c>
      <c r="U52" t="s">
        <v>365</v>
      </c>
    </row>
    <row r="53" spans="1:21" x14ac:dyDescent="0.2">
      <c r="A53">
        <v>197</v>
      </c>
      <c r="B53">
        <v>1</v>
      </c>
      <c r="C53" t="s">
        <v>3</v>
      </c>
      <c r="D53" t="s">
        <v>3</v>
      </c>
      <c r="E53" t="s">
        <v>366</v>
      </c>
      <c r="F53" t="s">
        <v>366</v>
      </c>
      <c r="G53" t="s">
        <v>367</v>
      </c>
      <c r="H53" t="s">
        <v>3</v>
      </c>
      <c r="I53" t="s">
        <v>367</v>
      </c>
      <c r="J53" t="s">
        <v>366</v>
      </c>
      <c r="K53" t="s">
        <v>3</v>
      </c>
      <c r="L53" t="s">
        <v>3</v>
      </c>
      <c r="M53" t="s">
        <v>3</v>
      </c>
      <c r="N53" t="s">
        <v>3</v>
      </c>
      <c r="O53" t="s">
        <v>366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</row>
    <row r="54" spans="1:21" x14ac:dyDescent="0.2">
      <c r="A54">
        <v>197</v>
      </c>
      <c r="B54">
        <v>1</v>
      </c>
      <c r="C54" t="s">
        <v>3</v>
      </c>
      <c r="D54" t="s">
        <v>3</v>
      </c>
      <c r="E54" t="s">
        <v>363</v>
      </c>
      <c r="F54" t="s">
        <v>363</v>
      </c>
      <c r="G54" t="s">
        <v>363</v>
      </c>
      <c r="H54" t="s">
        <v>3</v>
      </c>
      <c r="I54" t="s">
        <v>363</v>
      </c>
      <c r="J54" t="s">
        <v>363</v>
      </c>
      <c r="K54" t="s">
        <v>3</v>
      </c>
      <c r="L54" t="s">
        <v>3</v>
      </c>
      <c r="M54" t="s">
        <v>3</v>
      </c>
      <c r="N54" t="s">
        <v>3</v>
      </c>
      <c r="O54" t="s">
        <v>363</v>
      </c>
      <c r="P54" t="s">
        <v>3</v>
      </c>
      <c r="Q54" t="s">
        <v>3</v>
      </c>
      <c r="R54" t="s">
        <v>3</v>
      </c>
      <c r="S54" t="s">
        <v>371</v>
      </c>
      <c r="T54" t="s">
        <v>374</v>
      </c>
      <c r="U54" t="s">
        <v>365</v>
      </c>
    </row>
    <row r="55" spans="1:21" x14ac:dyDescent="0.2">
      <c r="A55">
        <v>198</v>
      </c>
      <c r="B55">
        <v>1</v>
      </c>
      <c r="C55" t="s">
        <v>3</v>
      </c>
      <c r="D55" t="s">
        <v>3</v>
      </c>
      <c r="E55" t="s">
        <v>366</v>
      </c>
      <c r="F55" t="s">
        <v>366</v>
      </c>
      <c r="G55" t="s">
        <v>367</v>
      </c>
      <c r="H55" t="s">
        <v>3</v>
      </c>
      <c r="I55" t="s">
        <v>367</v>
      </c>
      <c r="J55" t="s">
        <v>366</v>
      </c>
      <c r="K55" t="s">
        <v>3</v>
      </c>
      <c r="L55" t="s">
        <v>3</v>
      </c>
      <c r="M55" t="s">
        <v>3</v>
      </c>
      <c r="N55" t="s">
        <v>3</v>
      </c>
      <c r="O55" t="s">
        <v>366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</row>
    <row r="56" spans="1:21" x14ac:dyDescent="0.2">
      <c r="A56">
        <v>198</v>
      </c>
      <c r="B56">
        <v>1</v>
      </c>
      <c r="C56" t="s">
        <v>3</v>
      </c>
      <c r="D56" t="s">
        <v>3</v>
      </c>
      <c r="E56" t="s">
        <v>363</v>
      </c>
      <c r="F56" t="s">
        <v>363</v>
      </c>
      <c r="G56" t="s">
        <v>363</v>
      </c>
      <c r="H56" t="s">
        <v>3</v>
      </c>
      <c r="I56" t="s">
        <v>363</v>
      </c>
      <c r="J56" t="s">
        <v>363</v>
      </c>
      <c r="K56" t="s">
        <v>3</v>
      </c>
      <c r="L56" t="s">
        <v>3</v>
      </c>
      <c r="M56" t="s">
        <v>3</v>
      </c>
      <c r="N56" t="s">
        <v>3</v>
      </c>
      <c r="O56" t="s">
        <v>363</v>
      </c>
      <c r="P56" t="s">
        <v>3</v>
      </c>
      <c r="Q56" t="s">
        <v>3</v>
      </c>
      <c r="R56" t="s">
        <v>3</v>
      </c>
      <c r="S56" t="s">
        <v>371</v>
      </c>
      <c r="T56" t="s">
        <v>374</v>
      </c>
      <c r="U56" t="s">
        <v>365</v>
      </c>
    </row>
    <row r="57" spans="1:21" x14ac:dyDescent="0.2">
      <c r="A57">
        <v>201</v>
      </c>
      <c r="B57">
        <v>1</v>
      </c>
      <c r="C57" t="s">
        <v>3</v>
      </c>
      <c r="D57" t="s">
        <v>3</v>
      </c>
      <c r="E57" t="s">
        <v>366</v>
      </c>
      <c r="F57" t="s">
        <v>366</v>
      </c>
      <c r="G57" t="s">
        <v>367</v>
      </c>
      <c r="H57" t="s">
        <v>3</v>
      </c>
      <c r="I57" t="s">
        <v>367</v>
      </c>
      <c r="J57" t="s">
        <v>366</v>
      </c>
      <c r="K57" t="s">
        <v>3</v>
      </c>
      <c r="L57" t="s">
        <v>3</v>
      </c>
      <c r="M57" t="s">
        <v>3</v>
      </c>
      <c r="N57" t="s">
        <v>3</v>
      </c>
      <c r="O57" t="s">
        <v>366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</row>
    <row r="58" spans="1:21" x14ac:dyDescent="0.2">
      <c r="A58">
        <v>201</v>
      </c>
      <c r="B58">
        <v>1</v>
      </c>
      <c r="C58" t="s">
        <v>3</v>
      </c>
      <c r="D58" t="s">
        <v>3</v>
      </c>
      <c r="E58" t="s">
        <v>363</v>
      </c>
      <c r="F58" t="s">
        <v>363</v>
      </c>
      <c r="G58" t="s">
        <v>363</v>
      </c>
      <c r="H58" t="s">
        <v>3</v>
      </c>
      <c r="I58" t="s">
        <v>363</v>
      </c>
      <c r="J58" t="s">
        <v>363</v>
      </c>
      <c r="K58" t="s">
        <v>3</v>
      </c>
      <c r="L58" t="s">
        <v>3</v>
      </c>
      <c r="M58" t="s">
        <v>3</v>
      </c>
      <c r="N58" t="s">
        <v>3</v>
      </c>
      <c r="O58" t="s">
        <v>363</v>
      </c>
      <c r="P58" t="s">
        <v>3</v>
      </c>
      <c r="Q58" t="s">
        <v>3</v>
      </c>
      <c r="R58" t="s">
        <v>3</v>
      </c>
      <c r="S58" t="s">
        <v>371</v>
      </c>
      <c r="T58" t="s">
        <v>374</v>
      </c>
      <c r="U58" t="s">
        <v>365</v>
      </c>
    </row>
    <row r="59" spans="1:21" x14ac:dyDescent="0.2">
      <c r="A59">
        <v>202</v>
      </c>
      <c r="B59">
        <v>1</v>
      </c>
      <c r="C59" t="s">
        <v>3</v>
      </c>
      <c r="D59" t="s">
        <v>3</v>
      </c>
      <c r="E59" t="s">
        <v>366</v>
      </c>
      <c r="F59" t="s">
        <v>366</v>
      </c>
      <c r="G59" t="s">
        <v>367</v>
      </c>
      <c r="H59" t="s">
        <v>3</v>
      </c>
      <c r="I59" t="s">
        <v>367</v>
      </c>
      <c r="J59" t="s">
        <v>366</v>
      </c>
      <c r="K59" t="s">
        <v>3</v>
      </c>
      <c r="L59" t="s">
        <v>3</v>
      </c>
      <c r="M59" t="s">
        <v>3</v>
      </c>
      <c r="N59" t="s">
        <v>3</v>
      </c>
      <c r="O59" t="s">
        <v>366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</row>
    <row r="60" spans="1:21" x14ac:dyDescent="0.2">
      <c r="A60">
        <v>202</v>
      </c>
      <c r="B60">
        <v>1</v>
      </c>
      <c r="C60" t="s">
        <v>3</v>
      </c>
      <c r="D60" t="s">
        <v>3</v>
      </c>
      <c r="E60" t="s">
        <v>363</v>
      </c>
      <c r="F60" t="s">
        <v>363</v>
      </c>
      <c r="G60" t="s">
        <v>363</v>
      </c>
      <c r="H60" t="s">
        <v>3</v>
      </c>
      <c r="I60" t="s">
        <v>363</v>
      </c>
      <c r="J60" t="s">
        <v>363</v>
      </c>
      <c r="K60" t="s">
        <v>3</v>
      </c>
      <c r="L60" t="s">
        <v>3</v>
      </c>
      <c r="M60" t="s">
        <v>3</v>
      </c>
      <c r="N60" t="s">
        <v>3</v>
      </c>
      <c r="O60" t="s">
        <v>363</v>
      </c>
      <c r="P60" t="s">
        <v>3</v>
      </c>
      <c r="Q60" t="s">
        <v>3</v>
      </c>
      <c r="R60" t="s">
        <v>3</v>
      </c>
      <c r="S60" t="s">
        <v>371</v>
      </c>
      <c r="T60" t="s">
        <v>374</v>
      </c>
      <c r="U60" t="s">
        <v>365</v>
      </c>
    </row>
    <row r="61" spans="1:21" x14ac:dyDescent="0.2">
      <c r="A61">
        <v>205</v>
      </c>
      <c r="B61">
        <v>1</v>
      </c>
      <c r="C61" t="s">
        <v>3</v>
      </c>
      <c r="D61" t="s">
        <v>3</v>
      </c>
      <c r="E61" t="s">
        <v>366</v>
      </c>
      <c r="F61" t="s">
        <v>366</v>
      </c>
      <c r="G61" t="s">
        <v>367</v>
      </c>
      <c r="H61" t="s">
        <v>3</v>
      </c>
      <c r="I61" t="s">
        <v>367</v>
      </c>
      <c r="J61" t="s">
        <v>366</v>
      </c>
      <c r="K61" t="s">
        <v>3</v>
      </c>
      <c r="L61" t="s">
        <v>3</v>
      </c>
      <c r="M61" t="s">
        <v>3</v>
      </c>
      <c r="N61" t="s">
        <v>3</v>
      </c>
      <c r="O61" t="s">
        <v>366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</row>
    <row r="62" spans="1:21" x14ac:dyDescent="0.2">
      <c r="A62">
        <v>205</v>
      </c>
      <c r="B62">
        <v>1</v>
      </c>
      <c r="C62" t="s">
        <v>3</v>
      </c>
      <c r="D62" t="s">
        <v>3</v>
      </c>
      <c r="E62" t="s">
        <v>363</v>
      </c>
      <c r="F62" t="s">
        <v>363</v>
      </c>
      <c r="G62" t="s">
        <v>363</v>
      </c>
      <c r="H62" t="s">
        <v>3</v>
      </c>
      <c r="I62" t="s">
        <v>363</v>
      </c>
      <c r="J62" t="s">
        <v>363</v>
      </c>
      <c r="K62" t="s">
        <v>3</v>
      </c>
      <c r="L62" t="s">
        <v>3</v>
      </c>
      <c r="M62" t="s">
        <v>3</v>
      </c>
      <c r="N62" t="s">
        <v>3</v>
      </c>
      <c r="O62" t="s">
        <v>363</v>
      </c>
      <c r="P62" t="s">
        <v>3</v>
      </c>
      <c r="Q62" t="s">
        <v>3</v>
      </c>
      <c r="R62" t="s">
        <v>3</v>
      </c>
      <c r="S62" t="s">
        <v>371</v>
      </c>
      <c r="T62" t="s">
        <v>374</v>
      </c>
      <c r="U62" t="s">
        <v>365</v>
      </c>
    </row>
    <row r="63" spans="1:21" x14ac:dyDescent="0.2">
      <c r="A63">
        <v>206</v>
      </c>
      <c r="B63">
        <v>1</v>
      </c>
      <c r="C63" t="s">
        <v>3</v>
      </c>
      <c r="D63" t="s">
        <v>3</v>
      </c>
      <c r="E63" t="s">
        <v>366</v>
      </c>
      <c r="F63" t="s">
        <v>366</v>
      </c>
      <c r="G63" t="s">
        <v>367</v>
      </c>
      <c r="H63" t="s">
        <v>3</v>
      </c>
      <c r="I63" t="s">
        <v>367</v>
      </c>
      <c r="J63" t="s">
        <v>366</v>
      </c>
      <c r="K63" t="s">
        <v>3</v>
      </c>
      <c r="L63" t="s">
        <v>3</v>
      </c>
      <c r="M63" t="s">
        <v>3</v>
      </c>
      <c r="N63" t="s">
        <v>3</v>
      </c>
      <c r="O63" t="s">
        <v>366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</row>
    <row r="64" spans="1:21" x14ac:dyDescent="0.2">
      <c r="A64">
        <v>206</v>
      </c>
      <c r="B64">
        <v>1</v>
      </c>
      <c r="C64" t="s">
        <v>3</v>
      </c>
      <c r="D64" t="s">
        <v>3</v>
      </c>
      <c r="E64" t="s">
        <v>363</v>
      </c>
      <c r="F64" t="s">
        <v>363</v>
      </c>
      <c r="G64" t="s">
        <v>363</v>
      </c>
      <c r="H64" t="s">
        <v>3</v>
      </c>
      <c r="I64" t="s">
        <v>363</v>
      </c>
      <c r="J64" t="s">
        <v>363</v>
      </c>
      <c r="K64" t="s">
        <v>3</v>
      </c>
      <c r="L64" t="s">
        <v>3</v>
      </c>
      <c r="M64" t="s">
        <v>3</v>
      </c>
      <c r="N64" t="s">
        <v>3</v>
      </c>
      <c r="O64" t="s">
        <v>363</v>
      </c>
      <c r="P64" t="s">
        <v>3</v>
      </c>
      <c r="Q64" t="s">
        <v>3</v>
      </c>
      <c r="R64" t="s">
        <v>3</v>
      </c>
      <c r="S64" t="s">
        <v>371</v>
      </c>
      <c r="T64" t="s">
        <v>374</v>
      </c>
      <c r="U64" t="s">
        <v>365</v>
      </c>
    </row>
    <row r="65" spans="1:21" x14ac:dyDescent="0.2">
      <c r="A65">
        <v>209</v>
      </c>
      <c r="B65">
        <v>1</v>
      </c>
      <c r="C65" t="s">
        <v>3</v>
      </c>
      <c r="D65" t="s">
        <v>3</v>
      </c>
      <c r="E65" t="s">
        <v>366</v>
      </c>
      <c r="F65" t="s">
        <v>366</v>
      </c>
      <c r="G65" t="s">
        <v>367</v>
      </c>
      <c r="H65" t="s">
        <v>3</v>
      </c>
      <c r="I65" t="s">
        <v>367</v>
      </c>
      <c r="J65" t="s">
        <v>366</v>
      </c>
      <c r="K65" t="s">
        <v>3</v>
      </c>
      <c r="L65" t="s">
        <v>3</v>
      </c>
      <c r="M65" t="s">
        <v>3</v>
      </c>
      <c r="N65" t="s">
        <v>3</v>
      </c>
      <c r="O65" t="s">
        <v>366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</row>
    <row r="66" spans="1:21" x14ac:dyDescent="0.2">
      <c r="A66">
        <v>209</v>
      </c>
      <c r="B66">
        <v>1</v>
      </c>
      <c r="C66" t="s">
        <v>3</v>
      </c>
      <c r="D66" t="s">
        <v>3</v>
      </c>
      <c r="E66" t="s">
        <v>363</v>
      </c>
      <c r="F66" t="s">
        <v>363</v>
      </c>
      <c r="G66" t="s">
        <v>363</v>
      </c>
      <c r="H66" t="s">
        <v>3</v>
      </c>
      <c r="I66" t="s">
        <v>363</v>
      </c>
      <c r="J66" t="s">
        <v>363</v>
      </c>
      <c r="K66" t="s">
        <v>3</v>
      </c>
      <c r="L66" t="s">
        <v>3</v>
      </c>
      <c r="M66" t="s">
        <v>3</v>
      </c>
      <c r="N66" t="s">
        <v>3</v>
      </c>
      <c r="O66" t="s">
        <v>363</v>
      </c>
      <c r="P66" t="s">
        <v>3</v>
      </c>
      <c r="Q66" t="s">
        <v>3</v>
      </c>
      <c r="R66" t="s">
        <v>3</v>
      </c>
      <c r="S66" t="s">
        <v>371</v>
      </c>
      <c r="T66" t="s">
        <v>374</v>
      </c>
      <c r="U66" t="s">
        <v>365</v>
      </c>
    </row>
    <row r="67" spans="1:21" x14ac:dyDescent="0.2">
      <c r="A67">
        <v>210</v>
      </c>
      <c r="B67">
        <v>1</v>
      </c>
      <c r="C67" t="s">
        <v>3</v>
      </c>
      <c r="D67" t="s">
        <v>3</v>
      </c>
      <c r="E67" t="s">
        <v>366</v>
      </c>
      <c r="F67" t="s">
        <v>366</v>
      </c>
      <c r="G67" t="s">
        <v>367</v>
      </c>
      <c r="H67" t="s">
        <v>3</v>
      </c>
      <c r="I67" t="s">
        <v>367</v>
      </c>
      <c r="J67" t="s">
        <v>366</v>
      </c>
      <c r="K67" t="s">
        <v>3</v>
      </c>
      <c r="L67" t="s">
        <v>3</v>
      </c>
      <c r="M67" t="s">
        <v>3</v>
      </c>
      <c r="N67" t="s">
        <v>3</v>
      </c>
      <c r="O67" t="s">
        <v>366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</row>
    <row r="68" spans="1:21" x14ac:dyDescent="0.2">
      <c r="A68">
        <v>210</v>
      </c>
      <c r="B68">
        <v>1</v>
      </c>
      <c r="C68" t="s">
        <v>3</v>
      </c>
      <c r="D68" t="s">
        <v>3</v>
      </c>
      <c r="E68" t="s">
        <v>363</v>
      </c>
      <c r="F68" t="s">
        <v>363</v>
      </c>
      <c r="G68" t="s">
        <v>363</v>
      </c>
      <c r="H68" t="s">
        <v>3</v>
      </c>
      <c r="I68" t="s">
        <v>363</v>
      </c>
      <c r="J68" t="s">
        <v>363</v>
      </c>
      <c r="K68" t="s">
        <v>3</v>
      </c>
      <c r="L68" t="s">
        <v>3</v>
      </c>
      <c r="M68" t="s">
        <v>3</v>
      </c>
      <c r="N68" t="s">
        <v>3</v>
      </c>
      <c r="O68" t="s">
        <v>363</v>
      </c>
      <c r="P68" t="s">
        <v>3</v>
      </c>
      <c r="Q68" t="s">
        <v>3</v>
      </c>
      <c r="R68" t="s">
        <v>3</v>
      </c>
      <c r="S68" t="s">
        <v>371</v>
      </c>
      <c r="T68" t="s">
        <v>374</v>
      </c>
      <c r="U68" t="s">
        <v>365</v>
      </c>
    </row>
    <row r="69" spans="1:21" x14ac:dyDescent="0.2">
      <c r="A69">
        <v>213</v>
      </c>
      <c r="B69">
        <v>1</v>
      </c>
      <c r="C69" t="s">
        <v>3</v>
      </c>
      <c r="D69" t="s">
        <v>3</v>
      </c>
      <c r="E69" t="s">
        <v>366</v>
      </c>
      <c r="F69" t="s">
        <v>366</v>
      </c>
      <c r="G69" t="s">
        <v>367</v>
      </c>
      <c r="H69" t="s">
        <v>3</v>
      </c>
      <c r="I69" t="s">
        <v>367</v>
      </c>
      <c r="J69" t="s">
        <v>366</v>
      </c>
      <c r="K69" t="s">
        <v>3</v>
      </c>
      <c r="L69" t="s">
        <v>3</v>
      </c>
      <c r="M69" t="s">
        <v>3</v>
      </c>
      <c r="N69" t="s">
        <v>3</v>
      </c>
      <c r="O69" t="s">
        <v>366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</row>
    <row r="70" spans="1:21" x14ac:dyDescent="0.2">
      <c r="A70">
        <v>213</v>
      </c>
      <c r="B70">
        <v>1</v>
      </c>
      <c r="C70" t="s">
        <v>3</v>
      </c>
      <c r="D70" t="s">
        <v>3</v>
      </c>
      <c r="E70" t="s">
        <v>363</v>
      </c>
      <c r="F70" t="s">
        <v>363</v>
      </c>
      <c r="G70" t="s">
        <v>363</v>
      </c>
      <c r="H70" t="s">
        <v>3</v>
      </c>
      <c r="I70" t="s">
        <v>363</v>
      </c>
      <c r="J70" t="s">
        <v>363</v>
      </c>
      <c r="K70" t="s">
        <v>3</v>
      </c>
      <c r="L70" t="s">
        <v>3</v>
      </c>
      <c r="M70" t="s">
        <v>3</v>
      </c>
      <c r="N70" t="s">
        <v>3</v>
      </c>
      <c r="O70" t="s">
        <v>363</v>
      </c>
      <c r="P70" t="s">
        <v>3</v>
      </c>
      <c r="Q70" t="s">
        <v>3</v>
      </c>
      <c r="R70" t="s">
        <v>3</v>
      </c>
      <c r="S70" t="s">
        <v>371</v>
      </c>
      <c r="T70" t="s">
        <v>374</v>
      </c>
      <c r="U70" t="s">
        <v>365</v>
      </c>
    </row>
    <row r="71" spans="1:21" x14ac:dyDescent="0.2">
      <c r="A71">
        <v>214</v>
      </c>
      <c r="B71">
        <v>1</v>
      </c>
      <c r="C71" t="s">
        <v>3</v>
      </c>
      <c r="D71" t="s">
        <v>3</v>
      </c>
      <c r="E71" t="s">
        <v>366</v>
      </c>
      <c r="F71" t="s">
        <v>366</v>
      </c>
      <c r="G71" t="s">
        <v>367</v>
      </c>
      <c r="H71" t="s">
        <v>3</v>
      </c>
      <c r="I71" t="s">
        <v>367</v>
      </c>
      <c r="J71" t="s">
        <v>366</v>
      </c>
      <c r="K71" t="s">
        <v>3</v>
      </c>
      <c r="L71" t="s">
        <v>3</v>
      </c>
      <c r="M71" t="s">
        <v>3</v>
      </c>
      <c r="N71" t="s">
        <v>3</v>
      </c>
      <c r="O71" t="s">
        <v>366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</row>
    <row r="72" spans="1:21" x14ac:dyDescent="0.2">
      <c r="A72">
        <v>214</v>
      </c>
      <c r="B72">
        <v>1</v>
      </c>
      <c r="C72" t="s">
        <v>3</v>
      </c>
      <c r="D72" t="s">
        <v>3</v>
      </c>
      <c r="E72" t="s">
        <v>363</v>
      </c>
      <c r="F72" t="s">
        <v>363</v>
      </c>
      <c r="G72" t="s">
        <v>363</v>
      </c>
      <c r="H72" t="s">
        <v>3</v>
      </c>
      <c r="I72" t="s">
        <v>363</v>
      </c>
      <c r="J72" t="s">
        <v>363</v>
      </c>
      <c r="K72" t="s">
        <v>3</v>
      </c>
      <c r="L72" t="s">
        <v>3</v>
      </c>
      <c r="M72" t="s">
        <v>3</v>
      </c>
      <c r="N72" t="s">
        <v>3</v>
      </c>
      <c r="O72" t="s">
        <v>363</v>
      </c>
      <c r="P72" t="s">
        <v>3</v>
      </c>
      <c r="Q72" t="s">
        <v>3</v>
      </c>
      <c r="R72" t="s">
        <v>3</v>
      </c>
      <c r="S72" t="s">
        <v>371</v>
      </c>
      <c r="T72" t="s">
        <v>374</v>
      </c>
      <c r="U72" t="s">
        <v>365</v>
      </c>
    </row>
    <row r="73" spans="1:21" x14ac:dyDescent="0.2">
      <c r="A73">
        <v>217</v>
      </c>
      <c r="B73">
        <v>1</v>
      </c>
      <c r="C73" t="s">
        <v>3</v>
      </c>
      <c r="D73" t="s">
        <v>3</v>
      </c>
      <c r="E73" t="s">
        <v>366</v>
      </c>
      <c r="F73" t="s">
        <v>366</v>
      </c>
      <c r="G73" t="s">
        <v>367</v>
      </c>
      <c r="H73" t="s">
        <v>3</v>
      </c>
      <c r="I73" t="s">
        <v>367</v>
      </c>
      <c r="J73" t="s">
        <v>366</v>
      </c>
      <c r="K73" t="s">
        <v>3</v>
      </c>
      <c r="L73" t="s">
        <v>3</v>
      </c>
      <c r="M73" t="s">
        <v>3</v>
      </c>
      <c r="N73" t="s">
        <v>3</v>
      </c>
      <c r="O73" t="s">
        <v>366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</row>
    <row r="74" spans="1:21" x14ac:dyDescent="0.2">
      <c r="A74">
        <v>217</v>
      </c>
      <c r="B74">
        <v>1</v>
      </c>
      <c r="C74" t="s">
        <v>3</v>
      </c>
      <c r="D74" t="s">
        <v>3</v>
      </c>
      <c r="E74" t="s">
        <v>363</v>
      </c>
      <c r="F74" t="s">
        <v>363</v>
      </c>
      <c r="G74" t="s">
        <v>363</v>
      </c>
      <c r="H74" t="s">
        <v>3</v>
      </c>
      <c r="I74" t="s">
        <v>363</v>
      </c>
      <c r="J74" t="s">
        <v>363</v>
      </c>
      <c r="K74" t="s">
        <v>3</v>
      </c>
      <c r="L74" t="s">
        <v>3</v>
      </c>
      <c r="M74" t="s">
        <v>3</v>
      </c>
      <c r="N74" t="s">
        <v>3</v>
      </c>
      <c r="O74" t="s">
        <v>363</v>
      </c>
      <c r="P74" t="s">
        <v>3</v>
      </c>
      <c r="Q74" t="s">
        <v>3</v>
      </c>
      <c r="R74" t="s">
        <v>3</v>
      </c>
      <c r="S74" t="s">
        <v>371</v>
      </c>
      <c r="T74" t="s">
        <v>374</v>
      </c>
      <c r="U74" t="s">
        <v>365</v>
      </c>
    </row>
    <row r="75" spans="1:21" x14ac:dyDescent="0.2">
      <c r="A75">
        <v>218</v>
      </c>
      <c r="B75">
        <v>1</v>
      </c>
      <c r="C75" t="s">
        <v>3</v>
      </c>
      <c r="D75" t="s">
        <v>3</v>
      </c>
      <c r="E75" t="s">
        <v>366</v>
      </c>
      <c r="F75" t="s">
        <v>366</v>
      </c>
      <c r="G75" t="s">
        <v>367</v>
      </c>
      <c r="H75" t="s">
        <v>3</v>
      </c>
      <c r="I75" t="s">
        <v>367</v>
      </c>
      <c r="J75" t="s">
        <v>366</v>
      </c>
      <c r="K75" t="s">
        <v>3</v>
      </c>
      <c r="L75" t="s">
        <v>3</v>
      </c>
      <c r="M75" t="s">
        <v>3</v>
      </c>
      <c r="N75" t="s">
        <v>3</v>
      </c>
      <c r="O75" t="s">
        <v>366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</row>
    <row r="76" spans="1:21" x14ac:dyDescent="0.2">
      <c r="A76">
        <v>218</v>
      </c>
      <c r="B76">
        <v>1</v>
      </c>
      <c r="C76" t="s">
        <v>3</v>
      </c>
      <c r="D76" t="s">
        <v>3</v>
      </c>
      <c r="E76" t="s">
        <v>363</v>
      </c>
      <c r="F76" t="s">
        <v>363</v>
      </c>
      <c r="G76" t="s">
        <v>363</v>
      </c>
      <c r="H76" t="s">
        <v>3</v>
      </c>
      <c r="I76" t="s">
        <v>363</v>
      </c>
      <c r="J76" t="s">
        <v>363</v>
      </c>
      <c r="K76" t="s">
        <v>3</v>
      </c>
      <c r="L76" t="s">
        <v>3</v>
      </c>
      <c r="M76" t="s">
        <v>3</v>
      </c>
      <c r="N76" t="s">
        <v>3</v>
      </c>
      <c r="O76" t="s">
        <v>363</v>
      </c>
      <c r="P76" t="s">
        <v>3</v>
      </c>
      <c r="Q76" t="s">
        <v>3</v>
      </c>
      <c r="R76" t="s">
        <v>3</v>
      </c>
      <c r="S76" t="s">
        <v>371</v>
      </c>
      <c r="T76" t="s">
        <v>374</v>
      </c>
      <c r="U76" t="s">
        <v>365</v>
      </c>
    </row>
    <row r="77" spans="1:21" x14ac:dyDescent="0.2">
      <c r="A77">
        <v>221</v>
      </c>
      <c r="B77">
        <v>1</v>
      </c>
      <c r="C77" t="s">
        <v>3</v>
      </c>
      <c r="D77" t="s">
        <v>3</v>
      </c>
      <c r="E77" t="s">
        <v>366</v>
      </c>
      <c r="F77" t="s">
        <v>366</v>
      </c>
      <c r="G77" t="s">
        <v>367</v>
      </c>
      <c r="H77" t="s">
        <v>3</v>
      </c>
      <c r="I77" t="s">
        <v>367</v>
      </c>
      <c r="J77" t="s">
        <v>366</v>
      </c>
      <c r="K77" t="s">
        <v>3</v>
      </c>
      <c r="L77" t="s">
        <v>3</v>
      </c>
      <c r="M77" t="s">
        <v>3</v>
      </c>
      <c r="N77" t="s">
        <v>3</v>
      </c>
      <c r="O77" t="s">
        <v>366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</row>
    <row r="78" spans="1:21" x14ac:dyDescent="0.2">
      <c r="A78">
        <v>221</v>
      </c>
      <c r="B78">
        <v>1</v>
      </c>
      <c r="C78" t="s">
        <v>3</v>
      </c>
      <c r="D78" t="s">
        <v>3</v>
      </c>
      <c r="E78" t="s">
        <v>363</v>
      </c>
      <c r="F78" t="s">
        <v>363</v>
      </c>
      <c r="G78" t="s">
        <v>363</v>
      </c>
      <c r="H78" t="s">
        <v>3</v>
      </c>
      <c r="I78" t="s">
        <v>363</v>
      </c>
      <c r="J78" t="s">
        <v>363</v>
      </c>
      <c r="K78" t="s">
        <v>3</v>
      </c>
      <c r="L78" t="s">
        <v>3</v>
      </c>
      <c r="M78" t="s">
        <v>3</v>
      </c>
      <c r="N78" t="s">
        <v>3</v>
      </c>
      <c r="O78" t="s">
        <v>363</v>
      </c>
      <c r="P78" t="s">
        <v>3</v>
      </c>
      <c r="Q78" t="s">
        <v>3</v>
      </c>
      <c r="R78" t="s">
        <v>3</v>
      </c>
      <c r="S78" t="s">
        <v>371</v>
      </c>
      <c r="T78" t="s">
        <v>374</v>
      </c>
      <c r="U78" t="s">
        <v>365</v>
      </c>
    </row>
    <row r="79" spans="1:21" x14ac:dyDescent="0.2">
      <c r="A79">
        <v>222</v>
      </c>
      <c r="B79">
        <v>1</v>
      </c>
      <c r="C79" t="s">
        <v>3</v>
      </c>
      <c r="D79" t="s">
        <v>3</v>
      </c>
      <c r="E79" t="s">
        <v>366</v>
      </c>
      <c r="F79" t="s">
        <v>366</v>
      </c>
      <c r="G79" t="s">
        <v>367</v>
      </c>
      <c r="H79" t="s">
        <v>3</v>
      </c>
      <c r="I79" t="s">
        <v>367</v>
      </c>
      <c r="J79" t="s">
        <v>366</v>
      </c>
      <c r="K79" t="s">
        <v>3</v>
      </c>
      <c r="L79" t="s">
        <v>3</v>
      </c>
      <c r="M79" t="s">
        <v>3</v>
      </c>
      <c r="N79" t="s">
        <v>3</v>
      </c>
      <c r="O79" t="s">
        <v>366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</row>
    <row r="80" spans="1:21" x14ac:dyDescent="0.2">
      <c r="A80">
        <v>222</v>
      </c>
      <c r="B80">
        <v>1</v>
      </c>
      <c r="C80" t="s">
        <v>3</v>
      </c>
      <c r="D80" t="s">
        <v>3</v>
      </c>
      <c r="E80" t="s">
        <v>363</v>
      </c>
      <c r="F80" t="s">
        <v>363</v>
      </c>
      <c r="G80" t="s">
        <v>363</v>
      </c>
      <c r="H80" t="s">
        <v>3</v>
      </c>
      <c r="I80" t="s">
        <v>363</v>
      </c>
      <c r="J80" t="s">
        <v>363</v>
      </c>
      <c r="K80" t="s">
        <v>3</v>
      </c>
      <c r="L80" t="s">
        <v>3</v>
      </c>
      <c r="M80" t="s">
        <v>3</v>
      </c>
      <c r="N80" t="s">
        <v>3</v>
      </c>
      <c r="O80" t="s">
        <v>363</v>
      </c>
      <c r="P80" t="s">
        <v>3</v>
      </c>
      <c r="Q80" t="s">
        <v>3</v>
      </c>
      <c r="R80" t="s">
        <v>3</v>
      </c>
      <c r="S80" t="s">
        <v>371</v>
      </c>
      <c r="T80" t="s">
        <v>374</v>
      </c>
      <c r="U80" t="s">
        <v>365</v>
      </c>
    </row>
    <row r="81" spans="1:21" x14ac:dyDescent="0.2">
      <c r="A81">
        <v>225</v>
      </c>
      <c r="B81">
        <v>1</v>
      </c>
      <c r="C81" t="s">
        <v>3</v>
      </c>
      <c r="D81" t="s">
        <v>3</v>
      </c>
      <c r="E81" t="s">
        <v>366</v>
      </c>
      <c r="F81" t="s">
        <v>366</v>
      </c>
      <c r="G81" t="s">
        <v>367</v>
      </c>
      <c r="H81" t="s">
        <v>3</v>
      </c>
      <c r="I81" t="s">
        <v>367</v>
      </c>
      <c r="J81" t="s">
        <v>366</v>
      </c>
      <c r="K81" t="s">
        <v>3</v>
      </c>
      <c r="L81" t="s">
        <v>3</v>
      </c>
      <c r="M81" t="s">
        <v>3</v>
      </c>
      <c r="N81" t="s">
        <v>3</v>
      </c>
      <c r="O81" t="s">
        <v>366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</row>
    <row r="82" spans="1:21" x14ac:dyDescent="0.2">
      <c r="A82">
        <v>225</v>
      </c>
      <c r="B82">
        <v>1</v>
      </c>
      <c r="C82" t="s">
        <v>3</v>
      </c>
      <c r="D82" t="s">
        <v>3</v>
      </c>
      <c r="E82" t="s">
        <v>363</v>
      </c>
      <c r="F82" t="s">
        <v>363</v>
      </c>
      <c r="G82" t="s">
        <v>363</v>
      </c>
      <c r="H82" t="s">
        <v>3</v>
      </c>
      <c r="I82" t="s">
        <v>363</v>
      </c>
      <c r="J82" t="s">
        <v>363</v>
      </c>
      <c r="K82" t="s">
        <v>3</v>
      </c>
      <c r="L82" t="s">
        <v>3</v>
      </c>
      <c r="M82" t="s">
        <v>3</v>
      </c>
      <c r="N82" t="s">
        <v>3</v>
      </c>
      <c r="O82" t="s">
        <v>363</v>
      </c>
      <c r="P82" t="s">
        <v>3</v>
      </c>
      <c r="Q82" t="s">
        <v>3</v>
      </c>
      <c r="R82" t="s">
        <v>3</v>
      </c>
      <c r="S82" t="s">
        <v>371</v>
      </c>
      <c r="T82" t="s">
        <v>374</v>
      </c>
      <c r="U82" t="s">
        <v>365</v>
      </c>
    </row>
    <row r="83" spans="1:21" x14ac:dyDescent="0.2">
      <c r="A83">
        <v>226</v>
      </c>
      <c r="B83">
        <v>1</v>
      </c>
      <c r="C83" t="s">
        <v>3</v>
      </c>
      <c r="D83" t="s">
        <v>3</v>
      </c>
      <c r="E83" t="s">
        <v>366</v>
      </c>
      <c r="F83" t="s">
        <v>366</v>
      </c>
      <c r="G83" t="s">
        <v>367</v>
      </c>
      <c r="H83" t="s">
        <v>3</v>
      </c>
      <c r="I83" t="s">
        <v>367</v>
      </c>
      <c r="J83" t="s">
        <v>366</v>
      </c>
      <c r="K83" t="s">
        <v>3</v>
      </c>
      <c r="L83" t="s">
        <v>3</v>
      </c>
      <c r="M83" t="s">
        <v>3</v>
      </c>
      <c r="N83" t="s">
        <v>3</v>
      </c>
      <c r="O83" t="s">
        <v>366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</row>
    <row r="84" spans="1:21" x14ac:dyDescent="0.2">
      <c r="A84">
        <v>226</v>
      </c>
      <c r="B84">
        <v>1</v>
      </c>
      <c r="C84" t="s">
        <v>3</v>
      </c>
      <c r="D84" t="s">
        <v>3</v>
      </c>
      <c r="E84" t="s">
        <v>363</v>
      </c>
      <c r="F84" t="s">
        <v>363</v>
      </c>
      <c r="G84" t="s">
        <v>363</v>
      </c>
      <c r="H84" t="s">
        <v>3</v>
      </c>
      <c r="I84" t="s">
        <v>363</v>
      </c>
      <c r="J84" t="s">
        <v>363</v>
      </c>
      <c r="K84" t="s">
        <v>3</v>
      </c>
      <c r="L84" t="s">
        <v>3</v>
      </c>
      <c r="M84" t="s">
        <v>3</v>
      </c>
      <c r="N84" t="s">
        <v>3</v>
      </c>
      <c r="O84" t="s">
        <v>363</v>
      </c>
      <c r="P84" t="s">
        <v>3</v>
      </c>
      <c r="Q84" t="s">
        <v>3</v>
      </c>
      <c r="R84" t="s">
        <v>3</v>
      </c>
      <c r="S84" t="s">
        <v>371</v>
      </c>
      <c r="T84" t="s">
        <v>374</v>
      </c>
      <c r="U84" t="s">
        <v>365</v>
      </c>
    </row>
    <row r="85" spans="1:21" x14ac:dyDescent="0.2">
      <c r="A85">
        <v>229</v>
      </c>
      <c r="B85">
        <v>1</v>
      </c>
      <c r="C85" t="s">
        <v>3</v>
      </c>
      <c r="D85" t="s">
        <v>3</v>
      </c>
      <c r="E85" t="s">
        <v>366</v>
      </c>
      <c r="F85" t="s">
        <v>366</v>
      </c>
      <c r="G85" t="s">
        <v>367</v>
      </c>
      <c r="H85" t="s">
        <v>3</v>
      </c>
      <c r="I85" t="s">
        <v>367</v>
      </c>
      <c r="J85" t="s">
        <v>366</v>
      </c>
      <c r="K85" t="s">
        <v>3</v>
      </c>
      <c r="L85" t="s">
        <v>3</v>
      </c>
      <c r="M85" t="s">
        <v>3</v>
      </c>
      <c r="N85" t="s">
        <v>3</v>
      </c>
      <c r="O85" t="s">
        <v>366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</row>
    <row r="86" spans="1:21" x14ac:dyDescent="0.2">
      <c r="A86">
        <v>229</v>
      </c>
      <c r="B86">
        <v>1</v>
      </c>
      <c r="C86" t="s">
        <v>3</v>
      </c>
      <c r="D86" t="s">
        <v>3</v>
      </c>
      <c r="E86" t="s">
        <v>363</v>
      </c>
      <c r="F86" t="s">
        <v>363</v>
      </c>
      <c r="G86" t="s">
        <v>363</v>
      </c>
      <c r="H86" t="s">
        <v>3</v>
      </c>
      <c r="I86" t="s">
        <v>363</v>
      </c>
      <c r="J86" t="s">
        <v>363</v>
      </c>
      <c r="K86" t="s">
        <v>3</v>
      </c>
      <c r="L86" t="s">
        <v>3</v>
      </c>
      <c r="M86" t="s">
        <v>3</v>
      </c>
      <c r="N86" t="s">
        <v>3</v>
      </c>
      <c r="O86" t="s">
        <v>363</v>
      </c>
      <c r="P86" t="s">
        <v>3</v>
      </c>
      <c r="Q86" t="s">
        <v>3</v>
      </c>
      <c r="R86" t="s">
        <v>3</v>
      </c>
      <c r="S86" t="s">
        <v>371</v>
      </c>
      <c r="T86" t="s">
        <v>374</v>
      </c>
      <c r="U86" t="s">
        <v>365</v>
      </c>
    </row>
    <row r="87" spans="1:21" x14ac:dyDescent="0.2">
      <c r="A87">
        <v>230</v>
      </c>
      <c r="B87">
        <v>1</v>
      </c>
      <c r="C87" t="s">
        <v>3</v>
      </c>
      <c r="D87" t="s">
        <v>3</v>
      </c>
      <c r="E87" t="s">
        <v>366</v>
      </c>
      <c r="F87" t="s">
        <v>366</v>
      </c>
      <c r="G87" t="s">
        <v>367</v>
      </c>
      <c r="H87" t="s">
        <v>3</v>
      </c>
      <c r="I87" t="s">
        <v>367</v>
      </c>
      <c r="J87" t="s">
        <v>366</v>
      </c>
      <c r="K87" t="s">
        <v>3</v>
      </c>
      <c r="L87" t="s">
        <v>3</v>
      </c>
      <c r="M87" t="s">
        <v>3</v>
      </c>
      <c r="N87" t="s">
        <v>3</v>
      </c>
      <c r="O87" t="s">
        <v>366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</row>
    <row r="88" spans="1:21" x14ac:dyDescent="0.2">
      <c r="A88">
        <v>230</v>
      </c>
      <c r="B88">
        <v>1</v>
      </c>
      <c r="C88" t="s">
        <v>3</v>
      </c>
      <c r="D88" t="s">
        <v>3</v>
      </c>
      <c r="E88" t="s">
        <v>363</v>
      </c>
      <c r="F88" t="s">
        <v>363</v>
      </c>
      <c r="G88" t="s">
        <v>363</v>
      </c>
      <c r="H88" t="s">
        <v>3</v>
      </c>
      <c r="I88" t="s">
        <v>363</v>
      </c>
      <c r="J88" t="s">
        <v>363</v>
      </c>
      <c r="K88" t="s">
        <v>3</v>
      </c>
      <c r="L88" t="s">
        <v>3</v>
      </c>
      <c r="M88" t="s">
        <v>3</v>
      </c>
      <c r="N88" t="s">
        <v>3</v>
      </c>
      <c r="O88" t="s">
        <v>363</v>
      </c>
      <c r="P88" t="s">
        <v>3</v>
      </c>
      <c r="Q88" t="s">
        <v>3</v>
      </c>
      <c r="R88" t="s">
        <v>3</v>
      </c>
      <c r="S88" t="s">
        <v>371</v>
      </c>
      <c r="T88" t="s">
        <v>374</v>
      </c>
      <c r="U88" t="s">
        <v>365</v>
      </c>
    </row>
    <row r="89" spans="1:21" x14ac:dyDescent="0.2">
      <c r="A89">
        <v>233</v>
      </c>
      <c r="B89">
        <v>1</v>
      </c>
      <c r="C89" t="s">
        <v>3</v>
      </c>
      <c r="D89" t="s">
        <v>3</v>
      </c>
      <c r="E89" t="s">
        <v>366</v>
      </c>
      <c r="F89" t="s">
        <v>366</v>
      </c>
      <c r="G89" t="s">
        <v>367</v>
      </c>
      <c r="H89" t="s">
        <v>3</v>
      </c>
      <c r="I89" t="s">
        <v>367</v>
      </c>
      <c r="J89" t="s">
        <v>366</v>
      </c>
      <c r="K89" t="s">
        <v>3</v>
      </c>
      <c r="L89" t="s">
        <v>3</v>
      </c>
      <c r="M89" t="s">
        <v>3</v>
      </c>
      <c r="N89" t="s">
        <v>3</v>
      </c>
      <c r="O89" t="s">
        <v>366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</row>
    <row r="90" spans="1:21" x14ac:dyDescent="0.2">
      <c r="A90">
        <v>233</v>
      </c>
      <c r="B90">
        <v>1</v>
      </c>
      <c r="C90" t="s">
        <v>3</v>
      </c>
      <c r="D90" t="s">
        <v>3</v>
      </c>
      <c r="E90" t="s">
        <v>363</v>
      </c>
      <c r="F90" t="s">
        <v>363</v>
      </c>
      <c r="G90" t="s">
        <v>363</v>
      </c>
      <c r="H90" t="s">
        <v>3</v>
      </c>
      <c r="I90" t="s">
        <v>363</v>
      </c>
      <c r="J90" t="s">
        <v>363</v>
      </c>
      <c r="K90" t="s">
        <v>3</v>
      </c>
      <c r="L90" t="s">
        <v>3</v>
      </c>
      <c r="M90" t="s">
        <v>3</v>
      </c>
      <c r="N90" t="s">
        <v>3</v>
      </c>
      <c r="O90" t="s">
        <v>363</v>
      </c>
      <c r="P90" t="s">
        <v>3</v>
      </c>
      <c r="Q90" t="s">
        <v>3</v>
      </c>
      <c r="R90" t="s">
        <v>3</v>
      </c>
      <c r="S90" t="s">
        <v>371</v>
      </c>
      <c r="T90" t="s">
        <v>374</v>
      </c>
      <c r="U90" t="s">
        <v>365</v>
      </c>
    </row>
    <row r="91" spans="1:21" x14ac:dyDescent="0.2">
      <c r="A91">
        <v>234</v>
      </c>
      <c r="B91">
        <v>1</v>
      </c>
      <c r="C91" t="s">
        <v>3</v>
      </c>
      <c r="D91" t="s">
        <v>3</v>
      </c>
      <c r="E91" t="s">
        <v>366</v>
      </c>
      <c r="F91" t="s">
        <v>366</v>
      </c>
      <c r="G91" t="s">
        <v>367</v>
      </c>
      <c r="H91" t="s">
        <v>3</v>
      </c>
      <c r="I91" t="s">
        <v>367</v>
      </c>
      <c r="J91" t="s">
        <v>366</v>
      </c>
      <c r="K91" t="s">
        <v>3</v>
      </c>
      <c r="L91" t="s">
        <v>3</v>
      </c>
      <c r="M91" t="s">
        <v>3</v>
      </c>
      <c r="N91" t="s">
        <v>3</v>
      </c>
      <c r="O91" t="s">
        <v>366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</row>
    <row r="92" spans="1:21" x14ac:dyDescent="0.2">
      <c r="A92">
        <v>234</v>
      </c>
      <c r="B92">
        <v>1</v>
      </c>
      <c r="C92" t="s">
        <v>3</v>
      </c>
      <c r="D92" t="s">
        <v>3</v>
      </c>
      <c r="E92" t="s">
        <v>363</v>
      </c>
      <c r="F92" t="s">
        <v>363</v>
      </c>
      <c r="G92" t="s">
        <v>363</v>
      </c>
      <c r="H92" t="s">
        <v>3</v>
      </c>
      <c r="I92" t="s">
        <v>363</v>
      </c>
      <c r="J92" t="s">
        <v>363</v>
      </c>
      <c r="K92" t="s">
        <v>3</v>
      </c>
      <c r="L92" t="s">
        <v>3</v>
      </c>
      <c r="M92" t="s">
        <v>3</v>
      </c>
      <c r="N92" t="s">
        <v>3</v>
      </c>
      <c r="O92" t="s">
        <v>363</v>
      </c>
      <c r="P92" t="s">
        <v>3</v>
      </c>
      <c r="Q92" t="s">
        <v>3</v>
      </c>
      <c r="R92" t="s">
        <v>3</v>
      </c>
      <c r="S92" t="s">
        <v>371</v>
      </c>
      <c r="T92" t="s">
        <v>374</v>
      </c>
      <c r="U92" t="s">
        <v>365</v>
      </c>
    </row>
    <row r="93" spans="1:21" x14ac:dyDescent="0.2">
      <c r="A93">
        <v>272</v>
      </c>
      <c r="B93">
        <v>1</v>
      </c>
      <c r="C93" t="s">
        <v>3</v>
      </c>
      <c r="D93" t="s">
        <v>3</v>
      </c>
      <c r="E93" t="s">
        <v>366</v>
      </c>
      <c r="F93" t="s">
        <v>366</v>
      </c>
      <c r="G93" t="s">
        <v>367</v>
      </c>
      <c r="H93" t="s">
        <v>3</v>
      </c>
      <c r="I93" t="s">
        <v>367</v>
      </c>
      <c r="J93" t="s">
        <v>366</v>
      </c>
      <c r="K93" t="s">
        <v>3</v>
      </c>
      <c r="L93" t="s">
        <v>3</v>
      </c>
      <c r="M93" t="s">
        <v>3</v>
      </c>
      <c r="N93" t="s">
        <v>3</v>
      </c>
      <c r="O93" t="s">
        <v>366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</row>
    <row r="94" spans="1:21" x14ac:dyDescent="0.2">
      <c r="A94">
        <v>272</v>
      </c>
      <c r="B94">
        <v>1</v>
      </c>
      <c r="C94" t="s">
        <v>3</v>
      </c>
      <c r="D94" t="s">
        <v>3</v>
      </c>
      <c r="E94" t="s">
        <v>363</v>
      </c>
      <c r="F94" t="s">
        <v>363</v>
      </c>
      <c r="G94" t="s">
        <v>363</v>
      </c>
      <c r="H94" t="s">
        <v>3</v>
      </c>
      <c r="I94" t="s">
        <v>363</v>
      </c>
      <c r="J94" t="s">
        <v>363</v>
      </c>
      <c r="K94" t="s">
        <v>3</v>
      </c>
      <c r="L94" t="s">
        <v>3</v>
      </c>
      <c r="M94" t="s">
        <v>3</v>
      </c>
      <c r="N94" t="s">
        <v>3</v>
      </c>
      <c r="O94" t="s">
        <v>363</v>
      </c>
      <c r="P94" t="s">
        <v>3</v>
      </c>
      <c r="Q94" t="s">
        <v>3</v>
      </c>
      <c r="R94" t="s">
        <v>3</v>
      </c>
      <c r="S94" t="s">
        <v>371</v>
      </c>
      <c r="T94" t="s">
        <v>374</v>
      </c>
      <c r="U94" t="s">
        <v>365</v>
      </c>
    </row>
    <row r="95" spans="1:21" x14ac:dyDescent="0.2">
      <c r="A95">
        <v>273</v>
      </c>
      <c r="B95">
        <v>1</v>
      </c>
      <c r="C95" t="s">
        <v>3</v>
      </c>
      <c r="D95" t="s">
        <v>3</v>
      </c>
      <c r="E95" t="s">
        <v>366</v>
      </c>
      <c r="F95" t="s">
        <v>366</v>
      </c>
      <c r="G95" t="s">
        <v>367</v>
      </c>
      <c r="H95" t="s">
        <v>3</v>
      </c>
      <c r="I95" t="s">
        <v>367</v>
      </c>
      <c r="J95" t="s">
        <v>366</v>
      </c>
      <c r="K95" t="s">
        <v>3</v>
      </c>
      <c r="L95" t="s">
        <v>3</v>
      </c>
      <c r="M95" t="s">
        <v>3</v>
      </c>
      <c r="N95" t="s">
        <v>3</v>
      </c>
      <c r="O95" t="s">
        <v>366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</row>
    <row r="96" spans="1:21" x14ac:dyDescent="0.2">
      <c r="A96">
        <v>273</v>
      </c>
      <c r="B96">
        <v>1</v>
      </c>
      <c r="C96" t="s">
        <v>3</v>
      </c>
      <c r="D96" t="s">
        <v>3</v>
      </c>
      <c r="E96" t="s">
        <v>363</v>
      </c>
      <c r="F96" t="s">
        <v>363</v>
      </c>
      <c r="G96" t="s">
        <v>363</v>
      </c>
      <c r="H96" t="s">
        <v>3</v>
      </c>
      <c r="I96" t="s">
        <v>363</v>
      </c>
      <c r="J96" t="s">
        <v>363</v>
      </c>
      <c r="K96" t="s">
        <v>3</v>
      </c>
      <c r="L96" t="s">
        <v>3</v>
      </c>
      <c r="M96" t="s">
        <v>3</v>
      </c>
      <c r="N96" t="s">
        <v>3</v>
      </c>
      <c r="O96" t="s">
        <v>363</v>
      </c>
      <c r="P96" t="s">
        <v>3</v>
      </c>
      <c r="Q96" t="s">
        <v>3</v>
      </c>
      <c r="R96" t="s">
        <v>3</v>
      </c>
      <c r="S96" t="s">
        <v>371</v>
      </c>
      <c r="T96" t="s">
        <v>374</v>
      </c>
      <c r="U96" t="s">
        <v>365</v>
      </c>
    </row>
    <row r="97" spans="1:21" x14ac:dyDescent="0.2">
      <c r="A97">
        <v>311</v>
      </c>
      <c r="B97">
        <v>1</v>
      </c>
      <c r="C97" t="s">
        <v>3</v>
      </c>
      <c r="D97" t="s">
        <v>3</v>
      </c>
      <c r="E97" t="s">
        <v>366</v>
      </c>
      <c r="F97" t="s">
        <v>366</v>
      </c>
      <c r="G97" t="s">
        <v>367</v>
      </c>
      <c r="H97" t="s">
        <v>3</v>
      </c>
      <c r="I97" t="s">
        <v>367</v>
      </c>
      <c r="J97" t="s">
        <v>366</v>
      </c>
      <c r="K97" t="s">
        <v>3</v>
      </c>
      <c r="L97" t="s">
        <v>3</v>
      </c>
      <c r="M97" t="s">
        <v>3</v>
      </c>
      <c r="N97" t="s">
        <v>3</v>
      </c>
      <c r="O97" t="s">
        <v>366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</row>
    <row r="98" spans="1:21" x14ac:dyDescent="0.2">
      <c r="A98">
        <v>311</v>
      </c>
      <c r="B98">
        <v>1</v>
      </c>
      <c r="C98" t="s">
        <v>3</v>
      </c>
      <c r="D98" t="s">
        <v>3</v>
      </c>
      <c r="E98" t="s">
        <v>363</v>
      </c>
      <c r="F98" t="s">
        <v>363</v>
      </c>
      <c r="G98" t="s">
        <v>363</v>
      </c>
      <c r="H98" t="s">
        <v>3</v>
      </c>
      <c r="I98" t="s">
        <v>363</v>
      </c>
      <c r="J98" t="s">
        <v>363</v>
      </c>
      <c r="K98" t="s">
        <v>3</v>
      </c>
      <c r="L98" t="s">
        <v>3</v>
      </c>
      <c r="M98" t="s">
        <v>3</v>
      </c>
      <c r="N98" t="s">
        <v>3</v>
      </c>
      <c r="O98" t="s">
        <v>363</v>
      </c>
      <c r="P98" t="s">
        <v>3</v>
      </c>
      <c r="Q98" t="s">
        <v>3</v>
      </c>
      <c r="R98" t="s">
        <v>3</v>
      </c>
      <c r="S98" t="s">
        <v>371</v>
      </c>
      <c r="T98" t="s">
        <v>374</v>
      </c>
      <c r="U98" t="s">
        <v>365</v>
      </c>
    </row>
    <row r="99" spans="1:21" x14ac:dyDescent="0.2">
      <c r="A99">
        <v>312</v>
      </c>
      <c r="B99">
        <v>1</v>
      </c>
      <c r="C99" t="s">
        <v>3</v>
      </c>
      <c r="D99" t="s">
        <v>3</v>
      </c>
      <c r="E99" t="s">
        <v>366</v>
      </c>
      <c r="F99" t="s">
        <v>366</v>
      </c>
      <c r="G99" t="s">
        <v>367</v>
      </c>
      <c r="H99" t="s">
        <v>3</v>
      </c>
      <c r="I99" t="s">
        <v>367</v>
      </c>
      <c r="J99" t="s">
        <v>366</v>
      </c>
      <c r="K99" t="s">
        <v>3</v>
      </c>
      <c r="L99" t="s">
        <v>3</v>
      </c>
      <c r="M99" t="s">
        <v>3</v>
      </c>
      <c r="N99" t="s">
        <v>3</v>
      </c>
      <c r="O99" t="s">
        <v>366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</row>
    <row r="100" spans="1:21" x14ac:dyDescent="0.2">
      <c r="A100">
        <v>312</v>
      </c>
      <c r="B100">
        <v>1</v>
      </c>
      <c r="C100" t="s">
        <v>3</v>
      </c>
      <c r="D100" t="s">
        <v>3</v>
      </c>
      <c r="E100" t="s">
        <v>363</v>
      </c>
      <c r="F100" t="s">
        <v>363</v>
      </c>
      <c r="G100" t="s">
        <v>363</v>
      </c>
      <c r="H100" t="s">
        <v>3</v>
      </c>
      <c r="I100" t="s">
        <v>363</v>
      </c>
      <c r="J100" t="s">
        <v>363</v>
      </c>
      <c r="K100" t="s">
        <v>3</v>
      </c>
      <c r="L100" t="s">
        <v>3</v>
      </c>
      <c r="M100" t="s">
        <v>3</v>
      </c>
      <c r="N100" t="s">
        <v>3</v>
      </c>
      <c r="O100" t="s">
        <v>363</v>
      </c>
      <c r="P100" t="s">
        <v>3</v>
      </c>
      <c r="Q100" t="s">
        <v>3</v>
      </c>
      <c r="R100" t="s">
        <v>3</v>
      </c>
      <c r="S100" t="s">
        <v>371</v>
      </c>
      <c r="T100" t="s">
        <v>374</v>
      </c>
      <c r="U100" t="s">
        <v>365</v>
      </c>
    </row>
    <row r="101" spans="1:21" x14ac:dyDescent="0.2">
      <c r="A101">
        <v>350</v>
      </c>
      <c r="B101">
        <v>1</v>
      </c>
      <c r="C101" t="s">
        <v>3</v>
      </c>
      <c r="D101" t="s">
        <v>3</v>
      </c>
      <c r="E101" t="s">
        <v>366</v>
      </c>
      <c r="F101" t="s">
        <v>366</v>
      </c>
      <c r="G101" t="s">
        <v>367</v>
      </c>
      <c r="H101" t="s">
        <v>3</v>
      </c>
      <c r="I101" t="s">
        <v>367</v>
      </c>
      <c r="J101" t="s">
        <v>366</v>
      </c>
      <c r="K101" t="s">
        <v>3</v>
      </c>
      <c r="L101" t="s">
        <v>3</v>
      </c>
      <c r="M101" t="s">
        <v>3</v>
      </c>
      <c r="N101" t="s">
        <v>3</v>
      </c>
      <c r="O101" t="s">
        <v>366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</row>
    <row r="102" spans="1:21" x14ac:dyDescent="0.2">
      <c r="A102">
        <v>350</v>
      </c>
      <c r="B102">
        <v>1</v>
      </c>
      <c r="C102" t="s">
        <v>3</v>
      </c>
      <c r="D102" t="s">
        <v>3</v>
      </c>
      <c r="E102" t="s">
        <v>363</v>
      </c>
      <c r="F102" t="s">
        <v>363</v>
      </c>
      <c r="G102" t="s">
        <v>363</v>
      </c>
      <c r="H102" t="s">
        <v>3</v>
      </c>
      <c r="I102" t="s">
        <v>363</v>
      </c>
      <c r="J102" t="s">
        <v>363</v>
      </c>
      <c r="K102" t="s">
        <v>3</v>
      </c>
      <c r="L102" t="s">
        <v>3</v>
      </c>
      <c r="M102" t="s">
        <v>3</v>
      </c>
      <c r="N102" t="s">
        <v>3</v>
      </c>
      <c r="O102" t="s">
        <v>363</v>
      </c>
      <c r="P102" t="s">
        <v>3</v>
      </c>
      <c r="Q102" t="s">
        <v>3</v>
      </c>
      <c r="R102" t="s">
        <v>3</v>
      </c>
      <c r="S102" t="s">
        <v>371</v>
      </c>
      <c r="T102" t="s">
        <v>374</v>
      </c>
      <c r="U102" t="s">
        <v>365</v>
      </c>
    </row>
    <row r="103" spans="1:21" x14ac:dyDescent="0.2">
      <c r="A103">
        <v>351</v>
      </c>
      <c r="B103">
        <v>1</v>
      </c>
      <c r="C103" t="s">
        <v>3</v>
      </c>
      <c r="D103" t="s">
        <v>3</v>
      </c>
      <c r="E103" t="s">
        <v>366</v>
      </c>
      <c r="F103" t="s">
        <v>366</v>
      </c>
      <c r="G103" t="s">
        <v>367</v>
      </c>
      <c r="H103" t="s">
        <v>3</v>
      </c>
      <c r="I103" t="s">
        <v>367</v>
      </c>
      <c r="J103" t="s">
        <v>366</v>
      </c>
      <c r="K103" t="s">
        <v>3</v>
      </c>
      <c r="L103" t="s">
        <v>3</v>
      </c>
      <c r="M103" t="s">
        <v>3</v>
      </c>
      <c r="N103" t="s">
        <v>3</v>
      </c>
      <c r="O103" t="s">
        <v>366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</row>
    <row r="104" spans="1:21" x14ac:dyDescent="0.2">
      <c r="A104">
        <v>351</v>
      </c>
      <c r="B104">
        <v>1</v>
      </c>
      <c r="C104" t="s">
        <v>3</v>
      </c>
      <c r="D104" t="s">
        <v>3</v>
      </c>
      <c r="E104" t="s">
        <v>363</v>
      </c>
      <c r="F104" t="s">
        <v>363</v>
      </c>
      <c r="G104" t="s">
        <v>363</v>
      </c>
      <c r="H104" t="s">
        <v>3</v>
      </c>
      <c r="I104" t="s">
        <v>363</v>
      </c>
      <c r="J104" t="s">
        <v>363</v>
      </c>
      <c r="K104" t="s">
        <v>3</v>
      </c>
      <c r="L104" t="s">
        <v>3</v>
      </c>
      <c r="M104" t="s">
        <v>3</v>
      </c>
      <c r="N104" t="s">
        <v>3</v>
      </c>
      <c r="O104" t="s">
        <v>363</v>
      </c>
      <c r="P104" t="s">
        <v>3</v>
      </c>
      <c r="Q104" t="s">
        <v>3</v>
      </c>
      <c r="R104" t="s">
        <v>3</v>
      </c>
      <c r="S104" t="s">
        <v>371</v>
      </c>
      <c r="T104" t="s">
        <v>374</v>
      </c>
      <c r="U104" t="s">
        <v>365</v>
      </c>
    </row>
    <row r="105" spans="1:21" x14ac:dyDescent="0.2">
      <c r="A105">
        <v>389</v>
      </c>
      <c r="B105">
        <v>1</v>
      </c>
      <c r="C105" t="s">
        <v>3</v>
      </c>
      <c r="D105" t="s">
        <v>3</v>
      </c>
      <c r="E105" t="s">
        <v>366</v>
      </c>
      <c r="F105" t="s">
        <v>366</v>
      </c>
      <c r="G105" t="s">
        <v>367</v>
      </c>
      <c r="H105" t="s">
        <v>3</v>
      </c>
      <c r="I105" t="s">
        <v>367</v>
      </c>
      <c r="J105" t="s">
        <v>366</v>
      </c>
      <c r="K105" t="s">
        <v>3</v>
      </c>
      <c r="L105" t="s">
        <v>3</v>
      </c>
      <c r="M105" t="s">
        <v>3</v>
      </c>
      <c r="N105" t="s">
        <v>3</v>
      </c>
      <c r="O105" t="s">
        <v>366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</row>
    <row r="106" spans="1:21" x14ac:dyDescent="0.2">
      <c r="A106">
        <v>389</v>
      </c>
      <c r="B106">
        <v>1</v>
      </c>
      <c r="C106" t="s">
        <v>3</v>
      </c>
      <c r="D106" t="s">
        <v>3</v>
      </c>
      <c r="E106" t="s">
        <v>363</v>
      </c>
      <c r="F106" t="s">
        <v>363</v>
      </c>
      <c r="G106" t="s">
        <v>363</v>
      </c>
      <c r="H106" t="s">
        <v>3</v>
      </c>
      <c r="I106" t="s">
        <v>363</v>
      </c>
      <c r="J106" t="s">
        <v>363</v>
      </c>
      <c r="K106" t="s">
        <v>3</v>
      </c>
      <c r="L106" t="s">
        <v>3</v>
      </c>
      <c r="M106" t="s">
        <v>3</v>
      </c>
      <c r="N106" t="s">
        <v>3</v>
      </c>
      <c r="O106" t="s">
        <v>363</v>
      </c>
      <c r="P106" t="s">
        <v>3</v>
      </c>
      <c r="Q106" t="s">
        <v>3</v>
      </c>
      <c r="R106" t="s">
        <v>3</v>
      </c>
      <c r="S106" t="s">
        <v>371</v>
      </c>
      <c r="T106" t="s">
        <v>374</v>
      </c>
      <c r="U106" t="s">
        <v>365</v>
      </c>
    </row>
    <row r="107" spans="1:21" x14ac:dyDescent="0.2">
      <c r="A107">
        <v>390</v>
      </c>
      <c r="B107">
        <v>1</v>
      </c>
      <c r="C107" t="s">
        <v>3</v>
      </c>
      <c r="D107" t="s">
        <v>3</v>
      </c>
      <c r="E107" t="s">
        <v>366</v>
      </c>
      <c r="F107" t="s">
        <v>366</v>
      </c>
      <c r="G107" t="s">
        <v>367</v>
      </c>
      <c r="H107" t="s">
        <v>3</v>
      </c>
      <c r="I107" t="s">
        <v>367</v>
      </c>
      <c r="J107" t="s">
        <v>366</v>
      </c>
      <c r="K107" t="s">
        <v>3</v>
      </c>
      <c r="L107" t="s">
        <v>3</v>
      </c>
      <c r="M107" t="s">
        <v>3</v>
      </c>
      <c r="N107" t="s">
        <v>3</v>
      </c>
      <c r="O107" t="s">
        <v>366</v>
      </c>
      <c r="P107" t="s">
        <v>3</v>
      </c>
      <c r="Q107" t="s">
        <v>3</v>
      </c>
      <c r="R107" t="s">
        <v>3</v>
      </c>
      <c r="S107" t="s">
        <v>3</v>
      </c>
      <c r="T107" t="s">
        <v>3</v>
      </c>
    </row>
    <row r="108" spans="1:21" x14ac:dyDescent="0.2">
      <c r="A108">
        <v>390</v>
      </c>
      <c r="B108">
        <v>1</v>
      </c>
      <c r="C108" t="s">
        <v>3</v>
      </c>
      <c r="D108" t="s">
        <v>3</v>
      </c>
      <c r="E108" t="s">
        <v>363</v>
      </c>
      <c r="F108" t="s">
        <v>363</v>
      </c>
      <c r="G108" t="s">
        <v>363</v>
      </c>
      <c r="H108" t="s">
        <v>3</v>
      </c>
      <c r="I108" t="s">
        <v>363</v>
      </c>
      <c r="J108" t="s">
        <v>363</v>
      </c>
      <c r="K108" t="s">
        <v>3</v>
      </c>
      <c r="L108" t="s">
        <v>3</v>
      </c>
      <c r="M108" t="s">
        <v>3</v>
      </c>
      <c r="N108" t="s">
        <v>3</v>
      </c>
      <c r="O108" t="s">
        <v>363</v>
      </c>
      <c r="P108" t="s">
        <v>3</v>
      </c>
      <c r="Q108" t="s">
        <v>3</v>
      </c>
      <c r="R108" t="s">
        <v>3</v>
      </c>
      <c r="S108" t="s">
        <v>371</v>
      </c>
      <c r="T108" t="s">
        <v>374</v>
      </c>
      <c r="U108" t="s">
        <v>365</v>
      </c>
    </row>
    <row r="109" spans="1:21" x14ac:dyDescent="0.2">
      <c r="A109">
        <v>428</v>
      </c>
      <c r="B109">
        <v>1</v>
      </c>
      <c r="C109" t="s">
        <v>3</v>
      </c>
      <c r="D109" t="s">
        <v>3</v>
      </c>
      <c r="E109" t="s">
        <v>366</v>
      </c>
      <c r="F109" t="s">
        <v>366</v>
      </c>
      <c r="G109" t="s">
        <v>367</v>
      </c>
      <c r="H109" t="s">
        <v>3</v>
      </c>
      <c r="I109" t="s">
        <v>367</v>
      </c>
      <c r="J109" t="s">
        <v>366</v>
      </c>
      <c r="K109" t="s">
        <v>3</v>
      </c>
      <c r="L109" t="s">
        <v>3</v>
      </c>
      <c r="M109" t="s">
        <v>3</v>
      </c>
      <c r="N109" t="s">
        <v>3</v>
      </c>
      <c r="O109" t="s">
        <v>366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</row>
    <row r="110" spans="1:21" x14ac:dyDescent="0.2">
      <c r="A110">
        <v>428</v>
      </c>
      <c r="B110">
        <v>1</v>
      </c>
      <c r="C110" t="s">
        <v>3</v>
      </c>
      <c r="D110" t="s">
        <v>3</v>
      </c>
      <c r="E110" t="s">
        <v>363</v>
      </c>
      <c r="F110" t="s">
        <v>363</v>
      </c>
      <c r="G110" t="s">
        <v>363</v>
      </c>
      <c r="H110" t="s">
        <v>3</v>
      </c>
      <c r="I110" t="s">
        <v>363</v>
      </c>
      <c r="J110" t="s">
        <v>363</v>
      </c>
      <c r="K110" t="s">
        <v>3</v>
      </c>
      <c r="L110" t="s">
        <v>3</v>
      </c>
      <c r="M110" t="s">
        <v>3</v>
      </c>
      <c r="N110" t="s">
        <v>3</v>
      </c>
      <c r="O110" t="s">
        <v>363</v>
      </c>
      <c r="P110" t="s">
        <v>3</v>
      </c>
      <c r="Q110" t="s">
        <v>3</v>
      </c>
      <c r="R110" t="s">
        <v>3</v>
      </c>
      <c r="S110" t="s">
        <v>371</v>
      </c>
      <c r="T110" t="s">
        <v>374</v>
      </c>
      <c r="U110" t="s">
        <v>365</v>
      </c>
    </row>
    <row r="111" spans="1:21" x14ac:dyDescent="0.2">
      <c r="A111">
        <v>429</v>
      </c>
      <c r="B111">
        <v>1</v>
      </c>
      <c r="C111" t="s">
        <v>3</v>
      </c>
      <c r="D111" t="s">
        <v>3</v>
      </c>
      <c r="E111" t="s">
        <v>366</v>
      </c>
      <c r="F111" t="s">
        <v>366</v>
      </c>
      <c r="G111" t="s">
        <v>367</v>
      </c>
      <c r="H111" t="s">
        <v>3</v>
      </c>
      <c r="I111" t="s">
        <v>367</v>
      </c>
      <c r="J111" t="s">
        <v>366</v>
      </c>
      <c r="K111" t="s">
        <v>3</v>
      </c>
      <c r="L111" t="s">
        <v>3</v>
      </c>
      <c r="M111" t="s">
        <v>3</v>
      </c>
      <c r="N111" t="s">
        <v>3</v>
      </c>
      <c r="O111" t="s">
        <v>366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</row>
    <row r="112" spans="1:21" x14ac:dyDescent="0.2">
      <c r="A112">
        <v>429</v>
      </c>
      <c r="B112">
        <v>1</v>
      </c>
      <c r="C112" t="s">
        <v>3</v>
      </c>
      <c r="D112" t="s">
        <v>3</v>
      </c>
      <c r="E112" t="s">
        <v>363</v>
      </c>
      <c r="F112" t="s">
        <v>363</v>
      </c>
      <c r="G112" t="s">
        <v>363</v>
      </c>
      <c r="H112" t="s">
        <v>3</v>
      </c>
      <c r="I112" t="s">
        <v>363</v>
      </c>
      <c r="J112" t="s">
        <v>363</v>
      </c>
      <c r="K112" t="s">
        <v>3</v>
      </c>
      <c r="L112" t="s">
        <v>3</v>
      </c>
      <c r="M112" t="s">
        <v>3</v>
      </c>
      <c r="N112" t="s">
        <v>3</v>
      </c>
      <c r="O112" t="s">
        <v>363</v>
      </c>
      <c r="P112" t="s">
        <v>3</v>
      </c>
      <c r="Q112" t="s">
        <v>3</v>
      </c>
      <c r="R112" t="s">
        <v>3</v>
      </c>
      <c r="S112" t="s">
        <v>371</v>
      </c>
      <c r="T112" t="s">
        <v>374</v>
      </c>
      <c r="U112" t="s">
        <v>365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74561</v>
      </c>
      <c r="M1">
        <v>10</v>
      </c>
      <c r="N1">
        <v>12</v>
      </c>
      <c r="O1">
        <v>0</v>
      </c>
      <c r="P1">
        <v>0</v>
      </c>
      <c r="Q1">
        <v>3</v>
      </c>
    </row>
    <row r="12" spans="1:103" x14ac:dyDescent="0.2">
      <c r="F12" t="str">
        <f>Source!F12</f>
        <v>02-01-22</v>
      </c>
      <c r="G12" t="str">
        <f>Source!G12</f>
        <v>02-01-22 Мероприятия по обеспечению доступа инвалидов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02-01-22</vt:lpstr>
      <vt:lpstr>02-01-22_1</vt:lpstr>
      <vt:lpstr>Source</vt:lpstr>
      <vt:lpstr>SourceObSm</vt:lpstr>
      <vt:lpstr>SmtRes</vt:lpstr>
      <vt:lpstr>EtalonRes</vt:lpstr>
      <vt:lpstr>SrcPoprs</vt:lpstr>
      <vt:lpstr>SrcKA</vt:lpstr>
      <vt:lpstr>'02-01-22'!Заголовки_для_печати</vt:lpstr>
      <vt:lpstr>'02-01-22_1'!Заголовки_для_печати</vt:lpstr>
      <vt:lpstr>'02-01-22'!Область_печати</vt:lpstr>
      <vt:lpstr>'02-01-22_1'!Область_печати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Елена Семеновна</cp:lastModifiedBy>
  <dcterms:created xsi:type="dcterms:W3CDTF">2026-03-23T07:37:31Z</dcterms:created>
  <dcterms:modified xsi:type="dcterms:W3CDTF">2026-03-23T07:50:32Z</dcterms:modified>
</cp:coreProperties>
</file>